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(Time!J27+Time!J28)/24</f>
        <v/>
      </c>
      <c r="K29" s="11">
        <f>(Time!K27+Time!K28)/24</f>
        <v/>
      </c>
      <c r="L29" s="11">
        <f>(Time!L27+Time!L28)/24</f>
        <v/>
      </c>
      <c r="M29" s="11">
        <f>(Time!M27+Time!M28)/24</f>
        <v/>
      </c>
      <c r="N29" s="11">
        <f>(Time!N27+Time!N28)/24</f>
        <v/>
      </c>
      <c r="O29" s="11">
        <f>(Time!O27+Time!O28)/24</f>
        <v/>
      </c>
      <c r="P29" s="11">
        <f>(Time!P27+Time!P28)/24</f>
        <v/>
      </c>
      <c r="Q29" s="11">
        <f>(Time!Q27+Time!Q28)/24</f>
        <v/>
      </c>
      <c r="R29" s="11">
        <f>(Time!R27+Time!R28)/24</f>
        <v/>
      </c>
      <c r="S29" s="11">
        <f>(Time!S27+Time!S28)/24</f>
        <v/>
      </c>
      <c r="T29" s="11">
        <f>(Time!T27+Time!T28)/24</f>
        <v/>
      </c>
      <c r="U29" s="11">
        <f>(Time!U27+Time!U28)/24</f>
        <v/>
      </c>
      <c r="V29" s="11">
        <f>(Time!V27+Time!V28)/24</f>
        <v/>
      </c>
      <c r="W29" s="11">
        <f>(Time!W27+Time!W28)/24</f>
        <v/>
      </c>
      <c r="X29" s="11">
        <f>(Time!X27+Time!X28)/24</f>
        <v/>
      </c>
      <c r="Y29" s="11">
        <f>(Time!Y27+Time!Y28)/24</f>
        <v/>
      </c>
      <c r="Z29" s="11">
        <f>(Time!Z27+Time!Z28)/24</f>
        <v/>
      </c>
      <c r="AA29" s="11">
        <f>(Time!AA27+Time!AA28)/24</f>
        <v/>
      </c>
      <c r="AB29" s="11">
        <f>(Time!AB27+Time!AB28)/24</f>
        <v/>
      </c>
      <c r="AC29" s="11">
        <f>(Time!AC27+Time!AC28)/24</f>
        <v/>
      </c>
      <c r="AD29" s="11">
        <f>(Time!AD27+Time!AD28)/24</f>
        <v/>
      </c>
      <c r="AE29" s="11">
        <f>(Time!AE27+Time!AE28)/24</f>
        <v/>
      </c>
      <c r="AF29" s="11">
        <f>(Time!AF27+Time!AF28)/24</f>
        <v/>
      </c>
      <c r="AG29" s="11">
        <f>(Time!AG27+Time!AG28)/24</f>
        <v/>
      </c>
      <c r="AH29" s="11">
        <f>(Time!AH27+Time!AH28)/24</f>
        <v/>
      </c>
      <c r="AI29" s="11">
        <f>(Time!AI27+Time!AI28)/24</f>
        <v/>
      </c>
      <c r="AJ29" s="11">
        <f>(Time!AJ27+Time!AJ28)/24</f>
        <v/>
      </c>
      <c r="AK29" s="11">
        <f>(Time!AK27+Time!AK28)/24</f>
        <v/>
      </c>
      <c r="AL29" s="11">
        <f>(Time!AL27+Time!AL28)/24</f>
        <v/>
      </c>
      <c r="AM29" s="11">
        <f>(Time!AM27+Time!AM28)/24</f>
        <v/>
      </c>
      <c r="AN29" s="11">
        <f>(Time!AN27+Time!AN28)/24</f>
        <v/>
      </c>
      <c r="AO29" s="11">
        <f>(Time!AO27+Time!AO28)/24</f>
        <v/>
      </c>
      <c r="AP29" s="11">
        <f>(Time!AP27+Time!AP28)/24</f>
        <v/>
      </c>
      <c r="AQ29" s="11">
        <f>(Time!AQ27+Time!AQ28)/24</f>
        <v/>
      </c>
      <c r="AR29" s="11">
        <f>(Time!AR27+Time!AR28)/24</f>
        <v/>
      </c>
      <c r="AS29" s="11">
        <f>(Time!AS27+Time!AS28)/24</f>
        <v/>
      </c>
      <c r="AT29" s="11">
        <f>(Time!AT27+Time!AT28)/24</f>
        <v/>
      </c>
      <c r="AU29" s="11">
        <f>(Time!AU27+Time!AU28)/24</f>
        <v/>
      </c>
      <c r="AV29" s="11">
        <f>(Time!AV27+Time!AV28)/24</f>
        <v/>
      </c>
      <c r="AW29" s="11">
        <f>(Time!AW27+Time!AW28)/24</f>
        <v/>
      </c>
      <c r="AX29" s="11">
        <f>(Time!AX27+Time!AX28)/24</f>
        <v/>
      </c>
      <c r="AY29" s="11">
        <f>(Time!AY27+Time!AY28)/24</f>
        <v/>
      </c>
      <c r="AZ29" s="11">
        <f>(Time!AZ27+Time!AZ28)/24</f>
        <v/>
      </c>
      <c r="BA29" s="11">
        <f>(Time!BA27+Time!BA28)/24</f>
        <v/>
      </c>
      <c r="BB29" s="11">
        <f>(Time!BB27+Time!BB28)/24</f>
        <v/>
      </c>
      <c r="BC29" s="11">
        <f>(Time!BC27+Time!BC28)/24</f>
        <v/>
      </c>
      <c r="BD29" s="11">
        <f>(Time!BD27+Time!BD28)/24</f>
        <v/>
      </c>
      <c r="BE29" s="11">
        <f>(Time!BE27+Time!BE28)/24</f>
        <v/>
      </c>
      <c r="BF29" s="11">
        <f>(Time!BF27+Time!BF28)/24</f>
        <v/>
      </c>
      <c r="BG29" s="11">
        <f>(Time!BG27+Time!BG28)/24</f>
        <v/>
      </c>
      <c r="BH29" s="11">
        <f>(Time!BH27+Time!BH28)/24</f>
        <v/>
      </c>
      <c r="BI29" s="11">
        <f>(Time!BI27+Time!BI28)/24</f>
        <v/>
      </c>
      <c r="BJ29" s="11">
        <f>(Time!BJ27+Time!BJ28)/24</f>
        <v/>
      </c>
      <c r="BK29" s="11">
        <f>(Time!BK27+Time!BK28)/24</f>
        <v/>
      </c>
      <c r="BL29" s="11">
        <f>(Time!BL27+Time!BL28)/24</f>
        <v/>
      </c>
      <c r="BM29" s="11">
        <f>(Time!BM27+Time!BM28)/24</f>
        <v/>
      </c>
      <c r="BN29" s="11">
        <f>(Time!BN27+Time!BN28)/24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(Inputs!$F$174*Funding!$F$76/Inputs!$F$175+Inputs!$F$176*Funding!$F$76/Inputs!$F$177+Inputs!$F$178*Funding!$F$76/Inputs!$F$179)*J7</f>
        <v/>
      </c>
      <c r="K11" s="11">
        <f>(Inputs!$F$174*Funding!$F$76/Inputs!$F$175+Inputs!$F$176*Funding!$F$76/Inputs!$F$177+Inputs!$F$178*Funding!$F$76/Inputs!$F$179)*K7</f>
        <v/>
      </c>
      <c r="L11" s="11">
        <f>(Inputs!$F$174*Funding!$F$76/Inputs!$F$175+Inputs!$F$176*Funding!$F$76/Inputs!$F$177+Inputs!$F$178*Funding!$F$76/Inputs!$F$179)*L7</f>
        <v/>
      </c>
      <c r="M11" s="11">
        <f>(Inputs!$F$174*Funding!$F$76/Inputs!$F$175+Inputs!$F$176*Funding!$F$76/Inputs!$F$177+Inputs!$F$178*Funding!$F$76/Inputs!$F$179)*M7</f>
        <v/>
      </c>
      <c r="N11" s="11">
        <f>(Inputs!$F$174*Funding!$F$76/Inputs!$F$175+Inputs!$F$176*Funding!$F$76/Inputs!$F$177+Inputs!$F$178*Funding!$F$76/Inputs!$F$179)*N7</f>
        <v/>
      </c>
      <c r="O11" s="11">
        <f>(Inputs!$F$174*Funding!$F$76/Inputs!$F$175+Inputs!$F$176*Funding!$F$76/Inputs!$F$177+Inputs!$F$178*Funding!$F$76/Inputs!$F$179)*O7</f>
        <v/>
      </c>
      <c r="P11" s="11">
        <f>(Inputs!$F$174*Funding!$F$76/Inputs!$F$175+Inputs!$F$176*Funding!$F$76/Inputs!$F$177+Inputs!$F$178*Funding!$F$76/Inputs!$F$179)*P7</f>
        <v/>
      </c>
      <c r="Q11" s="11">
        <f>(Inputs!$F$174*Funding!$F$76/Inputs!$F$175+Inputs!$F$176*Funding!$F$76/Inputs!$F$177+Inputs!$F$178*Funding!$F$76/Inputs!$F$179)*Q7</f>
        <v/>
      </c>
      <c r="R11" s="11">
        <f>(Inputs!$F$174*Funding!$F$76/Inputs!$F$175+Inputs!$F$176*Funding!$F$76/Inputs!$F$177+Inputs!$F$178*Funding!$F$76/Inputs!$F$179)*R7</f>
        <v/>
      </c>
      <c r="S11" s="11">
        <f>(Inputs!$F$174*Funding!$F$76/Inputs!$F$175+Inputs!$F$176*Funding!$F$76/Inputs!$F$177+Inputs!$F$178*Funding!$F$76/Inputs!$F$179)*S7</f>
        <v/>
      </c>
      <c r="T11" s="11">
        <f>(Inputs!$F$174*Funding!$F$76/Inputs!$F$175+Inputs!$F$176*Funding!$F$76/Inputs!$F$177+Inputs!$F$178*Funding!$F$76/Inputs!$F$179)*T7</f>
        <v/>
      </c>
      <c r="U11" s="11">
        <f>(Inputs!$F$174*Funding!$F$76/Inputs!$F$175+Inputs!$F$176*Funding!$F$76/Inputs!$F$177+Inputs!$F$178*Funding!$F$76/Inputs!$F$179)*U7</f>
        <v/>
      </c>
      <c r="V11" s="11">
        <f>(Inputs!$F$174*Funding!$F$76/Inputs!$F$175+Inputs!$F$176*Funding!$F$76/Inputs!$F$177+Inputs!$F$178*Funding!$F$76/Inputs!$F$179)*V7</f>
        <v/>
      </c>
      <c r="W11" s="11">
        <f>(Inputs!$F$174*Funding!$F$76/Inputs!$F$175+Inputs!$F$176*Funding!$F$76/Inputs!$F$177+Inputs!$F$178*Funding!$F$76/Inputs!$F$179)*W7</f>
        <v/>
      </c>
      <c r="X11" s="11">
        <f>(Inputs!$F$174*Funding!$F$76/Inputs!$F$175+Inputs!$F$176*Funding!$F$76/Inputs!$F$177+Inputs!$F$178*Funding!$F$76/Inputs!$F$179)*X7</f>
        <v/>
      </c>
      <c r="Y11" s="11">
        <f>(Inputs!$F$174*Funding!$F$76/Inputs!$F$175+Inputs!$F$176*Funding!$F$76/Inputs!$F$177+Inputs!$F$178*Funding!$F$76/Inputs!$F$179)*Y7</f>
        <v/>
      </c>
      <c r="Z11" s="11">
        <f>(Inputs!$F$174*Funding!$F$76/Inputs!$F$175+Inputs!$F$176*Funding!$F$76/Inputs!$F$177+Inputs!$F$178*Funding!$F$76/Inputs!$F$179)*Z7</f>
        <v/>
      </c>
      <c r="AA11" s="11">
        <f>(Inputs!$F$174*Funding!$F$76/Inputs!$F$175+Inputs!$F$176*Funding!$F$76/Inputs!$F$177+Inputs!$F$178*Funding!$F$76/Inputs!$F$179)*AA7</f>
        <v/>
      </c>
      <c r="AB11" s="11">
        <f>(Inputs!$F$174*Funding!$F$76/Inputs!$F$175+Inputs!$F$176*Funding!$F$76/Inputs!$F$177+Inputs!$F$178*Funding!$F$76/Inputs!$F$179)*AB7</f>
        <v/>
      </c>
      <c r="AC11" s="11">
        <f>(Inputs!$F$174*Funding!$F$76/Inputs!$F$175+Inputs!$F$176*Funding!$F$76/Inputs!$F$177+Inputs!$F$178*Funding!$F$76/Inputs!$F$179)*AC7</f>
        <v/>
      </c>
      <c r="AD11" s="11">
        <f>(Inputs!$F$174*Funding!$F$76/Inputs!$F$175+Inputs!$F$176*Funding!$F$76/Inputs!$F$177+Inputs!$F$178*Funding!$F$76/Inputs!$F$179)*AD7</f>
        <v/>
      </c>
      <c r="AE11" s="11">
        <f>(Inputs!$F$174*Funding!$F$76/Inputs!$F$175+Inputs!$F$176*Funding!$F$76/Inputs!$F$177+Inputs!$F$178*Funding!$F$76/Inputs!$F$179)*AE7</f>
        <v/>
      </c>
      <c r="AF11" s="11">
        <f>(Inputs!$F$174*Funding!$F$76/Inputs!$F$175+Inputs!$F$176*Funding!$F$76/Inputs!$F$177+Inputs!$F$178*Funding!$F$76/Inputs!$F$179)*AF7</f>
        <v/>
      </c>
      <c r="AG11" s="11">
        <f>(Inputs!$F$174*Funding!$F$76/Inputs!$F$175+Inputs!$F$176*Funding!$F$76/Inputs!$F$177+Inputs!$F$178*Funding!$F$76/Inputs!$F$179)*AG7</f>
        <v/>
      </c>
      <c r="AH11" s="11">
        <f>(Inputs!$F$174*Funding!$F$76/Inputs!$F$175+Inputs!$F$176*Funding!$F$76/Inputs!$F$177+Inputs!$F$178*Funding!$F$76/Inputs!$F$179)*AH7</f>
        <v/>
      </c>
      <c r="AI11" s="11">
        <f>(Inputs!$F$174*Funding!$F$76/Inputs!$F$175+Inputs!$F$176*Funding!$F$76/Inputs!$F$177+Inputs!$F$178*Funding!$F$76/Inputs!$F$179)*AI7</f>
        <v/>
      </c>
      <c r="AJ11" s="11">
        <f>(Inputs!$F$174*Funding!$F$76/Inputs!$F$175+Inputs!$F$176*Funding!$F$76/Inputs!$F$177+Inputs!$F$178*Funding!$F$76/Inputs!$F$179)*AJ7</f>
        <v/>
      </c>
      <c r="AK11" s="11">
        <f>(Inputs!$F$174*Funding!$F$76/Inputs!$F$175+Inputs!$F$176*Funding!$F$76/Inputs!$F$177+Inputs!$F$178*Funding!$F$76/Inputs!$F$179)*AK7</f>
        <v/>
      </c>
      <c r="AL11" s="11">
        <f>(Inputs!$F$174*Funding!$F$76/Inputs!$F$175+Inputs!$F$176*Funding!$F$76/Inputs!$F$177+Inputs!$F$178*Funding!$F$76/Inputs!$F$179)*AL7</f>
        <v/>
      </c>
      <c r="AM11" s="11">
        <f>(Inputs!$F$174*Funding!$F$76/Inputs!$F$175+Inputs!$F$176*Funding!$F$76/Inputs!$F$177+Inputs!$F$178*Funding!$F$76/Inputs!$F$179)*AM7</f>
        <v/>
      </c>
      <c r="AN11" s="11">
        <f>(Inputs!$F$174*Funding!$F$76/Inputs!$F$175+Inputs!$F$176*Funding!$F$76/Inputs!$F$177+Inputs!$F$178*Funding!$F$76/Inputs!$F$179)*AN7</f>
        <v/>
      </c>
      <c r="AO11" s="11">
        <f>(Inputs!$F$174*Funding!$F$76/Inputs!$F$175+Inputs!$F$176*Funding!$F$76/Inputs!$F$177+Inputs!$F$178*Funding!$F$76/Inputs!$F$179)*AO7</f>
        <v/>
      </c>
      <c r="AP11" s="11">
        <f>(Inputs!$F$174*Funding!$F$76/Inputs!$F$175+Inputs!$F$176*Funding!$F$76/Inputs!$F$177+Inputs!$F$178*Funding!$F$76/Inputs!$F$179)*AP7</f>
        <v/>
      </c>
      <c r="AQ11" s="11">
        <f>(Inputs!$F$174*Funding!$F$76/Inputs!$F$175+Inputs!$F$176*Funding!$F$76/Inputs!$F$177+Inputs!$F$178*Funding!$F$76/Inputs!$F$179)*AQ7</f>
        <v/>
      </c>
      <c r="AR11" s="11">
        <f>(Inputs!$F$174*Funding!$F$76/Inputs!$F$175+Inputs!$F$176*Funding!$F$76/Inputs!$F$177+Inputs!$F$178*Funding!$F$76/Inputs!$F$179)*AR7</f>
        <v/>
      </c>
      <c r="AS11" s="11">
        <f>(Inputs!$F$174*Funding!$F$76/Inputs!$F$175+Inputs!$F$176*Funding!$F$76/Inputs!$F$177+Inputs!$F$178*Funding!$F$76/Inputs!$F$179)*AS7</f>
        <v/>
      </c>
      <c r="AT11" s="11">
        <f>(Inputs!$F$174*Funding!$F$76/Inputs!$F$175+Inputs!$F$176*Funding!$F$76/Inputs!$F$177+Inputs!$F$178*Funding!$F$76/Inputs!$F$179)*AT7</f>
        <v/>
      </c>
      <c r="AU11" s="11">
        <f>(Inputs!$F$174*Funding!$F$76/Inputs!$F$175+Inputs!$F$176*Funding!$F$76/Inputs!$F$177+Inputs!$F$178*Funding!$F$76/Inputs!$F$179)*AU7</f>
        <v/>
      </c>
      <c r="AV11" s="11">
        <f>(Inputs!$F$174*Funding!$F$76/Inputs!$F$175+Inputs!$F$176*Funding!$F$76/Inputs!$F$177+Inputs!$F$178*Funding!$F$76/Inputs!$F$179)*AV7</f>
        <v/>
      </c>
      <c r="AW11" s="11">
        <f>(Inputs!$F$174*Funding!$F$76/Inputs!$F$175+Inputs!$F$176*Funding!$F$76/Inputs!$F$177+Inputs!$F$178*Funding!$F$76/Inputs!$F$179)*AW7</f>
        <v/>
      </c>
      <c r="AX11" s="11">
        <f>(Inputs!$F$174*Funding!$F$76/Inputs!$F$175+Inputs!$F$176*Funding!$F$76/Inputs!$F$177+Inputs!$F$178*Funding!$F$76/Inputs!$F$179)*AX7</f>
        <v/>
      </c>
      <c r="AY11" s="11">
        <f>(Inputs!$F$174*Funding!$F$76/Inputs!$F$175+Inputs!$F$176*Funding!$F$76/Inputs!$F$177+Inputs!$F$178*Funding!$F$76/Inputs!$F$179)*AY7</f>
        <v/>
      </c>
      <c r="AZ11" s="11">
        <f>(Inputs!$F$174*Funding!$F$76/Inputs!$F$175+Inputs!$F$176*Funding!$F$76/Inputs!$F$177+Inputs!$F$178*Funding!$F$76/Inputs!$F$179)*AZ7</f>
        <v/>
      </c>
      <c r="BA11" s="11">
        <f>(Inputs!$F$174*Funding!$F$76/Inputs!$F$175+Inputs!$F$176*Funding!$F$76/Inputs!$F$177+Inputs!$F$178*Funding!$F$76/Inputs!$F$179)*BA7</f>
        <v/>
      </c>
      <c r="BB11" s="11">
        <f>(Inputs!$F$174*Funding!$F$76/Inputs!$F$175+Inputs!$F$176*Funding!$F$76/Inputs!$F$177+Inputs!$F$178*Funding!$F$76/Inputs!$F$179)*BB7</f>
        <v/>
      </c>
      <c r="BC11" s="11">
        <f>(Inputs!$F$174*Funding!$F$76/Inputs!$F$175+Inputs!$F$176*Funding!$F$76/Inputs!$F$177+Inputs!$F$178*Funding!$F$76/Inputs!$F$179)*BC7</f>
        <v/>
      </c>
      <c r="BD11" s="11">
        <f>(Inputs!$F$174*Funding!$F$76/Inputs!$F$175+Inputs!$F$176*Funding!$F$76/Inputs!$F$177+Inputs!$F$178*Funding!$F$76/Inputs!$F$179)*BD7</f>
        <v/>
      </c>
      <c r="BE11" s="11">
        <f>(Inputs!$F$174*Funding!$F$76/Inputs!$F$175+Inputs!$F$176*Funding!$F$76/Inputs!$F$177+Inputs!$F$178*Funding!$F$76/Inputs!$F$179)*BE7</f>
        <v/>
      </c>
      <c r="BF11" s="11">
        <f>(Inputs!$F$174*Funding!$F$76/Inputs!$F$175+Inputs!$F$176*Funding!$F$76/Inputs!$F$177+Inputs!$F$178*Funding!$F$76/Inputs!$F$179)*BF7</f>
        <v/>
      </c>
      <c r="BG11" s="11">
        <f>(Inputs!$F$174*Funding!$F$76/Inputs!$F$175+Inputs!$F$176*Funding!$F$76/Inputs!$F$177+Inputs!$F$178*Funding!$F$76/Inputs!$F$179)*BG7</f>
        <v/>
      </c>
      <c r="BH11" s="11">
        <f>(Inputs!$F$174*Funding!$F$76/Inputs!$F$175+Inputs!$F$176*Funding!$F$76/Inputs!$F$177+Inputs!$F$178*Funding!$F$76/Inputs!$F$179)*BH7</f>
        <v/>
      </c>
      <c r="BI11" s="11">
        <f>(Inputs!$F$174*Funding!$F$76/Inputs!$F$175+Inputs!$F$176*Funding!$F$76/Inputs!$F$177+Inputs!$F$178*Funding!$F$76/Inputs!$F$179)*BI7</f>
        <v/>
      </c>
      <c r="BJ11" s="11">
        <f>(Inputs!$F$174*Funding!$F$76/Inputs!$F$175+Inputs!$F$176*Funding!$F$76/Inputs!$F$177+Inputs!$F$178*Funding!$F$76/Inputs!$F$179)*BJ7</f>
        <v/>
      </c>
      <c r="BK11" s="11">
        <f>(Inputs!$F$174*Funding!$F$76/Inputs!$F$175+Inputs!$F$176*Funding!$F$76/Inputs!$F$177+Inputs!$F$178*Funding!$F$76/Inputs!$F$179)*BK7</f>
        <v/>
      </c>
      <c r="BL11" s="11">
        <f>(Inputs!$F$174*Funding!$F$76/Inputs!$F$175+Inputs!$F$176*Funding!$F$76/Inputs!$F$177+Inputs!$F$178*Funding!$F$76/Inputs!$F$179)*BL7</f>
        <v/>
      </c>
      <c r="BM11" s="11">
        <f>(Inputs!$F$174*Funding!$F$76/Inputs!$F$175+Inputs!$F$176*Funding!$F$76/Inputs!$F$177+Inputs!$F$178*Funding!$F$76/Inputs!$F$179)*BM7</f>
        <v/>
      </c>
      <c r="BN11" s="11">
        <f>(Inputs!$F$174*Funding!$F$76/Inputs!$F$175+Inputs!$F$176*Funding!$F$76/Inputs!$F$177+Inputs!$F$178*Funding!$F$76/Inputs!$F$179)*BN7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Funding!$F$8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Inputs!$F$49*IF(Time!J17=15,1,0)</f>
        <v/>
      </c>
      <c r="K20" s="9">
        <f>Inputs!$F$49*IF(Time!K17=15,1,0)</f>
        <v/>
      </c>
      <c r="L20" s="9">
        <f>Inputs!$F$49*IF(Time!L17=15,1,0)</f>
        <v/>
      </c>
      <c r="M20" s="9">
        <f>Inputs!$F$49*IF(Time!M17=15,1,0)</f>
        <v/>
      </c>
      <c r="N20" s="9">
        <f>Inputs!$F$49*IF(Time!N17=15,1,0)</f>
        <v/>
      </c>
      <c r="O20" s="9">
        <f>Inputs!$F$49*IF(Time!O17=15,1,0)</f>
        <v/>
      </c>
      <c r="P20" s="9">
        <f>Inputs!$F$49*IF(Time!P17=15,1,0)</f>
        <v/>
      </c>
      <c r="Q20" s="9">
        <f>Inputs!$F$49*IF(Time!Q17=15,1,0)</f>
        <v/>
      </c>
      <c r="R20" s="9">
        <f>Inputs!$F$49*IF(Time!R17=15,1,0)</f>
        <v/>
      </c>
      <c r="S20" s="9">
        <f>Inputs!$F$49*IF(Time!S17=15,1,0)</f>
        <v/>
      </c>
      <c r="T20" s="9">
        <f>Inputs!$F$49*IF(Time!T17=15,1,0)</f>
        <v/>
      </c>
      <c r="U20" s="9">
        <f>Inputs!$F$49*IF(Time!U17=15,1,0)</f>
        <v/>
      </c>
      <c r="V20" s="9">
        <f>Inputs!$F$49*IF(Time!V17=15,1,0)</f>
        <v/>
      </c>
      <c r="W20" s="9">
        <f>Inputs!$F$49*IF(Time!W17=15,1,0)</f>
        <v/>
      </c>
      <c r="X20" s="9">
        <f>Inputs!$F$49*IF(Time!X17=15,1,0)</f>
        <v/>
      </c>
      <c r="Y20" s="9">
        <f>Inputs!$F$49*IF(Time!Y17=15,1,0)</f>
        <v/>
      </c>
      <c r="Z20" s="9">
        <f>Inputs!$F$49*IF(Time!Z17=15,1,0)</f>
        <v/>
      </c>
      <c r="AA20" s="9">
        <f>Inputs!$F$49*IF(Time!AA17=15,1,0)</f>
        <v/>
      </c>
      <c r="AB20" s="9">
        <f>Inputs!$F$49*IF(Time!AB17=15,1,0)</f>
        <v/>
      </c>
      <c r="AC20" s="9">
        <f>Inputs!$F$49*IF(Time!AC17=15,1,0)</f>
        <v/>
      </c>
      <c r="AD20" s="9">
        <f>Inputs!$F$49*IF(Time!AD17=15,1,0)</f>
        <v/>
      </c>
      <c r="AE20" s="9">
        <f>Inputs!$F$49*IF(Time!AE17=15,1,0)</f>
        <v/>
      </c>
      <c r="AF20" s="9">
        <f>Inputs!$F$49*IF(Time!AF17=15,1,0)</f>
        <v/>
      </c>
      <c r="AG20" s="9">
        <f>Inputs!$F$49*IF(Time!AG17=15,1,0)</f>
        <v/>
      </c>
      <c r="AH20" s="9">
        <f>Inputs!$F$49*IF(Time!AH17=15,1,0)</f>
        <v/>
      </c>
      <c r="AI20" s="9">
        <f>Inputs!$F$49*IF(Time!AI17=15,1,0)</f>
        <v/>
      </c>
      <c r="AJ20" s="9">
        <f>Inputs!$F$49*IF(Time!AJ17=15,1,0)</f>
        <v/>
      </c>
      <c r="AK20" s="9">
        <f>Inputs!$F$49*IF(Time!AK17=15,1,0)</f>
        <v/>
      </c>
      <c r="AL20" s="9">
        <f>Inputs!$F$49*IF(Time!AL17=15,1,0)</f>
        <v/>
      </c>
      <c r="AM20" s="9">
        <f>Inputs!$F$49*IF(Time!AM17=15,1,0)</f>
        <v/>
      </c>
      <c r="AN20" s="9">
        <f>Inputs!$F$49*IF(Time!AN17=15,1,0)</f>
        <v/>
      </c>
      <c r="AO20" s="9">
        <f>Inputs!$F$49*IF(Time!AO17=15,1,0)</f>
        <v/>
      </c>
      <c r="AP20" s="9">
        <f>Inputs!$F$49*IF(Time!AP17=15,1,0)</f>
        <v/>
      </c>
      <c r="AQ20" s="9">
        <f>Inputs!$F$49*IF(Time!AQ17=15,1,0)</f>
        <v/>
      </c>
      <c r="AR20" s="9">
        <f>Inputs!$F$49*IF(Time!AR17=15,1,0)</f>
        <v/>
      </c>
      <c r="AS20" s="9">
        <f>Inputs!$F$49*IF(Time!AS17=15,1,0)</f>
        <v/>
      </c>
      <c r="AT20" s="9">
        <f>Inputs!$F$49*IF(Time!AT17=15,1,0)</f>
        <v/>
      </c>
      <c r="AU20" s="9">
        <f>Inputs!$F$49*IF(Time!AU17=15,1,0)</f>
        <v/>
      </c>
      <c r="AV20" s="9">
        <f>Inputs!$F$49*IF(Time!AV17=15,1,0)</f>
        <v/>
      </c>
      <c r="AW20" s="9">
        <f>Inputs!$F$49*IF(Time!AW17=15,1,0)</f>
        <v/>
      </c>
      <c r="AX20" s="9">
        <f>Inputs!$F$49*IF(Time!AX17=15,1,0)</f>
        <v/>
      </c>
      <c r="AY20" s="9">
        <f>Inputs!$F$49*IF(Time!AY17=15,1,0)</f>
        <v/>
      </c>
      <c r="AZ20" s="9">
        <f>Inputs!$F$49*IF(Time!AZ17=15,1,0)</f>
        <v/>
      </c>
      <c r="BA20" s="9">
        <f>Inputs!$F$49*IF(Time!BA17=15,1,0)</f>
        <v/>
      </c>
      <c r="BB20" s="9">
        <f>Inputs!$F$49*IF(Time!BB17=15,1,0)</f>
        <v/>
      </c>
      <c r="BC20" s="9">
        <f>Inputs!$F$49*IF(Time!BC17=15,1,0)</f>
        <v/>
      </c>
      <c r="BD20" s="9">
        <f>Inputs!$F$49*IF(Time!BD17=15,1,0)</f>
        <v/>
      </c>
      <c r="BE20" s="9">
        <f>Inputs!$F$49*IF(Time!BE17=15,1,0)</f>
        <v/>
      </c>
      <c r="BF20" s="9">
        <f>Inputs!$F$49*IF(Time!BF17=15,1,0)</f>
        <v/>
      </c>
      <c r="BG20" s="9">
        <f>Inputs!$F$49*IF(Time!BG17=15,1,0)</f>
        <v/>
      </c>
      <c r="BH20" s="9">
        <f>Inputs!$F$49*IF(Time!BH17=15,1,0)</f>
        <v/>
      </c>
      <c r="BI20" s="9">
        <f>Inputs!$F$49*IF(Time!BI17=15,1,0)</f>
        <v/>
      </c>
      <c r="BJ20" s="9">
        <f>Inputs!$F$49*IF(Time!BJ17=15,1,0)</f>
        <v/>
      </c>
      <c r="BK20" s="9">
        <f>Inputs!$F$49*IF(Time!BK17=15,1,0)</f>
        <v/>
      </c>
      <c r="BL20" s="9">
        <f>Inputs!$F$49*IF(Time!BL17=15,1,0)</f>
        <v/>
      </c>
      <c r="BM20" s="9">
        <f>Inputs!$F$49*IF(Time!BM17=15,1,0)</f>
        <v/>
      </c>
      <c r="BN20" s="9">
        <f>Inputs!$F$49*IF(Time!BN17=15,1,0)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SUM(Debt!$J$29:$BN$29)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J22*MIN($F$30/4,J26)</f>
        <v/>
      </c>
      <c r="K31" s="11">
        <f>K22*MIN($F$30/4,K26)</f>
        <v/>
      </c>
      <c r="L31" s="11">
        <f>L22*MIN($F$30/4,L26)</f>
        <v/>
      </c>
      <c r="M31" s="11">
        <f>M22*MIN($F$30/4,M26)</f>
        <v/>
      </c>
      <c r="N31" s="11">
        <f>N22*MIN($F$30/4,N26)</f>
        <v/>
      </c>
      <c r="O31" s="11">
        <f>O22*MIN($F$30/4,O26)</f>
        <v/>
      </c>
      <c r="P31" s="11">
        <f>P22*MIN($F$30/4,P26)</f>
        <v/>
      </c>
      <c r="Q31" s="11">
        <f>Q22*MIN($F$30/4,Q26)</f>
        <v/>
      </c>
      <c r="R31" s="11">
        <f>R22*MIN($F$30/4,R26)</f>
        <v/>
      </c>
      <c r="S31" s="11">
        <f>S22*MIN($F$30/4,S26)</f>
        <v/>
      </c>
      <c r="T31" s="11">
        <f>T22*MIN($F$30/4,T26)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Y22*MIN($F$30/4,Y26)</f>
        <v/>
      </c>
      <c r="Z31" s="11">
        <f>Z22*MIN($F$30/4,Z26)</f>
        <v/>
      </c>
      <c r="AA31" s="11">
        <f>AA22*MIN($F$30/4,AA26)</f>
        <v/>
      </c>
      <c r="AB31" s="11">
        <f>AB22*MIN($F$30/4,AB26)</f>
        <v/>
      </c>
      <c r="AC31" s="11">
        <f>AC22*MIN($F$30/4,AC26)</f>
        <v/>
      </c>
      <c r="AD31" s="11">
        <f>AD22*MIN($F$30/4,AD26)</f>
        <v/>
      </c>
      <c r="AE31" s="11">
        <f>AE22*MIN($F$30/4,AE26)</f>
        <v/>
      </c>
      <c r="AF31" s="11">
        <f>AF22*MIN($F$30/4,AF26)</f>
        <v/>
      </c>
      <c r="AG31" s="11">
        <f>AG22*MIN($F$30/4,AG26)</f>
        <v/>
      </c>
      <c r="AH31" s="11">
        <f>AH22*MIN($F$30/4,AH26)</f>
        <v/>
      </c>
      <c r="AI31" s="11">
        <f>AI22*MIN($F$30/4,AI26)</f>
        <v/>
      </c>
      <c r="AJ31" s="11">
        <f>AJ22*MIN($F$30/4,AJ26)</f>
        <v/>
      </c>
      <c r="AK31" s="11">
        <f>AK22*MIN($F$30/4,AK26)</f>
        <v/>
      </c>
      <c r="AL31" s="11">
        <f>AL22*MIN($F$30/4,AL26)</f>
        <v/>
      </c>
      <c r="AM31" s="11">
        <f>AM22*MIN($F$30/4,AM26)</f>
        <v/>
      </c>
      <c r="AN31" s="11">
        <f>AN22*MIN($F$30/4,AN26)</f>
        <v/>
      </c>
      <c r="AO31" s="11">
        <f>AO22*MIN($F$30/4,AO26)</f>
        <v/>
      </c>
      <c r="AP31" s="11">
        <f>AP22*MIN($F$30/4,AP26)</f>
        <v/>
      </c>
      <c r="AQ31" s="11">
        <f>AQ22*MIN($F$30/4,AQ26)</f>
        <v/>
      </c>
      <c r="AR31" s="11">
        <f>AR22*MIN($F$30/4,AR26)</f>
        <v/>
      </c>
      <c r="AS31" s="11">
        <f>AS22*MIN($F$30/4,AS26)</f>
        <v/>
      </c>
      <c r="AT31" s="11">
        <f>AT22*MIN($F$30/4,AT26)</f>
        <v/>
      </c>
      <c r="AU31" s="11">
        <f>AU22*MIN($F$30/4,AU26)</f>
        <v/>
      </c>
      <c r="AV31" s="11">
        <f>AV22*MIN($F$30/4,AV26)</f>
        <v/>
      </c>
      <c r="AW31" s="11">
        <f>AW22*MIN($F$30/4,AW26)</f>
        <v/>
      </c>
      <c r="AX31" s="11">
        <f>AX22*MIN($F$30/4,AX26)</f>
        <v/>
      </c>
      <c r="AY31" s="11">
        <f>AY22*MIN($F$30/4,AY26)</f>
        <v/>
      </c>
      <c r="AZ31" s="11">
        <f>AZ22*MIN($F$30/4,AZ26)</f>
        <v/>
      </c>
      <c r="BA31" s="11">
        <f>BA22*MIN($F$30/4,BA26)</f>
        <v/>
      </c>
      <c r="BB31" s="11">
        <f>BB22*MIN($F$30/4,BB26)</f>
        <v/>
      </c>
      <c r="BC31" s="11">
        <f>BC22*MIN($F$30/4,BC26)</f>
        <v/>
      </c>
      <c r="BD31" s="11">
        <f>BD22*MIN($F$30/4,BD26)</f>
        <v/>
      </c>
      <c r="BE31" s="11">
        <f>BE22*MIN($F$30/4,BE26)</f>
        <v/>
      </c>
      <c r="BF31" s="11">
        <f>BF22*MIN($F$30/4,BF26)</f>
        <v/>
      </c>
      <c r="BG31" s="11">
        <f>BG22*MIN($F$30/4,BG26)</f>
        <v/>
      </c>
      <c r="BH31" s="11">
        <f>BH22*MIN($F$30/4,BH26)</f>
        <v/>
      </c>
      <c r="BI31" s="11">
        <f>BI22*MIN($F$30/4,BI26)</f>
        <v/>
      </c>
      <c r="BJ31" s="11">
        <f>BJ22*MIN($F$30/4,BJ26)</f>
        <v/>
      </c>
      <c r="BK31" s="11">
        <f>BK22*MIN($F$30/4,BK26)</f>
        <v/>
      </c>
      <c r="BL31" s="11">
        <f>BL22*MIN($F$30/4,BL26)</f>
        <v/>
      </c>
      <c r="BM31" s="11">
        <f>BM22*MIN($F$30/4,BM26)</f>
        <v/>
      </c>
      <c r="BN31" s="11">
        <f>BN22*MIN($F$30/4,BN26)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SUM(Debt!$J$44:$BN$44)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J22*MIN($F$45/4,J41)</f>
        <v/>
      </c>
      <c r="K46" s="11">
        <f>K22*MIN($F$45/4,K41)</f>
        <v/>
      </c>
      <c r="L46" s="11">
        <f>L22*MIN($F$45/4,L41)</f>
        <v/>
      </c>
      <c r="M46" s="11">
        <f>M22*MIN($F$45/4,M41)</f>
        <v/>
      </c>
      <c r="N46" s="11">
        <f>N22*MIN($F$45/4,N41)</f>
        <v/>
      </c>
      <c r="O46" s="11">
        <f>O22*MIN($F$45/4,O41)</f>
        <v/>
      </c>
      <c r="P46" s="11">
        <f>P22*MIN($F$45/4,P41)</f>
        <v/>
      </c>
      <c r="Q46" s="11">
        <f>Q22*MIN($F$45/4,Q41)</f>
        <v/>
      </c>
      <c r="R46" s="11">
        <f>R22*MIN($F$45/4,R41)</f>
        <v/>
      </c>
      <c r="S46" s="11">
        <f>S22*MIN($F$45/4,S41)</f>
        <v/>
      </c>
      <c r="T46" s="11">
        <f>T22*MIN($F$45/4,T41)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Y22*MIN($F$45/4,Y41)</f>
        <v/>
      </c>
      <c r="Z46" s="11">
        <f>Z22*MIN($F$45/4,Z41)</f>
        <v/>
      </c>
      <c r="AA46" s="11">
        <f>AA22*MIN($F$45/4,AA41)</f>
        <v/>
      </c>
      <c r="AB46" s="11">
        <f>AB22*MIN($F$45/4,AB41)</f>
        <v/>
      </c>
      <c r="AC46" s="11">
        <f>AC22*MIN($F$45/4,AC41)</f>
        <v/>
      </c>
      <c r="AD46" s="11">
        <f>AD22*MIN($F$45/4,AD41)</f>
        <v/>
      </c>
      <c r="AE46" s="11">
        <f>AE22*MIN($F$45/4,AE41)</f>
        <v/>
      </c>
      <c r="AF46" s="11">
        <f>AF22*MIN($F$45/4,AF41)</f>
        <v/>
      </c>
      <c r="AG46" s="11">
        <f>AG22*MIN($F$45/4,AG41)</f>
        <v/>
      </c>
      <c r="AH46" s="11">
        <f>AH22*MIN($F$45/4,AH41)</f>
        <v/>
      </c>
      <c r="AI46" s="11">
        <f>AI22*MIN($F$45/4,AI41)</f>
        <v/>
      </c>
      <c r="AJ46" s="11">
        <f>AJ22*MIN($F$45/4,AJ41)</f>
        <v/>
      </c>
      <c r="AK46" s="11">
        <f>AK22*MIN($F$45/4,AK41)</f>
        <v/>
      </c>
      <c r="AL46" s="11">
        <f>AL22*MIN($F$45/4,AL41)</f>
        <v/>
      </c>
      <c r="AM46" s="11">
        <f>AM22*MIN($F$45/4,AM41)</f>
        <v/>
      </c>
      <c r="AN46" s="11">
        <f>AN22*MIN($F$45/4,AN41)</f>
        <v/>
      </c>
      <c r="AO46" s="11">
        <f>AO22*MIN($F$45/4,AO41)</f>
        <v/>
      </c>
      <c r="AP46" s="11">
        <f>AP22*MIN($F$45/4,AP41)</f>
        <v/>
      </c>
      <c r="AQ46" s="11">
        <f>AQ22*MIN($F$45/4,AQ41)</f>
        <v/>
      </c>
      <c r="AR46" s="11">
        <f>AR22*MIN($F$45/4,AR41)</f>
        <v/>
      </c>
      <c r="AS46" s="11">
        <f>AS22*MIN($F$45/4,AS41)</f>
        <v/>
      </c>
      <c r="AT46" s="11">
        <f>AT22*MIN($F$45/4,AT41)</f>
        <v/>
      </c>
      <c r="AU46" s="11">
        <f>AU22*MIN($F$45/4,AU41)</f>
        <v/>
      </c>
      <c r="AV46" s="11">
        <f>AV22*MIN($F$45/4,AV41)</f>
        <v/>
      </c>
      <c r="AW46" s="11">
        <f>AW22*MIN($F$45/4,AW41)</f>
        <v/>
      </c>
      <c r="AX46" s="11">
        <f>AX22*MIN($F$45/4,AX41)</f>
        <v/>
      </c>
      <c r="AY46" s="11">
        <f>AY22*MIN($F$45/4,AY41)</f>
        <v/>
      </c>
      <c r="AZ46" s="11">
        <f>AZ22*MIN($F$45/4,AZ41)</f>
        <v/>
      </c>
      <c r="BA46" s="11">
        <f>BA22*MIN($F$45/4,BA41)</f>
        <v/>
      </c>
      <c r="BB46" s="11">
        <f>BB22*MIN($F$45/4,BB41)</f>
        <v/>
      </c>
      <c r="BC46" s="11">
        <f>BC22*MIN($F$45/4,BC41)</f>
        <v/>
      </c>
      <c r="BD46" s="11">
        <f>BD22*MIN($F$45/4,BD41)</f>
        <v/>
      </c>
      <c r="BE46" s="11">
        <f>BE22*MIN($F$45/4,BE41)</f>
        <v/>
      </c>
      <c r="BF46" s="11">
        <f>BF22*MIN($F$45/4,BF41)</f>
        <v/>
      </c>
      <c r="BG46" s="11">
        <f>BG22*MIN($F$45/4,BG41)</f>
        <v/>
      </c>
      <c r="BH46" s="11">
        <f>BH22*MIN($F$45/4,BH41)</f>
        <v/>
      </c>
      <c r="BI46" s="11">
        <f>BI22*MIN($F$45/4,BI41)</f>
        <v/>
      </c>
      <c r="BJ46" s="11">
        <f>BJ22*MIN($F$45/4,BJ41)</f>
        <v/>
      </c>
      <c r="BK46" s="11">
        <f>BK22*MIN($F$45/4,BK41)</f>
        <v/>
      </c>
      <c r="BL46" s="11">
        <f>BL22*MIN($F$45/4,BL41)</f>
        <v/>
      </c>
      <c r="BM46" s="11">
        <f>BM22*MIN($F$45/4,BM41)</f>
        <v/>
      </c>
      <c r="BN46" s="11">
        <f>BN22*MIN($F$45/4,BN41)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SUM(Debt!$J$59:$BN$59)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J22*MIN($F$60/4,J56)</f>
        <v/>
      </c>
      <c r="K61" s="11">
        <f>K22*MIN($F$60/4,K56)</f>
        <v/>
      </c>
      <c r="L61" s="11">
        <f>L22*MIN($F$60/4,L56)</f>
        <v/>
      </c>
      <c r="M61" s="11">
        <f>M22*MIN($F$60/4,M56)</f>
        <v/>
      </c>
      <c r="N61" s="11">
        <f>N22*MIN($F$60/4,N56)</f>
        <v/>
      </c>
      <c r="O61" s="11">
        <f>O22*MIN($F$60/4,O56)</f>
        <v/>
      </c>
      <c r="P61" s="11">
        <f>P22*MIN($F$60/4,P56)</f>
        <v/>
      </c>
      <c r="Q61" s="11">
        <f>Q22*MIN($F$60/4,Q56)</f>
        <v/>
      </c>
      <c r="R61" s="11">
        <f>R22*MIN($F$60/4,R56)</f>
        <v/>
      </c>
      <c r="S61" s="11">
        <f>S22*MIN($F$60/4,S56)</f>
        <v/>
      </c>
      <c r="T61" s="11">
        <f>T22*MIN($F$60/4,T56)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Y22*MIN($F$60/4,Y56)</f>
        <v/>
      </c>
      <c r="Z61" s="11">
        <f>Z22*MIN($F$60/4,Z56)</f>
        <v/>
      </c>
      <c r="AA61" s="11">
        <f>AA22*MIN($F$60/4,AA56)</f>
        <v/>
      </c>
      <c r="AB61" s="11">
        <f>AB22*MIN($F$60/4,AB56)</f>
        <v/>
      </c>
      <c r="AC61" s="11">
        <f>AC22*MIN($F$60/4,AC56)</f>
        <v/>
      </c>
      <c r="AD61" s="11">
        <f>AD22*MIN($F$60/4,AD56)</f>
        <v/>
      </c>
      <c r="AE61" s="11">
        <f>AE22*MIN($F$60/4,AE56)</f>
        <v/>
      </c>
      <c r="AF61" s="11">
        <f>AF22*MIN($F$60/4,AF56)</f>
        <v/>
      </c>
      <c r="AG61" s="11">
        <f>AG22*MIN($F$60/4,AG56)</f>
        <v/>
      </c>
      <c r="AH61" s="11">
        <f>AH22*MIN($F$60/4,AH56)</f>
        <v/>
      </c>
      <c r="AI61" s="11">
        <f>AI22*MIN($F$60/4,AI56)</f>
        <v/>
      </c>
      <c r="AJ61" s="11">
        <f>AJ22*MIN($F$60/4,AJ56)</f>
        <v/>
      </c>
      <c r="AK61" s="11">
        <f>AK22*MIN($F$60/4,AK56)</f>
        <v/>
      </c>
      <c r="AL61" s="11">
        <f>AL22*MIN($F$60/4,AL56)</f>
        <v/>
      </c>
      <c r="AM61" s="11">
        <f>AM22*MIN($F$60/4,AM56)</f>
        <v/>
      </c>
      <c r="AN61" s="11">
        <f>AN22*MIN($F$60/4,AN56)</f>
        <v/>
      </c>
      <c r="AO61" s="11">
        <f>AO22*MIN($F$60/4,AO56)</f>
        <v/>
      </c>
      <c r="AP61" s="11">
        <f>AP22*MIN($F$60/4,AP56)</f>
        <v/>
      </c>
      <c r="AQ61" s="11">
        <f>AQ22*MIN($F$60/4,AQ56)</f>
        <v/>
      </c>
      <c r="AR61" s="11">
        <f>AR22*MIN($F$60/4,AR56)</f>
        <v/>
      </c>
      <c r="AS61" s="11">
        <f>AS22*MIN($F$60/4,AS56)</f>
        <v/>
      </c>
      <c r="AT61" s="11">
        <f>AT22*MIN($F$60/4,AT56)</f>
        <v/>
      </c>
      <c r="AU61" s="11">
        <f>AU22*MIN($F$60/4,AU56)</f>
        <v/>
      </c>
      <c r="AV61" s="11">
        <f>AV22*MIN($F$60/4,AV56)</f>
        <v/>
      </c>
      <c r="AW61" s="11">
        <f>AW22*MIN($F$60/4,AW56)</f>
        <v/>
      </c>
      <c r="AX61" s="11">
        <f>AX22*MIN($F$60/4,AX56)</f>
        <v/>
      </c>
      <c r="AY61" s="11">
        <f>AY22*MIN($F$60/4,AY56)</f>
        <v/>
      </c>
      <c r="AZ61" s="11">
        <f>AZ22*MIN($F$60/4,AZ56)</f>
        <v/>
      </c>
      <c r="BA61" s="11">
        <f>BA22*MIN($F$60/4,BA56)</f>
        <v/>
      </c>
      <c r="BB61" s="11">
        <f>BB22*MIN($F$60/4,BB56)</f>
        <v/>
      </c>
      <c r="BC61" s="11">
        <f>BC22*MIN($F$60/4,BC56)</f>
        <v/>
      </c>
      <c r="BD61" s="11">
        <f>BD22*MIN($F$60/4,BD56)</f>
        <v/>
      </c>
      <c r="BE61" s="11">
        <f>BE22*MIN($F$60/4,BE56)</f>
        <v/>
      </c>
      <c r="BF61" s="11">
        <f>BF22*MIN($F$60/4,BF56)</f>
        <v/>
      </c>
      <c r="BG61" s="11">
        <f>BG22*MIN($F$60/4,BG56)</f>
        <v/>
      </c>
      <c r="BH61" s="11">
        <f>BH22*MIN($F$60/4,BH56)</f>
        <v/>
      </c>
      <c r="BI61" s="11">
        <f>BI22*MIN($F$60/4,BI56)</f>
        <v/>
      </c>
      <c r="BJ61" s="11">
        <f>BJ22*MIN($F$60/4,BJ56)</f>
        <v/>
      </c>
      <c r="BK61" s="11">
        <f>BK22*MIN($F$60/4,BK56)</f>
        <v/>
      </c>
      <c r="BL61" s="11">
        <f>BL22*MIN($F$60/4,BL56)</f>
        <v/>
      </c>
      <c r="BM61" s="11">
        <f>BM22*MIN($F$60/4,BM56)</f>
        <v/>
      </c>
      <c r="BN61" s="11">
        <f>BN22*MIN($F$60/4,BN56)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SUM(Debt!$J$74:$BN$74)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J22*MIN($F$75/4,J71)</f>
        <v/>
      </c>
      <c r="K76" s="11">
        <f>K22*MIN($F$75/4,K71)</f>
        <v/>
      </c>
      <c r="L76" s="11">
        <f>L22*MIN($F$75/4,L71)</f>
        <v/>
      </c>
      <c r="M76" s="11">
        <f>M22*MIN($F$75/4,M71)</f>
        <v/>
      </c>
      <c r="N76" s="11">
        <f>N22*MIN($F$75/4,N71)</f>
        <v/>
      </c>
      <c r="O76" s="11">
        <f>O22*MIN($F$75/4,O71)</f>
        <v/>
      </c>
      <c r="P76" s="11">
        <f>P22*MIN($F$75/4,P71)</f>
        <v/>
      </c>
      <c r="Q76" s="11">
        <f>Q22*MIN($F$75/4,Q71)</f>
        <v/>
      </c>
      <c r="R76" s="11">
        <f>R22*MIN($F$75/4,R71)</f>
        <v/>
      </c>
      <c r="S76" s="11">
        <f>S22*MIN($F$75/4,S71)</f>
        <v/>
      </c>
      <c r="T76" s="11">
        <f>T22*MIN($F$75/4,T71)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Y22*MIN($F$75/4,Y71)</f>
        <v/>
      </c>
      <c r="Z76" s="11">
        <f>Z22*MIN($F$75/4,Z71)</f>
        <v/>
      </c>
      <c r="AA76" s="11">
        <f>AA22*MIN($F$75/4,AA71)</f>
        <v/>
      </c>
      <c r="AB76" s="11">
        <f>AB22*MIN($F$75/4,AB71)</f>
        <v/>
      </c>
      <c r="AC76" s="11">
        <f>AC22*MIN($F$75/4,AC71)</f>
        <v/>
      </c>
      <c r="AD76" s="11">
        <f>AD22*MIN($F$75/4,AD71)</f>
        <v/>
      </c>
      <c r="AE76" s="11">
        <f>AE22*MIN($F$75/4,AE71)</f>
        <v/>
      </c>
      <c r="AF76" s="11">
        <f>AF22*MIN($F$75/4,AF71)</f>
        <v/>
      </c>
      <c r="AG76" s="11">
        <f>AG22*MIN($F$75/4,AG71)</f>
        <v/>
      </c>
      <c r="AH76" s="11">
        <f>AH22*MIN($F$75/4,AH71)</f>
        <v/>
      </c>
      <c r="AI76" s="11">
        <f>AI22*MIN($F$75/4,AI71)</f>
        <v/>
      </c>
      <c r="AJ76" s="11">
        <f>AJ22*MIN($F$75/4,AJ71)</f>
        <v/>
      </c>
      <c r="AK76" s="11">
        <f>AK22*MIN($F$75/4,AK71)</f>
        <v/>
      </c>
      <c r="AL76" s="11">
        <f>AL22*MIN($F$75/4,AL71)</f>
        <v/>
      </c>
      <c r="AM76" s="11">
        <f>AM22*MIN($F$75/4,AM71)</f>
        <v/>
      </c>
      <c r="AN76" s="11">
        <f>AN22*MIN($F$75/4,AN71)</f>
        <v/>
      </c>
      <c r="AO76" s="11">
        <f>AO22*MIN($F$75/4,AO71)</f>
        <v/>
      </c>
      <c r="AP76" s="11">
        <f>AP22*MIN($F$75/4,AP71)</f>
        <v/>
      </c>
      <c r="AQ76" s="11">
        <f>AQ22*MIN($F$75/4,AQ71)</f>
        <v/>
      </c>
      <c r="AR76" s="11">
        <f>AR22*MIN($F$75/4,AR71)</f>
        <v/>
      </c>
      <c r="AS76" s="11">
        <f>AS22*MIN($F$75/4,AS71)</f>
        <v/>
      </c>
      <c r="AT76" s="11">
        <f>AT22*MIN($F$75/4,AT71)</f>
        <v/>
      </c>
      <c r="AU76" s="11">
        <f>AU22*MIN($F$75/4,AU71)</f>
        <v/>
      </c>
      <c r="AV76" s="11">
        <f>AV22*MIN($F$75/4,AV71)</f>
        <v/>
      </c>
      <c r="AW76" s="11">
        <f>AW22*MIN($F$75/4,AW71)</f>
        <v/>
      </c>
      <c r="AX76" s="11">
        <f>AX22*MIN($F$75/4,AX71)</f>
        <v/>
      </c>
      <c r="AY76" s="11">
        <f>AY22*MIN($F$75/4,AY71)</f>
        <v/>
      </c>
      <c r="AZ76" s="11">
        <f>AZ22*MIN($F$75/4,AZ71)</f>
        <v/>
      </c>
      <c r="BA76" s="11">
        <f>BA22*MIN($F$75/4,BA71)</f>
        <v/>
      </c>
      <c r="BB76" s="11">
        <f>BB22*MIN($F$75/4,BB71)</f>
        <v/>
      </c>
      <c r="BC76" s="11">
        <f>BC22*MIN($F$75/4,BC71)</f>
        <v/>
      </c>
      <c r="BD76" s="11">
        <f>BD22*MIN($F$75/4,BD71)</f>
        <v/>
      </c>
      <c r="BE76" s="11">
        <f>BE22*MIN($F$75/4,BE71)</f>
        <v/>
      </c>
      <c r="BF76" s="11">
        <f>BF22*MIN($F$75/4,BF71)</f>
        <v/>
      </c>
      <c r="BG76" s="11">
        <f>BG22*MIN($F$75/4,BG71)</f>
        <v/>
      </c>
      <c r="BH76" s="11">
        <f>BH22*MIN($F$75/4,BH71)</f>
        <v/>
      </c>
      <c r="BI76" s="11">
        <f>BI22*MIN($F$75/4,BI71)</f>
        <v/>
      </c>
      <c r="BJ76" s="11">
        <f>BJ22*MIN($F$75/4,BJ71)</f>
        <v/>
      </c>
      <c r="BK76" s="11">
        <f>BK22*MIN($F$75/4,BK71)</f>
        <v/>
      </c>
      <c r="BL76" s="11">
        <f>BL22*MIN($F$75/4,BL71)</f>
        <v/>
      </c>
      <c r="BM76" s="11">
        <f>BM22*MIN($F$75/4,BM71)</f>
        <v/>
      </c>
      <c r="BN76" s="11">
        <f>BN22*MIN($F$75/4,BN71)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SUM(Debt!$J$89:$BN$89)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J22*MIN($F$90/4,J86)</f>
        <v/>
      </c>
      <c r="K91" s="11">
        <f>K22*MIN($F$90/4,K86)</f>
        <v/>
      </c>
      <c r="L91" s="11">
        <f>L22*MIN($F$90/4,L86)</f>
        <v/>
      </c>
      <c r="M91" s="11">
        <f>M22*MIN($F$90/4,M86)</f>
        <v/>
      </c>
      <c r="N91" s="11">
        <f>N22*MIN($F$90/4,N86)</f>
        <v/>
      </c>
      <c r="O91" s="11">
        <f>O22*MIN($F$90/4,O86)</f>
        <v/>
      </c>
      <c r="P91" s="11">
        <f>P22*MIN($F$90/4,P86)</f>
        <v/>
      </c>
      <c r="Q91" s="11">
        <f>Q22*MIN($F$90/4,Q86)</f>
        <v/>
      </c>
      <c r="R91" s="11">
        <f>R22*MIN($F$90/4,R86)</f>
        <v/>
      </c>
      <c r="S91" s="11">
        <f>S22*MIN($F$90/4,S86)</f>
        <v/>
      </c>
      <c r="T91" s="11">
        <f>T22*MIN($F$90/4,T86)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Y22*MIN($F$90/4,Y86)</f>
        <v/>
      </c>
      <c r="Z91" s="11">
        <f>Z22*MIN($F$90/4,Z86)</f>
        <v/>
      </c>
      <c r="AA91" s="11">
        <f>AA22*MIN($F$90/4,AA86)</f>
        <v/>
      </c>
      <c r="AB91" s="11">
        <f>AB22*MIN($F$90/4,AB86)</f>
        <v/>
      </c>
      <c r="AC91" s="11">
        <f>AC22*MIN($F$90/4,AC86)</f>
        <v/>
      </c>
      <c r="AD91" s="11">
        <f>AD22*MIN($F$90/4,AD86)</f>
        <v/>
      </c>
      <c r="AE91" s="11">
        <f>AE22*MIN($F$90/4,AE86)</f>
        <v/>
      </c>
      <c r="AF91" s="11">
        <f>AF22*MIN($F$90/4,AF86)</f>
        <v/>
      </c>
      <c r="AG91" s="11">
        <f>AG22*MIN($F$90/4,AG86)</f>
        <v/>
      </c>
      <c r="AH91" s="11">
        <f>AH22*MIN($F$90/4,AH86)</f>
        <v/>
      </c>
      <c r="AI91" s="11">
        <f>AI22*MIN($F$90/4,AI86)</f>
        <v/>
      </c>
      <c r="AJ91" s="11">
        <f>AJ22*MIN($F$90/4,AJ86)</f>
        <v/>
      </c>
      <c r="AK91" s="11">
        <f>AK22*MIN($F$90/4,AK86)</f>
        <v/>
      </c>
      <c r="AL91" s="11">
        <f>AL22*MIN($F$90/4,AL86)</f>
        <v/>
      </c>
      <c r="AM91" s="11">
        <f>AM22*MIN($F$90/4,AM86)</f>
        <v/>
      </c>
      <c r="AN91" s="11">
        <f>AN22*MIN($F$90/4,AN86)</f>
        <v/>
      </c>
      <c r="AO91" s="11">
        <f>AO22*MIN($F$90/4,AO86)</f>
        <v/>
      </c>
      <c r="AP91" s="11">
        <f>AP22*MIN($F$90/4,AP86)</f>
        <v/>
      </c>
      <c r="AQ91" s="11">
        <f>AQ22*MIN($F$90/4,AQ86)</f>
        <v/>
      </c>
      <c r="AR91" s="11">
        <f>AR22*MIN($F$90/4,AR86)</f>
        <v/>
      </c>
      <c r="AS91" s="11">
        <f>AS22*MIN($F$90/4,AS86)</f>
        <v/>
      </c>
      <c r="AT91" s="11">
        <f>AT22*MIN($F$90/4,AT86)</f>
        <v/>
      </c>
      <c r="AU91" s="11">
        <f>AU22*MIN($F$90/4,AU86)</f>
        <v/>
      </c>
      <c r="AV91" s="11">
        <f>AV22*MIN($F$90/4,AV86)</f>
        <v/>
      </c>
      <c r="AW91" s="11">
        <f>AW22*MIN($F$90/4,AW86)</f>
        <v/>
      </c>
      <c r="AX91" s="11">
        <f>AX22*MIN($F$90/4,AX86)</f>
        <v/>
      </c>
      <c r="AY91" s="11">
        <f>AY22*MIN($F$90/4,AY86)</f>
        <v/>
      </c>
      <c r="AZ91" s="11">
        <f>AZ22*MIN($F$90/4,AZ86)</f>
        <v/>
      </c>
      <c r="BA91" s="11">
        <f>BA22*MIN($F$90/4,BA86)</f>
        <v/>
      </c>
      <c r="BB91" s="11">
        <f>BB22*MIN($F$90/4,BB86)</f>
        <v/>
      </c>
      <c r="BC91" s="11">
        <f>BC22*MIN($F$90/4,BC86)</f>
        <v/>
      </c>
      <c r="BD91" s="11">
        <f>BD22*MIN($F$90/4,BD86)</f>
        <v/>
      </c>
      <c r="BE91" s="11">
        <f>BE22*MIN($F$90/4,BE86)</f>
        <v/>
      </c>
      <c r="BF91" s="11">
        <f>BF22*MIN($F$90/4,BF86)</f>
        <v/>
      </c>
      <c r="BG91" s="11">
        <f>BG22*MIN($F$90/4,BG86)</f>
        <v/>
      </c>
      <c r="BH91" s="11">
        <f>BH22*MIN($F$90/4,BH86)</f>
        <v/>
      </c>
      <c r="BI91" s="11">
        <f>BI22*MIN($F$90/4,BI86)</f>
        <v/>
      </c>
      <c r="BJ91" s="11">
        <f>BJ22*MIN($F$90/4,BJ86)</f>
        <v/>
      </c>
      <c r="BK91" s="11">
        <f>BK22*MIN($F$90/4,BK86)</f>
        <v/>
      </c>
      <c r="BL91" s="11">
        <f>BL22*MIN($F$90/4,BL86)</f>
        <v/>
      </c>
      <c r="BM91" s="11">
        <f>BM22*MIN($F$90/4,BM86)</f>
        <v/>
      </c>
      <c r="BN91" s="11">
        <f>BN22*MIN($F$90/4,BN86)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IF(J100&gt;0,MIN($F$109*Inputs!J221,J100),0)</f>
        <v/>
      </c>
      <c r="K102" s="11">
        <f>IF(K100&gt;0,MIN($F$109*Inputs!K221,K100),0)</f>
        <v/>
      </c>
      <c r="L102" s="11">
        <f>IF(L100&gt;0,MIN($F$109*Inputs!L221,L100),0)</f>
        <v/>
      </c>
      <c r="M102" s="11">
        <f>IF(M100&gt;0,MIN($F$109*Inputs!M221,M100),0)</f>
        <v/>
      </c>
      <c r="N102" s="11">
        <f>IF(N100&gt;0,MIN($F$109*Inputs!N221,N100),0)</f>
        <v/>
      </c>
      <c r="O102" s="11">
        <f>IF(O100&gt;0,MIN($F$109*Inputs!O221,O100),0)</f>
        <v/>
      </c>
      <c r="P102" s="11">
        <f>IF(P100&gt;0,MIN($F$109*Inputs!P221,P100),0)</f>
        <v/>
      </c>
      <c r="Q102" s="11">
        <f>IF(Q100&gt;0,MIN($F$109*Inputs!Q221,Q100),0)</f>
        <v/>
      </c>
      <c r="R102" s="11">
        <f>IF(R100&gt;0,MIN($F$109*Inputs!R221,R100),0)</f>
        <v/>
      </c>
      <c r="S102" s="11">
        <f>IF(S100&gt;0,MIN($F$109*Inputs!S221,S100),0)</f>
        <v/>
      </c>
      <c r="T102" s="11">
        <f>IF(T100&gt;0,MIN($F$109*Inputs!T221,T100),0)</f>
        <v/>
      </c>
      <c r="U102" s="11">
        <f>IF(U100&gt;0,MIN($F$109*Inputs!U221,U100),0)</f>
        <v/>
      </c>
      <c r="V102" s="11">
        <f>IF(V100&gt;0,MIN($F$109*Inputs!V221,V100),0)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J103+J20*$F$109</f>
        <v/>
      </c>
      <c r="K104" s="11">
        <f>K103+K20*$F$109</f>
        <v/>
      </c>
      <c r="L104" s="11">
        <f>L103+L20*$F$109</f>
        <v/>
      </c>
      <c r="M104" s="11">
        <f>M103+M20*$F$109</f>
        <v/>
      </c>
      <c r="N104" s="11">
        <f>N103+N20*$F$109</f>
        <v/>
      </c>
      <c r="O104" s="11">
        <f>O103+O20*$F$109</f>
        <v/>
      </c>
      <c r="P104" s="11">
        <f>P103+P20*$F$109</f>
        <v/>
      </c>
      <c r="Q104" s="11">
        <f>Q103+Q20*$F$109</f>
        <v/>
      </c>
      <c r="R104" s="11">
        <f>R103+R20*$F$109</f>
        <v/>
      </c>
      <c r="S104" s="11">
        <f>S103+S20*$F$109</f>
        <v/>
      </c>
      <c r="T104" s="11">
        <f>T103+T20*$F$109</f>
        <v/>
      </c>
      <c r="U104" s="11">
        <f>U103+U20*$F$109</f>
        <v/>
      </c>
      <c r="V104" s="11">
        <f>V103+V20*$F$109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IF(Time!J17&gt;15,(1+Inputs!$F$199/200)^-(Time!J17-15),0)</f>
        <v/>
      </c>
      <c r="K106" s="10">
        <f>IF(Time!K17&gt;15,(1+Inputs!$F$199/200)^-(Time!K17-15),0)</f>
        <v/>
      </c>
      <c r="L106" s="10">
        <f>IF(Time!L17&gt;15,(1+Inputs!$F$199/200)^-(Time!L17-15),0)</f>
        <v/>
      </c>
      <c r="M106" s="10">
        <f>IF(Time!M17&gt;15,(1+Inputs!$F$199/200)^-(Time!M17-15),0)</f>
        <v/>
      </c>
      <c r="N106" s="10">
        <f>IF(Time!N17&gt;15,(1+Inputs!$F$199/200)^-(Time!N17-15),0)</f>
        <v/>
      </c>
      <c r="O106" s="10">
        <f>IF(Time!O17&gt;15,(1+Inputs!$F$199/200)^-(Time!O17-15),0)</f>
        <v/>
      </c>
      <c r="P106" s="10">
        <f>IF(Time!P17&gt;15,(1+Inputs!$F$199/200)^-(Time!P17-15),0)</f>
        <v/>
      </c>
      <c r="Q106" s="10">
        <f>IF(Time!Q17&gt;15,(1+Inputs!$F$199/200)^-(Time!Q17-15),0)</f>
        <v/>
      </c>
      <c r="R106" s="10">
        <f>IF(Time!R17&gt;15,(1+Inputs!$F$199/200)^-(Time!R17-15),0)</f>
        <v/>
      </c>
      <c r="S106" s="10">
        <f>IF(Time!S17&gt;15,(1+Inputs!$F$199/200)^-(Time!S17-15),0)</f>
        <v/>
      </c>
      <c r="T106" s="10">
        <f>IF(Time!T17&gt;15,(1+Inputs!$F$199/200)^-(Time!T17-15),0)</f>
        <v/>
      </c>
      <c r="U106" s="10">
        <f>IF(Time!U17&gt;15,(1+Inputs!$F$199/200)^-(Time!U17-15),0)</f>
        <v/>
      </c>
      <c r="V106" s="10">
        <f>IF(Time!V17&gt;15,(1+Inputs!$F$199/200)^-(Time!V17-15),0)</f>
        <v/>
      </c>
      <c r="W106" s="10">
        <f>IF(Time!W17&gt;15,(1+Inputs!$F$199/200)^-(Time!W17-15),0)</f>
        <v/>
      </c>
      <c r="X106" s="10">
        <f>IF(Time!X17&gt;15,(1+Inputs!$F$199/200)^-(Time!X17-15),0)</f>
        <v/>
      </c>
      <c r="Y106" s="10">
        <f>IF(Time!Y17&gt;15,(1+Inputs!$F$199/200)^-(Time!Y17-15),0)</f>
        <v/>
      </c>
      <c r="Z106" s="10">
        <f>IF(Time!Z17&gt;15,(1+Inputs!$F$199/200)^-(Time!Z17-15),0)</f>
        <v/>
      </c>
      <c r="AA106" s="10">
        <f>IF(Time!AA17&gt;15,(1+Inputs!$F$199/200)^-(Time!AA17-15),0)</f>
        <v/>
      </c>
      <c r="AB106" s="10">
        <f>IF(Time!AB17&gt;15,(1+Inputs!$F$199/200)^-(Time!AB17-15),0)</f>
        <v/>
      </c>
      <c r="AC106" s="10">
        <f>IF(Time!AC17&gt;15,(1+Inputs!$F$199/200)^-(Time!AC17-15),0)</f>
        <v/>
      </c>
      <c r="AD106" s="10">
        <f>IF(Time!AD17&gt;15,(1+Inputs!$F$199/200)^-(Time!AD17-15),0)</f>
        <v/>
      </c>
      <c r="AE106" s="10">
        <f>IF(Time!AE17&gt;15,(1+Inputs!$F$199/200)^-(Time!AE17-15),0)</f>
        <v/>
      </c>
      <c r="AF106" s="10">
        <f>IF(Time!AF17&gt;15,(1+Inputs!$F$199/200)^-(Time!AF17-15),0)</f>
        <v/>
      </c>
      <c r="AG106" s="10">
        <f>IF(Time!AG17&gt;15,(1+Inputs!$F$199/200)^-(Time!AG17-15),0)</f>
        <v/>
      </c>
      <c r="AH106" s="10">
        <f>IF(Time!AH17&gt;15,(1+Inputs!$F$199/200)^-(Time!AH17-15),0)</f>
        <v/>
      </c>
      <c r="AI106" s="10">
        <f>IF(Time!AI17&gt;15,(1+Inputs!$F$199/200)^-(Time!AI17-15),0)</f>
        <v/>
      </c>
      <c r="AJ106" s="10">
        <f>IF(Time!AJ17&gt;15,(1+Inputs!$F$199/200)^-(Time!AJ17-15),0)</f>
        <v/>
      </c>
      <c r="AK106" s="10">
        <f>IF(Time!AK17&gt;15,(1+Inputs!$F$199/200)^-(Time!AK17-15),0)</f>
        <v/>
      </c>
      <c r="AL106" s="10">
        <f>IF(Time!AL17&gt;15,(1+Inputs!$F$199/200)^-(Time!AL17-15),0)</f>
        <v/>
      </c>
      <c r="AM106" s="10">
        <f>IF(Time!AM17&gt;15,(1+Inputs!$F$199/200)^-(Time!AM17-15),0)</f>
        <v/>
      </c>
      <c r="AN106" s="10">
        <f>IF(Time!AN17&gt;15,(1+Inputs!$F$199/200)^-(Time!AN17-15),0)</f>
        <v/>
      </c>
      <c r="AO106" s="10">
        <f>IF(Time!AO17&gt;15,(1+Inputs!$F$199/200)^-(Time!AO17-15),0)</f>
        <v/>
      </c>
      <c r="AP106" s="10">
        <f>IF(Time!AP17&gt;15,(1+Inputs!$F$199/200)^-(Time!AP17-15),0)</f>
        <v/>
      </c>
      <c r="AQ106" s="10">
        <f>IF(Time!AQ17&gt;15,(1+Inputs!$F$199/200)^-(Time!AQ17-15),0)</f>
        <v/>
      </c>
      <c r="AR106" s="10">
        <f>IF(Time!AR17&gt;15,(1+Inputs!$F$199/200)^-(Time!AR17-15),0)</f>
        <v/>
      </c>
      <c r="AS106" s="10">
        <f>IF(Time!AS17&gt;15,(1+Inputs!$F$199/200)^-(Time!AS17-15),0)</f>
        <v/>
      </c>
      <c r="AT106" s="10">
        <f>IF(Time!AT17&gt;15,(1+Inputs!$F$199/200)^-(Time!AT17-15),0)</f>
        <v/>
      </c>
      <c r="AU106" s="10">
        <f>IF(Time!AU17&gt;15,(1+Inputs!$F$199/200)^-(Time!AU17-15),0)</f>
        <v/>
      </c>
      <c r="AV106" s="10">
        <f>IF(Time!AV17&gt;15,(1+Inputs!$F$199/200)^-(Time!AV17-15),0)</f>
        <v/>
      </c>
      <c r="AW106" s="10">
        <f>IF(Time!AW17&gt;15,(1+Inputs!$F$199/200)^-(Time!AW17-15),0)</f>
        <v/>
      </c>
      <c r="AX106" s="10">
        <f>IF(Time!AX17&gt;15,(1+Inputs!$F$199/200)^-(Time!AX17-15),0)</f>
        <v/>
      </c>
      <c r="AY106" s="10">
        <f>IF(Time!AY17&gt;15,(1+Inputs!$F$199/200)^-(Time!AY17-15),0)</f>
        <v/>
      </c>
      <c r="AZ106" s="10">
        <f>IF(Time!AZ17&gt;15,(1+Inputs!$F$199/200)^-(Time!AZ17-15),0)</f>
        <v/>
      </c>
      <c r="BA106" s="10">
        <f>IF(Time!BA17&gt;15,(1+Inputs!$F$199/200)^-(Time!BA17-15),0)</f>
        <v/>
      </c>
      <c r="BB106" s="10">
        <f>IF(Time!BB17&gt;15,(1+Inputs!$F$199/200)^-(Time!BB17-15),0)</f>
        <v/>
      </c>
      <c r="BC106" s="10">
        <f>IF(Time!BC17&gt;15,(1+Inputs!$F$199/200)^-(Time!BC17-15),0)</f>
        <v/>
      </c>
      <c r="BD106" s="10">
        <f>IF(Time!BD17&gt;15,(1+Inputs!$F$199/200)^-(Time!BD17-15),0)</f>
        <v/>
      </c>
      <c r="BE106" s="10">
        <f>IF(Time!BE17&gt;15,(1+Inputs!$F$199/200)^-(Time!BE17-15),0)</f>
        <v/>
      </c>
      <c r="BF106" s="10">
        <f>IF(Time!BF17&gt;15,(1+Inputs!$F$199/200)^-(Time!BF17-15),0)</f>
        <v/>
      </c>
      <c r="BG106" s="10">
        <f>IF(Time!BG17&gt;15,(1+Inputs!$F$199/200)^-(Time!BG17-15),0)</f>
        <v/>
      </c>
      <c r="BH106" s="10">
        <f>IF(Time!BH17&gt;15,(1+Inputs!$F$199/200)^-(Time!BH17-15),0)</f>
        <v/>
      </c>
      <c r="BI106" s="10">
        <f>IF(Time!BI17&gt;15,(1+Inputs!$F$199/200)^-(Time!BI17-15),0)</f>
        <v/>
      </c>
      <c r="BJ106" s="10">
        <f>IF(Time!BJ17&gt;15,(1+Inputs!$F$199/200)^-(Time!BJ17-15),0)</f>
        <v/>
      </c>
      <c r="BK106" s="10">
        <f>IF(Time!BK17&gt;15,(1+Inputs!$F$199/200)^-(Time!BK17-15),0)</f>
        <v/>
      </c>
      <c r="BL106" s="10">
        <f>IF(Time!BL17&gt;15,(1+Inputs!$F$199/200)^-(Time!BL17-15),0)</f>
        <v/>
      </c>
      <c r="BM106" s="10">
        <f>IF(Time!BM17&gt;15,(1+Inputs!$F$199/200)^-(Time!BM17-15),0)</f>
        <v/>
      </c>
      <c r="BN106" s="10">
        <f>IF(Time!BN17&gt;15,(1+Inputs!$F$199/200)^-(Time!BN17-15),0)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SUM(Debt!$J$64:$BN$64)+SUM(Debt!$J$79:$BN$79)+SUM(Debt!$J$94:$BN$94)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J20*($F$109*(1-Inputs!$F$193)+Inputs!$F$194*$F$109+Inputs!$F$195+Inputs!$F$198/100*Inputs!$F$196)</f>
        <v/>
      </c>
      <c r="K111" s="11">
        <f>K20*($F$109*(1-Inputs!$F$193)+Inputs!$F$194*$F$109+Inputs!$F$195+Inputs!$F$198/100*Inputs!$F$196)</f>
        <v/>
      </c>
      <c r="L111" s="11">
        <f>L20*($F$109*(1-Inputs!$F$193)+Inputs!$F$194*$F$109+Inputs!$F$195+Inputs!$F$198/100*Inputs!$F$196)</f>
        <v/>
      </c>
      <c r="M111" s="11">
        <f>M20*($F$109*(1-Inputs!$F$193)+Inputs!$F$194*$F$109+Inputs!$F$195+Inputs!$F$198/100*Inputs!$F$196)</f>
        <v/>
      </c>
      <c r="N111" s="11">
        <f>N20*($F$109*(1-Inputs!$F$193)+Inputs!$F$194*$F$109+Inputs!$F$195+Inputs!$F$198/100*Inputs!$F$196)</f>
        <v/>
      </c>
      <c r="O111" s="11">
        <f>O20*($F$109*(1-Inputs!$F$193)+Inputs!$F$194*$F$109+Inputs!$F$195+Inputs!$F$198/100*Inputs!$F$196)</f>
        <v/>
      </c>
      <c r="P111" s="11">
        <f>P20*($F$109*(1-Inputs!$F$193)+Inputs!$F$194*$F$109+Inputs!$F$195+Inputs!$F$198/100*Inputs!$F$196)</f>
        <v/>
      </c>
      <c r="Q111" s="11">
        <f>Q20*($F$109*(1-Inputs!$F$193)+Inputs!$F$194*$F$109+Inputs!$F$195+Inputs!$F$198/100*Inputs!$F$196)</f>
        <v/>
      </c>
      <c r="R111" s="11">
        <f>R20*($F$109*(1-Inputs!$F$193)+Inputs!$F$194*$F$109+Inputs!$F$195+Inputs!$F$198/100*Inputs!$F$196)</f>
        <v/>
      </c>
      <c r="S111" s="11">
        <f>S20*($F$109*(1-Inputs!$F$193)+Inputs!$F$194*$F$109+Inputs!$F$195+Inputs!$F$198/100*Inputs!$F$196)</f>
        <v/>
      </c>
      <c r="T111" s="11">
        <f>T20*($F$109*(1-Inputs!$F$193)+Inputs!$F$194*$F$109+Inputs!$F$195+Inputs!$F$198/100*Inputs!$F$196)</f>
        <v/>
      </c>
      <c r="U111" s="11">
        <f>U20*($F$109*(1-Inputs!$F$193)+Inputs!$F$194*$F$109+Inputs!$F$195+Inputs!$F$198/100*Inputs!$F$196)</f>
        <v/>
      </c>
      <c r="V111" s="11">
        <f>V20*($F$109*(1-Inputs!$F$193)+Inputs!$F$194*$F$109+Inputs!$F$195+Inputs!$F$198/100*Inputs!$F$196)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IF(AND(Inputs!$F$49=1,Time!J17&gt;15),Inputs!$F$201,1)</f>
        <v/>
      </c>
      <c r="K113" s="11">
        <f>IF(AND(Inputs!$F$49=1,Time!K17&gt;15),Inputs!$F$201,1)</f>
        <v/>
      </c>
      <c r="L113" s="11">
        <f>IF(AND(Inputs!$F$49=1,Time!L17&gt;15),Inputs!$F$201,1)</f>
        <v/>
      </c>
      <c r="M113" s="11">
        <f>IF(AND(Inputs!$F$49=1,Time!M17&gt;15),Inputs!$F$201,1)</f>
        <v/>
      </c>
      <c r="N113" s="11">
        <f>IF(AND(Inputs!$F$49=1,Time!N17&gt;15),Inputs!$F$201,1)</f>
        <v/>
      </c>
      <c r="O113" s="11">
        <f>IF(AND(Inputs!$F$49=1,Time!O17&gt;15),Inputs!$F$201,1)</f>
        <v/>
      </c>
      <c r="P113" s="11">
        <f>IF(AND(Inputs!$F$49=1,Time!P17&gt;15),Inputs!$F$201,1)</f>
        <v/>
      </c>
      <c r="Q113" s="11">
        <f>IF(AND(Inputs!$F$49=1,Time!Q17&gt;15),Inputs!$F$201,1)</f>
        <v/>
      </c>
      <c r="R113" s="11">
        <f>IF(AND(Inputs!$F$49=1,Time!R17&gt;15),Inputs!$F$201,1)</f>
        <v/>
      </c>
      <c r="S113" s="11">
        <f>IF(AND(Inputs!$F$49=1,Time!S17&gt;15),Inputs!$F$201,1)</f>
        <v/>
      </c>
      <c r="T113" s="11">
        <f>IF(AND(Inputs!$F$49=1,Time!T17&gt;15),Inputs!$F$201,1)</f>
        <v/>
      </c>
      <c r="U113" s="11">
        <f>IF(AND(Inputs!$F$49=1,Time!U17&gt;15),Inputs!$F$201,1)</f>
        <v/>
      </c>
      <c r="V113" s="11">
        <f>IF(AND(Inputs!$F$49=1,Time!V17&gt;15),Inputs!$F$201,1)</f>
        <v/>
      </c>
      <c r="W113" s="11">
        <f>IF(AND(Inputs!$F$49=1,Time!W17&gt;15),Inputs!$F$201,1)</f>
        <v/>
      </c>
      <c r="X113" s="11">
        <f>IF(AND(Inputs!$F$49=1,Time!X17&gt;15),Inputs!$F$201,1)</f>
        <v/>
      </c>
      <c r="Y113" s="11">
        <f>IF(AND(Inputs!$F$49=1,Time!Y17&gt;15),Inputs!$F$201,1)</f>
        <v/>
      </c>
      <c r="Z113" s="11">
        <f>IF(AND(Inputs!$F$49=1,Time!Z17&gt;15),Inputs!$F$201,1)</f>
        <v/>
      </c>
      <c r="AA113" s="11">
        <f>IF(AND(Inputs!$F$49=1,Time!AA17&gt;15),Inputs!$F$201,1)</f>
        <v/>
      </c>
      <c r="AB113" s="11">
        <f>IF(AND(Inputs!$F$49=1,Time!AB17&gt;15),Inputs!$F$201,1)</f>
        <v/>
      </c>
      <c r="AC113" s="11">
        <f>IF(AND(Inputs!$F$49=1,Time!AC17&gt;15),Inputs!$F$201,1)</f>
        <v/>
      </c>
      <c r="AD113" s="11">
        <f>IF(AND(Inputs!$F$49=1,Time!AD17&gt;15),Inputs!$F$201,1)</f>
        <v/>
      </c>
      <c r="AE113" s="11">
        <f>IF(AND(Inputs!$F$49=1,Time!AE17&gt;15),Inputs!$F$201,1)</f>
        <v/>
      </c>
      <c r="AF113" s="11">
        <f>IF(AND(Inputs!$F$49=1,Time!AF17&gt;15),Inputs!$F$201,1)</f>
        <v/>
      </c>
      <c r="AG113" s="11">
        <f>IF(AND(Inputs!$F$49=1,Time!AG17&gt;15),Inputs!$F$201,1)</f>
        <v/>
      </c>
      <c r="AH113" s="11">
        <f>IF(AND(Inputs!$F$49=1,Time!AH17&gt;15),Inputs!$F$201,1)</f>
        <v/>
      </c>
      <c r="AI113" s="11">
        <f>IF(AND(Inputs!$F$49=1,Time!AI17&gt;15),Inputs!$F$201,1)</f>
        <v/>
      </c>
      <c r="AJ113" s="11">
        <f>IF(AND(Inputs!$F$49=1,Time!AJ17&gt;15),Inputs!$F$201,1)</f>
        <v/>
      </c>
      <c r="AK113" s="11">
        <f>IF(AND(Inputs!$F$49=1,Time!AK17&gt;15),Inputs!$F$201,1)</f>
        <v/>
      </c>
      <c r="AL113" s="11">
        <f>IF(AND(Inputs!$F$49=1,Time!AL17&gt;15),Inputs!$F$201,1)</f>
        <v/>
      </c>
      <c r="AM113" s="11">
        <f>IF(AND(Inputs!$F$49=1,Time!AM17&gt;15),Inputs!$F$201,1)</f>
        <v/>
      </c>
      <c r="AN113" s="11">
        <f>IF(AND(Inputs!$F$49=1,Time!AN17&gt;15),Inputs!$F$201,1)</f>
        <v/>
      </c>
      <c r="AO113" s="11">
        <f>IF(AND(Inputs!$F$49=1,Time!AO17&gt;15),Inputs!$F$201,1)</f>
        <v/>
      </c>
      <c r="AP113" s="11">
        <f>IF(AND(Inputs!$F$49=1,Time!AP17&gt;15),Inputs!$F$201,1)</f>
        <v/>
      </c>
      <c r="AQ113" s="11">
        <f>IF(AND(Inputs!$F$49=1,Time!AQ17&gt;15),Inputs!$F$201,1)</f>
        <v/>
      </c>
      <c r="AR113" s="11">
        <f>IF(AND(Inputs!$F$49=1,Time!AR17&gt;15),Inputs!$F$201,1)</f>
        <v/>
      </c>
      <c r="AS113" s="11">
        <f>IF(AND(Inputs!$F$49=1,Time!AS17&gt;15),Inputs!$F$201,1)</f>
        <v/>
      </c>
      <c r="AT113" s="11">
        <f>IF(AND(Inputs!$F$49=1,Time!AT17&gt;15),Inputs!$F$201,1)</f>
        <v/>
      </c>
      <c r="AU113" s="11">
        <f>IF(AND(Inputs!$F$49=1,Time!AU17&gt;15),Inputs!$F$201,1)</f>
        <v/>
      </c>
      <c r="AV113" s="11">
        <f>IF(AND(Inputs!$F$49=1,Time!AV17&gt;15),Inputs!$F$201,1)</f>
        <v/>
      </c>
      <c r="AW113" s="11">
        <f>IF(AND(Inputs!$F$49=1,Time!AW17&gt;15),Inputs!$F$201,1)</f>
        <v/>
      </c>
      <c r="AX113" s="11">
        <f>IF(AND(Inputs!$F$49=1,Time!AX17&gt;15),Inputs!$F$201,1)</f>
        <v/>
      </c>
      <c r="AY113" s="11">
        <f>IF(AND(Inputs!$F$49=1,Time!AY17&gt;15),Inputs!$F$201,1)</f>
        <v/>
      </c>
      <c r="AZ113" s="11">
        <f>IF(AND(Inputs!$F$49=1,Time!AZ17&gt;15),Inputs!$F$201,1)</f>
        <v/>
      </c>
      <c r="BA113" s="11">
        <f>IF(AND(Inputs!$F$49=1,Time!BA17&gt;15),Inputs!$F$201,1)</f>
        <v/>
      </c>
      <c r="BB113" s="11">
        <f>IF(AND(Inputs!$F$49=1,Time!BB17&gt;15),Inputs!$F$201,1)</f>
        <v/>
      </c>
      <c r="BC113" s="11">
        <f>IF(AND(Inputs!$F$49=1,Time!BC17&gt;15),Inputs!$F$201,1)</f>
        <v/>
      </c>
      <c r="BD113" s="11">
        <f>IF(AND(Inputs!$F$49=1,Time!BD17&gt;15),Inputs!$F$201,1)</f>
        <v/>
      </c>
      <c r="BE113" s="11">
        <f>IF(AND(Inputs!$F$49=1,Time!BE17&gt;15),Inputs!$F$201,1)</f>
        <v/>
      </c>
      <c r="BF113" s="11">
        <f>IF(AND(Inputs!$F$49=1,Time!BF17&gt;15),Inputs!$F$201,1)</f>
        <v/>
      </c>
      <c r="BG113" s="11">
        <f>IF(AND(Inputs!$F$49=1,Time!BG17&gt;15),Inputs!$F$201,1)</f>
        <v/>
      </c>
      <c r="BH113" s="11">
        <f>IF(AND(Inputs!$F$49=1,Time!BH17&gt;15),Inputs!$F$201,1)</f>
        <v/>
      </c>
      <c r="BI113" s="11">
        <f>IF(AND(Inputs!$F$49=1,Time!BI17&gt;15),Inputs!$F$201,1)</f>
        <v/>
      </c>
      <c r="BJ113" s="11">
        <f>IF(AND(Inputs!$F$49=1,Time!BJ17&gt;15),Inputs!$F$201,1)</f>
        <v/>
      </c>
      <c r="BK113" s="11">
        <f>IF(AND(Inputs!$F$49=1,Time!BK17&gt;15),Inputs!$F$201,1)</f>
        <v/>
      </c>
      <c r="BL113" s="11">
        <f>IF(AND(Inputs!$F$49=1,Time!BL17&gt;15),Inputs!$F$201,1)</f>
        <v/>
      </c>
      <c r="BM113" s="11">
        <f>IF(AND(Inputs!$F$49=1,Time!BM17&gt;15),Inputs!$F$201,1)</f>
        <v/>
      </c>
      <c r="BN113" s="11">
        <f>IF(AND(Inputs!$F$49=1,Time!BN17&gt;15),Inputs!$F$201,1)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IF($F$109&gt;0,Inputs!$F$197/100*0.5*J100*Inputs!$F$196/$F$109,0)</f>
        <v/>
      </c>
      <c r="K116" s="11">
        <f>IF($F$109&gt;0,Inputs!$F$197/100*0.5*K100*Inputs!$F$196/$F$109,0)</f>
        <v/>
      </c>
      <c r="L116" s="11">
        <f>IF($F$109&gt;0,Inputs!$F$197/100*0.5*L100*Inputs!$F$196/$F$109,0)</f>
        <v/>
      </c>
      <c r="M116" s="11">
        <f>IF($F$109&gt;0,Inputs!$F$197/100*0.5*M100*Inputs!$F$196/$F$109,0)</f>
        <v/>
      </c>
      <c r="N116" s="11">
        <f>IF($F$109&gt;0,Inputs!$F$197/100*0.5*N100*Inputs!$F$196/$F$109,0)</f>
        <v/>
      </c>
      <c r="O116" s="11">
        <f>IF($F$109&gt;0,Inputs!$F$197/100*0.5*O100*Inputs!$F$196/$F$109,0)</f>
        <v/>
      </c>
      <c r="P116" s="11">
        <f>IF($F$109&gt;0,Inputs!$F$197/100*0.5*P100*Inputs!$F$196/$F$109,0)</f>
        <v/>
      </c>
      <c r="Q116" s="11">
        <f>IF($F$109&gt;0,Inputs!$F$197/100*0.5*Q100*Inputs!$F$196/$F$109,0)</f>
        <v/>
      </c>
      <c r="R116" s="11">
        <f>IF($F$109&gt;0,Inputs!$F$197/100*0.5*R100*Inputs!$F$196/$F$109,0)</f>
        <v/>
      </c>
      <c r="S116" s="11">
        <f>IF($F$109&gt;0,Inputs!$F$197/100*0.5*S100*Inputs!$F$196/$F$109,0)</f>
        <v/>
      </c>
      <c r="T116" s="11">
        <f>IF($F$109&gt;0,Inputs!$F$197/100*0.5*T100*Inputs!$F$196/$F$109,0)</f>
        <v/>
      </c>
      <c r="U116" s="11">
        <f>IF($F$109&gt;0,Inputs!$F$197/100*0.5*U100*Inputs!$F$196/$F$109,0)</f>
        <v/>
      </c>
      <c r="V116" s="11">
        <f>IF($F$109&gt;0,Inputs!$F$197/100*0.5*V100*Inputs!$F$196/$F$109,0)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IF(AND(Time!J17&gt;=Time!$F$11,Time!J17&lt;57),(IF(Time!J29=1,J38,J36)-J35)*K19+K22*MIN($F$30/4,J35)+IF(Time!J29=1,J38,J36)*K10,0)</f>
        <v/>
      </c>
      <c r="K126" s="11">
        <f>IF(AND(Time!K17&gt;=Time!$F$11,Time!K17&lt;57),(IF(Time!K29=1,K38,K36)-K35)*L19+L22*MIN($F$30/4,K35)+IF(Time!K29=1,K38,K36)*L10,0)</f>
        <v/>
      </c>
      <c r="L126" s="11">
        <f>IF(AND(Time!L17&gt;=Time!$F$11,Time!L17&lt;57),(IF(Time!L29=1,L38,L36)-L35)*M19+M22*MIN($F$30/4,L35)+IF(Time!L29=1,L38,L36)*M10,0)</f>
        <v/>
      </c>
      <c r="M126" s="11">
        <f>IF(AND(Time!M17&gt;=Time!$F$11,Time!M17&lt;57),(IF(Time!M29=1,M38,M36)-M35)*N19+N22*MIN($F$30/4,M35)+IF(Time!M29=1,M38,M36)*N10,0)</f>
        <v/>
      </c>
      <c r="N126" s="11">
        <f>IF(AND(Time!N17&gt;=Time!$F$11,Time!N17&lt;57),(IF(Time!N29=1,N38,N36)-N35)*O19+O22*MIN($F$30/4,N35)+IF(Time!N29=1,N38,N36)*O10,0)</f>
        <v/>
      </c>
      <c r="O126" s="11">
        <f>IF(AND(Time!O17&gt;=Time!$F$11,Time!O17&lt;57),(IF(Time!O29=1,O38,O36)-O35)*P19+P22*MIN($F$30/4,O35)+IF(Time!O29=1,O38,O36)*P10,0)</f>
        <v/>
      </c>
      <c r="P126" s="11">
        <f>IF(AND(Time!P17&gt;=Time!$F$11,Time!P17&lt;57),(IF(Time!P29=1,P38,P36)-P35)*Q19+Q22*MIN($F$30/4,P35)+IF(Time!P29=1,P38,P36)*Q10,0)</f>
        <v/>
      </c>
      <c r="Q126" s="11">
        <f>IF(AND(Time!Q17&gt;=Time!$F$11,Time!Q17&lt;57),(IF(Time!Q29=1,Q38,Q36)-Q35)*R19+R22*MIN($F$30/4,Q35)+IF(Time!Q29=1,Q38,Q36)*R10,0)</f>
        <v/>
      </c>
      <c r="R126" s="11">
        <f>IF(AND(Time!R17&gt;=Time!$F$11,Time!R17&lt;57),(IF(Time!R29=1,R38,R36)-R35)*S19+S22*MIN($F$30/4,R35)+IF(Time!R29=1,R38,R36)*S10,0)</f>
        <v/>
      </c>
      <c r="S126" s="11">
        <f>IF(AND(Time!S17&gt;=Time!$F$11,Time!S17&lt;57),(IF(Time!S29=1,S38,S36)-S35)*T19+T22*MIN($F$30/4,S35)+IF(Time!S29=1,S38,S36)*T10,0)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IF(AND(Time!X17&gt;=Time!$F$11,Time!X17&lt;57),(IF(Time!X29=1,X38,X36)-X35)*Y19+Y22*MIN($F$30/4,X35)+IF(Time!X29=1,X38,X36)*Y10,0)</f>
        <v/>
      </c>
      <c r="Y126" s="11">
        <f>IF(AND(Time!Y17&gt;=Time!$F$11,Time!Y17&lt;57),(IF(Time!Y29=1,Y38,Y36)-Y35)*Z19+Z22*MIN($F$30/4,Y35)+IF(Time!Y29=1,Y38,Y36)*Z10,0)</f>
        <v/>
      </c>
      <c r="Z126" s="11">
        <f>IF(AND(Time!Z17&gt;=Time!$F$11,Time!Z17&lt;57),(IF(Time!Z29=1,Z38,Z36)-Z35)*AA19+AA22*MIN($F$30/4,Z35)+IF(Time!Z29=1,Z38,Z36)*AA10,0)</f>
        <v/>
      </c>
      <c r="AA126" s="11">
        <f>IF(AND(Time!AA17&gt;=Time!$F$11,Time!AA17&lt;57),(IF(Time!AA29=1,AA38,AA36)-AA35)*AB19+AB22*MIN($F$30/4,AA35)+IF(Time!AA29=1,AA38,AA36)*AB10,0)</f>
        <v/>
      </c>
      <c r="AB126" s="11">
        <f>IF(AND(Time!AB17&gt;=Time!$F$11,Time!AB17&lt;57),(IF(Time!AB29=1,AB38,AB36)-AB35)*AC19+AC22*MIN($F$30/4,AB35)+IF(Time!AB29=1,AB38,AB36)*AC10,0)</f>
        <v/>
      </c>
      <c r="AC126" s="11">
        <f>IF(AND(Time!AC17&gt;=Time!$F$11,Time!AC17&lt;57),(IF(Time!AC29=1,AC38,AC36)-AC35)*AD19+AD22*MIN($F$30/4,AC35)+IF(Time!AC29=1,AC38,AC36)*AD10,0)</f>
        <v/>
      </c>
      <c r="AD126" s="11">
        <f>IF(AND(Time!AD17&gt;=Time!$F$11,Time!AD17&lt;57),(IF(Time!AD29=1,AD38,AD36)-AD35)*AE19+AE22*MIN($F$30/4,AD35)+IF(Time!AD29=1,AD38,AD36)*AE10,0)</f>
        <v/>
      </c>
      <c r="AE126" s="11">
        <f>IF(AND(Time!AE17&gt;=Time!$F$11,Time!AE17&lt;57),(IF(Time!AE29=1,AE38,AE36)-AE35)*AF19+AF22*MIN($F$30/4,AE35)+IF(Time!AE29=1,AE38,AE36)*AF10,0)</f>
        <v/>
      </c>
      <c r="AF126" s="11">
        <f>IF(AND(Time!AF17&gt;=Time!$F$11,Time!AF17&lt;57),(IF(Time!AF29=1,AF38,AF36)-AF35)*AG19+AG22*MIN($F$30/4,AF35)+IF(Time!AF29=1,AF38,AF36)*AG10,0)</f>
        <v/>
      </c>
      <c r="AG126" s="11">
        <f>IF(AND(Time!AG17&gt;=Time!$F$11,Time!AG17&lt;57),(IF(Time!AG29=1,AG38,AG36)-AG35)*AH19+AH22*MIN($F$30/4,AG35)+IF(Time!AG29=1,AG38,AG36)*AH10,0)</f>
        <v/>
      </c>
      <c r="AH126" s="11">
        <f>IF(AND(Time!AH17&gt;=Time!$F$11,Time!AH17&lt;57),(IF(Time!AH29=1,AH38,AH36)-AH35)*AI19+AI22*MIN($F$30/4,AH35)+IF(Time!AH29=1,AH38,AH36)*AI10,0)</f>
        <v/>
      </c>
      <c r="AI126" s="11">
        <f>IF(AND(Time!AI17&gt;=Time!$F$11,Time!AI17&lt;57),(IF(Time!AI29=1,AI38,AI36)-AI35)*AJ19+AJ22*MIN($F$30/4,AI35)+IF(Time!AI29=1,AI38,AI36)*AJ10,0)</f>
        <v/>
      </c>
      <c r="AJ126" s="11">
        <f>IF(AND(Time!AJ17&gt;=Time!$F$11,Time!AJ17&lt;57),(IF(Time!AJ29=1,AJ38,AJ36)-AJ35)*AK19+AK22*MIN($F$30/4,AJ35)+IF(Time!AJ29=1,AJ38,AJ36)*AK10,0)</f>
        <v/>
      </c>
      <c r="AK126" s="11">
        <f>IF(AND(Time!AK17&gt;=Time!$F$11,Time!AK17&lt;57),(IF(Time!AK29=1,AK38,AK36)-AK35)*AL19+AL22*MIN($F$30/4,AK35)+IF(Time!AK29=1,AK38,AK36)*AL10,0)</f>
        <v/>
      </c>
      <c r="AL126" s="11">
        <f>IF(AND(Time!AL17&gt;=Time!$F$11,Time!AL17&lt;57),(IF(Time!AL29=1,AL38,AL36)-AL35)*AM19+AM22*MIN($F$30/4,AL35)+IF(Time!AL29=1,AL38,AL36)*AM10,0)</f>
        <v/>
      </c>
      <c r="AM126" s="11">
        <f>IF(AND(Time!AM17&gt;=Time!$F$11,Time!AM17&lt;57),(IF(Time!AM29=1,AM38,AM36)-AM35)*AN19+AN22*MIN($F$30/4,AM35)+IF(Time!AM29=1,AM38,AM36)*AN10,0)</f>
        <v/>
      </c>
      <c r="AN126" s="11">
        <f>IF(AND(Time!AN17&gt;=Time!$F$11,Time!AN17&lt;57),(IF(Time!AN29=1,AN38,AN36)-AN35)*AO19+AO22*MIN($F$30/4,AN35)+IF(Time!AN29=1,AN38,AN36)*AO10,0)</f>
        <v/>
      </c>
      <c r="AO126" s="11">
        <f>IF(AND(Time!AO17&gt;=Time!$F$11,Time!AO17&lt;57),(IF(Time!AO29=1,AO38,AO36)-AO35)*AP19+AP22*MIN($F$30/4,AO35)+IF(Time!AO29=1,AO38,AO36)*AP10,0)</f>
        <v/>
      </c>
      <c r="AP126" s="11">
        <f>IF(AND(Time!AP17&gt;=Time!$F$11,Time!AP17&lt;57),(IF(Time!AP29=1,AP38,AP36)-AP35)*AQ19+AQ22*MIN($F$30/4,AP35)+IF(Time!AP29=1,AP38,AP36)*AQ10,0)</f>
        <v/>
      </c>
      <c r="AQ126" s="11">
        <f>IF(AND(Time!AQ17&gt;=Time!$F$11,Time!AQ17&lt;57),(IF(Time!AQ29=1,AQ38,AQ36)-AQ35)*AR19+AR22*MIN($F$30/4,AQ35)+IF(Time!AQ29=1,AQ38,AQ36)*AR10,0)</f>
        <v/>
      </c>
      <c r="AR126" s="11">
        <f>IF(AND(Time!AR17&gt;=Time!$F$11,Time!AR17&lt;57),(IF(Time!AR29=1,AR38,AR36)-AR35)*AS19+AS22*MIN($F$30/4,AR35)+IF(Time!AR29=1,AR38,AR36)*AS10,0)</f>
        <v/>
      </c>
      <c r="AS126" s="11">
        <f>IF(AND(Time!AS17&gt;=Time!$F$11,Time!AS17&lt;57),(IF(Time!AS29=1,AS38,AS36)-AS35)*AT19+AT22*MIN($F$30/4,AS35)+IF(Time!AS29=1,AS38,AS36)*AT10,0)</f>
        <v/>
      </c>
      <c r="AT126" s="11">
        <f>IF(AND(Time!AT17&gt;=Time!$F$11,Time!AT17&lt;57),(IF(Time!AT29=1,AT38,AT36)-AT35)*AU19+AU22*MIN($F$30/4,AT35)+IF(Time!AT29=1,AT38,AT36)*AU10,0)</f>
        <v/>
      </c>
      <c r="AU126" s="11">
        <f>IF(AND(Time!AU17&gt;=Time!$F$11,Time!AU17&lt;57),(IF(Time!AU29=1,AU38,AU36)-AU35)*AV19+AV22*MIN($F$30/4,AU35)+IF(Time!AU29=1,AU38,AU36)*AV10,0)</f>
        <v/>
      </c>
      <c r="AV126" s="11">
        <f>IF(AND(Time!AV17&gt;=Time!$F$11,Time!AV17&lt;57),(IF(Time!AV29=1,AV38,AV36)-AV35)*AW19+AW22*MIN($F$30/4,AV35)+IF(Time!AV29=1,AV38,AV36)*AW10,0)</f>
        <v/>
      </c>
      <c r="AW126" s="11">
        <f>IF(AND(Time!AW17&gt;=Time!$F$11,Time!AW17&lt;57),(IF(Time!AW29=1,AW38,AW36)-AW35)*AX19+AX22*MIN($F$30/4,AW35)+IF(Time!AW29=1,AW38,AW36)*AX10,0)</f>
        <v/>
      </c>
      <c r="AX126" s="11">
        <f>IF(AND(Time!AX17&gt;=Time!$F$11,Time!AX17&lt;57),(IF(Time!AX29=1,AX38,AX36)-AX35)*AY19+AY22*MIN($F$30/4,AX35)+IF(Time!AX29=1,AX38,AX36)*AY10,0)</f>
        <v/>
      </c>
      <c r="AY126" s="11">
        <f>IF(AND(Time!AY17&gt;=Time!$F$11,Time!AY17&lt;57),(IF(Time!AY29=1,AY38,AY36)-AY35)*AZ19+AZ22*MIN($F$30/4,AY35)+IF(Time!AY29=1,AY38,AY36)*AZ10,0)</f>
        <v/>
      </c>
      <c r="AZ126" s="11">
        <f>IF(AND(Time!AZ17&gt;=Time!$F$11,Time!AZ17&lt;57),(IF(Time!AZ29=1,AZ38,AZ36)-AZ35)*BA19+BA22*MIN($F$30/4,AZ35)+IF(Time!AZ29=1,AZ38,AZ36)*BA10,0)</f>
        <v/>
      </c>
      <c r="BA126" s="11">
        <f>IF(AND(Time!BA17&gt;=Time!$F$11,Time!BA17&lt;57),(IF(Time!BA29=1,BA38,BA36)-BA35)*BB19+BB22*MIN($F$30/4,BA35)+IF(Time!BA29=1,BA38,BA36)*BB10,0)</f>
        <v/>
      </c>
      <c r="BB126" s="11">
        <f>IF(AND(Time!BB17&gt;=Time!$F$11,Time!BB17&lt;57),(IF(Time!BB29=1,BB38,BB36)-BB35)*BC19+BC22*MIN($F$30/4,BB35)+IF(Time!BB29=1,BB38,BB36)*BC10,0)</f>
        <v/>
      </c>
      <c r="BC126" s="11">
        <f>IF(AND(Time!BC17&gt;=Time!$F$11,Time!BC17&lt;57),(IF(Time!BC29=1,BC38,BC36)-BC35)*BD19+BD22*MIN($F$30/4,BC35)+IF(Time!BC29=1,BC38,BC36)*BD10,0)</f>
        <v/>
      </c>
      <c r="BD126" s="11">
        <f>IF(AND(Time!BD17&gt;=Time!$F$11,Time!BD17&lt;57),(IF(Time!BD29=1,BD38,BD36)-BD35)*BE19+BE22*MIN($F$30/4,BD35)+IF(Time!BD29=1,BD38,BD36)*BE10,0)</f>
        <v/>
      </c>
      <c r="BE126" s="11">
        <f>IF(AND(Time!BE17&gt;=Time!$F$11,Time!BE17&lt;57),(IF(Time!BE29=1,BE38,BE36)-BE35)*BF19+BF22*MIN($F$30/4,BE35)+IF(Time!BE29=1,BE38,BE36)*BF10,0)</f>
        <v/>
      </c>
      <c r="BF126" s="11">
        <f>IF(AND(Time!BF17&gt;=Time!$F$11,Time!BF17&lt;57),(IF(Time!BF29=1,BF38,BF36)-BF35)*BG19+BG22*MIN($F$30/4,BF35)+IF(Time!BF29=1,BF38,BF36)*BG10,0)</f>
        <v/>
      </c>
      <c r="BG126" s="11">
        <f>IF(AND(Time!BG17&gt;=Time!$F$11,Time!BG17&lt;57),(IF(Time!BG29=1,BG38,BG36)-BG35)*BH19+BH22*MIN($F$30/4,BG35)+IF(Time!BG29=1,BG38,BG36)*BH10,0)</f>
        <v/>
      </c>
      <c r="BH126" s="11">
        <f>IF(AND(Time!BH17&gt;=Time!$F$11,Time!BH17&lt;57),(IF(Time!BH29=1,BH38,BH36)-BH35)*BI19+BI22*MIN($F$30/4,BH35)+IF(Time!BH29=1,BH38,BH36)*BI10,0)</f>
        <v/>
      </c>
      <c r="BI126" s="11">
        <f>IF(AND(Time!BI17&gt;=Time!$F$11,Time!BI17&lt;57),(IF(Time!BI29=1,BI38,BI36)-BI35)*BJ19+BJ22*MIN($F$30/4,BI35)+IF(Time!BI29=1,BI38,BI36)*BJ10,0)</f>
        <v/>
      </c>
      <c r="BJ126" s="11">
        <f>IF(AND(Time!BJ17&gt;=Time!$F$11,Time!BJ17&lt;57),(IF(Time!BJ29=1,BJ38,BJ36)-BJ35)*BK19+BK22*MIN($F$30/4,BJ35)+IF(Time!BJ29=1,BJ38,BJ36)*BK10,0)</f>
        <v/>
      </c>
      <c r="BK126" s="11">
        <f>IF(AND(Time!BK17&gt;=Time!$F$11,Time!BK17&lt;57),(IF(Time!BK29=1,BK38,BK36)-BK35)*BL19+BL22*MIN($F$30/4,BK35)+IF(Time!BK29=1,BK38,BK36)*BL10,0)</f>
        <v/>
      </c>
      <c r="BL126" s="11">
        <f>IF(AND(Time!BL17&gt;=Time!$F$11,Time!BL17&lt;57),(IF(Time!BL29=1,BL38,BL36)-BL35)*BM19+BM22*MIN($F$30/4,BL35)+IF(Time!BL29=1,BL38,BL36)*BM10,0)</f>
        <v/>
      </c>
      <c r="BM126" s="11">
        <f>IF(AND(Time!BM17&gt;=Time!$F$11,Time!BM17&lt;57),(IF(Time!BM29=1,BM38,BM36)-BM35)*BN19+BN22*MIN($F$30/4,BM35)+IF(Time!BM29=1,BM38,BM36)*BN10,0)</f>
        <v/>
      </c>
      <c r="BN126" s="11">
        <f>IF(AND(Time!BN17&gt;=Time!$F$11,Time!BN17&lt;57),(IF(Time!BN29=1,BN38,BN36)-BN35)*0+0*MIN($F$30/4,BN35)+IF(Time!BN29=1,BN38,BN36)*0,0)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IF(AND(Time!J17&gt;=Time!$F$11,Time!J17&lt;57),(IF(Time!J29=1,J53,J51)-J50)*K19+K22*MIN($F$45/4,J50)+IF(Time!J29=1,J53,J51)*K11,0)</f>
        <v/>
      </c>
      <c r="K127" s="11">
        <f>IF(AND(Time!K17&gt;=Time!$F$11,Time!K17&lt;57),(IF(Time!K29=1,K53,K51)-K50)*L19+L22*MIN($F$45/4,K50)+IF(Time!K29=1,K53,K51)*L11,0)</f>
        <v/>
      </c>
      <c r="L127" s="11">
        <f>IF(AND(Time!L17&gt;=Time!$F$11,Time!L17&lt;57),(IF(Time!L29=1,L53,L51)-L50)*M19+M22*MIN($F$45/4,L50)+IF(Time!L29=1,L53,L51)*M11,0)</f>
        <v/>
      </c>
      <c r="M127" s="11">
        <f>IF(AND(Time!M17&gt;=Time!$F$11,Time!M17&lt;57),(IF(Time!M29=1,M53,M51)-M50)*N19+N22*MIN($F$45/4,M50)+IF(Time!M29=1,M53,M51)*N11,0)</f>
        <v/>
      </c>
      <c r="N127" s="11">
        <f>IF(AND(Time!N17&gt;=Time!$F$11,Time!N17&lt;57),(IF(Time!N29=1,N53,N51)-N50)*O19+O22*MIN($F$45/4,N50)+IF(Time!N29=1,N53,N51)*O11,0)</f>
        <v/>
      </c>
      <c r="O127" s="11">
        <f>IF(AND(Time!O17&gt;=Time!$F$11,Time!O17&lt;57),(IF(Time!O29=1,O53,O51)-O50)*P19+P22*MIN($F$45/4,O50)+IF(Time!O29=1,O53,O51)*P11,0)</f>
        <v/>
      </c>
      <c r="P127" s="11">
        <f>IF(AND(Time!P17&gt;=Time!$F$11,Time!P17&lt;57),(IF(Time!P29=1,P53,P51)-P50)*Q19+Q22*MIN($F$45/4,P50)+IF(Time!P29=1,P53,P51)*Q11,0)</f>
        <v/>
      </c>
      <c r="Q127" s="11">
        <f>IF(AND(Time!Q17&gt;=Time!$F$11,Time!Q17&lt;57),(IF(Time!Q29=1,Q53,Q51)-Q50)*R19+R22*MIN($F$45/4,Q50)+IF(Time!Q29=1,Q53,Q51)*R11,0)</f>
        <v/>
      </c>
      <c r="R127" s="11">
        <f>IF(AND(Time!R17&gt;=Time!$F$11,Time!R17&lt;57),(IF(Time!R29=1,R53,R51)-R50)*S19+S22*MIN($F$45/4,R50)+IF(Time!R29=1,R53,R51)*S11,0)</f>
        <v/>
      </c>
      <c r="S127" s="11">
        <f>IF(AND(Time!S17&gt;=Time!$F$11,Time!S17&lt;57),(IF(Time!S29=1,S53,S51)-S50)*T19+T22*MIN($F$45/4,S50)+IF(Time!S29=1,S53,S51)*T11,0)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IF(AND(Time!X17&gt;=Time!$F$11,Time!X17&lt;57),(IF(Time!X29=1,X53,X51)-X50)*Y19+Y22*MIN($F$45/4,X50)+IF(Time!X29=1,X53,X51)*Y11,0)</f>
        <v/>
      </c>
      <c r="Y127" s="11">
        <f>IF(AND(Time!Y17&gt;=Time!$F$11,Time!Y17&lt;57),(IF(Time!Y29=1,Y53,Y51)-Y50)*Z19+Z22*MIN($F$45/4,Y50)+IF(Time!Y29=1,Y53,Y51)*Z11,0)</f>
        <v/>
      </c>
      <c r="Z127" s="11">
        <f>IF(AND(Time!Z17&gt;=Time!$F$11,Time!Z17&lt;57),(IF(Time!Z29=1,Z53,Z51)-Z50)*AA19+AA22*MIN($F$45/4,Z50)+IF(Time!Z29=1,Z53,Z51)*AA11,0)</f>
        <v/>
      </c>
      <c r="AA127" s="11">
        <f>IF(AND(Time!AA17&gt;=Time!$F$11,Time!AA17&lt;57),(IF(Time!AA29=1,AA53,AA51)-AA50)*AB19+AB22*MIN($F$45/4,AA50)+IF(Time!AA29=1,AA53,AA51)*AB11,0)</f>
        <v/>
      </c>
      <c r="AB127" s="11">
        <f>IF(AND(Time!AB17&gt;=Time!$F$11,Time!AB17&lt;57),(IF(Time!AB29=1,AB53,AB51)-AB50)*AC19+AC22*MIN($F$45/4,AB50)+IF(Time!AB29=1,AB53,AB51)*AC11,0)</f>
        <v/>
      </c>
      <c r="AC127" s="11">
        <f>IF(AND(Time!AC17&gt;=Time!$F$11,Time!AC17&lt;57),(IF(Time!AC29=1,AC53,AC51)-AC50)*AD19+AD22*MIN($F$45/4,AC50)+IF(Time!AC29=1,AC53,AC51)*AD11,0)</f>
        <v/>
      </c>
      <c r="AD127" s="11">
        <f>IF(AND(Time!AD17&gt;=Time!$F$11,Time!AD17&lt;57),(IF(Time!AD29=1,AD53,AD51)-AD50)*AE19+AE22*MIN($F$45/4,AD50)+IF(Time!AD29=1,AD53,AD51)*AE11,0)</f>
        <v/>
      </c>
      <c r="AE127" s="11">
        <f>IF(AND(Time!AE17&gt;=Time!$F$11,Time!AE17&lt;57),(IF(Time!AE29=1,AE53,AE51)-AE50)*AF19+AF22*MIN($F$45/4,AE50)+IF(Time!AE29=1,AE53,AE51)*AF11,0)</f>
        <v/>
      </c>
      <c r="AF127" s="11">
        <f>IF(AND(Time!AF17&gt;=Time!$F$11,Time!AF17&lt;57),(IF(Time!AF29=1,AF53,AF51)-AF50)*AG19+AG22*MIN($F$45/4,AF50)+IF(Time!AF29=1,AF53,AF51)*AG11,0)</f>
        <v/>
      </c>
      <c r="AG127" s="11">
        <f>IF(AND(Time!AG17&gt;=Time!$F$11,Time!AG17&lt;57),(IF(Time!AG29=1,AG53,AG51)-AG50)*AH19+AH22*MIN($F$45/4,AG50)+IF(Time!AG29=1,AG53,AG51)*AH11,0)</f>
        <v/>
      </c>
      <c r="AH127" s="11">
        <f>IF(AND(Time!AH17&gt;=Time!$F$11,Time!AH17&lt;57),(IF(Time!AH29=1,AH53,AH51)-AH50)*AI19+AI22*MIN($F$45/4,AH50)+IF(Time!AH29=1,AH53,AH51)*AI11,0)</f>
        <v/>
      </c>
      <c r="AI127" s="11">
        <f>IF(AND(Time!AI17&gt;=Time!$F$11,Time!AI17&lt;57),(IF(Time!AI29=1,AI53,AI51)-AI50)*AJ19+AJ22*MIN($F$45/4,AI50)+IF(Time!AI29=1,AI53,AI51)*AJ11,0)</f>
        <v/>
      </c>
      <c r="AJ127" s="11">
        <f>IF(AND(Time!AJ17&gt;=Time!$F$11,Time!AJ17&lt;57),(IF(Time!AJ29=1,AJ53,AJ51)-AJ50)*AK19+AK22*MIN($F$45/4,AJ50)+IF(Time!AJ29=1,AJ53,AJ51)*AK11,0)</f>
        <v/>
      </c>
      <c r="AK127" s="11">
        <f>IF(AND(Time!AK17&gt;=Time!$F$11,Time!AK17&lt;57),(IF(Time!AK29=1,AK53,AK51)-AK50)*AL19+AL22*MIN($F$45/4,AK50)+IF(Time!AK29=1,AK53,AK51)*AL11,0)</f>
        <v/>
      </c>
      <c r="AL127" s="11">
        <f>IF(AND(Time!AL17&gt;=Time!$F$11,Time!AL17&lt;57),(IF(Time!AL29=1,AL53,AL51)-AL50)*AM19+AM22*MIN($F$45/4,AL50)+IF(Time!AL29=1,AL53,AL51)*AM11,0)</f>
        <v/>
      </c>
      <c r="AM127" s="11">
        <f>IF(AND(Time!AM17&gt;=Time!$F$11,Time!AM17&lt;57),(IF(Time!AM29=1,AM53,AM51)-AM50)*AN19+AN22*MIN($F$45/4,AM50)+IF(Time!AM29=1,AM53,AM51)*AN11,0)</f>
        <v/>
      </c>
      <c r="AN127" s="11">
        <f>IF(AND(Time!AN17&gt;=Time!$F$11,Time!AN17&lt;57),(IF(Time!AN29=1,AN53,AN51)-AN50)*AO19+AO22*MIN($F$45/4,AN50)+IF(Time!AN29=1,AN53,AN51)*AO11,0)</f>
        <v/>
      </c>
      <c r="AO127" s="11">
        <f>IF(AND(Time!AO17&gt;=Time!$F$11,Time!AO17&lt;57),(IF(Time!AO29=1,AO53,AO51)-AO50)*AP19+AP22*MIN($F$45/4,AO50)+IF(Time!AO29=1,AO53,AO51)*AP11,0)</f>
        <v/>
      </c>
      <c r="AP127" s="11">
        <f>IF(AND(Time!AP17&gt;=Time!$F$11,Time!AP17&lt;57),(IF(Time!AP29=1,AP53,AP51)-AP50)*AQ19+AQ22*MIN($F$45/4,AP50)+IF(Time!AP29=1,AP53,AP51)*AQ11,0)</f>
        <v/>
      </c>
      <c r="AQ127" s="11">
        <f>IF(AND(Time!AQ17&gt;=Time!$F$11,Time!AQ17&lt;57),(IF(Time!AQ29=1,AQ53,AQ51)-AQ50)*AR19+AR22*MIN($F$45/4,AQ50)+IF(Time!AQ29=1,AQ53,AQ51)*AR11,0)</f>
        <v/>
      </c>
      <c r="AR127" s="11">
        <f>IF(AND(Time!AR17&gt;=Time!$F$11,Time!AR17&lt;57),(IF(Time!AR29=1,AR53,AR51)-AR50)*AS19+AS22*MIN($F$45/4,AR50)+IF(Time!AR29=1,AR53,AR51)*AS11,0)</f>
        <v/>
      </c>
      <c r="AS127" s="11">
        <f>IF(AND(Time!AS17&gt;=Time!$F$11,Time!AS17&lt;57),(IF(Time!AS29=1,AS53,AS51)-AS50)*AT19+AT22*MIN($F$45/4,AS50)+IF(Time!AS29=1,AS53,AS51)*AT11,0)</f>
        <v/>
      </c>
      <c r="AT127" s="11">
        <f>IF(AND(Time!AT17&gt;=Time!$F$11,Time!AT17&lt;57),(IF(Time!AT29=1,AT53,AT51)-AT50)*AU19+AU22*MIN($F$45/4,AT50)+IF(Time!AT29=1,AT53,AT51)*AU11,0)</f>
        <v/>
      </c>
      <c r="AU127" s="11">
        <f>IF(AND(Time!AU17&gt;=Time!$F$11,Time!AU17&lt;57),(IF(Time!AU29=1,AU53,AU51)-AU50)*AV19+AV22*MIN($F$45/4,AU50)+IF(Time!AU29=1,AU53,AU51)*AV11,0)</f>
        <v/>
      </c>
      <c r="AV127" s="11">
        <f>IF(AND(Time!AV17&gt;=Time!$F$11,Time!AV17&lt;57),(IF(Time!AV29=1,AV53,AV51)-AV50)*AW19+AW22*MIN($F$45/4,AV50)+IF(Time!AV29=1,AV53,AV51)*AW11,0)</f>
        <v/>
      </c>
      <c r="AW127" s="11">
        <f>IF(AND(Time!AW17&gt;=Time!$F$11,Time!AW17&lt;57),(IF(Time!AW29=1,AW53,AW51)-AW50)*AX19+AX22*MIN($F$45/4,AW50)+IF(Time!AW29=1,AW53,AW51)*AX11,0)</f>
        <v/>
      </c>
      <c r="AX127" s="11">
        <f>IF(AND(Time!AX17&gt;=Time!$F$11,Time!AX17&lt;57),(IF(Time!AX29=1,AX53,AX51)-AX50)*AY19+AY22*MIN($F$45/4,AX50)+IF(Time!AX29=1,AX53,AX51)*AY11,0)</f>
        <v/>
      </c>
      <c r="AY127" s="11">
        <f>IF(AND(Time!AY17&gt;=Time!$F$11,Time!AY17&lt;57),(IF(Time!AY29=1,AY53,AY51)-AY50)*AZ19+AZ22*MIN($F$45/4,AY50)+IF(Time!AY29=1,AY53,AY51)*AZ11,0)</f>
        <v/>
      </c>
      <c r="AZ127" s="11">
        <f>IF(AND(Time!AZ17&gt;=Time!$F$11,Time!AZ17&lt;57),(IF(Time!AZ29=1,AZ53,AZ51)-AZ50)*BA19+BA22*MIN($F$45/4,AZ50)+IF(Time!AZ29=1,AZ53,AZ51)*BA11,0)</f>
        <v/>
      </c>
      <c r="BA127" s="11">
        <f>IF(AND(Time!BA17&gt;=Time!$F$11,Time!BA17&lt;57),(IF(Time!BA29=1,BA53,BA51)-BA50)*BB19+BB22*MIN($F$45/4,BA50)+IF(Time!BA29=1,BA53,BA51)*BB11,0)</f>
        <v/>
      </c>
      <c r="BB127" s="11">
        <f>IF(AND(Time!BB17&gt;=Time!$F$11,Time!BB17&lt;57),(IF(Time!BB29=1,BB53,BB51)-BB50)*BC19+BC22*MIN($F$45/4,BB50)+IF(Time!BB29=1,BB53,BB51)*BC11,0)</f>
        <v/>
      </c>
      <c r="BC127" s="11">
        <f>IF(AND(Time!BC17&gt;=Time!$F$11,Time!BC17&lt;57),(IF(Time!BC29=1,BC53,BC51)-BC50)*BD19+BD22*MIN($F$45/4,BC50)+IF(Time!BC29=1,BC53,BC51)*BD11,0)</f>
        <v/>
      </c>
      <c r="BD127" s="11">
        <f>IF(AND(Time!BD17&gt;=Time!$F$11,Time!BD17&lt;57),(IF(Time!BD29=1,BD53,BD51)-BD50)*BE19+BE22*MIN($F$45/4,BD50)+IF(Time!BD29=1,BD53,BD51)*BE11,0)</f>
        <v/>
      </c>
      <c r="BE127" s="11">
        <f>IF(AND(Time!BE17&gt;=Time!$F$11,Time!BE17&lt;57),(IF(Time!BE29=1,BE53,BE51)-BE50)*BF19+BF22*MIN($F$45/4,BE50)+IF(Time!BE29=1,BE53,BE51)*BF11,0)</f>
        <v/>
      </c>
      <c r="BF127" s="11">
        <f>IF(AND(Time!BF17&gt;=Time!$F$11,Time!BF17&lt;57),(IF(Time!BF29=1,BF53,BF51)-BF50)*BG19+BG22*MIN($F$45/4,BF50)+IF(Time!BF29=1,BF53,BF51)*BG11,0)</f>
        <v/>
      </c>
      <c r="BG127" s="11">
        <f>IF(AND(Time!BG17&gt;=Time!$F$11,Time!BG17&lt;57),(IF(Time!BG29=1,BG53,BG51)-BG50)*BH19+BH22*MIN($F$45/4,BG50)+IF(Time!BG29=1,BG53,BG51)*BH11,0)</f>
        <v/>
      </c>
      <c r="BH127" s="11">
        <f>IF(AND(Time!BH17&gt;=Time!$F$11,Time!BH17&lt;57),(IF(Time!BH29=1,BH53,BH51)-BH50)*BI19+BI22*MIN($F$45/4,BH50)+IF(Time!BH29=1,BH53,BH51)*BI11,0)</f>
        <v/>
      </c>
      <c r="BI127" s="11">
        <f>IF(AND(Time!BI17&gt;=Time!$F$11,Time!BI17&lt;57),(IF(Time!BI29=1,BI53,BI51)-BI50)*BJ19+BJ22*MIN($F$45/4,BI50)+IF(Time!BI29=1,BI53,BI51)*BJ11,0)</f>
        <v/>
      </c>
      <c r="BJ127" s="11">
        <f>IF(AND(Time!BJ17&gt;=Time!$F$11,Time!BJ17&lt;57),(IF(Time!BJ29=1,BJ53,BJ51)-BJ50)*BK19+BK22*MIN($F$45/4,BJ50)+IF(Time!BJ29=1,BJ53,BJ51)*BK11,0)</f>
        <v/>
      </c>
      <c r="BK127" s="11">
        <f>IF(AND(Time!BK17&gt;=Time!$F$11,Time!BK17&lt;57),(IF(Time!BK29=1,BK53,BK51)-BK50)*BL19+BL22*MIN($F$45/4,BK50)+IF(Time!BK29=1,BK53,BK51)*BL11,0)</f>
        <v/>
      </c>
      <c r="BL127" s="11">
        <f>IF(AND(Time!BL17&gt;=Time!$F$11,Time!BL17&lt;57),(IF(Time!BL29=1,BL53,BL51)-BL50)*BM19+BM22*MIN($F$45/4,BL50)+IF(Time!BL29=1,BL53,BL51)*BM11,0)</f>
        <v/>
      </c>
      <c r="BM127" s="11">
        <f>IF(AND(Time!BM17&gt;=Time!$F$11,Time!BM17&lt;57),(IF(Time!BM29=1,BM53,BM51)-BM50)*BN19+BN22*MIN($F$45/4,BM50)+IF(Time!BM29=1,BM53,BM51)*BN11,0)</f>
        <v/>
      </c>
      <c r="BN127" s="11">
        <f>IF(AND(Time!BN17&gt;=Time!$F$11,Time!BN17&lt;57),(IF(Time!BN29=1,BN53,BN51)-BN50)*0+0*MIN($F$45/4,BN50)+IF(Time!BN29=1,BN53,BN51)*0,0)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IF(AND(Time!J17&gt;=Time!$F$11,Time!J17&lt;57),(IF(Time!J29=1,J68,J66)-J65)*K19+K22*MIN($F$60/4,J65)+IF(Time!J29=1,J68,J66)*K12,0)</f>
        <v/>
      </c>
      <c r="K128" s="11">
        <f>IF(AND(Time!K17&gt;=Time!$F$11,Time!K17&lt;57),(IF(Time!K29=1,K68,K66)-K65)*L19+L22*MIN($F$60/4,K65)+IF(Time!K29=1,K68,K66)*L12,0)</f>
        <v/>
      </c>
      <c r="L128" s="11">
        <f>IF(AND(Time!L17&gt;=Time!$F$11,Time!L17&lt;57),(IF(Time!L29=1,L68,L66)-L65)*M19+M22*MIN($F$60/4,L65)+IF(Time!L29=1,L68,L66)*M12,0)</f>
        <v/>
      </c>
      <c r="M128" s="11">
        <f>IF(AND(Time!M17&gt;=Time!$F$11,Time!M17&lt;57),(IF(Time!M29=1,M68,M66)-M65)*N19+N22*MIN($F$60/4,M65)+IF(Time!M29=1,M68,M66)*N12,0)</f>
        <v/>
      </c>
      <c r="N128" s="11">
        <f>IF(AND(Time!N17&gt;=Time!$F$11,Time!N17&lt;57),(IF(Time!N29=1,N68,N66)-N65)*O19+O22*MIN($F$60/4,N65)+IF(Time!N29=1,N68,N66)*O12,0)</f>
        <v/>
      </c>
      <c r="O128" s="11">
        <f>IF(AND(Time!O17&gt;=Time!$F$11,Time!O17&lt;57),(IF(Time!O29=1,O68,O66)-O65)*P19+P22*MIN($F$60/4,O65)+IF(Time!O29=1,O68,O66)*P12,0)</f>
        <v/>
      </c>
      <c r="P128" s="11">
        <f>IF(AND(Time!P17&gt;=Time!$F$11,Time!P17&lt;57),(IF(Time!P29=1,P68,P66)-P65)*Q19+Q22*MIN($F$60/4,P65)+IF(Time!P29=1,P68,P66)*Q12,0)</f>
        <v/>
      </c>
      <c r="Q128" s="11">
        <f>IF(AND(Time!Q17&gt;=Time!$F$11,Time!Q17&lt;57),(IF(Time!Q29=1,Q68,Q66)-Q65)*R19+R22*MIN($F$60/4,Q65)+IF(Time!Q29=1,Q68,Q66)*R12,0)</f>
        <v/>
      </c>
      <c r="R128" s="11">
        <f>IF(AND(Time!R17&gt;=Time!$F$11,Time!R17&lt;57),(IF(Time!R29=1,R68,R66)-R65)*S19+S22*MIN($F$60/4,R65)+IF(Time!R29=1,R68,R66)*S12,0)</f>
        <v/>
      </c>
      <c r="S128" s="11">
        <f>IF(AND(Time!S17&gt;=Time!$F$11,Time!S17&lt;57),(IF(Time!S29=1,S68,S66)-S65)*T19+T22*MIN($F$60/4,S65)+IF(Time!S29=1,S68,S66)*T12,0)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IF(AND(Time!X17&gt;=Time!$F$11,Time!X17&lt;57),(IF(Time!X29=1,X68,X66)-X65)*Y19+Y22*MIN($F$60/4,X65)+IF(Time!X29=1,X68,X66)*Y12,0)</f>
        <v/>
      </c>
      <c r="Y128" s="11">
        <f>IF(AND(Time!Y17&gt;=Time!$F$11,Time!Y17&lt;57),(IF(Time!Y29=1,Y68,Y66)-Y65)*Z19+Z22*MIN($F$60/4,Y65)+IF(Time!Y29=1,Y68,Y66)*Z12,0)</f>
        <v/>
      </c>
      <c r="Z128" s="11">
        <f>IF(AND(Time!Z17&gt;=Time!$F$11,Time!Z17&lt;57),(IF(Time!Z29=1,Z68,Z66)-Z65)*AA19+AA22*MIN($F$60/4,Z65)+IF(Time!Z29=1,Z68,Z66)*AA12,0)</f>
        <v/>
      </c>
      <c r="AA128" s="11">
        <f>IF(AND(Time!AA17&gt;=Time!$F$11,Time!AA17&lt;57),(IF(Time!AA29=1,AA68,AA66)-AA65)*AB19+AB22*MIN($F$60/4,AA65)+IF(Time!AA29=1,AA68,AA66)*AB12,0)</f>
        <v/>
      </c>
      <c r="AB128" s="11">
        <f>IF(AND(Time!AB17&gt;=Time!$F$11,Time!AB17&lt;57),(IF(Time!AB29=1,AB68,AB66)-AB65)*AC19+AC22*MIN($F$60/4,AB65)+IF(Time!AB29=1,AB68,AB66)*AC12,0)</f>
        <v/>
      </c>
      <c r="AC128" s="11">
        <f>IF(AND(Time!AC17&gt;=Time!$F$11,Time!AC17&lt;57),(IF(Time!AC29=1,AC68,AC66)-AC65)*AD19+AD22*MIN($F$60/4,AC65)+IF(Time!AC29=1,AC68,AC66)*AD12,0)</f>
        <v/>
      </c>
      <c r="AD128" s="11">
        <f>IF(AND(Time!AD17&gt;=Time!$F$11,Time!AD17&lt;57),(IF(Time!AD29=1,AD68,AD66)-AD65)*AE19+AE22*MIN($F$60/4,AD65)+IF(Time!AD29=1,AD68,AD66)*AE12,0)</f>
        <v/>
      </c>
      <c r="AE128" s="11">
        <f>IF(AND(Time!AE17&gt;=Time!$F$11,Time!AE17&lt;57),(IF(Time!AE29=1,AE68,AE66)-AE65)*AF19+AF22*MIN($F$60/4,AE65)+IF(Time!AE29=1,AE68,AE66)*AF12,0)</f>
        <v/>
      </c>
      <c r="AF128" s="11">
        <f>IF(AND(Time!AF17&gt;=Time!$F$11,Time!AF17&lt;57),(IF(Time!AF29=1,AF68,AF66)-AF65)*AG19+AG22*MIN($F$60/4,AF65)+IF(Time!AF29=1,AF68,AF66)*AG12,0)</f>
        <v/>
      </c>
      <c r="AG128" s="11">
        <f>IF(AND(Time!AG17&gt;=Time!$F$11,Time!AG17&lt;57),(IF(Time!AG29=1,AG68,AG66)-AG65)*AH19+AH22*MIN($F$60/4,AG65)+IF(Time!AG29=1,AG68,AG66)*AH12,0)</f>
        <v/>
      </c>
      <c r="AH128" s="11">
        <f>IF(AND(Time!AH17&gt;=Time!$F$11,Time!AH17&lt;57),(IF(Time!AH29=1,AH68,AH66)-AH65)*AI19+AI22*MIN($F$60/4,AH65)+IF(Time!AH29=1,AH68,AH66)*AI12,0)</f>
        <v/>
      </c>
      <c r="AI128" s="11">
        <f>IF(AND(Time!AI17&gt;=Time!$F$11,Time!AI17&lt;57),(IF(Time!AI29=1,AI68,AI66)-AI65)*AJ19+AJ22*MIN($F$60/4,AI65)+IF(Time!AI29=1,AI68,AI66)*AJ12,0)</f>
        <v/>
      </c>
      <c r="AJ128" s="11">
        <f>IF(AND(Time!AJ17&gt;=Time!$F$11,Time!AJ17&lt;57),(IF(Time!AJ29=1,AJ68,AJ66)-AJ65)*AK19+AK22*MIN($F$60/4,AJ65)+IF(Time!AJ29=1,AJ68,AJ66)*AK12,0)</f>
        <v/>
      </c>
      <c r="AK128" s="11">
        <f>IF(AND(Time!AK17&gt;=Time!$F$11,Time!AK17&lt;57),(IF(Time!AK29=1,AK68,AK66)-AK65)*AL19+AL22*MIN($F$60/4,AK65)+IF(Time!AK29=1,AK68,AK66)*AL12,0)</f>
        <v/>
      </c>
      <c r="AL128" s="11">
        <f>IF(AND(Time!AL17&gt;=Time!$F$11,Time!AL17&lt;57),(IF(Time!AL29=1,AL68,AL66)-AL65)*AM19+AM22*MIN($F$60/4,AL65)+IF(Time!AL29=1,AL68,AL66)*AM12,0)</f>
        <v/>
      </c>
      <c r="AM128" s="11">
        <f>IF(AND(Time!AM17&gt;=Time!$F$11,Time!AM17&lt;57),(IF(Time!AM29=1,AM68,AM66)-AM65)*AN19+AN22*MIN($F$60/4,AM65)+IF(Time!AM29=1,AM68,AM66)*AN12,0)</f>
        <v/>
      </c>
      <c r="AN128" s="11">
        <f>IF(AND(Time!AN17&gt;=Time!$F$11,Time!AN17&lt;57),(IF(Time!AN29=1,AN68,AN66)-AN65)*AO19+AO22*MIN($F$60/4,AN65)+IF(Time!AN29=1,AN68,AN66)*AO12,0)</f>
        <v/>
      </c>
      <c r="AO128" s="11">
        <f>IF(AND(Time!AO17&gt;=Time!$F$11,Time!AO17&lt;57),(IF(Time!AO29=1,AO68,AO66)-AO65)*AP19+AP22*MIN($F$60/4,AO65)+IF(Time!AO29=1,AO68,AO66)*AP12,0)</f>
        <v/>
      </c>
      <c r="AP128" s="11">
        <f>IF(AND(Time!AP17&gt;=Time!$F$11,Time!AP17&lt;57),(IF(Time!AP29=1,AP68,AP66)-AP65)*AQ19+AQ22*MIN($F$60/4,AP65)+IF(Time!AP29=1,AP68,AP66)*AQ12,0)</f>
        <v/>
      </c>
      <c r="AQ128" s="11">
        <f>IF(AND(Time!AQ17&gt;=Time!$F$11,Time!AQ17&lt;57),(IF(Time!AQ29=1,AQ68,AQ66)-AQ65)*AR19+AR22*MIN($F$60/4,AQ65)+IF(Time!AQ29=1,AQ68,AQ66)*AR12,0)</f>
        <v/>
      </c>
      <c r="AR128" s="11">
        <f>IF(AND(Time!AR17&gt;=Time!$F$11,Time!AR17&lt;57),(IF(Time!AR29=1,AR68,AR66)-AR65)*AS19+AS22*MIN($F$60/4,AR65)+IF(Time!AR29=1,AR68,AR66)*AS12,0)</f>
        <v/>
      </c>
      <c r="AS128" s="11">
        <f>IF(AND(Time!AS17&gt;=Time!$F$11,Time!AS17&lt;57),(IF(Time!AS29=1,AS68,AS66)-AS65)*AT19+AT22*MIN($F$60/4,AS65)+IF(Time!AS29=1,AS68,AS66)*AT12,0)</f>
        <v/>
      </c>
      <c r="AT128" s="11">
        <f>IF(AND(Time!AT17&gt;=Time!$F$11,Time!AT17&lt;57),(IF(Time!AT29=1,AT68,AT66)-AT65)*AU19+AU22*MIN($F$60/4,AT65)+IF(Time!AT29=1,AT68,AT66)*AU12,0)</f>
        <v/>
      </c>
      <c r="AU128" s="11">
        <f>IF(AND(Time!AU17&gt;=Time!$F$11,Time!AU17&lt;57),(IF(Time!AU29=1,AU68,AU66)-AU65)*AV19+AV22*MIN($F$60/4,AU65)+IF(Time!AU29=1,AU68,AU66)*AV12,0)</f>
        <v/>
      </c>
      <c r="AV128" s="11">
        <f>IF(AND(Time!AV17&gt;=Time!$F$11,Time!AV17&lt;57),(IF(Time!AV29=1,AV68,AV66)-AV65)*AW19+AW22*MIN($F$60/4,AV65)+IF(Time!AV29=1,AV68,AV66)*AW12,0)</f>
        <v/>
      </c>
      <c r="AW128" s="11">
        <f>IF(AND(Time!AW17&gt;=Time!$F$11,Time!AW17&lt;57),(IF(Time!AW29=1,AW68,AW66)-AW65)*AX19+AX22*MIN($F$60/4,AW65)+IF(Time!AW29=1,AW68,AW66)*AX12,0)</f>
        <v/>
      </c>
      <c r="AX128" s="11">
        <f>IF(AND(Time!AX17&gt;=Time!$F$11,Time!AX17&lt;57),(IF(Time!AX29=1,AX68,AX66)-AX65)*AY19+AY22*MIN($F$60/4,AX65)+IF(Time!AX29=1,AX68,AX66)*AY12,0)</f>
        <v/>
      </c>
      <c r="AY128" s="11">
        <f>IF(AND(Time!AY17&gt;=Time!$F$11,Time!AY17&lt;57),(IF(Time!AY29=1,AY68,AY66)-AY65)*AZ19+AZ22*MIN($F$60/4,AY65)+IF(Time!AY29=1,AY68,AY66)*AZ12,0)</f>
        <v/>
      </c>
      <c r="AZ128" s="11">
        <f>IF(AND(Time!AZ17&gt;=Time!$F$11,Time!AZ17&lt;57),(IF(Time!AZ29=1,AZ68,AZ66)-AZ65)*BA19+BA22*MIN($F$60/4,AZ65)+IF(Time!AZ29=1,AZ68,AZ66)*BA12,0)</f>
        <v/>
      </c>
      <c r="BA128" s="11">
        <f>IF(AND(Time!BA17&gt;=Time!$F$11,Time!BA17&lt;57),(IF(Time!BA29=1,BA68,BA66)-BA65)*BB19+BB22*MIN($F$60/4,BA65)+IF(Time!BA29=1,BA68,BA66)*BB12,0)</f>
        <v/>
      </c>
      <c r="BB128" s="11">
        <f>IF(AND(Time!BB17&gt;=Time!$F$11,Time!BB17&lt;57),(IF(Time!BB29=1,BB68,BB66)-BB65)*BC19+BC22*MIN($F$60/4,BB65)+IF(Time!BB29=1,BB68,BB66)*BC12,0)</f>
        <v/>
      </c>
      <c r="BC128" s="11">
        <f>IF(AND(Time!BC17&gt;=Time!$F$11,Time!BC17&lt;57),(IF(Time!BC29=1,BC68,BC66)-BC65)*BD19+BD22*MIN($F$60/4,BC65)+IF(Time!BC29=1,BC68,BC66)*BD12,0)</f>
        <v/>
      </c>
      <c r="BD128" s="11">
        <f>IF(AND(Time!BD17&gt;=Time!$F$11,Time!BD17&lt;57),(IF(Time!BD29=1,BD68,BD66)-BD65)*BE19+BE22*MIN($F$60/4,BD65)+IF(Time!BD29=1,BD68,BD66)*BE12,0)</f>
        <v/>
      </c>
      <c r="BE128" s="11">
        <f>IF(AND(Time!BE17&gt;=Time!$F$11,Time!BE17&lt;57),(IF(Time!BE29=1,BE68,BE66)-BE65)*BF19+BF22*MIN($F$60/4,BE65)+IF(Time!BE29=1,BE68,BE66)*BF12,0)</f>
        <v/>
      </c>
      <c r="BF128" s="11">
        <f>IF(AND(Time!BF17&gt;=Time!$F$11,Time!BF17&lt;57),(IF(Time!BF29=1,BF68,BF66)-BF65)*BG19+BG22*MIN($F$60/4,BF65)+IF(Time!BF29=1,BF68,BF66)*BG12,0)</f>
        <v/>
      </c>
      <c r="BG128" s="11">
        <f>IF(AND(Time!BG17&gt;=Time!$F$11,Time!BG17&lt;57),(IF(Time!BG29=1,BG68,BG66)-BG65)*BH19+BH22*MIN($F$60/4,BG65)+IF(Time!BG29=1,BG68,BG66)*BH12,0)</f>
        <v/>
      </c>
      <c r="BH128" s="11">
        <f>IF(AND(Time!BH17&gt;=Time!$F$11,Time!BH17&lt;57),(IF(Time!BH29=1,BH68,BH66)-BH65)*BI19+BI22*MIN($F$60/4,BH65)+IF(Time!BH29=1,BH68,BH66)*BI12,0)</f>
        <v/>
      </c>
      <c r="BI128" s="11">
        <f>IF(AND(Time!BI17&gt;=Time!$F$11,Time!BI17&lt;57),(IF(Time!BI29=1,BI68,BI66)-BI65)*BJ19+BJ22*MIN($F$60/4,BI65)+IF(Time!BI29=1,BI68,BI66)*BJ12,0)</f>
        <v/>
      </c>
      <c r="BJ128" s="11">
        <f>IF(AND(Time!BJ17&gt;=Time!$F$11,Time!BJ17&lt;57),(IF(Time!BJ29=1,BJ68,BJ66)-BJ65)*BK19+BK22*MIN($F$60/4,BJ65)+IF(Time!BJ29=1,BJ68,BJ66)*BK12,0)</f>
        <v/>
      </c>
      <c r="BK128" s="11">
        <f>IF(AND(Time!BK17&gt;=Time!$F$11,Time!BK17&lt;57),(IF(Time!BK29=1,BK68,BK66)-BK65)*BL19+BL22*MIN($F$60/4,BK65)+IF(Time!BK29=1,BK68,BK66)*BL12,0)</f>
        <v/>
      </c>
      <c r="BL128" s="11">
        <f>IF(AND(Time!BL17&gt;=Time!$F$11,Time!BL17&lt;57),(IF(Time!BL29=1,BL68,BL66)-BL65)*BM19+BM22*MIN($F$60/4,BL65)+IF(Time!BL29=1,BL68,BL66)*BM12,0)</f>
        <v/>
      </c>
      <c r="BM128" s="11">
        <f>IF(AND(Time!BM17&gt;=Time!$F$11,Time!BM17&lt;57),(IF(Time!BM29=1,BM68,BM66)-BM65)*BN19+BN22*MIN($F$60/4,BM65)+IF(Time!BM29=1,BM68,BM66)*BN12,0)</f>
        <v/>
      </c>
      <c r="BN128" s="11">
        <f>IF(AND(Time!BN17&gt;=Time!$F$11,Time!BN17&lt;57),(IF(Time!BN29=1,BN68,BN66)-BN65)*0+0*MIN($F$60/4,BN65)+IF(Time!BN29=1,BN68,BN66)*0,0)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IF(AND(Time!J17&gt;=Time!$F$11,Time!J17&lt;57),(IF(Time!J29=1,J83,J81)-J80)*K19+K22*MIN($F$75/4,J80)+IF(Time!J29=1,J83,J81)*K13,0)</f>
        <v/>
      </c>
      <c r="K129" s="11">
        <f>IF(AND(Time!K17&gt;=Time!$F$11,Time!K17&lt;57),(IF(Time!K29=1,K83,K81)-K80)*L19+L22*MIN($F$75/4,K80)+IF(Time!K29=1,K83,K81)*L13,0)</f>
        <v/>
      </c>
      <c r="L129" s="11">
        <f>IF(AND(Time!L17&gt;=Time!$F$11,Time!L17&lt;57),(IF(Time!L29=1,L83,L81)-L80)*M19+M22*MIN($F$75/4,L80)+IF(Time!L29=1,L83,L81)*M13,0)</f>
        <v/>
      </c>
      <c r="M129" s="11">
        <f>IF(AND(Time!M17&gt;=Time!$F$11,Time!M17&lt;57),(IF(Time!M29=1,M83,M81)-M80)*N19+N22*MIN($F$75/4,M80)+IF(Time!M29=1,M83,M81)*N13,0)</f>
        <v/>
      </c>
      <c r="N129" s="11">
        <f>IF(AND(Time!N17&gt;=Time!$F$11,Time!N17&lt;57),(IF(Time!N29=1,N83,N81)-N80)*O19+O22*MIN($F$75/4,N80)+IF(Time!N29=1,N83,N81)*O13,0)</f>
        <v/>
      </c>
      <c r="O129" s="11">
        <f>IF(AND(Time!O17&gt;=Time!$F$11,Time!O17&lt;57),(IF(Time!O29=1,O83,O81)-O80)*P19+P22*MIN($F$75/4,O80)+IF(Time!O29=1,O83,O81)*P13,0)</f>
        <v/>
      </c>
      <c r="P129" s="11">
        <f>IF(AND(Time!P17&gt;=Time!$F$11,Time!P17&lt;57),(IF(Time!P29=1,P83,P81)-P80)*Q19+Q22*MIN($F$75/4,P80)+IF(Time!P29=1,P83,P81)*Q13,0)</f>
        <v/>
      </c>
      <c r="Q129" s="11">
        <f>IF(AND(Time!Q17&gt;=Time!$F$11,Time!Q17&lt;57),(IF(Time!Q29=1,Q83,Q81)-Q80)*R19+R22*MIN($F$75/4,Q80)+IF(Time!Q29=1,Q83,Q81)*R13,0)</f>
        <v/>
      </c>
      <c r="R129" s="11">
        <f>IF(AND(Time!R17&gt;=Time!$F$11,Time!R17&lt;57),(IF(Time!R29=1,R83,R81)-R80)*S19+S22*MIN($F$75/4,R80)+IF(Time!R29=1,R83,R81)*S13,0)</f>
        <v/>
      </c>
      <c r="S129" s="11">
        <f>IF(AND(Time!S17&gt;=Time!$F$11,Time!S17&lt;57),(IF(Time!S29=1,S83,S81)-S80)*T19+T22*MIN($F$75/4,S80)+IF(Time!S29=1,S83,S81)*T13,0)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IF(AND(Time!X17&gt;=Time!$F$11,Time!X17&lt;57),(IF(Time!X29=1,X83,X81)-X80)*Y19+Y22*MIN($F$75/4,X80)+IF(Time!X29=1,X83,X81)*Y13,0)</f>
        <v/>
      </c>
      <c r="Y129" s="11">
        <f>IF(AND(Time!Y17&gt;=Time!$F$11,Time!Y17&lt;57),(IF(Time!Y29=1,Y83,Y81)-Y80)*Z19+Z22*MIN($F$75/4,Y80)+IF(Time!Y29=1,Y83,Y81)*Z13,0)</f>
        <v/>
      </c>
      <c r="Z129" s="11">
        <f>IF(AND(Time!Z17&gt;=Time!$F$11,Time!Z17&lt;57),(IF(Time!Z29=1,Z83,Z81)-Z80)*AA19+AA22*MIN($F$75/4,Z80)+IF(Time!Z29=1,Z83,Z81)*AA13,0)</f>
        <v/>
      </c>
      <c r="AA129" s="11">
        <f>IF(AND(Time!AA17&gt;=Time!$F$11,Time!AA17&lt;57),(IF(Time!AA29=1,AA83,AA81)-AA80)*AB19+AB22*MIN($F$75/4,AA80)+IF(Time!AA29=1,AA83,AA81)*AB13,0)</f>
        <v/>
      </c>
      <c r="AB129" s="11">
        <f>IF(AND(Time!AB17&gt;=Time!$F$11,Time!AB17&lt;57),(IF(Time!AB29=1,AB83,AB81)-AB80)*AC19+AC22*MIN($F$75/4,AB80)+IF(Time!AB29=1,AB83,AB81)*AC13,0)</f>
        <v/>
      </c>
      <c r="AC129" s="11">
        <f>IF(AND(Time!AC17&gt;=Time!$F$11,Time!AC17&lt;57),(IF(Time!AC29=1,AC83,AC81)-AC80)*AD19+AD22*MIN($F$75/4,AC80)+IF(Time!AC29=1,AC83,AC81)*AD13,0)</f>
        <v/>
      </c>
      <c r="AD129" s="11">
        <f>IF(AND(Time!AD17&gt;=Time!$F$11,Time!AD17&lt;57),(IF(Time!AD29=1,AD83,AD81)-AD80)*AE19+AE22*MIN($F$75/4,AD80)+IF(Time!AD29=1,AD83,AD81)*AE13,0)</f>
        <v/>
      </c>
      <c r="AE129" s="11">
        <f>IF(AND(Time!AE17&gt;=Time!$F$11,Time!AE17&lt;57),(IF(Time!AE29=1,AE83,AE81)-AE80)*AF19+AF22*MIN($F$75/4,AE80)+IF(Time!AE29=1,AE83,AE81)*AF13,0)</f>
        <v/>
      </c>
      <c r="AF129" s="11">
        <f>IF(AND(Time!AF17&gt;=Time!$F$11,Time!AF17&lt;57),(IF(Time!AF29=1,AF83,AF81)-AF80)*AG19+AG22*MIN($F$75/4,AF80)+IF(Time!AF29=1,AF83,AF81)*AG13,0)</f>
        <v/>
      </c>
      <c r="AG129" s="11">
        <f>IF(AND(Time!AG17&gt;=Time!$F$11,Time!AG17&lt;57),(IF(Time!AG29=1,AG83,AG81)-AG80)*AH19+AH22*MIN($F$75/4,AG80)+IF(Time!AG29=1,AG83,AG81)*AH13,0)</f>
        <v/>
      </c>
      <c r="AH129" s="11">
        <f>IF(AND(Time!AH17&gt;=Time!$F$11,Time!AH17&lt;57),(IF(Time!AH29=1,AH83,AH81)-AH80)*AI19+AI22*MIN($F$75/4,AH80)+IF(Time!AH29=1,AH83,AH81)*AI13,0)</f>
        <v/>
      </c>
      <c r="AI129" s="11">
        <f>IF(AND(Time!AI17&gt;=Time!$F$11,Time!AI17&lt;57),(IF(Time!AI29=1,AI83,AI81)-AI80)*AJ19+AJ22*MIN($F$75/4,AI80)+IF(Time!AI29=1,AI83,AI81)*AJ13,0)</f>
        <v/>
      </c>
      <c r="AJ129" s="11">
        <f>IF(AND(Time!AJ17&gt;=Time!$F$11,Time!AJ17&lt;57),(IF(Time!AJ29=1,AJ83,AJ81)-AJ80)*AK19+AK22*MIN($F$75/4,AJ80)+IF(Time!AJ29=1,AJ83,AJ81)*AK13,0)</f>
        <v/>
      </c>
      <c r="AK129" s="11">
        <f>IF(AND(Time!AK17&gt;=Time!$F$11,Time!AK17&lt;57),(IF(Time!AK29=1,AK83,AK81)-AK80)*AL19+AL22*MIN($F$75/4,AK80)+IF(Time!AK29=1,AK83,AK81)*AL13,0)</f>
        <v/>
      </c>
      <c r="AL129" s="11">
        <f>IF(AND(Time!AL17&gt;=Time!$F$11,Time!AL17&lt;57),(IF(Time!AL29=1,AL83,AL81)-AL80)*AM19+AM22*MIN($F$75/4,AL80)+IF(Time!AL29=1,AL83,AL81)*AM13,0)</f>
        <v/>
      </c>
      <c r="AM129" s="11">
        <f>IF(AND(Time!AM17&gt;=Time!$F$11,Time!AM17&lt;57),(IF(Time!AM29=1,AM83,AM81)-AM80)*AN19+AN22*MIN($F$75/4,AM80)+IF(Time!AM29=1,AM83,AM81)*AN13,0)</f>
        <v/>
      </c>
      <c r="AN129" s="11">
        <f>IF(AND(Time!AN17&gt;=Time!$F$11,Time!AN17&lt;57),(IF(Time!AN29=1,AN83,AN81)-AN80)*AO19+AO22*MIN($F$75/4,AN80)+IF(Time!AN29=1,AN83,AN81)*AO13,0)</f>
        <v/>
      </c>
      <c r="AO129" s="11">
        <f>IF(AND(Time!AO17&gt;=Time!$F$11,Time!AO17&lt;57),(IF(Time!AO29=1,AO83,AO81)-AO80)*AP19+AP22*MIN($F$75/4,AO80)+IF(Time!AO29=1,AO83,AO81)*AP13,0)</f>
        <v/>
      </c>
      <c r="AP129" s="11">
        <f>IF(AND(Time!AP17&gt;=Time!$F$11,Time!AP17&lt;57),(IF(Time!AP29=1,AP83,AP81)-AP80)*AQ19+AQ22*MIN($F$75/4,AP80)+IF(Time!AP29=1,AP83,AP81)*AQ13,0)</f>
        <v/>
      </c>
      <c r="AQ129" s="11">
        <f>IF(AND(Time!AQ17&gt;=Time!$F$11,Time!AQ17&lt;57),(IF(Time!AQ29=1,AQ83,AQ81)-AQ80)*AR19+AR22*MIN($F$75/4,AQ80)+IF(Time!AQ29=1,AQ83,AQ81)*AR13,0)</f>
        <v/>
      </c>
      <c r="AR129" s="11">
        <f>IF(AND(Time!AR17&gt;=Time!$F$11,Time!AR17&lt;57),(IF(Time!AR29=1,AR83,AR81)-AR80)*AS19+AS22*MIN($F$75/4,AR80)+IF(Time!AR29=1,AR83,AR81)*AS13,0)</f>
        <v/>
      </c>
      <c r="AS129" s="11">
        <f>IF(AND(Time!AS17&gt;=Time!$F$11,Time!AS17&lt;57),(IF(Time!AS29=1,AS83,AS81)-AS80)*AT19+AT22*MIN($F$75/4,AS80)+IF(Time!AS29=1,AS83,AS81)*AT13,0)</f>
        <v/>
      </c>
      <c r="AT129" s="11">
        <f>IF(AND(Time!AT17&gt;=Time!$F$11,Time!AT17&lt;57),(IF(Time!AT29=1,AT83,AT81)-AT80)*AU19+AU22*MIN($F$75/4,AT80)+IF(Time!AT29=1,AT83,AT81)*AU13,0)</f>
        <v/>
      </c>
      <c r="AU129" s="11">
        <f>IF(AND(Time!AU17&gt;=Time!$F$11,Time!AU17&lt;57),(IF(Time!AU29=1,AU83,AU81)-AU80)*AV19+AV22*MIN($F$75/4,AU80)+IF(Time!AU29=1,AU83,AU81)*AV13,0)</f>
        <v/>
      </c>
      <c r="AV129" s="11">
        <f>IF(AND(Time!AV17&gt;=Time!$F$11,Time!AV17&lt;57),(IF(Time!AV29=1,AV83,AV81)-AV80)*AW19+AW22*MIN($F$75/4,AV80)+IF(Time!AV29=1,AV83,AV81)*AW13,0)</f>
        <v/>
      </c>
      <c r="AW129" s="11">
        <f>IF(AND(Time!AW17&gt;=Time!$F$11,Time!AW17&lt;57),(IF(Time!AW29=1,AW83,AW81)-AW80)*AX19+AX22*MIN($F$75/4,AW80)+IF(Time!AW29=1,AW83,AW81)*AX13,0)</f>
        <v/>
      </c>
      <c r="AX129" s="11">
        <f>IF(AND(Time!AX17&gt;=Time!$F$11,Time!AX17&lt;57),(IF(Time!AX29=1,AX83,AX81)-AX80)*AY19+AY22*MIN($F$75/4,AX80)+IF(Time!AX29=1,AX83,AX81)*AY13,0)</f>
        <v/>
      </c>
      <c r="AY129" s="11">
        <f>IF(AND(Time!AY17&gt;=Time!$F$11,Time!AY17&lt;57),(IF(Time!AY29=1,AY83,AY81)-AY80)*AZ19+AZ22*MIN($F$75/4,AY80)+IF(Time!AY29=1,AY83,AY81)*AZ13,0)</f>
        <v/>
      </c>
      <c r="AZ129" s="11">
        <f>IF(AND(Time!AZ17&gt;=Time!$F$11,Time!AZ17&lt;57),(IF(Time!AZ29=1,AZ83,AZ81)-AZ80)*BA19+BA22*MIN($F$75/4,AZ80)+IF(Time!AZ29=1,AZ83,AZ81)*BA13,0)</f>
        <v/>
      </c>
      <c r="BA129" s="11">
        <f>IF(AND(Time!BA17&gt;=Time!$F$11,Time!BA17&lt;57),(IF(Time!BA29=1,BA83,BA81)-BA80)*BB19+BB22*MIN($F$75/4,BA80)+IF(Time!BA29=1,BA83,BA81)*BB13,0)</f>
        <v/>
      </c>
      <c r="BB129" s="11">
        <f>IF(AND(Time!BB17&gt;=Time!$F$11,Time!BB17&lt;57),(IF(Time!BB29=1,BB83,BB81)-BB80)*BC19+BC22*MIN($F$75/4,BB80)+IF(Time!BB29=1,BB83,BB81)*BC13,0)</f>
        <v/>
      </c>
      <c r="BC129" s="11">
        <f>IF(AND(Time!BC17&gt;=Time!$F$11,Time!BC17&lt;57),(IF(Time!BC29=1,BC83,BC81)-BC80)*BD19+BD22*MIN($F$75/4,BC80)+IF(Time!BC29=1,BC83,BC81)*BD13,0)</f>
        <v/>
      </c>
      <c r="BD129" s="11">
        <f>IF(AND(Time!BD17&gt;=Time!$F$11,Time!BD17&lt;57),(IF(Time!BD29=1,BD83,BD81)-BD80)*BE19+BE22*MIN($F$75/4,BD80)+IF(Time!BD29=1,BD83,BD81)*BE13,0)</f>
        <v/>
      </c>
      <c r="BE129" s="11">
        <f>IF(AND(Time!BE17&gt;=Time!$F$11,Time!BE17&lt;57),(IF(Time!BE29=1,BE83,BE81)-BE80)*BF19+BF22*MIN($F$75/4,BE80)+IF(Time!BE29=1,BE83,BE81)*BF13,0)</f>
        <v/>
      </c>
      <c r="BF129" s="11">
        <f>IF(AND(Time!BF17&gt;=Time!$F$11,Time!BF17&lt;57),(IF(Time!BF29=1,BF83,BF81)-BF80)*BG19+BG22*MIN($F$75/4,BF80)+IF(Time!BF29=1,BF83,BF81)*BG13,0)</f>
        <v/>
      </c>
      <c r="BG129" s="11">
        <f>IF(AND(Time!BG17&gt;=Time!$F$11,Time!BG17&lt;57),(IF(Time!BG29=1,BG83,BG81)-BG80)*BH19+BH22*MIN($F$75/4,BG80)+IF(Time!BG29=1,BG83,BG81)*BH13,0)</f>
        <v/>
      </c>
      <c r="BH129" s="11">
        <f>IF(AND(Time!BH17&gt;=Time!$F$11,Time!BH17&lt;57),(IF(Time!BH29=1,BH83,BH81)-BH80)*BI19+BI22*MIN($F$75/4,BH80)+IF(Time!BH29=1,BH83,BH81)*BI13,0)</f>
        <v/>
      </c>
      <c r="BI129" s="11">
        <f>IF(AND(Time!BI17&gt;=Time!$F$11,Time!BI17&lt;57),(IF(Time!BI29=1,BI83,BI81)-BI80)*BJ19+BJ22*MIN($F$75/4,BI80)+IF(Time!BI29=1,BI83,BI81)*BJ13,0)</f>
        <v/>
      </c>
      <c r="BJ129" s="11">
        <f>IF(AND(Time!BJ17&gt;=Time!$F$11,Time!BJ17&lt;57),(IF(Time!BJ29=1,BJ83,BJ81)-BJ80)*BK19+BK22*MIN($F$75/4,BJ80)+IF(Time!BJ29=1,BJ83,BJ81)*BK13,0)</f>
        <v/>
      </c>
      <c r="BK129" s="11">
        <f>IF(AND(Time!BK17&gt;=Time!$F$11,Time!BK17&lt;57),(IF(Time!BK29=1,BK83,BK81)-BK80)*BL19+BL22*MIN($F$75/4,BK80)+IF(Time!BK29=1,BK83,BK81)*BL13,0)</f>
        <v/>
      </c>
      <c r="BL129" s="11">
        <f>IF(AND(Time!BL17&gt;=Time!$F$11,Time!BL17&lt;57),(IF(Time!BL29=1,BL83,BL81)-BL80)*BM19+BM22*MIN($F$75/4,BL80)+IF(Time!BL29=1,BL83,BL81)*BM13,0)</f>
        <v/>
      </c>
      <c r="BM129" s="11">
        <f>IF(AND(Time!BM17&gt;=Time!$F$11,Time!BM17&lt;57),(IF(Time!BM29=1,BM83,BM81)-BM80)*BN19+BN22*MIN($F$75/4,BM80)+IF(Time!BM29=1,BM83,BM81)*BN13,0)</f>
        <v/>
      </c>
      <c r="BN129" s="11">
        <f>IF(AND(Time!BN17&gt;=Time!$F$11,Time!BN17&lt;57),(IF(Time!BN29=1,BN83,BN81)-BN80)*0+0*MIN($F$75/4,BN80)+IF(Time!BN29=1,BN83,BN81)*0,0)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IF(AND(Time!J17&gt;=Time!$F$11,Time!J17&lt;57),(IF(Time!J29=1,J98,J96)-J95)*K19+K22*MIN($F$90/4,J95)+IF(Time!J29=1,J98,J96)*K14,0)</f>
        <v/>
      </c>
      <c r="K130" s="11">
        <f>IF(AND(Time!K17&gt;=Time!$F$11,Time!K17&lt;57),(IF(Time!K29=1,K98,K96)-K95)*L19+L22*MIN($F$90/4,K95)+IF(Time!K29=1,K98,K96)*L14,0)</f>
        <v/>
      </c>
      <c r="L130" s="11">
        <f>IF(AND(Time!L17&gt;=Time!$F$11,Time!L17&lt;57),(IF(Time!L29=1,L98,L96)-L95)*M19+M22*MIN($F$90/4,L95)+IF(Time!L29=1,L98,L96)*M14,0)</f>
        <v/>
      </c>
      <c r="M130" s="11">
        <f>IF(AND(Time!M17&gt;=Time!$F$11,Time!M17&lt;57),(IF(Time!M29=1,M98,M96)-M95)*N19+N22*MIN($F$90/4,M95)+IF(Time!M29=1,M98,M96)*N14,0)</f>
        <v/>
      </c>
      <c r="N130" s="11">
        <f>IF(AND(Time!N17&gt;=Time!$F$11,Time!N17&lt;57),(IF(Time!N29=1,N98,N96)-N95)*O19+O22*MIN($F$90/4,N95)+IF(Time!N29=1,N98,N96)*O14,0)</f>
        <v/>
      </c>
      <c r="O130" s="11">
        <f>IF(AND(Time!O17&gt;=Time!$F$11,Time!O17&lt;57),(IF(Time!O29=1,O98,O96)-O95)*P19+P22*MIN($F$90/4,O95)+IF(Time!O29=1,O98,O96)*P14,0)</f>
        <v/>
      </c>
      <c r="P130" s="11">
        <f>IF(AND(Time!P17&gt;=Time!$F$11,Time!P17&lt;57),(IF(Time!P29=1,P98,P96)-P95)*Q19+Q22*MIN($F$90/4,P95)+IF(Time!P29=1,P98,P96)*Q14,0)</f>
        <v/>
      </c>
      <c r="Q130" s="11">
        <f>IF(AND(Time!Q17&gt;=Time!$F$11,Time!Q17&lt;57),(IF(Time!Q29=1,Q98,Q96)-Q95)*R19+R22*MIN($F$90/4,Q95)+IF(Time!Q29=1,Q98,Q96)*R14,0)</f>
        <v/>
      </c>
      <c r="R130" s="11">
        <f>IF(AND(Time!R17&gt;=Time!$F$11,Time!R17&lt;57),(IF(Time!R29=1,R98,R96)-R95)*S19+S22*MIN($F$90/4,R95)+IF(Time!R29=1,R98,R96)*S14,0)</f>
        <v/>
      </c>
      <c r="S130" s="11">
        <f>IF(AND(Time!S17&gt;=Time!$F$11,Time!S17&lt;57),(IF(Time!S29=1,S98,S96)-S95)*T19+T22*MIN($F$90/4,S95)+IF(Time!S29=1,S98,S96)*T14,0)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IF(AND(Time!X17&gt;=Time!$F$11,Time!X17&lt;57),(IF(Time!X29=1,X98,X96)-X95)*Y19+Y22*MIN($F$90/4,X95)+IF(Time!X29=1,X98,X96)*Y14,0)</f>
        <v/>
      </c>
      <c r="Y130" s="11">
        <f>IF(AND(Time!Y17&gt;=Time!$F$11,Time!Y17&lt;57),(IF(Time!Y29=1,Y98,Y96)-Y95)*Z19+Z22*MIN($F$90/4,Y95)+IF(Time!Y29=1,Y98,Y96)*Z14,0)</f>
        <v/>
      </c>
      <c r="Z130" s="11">
        <f>IF(AND(Time!Z17&gt;=Time!$F$11,Time!Z17&lt;57),(IF(Time!Z29=1,Z98,Z96)-Z95)*AA19+AA22*MIN($F$90/4,Z95)+IF(Time!Z29=1,Z98,Z96)*AA14,0)</f>
        <v/>
      </c>
      <c r="AA130" s="11">
        <f>IF(AND(Time!AA17&gt;=Time!$F$11,Time!AA17&lt;57),(IF(Time!AA29=1,AA98,AA96)-AA95)*AB19+AB22*MIN($F$90/4,AA95)+IF(Time!AA29=1,AA98,AA96)*AB14,0)</f>
        <v/>
      </c>
      <c r="AB130" s="11">
        <f>IF(AND(Time!AB17&gt;=Time!$F$11,Time!AB17&lt;57),(IF(Time!AB29=1,AB98,AB96)-AB95)*AC19+AC22*MIN($F$90/4,AB95)+IF(Time!AB29=1,AB98,AB96)*AC14,0)</f>
        <v/>
      </c>
      <c r="AC130" s="11">
        <f>IF(AND(Time!AC17&gt;=Time!$F$11,Time!AC17&lt;57),(IF(Time!AC29=1,AC98,AC96)-AC95)*AD19+AD22*MIN($F$90/4,AC95)+IF(Time!AC29=1,AC98,AC96)*AD14,0)</f>
        <v/>
      </c>
      <c r="AD130" s="11">
        <f>IF(AND(Time!AD17&gt;=Time!$F$11,Time!AD17&lt;57),(IF(Time!AD29=1,AD98,AD96)-AD95)*AE19+AE22*MIN($F$90/4,AD95)+IF(Time!AD29=1,AD98,AD96)*AE14,0)</f>
        <v/>
      </c>
      <c r="AE130" s="11">
        <f>IF(AND(Time!AE17&gt;=Time!$F$11,Time!AE17&lt;57),(IF(Time!AE29=1,AE98,AE96)-AE95)*AF19+AF22*MIN($F$90/4,AE95)+IF(Time!AE29=1,AE98,AE96)*AF14,0)</f>
        <v/>
      </c>
      <c r="AF130" s="11">
        <f>IF(AND(Time!AF17&gt;=Time!$F$11,Time!AF17&lt;57),(IF(Time!AF29=1,AF98,AF96)-AF95)*AG19+AG22*MIN($F$90/4,AF95)+IF(Time!AF29=1,AF98,AF96)*AG14,0)</f>
        <v/>
      </c>
      <c r="AG130" s="11">
        <f>IF(AND(Time!AG17&gt;=Time!$F$11,Time!AG17&lt;57),(IF(Time!AG29=1,AG98,AG96)-AG95)*AH19+AH22*MIN($F$90/4,AG95)+IF(Time!AG29=1,AG98,AG96)*AH14,0)</f>
        <v/>
      </c>
      <c r="AH130" s="11">
        <f>IF(AND(Time!AH17&gt;=Time!$F$11,Time!AH17&lt;57),(IF(Time!AH29=1,AH98,AH96)-AH95)*AI19+AI22*MIN($F$90/4,AH95)+IF(Time!AH29=1,AH98,AH96)*AI14,0)</f>
        <v/>
      </c>
      <c r="AI130" s="11">
        <f>IF(AND(Time!AI17&gt;=Time!$F$11,Time!AI17&lt;57),(IF(Time!AI29=1,AI98,AI96)-AI95)*AJ19+AJ22*MIN($F$90/4,AI95)+IF(Time!AI29=1,AI98,AI96)*AJ14,0)</f>
        <v/>
      </c>
      <c r="AJ130" s="11">
        <f>IF(AND(Time!AJ17&gt;=Time!$F$11,Time!AJ17&lt;57),(IF(Time!AJ29=1,AJ98,AJ96)-AJ95)*AK19+AK22*MIN($F$90/4,AJ95)+IF(Time!AJ29=1,AJ98,AJ96)*AK14,0)</f>
        <v/>
      </c>
      <c r="AK130" s="11">
        <f>IF(AND(Time!AK17&gt;=Time!$F$11,Time!AK17&lt;57),(IF(Time!AK29=1,AK98,AK96)-AK95)*AL19+AL22*MIN($F$90/4,AK95)+IF(Time!AK29=1,AK98,AK96)*AL14,0)</f>
        <v/>
      </c>
      <c r="AL130" s="11">
        <f>IF(AND(Time!AL17&gt;=Time!$F$11,Time!AL17&lt;57),(IF(Time!AL29=1,AL98,AL96)-AL95)*AM19+AM22*MIN($F$90/4,AL95)+IF(Time!AL29=1,AL98,AL96)*AM14,0)</f>
        <v/>
      </c>
      <c r="AM130" s="11">
        <f>IF(AND(Time!AM17&gt;=Time!$F$11,Time!AM17&lt;57),(IF(Time!AM29=1,AM98,AM96)-AM95)*AN19+AN22*MIN($F$90/4,AM95)+IF(Time!AM29=1,AM98,AM96)*AN14,0)</f>
        <v/>
      </c>
      <c r="AN130" s="11">
        <f>IF(AND(Time!AN17&gt;=Time!$F$11,Time!AN17&lt;57),(IF(Time!AN29=1,AN98,AN96)-AN95)*AO19+AO22*MIN($F$90/4,AN95)+IF(Time!AN29=1,AN98,AN96)*AO14,0)</f>
        <v/>
      </c>
      <c r="AO130" s="11">
        <f>IF(AND(Time!AO17&gt;=Time!$F$11,Time!AO17&lt;57),(IF(Time!AO29=1,AO98,AO96)-AO95)*AP19+AP22*MIN($F$90/4,AO95)+IF(Time!AO29=1,AO98,AO96)*AP14,0)</f>
        <v/>
      </c>
      <c r="AP130" s="11">
        <f>IF(AND(Time!AP17&gt;=Time!$F$11,Time!AP17&lt;57),(IF(Time!AP29=1,AP98,AP96)-AP95)*AQ19+AQ22*MIN($F$90/4,AP95)+IF(Time!AP29=1,AP98,AP96)*AQ14,0)</f>
        <v/>
      </c>
      <c r="AQ130" s="11">
        <f>IF(AND(Time!AQ17&gt;=Time!$F$11,Time!AQ17&lt;57),(IF(Time!AQ29=1,AQ98,AQ96)-AQ95)*AR19+AR22*MIN($F$90/4,AQ95)+IF(Time!AQ29=1,AQ98,AQ96)*AR14,0)</f>
        <v/>
      </c>
      <c r="AR130" s="11">
        <f>IF(AND(Time!AR17&gt;=Time!$F$11,Time!AR17&lt;57),(IF(Time!AR29=1,AR98,AR96)-AR95)*AS19+AS22*MIN($F$90/4,AR95)+IF(Time!AR29=1,AR98,AR96)*AS14,0)</f>
        <v/>
      </c>
      <c r="AS130" s="11">
        <f>IF(AND(Time!AS17&gt;=Time!$F$11,Time!AS17&lt;57),(IF(Time!AS29=1,AS98,AS96)-AS95)*AT19+AT22*MIN($F$90/4,AS95)+IF(Time!AS29=1,AS98,AS96)*AT14,0)</f>
        <v/>
      </c>
      <c r="AT130" s="11">
        <f>IF(AND(Time!AT17&gt;=Time!$F$11,Time!AT17&lt;57),(IF(Time!AT29=1,AT98,AT96)-AT95)*AU19+AU22*MIN($F$90/4,AT95)+IF(Time!AT29=1,AT98,AT96)*AU14,0)</f>
        <v/>
      </c>
      <c r="AU130" s="11">
        <f>IF(AND(Time!AU17&gt;=Time!$F$11,Time!AU17&lt;57),(IF(Time!AU29=1,AU98,AU96)-AU95)*AV19+AV22*MIN($F$90/4,AU95)+IF(Time!AU29=1,AU98,AU96)*AV14,0)</f>
        <v/>
      </c>
      <c r="AV130" s="11">
        <f>IF(AND(Time!AV17&gt;=Time!$F$11,Time!AV17&lt;57),(IF(Time!AV29=1,AV98,AV96)-AV95)*AW19+AW22*MIN($F$90/4,AV95)+IF(Time!AV29=1,AV98,AV96)*AW14,0)</f>
        <v/>
      </c>
      <c r="AW130" s="11">
        <f>IF(AND(Time!AW17&gt;=Time!$F$11,Time!AW17&lt;57),(IF(Time!AW29=1,AW98,AW96)-AW95)*AX19+AX22*MIN($F$90/4,AW95)+IF(Time!AW29=1,AW98,AW96)*AX14,0)</f>
        <v/>
      </c>
      <c r="AX130" s="11">
        <f>IF(AND(Time!AX17&gt;=Time!$F$11,Time!AX17&lt;57),(IF(Time!AX29=1,AX98,AX96)-AX95)*AY19+AY22*MIN($F$90/4,AX95)+IF(Time!AX29=1,AX98,AX96)*AY14,0)</f>
        <v/>
      </c>
      <c r="AY130" s="11">
        <f>IF(AND(Time!AY17&gt;=Time!$F$11,Time!AY17&lt;57),(IF(Time!AY29=1,AY98,AY96)-AY95)*AZ19+AZ22*MIN($F$90/4,AY95)+IF(Time!AY29=1,AY98,AY96)*AZ14,0)</f>
        <v/>
      </c>
      <c r="AZ130" s="11">
        <f>IF(AND(Time!AZ17&gt;=Time!$F$11,Time!AZ17&lt;57),(IF(Time!AZ29=1,AZ98,AZ96)-AZ95)*BA19+BA22*MIN($F$90/4,AZ95)+IF(Time!AZ29=1,AZ98,AZ96)*BA14,0)</f>
        <v/>
      </c>
      <c r="BA130" s="11">
        <f>IF(AND(Time!BA17&gt;=Time!$F$11,Time!BA17&lt;57),(IF(Time!BA29=1,BA98,BA96)-BA95)*BB19+BB22*MIN($F$90/4,BA95)+IF(Time!BA29=1,BA98,BA96)*BB14,0)</f>
        <v/>
      </c>
      <c r="BB130" s="11">
        <f>IF(AND(Time!BB17&gt;=Time!$F$11,Time!BB17&lt;57),(IF(Time!BB29=1,BB98,BB96)-BB95)*BC19+BC22*MIN($F$90/4,BB95)+IF(Time!BB29=1,BB98,BB96)*BC14,0)</f>
        <v/>
      </c>
      <c r="BC130" s="11">
        <f>IF(AND(Time!BC17&gt;=Time!$F$11,Time!BC17&lt;57),(IF(Time!BC29=1,BC98,BC96)-BC95)*BD19+BD22*MIN($F$90/4,BC95)+IF(Time!BC29=1,BC98,BC96)*BD14,0)</f>
        <v/>
      </c>
      <c r="BD130" s="11">
        <f>IF(AND(Time!BD17&gt;=Time!$F$11,Time!BD17&lt;57),(IF(Time!BD29=1,BD98,BD96)-BD95)*BE19+BE22*MIN($F$90/4,BD95)+IF(Time!BD29=1,BD98,BD96)*BE14,0)</f>
        <v/>
      </c>
      <c r="BE130" s="11">
        <f>IF(AND(Time!BE17&gt;=Time!$F$11,Time!BE17&lt;57),(IF(Time!BE29=1,BE98,BE96)-BE95)*BF19+BF22*MIN($F$90/4,BE95)+IF(Time!BE29=1,BE98,BE96)*BF14,0)</f>
        <v/>
      </c>
      <c r="BF130" s="11">
        <f>IF(AND(Time!BF17&gt;=Time!$F$11,Time!BF17&lt;57),(IF(Time!BF29=1,BF98,BF96)-BF95)*BG19+BG22*MIN($F$90/4,BF95)+IF(Time!BF29=1,BF98,BF96)*BG14,0)</f>
        <v/>
      </c>
      <c r="BG130" s="11">
        <f>IF(AND(Time!BG17&gt;=Time!$F$11,Time!BG17&lt;57),(IF(Time!BG29=1,BG98,BG96)-BG95)*BH19+BH22*MIN($F$90/4,BG95)+IF(Time!BG29=1,BG98,BG96)*BH14,0)</f>
        <v/>
      </c>
      <c r="BH130" s="11">
        <f>IF(AND(Time!BH17&gt;=Time!$F$11,Time!BH17&lt;57),(IF(Time!BH29=1,BH98,BH96)-BH95)*BI19+BI22*MIN($F$90/4,BH95)+IF(Time!BH29=1,BH98,BH96)*BI14,0)</f>
        <v/>
      </c>
      <c r="BI130" s="11">
        <f>IF(AND(Time!BI17&gt;=Time!$F$11,Time!BI17&lt;57),(IF(Time!BI29=1,BI98,BI96)-BI95)*BJ19+BJ22*MIN($F$90/4,BI95)+IF(Time!BI29=1,BI98,BI96)*BJ14,0)</f>
        <v/>
      </c>
      <c r="BJ130" s="11">
        <f>IF(AND(Time!BJ17&gt;=Time!$F$11,Time!BJ17&lt;57),(IF(Time!BJ29=1,BJ98,BJ96)-BJ95)*BK19+BK22*MIN($F$90/4,BJ95)+IF(Time!BJ29=1,BJ98,BJ96)*BK14,0)</f>
        <v/>
      </c>
      <c r="BK130" s="11">
        <f>IF(AND(Time!BK17&gt;=Time!$F$11,Time!BK17&lt;57),(IF(Time!BK29=1,BK98,BK96)-BK95)*BL19+BL22*MIN($F$90/4,BK95)+IF(Time!BK29=1,BK98,BK96)*BL14,0)</f>
        <v/>
      </c>
      <c r="BL130" s="11">
        <f>IF(AND(Time!BL17&gt;=Time!$F$11,Time!BL17&lt;57),(IF(Time!BL29=1,BL98,BL96)-BL95)*BM19+BM22*MIN($F$90/4,BL95)+IF(Time!BL29=1,BL98,BL96)*BM14,0)</f>
        <v/>
      </c>
      <c r="BM130" s="11">
        <f>IF(AND(Time!BM17&gt;=Time!$F$11,Time!BM17&lt;57),(IF(Time!BM29=1,BM98,BM96)-BM95)*BN19+BN22*MIN($F$90/4,BM95)+IF(Time!BM29=1,BM98,BM96)*BN14,0)</f>
        <v/>
      </c>
      <c r="BN130" s="11">
        <f>IF(AND(Time!BN17&gt;=Time!$F$11,Time!BN17&lt;57),(IF(Time!BN29=1,BN98,BN96)-BN95)*0+0*MIN($F$90/4,BN95)+IF(Time!BN29=1,BN98,BN96)*0,0)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IF(AND(Time!J17&gt;=Time!$F$11,Time!J17&lt;57,J103+J20*$F$109&gt;0.000000001),MIN($F$109*Inputs!K221,J103+J20*$F$109)+(J103+J20*$F$109)*(K15+Inputs!$F$197/100*0.5*Inputs!$F$196/$F$109),0)</f>
        <v/>
      </c>
      <c r="K131" s="11">
        <f>IF(AND(Time!K17&gt;=Time!$F$11,Time!K17&lt;57,K103+K20*$F$109&gt;0.000000001),MIN($F$109*Inputs!L221,K103+K20*$F$109)+(K103+K20*$F$109)*(L15+Inputs!$F$197/100*0.5*Inputs!$F$196/$F$109),0)</f>
        <v/>
      </c>
      <c r="L131" s="11">
        <f>IF(AND(Time!L17&gt;=Time!$F$11,Time!L17&lt;57,L103+L20*$F$109&gt;0.000000001),MIN($F$109*Inputs!M221,L103+L20*$F$109)+(L103+L20*$F$109)*(M15+Inputs!$F$197/100*0.5*Inputs!$F$196/$F$109),0)</f>
        <v/>
      </c>
      <c r="M131" s="11">
        <f>IF(AND(Time!M17&gt;=Time!$F$11,Time!M17&lt;57,M103+M20*$F$109&gt;0.000000001),MIN($F$109*Inputs!N221,M103+M20*$F$109)+(M103+M20*$F$109)*(N15+Inputs!$F$197/100*0.5*Inputs!$F$196/$F$109),0)</f>
        <v/>
      </c>
      <c r="N131" s="11">
        <f>IF(AND(Time!N17&gt;=Time!$F$11,Time!N17&lt;57,N103+N20*$F$109&gt;0.000000001),MIN($F$109*Inputs!O221,N103+N20*$F$109)+(N103+N20*$F$109)*(O15+Inputs!$F$197/100*0.5*Inputs!$F$196/$F$109),0)</f>
        <v/>
      </c>
      <c r="O131" s="11">
        <f>IF(AND(Time!O17&gt;=Time!$F$11,Time!O17&lt;57,O103+O20*$F$109&gt;0.000000001),MIN($F$109*Inputs!P221,O103+O20*$F$109)+(O103+O20*$F$109)*(P15+Inputs!$F$197/100*0.5*Inputs!$F$196/$F$109),0)</f>
        <v/>
      </c>
      <c r="P131" s="11">
        <f>IF(AND(Time!P17&gt;=Time!$F$11,Time!P17&lt;57,P103+P20*$F$109&gt;0.000000001),MIN($F$109*Inputs!Q221,P103+P20*$F$109)+(P103+P20*$F$109)*(Q15+Inputs!$F$197/100*0.5*Inputs!$F$196/$F$109),0)</f>
        <v/>
      </c>
      <c r="Q131" s="11">
        <f>IF(AND(Time!Q17&gt;=Time!$F$11,Time!Q17&lt;57,Q103+Q20*$F$109&gt;0.000000001),MIN($F$109*Inputs!R221,Q103+Q20*$F$109)+(Q103+Q20*$F$109)*(R15+Inputs!$F$197/100*0.5*Inputs!$F$196/$F$109),0)</f>
        <v/>
      </c>
      <c r="R131" s="11">
        <f>IF(AND(Time!R17&gt;=Time!$F$11,Time!R17&lt;57,R103+R20*$F$109&gt;0.000000001),MIN($F$109*Inputs!S221,R103+R20*$F$109)+(R103+R20*$F$109)*(S15+Inputs!$F$197/100*0.5*Inputs!$F$196/$F$109),0)</f>
        <v/>
      </c>
      <c r="S131" s="11">
        <f>IF(AND(Time!S17&gt;=Time!$F$11,Time!S17&lt;57,S103+S20*$F$109&gt;0.000000001),MIN($F$109*Inputs!T221,S103+S20*$F$109)+(S103+S20*$F$109)*(T15+Inputs!$F$197/100*0.5*Inputs!$F$196/$F$109),0)</f>
        <v/>
      </c>
      <c r="T131" s="11">
        <f>IF(AND(Time!T17&gt;=Time!$F$11,Time!T17&lt;57,T103+T20*$F$109&gt;0.000000001),MIN($F$109*Inputs!U221,T103+T20*$F$109)+(T103+T20*$F$109)*(U15+Inputs!$F$197/100*0.5*Inputs!$F$196/$F$109),0)</f>
        <v/>
      </c>
      <c r="U131" s="11">
        <f>IF(AND(Time!U17&gt;=Time!$F$11,Time!U17&lt;57,U103+U20*$F$109&gt;0.000000001),MIN($F$109*Inputs!V221,U103+U20*$F$109)+(U103+U20*$F$109)*(V15+Inputs!$F$197/100*0.5*Inputs!$F$196/$F$109),0)</f>
        <v/>
      </c>
      <c r="V131" s="11">
        <f>IF(AND(Time!V17&gt;=Time!$F$11,Time!V17&lt;57,V103+V20*$F$109&gt;0.000000001),MIN($F$109*Inputs!W221,V103+V20*$F$109)+(V103+V20*$F$109)*(W15+Inputs!$F$197/100*0.5*Inputs!$F$196/$F$109),0)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IF(J134=1,Waterfall!J7/$F$137,0)</f>
        <v/>
      </c>
      <c r="K140" s="11">
        <f>IF(K134=1,Waterfall!K7/$F$137,0)</f>
        <v/>
      </c>
      <c r="L140" s="11">
        <f>IF(L134=1,Waterfall!L7/$F$137,0)</f>
        <v/>
      </c>
      <c r="M140" s="11">
        <f>IF(M134=1,Waterfall!M7/$F$137,0)</f>
        <v/>
      </c>
      <c r="N140" s="11">
        <f>IF(N134=1,Waterfall!N7/$F$137,0)</f>
        <v/>
      </c>
      <c r="O140" s="11">
        <f>IF(O134=1,Waterfall!O7/$F$137,0)</f>
        <v/>
      </c>
      <c r="P140" s="11">
        <f>IF(P134=1,Waterfall!P7/$F$137,0)</f>
        <v/>
      </c>
      <c r="Q140" s="11">
        <f>IF(Q134=1,Waterfall!Q7/$F$137,0)</f>
        <v/>
      </c>
      <c r="R140" s="11">
        <f>IF(R134=1,Waterfall!R7/$F$137,0)</f>
        <v/>
      </c>
      <c r="S140" s="11">
        <f>IF(S134=1,Waterfall!S7/$F$137,0)</f>
        <v/>
      </c>
      <c r="T140" s="11">
        <f>IF(T134=1,Waterfall!T7/$F$137,0)</f>
        <v/>
      </c>
      <c r="U140" s="11">
        <f>IF(U134=1,Waterfall!U7/$F$137,0)</f>
        <v/>
      </c>
      <c r="V140" s="11">
        <f>IF(V134=1,Waterfall!V7/$F$137,0)</f>
        <v/>
      </c>
      <c r="W140" s="11">
        <f>IF(W134=1,Waterfall!W7/$F$137,0)</f>
        <v/>
      </c>
      <c r="X140" s="11">
        <f>IF(X134=1,Waterfall!X7/$F$137,0)</f>
        <v/>
      </c>
      <c r="Y140" s="11">
        <f>IF(Y134=1,Waterfall!Y7/$F$137,0)</f>
        <v/>
      </c>
      <c r="Z140" s="11">
        <f>IF(Z134=1,Waterfall!Z7/$F$137,0)</f>
        <v/>
      </c>
      <c r="AA140" s="11">
        <f>IF(AA134=1,Waterfall!AA7/$F$137,0)</f>
        <v/>
      </c>
      <c r="AB140" s="11">
        <f>IF(AB134=1,Waterfall!AB7/$F$137,0)</f>
        <v/>
      </c>
      <c r="AC140" s="11">
        <f>IF(AC134=1,Waterfall!AC7/$F$137,0)</f>
        <v/>
      </c>
      <c r="AD140" s="11">
        <f>IF(AD134=1,Waterfall!AD7/$F$137,0)</f>
        <v/>
      </c>
      <c r="AE140" s="11">
        <f>IF(AE134=1,Waterfall!AE7/$F$137,0)</f>
        <v/>
      </c>
      <c r="AF140" s="11">
        <f>IF(AF134=1,Waterfall!AF7/$F$137,0)</f>
        <v/>
      </c>
      <c r="AG140" s="11">
        <f>IF(AG134=1,Waterfall!AG7/$F$137,0)</f>
        <v/>
      </c>
      <c r="AH140" s="11">
        <f>IF(AH134=1,Waterfall!AH7/$F$137,0)</f>
        <v/>
      </c>
      <c r="AI140" s="11">
        <f>IF(AI134=1,Waterfall!AI7/$F$137,0)</f>
        <v/>
      </c>
      <c r="AJ140" s="11">
        <f>IF(AJ134=1,Waterfall!AJ7/$F$137,0)</f>
        <v/>
      </c>
      <c r="AK140" s="11">
        <f>IF(AK134=1,Waterfall!AK7/$F$137,0)</f>
        <v/>
      </c>
      <c r="AL140" s="11">
        <f>IF(AL134=1,Waterfall!AL7/$F$137,0)</f>
        <v/>
      </c>
      <c r="AM140" s="11">
        <f>IF(AM134=1,Waterfall!AM7/$F$137,0)</f>
        <v/>
      </c>
      <c r="AN140" s="11">
        <f>IF(AN134=1,Waterfall!AN7/$F$137,0)</f>
        <v/>
      </c>
      <c r="AO140" s="11">
        <f>IF(AO134=1,Waterfall!AO7/$F$137,0)</f>
        <v/>
      </c>
      <c r="AP140" s="11">
        <f>IF(AP134=1,Waterfall!AP7/$F$137,0)</f>
        <v/>
      </c>
      <c r="AQ140" s="11">
        <f>IF(AQ134=1,Waterfall!AQ7/$F$137,0)</f>
        <v/>
      </c>
      <c r="AR140" s="11">
        <f>IF(AR134=1,Waterfall!AR7/$F$137,0)</f>
        <v/>
      </c>
      <c r="AS140" s="11">
        <f>IF(AS134=1,Waterfall!AS7/$F$137,0)</f>
        <v/>
      </c>
      <c r="AT140" s="11">
        <f>IF(AT134=1,Waterfall!AT7/$F$137,0)</f>
        <v/>
      </c>
      <c r="AU140" s="11">
        <f>IF(AU134=1,Waterfall!AU7/$F$137,0)</f>
        <v/>
      </c>
      <c r="AV140" s="11">
        <f>IF(AV134=1,Waterfall!AV7/$F$137,0)</f>
        <v/>
      </c>
      <c r="AW140" s="11">
        <f>IF(AW134=1,Waterfall!AW7/$F$137,0)</f>
        <v/>
      </c>
      <c r="AX140" s="11">
        <f>IF(AX134=1,Waterfall!AX7/$F$137,0)</f>
        <v/>
      </c>
      <c r="AY140" s="11">
        <f>IF(AY134=1,Waterfall!AY7/$F$137,0)</f>
        <v/>
      </c>
      <c r="AZ140" s="11">
        <f>IF(AZ134=1,Waterfall!AZ7/$F$137,0)</f>
        <v/>
      </c>
      <c r="BA140" s="11">
        <f>IF(BA134=1,Waterfall!BA7/$F$137,0)</f>
        <v/>
      </c>
      <c r="BB140" s="11">
        <f>IF(BB134=1,Waterfall!BB7/$F$137,0)</f>
        <v/>
      </c>
      <c r="BC140" s="11">
        <f>IF(BC134=1,Waterfall!BC7/$F$137,0)</f>
        <v/>
      </c>
      <c r="BD140" s="11">
        <f>IF(BD134=1,Waterfall!BD7/$F$137,0)</f>
        <v/>
      </c>
      <c r="BE140" s="11">
        <f>IF(BE134=1,Waterfall!BE7/$F$137,0)</f>
        <v/>
      </c>
      <c r="BF140" s="11">
        <f>IF(BF134=1,Waterfall!BF7/$F$137,0)</f>
        <v/>
      </c>
      <c r="BG140" s="11">
        <f>IF(BG134=1,Waterfall!BG7/$F$137,0)</f>
        <v/>
      </c>
      <c r="BH140" s="11">
        <f>IF(BH134=1,Waterfall!BH7/$F$137,0)</f>
        <v/>
      </c>
      <c r="BI140" s="11">
        <f>IF(BI134=1,Waterfall!BI7/$F$137,0)</f>
        <v/>
      </c>
      <c r="BJ140" s="11">
        <f>IF(BJ134=1,Waterfall!BJ7/$F$137,0)</f>
        <v/>
      </c>
      <c r="BK140" s="11">
        <f>IF(BK134=1,Waterfall!BK7/$F$137,0)</f>
        <v/>
      </c>
      <c r="BL140" s="11">
        <f>IF(BL134=1,Waterfall!BL7/$F$137,0)</f>
        <v/>
      </c>
      <c r="BM140" s="11">
        <f>IF(BM134=1,Waterfall!BM7/$F$137,0)</f>
        <v/>
      </c>
      <c r="BN140" s="11">
        <f>IF(BN134=1,Waterfall!BN7/$F$137,0)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MIN(IF(Debt!$J$121:$BN$121&gt;0.000000001,Waterfall!$J$17:$BN$17,999))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SUM(Waterfall!$J$7:$BN$7*(Debt!$J$121:$BN$121&gt;0.000000001))/SUM(Debt!$J$121:$BN$121)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2026-10-03T20:45:52Z</dcterms:created>
  <dcterms:modified xsi:type="dcterms:W3CDTF">2026-10-03T20:45:52Z</dcterms:modified>
</cp:coreProperties>
</file>