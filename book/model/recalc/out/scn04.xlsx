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<sst xmlns="http://schemas.openxmlformats.org/spreadsheetml/2006/main" count="2268" uniqueCount="840">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</sst>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4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-3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90.8</v>
      </c>
      <c r="P28" s="11" t="n">
        <f aca="false">IF(Time!P25&gt;0,P27+Inputs!$F$36,0)</f>
        <v>90.8</v>
      </c>
      <c r="Q28" s="11" t="n">
        <f aca="false">IF(Time!Q25&gt;0,Q27+Inputs!$F$36,0)</f>
        <v>90.5</v>
      </c>
      <c r="R28" s="11" t="n">
        <f aca="false">IF(Time!R25&gt;0,R27+Inputs!$F$36,0)</f>
        <v>89.9</v>
      </c>
      <c r="S28" s="11" t="n">
        <f aca="false">IF(Time!S25&gt;0,S27+Inputs!$F$36,0)</f>
        <v>90.2</v>
      </c>
      <c r="T28" s="11" t="n">
        <f aca="false">IF(Time!T25&gt;0,T27+Inputs!$F$36,0)</f>
        <v>90.8</v>
      </c>
      <c r="U28" s="11" t="n">
        <f aca="false">IF(Time!U25&gt;0,U27+Inputs!$F$36,0)</f>
        <v>89.7333333333333</v>
      </c>
      <c r="V28" s="11" t="n">
        <f aca="false">IF(Time!V25&gt;0,V27+Inputs!$F$36,0)</f>
        <v>87.6</v>
      </c>
      <c r="W28" s="11" t="n">
        <f aca="false">IF(Time!W25&gt;0,W27+Inputs!$F$36,0)</f>
        <v>88.6666666666667</v>
      </c>
      <c r="X28" s="11" t="n">
        <f aca="false">IF(Time!X25&gt;0,X27+Inputs!$F$36,0)</f>
        <v>90.8</v>
      </c>
      <c r="Y28" s="11" t="n">
        <f aca="false">IF(Time!Y25&gt;0,Y27+Inputs!$F$36,0)</f>
        <v>90.5</v>
      </c>
      <c r="Z28" s="11" t="n">
        <f aca="false">IF(Time!Z25&gt;0,Z27+Inputs!$F$36,0)</f>
        <v>89.9</v>
      </c>
      <c r="AA28" s="11" t="n">
        <f aca="false">IF(Time!AA25&gt;0,AA27+Inputs!$F$36,0)</f>
        <v>90.2</v>
      </c>
      <c r="AB28" s="11" t="n">
        <f aca="false">IF(Time!AB25&gt;0,AB27+Inputs!$F$36,0)</f>
        <v>90.8</v>
      </c>
      <c r="AC28" s="11" t="n">
        <f aca="false">IF(Time!AC25&gt;0,AC27+Inputs!$F$36,0)</f>
        <v>89.1</v>
      </c>
      <c r="AD28" s="11" t="n">
        <f aca="false">IF(Time!AD25&gt;0,AD27+Inputs!$F$36,0)</f>
        <v>85.7</v>
      </c>
      <c r="AE28" s="11" t="n">
        <f aca="false">IF(Time!AE25&gt;0,AE27+Inputs!$F$36,0)</f>
        <v>87.4</v>
      </c>
      <c r="AF28" s="11" t="n">
        <f aca="false">IF(Time!AF25&gt;0,AF27+Inputs!$F$36,0)</f>
        <v>90.8</v>
      </c>
      <c r="AG28" s="11" t="n">
        <f aca="false">IF(Time!AG25&gt;0,AG27+Inputs!$F$36,0)</f>
        <v>90.5</v>
      </c>
      <c r="AH28" s="11" t="n">
        <f aca="false">IF(Time!AH25&gt;0,AH27+Inputs!$F$36,0)</f>
        <v>89.9</v>
      </c>
      <c r="AI28" s="11" t="n">
        <f aca="false">IF(Time!AI25&gt;0,AI27+Inputs!$F$36,0)</f>
        <v>90.2</v>
      </c>
      <c r="AJ28" s="11" t="n">
        <f aca="false">IF(Time!AJ25&gt;0,AJ27+Inputs!$F$36,0)</f>
        <v>90.8</v>
      </c>
      <c r="AK28" s="11" t="n">
        <f aca="false">IF(Time!AK25&gt;0,AK27+Inputs!$F$36,0)</f>
        <v>89.7333333333333</v>
      </c>
      <c r="AL28" s="11" t="n">
        <f aca="false">IF(Time!AL25&gt;0,AL27+Inputs!$F$36,0)</f>
        <v>87.6</v>
      </c>
      <c r="AM28" s="11" t="n">
        <f aca="false">IF(Time!AM25&gt;0,AM27+Inputs!$F$36,0)</f>
        <v>88.6666666666667</v>
      </c>
      <c r="AN28" s="11" t="n">
        <f aca="false">IF(Time!AN25&gt;0,AN27+Inputs!$F$36,0)</f>
        <v>90.8</v>
      </c>
      <c r="AO28" s="11" t="n">
        <f aca="false">IF(Time!AO25&gt;0,AO27+Inputs!$F$36,0)</f>
        <v>90.5</v>
      </c>
      <c r="AP28" s="11" t="n">
        <f aca="false">IF(Time!AP25&gt;0,AP27+Inputs!$F$36,0)</f>
        <v>89.9</v>
      </c>
      <c r="AQ28" s="11" t="n">
        <f aca="false">IF(Time!AQ25&gt;0,AQ27+Inputs!$F$36,0)</f>
        <v>90.2</v>
      </c>
      <c r="AR28" s="11" t="n">
        <f aca="false">IF(Time!AR25&gt;0,AR27+Inputs!$F$36,0)</f>
        <v>90.8</v>
      </c>
      <c r="AS28" s="11" t="n">
        <f aca="false">IF(Time!AS25&gt;0,AS27+Inputs!$F$36,0)</f>
        <v>89.1</v>
      </c>
      <c r="AT28" s="11" t="n">
        <f aca="false">IF(Time!AT25&gt;0,AT27+Inputs!$F$36,0)</f>
        <v>85.7</v>
      </c>
      <c r="AU28" s="11" t="n">
        <f aca="false">IF(Time!AU25&gt;0,AU27+Inputs!$F$36,0)</f>
        <v>87.4</v>
      </c>
      <c r="AV28" s="11" t="n">
        <f aca="false">IF(Time!AV25&gt;0,AV27+Inputs!$F$36,0)</f>
        <v>90.8</v>
      </c>
      <c r="AW28" s="11" t="n">
        <f aca="false">IF(Time!AW25&gt;0,AW27+Inputs!$F$36,0)</f>
        <v>90.5</v>
      </c>
      <c r="AX28" s="11" t="n">
        <f aca="false">IF(Time!AX25&gt;0,AX27+Inputs!$F$36,0)</f>
        <v>89.9</v>
      </c>
      <c r="AY28" s="11" t="n">
        <f aca="false">IF(Time!AY25&gt;0,AY27+Inputs!$F$36,0)</f>
        <v>90.2</v>
      </c>
      <c r="AZ28" s="11" t="n">
        <f aca="false">IF(Time!AZ25&gt;0,AZ27+Inputs!$F$36,0)</f>
        <v>90.8</v>
      </c>
      <c r="BA28" s="11" t="n">
        <f aca="false">IF(Time!BA25&gt;0,BA27+Inputs!$F$36,0)</f>
        <v>89.7333333333333</v>
      </c>
      <c r="BB28" s="11" t="n">
        <f aca="false">IF(Time!BB25&gt;0,BB27+Inputs!$F$36,0)</f>
        <v>87.6</v>
      </c>
      <c r="BC28" s="11" t="n">
        <f aca="false">IF(Time!BC25&gt;0,BC27+Inputs!$F$36,0)</f>
        <v>88.6666666666667</v>
      </c>
      <c r="BD28" s="11" t="n">
        <f aca="false">IF(Time!BD25&gt;0,BD27+Inputs!$F$36,0)</f>
        <v>90.8</v>
      </c>
      <c r="BE28" s="11" t="n">
        <f aca="false">IF(Time!BE25&gt;0,BE27+Inputs!$F$36,0)</f>
        <v>90.5</v>
      </c>
      <c r="BF28" s="11" t="n">
        <f aca="false">IF(Time!BF25&gt;0,BF27+Inputs!$F$36,0)</f>
        <v>89.9</v>
      </c>
      <c r="BG28" s="11" t="n">
        <f aca="false">IF(Time!BG25&gt;0,BG27+Inputs!$F$36,0)</f>
        <v>90.2</v>
      </c>
      <c r="BH28" s="11" t="n">
        <f aca="false">IF(Time!BH25&gt;0,BH27+Inputs!$F$36,0)</f>
        <v>90.8</v>
      </c>
      <c r="BI28" s="11" t="n">
        <f aca="false">IF(Time!BI25&gt;0,BI27+Inputs!$F$36,0)</f>
        <v>89.1</v>
      </c>
      <c r="BJ28" s="11" t="n">
        <f aca="false">IF(Time!BJ25&gt;0,BJ27+Inputs!$F$36,0)</f>
        <v>85.7</v>
      </c>
      <c r="BK28" s="11" t="n">
        <f aca="false">IF(Time!BK25&gt;0,BK27+Inputs!$F$36,0)</f>
        <v>87.4</v>
      </c>
      <c r="BL28" s="11" t="n">
        <f aca="false">IF(Time!BL25&gt;0,BL27+Inputs!$F$36,0)</f>
        <v>90.8</v>
      </c>
      <c r="BM28" s="11" t="n">
        <f aca="false">IF(Time!BM25&gt;0,BM27+Inputs!$F$36,0)</f>
        <v>90.8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590681.960847535</v>
      </c>
      <c r="P33" s="13" t="n">
        <f aca="false">$F$30*730*Time!P25*P28/100*Inputs!$F$37/100*P32</f>
        <v>1771159.74883462</v>
      </c>
      <c r="Q33" s="13" t="n">
        <f aca="false">$F$30*730*Time!Q25*Q28/100*Inputs!$F$37/100*Q32</f>
        <v>1763983.09051403</v>
      </c>
      <c r="R33" s="13" t="n">
        <f aca="false">$F$30*730*Time!R25*R28/100*Inputs!$F$37/100*R32</f>
        <v>1750972.14933027</v>
      </c>
      <c r="S33" s="13" t="n">
        <f aca="false">$F$30*730*Time!S25*S28/100*Inputs!$F$37/100*S32</f>
        <v>1755494.79815872</v>
      </c>
      <c r="T33" s="13" t="n">
        <f aca="false">$F$30*730*Time!T25*T28/100*Inputs!$F$37/100*T32</f>
        <v>1765842.94658671</v>
      </c>
      <c r="U33" s="13" t="n">
        <f aca="false">$F$30*730*Time!U25*U28/100*Inputs!$F$37/100*U32</f>
        <v>1743785.24386879</v>
      </c>
      <c r="V33" s="13" t="n">
        <f aca="false">$F$30*730*Time!V25*V28/100*Inputs!$F$37/100*V32</f>
        <v>1701045.88306759</v>
      </c>
      <c r="W33" s="13" t="n">
        <f aca="false">$F$30*730*Time!W25*W28/100*Inputs!$F$37/100*W32</f>
        <v>1720460.79935245</v>
      </c>
      <c r="X33" s="13" t="n">
        <f aca="false">$F$30*730*Time!X25*X28/100*Inputs!$F$37/100*X32</f>
        <v>1760526.1443388</v>
      </c>
      <c r="Y33" s="13" t="n">
        <f aca="false">$F$30*730*Time!Y25*Y28/100*Inputs!$F$37/100*Y32</f>
        <v>1753384.61907272</v>
      </c>
      <c r="Z33" s="13" t="n">
        <f aca="false">$F$30*730*Time!Z25*Z28/100*Inputs!$F$37/100*Z32</f>
        <v>1740443.94399796</v>
      </c>
      <c r="AA33" s="13" t="n">
        <f aca="false">$F$30*730*Time!AA25*AA28/100*Inputs!$F$37/100*AA32</f>
        <v>1744931.4597719</v>
      </c>
      <c r="AB33" s="13" t="n">
        <f aca="false">$F$30*730*Time!AB25*AB28/100*Inputs!$F$37/100*AB32</f>
        <v>1755209.34209089</v>
      </c>
      <c r="AC33" s="13" t="n">
        <f aca="false">$F$30*730*Time!AC25*AC28/100*Inputs!$F$37/100*AC32</f>
        <v>1721043.17852672</v>
      </c>
      <c r="AD33" s="13" t="n">
        <f aca="false">$F$30*730*Time!AD25*AD28/100*Inputs!$F$37/100*AD32</f>
        <v>1654114.70970117</v>
      </c>
      <c r="AE33" s="13" t="n">
        <f aca="false">$F$30*730*Time!AE25*AE28/100*Inputs!$F$37/100*AE32</f>
        <v>1685647.358055</v>
      </c>
      <c r="AF33" s="13" t="n">
        <f aca="false">$F$30*730*Time!AF25*AF28/100*Inputs!$F$37/100*AF32</f>
        <v>1749892.53984298</v>
      </c>
      <c r="AG33" s="13" t="n">
        <f aca="false">$F$30*730*Time!AG25*AG28/100*Inputs!$F$37/100*AG32</f>
        <v>1742786.1476314</v>
      </c>
      <c r="AH33" s="13" t="n">
        <f aca="false">$F$30*730*Time!AH25*AH28/100*Inputs!$F$37/100*AH32</f>
        <v>1729915.73866565</v>
      </c>
      <c r="AI33" s="13" t="n">
        <f aca="false">$F$30*730*Time!AI25*AI28/100*Inputs!$F$37/100*AI32</f>
        <v>1734368.12138509</v>
      </c>
      <c r="AJ33" s="13" t="n">
        <f aca="false">$F$30*730*Time!AJ25*AJ28/100*Inputs!$F$37/100*AJ32</f>
        <v>1744575.73759507</v>
      </c>
      <c r="AK33" s="13" t="n">
        <f aca="false">$F$30*730*Time!AK25*AK28/100*Inputs!$F$37/100*AK32</f>
        <v>1722767.86993139</v>
      </c>
      <c r="AL33" s="13" t="n">
        <f aca="false">$F$30*730*Time!AL25*AL28/100*Inputs!$F$37/100*AL32</f>
        <v>1680528.17923866</v>
      </c>
      <c r="AM33" s="13" t="n">
        <f aca="false">$F$30*730*Time!AM25*AM28/100*Inputs!$F$37/100*AM32</f>
        <v>1699693.26046928</v>
      </c>
      <c r="AN33" s="13" t="n">
        <f aca="false">$F$30*730*Time!AN25*AN28/100*Inputs!$F$37/100*AN32</f>
        <v>1739258.93534717</v>
      </c>
      <c r="AO33" s="13" t="n">
        <f aca="false">$F$30*730*Time!AO25*AO28/100*Inputs!$F$37/100*AO32</f>
        <v>1732187.67619008</v>
      </c>
      <c r="AP33" s="13" t="n">
        <f aca="false">$F$30*730*Time!AP25*AP28/100*Inputs!$F$37/100*AP32</f>
        <v>1719387.53333333</v>
      </c>
      <c r="AQ33" s="13" t="n">
        <f aca="false">$F$30*730*Time!AQ25*AQ28/100*Inputs!$F$37/100*AQ32</f>
        <v>1723804.78299828</v>
      </c>
      <c r="AR33" s="13" t="n">
        <f aca="false">$F$30*730*Time!AR25*AR28/100*Inputs!$F$37/100*AR32</f>
        <v>1733942.13309926</v>
      </c>
      <c r="AS33" s="13" t="n">
        <f aca="false">$F$30*730*Time!AS25*AS28/100*Inputs!$F$37/100*AS32</f>
        <v>1700174.14415277</v>
      </c>
      <c r="AT33" s="13" t="n">
        <f aca="false">$F$30*730*Time!AT25*AT28/100*Inputs!$F$37/100*AT32</f>
        <v>1634042.02456259</v>
      </c>
      <c r="AU33" s="13" t="n">
        <f aca="false">$F$30*730*Time!AU25*AU28/100*Inputs!$F$37/100*AU32</f>
        <v>1665176.49829873</v>
      </c>
      <c r="AV33" s="13" t="n">
        <f aca="false">$F$30*730*Time!AV25*AV28/100*Inputs!$F$37/100*AV32</f>
        <v>1728625.33085135</v>
      </c>
      <c r="AW33" s="13" t="n">
        <f aca="false">$F$30*730*Time!AW25*AW28/100*Inputs!$F$37/100*AW32</f>
        <v>1721589.20474877</v>
      </c>
      <c r="AX33" s="13" t="n">
        <f aca="false">$F$30*730*Time!AX25*AX28/100*Inputs!$F$37/100*AX32</f>
        <v>1708859.32800102</v>
      </c>
      <c r="AY33" s="13" t="n">
        <f aca="false">$F$30*730*Time!AY25*AY28/100*Inputs!$F$37/100*AY32</f>
        <v>1713241.44461146</v>
      </c>
      <c r="AZ33" s="13" t="n">
        <f aca="false">$F$30*730*Time!AZ25*AZ28/100*Inputs!$F$37/100*AZ32</f>
        <v>1723308.52860344</v>
      </c>
      <c r="BA33" s="13" t="n">
        <f aca="false">$F$30*730*Time!BA25*BA28/100*Inputs!$F$37/100*BA32</f>
        <v>1701750.49599399</v>
      </c>
      <c r="BB33" s="13" t="n">
        <f aca="false">$F$30*730*Time!BB25*BB28/100*Inputs!$F$37/100*BB32</f>
        <v>1660010.47540972</v>
      </c>
      <c r="BC33" s="13" t="n">
        <f aca="false">$F$30*730*Time!BC25*BC28/100*Inputs!$F$37/100*BC32</f>
        <v>1678925.72158611</v>
      </c>
      <c r="BD33" s="13" t="n">
        <f aca="false">$F$30*730*Time!BD25*BD28/100*Inputs!$F$37/100*BD32</f>
        <v>1717991.72635553</v>
      </c>
      <c r="BE33" s="13" t="n">
        <f aca="false">$F$30*730*Time!BE25*BE28/100*Inputs!$F$37/100*BE32</f>
        <v>1710990.73330745</v>
      </c>
      <c r="BF33" s="13" t="n">
        <f aca="false">$F$30*730*Time!BF25*BF28/100*Inputs!$F$37/100*BF32</f>
        <v>1698331.12266871</v>
      </c>
      <c r="BG33" s="13" t="n">
        <f aca="false">$F$30*730*Time!BG25*BG28/100*Inputs!$F$37/100*BG32</f>
        <v>1702678.10622465</v>
      </c>
      <c r="BH33" s="13" t="n">
        <f aca="false">$F$30*730*Time!BH25*BH28/100*Inputs!$F$37/100*BH32</f>
        <v>1712674.92410762</v>
      </c>
      <c r="BI33" s="13" t="n">
        <f aca="false">$F$30*730*Time!BI25*BI28/100*Inputs!$F$37/100*BI32</f>
        <v>1679305.10977882</v>
      </c>
      <c r="BJ33" s="13" t="n">
        <f aca="false">$F$30*730*Time!BJ25*BJ28/100*Inputs!$F$37/100*BJ32</f>
        <v>1613969.33942401</v>
      </c>
      <c r="BK33" s="13" t="n">
        <f aca="false">$F$30*730*Time!BK25*BK28/100*Inputs!$F$37/100*BK32</f>
        <v>1644705.63854246</v>
      </c>
      <c r="BL33" s="13" t="n">
        <f aca="false">$F$30*730*Time!BL25*BL28/100*Inputs!$F$37/100*BL32</f>
        <v>1707358.12185971</v>
      </c>
      <c r="BM33" s="13" t="n">
        <f aca="false">$F$30*730*Time!BM25*BM28/100*Inputs!$F$37/100*BM32</f>
        <v>1137500.30314982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4005357.20730541</v>
      </c>
      <c r="P37" s="13" t="n">
        <f aca="false">P33*P34*(1000*Inputs!$F$121/Inputs!$F$122)</f>
        <v>12014866.3797864</v>
      </c>
      <c r="Q37" s="13" t="n">
        <f aca="false">Q33*Q34*(1000*Inputs!$F$121/Inputs!$F$122)</f>
        <v>11973358.8121178</v>
      </c>
      <c r="R37" s="13" t="n">
        <f aca="false">R33*R34*(1000*Inputs!$F$121/Inputs!$F$122)</f>
        <v>11892167.8533913</v>
      </c>
      <c r="S37" s="13" t="n">
        <f aca="false">S33*S34*(1000*Inputs!$F$121/Inputs!$F$122)</f>
        <v>11930026.1507295</v>
      </c>
      <c r="T37" s="13" t="n">
        <f aca="false">T33*T34*(1000*Inputs!$F$121/Inputs!$F$122)</f>
        <v>12007533.9894813</v>
      </c>
      <c r="U37" s="13" t="n">
        <f aca="false">U33*U34*(1000*Inputs!$F$121/Inputs!$F$122)</f>
        <v>11864638.0388554</v>
      </c>
      <c r="V37" s="13" t="n">
        <f aca="false">V33*V34*(1000*Inputs!$F$121/Inputs!$F$122)</f>
        <v>11580761.3938161</v>
      </c>
      <c r="W37" s="13" t="n">
        <f aca="false">W33*W34*(1000*Inputs!$F$121/Inputs!$F$122)</f>
        <v>11719937.6790801</v>
      </c>
      <c r="X37" s="13" t="n">
        <f aca="false">X33*X34*(1000*Inputs!$F$121/Inputs!$F$122)</f>
        <v>12000028.5634168</v>
      </c>
      <c r="Y37" s="13" t="n">
        <f aca="false">Y33*Y34*(1000*Inputs!$F$121/Inputs!$F$122)</f>
        <v>11958483.7873428</v>
      </c>
      <c r="Z37" s="13" t="n">
        <f aca="false">Z33*Z34*(1000*Inputs!$F$121/Inputs!$F$122)</f>
        <v>11877305.7872416</v>
      </c>
      <c r="AA37" s="13" t="n">
        <f aca="false">AA33*AA34*(1000*Inputs!$F$121/Inputs!$F$122)</f>
        <v>11915028.5430776</v>
      </c>
      <c r="AB37" s="13" t="n">
        <f aca="false">AB33*AB34*(1000*Inputs!$F$121/Inputs!$F$122)</f>
        <v>11992350.1015929</v>
      </c>
      <c r="AC37" s="13" t="n">
        <f aca="false">AC33*AC34*(1000*Inputs!$F$121/Inputs!$F$122)</f>
        <v>11765913.5168787</v>
      </c>
      <c r="AD37" s="13" t="n">
        <f aca="false">AD33*AD34*(1000*Inputs!$F$121/Inputs!$F$122)</f>
        <v>11315086.130844</v>
      </c>
      <c r="AE37" s="13" t="n">
        <f aca="false">AE33*AE34*(1000*Inputs!$F$121/Inputs!$F$122)</f>
        <v>11537644.8350703</v>
      </c>
      <c r="AF37" s="13" t="n">
        <f aca="false">AF33*AF34*(1000*Inputs!$F$121/Inputs!$F$122)</f>
        <v>11984498.6040095</v>
      </c>
      <c r="AG37" s="13" t="n">
        <f aca="false">AG33*AG34*(1000*Inputs!$F$121/Inputs!$F$122)</f>
        <v>11942918.9063464</v>
      </c>
      <c r="AH37" s="13" t="n">
        <f aca="false">AH33*AH34*(1000*Inputs!$F$121/Inputs!$F$122)</f>
        <v>11861758.4385027</v>
      </c>
      <c r="AI37" s="13" t="n">
        <f aca="false">AI33*AI34*(1000*Inputs!$F$121/Inputs!$F$122)</f>
        <v>11899343.3660205</v>
      </c>
      <c r="AJ37" s="13" t="n">
        <f aca="false">AJ33*AJ34*(1000*Inputs!$F$121/Inputs!$F$122)</f>
        <v>11976474.0706668</v>
      </c>
      <c r="AK37" s="13" t="n">
        <f aca="false">AK33*AK34*(1000*Inputs!$F$121/Inputs!$F$122)</f>
        <v>11833771.9912368</v>
      </c>
      <c r="AL37" s="13" t="n">
        <f aca="false">AL33*AL34*(1000*Inputs!$F$121/Inputs!$F$122)</f>
        <v>11550462.2225253</v>
      </c>
      <c r="AM37" s="13" t="n">
        <f aca="false">AM33*AM34*(1000*Inputs!$F$121/Inputs!$F$122)</f>
        <v>11689100.5978001</v>
      </c>
      <c r="AN37" s="13" t="n">
        <f aca="false">AN33*AN34*(1000*Inputs!$F$121/Inputs!$F$122)</f>
        <v>11968276.5015646</v>
      </c>
      <c r="AO37" s="13" t="n">
        <f aca="false">AO33*AO34*(1000*Inputs!$F$121/Inputs!$F$122)</f>
        <v>11926664.1691286</v>
      </c>
      <c r="AP37" s="13" t="n">
        <f aca="false">AP33*AP34*(1000*Inputs!$F$121/Inputs!$F$122)</f>
        <v>11845525.8071749</v>
      </c>
      <c r="AQ37" s="13" t="n">
        <f aca="false">AQ33*AQ34*(1000*Inputs!$F$121/Inputs!$F$122)</f>
        <v>11882970.6195582</v>
      </c>
      <c r="AR37" s="13" t="n">
        <f aca="false">AR33*AR34*(1000*Inputs!$F$121/Inputs!$F$122)</f>
        <v>11959905.896703</v>
      </c>
      <c r="AS37" s="13" t="n">
        <f aca="false">AS33*AS34*(1000*Inputs!$F$121/Inputs!$F$122)</f>
        <v>11733906.9514398</v>
      </c>
      <c r="AT37" s="13" t="n">
        <f aca="false">AT33*AT34*(1000*Inputs!$F$121/Inputs!$F$122)</f>
        <v>11284137.5990354</v>
      </c>
      <c r="AU37" s="13" t="n">
        <f aca="false">AU33*AU34*(1000*Inputs!$F$121/Inputs!$F$122)</f>
        <v>11505915.8319482</v>
      </c>
      <c r="AV37" s="13" t="n">
        <f aca="false">AV33*AV34*(1000*Inputs!$F$121/Inputs!$F$122)</f>
        <v>11951362.2560821</v>
      </c>
      <c r="AW37" s="13" t="n">
        <f aca="false">AW33*AW34*(1000*Inputs!$F$121/Inputs!$F$122)</f>
        <v>11909719.5756893</v>
      </c>
      <c r="AX37" s="13" t="n">
        <f aca="false">AX33*AX34*(1000*Inputs!$F$121/Inputs!$F$122)</f>
        <v>11828607.893258</v>
      </c>
      <c r="AY37" s="13" t="n">
        <f aca="false">AY33*AY34*(1000*Inputs!$F$121/Inputs!$F$122)</f>
        <v>11865910.3036906</v>
      </c>
      <c r="AZ37" s="13" t="n">
        <f aca="false">AZ33*AZ34*(1000*Inputs!$F$121/Inputs!$F$122)</f>
        <v>11942645.5797016</v>
      </c>
      <c r="BA37" s="13" t="n">
        <f aca="false">BA33*BA34*(1000*Inputs!$F$121/Inputs!$F$122)</f>
        <v>11800169.8950758</v>
      </c>
      <c r="BB37" s="13" t="n">
        <f aca="false">BB33*BB34*(1000*Inputs!$F$121/Inputs!$F$122)</f>
        <v>11517492.0499087</v>
      </c>
      <c r="BC37" s="13" t="n">
        <f aca="false">BC33*BC34*(1000*Inputs!$F$121/Inputs!$F$122)</f>
        <v>11655559.9915859</v>
      </c>
      <c r="BD37" s="13" t="n">
        <f aca="false">BD33*BD34*(1000*Inputs!$F$121/Inputs!$F$122)</f>
        <v>11933755.8675618</v>
      </c>
      <c r="BE37" s="13" t="n">
        <f aca="false">BE33*BE34*(1000*Inputs!$F$121/Inputs!$F$122)</f>
        <v>11892085.1260286</v>
      </c>
      <c r="BF37" s="13" t="n">
        <f aca="false">BF33*BF34*(1000*Inputs!$F$121/Inputs!$F$122)</f>
        <v>11811004.696752</v>
      </c>
      <c r="BG37" s="13" t="n">
        <f aca="false">BG33*BG34*(1000*Inputs!$F$121/Inputs!$F$122)</f>
        <v>11848162.4184178</v>
      </c>
      <c r="BH37" s="13" t="n">
        <f aca="false">BH33*BH34*(1000*Inputs!$F$121/Inputs!$F$122)</f>
        <v>11924693.1196626</v>
      </c>
      <c r="BI37" s="13" t="n">
        <f aca="false">BI33*BI34*(1000*Inputs!$F$121/Inputs!$F$122)</f>
        <v>11699183.648351</v>
      </c>
      <c r="BJ37" s="13" t="n">
        <f aca="false">BJ33*BJ34*(1000*Inputs!$F$121/Inputs!$F$122)</f>
        <v>11250575.998578</v>
      </c>
      <c r="BK37" s="13" t="n">
        <f aca="false">BK33*BK34*(1000*Inputs!$F$121/Inputs!$F$122)</f>
        <v>11471521.9256767</v>
      </c>
      <c r="BL37" s="13" t="n">
        <f aca="false">BL33*BL34*(1000*Inputs!$F$121/Inputs!$F$122)</f>
        <v>11915457.336004</v>
      </c>
      <c r="BM37" s="13" t="n">
        <f aca="false">BM33*BM34*(1000*Inputs!$F$121/Inputs!$F$122)</f>
        <v>7942340.95648921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0.998888888888889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0.997037037037037</v>
      </c>
      <c r="V42" s="11" t="n">
        <f aca="false">MIN(1,V28/Inputs!$F$130)</f>
        <v>0.973333333333333</v>
      </c>
      <c r="W42" s="11" t="n">
        <f aca="false">MIN(1,W28/Inputs!$F$130)</f>
        <v>0.985185185185185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0.998888888888889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0.99</v>
      </c>
      <c r="AD42" s="11" t="n">
        <f aca="false">MIN(1,AD28/Inputs!$F$130)</f>
        <v>0.952222222222222</v>
      </c>
      <c r="AE42" s="11" t="n">
        <f aca="false">MIN(1,AE28/Inputs!$F$130)</f>
        <v>0.971111111111111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0.998888888888889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0.997037037037037</v>
      </c>
      <c r="AL42" s="11" t="n">
        <f aca="false">MIN(1,AL28/Inputs!$F$130)</f>
        <v>0.973333333333333</v>
      </c>
      <c r="AM42" s="11" t="n">
        <f aca="false">MIN(1,AM28/Inputs!$F$130)</f>
        <v>0.985185185185185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0.998888888888889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0.99</v>
      </c>
      <c r="AT42" s="11" t="n">
        <f aca="false">MIN(1,AT28/Inputs!$F$130)</f>
        <v>0.952222222222222</v>
      </c>
      <c r="AU42" s="11" t="n">
        <f aca="false">MIN(1,AU28/Inputs!$F$130)</f>
        <v>0.971111111111111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0.998888888888889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0.997037037037037</v>
      </c>
      <c r="BB42" s="11" t="n">
        <f aca="false">MIN(1,BB28/Inputs!$F$130)</f>
        <v>0.973333333333333</v>
      </c>
      <c r="BC42" s="11" t="n">
        <f aca="false">MIN(1,BC28/Inputs!$F$130)</f>
        <v>0.985185185185185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0.998888888888889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0.99</v>
      </c>
      <c r="BJ42" s="11" t="n">
        <f aca="false">MIN(1,BJ28/Inputs!$F$130)</f>
        <v>0.952222222222222</v>
      </c>
      <c r="BK42" s="11" t="n">
        <f aca="false">MIN(1,BK28/Inputs!$F$130)</f>
        <v>0.971111111111111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3310.70625074072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60.8214833629198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61.3813564084673</v>
      </c>
      <c r="V43" s="11" t="n">
        <f aca="false">$F$30*1000*Time!V25*(V40+V41)*V42/1000000</f>
        <v>60.1457534611105</v>
      </c>
      <c r="W43" s="11" t="n">
        <f aca="false">$F$30*1000*Time!W25*(W40+W41)*W42/1000000</f>
        <v>61.1070088944287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62.6685508107159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62.8395025712725</v>
      </c>
      <c r="AD43" s="11" t="n">
        <f aca="false">$F$30*1000*Time!AD25*(AD40+AD41)*AD42/1000000</f>
        <v>60.6803236841801</v>
      </c>
      <c r="AE43" s="11" t="n">
        <f aca="false">$F$30*1000*Time!AE25*(AE40+AE41)*AE42/1000000</f>
        <v>62.1301537929194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64.6836031807699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65.364227000675</v>
      </c>
      <c r="AL43" s="11" t="n">
        <f aca="false">$F$30*1000*Time!AL25*(AL40+AL41)*AL42/1000000</f>
        <v>64.0764720191802</v>
      </c>
      <c r="AM43" s="11" t="n">
        <f aca="false">$F$30*1000*Time!AM25*(AM40+AM41)*AM42/1000000</f>
        <v>65.1291163841496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66.8819181686199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67.153935106719</v>
      </c>
      <c r="AT43" s="11" t="n">
        <f aca="false">$F$30*1000*Time!AT25*(AT40+AT41)*AT42/1000000</f>
        <v>64.8755196088466</v>
      </c>
      <c r="AU43" s="11" t="n">
        <f aca="false">$F$30*1000*Time!AU25*(AU40+AU41)*AU42/1000000</f>
        <v>66.4553748308227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69.2801629277258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70.1045000903037</v>
      </c>
      <c r="BB43" s="11" t="n">
        <f aca="false">$F$30*1000*Time!BB25*(BB40+BB41)*BB42/1000000</f>
        <v>68.7546755842613</v>
      </c>
      <c r="BC43" s="11" t="n">
        <f aca="false">$F$30*1000*Time!BC25*(BC40+BC41)*BC42/1000000</f>
        <v>69.9160878550327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71.8965204362575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72.2888216091346</v>
      </c>
      <c r="BJ43" s="11" t="n">
        <f aca="false">$F$30*1000*Time!BJ25*(BJ40+BJ41)*BJ42/1000000</f>
        <v>69.8684948730501</v>
      </c>
      <c r="BK43" s="11" t="n">
        <f aca="false">$F$30*1000*Time!BK25*(BK40+BK41)*BK42/1000000</f>
        <v>71.6031014310244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470.066567937815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2.4359391470988</v>
      </c>
      <c r="P45" s="11" t="n">
        <f aca="false">P33*P44/1000000</f>
        <v>7.38407176284303</v>
      </c>
      <c r="Q45" s="11" t="n">
        <f aca="false">Q33*Q44/1000000</f>
        <v>7.43460741366207</v>
      </c>
      <c r="R45" s="11" t="n">
        <f aca="false">R33*R44/1000000</f>
        <v>7.46050642930839</v>
      </c>
      <c r="S45" s="11" t="n">
        <f aca="false">S33*S44/1000000</f>
        <v>7.56160636395437</v>
      </c>
      <c r="T45" s="11" t="n">
        <f aca="false">T33*T44/1000000</f>
        <v>7.6893927066426</v>
      </c>
      <c r="U45" s="11" t="n">
        <f aca="false">U33*U44/1000000</f>
        <v>7.67641442098568</v>
      </c>
      <c r="V45" s="11" t="n">
        <f aca="false">V33*V44/1000000</f>
        <v>7.5701919293083</v>
      </c>
      <c r="W45" s="11" t="n">
        <f aca="false">W33*W44/1000000</f>
        <v>7.74035878577768</v>
      </c>
      <c r="X45" s="11" t="n">
        <f aca="false">X33*X44/1000000</f>
        <v>8.00726564908963</v>
      </c>
      <c r="Y45" s="11" t="n">
        <f aca="false">Y33*Y44/1000000</f>
        <v>8.06202978830523</v>
      </c>
      <c r="Z45" s="11" t="n">
        <f aca="false">Z33*Z44/1000000</f>
        <v>8.09007772301092</v>
      </c>
      <c r="AA45" s="11" t="n">
        <f aca="false">AA33*AA44/1000000</f>
        <v>8.19967189046892</v>
      </c>
      <c r="AB45" s="11" t="n">
        <f aca="false">AB33*AB44/1000000</f>
        <v>8.33820313929969</v>
      </c>
      <c r="AC45" s="11" t="n">
        <f aca="false">AC33*AC44/1000000</f>
        <v>8.26534077237946</v>
      </c>
      <c r="AD45" s="11" t="n">
        <f aca="false">AD33*AD44/1000000</f>
        <v>8.03082327868353</v>
      </c>
      <c r="AE45" s="11" t="n">
        <f aca="false">AE33*AE44/1000000</f>
        <v>8.27344944650096</v>
      </c>
      <c r="AF45" s="11" t="n">
        <f aca="false">AF33*AF44/1000000</f>
        <v>8.68273848863357</v>
      </c>
      <c r="AG45" s="11" t="n">
        <f aca="false">AG33*AG44/1000000</f>
        <v>8.74208225464234</v>
      </c>
      <c r="AH45" s="11" t="n">
        <f aca="false">AH33*AH44/1000000</f>
        <v>8.77245576396315</v>
      </c>
      <c r="AI45" s="11" t="n">
        <f aca="false">AI33*AI44/1000000</f>
        <v>8.89125298082688</v>
      </c>
      <c r="AJ45" s="11" t="n">
        <f aca="false">AJ33*AJ44/1000000</f>
        <v>9.04142660362708</v>
      </c>
      <c r="AK45" s="11" t="n">
        <f aca="false">AK33*AK44/1000000</f>
        <v>9.02608344495625</v>
      </c>
      <c r="AL45" s="11" t="n">
        <f aca="false">AL33*AL44/1000000</f>
        <v>8.90110302545761</v>
      </c>
      <c r="AM45" s="11" t="n">
        <f aca="false">AM33*AM44/1000000</f>
        <v>9.10110298890477</v>
      </c>
      <c r="AN45" s="11" t="n">
        <f aca="false">AN33*AN44/1000000</f>
        <v>9.41484485194004</v>
      </c>
      <c r="AO45" s="11" t="n">
        <f aca="false">AO33*AO44/1000000</f>
        <v>9.47914827778147</v>
      </c>
      <c r="AP45" s="11" t="n">
        <f aca="false">AP33*AP44/1000000</f>
        <v>9.51203837538901</v>
      </c>
      <c r="AQ45" s="11" t="n">
        <f aca="false">AQ33*AQ44/1000000</f>
        <v>9.6408061289294</v>
      </c>
      <c r="AR45" s="11" t="n">
        <f aca="false">AR33*AR44/1000000</f>
        <v>9.80359396261396</v>
      </c>
      <c r="AS45" s="11" t="n">
        <f aca="false">AS33*AS44/1000000</f>
        <v>9.71783612577109</v>
      </c>
      <c r="AT45" s="11" t="n">
        <f aca="false">AT33*AT44/1000000</f>
        <v>9.44201820448448</v>
      </c>
      <c r="AU45" s="11" t="n">
        <f aca="false">AU33*AU44/1000000</f>
        <v>9.72718851131247</v>
      </c>
      <c r="AV45" s="11" t="n">
        <f aca="false">AV33*AV44/1000000</f>
        <v>10.2082989619771</v>
      </c>
      <c r="AW45" s="11" t="n">
        <f aca="false">AW33*AW44/1000000</f>
        <v>10.2779733267058</v>
      </c>
      <c r="AX45" s="11" t="n">
        <f aca="false">AX33*AX44/1000000</f>
        <v>10.3135865348622</v>
      </c>
      <c r="AY45" s="11" t="n">
        <f aca="false">AY33*AY44/1000000</f>
        <v>10.4531557919986</v>
      </c>
      <c r="AZ45" s="11" t="n">
        <f aca="false">AZ33*AZ44/1000000</f>
        <v>10.6296101465873</v>
      </c>
      <c r="BA45" s="11" t="n">
        <f aca="false">BA33*BA44/1000000</f>
        <v>10.6114720129486</v>
      </c>
      <c r="BB45" s="11" t="n">
        <f aca="false">BB33*BB44/1000000</f>
        <v>10.4644407578679</v>
      </c>
      <c r="BC45" s="11" t="n">
        <f aca="false">BC33*BC44/1000000</f>
        <v>10.699466556369</v>
      </c>
      <c r="BD45" s="11" t="n">
        <f aca="false">BD33*BD44/1000000</f>
        <v>11.0682040946547</v>
      </c>
      <c r="BE45" s="11" t="n">
        <f aca="false">BE33*BE44/1000000</f>
        <v>11.1436944634152</v>
      </c>
      <c r="BF45" s="11" t="n">
        <f aca="false">BF33*BF44/1000000</f>
        <v>11.182254053951</v>
      </c>
      <c r="BG45" s="11" t="n">
        <f aca="false">BG33*BG44/1000000</f>
        <v>11.3335244596595</v>
      </c>
      <c r="BH45" s="11" t="n">
        <f aca="false">BH33*BH44/1000000</f>
        <v>11.5247847174447</v>
      </c>
      <c r="BI45" s="11" t="n">
        <f aca="false">BI33*BI44/1000000</f>
        <v>11.4238617784607</v>
      </c>
      <c r="BJ45" s="11" t="n">
        <f aca="false">BJ33*BJ44/1000000</f>
        <v>11.0995164299649</v>
      </c>
      <c r="BK45" s="11" t="n">
        <f aca="false">BK33*BK44/1000000</f>
        <v>11.4346376644291</v>
      </c>
      <c r="BL45" s="11" t="n">
        <f aca="false">BL33*BL44/1000000</f>
        <v>12.0000843522139</v>
      </c>
      <c r="BM45" s="11" t="n">
        <f aca="false">BM33*BM44/1000000</f>
        <v>8.08233119775165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4728.44580171515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24.9546275983783</v>
      </c>
      <c r="P46" s="11" t="n">
        <f aca="false">P33*P35*(1000*Inputs!$F$121/Inputs!$F$122)*P36/1000000</f>
        <v>74.8513862445452</v>
      </c>
      <c r="Q46" s="11" t="n">
        <f aca="false">Q33*Q35*(1000*Inputs!$F$121/Inputs!$F$122)*Q36/1000000</f>
        <v>76.0770573788371</v>
      </c>
      <c r="R46" s="11" t="n">
        <f aca="false">R33*R35*(1000*Inputs!$F$121/Inputs!$F$122)*R36/1000000</f>
        <v>75.553644927924</v>
      </c>
      <c r="S46" s="11" t="n">
        <f aca="false">S33*S35*(1000*Inputs!$F$121/Inputs!$F$122)*S36/1000000</f>
        <v>77.302348287402</v>
      </c>
      <c r="T46" s="11" t="n">
        <f aca="false">T33*T35*(1000*Inputs!$F$121/Inputs!$F$122)*T36/1000000</f>
        <v>77.7968285400141</v>
      </c>
      <c r="U46" s="11" t="n">
        <f aca="false">U33*U35*(1000*Inputs!$F$121/Inputs!$F$122)*U36/1000000</f>
        <v>78.4006309391337</v>
      </c>
      <c r="V46" s="11" t="n">
        <f aca="false">V33*V35*(1000*Inputs!$F$121/Inputs!$F$122)*V36/1000000</f>
        <v>76.517196467339</v>
      </c>
      <c r="W46" s="11" t="n">
        <f aca="false">W33*W35*(1000*Inputs!$F$121/Inputs!$F$122)*W36/1000000</f>
        <v>78.9776721089547</v>
      </c>
      <c r="X46" s="11" t="n">
        <f aca="false">X33*X35*(1000*Inputs!$F$121/Inputs!$F$122)*X36/1000000</f>
        <v>80.8571206729624</v>
      </c>
      <c r="Y46" s="11" t="n">
        <f aca="false">Y33*Y35*(1000*Inputs!$F$121/Inputs!$F$122)*Y36/1000000</f>
        <v>82.1805977955198</v>
      </c>
      <c r="Z46" s="11" t="n">
        <f aca="false">Z33*Z35*(1000*Inputs!$F$121/Inputs!$F$122)*Z36/1000000</f>
        <v>81.6146598160697</v>
      </c>
      <c r="AA46" s="11" t="n">
        <f aca="false">AA33*AA35*(1000*Inputs!$F$121/Inputs!$F$122)*AA36/1000000</f>
        <v>83.503100782232</v>
      </c>
      <c r="AB46" s="11" t="n">
        <f aca="false">AB33*AB35*(1000*Inputs!$F$121/Inputs!$F$122)*AB36/1000000</f>
        <v>84.03669578972</v>
      </c>
      <c r="AC46" s="11" t="n">
        <f aca="false">AC33*AC35*(1000*Inputs!$F$121/Inputs!$F$122)*AC36/1000000</f>
        <v>84.0906469378579</v>
      </c>
      <c r="AD46" s="11" t="n">
        <f aca="false">AD33*AD35*(1000*Inputs!$F$121/Inputs!$F$122)*AD36/1000000</f>
        <v>80.8606360595882</v>
      </c>
      <c r="AE46" s="11" t="n">
        <f aca="false">AE33*AE35*(1000*Inputs!$F$121/Inputs!$F$122)*AE36/1000000</f>
        <v>84.0918526356631</v>
      </c>
      <c r="AF46" s="11" t="n">
        <f aca="false">AF33*AF35*(1000*Inputs!$F$121/Inputs!$F$122)*AF36/1000000</f>
        <v>87.3401561943168</v>
      </c>
      <c r="AG46" s="11" t="n">
        <f aca="false">AG33*AG35*(1000*Inputs!$F$121/Inputs!$F$122)*AG36/1000000</f>
        <v>88.7691654924299</v>
      </c>
      <c r="AH46" s="11" t="n">
        <f aca="false">AH33*AH35*(1000*Inputs!$F$121/Inputs!$F$122)*AH36/1000000</f>
        <v>88.1572760407321</v>
      </c>
      <c r="AI46" s="11" t="n">
        <f aca="false">AI33*AI35*(1000*Inputs!$F$121/Inputs!$F$122)*AI36/1000000</f>
        <v>90.1965102970331</v>
      </c>
      <c r="AJ46" s="11" t="n">
        <f aca="false">AJ33*AJ35*(1000*Inputs!$F$121/Inputs!$F$122)*AJ36/1000000</f>
        <v>90.7722797166976</v>
      </c>
      <c r="AK46" s="11" t="n">
        <f aca="false">AK33*AK35*(1000*Inputs!$F$121/Inputs!$F$122)*AK36/1000000</f>
        <v>91.4755870176099</v>
      </c>
      <c r="AL46" s="11" t="n">
        <f aca="false">AL33*AL35*(1000*Inputs!$F$121/Inputs!$F$122)*AL36/1000000</f>
        <v>89.2768770518168</v>
      </c>
      <c r="AM46" s="11" t="n">
        <f aca="false">AM33*AM35*(1000*Inputs!$F$121/Inputs!$F$122)*AM36/1000000</f>
        <v>92.1464393233352</v>
      </c>
      <c r="AN46" s="11" t="n">
        <f aca="false">AN33*AN35*(1000*Inputs!$F$121/Inputs!$F$122)*AN36/1000000</f>
        <v>94.3380263168053</v>
      </c>
      <c r="AO46" s="11" t="n">
        <f aca="false">AO33*AO35*(1000*Inputs!$F$121/Inputs!$F$122)*AO36/1000000</f>
        <v>95.8808973807942</v>
      </c>
      <c r="AP46" s="11" t="n">
        <f aca="false">AP33*AP35*(1000*Inputs!$F$121/Inputs!$F$122)*AP36/1000000</f>
        <v>95.2193570001691</v>
      </c>
      <c r="AQ46" s="11" t="n">
        <f aca="false">AQ33*AQ35*(1000*Inputs!$F$121/Inputs!$F$122)*AQ36/1000000</f>
        <v>97.4213051889137</v>
      </c>
      <c r="AR46" s="11" t="n">
        <f aca="false">AR33*AR35*(1000*Inputs!$F$121/Inputs!$F$122)*AR36/1000000</f>
        <v>98.0425449330926</v>
      </c>
      <c r="AS46" s="11" t="n">
        <f aca="false">AS33*AS35*(1000*Inputs!$F$121/Inputs!$F$122)*AS36/1000000</f>
        <v>98.1041916574511</v>
      </c>
      <c r="AT46" s="11" t="n">
        <f aca="false">AT33*AT35*(1000*Inputs!$F$121/Inputs!$F$122)*AT36/1000000</f>
        <v>94.3346583911719</v>
      </c>
      <c r="AU46" s="11" t="n">
        <f aca="false">AU33*AU35*(1000*Inputs!$F$121/Inputs!$F$122)*AU36/1000000</f>
        <v>98.1030030362282</v>
      </c>
      <c r="AV46" s="11" t="n">
        <f aca="false">AV33*AV35*(1000*Inputs!$F$121/Inputs!$F$122)*AV36/1000000</f>
        <v>101.891180584324</v>
      </c>
      <c r="AW46" s="11" t="n">
        <f aca="false">AW33*AW35*(1000*Inputs!$F$121/Inputs!$F$122)*AW36/1000000</f>
        <v>103.556892911463</v>
      </c>
      <c r="AX46" s="11" t="n">
        <f aca="false">AX33*AX35*(1000*Inputs!$F$121/Inputs!$F$122)*AX36/1000000</f>
        <v>102.841707012067</v>
      </c>
      <c r="AY46" s="11" t="n">
        <f aca="false">AY33*AY35*(1000*Inputs!$F$121/Inputs!$F$122)*AY36/1000000</f>
        <v>105.219221535001</v>
      </c>
      <c r="AZ46" s="11" t="n">
        <f aca="false">AZ33*AZ35*(1000*Inputs!$F$121/Inputs!$F$122)*AZ36/1000000</f>
        <v>105.889481733843</v>
      </c>
      <c r="BA46" s="11" t="n">
        <f aca="false">BA33*BA35*(1000*Inputs!$F$121/Inputs!$F$122)*BA36/1000000</f>
        <v>106.708499021347</v>
      </c>
      <c r="BB46" s="11" t="n">
        <f aca="false">BB33*BB35*(1000*Inputs!$F$121/Inputs!$F$122)*BB36/1000000</f>
        <v>104.142264628721</v>
      </c>
      <c r="BC46" s="11" t="n">
        <f aca="false">BC33*BC35*(1000*Inputs!$F$121/Inputs!$F$122)*BC36/1000000</f>
        <v>107.488202970692</v>
      </c>
      <c r="BD46" s="11" t="n">
        <f aca="false">BD33*BD35*(1000*Inputs!$F$121/Inputs!$F$122)*BD36/1000000</f>
        <v>110.043207925803</v>
      </c>
      <c r="BE46" s="11" t="n">
        <f aca="false">BE33*BE35*(1000*Inputs!$F$121/Inputs!$F$122)*BE36/1000000</f>
        <v>111.8414409517</v>
      </c>
      <c r="BF46" s="11" t="n">
        <f aca="false">BF33*BF35*(1000*Inputs!$F$121/Inputs!$F$122)*BF36/1000000</f>
        <v>111.068296500363</v>
      </c>
      <c r="BG46" s="11" t="n">
        <f aca="false">BG33*BG35*(1000*Inputs!$F$121/Inputs!$F$122)*BG36/1000000</f>
        <v>113.635233399112</v>
      </c>
      <c r="BH46" s="11" t="n">
        <f aca="false">BH33*BH35*(1000*Inputs!$F$121/Inputs!$F$122)*BH36/1000000</f>
        <v>114.358337703189</v>
      </c>
      <c r="BI46" s="11" t="n">
        <f aca="false">BI33*BI35*(1000*Inputs!$F$121/Inputs!$F$122)*BI36/1000000</f>
        <v>114.428712195163</v>
      </c>
      <c r="BJ46" s="11" t="n">
        <f aca="false">BJ33*BJ35*(1000*Inputs!$F$121/Inputs!$F$122)*BJ36/1000000</f>
        <v>110.030455696677</v>
      </c>
      <c r="BK46" s="11" t="n">
        <f aca="false">BK33*BK35*(1000*Inputs!$F$121/Inputs!$F$122)*BK36/1000000</f>
        <v>114.42425972944</v>
      </c>
      <c r="BL46" s="11" t="n">
        <f aca="false">BL33*BL35*(1000*Inputs!$F$121/Inputs!$F$122)*BL36/1000000</f>
        <v>118.841076817823</v>
      </c>
      <c r="BM46" s="11" t="n">
        <f aca="false">BM33*BM35*(1000*Inputs!$F$121/Inputs!$F$122)*BM36/1000000</f>
        <v>80.7923523776842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141.684092682669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0.795779929007636</v>
      </c>
      <c r="P48" s="11" t="n">
        <f aca="false">P37*Inputs!$F$145*(1+Inputs!$F$146/100)^(Time!P21-2018)/1000000</f>
        <v>2.38710033085287</v>
      </c>
      <c r="Q48" s="11" t="n">
        <f aca="false">Q37*Inputs!$F$145*(1+Inputs!$F$146/100)^(Time!Q21-2018)/1000000</f>
        <v>2.41453645812992</v>
      </c>
      <c r="R48" s="11" t="n">
        <f aca="false">R37*Inputs!$F$145*(1+Inputs!$F$146/100)^(Time!R21-2018)/1000000</f>
        <v>2.39816356452574</v>
      </c>
      <c r="S48" s="11" t="n">
        <f aca="false">S37*Inputs!$F$145*(1+Inputs!$F$146/100)^(Time!S21-2018)/1000000</f>
        <v>2.4418850042396</v>
      </c>
      <c r="T48" s="11" t="n">
        <f aca="false">T37*Inputs!$F$145*(1+Inputs!$F$146/100)^(Time!T21-2018)/1000000</f>
        <v>2.45774961566357</v>
      </c>
      <c r="U48" s="11" t="n">
        <f aca="false">U37*Inputs!$F$145*(1+Inputs!$F$146/100)^(Time!U21-2018)/1000000</f>
        <v>2.46492862311377</v>
      </c>
      <c r="V48" s="11" t="n">
        <f aca="false">V37*Inputs!$F$145*(1+Inputs!$F$146/100)^(Time!V21-2018)/1000000</f>
        <v>2.40595205210509</v>
      </c>
      <c r="W48" s="11" t="n">
        <f aca="false">W37*Inputs!$F$145*(1+Inputs!$F$146/100)^(Time!W21-2018)/1000000</f>
        <v>2.47138951040406</v>
      </c>
      <c r="X48" s="11" t="n">
        <f aca="false">X37*Inputs!$F$145*(1+Inputs!$F$146/100)^(Time!X21-2018)/1000000</f>
        <v>2.530452424599</v>
      </c>
      <c r="Y48" s="11" t="n">
        <f aca="false">Y37*Inputs!$F$145*(1+Inputs!$F$146/100)^(Time!Y21-2018)/1000000</f>
        <v>2.55951723333875</v>
      </c>
      <c r="Z48" s="11" t="n">
        <f aca="false">Z37*Inputs!$F$145*(1+Inputs!$F$146/100)^(Time!Z21-2018)/1000000</f>
        <v>2.5421424144301</v>
      </c>
      <c r="AA48" s="11" t="n">
        <f aca="false">AA37*Inputs!$F$145*(1+Inputs!$F$146/100)^(Time!AA21-2018)/1000000</f>
        <v>2.58846959661132</v>
      </c>
      <c r="AB48" s="11" t="n">
        <f aca="false">AB37*Inputs!$F$145*(1+Inputs!$F$146/100)^(Time!AB21-2018)/1000000</f>
        <v>2.60526724864008</v>
      </c>
      <c r="AC48" s="11" t="n">
        <f aca="false">AC37*Inputs!$F$145*(1+Inputs!$F$146/100)^(Time!AC21-2018)/1000000</f>
        <v>2.59441636621006</v>
      </c>
      <c r="AD48" s="11" t="n">
        <f aca="false">AD37*Inputs!$F$145*(1+Inputs!$F$146/100)^(Time!AD21-2018)/1000000</f>
        <v>2.49500768476887</v>
      </c>
      <c r="AE48" s="11" t="n">
        <f aca="false">AE37*Inputs!$F$145*(1+Inputs!$F$146/100)^(Time!AE21-2018)/1000000</f>
        <v>2.58224372997939</v>
      </c>
      <c r="AF48" s="11" t="n">
        <f aca="false">AF37*Inputs!$F$145*(1+Inputs!$F$146/100)^(Time!AF21-2018)/1000000</f>
        <v>2.68225420521552</v>
      </c>
      <c r="AG48" s="11" t="n">
        <f aca="false">AG37*Inputs!$F$145*(1+Inputs!$F$146/100)^(Time!AG21-2018)/1000000</f>
        <v>2.71304246429667</v>
      </c>
      <c r="AH48" s="11" t="n">
        <f aca="false">AH37*Inputs!$F$145*(1+Inputs!$F$146/100)^(Time!AH21-2018)/1000000</f>
        <v>2.6946054475666</v>
      </c>
      <c r="AI48" s="11" t="n">
        <f aca="false">AI37*Inputs!$F$145*(1+Inputs!$F$146/100)^(Time!AI21-2018)/1000000</f>
        <v>2.74369067260323</v>
      </c>
      <c r="AJ48" s="11" t="n">
        <f aca="false">AJ37*Inputs!$F$145*(1+Inputs!$F$146/100)^(Time!AJ21-2018)/1000000</f>
        <v>2.76147508207859</v>
      </c>
      <c r="AK48" s="11" t="n">
        <f aca="false">AK37*Inputs!$F$145*(1+Inputs!$F$146/100)^(Time!AK21-2018)/1000000</f>
        <v>2.769500128527</v>
      </c>
      <c r="AL48" s="11" t="n">
        <f aca="false">AL37*Inputs!$F$145*(1+Inputs!$F$146/100)^(Time!AL21-2018)/1000000</f>
        <v>2.70319612660434</v>
      </c>
      <c r="AM48" s="11" t="n">
        <f aca="false">AM37*Inputs!$F$145*(1+Inputs!$F$146/100)^(Time!AM21-2018)/1000000</f>
        <v>2.77667679556649</v>
      </c>
      <c r="AN48" s="11" t="n">
        <f aca="false">AN37*Inputs!$F$145*(1+Inputs!$F$146/100)^(Time!AN21-2018)/1000000</f>
        <v>2.84299338231999</v>
      </c>
      <c r="AO48" s="11" t="n">
        <f aca="false">AO37*Inputs!$F$145*(1+Inputs!$F$146/100)^(Time!AO21-2018)/1000000</f>
        <v>2.87560524784634</v>
      </c>
      <c r="AP48" s="11" t="n">
        <f aca="false">AP37*Inputs!$F$145*(1+Inputs!$F$146/100)^(Time!AP21-2018)/1000000</f>
        <v>2.85604220019722</v>
      </c>
      <c r="AQ48" s="11" t="n">
        <f aca="false">AQ37*Inputs!$F$145*(1+Inputs!$F$146/100)^(Time!AQ21-2018)/1000000</f>
        <v>2.90804647233088</v>
      </c>
      <c r="AR48" s="11" t="n">
        <f aca="false">AR37*Inputs!$F$145*(1+Inputs!$F$146/100)^(Time!AR21-2018)/1000000</f>
        <v>2.92687437054437</v>
      </c>
      <c r="AS48" s="11" t="n">
        <f aca="false">AS37*Inputs!$F$145*(1+Inputs!$F$146/100)^(Time!AS21-2018)/1000000</f>
        <v>2.91464054119095</v>
      </c>
      <c r="AT48" s="11" t="n">
        <f aca="false">AT37*Inputs!$F$145*(1+Inputs!$F$146/100)^(Time!AT21-2018)/1000000</f>
        <v>2.80292020847242</v>
      </c>
      <c r="AU48" s="11" t="n">
        <f aca="false">AU37*Inputs!$F$145*(1+Inputs!$F$146/100)^(Time!AU21-2018)/1000000</f>
        <v>2.90087888197887</v>
      </c>
      <c r="AV48" s="11" t="n">
        <f aca="false">AV37*Inputs!$F$145*(1+Inputs!$F$146/100)^(Time!AV21-2018)/1000000</f>
        <v>3.01318512023893</v>
      </c>
      <c r="AW48" s="11" t="n">
        <f aca="false">AW37*Inputs!$F$145*(1+Inputs!$F$146/100)^(Time!AW21-2018)/1000000</f>
        <v>3.04772643305362</v>
      </c>
      <c r="AX48" s="11" t="n">
        <f aca="false">AX37*Inputs!$F$145*(1+Inputs!$F$146/100)^(Time!AX21-2018)/1000000</f>
        <v>3.02696975469488</v>
      </c>
      <c r="AY48" s="11" t="n">
        <f aca="false">AY37*Inputs!$F$145*(1+Inputs!$F$146/100)^(Time!AY21-2018)/1000000</f>
        <v>3.08206326595635</v>
      </c>
      <c r="AZ48" s="11" t="n">
        <f aca="false">AZ37*Inputs!$F$145*(1+Inputs!$F$146/100)^(Time!AZ21-2018)/1000000</f>
        <v>3.10199456236292</v>
      </c>
      <c r="BA48" s="11" t="n">
        <f aca="false">BA37*Inputs!$F$145*(1+Inputs!$F$146/100)^(Time!BA21-2018)/1000000</f>
        <v>3.1109626040794</v>
      </c>
      <c r="BB48" s="11" t="n">
        <f aca="false">BB37*Inputs!$F$145*(1+Inputs!$F$146/100)^(Time!BB21-2018)/1000000</f>
        <v>3.03643823594435</v>
      </c>
      <c r="BC48" s="11" t="n">
        <f aca="false">BC37*Inputs!$F$145*(1+Inputs!$F$146/100)^(Time!BC21-2018)/1000000</f>
        <v>3.11893063910354</v>
      </c>
      <c r="BD48" s="11" t="n">
        <f aca="false">BD37*Inputs!$F$145*(1+Inputs!$F$146/100)^(Time!BD21-2018)/1000000</f>
        <v>3.19337353518747</v>
      </c>
      <c r="BE48" s="11" t="n">
        <f aca="false">BE37*Inputs!$F$145*(1+Inputs!$F$146/100)^(Time!BE21-2018)/1000000</f>
        <v>3.22995613419786</v>
      </c>
      <c r="BF48" s="11" t="n">
        <f aca="false">BF37*Inputs!$F$145*(1+Inputs!$F$146/100)^(Time!BF21-2018)/1000000</f>
        <v>3.20793424088564</v>
      </c>
      <c r="BG48" s="11" t="n">
        <f aca="false">BG37*Inputs!$F$145*(1+Inputs!$F$146/100)^(Time!BG21-2018)/1000000</f>
        <v>3.26629688098676</v>
      </c>
      <c r="BH48" s="11" t="n">
        <f aca="false">BH37*Inputs!$F$145*(1+Inputs!$F$146/100)^(Time!BH21-2018)/1000000</f>
        <v>3.28739483541614</v>
      </c>
      <c r="BI48" s="11" t="n">
        <f aca="false">BI37*Inputs!$F$145*(1+Inputs!$F$146/100)^(Time!BI21-2018)/1000000</f>
        <v>3.2736048677319</v>
      </c>
      <c r="BJ48" s="11" t="n">
        <f aca="false">BJ37*Inputs!$F$145*(1+Inputs!$F$146/100)^(Time!BJ21-2018)/1000000</f>
        <v>3.1480778027554</v>
      </c>
      <c r="BK48" s="11" t="n">
        <f aca="false">BK37*Inputs!$F$145*(1+Inputs!$F$146/100)^(Time!BK21-2018)/1000000</f>
        <v>3.25805027189258</v>
      </c>
      <c r="BL48" s="11" t="n">
        <f aca="false">BL37*Inputs!$F$145*(1+Inputs!$F$146/100)^(Time!BL21-2018)/1000000</f>
        <v>3.38413327061677</v>
      </c>
      <c r="BM48" s="11" t="n">
        <f aca="false">BM37*Inputs!$F$145*(1+Inputs!$F$146/100)^(Time!BM21-2018)/1000000</f>
        <v>2.28955621360548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3780.77281867853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22.5146638919461</v>
      </c>
      <c r="P50" s="11" t="n">
        <f aca="false">P43+P45</f>
        <v>67.8355366699407</v>
      </c>
      <c r="Q50" s="11" t="n">
        <f aca="false">Q43+Q45</f>
        <v>68.1037183069638</v>
      </c>
      <c r="R50" s="11" t="n">
        <f aca="false">R43+R45</f>
        <v>68.2819897922281</v>
      </c>
      <c r="S50" s="11" t="n">
        <f aca="false">S43+S45</f>
        <v>68.6731785225087</v>
      </c>
      <c r="T50" s="11" t="n">
        <f aca="false">T43+T45</f>
        <v>69.0258325280308</v>
      </c>
      <c r="U50" s="11" t="n">
        <f aca="false">U43+U45</f>
        <v>69.057770829453</v>
      </c>
      <c r="V50" s="11" t="n">
        <f aca="false">V43+V45</f>
        <v>67.7159453904188</v>
      </c>
      <c r="W50" s="11" t="n">
        <f aca="false">W43+W45</f>
        <v>68.8473676802064</v>
      </c>
      <c r="X50" s="11" t="n">
        <f aca="false">X43+X45</f>
        <v>70.2680476088556</v>
      </c>
      <c r="Y50" s="11" t="n">
        <f aca="false">Y43+Y45</f>
        <v>70.5602519459679</v>
      </c>
      <c r="Z50" s="11" t="n">
        <f aca="false">Z43+Z45</f>
        <v>70.7586285337268</v>
      </c>
      <c r="AA50" s="11" t="n">
        <f aca="false">AA43+AA45</f>
        <v>71.1805957612001</v>
      </c>
      <c r="AB50" s="11" t="n">
        <f aca="false">AB43+AB45</f>
        <v>71.5644456731271</v>
      </c>
      <c r="AC50" s="11" t="n">
        <f aca="false">AC43+AC45</f>
        <v>71.1048433436519</v>
      </c>
      <c r="AD50" s="11" t="n">
        <f aca="false">AD43+AD45</f>
        <v>68.7111469628636</v>
      </c>
      <c r="AE50" s="11" t="n">
        <f aca="false">AE43+AE45</f>
        <v>70.4036032394204</v>
      </c>
      <c r="AF50" s="11" t="n">
        <f aca="false">AF43+AF45</f>
        <v>72.9173891446989</v>
      </c>
      <c r="AG50" s="11" t="n">
        <f aca="false">AG43+AG45</f>
        <v>73.2357675410287</v>
      </c>
      <c r="AH50" s="11" t="n">
        <f aca="false">AH43+AH45</f>
        <v>73.456058944733</v>
      </c>
      <c r="AI50" s="11" t="n">
        <f aca="false">AI43+AI45</f>
        <v>73.9115401691137</v>
      </c>
      <c r="AJ50" s="11" t="n">
        <f aca="false">AJ43+AJ45</f>
        <v>74.3293434088401</v>
      </c>
      <c r="AK50" s="11" t="n">
        <f aca="false">AK43+AK45</f>
        <v>74.3903104456312</v>
      </c>
      <c r="AL50" s="11" t="n">
        <f aca="false">AL43+AL45</f>
        <v>72.9775750446379</v>
      </c>
      <c r="AM50" s="11" t="n">
        <f aca="false">AM43+AM45</f>
        <v>74.2302193730544</v>
      </c>
      <c r="AN50" s="11" t="n">
        <f aca="false">AN43+AN45</f>
        <v>75.8028812976793</v>
      </c>
      <c r="AO50" s="11" t="n">
        <f aca="false">AO43+AO45</f>
        <v>76.1497777313598</v>
      </c>
      <c r="AP50" s="11" t="n">
        <f aca="false">AP43+AP45</f>
        <v>76.3939565440089</v>
      </c>
      <c r="AQ50" s="11" t="n">
        <f aca="false">AQ43+AQ45</f>
        <v>76.8859302560864</v>
      </c>
      <c r="AR50" s="11" t="n">
        <f aca="false">AR43+AR45</f>
        <v>77.3406877709687</v>
      </c>
      <c r="AS50" s="11" t="n">
        <f aca="false">AS43+AS45</f>
        <v>76.87177123249</v>
      </c>
      <c r="AT50" s="11" t="n">
        <f aca="false">AT43+AT45</f>
        <v>74.3175378133311</v>
      </c>
      <c r="AU50" s="11" t="n">
        <f aca="false">AU43+AU45</f>
        <v>76.1825633421352</v>
      </c>
      <c r="AV50" s="11" t="n">
        <f aca="false">AV43+AV45</f>
        <v>78.9455648006659</v>
      </c>
      <c r="AW50" s="11" t="n">
        <f aca="false">AW43+AW45</f>
        <v>79.3235331104187</v>
      </c>
      <c r="AX50" s="11" t="n">
        <f aca="false">AX43+AX45</f>
        <v>79.5937494625879</v>
      </c>
      <c r="AY50" s="11" t="n">
        <f aca="false">AY43+AY45</f>
        <v>80.1254587165532</v>
      </c>
      <c r="AZ50" s="11" t="n">
        <f aca="false">AZ43+AZ45</f>
        <v>80.6204364682074</v>
      </c>
      <c r="BA50" s="11" t="n">
        <f aca="false">BA43+BA45</f>
        <v>80.7159721032523</v>
      </c>
      <c r="BB50" s="11" t="n">
        <f aca="false">BB43+BB45</f>
        <v>79.2191163421292</v>
      </c>
      <c r="BC50" s="11" t="n">
        <f aca="false">BC43+BC45</f>
        <v>80.6155544114018</v>
      </c>
      <c r="BD50" s="11" t="n">
        <f aca="false">BD43+BD45</f>
        <v>82.3683542837291</v>
      </c>
      <c r="BE50" s="11" t="n">
        <f aca="false">BE43+BE45</f>
        <v>82.7801769533676</v>
      </c>
      <c r="BF50" s="11" t="n">
        <f aca="false">BF43+BF45</f>
        <v>83.0787744902085</v>
      </c>
      <c r="BG50" s="11" t="n">
        <f aca="false">BG43+BG45</f>
        <v>83.6537503899909</v>
      </c>
      <c r="BH50" s="11" t="n">
        <f aca="false">BH43+BH45</f>
        <v>84.1925027368931</v>
      </c>
      <c r="BI50" s="11" t="n">
        <f aca="false">BI43+BI45</f>
        <v>83.7126833875953</v>
      </c>
      <c r="BJ50" s="11" t="n">
        <f aca="false">BJ43+BJ45</f>
        <v>80.968011303015</v>
      </c>
      <c r="BK50" s="11" t="n">
        <f aca="false">BK43+BK45</f>
        <v>83.0377390954535</v>
      </c>
      <c r="BL50" s="11" t="n">
        <f aca="false">BL43+BL45</f>
        <v>86.0962050894025</v>
      </c>
      <c r="BM50" s="11" t="n">
        <f aca="false">BM43+BM45</f>
        <v>57.7243587933509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9341.24944503245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52.0814105870832</v>
      </c>
      <c r="P51" s="11" t="n">
        <f aca="false">P50+P46+P47+P48+P49</f>
        <v>156.585603685769</v>
      </c>
      <c r="Q51" s="11" t="n">
        <f aca="false">Q50+Q46+Q47+Q48+Q49</f>
        <v>158.089062147266</v>
      </c>
      <c r="R51" s="11" t="n">
        <f aca="false">R50+R46+R47+R48+R49</f>
        <v>157.918052431714</v>
      </c>
      <c r="S51" s="11" t="n">
        <f aca="false">S50+S46+S47+S48+S49</f>
        <v>160.083568067535</v>
      </c>
      <c r="T51" s="11" t="n">
        <f aca="false">T50+T46+T47+T48+T49</f>
        <v>161.13992864295</v>
      </c>
      <c r="U51" s="11" t="n">
        <f aca="false">U50+U46+U47+U48+U49</f>
        <v>161.829899699368</v>
      </c>
      <c r="V51" s="11" t="n">
        <f aca="false">V50+V46+V47+V48+V49</f>
        <v>158.676504638493</v>
      </c>
      <c r="W51" s="11" t="n">
        <f aca="false">W50+W46+W47+W48+W49</f>
        <v>162.315195125709</v>
      </c>
      <c r="X51" s="11" t="n">
        <f aca="false">X50+X46+X47+X48+X49</f>
        <v>165.873592595977</v>
      </c>
      <c r="Y51" s="11" t="n">
        <f aca="false">Y50+Y46+Y47+Y48+Y49</f>
        <v>167.499414288362</v>
      </c>
      <c r="Z51" s="11" t="n">
        <f aca="false">Z50+Z46+Z47+Z48+Z49</f>
        <v>167.31667223213</v>
      </c>
      <c r="AA51" s="11" t="n">
        <f aca="false">AA50+AA46+AA47+AA48+AA49</f>
        <v>169.654199163282</v>
      </c>
      <c r="AB51" s="11" t="n">
        <f aca="false">AB50+AB46+AB47+AB48+AB49</f>
        <v>170.793668801409</v>
      </c>
      <c r="AC51" s="11" t="n">
        <f aca="false">AC50+AC46+AC47+AC48+AC49</f>
        <v>170.427105323868</v>
      </c>
      <c r="AD51" s="11" t="n">
        <f aca="false">AD50+AD46+AD47+AD48+AD49</f>
        <v>164.842859698492</v>
      </c>
      <c r="AE51" s="11" t="n">
        <f aca="false">AE50+AE46+AE47+AE48+AE49</f>
        <v>169.833979576429</v>
      </c>
      <c r="AF51" s="11" t="n">
        <f aca="false">AF50+AF46+AF47+AF48+AF49</f>
        <v>175.907509570371</v>
      </c>
      <c r="AG51" s="11" t="n">
        <f aca="false">AG50+AG46+AG47+AG48+AG49</f>
        <v>177.665599668692</v>
      </c>
      <c r="AH51" s="11" t="n">
        <f aca="false">AH50+AH46+AH47+AH48+AH49</f>
        <v>177.470166109564</v>
      </c>
      <c r="AI51" s="11" t="n">
        <f aca="false">AI50+AI46+AI47+AI48+AI49</f>
        <v>179.993579672251</v>
      </c>
      <c r="AJ51" s="11" t="n">
        <f aca="false">AJ50+AJ46+AJ47+AJ48+AJ49</f>
        <v>181.222757269296</v>
      </c>
      <c r="AK51" s="11" t="n">
        <f aca="false">AK50+AK46+AK47+AK48+AK49</f>
        <v>182.048059648638</v>
      </c>
      <c r="AL51" s="11" t="n">
        <f aca="false">AL50+AL46+AL47+AL48+AL49</f>
        <v>178.517702170664</v>
      </c>
      <c r="AM51" s="11" t="n">
        <f aca="false">AM50+AM46+AM47+AM48+AM49</f>
        <v>182.692386095132</v>
      </c>
      <c r="AN51" s="11" t="n">
        <f aca="false">AN50+AN46+AN47+AN48+AN49</f>
        <v>186.747355753624</v>
      </c>
      <c r="AO51" s="11" t="n">
        <f aca="false">AO50+AO46+AO47+AO48+AO49</f>
        <v>188.648416722223</v>
      </c>
      <c r="AP51" s="11" t="n">
        <f aca="false">AP50+AP46+AP47+AP48+AP49</f>
        <v>188.439262322547</v>
      </c>
      <c r="AQ51" s="11" t="n">
        <f aca="false">AQ50+AQ46+AQ47+AQ48+AQ49</f>
        <v>191.163550324987</v>
      </c>
      <c r="AR51" s="11" t="n">
        <f aca="false">AR50+AR46+AR47+AR48+AR49</f>
        <v>192.48956225145</v>
      </c>
      <c r="AS51" s="11" t="n">
        <f aca="false">AS50+AS46+AS47+AS48+AS49</f>
        <v>192.126314055145</v>
      </c>
      <c r="AT51" s="11" t="n">
        <f aca="false">AT50+AT46+AT47+AT48+AT49</f>
        <v>185.847263417472</v>
      </c>
      <c r="AU51" s="11" t="n">
        <f aca="false">AU50+AU46+AU47+AU48+AU49</f>
        <v>191.55630008062</v>
      </c>
      <c r="AV51" s="11" t="n">
        <f aca="false">AV50+AV46+AV47+AV48+AV49</f>
        <v>198.457959714793</v>
      </c>
      <c r="AW51" s="11" t="n">
        <f aca="false">AW50+AW46+AW47+AW48+AW49</f>
        <v>200.513555097517</v>
      </c>
      <c r="AX51" s="11" t="n">
        <f aca="false">AX50+AX46+AX47+AX48+AX49</f>
        <v>200.289575877057</v>
      </c>
      <c r="AY51" s="11" t="n">
        <f aca="false">AY50+AY46+AY47+AY48+AY49</f>
        <v>203.230927199732</v>
      </c>
      <c r="AZ51" s="11" t="n">
        <f aca="false">AZ50+AZ46+AZ47+AZ48+AZ49</f>
        <v>204.661469656837</v>
      </c>
      <c r="BA51" s="11" t="n">
        <f aca="false">BA50+BA46+BA47+BA48+BA49</f>
        <v>205.644698102252</v>
      </c>
      <c r="BB51" s="11" t="n">
        <f aca="false">BB50+BB46+BB47+BB48+BB49</f>
        <v>201.673119452604</v>
      </c>
      <c r="BC51" s="11" t="n">
        <f aca="false">BC50+BC46+BC47+BC48+BC49</f>
        <v>206.474328155213</v>
      </c>
      <c r="BD51" s="11" t="n">
        <f aca="false">BD50+BD46+BD47+BD48+BD49</f>
        <v>211.109365494216</v>
      </c>
      <c r="BE51" s="11" t="n">
        <f aca="false">BE50+BE46+BE47+BE48+BE49</f>
        <v>213.331988775292</v>
      </c>
      <c r="BF51" s="11" t="n">
        <f aca="false">BF50+BF46+BF47+BF48+BF49</f>
        <v>213.092001427196</v>
      </c>
      <c r="BG51" s="11" t="n">
        <f aca="false">BG50+BG46+BG47+BG48+BG49</f>
        <v>216.267901627156</v>
      </c>
      <c r="BH51" s="11" t="n">
        <f aca="false">BH50+BH46+BH47+BH48+BH49</f>
        <v>217.811286414174</v>
      </c>
      <c r="BI51" s="11" t="n">
        <f aca="false">BI50+BI46+BI47+BI48+BI49</f>
        <v>217.451422933357</v>
      </c>
      <c r="BJ51" s="11" t="n">
        <f aca="false">BJ50+BJ46+BJ47+BJ48+BJ49</f>
        <v>210.359191708203</v>
      </c>
      <c r="BK51" s="11" t="n">
        <f aca="false">BK50+BK46+BK47+BK48+BK49</f>
        <v>216.90758402228</v>
      </c>
      <c r="BL51" s="11" t="n">
        <f aca="false">BL50+BL46+BL47+BL48+BL49</f>
        <v>224.777251787185</v>
      </c>
      <c r="BM51" s="11" t="n">
        <f aca="false">BM50+BM46+BM47+BM48+BM49</f>
        <v>151.699315748868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-14.2934922267267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-0.0424668408671228</v>
      </c>
      <c r="P56" s="11" t="n">
        <f aca="false">IF(Time!P25&gt;0,Inputs!$F$151*MAX(-1,MIN(1,(P28-92)/3))*P19*Time!P25/12,0)</f>
        <v>-0.128794304255282</v>
      </c>
      <c r="Q56" s="11" t="n">
        <f aca="false">IF(Time!Q25&gt;0,Inputs!$F$151*MAX(-1,MIN(1,(Q28-92)/3))*Q19*Time!Q25/12,0)</f>
        <v>-0.162754167623248</v>
      </c>
      <c r="R56" s="11" t="n">
        <f aca="false">IF(Time!R25&gt;0,Inputs!$F$151*MAX(-1,MIN(1,(R28-92)/3))*R19*Time!R25/12,0)</f>
        <v>-0.230348613160568</v>
      </c>
      <c r="S56" s="11" t="n">
        <f aca="false">IF(Time!S25&gt;0,Inputs!$F$151*MAX(-1,MIN(1,(S28-92)/3))*S19*Time!S25/12,0)</f>
        <v>-0.199601711173151</v>
      </c>
      <c r="T56" s="11" t="n">
        <f aca="false">IF(Time!T25&gt;0,Inputs!$F$151*MAX(-1,MIN(1,(T28-92)/3))*T19*Time!T25/12,0)</f>
        <v>-0.134523590085774</v>
      </c>
      <c r="U56" s="11" t="n">
        <f aca="false">IF(Time!U25&gt;0,Inputs!$F$151*MAX(-1,MIN(1,(U28-92)/3))*U19*Time!U25/12,0)</f>
        <v>-0.256880009623876</v>
      </c>
      <c r="V56" s="11" t="n">
        <f aca="false">IF(Time!V25&gt;0,Inputs!$F$151*MAX(-1,MIN(1,(V28-92)/3))*V19*Time!V25/12,0)</f>
        <v>-0.34370777266915</v>
      </c>
      <c r="W56" s="11" t="n">
        <f aca="false">IF(Time!W25&gt;0,Inputs!$F$151*MAX(-1,MIN(1,(W28-92)/3))*W19*Time!W25/12,0)</f>
        <v>-0.347467989488296</v>
      </c>
      <c r="X56" s="11" t="n">
        <f aca="false">IF(Time!X25&gt;0,Inputs!$F$151*MAX(-1,MIN(1,(X28-92)/3))*X19*Time!X25/12,0)</f>
        <v>-0.140507737467149</v>
      </c>
      <c r="Y56" s="11" t="n">
        <f aca="false">IF(Time!Y25&gt;0,Inputs!$F$151*MAX(-1,MIN(1,(Y28-92)/3))*Y19*Time!Y25/12,0)</f>
        <v>-0.177556142628519</v>
      </c>
      <c r="Z56" s="11" t="n">
        <f aca="false">IF(Time!Z25&gt;0,Inputs!$F$151*MAX(-1,MIN(1,(Z28-92)/3))*Z19*Time!Z25/12,0)</f>
        <v>-0.251298088459993</v>
      </c>
      <c r="AA56" s="11" t="n">
        <f aca="false">IF(Time!AA25&gt;0,Inputs!$F$151*MAX(-1,MIN(1,(AA28-92)/3))*AA19*Time!AA25/12,0)</f>
        <v>-0.217754853319615</v>
      </c>
      <c r="AB56" s="11" t="n">
        <f aca="false">IF(Time!AB25&gt;0,Inputs!$F$151*MAX(-1,MIN(1,(AB28-92)/3))*AB19*Time!AB25/12,0)</f>
        <v>-0.146758083660638</v>
      </c>
      <c r="AC56" s="11" t="n">
        <f aca="false">IF(Time!AC25&gt;0,Inputs!$F$151*MAX(-1,MIN(1,(AC28-92)/3))*AC19*Time!AC25/12,0)</f>
        <v>-0.358545463482597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-0.379069100357809</v>
      </c>
      <c r="AF56" s="11" t="n">
        <f aca="false">IF(Time!AF25&gt;0,Inputs!$F$151*MAX(-1,MIN(1,(AF28-92)/3))*AF19*Time!AF25/12,0)</f>
        <v>-0.153286470254197</v>
      </c>
      <c r="AG56" s="11" t="n">
        <f aca="false">IF(Time!AG25&gt;0,Inputs!$F$151*MAX(-1,MIN(1,(AG28-92)/3))*AG19*Time!AG25/12,0)</f>
        <v>-0.19370431028284</v>
      </c>
      <c r="AH56" s="11" t="n">
        <f aca="false">IF(Time!AH25&gt;0,Inputs!$F$151*MAX(-1,MIN(1,(AH28-92)/3))*AH19*Time!AH25/12,0)</f>
        <v>-0.274152852049629</v>
      </c>
      <c r="AI56" s="11" t="n">
        <f aca="false">IF(Time!AI25&gt;0,Inputs!$F$151*MAX(-1,MIN(1,(AI28-92)/3))*AI19*Time!AI25/12,0)</f>
        <v>-0.237558966130875</v>
      </c>
      <c r="AJ56" s="11" t="n">
        <f aca="false">IF(Time!AJ25&gt;0,Inputs!$F$151*MAX(-1,MIN(1,(AJ28-92)/3))*AJ19*Time!AJ25/12,0)</f>
        <v>-0.160105265596985</v>
      </c>
      <c r="AK56" s="11" t="n">
        <f aca="false">IF(Time!AK25&gt;0,Inputs!$F$151*MAX(-1,MIN(1,(AK28-92)/3))*AK19*Time!AK25/12,0)</f>
        <v>-0.305729590930209</v>
      </c>
      <c r="AL56" s="11" t="n">
        <f aca="false">IF(Time!AL25&gt;0,Inputs!$F$151*MAX(-1,MIN(1,(AL28-92)/3))*AL19*Time!AL25/12,0)</f>
        <v>-0.409068953600295</v>
      </c>
      <c r="AM56" s="11" t="n">
        <f aca="false">IF(Time!AM25&gt;0,Inputs!$F$151*MAX(-1,MIN(1,(AM28-92)/3))*AM19*Time!AM25/12,0)</f>
        <v>-0.413544231967069</v>
      </c>
      <c r="AN56" s="11" t="n">
        <f aca="false">IF(Time!AN25&gt;0,Inputs!$F$151*MAX(-1,MIN(1,(AN28-92)/3))*AN19*Time!AN25/12,0)</f>
        <v>-0.167227388231801</v>
      </c>
      <c r="AO56" s="11" t="n">
        <f aca="false">IF(Time!AO25&gt;0,Inputs!$F$151*MAX(-1,MIN(1,(AO28-92)/3))*AO19*Time!AO25/12,0)</f>
        <v>-0.211321102535172</v>
      </c>
      <c r="AP56" s="11" t="n">
        <f aca="false">IF(Time!AP25&gt;0,Inputs!$F$151*MAX(-1,MIN(1,(AP28-92)/3))*AP19*Time!AP25/12,0)</f>
        <v>-0.299086183852573</v>
      </c>
      <c r="AQ56" s="11" t="n">
        <f aca="false">IF(Time!AQ25&gt;0,Inputs!$F$151*MAX(-1,MIN(1,(AQ28-92)/3))*AQ19*Time!AQ25/12,0)</f>
        <v>-0.259164200149135</v>
      </c>
      <c r="AR56" s="11" t="n">
        <f aca="false">IF(Time!AR25&gt;0,Inputs!$F$151*MAX(-1,MIN(1,(AR28-92)/3))*AR19*Time!AR25/12,0)</f>
        <v>-0.174666331369905</v>
      </c>
      <c r="AS56" s="11" t="n">
        <f aca="false">IF(Time!AS25&gt;0,Inputs!$F$151*MAX(-1,MIN(1,(AS28-92)/3))*AS19*Time!AS25/12,0)</f>
        <v>-0.426728253556669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-0.451154767380948</v>
      </c>
      <c r="AV56" s="11" t="n">
        <f aca="false">IF(Time!AV25&gt;0,Inputs!$F$151*MAX(-1,MIN(1,(AV28-92)/3))*AV19*Time!AV25/12,0)</f>
        <v>-0.182436188454563</v>
      </c>
      <c r="AW56" s="11" t="n">
        <f aca="false">IF(Time!AW25&gt;0,Inputs!$F$151*MAX(-1,MIN(1,(AW28-92)/3))*AW19*Time!AW25/12,0)</f>
        <v>-0.230540086131665</v>
      </c>
      <c r="AX56" s="11" t="n">
        <f aca="false">IF(Time!AX25&gt;0,Inputs!$F$151*MAX(-1,MIN(1,(AX28-92)/3))*AX19*Time!AX25/12,0)</f>
        <v>-0.326287123050983</v>
      </c>
      <c r="AY56" s="11" t="n">
        <f aca="false">IF(Time!AY25&gt;0,Inputs!$F$151*MAX(-1,MIN(1,(AY28-92)/3))*AY19*Time!AY25/12,0)</f>
        <v>-0.282734361631873</v>
      </c>
      <c r="AZ56" s="11" t="n">
        <f aca="false">IF(Time!AZ25&gt;0,Inputs!$F$151*MAX(-1,MIN(1,(AZ28-92)/3))*AZ19*Time!AZ25/12,0)</f>
        <v>-0.190551679861776</v>
      </c>
      <c r="BA56" s="11" t="n">
        <f aca="false">IF(Time!BA25&gt;0,Inputs!$F$151*MAX(-1,MIN(1,(BA28-92)/3))*BA19*Time!BA25/12,0)</f>
        <v>-0.363868651777197</v>
      </c>
      <c r="BB56" s="11" t="n">
        <f aca="false">IF(Time!BB25&gt;0,Inputs!$F$151*MAX(-1,MIN(1,(BB28-92)/3))*BB19*Time!BB25/12,0)</f>
        <v>-0.486859542046837</v>
      </c>
      <c r="BC56" s="11" t="n">
        <f aca="false">IF(Time!BC25&gt;0,Inputs!$F$151*MAX(-1,MIN(1,(BC28-92)/3))*BC19*Time!BC25/12,0)</f>
        <v>-0.492185861624509</v>
      </c>
      <c r="BD56" s="11" t="n">
        <f aca="false">IF(Time!BD25&gt;0,Inputs!$F$151*MAX(-1,MIN(1,(BD28-92)/3))*BD19*Time!BD25/12,0)</f>
        <v>-0.199028180788747</v>
      </c>
      <c r="BE56" s="11" t="n">
        <f aca="false">IF(Time!BE25&gt;0,Inputs!$F$151*MAX(-1,MIN(1,(BE28-92)/3))*BE19*Time!BE25/12,0)</f>
        <v>-0.251506975290124</v>
      </c>
      <c r="BF56" s="11" t="n">
        <f aca="false">IF(Time!BF25&gt;0,Inputs!$F$151*MAX(-1,MIN(1,(BF28-92)/3))*BF19*Time!BF25/12,0)</f>
        <v>-0.35596190134067</v>
      </c>
      <c r="BG56" s="11" t="n">
        <f aca="false">IF(Time!BG25&gt;0,Inputs!$F$151*MAX(-1,MIN(1,(BG28-92)/3))*BG19*Time!BG25/12,0)</f>
        <v>-0.308448154495808</v>
      </c>
      <c r="BH56" s="11" t="n">
        <f aca="false">IF(Time!BH25&gt;0,Inputs!$F$151*MAX(-1,MIN(1,(BH28-92)/3))*BH19*Time!BH25/12,0)</f>
        <v>-0.207881750382954</v>
      </c>
      <c r="BI56" s="11" t="n">
        <f aca="false">IF(Time!BI25&gt;0,Inputs!$F$151*MAX(-1,MIN(1,(BI28-92)/3))*BI19*Time!BI25/12,0)</f>
        <v>-0.50787702238593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-0.536948603667333</v>
      </c>
      <c r="BL56" s="11" t="n">
        <f aca="false">IF(Time!BL25&gt;0,Inputs!$F$151*MAX(-1,MIN(1,(BL28-92)/3))*BL19*Time!BL25/12,0)</f>
        <v>-0.217129162166989</v>
      </c>
      <c r="BM56" s="11" t="n">
        <f aca="false">IF(Time!BM25&gt;0,Inputs!$F$151*MAX(-1,MIN(1,(BM28-92)/3))*BM19*Time!BM25/12,0)</f>
        <v>-0.146336392786137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2727.08315565032</v>
      </c>
      <c r="P58" s="13" t="n">
        <f aca="false">IF(P27&gt;0,2*(Inputs!$F$127*P28/P27+Inputs!$F$128*Inputs!$F$129)*Time!P25/12,0)</f>
        <v>8181.24946695096</v>
      </c>
      <c r="Q58" s="13" t="n">
        <f aca="false">IF(Q27&gt;0,2*(Inputs!$F$127*Q28/Q27+Inputs!$F$128*Inputs!$F$129)*Time!Q25/12,0)</f>
        <v>8180.42245989305</v>
      </c>
      <c r="R58" s="13" t="n">
        <f aca="false">IF(R27&gt;0,2*(Inputs!$F$127*R28/R27+Inputs!$F$128*Inputs!$F$129)*Time!R25/12,0)</f>
        <v>8178.7524219591</v>
      </c>
      <c r="S58" s="13" t="n">
        <f aca="false">IF(S27&gt;0,2*(Inputs!$F$127*S28/S27+Inputs!$F$128*Inputs!$F$129)*Time!S25/12,0)</f>
        <v>8179.59012875537</v>
      </c>
      <c r="T58" s="13" t="n">
        <f aca="false">IF(T27&gt;0,2*(Inputs!$F$127*T28/T27+Inputs!$F$128*Inputs!$F$129)*Time!T25/12,0)</f>
        <v>8181.24946695096</v>
      </c>
      <c r="U58" s="13" t="n">
        <f aca="false">IF(U27&gt;0,2*(Inputs!$F$127*U28/U27+Inputs!$F$128*Inputs!$F$129)*Time!U25/12,0)</f>
        <v>8178.28468727534</v>
      </c>
      <c r="V58" s="13" t="n">
        <f aca="false">IF(V27&gt;0,2*(Inputs!$F$127*V28/V27+Inputs!$F$128*Inputs!$F$129)*Time!V25/12,0)</f>
        <v>8172.14569536424</v>
      </c>
      <c r="W58" s="13" t="n">
        <f aca="false">IF(W27&gt;0,2*(Inputs!$F$127*W28/W27+Inputs!$F$128*Inputs!$F$129)*Time!W25/12,0)</f>
        <v>8175.25090909091</v>
      </c>
      <c r="X58" s="13" t="n">
        <f aca="false">IF(X27&gt;0,2*(Inputs!$F$127*X28/X27+Inputs!$F$128*Inputs!$F$129)*Time!X25/12,0)</f>
        <v>8181.24946695096</v>
      </c>
      <c r="Y58" s="13" t="n">
        <f aca="false">IF(Y27&gt;0,2*(Inputs!$F$127*Y28/Y27+Inputs!$F$128*Inputs!$F$129)*Time!Y25/12,0)</f>
        <v>8180.42245989305</v>
      </c>
      <c r="Z58" s="13" t="n">
        <f aca="false">IF(Z27&gt;0,2*(Inputs!$F$127*Z28/Z27+Inputs!$F$128*Inputs!$F$129)*Time!Z25/12,0)</f>
        <v>8178.7524219591</v>
      </c>
      <c r="AA58" s="13" t="n">
        <f aca="false">IF(AA27&gt;0,2*(Inputs!$F$127*AA28/AA27+Inputs!$F$128*Inputs!$F$129)*Time!AA25/12,0)</f>
        <v>8179.59012875537</v>
      </c>
      <c r="AB58" s="13" t="n">
        <f aca="false">IF(AB27&gt;0,2*(Inputs!$F$127*AB28/AB27+Inputs!$F$128*Inputs!$F$129)*Time!AB25/12,0)</f>
        <v>8181.24946695096</v>
      </c>
      <c r="AC58" s="13" t="n">
        <f aca="false">IF(AC27&gt;0,2*(Inputs!$F$127*AC28/AC27+Inputs!$F$128*Inputs!$F$129)*Time!AC25/12,0)</f>
        <v>8176.49185667752</v>
      </c>
      <c r="AD58" s="13" t="n">
        <f aca="false">IF(AD27&gt;0,2*(Inputs!$F$127*AD28/AD27+Inputs!$F$128*Inputs!$F$129)*Time!AD25/12,0)</f>
        <v>8166.42953776776</v>
      </c>
      <c r="AE58" s="13" t="n">
        <f aca="false">IF(AE27&gt;0,2*(Inputs!$F$127*AE28/AE27+Inputs!$F$128*Inputs!$F$129)*Time!AE25/12,0)</f>
        <v>8171.55530973451</v>
      </c>
      <c r="AF58" s="13" t="n">
        <f aca="false">IF(AF27&gt;0,2*(Inputs!$F$127*AF28/AF27+Inputs!$F$128*Inputs!$F$129)*Time!AF25/12,0)</f>
        <v>8181.24946695096</v>
      </c>
      <c r="AG58" s="13" t="n">
        <f aca="false">IF(AG27&gt;0,2*(Inputs!$F$127*AG28/AG27+Inputs!$F$128*Inputs!$F$129)*Time!AG25/12,0)</f>
        <v>8180.42245989305</v>
      </c>
      <c r="AH58" s="13" t="n">
        <f aca="false">IF(AH27&gt;0,2*(Inputs!$F$127*AH28/AH27+Inputs!$F$128*Inputs!$F$129)*Time!AH25/12,0)</f>
        <v>8178.7524219591</v>
      </c>
      <c r="AI58" s="13" t="n">
        <f aca="false">IF(AI27&gt;0,2*(Inputs!$F$127*AI28/AI27+Inputs!$F$128*Inputs!$F$129)*Time!AI25/12,0)</f>
        <v>8179.59012875537</v>
      </c>
      <c r="AJ58" s="13" t="n">
        <f aca="false">IF(AJ27&gt;0,2*(Inputs!$F$127*AJ28/AJ27+Inputs!$F$128*Inputs!$F$129)*Time!AJ25/12,0)</f>
        <v>8181.24946695096</v>
      </c>
      <c r="AK58" s="13" t="n">
        <f aca="false">IF(AK27&gt;0,2*(Inputs!$F$127*AK28/AK27+Inputs!$F$128*Inputs!$F$129)*Time!AK25/12,0)</f>
        <v>8178.28468727534</v>
      </c>
      <c r="AL58" s="13" t="n">
        <f aca="false">IF(AL27&gt;0,2*(Inputs!$F$127*AL28/AL27+Inputs!$F$128*Inputs!$F$129)*Time!AL25/12,0)</f>
        <v>8172.14569536424</v>
      </c>
      <c r="AM58" s="13" t="n">
        <f aca="false">IF(AM27&gt;0,2*(Inputs!$F$127*AM28/AM27+Inputs!$F$128*Inputs!$F$129)*Time!AM25/12,0)</f>
        <v>8175.25090909091</v>
      </c>
      <c r="AN58" s="13" t="n">
        <f aca="false">IF(AN27&gt;0,2*(Inputs!$F$127*AN28/AN27+Inputs!$F$128*Inputs!$F$129)*Time!AN25/12,0)</f>
        <v>8181.24946695096</v>
      </c>
      <c r="AO58" s="13" t="n">
        <f aca="false">IF(AO27&gt;0,2*(Inputs!$F$127*AO28/AO27+Inputs!$F$128*Inputs!$F$129)*Time!AO25/12,0)</f>
        <v>8180.42245989305</v>
      </c>
      <c r="AP58" s="13" t="n">
        <f aca="false">IF(AP27&gt;0,2*(Inputs!$F$127*AP28/AP27+Inputs!$F$128*Inputs!$F$129)*Time!AP25/12,0)</f>
        <v>8178.7524219591</v>
      </c>
      <c r="AQ58" s="13" t="n">
        <f aca="false">IF(AQ27&gt;0,2*(Inputs!$F$127*AQ28/AQ27+Inputs!$F$128*Inputs!$F$129)*Time!AQ25/12,0)</f>
        <v>8179.59012875537</v>
      </c>
      <c r="AR58" s="13" t="n">
        <f aca="false">IF(AR27&gt;0,2*(Inputs!$F$127*AR28/AR27+Inputs!$F$128*Inputs!$F$129)*Time!AR25/12,0)</f>
        <v>8181.24946695096</v>
      </c>
      <c r="AS58" s="13" t="n">
        <f aca="false">IF(AS27&gt;0,2*(Inputs!$F$127*AS28/AS27+Inputs!$F$128*Inputs!$F$129)*Time!AS25/12,0)</f>
        <v>8176.49185667752</v>
      </c>
      <c r="AT58" s="13" t="n">
        <f aca="false">IF(AT27&gt;0,2*(Inputs!$F$127*AT28/AT27+Inputs!$F$128*Inputs!$F$129)*Time!AT25/12,0)</f>
        <v>8166.42953776776</v>
      </c>
      <c r="AU58" s="13" t="n">
        <f aca="false">IF(AU27&gt;0,2*(Inputs!$F$127*AU28/AU27+Inputs!$F$128*Inputs!$F$129)*Time!AU25/12,0)</f>
        <v>8171.55530973451</v>
      </c>
      <c r="AV58" s="13" t="n">
        <f aca="false">IF(AV27&gt;0,2*(Inputs!$F$127*AV28/AV27+Inputs!$F$128*Inputs!$F$129)*Time!AV25/12,0)</f>
        <v>8181.24946695096</v>
      </c>
      <c r="AW58" s="13" t="n">
        <f aca="false">IF(AW27&gt;0,2*(Inputs!$F$127*AW28/AW27+Inputs!$F$128*Inputs!$F$129)*Time!AW25/12,0)</f>
        <v>8180.42245989305</v>
      </c>
      <c r="AX58" s="13" t="n">
        <f aca="false">IF(AX27&gt;0,2*(Inputs!$F$127*AX28/AX27+Inputs!$F$128*Inputs!$F$129)*Time!AX25/12,0)</f>
        <v>8178.7524219591</v>
      </c>
      <c r="AY58" s="13" t="n">
        <f aca="false">IF(AY27&gt;0,2*(Inputs!$F$127*AY28/AY27+Inputs!$F$128*Inputs!$F$129)*Time!AY25/12,0)</f>
        <v>8179.59012875537</v>
      </c>
      <c r="AZ58" s="13" t="n">
        <f aca="false">IF(AZ27&gt;0,2*(Inputs!$F$127*AZ28/AZ27+Inputs!$F$128*Inputs!$F$129)*Time!AZ25/12,0)</f>
        <v>8181.24946695096</v>
      </c>
      <c r="BA58" s="13" t="n">
        <f aca="false">IF(BA27&gt;0,2*(Inputs!$F$127*BA28/BA27+Inputs!$F$128*Inputs!$F$129)*Time!BA25/12,0)</f>
        <v>8178.28468727534</v>
      </c>
      <c r="BB58" s="13" t="n">
        <f aca="false">IF(BB27&gt;0,2*(Inputs!$F$127*BB28/BB27+Inputs!$F$128*Inputs!$F$129)*Time!BB25/12,0)</f>
        <v>8172.14569536424</v>
      </c>
      <c r="BC58" s="13" t="n">
        <f aca="false">IF(BC27&gt;0,2*(Inputs!$F$127*BC28/BC27+Inputs!$F$128*Inputs!$F$129)*Time!BC25/12,0)</f>
        <v>8175.25090909091</v>
      </c>
      <c r="BD58" s="13" t="n">
        <f aca="false">IF(BD27&gt;0,2*(Inputs!$F$127*BD28/BD27+Inputs!$F$128*Inputs!$F$129)*Time!BD25/12,0)</f>
        <v>8181.24946695096</v>
      </c>
      <c r="BE58" s="13" t="n">
        <f aca="false">IF(BE27&gt;0,2*(Inputs!$F$127*BE28/BE27+Inputs!$F$128*Inputs!$F$129)*Time!BE25/12,0)</f>
        <v>8180.42245989305</v>
      </c>
      <c r="BF58" s="13" t="n">
        <f aca="false">IF(BF27&gt;0,2*(Inputs!$F$127*BF28/BF27+Inputs!$F$128*Inputs!$F$129)*Time!BF25/12,0)</f>
        <v>8178.7524219591</v>
      </c>
      <c r="BG58" s="13" t="n">
        <f aca="false">IF(BG27&gt;0,2*(Inputs!$F$127*BG28/BG27+Inputs!$F$128*Inputs!$F$129)*Time!BG25/12,0)</f>
        <v>8179.59012875537</v>
      </c>
      <c r="BH58" s="13" t="n">
        <f aca="false">IF(BH27&gt;0,2*(Inputs!$F$127*BH28/BH27+Inputs!$F$128*Inputs!$F$129)*Time!BH25/12,0)</f>
        <v>8181.24946695096</v>
      </c>
      <c r="BI58" s="13" t="n">
        <f aca="false">IF(BI27&gt;0,2*(Inputs!$F$127*BI28/BI27+Inputs!$F$128*Inputs!$F$129)*Time!BI25/12,0)</f>
        <v>8176.49185667752</v>
      </c>
      <c r="BJ58" s="13" t="n">
        <f aca="false">IF(BJ27&gt;0,2*(Inputs!$F$127*BJ28/BJ27+Inputs!$F$128*Inputs!$F$129)*Time!BJ25/12,0)</f>
        <v>8166.42953776776</v>
      </c>
      <c r="BK58" s="13" t="n">
        <f aca="false">IF(BK27&gt;0,2*(Inputs!$F$127*BK28/BK27+Inputs!$F$128*Inputs!$F$129)*Time!BK25/12,0)</f>
        <v>8171.55530973451</v>
      </c>
      <c r="BL58" s="13" t="n">
        <f aca="false">IF(BL27&gt;0,2*(Inputs!$F$127*BL28/BL27+Inputs!$F$128*Inputs!$F$129)*Time!BL25/12,0)</f>
        <v>8181.24946695096</v>
      </c>
      <c r="BM58" s="13" t="n">
        <f aca="false">IF(BM27&gt;0,2*(Inputs!$F$127*BM28/BM27+Inputs!$F$128*Inputs!$F$129)*Time!BM25/12,0)</f>
        <v>5454.16631130064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280.866139856236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1.40709886778932</v>
      </c>
      <c r="P59" s="11" t="n">
        <f aca="false">P58*Inputs!$F$153*P19/1000000</f>
        <v>4.2674782487911</v>
      </c>
      <c r="Q59" s="11" t="n">
        <f aca="false">Q58*Inputs!$F$153*Q19/1000000</f>
        <v>4.31372902838318</v>
      </c>
      <c r="R59" s="11" t="n">
        <f aca="false">R58*Inputs!$F$153*R19/1000000</f>
        <v>4.36003161429534</v>
      </c>
      <c r="S59" s="11" t="n">
        <f aca="false">S58*Inputs!$F$153*S19/1000000</f>
        <v>4.40818250326538</v>
      </c>
      <c r="T59" s="11" t="n">
        <f aca="false">T58*Inputs!$F$153*T19/1000000</f>
        <v>4.45731275121032</v>
      </c>
      <c r="U59" s="11" t="n">
        <f aca="false">U58*Inputs!$F$153*U19/1000000</f>
        <v>4.50444350602326</v>
      </c>
      <c r="V59" s="11" t="n">
        <f aca="false">V58*Inputs!$F$153*V19/1000000</f>
        <v>4.55030459170791</v>
      </c>
      <c r="W59" s="11" t="n">
        <f aca="false">W58*Inputs!$F$153*W19/1000000</f>
        <v>4.60183355504957</v>
      </c>
      <c r="X59" s="11" t="n">
        <f aca="false">X58*Inputs!$F$153*X19/1000000</f>
        <v>4.65559185163516</v>
      </c>
      <c r="Y59" s="11" t="n">
        <f aca="false">Y58*Inputs!$F$153*Y19/1000000</f>
        <v>4.70604899284301</v>
      </c>
      <c r="Z59" s="11" t="n">
        <f aca="false">Z58*Inputs!$F$153*Z19/1000000</f>
        <v>4.75656265199132</v>
      </c>
      <c r="AA59" s="11" t="n">
        <f aca="false">AA58*Inputs!$F$153*AA19/1000000</f>
        <v>4.80909271149459</v>
      </c>
      <c r="AB59" s="11" t="n">
        <f aca="false">AB58*Inputs!$F$153*AB19/1000000</f>
        <v>4.8626911995633</v>
      </c>
      <c r="AC59" s="11" t="n">
        <f aca="false">AC58*Inputs!$F$153*AC19/1000000</f>
        <v>4.91303108390783</v>
      </c>
      <c r="AD59" s="11" t="n">
        <f aca="false">AD58*Inputs!$F$153*AD19/1000000</f>
        <v>4.96066809355904</v>
      </c>
      <c r="AE59" s="11" t="n">
        <f aca="false">AE58*Inputs!$F$153*AE19/1000000</f>
        <v>5.01808627405193</v>
      </c>
      <c r="AF59" s="11" t="n">
        <f aca="false">AF58*Inputs!$F$153*AF19/1000000</f>
        <v>5.07900315488467</v>
      </c>
      <c r="AG59" s="11" t="n">
        <f aca="false">AG58*Inputs!$F$153*AG19/1000000</f>
        <v>5.13404921294732</v>
      </c>
      <c r="AH59" s="11" t="n">
        <f aca="false">AH58*Inputs!$F$153*AH19/1000000</f>
        <v>5.18915692907775</v>
      </c>
      <c r="AI59" s="11" t="n">
        <f aca="false">AI58*Inputs!$F$153*AI19/1000000</f>
        <v>5.24646443077589</v>
      </c>
      <c r="AJ59" s="11" t="n">
        <f aca="false">AJ58*Inputs!$F$153*AJ19/1000000</f>
        <v>5.30493753122656</v>
      </c>
      <c r="AK59" s="11" t="n">
        <f aca="false">AK58*Inputs!$F$153*AK19/1000000</f>
        <v>5.36103090497834</v>
      </c>
      <c r="AL59" s="11" t="n">
        <f aca="false">AL58*Inputs!$F$153*AL19/1000000</f>
        <v>5.41561316300033</v>
      </c>
      <c r="AM59" s="11" t="n">
        <f aca="false">AM58*Inputs!$F$153*AM19/1000000</f>
        <v>5.47694113050769</v>
      </c>
      <c r="AN59" s="11" t="n">
        <f aca="false">AN58*Inputs!$F$153*AN19/1000000</f>
        <v>5.54092237236564</v>
      </c>
      <c r="AO59" s="11" t="n">
        <f aca="false">AO58*Inputs!$F$153*AO19/1000000</f>
        <v>5.60097469470699</v>
      </c>
      <c r="AP59" s="11" t="n">
        <f aca="false">AP58*Inputs!$F$153*AP19/1000000</f>
        <v>5.66109428272169</v>
      </c>
      <c r="AQ59" s="11" t="n">
        <f aca="false">AQ58*Inputs!$F$153*AQ19/1000000</f>
        <v>5.72361371981994</v>
      </c>
      <c r="AR59" s="11" t="n">
        <f aca="false">AR58*Inputs!$F$153*AR19/1000000</f>
        <v>5.78740476317795</v>
      </c>
      <c r="AS59" s="11" t="n">
        <f aca="false">AS58*Inputs!$F$153*AS19/1000000</f>
        <v>5.84731753050718</v>
      </c>
      <c r="AT59" s="11" t="n">
        <f aca="false">AT58*Inputs!$F$153*AT19/1000000</f>
        <v>5.90401343103727</v>
      </c>
      <c r="AU59" s="11" t="n">
        <f aca="false">AU58*Inputs!$F$153*AU19/1000000</f>
        <v>5.9723505385442</v>
      </c>
      <c r="AV59" s="11" t="n">
        <f aca="false">AV58*Inputs!$F$153*AV19/1000000</f>
        <v>6.04485167666315</v>
      </c>
      <c r="AW59" s="11" t="n">
        <f aca="false">AW58*Inputs!$F$153*AW19/1000000</f>
        <v>6.11036556713076</v>
      </c>
      <c r="AX59" s="11" t="n">
        <f aca="false">AX58*Inputs!$F$153*AX19/1000000</f>
        <v>6.17595284087122</v>
      </c>
      <c r="AY59" s="11" t="n">
        <f aca="false">AY58*Inputs!$F$153*AY19/1000000</f>
        <v>6.24415822235286</v>
      </c>
      <c r="AZ59" s="11" t="n">
        <f aca="false">AZ58*Inputs!$F$153*AZ19/1000000</f>
        <v>6.31375085864783</v>
      </c>
      <c r="BA59" s="11" t="n">
        <f aca="false">BA58*Inputs!$F$153*BA19/1000000</f>
        <v>6.38051122756925</v>
      </c>
      <c r="BB59" s="11" t="n">
        <f aca="false">BB58*Inputs!$F$153*BB19/1000000</f>
        <v>6.4454731194718</v>
      </c>
      <c r="BC59" s="11" t="n">
        <f aca="false">BC58*Inputs!$F$153*BC19/1000000</f>
        <v>6.51846351855369</v>
      </c>
      <c r="BD59" s="11" t="n">
        <f aca="false">BD58*Inputs!$F$153*BD19/1000000</f>
        <v>6.59461175184392</v>
      </c>
      <c r="BE59" s="11" t="n">
        <f aca="false">BE58*Inputs!$F$153*BE19/1000000</f>
        <v>6.66608392272524</v>
      </c>
      <c r="BF59" s="11" t="n">
        <f aca="false">BF58*Inputs!$F$153*BF19/1000000</f>
        <v>6.73763615085517</v>
      </c>
      <c r="BG59" s="11" t="n">
        <f aca="false">BG58*Inputs!$F$153*BG19/1000000</f>
        <v>6.81204459531615</v>
      </c>
      <c r="BH59" s="11" t="n">
        <f aca="false">BH58*Inputs!$F$153*BH19/1000000</f>
        <v>6.88796646101294</v>
      </c>
      <c r="BI59" s="11" t="n">
        <f aca="false">BI58*Inputs!$F$153*BI19/1000000</f>
        <v>6.95927253840637</v>
      </c>
      <c r="BJ59" s="11" t="n">
        <f aca="false">BJ58*Inputs!$F$153*BJ19/1000000</f>
        <v>7.02675001359746</v>
      </c>
      <c r="BK59" s="11" t="n">
        <f aca="false">BK58*Inputs!$F$153*BK19/1000000</f>
        <v>7.10808244563077</v>
      </c>
      <c r="BL59" s="11" t="n">
        <f aca="false">BL58*Inputs!$F$153*BL19/1000000</f>
        <v>7.19437076106464</v>
      </c>
      <c r="BM59" s="11" t="n">
        <f aca="false">BM58*Inputs!$F$153*BM19/1000000</f>
        <v>4.84871886868229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20.7942505027319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0.123830651405703</v>
      </c>
      <c r="P63" s="11" t="n">
        <f aca="false">Inputs!$F$158/100*P50</f>
        <v>0.373095451684674</v>
      </c>
      <c r="Q63" s="11" t="n">
        <f aca="false">Inputs!$F$158/100*Q50</f>
        <v>0.374570450688301</v>
      </c>
      <c r="R63" s="11" t="n">
        <f aca="false">Inputs!$F$158/100*R50</f>
        <v>0.375550943857255</v>
      </c>
      <c r="S63" s="11" t="n">
        <f aca="false">Inputs!$F$158/100*S50</f>
        <v>0.377702481873798</v>
      </c>
      <c r="T63" s="11" t="n">
        <f aca="false">Inputs!$F$158/100*T50</f>
        <v>0.379642078904169</v>
      </c>
      <c r="U63" s="11" t="n">
        <f aca="false">Inputs!$F$158/100*U50</f>
        <v>0.379817739561991</v>
      </c>
      <c r="V63" s="11" t="n">
        <f aca="false">Inputs!$F$158/100*V50</f>
        <v>0.372437699647303</v>
      </c>
      <c r="W63" s="11" t="n">
        <f aca="false">Inputs!$F$158/100*W50</f>
        <v>0.378660522241135</v>
      </c>
      <c r="X63" s="11" t="n">
        <f aca="false">Inputs!$F$158/100*X50</f>
        <v>0.386474261848706</v>
      </c>
      <c r="Y63" s="11" t="n">
        <f aca="false">Inputs!$F$158/100*Y50</f>
        <v>0.388081385702823</v>
      </c>
      <c r="Z63" s="11" t="n">
        <f aca="false">Inputs!$F$158/100*Z50</f>
        <v>0.389172456935497</v>
      </c>
      <c r="AA63" s="11" t="n">
        <f aca="false">Inputs!$F$158/100*AA50</f>
        <v>0.391493276686601</v>
      </c>
      <c r="AB63" s="11" t="n">
        <f aca="false">Inputs!$F$158/100*AB50</f>
        <v>0.393604451202199</v>
      </c>
      <c r="AC63" s="11" t="n">
        <f aca="false">Inputs!$F$158/100*AC50</f>
        <v>0.391076638390086</v>
      </c>
      <c r="AD63" s="11" t="n">
        <f aca="false">Inputs!$F$158/100*AD50</f>
        <v>0.37791130829575</v>
      </c>
      <c r="AE63" s="11" t="n">
        <f aca="false">Inputs!$F$158/100*AE50</f>
        <v>0.387219817816812</v>
      </c>
      <c r="AF63" s="11" t="n">
        <f aca="false">Inputs!$F$158/100*AF50</f>
        <v>0.401045640295844</v>
      </c>
      <c r="AG63" s="11" t="n">
        <f aca="false">Inputs!$F$158/100*AG50</f>
        <v>0.402796721475658</v>
      </c>
      <c r="AH63" s="11" t="n">
        <f aca="false">Inputs!$F$158/100*AH50</f>
        <v>0.404008324196032</v>
      </c>
      <c r="AI63" s="11" t="n">
        <f aca="false">Inputs!$F$158/100*AI50</f>
        <v>0.406513470930125</v>
      </c>
      <c r="AJ63" s="11" t="n">
        <f aca="false">Inputs!$F$158/100*AJ50</f>
        <v>0.40881138874862</v>
      </c>
      <c r="AK63" s="11" t="n">
        <f aca="false">Inputs!$F$158/100*AK50</f>
        <v>0.409146707450972</v>
      </c>
      <c r="AL63" s="11" t="n">
        <f aca="false">Inputs!$F$158/100*AL50</f>
        <v>0.401376662745508</v>
      </c>
      <c r="AM63" s="11" t="n">
        <f aca="false">Inputs!$F$158/100*AM50</f>
        <v>0.408266206551799</v>
      </c>
      <c r="AN63" s="11" t="n">
        <f aca="false">Inputs!$F$158/100*AN50</f>
        <v>0.416915847137236</v>
      </c>
      <c r="AO63" s="11" t="n">
        <f aca="false">Inputs!$F$158/100*AO50</f>
        <v>0.418823777522479</v>
      </c>
      <c r="AP63" s="11" t="n">
        <f aca="false">Inputs!$F$158/100*AP50</f>
        <v>0.420166760992049</v>
      </c>
      <c r="AQ63" s="11" t="n">
        <f aca="false">Inputs!$F$158/100*AQ50</f>
        <v>0.422872616408475</v>
      </c>
      <c r="AR63" s="11" t="n">
        <f aca="false">Inputs!$F$158/100*AR50</f>
        <v>0.425373782740328</v>
      </c>
      <c r="AS63" s="11" t="n">
        <f aca="false">Inputs!$F$158/100*AS50</f>
        <v>0.422794741778695</v>
      </c>
      <c r="AT63" s="11" t="n">
        <f aca="false">Inputs!$F$158/100*AT50</f>
        <v>0.408746457973321</v>
      </c>
      <c r="AU63" s="11" t="n">
        <f aca="false">Inputs!$F$158/100*AU50</f>
        <v>0.419004098381743</v>
      </c>
      <c r="AV63" s="11" t="n">
        <f aca="false">Inputs!$F$158/100*AV50</f>
        <v>0.434200606403662</v>
      </c>
      <c r="AW63" s="11" t="n">
        <f aca="false">Inputs!$F$158/100*AW50</f>
        <v>0.436279432107303</v>
      </c>
      <c r="AX63" s="11" t="n">
        <f aca="false">Inputs!$F$158/100*AX50</f>
        <v>0.437765622044234</v>
      </c>
      <c r="AY63" s="11" t="n">
        <f aca="false">Inputs!$F$158/100*AY50</f>
        <v>0.440690022941043</v>
      </c>
      <c r="AZ63" s="11" t="n">
        <f aca="false">Inputs!$F$158/100*AZ50</f>
        <v>0.443412400575141</v>
      </c>
      <c r="BA63" s="11" t="n">
        <f aca="false">Inputs!$F$158/100*BA50</f>
        <v>0.443937846567888</v>
      </c>
      <c r="BB63" s="11" t="n">
        <f aca="false">Inputs!$F$158/100*BB50</f>
        <v>0.43570513988171</v>
      </c>
      <c r="BC63" s="11" t="n">
        <f aca="false">Inputs!$F$158/100*BC50</f>
        <v>0.44338554926271</v>
      </c>
      <c r="BD63" s="11" t="n">
        <f aca="false">Inputs!$F$158/100*BD50</f>
        <v>0.45302594856051</v>
      </c>
      <c r="BE63" s="11" t="n">
        <f aca="false">Inputs!$F$158/100*BE50</f>
        <v>0.455290973243522</v>
      </c>
      <c r="BF63" s="11" t="n">
        <f aca="false">Inputs!$F$158/100*BF50</f>
        <v>0.456933259696147</v>
      </c>
      <c r="BG63" s="11" t="n">
        <f aca="false">Inputs!$F$158/100*BG50</f>
        <v>0.46009562714495</v>
      </c>
      <c r="BH63" s="11" t="n">
        <f aca="false">Inputs!$F$158/100*BH50</f>
        <v>0.463058765052912</v>
      </c>
      <c r="BI63" s="11" t="n">
        <f aca="false">Inputs!$F$158/100*BI50</f>
        <v>0.460419758631774</v>
      </c>
      <c r="BJ63" s="11" t="n">
        <f aca="false">Inputs!$F$158/100*BJ50</f>
        <v>0.445324062166583</v>
      </c>
      <c r="BK63" s="11" t="n">
        <f aca="false">Inputs!$F$158/100*BK50</f>
        <v>0.456707565024995</v>
      </c>
      <c r="BL63" s="11" t="n">
        <f aca="false">Inputs!$F$158/100*BL50</f>
        <v>0.473529127991714</v>
      </c>
      <c r="BM63" s="11" t="n">
        <f aca="false">Inputs!$F$158/100*BM50</f>
        <v>0.31748397336343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130.499146695983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0.676261622889523</v>
      </c>
      <c r="P64" s="11" t="n">
        <f aca="false">Inputs!$F$159*(0.7*P19+0.3*P23*Inputs!$F$150/P11)*P33/1000000</f>
        <v>2.04995447436372</v>
      </c>
      <c r="Q64" s="11" t="n">
        <f aca="false">Inputs!$F$159*(0.7*Q19+0.3*Q23*Inputs!$F$150/Q11)*Q33/1000000</f>
        <v>2.06398410284494</v>
      </c>
      <c r="R64" s="11" t="n">
        <f aca="false">Inputs!$F$159*(0.7*R19+0.3*R23*Inputs!$F$150/R11)*R33/1000000</f>
        <v>2.07117414713364</v>
      </c>
      <c r="S64" s="11" t="n">
        <f aca="false">Inputs!$F$159*(0.7*S19+0.3*S23*Inputs!$F$150/S11)*S33/1000000</f>
        <v>2.09924135314704</v>
      </c>
      <c r="T64" s="11" t="n">
        <f aca="false">Inputs!$F$159*(0.7*T19+0.3*T23*Inputs!$F$150/T11)*T33/1000000</f>
        <v>2.13471719809677</v>
      </c>
      <c r="U64" s="11" t="n">
        <f aca="false">Inputs!$F$159*(0.7*U19+0.3*U23*Inputs!$F$150/U11)*U33/1000000</f>
        <v>2.13111418669514</v>
      </c>
      <c r="V64" s="11" t="n">
        <f aca="false">Inputs!$F$159*(0.7*V19+0.3*V23*Inputs!$F$150/V11)*V33/1000000</f>
        <v>2.10162486439632</v>
      </c>
      <c r="W64" s="11" t="n">
        <f aca="false">Inputs!$F$159*(0.7*W19+0.3*W23*Inputs!$F$150/W11)*W33/1000000</f>
        <v>2.14886632141508</v>
      </c>
      <c r="X64" s="11" t="n">
        <f aca="false">Inputs!$F$159*(0.7*X19+0.3*X23*Inputs!$F$150/X11)*X33/1000000</f>
        <v>2.22296458809743</v>
      </c>
      <c r="Y64" s="11" t="n">
        <f aca="false">Inputs!$F$159*(0.7*Y19+0.3*Y23*Inputs!$F$150/Y11)*Y33/1000000</f>
        <v>2.23816812292554</v>
      </c>
      <c r="Z64" s="11" t="n">
        <f aca="false">Inputs!$F$159*(0.7*Z19+0.3*Z23*Inputs!$F$150/Z11)*Z33/1000000</f>
        <v>2.24595474676849</v>
      </c>
      <c r="AA64" s="11" t="n">
        <f aca="false">Inputs!$F$159*(0.7*AA19+0.3*AA23*Inputs!$F$150/AA11)*AA33/1000000</f>
        <v>2.27638010843348</v>
      </c>
      <c r="AB64" s="11" t="n">
        <f aca="false">Inputs!$F$159*(0.7*AB19+0.3*AB23*Inputs!$F$150/AB11)*AB33/1000000</f>
        <v>2.31483893745094</v>
      </c>
      <c r="AC64" s="11" t="n">
        <f aca="false">Inputs!$F$159*(0.7*AC19+0.3*AC23*Inputs!$F$150/AC11)*AC33/1000000</f>
        <v>2.29461100090345</v>
      </c>
      <c r="AD64" s="11" t="n">
        <f aca="false">Inputs!$F$159*(0.7*AD19+0.3*AD23*Inputs!$F$150/AD11)*AD33/1000000</f>
        <v>2.22950462044576</v>
      </c>
      <c r="AE64" s="11" t="n">
        <f aca="false">Inputs!$F$159*(0.7*AE19+0.3*AE23*Inputs!$F$150/AE11)*AE33/1000000</f>
        <v>2.29686211835333</v>
      </c>
      <c r="AF64" s="11" t="n">
        <f aca="false">Inputs!$F$159*(0.7*AF19+0.3*AF23*Inputs!$F$150/AF11)*AF33/1000000</f>
        <v>2.41048830322464</v>
      </c>
      <c r="AG64" s="11" t="n">
        <f aca="false">Inputs!$F$159*(0.7*AG19+0.3*AG23*Inputs!$F$150/AG11)*AG33/1000000</f>
        <v>2.4269632268931</v>
      </c>
      <c r="AH64" s="11" t="n">
        <f aca="false">Inputs!$F$159*(0.7*AH19+0.3*AH23*Inputs!$F$150/AH11)*AH33/1000000</f>
        <v>2.43539547312988</v>
      </c>
      <c r="AI64" s="11" t="n">
        <f aca="false">Inputs!$F$159*(0.7*AI19+0.3*AI23*Inputs!$F$150/AI11)*AI33/1000000</f>
        <v>2.46837577100255</v>
      </c>
      <c r="AJ64" s="11" t="n">
        <f aca="false">Inputs!$F$159*(0.7*AJ19+0.3*AJ23*Inputs!$F$150/AJ11)*AJ33/1000000</f>
        <v>2.51006673770466</v>
      </c>
      <c r="AK64" s="11" t="n">
        <f aca="false">Inputs!$F$159*(0.7*AK19+0.3*AK23*Inputs!$F$150/AK11)*AK33/1000000</f>
        <v>2.50580719394909</v>
      </c>
      <c r="AL64" s="11" t="n">
        <f aca="false">Inputs!$F$159*(0.7*AL19+0.3*AL23*Inputs!$F$150/AL11)*AL33/1000000</f>
        <v>2.47111032501448</v>
      </c>
      <c r="AM64" s="11" t="n">
        <f aca="false">Inputs!$F$159*(0.7*AM19+0.3*AM23*Inputs!$F$150/AM11)*AM33/1000000</f>
        <v>2.52663400261525</v>
      </c>
      <c r="AN64" s="11" t="n">
        <f aca="false">Inputs!$F$159*(0.7*AN19+0.3*AN23*Inputs!$F$150/AN11)*AN33/1000000</f>
        <v>2.6137345287993</v>
      </c>
      <c r="AO64" s="11" t="n">
        <f aca="false">Inputs!$F$159*(0.7*AO19+0.3*AO23*Inputs!$F$150/AO11)*AO33/1000000</f>
        <v>2.6315863454872</v>
      </c>
      <c r="AP64" s="11" t="n">
        <f aca="false">Inputs!$F$159*(0.7*AP19+0.3*AP23*Inputs!$F$150/AP11)*AP33/1000000</f>
        <v>2.64071724303509</v>
      </c>
      <c r="AQ64" s="11" t="n">
        <f aca="false">Inputs!$F$159*(0.7*AQ19+0.3*AQ23*Inputs!$F$150/AQ11)*AQ33/1000000</f>
        <v>2.67646554573336</v>
      </c>
      <c r="AR64" s="11" t="n">
        <f aca="false">Inputs!$F$159*(0.7*AR19+0.3*AR23*Inputs!$F$150/AR11)*AR33/1000000</f>
        <v>2.72165844996716</v>
      </c>
      <c r="AS64" s="11" t="n">
        <f aca="false">Inputs!$F$159*(0.7*AS19+0.3*AS23*Inputs!$F$150/AS11)*AS33/1000000</f>
        <v>2.6978504931929</v>
      </c>
      <c r="AT64" s="11" t="n">
        <f aca="false">Inputs!$F$159*(0.7*AT19+0.3*AT23*Inputs!$F$150/AT11)*AT33/1000000</f>
        <v>2.62127835250809</v>
      </c>
      <c r="AU64" s="11" t="n">
        <f aca="false">Inputs!$F$159*(0.7*AU19+0.3*AU23*Inputs!$F$150/AU11)*AU33/1000000</f>
        <v>2.70044688786542</v>
      </c>
      <c r="AV64" s="11" t="n">
        <f aca="false">Inputs!$F$159*(0.7*AV19+0.3*AV23*Inputs!$F$150/AV11)*AV33/1000000</f>
        <v>2.83401202004168</v>
      </c>
      <c r="AW64" s="11" t="n">
        <f aca="false">Inputs!$F$159*(0.7*AW19+0.3*AW23*Inputs!$F$150/AW11)*AW33/1000000</f>
        <v>2.85335490839803</v>
      </c>
      <c r="AX64" s="11" t="n">
        <f aca="false">Inputs!$F$159*(0.7*AX19+0.3*AX23*Inputs!$F$150/AX11)*AX33/1000000</f>
        <v>2.86324179164502</v>
      </c>
      <c r="AY64" s="11" t="n">
        <f aca="false">Inputs!$F$159*(0.7*AY19+0.3*AY23*Inputs!$F$150/AY11)*AY33/1000000</f>
        <v>2.90198879090769</v>
      </c>
      <c r="AZ64" s="11" t="n">
        <f aca="false">Inputs!$F$159*(0.7*AZ19+0.3*AZ23*Inputs!$F$150/AZ11)*AZ33/1000000</f>
        <v>2.95097577333794</v>
      </c>
      <c r="BA64" s="11" t="n">
        <f aca="false">Inputs!$F$159*(0.7*BA19+0.3*BA23*Inputs!$F$150/BA11)*BA33/1000000</f>
        <v>2.94594029299547</v>
      </c>
      <c r="BB64" s="11" t="n">
        <f aca="false">Inputs!$F$159*(0.7*BB19+0.3*BB23*Inputs!$F$150/BB11)*BB33/1000000</f>
        <v>2.9051217055136</v>
      </c>
      <c r="BC64" s="11" t="n">
        <f aca="false">Inputs!$F$159*(0.7*BC19+0.3*BC23*Inputs!$F$150/BC11)*BC33/1000000</f>
        <v>2.97036920075772</v>
      </c>
      <c r="BD64" s="11" t="n">
        <f aca="false">Inputs!$F$159*(0.7*BD19+0.3*BD23*Inputs!$F$150/BD11)*BD33/1000000</f>
        <v>3.07273754044237</v>
      </c>
      <c r="BE64" s="11" t="n">
        <f aca="false">Inputs!$F$159*(0.7*BE19+0.3*BE23*Inputs!$F$150/BE11)*BE33/1000000</f>
        <v>3.09369505875777</v>
      </c>
      <c r="BF64" s="11" t="n">
        <f aca="false">Inputs!$F$159*(0.7*BF19+0.3*BF23*Inputs!$F$150/BF11)*BF33/1000000</f>
        <v>3.10439991208086</v>
      </c>
      <c r="BG64" s="11" t="n">
        <f aca="false">Inputs!$F$159*(0.7*BG19+0.3*BG23*Inputs!$F$150/BG11)*BG33/1000000</f>
        <v>3.14639536594162</v>
      </c>
      <c r="BH64" s="11" t="n">
        <f aca="false">Inputs!$F$159*(0.7*BH19+0.3*BH23*Inputs!$F$150/BH11)*BH33/1000000</f>
        <v>3.19949274010146</v>
      </c>
      <c r="BI64" s="11" t="n">
        <f aca="false">Inputs!$F$159*(0.7*BI19+0.3*BI23*Inputs!$F$150/BI11)*BI33/1000000</f>
        <v>3.17147467134738</v>
      </c>
      <c r="BJ64" s="11" t="n">
        <f aca="false">Inputs!$F$159*(0.7*BJ19+0.3*BJ23*Inputs!$F$150/BJ11)*BJ33/1000000</f>
        <v>3.08143042208457</v>
      </c>
      <c r="BK64" s="11" t="n">
        <f aca="false">Inputs!$F$159*(0.7*BK19+0.3*BK23*Inputs!$F$150/BK11)*BK33/1000000</f>
        <v>3.17446625598602</v>
      </c>
      <c r="BL64" s="11" t="n">
        <f aca="false">Inputs!$F$159*(0.7*BL19+0.3*BL23*Inputs!$F$150/BL11)*BL33/1000000</f>
        <v>3.33144468264099</v>
      </c>
      <c r="BM64" s="11" t="n">
        <f aca="false">Inputs!$F$159*(0.7*BM19+0.3*BM23*Inputs!$F$150/BM11)*BM33/1000000</f>
        <v>2.24380416852033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1096.19505223221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5.5850800933531</v>
      </c>
      <c r="P67" s="11" t="n">
        <f aca="false">P55+P56+P57+P59+P60+P61+P62+P63+P64+P65+P66</f>
        <v>16.9319614980175</v>
      </c>
      <c r="Q67" s="11" t="n">
        <f aca="false">Q55+Q56+Q57+Q59+Q60+Q61+Q62+Q63+Q64+Q65+Q66</f>
        <v>17.0701115229812</v>
      </c>
      <c r="R67" s="11" t="n">
        <f aca="false">R55+R56+R57+R59+R60+R61+R62+R63+R64+R65+R66</f>
        <v>17.1685519773625</v>
      </c>
      <c r="S67" s="11" t="n">
        <f aca="false">S55+S56+S57+S59+S60+S61+S62+S63+S64+S65+S66</f>
        <v>17.3904507921922</v>
      </c>
      <c r="T67" s="11" t="n">
        <f aca="false">T55+T56+T57+T59+T60+T61+T62+T63+T64+T65+T66</f>
        <v>17.6560907388375</v>
      </c>
      <c r="U67" s="11" t="n">
        <f aca="false">U55+U56+U57+U59+U60+U61+U62+U63+U64+U65+U66</f>
        <v>17.6927012133674</v>
      </c>
      <c r="V67" s="11" t="n">
        <f aca="false">V55+V56+V57+V59+V60+V61+V62+V63+V64+V65+V66</f>
        <v>17.7313896644101</v>
      </c>
      <c r="W67" s="11" t="n">
        <f aca="false">W55+W56+W57+W59+W60+W61+W62+W63+W64+W65+W66</f>
        <v>17.950421977324</v>
      </c>
      <c r="X67" s="11" t="n">
        <f aca="false">X55+X56+X57+X59+X60+X61+X62+X63+X64+X65+X66</f>
        <v>18.412140561631</v>
      </c>
      <c r="Y67" s="11" t="n">
        <f aca="false">Y55+Y56+Y57+Y59+Y60+Y61+Y62+Y63+Y64+Y65+Y66</f>
        <v>18.5627508274477</v>
      </c>
      <c r="Z67" s="11" t="n">
        <f aca="false">Z55+Z56+Z57+Z59+Z60+Z61+Z62+Z63+Z64+Z65+Z66</f>
        <v>18.6701082018976</v>
      </c>
      <c r="AA67" s="11" t="n">
        <f aca="false">AA55+AA56+AA57+AA59+AA60+AA61+AA62+AA63+AA64+AA65+AA66</f>
        <v>18.9119671482092</v>
      </c>
      <c r="AB67" s="11" t="n">
        <f aca="false">AB55+AB56+AB57+AB59+AB60+AB61+AB62+AB63+AB64+AB65+AB66</f>
        <v>19.2015179507806</v>
      </c>
      <c r="AC67" s="11" t="n">
        <f aca="false">AC55+AC56+AC57+AC59+AC60+AC61+AC62+AC63+AC64+AC65+AC66</f>
        <v>19.143061044541</v>
      </c>
      <c r="AD67" s="11" t="n">
        <f aca="false">AD55+AD56+AD57+AD59+AD60+AD61+AD62+AD63+AD64+AD65+AD66</f>
        <v>19.2231269265894</v>
      </c>
      <c r="AE67" s="11" t="n">
        <f aca="false">AE55+AE56+AE57+AE59+AE60+AE61+AE62+AE63+AE64+AE65+AE66</f>
        <v>19.4816216759526</v>
      </c>
      <c r="AF67" s="11" t="n">
        <f aca="false">AF55+AF56+AF57+AF59+AF60+AF61+AF62+AF63+AF64+AF65+AF66</f>
        <v>20.0256919019696</v>
      </c>
      <c r="AG67" s="11" t="n">
        <f aca="false">AG55+AG56+AG57+AG59+AG60+AG61+AG62+AG63+AG64+AG65+AG66</f>
        <v>20.1898861635755</v>
      </c>
      <c r="AH67" s="11" t="n">
        <f aca="false">AH55+AH56+AH57+AH59+AH60+AH61+AH62+AH63+AH64+AH65+AH66</f>
        <v>20.3069661061967</v>
      </c>
      <c r="AI67" s="11" t="n">
        <f aca="false">AI55+AI56+AI57+AI59+AI60+AI61+AI62+AI63+AI64+AI65+AI66</f>
        <v>20.5705824579959</v>
      </c>
      <c r="AJ67" s="11" t="n">
        <f aca="false">AJ55+AJ56+AJ57+AJ59+AJ60+AJ61+AJ62+AJ63+AJ64+AJ65+AJ66</f>
        <v>20.8861961550261</v>
      </c>
      <c r="AK67" s="11" t="n">
        <f aca="false">AK55+AK56+AK57+AK59+AK60+AK61+AK62+AK63+AK64+AK65+AK66</f>
        <v>20.9299235473976</v>
      </c>
      <c r="AL67" s="11" t="n">
        <f aca="false">AL55+AL56+AL57+AL59+AL60+AL61+AL62+AL63+AL64+AL65+AL66</f>
        <v>20.977382896888</v>
      </c>
      <c r="AM67" s="11" t="n">
        <f aca="false">AM55+AM56+AM57+AM59+AM60+AM61+AM62+AM63+AM64+AM65+AM66</f>
        <v>21.23684939296</v>
      </c>
      <c r="AN67" s="11" t="n">
        <f aca="false">AN55+AN56+AN57+AN59+AN60+AN61+AN62+AN63+AN64+AN65+AN66</f>
        <v>21.7846320471924</v>
      </c>
      <c r="AO67" s="11" t="n">
        <f aca="false">AO55+AO56+AO57+AO59+AO60+AO61+AO62+AO63+AO64+AO65+AO66</f>
        <v>21.9636354007093</v>
      </c>
      <c r="AP67" s="11" t="n">
        <f aca="false">AP55+AP56+AP57+AP59+AP60+AP61+AP62+AP63+AP64+AP65+AP66</f>
        <v>22.0913163471349</v>
      </c>
      <c r="AQ67" s="11" t="n">
        <f aca="false">AQ55+AQ56+AQ57+AQ59+AQ60+AQ61+AQ62+AQ63+AQ64+AQ65+AQ66</f>
        <v>22.3786491944221</v>
      </c>
      <c r="AR67" s="11" t="n">
        <f aca="false">AR55+AR56+AR57+AR59+AR60+AR61+AR62+AR63+AR64+AR65+AR66</f>
        <v>22.7226714921274</v>
      </c>
      <c r="AS67" s="11" t="n">
        <f aca="false">AS55+AS56+AS57+AS59+AS60+AS61+AS62+AS63+AS64+AS65+AS66</f>
        <v>22.653794227809</v>
      </c>
      <c r="AT67" s="11" t="n">
        <f aca="false">AT55+AT56+AT57+AT59+AT60+AT61+AT62+AT63+AT64+AT65+AT66</f>
        <v>22.7516216606879</v>
      </c>
      <c r="AU67" s="11" t="n">
        <f aca="false">AU55+AU56+AU57+AU59+AU60+AU61+AU62+AU63+AU64+AU65+AU66</f>
        <v>23.0574540370468</v>
      </c>
      <c r="AV67" s="11" t="n">
        <f aca="false">AV55+AV56+AV57+AV59+AV60+AV61+AV62+AV63+AV64+AV65+AV66</f>
        <v>23.7020600901813</v>
      </c>
      <c r="AW67" s="11" t="n">
        <f aca="false">AW55+AW56+AW57+AW59+AW60+AW61+AW62+AW63+AW64+AW65+AW66</f>
        <v>23.8972081112928</v>
      </c>
      <c r="AX67" s="11" t="n">
        <f aca="false">AX55+AX56+AX57+AX59+AX60+AX61+AX62+AX63+AX64+AX65+AX66</f>
        <v>24.0364478604985</v>
      </c>
      <c r="AY67" s="11" t="n">
        <f aca="false">AY55+AY56+AY57+AY59+AY60+AY61+AY62+AY63+AY64+AY65+AY66</f>
        <v>24.3496326767334</v>
      </c>
      <c r="AZ67" s="11" t="n">
        <f aca="false">AZ55+AZ56+AZ57+AZ59+AZ60+AZ61+AZ62+AZ63+AZ64+AZ65+AZ66</f>
        <v>24.7246203757259</v>
      </c>
      <c r="BA67" s="11" t="n">
        <f aca="false">BA55+BA56+BA57+BA59+BA60+BA61+BA62+BA63+BA64+BA65+BA66</f>
        <v>24.7768236275667</v>
      </c>
      <c r="BB67" s="11" t="n">
        <f aca="false">BB55+BB56+BB57+BB59+BB60+BB61+BB62+BB63+BB64+BB65+BB66</f>
        <v>24.8347994223536</v>
      </c>
      <c r="BC67" s="11" t="n">
        <f aca="false">BC55+BC56+BC57+BC59+BC60+BC61+BC62+BC63+BC64+BC65+BC66</f>
        <v>25.1422532332296</v>
      </c>
      <c r="BD67" s="11" t="n">
        <f aca="false">BD55+BD56+BD57+BD59+BD60+BD61+BD62+BD63+BD64+BD65+BD66</f>
        <v>25.7922552075811</v>
      </c>
      <c r="BE67" s="11" t="n">
        <f aca="false">BE55+BE56+BE57+BE59+BE60+BE61+BE62+BE63+BE64+BE65+BE66</f>
        <v>26.0050039138945</v>
      </c>
      <c r="BF67" s="11" t="n">
        <f aca="false">BF55+BF56+BF57+BF59+BF60+BF61+BF62+BF63+BF64+BF65+BF66</f>
        <v>26.1568467980601</v>
      </c>
      <c r="BG67" s="11" t="n">
        <f aca="false">BG55+BG56+BG57+BG59+BG60+BG61+BG62+BG63+BG64+BG65+BG66</f>
        <v>26.4982113189231</v>
      </c>
      <c r="BH67" s="11" t="n">
        <f aca="false">BH55+BH56+BH57+BH59+BH60+BH61+BH62+BH63+BH64+BH65+BH66</f>
        <v>26.9069513088418</v>
      </c>
      <c r="BI67" s="11" t="n">
        <f aca="false">BI55+BI56+BI57+BI59+BI60+BI61+BI62+BI63+BI64+BI65+BI66</f>
        <v>26.8257238064861</v>
      </c>
      <c r="BJ67" s="11" t="n">
        <f aca="false">BJ55+BJ56+BJ57+BJ59+BJ60+BJ61+BJ62+BJ63+BJ64+BJ65+BJ66</f>
        <v>26.9448679007249</v>
      </c>
      <c r="BK67" s="11" t="n">
        <f aca="false">BK55+BK56+BK57+BK59+BK60+BK61+BK62+BK63+BK64+BK65+BK66</f>
        <v>27.3068463183917</v>
      </c>
      <c r="BL67" s="11" t="n">
        <f aca="false">BL55+BL56+BL57+BL59+BL60+BL61+BL62+BL63+BL64+BL65+BL66</f>
        <v>28.0707829626874</v>
      </c>
      <c r="BM67" s="11" t="n">
        <f aca="false">BM55+BM56+BM57+BM59+BM60+BM61+BM62+BM63+BM64+BM65+BM66</f>
        <v>18.9134104550042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4732.05212305053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24.908030271926</v>
      </c>
      <c r="P68" s="11" t="n">
        <f aca="false">P37*P36/1000000</f>
        <v>74.716595802</v>
      </c>
      <c r="Q68" s="11" t="n">
        <f aca="false">Q37*Q36/1000000</f>
        <v>75.9476430389301</v>
      </c>
      <c r="R68" s="11" t="n">
        <f aca="false">R37*R36/1000000</f>
        <v>75.4326445286457</v>
      </c>
      <c r="S68" s="11" t="n">
        <f aca="false">S37*S36/1000000</f>
        <v>77.1862373285093</v>
      </c>
      <c r="T68" s="11" t="n">
        <f aca="false">T37*T36/1000000</f>
        <v>77.687706341329</v>
      </c>
      <c r="U68" s="11" t="n">
        <f aca="false">U37*U36/1000000</f>
        <v>78.2984455383205</v>
      </c>
      <c r="V68" s="11" t="n">
        <f aca="false">V37*V36/1000000</f>
        <v>76.4250550515296</v>
      </c>
      <c r="W68" s="11" t="n">
        <f aca="false">W37*W36/1000000</f>
        <v>78.8903932049341</v>
      </c>
      <c r="X68" s="11" t="n">
        <f aca="false">X37*X36/1000000</f>
        <v>80.7757684179683</v>
      </c>
      <c r="Y68" s="11" t="n">
        <f aca="false">Y37*Y36/1000000</f>
        <v>82.1060405123417</v>
      </c>
      <c r="Z68" s="11" t="n">
        <f aca="false">Z37*Z36/1000000</f>
        <v>81.5486785353929</v>
      </c>
      <c r="AA68" s="11" t="n">
        <f aca="false">AA37*AA36/1000000</f>
        <v>83.4438337111832</v>
      </c>
      <c r="AB68" s="11" t="n">
        <f aca="false">AB37*AB36/1000000</f>
        <v>83.9853353322418</v>
      </c>
      <c r="AC68" s="11" t="n">
        <f aca="false">AC37*AC36/1000000</f>
        <v>84.0475359300459</v>
      </c>
      <c r="AD68" s="11" t="n">
        <f aca="false">AD37*AD36/1000000</f>
        <v>80.8271373718173</v>
      </c>
      <c r="AE68" s="11" t="n">
        <f aca="false">AE37*AE36/1000000</f>
        <v>84.0652814404289</v>
      </c>
      <c r="AF68" s="11" t="n">
        <f aca="false">AF37*AF36/1000000</f>
        <v>87.3211355064519</v>
      </c>
      <c r="AG68" s="11" t="n">
        <f aca="false">AG37*AG36/1000000</f>
        <v>88.7585421897445</v>
      </c>
      <c r="AH68" s="11" t="n">
        <f aca="false">AH37*AH36/1000000</f>
        <v>88.1553659590648</v>
      </c>
      <c r="AI68" s="11" t="n">
        <f aca="false">AI37*AI36/1000000</f>
        <v>90.2033871312971</v>
      </c>
      <c r="AJ68" s="11" t="n">
        <f aca="false">AJ37*AJ36/1000000</f>
        <v>90.788079126217</v>
      </c>
      <c r="AK68" s="11" t="n">
        <f aca="false">AK37*AK36/1000000</f>
        <v>91.50044746008</v>
      </c>
      <c r="AL68" s="11" t="n">
        <f aca="false">AL37*AL36/1000000</f>
        <v>89.3098550922276</v>
      </c>
      <c r="AM68" s="11" t="n">
        <f aca="false">AM37*AM36/1000000</f>
        <v>92.1894637326595</v>
      </c>
      <c r="AN68" s="11" t="n">
        <f aca="false">AN37*AN36/1000000</f>
        <v>94.3912650295</v>
      </c>
      <c r="AO68" s="11" t="n">
        <f aca="false">AO37*AO36/1000000</f>
        <v>95.9443389134654</v>
      </c>
      <c r="AP68" s="11" t="n">
        <f aca="false">AP37*AP36/1000000</f>
        <v>95.2916193945976</v>
      </c>
      <c r="AQ68" s="11" t="n">
        <f aca="false">AQ37*AQ36/1000000</f>
        <v>97.504701997075</v>
      </c>
      <c r="AR68" s="11" t="n">
        <f aca="false">AR37*AR36/1000000</f>
        <v>98.1359878523749</v>
      </c>
      <c r="AS68" s="11" t="n">
        <f aca="false">AS37*AS36/1000000</f>
        <v>98.2072042366261</v>
      </c>
      <c r="AT68" s="11" t="n">
        <f aca="false">AT37*AT36/1000000</f>
        <v>94.4428492921259</v>
      </c>
      <c r="AU68" s="11" t="n">
        <f aca="false">AU37*AU36/1000000</f>
        <v>98.2250078620989</v>
      </c>
      <c r="AV68" s="11" t="n">
        <f aca="false">AV37*AV36/1000000</f>
        <v>102.027745440902</v>
      </c>
      <c r="AW68" s="11" t="n">
        <f aca="false">AW37*AW36/1000000</f>
        <v>103.705690391322</v>
      </c>
      <c r="AX68" s="11" t="n">
        <f aca="false">AX37*AX36/1000000</f>
        <v>102.999398108629</v>
      </c>
      <c r="AY68" s="11" t="n">
        <f aca="false">AY37*AY36/1000000</f>
        <v>105.39069879791</v>
      </c>
      <c r="AZ68" s="11" t="n">
        <f aca="false">AZ37*AZ36/1000000</f>
        <v>106.072246538815</v>
      </c>
      <c r="BA68" s="11" t="n">
        <f aca="false">BA37*BA36/1000000</f>
        <v>106.902941429204</v>
      </c>
      <c r="BB68" s="11" t="n">
        <f aca="false">BB37*BB36/1000000</f>
        <v>104.342038205442</v>
      </c>
      <c r="BC68" s="11" t="n">
        <f aca="false">BC37*BC36/1000000</f>
        <v>107.704713690397</v>
      </c>
      <c r="BD68" s="11" t="n">
        <f aca="false">BD37*BD36/1000000</f>
        <v>110.275418761064</v>
      </c>
      <c r="BE68" s="11" t="n">
        <f aca="false">BE37*BE36/1000000</f>
        <v>112.088161967119</v>
      </c>
      <c r="BF68" s="11" t="n">
        <f aca="false">BF37*BF36/1000000</f>
        <v>111.323943060779</v>
      </c>
      <c r="BG68" s="11" t="n">
        <f aca="false">BG37*BG36/1000000</f>
        <v>113.907654442101</v>
      </c>
      <c r="BH68" s="11" t="n">
        <f aca="false">BH37*BH36/1000000</f>
        <v>114.643416863627</v>
      </c>
      <c r="BI68" s="11" t="n">
        <f aca="false">BI37*BI36/1000000</f>
        <v>114.724887424187</v>
      </c>
      <c r="BJ68" s="11" t="n">
        <f aca="false">BJ37*BJ36/1000000</f>
        <v>110.325737563411</v>
      </c>
      <c r="BK68" s="11" t="n">
        <f aca="false">BK37*BK36/1000000</f>
        <v>114.742231858776</v>
      </c>
      <c r="BL68" s="11" t="n">
        <f aca="false">BL37*BL36/1000000</f>
        <v>119.182631320341</v>
      </c>
      <c r="BM68" s="11" t="n">
        <f aca="false">BM37*BM36/1000000</f>
        <v>81.0309540533551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5564.0829476893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29.5201493686849</v>
      </c>
      <c r="P69" s="11" t="n">
        <f aca="false">P68+P47+P48+P49</f>
        <v>88.6152765732829</v>
      </c>
      <c r="Q69" s="11" t="n">
        <f aca="false">Q68+Q47+Q48+Q49</f>
        <v>89.8559295003948</v>
      </c>
      <c r="R69" s="11" t="n">
        <f aca="false">R68+R47+R48+R49</f>
        <v>89.5150622402079</v>
      </c>
      <c r="S69" s="11" t="n">
        <f aca="false">S68+S47+S48+S49</f>
        <v>91.2942785861337</v>
      </c>
      <c r="T69" s="11" t="n">
        <f aca="false">T68+T47+T48+T49</f>
        <v>92.0049739162346</v>
      </c>
      <c r="U69" s="11" t="n">
        <f aca="false">U68+U47+U48+U49</f>
        <v>92.6699434691015</v>
      </c>
      <c r="V69" s="11" t="n">
        <f aca="false">V68+V47+V48+V49</f>
        <v>90.8684178322653</v>
      </c>
      <c r="W69" s="11" t="n">
        <f aca="false">W68+W47+W48+W49</f>
        <v>93.3805485414815</v>
      </c>
      <c r="X69" s="11" t="n">
        <f aca="false">X68+X47+X48+X49</f>
        <v>95.5241927321274</v>
      </c>
      <c r="Y69" s="11" t="n">
        <f aca="false">Y68+Y47+Y48+Y49</f>
        <v>96.864605059216</v>
      </c>
      <c r="Z69" s="11" t="n">
        <f aca="false">Z68+Z47+Z48+Z49</f>
        <v>96.4920624177264</v>
      </c>
      <c r="AA69" s="11" t="n">
        <f aca="false">AA68+AA47+AA48+AA49</f>
        <v>98.414336331033</v>
      </c>
      <c r="AB69" s="11" t="n">
        <f aca="false">AB68+AB47+AB48+AB49</f>
        <v>99.1778626708039</v>
      </c>
      <c r="AC69" s="11" t="n">
        <f aca="false">AC68+AC47+AC48+AC49</f>
        <v>99.2791509724043</v>
      </c>
      <c r="AD69" s="11" t="n">
        <f aca="false">AD68+AD47+AD48+AD49</f>
        <v>96.0982140478571</v>
      </c>
      <c r="AE69" s="11" t="n">
        <f aca="false">AE68+AE47+AE48+AE49</f>
        <v>99.4038051417742</v>
      </c>
      <c r="AF69" s="11" t="n">
        <f aca="false">AF68+AF47+AF48+AF49</f>
        <v>102.971099737807</v>
      </c>
      <c r="AG69" s="11" t="n">
        <f aca="false">AG68+AG47+AG48+AG49</f>
        <v>104.419208824978</v>
      </c>
      <c r="AH69" s="11" t="n">
        <f aca="false">AH68+AH47+AH48+AH49</f>
        <v>104.012197083163</v>
      </c>
      <c r="AI69" s="11" t="n">
        <f aca="false">AI68+AI47+AI48+AI49</f>
        <v>106.088916337401</v>
      </c>
      <c r="AJ69" s="11" t="n">
        <f aca="false">AJ68+AJ47+AJ48+AJ49</f>
        <v>106.909213269976</v>
      </c>
      <c r="AK69" s="11" t="n">
        <f aca="false">AK68+AK47+AK48+AK49</f>
        <v>107.682609645477</v>
      </c>
      <c r="AL69" s="11" t="n">
        <f aca="false">AL68+AL47+AL48+AL49</f>
        <v>105.573105166437</v>
      </c>
      <c r="AM69" s="11" t="n">
        <f aca="false">AM68+AM47+AM48+AM49</f>
        <v>108.505191131401</v>
      </c>
      <c r="AN69" s="11" t="n">
        <f aca="false">AN68+AN47+AN48+AN49</f>
        <v>110.997713168639</v>
      </c>
      <c r="AO69" s="11" t="n">
        <f aca="false">AO68+AO47+AO48+AO49</f>
        <v>112.562080523535</v>
      </c>
      <c r="AP69" s="11" t="n">
        <f aca="false">AP68+AP47+AP48+AP49</f>
        <v>112.117568172966</v>
      </c>
      <c r="AQ69" s="11" t="n">
        <f aca="false">AQ68+AQ47+AQ48+AQ49</f>
        <v>114.361016877062</v>
      </c>
      <c r="AR69" s="11" t="n">
        <f aca="false">AR68+AR47+AR48+AR49</f>
        <v>115.242317399763</v>
      </c>
      <c r="AS69" s="11" t="n">
        <f aca="false">AS68+AS47+AS48+AS49</f>
        <v>115.35755540183</v>
      </c>
      <c r="AT69" s="11" t="n">
        <f aca="false">AT68+AT47+AT48+AT49</f>
        <v>111.637916505095</v>
      </c>
      <c r="AU69" s="11" t="n">
        <f aca="false">AU68+AU47+AU48+AU49</f>
        <v>115.495741564356</v>
      </c>
      <c r="AV69" s="11" t="n">
        <f aca="false">AV68+AV47+AV48+AV49</f>
        <v>119.648959770705</v>
      </c>
      <c r="AW69" s="11" t="n">
        <f aca="false">AW68+AW47+AW48+AW49</f>
        <v>121.338819466958</v>
      </c>
      <c r="AX69" s="11" t="n">
        <f aca="false">AX68+AX47+AX48+AX49</f>
        <v>120.853517511032</v>
      </c>
      <c r="AY69" s="11" t="n">
        <f aca="false">AY68+AY47+AY48+AY49</f>
        <v>123.276945746088</v>
      </c>
      <c r="AZ69" s="11" t="n">
        <f aca="false">AZ68+AZ47+AZ48+AZ49</f>
        <v>124.223797993601</v>
      </c>
      <c r="BA69" s="11" t="n">
        <f aca="false">BA68+BA47+BA48+BA49</f>
        <v>125.123168406856</v>
      </c>
      <c r="BB69" s="11" t="n">
        <f aca="false">BB68+BB47+BB48+BB49</f>
        <v>122.653776687196</v>
      </c>
      <c r="BC69" s="11" t="n">
        <f aca="false">BC68+BC47+BC48+BC49</f>
        <v>126.075284463516</v>
      </c>
      <c r="BD69" s="11" t="n">
        <f aca="false">BD68+BD47+BD48+BD49</f>
        <v>128.973222045749</v>
      </c>
      <c r="BE69" s="11" t="n">
        <f aca="false">BE68+BE47+BE48+BE49</f>
        <v>130.798532837343</v>
      </c>
      <c r="BF69" s="11" t="n">
        <f aca="false">BF68+BF47+BF48+BF49</f>
        <v>130.268873497404</v>
      </c>
      <c r="BG69" s="11" t="n">
        <f aca="false">BG68+BG47+BG48+BG49</f>
        <v>132.886572280154</v>
      </c>
      <c r="BH69" s="11" t="n">
        <f aca="false">BH68+BH47+BH48+BH49</f>
        <v>133.903862837718</v>
      </c>
      <c r="BI69" s="11" t="n">
        <f aca="false">BI68+BI47+BI48+BI49</f>
        <v>134.034914774786</v>
      </c>
      <c r="BJ69" s="11" t="n">
        <f aca="false">BJ68+BJ47+BJ48+BJ49</f>
        <v>129.686462271922</v>
      </c>
      <c r="BK69" s="11" t="n">
        <f aca="false">BK68+BK47+BK48+BK49</f>
        <v>134.187817056163</v>
      </c>
      <c r="BL69" s="11" t="n">
        <f aca="false">BL68+BL47+BL48+BL49</f>
        <v>139.022601200299</v>
      </c>
      <c r="BM69" s="11" t="n">
        <f aca="false">BM68+BM47+BM48+BM49</f>
        <v>94.2135586311879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6731.15665243134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35.105229462038</v>
      </c>
      <c r="P78" s="11" t="n">
        <f aca="false">P67+P69+P70+P71+P74+P77</f>
        <v>105.645883804488</v>
      </c>
      <c r="Q78" s="11" t="n">
        <f aca="false">Q67+Q69+Q70+Q71+Q74+Q77</f>
        <v>106.938792452505</v>
      </c>
      <c r="R78" s="11" t="n">
        <f aca="false">R67+R69+R70+R71+R74+R77</f>
        <v>106.68361421757</v>
      </c>
      <c r="S78" s="11" t="n">
        <f aca="false">S67+S69+S70+S71+S74+S77</f>
        <v>108.684729378326</v>
      </c>
      <c r="T78" s="11" t="n">
        <f aca="false">T67+T69+T70+T71+T74+T77</f>
        <v>109.661064655072</v>
      </c>
      <c r="U78" s="11" t="n">
        <f aca="false">U67+U69+U70+U71+U74+U77</f>
        <v>110.362644682469</v>
      </c>
      <c r="V78" s="11" t="n">
        <f aca="false">V67+V69+V70+V71+V74+V77</f>
        <v>111.097417311405</v>
      </c>
      <c r="W78" s="11" t="n">
        <f aca="false">W67+W69+W70+W71+W74+W77</f>
        <v>111.330970518805</v>
      </c>
      <c r="X78" s="11" t="n">
        <f aca="false">X67+X69+X70+X71+X74+X77</f>
        <v>113.936333293758</v>
      </c>
      <c r="Y78" s="11" t="n">
        <f aca="false">Y67+Y69+Y70+Y71+Y74+Y77</f>
        <v>115.427355886664</v>
      </c>
      <c r="Z78" s="11" t="n">
        <f aca="false">Z67+Z69+Z70+Z71+Z74+Z77</f>
        <v>115.162170619624</v>
      </c>
      <c r="AA78" s="11" t="n">
        <f aca="false">AA67+AA69+AA70+AA71+AA74+AA77</f>
        <v>117.326303479242</v>
      </c>
      <c r="AB78" s="11" t="n">
        <f aca="false">AB67+AB69+AB70+AB71+AB74+AB77</f>
        <v>118.379380621585</v>
      </c>
      <c r="AC78" s="11" t="n">
        <f aca="false">AC67+AC69+AC70+AC71+AC74+AC77</f>
        <v>118.422212016945</v>
      </c>
      <c r="AD78" s="11" t="n">
        <f aca="false">AD67+AD69+AD70+AD71+AD74+AD77</f>
        <v>127.157796236247</v>
      </c>
      <c r="AE78" s="11" t="n">
        <f aca="false">AE67+AE69+AE70+AE71+AE74+AE77</f>
        <v>118.885426817727</v>
      </c>
      <c r="AF78" s="11" t="n">
        <f aca="false">AF67+AF69+AF70+AF71+AF74+AF77</f>
        <v>122.996791639777</v>
      </c>
      <c r="AG78" s="11" t="n">
        <f aca="false">AG67+AG69+AG70+AG71+AG74+AG77</f>
        <v>124.609094988553</v>
      </c>
      <c r="AH78" s="11" t="n">
        <f aca="false">AH67+AH69+AH70+AH71+AH74+AH77</f>
        <v>124.31916318936</v>
      </c>
      <c r="AI78" s="11" t="n">
        <f aca="false">AI67+AI69+AI70+AI71+AI74+AI77</f>
        <v>126.659498795397</v>
      </c>
      <c r="AJ78" s="11" t="n">
        <f aca="false">AJ67+AJ69+AJ70+AJ71+AJ74+AJ77</f>
        <v>127.795409425002</v>
      </c>
      <c r="AK78" s="11" t="n">
        <f aca="false">AK67+AK69+AK70+AK71+AK74+AK77</f>
        <v>128.612533192875</v>
      </c>
      <c r="AL78" s="11" t="n">
        <f aca="false">AL67+AL69+AL70+AL71+AL74+AL77</f>
        <v>129.523055792821</v>
      </c>
      <c r="AM78" s="11" t="n">
        <f aca="false">AM67+AM69+AM70+AM71+AM74+AM77</f>
        <v>129.742040524361</v>
      </c>
      <c r="AN78" s="11" t="n">
        <f aca="false">AN67+AN69+AN70+AN71+AN74+AN77</f>
        <v>132.782345215832</v>
      </c>
      <c r="AO78" s="11" t="n">
        <f aca="false">AO67+AO69+AO70+AO71+AO74+AO77</f>
        <v>134.525715924244</v>
      </c>
      <c r="AP78" s="11" t="n">
        <f aca="false">AP67+AP69+AP70+AP71+AP74+AP77</f>
        <v>134.208884520101</v>
      </c>
      <c r="AQ78" s="11" t="n">
        <f aca="false">AQ67+AQ69+AQ70+AQ71+AQ74+AQ77</f>
        <v>136.739666071484</v>
      </c>
      <c r="AR78" s="11" t="n">
        <f aca="false">AR67+AR69+AR70+AR71+AR74+AR77</f>
        <v>137.964988891891</v>
      </c>
      <c r="AS78" s="11" t="n">
        <f aca="false">AS67+AS69+AS70+AS71+AS74+AS77</f>
        <v>138.011349629639</v>
      </c>
      <c r="AT78" s="11" t="n">
        <f aca="false">AT67+AT69+AT70+AT71+AT74+AT77</f>
        <v>148.476872678705</v>
      </c>
      <c r="AU78" s="11" t="n">
        <f aca="false">AU67+AU69+AU70+AU71+AU74+AU77</f>
        <v>138.553195601402</v>
      </c>
      <c r="AV78" s="11" t="n">
        <f aca="false">AV67+AV69+AV70+AV71+AV74+AV77</f>
        <v>143.351019860887</v>
      </c>
      <c r="AW78" s="11" t="n">
        <f aca="false">AW67+AW69+AW70+AW71+AW74+AW77</f>
        <v>145.23602757825</v>
      </c>
      <c r="AX78" s="11" t="n">
        <f aca="false">AX67+AX69+AX70+AX71+AX74+AX77</f>
        <v>144.88996537153</v>
      </c>
      <c r="AY78" s="11" t="n">
        <f aca="false">AY67+AY69+AY70+AY71+AY74+AY77</f>
        <v>147.626578422821</v>
      </c>
      <c r="AZ78" s="11" t="n">
        <f aca="false">AZ67+AZ69+AZ70+AZ71+AZ74+AZ77</f>
        <v>148.948418369327</v>
      </c>
      <c r="BA78" s="11" t="n">
        <f aca="false">BA67+BA69+BA70+BA71+BA74+BA77</f>
        <v>149.899992034423</v>
      </c>
      <c r="BB78" s="11" t="n">
        <f aca="false">BB67+BB69+BB70+BB71+BB74+BB77</f>
        <v>151.02642211509</v>
      </c>
      <c r="BC78" s="11" t="n">
        <f aca="false">BC67+BC69+BC70+BC71+BC74+BC77</f>
        <v>151.217537696746</v>
      </c>
      <c r="BD78" s="11" t="n">
        <f aca="false">BD67+BD69+BD70+BD71+BD74+BD77</f>
        <v>154.76547725333</v>
      </c>
      <c r="BE78" s="11" t="n">
        <f aca="false">BE67+BE69+BE70+BE71+BE74+BE77</f>
        <v>156.803536751238</v>
      </c>
      <c r="BF78" s="11" t="n">
        <f aca="false">BF67+BF69+BF70+BF71+BF74+BF77</f>
        <v>156.425720295464</v>
      </c>
      <c r="BG78" s="11" t="n">
        <f aca="false">BG67+BG69+BG70+BG71+BG74+BG77</f>
        <v>159.384783599077</v>
      </c>
      <c r="BH78" s="11" t="n">
        <f aca="false">BH67+BH69+BH70+BH71+BH74+BH77</f>
        <v>160.81081414656</v>
      </c>
      <c r="BI78" s="11" t="n">
        <f aca="false">BI67+BI69+BI70+BI71+BI74+BI77</f>
        <v>160.860638581272</v>
      </c>
      <c r="BJ78" s="11" t="n">
        <f aca="false">BJ67+BJ69+BJ70+BJ71+BJ74+BJ77</f>
        <v>173.397582339325</v>
      </c>
      <c r="BK78" s="11" t="n">
        <f aca="false">BK67+BK69+BK70+BK71+BK74+BK77</f>
        <v>161.494663374555</v>
      </c>
      <c r="BL78" s="11" t="n">
        <f aca="false">BL67+BL69+BL70+BL71+BL74+BL77</f>
        <v>167.093384162986</v>
      </c>
      <c r="BM78" s="11" t="n">
        <f aca="false">BM67+BM69+BM70+BM71+BM74+BM77</f>
        <v>132.196158942546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2610.0927926011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16.9761811250453</v>
      </c>
      <c r="P79" s="11" t="n">
        <f aca="false">P51-P78+P53</f>
        <v>50.9397198812807</v>
      </c>
      <c r="Q79" s="11" t="n">
        <f aca="false">Q51-Q78+Q53</f>
        <v>51.1502696947609</v>
      </c>
      <c r="R79" s="11" t="n">
        <f aca="false">R51-R78+R53</f>
        <v>51.234438214144</v>
      </c>
      <c r="S79" s="11" t="n">
        <f aca="false">S51-S78+S53</f>
        <v>51.3988386892092</v>
      </c>
      <c r="T79" s="11" t="n">
        <f aca="false">T51-T78+T53</f>
        <v>51.4788639878784</v>
      </c>
      <c r="U79" s="11" t="n">
        <f aca="false">U51-U78+U53</f>
        <v>51.4672550168988</v>
      </c>
      <c r="V79" s="11" t="n">
        <f aca="false">V51-V78+V53</f>
        <v>47.5790873270889</v>
      </c>
      <c r="W79" s="11" t="n">
        <f aca="false">W51-W78+W53</f>
        <v>50.984224606903</v>
      </c>
      <c r="X79" s="11" t="n">
        <f aca="false">X51-X78+X53</f>
        <v>51.9372593022188</v>
      </c>
      <c r="Y79" s="11" t="n">
        <f aca="false">Y51-Y78+Y53</f>
        <v>52.0720584016982</v>
      </c>
      <c r="Z79" s="11" t="n">
        <f aca="false">Z51-Z78+Z53</f>
        <v>52.1545016125061</v>
      </c>
      <c r="AA79" s="11" t="n">
        <f aca="false">AA51-AA78+AA53</f>
        <v>52.3278956840398</v>
      </c>
      <c r="AB79" s="11" t="n">
        <f aca="false">AB51-AB78+AB53</f>
        <v>52.4142881798247</v>
      </c>
      <c r="AC79" s="11" t="n">
        <f aca="false">AC51-AC78+AC53</f>
        <v>52.0048933069229</v>
      </c>
      <c r="AD79" s="11" t="n">
        <f aca="false">AD51-AD78+AD53</f>
        <v>37.6850634622443</v>
      </c>
      <c r="AE79" s="11" t="n">
        <f aca="false">AE51-AE78+AE53</f>
        <v>50.9485527587019</v>
      </c>
      <c r="AF79" s="11" t="n">
        <f aca="false">AF51-AF78+AF53</f>
        <v>52.9107179305942</v>
      </c>
      <c r="AG79" s="11" t="n">
        <f aca="false">AG51-AG78+AG53</f>
        <v>53.0565046801386</v>
      </c>
      <c r="AH79" s="11" t="n">
        <f aca="false">AH51-AH78+AH53</f>
        <v>53.1510029202036</v>
      </c>
      <c r="AI79" s="11" t="n">
        <f aca="false">AI51-AI78+AI53</f>
        <v>53.3340808768538</v>
      </c>
      <c r="AJ79" s="11" t="n">
        <f aca="false">AJ51-AJ78+AJ53</f>
        <v>53.4273478442946</v>
      </c>
      <c r="AK79" s="11" t="n">
        <f aca="false">AK51-AK78+AK53</f>
        <v>53.4355264557635</v>
      </c>
      <c r="AL79" s="11" t="n">
        <f aca="false">AL51-AL78+AL53</f>
        <v>48.9946463778435</v>
      </c>
      <c r="AM79" s="11" t="n">
        <f aca="false">AM51-AM78+AM53</f>
        <v>52.9503455707701</v>
      </c>
      <c r="AN79" s="11" t="n">
        <f aca="false">AN51-AN78+AN53</f>
        <v>53.9650105377922</v>
      </c>
      <c r="AO79" s="11" t="n">
        <f aca="false">AO51-AO78+AO53</f>
        <v>54.1227007979793</v>
      </c>
      <c r="AP79" s="11" t="n">
        <f aca="false">AP51-AP78+AP53</f>
        <v>54.2303778024455</v>
      </c>
      <c r="AQ79" s="11" t="n">
        <f aca="false">AQ51-AQ78+AQ53</f>
        <v>54.423884253503</v>
      </c>
      <c r="AR79" s="11" t="n">
        <f aca="false">AR51-AR78+AR53</f>
        <v>54.524573359559</v>
      </c>
      <c r="AS79" s="11" t="n">
        <f aca="false">AS51-AS78+AS53</f>
        <v>54.1149644255061</v>
      </c>
      <c r="AT79" s="11" t="n">
        <f aca="false">AT51-AT78+AT53</f>
        <v>37.3703907387674</v>
      </c>
      <c r="AU79" s="11" t="n">
        <f aca="false">AU51-AU78+AU53</f>
        <v>53.0031044792177</v>
      </c>
      <c r="AV79" s="11" t="n">
        <f aca="false">AV51-AV78+AV53</f>
        <v>55.1069398539067</v>
      </c>
      <c r="AW79" s="11" t="n">
        <f aca="false">AW51-AW78+AW53</f>
        <v>55.2775275192669</v>
      </c>
      <c r="AX79" s="11" t="n">
        <f aca="false">AX51-AX78+AX53</f>
        <v>55.3996105055268</v>
      </c>
      <c r="AY79" s="11" t="n">
        <f aca="false">AY51-AY78+AY53</f>
        <v>55.6043487769106</v>
      </c>
      <c r="AZ79" s="11" t="n">
        <f aca="false">AZ51-AZ78+AZ53</f>
        <v>55.7130512875102</v>
      </c>
      <c r="BA79" s="11" t="n">
        <f aca="false">BA51-BA78+BA53</f>
        <v>55.7447060678288</v>
      </c>
      <c r="BB79" s="11" t="n">
        <f aca="false">BB51-BB78+BB53</f>
        <v>50.6466973375141</v>
      </c>
      <c r="BC79" s="11" t="n">
        <f aca="false">BC51-BC78+BC53</f>
        <v>55.2567904584672</v>
      </c>
      <c r="BD79" s="11" t="n">
        <f aca="false">BD51-BD78+BD53</f>
        <v>56.3438882408863</v>
      </c>
      <c r="BE79" s="11" t="n">
        <f aca="false">BE51-BE78+BE53</f>
        <v>56.5284520240542</v>
      </c>
      <c r="BF79" s="11" t="n">
        <f aca="false">BF51-BF78+BF53</f>
        <v>56.6662811317319</v>
      </c>
      <c r="BG79" s="11" t="n">
        <f aca="false">BG51-BG78+BG53</f>
        <v>56.8831180280789</v>
      </c>
      <c r="BH79" s="11" t="n">
        <f aca="false">BH51-BH78+BH53</f>
        <v>57.0004722676139</v>
      </c>
      <c r="BI79" s="11" t="n">
        <f aca="false">BI51-BI78+BI53</f>
        <v>56.5907843520851</v>
      </c>
      <c r="BJ79" s="11" t="n">
        <f aca="false">BJ51-BJ78+BJ53</f>
        <v>36.9616093688782</v>
      </c>
      <c r="BK79" s="11" t="n">
        <f aca="false">BK51-BK78+BK53</f>
        <v>55.4129206477255</v>
      </c>
      <c r="BL79" s="11" t="n">
        <f aca="false">BL51-BL78+BL53</f>
        <v>57.6838676241981</v>
      </c>
      <c r="BM79" s="11" t="n">
        <f aca="false">BM51-BM78+BM53</f>
        <v>19.5031568063217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38.4207127281762</v>
      </c>
      <c r="P83" s="11" t="n">
        <f aca="false">(1-P81)*(P51/MAX(Time!P26,1)*Inputs!$F$165+P50/MAX(Time!P26,1)*P82)</f>
        <v>38.2953922057586</v>
      </c>
      <c r="Q83" s="11" t="n">
        <f aca="false">(1-Q81)*(Q51/MAX(Time!Q26,1)*Inputs!$F$165+Q50/MAX(Time!Q26,1)*Q82)</f>
        <v>39.3039104786019</v>
      </c>
      <c r="R83" s="11" t="n">
        <f aca="false">(1-R81)*(R51/MAX(Time!R26,1)*Inputs!$F$165+R50/MAX(Time!R26,1)*R82)</f>
        <v>38.6212628229736</v>
      </c>
      <c r="S83" s="11" t="n">
        <f aca="false">(1-S81)*(S51/MAX(Time!S26,1)*Inputs!$F$165+S50/MAX(Time!S26,1)*S82)</f>
        <v>39.799782116238</v>
      </c>
      <c r="T83" s="11" t="n">
        <f aca="false">(1-T81)*(T51/MAX(Time!T26,1)*Inputs!$F$165+T50/MAX(Time!T26,1)*T82)</f>
        <v>39.4092216789825</v>
      </c>
      <c r="U83" s="11" t="n">
        <f aca="false">(1-U81)*(U51/MAX(Time!U26,1)*Inputs!$F$165+U50/MAX(Time!U26,1)*U82)</f>
        <v>40.0128872883052</v>
      </c>
      <c r="V83" s="11" t="n">
        <f aca="false">(1-V81)*(V51/MAX(Time!V26,1)*Inputs!$F$165+V50/MAX(Time!V26,1)*V82)</f>
        <v>38.8067538518055</v>
      </c>
      <c r="W83" s="11" t="n">
        <f aca="false">(1-W81)*(W51/MAX(Time!W26,1)*Inputs!$F$165+W50/MAX(Time!W26,1)*W82)</f>
        <v>40.3546065229662</v>
      </c>
      <c r="X83" s="11" t="n">
        <f aca="false">(1-X81)*(X51/MAX(Time!X26,1)*Inputs!$F$165+X50/MAX(Time!X26,1)*X82)</f>
        <v>40.5669112327118</v>
      </c>
      <c r="Y83" s="11" t="n">
        <f aca="false">(1-Y81)*(Y51/MAX(Time!Y26,1)*Inputs!$F$165+Y50/MAX(Time!Y26,1)*Y82)</f>
        <v>41.6435007899242</v>
      </c>
      <c r="Z83" s="11" t="n">
        <f aca="false">(1-Z81)*(Z51/MAX(Time!Z26,1)*Inputs!$F$165+Z50/MAX(Time!Z26,1)*Z82)</f>
        <v>40.9198383176405</v>
      </c>
      <c r="AA83" s="11" t="n">
        <f aca="false">(1-AA81)*(AA51/MAX(Time!AA26,1)*Inputs!$F$165+AA50/MAX(Time!AA26,1)*AA82)</f>
        <v>42.1792207864513</v>
      </c>
      <c r="AB83" s="11" t="n">
        <f aca="false">(1-AB81)*(AB51/MAX(Time!AB26,1)*Inputs!$F$165+AB50/MAX(Time!AB26,1)*AB82)</f>
        <v>41.7701907394751</v>
      </c>
      <c r="AC83" s="11" t="n">
        <f aca="false">(1-AC81)*(AC51/MAX(Time!AC26,1)*Inputs!$F$165+AC50/MAX(Time!AC26,1)*AC82)</f>
        <v>42.1385699976597</v>
      </c>
      <c r="AD83" s="11" t="n">
        <f aca="false">(1-AD81)*(AD51/MAX(Time!AD26,1)*Inputs!$F$165+AD50/MAX(Time!AD26,1)*AD82)</f>
        <v>40.3148298175659</v>
      </c>
      <c r="AE83" s="11" t="n">
        <f aca="false">(1-AE81)*(AE51/MAX(Time!AE26,1)*Inputs!$F$165+AE50/MAX(Time!AE26,1)*AE82)</f>
        <v>42.2239175742502</v>
      </c>
      <c r="AF83" s="11" t="n">
        <f aca="false">(1-AF81)*(AF51/MAX(Time!AF26,1)*Inputs!$F$165+AF50/MAX(Time!AF26,1)*AF82)</f>
        <v>43.0208583188408</v>
      </c>
      <c r="AG83" s="11" t="n">
        <f aca="false">(1-AG81)*(AG51/MAX(Time!AG26,1)*Inputs!$F$165+AG50/MAX(Time!AG26,1)*AG82)</f>
        <v>44.1710054424924</v>
      </c>
      <c r="AH83" s="11" t="n">
        <f aca="false">(1-AH81)*(AH51/MAX(Time!AH26,1)*Inputs!$F$165+AH50/MAX(Time!AH26,1)*AH82)</f>
        <v>43.4030297550563</v>
      </c>
      <c r="AI83" s="11" t="n">
        <f aca="false">(1-AI81)*(AI51/MAX(Time!AI26,1)*Inputs!$F$165+AI50/MAX(Time!AI26,1)*AI82)</f>
        <v>44.7497850013882</v>
      </c>
      <c r="AJ83" s="11" t="n">
        <f aca="false">(1-AJ81)*(AJ51/MAX(Time!AJ26,1)*Inputs!$F$165+AJ50/MAX(Time!AJ26,1)*AJ82)</f>
        <v>44.320783027817</v>
      </c>
      <c r="AK83" s="11" t="n">
        <f aca="false">(1-AK81)*(AK51/MAX(Time!AK26,1)*Inputs!$F$165+AK50/MAX(Time!AK26,1)*AK82)</f>
        <v>45.0118828801579</v>
      </c>
      <c r="AL83" s="11" t="n">
        <f aca="false">(1-AL81)*(AL51/MAX(Time!AL26,1)*Inputs!$F$165+AL50/MAX(Time!AL26,1)*AL82)</f>
        <v>43.6592206395646</v>
      </c>
      <c r="AM83" s="11" t="n">
        <f aca="false">(1-AM81)*(AM51/MAX(Time!AM26,1)*Inputs!$F$165+AM50/MAX(Time!AM26,1)*AM82)</f>
        <v>45.4207589739277</v>
      </c>
      <c r="AN83" s="11" t="n">
        <f aca="false">(1-AN81)*(AN51/MAX(Time!AN26,1)*Inputs!$F$165+AN50/MAX(Time!AN26,1)*AN82)</f>
        <v>45.6719076571363</v>
      </c>
      <c r="AO83" s="11" t="n">
        <f aca="false">(1-AO81)*(AO51/MAX(Time!AO26,1)*Inputs!$F$165+AO50/MAX(Time!AO26,1)*AO82)</f>
        <v>46.9015400690611</v>
      </c>
      <c r="AP83" s="11" t="n">
        <f aca="false">(1-AP81)*(AP51/MAX(Time!AP26,1)*Inputs!$F$165+AP50/MAX(Time!AP26,1)*AP82)</f>
        <v>46.0856891549707</v>
      </c>
      <c r="AQ83" s="11" t="n">
        <f aca="false">(1-AQ81)*(AQ51/MAX(Time!AQ26,1)*Inputs!$F$165+AQ50/MAX(Time!AQ26,1)*AQ82)</f>
        <v>47.5268495283118</v>
      </c>
      <c r="AR83" s="11" t="n">
        <f aca="false">(1-AR81)*(AR51/MAX(Time!AR26,1)*Inputs!$F$165+AR50/MAX(Time!AR26,1)*AR82)</f>
        <v>47.0762516375828</v>
      </c>
      <c r="AS83" s="11" t="n">
        <f aca="false">(1-AS81)*(AS51/MAX(Time!AS26,1)*Inputs!$F$165+AS50/MAX(Time!AS26,1)*AS82)</f>
        <v>47.5037589696788</v>
      </c>
      <c r="AT83" s="11" t="n">
        <f aca="false">(1-AT81)*(AT51/MAX(Time!AT26,1)*Inputs!$F$165+AT50/MAX(Time!AT26,1)*AT82)</f>
        <v>45.4517763792731</v>
      </c>
      <c r="AU83" s="11" t="n">
        <f aca="false">(1-AU81)*(AU51/MAX(Time!AU26,1)*Inputs!$F$165+AU50/MAX(Time!AU26,1)*AU82)</f>
        <v>47.6244944951818</v>
      </c>
      <c r="AV83" s="11" t="n">
        <f aca="false">(1-AV81)*(AV51/MAX(Time!AV26,1)*Inputs!$F$165+AV50/MAX(Time!AV26,1)*AV82)</f>
        <v>48.5359140606831</v>
      </c>
      <c r="AW83" s="11" t="n">
        <f aca="false">(1-AW81)*(AW51/MAX(Time!AW26,1)*Inputs!$F$165+AW50/MAX(Time!AW26,1)*AW82)</f>
        <v>49.8514363502115</v>
      </c>
      <c r="AX83" s="11" t="n">
        <f aca="false">(1-AX81)*(AX51/MAX(Time!AX26,1)*Inputs!$F$165+AX50/MAX(Time!AX26,1)*AX82)</f>
        <v>48.9838636655846</v>
      </c>
      <c r="AY83" s="11" t="n">
        <f aca="false">(1-AY81)*(AY51/MAX(Time!AY26,1)*Inputs!$F$165+AY50/MAX(Time!AY26,1)*AY82)</f>
        <v>50.5270260993808</v>
      </c>
      <c r="AZ83" s="11" t="n">
        <f aca="false">(1-AZ81)*(AZ51/MAX(Time!AZ26,1)*Inputs!$F$165+AZ50/MAX(Time!AZ26,1)*AZ82)</f>
        <v>50.0530768182482</v>
      </c>
      <c r="BA83" s="11" t="n">
        <f aca="false">(1-BA81)*(BA51/MAX(Time!BA26,1)*Inputs!$F$165+BA50/MAX(Time!BA26,1)*BA82)</f>
        <v>50.8462165637435</v>
      </c>
      <c r="BB83" s="11" t="n">
        <f aca="false">(1-BB81)*(BB51/MAX(Time!BB26,1)*Inputs!$F$165+BB50/MAX(Time!BB26,1)*BB82)</f>
        <v>49.3222303009087</v>
      </c>
      <c r="BC83" s="11" t="n">
        <f aca="false">(1-BC81)*(BC51/MAX(Time!BC26,1)*Inputs!$F$165+BC50/MAX(Time!BC26,1)*BC82)</f>
        <v>51.3333965026773</v>
      </c>
      <c r="BD83" s="11" t="n">
        <f aca="false">(1-BD81)*(BD51/MAX(Time!BD26,1)*Inputs!$F$165+BD50/MAX(Time!BD26,1)*BD82)</f>
        <v>51.6300078654333</v>
      </c>
      <c r="BE83" s="11" t="n">
        <f aca="false">(1-BE81)*(BE51/MAX(Time!BE26,1)*Inputs!$F$165+BE50/MAX(Time!BE26,1)*BE82)</f>
        <v>53.0383397507632</v>
      </c>
      <c r="BF83" s="11" t="n">
        <f aca="false">(1-BF81)*(BF51/MAX(Time!BF26,1)*Inputs!$F$165+BF50/MAX(Time!BF26,1)*BF82)</f>
        <v>52.1148916533904</v>
      </c>
      <c r="BG83" s="11" t="n">
        <f aca="false">(1-BG81)*(BG51/MAX(Time!BG26,1)*Inputs!$F$165+BG50/MAX(Time!BG26,1)*BG82)</f>
        <v>53.7682628354808</v>
      </c>
      <c r="BH83" s="11" t="n">
        <f aca="false">(1-BH81)*(BH51/MAX(Time!BH26,1)*Inputs!$F$165+BH50/MAX(Time!BH26,1)*BH82)</f>
        <v>53.2690646121621</v>
      </c>
      <c r="BI83" s="11" t="n">
        <f aca="false">(1-BI81)*(BI51/MAX(Time!BI26,1)*Inputs!$F$165+BI50/MAX(Time!BI26,1)*BI82)</f>
        <v>53.7654617142916</v>
      </c>
      <c r="BJ83" s="11" t="n">
        <f aca="false">(1-BJ81)*(BJ51/MAX(Time!BJ26,1)*Inputs!$F$165+BJ50/MAX(Time!BJ26,1)*BJ82)</f>
        <v>51.4465414503758</v>
      </c>
      <c r="BK83" s="11" t="n">
        <f aca="false">(1-BK81)*(BK51/MAX(Time!BK26,1)*Inputs!$F$165+BK50/MAX(Time!BK26,1)*BK82)</f>
        <v>53.927299895042</v>
      </c>
      <c r="BL83" s="11" t="n">
        <f aca="false">(1-BL81)*(BL51/MAX(Time!BL26,1)*Inputs!$F$165+BL50/MAX(Time!BL26,1)*BL82)</f>
        <v>54.9726974479527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18.3747764301093</v>
      </c>
      <c r="P85" s="11" t="n">
        <f aca="false">(1-P81)*(P68+P49)/MAX(Time!P26,1)*Inputs!$F$166</f>
        <v>18.2730804950544</v>
      </c>
      <c r="Q85" s="11" t="n">
        <f aca="false">(1-Q81)*(Q68+Q49)/MAX(Time!Q26,1)*Inputs!$F$166</f>
        <v>18.8820107002865</v>
      </c>
      <c r="R85" s="11" t="n">
        <f aca="false">(1-R81)*(R68+R49)/MAX(Time!R26,1)*Inputs!$F$166</f>
        <v>18.4482011075492</v>
      </c>
      <c r="S85" s="11" t="n">
        <f aca="false">(1-S81)*(S68+S49)/MAX(Time!S26,1)*Inputs!$F$166</f>
        <v>19.1899485070879</v>
      </c>
      <c r="T85" s="11" t="n">
        <f aca="false">(1-T81)*(T68+T49)/MAX(Time!T26,1)*Inputs!$F$166</f>
        <v>18.9997107899989</v>
      </c>
      <c r="U85" s="11" t="n">
        <f aca="false">(1-U81)*(U68+U49)/MAX(Time!U26,1)*Inputs!$F$166</f>
        <v>19.3595057649693</v>
      </c>
      <c r="V85" s="11" t="n">
        <f aca="false">(1-V81)*(V68+V49)/MAX(Time!V26,1)*Inputs!$F$166</f>
        <v>18.6909102028197</v>
      </c>
      <c r="W85" s="11" t="n">
        <f aca="false">(1-W81)*(W68+W49)/MAX(Time!W26,1)*Inputs!$F$166</f>
        <v>19.613633669735</v>
      </c>
      <c r="X85" s="11" t="n">
        <f aca="false">(1-X81)*(X68+X49)/MAX(Time!X26,1)*Inputs!$F$166</f>
        <v>19.7549433630901</v>
      </c>
      <c r="Y85" s="11" t="n">
        <f aca="false">(1-Y81)*(Y68+Y49)/MAX(Time!Y26,1)*Inputs!$F$166</f>
        <v>20.4131039947811</v>
      </c>
      <c r="Z85" s="11" t="n">
        <f aca="false">(1-Z81)*(Z68+Z49)/MAX(Time!Z26,1)*Inputs!$F$166</f>
        <v>19.943970293982</v>
      </c>
      <c r="AA85" s="11" t="n">
        <f aca="false">(1-AA81)*(AA68+AA49)/MAX(Time!AA26,1)*Inputs!$F$166</f>
        <v>20.7457045138301</v>
      </c>
      <c r="AB85" s="11" t="n">
        <f aca="false">(1-AB81)*(AB68+AB49)/MAX(Time!AB26,1)*Inputs!$F$166</f>
        <v>20.5398917932113</v>
      </c>
      <c r="AC85" s="11" t="n">
        <f aca="false">(1-AC81)*(AC68+AC49)/MAX(Time!AC26,1)*Inputs!$F$166</f>
        <v>20.7809841585278</v>
      </c>
      <c r="AD85" s="11" t="n">
        <f aca="false">(1-AD81)*(AD68+AD49)/MAX(Time!AD26,1)*Inputs!$F$166</f>
        <v>19.7675064224553</v>
      </c>
      <c r="AE85" s="11" t="n">
        <f aca="false">(1-AE81)*(AE68+AE49)/MAX(Time!AE26,1)*Inputs!$F$166</f>
        <v>20.9002080929243</v>
      </c>
      <c r="AF85" s="11" t="n">
        <f aca="false">(1-AF81)*(AF68+AF49)/MAX(Time!AF26,1)*Inputs!$F$166</f>
        <v>21.355712487991</v>
      </c>
      <c r="AG85" s="11" t="n">
        <f aca="false">(1-AG81)*(AG68+AG49)/MAX(Time!AG26,1)*Inputs!$F$166</f>
        <v>22.0670408759033</v>
      </c>
      <c r="AH85" s="11" t="n">
        <f aca="false">(1-AH81)*(AH68+AH49)/MAX(Time!AH26,1)*Inputs!$F$166</f>
        <v>21.5597362399887</v>
      </c>
      <c r="AI85" s="11" t="n">
        <f aca="false">(1-AI81)*(AI68+AI49)/MAX(Time!AI26,1)*Inputs!$F$166</f>
        <v>22.426256469107</v>
      </c>
      <c r="AJ85" s="11" t="n">
        <f aca="false">(1-AJ81)*(AJ68+AJ49)/MAX(Time!AJ26,1)*Inputs!$F$166</f>
        <v>22.2036063080422</v>
      </c>
      <c r="AK85" s="11" t="n">
        <f aca="false">(1-AK81)*(AK68+AK49)/MAX(Time!AK26,1)*Inputs!$F$166</f>
        <v>22.6237370093604</v>
      </c>
      <c r="AL85" s="11" t="n">
        <f aca="false">(1-AL81)*(AL68+AL49)/MAX(Time!AL26,1)*Inputs!$F$166</f>
        <v>21.8420841258165</v>
      </c>
      <c r="AM85" s="11" t="n">
        <f aca="false">(1-AM81)*(AM68+AM49)/MAX(Time!AM26,1)*Inputs!$F$166</f>
        <v>22.920032419722</v>
      </c>
      <c r="AN85" s="11" t="n">
        <f aca="false">(1-AN81)*(AN68+AN49)/MAX(Time!AN26,1)*Inputs!$F$166</f>
        <v>23.0848202517799</v>
      </c>
      <c r="AO85" s="11" t="n">
        <f aca="false">(1-AO81)*(AO68+AO49)/MAX(Time!AO26,1)*Inputs!$F$166</f>
        <v>23.8535649232373</v>
      </c>
      <c r="AP85" s="11" t="n">
        <f aca="false">(1-AP81)*(AP68+AP49)/MAX(Time!AP26,1)*Inputs!$F$166</f>
        <v>23.3050156128092</v>
      </c>
      <c r="AQ85" s="11" t="n">
        <f aca="false">(1-AQ81)*(AQ68+AQ49)/MAX(Time!AQ26,1)*Inputs!$F$166</f>
        <v>24.2415004965104</v>
      </c>
      <c r="AR85" s="11" t="n">
        <f aca="false">(1-AR81)*(AR68+AR49)/MAX(Time!AR26,1)*Inputs!$F$166</f>
        <v>24.0006492030265</v>
      </c>
      <c r="AS85" s="11" t="n">
        <f aca="false">(1-AS81)*(AS68+AS49)/MAX(Time!AS26,1)*Inputs!$F$166</f>
        <v>24.2820010475174</v>
      </c>
      <c r="AT85" s="11" t="n">
        <f aca="false">(1-AT81)*(AT68+AT49)/MAX(Time!AT26,1)*Inputs!$F$166</f>
        <v>23.097435968183</v>
      </c>
      <c r="AU85" s="11" t="n">
        <f aca="false">(1-AU81)*(AU68+AU49)/MAX(Time!AU26,1)*Inputs!$F$166</f>
        <v>24.4205820651627</v>
      </c>
      <c r="AV85" s="11" t="n">
        <f aca="false">(1-AV81)*(AV68+AV49)/MAX(Time!AV26,1)*Inputs!$F$166</f>
        <v>24.9524377436989</v>
      </c>
      <c r="AW85" s="11" t="n">
        <f aca="false">(1-AW81)*(AW68+AW49)/MAX(Time!AW26,1)*Inputs!$F$166</f>
        <v>25.7831826939751</v>
      </c>
      <c r="AX85" s="11" t="n">
        <f aca="false">(1-AX81)*(AX68+AX49)/MAX(Time!AX26,1)*Inputs!$F$166</f>
        <v>25.1900701896104</v>
      </c>
      <c r="AY85" s="11" t="n">
        <f aca="false">(1-AY81)*(AY68+AY49)/MAX(Time!AY26,1)*Inputs!$F$166</f>
        <v>26.2021074359446</v>
      </c>
      <c r="AZ85" s="11" t="n">
        <f aca="false">(1-AZ81)*(AZ68+AZ49)/MAX(Time!AZ26,1)*Inputs!$F$166</f>
        <v>25.9415820339493</v>
      </c>
      <c r="BA85" s="11" t="n">
        <f aca="false">(1-BA81)*(BA68+BA49)/MAX(Time!BA26,1)*Inputs!$F$166</f>
        <v>26.4320459577702</v>
      </c>
      <c r="BB85" s="11" t="n">
        <f aca="false">(1-BB81)*(BB68+BB49)/MAX(Time!BB26,1)*Inputs!$F$166</f>
        <v>25.5184332567658</v>
      </c>
      <c r="BC85" s="11" t="n">
        <f aca="false">(1-BC81)*(BC68+BC49)/MAX(Time!BC26,1)*Inputs!$F$166</f>
        <v>26.7774150058998</v>
      </c>
      <c r="BD85" s="11" t="n">
        <f aca="false">(1-BD81)*(BD68+BD49)/MAX(Time!BD26,1)*Inputs!$F$166</f>
        <v>26.9695317622168</v>
      </c>
      <c r="BE85" s="11" t="n">
        <f aca="false">(1-BE81)*(BE68+BE49)/MAX(Time!BE26,1)*Inputs!$F$166</f>
        <v>27.8672225885103</v>
      </c>
      <c r="BF85" s="11" t="n">
        <f aca="false">(1-BF81)*(BF68+BF49)/MAX(Time!BF26,1)*Inputs!$F$166</f>
        <v>27.2259643355167</v>
      </c>
      <c r="BG85" s="11" t="n">
        <f aca="false">(1-BG81)*(BG68+BG49)/MAX(Time!BG26,1)*Inputs!$F$166</f>
        <v>28.3195825961025</v>
      </c>
      <c r="BH85" s="11" t="n">
        <f aca="false">(1-BH81)*(BH68+BH49)/MAX(Time!BH26,1)*Inputs!$F$166</f>
        <v>28.0377921677348</v>
      </c>
      <c r="BI85" s="11" t="n">
        <f aca="false">(1-BI81)*(BI68+BI49)/MAX(Time!BI26,1)*Inputs!$F$166</f>
        <v>28.3660435938924</v>
      </c>
      <c r="BJ85" s="11" t="n">
        <f aca="false">(1-BJ81)*(BJ68+BJ49)/MAX(Time!BJ26,1)*Inputs!$F$166</f>
        <v>26.9818379910517</v>
      </c>
      <c r="BK85" s="11" t="n">
        <f aca="false">(1-BK81)*(BK68+BK49)/MAX(Time!BK26,1)*Inputs!$F$166</f>
        <v>28.5270742190328</v>
      </c>
      <c r="BL85" s="11" t="n">
        <f aca="false">(1-BL81)*(BL68+BL49)/MAX(Time!BL26,1)*Inputs!$F$166</f>
        <v>29.1479261381268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2.26825529348798</v>
      </c>
      <c r="P86" s="11" t="n">
        <f aca="false">(1-P81)*(P47+P48)/MAX(Time!P26,1)*Inputs!$F$167</f>
        <v>2.26608925618742</v>
      </c>
      <c r="Q86" s="11" t="n">
        <f aca="false">(1-Q81)*(Q47+Q48)/MAX(Time!Q26,1)*Inputs!$F$167</f>
        <v>2.30524084996652</v>
      </c>
      <c r="R86" s="11" t="n">
        <f aca="false">(1-R81)*(R47+R48)/MAX(Time!R26,1)*Inputs!$F$167</f>
        <v>2.29604636601557</v>
      </c>
      <c r="S86" s="11" t="n">
        <f aca="false">(1-S81)*(S47+S48)/MAX(Time!S26,1)*Inputs!$F$167</f>
        <v>2.33834937971675</v>
      </c>
      <c r="T86" s="11" t="n">
        <f aca="false">(1-T81)*(T47+T48)/MAX(Time!T26,1)*Inputs!$F$167</f>
        <v>2.33433710460417</v>
      </c>
      <c r="U86" s="11" t="n">
        <f aca="false">(1-U81)*(U47+U48)/MAX(Time!U26,1)*Inputs!$F$167</f>
        <v>2.36892823034852</v>
      </c>
      <c r="V86" s="11" t="n">
        <f aca="false">(1-V81)*(V47+V48)/MAX(Time!V26,1)*Inputs!$F$167</f>
        <v>2.35489610555474</v>
      </c>
      <c r="W86" s="11" t="n">
        <f aca="false">(1-W81)*(W47+W48)/MAX(Time!W26,1)*Inputs!$F$167</f>
        <v>2.40168320495261</v>
      </c>
      <c r="X86" s="11" t="n">
        <f aca="false">(1-X81)*(X47+X48)/MAX(Time!X26,1)*Inputs!$F$167</f>
        <v>2.40463439904768</v>
      </c>
      <c r="Y86" s="11" t="n">
        <f aca="false">(1-Y81)*(Y47+Y48)/MAX(Time!Y26,1)*Inputs!$F$167</f>
        <v>2.44617091937142</v>
      </c>
      <c r="Z86" s="11" t="n">
        <f aca="false">(1-Z81)*(Z47+Z48)/MAX(Time!Z26,1)*Inputs!$F$167</f>
        <v>2.43642128516308</v>
      </c>
      <c r="AA86" s="11" t="n">
        <f aca="false">(1-AA81)*(AA47+AA48)/MAX(Time!AA26,1)*Inputs!$F$167</f>
        <v>2.48129877677069</v>
      </c>
      <c r="AB86" s="11" t="n">
        <f aca="false">(1-AB81)*(AB47+AB48)/MAX(Time!AB26,1)*Inputs!$F$167</f>
        <v>2.47704250085252</v>
      </c>
      <c r="AC86" s="11" t="n">
        <f aca="false">(1-AC81)*(AC47+AC48)/MAX(Time!AC26,1)*Inputs!$F$167</f>
        <v>2.51070577621293</v>
      </c>
      <c r="AD86" s="11" t="n">
        <f aca="false">(1-AD81)*(AD47+AD48)/MAX(Time!AD26,1)*Inputs!$F$167</f>
        <v>2.48984945804996</v>
      </c>
      <c r="AE86" s="11" t="n">
        <f aca="false">(1-AE81)*(AE47+AE48)/MAX(Time!AE26,1)*Inputs!$F$167</f>
        <v>2.54229674607933</v>
      </c>
      <c r="AF86" s="11" t="n">
        <f aca="false">(1-AF81)*(AF47+AF48)/MAX(Time!AF26,1)*Inputs!$F$167</f>
        <v>2.55162460293839</v>
      </c>
      <c r="AG86" s="11" t="n">
        <f aca="false">(1-AG81)*(AG47+AG48)/MAX(Time!AG26,1)*Inputs!$F$167</f>
        <v>2.59569060252482</v>
      </c>
      <c r="AH86" s="11" t="n">
        <f aca="false">(1-AH81)*(AH47+AH48)/MAX(Time!AH26,1)*Inputs!$F$167</f>
        <v>2.58535290066825</v>
      </c>
      <c r="AI86" s="11" t="n">
        <f aca="false">(1-AI81)*(AI47+AI48)/MAX(Time!AI26,1)*Inputs!$F$167</f>
        <v>2.63296064189563</v>
      </c>
      <c r="AJ86" s="11" t="n">
        <f aca="false">(1-AJ81)*(AJ47+AJ48)/MAX(Time!AJ26,1)*Inputs!$F$167</f>
        <v>2.62844578430847</v>
      </c>
      <c r="AK86" s="11" t="n">
        <f aca="false">(1-AK81)*(AK47+AK48)/MAX(Time!AK26,1)*Inputs!$F$167</f>
        <v>2.66738937121934</v>
      </c>
      <c r="AL86" s="11" t="n">
        <f aca="false">(1-AL81)*(AL47+AL48)/MAX(Time!AL26,1)*Inputs!$F$167</f>
        <v>2.65161685992547</v>
      </c>
      <c r="AM86" s="11" t="n">
        <f aca="false">(1-AM81)*(AM47+AM48)/MAX(Time!AM26,1)*Inputs!$F$167</f>
        <v>2.70426420973624</v>
      </c>
      <c r="AN86" s="11" t="n">
        <f aca="false">(1-AN81)*(AN47+AN48)/MAX(Time!AN26,1)*Inputs!$F$167</f>
        <v>2.70757306616401</v>
      </c>
      <c r="AO86" s="11" t="n">
        <f aca="false">(1-AO81)*(AO47+AO48)/MAX(Time!AO26,1)*Inputs!$F$167</f>
        <v>2.75432181382367</v>
      </c>
      <c r="AP86" s="11" t="n">
        <f aca="false">(1-AP81)*(AP47+AP48)/MAX(Time!AP26,1)*Inputs!$F$167</f>
        <v>2.74336121386447</v>
      </c>
      <c r="AQ86" s="11" t="n">
        <f aca="false">(1-AQ81)*(AQ47+AQ48)/MAX(Time!AQ26,1)*Inputs!$F$167</f>
        <v>2.79386434474928</v>
      </c>
      <c r="AR86" s="11" t="n">
        <f aca="false">(1-AR81)*(AR47+AR48)/MAX(Time!AR26,1)*Inputs!$F$167</f>
        <v>2.78907546968291</v>
      </c>
      <c r="AS86" s="11" t="n">
        <f aca="false">(1-AS81)*(AS47+AS48)/MAX(Time!AS26,1)*Inputs!$F$167</f>
        <v>2.82698096129738</v>
      </c>
      <c r="AT86" s="11" t="n">
        <f aca="false">(1-AT81)*(AT47+AT48)/MAX(Time!AT26,1)*Inputs!$F$167</f>
        <v>2.80354356733194</v>
      </c>
      <c r="AU86" s="11" t="n">
        <f aca="false">(1-AU81)*(AU47+AU48)/MAX(Time!AU26,1)*Inputs!$F$167</f>
        <v>2.86255254733537</v>
      </c>
      <c r="AV86" s="11" t="n">
        <f aca="false">(1-AV81)*(AV47+AV48)/MAX(Time!AV26,1)*Inputs!$F$167</f>
        <v>2.87302407551139</v>
      </c>
      <c r="AW86" s="11" t="n">
        <f aca="false">(1-AW81)*(AW47+AW48)/MAX(Time!AW26,1)*Inputs!$F$167</f>
        <v>2.92261807883464</v>
      </c>
      <c r="AX86" s="11" t="n">
        <f aca="false">(1-AX81)*(AX47+AX48)/MAX(Time!AX26,1)*Inputs!$F$167</f>
        <v>2.91099772865259</v>
      </c>
      <c r="AY86" s="11" t="n">
        <f aca="false">(1-AY81)*(AY47+AY48)/MAX(Time!AY26,1)*Inputs!$F$167</f>
        <v>2.96457131737742</v>
      </c>
      <c r="AZ86" s="11" t="n">
        <f aca="false">(1-AZ81)*(AZ47+AZ48)/MAX(Time!AZ26,1)*Inputs!$F$167</f>
        <v>2.95949208501949</v>
      </c>
      <c r="BA86" s="11" t="n">
        <f aca="false">(1-BA81)*(BA47+BA48)/MAX(Time!BA26,1)*Inputs!$F$167</f>
        <v>3.00333411719539</v>
      </c>
      <c r="BB86" s="11" t="n">
        <f aca="false">(1-BB81)*(BB47+BB48)/MAX(Time!BB26,1)*Inputs!$F$167</f>
        <v>2.98560953506859</v>
      </c>
      <c r="BC86" s="11" t="n">
        <f aca="false">(1-BC81)*(BC47+BC48)/MAX(Time!BC26,1)*Inputs!$F$167</f>
        <v>3.04484598449493</v>
      </c>
      <c r="BD86" s="11" t="n">
        <f aca="false">(1-BD81)*(BD47+BD48)/MAX(Time!BD26,1)*Inputs!$F$167</f>
        <v>3.04855488337244</v>
      </c>
      <c r="BE86" s="11" t="n">
        <f aca="false">(1-BE81)*(BE47+BE48)/MAX(Time!BE26,1)*Inputs!$F$167</f>
        <v>3.10116644257856</v>
      </c>
      <c r="BF86" s="11" t="n">
        <f aca="false">(1-BF81)*(BF47+BF48)/MAX(Time!BF26,1)*Inputs!$F$167</f>
        <v>3.08884735379754</v>
      </c>
      <c r="BG86" s="11" t="n">
        <f aca="false">(1-BG81)*(BG47+BG48)/MAX(Time!BG26,1)*Inputs!$F$167</f>
        <v>3.14567698973259</v>
      </c>
      <c r="BH86" s="11" t="n">
        <f aca="false">(1-BH81)*(BH47+BH48)/MAX(Time!BH26,1)*Inputs!$F$167</f>
        <v>3.14029010447144</v>
      </c>
      <c r="BI86" s="11" t="n">
        <f aca="false">(1-BI81)*(BI47+BI48)/MAX(Time!BI26,1)*Inputs!$F$167</f>
        <v>3.18297154130748</v>
      </c>
      <c r="BJ86" s="11" t="n">
        <f aca="false">(1-BJ81)*(BJ47+BJ48)/MAX(Time!BJ26,1)*Inputs!$F$167</f>
        <v>3.15663989812677</v>
      </c>
      <c r="BK86" s="11" t="n">
        <f aca="false">(1-BK81)*(BK47+BK48)/MAX(Time!BK26,1)*Inputs!$F$167</f>
        <v>3.22302517083753</v>
      </c>
      <c r="BL86" s="11" t="n">
        <f aca="false">(1-BL81)*(BL47+BL48)/MAX(Time!BL26,1)*Inputs!$F$167</f>
        <v>3.23477769781933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1.58887757310739</v>
      </c>
      <c r="P87" s="11" t="n">
        <f aca="false">(1-P81)*(P55+P56+P57+P59)/MAX(Time!P26,1)*Inputs!$F$168</f>
        <v>1.59753046771053</v>
      </c>
      <c r="Q87" s="11" t="n">
        <f aca="false">(1-Q81)*(Q55+Q56+Q57+Q59)/MAX(Time!Q26,1)*Inputs!$F$168</f>
        <v>1.63630833687557</v>
      </c>
      <c r="R87" s="11" t="n">
        <f aca="false">(1-R81)*(R55+R56+R57+R59)/MAX(Time!R26,1)*Inputs!$F$168</f>
        <v>1.61636331351416</v>
      </c>
      <c r="S87" s="11" t="n">
        <f aca="false">(1-S81)*(S55+S56+S57+S59)/MAX(Time!S26,1)*Inputs!$F$168</f>
        <v>1.66671891328057</v>
      </c>
      <c r="T87" s="11" t="n">
        <f aca="false">(1-T81)*(T55+T56+T57+T59)/MAX(Time!T26,1)*Inputs!$F$168</f>
        <v>1.66859501303617</v>
      </c>
      <c r="U87" s="11" t="n">
        <f aca="false">(1-U81)*(U55+U56+U57+U59)/MAX(Time!U26,1)*Inputs!$F$168</f>
        <v>1.68519129573022</v>
      </c>
      <c r="V87" s="11" t="n">
        <f aca="false">(1-V81)*(V55+V56+V57+V59)/MAX(Time!V26,1)*Inputs!$F$168</f>
        <v>1.67085404294842</v>
      </c>
      <c r="W87" s="11" t="n">
        <f aca="false">(1-W81)*(W55+W56+W57+W59)/MAX(Time!W26,1)*Inputs!$F$168</f>
        <v>1.71741984496264</v>
      </c>
      <c r="X87" s="11" t="n">
        <f aca="false">(1-X81)*(X55+X56+X57+X59)/MAX(Time!X26,1)*Inputs!$F$168</f>
        <v>1.74282079359607</v>
      </c>
      <c r="Y87" s="11" t="n">
        <f aca="false">(1-Y81)*(Y55+Y56+Y57+Y59)/MAX(Time!Y26,1)*Inputs!$F$168</f>
        <v>1.78512538689063</v>
      </c>
      <c r="Z87" s="11" t="n">
        <f aca="false">(1-Z81)*(Z55+Z56+Z57+Z59)/MAX(Time!Z26,1)*Inputs!$F$168</f>
        <v>1.7633664269549</v>
      </c>
      <c r="AA87" s="11" t="n">
        <f aca="false">(1-AA81)*(AA55+AA56+AA57+AA59)/MAX(Time!AA26,1)*Inputs!$F$168</f>
        <v>1.81830170870429</v>
      </c>
      <c r="AB87" s="11" t="n">
        <f aca="false">(1-AB81)*(AB55+AB56+AB57+AB59)/MAX(Time!AB26,1)*Inputs!$F$168</f>
        <v>1.82034843377839</v>
      </c>
      <c r="AC87" s="11" t="n">
        <f aca="false">(1-AC81)*(AC55+AC56+AC57+AC59)/MAX(Time!AC26,1)*Inputs!$F$168</f>
        <v>1.82536943165191</v>
      </c>
      <c r="AD87" s="11" t="n">
        <f aca="false">(1-AD81)*(AD55+AD56+AD57+AD59)/MAX(Time!AD26,1)*Inputs!$F$168</f>
        <v>1.82224678606395</v>
      </c>
      <c r="AE87" s="11" t="n">
        <f aca="false">(1-AE81)*(AE55+AE56+AE57+AE59)/MAX(Time!AE26,1)*Inputs!$F$168</f>
        <v>1.87323757930148</v>
      </c>
      <c r="AF87" s="11" t="n">
        <f aca="false">(1-AF81)*(AF55+AF56+AF57+AF59)/MAX(Time!AF26,1)*Inputs!$F$168</f>
        <v>1.90132481350659</v>
      </c>
      <c r="AG87" s="11" t="n">
        <f aca="false">(1-AG81)*(AG55+AG56+AG57+AG59)/MAX(Time!AG26,1)*Inputs!$F$168</f>
        <v>1.94747687529735</v>
      </c>
      <c r="AH87" s="11" t="n">
        <f aca="false">(1-AH81)*(AH55+AH56+AH57+AH59)/MAX(Time!AH26,1)*Inputs!$F$168</f>
        <v>1.92373900701283</v>
      </c>
      <c r="AI87" s="11" t="n">
        <f aca="false">(1-AI81)*(AI55+AI56+AI57+AI59)/MAX(Time!AI26,1)*Inputs!$F$168</f>
        <v>1.9836704782868</v>
      </c>
      <c r="AJ87" s="11" t="n">
        <f aca="false">(1-AJ81)*(AJ55+AJ56+AJ57+AJ59)/MAX(Time!AJ26,1)*Inputs!$F$168</f>
        <v>1.98590334651062</v>
      </c>
      <c r="AK87" s="11" t="n">
        <f aca="false">(1-AK81)*(AK55+AK56+AK57+AK59)/MAX(Time!AK26,1)*Inputs!$F$168</f>
        <v>2.00565566093339</v>
      </c>
      <c r="AL87" s="11" t="n">
        <f aca="false">(1-AL81)*(AL55+AL56+AL57+AL59)/MAX(Time!AL26,1)*Inputs!$F$168</f>
        <v>1.9885919647958</v>
      </c>
      <c r="AM87" s="11" t="n">
        <f aca="false">(1-AM81)*(AM55+AM56+AM57+AM59)/MAX(Time!AM26,1)*Inputs!$F$168</f>
        <v>2.04401295151247</v>
      </c>
      <c r="AN87" s="11" t="n">
        <f aca="false">(1-AN81)*(AN55+AN56+AN57+AN59)/MAX(Time!AN26,1)*Inputs!$F$168</f>
        <v>2.0742442709768</v>
      </c>
      <c r="AO87" s="11" t="n">
        <f aca="false">(1-AO81)*(AO55+AO56+AO57+AO59)/MAX(Time!AO26,1)*Inputs!$F$168</f>
        <v>2.12459371631259</v>
      </c>
      <c r="AP87" s="11" t="n">
        <f aca="false">(1-AP81)*(AP55+AP56+AP57+AP59)/MAX(Time!AP26,1)*Inputs!$F$168</f>
        <v>2.09869696424552</v>
      </c>
      <c r="AQ87" s="11" t="n">
        <f aca="false">(1-AQ81)*(AQ55+AQ56+AQ57+AQ59)/MAX(Time!AQ26,1)*Inputs!$F$168</f>
        <v>2.16407901262471</v>
      </c>
      <c r="AR87" s="11" t="n">
        <f aca="false">(1-AR81)*(AR55+AR56+AR57+AR59)/MAX(Time!AR26,1)*Inputs!$F$168</f>
        <v>2.16651495312693</v>
      </c>
      <c r="AS87" s="11" t="n">
        <f aca="false">(1-AS81)*(AS55+AS56+AS57+AS59)/MAX(Time!AS26,1)*Inputs!$F$168</f>
        <v>2.17249076894919</v>
      </c>
      <c r="AT87" s="11" t="n">
        <f aca="false">(1-AT81)*(AT55+AT56+AT57+AT59)/MAX(Time!AT26,1)*Inputs!$F$168</f>
        <v>2.16877430553257</v>
      </c>
      <c r="AU87" s="11" t="n">
        <f aca="false">(1-AU81)*(AU55+AU56+AU57+AU59)/MAX(Time!AU26,1)*Inputs!$F$168</f>
        <v>2.22946176182994</v>
      </c>
      <c r="AV87" s="11" t="n">
        <f aca="false">(1-AV81)*(AV55+AV56+AV57+AV59)/MAX(Time!AV26,1)*Inputs!$F$168</f>
        <v>2.26289020430182</v>
      </c>
      <c r="AW87" s="11" t="n">
        <f aca="false">(1-AW81)*(AW55+AW56+AW57+AW59)/MAX(Time!AW26,1)*Inputs!$F$168</f>
        <v>2.31781877189466</v>
      </c>
      <c r="AX87" s="11" t="n">
        <f aca="false">(1-AX81)*(AX55+AX56+AX57+AX59)/MAX(Time!AX26,1)*Inputs!$F$168</f>
        <v>2.28956679241675</v>
      </c>
      <c r="AY87" s="11" t="n">
        <f aca="false">(1-AY81)*(AY55+AY56+AY57+AY59)/MAX(Time!AY26,1)*Inputs!$F$168</f>
        <v>2.36089513059014</v>
      </c>
      <c r="AZ87" s="11" t="n">
        <f aca="false">(1-AZ81)*(AZ55+AZ56+AZ57+AZ59)/MAX(Time!AZ26,1)*Inputs!$F$168</f>
        <v>2.36355261214999</v>
      </c>
      <c r="BA87" s="11" t="n">
        <f aca="false">(1-BA81)*(BA55+BA56+BA57+BA59)/MAX(Time!BA26,1)*Inputs!$F$168</f>
        <v>2.38706112500485</v>
      </c>
      <c r="BB87" s="11" t="n">
        <f aca="false">(1-BB81)*(BB55+BB56+BB57+BB59)/MAX(Time!BB26,1)*Inputs!$F$168</f>
        <v>2.36675251147146</v>
      </c>
      <c r="BC87" s="11" t="n">
        <f aca="false">(1-BC81)*(BC55+BC56+BC57+BC59)/MAX(Time!BC26,1)*Inputs!$F$168</f>
        <v>2.43271262889222</v>
      </c>
      <c r="BD87" s="11" t="n">
        <f aca="false">(1-BD81)*(BD55+BD56+BD57+BD59)/MAX(Time!BD26,1)*Inputs!$F$168</f>
        <v>2.46869288654887</v>
      </c>
      <c r="BE87" s="11" t="n">
        <f aca="false">(1-BE81)*(BE55+BE56+BE57+BE59)/MAX(Time!BE26,1)*Inputs!$F$168</f>
        <v>2.52861703303506</v>
      </c>
      <c r="BF87" s="11" t="n">
        <f aca="false">(1-BF81)*(BF55+BF56+BF57+BF59)/MAX(Time!BF26,1)*Inputs!$F$168</f>
        <v>2.49779562568818</v>
      </c>
      <c r="BG87" s="11" t="n">
        <f aca="false">(1-BG81)*(BG55+BG56+BG57+BG59)/MAX(Time!BG26,1)*Inputs!$F$168</f>
        <v>2.57561104984056</v>
      </c>
      <c r="BH87" s="11" t="n">
        <f aca="false">(1-BH81)*(BH55+BH56+BH57+BH59)/MAX(Time!BH26,1)*Inputs!$F$168</f>
        <v>2.5785102209141</v>
      </c>
      <c r="BI87" s="11" t="n">
        <f aca="false">(1-BI81)*(BI55+BI56+BI57+BI59)/MAX(Time!BI26,1)*Inputs!$F$168</f>
        <v>2.58562242761905</v>
      </c>
      <c r="BJ87" s="11" t="n">
        <f aca="false">(1-BJ81)*(BJ55+BJ56+BJ57+BJ59)/MAX(Time!BJ26,1)*Inputs!$F$168</f>
        <v>2.58119922301962</v>
      </c>
      <c r="BK87" s="11" t="n">
        <f aca="false">(1-BK81)*(BK55+BK56+BK57+BK59)/MAX(Time!BK26,1)*Inputs!$F$168</f>
        <v>2.65342730809155</v>
      </c>
      <c r="BL87" s="11" t="n">
        <f aca="false">(1-BL81)*(BL55+BL56+BL57+BL59)/MAX(Time!BL26,1)*Inputs!$F$168</f>
        <v>2.69321266958125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1.15788312854167</v>
      </c>
      <c r="P88" s="11" t="n">
        <f aca="false">(1-P81)*(P60+P61+P62+P63+P64+P65+P66)/MAX(Time!P26,1)*Inputs!$F$169</f>
        <v>1.16311542870536</v>
      </c>
      <c r="Q88" s="11" t="n">
        <f aca="false">(1-Q81)*(Q60+Q61+Q62+Q63+Q64+Q65+Q66)/MAX(Time!Q26,1)*Inputs!$F$169</f>
        <v>1.19299191555225</v>
      </c>
      <c r="R88" s="11" t="n">
        <f aca="false">(1-R81)*(R60+R61+R62+R63+R64+R65+R66)/MAX(Time!R26,1)*Inputs!$F$169</f>
        <v>1.18285711757755</v>
      </c>
      <c r="S88" s="11" t="n">
        <f aca="false">(1-S81)*(S60+S61+S62+S63+S64+S65+S66)/MAX(Time!S26,1)*Inputs!$F$169</f>
        <v>1.21567624564631</v>
      </c>
      <c r="T88" s="11" t="n">
        <f aca="false">(1-T81)*(T60+T61+T62+T63+T64+T65+T66)/MAX(Time!T26,1)*Inputs!$F$169</f>
        <v>1.21011543351342</v>
      </c>
      <c r="U88" s="11" t="n">
        <f aca="false">(1-U81)*(U60+U61+U62+U63+U64+U65+U66)/MAX(Time!U26,1)*Inputs!$F$169</f>
        <v>1.23118802515451</v>
      </c>
      <c r="V88" s="11" t="n">
        <f aca="false">(1-V81)*(V60+V61+V62+V63+V64+V65+V66)/MAX(Time!V26,1)*Inputs!$F$169</f>
        <v>1.22013340233583</v>
      </c>
      <c r="W88" s="11" t="n">
        <f aca="false">(1-W81)*(W60+W61+W62+W63+W64+W65+W66)/MAX(Time!W26,1)*Inputs!$F$169</f>
        <v>1.25778821757725</v>
      </c>
      <c r="X88" s="11" t="n">
        <f aca="false">(1-X81)*(X60+X61+X62+X63+X64+X65+X66)/MAX(Time!X26,1)*Inputs!$F$169</f>
        <v>1.25915864580029</v>
      </c>
      <c r="Y88" s="11" t="n">
        <f aca="false">(1-Y81)*(Y60+Y61+Y62+Y63+Y64+Y65+Y66)/MAX(Time!Y26,1)*Inputs!$F$169</f>
        <v>1.29157364528302</v>
      </c>
      <c r="Z88" s="11" t="n">
        <f aca="false">(1-Z81)*(Z60+Z61+Z62+Z63+Z64+Z65+Z66)/MAX(Time!Z26,1)*Inputs!$F$169</f>
        <v>1.28067295378927</v>
      </c>
      <c r="AA88" s="11" t="n">
        <f aca="false">(1-AA81)*(AA60+AA61+AA62+AA63+AA64+AA65+AA66)/MAX(Time!AA26,1)*Inputs!$F$169</f>
        <v>1.31627848160663</v>
      </c>
      <c r="AB88" s="11" t="n">
        <f aca="false">(1-AB81)*(AB60+AB61+AB62+AB63+AB64+AB65+AB66)/MAX(Time!AB26,1)*Inputs!$F$169</f>
        <v>1.3103338408054</v>
      </c>
      <c r="AC88" s="11" t="n">
        <f aca="false">(1-AC81)*(AC60+AC61+AC62+AC63+AC64+AC65+AC66)/MAX(Time!AC26,1)*Inputs!$F$169</f>
        <v>1.33008019107463</v>
      </c>
      <c r="AD88" s="11" t="n">
        <f aca="false">(1-AD81)*(AD60+AD61+AD62+AD63+AD64+AD65+AD66)/MAX(Time!AD26,1)*Inputs!$F$169</f>
        <v>1.31195869109736</v>
      </c>
      <c r="AE88" s="11" t="n">
        <f aca="false">(1-AE81)*(AE60+AE61+AE62+AE63+AE64+AE65+AE66)/MAX(Time!AE26,1)*Inputs!$F$169</f>
        <v>1.35576048853596</v>
      </c>
      <c r="AF88" s="11" t="n">
        <f aca="false">(1-AF81)*(AF60+AF61+AF62+AF63+AF64+AF65+AF66)/MAX(Time!AF26,1)*Inputs!$F$169</f>
        <v>1.36373364877106</v>
      </c>
      <c r="AG88" s="11" t="n">
        <f aca="false">(1-AG81)*(AG60+AG61+AG62+AG63+AG64+AG65+AG66)/MAX(Time!AG26,1)*Inputs!$F$169</f>
        <v>1.398913096566</v>
      </c>
      <c r="AH88" s="11" t="n">
        <f aca="false">(1-AH81)*(AH60+AH61+AH62+AH63+AH64+AH65+AH66)/MAX(Time!AH26,1)*Inputs!$F$169</f>
        <v>1.38717937986707</v>
      </c>
      <c r="AI88" s="11" t="n">
        <f aca="false">(1-AI81)*(AI60+AI61+AI62+AI63+AI64+AI65+AI66)/MAX(Time!AI26,1)*Inputs!$F$169</f>
        <v>1.42581832690589</v>
      </c>
      <c r="AJ88" s="11" t="n">
        <f aca="false">(1-AJ81)*(AJ60+AJ61+AJ62+AJ63+AJ64+AJ65+AJ66)/MAX(Time!AJ26,1)*Inputs!$F$169</f>
        <v>1.41945472224363</v>
      </c>
      <c r="AK88" s="11" t="n">
        <f aca="false">(1-AK81)*(AK60+AK61+AK62+AK63+AK64+AK65+AK66)/MAX(Time!AK26,1)*Inputs!$F$169</f>
        <v>1.44433173698929</v>
      </c>
      <c r="AL88" s="11" t="n">
        <f aca="false">(1-AL81)*(AL60+AL61+AL62+AL63+AL64+AL65+AL66)/MAX(Time!AL26,1)*Inputs!$F$169</f>
        <v>1.43163350752289</v>
      </c>
      <c r="AM88" s="11" t="n">
        <f aca="false">(1-AM81)*(AM60+AM61+AM62+AM63+AM64+AM65+AM66)/MAX(Time!AM26,1)*Inputs!$F$169</f>
        <v>1.47590683737592</v>
      </c>
      <c r="AN88" s="11" t="n">
        <f aca="false">(1-AN81)*(AN60+AN61+AN62+AN63+AN64+AN65+AN66)/MAX(Time!AN26,1)*Inputs!$F$169</f>
        <v>1.47759791063065</v>
      </c>
      <c r="AO88" s="11" t="n">
        <f aca="false">(1-AO81)*(AO60+AO61+AO62+AO63+AO64+AO65+AO66)/MAX(Time!AO26,1)*Inputs!$F$169</f>
        <v>1.51578784181603</v>
      </c>
      <c r="AP88" s="11" t="n">
        <f aca="false">(1-AP81)*(AP60+AP61+AP62+AP63+AP64+AP65+AP66)/MAX(Time!AP26,1)*Inputs!$F$169</f>
        <v>1.50314809235257</v>
      </c>
      <c r="AQ88" s="11" t="n">
        <f aca="false">(1-AQ81)*(AQ60+AQ61+AQ62+AQ63+AQ64+AQ65+AQ66)/MAX(Time!AQ26,1)*Inputs!$F$169</f>
        <v>1.54508936214139</v>
      </c>
      <c r="AR88" s="11" t="n">
        <f aca="false">(1-AR81)*(AR60+AR61+AR62+AR63+AR64+AR65+AR66)/MAX(Time!AR26,1)*Inputs!$F$169</f>
        <v>1.53826844232863</v>
      </c>
      <c r="AS88" s="11" t="n">
        <f aca="false">(1-AS81)*(AS60+AS61+AS62+AS63+AS64+AS65+AS66)/MAX(Time!AS26,1)*Inputs!$F$169</f>
        <v>1.56165113673361</v>
      </c>
      <c r="AT88" s="11" t="n">
        <f aca="false">(1-AT81)*(AT60+AT61+AT62+AT63+AT64+AT65+AT66)/MAX(Time!AT26,1)*Inputs!$F$169</f>
        <v>1.54072922610133</v>
      </c>
      <c r="AU88" s="11" t="n">
        <f aca="false">(1-AU81)*(AU60+AU61+AU62+AU63+AU64+AU65+AU66)/MAX(Time!AU26,1)*Inputs!$F$169</f>
        <v>1.59221570287395</v>
      </c>
      <c r="AV88" s="11" t="n">
        <f aca="false">(1-AV81)*(AV60+AV61+AV62+AV63+AV64+AV65+AV66)/MAX(Time!AV26,1)*Inputs!$F$169</f>
        <v>1.60157611474948</v>
      </c>
      <c r="AW88" s="11" t="n">
        <f aca="false">(1-AW81)*(AW60+AW61+AW62+AW63+AW64+AW65+AW66)/MAX(Time!AW26,1)*Inputs!$F$169</f>
        <v>1.64304445097155</v>
      </c>
      <c r="AX88" s="11" t="n">
        <f aca="false">(1-AX81)*(AX60+AX61+AX62+AX63+AX64+AX65+AX66)/MAX(Time!AX26,1)*Inputs!$F$169</f>
        <v>1.62941927179496</v>
      </c>
      <c r="AY88" s="11" t="n">
        <f aca="false">(1-AY81)*(AY60+AY61+AY62+AY63+AY64+AY65+AY66)/MAX(Time!AY26,1)*Inputs!$F$169</f>
        <v>1.67495558931043</v>
      </c>
      <c r="AZ88" s="11" t="n">
        <f aca="false">(1-AZ81)*(AZ60+AZ61+AZ62+AZ63+AZ64+AZ65+AZ66)/MAX(Time!AZ26,1)*Inputs!$F$169</f>
        <v>1.66763549258793</v>
      </c>
      <c r="BA88" s="11" t="n">
        <f aca="false">(1-BA81)*(BA60+BA61+BA62+BA63+BA64+BA65+BA66)/MAX(Time!BA26,1)*Inputs!$F$169</f>
        <v>1.69703068173692</v>
      </c>
      <c r="BB88" s="11" t="n">
        <f aca="false">(1-BB81)*(BB60+BB61+BB62+BB63+BB64+BB65+BB66)/MAX(Time!BB26,1)*Inputs!$F$169</f>
        <v>1.68239956826011</v>
      </c>
      <c r="BC88" s="11" t="n">
        <f aca="false">(1-BC81)*(BC60+BC61+BC62+BC63+BC64+BC65+BC66)/MAX(Time!BC26,1)*Inputs!$F$169</f>
        <v>1.73451166390826</v>
      </c>
      <c r="BD88" s="11" t="n">
        <f aca="false">(1-BD81)*(BD60+BD61+BD62+BD63+BD64+BD65+BD66)/MAX(Time!BD26,1)*Inputs!$F$169</f>
        <v>1.73656611468719</v>
      </c>
      <c r="BE88" s="11" t="n">
        <f aca="false">(1-BE81)*(BE60+BE61+BE62+BE63+BE64+BE65+BE66)/MAX(Time!BE26,1)*Inputs!$F$169</f>
        <v>1.78160461015188</v>
      </c>
      <c r="BF88" s="11" t="n">
        <f aca="false">(1-BF81)*(BF60+BF61+BF62+BF63+BF64+BF65+BF66)/MAX(Time!BF26,1)*Inputs!$F$169</f>
        <v>1.76690765660423</v>
      </c>
      <c r="BG88" s="11" t="n">
        <f aca="false">(1-BG81)*(BG60+BG61+BG62+BG63+BG64+BG65+BG66)/MAX(Time!BG26,1)*Inputs!$F$169</f>
        <v>1.81635767705277</v>
      </c>
      <c r="BH88" s="11" t="n">
        <f aca="false">(1-BH81)*(BH60+BH61+BH62+BH63+BH64+BH65+BH66)/MAX(Time!BH26,1)*Inputs!$F$169</f>
        <v>1.80849270987533</v>
      </c>
      <c r="BI88" s="11" t="n">
        <f aca="false">(1-BI81)*(BI60+BI61+BI62+BI63+BI64+BI65+BI66)/MAX(Time!BI26,1)*Inputs!$F$169</f>
        <v>1.8362001778457</v>
      </c>
      <c r="BJ88" s="11" t="n">
        <f aca="false">(1-BJ81)*(BJ60+BJ61+BJ62+BJ63+BJ64+BJ65+BJ66)/MAX(Time!BJ26,1)*Inputs!$F$169</f>
        <v>1.81198576079422</v>
      </c>
      <c r="BK88" s="11" t="n">
        <f aca="false">(1-BK81)*(BK60+BK61+BK62+BK63+BK64+BK65+BK66)/MAX(Time!BK26,1)*Inputs!$F$169</f>
        <v>1.87256931926619</v>
      </c>
      <c r="BL88" s="11" t="n">
        <f aca="false">(1-BL81)*(BL60+BL61+BL62+BL63+BL64+BL65+BL66)/MAX(Time!BL26,1)*Inputs!$F$169</f>
        <v>1.88354542216126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15.0309203029298</v>
      </c>
      <c r="P90" s="11" t="n">
        <f aca="false">P83+P84-P85-P86-P87-P88-P89</f>
        <v>14.995576558101</v>
      </c>
      <c r="Q90" s="11" t="n">
        <f aca="false">Q83+Q84-Q85-Q86-Q87-Q88-Q89</f>
        <v>15.2873586759211</v>
      </c>
      <c r="R90" s="11" t="n">
        <f aca="false">R83+R84-R85-R86-R87-R88-R89</f>
        <v>15.0777949183171</v>
      </c>
      <c r="S90" s="11" t="n">
        <f aca="false">S83+S84-S85-S86-S87-S88-S89</f>
        <v>15.3890890705064</v>
      </c>
      <c r="T90" s="11" t="n">
        <f aca="false">T83+T84-T85-T86-T87-T88-T89</f>
        <v>15.1964633378298</v>
      </c>
      <c r="U90" s="11" t="n">
        <f aca="false">U83+U84-U85-U86-U87-U88-U89</f>
        <v>15.3680739721026</v>
      </c>
      <c r="V90" s="11" t="n">
        <f aca="false">V83+V84-V85-V86-V87-V88-V89</f>
        <v>14.8699600981467</v>
      </c>
      <c r="W90" s="11" t="n">
        <f aca="false">W83+W84-W85-W86-W87-W88-W89</f>
        <v>15.3640815857387</v>
      </c>
      <c r="X90" s="11" t="n">
        <f aca="false">X83+X84-X85-X86-X87-X88-X89</f>
        <v>15.4053540311777</v>
      </c>
      <c r="Y90" s="11" t="n">
        <f aca="false">Y83+Y84-Y85-Y86-Y87-Y88-Y89</f>
        <v>15.7075268435981</v>
      </c>
      <c r="Z90" s="11" t="n">
        <f aca="false">Z83+Z84-Z85-Z86-Z87-Z88-Z89</f>
        <v>15.4954073577513</v>
      </c>
      <c r="AA90" s="11" t="n">
        <f aca="false">AA83+AA84-AA85-AA86-AA87-AA88-AA89</f>
        <v>15.8176373055396</v>
      </c>
      <c r="AB90" s="11" t="n">
        <f aca="false">AB83+AB84-AB85-AB86-AB87-AB88-AB89</f>
        <v>15.6225741708275</v>
      </c>
      <c r="AC90" s="11" t="n">
        <f aca="false">AC83+AC84-AC85-AC86-AC87-AC88-AC89</f>
        <v>15.6914304401924</v>
      </c>
      <c r="AD90" s="11" t="n">
        <f aca="false">AD83+AD84-AD85-AD86-AD87-AD88-AD89</f>
        <v>14.9232684598993</v>
      </c>
      <c r="AE90" s="11" t="n">
        <f aca="false">AE83+AE84-AE85-AE86-AE87-AE88-AE89</f>
        <v>15.5524146674091</v>
      </c>
      <c r="AF90" s="11" t="n">
        <f aca="false">AF83+AF84-AF85-AF86-AF87-AF88-AF89</f>
        <v>15.8484627656338</v>
      </c>
      <c r="AG90" s="11" t="n">
        <f aca="false">AG83+AG84-AG85-AG86-AG87-AG88-AG89</f>
        <v>16.1618839922009</v>
      </c>
      <c r="AH90" s="11" t="n">
        <f aca="false">AH83+AH84-AH85-AH86-AH87-AH88-AH89</f>
        <v>15.9470222275195</v>
      </c>
      <c r="AI90" s="11" t="n">
        <f aca="false">AI83+AI84-AI85-AI86-AI87-AI88-AI89</f>
        <v>16.2810790851929</v>
      </c>
      <c r="AJ90" s="11" t="n">
        <f aca="false">AJ83+AJ84-AJ85-AJ86-AJ87-AJ88-AJ89</f>
        <v>16.0833728667121</v>
      </c>
      <c r="AK90" s="11" t="n">
        <f aca="false">AK83+AK84-AK85-AK86-AK87-AK88-AK89</f>
        <v>16.2707691016554</v>
      </c>
      <c r="AL90" s="11" t="n">
        <f aca="false">AL83+AL84-AL85-AL86-AL87-AL88-AL89</f>
        <v>15.7452941815039</v>
      </c>
      <c r="AM90" s="11" t="n">
        <f aca="false">AM83+AM84-AM85-AM86-AM87-AM88-AM89</f>
        <v>16.2765425555811</v>
      </c>
      <c r="AN90" s="11" t="n">
        <f aca="false">AN83+AN84-AN85-AN86-AN87-AN88-AN89</f>
        <v>16.3276721575849</v>
      </c>
      <c r="AO90" s="11" t="n">
        <f aca="false">AO83+AO84-AO85-AO86-AO87-AO88-AO89</f>
        <v>16.6532717738715</v>
      </c>
      <c r="AP90" s="11" t="n">
        <f aca="false">AP83+AP84-AP85-AP86-AP87-AP88-AP89</f>
        <v>16.4354672716989</v>
      </c>
      <c r="AQ90" s="11" t="n">
        <f aca="false">AQ83+AQ84-AQ85-AQ86-AQ87-AQ88-AQ89</f>
        <v>16.7823163122861</v>
      </c>
      <c r="AR90" s="11" t="n">
        <f aca="false">AR83+AR84-AR85-AR86-AR87-AR88-AR89</f>
        <v>16.5817435694179</v>
      </c>
      <c r="AS90" s="11" t="n">
        <f aca="false">AS83+AS84-AS85-AS86-AS87-AS88-AS89</f>
        <v>16.6606350551811</v>
      </c>
      <c r="AT90" s="11" t="n">
        <f aca="false">AT83+AT84-AT85-AT86-AT87-AT88-AT89</f>
        <v>15.8412933121243</v>
      </c>
      <c r="AU90" s="11" t="n">
        <f aca="false">AU83+AU84-AU85-AU86-AU87-AU88-AU89</f>
        <v>16.5196824179798</v>
      </c>
      <c r="AV90" s="11" t="n">
        <f aca="false">AV83+AV84-AV85-AV86-AV87-AV88-AV89</f>
        <v>16.8459859224216</v>
      </c>
      <c r="AW90" s="11" t="n">
        <f aca="false">AW83+AW84-AW85-AW86-AW87-AW88-AW89</f>
        <v>17.1847723545356</v>
      </c>
      <c r="AX90" s="11" t="n">
        <f aca="false">AX83+AX84-AX85-AX86-AX87-AX88-AX89</f>
        <v>16.9638096831099</v>
      </c>
      <c r="AY90" s="11" t="n">
        <f aca="false">AY83+AY84-AY85-AY86-AY87-AY88-AY89</f>
        <v>17.3244966261582</v>
      </c>
      <c r="AZ90" s="11" t="n">
        <f aca="false">AZ83+AZ84-AZ85-AZ86-AZ87-AZ88-AZ89</f>
        <v>17.1208145945415</v>
      </c>
      <c r="BA90" s="11" t="n">
        <f aca="false">BA83+BA84-BA85-BA86-BA87-BA88-BA89</f>
        <v>17.3267446820361</v>
      </c>
      <c r="BB90" s="11" t="n">
        <f aca="false">BB83+BB84-BB85-BB86-BB87-BB88-BB89</f>
        <v>16.7690354293428</v>
      </c>
      <c r="BC90" s="11" t="n">
        <f aca="false">BC83+BC84-BC85-BC86-BC87-BC88-BC89</f>
        <v>17.3439112194821</v>
      </c>
      <c r="BD90" s="11" t="n">
        <f aca="false">BD83+BD84-BD85-BD86-BD87-BD88-BD89</f>
        <v>17.406662218608</v>
      </c>
      <c r="BE90" s="11" t="n">
        <f aca="false">BE83+BE84-BE85-BE86-BE87-BE88-BE89</f>
        <v>17.7597290764874</v>
      </c>
      <c r="BF90" s="11" t="n">
        <f aca="false">BF83+BF84-BF85-BF86-BF87-BF88-BF89</f>
        <v>17.5353766817838</v>
      </c>
      <c r="BG90" s="11" t="n">
        <f aca="false">BG83+BG84-BG85-BG86-BG87-BG88-BG89</f>
        <v>17.9110345227525</v>
      </c>
      <c r="BH90" s="11" t="n">
        <f aca="false">BH83+BH84-BH85-BH86-BH87-BH88-BH89</f>
        <v>17.7039794091664</v>
      </c>
      <c r="BI90" s="11" t="n">
        <f aca="false">BI83+BI84-BI85-BI86-BI87-BI88-BI89</f>
        <v>17.7946239736269</v>
      </c>
      <c r="BJ90" s="11" t="n">
        <f aca="false">BJ83+BJ84-BJ85-BJ86-BJ87-BJ88-BJ89</f>
        <v>16.9148785773835</v>
      </c>
      <c r="BK90" s="11" t="n">
        <f aca="false">BK83+BK84-BK85-BK86-BK87-BK88-BK89</f>
        <v>17.6512038778139</v>
      </c>
      <c r="BL90" s="11" t="n">
        <f aca="false">BL83+BL84-BL85-BL86-BL87-BL88-BL89</f>
        <v>18.0132355202641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15.0309203029298</v>
      </c>
      <c r="P91" s="11" t="n">
        <f aca="false">P90-O90</f>
        <v>-0.0353437448288112</v>
      </c>
      <c r="Q91" s="11" t="n">
        <f aca="false">Q90-P90</f>
        <v>0.291782117820111</v>
      </c>
      <c r="R91" s="11" t="n">
        <f aca="false">R90-Q90</f>
        <v>-0.209563757603965</v>
      </c>
      <c r="S91" s="11" t="n">
        <f aca="false">S90-R90</f>
        <v>0.311294152189305</v>
      </c>
      <c r="T91" s="11" t="n">
        <f aca="false">T90-S90</f>
        <v>-0.192625732676673</v>
      </c>
      <c r="U91" s="11" t="n">
        <f aca="false">U90-T90</f>
        <v>0.171610634272831</v>
      </c>
      <c r="V91" s="11" t="n">
        <f aca="false">V90-U90</f>
        <v>-0.498113873955845</v>
      </c>
      <c r="W91" s="11" t="n">
        <f aca="false">W90-V90</f>
        <v>0.494121487591972</v>
      </c>
      <c r="X91" s="11" t="n">
        <f aca="false">X90-W90</f>
        <v>0.0412724454389863</v>
      </c>
      <c r="Y91" s="11" t="n">
        <f aca="false">Y90-X90</f>
        <v>0.30217281242037</v>
      </c>
      <c r="Z91" s="11" t="n">
        <f aca="false">Z90-Y90</f>
        <v>-0.212119485846758</v>
      </c>
      <c r="AA91" s="11" t="n">
        <f aca="false">AA90-Z90</f>
        <v>0.322229947788335</v>
      </c>
      <c r="AB91" s="11" t="n">
        <f aca="false">AB90-AA90</f>
        <v>-0.19506313471218</v>
      </c>
      <c r="AC91" s="11" t="n">
        <f aca="false">AC90-AB90</f>
        <v>0.0688562693649608</v>
      </c>
      <c r="AD91" s="11" t="n">
        <f aca="false">AD90-AC90</f>
        <v>-0.768161980293163</v>
      </c>
      <c r="AE91" s="11" t="n">
        <f aca="false">AE90-AD90</f>
        <v>0.629146207509884</v>
      </c>
      <c r="AF91" s="11" t="n">
        <f aca="false">AF90-AE90</f>
        <v>0.296048098224633</v>
      </c>
      <c r="AG91" s="11" t="n">
        <f aca="false">AG90-AF90</f>
        <v>0.313421226567128</v>
      </c>
      <c r="AH91" s="11" t="n">
        <f aca="false">AH90-AG90</f>
        <v>-0.21486176468138</v>
      </c>
      <c r="AI91" s="11" t="n">
        <f aca="false">AI90-AH90</f>
        <v>0.334056857673378</v>
      </c>
      <c r="AJ91" s="11" t="n">
        <f aca="false">AJ90-AI90</f>
        <v>-0.197706218480807</v>
      </c>
      <c r="AK91" s="11" t="n">
        <f aca="false">AK90-AJ90</f>
        <v>0.187396234943293</v>
      </c>
      <c r="AL91" s="11" t="n">
        <f aca="false">AL90-AK90</f>
        <v>-0.525474920151487</v>
      </c>
      <c r="AM91" s="11" t="n">
        <f aca="false">AM90-AL90</f>
        <v>0.531248374077231</v>
      </c>
      <c r="AN91" s="11" t="n">
        <f aca="false">AN90-AM90</f>
        <v>0.0511296020037833</v>
      </c>
      <c r="AO91" s="11" t="n">
        <f aca="false">AO90-AN90</f>
        <v>0.32559961628662</v>
      </c>
      <c r="AP91" s="11" t="n">
        <f aca="false">AP90-AO90</f>
        <v>-0.217804502172619</v>
      </c>
      <c r="AQ91" s="11" t="n">
        <f aca="false">AQ90-AP90</f>
        <v>0.346849040587152</v>
      </c>
      <c r="AR91" s="11" t="n">
        <f aca="false">AR90-AQ90</f>
        <v>-0.200572742868168</v>
      </c>
      <c r="AS91" s="11" t="n">
        <f aca="false">AS90-AR90</f>
        <v>0.0788914857632435</v>
      </c>
      <c r="AT91" s="11" t="n">
        <f aca="false">AT90-AS90</f>
        <v>-0.819341743056882</v>
      </c>
      <c r="AU91" s="11" t="n">
        <f aca="false">AU90-AT90</f>
        <v>0.678389105855576</v>
      </c>
      <c r="AV91" s="11" t="n">
        <f aca="false">AV90-AU90</f>
        <v>0.326303504441725</v>
      </c>
      <c r="AW91" s="11" t="n">
        <f aca="false">AW90-AV90</f>
        <v>0.338786432114016</v>
      </c>
      <c r="AX91" s="11" t="n">
        <f aca="false">AX90-AW90</f>
        <v>-0.220962671425688</v>
      </c>
      <c r="AY91" s="11" t="n">
        <f aca="false">AY90-AX90</f>
        <v>0.360686943048318</v>
      </c>
      <c r="AZ91" s="11" t="n">
        <f aca="false">AZ90-AY90</f>
        <v>-0.20368203161669</v>
      </c>
      <c r="BA91" s="11" t="n">
        <f aca="false">BA90-AZ90</f>
        <v>0.205930087494625</v>
      </c>
      <c r="BB91" s="11" t="n">
        <f aca="false">BB90-BA90</f>
        <v>-0.557709252693396</v>
      </c>
      <c r="BC91" s="11" t="n">
        <f aca="false">BC90-BB90</f>
        <v>0.574875790139355</v>
      </c>
      <c r="BD91" s="11" t="n">
        <f aca="false">BD90-BC90</f>
        <v>0.0627509991258641</v>
      </c>
      <c r="BE91" s="11" t="n">
        <f aca="false">BE90-BD90</f>
        <v>0.353066857879409</v>
      </c>
      <c r="BF91" s="11" t="n">
        <f aca="false">BF90-BE90</f>
        <v>-0.224352394703626</v>
      </c>
      <c r="BG91" s="11" t="n">
        <f aca="false">BG90-BF90</f>
        <v>0.375657840968696</v>
      </c>
      <c r="BH91" s="11" t="n">
        <f aca="false">BH90-BG90</f>
        <v>-0.207055113586016</v>
      </c>
      <c r="BI91" s="11" t="n">
        <f aca="false">BI90-BH90</f>
        <v>0.0906445644605007</v>
      </c>
      <c r="BJ91" s="11" t="n">
        <f aca="false">BJ90-BI90</f>
        <v>-0.879745396243443</v>
      </c>
      <c r="BK91" s="11" t="n">
        <f aca="false">BK90-BJ90</f>
        <v>0.73632530043043</v>
      </c>
      <c r="BL91" s="11" t="n">
        <f aca="false">BL90-BK90</f>
        <v>0.362031642450219</v>
      </c>
      <c r="BM91" s="11" t="n">
        <f aca="false">BM90-BL90</f>
        <v>-18.0132355202641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7.53017897112553</v>
      </c>
      <c r="P11" s="11" t="n">
        <f aca="false">(Inputs!$F$174*Funding!$F$76/Inputs!$F$175+Inputs!$F$176*Funding!$F$76/Inputs!$F$177)*P7+Inputs!$F$178*Funding!$F$76/Inputs!$F$179*MAX(0,MIN(Time!P28,60)-MIN(Time!P27,60))</f>
        <v>22.5905369133766</v>
      </c>
      <c r="Q11" s="11" t="n">
        <f aca="false">(Inputs!$F$174*Funding!$F$76/Inputs!$F$175+Inputs!$F$176*Funding!$F$76/Inputs!$F$177)*Q7+Inputs!$F$178*Funding!$F$76/Inputs!$F$179*MAX(0,MIN(Time!Q28,60)-MIN(Time!Q27,60))</f>
        <v>22.5905369133766</v>
      </c>
      <c r="R11" s="11" t="n">
        <f aca="false">(Inputs!$F$174*Funding!$F$76/Inputs!$F$175+Inputs!$F$176*Funding!$F$76/Inputs!$F$177)*R7+Inputs!$F$178*Funding!$F$76/Inputs!$F$179*MAX(0,MIN(Time!R28,60)-MIN(Time!R27,60))</f>
        <v>22.5905369133766</v>
      </c>
      <c r="S11" s="11" t="n">
        <f aca="false">(Inputs!$F$174*Funding!$F$76/Inputs!$F$175+Inputs!$F$176*Funding!$F$76/Inputs!$F$177)*S7+Inputs!$F$178*Funding!$F$76/Inputs!$F$179*MAX(0,MIN(Time!S28,60)-MIN(Time!S27,60))</f>
        <v>22.5905369133766</v>
      </c>
      <c r="T11" s="11" t="n">
        <f aca="false">(Inputs!$F$174*Funding!$F$76/Inputs!$F$175+Inputs!$F$176*Funding!$F$76/Inputs!$F$177)*T7+Inputs!$F$178*Funding!$F$76/Inputs!$F$179*MAX(0,MIN(Time!T28,60)-MIN(Time!T27,60))</f>
        <v>22.5905369133766</v>
      </c>
      <c r="U11" s="11" t="n">
        <f aca="false">(Inputs!$F$174*Funding!$F$76/Inputs!$F$175+Inputs!$F$176*Funding!$F$76/Inputs!$F$177)*U7+Inputs!$F$178*Funding!$F$76/Inputs!$F$179*MAX(0,MIN(Time!U28,60)-MIN(Time!U27,60))</f>
        <v>22.5905369133766</v>
      </c>
      <c r="V11" s="11" t="n">
        <f aca="false">(Inputs!$F$174*Funding!$F$76/Inputs!$F$175+Inputs!$F$176*Funding!$F$76/Inputs!$F$177)*V7+Inputs!$F$178*Funding!$F$76/Inputs!$F$179*MAX(0,MIN(Time!V28,60)-MIN(Time!V27,60))</f>
        <v>22.5905369133766</v>
      </c>
      <c r="W11" s="11" t="n">
        <f aca="false">(Inputs!$F$174*Funding!$F$76/Inputs!$F$175+Inputs!$F$176*Funding!$F$76/Inputs!$F$177)*W7+Inputs!$F$178*Funding!$F$76/Inputs!$F$179*MAX(0,MIN(Time!W28,60)-MIN(Time!W27,60))</f>
        <v>22.5905369133766</v>
      </c>
      <c r="X11" s="11" t="n">
        <f aca="false">(Inputs!$F$174*Funding!$F$76/Inputs!$F$175+Inputs!$F$176*Funding!$F$76/Inputs!$F$177)*X7+Inputs!$F$178*Funding!$F$76/Inputs!$F$179*MAX(0,MIN(Time!X28,60)-MIN(Time!X27,60))</f>
        <v>22.5905369133766</v>
      </c>
      <c r="Y11" s="11" t="n">
        <f aca="false">(Inputs!$F$174*Funding!$F$76/Inputs!$F$175+Inputs!$F$176*Funding!$F$76/Inputs!$F$177)*Y7+Inputs!$F$178*Funding!$F$76/Inputs!$F$179*MAX(0,MIN(Time!Y28,60)-MIN(Time!Y27,60))</f>
        <v>15.0603579422511</v>
      </c>
      <c r="Z11" s="11" t="n">
        <f aca="false">(Inputs!$F$174*Funding!$F$76/Inputs!$F$175+Inputs!$F$176*Funding!$F$76/Inputs!$F$177)*Z7+Inputs!$F$178*Funding!$F$76/Inputs!$F$179*MAX(0,MIN(Time!Z28,60)-MIN(Time!Z27,60))</f>
        <v>0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190.045944348257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9.39013153589836</v>
      </c>
      <c r="R13" s="11" t="n">
        <f aca="false">IF(Time!R17&gt;=Time!$F$11,Waterfall!R33*Inputs!$F$102/100*Time!R26/365,0)</f>
        <v>9.38163414273479</v>
      </c>
      <c r="S13" s="11" t="n">
        <f aca="false">IF(Time!S17&gt;=Time!$F$11,Waterfall!S33*Inputs!$F$102/100*Time!S26/365,0)</f>
        <v>9.02549909170097</v>
      </c>
      <c r="T13" s="11" t="n">
        <f aca="false">IF(Time!T17&gt;=Time!$F$11,Waterfall!T33*Inputs!$F$102/100*Time!T26/365,0)</f>
        <v>8.98858095099052</v>
      </c>
      <c r="U13" s="11" t="n">
        <f aca="false">IF(Time!U17&gt;=Time!$F$11,Waterfall!U33*Inputs!$F$102/100*Time!U26/365,0)</f>
        <v>8.66843258428282</v>
      </c>
      <c r="V13" s="11" t="n">
        <f aca="false">IF(Time!V17&gt;=Time!$F$11,Waterfall!V33*Inputs!$F$102/100*Time!V26/365,0)</f>
        <v>8.57581488905131</v>
      </c>
      <c r="W13" s="11" t="n">
        <f aca="false">IF(Time!W17&gt;=Time!$F$11,Waterfall!W33*Inputs!$F$102/100*Time!W26/365,0)</f>
        <v>8.24869499058845</v>
      </c>
      <c r="X13" s="11" t="n">
        <f aca="false">IF(Time!X17&gt;=Time!$F$11,Waterfall!X33*Inputs!$F$102/100*Time!X26/365,0)</f>
        <v>8.13089468883992</v>
      </c>
      <c r="Y13" s="11" t="n">
        <f aca="false">IF(Time!Y17&gt;=Time!$F$11,Waterfall!Y33*Inputs!$F$102/100*Time!Y26/365,0)</f>
        <v>7.75232147812321</v>
      </c>
      <c r="Z13" s="11" t="n">
        <f aca="false">IF(Time!Z17&gt;=Time!$F$11,Waterfall!Z33*Inputs!$F$102/100*Time!Z26/365,0)</f>
        <v>7.63868587509295</v>
      </c>
      <c r="AA13" s="11" t="n">
        <f aca="false">IF(Time!AA17&gt;=Time!$F$11,Waterfall!AA33*Inputs!$F$102/100*Time!AA26/365,0)</f>
        <v>7.23962922345597</v>
      </c>
      <c r="AB13" s="11" t="n">
        <f aca="false">IF(Time!AB17&gt;=Time!$F$11,Waterfall!AB33*Inputs!$F$102/100*Time!AB26/365,0)</f>
        <v>7.40289174977131</v>
      </c>
      <c r="AC13" s="11" t="n">
        <f aca="false">IF(Time!AC17&gt;=Time!$F$11,Waterfall!AC33*Inputs!$F$102/100*Time!AC26/365,0)</f>
        <v>7.32393515423634</v>
      </c>
      <c r="AD13" s="11" t="n">
        <f aca="false">IF(Time!AD17&gt;=Time!$F$11,Waterfall!AD33*Inputs!$F$102/100*Time!AD26/365,0)</f>
        <v>7.42842957331098</v>
      </c>
      <c r="AE13" s="11" t="n">
        <f aca="false">IF(Time!AE17&gt;=Time!$F$11,Waterfall!AE33*Inputs!$F$102/100*Time!AE26/365,0)</f>
        <v>7.31039018841831</v>
      </c>
      <c r="AF13" s="11" t="n">
        <f aca="false">IF(Time!AF17&gt;=Time!$F$11,Waterfall!AF33*Inputs!$F$102/100*Time!AF26/365,0)</f>
        <v>7.40616284287115</v>
      </c>
      <c r="AG13" s="11" t="n">
        <f aca="false">IF(Time!AG17&gt;=Time!$F$11,Waterfall!AG33*Inputs!$F$102/100*Time!AG26/365,0)</f>
        <v>7.18818931589191</v>
      </c>
      <c r="AH13" s="11" t="n">
        <f aca="false">IF(Time!AH17&gt;=Time!$F$11,Waterfall!AH33*Inputs!$F$102/100*Time!AH26/365,0)</f>
        <v>7.16390912789056</v>
      </c>
      <c r="AI13" s="11" t="n">
        <f aca="false">IF(Time!AI17&gt;=Time!$F$11,Waterfall!AI33*Inputs!$F$102/100*Time!AI26/365,0)</f>
        <v>6.83963839395241</v>
      </c>
      <c r="AJ13" s="11" t="n">
        <f aca="false">IF(Time!AJ17&gt;=Time!$F$11,Waterfall!AJ33*Inputs!$F$102/100*Time!AJ26/365,0)</f>
        <v>6.68339458388598</v>
      </c>
      <c r="AK13" s="11" t="n">
        <f aca="false">IF(Time!AK17&gt;=Time!$F$11,Waterfall!AK33*Inputs!$F$102/100*Time!AK26/365,0)</f>
        <v>6.24621231484122</v>
      </c>
      <c r="AL13" s="11" t="n">
        <f aca="false">IF(Time!AL17&gt;=Time!$F$11,Waterfall!AL33*Inputs!$F$102/100*Time!AL26/365,0)</f>
        <v>5.06885736799551</v>
      </c>
      <c r="AM13" s="11" t="n">
        <f aca="false">IF(Time!AM17&gt;=Time!$F$11,Waterfall!AM33*Inputs!$F$102/100*Time!AM26/365,0)</f>
        <v>3.87904546555495</v>
      </c>
      <c r="AN13" s="11" t="n">
        <f aca="false">IF(Time!AN17&gt;=Time!$F$11,Waterfall!AN33*Inputs!$F$102/100*Time!AN26/365,0)</f>
        <v>2.5527507588016</v>
      </c>
      <c r="AO13" s="11" t="n">
        <f aca="false">IF(Time!AO17&gt;=Time!$F$11,Waterfall!AO33*Inputs!$F$102/100*Time!AO26/365,0)</f>
        <v>1.49922750405991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0.794244804442734</v>
      </c>
      <c r="Q14" s="6" t="n">
        <f aca="false">IF(Waterfall!Q33&gt;0,MIN(1,Inputs!$F$180*(Waterfall!$F$32+MAX(0,Waterfall!P43))/Waterfall!Q33),1)</f>
        <v>0.931578838160624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186.296318769136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7.79225413876216</v>
      </c>
      <c r="Q15" s="11" t="n">
        <f aca="false">Q13*Q14</f>
        <v>8.74764782638762</v>
      </c>
      <c r="R15" s="11" t="n">
        <f aca="false">R13*R14</f>
        <v>9.38163414273479</v>
      </c>
      <c r="S15" s="11" t="n">
        <f aca="false">S13*S14</f>
        <v>9.02549909170097</v>
      </c>
      <c r="T15" s="11" t="n">
        <f aca="false">T13*T14</f>
        <v>8.98858095099052</v>
      </c>
      <c r="U15" s="11" t="n">
        <f aca="false">U13*U14</f>
        <v>8.66843258428282</v>
      </c>
      <c r="V15" s="11" t="n">
        <f aca="false">V13*V14</f>
        <v>8.57581488905131</v>
      </c>
      <c r="W15" s="11" t="n">
        <f aca="false">W13*W14</f>
        <v>8.24869499058845</v>
      </c>
      <c r="X15" s="11" t="n">
        <f aca="false">X13*X14</f>
        <v>8.13089468883992</v>
      </c>
      <c r="Y15" s="11" t="n">
        <f aca="false">Y13*Y14</f>
        <v>7.75232147812321</v>
      </c>
      <c r="Z15" s="11" t="n">
        <f aca="false">Z13*Z14</f>
        <v>7.63868587509295</v>
      </c>
      <c r="AA15" s="11" t="n">
        <f aca="false">AA13*AA14</f>
        <v>7.23962922345597</v>
      </c>
      <c r="AB15" s="11" t="n">
        <f aca="false">AB13*AB14</f>
        <v>7.40289174977131</v>
      </c>
      <c r="AC15" s="11" t="n">
        <f aca="false">AC13*AC14</f>
        <v>7.32393515423634</v>
      </c>
      <c r="AD15" s="11" t="n">
        <f aca="false">AD13*AD14</f>
        <v>7.42842957331098</v>
      </c>
      <c r="AE15" s="11" t="n">
        <f aca="false">AE13*AE14</f>
        <v>7.31039018841831</v>
      </c>
      <c r="AF15" s="11" t="n">
        <f aca="false">AF13*AF14</f>
        <v>7.40616284287115</v>
      </c>
      <c r="AG15" s="11" t="n">
        <f aca="false">AG13*AG14</f>
        <v>7.18818931589191</v>
      </c>
      <c r="AH15" s="11" t="n">
        <f aca="false">AH13*AH14</f>
        <v>7.16390912789056</v>
      </c>
      <c r="AI15" s="11" t="n">
        <f aca="false">AI13*AI14</f>
        <v>6.83963839395241</v>
      </c>
      <c r="AJ15" s="11" t="n">
        <f aca="false">AJ13*AJ14</f>
        <v>6.68339458388598</v>
      </c>
      <c r="AK15" s="11" t="n">
        <f aca="false">AK13*AK14</f>
        <v>6.24621231484122</v>
      </c>
      <c r="AL15" s="11" t="n">
        <f aca="false">AL13*AL14</f>
        <v>5.06885736799551</v>
      </c>
      <c r="AM15" s="11" t="n">
        <f aca="false">AM13*AM14</f>
        <v>3.87904546555495</v>
      </c>
      <c r="AN15" s="11" t="n">
        <f aca="false">AN13*AN14</f>
        <v>2.5527507588016</v>
      </c>
      <c r="AO15" s="11" t="n">
        <f aca="false">AO13*AO14</f>
        <v>1.49922750405991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313.099712545292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14.1184846455576</v>
      </c>
      <c r="AC16" s="11" t="n">
        <f aca="false">Debt!AC119+Debt!AC117+Debt!AC111-Debt!AC110</f>
        <v>12.8815311140874</v>
      </c>
      <c r="AD16" s="11" t="n">
        <f aca="false">Debt!AD119+Debt!AD117+Debt!AD111-Debt!AD110</f>
        <v>11.8510524642265</v>
      </c>
      <c r="AE16" s="11" t="n">
        <f aca="false">Debt!AE119+Debt!AE117+Debt!AE111-Debt!AE110</f>
        <v>10.5442567197199</v>
      </c>
      <c r="AF16" s="11" t="n">
        <f aca="false">Debt!AF119+Debt!AF117+Debt!AF111-Debt!AF110</f>
        <v>9.42516179924128</v>
      </c>
      <c r="AG16" s="11" t="n">
        <f aca="false">Debt!AG119+Debt!AG117+Debt!AG111-Debt!AG110</f>
        <v>8.23601436787504</v>
      </c>
      <c r="AH16" s="11" t="n">
        <f aca="false">Debt!AH119+Debt!AH117+Debt!AH111-Debt!AH110</f>
        <v>6.96111597064102</v>
      </c>
      <c r="AI16" s="11" t="n">
        <f aca="false">Debt!AI119+Debt!AI117+Debt!AI111-Debt!AI110</f>
        <v>5.50510615984538</v>
      </c>
      <c r="AJ16" s="11" t="n">
        <f aca="false">Debt!AJ119+Debt!AJ117+Debt!AJ111-Debt!AJ110</f>
        <v>4.15473420002294</v>
      </c>
      <c r="AK16" s="11" t="n">
        <f aca="false">Debt!AK119+Debt!AK117+Debt!AK111-Debt!AK110</f>
        <v>2.71867832528688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1259.90117687685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2.59039928348911</v>
      </c>
      <c r="Z18" s="11" t="n">
        <f aca="false">(Operations!Z79-Z16-Z15)*Z17-Z12</f>
        <v>8.49910403086616</v>
      </c>
      <c r="AA18" s="11" t="n">
        <f aca="false">(Operations!AA79-AA16-AA15)*AA17-AA12</f>
        <v>9.97957004907993</v>
      </c>
      <c r="AB18" s="11" t="n">
        <f aca="false">(Operations!AB79-AB16-AB15)*AB17-AB12</f>
        <v>10.812434528161</v>
      </c>
      <c r="AC18" s="11" t="n">
        <f aca="false">(Operations!AC79-AC16-AC15)*AC17-AC12</f>
        <v>11.7189497822644</v>
      </c>
      <c r="AD18" s="11" t="n">
        <f aca="false">(Operations!AD79-AD16-AD15)*AD17-AD12</f>
        <v>-1.67489583162794</v>
      </c>
      <c r="AE18" s="11" t="n">
        <f aca="false">(Operations!AE79-AE16-AE15)*AE17-AE12</f>
        <v>13.013428594229</v>
      </c>
      <c r="AF18" s="11" t="n">
        <f aca="false">(Operations!AF79-AF16-AF15)*AF17-AF12</f>
        <v>15.9989160321471</v>
      </c>
      <c r="AG18" s="11" t="n">
        <f aca="false">(Operations!AG79-AG16-AG15)*AG17-AG12</f>
        <v>17.5518237400369</v>
      </c>
      <c r="AH18" s="11" t="n">
        <f aca="false">(Operations!AH79-AH16-AH15)*AH17-AH12</f>
        <v>18.9455005653373</v>
      </c>
      <c r="AI18" s="11" t="n">
        <f aca="false">(Operations!AI79-AI16-AI15)*AI17-AI12</f>
        <v>20.9088590667213</v>
      </c>
      <c r="AJ18" s="11" t="n">
        <f aca="false">(Operations!AJ79-AJ16-AJ15)*AJ17-AJ12</f>
        <v>22.5087418040509</v>
      </c>
      <c r="AK18" s="11" t="n">
        <f aca="false">(Operations!AK79-AK16-AK15)*AK17-AK12</f>
        <v>24.3901585593006</v>
      </c>
      <c r="AL18" s="11" t="n">
        <f aca="false">(Operations!AL79-AL16-AL15)*AL17-AL12</f>
        <v>21.6716585020917</v>
      </c>
      <c r="AM18" s="11" t="n">
        <f aca="false">(Operations!AM79-AM16-AM15)*AM17-AM12</f>
        <v>27.4096337994791</v>
      </c>
      <c r="AN18" s="11" t="n">
        <f aca="false">(Operations!AN79-AN16-AN15)*AN17-AN12</f>
        <v>30.3396890535458</v>
      </c>
      <c r="AO18" s="11" t="n">
        <f aca="false">(Operations!AO79-AO16-AO15)*AO17-AO12</f>
        <v>32.045742653554</v>
      </c>
      <c r="AP18" s="11" t="n">
        <f aca="false">(Operations!AP79-AP16-AP15)*AP17-AP12</f>
        <v>34.1499005461107</v>
      </c>
      <c r="AQ18" s="11" t="n">
        <f aca="false">(Operations!AQ79-AQ16-AQ15)*AQ17-AQ12</f>
        <v>34.3434069971683</v>
      </c>
      <c r="AR18" s="11" t="n">
        <f aca="false">(Operations!AR79-AR16-AR15)*AR17-AR12</f>
        <v>34.4440961032243</v>
      </c>
      <c r="AS18" s="11" t="n">
        <f aca="false">(Operations!AS79-AS16-AS15)*AS17-AS12</f>
        <v>34.0344871691713</v>
      </c>
      <c r="AT18" s="11" t="n">
        <f aca="false">(Operations!AT79-AT16-AT15)*AT17-AT12</f>
        <v>17.2899134824326</v>
      </c>
      <c r="AU18" s="11" t="n">
        <f aca="false">(Operations!AU79-AU16-AU15)*AU17-AU12</f>
        <v>32.922627222883</v>
      </c>
      <c r="AV18" s="11" t="n">
        <f aca="false">(Operations!AV79-AV16-AV15)*AV17-AV12</f>
        <v>35.026462597572</v>
      </c>
      <c r="AW18" s="11" t="n">
        <f aca="false">(Operations!AW79-AW16-AW15)*AW17-AW12</f>
        <v>35.1970502629322</v>
      </c>
      <c r="AX18" s="11" t="n">
        <f aca="false">(Operations!AX79-AX16-AX15)*AX17-AX12</f>
        <v>35.3191332491921</v>
      </c>
      <c r="AY18" s="11" t="n">
        <f aca="false">(Operations!AY79-AY16-AY15)*AY17-AY12</f>
        <v>35.5238715205759</v>
      </c>
      <c r="AZ18" s="11" t="n">
        <f aca="false">(Operations!AZ79-AZ16-AZ15)*AZ17-AZ12</f>
        <v>35.6325740311754</v>
      </c>
      <c r="BA18" s="11" t="n">
        <f aca="false">(Operations!BA79-BA16-BA15)*BA17-BA12</f>
        <v>35.6642288114941</v>
      </c>
      <c r="BB18" s="11" t="n">
        <f aca="false">(Operations!BB79-BB16-BB15)*BB17-BB12</f>
        <v>30.5662200811794</v>
      </c>
      <c r="BC18" s="11" t="n">
        <f aca="false">(Operations!BC79-BC16-BC15)*BC17-BC12</f>
        <v>41.5909101034617</v>
      </c>
      <c r="BD18" s="11" t="n">
        <f aca="false">(Operations!BD79-BD16-BD15)*BD17-BD12</f>
        <v>55.5072016885391</v>
      </c>
      <c r="BE18" s="11" t="n">
        <f aca="false">(Operations!BE79-BE16-BE15)*BE17-BE12</f>
        <v>55.6917654717069</v>
      </c>
      <c r="BF18" s="11" t="n">
        <f aca="false">(Operations!BF79-BF16-BF15)*BF17-BF12</f>
        <v>55.8295945793846</v>
      </c>
      <c r="BG18" s="11" t="n">
        <f aca="false">(Operations!BG79-BG16-BG15)*BG17-BG12</f>
        <v>56.0464314757316</v>
      </c>
      <c r="BH18" s="11" t="n">
        <f aca="false">(Operations!BH79-BH16-BH15)*BH17-BH12</f>
        <v>56.1637857152666</v>
      </c>
      <c r="BI18" s="11" t="n">
        <f aca="false">(Operations!BI79-BI16-BI15)*BI17-BI12</f>
        <v>55.7540977997378</v>
      </c>
      <c r="BJ18" s="11" t="n">
        <f aca="false">(Operations!BJ79-BJ16-BJ15)*BJ17-BJ12</f>
        <v>36.1249228165309</v>
      </c>
      <c r="BK18" s="11" t="n">
        <f aca="false">(Operations!BK79-BK16-BK15)*BK17-BK12</f>
        <v>54.5762340953782</v>
      </c>
      <c r="BL18" s="11" t="n">
        <f aca="false">(Operations!BL79-BL16-BL15)*BL17-BL12</f>
        <v>56.8471810718508</v>
      </c>
      <c r="BM18" s="11" t="n">
        <f aca="false">(Operations!BM79-BM16-BM15)*BM17-BM12</f>
        <v>18.9453657714235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1.67489583162794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1.67489583162794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2.59039928348911</v>
      </c>
      <c r="Z20" s="11" t="n">
        <f aca="false">MIN(Y21,MAX(0,Z18-Z19))</f>
        <v>8.49910403086616</v>
      </c>
      <c r="AA20" s="11" t="n">
        <f aca="false">MIN(Z21,MAX(0,AA18-AA19))</f>
        <v>9.97957004907993</v>
      </c>
      <c r="AB20" s="11" t="n">
        <f aca="false">MIN(AA21,MAX(0,AB18-AB19))</f>
        <v>10.812434528161</v>
      </c>
      <c r="AC20" s="11" t="n">
        <f aca="false">MIN(AB21,MAX(0,AC18-AC19))</f>
        <v>11.7189497822644</v>
      </c>
      <c r="AD20" s="11" t="n">
        <f aca="false">MIN(AC21,MAX(0,AD18-AD19))</f>
        <v>0</v>
      </c>
      <c r="AE20" s="11" t="n">
        <f aca="false">MIN(AD21,MAX(0,AE18-AE19))</f>
        <v>11.3385327626011</v>
      </c>
      <c r="AF20" s="11" t="n">
        <f aca="false">MIN(AE21,MAX(0,AF18-AF19))</f>
        <v>15.9989160321471</v>
      </c>
      <c r="AG20" s="11" t="n">
        <f aca="false">MIN(AF21,MAX(0,AG18-AG19))</f>
        <v>17.5518237400369</v>
      </c>
      <c r="AH20" s="11" t="n">
        <f aca="false">MIN(AG21,MAX(0,AH18-AH19))</f>
        <v>18.9455005653373</v>
      </c>
      <c r="AI20" s="11" t="n">
        <f aca="false">MIN(AH21,MAX(0,AI18-AI19))</f>
        <v>20.9088590667213</v>
      </c>
      <c r="AJ20" s="11" t="n">
        <f aca="false">MIN(AI21,MAX(0,AJ18-AJ19))</f>
        <v>22.5087418040509</v>
      </c>
      <c r="AK20" s="11" t="n">
        <f aca="false">MIN(AJ21,MAX(0,AK18-AK19))</f>
        <v>24.3901585593006</v>
      </c>
      <c r="AL20" s="11" t="n">
        <f aca="false">MIN(AK21,MAX(0,AL18-AL19))</f>
        <v>21.6716585020917</v>
      </c>
      <c r="AM20" s="11" t="n">
        <f aca="false">MIN(AL21,MAX(0,AM18-AM19))</f>
        <v>27.4096337994791</v>
      </c>
      <c r="AN20" s="11" t="n">
        <f aca="false">MIN(AM21,MAX(0,AN18-AN19))</f>
        <v>1.58108662813919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223.314969850277</v>
      </c>
      <c r="Z21" s="11" t="n">
        <f aca="false">Y21+Z11-Z20</f>
        <v>214.815865819411</v>
      </c>
      <c r="AA21" s="11" t="n">
        <f aca="false">Z21+AA11-AA20</f>
        <v>204.836295770331</v>
      </c>
      <c r="AB21" s="11" t="n">
        <f aca="false">AA21+AB11-AB20</f>
        <v>194.02386124217</v>
      </c>
      <c r="AC21" s="11" t="n">
        <f aca="false">AB21+AC11-AC20</f>
        <v>182.304911459905</v>
      </c>
      <c r="AD21" s="11" t="n">
        <f aca="false">AC21+AD11-AD20</f>
        <v>182.304911459905</v>
      </c>
      <c r="AE21" s="11" t="n">
        <f aca="false">AD21+AE11-AE20</f>
        <v>170.966378697304</v>
      </c>
      <c r="AF21" s="11" t="n">
        <f aca="false">AE21+AF11-AF20</f>
        <v>154.967462665157</v>
      </c>
      <c r="AG21" s="11" t="n">
        <f aca="false">AF21+AG11-AG20</f>
        <v>137.41563892512</v>
      </c>
      <c r="AH21" s="11" t="n">
        <f aca="false">AG21+AH11-AH20</f>
        <v>118.470138359783</v>
      </c>
      <c r="AI21" s="11" t="n">
        <f aca="false">AH21+AI11-AI20</f>
        <v>97.5612792930615</v>
      </c>
      <c r="AJ21" s="11" t="n">
        <f aca="false">AI21+AJ11-AJ20</f>
        <v>75.0525374890106</v>
      </c>
      <c r="AK21" s="11" t="n">
        <f aca="false">AJ21+AK11-AK20</f>
        <v>50.66237892971</v>
      </c>
      <c r="AL21" s="11" t="n">
        <f aca="false">AK21+AL11-AL20</f>
        <v>28.9907204276183</v>
      </c>
      <c r="AM21" s="11" t="n">
        <f aca="false">AL21+AM11-AM20</f>
        <v>1.58108662813919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1.67489583162794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1033.99580774308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28.7586024254066</v>
      </c>
      <c r="AO23" s="11" t="n">
        <f aca="false">MAX(0,AO18-AO19-AO20)</f>
        <v>32.045742653554</v>
      </c>
      <c r="AP23" s="11" t="n">
        <f aca="false">MAX(0,AP18-AP19-AP20)</f>
        <v>34.1499005461107</v>
      </c>
      <c r="AQ23" s="11" t="n">
        <f aca="false">MAX(0,AQ18-AQ19-AQ20)</f>
        <v>34.3434069971683</v>
      </c>
      <c r="AR23" s="11" t="n">
        <f aca="false">MAX(0,AR18-AR19-AR20)</f>
        <v>34.4440961032243</v>
      </c>
      <c r="AS23" s="11" t="n">
        <f aca="false">MAX(0,AS18-AS19-AS20)</f>
        <v>34.0344871691713</v>
      </c>
      <c r="AT23" s="11" t="n">
        <f aca="false">MAX(0,AT18-AT19-AT20)</f>
        <v>17.2899134824326</v>
      </c>
      <c r="AU23" s="11" t="n">
        <f aca="false">MAX(0,AU18-AU19-AU20)</f>
        <v>32.922627222883</v>
      </c>
      <c r="AV23" s="11" t="n">
        <f aca="false">MAX(0,AV18-AV19-AV20)</f>
        <v>35.026462597572</v>
      </c>
      <c r="AW23" s="11" t="n">
        <f aca="false">MAX(0,AW18-AW19-AW20)</f>
        <v>35.1970502629322</v>
      </c>
      <c r="AX23" s="11" t="n">
        <f aca="false">MAX(0,AX18-AX19-AX20)</f>
        <v>35.3191332491921</v>
      </c>
      <c r="AY23" s="11" t="n">
        <f aca="false">MAX(0,AY18-AY19-AY20)</f>
        <v>35.5238715205759</v>
      </c>
      <c r="AZ23" s="11" t="n">
        <f aca="false">MAX(0,AZ18-AZ19-AZ20)</f>
        <v>35.6325740311754</v>
      </c>
      <c r="BA23" s="11" t="n">
        <f aca="false">MAX(0,BA18-BA19-BA20)</f>
        <v>35.6642288114941</v>
      </c>
      <c r="BB23" s="11" t="n">
        <f aca="false">MAX(0,BB18-BB19-BB20)</f>
        <v>30.5662200811794</v>
      </c>
      <c r="BC23" s="11" t="n">
        <f aca="false">MAX(0,BC18-BC19-BC20)</f>
        <v>41.5909101034617</v>
      </c>
      <c r="BD23" s="11" t="n">
        <f aca="false">MAX(0,BD18-BD19-BD20)</f>
        <v>55.5072016885391</v>
      </c>
      <c r="BE23" s="11" t="n">
        <f aca="false">MAX(0,BE18-BE19-BE20)</f>
        <v>55.6917654717069</v>
      </c>
      <c r="BF23" s="11" t="n">
        <f aca="false">MAX(0,BF18-BF19-BF20)</f>
        <v>55.8295945793846</v>
      </c>
      <c r="BG23" s="11" t="n">
        <f aca="false">MAX(0,BG18-BG19-BG20)</f>
        <v>56.0464314757316</v>
      </c>
      <c r="BH23" s="11" t="n">
        <f aca="false">MAX(0,BH18-BH19-BH20)</f>
        <v>56.1637857152666</v>
      </c>
      <c r="BI23" s="11" t="n">
        <f aca="false">MAX(0,BI18-BI19-BI20)</f>
        <v>55.7540977997378</v>
      </c>
      <c r="BJ23" s="11" t="n">
        <f aca="false">MAX(0,BJ18-BJ19-BJ20)</f>
        <v>36.1249228165309</v>
      </c>
      <c r="BK23" s="11" t="n">
        <f aca="false">MAX(0,BK18-BK19-BK20)</f>
        <v>54.5762340953782</v>
      </c>
      <c r="BL23" s="11" t="n">
        <f aca="false">MAX(0,BL18-BL19-BL20)</f>
        <v>56.8471810718508</v>
      </c>
      <c r="BM23" s="11" t="n">
        <f aca="false">MAX(0,BM18-BM19-BM20)</f>
        <v>18.9453657714235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310.198742322925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8.62758072762197</v>
      </c>
      <c r="AO25" s="11" t="n">
        <f aca="false">AO23*AO24</f>
        <v>9.6137227960662</v>
      </c>
      <c r="AP25" s="11" t="n">
        <f aca="false">AP23*AP24</f>
        <v>10.2449701638332</v>
      </c>
      <c r="AQ25" s="11" t="n">
        <f aca="false">AQ23*AQ24</f>
        <v>10.3030220991505</v>
      </c>
      <c r="AR25" s="11" t="n">
        <f aca="false">AR23*AR24</f>
        <v>10.3332288309673</v>
      </c>
      <c r="AS25" s="11" t="n">
        <f aca="false">AS23*AS24</f>
        <v>10.2103461507514</v>
      </c>
      <c r="AT25" s="11" t="n">
        <f aca="false">AT23*AT24</f>
        <v>5.18697404472979</v>
      </c>
      <c r="AU25" s="11" t="n">
        <f aca="false">AU23*AU24</f>
        <v>9.8767881668649</v>
      </c>
      <c r="AV25" s="11" t="n">
        <f aca="false">AV23*AV24</f>
        <v>10.5079387792716</v>
      </c>
      <c r="AW25" s="11" t="n">
        <f aca="false">AW23*AW24</f>
        <v>10.5591150788797</v>
      </c>
      <c r="AX25" s="11" t="n">
        <f aca="false">AX23*AX24</f>
        <v>10.5957399747576</v>
      </c>
      <c r="AY25" s="11" t="n">
        <f aca="false">AY23*AY24</f>
        <v>10.6571614561728</v>
      </c>
      <c r="AZ25" s="11" t="n">
        <f aca="false">AZ23*AZ24</f>
        <v>10.6897722093526</v>
      </c>
      <c r="BA25" s="11" t="n">
        <f aca="false">BA23*BA24</f>
        <v>10.6992686434482</v>
      </c>
      <c r="BB25" s="11" t="n">
        <f aca="false">BB23*BB24</f>
        <v>9.16986602435382</v>
      </c>
      <c r="BC25" s="11" t="n">
        <f aca="false">BC23*BC24</f>
        <v>12.4772730310385</v>
      </c>
      <c r="BD25" s="11" t="n">
        <f aca="false">BD23*BD24</f>
        <v>16.6521605065617</v>
      </c>
      <c r="BE25" s="11" t="n">
        <f aca="false">BE23*BE24</f>
        <v>16.7075296415121</v>
      </c>
      <c r="BF25" s="11" t="n">
        <f aca="false">BF23*BF24</f>
        <v>16.7488783738154</v>
      </c>
      <c r="BG25" s="11" t="n">
        <f aca="false">BG23*BG24</f>
        <v>16.8139294427195</v>
      </c>
      <c r="BH25" s="11" t="n">
        <f aca="false">BH23*BH24</f>
        <v>16.84913571458</v>
      </c>
      <c r="BI25" s="11" t="n">
        <f aca="false">BI23*BI24</f>
        <v>16.7262293399213</v>
      </c>
      <c r="BJ25" s="11" t="n">
        <f aca="false">BJ23*BJ24</f>
        <v>10.8374768449593</v>
      </c>
      <c r="BK25" s="11" t="n">
        <f aca="false">BK23*BK24</f>
        <v>16.3728702286135</v>
      </c>
      <c r="BL25" s="11" t="n">
        <f aca="false">BL23*BL24</f>
        <v>17.0541543215552</v>
      </c>
      <c r="BM25" s="11" t="n">
        <f aca="false">BM23*BM24</f>
        <v>5.68360973142705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15.46704299747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0.117600419909946</v>
      </c>
      <c r="Z26" s="11" t="n">
        <f aca="false">IF(Time!Z25&gt;0,Inputs!$F$173/100*Operations!Z50*(Z8+Z9)/Time!Z25,0)</f>
        <v>0.353793142668634</v>
      </c>
      <c r="AA26" s="11" t="n">
        <f aca="false">IF(Time!AA25&gt;0,Inputs!$F$173/100*Operations!AA50*(AA8+AA9)/Time!AA25,0)</f>
        <v>0.355902978806001</v>
      </c>
      <c r="AB26" s="11" t="n">
        <f aca="false">IF(Time!AB25&gt;0,Inputs!$F$173/100*Operations!AB50*(AB8+AB9)/Time!AB25,0)</f>
        <v>0.357822228365636</v>
      </c>
      <c r="AC26" s="11" t="n">
        <f aca="false">IF(Time!AC25&gt;0,Inputs!$F$173/100*Operations!AC50*(AC8+AC9)/Time!AC25,0)</f>
        <v>0.35552421671826</v>
      </c>
      <c r="AD26" s="11" t="n">
        <f aca="false">IF(Time!AD25&gt;0,Inputs!$F$173/100*Operations!AD50*(AD8+AD9)/Time!AD25,0)</f>
        <v>0.343555734814318</v>
      </c>
      <c r="AE26" s="11" t="n">
        <f aca="false">IF(Time!AE25&gt;0,Inputs!$F$173/100*Operations!AE50*(AE8+AE9)/Time!AE25,0)</f>
        <v>0.352018016197102</v>
      </c>
      <c r="AF26" s="11" t="n">
        <f aca="false">IF(Time!AF25&gt;0,Inputs!$F$173/100*Operations!AF50*(AF8+AF9)/Time!AF25,0)</f>
        <v>0.364586945723495</v>
      </c>
      <c r="AG26" s="11" t="n">
        <f aca="false">IF(Time!AG25&gt;0,Inputs!$F$173/100*Operations!AG50*(AG8+AG9)/Time!AG25,0)</f>
        <v>0.366178837705143</v>
      </c>
      <c r="AH26" s="11" t="n">
        <f aca="false">IF(Time!AH25&gt;0,Inputs!$F$173/100*Operations!AH50*(AH8+AH9)/Time!AH25,0)</f>
        <v>0.367280294723665</v>
      </c>
      <c r="AI26" s="11" t="n">
        <f aca="false">IF(Time!AI25&gt;0,Inputs!$F$173/100*Operations!AI50*(AI8+AI9)/Time!AI25,0)</f>
        <v>0.369557700845569</v>
      </c>
      <c r="AJ26" s="11" t="n">
        <f aca="false">IF(Time!AJ25&gt;0,Inputs!$F$173/100*Operations!AJ50*(AJ8+AJ9)/Time!AJ25,0)</f>
        <v>0.3716467170442</v>
      </c>
      <c r="AK26" s="11" t="n">
        <f aca="false">IF(Time!AK25&gt;0,Inputs!$F$173/100*Operations!AK50*(AK8+AK9)/Time!AK25,0)</f>
        <v>0.371951552228156</v>
      </c>
      <c r="AL26" s="11" t="n">
        <f aca="false">IF(Time!AL25&gt;0,Inputs!$F$173/100*Operations!AL50*(AL8+AL9)/Time!AL25,0)</f>
        <v>0.364887875223189</v>
      </c>
      <c r="AM26" s="11" t="n">
        <f aca="false">IF(Time!AM25&gt;0,Inputs!$F$173/100*Operations!AM50*(AM8+AM9)/Time!AM25,0)</f>
        <v>0.371151096865272</v>
      </c>
      <c r="AN26" s="11" t="n">
        <f aca="false">IF(Time!AN25&gt;0,Inputs!$F$173/100*Operations!AN50*(AN8+AN9)/Time!AN25,0)</f>
        <v>0.379014406488397</v>
      </c>
      <c r="AO26" s="11" t="n">
        <f aca="false">IF(Time!AO25&gt;0,Inputs!$F$173/100*Operations!AO50*(AO8+AO9)/Time!AO25,0)</f>
        <v>0.380748888656799</v>
      </c>
      <c r="AP26" s="11" t="n">
        <f aca="false">IF(Time!AP25&gt;0,Inputs!$F$173/100*Operations!AP50*(AP8+AP9)/Time!AP25,0)</f>
        <v>0.381969782720044</v>
      </c>
      <c r="AQ26" s="11" t="n">
        <f aca="false">IF(Time!AQ25&gt;0,Inputs!$F$173/100*Operations!AQ50*(AQ8+AQ9)/Time!AQ25,0)</f>
        <v>0.384429651280432</v>
      </c>
      <c r="AR26" s="11" t="n">
        <f aca="false">IF(Time!AR25&gt;0,Inputs!$F$173/100*Operations!AR50*(AR8+AR9)/Time!AR25,0)</f>
        <v>0.386703438854844</v>
      </c>
      <c r="AS26" s="11" t="n">
        <f aca="false">IF(Time!AS25&gt;0,Inputs!$F$173/100*Operations!AS50*(AS8+AS9)/Time!AS25,0)</f>
        <v>0.38435885616245</v>
      </c>
      <c r="AT26" s="11" t="n">
        <f aca="false">IF(Time!AT25&gt;0,Inputs!$F$173/100*Operations!AT50*(AT8+AT9)/Time!AT25,0)</f>
        <v>0.371587689066655</v>
      </c>
      <c r="AU26" s="11" t="n">
        <f aca="false">IF(Time!AU25&gt;0,Inputs!$F$173/100*Operations!AU50*(AU8+AU9)/Time!AU25,0)</f>
        <v>0.380912816710676</v>
      </c>
      <c r="AV26" s="11" t="n">
        <f aca="false">IF(Time!AV25&gt;0,Inputs!$F$173/100*Operations!AV50*(AV8+AV9)/Time!AV25,0)</f>
        <v>0.394727824003329</v>
      </c>
      <c r="AW26" s="11" t="n">
        <f aca="false">IF(Time!AW25&gt;0,Inputs!$F$173/100*Operations!AW50*(AW8+AW9)/Time!AW25,0)</f>
        <v>0.396617665552094</v>
      </c>
      <c r="AX26" s="11" t="n">
        <f aca="false">IF(Time!AX25&gt;0,Inputs!$F$173/100*Operations!AX50*(AX8+AX9)/Time!AX25,0)</f>
        <v>0.39796874731294</v>
      </c>
      <c r="AY26" s="11" t="n">
        <f aca="false">IF(Time!AY25&gt;0,Inputs!$F$173/100*Operations!AY50*(AY8+AY9)/Time!AY25,0)</f>
        <v>0.400627293582766</v>
      </c>
      <c r="AZ26" s="11" t="n">
        <f aca="false">IF(Time!AZ25&gt;0,Inputs!$F$173/100*Operations!AZ50*(AZ8+AZ9)/Time!AZ25,0)</f>
        <v>0.403102182341037</v>
      </c>
      <c r="BA26" s="11" t="n">
        <f aca="false">IF(Time!BA25&gt;0,Inputs!$F$173/100*Operations!BA50*(BA8+BA9)/Time!BA25,0)</f>
        <v>0.403579860516262</v>
      </c>
      <c r="BB26" s="11" t="n">
        <f aca="false">IF(Time!BB25&gt;0,Inputs!$F$173/100*Operations!BB50*(BB8+BB9)/Time!BB25,0)</f>
        <v>0.396095581710646</v>
      </c>
      <c r="BC26" s="11" t="n">
        <f aca="false">IF(Time!BC25&gt;0,Inputs!$F$173/100*Operations!BC50*(BC8+BC9)/Time!BC25,0)</f>
        <v>0.403077772057009</v>
      </c>
      <c r="BD26" s="11" t="n">
        <f aca="false">IF(Time!BD25&gt;0,Inputs!$F$173/100*Operations!BD50*(BD8+BD9)/Time!BD25,0)</f>
        <v>0.411841771418645</v>
      </c>
      <c r="BE26" s="11" t="n">
        <f aca="false">IF(Time!BE25&gt;0,Inputs!$F$173/100*Operations!BE50*(BE8+BE9)/Time!BE25,0)</f>
        <v>0.413900884766838</v>
      </c>
      <c r="BF26" s="11" t="n">
        <f aca="false">IF(Time!BF25&gt;0,Inputs!$F$173/100*Operations!BF50*(BF8+BF9)/Time!BF25,0)</f>
        <v>0.415393872451042</v>
      </c>
      <c r="BG26" s="11" t="n">
        <f aca="false">IF(Time!BG25&gt;0,Inputs!$F$173/100*Operations!BG50*(BG8+BG9)/Time!BG25,0)</f>
        <v>0.418268751949954</v>
      </c>
      <c r="BH26" s="11" t="n">
        <f aca="false">IF(Time!BH25&gt;0,Inputs!$F$173/100*Operations!BH50*(BH8+BH9)/Time!BH25,0)</f>
        <v>0.420962513684465</v>
      </c>
      <c r="BI26" s="11" t="n">
        <f aca="false">IF(Time!BI25&gt;0,Inputs!$F$173/100*Operations!BI50*(BI8+BI9)/Time!BI25,0)</f>
        <v>0.418563416937976</v>
      </c>
      <c r="BJ26" s="11" t="n">
        <f aca="false">IF(Time!BJ25&gt;0,Inputs!$F$173/100*Operations!BJ50*(BJ8+BJ9)/Time!BJ25,0)</f>
        <v>0.404840056515075</v>
      </c>
      <c r="BK26" s="11" t="n">
        <f aca="false">IF(Time!BK25&gt;0,Inputs!$F$173/100*Operations!BK50*(BK8+BK9)/Time!BK25,0)</f>
        <v>0.415188695477268</v>
      </c>
      <c r="BL26" s="11" t="n">
        <f aca="false">IF(Time!BL25&gt;0,Inputs!$F$173/100*Operations!BL50*(BL8+BL9)/Time!BL25,0)</f>
        <v>0.430481025447013</v>
      </c>
      <c r="BM26" s="11" t="n">
        <f aca="false">IF(Time!BM25&gt;0,Inputs!$F$173/100*Operations!BM50*(BM8+BM9)/Time!BM25,0)</f>
        <v>0.288621793966755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315.382200080764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0.117600419909946</v>
      </c>
      <c r="Z27" s="11" t="n">
        <f aca="false">MAX(Z25,Z26)</f>
        <v>0.353793142668634</v>
      </c>
      <c r="AA27" s="11" t="n">
        <f aca="false">MAX(AA25,AA26)</f>
        <v>0.355902978806001</v>
      </c>
      <c r="AB27" s="11" t="n">
        <f aca="false">MAX(AB25,AB26)</f>
        <v>0.357822228365636</v>
      </c>
      <c r="AC27" s="11" t="n">
        <f aca="false">MAX(AC25,AC26)</f>
        <v>0.35552421671826</v>
      </c>
      <c r="AD27" s="11" t="n">
        <f aca="false">MAX(AD25,AD26)</f>
        <v>0.343555734814318</v>
      </c>
      <c r="AE27" s="11" t="n">
        <f aca="false">MAX(AE25,AE26)</f>
        <v>0.352018016197102</v>
      </c>
      <c r="AF27" s="11" t="n">
        <f aca="false">MAX(AF25,AF26)</f>
        <v>0.364586945723495</v>
      </c>
      <c r="AG27" s="11" t="n">
        <f aca="false">MAX(AG25,AG26)</f>
        <v>0.366178837705143</v>
      </c>
      <c r="AH27" s="11" t="n">
        <f aca="false">MAX(AH25,AH26)</f>
        <v>0.367280294723665</v>
      </c>
      <c r="AI27" s="11" t="n">
        <f aca="false">MAX(AI25,AI26)</f>
        <v>0.369557700845569</v>
      </c>
      <c r="AJ27" s="11" t="n">
        <f aca="false">MAX(AJ25,AJ26)</f>
        <v>0.3716467170442</v>
      </c>
      <c r="AK27" s="11" t="n">
        <f aca="false">MAX(AK25,AK26)</f>
        <v>0.371951552228156</v>
      </c>
      <c r="AL27" s="11" t="n">
        <f aca="false">MAX(AL25,AL26)</f>
        <v>0.364887875223189</v>
      </c>
      <c r="AM27" s="11" t="n">
        <f aca="false">MAX(AM25,AM26)</f>
        <v>0.371151096865272</v>
      </c>
      <c r="AN27" s="11" t="n">
        <f aca="false">MAX(AN25,AN26)</f>
        <v>8.62758072762197</v>
      </c>
      <c r="AO27" s="11" t="n">
        <f aca="false">MAX(AO25,AO26)</f>
        <v>9.6137227960662</v>
      </c>
      <c r="AP27" s="11" t="n">
        <f aca="false">MAX(AP25,AP26)</f>
        <v>10.2449701638332</v>
      </c>
      <c r="AQ27" s="11" t="n">
        <f aca="false">MAX(AQ25,AQ26)</f>
        <v>10.3030220991505</v>
      </c>
      <c r="AR27" s="11" t="n">
        <f aca="false">MAX(AR25,AR26)</f>
        <v>10.3332288309673</v>
      </c>
      <c r="AS27" s="11" t="n">
        <f aca="false">MAX(AS25,AS26)</f>
        <v>10.2103461507514</v>
      </c>
      <c r="AT27" s="11" t="n">
        <f aca="false">MAX(AT25,AT26)</f>
        <v>5.18697404472979</v>
      </c>
      <c r="AU27" s="11" t="n">
        <f aca="false">MAX(AU25,AU26)</f>
        <v>9.8767881668649</v>
      </c>
      <c r="AV27" s="11" t="n">
        <f aca="false">MAX(AV25,AV26)</f>
        <v>10.5079387792716</v>
      </c>
      <c r="AW27" s="11" t="n">
        <f aca="false">MAX(AW25,AW26)</f>
        <v>10.5591150788797</v>
      </c>
      <c r="AX27" s="11" t="n">
        <f aca="false">MAX(AX25,AX26)</f>
        <v>10.5957399747576</v>
      </c>
      <c r="AY27" s="11" t="n">
        <f aca="false">MAX(AY25,AY26)</f>
        <v>10.6571614561728</v>
      </c>
      <c r="AZ27" s="11" t="n">
        <f aca="false">MAX(AZ25,AZ26)</f>
        <v>10.6897722093526</v>
      </c>
      <c r="BA27" s="11" t="n">
        <f aca="false">MAX(BA25,BA26)</f>
        <v>10.6992686434482</v>
      </c>
      <c r="BB27" s="11" t="n">
        <f aca="false">MAX(BB25,BB26)</f>
        <v>9.16986602435382</v>
      </c>
      <c r="BC27" s="11" t="n">
        <f aca="false">MAX(BC25,BC26)</f>
        <v>12.4772730310385</v>
      </c>
      <c r="BD27" s="11" t="n">
        <f aca="false">MAX(BD25,BD26)</f>
        <v>16.6521605065617</v>
      </c>
      <c r="BE27" s="11" t="n">
        <f aca="false">MAX(BE25,BE26)</f>
        <v>16.7075296415121</v>
      </c>
      <c r="BF27" s="11" t="n">
        <f aca="false">MAX(BF25,BF26)</f>
        <v>16.7488783738154</v>
      </c>
      <c r="BG27" s="11" t="n">
        <f aca="false">MAX(BG25,BG26)</f>
        <v>16.8139294427195</v>
      </c>
      <c r="BH27" s="11" t="n">
        <f aca="false">MAX(BH25,BH26)</f>
        <v>16.84913571458</v>
      </c>
      <c r="BI27" s="11" t="n">
        <f aca="false">MAX(BI25,BI26)</f>
        <v>16.7262293399213</v>
      </c>
      <c r="BJ27" s="11" t="n">
        <f aca="false">MAX(BJ25,BJ26)</f>
        <v>10.8374768449593</v>
      </c>
      <c r="BK27" s="11" t="n">
        <f aca="false">MAX(BK25,BK26)</f>
        <v>16.3728702286135</v>
      </c>
      <c r="BL27" s="11" t="n">
        <f aca="false">MAX(BL25,BL26)</f>
        <v>17.0541543215552</v>
      </c>
      <c r="BM27" s="11" t="n">
        <f aca="false">MAX(BM25,BM26)</f>
        <v>5.68360973142705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3.74962557912146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2.01864307476061</v>
      </c>
      <c r="Q28" s="11" t="n">
        <f aca="false">Q13-Q15</f>
        <v>0.642483709510733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0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148.239678216781</v>
      </c>
      <c r="AC70" s="11" t="n">
        <f aca="false">Time!AC30*AB83</f>
        <v>132.641640310822</v>
      </c>
      <c r="AD70" s="11" t="n">
        <f aca="false">Time!AD30*AC83</f>
        <v>117.766991555935</v>
      </c>
      <c r="AE70" s="11" t="n">
        <f aca="false">Time!AE30*AD83</f>
        <v>102.093025744911</v>
      </c>
      <c r="AF70" s="11" t="n">
        <f aca="false">Time!AF30*AE83</f>
        <v>86.1674409926765</v>
      </c>
      <c r="AG70" s="11" t="n">
        <f aca="false">Time!AG30*AF83</f>
        <v>69.0269571868451</v>
      </c>
      <c r="AH70" s="11" t="n">
        <f aca="false">Time!AH30*AG83</f>
        <v>51.9728761870141</v>
      </c>
      <c r="AI70" s="11" t="n">
        <f aca="false">Time!AI30*AH83</f>
        <v>34.3711809033896</v>
      </c>
      <c r="AJ70" s="11" t="n">
        <f aca="false">Time!AJ30*AI83</f>
        <v>17.2548303388887</v>
      </c>
      <c r="AK70" s="11" t="n">
        <f aca="false">Time!AK30*AJ83</f>
        <v>0.0480701889877135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134.380899713359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6.49912031214112</v>
      </c>
      <c r="AC72" s="11" t="n">
        <f aca="false">AC70*AC13</f>
        <v>5.75206204636784</v>
      </c>
      <c r="AD72" s="11" t="n">
        <f aca="false">AD70*AD13</f>
        <v>5.16313753596836</v>
      </c>
      <c r="AE72" s="11" t="n">
        <f aca="false">AE70*AE13</f>
        <v>4.40298230660119</v>
      </c>
      <c r="AF72" s="11" t="n">
        <f aca="false">AF70*AF13</f>
        <v>3.77775082040979</v>
      </c>
      <c r="AG72" s="11" t="n">
        <f aca="false">AG70*AG13</f>
        <v>3.16974343955962</v>
      </c>
      <c r="AH72" s="11" t="n">
        <f aca="false">AH70*AH13</f>
        <v>2.42617085726343</v>
      </c>
      <c r="AI72" s="11" t="n">
        <f aca="false">AI70*AI13</f>
        <v>1.57833735715065</v>
      </c>
      <c r="AJ72" s="11" t="n">
        <f aca="false">AJ70*AJ13</f>
        <v>0.80548104293094</v>
      </c>
      <c r="AK72" s="11" t="n">
        <f aca="false">AK70*AK13</f>
        <v>0.00221959646707342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146.796485712131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8.22701492338231</v>
      </c>
      <c r="AC73" s="11" t="n">
        <f aca="false">Time!AC30*(AC70-AC71)*AC19</f>
        <v>8.05210030210427</v>
      </c>
      <c r="AD73" s="11" t="n">
        <f aca="false">Time!AD30*(AD70-AD71)*AD19</f>
        <v>8.3108374796643</v>
      </c>
      <c r="AE73" s="11" t="n">
        <f aca="false">Time!AE30*(AE70-AE71)*AE19</f>
        <v>8.08494157069007</v>
      </c>
      <c r="AF73" s="11" t="n">
        <f aca="false">Time!AF30*(AF70-AF71)*AF19</f>
        <v>7.67060370472624</v>
      </c>
      <c r="AG73" s="11" t="n">
        <f aca="false">Time!AG30*(AG70-AG71)*AG19</f>
        <v>6.8711074565944</v>
      </c>
      <c r="AH73" s="11" t="n">
        <f aca="false">Time!AH30*(AH70-AH71)*AH19</f>
        <v>6.03384479378411</v>
      </c>
      <c r="AI73" s="11" t="n">
        <f aca="false">Time!AI30*(AI70-AI71)*AI19</f>
        <v>4.64702604041193</v>
      </c>
      <c r="AJ73" s="11" t="n">
        <f aca="false">Time!AJ30*(AJ70-AJ71)*AJ19</f>
        <v>2.82782556337171</v>
      </c>
      <c r="AK73" s="11" t="n">
        <f aca="false">Time!AK30*(AK70-AK71)*AK19</f>
        <v>0.00972717884607446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146.796485712131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8.22701492338231</v>
      </c>
      <c r="AC77" s="11" t="n">
        <f aca="false">AC73-AC74+AC76</f>
        <v>8.05210030210427</v>
      </c>
      <c r="AD77" s="11" t="n">
        <f aca="false">AD73-AD74+AD76</f>
        <v>8.3108374796643</v>
      </c>
      <c r="AE77" s="11" t="n">
        <f aca="false">AE73-AE74+AE76</f>
        <v>8.08494157069007</v>
      </c>
      <c r="AF77" s="11" t="n">
        <f aca="false">AF73-AF74+AF76</f>
        <v>7.67060370472624</v>
      </c>
      <c r="AG77" s="11" t="n">
        <f aca="false">AG73-AG74+AG76</f>
        <v>6.8711074565944</v>
      </c>
      <c r="AH77" s="11" t="n">
        <f aca="false">AH73-AH74+AH76</f>
        <v>6.03384479378411</v>
      </c>
      <c r="AI77" s="11" t="n">
        <f aca="false">AI73-AI74+AI76</f>
        <v>4.64702604041193</v>
      </c>
      <c r="AJ77" s="11" t="n">
        <f aca="false">AJ73-AJ74+AJ76</f>
        <v>2.82782556337171</v>
      </c>
      <c r="AK77" s="11" t="n">
        <f aca="false">AK73-AK74+AK76</f>
        <v>0.00972717884607446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140.012663293398</v>
      </c>
      <c r="AC81" s="11" t="n">
        <f aca="false">AC70-AC77-AC78-AC79</f>
        <v>124.589540008718</v>
      </c>
      <c r="AD81" s="11" t="n">
        <f aca="false">AD70-AD77-AD78-AD79</f>
        <v>109.456154076271</v>
      </c>
      <c r="AE81" s="11" t="n">
        <f aca="false">AE70-AE77-AE78-AE79</f>
        <v>94.0080841742207</v>
      </c>
      <c r="AF81" s="11" t="n">
        <f aca="false">AF70-AF77-AF78-AF79</f>
        <v>78.4968372879502</v>
      </c>
      <c r="AG81" s="11" t="n">
        <f aca="false">AG70-AG77-AG78-AG79</f>
        <v>62.1558497302507</v>
      </c>
      <c r="AH81" s="11" t="n">
        <f aca="false">AH70-AH77-AH78-AH79</f>
        <v>45.93903139323</v>
      </c>
      <c r="AI81" s="11" t="n">
        <f aca="false">AI70-AI77-AI78-AI79</f>
        <v>29.7241548629776</v>
      </c>
      <c r="AJ81" s="11" t="n">
        <f aca="false">AJ70-AJ77-AJ78-AJ79</f>
        <v>14.427004775517</v>
      </c>
      <c r="AK81" s="11" t="n">
        <f aca="false">AK70-AK77-AK78-AK79</f>
        <v>0.0383430101416391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93.8407849941231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6.3361357909179</v>
      </c>
      <c r="AB82" s="11" t="n">
        <f aca="false">Waterfall!AB28*AB81/(AB36+AB51+AB66+AB81+AB96+0.000000001)+Waterfall!AB29</f>
        <v>7.37102298257586</v>
      </c>
      <c r="AC82" s="11" t="n">
        <f aca="false">Waterfall!AC28*AC81/(AC36+AC51+AC66+AC81+AC96+0.000000001)+Waterfall!AC29</f>
        <v>6.82254845278294</v>
      </c>
      <c r="AD82" s="11" t="n">
        <f aca="false">Waterfall!AD28*AD81/(AD36+AD51+AD66+AD81+AD96+0.000000001)+Waterfall!AD29</f>
        <v>7.36312833136017</v>
      </c>
      <c r="AE82" s="11" t="n">
        <f aca="false">Waterfall!AE28*AE81/(AE36+AE51+AE66+AE81+AE96+0.000000001)+Waterfall!AE29</f>
        <v>7.8406431815442</v>
      </c>
      <c r="AF82" s="11" t="n">
        <f aca="false">Waterfall!AF28*AF81/(AF36+AF51+AF66+AF81+AF96+0.000000001)+Waterfall!AF29</f>
        <v>9.46988010110519</v>
      </c>
      <c r="AG82" s="11" t="n">
        <f aca="false">Waterfall!AG28*AG81/(AG36+AG51+AG66+AG81+AG96+0.000000001)+Waterfall!AG29</f>
        <v>10.1829735432366</v>
      </c>
      <c r="AH82" s="11" t="n">
        <f aca="false">Waterfall!AH28*AH81/(AH36+AH51+AH66+AH81+AH96+0.000000001)+Waterfall!AH29</f>
        <v>11.5678504898404</v>
      </c>
      <c r="AI82" s="11" t="n">
        <f aca="false">Waterfall!AI28*AI81/(AI36+AI51+AI66+AI81+AI96+0.000000001)+Waterfall!AI29</f>
        <v>12.4693245240889</v>
      </c>
      <c r="AJ82" s="11" t="n">
        <f aca="false">Waterfall!AJ28*AJ81/(AJ36+AJ51+AJ66+AJ81+AJ96+0.000000001)+Waterfall!AJ29</f>
        <v>14.3789345865293</v>
      </c>
      <c r="AK82" s="11" t="n">
        <f aca="false">Waterfall!AK28*AK81/(AK36+AK51+AK66+AK81+AK96+0.000000001)+Waterfall!AK29</f>
        <v>0.0383430101416391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148.239678216781</v>
      </c>
      <c r="AB83" s="11" t="n">
        <f aca="false">IF(Time!AB29=1,INDEX(Funding!$J$64:$BJ$64,1,Time!$F$13),Time!AB30*(AB81-AB82))</f>
        <v>132.641640310822</v>
      </c>
      <c r="AC83" s="11" t="n">
        <f aca="false">IF(Time!AC29=1,INDEX(Funding!$J$64:$BJ$64,1,Time!$F$13),Time!AC30*(AC81-AC82))</f>
        <v>117.766991555935</v>
      </c>
      <c r="AD83" s="11" t="n">
        <f aca="false">IF(Time!AD29=1,INDEX(Funding!$J$64:$BJ$64,1,Time!$F$13),Time!AD30*(AD81-AD82))</f>
        <v>102.093025744911</v>
      </c>
      <c r="AE83" s="11" t="n">
        <f aca="false">IF(Time!AE29=1,INDEX(Funding!$J$64:$BJ$64,1,Time!$F$13),Time!AE30*(AE81-AE82))</f>
        <v>86.1674409926765</v>
      </c>
      <c r="AF83" s="11" t="n">
        <f aca="false">IF(Time!AF29=1,INDEX(Funding!$J$64:$BJ$64,1,Time!$F$13),Time!AF30*(AF81-AF82))</f>
        <v>69.0269571868451</v>
      </c>
      <c r="AG83" s="11" t="n">
        <f aca="false">IF(Time!AG29=1,INDEX(Funding!$J$64:$BJ$64,1,Time!$F$13),Time!AG30*(AG81-AG82))</f>
        <v>51.9728761870141</v>
      </c>
      <c r="AH83" s="11" t="n">
        <f aca="false">IF(Time!AH29=1,INDEX(Funding!$J$64:$BJ$64,1,Time!$F$13),Time!AH30*(AH81-AH82))</f>
        <v>34.3711809033896</v>
      </c>
      <c r="AI83" s="11" t="n">
        <f aca="false">IF(Time!AI29=1,INDEX(Funding!$J$64:$BJ$64,1,Time!$F$13),Time!AI30*(AI81-AI82))</f>
        <v>17.2548303388887</v>
      </c>
      <c r="AJ83" s="11" t="n">
        <f aca="false">IF(Time!AJ29=1,INDEX(Funding!$J$64:$BJ$64,1,Time!$F$13),Time!AJ30*(AJ81-AJ82))</f>
        <v>0.0480701889877135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1</v>
      </c>
      <c r="Y113" s="11" t="n">
        <f aca="false">IF(AND(Inputs!$F$49=1,Time!Y17&gt;14),Inputs!$F$201,1)</f>
        <v>1</v>
      </c>
      <c r="Z113" s="11" t="n">
        <f aca="false">IF(AND(Inputs!$F$49=1,Time!Z17&gt;14),Inputs!$F$201,1)</f>
        <v>1</v>
      </c>
      <c r="AA113" s="11" t="n">
        <f aca="false">IF(AND(Inputs!$F$49=1,Time!AA17&gt;14),Inputs!$F$201,1)</f>
        <v>1</v>
      </c>
      <c r="AB113" s="11" t="n">
        <f aca="false">IF(AND(Inputs!$F$49=1,Time!AB17&gt;14),Inputs!$F$201,1)</f>
        <v>1</v>
      </c>
      <c r="AC113" s="11" t="n">
        <f aca="false">IF(AND(Inputs!$F$49=1,Time!AC17&gt;14),Inputs!$F$201,1)</f>
        <v>1</v>
      </c>
      <c r="AD113" s="11" t="n">
        <f aca="false">IF(AND(Inputs!$F$49=1,Time!AD17&gt;14),Inputs!$F$201,1)</f>
        <v>1</v>
      </c>
      <c r="AE113" s="11" t="n">
        <f aca="false">IF(AND(Inputs!$F$49=1,Time!AE17&gt;14),Inputs!$F$201,1)</f>
        <v>1</v>
      </c>
      <c r="AF113" s="11" t="n">
        <f aca="false">IF(AND(Inputs!$F$49=1,Time!AF17&gt;14),Inputs!$F$201,1)</f>
        <v>1</v>
      </c>
      <c r="AG113" s="11" t="n">
        <f aca="false">IF(AND(Inputs!$F$49=1,Time!AG17&gt;14),Inputs!$F$201,1)</f>
        <v>1</v>
      </c>
      <c r="AH113" s="11" t="n">
        <f aca="false">IF(AND(Inputs!$F$49=1,Time!AH17&gt;14),Inputs!$F$201,1)</f>
        <v>1</v>
      </c>
      <c r="AI113" s="11" t="n">
        <f aca="false">IF(AND(Inputs!$F$49=1,Time!AI17&gt;14),Inputs!$F$201,1)</f>
        <v>1</v>
      </c>
      <c r="AJ113" s="11" t="n">
        <f aca="false">IF(AND(Inputs!$F$49=1,Time!AJ17&gt;14),Inputs!$F$201,1)</f>
        <v>1</v>
      </c>
      <c r="AK113" s="11" t="n">
        <f aca="false">IF(AND(Inputs!$F$49=1,Time!AK17&gt;14),Inputs!$F$201,1)</f>
        <v>1</v>
      </c>
      <c r="AL113" s="11" t="n">
        <f aca="false">IF(AND(Inputs!$F$49=1,Time!AL17&gt;14),Inputs!$F$201,1)</f>
        <v>1</v>
      </c>
      <c r="AM113" s="11" t="n">
        <f aca="false">IF(AND(Inputs!$F$49=1,Time!AM17&gt;14),Inputs!$F$201,1)</f>
        <v>1</v>
      </c>
      <c r="AN113" s="11" t="n">
        <f aca="false">IF(AND(Inputs!$F$49=1,Time!AN17&gt;14),Inputs!$F$201,1)</f>
        <v>1</v>
      </c>
      <c r="AO113" s="11" t="n">
        <f aca="false">IF(AND(Inputs!$F$49=1,Time!AO17&gt;14),Inputs!$F$201,1)</f>
        <v>1</v>
      </c>
      <c r="AP113" s="11" t="n">
        <f aca="false">IF(AND(Inputs!$F$49=1,Time!AP17&gt;14),Inputs!$F$201,1)</f>
        <v>1</v>
      </c>
      <c r="AQ113" s="11" t="n">
        <f aca="false">IF(AND(Inputs!$F$49=1,Time!AQ17&gt;14),Inputs!$F$201,1)</f>
        <v>1</v>
      </c>
      <c r="AR113" s="11" t="n">
        <f aca="false">IF(AND(Inputs!$F$49=1,Time!AR17&gt;14),Inputs!$F$201,1)</f>
        <v>1</v>
      </c>
      <c r="AS113" s="11" t="n">
        <f aca="false">IF(AND(Inputs!$F$49=1,Time!AS17&gt;14),Inputs!$F$201,1)</f>
        <v>1</v>
      </c>
      <c r="AT113" s="11" t="n">
        <f aca="false">IF(AND(Inputs!$F$49=1,Time!AT17&gt;14),Inputs!$F$201,1)</f>
        <v>1</v>
      </c>
      <c r="AU113" s="11" t="n">
        <f aca="false">IF(AND(Inputs!$F$49=1,Time!AU17&gt;14),Inputs!$F$201,1)</f>
        <v>1</v>
      </c>
      <c r="AV113" s="11" t="n">
        <f aca="false">IF(AND(Inputs!$F$49=1,Time!AV17&gt;14),Inputs!$F$201,1)</f>
        <v>1</v>
      </c>
      <c r="AW113" s="11" t="n">
        <f aca="false">IF(AND(Inputs!$F$49=1,Time!AW17&gt;14),Inputs!$F$201,1)</f>
        <v>1</v>
      </c>
      <c r="AX113" s="11" t="n">
        <f aca="false">IF(AND(Inputs!$F$49=1,Time!AX17&gt;14),Inputs!$F$201,1)</f>
        <v>1</v>
      </c>
      <c r="AY113" s="11" t="n">
        <f aca="false">IF(AND(Inputs!$F$49=1,Time!AY17&gt;14),Inputs!$F$201,1)</f>
        <v>1</v>
      </c>
      <c r="AZ113" s="11" t="n">
        <f aca="false">IF(AND(Inputs!$F$49=1,Time!AZ17&gt;14),Inputs!$F$201,1)</f>
        <v>1</v>
      </c>
      <c r="BA113" s="11" t="n">
        <f aca="false">IF(AND(Inputs!$F$49=1,Time!BA17&gt;14),Inputs!$F$201,1)</f>
        <v>1</v>
      </c>
      <c r="BB113" s="11" t="n">
        <f aca="false">IF(AND(Inputs!$F$49=1,Time!BB17&gt;14),Inputs!$F$201,1)</f>
        <v>1</v>
      </c>
      <c r="BC113" s="11" t="n">
        <f aca="false">IF(AND(Inputs!$F$49=1,Time!BC17&gt;14),Inputs!$F$201,1)</f>
        <v>1</v>
      </c>
      <c r="BD113" s="11" t="n">
        <f aca="false">IF(AND(Inputs!$F$49=1,Time!BD17&gt;14),Inputs!$F$201,1)</f>
        <v>1</v>
      </c>
      <c r="BE113" s="11" t="n">
        <f aca="false">IF(AND(Inputs!$F$49=1,Time!BE17&gt;14),Inputs!$F$201,1)</f>
        <v>1</v>
      </c>
      <c r="BF113" s="11" t="n">
        <f aca="false">IF(AND(Inputs!$F$49=1,Time!BF17&gt;14),Inputs!$F$201,1)</f>
        <v>1</v>
      </c>
      <c r="BG113" s="11" t="n">
        <f aca="false">IF(AND(Inputs!$F$49=1,Time!BG17&gt;14),Inputs!$F$201,1)</f>
        <v>1</v>
      </c>
      <c r="BH113" s="11" t="n">
        <f aca="false">IF(AND(Inputs!$F$49=1,Time!BH17&gt;14),Inputs!$F$201,1)</f>
        <v>1</v>
      </c>
      <c r="BI113" s="11" t="n">
        <f aca="false">IF(AND(Inputs!$F$49=1,Time!BI17&gt;14),Inputs!$F$201,1)</f>
        <v>1</v>
      </c>
      <c r="BJ113" s="11" t="n">
        <f aca="false">IF(AND(Inputs!$F$49=1,Time!BJ17&gt;14),Inputs!$F$201,1)</f>
        <v>1</v>
      </c>
      <c r="BK113" s="11" t="n">
        <f aca="false">IF(AND(Inputs!$F$49=1,Time!BK17&gt;14),Inputs!$F$201,1)</f>
        <v>1</v>
      </c>
      <c r="BL113" s="11" t="n">
        <f aca="false">IF(AND(Inputs!$F$49=1,Time!BL17&gt;14),Inputs!$F$201,1)</f>
        <v>1</v>
      </c>
      <c r="BM113" s="11" t="n">
        <f aca="false">IF(AND(Inputs!$F$49=1,Time!BM17&gt;14),Inputs!$F$201,1)</f>
        <v>1</v>
      </c>
      <c r="BN113" s="11" t="n">
        <f aca="false">IF(AND(Inputs!$F$49=1,Time!BN17&gt;14),Inputs!$F$201,1)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16.5909715640779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0.773445597797361</v>
      </c>
      <c r="AC115" s="11" t="n">
        <f aca="false">(Inputs!$F$93/100*Inputs!$F$94/100)*AC70*Time!AC20/365</f>
        <v>0.684539884530126</v>
      </c>
      <c r="AD115" s="11" t="n">
        <f aca="false">(Inputs!$F$93/100*Inputs!$F$94/100)*AD70*Time!AD20/365</f>
        <v>0.614453311559241</v>
      </c>
      <c r="AE115" s="11" t="n">
        <f aca="false">(Inputs!$F$93/100*Inputs!$F$94/100)*AE70*Time!AE20/365</f>
        <v>0.523988958299256</v>
      </c>
      <c r="AF115" s="11" t="n">
        <f aca="false">(Inputs!$F$93/100*Inputs!$F$94/100)*AF70*Time!AF20/365</f>
        <v>0.44958157431905</v>
      </c>
      <c r="AG115" s="11" t="n">
        <f aca="false">(Inputs!$F$93/100*Inputs!$F$94/100)*AG70*Time!AG20/365</f>
        <v>0.354278493824592</v>
      </c>
      <c r="AH115" s="11" t="n">
        <f aca="false">(Inputs!$F$93/100*Inputs!$F$94/100)*AH70*Time!AH20/365</f>
        <v>0.271170261398766</v>
      </c>
      <c r="AI115" s="11" t="n">
        <f aca="false">(Inputs!$F$93/100*Inputs!$F$94/100)*AI70*Time!AI20/365</f>
        <v>0.176408908891411</v>
      </c>
      <c r="AJ115" s="11" t="n">
        <f aca="false">(Inputs!$F$93/100*Inputs!$F$94/100)*AJ70*Time!AJ20/365</f>
        <v>0.0900276682119993</v>
      </c>
      <c r="AK115" s="11" t="n">
        <f aca="false">(Inputs!$F$93/100*Inputs!$F$94/100)*AK70*Time!AK20/365</f>
        <v>0.000248081684920975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304.842944584199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13.7393429660067</v>
      </c>
      <c r="AC118" s="11" t="n">
        <f aca="false">AC27+AC42+AC57+AC72+AC87+AC101</f>
        <v>12.5161358892453</v>
      </c>
      <c r="AD118" s="11" t="n">
        <f aca="false">AD27+AD42+AD57+AD72+AD87+AD101</f>
        <v>11.5864119104968</v>
      </c>
      <c r="AE118" s="11" t="n">
        <f aca="false">AE27+AE42+AE57+AE72+AE87+AE101</f>
        <v>10.2756283938941</v>
      </c>
      <c r="AF118" s="11" t="n">
        <f aca="false">AF27+AF42+AF57+AF72+AF87+AF101</f>
        <v>9.27495925346844</v>
      </c>
      <c r="AG118" s="11" t="n">
        <f aca="false">AG27+AG42+AG57+AG72+AG87+AG101</f>
        <v>8.09594207346112</v>
      </c>
      <c r="AH118" s="11" t="n">
        <f aca="false">AH27+AH42+AH57+AH72+AH87+AH101</f>
        <v>6.93552606092078</v>
      </c>
      <c r="AI118" s="11" t="n">
        <f aca="false">AI27+AI42+AI57+AI72+AI87+AI101</f>
        <v>5.49918783438391</v>
      </c>
      <c r="AJ118" s="11" t="n">
        <f aca="false">AJ27+AJ42+AJ57+AJ72+AJ87+AJ101</f>
        <v>4.25242792178708</v>
      </c>
      <c r="AK118" s="11" t="n">
        <f aca="false">AK27+AK42+AK57+AK72+AK87+AK101</f>
        <v>2.85293352486096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313.099712545292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14.1184846455576</v>
      </c>
      <c r="AC119" s="11" t="n">
        <f aca="false">AC118+AC114+AC115+AC116</f>
        <v>12.8815311140874</v>
      </c>
      <c r="AD119" s="11" t="n">
        <f aca="false">AD118+AD114+AD115+AD116</f>
        <v>11.8510524642265</v>
      </c>
      <c r="AE119" s="11" t="n">
        <f aca="false">AE118+AE114+AE115+AE116</f>
        <v>10.5442567197199</v>
      </c>
      <c r="AF119" s="11" t="n">
        <f aca="false">AF118+AF114+AF115+AF116</f>
        <v>9.42516179924128</v>
      </c>
      <c r="AG119" s="11" t="n">
        <f aca="false">AG118+AG114+AG115+AG116</f>
        <v>8.23601436787504</v>
      </c>
      <c r="AH119" s="11" t="n">
        <f aca="false">AH118+AH114+AH115+AH116</f>
        <v>6.96111597064102</v>
      </c>
      <c r="AI119" s="11" t="n">
        <f aca="false">AI118+AI114+AI115+AI116</f>
        <v>5.50510615984538</v>
      </c>
      <c r="AJ119" s="11" t="n">
        <f aca="false">AJ118+AJ114+AJ115+AJ116</f>
        <v>4.15473420002294</v>
      </c>
      <c r="AK119" s="11" t="n">
        <f aca="false">AK118+AK114+AK115+AK116</f>
        <v>2.71867832528688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539.415190548669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22.2237730120479</v>
      </c>
      <c r="AC120" s="11" t="n">
        <f aca="false">AC32+AC47+AC62+AC77+AC92+AC102</f>
        <v>22.5125493787945</v>
      </c>
      <c r="AD120" s="11" t="n">
        <f aca="false">AD32+AD47+AD62+AD77+AD92+AD102</f>
        <v>24.1005926310106</v>
      </c>
      <c r="AE120" s="11" t="n">
        <f aca="false">AE32+AE47+AE62+AE77+AE92+AE102</f>
        <v>24.5533489147333</v>
      </c>
      <c r="AF120" s="11" t="n">
        <f aca="false">AF32+AF47+AF62+AF77+AF92+AF102</f>
        <v>24.71675220725</v>
      </c>
      <c r="AG120" s="11" t="n">
        <f aca="false">AG32+AG47+AG62+AG77+AG92+AG102</f>
        <v>24.2353919142181</v>
      </c>
      <c r="AH120" s="11" t="n">
        <f aca="false">AH32+AH47+AH62+AH77+AH92+AH102</f>
        <v>24.2698430789224</v>
      </c>
      <c r="AI120" s="11" t="n">
        <f aca="false">AI32+AI47+AI62+AI77+AI92+AI102</f>
        <v>23.4184792154774</v>
      </c>
      <c r="AJ120" s="11" t="n">
        <f aca="false">AJ32+AJ47+AJ62+AJ77+AJ92+AJ102</f>
        <v>22.5055206354447</v>
      </c>
      <c r="AK120" s="11" t="n">
        <f aca="false">AK32+AK47+AK62+AK77+AK92+AK102</f>
        <v>20.3243543958021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852.514903093961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36.3422576576055</v>
      </c>
      <c r="AC121" s="11" t="n">
        <f aca="false">AC119+AC120</f>
        <v>35.3940804928819</v>
      </c>
      <c r="AD121" s="11" t="n">
        <f aca="false">AD119+AD120</f>
        <v>35.9516450952371</v>
      </c>
      <c r="AE121" s="11" t="n">
        <f aca="false">AE119+AE120</f>
        <v>35.0976056344532</v>
      </c>
      <c r="AF121" s="11" t="n">
        <f aca="false">AF119+AF120</f>
        <v>34.1419140064913</v>
      </c>
      <c r="AG121" s="11" t="n">
        <f aca="false">AG119+AG120</f>
        <v>32.4714062820932</v>
      </c>
      <c r="AH121" s="11" t="n">
        <f aca="false">AH119+AH120</f>
        <v>31.2309590495634</v>
      </c>
      <c r="AI121" s="11" t="n">
        <f aca="false">AI119+AI120</f>
        <v>28.9235853753228</v>
      </c>
      <c r="AJ121" s="11" t="n">
        <f aca="false">AJ119+AJ120</f>
        <v>26.6602548354676</v>
      </c>
      <c r="AK121" s="11" t="n">
        <f aca="false">AK119+AK120</f>
        <v>23.043032721089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400.442322124089</v>
      </c>
      <c r="AC122" s="11" t="n">
        <f aca="false">AC25+AC40+AC55+AC70+AC85+AC100</f>
        <v>370.847526129466</v>
      </c>
      <c r="AD122" s="11" t="n">
        <f aca="false">AD25+AD40+AD55+AD70+AD85+AD100</f>
        <v>341.512428297888</v>
      </c>
      <c r="AE122" s="11" t="n">
        <f aca="false">AE25+AE40+AE55+AE70+AE85+AE100</f>
        <v>310.048707335517</v>
      </c>
      <c r="AF122" s="11" t="n">
        <f aca="false">AF25+AF40+AF55+AF70+AF85+AF100</f>
        <v>277.65471523924</v>
      </c>
      <c r="AG122" s="11" t="n">
        <f aca="false">AG25+AG40+AG55+AG70+AG85+AG100</f>
        <v>243.468082930885</v>
      </c>
      <c r="AH122" s="11" t="n">
        <f aca="false">AH25+AH40+AH55+AH70+AH85+AH100</f>
        <v>209.04971747343</v>
      </c>
      <c r="AI122" s="11" t="n">
        <f aca="false">AI25+AI40+AI55+AI70+AI85+AI100</f>
        <v>173.212023904667</v>
      </c>
      <c r="AJ122" s="11" t="n">
        <f aca="false">AJ25+AJ40+AJ55+AJ70+AJ85+AJ100</f>
        <v>137.324220165101</v>
      </c>
      <c r="AK122" s="11" t="n">
        <f aca="false">AK25+AK40+AK55+AK70+AK85+AK100</f>
        <v>100.439764943127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400.442322124089</v>
      </c>
      <c r="AB123" s="11" t="n">
        <f aca="false">AB38+AB53+AB68+AB83+AB98+AB104</f>
        <v>370.847526129466</v>
      </c>
      <c r="AC123" s="11" t="n">
        <f aca="false">AC38+AC53+AC68+AC83+AC98+AC104</f>
        <v>341.512428297888</v>
      </c>
      <c r="AD123" s="11" t="n">
        <f aca="false">AD38+AD53+AD68+AD83+AD98+AD104</f>
        <v>310.048707335517</v>
      </c>
      <c r="AE123" s="11" t="n">
        <f aca="false">AE38+AE53+AE68+AE83+AE98+AE104</f>
        <v>277.65471523924</v>
      </c>
      <c r="AF123" s="11" t="n">
        <f aca="false">AF38+AF53+AF68+AF83+AF98+AF104</f>
        <v>243.468082930885</v>
      </c>
      <c r="AG123" s="11" t="n">
        <f aca="false">AG38+AG53+AG68+AG83+AG98+AG104</f>
        <v>209.04971747343</v>
      </c>
      <c r="AH123" s="11" t="n">
        <f aca="false">AH38+AH53+AH68+AH83+AH98+AH104</f>
        <v>173.212023904667</v>
      </c>
      <c r="AI123" s="11" t="n">
        <f aca="false">AI38+AI53+AI68+AI83+AI98+AI104</f>
        <v>137.324220165101</v>
      </c>
      <c r="AJ123" s="11" t="n">
        <f aca="false">AJ38+AJ53+AJ68+AJ83+AJ98+AJ104</f>
        <v>100.439764943127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140.012663293398</v>
      </c>
      <c r="AC125" s="11" t="n">
        <f aca="false">IF(Time!AC29=1,AC83,AC81)</f>
        <v>124.589540008718</v>
      </c>
      <c r="AD125" s="11" t="n">
        <f aca="false">IF(Time!AD29=1,AD83,AD81)</f>
        <v>109.456154076271</v>
      </c>
      <c r="AE125" s="11" t="n">
        <f aca="false">IF(Time!AE29=1,AE83,AE81)</f>
        <v>94.0080841742207</v>
      </c>
      <c r="AF125" s="11" t="n">
        <f aca="false">IF(Time!AF29=1,AF83,AF81)</f>
        <v>78.4968372879502</v>
      </c>
      <c r="AG125" s="11" t="n">
        <f aca="false">IF(Time!AG29=1,AG83,AG81)</f>
        <v>62.1558497302507</v>
      </c>
      <c r="AH125" s="11" t="n">
        <f aca="false">IF(Time!AH29=1,AH83,AH81)</f>
        <v>45.93903139323</v>
      </c>
      <c r="AI125" s="11" t="n">
        <f aca="false">IF(Time!AI29=1,AI83,AI81)</f>
        <v>29.7241548629776</v>
      </c>
      <c r="AJ125" s="11" t="n">
        <f aca="false">IF(Time!AJ29=1,AJ83,AJ81)</f>
        <v>14.427004775517</v>
      </c>
      <c r="AK125" s="11" t="n">
        <f aca="false">IF(Time!AK29=1,AK83,AK81)</f>
        <v>0.0383430101416391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14.5712728703818</v>
      </c>
      <c r="AC129" s="11" t="n">
        <f aca="false">IF(AND(Time!AC17&gt;=Time!$F$11,Time!AC17&lt;57),(IF(Time!AC29=1,AC83,AC81)-AC80)*AD19+IF(Time!AC29=1,AC83,AC81)*AD13,0)</f>
        <v>14.2545574707095</v>
      </c>
      <c r="AD129" s="11" t="n">
        <f aca="false">IF(AND(Time!AD17&gt;=Time!$F$11,Time!AD17&lt;57),(IF(Time!AD29=1,AD83,AD81)-AD80)*AE19+IF(Time!AD29=1,AD83,AD81)*AE13,0)</f>
        <v>13.388574880921</v>
      </c>
      <c r="AE129" s="11" t="n">
        <f aca="false">IF(AND(Time!AE17&gt;=Time!$F$11,Time!AE17&lt;57),(IF(Time!AE29=1,AE83,AE81)-AE80)*AF19+IF(Time!AE29=1,AE83,AE81)*AF13,0)</f>
        <v>12.4900758738649</v>
      </c>
      <c r="AF129" s="11" t="n">
        <f aca="false">IF(AND(Time!AF17&gt;=Time!$F$11,Time!AF17&lt;57),(IF(Time!AF29=1,AF83,AF81)-AF80)*AG19+IF(Time!AF29=1,AF83,AF81)*AG13,0)</f>
        <v>11.4183656813165</v>
      </c>
      <c r="AG129" s="11" t="n">
        <f aca="false">IF(AND(Time!AG17&gt;=Time!$F$11,Time!AG17&lt;57),(IF(Time!AG29=1,AG83,AG81)-AG80)*AH19+IF(Time!AG29=1,AG83,AG81)*AH13,0)</f>
        <v>10.1175747832379</v>
      </c>
      <c r="AH129" s="11" t="n">
        <f aca="false">IF(AND(Time!AH17&gt;=Time!$F$11,Time!AH17&lt;57),(IF(Time!AH29=1,AH83,AH81)-AH80)*AI19+IF(Time!AH29=1,AH83,AH81)*AI13,0)</f>
        <v>8.3205510267088</v>
      </c>
      <c r="AI129" s="11" t="n">
        <f aca="false">IF(AND(Time!AI17&gt;=Time!$F$11,Time!AI17&lt;57),(IF(Time!AI29=1,AI83,AI81)-AI80)*AJ19+IF(Time!AI29=1,AI83,AI81)*AJ13,0)</f>
        <v>6.25894118396617</v>
      </c>
      <c r="AJ129" s="11" t="n">
        <f aca="false">IF(AND(Time!AJ17&gt;=Time!$F$11,Time!AJ17&lt;57),(IF(Time!AJ29=1,AJ83,AJ81)-AJ80)*AK19+IF(Time!AJ29=1,AJ83,AJ81)*AK13,0)</f>
        <v>3.5855108566115</v>
      </c>
      <c r="AK129" s="11" t="n">
        <f aca="false">IF(AND(Time!AK17&gt;=Time!$F$11,Time!AK17&lt;57),(IF(Time!AK29=1,AK83,AK81)-AK80)*AL19+IF(Time!AK29=1,AK83,AK81)*AL13,0)</f>
        <v>0.0121040132502986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36.1992315517568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36.7678244305152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36.0360476420817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35.2245441795351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33.8975249025636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32.9416481949476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31.0781446009488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29.3509485408672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26.6908039231563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23.7263439046152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853.774369519247</v>
      </c>
      <c r="Q136" s="11" t="n">
        <f aca="false">IF(Q134=1,(Waterfall!Q7+R136)/(1+Q135),0)</f>
        <v>832.547898126728</v>
      </c>
      <c r="R136" s="11" t="n">
        <f aca="false">IF(R134=1,(Waterfall!R7+S136)/(1+R135),0)</f>
        <v>810.422680790783</v>
      </c>
      <c r="S136" s="11" t="n">
        <f aca="false">IF(S134=1,(Waterfall!S7+T136)/(1+S135),0)</f>
        <v>787.257944275769</v>
      </c>
      <c r="T136" s="11" t="n">
        <f aca="false">IF(T134=1,(Waterfall!T7+U136)/(1+T135),0)</f>
        <v>763.372834782136</v>
      </c>
      <c r="U136" s="11" t="n">
        <f aca="false">IF(U134=1,(Waterfall!U7+V136)/(1+U135),0)</f>
        <v>738.37244892698</v>
      </c>
      <c r="V136" s="11" t="n">
        <f aca="false">IF(V134=1,(Waterfall!V7+W136)/(1+V135),0)</f>
        <v>712.706640565085</v>
      </c>
      <c r="W136" s="11" t="n">
        <f aca="false">IF(W134=1,(Waterfall!W7+X136)/(1+W135),0)</f>
        <v>686.644092496151</v>
      </c>
      <c r="X136" s="11" t="n">
        <f aca="false">IF(X134=1,(Waterfall!X7+Y136)/(1+X135),0)</f>
        <v>659.516806210907</v>
      </c>
      <c r="Y136" s="11" t="n">
        <f aca="false">IF(Y134=1,(Waterfall!Y7+Z136)/(1+Y135),0)</f>
        <v>632.276456165287</v>
      </c>
      <c r="Z136" s="11" t="n">
        <f aca="false">IF(Z134=1,(Waterfall!Z7+AA136)/(1+Z135),0)</f>
        <v>604.781001936492</v>
      </c>
      <c r="AA136" s="11" t="n">
        <f aca="false">IF(AA134=1,(Waterfall!AA7+AB136)/(1+AA135),0)</f>
        <v>576.193837425527</v>
      </c>
      <c r="AB136" s="11" t="n">
        <f aca="false">IF(AB134=1,(Waterfall!AB7+AC136)/(1+AB135),0)</f>
        <v>546.733187596188</v>
      </c>
      <c r="AC136" s="11" t="n">
        <f aca="false">IF(AC134=1,(Waterfall!AC7+AD136)/(1+AC135),0)</f>
        <v>515.848237483604</v>
      </c>
      <c r="AD136" s="11" t="n">
        <f aca="false">IF(AD134=1,(Waterfall!AD7+AE136)/(1+AD135),0)</f>
        <v>484.405947611185</v>
      </c>
      <c r="AE136" s="11" t="n">
        <f aca="false">IF(AE134=1,(Waterfall!AE7+AF136)/(1+AE135),0)</f>
        <v>451.642773899792</v>
      </c>
      <c r="AF136" s="11" t="n">
        <f aca="false">IF(AF134=1,(Waterfall!AF7+AG136)/(1+AF135),0)</f>
        <v>417.521749913619</v>
      </c>
      <c r="AG136" s="11" t="n">
        <f aca="false">IF(AG134=1,(Waterfall!AG7+AH136)/(1+AG135),0)</f>
        <v>380.577515690706</v>
      </c>
      <c r="AH136" s="11" t="n">
        <f aca="false">IF(AH134=1,(Waterfall!AH7+AI136)/(1+AH135),0)</f>
        <v>342.452956301813</v>
      </c>
      <c r="AI136" s="11" t="n">
        <f aca="false">IF(AI134=1,(Waterfall!AI7+AJ136)/(1+AI135),0)</f>
        <v>302.466875258978</v>
      </c>
      <c r="AJ136" s="11" t="n">
        <f aca="false">IF(AJ134=1,(Waterfall!AJ7+AK136)/(1+AJ135),0)</f>
        <v>261.265251532321</v>
      </c>
      <c r="AK136" s="11" t="n">
        <f aca="false">IF(AK134=1,(Waterfall!AK7+AL136)/(1+AK135),0)</f>
        <v>218.056837390301</v>
      </c>
      <c r="AL136" s="11" t="n">
        <f aca="false">IF(AL134=1,(Waterfall!AL7+AM136)/(1+AL135),0)</f>
        <v>173.587638038359</v>
      </c>
      <c r="AM136" s="11" t="n">
        <f aca="false">IF(AM134=1,(Waterfall!AM7+AN136)/(1+AM135),0)</f>
        <v>127.804677870912</v>
      </c>
      <c r="AN136" s="11" t="n">
        <f aca="false">IF(AN134=1,(Waterfall!AN7+AO136)/(1+AN135),0)</f>
        <v>80.3765485179068</v>
      </c>
      <c r="AO136" s="11" t="n">
        <f aca="false">IF(AO134=1,(Waterfall!AO7+AP136)/(1+AO135),0)</f>
        <v>40.3759987833871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1.34822947195637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632.425458903146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37.5001410184949</v>
      </c>
      <c r="Q140" s="11" t="n">
        <f aca="false">IF(Q134=1,(Waterfall!Q7)/$F$137,0)</f>
        <v>37.4136749890886</v>
      </c>
      <c r="R140" s="11" t="n">
        <f aca="false">IF(R134=1,(Waterfall!R7)/$F$137,0)</f>
        <v>37.8479589199669</v>
      </c>
      <c r="S140" s="11" t="n">
        <f aca="false">IF(S134=1,(Waterfall!S7)/$F$137,0)</f>
        <v>37.5835696285721</v>
      </c>
      <c r="T140" s="11" t="n">
        <f aca="false">IF(T134=1,(Waterfall!T7)/$F$137,0)</f>
        <v>38.0166896542661</v>
      </c>
      <c r="U140" s="11" t="n">
        <f aca="false">IF(U134=1,(Waterfall!U7)/$F$137,0)</f>
        <v>37.7379200933369</v>
      </c>
      <c r="V140" s="11" t="n">
        <f aca="false">IF(V134=1,(Waterfall!V7)/$F$137,0)</f>
        <v>37.5120200735463</v>
      </c>
      <c r="W140" s="11" t="n">
        <f aca="false">IF(W134=1,(Waterfall!W7)/$F$137,0)</f>
        <v>37.4491910832114</v>
      </c>
      <c r="X140" s="11" t="n">
        <f aca="false">IF(X134=1,(Waterfall!X7)/$F$137,0)</f>
        <v>37.0287442542734</v>
      </c>
      <c r="Y140" s="11" t="n">
        <f aca="false">IF(Y134=1,(Waterfall!Y7)/$F$137,0)</f>
        <v>36.8479874228282</v>
      </c>
      <c r="Z140" s="11" t="n">
        <f aca="false">IF(Z134=1,(Waterfall!Z7)/$F$137,0)</f>
        <v>37.1154068746468</v>
      </c>
      <c r="AA140" s="11" t="n">
        <f aca="false">IF(AA134=1,(Waterfall!AA7)/$F$137,0)</f>
        <v>36.8461165158536</v>
      </c>
      <c r="AB140" s="11" t="n">
        <f aca="false">IF(AB134=1,(Waterfall!AB7)/$F$137,0)</f>
        <v>37.2924547255151</v>
      </c>
      <c r="AC140" s="11" t="n">
        <f aca="false">IF(AC134=1,(Waterfall!AC7)/$F$137,0)</f>
        <v>36.7947529030219</v>
      </c>
      <c r="AD140" s="11" t="n">
        <f aca="false">IF(AD134=1,(Waterfall!AD7)/$F$137,0)</f>
        <v>37.0457151459899</v>
      </c>
      <c r="AE140" s="11" t="n">
        <f aca="false">IF(AE134=1,(Waterfall!AE7)/$F$137,0)</f>
        <v>37.0614866195509</v>
      </c>
      <c r="AF140" s="11" t="n">
        <f aca="false">IF(AF134=1,(Waterfall!AF7)/$F$137,0)</f>
        <v>38.387126233512</v>
      </c>
      <c r="AG140" s="11" t="n">
        <f aca="false">IF(AG134=1,(Waterfall!AG7)/$F$137,0)</f>
        <v>38.4811916221258</v>
      </c>
      <c r="AH140" s="11" t="n">
        <f aca="false">IF(AH134=1,(Waterfall!AH7)/$F$137,0)</f>
        <v>38.9422999031909</v>
      </c>
      <c r="AI140" s="11" t="n">
        <f aca="false">IF(AI134=1,(Waterfall!AI7)/$F$137,0)</f>
        <v>38.6692617598455</v>
      </c>
      <c r="AJ140" s="11" t="n">
        <f aca="false">IF(AJ134=1,(Waterfall!AJ7)/$F$137,0)</f>
        <v>39.1313055293623</v>
      </c>
      <c r="AK140" s="11" t="n">
        <f aca="false">IF(AK134=1,(Waterfall!AK7)/$F$137,0)</f>
        <v>38.8515099270663</v>
      </c>
      <c r="AL140" s="11" t="n">
        <f aca="false">IF(AL134=1,(Waterfall!AL7)/$F$137,0)</f>
        <v>38.6638938226344</v>
      </c>
      <c r="AM140" s="11" t="n">
        <f aca="false">IF(AM134=1,(Waterfall!AM7)/$F$137,0)</f>
        <v>38.6046642522232</v>
      </c>
      <c r="AN140" s="11" t="n">
        <f aca="false">IF(AN134=1,(Waterfall!AN7)/$F$137,0)</f>
        <v>31.8479991839766</v>
      </c>
      <c r="AO140" s="11" t="n">
        <f aca="false">IF(AO134=1,(Waterfall!AO7)/$F$137,0)</f>
        <v>31.0299471791205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617.512015160631</v>
      </c>
      <c r="R141" s="11" t="n">
        <f aca="false">IF(R134=1,IF(Time!R17=Time!$F$12,Funding!$F$25,Q141-Q142),0)</f>
        <v>601.101442779477</v>
      </c>
      <c r="S141" s="11" t="n">
        <f aca="false">IF(S134=1,IF(Time!S17=Time!$F$12,Funding!$F$25,R141-R142),0)</f>
        <v>583.919844990043</v>
      </c>
      <c r="T141" s="11" t="n">
        <f aca="false">IF(T134=1,IF(Time!T17=Time!$F$12,Funding!$F$25,S141-S142),0)</f>
        <v>566.203936837573</v>
      </c>
      <c r="U141" s="11" t="n">
        <f aca="false">IF(U134=1,IF(Time!U17=Time!$F$12,Funding!$F$25,T141-T142),0)</f>
        <v>547.6608131519</v>
      </c>
      <c r="V141" s="11" t="n">
        <f aca="false">IF(V134=1,IF(Time!V17=Time!$F$12,Funding!$F$25,U141-U142),0)</f>
        <v>528.624136609996</v>
      </c>
      <c r="W141" s="11" t="n">
        <f aca="false">IF(W134=1,IF(Time!W17=Time!$F$12,Funding!$F$25,V141-V142),0)</f>
        <v>509.293192871528</v>
      </c>
      <c r="X141" s="11" t="n">
        <f aca="false">IF(X134=1,IF(Time!X17=Time!$F$12,Funding!$F$25,W141-W142),0)</f>
        <v>489.172518424409</v>
      </c>
      <c r="Y141" s="11" t="n">
        <f aca="false">IF(Y134=1,IF(Time!Y17=Time!$F$12,Funding!$F$25,X141-X142),0)</f>
        <v>468.967983059897</v>
      </c>
      <c r="Z141" s="11" t="n">
        <f aca="false">IF(Z134=1,IF(Time!Z17=Time!$F$12,Funding!$F$25,Y141-Y142),0)</f>
        <v>448.574233478902</v>
      </c>
      <c r="AA141" s="11" t="n">
        <f aca="false">IF(AA134=1,IF(Time!AA17=Time!$F$12,Funding!$F$25,Z141-Z142),0)</f>
        <v>427.370747643895</v>
      </c>
      <c r="AB141" s="11" t="n">
        <f aca="false">IF(AB134=1,IF(Time!AB17=Time!$F$12,Funding!$F$25,AA141-AA142),0)</f>
        <v>405.51938595649</v>
      </c>
      <c r="AC141" s="11" t="n">
        <f aca="false">IF(AC134=1,IF(Time!AC17=Time!$F$12,Funding!$F$25,AB141-AB142),0)</f>
        <v>382.61160152142</v>
      </c>
      <c r="AD141" s="11" t="n">
        <f aca="false">IF(AD134=1,IF(Time!AD17=Time!$F$12,Funding!$F$25,AC141-AC142),0)</f>
        <v>359.290430662579</v>
      </c>
      <c r="AE141" s="11" t="n">
        <f aca="false">IF(AE134=1,IF(Time!AE17=Time!$F$12,Funding!$F$25,AD141-AD142),0)</f>
        <v>334.989542428878</v>
      </c>
      <c r="AF141" s="11" t="n">
        <f aca="false">IF(AF134=1,IF(Time!AF17=Time!$F$12,Funding!$F$25,AE141-AE142),0)</f>
        <v>309.681518315845</v>
      </c>
      <c r="AG141" s="11" t="n">
        <f aca="false">IF(AG134=1,IF(Time!AG17=Time!$F$12,Funding!$F$25,AF141-AF142),0)</f>
        <v>282.279481057823</v>
      </c>
      <c r="AH141" s="11" t="n">
        <f aca="false">IF(AH134=1,IF(Time!AH17=Time!$F$12,Funding!$F$25,AG141-AG142),0)</f>
        <v>254.001980690195</v>
      </c>
      <c r="AI141" s="11" t="n">
        <f aca="false">IF(AI134=1,IF(Time!AI17=Time!$F$12,Funding!$F$25,AH141-AH142),0)</f>
        <v>224.343764581914</v>
      </c>
      <c r="AJ141" s="11" t="n">
        <f aca="false">IF(AJ134=1,IF(Time!AJ17=Time!$F$12,Funding!$F$25,AI141-AI142),0)</f>
        <v>193.78396405562</v>
      </c>
      <c r="AK141" s="11" t="n">
        <f aca="false">IF(AK134=1,IF(Time!AK17=Time!$F$12,Funding!$F$25,AJ141-AJ142),0)</f>
        <v>161.735699987248</v>
      </c>
      <c r="AL141" s="11" t="n">
        <f aca="false">IF(AL134=1,IF(Time!AL17=Time!$F$12,Funding!$F$25,AK141-AK142),0)</f>
        <v>128.752294508494</v>
      </c>
      <c r="AM141" s="11" t="n">
        <f aca="false">IF(AM134=1,IF(Time!AM17=Time!$F$12,Funding!$F$25,AL141-AL142),0)</f>
        <v>94.7944548975463</v>
      </c>
      <c r="AN141" s="11" t="n">
        <f aca="false">IF(AN134=1,IF(Time!AN17=Time!$F$12,Funding!$F$25,AM141-AM142),0)</f>
        <v>59.6163710924328</v>
      </c>
      <c r="AO141" s="11" t="n">
        <f aca="false">IF(AO134=1,IF(Time!AO17=Time!$F$12,Funding!$F$25,AN141-AN142),0)</f>
        <v>29.947423360207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15.7439603821435</v>
      </c>
      <c r="Q142" s="11" t="n">
        <f aca="false">Q140-Q141*Q135</f>
        <v>16.4105723811539</v>
      </c>
      <c r="R142" s="11" t="n">
        <f aca="false">R140-R141*R135</f>
        <v>17.1815977894337</v>
      </c>
      <c r="S142" s="11" t="n">
        <f aca="false">S140-S141*S135</f>
        <v>17.7159081524701</v>
      </c>
      <c r="T142" s="11" t="n">
        <f aca="false">T140-T141*T135</f>
        <v>18.5431236856731</v>
      </c>
      <c r="U142" s="11" t="n">
        <f aca="false">U140-U141*U135</f>
        <v>19.0366765419037</v>
      </c>
      <c r="V142" s="11" t="n">
        <f aca="false">V140-V141*V135</f>
        <v>19.3309437384688</v>
      </c>
      <c r="W142" s="11" t="n">
        <f aca="false">W140-W141*W135</f>
        <v>20.1206744471186</v>
      </c>
      <c r="X142" s="11" t="n">
        <f aca="false">X140-X141*X135</f>
        <v>20.2045353645121</v>
      </c>
      <c r="Y142" s="11" t="n">
        <f aca="false">Y140-Y141*Y135</f>
        <v>20.3937495809948</v>
      </c>
      <c r="Z142" s="11" t="n">
        <f aca="false">Z140-Z141*Z135</f>
        <v>21.2034858350064</v>
      </c>
      <c r="AA142" s="11" t="n">
        <f aca="false">AA140-AA141*AA135</f>
        <v>21.8513616874057</v>
      </c>
      <c r="AB142" s="11" t="n">
        <f aca="false">AB140-AB141*AB135</f>
        <v>22.90778443507</v>
      </c>
      <c r="AC142" s="11" t="n">
        <f aca="false">AC140-AC141*AC135</f>
        <v>23.3211708588404</v>
      </c>
      <c r="AD142" s="11" t="n">
        <f aca="false">AD140-AD141*AD135</f>
        <v>24.3008882337009</v>
      </c>
      <c r="AE142" s="11" t="n">
        <f aca="false">AE140-AE141*AE135</f>
        <v>25.3080241130332</v>
      </c>
      <c r="AF142" s="11" t="n">
        <f aca="false">AF140-AF141*AF135</f>
        <v>27.4020372580226</v>
      </c>
      <c r="AG142" s="11" t="n">
        <f aca="false">AG140-AG141*AG135</f>
        <v>28.2775003676278</v>
      </c>
      <c r="AH142" s="11" t="n">
        <f aca="false">AH140-AH141*AH135</f>
        <v>29.6582161082813</v>
      </c>
      <c r="AI142" s="11" t="n">
        <f aca="false">AI140-AI141*AI135</f>
        <v>30.5598005262933</v>
      </c>
      <c r="AJ142" s="11" t="n">
        <f aca="false">AJ140-AJ141*AJ135</f>
        <v>32.0482640683727</v>
      </c>
      <c r="AK142" s="11" t="n">
        <f aca="false">AK140-AK141*AK135</f>
        <v>32.9834054787531</v>
      </c>
      <c r="AL142" s="11" t="n">
        <f aca="false">AL140-AL141*AL135</f>
        <v>33.9578396109481</v>
      </c>
      <c r="AM142" s="11" t="n">
        <f aca="false">AM140-AM141*AM135</f>
        <v>35.1780838051135</v>
      </c>
      <c r="AN142" s="11" t="n">
        <f aca="false">AN140-AN141*AN135</f>
        <v>29.6689477322257</v>
      </c>
      <c r="AO142" s="11" t="n">
        <f aca="false">AO140-AO141*AO135</f>
        <v>29.9474233602082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36.1992315517568</v>
      </c>
      <c r="AD9" s="11" t="n">
        <f aca="false">IF(Time!AD29=1,SUM(Funding!$J$44:$BJ$44),AC13)</f>
        <v>36.7678244305152</v>
      </c>
      <c r="AE9" s="11" t="n">
        <f aca="false">IF(Time!AE29=1,SUM(Funding!$J$44:$BJ$44),AD13)</f>
        <v>36.0360476420817</v>
      </c>
      <c r="AF9" s="11" t="n">
        <f aca="false">IF(Time!AF29=1,SUM(Funding!$J$44:$BJ$44),AE13)</f>
        <v>35.2245441795351</v>
      </c>
      <c r="AG9" s="11" t="n">
        <f aca="false">IF(Time!AG29=1,SUM(Funding!$J$44:$BJ$44),AF13)</f>
        <v>33.8975249025636</v>
      </c>
      <c r="AH9" s="11" t="n">
        <f aca="false">IF(Time!AH29=1,SUM(Funding!$J$44:$BJ$44),AG13)</f>
        <v>32.9416481949476</v>
      </c>
      <c r="AI9" s="11" t="n">
        <f aca="false">IF(Time!AI29=1,SUM(Funding!$J$44:$BJ$44),AH13)</f>
        <v>31.0781446009488</v>
      </c>
      <c r="AJ9" s="11" t="n">
        <f aca="false">IF(Time!AJ29=1,SUM(Funding!$J$44:$BJ$44),AI13)</f>
        <v>29.3509485408672</v>
      </c>
      <c r="AK9" s="11" t="n">
        <f aca="false">IF(Time!AK29=1,SUM(Funding!$J$44:$BJ$44),AJ13)</f>
        <v>26.6908039231563</v>
      </c>
      <c r="AL9" s="11" t="n">
        <f aca="false">IF(Time!AL29=1,SUM(Funding!$J$44:$BJ$44),AK13)</f>
        <v>23.7263439046152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2.90292662187893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0.568592878758452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40.1488220589743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0.805517080219424</v>
      </c>
      <c r="AC12" s="11" t="n">
        <f aca="false">MAX(0,AC9-AC10-Debt!AC132)</f>
        <v>0</v>
      </c>
      <c r="AD12" s="11" t="n">
        <f aca="false">MAX(0,AD9-AD10-Debt!AD132)</f>
        <v>0.731776788433507</v>
      </c>
      <c r="AE12" s="11" t="n">
        <f aca="false">MAX(0,AE9-AE10-Debt!AE132)</f>
        <v>0.811503462546625</v>
      </c>
      <c r="AF12" s="11" t="n">
        <f aca="false">MAX(0,AF9-AF10-Debt!AF132)</f>
        <v>1.3270192769715</v>
      </c>
      <c r="AG12" s="11" t="n">
        <f aca="false">MAX(0,AG9-AG10-Debt!AG132)</f>
        <v>0.955876707615964</v>
      </c>
      <c r="AH12" s="11" t="n">
        <f aca="false">MAX(0,AH9-AH10-Debt!AH132)</f>
        <v>1.86350359399879</v>
      </c>
      <c r="AI12" s="11" t="n">
        <f aca="false">MAX(0,AI9-AI10-Debt!AI132)</f>
        <v>1.72719606008159</v>
      </c>
      <c r="AJ12" s="11" t="n">
        <f aca="false">MAX(0,AJ9-AJ10-Debt!AJ132)</f>
        <v>2.66014461771097</v>
      </c>
      <c r="AK12" s="11" t="n">
        <f aca="false">MAX(0,AK9-AK10-Debt!AK132)</f>
        <v>2.96446001854105</v>
      </c>
      <c r="AL12" s="11" t="n">
        <f aca="false">MAX(0,AL9-AL10-Debt!AL132)</f>
        <v>0.157052051337132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36.1992315517568</v>
      </c>
      <c r="AC13" s="11" t="n">
        <f aca="false">(1-Time!AC32)*(AC9-AC10+AC11-AC12)</f>
        <v>36.7678244305152</v>
      </c>
      <c r="AD13" s="11" t="n">
        <f aca="false">(1-Time!AD32)*(AD9-AD10+AD11-AD12)</f>
        <v>36.0360476420817</v>
      </c>
      <c r="AE13" s="11" t="n">
        <f aca="false">(1-Time!AE32)*(AE9-AE10+AE11-AE12)</f>
        <v>35.2245441795351</v>
      </c>
      <c r="AF13" s="11" t="n">
        <f aca="false">(1-Time!AF32)*(AF9-AF10+AF11-AF12)</f>
        <v>33.8975249025636</v>
      </c>
      <c r="AG13" s="11" t="n">
        <f aca="false">(1-Time!AG32)*(AG9-AG10+AG11-AG12)</f>
        <v>32.9416481949476</v>
      </c>
      <c r="AH13" s="11" t="n">
        <f aca="false">(1-Time!AH32)*(AH9-AH10+AH11-AH12)</f>
        <v>31.0781446009488</v>
      </c>
      <c r="AI13" s="11" t="n">
        <f aca="false">(1-Time!AI32)*(AI9-AI10+AI11-AI12)</f>
        <v>29.3509485408672</v>
      </c>
      <c r="AJ13" s="11" t="n">
        <f aca="false">(1-Time!AJ32)*(AJ9-AJ10+AJ11-AJ12)</f>
        <v>26.6908039231563</v>
      </c>
      <c r="AK13" s="11" t="n">
        <f aca="false">(1-Time!AK32)*(AK9-AK10+AK11-AK12)</f>
        <v>23.7263439046152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2300.06059252034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1.94526082211549</v>
      </c>
      <c r="P7" s="11" t="n">
        <f aca="false">Operations!P79-Tax!P27-Operations!P91-Reserves!P7+Operations!P74+Operations!P92</f>
        <v>50.5587953236546</v>
      </c>
      <c r="Q7" s="11" t="n">
        <f aca="false">Operations!Q79-Tax!Q27-Operations!Q91-Reserves!Q7+Operations!Q74+Operations!Q92</f>
        <v>50.442219274486</v>
      </c>
      <c r="R7" s="11" t="n">
        <f aca="false">Operations!R79-Tax!R27-Operations!R91-Reserves!R7+Operations!R74+Operations!R92</f>
        <v>51.0277336692931</v>
      </c>
      <c r="S7" s="11" t="n">
        <f aca="false">Operations!S79-Tax!S27-Operations!S91-Reserves!S7+Operations!S74+Operations!S92</f>
        <v>50.6712762345651</v>
      </c>
      <c r="T7" s="11" t="n">
        <f aca="false">Operations!T79-Tax!T27-Operations!T91-Reserves!T7+Operations!T74+Operations!T92</f>
        <v>51.2552214181002</v>
      </c>
      <c r="U7" s="11" t="n">
        <f aca="false">Operations!U79-Tax!U27-Operations!U91-Reserves!U7+Operations!U74+Operations!U92</f>
        <v>50.8793760801711</v>
      </c>
      <c r="V7" s="11" t="n">
        <f aca="false">Operations!V79-Tax!V27-Operations!V91-Reserves!V7+Operations!V74+Operations!V92</f>
        <v>50.5748110157739</v>
      </c>
      <c r="W7" s="11" t="n">
        <f aca="false">Operations!W79-Tax!W27-Operations!W91-Reserves!W7+Operations!W74+Operations!W92</f>
        <v>50.4901031193111</v>
      </c>
      <c r="X7" s="11" t="n">
        <f aca="false">Operations!X79-Tax!X27-Operations!X91-Reserves!X7+Operations!X74+Operations!X92</f>
        <v>49.9232443131463</v>
      </c>
      <c r="Y7" s="11" t="n">
        <f aca="false">Operations!Y79-Tax!Y27-Operations!Y91-Reserves!Y7+Operations!Y74+Operations!Y92</f>
        <v>49.6795426257345</v>
      </c>
      <c r="Z7" s="11" t="n">
        <f aca="false">Operations!Z79-Tax!Z27-Operations!Z91-Reserves!Z7+Operations!Z74+Operations!Z92</f>
        <v>50.0400854120507</v>
      </c>
      <c r="AA7" s="11" t="n">
        <f aca="false">Operations!AA79-Tax!AA27-Operations!AA91-Reserves!AA7+Operations!AA74+Operations!AA92</f>
        <v>49.677020213812</v>
      </c>
      <c r="AB7" s="11" t="n">
        <f aca="false">Operations!AB79-Tax!AB27-Operations!AB91-Reserves!AB7+Operations!AB74+Operations!AB92</f>
        <v>50.2787865425378</v>
      </c>
      <c r="AC7" s="11" t="n">
        <f aca="false">Operations!AC79-Tax!AC27-Operations!AC91-Reserves!AC7+Operations!AC74+Operations!AC92</f>
        <v>49.6077702772062</v>
      </c>
      <c r="AD7" s="11" t="n">
        <f aca="false">Operations!AD79-Tax!AD27-Operations!AD91-Reserves!AD7+Operations!AD74+Operations!AD92</f>
        <v>49.9461249695239</v>
      </c>
      <c r="AE7" s="11" t="n">
        <f aca="false">Operations!AE79-Tax!AE27-Operations!AE91-Reserves!AE7+Operations!AE74+Operations!AE92</f>
        <v>49.9673885349949</v>
      </c>
      <c r="AF7" s="11" t="n">
        <f aca="false">Operations!AF79-Tax!AF27-Operations!AF91-Reserves!AF7+Operations!AF74+Operations!AF92</f>
        <v>51.7546549317302</v>
      </c>
      <c r="AG7" s="11" t="n">
        <f aca="false">Operations!AG79-Tax!AG27-Operations!AG91-Reserves!AG7+Operations!AG74+Operations!AG92</f>
        <v>51.8814766609504</v>
      </c>
      <c r="AH7" s="11" t="n">
        <f aca="false">Operations!AH79-Tax!AH27-Operations!AH91-Reserves!AH7+Operations!AH74+Operations!AH92</f>
        <v>52.5031564352454</v>
      </c>
      <c r="AI7" s="11" t="n">
        <f aca="false">Operations!AI79-Tax!AI27-Operations!AI91-Reserves!AI7+Operations!AI74+Operations!AI92</f>
        <v>52.135038363419</v>
      </c>
      <c r="AJ7" s="11" t="n">
        <f aca="false">Operations!AJ79-Tax!AJ27-Operations!AJ91-Reserves!AJ7+Operations!AJ74+Operations!AJ92</f>
        <v>52.7579793908153</v>
      </c>
      <c r="AK7" s="11" t="n">
        <f aca="false">Operations!AK79-Tax!AK27-Operations!AK91-Reserves!AK7+Operations!AK74+Operations!AK92</f>
        <v>52.3807507136761</v>
      </c>
      <c r="AL7" s="11" t="n">
        <f aca="false">Operations!AL79-Tax!AL27-Operations!AL91-Reserves!AL7+Operations!AL74+Operations!AL92</f>
        <v>52.1278011522673</v>
      </c>
      <c r="AM7" s="11" t="n">
        <f aca="false">Operations!AM79-Tax!AM27-Operations!AM91-Reserves!AM7+Operations!AM74+Operations!AM92</f>
        <v>52.0479460998276</v>
      </c>
      <c r="AN7" s="11" t="n">
        <f aca="false">Operations!AN79-Tax!AN27-Operations!AN91-Reserves!AN7+Operations!AN74+Operations!AN92</f>
        <v>42.9384111226795</v>
      </c>
      <c r="AO7" s="11" t="n">
        <f aca="false">Operations!AO79-Tax!AO27-Operations!AO91-Reserves!AO7+Operations!AO74+Operations!AO92</f>
        <v>41.8354893001395</v>
      </c>
      <c r="AP7" s="11" t="n">
        <f aca="false">Operations!AP79-Tax!AP27-Operations!AP91-Reserves!AP7+Operations!AP74+Operations!AP92</f>
        <v>41.8553230552979</v>
      </c>
      <c r="AQ7" s="11" t="n">
        <f aca="false">Operations!AQ79-Tax!AQ27-Operations!AQ91-Reserves!AQ7+Operations!AQ74+Operations!AQ92</f>
        <v>41.4261240282784</v>
      </c>
      <c r="AR7" s="11" t="n">
        <f aca="false">Operations!AR79-Tax!AR27-Operations!AR91-Reserves!AR7+Operations!AR74+Operations!AR92</f>
        <v>42.0440281859729</v>
      </c>
      <c r="AS7" s="11" t="n">
        <f aca="false">Operations!AS79-Tax!AS27-Operations!AS91-Reserves!AS7+Operations!AS74+Operations!AS92</f>
        <v>41.4778377035045</v>
      </c>
      <c r="AT7" s="11" t="n">
        <f aca="false">Operations!AT79-Tax!AT27-Operations!AT91-Reserves!AT7+Operations!AT74+Operations!AT92</f>
        <v>47.0900929500161</v>
      </c>
      <c r="AU7" s="11" t="n">
        <f aca="false">Operations!AU79-Tax!AU27-Operations!AU91-Reserves!AU7+Operations!AU74+Operations!AU92</f>
        <v>42.4479272064973</v>
      </c>
      <c r="AV7" s="11" t="n">
        <f aca="false">Operations!AV79-Tax!AV27-Operations!AV91-Reserves!AV7+Operations!AV74+Operations!AV92</f>
        <v>43.68305656927</v>
      </c>
      <c r="AW7" s="11" t="n">
        <f aca="false">Operations!AW79-Tax!AW27-Operations!AW91-Reserves!AW7+Operations!AW74+Operations!AW92</f>
        <v>43.7899850073499</v>
      </c>
      <c r="AX7" s="11" t="n">
        <f aca="false">Operations!AX79-Tax!AX27-Operations!AX91-Reserves!AX7+Operations!AX74+Operations!AX92</f>
        <v>44.4351922012715</v>
      </c>
      <c r="AY7" s="11" t="n">
        <f aca="false">Operations!AY79-Tax!AY27-Operations!AY91-Reserves!AY7+Operations!AY74+Operations!AY92</f>
        <v>43.9968593767662</v>
      </c>
      <c r="AZ7" s="11" t="n">
        <f aca="false">Operations!AZ79-Tax!AZ27-Operations!AZ91-Reserves!AZ7+Operations!AZ74+Operations!AZ92</f>
        <v>44.6373201088508</v>
      </c>
      <c r="BA7" s="11" t="n">
        <f aca="false">Operations!BA79-Tax!BA27-Operations!BA91-Reserves!BA7+Operations!BA74+Operations!BA92</f>
        <v>44.2498663359626</v>
      </c>
      <c r="BB7" s="11" t="n">
        <f aca="false">Operations!BB79-Tax!BB27-Operations!BB91-Reserves!BB7+Operations!BB74+Operations!BB92</f>
        <v>45.5723865713941</v>
      </c>
      <c r="BC7" s="11" t="n">
        <f aca="false">Operations!BC79-Tax!BC27-Operations!BC91-Reserves!BC7+Operations!BC74+Operations!BC92</f>
        <v>42.2046416372894</v>
      </c>
      <c r="BD7" s="11" t="n">
        <f aca="false">Operations!BD79-Tax!BD27-Operations!BD91-Reserves!BD7+Operations!BD74+Operations!BD92</f>
        <v>36.8346013740858</v>
      </c>
      <c r="BE7" s="11" t="n">
        <f aca="false">Operations!BE79-Tax!BE27-Operations!BE91-Reserves!BE7+Operations!BE74+Operations!BE92</f>
        <v>36.6734801635497</v>
      </c>
      <c r="BF7" s="11" t="n">
        <f aca="false">Operations!BF79-Tax!BF27-Operations!BF91-Reserves!BF7+Operations!BF74+Operations!BF92</f>
        <v>37.3473797915072</v>
      </c>
      <c r="BG7" s="11" t="n">
        <f aca="false">Operations!BG79-Tax!BG27-Operations!BG91-Reserves!BG7+Operations!BG74+Operations!BG92</f>
        <v>36.8991553832777</v>
      </c>
      <c r="BH7" s="11" t="n">
        <f aca="false">Operations!BH79-Tax!BH27-Operations!BH91-Reserves!BH7+Operations!BH74+Operations!BH92</f>
        <v>37.5640163055069</v>
      </c>
      <c r="BI7" s="11" t="n">
        <f aca="false">Operations!BI79-Tax!BI27-Operations!BI91-Reserves!BI7+Operations!BI74+Operations!BI92</f>
        <v>36.9795350865903</v>
      </c>
      <c r="BJ7" s="11" t="n">
        <f aca="false">Operations!BJ79-Tax!BJ27-Operations!BJ91-Reserves!BJ7+Operations!BJ74+Operations!BJ92</f>
        <v>43.7701300868403</v>
      </c>
      <c r="BK7" s="11" t="n">
        <f aca="false">Operations!BK79-Tax!BK27-Operations!BK91-Reserves!BK7+Operations!BK74+Operations!BK92</f>
        <v>38.3037251186816</v>
      </c>
      <c r="BL7" s="11" t="n">
        <f aca="false">Operations!BL79-Tax!BL27-Operations!BL91-Reserves!BL7+Operations!BL74+Operations!BL92</f>
        <v>40.2676816601926</v>
      </c>
      <c r="BM7" s="11" t="n">
        <f aca="false">Operations!BM79-Tax!BM27-Operations!BM91-Reserves!BM7+Operations!BM74+Operations!BM92</f>
        <v>37.1827825951588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1.94526082211437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1.94526082211549</v>
      </c>
      <c r="P9" s="11" t="n">
        <f aca="false">P7+P8</f>
        <v>52.504056145769</v>
      </c>
      <c r="Q9" s="11" t="n">
        <f aca="false">Q7+Q8</f>
        <v>50.442219274486</v>
      </c>
      <c r="R9" s="11" t="n">
        <f aca="false">R7+R8</f>
        <v>51.0277336692931</v>
      </c>
      <c r="S9" s="11" t="n">
        <f aca="false">S7+S8</f>
        <v>50.6712762345651</v>
      </c>
      <c r="T9" s="11" t="n">
        <f aca="false">T7+T8</f>
        <v>51.2552214181002</v>
      </c>
      <c r="U9" s="11" t="n">
        <f aca="false">U7+U8</f>
        <v>50.8793760801711</v>
      </c>
      <c r="V9" s="11" t="n">
        <f aca="false">V7+V8</f>
        <v>50.5748110157739</v>
      </c>
      <c r="W9" s="11" t="n">
        <f aca="false">W7+W8</f>
        <v>50.4901031193111</v>
      </c>
      <c r="X9" s="11" t="n">
        <f aca="false">X7+X8</f>
        <v>49.9232443131463</v>
      </c>
      <c r="Y9" s="11" t="n">
        <f aca="false">Y7+Y8</f>
        <v>49.6795426257345</v>
      </c>
      <c r="Z9" s="11" t="n">
        <f aca="false">Z7+Z8</f>
        <v>50.0400854120507</v>
      </c>
      <c r="AA9" s="11" t="n">
        <f aca="false">AA7+AA8</f>
        <v>49.677020213812</v>
      </c>
      <c r="AB9" s="11" t="n">
        <f aca="false">AB7+AB8</f>
        <v>50.2787865425378</v>
      </c>
      <c r="AC9" s="11" t="n">
        <f aca="false">AC7+AC8</f>
        <v>49.6077702772062</v>
      </c>
      <c r="AD9" s="11" t="n">
        <f aca="false">AD7+AD8</f>
        <v>49.9461249695239</v>
      </c>
      <c r="AE9" s="11" t="n">
        <f aca="false">AE7+AE8</f>
        <v>49.9673885349949</v>
      </c>
      <c r="AF9" s="11" t="n">
        <f aca="false">AF7+AF8</f>
        <v>51.7546549317302</v>
      </c>
      <c r="AG9" s="11" t="n">
        <f aca="false">AG7+AG8</f>
        <v>51.8814766609504</v>
      </c>
      <c r="AH9" s="11" t="n">
        <f aca="false">AH7+AH8</f>
        <v>52.5031564352454</v>
      </c>
      <c r="AI9" s="11" t="n">
        <f aca="false">AI7+AI8</f>
        <v>52.135038363419</v>
      </c>
      <c r="AJ9" s="11" t="n">
        <f aca="false">AJ7+AJ8</f>
        <v>52.7579793908153</v>
      </c>
      <c r="AK9" s="11" t="n">
        <f aca="false">AK7+AK8</f>
        <v>52.3807507136761</v>
      </c>
      <c r="AL9" s="11" t="n">
        <f aca="false">AL7+AL8</f>
        <v>52.1278011522673</v>
      </c>
      <c r="AM9" s="11" t="n">
        <f aca="false">AM7+AM8</f>
        <v>52.0479460998276</v>
      </c>
      <c r="AN9" s="11" t="n">
        <f aca="false">AN7+AN8</f>
        <v>42.9384111226795</v>
      </c>
      <c r="AO9" s="11" t="n">
        <f aca="false">AO7+AO8</f>
        <v>41.8354893001395</v>
      </c>
      <c r="AP9" s="11" t="n">
        <f aca="false">AP7+AP8</f>
        <v>41.8553230552979</v>
      </c>
      <c r="AQ9" s="11" t="n">
        <f aca="false">AQ7+AQ8</f>
        <v>41.4261240282784</v>
      </c>
      <c r="AR9" s="11" t="n">
        <f aca="false">AR7+AR8</f>
        <v>42.0440281859729</v>
      </c>
      <c r="AS9" s="11" t="n">
        <f aca="false">AS7+AS8</f>
        <v>41.4778377035045</v>
      </c>
      <c r="AT9" s="11" t="n">
        <f aca="false">AT7+AT8</f>
        <v>47.0900929500161</v>
      </c>
      <c r="AU9" s="11" t="n">
        <f aca="false">AU7+AU8</f>
        <v>42.4479272064973</v>
      </c>
      <c r="AV9" s="11" t="n">
        <f aca="false">AV7+AV8</f>
        <v>43.68305656927</v>
      </c>
      <c r="AW9" s="11" t="n">
        <f aca="false">AW7+AW8</f>
        <v>43.7899850073499</v>
      </c>
      <c r="AX9" s="11" t="n">
        <f aca="false">AX7+AX8</f>
        <v>44.4351922012715</v>
      </c>
      <c r="AY9" s="11" t="n">
        <f aca="false">AY7+AY8</f>
        <v>43.9968593767662</v>
      </c>
      <c r="AZ9" s="11" t="n">
        <f aca="false">AZ7+AZ8</f>
        <v>44.6373201088508</v>
      </c>
      <c r="BA9" s="11" t="n">
        <f aca="false">BA7+BA8</f>
        <v>44.2498663359626</v>
      </c>
      <c r="BB9" s="11" t="n">
        <f aca="false">BB7+BB8</f>
        <v>45.5723865713941</v>
      </c>
      <c r="BC9" s="11" t="n">
        <f aca="false">BC7+BC8</f>
        <v>42.2046416372894</v>
      </c>
      <c r="BD9" s="11" t="n">
        <f aca="false">BD7+BD8</f>
        <v>36.8346013740858</v>
      </c>
      <c r="BE9" s="11" t="n">
        <f aca="false">BE7+BE8</f>
        <v>36.6734801635497</v>
      </c>
      <c r="BF9" s="11" t="n">
        <f aca="false">BF7+BF8</f>
        <v>37.3473797915072</v>
      </c>
      <c r="BG9" s="11" t="n">
        <f aca="false">BG7+BG8</f>
        <v>36.8991553832777</v>
      </c>
      <c r="BH9" s="11" t="n">
        <f aca="false">BH7+BH8</f>
        <v>37.5640163055069</v>
      </c>
      <c r="BI9" s="11" t="n">
        <f aca="false">BI7+BI8</f>
        <v>36.9795350865903</v>
      </c>
      <c r="BJ9" s="11" t="n">
        <f aca="false">BJ7+BJ8</f>
        <v>43.7701300868403</v>
      </c>
      <c r="BK9" s="11" t="n">
        <f aca="false">BK7+BK8</f>
        <v>38.3037251186816</v>
      </c>
      <c r="BL9" s="11" t="n">
        <f aca="false">BL7+BL8</f>
        <v>40.2676816601926</v>
      </c>
      <c r="BM9" s="11" t="n">
        <f aca="false">BM7+BM8</f>
        <v>37.1827825951588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852.514903093961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36.3422576576055</v>
      </c>
      <c r="AC10" s="11" t="n">
        <f aca="false">Debt!AC121+Debt!AC117</f>
        <v>35.3940804928819</v>
      </c>
      <c r="AD10" s="11" t="n">
        <f aca="false">Debt!AD121+Debt!AD117</f>
        <v>35.9516450952371</v>
      </c>
      <c r="AE10" s="11" t="n">
        <f aca="false">Debt!AE121+Debt!AE117</f>
        <v>35.0976056344532</v>
      </c>
      <c r="AF10" s="11" t="n">
        <f aca="false">Debt!AF121+Debt!AF117</f>
        <v>34.1419140064913</v>
      </c>
      <c r="AG10" s="11" t="n">
        <f aca="false">Debt!AG121+Debt!AG117</f>
        <v>32.4714062820932</v>
      </c>
      <c r="AH10" s="11" t="n">
        <f aca="false">Debt!AH121+Debt!AH117</f>
        <v>31.2309590495634</v>
      </c>
      <c r="AI10" s="11" t="n">
        <f aca="false">Debt!AI121+Debt!AI117</f>
        <v>28.9235853753228</v>
      </c>
      <c r="AJ10" s="11" t="n">
        <f aca="false">Debt!AJ121+Debt!AJ117</f>
        <v>26.6602548354676</v>
      </c>
      <c r="AK10" s="11" t="n">
        <f aca="false">Debt!AK121+Debt!AK117</f>
        <v>23.043032721089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1.94526082211549</v>
      </c>
      <c r="P13" s="11" t="n">
        <f aca="false">MAX(0,P9-P10)</f>
        <v>15.2581607086725</v>
      </c>
      <c r="Q13" s="11" t="n">
        <f aca="false">MAX(0,Q9-Q10)</f>
        <v>13.2852028193402</v>
      </c>
      <c r="R13" s="11" t="n">
        <f aca="false">MAX(0,R9-R10)</f>
        <v>13.4029485816151</v>
      </c>
      <c r="S13" s="11" t="n">
        <f aca="false">MAX(0,S9-S10)</f>
        <v>13.3379637420081</v>
      </c>
      <c r="T13" s="11" t="n">
        <f aca="false">MAX(0,T9-T10)</f>
        <v>13.5040036363524</v>
      </c>
      <c r="U13" s="11" t="n">
        <f aca="false">MAX(0,U9-U10)</f>
        <v>13.3086833253184</v>
      </c>
      <c r="V13" s="11" t="n">
        <f aca="false">MAX(0,V9-V10)</f>
        <v>12.2868907806156</v>
      </c>
      <c r="W13" s="11" t="n">
        <f aca="false">MAX(0,W9-W10)</f>
        <v>12.4668756934413</v>
      </c>
      <c r="X13" s="11" t="n">
        <f aca="false">MAX(0,X9-X10)</f>
        <v>12.9964492385569</v>
      </c>
      <c r="Y13" s="11" t="n">
        <f aca="false">MAX(0,Y9-Y10)</f>
        <v>13.1091505811893</v>
      </c>
      <c r="Z13" s="11" t="n">
        <f aca="false">MAX(0,Z9-Z10)</f>
        <v>13.1687223035366</v>
      </c>
      <c r="AA13" s="11" t="n">
        <f aca="false">MAX(0,AA9-AA10)</f>
        <v>13.1027328589575</v>
      </c>
      <c r="AB13" s="11" t="n">
        <f aca="false">MAX(0,AB9-AB10)</f>
        <v>13.9365288849323</v>
      </c>
      <c r="AC13" s="11" t="n">
        <f aca="false">MAX(0,AC9-AC10)</f>
        <v>14.2136897843243</v>
      </c>
      <c r="AD13" s="11" t="n">
        <f aca="false">MAX(0,AD9-AD10)</f>
        <v>13.9944798742868</v>
      </c>
      <c r="AE13" s="11" t="n">
        <f aca="false">MAX(0,AE9-AE10)</f>
        <v>14.8697829005418</v>
      </c>
      <c r="AF13" s="11" t="n">
        <f aca="false">MAX(0,AF9-AF10)</f>
        <v>17.6127409252389</v>
      </c>
      <c r="AG13" s="11" t="n">
        <f aca="false">MAX(0,AG9-AG10)</f>
        <v>19.4100703788572</v>
      </c>
      <c r="AH13" s="11" t="n">
        <f aca="false">MAX(0,AH9-AH10)</f>
        <v>21.272197385682</v>
      </c>
      <c r="AI13" s="11" t="n">
        <f aca="false">MAX(0,AI9-AI10)</f>
        <v>23.2114529880962</v>
      </c>
      <c r="AJ13" s="11" t="n">
        <f aca="false">MAX(0,AJ9-AJ10)</f>
        <v>26.0977245553477</v>
      </c>
      <c r="AK13" s="11" t="n">
        <f aca="false">MAX(0,AK9-AK10)</f>
        <v>29.3377179925871</v>
      </c>
      <c r="AL13" s="11" t="n">
        <f aca="false">MAX(0,AL9-AL10)</f>
        <v>28.4137613168709</v>
      </c>
      <c r="AM13" s="11" t="n">
        <f aca="false">MAX(0,AM9-AM10)</f>
        <v>28.4786542465496</v>
      </c>
      <c r="AN13" s="11" t="n">
        <f aca="false">MAX(0,AN9-AN10)</f>
        <v>23.8063938678153</v>
      </c>
      <c r="AO13" s="11" t="n">
        <f aca="false">MAX(0,AO9-AO10)</f>
        <v>22.9295815525314</v>
      </c>
      <c r="AP13" s="11" t="n">
        <f aca="false">MAX(0,AP9-AP10)</f>
        <v>41.8553230552979</v>
      </c>
      <c r="AQ13" s="11" t="n">
        <f aca="false">MAX(0,AQ9-AQ10)</f>
        <v>41.4261240282784</v>
      </c>
      <c r="AR13" s="11" t="n">
        <f aca="false">MAX(0,AR9-AR10)</f>
        <v>42.0440281859729</v>
      </c>
      <c r="AS13" s="11" t="n">
        <f aca="false">MAX(0,AS9-AS10)</f>
        <v>41.4778377035045</v>
      </c>
      <c r="AT13" s="11" t="n">
        <f aca="false">MAX(0,AT9-AT10)</f>
        <v>47.0900929500161</v>
      </c>
      <c r="AU13" s="11" t="n">
        <f aca="false">MAX(0,AU9-AU10)</f>
        <v>42.4479272064973</v>
      </c>
      <c r="AV13" s="11" t="n">
        <f aca="false">MAX(0,AV9-AV10)</f>
        <v>43.68305656927</v>
      </c>
      <c r="AW13" s="11" t="n">
        <f aca="false">MAX(0,AW9-AW10)</f>
        <v>43.7899850073499</v>
      </c>
      <c r="AX13" s="11" t="n">
        <f aca="false">MAX(0,AX9-AX10)</f>
        <v>44.4351922012715</v>
      </c>
      <c r="AY13" s="11" t="n">
        <f aca="false">MAX(0,AY9-AY10)</f>
        <v>43.9968593767662</v>
      </c>
      <c r="AZ13" s="11" t="n">
        <f aca="false">MAX(0,AZ9-AZ10)</f>
        <v>44.6373201088508</v>
      </c>
      <c r="BA13" s="11" t="n">
        <f aca="false">MAX(0,BA9-BA10)</f>
        <v>44.2498663359626</v>
      </c>
      <c r="BB13" s="11" t="n">
        <f aca="false">MAX(0,BB9-BB10)</f>
        <v>45.5723865713941</v>
      </c>
      <c r="BC13" s="11" t="n">
        <f aca="false">MAX(0,BC9-BC10)</f>
        <v>42.2046416372894</v>
      </c>
      <c r="BD13" s="11" t="n">
        <f aca="false">MAX(0,BD9-BD10)</f>
        <v>36.8346013740858</v>
      </c>
      <c r="BE13" s="11" t="n">
        <f aca="false">MAX(0,BE9-BE10)</f>
        <v>36.6734801635497</v>
      </c>
      <c r="BF13" s="11" t="n">
        <f aca="false">MAX(0,BF9-BF10)</f>
        <v>37.3473797915072</v>
      </c>
      <c r="BG13" s="11" t="n">
        <f aca="false">MAX(0,BG9-BG10)</f>
        <v>36.8991553832777</v>
      </c>
      <c r="BH13" s="11" t="n">
        <f aca="false">MAX(0,BH9-BH10)</f>
        <v>37.5640163055069</v>
      </c>
      <c r="BI13" s="11" t="n">
        <f aca="false">MAX(0,BI9-BI10)</f>
        <v>36.9795350865903</v>
      </c>
      <c r="BJ13" s="11" t="n">
        <f aca="false">MAX(0,BJ9-BJ10)</f>
        <v>43.7701300868403</v>
      </c>
      <c r="BK13" s="11" t="n">
        <f aca="false">MAX(0,BK9-BK10)</f>
        <v>38.3037251186816</v>
      </c>
      <c r="BL13" s="11" t="n">
        <f aca="false">MAX(0,BL9-BL10)</f>
        <v>40.2676816601926</v>
      </c>
      <c r="BM13" s="11" t="n">
        <f aca="false">MAX(0,BM9-BM10)</f>
        <v>37.1827825951588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1.94526082211437</v>
      </c>
      <c r="P14" s="11" t="n">
        <f aca="false">P13-Reserves!P11+Reserves!P12</f>
        <v>15.3470396906232</v>
      </c>
      <c r="Q14" s="11" t="n">
        <f aca="false">Q13-Reserves!Q11+Reserves!Q12</f>
        <v>12.817434186808</v>
      </c>
      <c r="R14" s="11" t="n">
        <f aca="false">R13-Reserves!R11+Reserves!R12</f>
        <v>13.6944211767362</v>
      </c>
      <c r="S14" s="11" t="n">
        <f aca="false">S13-Reserves!S11+Reserves!S12</f>
        <v>12.9200584528173</v>
      </c>
      <c r="T14" s="11" t="n">
        <f aca="false">T13-Reserves!T11+Reserves!T12</f>
        <v>13.6845286632475</v>
      </c>
      <c r="U14" s="11" t="n">
        <f aca="false">U13-Reserves!U11+Reserves!U12</f>
        <v>12.5914558450127</v>
      </c>
      <c r="V14" s="11" t="n">
        <f aca="false">V13-Reserves!V11+Reserves!V12</f>
        <v>12.5515835899042</v>
      </c>
      <c r="W14" s="11" t="n">
        <f aca="false">W13-Reserves!W11+Reserves!W12</f>
        <v>13.5633080447217</v>
      </c>
      <c r="X14" s="11" t="n">
        <f aca="false">X13-Reserves!X11+Reserves!X12</f>
        <v>13.3528522686011</v>
      </c>
      <c r="Y14" s="11" t="n">
        <f aca="false">Y13-Reserves!Y11+Reserves!Y12</f>
        <v>12.8081795172204</v>
      </c>
      <c r="Z14" s="11" t="n">
        <f aca="false">Z13-Reserves!Z11+Reserves!Z12</f>
        <v>13.4657980571963</v>
      </c>
      <c r="AA14" s="11" t="n">
        <f aca="false">AA13-Reserves!AA11+Reserves!AA12</f>
        <v>12.6722715818358</v>
      </c>
      <c r="AB14" s="11" t="n">
        <f aca="false">AB13-Reserves!AB11+Reserves!AB12</f>
        <v>14.7420459651517</v>
      </c>
      <c r="AC14" s="11" t="n">
        <f aca="false">AC13-Reserves!AC11+Reserves!AC12</f>
        <v>13.6450969055659</v>
      </c>
      <c r="AD14" s="11" t="n">
        <f aca="false">AD13-Reserves!AD11+Reserves!AD12</f>
        <v>14.7262566627203</v>
      </c>
      <c r="AE14" s="11" t="n">
        <f aca="false">AE13-Reserves!AE11+Reserves!AE12</f>
        <v>15.6812863630884</v>
      </c>
      <c r="AF14" s="11" t="n">
        <f aca="false">AF13-Reserves!AF11+Reserves!AF12</f>
        <v>18.9397602022104</v>
      </c>
      <c r="AG14" s="11" t="n">
        <f aca="false">AG13-Reserves!AG11+Reserves!AG12</f>
        <v>20.3659470864732</v>
      </c>
      <c r="AH14" s="11" t="n">
        <f aca="false">AH13-Reserves!AH11+Reserves!AH12</f>
        <v>23.1357009796808</v>
      </c>
      <c r="AI14" s="11" t="n">
        <f aca="false">AI13-Reserves!AI11+Reserves!AI12</f>
        <v>24.9386490481778</v>
      </c>
      <c r="AJ14" s="11" t="n">
        <f aca="false">AJ13-Reserves!AJ11+Reserves!AJ12</f>
        <v>28.7578691730586</v>
      </c>
      <c r="AK14" s="11" t="n">
        <f aca="false">AK13-Reserves!AK11+Reserves!AK12</f>
        <v>32.3021780111281</v>
      </c>
      <c r="AL14" s="11" t="n">
        <f aca="false">AL13-Reserves!AL11+Reserves!AL12</f>
        <v>28.5708133682081</v>
      </c>
      <c r="AM14" s="11" t="n">
        <f aca="false">AM13-Reserves!AM11+Reserves!AM12</f>
        <v>32.9159288449634</v>
      </c>
      <c r="AN14" s="11" t="n">
        <f aca="false">AN13-Reserves!AN11+Reserves!AN12</f>
        <v>24.0325033750714</v>
      </c>
      <c r="AO14" s="11" t="n">
        <f aca="false">AO13-Reserves!AO11+Reserves!AO12</f>
        <v>41.8354893001395</v>
      </c>
      <c r="AP14" s="11" t="n">
        <f aca="false">AP13-Reserves!AP11+Reserves!AP12</f>
        <v>41.8553230552979</v>
      </c>
      <c r="AQ14" s="11" t="n">
        <f aca="false">AQ13-Reserves!AQ11+Reserves!AQ12</f>
        <v>41.4261240282784</v>
      </c>
      <c r="AR14" s="11" t="n">
        <f aca="false">AR13-Reserves!AR11+Reserves!AR12</f>
        <v>42.0440281859729</v>
      </c>
      <c r="AS14" s="11" t="n">
        <f aca="false">AS13-Reserves!AS11+Reserves!AS12</f>
        <v>41.4778377035045</v>
      </c>
      <c r="AT14" s="11" t="n">
        <f aca="false">AT13-Reserves!AT11+Reserves!AT12</f>
        <v>47.0900929500161</v>
      </c>
      <c r="AU14" s="11" t="n">
        <f aca="false">AU13-Reserves!AU11+Reserves!AU12</f>
        <v>42.4479272064973</v>
      </c>
      <c r="AV14" s="11" t="n">
        <f aca="false">AV13-Reserves!AV11+Reserves!AV12</f>
        <v>43.68305656927</v>
      </c>
      <c r="AW14" s="11" t="n">
        <f aca="false">AW13-Reserves!AW11+Reserves!AW12</f>
        <v>43.7899850073499</v>
      </c>
      <c r="AX14" s="11" t="n">
        <f aca="false">AX13-Reserves!AX11+Reserves!AX12</f>
        <v>44.4351922012715</v>
      </c>
      <c r="AY14" s="11" t="n">
        <f aca="false">AY13-Reserves!AY11+Reserves!AY12</f>
        <v>43.9968593767662</v>
      </c>
      <c r="AZ14" s="11" t="n">
        <f aca="false">AZ13-Reserves!AZ11+Reserves!AZ12</f>
        <v>44.6373201088508</v>
      </c>
      <c r="BA14" s="11" t="n">
        <f aca="false">BA13-Reserves!BA11+Reserves!BA12</f>
        <v>44.2498663359626</v>
      </c>
      <c r="BB14" s="11" t="n">
        <f aca="false">BB13-Reserves!BB11+Reserves!BB12</f>
        <v>45.5723865713941</v>
      </c>
      <c r="BC14" s="11" t="n">
        <f aca="false">BC13-Reserves!BC11+Reserves!BC12</f>
        <v>42.2046416372894</v>
      </c>
      <c r="BD14" s="11" t="n">
        <f aca="false">BD13-Reserves!BD11+Reserves!BD12</f>
        <v>36.8346013740858</v>
      </c>
      <c r="BE14" s="11" t="n">
        <f aca="false">BE13-Reserves!BE11+Reserves!BE12</f>
        <v>36.6734801635497</v>
      </c>
      <c r="BF14" s="11" t="n">
        <f aca="false">BF13-Reserves!BF11+Reserves!BF12</f>
        <v>37.3473797915072</v>
      </c>
      <c r="BG14" s="11" t="n">
        <f aca="false">BG13-Reserves!BG11+Reserves!BG12</f>
        <v>36.8991553832777</v>
      </c>
      <c r="BH14" s="11" t="n">
        <f aca="false">BH13-Reserves!BH11+Reserves!BH12</f>
        <v>37.5640163055069</v>
      </c>
      <c r="BI14" s="11" t="n">
        <f aca="false">BI13-Reserves!BI11+Reserves!BI12</f>
        <v>36.9795350865903</v>
      </c>
      <c r="BJ14" s="11" t="n">
        <f aca="false">BJ13-Reserves!BJ11+Reserves!BJ12</f>
        <v>43.7701300868403</v>
      </c>
      <c r="BK14" s="11" t="n">
        <f aca="false">BK13-Reserves!BK11+Reserves!BK12</f>
        <v>38.3037251186816</v>
      </c>
      <c r="BL14" s="11" t="n">
        <f aca="false">BL13-Reserves!BL11+Reserves!BL12</f>
        <v>40.2676816601926</v>
      </c>
      <c r="BM14" s="11" t="n">
        <f aca="false">BM13-Reserves!BM11+Reserves!BM12</f>
        <v>37.1827825951588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1.94526082211437</v>
      </c>
      <c r="P15" s="11" t="n">
        <f aca="false">P14-Reserves!P14+Reserves!P15</f>
        <v>15.3470396906232</v>
      </c>
      <c r="Q15" s="11" t="n">
        <f aca="false">Q14-Reserves!Q14+Reserves!Q15</f>
        <v>12.817434186808</v>
      </c>
      <c r="R15" s="11" t="n">
        <f aca="false">R14-Reserves!R14+Reserves!R15</f>
        <v>13.6944211767362</v>
      </c>
      <c r="S15" s="11" t="n">
        <f aca="false">S14-Reserves!S14+Reserves!S15</f>
        <v>12.9200584528173</v>
      </c>
      <c r="T15" s="11" t="n">
        <f aca="false">T14-Reserves!T14+Reserves!T15</f>
        <v>13.6845286632475</v>
      </c>
      <c r="U15" s="11" t="n">
        <f aca="false">U14-Reserves!U14+Reserves!U15</f>
        <v>12.5914558450127</v>
      </c>
      <c r="V15" s="11" t="n">
        <f aca="false">V14-Reserves!V14+Reserves!V15</f>
        <v>12.5515835899042</v>
      </c>
      <c r="W15" s="11" t="n">
        <f aca="false">W14-Reserves!W14+Reserves!W15</f>
        <v>13.5633080447217</v>
      </c>
      <c r="X15" s="11" t="n">
        <f aca="false">X14-Reserves!X14+Reserves!X15</f>
        <v>13.3528522686011</v>
      </c>
      <c r="Y15" s="11" t="n">
        <f aca="false">Y14-Reserves!Y14+Reserves!Y15</f>
        <v>12.8081795172204</v>
      </c>
      <c r="Z15" s="11" t="n">
        <f aca="false">Z14-Reserves!Z14+Reserves!Z15</f>
        <v>13.4657980571963</v>
      </c>
      <c r="AA15" s="11" t="n">
        <f aca="false">AA14-Reserves!AA14+Reserves!AA15</f>
        <v>12.6722715818358</v>
      </c>
      <c r="AB15" s="11" t="n">
        <f aca="false">AB14-Reserves!AB14+Reserves!AB15</f>
        <v>14.7420459651517</v>
      </c>
      <c r="AC15" s="11" t="n">
        <f aca="false">AC14-Reserves!AC14+Reserves!AC15</f>
        <v>13.6450969055659</v>
      </c>
      <c r="AD15" s="11" t="n">
        <f aca="false">AD14-Reserves!AD14+Reserves!AD15</f>
        <v>14.7262566627203</v>
      </c>
      <c r="AE15" s="11" t="n">
        <f aca="false">AE14-Reserves!AE14+Reserves!AE15</f>
        <v>15.6812863630884</v>
      </c>
      <c r="AF15" s="11" t="n">
        <f aca="false">AF14-Reserves!AF14+Reserves!AF15</f>
        <v>18.9397602022104</v>
      </c>
      <c r="AG15" s="11" t="n">
        <f aca="false">AG14-Reserves!AG14+Reserves!AG15</f>
        <v>20.3659470864732</v>
      </c>
      <c r="AH15" s="11" t="n">
        <f aca="false">AH14-Reserves!AH14+Reserves!AH15</f>
        <v>23.1357009796808</v>
      </c>
      <c r="AI15" s="11" t="n">
        <f aca="false">AI14-Reserves!AI14+Reserves!AI15</f>
        <v>24.9386490481778</v>
      </c>
      <c r="AJ15" s="11" t="n">
        <f aca="false">AJ14-Reserves!AJ14+Reserves!AJ15</f>
        <v>28.7578691730586</v>
      </c>
      <c r="AK15" s="11" t="n">
        <f aca="false">AK14-Reserves!AK14+Reserves!AK15</f>
        <v>32.3021780111281</v>
      </c>
      <c r="AL15" s="11" t="n">
        <f aca="false">AL14-Reserves!AL14+Reserves!AL15</f>
        <v>28.5708133682081</v>
      </c>
      <c r="AM15" s="11" t="n">
        <f aca="false">AM14-Reserves!AM14+Reserves!AM15</f>
        <v>32.9159288449634</v>
      </c>
      <c r="AN15" s="11" t="n">
        <f aca="false">AN14-Reserves!AN14+Reserves!AN15</f>
        <v>24.0325033750714</v>
      </c>
      <c r="AO15" s="11" t="n">
        <f aca="false">AO14-Reserves!AO14+Reserves!AO15</f>
        <v>41.8354893001395</v>
      </c>
      <c r="AP15" s="11" t="n">
        <f aca="false">AP14-Reserves!AP14+Reserves!AP15</f>
        <v>41.8553230552979</v>
      </c>
      <c r="AQ15" s="11" t="n">
        <f aca="false">AQ14-Reserves!AQ14+Reserves!AQ15</f>
        <v>41.4261240282784</v>
      </c>
      <c r="AR15" s="11" t="n">
        <f aca="false">AR14-Reserves!AR14+Reserves!AR15</f>
        <v>42.0440281859729</v>
      </c>
      <c r="AS15" s="11" t="n">
        <f aca="false">AS14-Reserves!AS14+Reserves!AS15</f>
        <v>41.4778377035045</v>
      </c>
      <c r="AT15" s="11" t="n">
        <f aca="false">AT14-Reserves!AT14+Reserves!AT15</f>
        <v>47.0900929500161</v>
      </c>
      <c r="AU15" s="11" t="n">
        <f aca="false">AU14-Reserves!AU14+Reserves!AU15</f>
        <v>42.4479272064973</v>
      </c>
      <c r="AV15" s="11" t="n">
        <f aca="false">AV14-Reserves!AV14+Reserves!AV15</f>
        <v>43.68305656927</v>
      </c>
      <c r="AW15" s="11" t="n">
        <f aca="false">AW14-Reserves!AW14+Reserves!AW15</f>
        <v>43.7899850073499</v>
      </c>
      <c r="AX15" s="11" t="n">
        <f aca="false">AX14-Reserves!AX14+Reserves!AX15</f>
        <v>44.4351922012715</v>
      </c>
      <c r="AY15" s="11" t="n">
        <f aca="false">AY14-Reserves!AY14+Reserves!AY15</f>
        <v>43.9968593767662</v>
      </c>
      <c r="AZ15" s="11" t="n">
        <f aca="false">AZ14-Reserves!AZ14+Reserves!AZ15</f>
        <v>44.6373201088508</v>
      </c>
      <c r="BA15" s="11" t="n">
        <f aca="false">BA14-Reserves!BA14+Reserves!BA15</f>
        <v>43.7548979493539</v>
      </c>
      <c r="BB15" s="11" t="n">
        <f aca="false">BB14-Reserves!BB14+Reserves!BB15</f>
        <v>44.0712363167496</v>
      </c>
      <c r="BC15" s="11" t="n">
        <f aca="false">BC14-Reserves!BC14+Reserves!BC15</f>
        <v>40.6870685639472</v>
      </c>
      <c r="BD15" s="11" t="n">
        <f aca="false">BD14-Reserves!BD14+Reserves!BD15</f>
        <v>35.3004258138392</v>
      </c>
      <c r="BE15" s="11" t="n">
        <f aca="false">BE14-Reserves!BE14+Reserves!BE15</f>
        <v>35.122520482594</v>
      </c>
      <c r="BF15" s="11" t="n">
        <f aca="false">BF14-Reserves!BF14+Reserves!BF15</f>
        <v>35.7794523689352</v>
      </c>
      <c r="BG15" s="11" t="n">
        <f aca="false">BG14-Reserves!BG14+Reserves!BG15</f>
        <v>35.3140745893409</v>
      </c>
      <c r="BH15" s="11" t="n">
        <f aca="false">BH14-Reserves!BH14+Reserves!BH15</f>
        <v>35.9615944796383</v>
      </c>
      <c r="BI15" s="11" t="n">
        <f aca="false">BI14-Reserves!BI14+Reserves!BI15</f>
        <v>35.3595825151869</v>
      </c>
      <c r="BJ15" s="11" t="n">
        <f aca="false">BJ14-Reserves!BJ14+Reserves!BJ15</f>
        <v>42.1324549808026</v>
      </c>
      <c r="BK15" s="11" t="n">
        <f aca="false">BK14-Reserves!BK14+Reserves!BK15</f>
        <v>36.6481335907073</v>
      </c>
      <c r="BL15" s="11" t="n">
        <f aca="false">BL14-Reserves!BL14+Reserves!BL15</f>
        <v>38.5939777018221</v>
      </c>
      <c r="BM15" s="11" t="n">
        <f aca="false">BM14-Reserves!BM14+Reserves!BM15</f>
        <v>55.1239627571198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1.35743267091113</v>
      </c>
      <c r="Q17" s="6" t="n">
        <f aca="false">IF(Debt!Q121&gt;0.000000001,Q7/Debt!Q121,0)</f>
        <v>1.35754223796137</v>
      </c>
      <c r="R17" s="6" t="n">
        <f aca="false">IF(Debt!R121&gt;0.000000001,R7/Debt!R121,0)</f>
        <v>1.35622658177002</v>
      </c>
      <c r="S17" s="6" t="n">
        <f aca="false">IF(Debt!S121&gt;0.000000001,S7/Debt!S121,0)</f>
        <v>1.35726708538567</v>
      </c>
      <c r="T17" s="6" t="n">
        <f aca="false">IF(Debt!T121&gt;0.000000001,T7/Debt!T121,0)</f>
        <v>1.35771041120908</v>
      </c>
      <c r="U17" s="6" t="n">
        <f aca="false">IF(Debt!U121&gt;0.000000001,U7/Debt!U121,0)</f>
        <v>1.35423044797595</v>
      </c>
      <c r="V17" s="6" t="n">
        <f aca="false">IF(Debt!V121&gt;0.000000001,V7/Debt!V121,0)</f>
        <v>1.32090776164261</v>
      </c>
      <c r="W17" s="6" t="n">
        <f aca="false">IF(Debt!W121&gt;0.000000001,W7/Debt!W121,0)</f>
        <v>1.32787526302828</v>
      </c>
      <c r="X17" s="6" t="n">
        <f aca="false">IF(Debt!X121&gt;0.000000001,X7/Debt!X121,0)</f>
        <v>1.35195172536108</v>
      </c>
      <c r="Y17" s="6" t="n">
        <f aca="false">IF(Debt!Y121&gt;0.000000001,Y7/Debt!Y121,0)</f>
        <v>1.35846349596749</v>
      </c>
      <c r="Z17" s="6" t="n">
        <f aca="false">IF(Debt!Z121&gt;0.000000001,Z7/Debt!Z121,0)</f>
        <v>1.35715311811989</v>
      </c>
      <c r="AA17" s="6" t="n">
        <f aca="false">IF(Debt!AA121&gt;0.000000001,AA7/Debt!AA121,0)</f>
        <v>1.35824984727196</v>
      </c>
      <c r="AB17" s="6" t="n">
        <f aca="false">IF(Debt!AB121&gt;0.000000001,AB7/Debt!AB121,0)</f>
        <v>1.38347999775451</v>
      </c>
      <c r="AC17" s="6" t="n">
        <f aca="false">IF(Debt!AC121&gt;0.000000001,AC7/Debt!AC121,0)</f>
        <v>1.40158381250172</v>
      </c>
      <c r="AD17" s="6" t="n">
        <f aca="false">IF(Debt!AD121&gt;0.000000001,AD7/Debt!AD121,0)</f>
        <v>1.3892584007551</v>
      </c>
      <c r="AE17" s="6" t="n">
        <f aca="false">IF(Debt!AE121&gt;0.000000001,AE7/Debt!AE121,0)</f>
        <v>1.42366943931768</v>
      </c>
      <c r="AF17" s="6" t="n">
        <f aca="false">IF(Debt!AF121&gt;0.000000001,AF7/Debt!AF121,0)</f>
        <v>1.51586858668469</v>
      </c>
      <c r="AG17" s="6" t="n">
        <f aca="false">IF(Debt!AG121&gt;0.000000001,AG7/Debt!AG121,0)</f>
        <v>1.59775884697551</v>
      </c>
      <c r="AH17" s="6" t="n">
        <f aca="false">IF(Debt!AH121&gt;0.000000001,AH7/Debt!AH121,0)</f>
        <v>1.6811253331005</v>
      </c>
      <c r="AI17" s="6" t="n">
        <f aca="false">IF(Debt!AI121&gt;0.000000001,AI7/Debt!AI121,0)</f>
        <v>1.80250953285687</v>
      </c>
      <c r="AJ17" s="6" t="n">
        <f aca="false">IF(Debt!AJ121&gt;0.000000001,AJ7/Debt!AJ121,0)</f>
        <v>1.97890004114396</v>
      </c>
      <c r="AK17" s="6" t="n">
        <f aca="false">IF(Debt!AK121&gt;0.000000001,AK7/Debt!AK121,0)</f>
        <v>2.27317086894284</v>
      </c>
      <c r="AL17" s="6" t="n">
        <f aca="false">IF(Debt!AL121&gt;0.000000001,AL7/Debt!AL121,0)</f>
        <v>2.1981830811661</v>
      </c>
      <c r="AM17" s="6" t="n">
        <f aca="false">IF(Debt!AM121&gt;0.000000001,AM7/Debt!AM121,0)</f>
        <v>2.2082948619684</v>
      </c>
      <c r="AN17" s="6" t="n">
        <f aca="false">IF(Debt!AN121&gt;0.000000001,AN7/Debt!AN121,0)</f>
        <v>2.24432220349178</v>
      </c>
      <c r="AO17" s="6" t="n">
        <f aca="false">IF(Debt!AO121&gt;0.000000001,AO7/Debt!AO121,0)</f>
        <v>2.21282626883823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1.35743267091113</v>
      </c>
      <c r="Q18" s="6" t="n">
        <f aca="false">IF(Debt!Q121&gt;0.000000001,IF(Debt!P121&gt;0.000000001,(Q7+P7)/(Debt!Q121+Debt!P121),Q17),0)</f>
        <v>1.35748738899387</v>
      </c>
      <c r="R18" s="6" t="n">
        <f aca="false">IF(Debt!R121&gt;0.000000001,IF(Debt!Q121&gt;0.000000001,(R7+Q7)/(Debt!R121+Debt!Q121),R17),0)</f>
        <v>1.3568802950765</v>
      </c>
      <c r="S18" s="6" t="n">
        <f aca="false">IF(Debt!S121&gt;0.000000001,IF(Debt!R121&gt;0.000000001,(S7+R7)/(Debt!S121+Debt!R121),S17),0)</f>
        <v>1.35674481059234</v>
      </c>
      <c r="T18" s="6" t="n">
        <f aca="false">IF(Debt!T121&gt;0.000000001,IF(Debt!S121&gt;0.000000001,(T7+S7)/(Debt!T121+Debt!S121),T17),0)</f>
        <v>1.35748998202825</v>
      </c>
      <c r="U18" s="6" t="n">
        <f aca="false">IF(Debt!U121&gt;0.000000001,IF(Debt!T121&gt;0.000000001,(U7+T7)/(Debt!U121+Debt!T121),U17),0)</f>
        <v>1.35597459982965</v>
      </c>
      <c r="V18" s="6" t="n">
        <f aca="false">IF(Debt!V121&gt;0.000000001,IF(Debt!U121&gt;0.000000001,(V7+U7)/(Debt!V121+Debt!U121),V17),0)</f>
        <v>1.33741157525915</v>
      </c>
      <c r="W18" s="6" t="n">
        <f aca="false">IF(Debt!W121&gt;0.000000001,IF(Debt!V121&gt;0.000000001,(W7+V7)/(Debt!W121+Debt!V121),W17),0)</f>
        <v>1.32437942859951</v>
      </c>
      <c r="X18" s="6" t="n">
        <f aca="false">IF(Debt!X121&gt;0.000000001,IF(Debt!W121&gt;0.000000001,(X7+W7)/(Debt!X121+Debt!W121),X17),0)</f>
        <v>1.33973738876252</v>
      </c>
      <c r="Y18" s="6" t="n">
        <f aca="false">IF(Debt!Y121&gt;0.000000001,IF(Debt!X121&gt;0.000000001,(Y7+X7)/(Debt!Y121+Debt!X121),Y17),0)</f>
        <v>1.35519182220444</v>
      </c>
      <c r="Z18" s="6" t="n">
        <f aca="false">IF(Debt!Z121&gt;0.000000001,IF(Debt!Y121&gt;0.000000001,(Z7+Y7)/(Debt!Z121+Debt!Y121),Z17),0)</f>
        <v>1.35780562201925</v>
      </c>
      <c r="AA18" s="6" t="n">
        <f aca="false">IF(Debt!AA121&gt;0.000000001,IF(Debt!Z121&gt;0.000000001,(AA7+Z7)/(Debt!AA121+Debt!Z121),AA17),0)</f>
        <v>1.35769926465009</v>
      </c>
      <c r="AB18" s="6" t="n">
        <f aca="false">IF(Debt!AB121&gt;0.000000001,IF(Debt!AA121&gt;0.000000001,(AB7+AA7)/(Debt!AB121+Debt!AA121),AB17),0)</f>
        <v>1.37082477974333</v>
      </c>
      <c r="AC18" s="6" t="n">
        <f aca="false">IF(Debt!AC121&gt;0.000000001,IF(Debt!AB121&gt;0.000000001,(AC7+AB7)/(Debt!AC121+Debt!AB121),AC17),0)</f>
        <v>1.3924122612755</v>
      </c>
      <c r="AD18" s="6" t="n">
        <f aca="false">IF(Debt!AD121&gt;0.000000001,IF(Debt!AC121&gt;0.000000001,(AD7+AC7)/(Debt!AD121+Debt!AC121),AD17),0)</f>
        <v>1.39537294527577</v>
      </c>
      <c r="AE18" s="6" t="n">
        <f aca="false">IF(Debt!AE121&gt;0.000000001,IF(Debt!AD121&gt;0.000000001,(AE7+AD7)/(Debt!AE121+Debt!AD121),AE17),0)</f>
        <v>1.40625710304312</v>
      </c>
      <c r="AF18" s="6" t="n">
        <f aca="false">IF(Debt!AF121&gt;0.000000001,IF(Debt!AE121&gt;0.000000001,(AF7+AE7)/(Debt!AF121+Debt!AE121),AF17),0)</f>
        <v>1.46913271487476</v>
      </c>
      <c r="AG18" s="6" t="n">
        <f aca="false">IF(Debt!AG121&gt;0.000000001,IF(Debt!AF121&gt;0.000000001,(AG7+AF7)/(Debt!AG121+Debt!AF121),AG17),0)</f>
        <v>1.55578690783922</v>
      </c>
      <c r="AH18" s="6" t="n">
        <f aca="false">IF(Debt!AH121&gt;0.000000001,IF(Debt!AG121&gt;0.000000001,(AH7+AG7)/(Debt!AH121+Debt!AG121),AH17),0)</f>
        <v>1.63863041117442</v>
      </c>
      <c r="AI18" s="6" t="n">
        <f aca="false">IF(Debt!AI121&gt;0.000000001,IF(Debt!AH121&gt;0.000000001,(AI7+AH7)/(Debt!AI121+Debt!AH121),AI17),0)</f>
        <v>1.73948944005925</v>
      </c>
      <c r="AJ18" s="6" t="n">
        <f aca="false">IF(Debt!AJ121&gt;0.000000001,IF(Debt!AI121&gt;0.000000001,(AJ7+AI7)/(Debt!AJ121+Debt!AI121),AJ17),0)</f>
        <v>1.88711354516796</v>
      </c>
      <c r="AK18" s="6" t="n">
        <f aca="false">IF(Debt!AK121&gt;0.000000001,IF(Debt!AJ121&gt;0.000000001,(AK7+AJ7)/(Debt!AK121+Debt!AJ121),AK17),0)</f>
        <v>2.11532748180602</v>
      </c>
      <c r="AL18" s="6" t="n">
        <f aca="false">IF(Debt!AL121&gt;0.000000001,IF(Debt!AK121&gt;0.000000001,(AL7+AK7)/(Debt!AL121+Debt!AK121),AL17),0)</f>
        <v>2.2351389030973</v>
      </c>
      <c r="AM18" s="6" t="n">
        <f aca="false">IF(Debt!AM121&gt;0.000000001,IF(Debt!AL121&gt;0.000000001,(AM7+AL7)/(Debt!AM121+Debt!AL121),AM17),0)</f>
        <v>2.20322349402142</v>
      </c>
      <c r="AN18" s="6" t="n">
        <f aca="false">IF(Debt!AN121&gt;0.000000001,IF(Debt!AM121&gt;0.000000001,(AN7+AM7)/(Debt!AN121+Debt!AM121),AN17),0)</f>
        <v>2.22443665560584</v>
      </c>
      <c r="AO18" s="6" t="n">
        <f aca="false">IF(Debt!AO121&gt;0.000000001,IF(Debt!AN121&gt;0.000000001,(AO7+AN7)/(Debt!AO121+Debt!AN121),AO17),0)</f>
        <v>2.22866784708443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93.8407849941231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6.3361357909179</v>
      </c>
      <c r="AB29" s="11" t="n">
        <f aca="false">IF(AND(AB24=1,Time!AB21&gt;=2027,Inputs!$F$51=1),MIN(Inputs!$F$109*AB15,Debt!AB81),0)</f>
        <v>7.37102298257586</v>
      </c>
      <c r="AC29" s="11" t="n">
        <f aca="false">IF(AND(AC24=1,Time!AC21&gt;=2027,Inputs!$F$51=1),MIN(Inputs!$F$109*AC15,Debt!AC81),0)</f>
        <v>6.82254845278294</v>
      </c>
      <c r="AD29" s="11" t="n">
        <f aca="false">IF(AND(AD24=1,Time!AD21&gt;=2027,Inputs!$F$51=1),MIN(Inputs!$F$109*AD15,Debt!AD81),0)</f>
        <v>7.36312833136017</v>
      </c>
      <c r="AE29" s="11" t="n">
        <f aca="false">IF(AND(AE24=1,Time!AE21&gt;=2027,Inputs!$F$51=1),MIN(Inputs!$F$109*AE15,Debt!AE81),0)</f>
        <v>7.8406431815442</v>
      </c>
      <c r="AF29" s="11" t="n">
        <f aca="false">IF(AND(AF24=1,Time!AF21&gt;=2027,Inputs!$F$51=1),MIN(Inputs!$F$109*AF15,Debt!AF81),0)</f>
        <v>9.46988010110519</v>
      </c>
      <c r="AG29" s="11" t="n">
        <f aca="false">IF(AND(AG24=1,Time!AG21&gt;=2027,Inputs!$F$51=1),MIN(Inputs!$F$109*AG15,Debt!AG81),0)</f>
        <v>10.1829735432366</v>
      </c>
      <c r="AH29" s="11" t="n">
        <f aca="false">IF(AND(AH24=1,Time!AH21&gt;=2027,Inputs!$F$51=1),MIN(Inputs!$F$109*AH15,Debt!AH81),0)</f>
        <v>11.5678504898404</v>
      </c>
      <c r="AI29" s="11" t="n">
        <f aca="false">IF(AND(AI24=1,Time!AI21&gt;=2027,Inputs!$F$51=1),MIN(Inputs!$F$109*AI15,Debt!AI81),0)</f>
        <v>12.4693245240889</v>
      </c>
      <c r="AJ29" s="11" t="n">
        <f aca="false">IF(AND(AJ24=1,Time!AJ21&gt;=2027,Inputs!$F$51=1),MIN(Inputs!$F$109*AJ15,Debt!AJ81),0)</f>
        <v>14.3789345865293</v>
      </c>
      <c r="AK29" s="11" t="n">
        <f aca="false">IF(AND(AK24=1,Time!AK21&gt;=2027,Inputs!$F$51=1),MIN(Inputs!$F$109*AK15,Debt!AK81),0)</f>
        <v>0.0383430101416391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1.94526082211437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1390.95079986935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15.3470396906232</v>
      </c>
      <c r="Q31" s="11" t="n">
        <f aca="false">IF(Q24=1,Q15-Q29,0)</f>
        <v>12.817434186808</v>
      </c>
      <c r="R31" s="11" t="n">
        <f aca="false">IF(R24=1,R15-R29,0)</f>
        <v>13.6944211767362</v>
      </c>
      <c r="S31" s="11" t="n">
        <f aca="false">IF(S24=1,S15-S29,0)</f>
        <v>12.9200584528173</v>
      </c>
      <c r="T31" s="11" t="n">
        <f aca="false">IF(T24=1,T15-T29,0)</f>
        <v>13.6845286632475</v>
      </c>
      <c r="U31" s="11" t="n">
        <f aca="false">IF(U24=1,U15-U29,0)</f>
        <v>12.5914558450127</v>
      </c>
      <c r="V31" s="11" t="n">
        <f aca="false">IF(V24=1,V15-V29,0)</f>
        <v>12.5515835899042</v>
      </c>
      <c r="W31" s="11" t="n">
        <f aca="false">IF(W24=1,W15-W29,0)</f>
        <v>13.5633080447217</v>
      </c>
      <c r="X31" s="11" t="n">
        <f aca="false">IF(X24=1,X15-X29,0)</f>
        <v>13.3528522686011</v>
      </c>
      <c r="Y31" s="11" t="n">
        <f aca="false">IF(Y24=1,Y15-Y29,0)</f>
        <v>12.8081795172204</v>
      </c>
      <c r="Z31" s="11" t="n">
        <f aca="false">IF(Z24=1,Z15-Z29,0)</f>
        <v>13.4657980571963</v>
      </c>
      <c r="AA31" s="11" t="n">
        <f aca="false">IF(AA24=1,AA15-AA29,0)</f>
        <v>6.3361357909179</v>
      </c>
      <c r="AB31" s="11" t="n">
        <f aca="false">IF(AB24=1,AB15-AB29,0)</f>
        <v>7.37102298257586</v>
      </c>
      <c r="AC31" s="11" t="n">
        <f aca="false">IF(AC24=1,AC15-AC29,0)</f>
        <v>6.82254845278294</v>
      </c>
      <c r="AD31" s="11" t="n">
        <f aca="false">IF(AD24=1,AD15-AD29,0)</f>
        <v>7.36312833136017</v>
      </c>
      <c r="AE31" s="11" t="n">
        <f aca="false">IF(AE24=1,AE15-AE29,0)</f>
        <v>7.8406431815442</v>
      </c>
      <c r="AF31" s="11" t="n">
        <f aca="false">IF(AF24=1,AF15-AF29,0)</f>
        <v>9.46988010110519</v>
      </c>
      <c r="AG31" s="11" t="n">
        <f aca="false">IF(AG24=1,AG15-AG29,0)</f>
        <v>10.1829735432366</v>
      </c>
      <c r="AH31" s="11" t="n">
        <f aca="false">IF(AH24=1,AH15-AH29,0)</f>
        <v>11.5678504898404</v>
      </c>
      <c r="AI31" s="11" t="n">
        <f aca="false">IF(AI24=1,AI15-AI29,0)</f>
        <v>12.4693245240889</v>
      </c>
      <c r="AJ31" s="11" t="n">
        <f aca="false">IF(AJ24=1,AJ15-AJ29,0)</f>
        <v>14.3789345865293</v>
      </c>
      <c r="AK31" s="11" t="n">
        <f aca="false">IF(AK24=1,AK15-AK29,0)</f>
        <v>32.2638350009865</v>
      </c>
      <c r="AL31" s="11" t="n">
        <f aca="false">IF(AL24=1,AL15-AL29,0)</f>
        <v>28.5708133682081</v>
      </c>
      <c r="AM31" s="11" t="n">
        <f aca="false">IF(AM24=1,AM15-AM29,0)</f>
        <v>32.9159288449634</v>
      </c>
      <c r="AN31" s="11" t="n">
        <f aca="false">IF(AN24=1,AN15-AN29,0)</f>
        <v>24.0325033750714</v>
      </c>
      <c r="AO31" s="11" t="n">
        <f aca="false">IF(AO24=1,AO15-AO29,0)</f>
        <v>41.8354893001395</v>
      </c>
      <c r="AP31" s="11" t="n">
        <f aca="false">IF(AP24=1,AP15-AP29,0)</f>
        <v>41.8553230552979</v>
      </c>
      <c r="AQ31" s="11" t="n">
        <f aca="false">IF(AQ24=1,AQ15-AQ29,0)</f>
        <v>41.4261240282784</v>
      </c>
      <c r="AR31" s="11" t="n">
        <f aca="false">IF(AR24=1,AR15-AR29,0)</f>
        <v>42.0440281859729</v>
      </c>
      <c r="AS31" s="11" t="n">
        <f aca="false">IF(AS24=1,AS15-AS29,0)</f>
        <v>41.4778377035045</v>
      </c>
      <c r="AT31" s="11" t="n">
        <f aca="false">IF(AT24=1,AT15-AT29,0)</f>
        <v>47.0900929500161</v>
      </c>
      <c r="AU31" s="11" t="n">
        <f aca="false">IF(AU24=1,AU15-AU29,0)</f>
        <v>42.4479272064973</v>
      </c>
      <c r="AV31" s="11" t="n">
        <f aca="false">IF(AV24=1,AV15-AV29,0)</f>
        <v>43.68305656927</v>
      </c>
      <c r="AW31" s="11" t="n">
        <f aca="false">IF(AW24=1,AW15-AW29,0)</f>
        <v>43.7899850073499</v>
      </c>
      <c r="AX31" s="11" t="n">
        <f aca="false">IF(AX24=1,AX15-AX29,0)</f>
        <v>44.4351922012715</v>
      </c>
      <c r="AY31" s="11" t="n">
        <f aca="false">IF(AY24=1,AY15-AY29,0)</f>
        <v>43.9968593767662</v>
      </c>
      <c r="AZ31" s="11" t="n">
        <f aca="false">IF(AZ24=1,AZ15-AZ29,0)</f>
        <v>44.6373201088508</v>
      </c>
      <c r="BA31" s="11" t="n">
        <f aca="false">IF(BA24=1,BA15-BA29,0)</f>
        <v>43.7548979493539</v>
      </c>
      <c r="BB31" s="11" t="n">
        <f aca="false">IF(BB24=1,BB15-BB29,0)</f>
        <v>44.0712363167496</v>
      </c>
      <c r="BC31" s="11" t="n">
        <f aca="false">IF(BC24=1,BC15-BC29,0)</f>
        <v>40.6870685639472</v>
      </c>
      <c r="BD31" s="11" t="n">
        <f aca="false">IF(BD24=1,BD15-BD29,0)</f>
        <v>35.3004258138392</v>
      </c>
      <c r="BE31" s="11" t="n">
        <f aca="false">IF(BE24=1,BE15-BE29,0)</f>
        <v>35.122520482594</v>
      </c>
      <c r="BF31" s="11" t="n">
        <f aca="false">IF(BF24=1,BF15-BF29,0)</f>
        <v>35.7794523689352</v>
      </c>
      <c r="BG31" s="11" t="n">
        <f aca="false">IF(BG24=1,BG15-BG29,0)</f>
        <v>35.3140745893409</v>
      </c>
      <c r="BH31" s="11" t="n">
        <f aca="false">IF(BH24=1,BH15-BH29,0)</f>
        <v>35.9615944796383</v>
      </c>
      <c r="BI31" s="11" t="n">
        <f aca="false">IF(BI24=1,BI15-BI29,0)</f>
        <v>35.3595825151869</v>
      </c>
      <c r="BJ31" s="11" t="n">
        <f aca="false">IF(BJ24=1,BJ15-BJ29,0)</f>
        <v>42.1324549808026</v>
      </c>
      <c r="BK31" s="11" t="n">
        <f aca="false">IF(BK24=1,BK15-BK29,0)</f>
        <v>36.6481335907073</v>
      </c>
      <c r="BL31" s="11" t="n">
        <f aca="false">IF(BL24=1,BL15-BL29,0)</f>
        <v>38.5939777018221</v>
      </c>
      <c r="BM31" s="11" t="n">
        <f aca="false">IF(BM24=1,BM15-BM29,0)</f>
        <v>55.1239627571198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199.325269590166</v>
      </c>
      <c r="R33" s="11" t="n">
        <f aca="false">IF(Time!R17&lt;Time!$F$11,0,IF(Time!R29=1,INDEX(Funding!$J$72:$BJ$72,1,Time!$F$13),Q36))</f>
        <v>195.897966939256</v>
      </c>
      <c r="S33" s="11" t="n">
        <f aca="false">IF(Time!S17&lt;Time!$F$11,0,IF(Time!S29=1,INDEX(Funding!$J$72:$BJ$72,1,Time!$F$13),R36))</f>
        <v>191.585179905255</v>
      </c>
      <c r="T33" s="11" t="n">
        <f aca="false">IF(Time!T17&lt;Time!$F$11,0,IF(Time!T29=1,INDEX(Funding!$J$72:$BJ$72,1,Time!$F$13),S36))</f>
        <v>187.690620544138</v>
      </c>
      <c r="U33" s="11" t="n">
        <f aca="false">IF(Time!U17&lt;Time!$F$11,0,IF(Time!U29=1,INDEX(Funding!$J$72:$BJ$72,1,Time!$F$13),T36))</f>
        <v>182.994672831881</v>
      </c>
      <c r="V33" s="11" t="n">
        <f aca="false">IF(Time!V17&lt;Time!$F$11,0,IF(Time!V29=1,INDEX(Funding!$J$72:$BJ$72,1,Time!$F$13),U36))</f>
        <v>179.071649571152</v>
      </c>
      <c r="W33" s="11" t="n">
        <f aca="false">IF(Time!W17&lt;Time!$F$11,0,IF(Time!W29=1,INDEX(Funding!$J$72:$BJ$72,1,Time!$F$13),V36))</f>
        <v>175.095880870299</v>
      </c>
      <c r="X33" s="11" t="n">
        <f aca="false">IF(Time!X17&lt;Time!$F$11,0,IF(Time!X29=1,INDEX(Funding!$J$72:$BJ$72,1,Time!$F$13),W36))</f>
        <v>169.781267816165</v>
      </c>
      <c r="Y33" s="11" t="n">
        <f aca="false">IF(Time!Y17&lt;Time!$F$11,0,IF(Time!Y29=1,INDEX(Funding!$J$72:$BJ$72,1,Time!$F$13),X36))</f>
        <v>164.559310236404</v>
      </c>
      <c r="Z33" s="11" t="n">
        <f aca="false">IF(Time!Z17&lt;Time!$F$11,0,IF(Time!Z29=1,INDEX(Funding!$J$72:$BJ$72,1,Time!$F$13),Y36))</f>
        <v>159.503452197307</v>
      </c>
      <c r="AA33" s="11" t="n">
        <f aca="false">IF(Time!AA17&lt;Time!$F$11,0,IF(Time!AA29=1,INDEX(Funding!$J$72:$BJ$72,1,Time!$F$13),Z36))</f>
        <v>153.676340015204</v>
      </c>
      <c r="AB33" s="11" t="n">
        <f aca="false">IF(Time!AB17&lt;Time!$F$11,0,IF(Time!AB29=1,INDEX(Funding!$J$72:$BJ$72,1,Time!$F$13),AA36))</f>
        <v>154.579833447742</v>
      </c>
      <c r="AC33" s="11" t="n">
        <f aca="false">IF(Time!AC17&lt;Time!$F$11,0,IF(Time!AC29=1,INDEX(Funding!$J$72:$BJ$72,1,Time!$F$13),AB36))</f>
        <v>154.611702214937</v>
      </c>
      <c r="AD33" s="11" t="n">
        <f aca="false">IF(Time!AD17&lt;Time!$F$11,0,IF(Time!AD29=1,INDEX(Funding!$J$72:$BJ$72,1,Time!$F$13),AC36))</f>
        <v>155.113088916391</v>
      </c>
      <c r="AE33" s="11" t="n">
        <f aca="false">IF(Time!AE17&lt;Time!$F$11,0,IF(Time!AE29=1,INDEX(Funding!$J$72:$BJ$72,1,Time!$F$13),AD36))</f>
        <v>155.178390158341</v>
      </c>
      <c r="AF33" s="11" t="n">
        <f aca="false">IF(Time!AF17&lt;Time!$F$11,0,IF(Time!AF29=1,INDEX(Funding!$J$72:$BJ$72,1,Time!$F$13),AE36))</f>
        <v>154.648137165216</v>
      </c>
      <c r="AG33" s="11" t="n">
        <f aca="false">IF(Time!AG17&lt;Time!$F$11,0,IF(Time!AG29=1,INDEX(Funding!$J$72:$BJ$72,1,Time!$F$13),AF36))</f>
        <v>152.584419906982</v>
      </c>
      <c r="AH33" s="11" t="n">
        <f aca="false">IF(Time!AH17&lt;Time!$F$11,0,IF(Time!AH29=1,INDEX(Funding!$J$72:$BJ$72,1,Time!$F$13),AG36))</f>
        <v>149.589635679637</v>
      </c>
      <c r="AI33" s="11" t="n">
        <f aca="false">IF(Time!AI17&lt;Time!$F$11,0,IF(Time!AI29=1,INDEX(Funding!$J$72:$BJ$72,1,Time!$F$13),AH36))</f>
        <v>145.185694317687</v>
      </c>
      <c r="AJ33" s="11" t="n">
        <f aca="false">IF(Time!AJ17&lt;Time!$F$11,0,IF(Time!AJ29=1,INDEX(Funding!$J$72:$BJ$72,1,Time!$F$13),AI36))</f>
        <v>139.556008187551</v>
      </c>
      <c r="AK33" s="11" t="n">
        <f aca="false">IF(Time!AK17&lt;Time!$F$11,0,IF(Time!AK29=1,INDEX(Funding!$J$72:$BJ$72,1,Time!$F$13),AJ36))</f>
        <v>131.860468184907</v>
      </c>
      <c r="AL33" s="11" t="n">
        <f aca="false">IF(Time!AL17&lt;Time!$F$11,0,IF(Time!AL29=1,INDEX(Funding!$J$72:$BJ$72,1,Time!$F$13),AK36))</f>
        <v>105.842845498762</v>
      </c>
      <c r="AM33" s="11" t="n">
        <f aca="false">IF(Time!AM17&lt;Time!$F$11,0,IF(Time!AM29=1,INDEX(Funding!$J$72:$BJ$72,1,Time!$F$13),AL36))</f>
        <v>82.3408894985494</v>
      </c>
      <c r="AN33" s="11" t="n">
        <f aca="false">IF(Time!AN17&lt;Time!$F$11,0,IF(Time!AN29=1,INDEX(Funding!$J$72:$BJ$72,1,Time!$F$13),AM36))</f>
        <v>53.3040061191409</v>
      </c>
      <c r="AO33" s="11" t="n">
        <f aca="false">IF(Time!AO17&lt;Time!$F$11,0,IF(Time!AO29=1,INDEX(Funding!$J$72:$BJ$72,1,Time!$F$13),AN36))</f>
        <v>31.8242535028711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185.342200862626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9.39013153589836</v>
      </c>
      <c r="R34" s="11" t="n">
        <f aca="false">R24*MIN(R31,Tax!R13)</f>
        <v>9.38163414273479</v>
      </c>
      <c r="S34" s="11" t="n">
        <f aca="false">S24*MIN(S31,Tax!S13)</f>
        <v>9.02549909170097</v>
      </c>
      <c r="T34" s="11" t="n">
        <f aca="false">T24*MIN(T31,Tax!T13)</f>
        <v>8.98858095099052</v>
      </c>
      <c r="U34" s="11" t="n">
        <f aca="false">U24*MIN(U31,Tax!U13)</f>
        <v>8.66843258428282</v>
      </c>
      <c r="V34" s="11" t="n">
        <f aca="false">V24*MIN(V31,Tax!V13)</f>
        <v>8.57581488905131</v>
      </c>
      <c r="W34" s="11" t="n">
        <f aca="false">W24*MIN(W31,Tax!W13)</f>
        <v>8.24869499058845</v>
      </c>
      <c r="X34" s="11" t="n">
        <f aca="false">X24*MIN(X31,Tax!X13)</f>
        <v>8.13089468883992</v>
      </c>
      <c r="Y34" s="11" t="n">
        <f aca="false">Y24*MIN(Y31,Tax!Y13)</f>
        <v>7.75232147812321</v>
      </c>
      <c r="Z34" s="11" t="n">
        <f aca="false">Z24*MIN(Z31,Tax!Z13)</f>
        <v>7.63868587509295</v>
      </c>
      <c r="AA34" s="11" t="n">
        <f aca="false">AA24*MIN(AA31,Tax!AA13)</f>
        <v>6.3361357909179</v>
      </c>
      <c r="AB34" s="11" t="n">
        <f aca="false">AB24*MIN(AB31,Tax!AB13)</f>
        <v>7.37102298257586</v>
      </c>
      <c r="AC34" s="11" t="n">
        <f aca="false">AC24*MIN(AC31,Tax!AC13)</f>
        <v>6.82254845278294</v>
      </c>
      <c r="AD34" s="11" t="n">
        <f aca="false">AD24*MIN(AD31,Tax!AD13)</f>
        <v>7.36312833136017</v>
      </c>
      <c r="AE34" s="11" t="n">
        <f aca="false">AE24*MIN(AE31,Tax!AE13)</f>
        <v>7.31039018841831</v>
      </c>
      <c r="AF34" s="11" t="n">
        <f aca="false">AF24*MIN(AF31,Tax!AF13)</f>
        <v>7.40616284287115</v>
      </c>
      <c r="AG34" s="11" t="n">
        <f aca="false">AG24*MIN(AG31,Tax!AG13)</f>
        <v>7.18818931589191</v>
      </c>
      <c r="AH34" s="11" t="n">
        <f aca="false">AH24*MIN(AH31,Tax!AH13)</f>
        <v>7.16390912789056</v>
      </c>
      <c r="AI34" s="11" t="n">
        <f aca="false">AI24*MIN(AI31,Tax!AI13)</f>
        <v>6.83963839395241</v>
      </c>
      <c r="AJ34" s="11" t="n">
        <f aca="false">AJ24*MIN(AJ31,Tax!AJ13)</f>
        <v>6.68339458388598</v>
      </c>
      <c r="AK34" s="11" t="n">
        <f aca="false">AK24*MIN(AK31,Tax!AK13)</f>
        <v>6.24621231484122</v>
      </c>
      <c r="AL34" s="11" t="n">
        <f aca="false">AL24*MIN(AL31,Tax!AL13)</f>
        <v>5.06885736799551</v>
      </c>
      <c r="AM34" s="11" t="n">
        <f aca="false">AM24*MIN(AM31,Tax!AM13)</f>
        <v>3.87904546555495</v>
      </c>
      <c r="AN34" s="11" t="n">
        <f aca="false">AN24*MIN(AN31,Tax!AN13)</f>
        <v>2.5527507588016</v>
      </c>
      <c r="AO34" s="11" t="n">
        <f aca="false">AO24*MIN(AO31,Tax!AO13)</f>
        <v>1.49922750405991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206.363462210404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5.53614247710044</v>
      </c>
      <c r="Q35" s="11" t="n">
        <f aca="false">Q24*MIN(Q31-Q34,Q33+Tax!Q13-Q34)</f>
        <v>3.42730265090964</v>
      </c>
      <c r="R35" s="11" t="n">
        <f aca="false">R24*MIN(R31-R34,R33+Tax!R13-R34)</f>
        <v>4.31278703400138</v>
      </c>
      <c r="S35" s="11" t="n">
        <f aca="false">S24*MIN(S31-S34,S33+Tax!S13-S34)</f>
        <v>3.8945593611163</v>
      </c>
      <c r="T35" s="11" t="n">
        <f aca="false">T24*MIN(T31-T34,T33+Tax!T13-T34)</f>
        <v>4.695947712257</v>
      </c>
      <c r="U35" s="11" t="n">
        <f aca="false">U24*MIN(U31-U34,U33+Tax!U13-U34)</f>
        <v>3.9230232607299</v>
      </c>
      <c r="V35" s="11" t="n">
        <f aca="false">V24*MIN(V31-V34,V33+Tax!V13-V34)</f>
        <v>3.97576870085284</v>
      </c>
      <c r="W35" s="11" t="n">
        <f aca="false">W24*MIN(W31-W34,W33+Tax!W13-W34)</f>
        <v>5.31461305413323</v>
      </c>
      <c r="X35" s="11" t="n">
        <f aca="false">X24*MIN(X31-X34,X33+Tax!X13-X34)</f>
        <v>5.22195757976122</v>
      </c>
      <c r="Y35" s="11" t="n">
        <f aca="false">Y24*MIN(Y31-Y34,Y33+Tax!Y13-Y34)</f>
        <v>5.05585803909715</v>
      </c>
      <c r="Z35" s="11" t="n">
        <f aca="false">Z24*MIN(Z31-Z34,Z33+Tax!Z13-Z34)</f>
        <v>5.82711218210334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0.530252993125889</v>
      </c>
      <c r="AF35" s="11" t="n">
        <f aca="false">AF24*MIN(AF31-AF34,AF33+Tax!AF13-AF34)</f>
        <v>2.06371725823404</v>
      </c>
      <c r="AG35" s="11" t="n">
        <f aca="false">AG24*MIN(AG31-AG34,AG33+Tax!AG13-AG34)</f>
        <v>2.99478422734467</v>
      </c>
      <c r="AH35" s="11" t="n">
        <f aca="false">AH24*MIN(AH31-AH34,AH33+Tax!AH13-AH34)</f>
        <v>4.40394136194983</v>
      </c>
      <c r="AI35" s="11" t="n">
        <f aca="false">AI24*MIN(AI31-AI34,AI33+Tax!AI13-AI34)</f>
        <v>5.62968613013649</v>
      </c>
      <c r="AJ35" s="11" t="n">
        <f aca="false">AJ24*MIN(AJ31-AJ34,AJ33+Tax!AJ13-AJ34)</f>
        <v>7.69554000264334</v>
      </c>
      <c r="AK35" s="11" t="n">
        <f aca="false">AK24*MIN(AK31-AK34,AK33+Tax!AK13-AK34)</f>
        <v>26.0176226861453</v>
      </c>
      <c r="AL35" s="11" t="n">
        <f aca="false">AL24*MIN(AL31-AL34,AL33+Tax!AL13-AL34)</f>
        <v>23.5019560002126</v>
      </c>
      <c r="AM35" s="11" t="n">
        <f aca="false">AM24*MIN(AM31-AM34,AM33+Tax!AM13-AM34)</f>
        <v>29.0368833794085</v>
      </c>
      <c r="AN35" s="11" t="n">
        <f aca="false">AN24*MIN(AN31-AN34,AN33+Tax!AN13-AN34)</f>
        <v>21.4797526162698</v>
      </c>
      <c r="AO35" s="11" t="n">
        <f aca="false">AO24*MIN(AO31-AO34,AO33+Tax!AO13-AO34)</f>
        <v>31.8242535028711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199.325269590166</v>
      </c>
      <c r="Q36" s="11" t="n">
        <f aca="false">Q33+Tax!Q13-Q34-Q35</f>
        <v>195.897966939256</v>
      </c>
      <c r="R36" s="11" t="n">
        <f aca="false">R33+Tax!R13-R34-R35</f>
        <v>191.585179905255</v>
      </c>
      <c r="S36" s="11" t="n">
        <f aca="false">S33+Tax!S13-S34-S35</f>
        <v>187.690620544138</v>
      </c>
      <c r="T36" s="11" t="n">
        <f aca="false">T33+Tax!T13-T34-T35</f>
        <v>182.994672831881</v>
      </c>
      <c r="U36" s="11" t="n">
        <f aca="false">U33+Tax!U13-U34-U35</f>
        <v>179.071649571152</v>
      </c>
      <c r="V36" s="11" t="n">
        <f aca="false">V33+Tax!V13-V34-V35</f>
        <v>175.095880870299</v>
      </c>
      <c r="W36" s="11" t="n">
        <f aca="false">W33+Tax!W13-W34-W35</f>
        <v>169.781267816165</v>
      </c>
      <c r="X36" s="11" t="n">
        <f aca="false">X33+Tax!X13-X34-X35</f>
        <v>164.559310236404</v>
      </c>
      <c r="Y36" s="11" t="n">
        <f aca="false">Y33+Tax!Y13-Y34-Y35</f>
        <v>159.503452197307</v>
      </c>
      <c r="Z36" s="11" t="n">
        <f aca="false">Z33+Tax!Z13-Z34-Z35</f>
        <v>153.676340015204</v>
      </c>
      <c r="AA36" s="11" t="n">
        <f aca="false">AA33+Tax!AA13-AA34-AA35</f>
        <v>154.579833447742</v>
      </c>
      <c r="AB36" s="11" t="n">
        <f aca="false">AB33+Tax!AB13-AB34-AB35</f>
        <v>154.611702214937</v>
      </c>
      <c r="AC36" s="11" t="n">
        <f aca="false">AC33+Tax!AC13-AC34-AC35</f>
        <v>155.113088916391</v>
      </c>
      <c r="AD36" s="11" t="n">
        <f aca="false">AD33+Tax!AD13-AD34-AD35</f>
        <v>155.178390158341</v>
      </c>
      <c r="AE36" s="11" t="n">
        <f aca="false">AE33+Tax!AE13-AE34-AE35</f>
        <v>154.648137165216</v>
      </c>
      <c r="AF36" s="11" t="n">
        <f aca="false">AF33+Tax!AF13-AF34-AF35</f>
        <v>152.584419906982</v>
      </c>
      <c r="AG36" s="11" t="n">
        <f aca="false">AG33+Tax!AG13-AG34-AG35</f>
        <v>149.589635679637</v>
      </c>
      <c r="AH36" s="11" t="n">
        <f aca="false">AH33+Tax!AH13-AH34-AH35</f>
        <v>145.185694317687</v>
      </c>
      <c r="AI36" s="11" t="n">
        <f aca="false">AI33+Tax!AI13-AI34-AI35</f>
        <v>139.556008187551</v>
      </c>
      <c r="AJ36" s="11" t="n">
        <f aca="false">AJ33+Tax!AJ13-AJ34-AJ35</f>
        <v>131.860468184907</v>
      </c>
      <c r="AK36" s="11" t="n">
        <f aca="false">AK33+Tax!AK13-AK34-AK35</f>
        <v>105.842845498762</v>
      </c>
      <c r="AL36" s="11" t="n">
        <f aca="false">AL33+Tax!AL13-AL34-AL35</f>
        <v>82.3408894985494</v>
      </c>
      <c r="AM36" s="11" t="n">
        <f aca="false">AM33+Tax!AM13-AM34-AM35</f>
        <v>53.3040061191409</v>
      </c>
      <c r="AN36" s="11" t="n">
        <f aca="false">AN33+Tax!AN13-AN34-AN35</f>
        <v>31.8242535028711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9.86995053826463</v>
      </c>
      <c r="P37" s="11" t="n">
        <f aca="false">MAX(0,O43+Financials!P14)</f>
        <v>17.5289808368085</v>
      </c>
      <c r="Q37" s="11" t="n">
        <f aca="false">MAX(0,P43+Financials!Q14)</f>
        <v>26.5637571372504</v>
      </c>
      <c r="R37" s="11" t="n">
        <f aca="false">MAX(0,Q43+Financials!R14)</f>
        <v>36.0187257335503</v>
      </c>
      <c r="S37" s="11" t="n">
        <f aca="false">MAX(0,R43+Financials!S14)</f>
        <v>46.7849133879395</v>
      </c>
      <c r="T37" s="11" t="n">
        <f aca="false">MAX(0,S43+Financials!T14)</f>
        <v>58.0523624679797</v>
      </c>
      <c r="U37" s="11" t="n">
        <f aca="false">MAX(0,T43+Financials!U14)</f>
        <v>70.3906453224989</v>
      </c>
      <c r="V37" s="11" t="n">
        <f aca="false">MAX(0,U43+Financials!V14)</f>
        <v>79.4458939642629</v>
      </c>
      <c r="W37" s="11" t="n">
        <f aca="false">MAX(0,V43+Financials!W14)</f>
        <v>93.1111160309471</v>
      </c>
      <c r="X37" s="11" t="n">
        <f aca="false">MAX(0,W43+Financials!X14)</f>
        <v>108.36994937261</v>
      </c>
      <c r="Y37" s="11" t="n">
        <f aca="false">MAX(0,X43+Financials!Y14)</f>
        <v>121.60524481596</v>
      </c>
      <c r="Z37" s="11" t="n">
        <f aca="false">MAX(0,Y43+Financials!Z14)</f>
        <v>129.54354684147</v>
      </c>
      <c r="AA37" s="11" t="n">
        <f aca="false">MAX(0,Z43+Financials!AA14)</f>
        <v>138.516065243592</v>
      </c>
      <c r="AB37" s="11" t="n">
        <f aca="false">MAX(0,AA43+Financials!AB14)</f>
        <v>148.069669531512</v>
      </c>
      <c r="AC37" s="11" t="n">
        <f aca="false">MAX(0,AB43+Financials!AC14)</f>
        <v>158.260132508951</v>
      </c>
      <c r="AD37" s="11" t="n">
        <f aca="false">MAX(0,AC43+Financials!AD14)</f>
        <v>158.584403289081</v>
      </c>
      <c r="AE37" s="11" t="n">
        <f aca="false">MAX(0,AD43+Financials!AE14)</f>
        <v>170.186976384905</v>
      </c>
      <c r="AF37" s="11" t="n">
        <f aca="false">MAX(0,AE43+Financials!AF14)</f>
        <v>183.364353008257</v>
      </c>
      <c r="AG37" s="11" t="n">
        <f aca="false">MAX(0,AF43+Financials!AG14)</f>
        <v>197.62717313515</v>
      </c>
      <c r="AH37" s="11" t="n">
        <f aca="false">MAX(0,AG43+Financials!AH14)</f>
        <v>212.864465582735</v>
      </c>
      <c r="AI37" s="11" t="n">
        <f aca="false">MAX(0,AH43+Financials!AI14)</f>
        <v>229.473831575167</v>
      </c>
      <c r="AJ37" s="11" t="n">
        <f aca="false">MAX(0,AI43+Financials!AJ14)</f>
        <v>247.20102646753</v>
      </c>
      <c r="AK37" s="11" t="n">
        <f aca="false">MAX(0,AJ43+Financials!AK14)</f>
        <v>266.244908253385</v>
      </c>
      <c r="AL37" s="11" t="n">
        <f aca="false">MAX(0,AK43+Financials!AL14)</f>
        <v>283.392903676199</v>
      </c>
      <c r="AM37" s="11" t="n">
        <f aca="false">MAX(0,AL43+Financials!AM14)</f>
        <v>304.551218585541</v>
      </c>
      <c r="AN37" s="11" t="n">
        <f aca="false">MAX(0,AM43+Financials!AN14)</f>
        <v>328.131723269595</v>
      </c>
      <c r="AO37" s="11" t="n">
        <f aca="false">MAX(0,AN43+Financials!AO14)</f>
        <v>352.906465473656</v>
      </c>
      <c r="AP37" s="11" t="n">
        <f aca="false">MAX(0,AO43+Financials!AP14)</f>
        <v>370.642109909297</v>
      </c>
      <c r="AQ37" s="11" t="n">
        <f aca="false">MAX(0,AP43+Financials!AQ14)</f>
        <v>355.169894098589</v>
      </c>
      <c r="AR37" s="11" t="n">
        <f aca="false">MAX(0,AQ43+Financials!AR14)</f>
        <v>340.19735968914</v>
      </c>
      <c r="AS37" s="11" t="n">
        <f aca="false">MAX(0,AR43+Financials!AS14)</f>
        <v>324.32019486816</v>
      </c>
      <c r="AT37" s="11" t="n">
        <f aca="false">MAX(0,AS43+Financials!AT14)</f>
        <v>297.28801894893</v>
      </c>
      <c r="AU37" s="11" t="n">
        <f aca="false">MAX(0,AT43+Financials!AU14)</f>
        <v>275.586487401505</v>
      </c>
      <c r="AV37" s="11" t="n">
        <f aca="false">MAX(0,AU43+Financials!AV14)</f>
        <v>259.99980635988</v>
      </c>
      <c r="AW37" s="11" t="n">
        <f aca="false">MAX(0,AV43+Financials!AW14)</f>
        <v>243.297407321235</v>
      </c>
      <c r="AX37" s="11" t="n">
        <f aca="false">MAX(0,AW43+Financials!AX14)</f>
        <v>226.573537934892</v>
      </c>
      <c r="AY37" s="11" t="n">
        <f aca="false">MAX(0,AX43+Financials!AY14)</f>
        <v>209.347778144596</v>
      </c>
      <c r="AZ37" s="11" t="n">
        <f aca="false">MAX(0,AY43+Financials!AZ14)</f>
        <v>192.636442936225</v>
      </c>
      <c r="BA37" s="11" t="n">
        <f aca="false">MAX(0,AZ43+Financials!BA14)</f>
        <v>175.306805341993</v>
      </c>
      <c r="BB37" s="11" t="n">
        <f aca="false">MAX(0,BA43+Financials!BB14)</f>
        <v>155.290983796037</v>
      </c>
      <c r="BC37" s="11" t="n">
        <f aca="false">MAX(0,BB43+Financials!BC14)</f>
        <v>138.185889067352</v>
      </c>
      <c r="BD37" s="11" t="n">
        <f aca="false">MAX(0,BC43+Financials!BD14)</f>
        <v>125.225930539164</v>
      </c>
      <c r="BE37" s="11" t="n">
        <f aca="false">MAX(0,BD43+Financials!BE14)</f>
        <v>117.7818094093</v>
      </c>
      <c r="BF37" s="11" t="n">
        <f aca="false">MAX(0,BE43+Financials!BF14)</f>
        <v>110.612073986057</v>
      </c>
      <c r="BG37" s="11" t="n">
        <f aca="false">MAX(0,BF43+Financials!BG14)</f>
        <v>102.937192503915</v>
      </c>
      <c r="BH37" s="11" t="n">
        <f aca="false">MAX(0,BG43+Financials!BH14)</f>
        <v>95.8098367690419</v>
      </c>
      <c r="BI37" s="11" t="n">
        <f aca="false">MAX(0,BH43+Financials!BI14)</f>
        <v>87.7481796030012</v>
      </c>
      <c r="BJ37" s="11" t="n">
        <f aca="false">MAX(0,BI43+Financials!BJ14)</f>
        <v>66.5481119131671</v>
      </c>
      <c r="BK37" s="11" t="n">
        <f aca="false">MAX(0,BJ43+Financials!BK14)</f>
        <v>51.4910896529105</v>
      </c>
      <c r="BL37" s="11" t="n">
        <f aca="false">MAX(0,BK43+Financials!BL14)</f>
        <v>43.5080516662798</v>
      </c>
      <c r="BM37" s="11" t="n">
        <f aca="false">MAX(0,BL43+Financials!BM14)</f>
        <v>10.7572092403083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8.51200829320846</v>
      </c>
      <c r="AP38" s="11" t="n">
        <f aca="false">AP24*MIN(AP31-AP34-AP35,AP37)</f>
        <v>41.8553230552979</v>
      </c>
      <c r="AQ38" s="11" t="n">
        <f aca="false">AQ24*MIN(AQ31-AQ34-AQ35,AQ37)</f>
        <v>41.4261240282784</v>
      </c>
      <c r="AR38" s="11" t="n">
        <f aca="false">AR24*MIN(AR31-AR34-AR35,AR37)</f>
        <v>42.0440281859729</v>
      </c>
      <c r="AS38" s="11" t="n">
        <f aca="false">AS24*MIN(AS31-AS34-AS35,AS37)</f>
        <v>41.4778377035045</v>
      </c>
      <c r="AT38" s="11" t="n">
        <f aca="false">AT24*MIN(AT31-AT34-AT35,AT37)</f>
        <v>47.0900929500161</v>
      </c>
      <c r="AU38" s="11" t="n">
        <f aca="false">AU24*MIN(AU31-AU34-AU35,AU37)</f>
        <v>42.4479272064973</v>
      </c>
      <c r="AV38" s="11" t="n">
        <f aca="false">AV24*MIN(AV31-AV34-AV35,AV37)</f>
        <v>43.68305656927</v>
      </c>
      <c r="AW38" s="11" t="n">
        <f aca="false">AW24*MIN(AW31-AW34-AW35,AW37)</f>
        <v>43.7899850073499</v>
      </c>
      <c r="AX38" s="11" t="n">
        <f aca="false">AX24*MIN(AX31-AX34-AX35,AX37)</f>
        <v>44.4351922012715</v>
      </c>
      <c r="AY38" s="11" t="n">
        <f aca="false">AY24*MIN(AY31-AY34-AY35,AY37)</f>
        <v>43.9968593767662</v>
      </c>
      <c r="AZ38" s="11" t="n">
        <f aca="false">AZ24*MIN(AZ31-AZ34-AZ35,AZ37)</f>
        <v>44.6373201088508</v>
      </c>
      <c r="BA38" s="11" t="n">
        <f aca="false">BA24*MIN(BA31-BA34-BA35,BA37)</f>
        <v>43.7548979493539</v>
      </c>
      <c r="BB38" s="11" t="n">
        <f aca="false">BB24*MIN(BB31-BB34-BB35,BB37)</f>
        <v>44.0712363167496</v>
      </c>
      <c r="BC38" s="11" t="n">
        <f aca="false">BC24*MIN(BC31-BC34-BC35,BC37)</f>
        <v>40.6870685639472</v>
      </c>
      <c r="BD38" s="11" t="n">
        <f aca="false">BD24*MIN(BD31-BD34-BD35,BD37)</f>
        <v>35.3004258138392</v>
      </c>
      <c r="BE38" s="11" t="n">
        <f aca="false">BE24*MIN(BE31-BE34-BE35,BE37)</f>
        <v>35.122520482594</v>
      </c>
      <c r="BF38" s="11" t="n">
        <f aca="false">BF24*MIN(BF31-BF34-BF35,BF37)</f>
        <v>35.7794523689352</v>
      </c>
      <c r="BG38" s="11" t="n">
        <f aca="false">BG24*MIN(BG31-BG34-BG35,BG37)</f>
        <v>35.3140745893409</v>
      </c>
      <c r="BH38" s="11" t="n">
        <f aca="false">BH24*MIN(BH31-BH34-BH35,BH37)</f>
        <v>35.9615944796383</v>
      </c>
      <c r="BI38" s="11" t="n">
        <f aca="false">BI24*MIN(BI31-BI34-BI35,BI37)</f>
        <v>35.3595825151869</v>
      </c>
      <c r="BJ38" s="11" t="n">
        <f aca="false">BJ24*MIN(BJ31-BJ34-BJ35,BJ37)</f>
        <v>42.1324549808026</v>
      </c>
      <c r="BK38" s="11" t="n">
        <f aca="false">BK24*MIN(BK31-BK34-BK35,BK37)</f>
        <v>36.6481335907073</v>
      </c>
      <c r="BL38" s="11" t="n">
        <f aca="false">BL24*MIN(BL31-BL34-BL35,BL37)</f>
        <v>38.5939777018221</v>
      </c>
      <c r="BM38" s="11" t="n">
        <f aca="false">BM24*MIN(BM31-BM34-BM35,BM37)</f>
        <v>10.7572092403083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999.245136796321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8.51200829320846</v>
      </c>
      <c r="AP41" s="11" t="n">
        <f aca="false">AP38+AP40</f>
        <v>41.8553230552979</v>
      </c>
      <c r="AQ41" s="11" t="n">
        <f aca="false">AQ38+AQ40</f>
        <v>41.4261240282784</v>
      </c>
      <c r="AR41" s="11" t="n">
        <f aca="false">AR38+AR40</f>
        <v>42.0440281859729</v>
      </c>
      <c r="AS41" s="11" t="n">
        <f aca="false">AS38+AS40</f>
        <v>41.4778377035045</v>
      </c>
      <c r="AT41" s="11" t="n">
        <f aca="false">AT38+AT40</f>
        <v>47.0900929500161</v>
      </c>
      <c r="AU41" s="11" t="n">
        <f aca="false">AU38+AU40</f>
        <v>42.4479272064973</v>
      </c>
      <c r="AV41" s="11" t="n">
        <f aca="false">AV38+AV40</f>
        <v>43.68305656927</v>
      </c>
      <c r="AW41" s="11" t="n">
        <f aca="false">AW38+AW40</f>
        <v>43.7899850073499</v>
      </c>
      <c r="AX41" s="11" t="n">
        <f aca="false">AX38+AX40</f>
        <v>44.4351922012715</v>
      </c>
      <c r="AY41" s="11" t="n">
        <f aca="false">AY38+AY40</f>
        <v>43.9968593767662</v>
      </c>
      <c r="AZ41" s="11" t="n">
        <f aca="false">AZ38+AZ40</f>
        <v>44.6373201088508</v>
      </c>
      <c r="BA41" s="11" t="n">
        <f aca="false">BA38+BA40</f>
        <v>43.7548979493539</v>
      </c>
      <c r="BB41" s="11" t="n">
        <f aca="false">BB38+BB40</f>
        <v>44.0712363167496</v>
      </c>
      <c r="BC41" s="11" t="n">
        <f aca="false">BC38+BC40</f>
        <v>40.6870685639472</v>
      </c>
      <c r="BD41" s="11" t="n">
        <f aca="false">BD38+BD40</f>
        <v>35.3004258138392</v>
      </c>
      <c r="BE41" s="11" t="n">
        <f aca="false">BE38+BE40</f>
        <v>35.122520482594</v>
      </c>
      <c r="BF41" s="11" t="n">
        <f aca="false">BF38+BF40</f>
        <v>35.7794523689352</v>
      </c>
      <c r="BG41" s="11" t="n">
        <f aca="false">BG38+BG40</f>
        <v>35.3140745893409</v>
      </c>
      <c r="BH41" s="11" t="n">
        <f aca="false">BH38+BH40</f>
        <v>35.9615944796383</v>
      </c>
      <c r="BI41" s="11" t="n">
        <f aca="false">BI38+BI40</f>
        <v>35.3595825151869</v>
      </c>
      <c r="BJ41" s="11" t="n">
        <f aca="false">BJ38+BJ40</f>
        <v>42.1324549808026</v>
      </c>
      <c r="BK41" s="11" t="n">
        <f aca="false">BK38+BK40</f>
        <v>36.6481335907073</v>
      </c>
      <c r="BL41" s="11" t="n">
        <f aca="false">BL38+BL40</f>
        <v>38.5939777018221</v>
      </c>
      <c r="BM41" s="11" t="n">
        <f aca="false">BM38+BM40</f>
        <v>55.1239627571198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9.86995053826463</v>
      </c>
      <c r="P43" s="11" t="n">
        <f aca="false">IF(Time!P17&lt;Time!$F$11,0,O43+Financials!P14-P41)</f>
        <v>17.5289808368085</v>
      </c>
      <c r="Q43" s="11" t="n">
        <f aca="false">IF(Time!Q17&lt;Time!$F$11,0,P43+Financials!Q14-Q41)</f>
        <v>26.5637571372504</v>
      </c>
      <c r="R43" s="11" t="n">
        <f aca="false">IF(Time!R17&lt;Time!$F$11,0,Q43+Financials!R14-R41)</f>
        <v>36.0187257335503</v>
      </c>
      <c r="S43" s="11" t="n">
        <f aca="false">IF(Time!S17&lt;Time!$F$11,0,R43+Financials!S14-S41)</f>
        <v>46.7849133879395</v>
      </c>
      <c r="T43" s="11" t="n">
        <f aca="false">IF(Time!T17&lt;Time!$F$11,0,S43+Financials!T14-T41)</f>
        <v>58.0523624679797</v>
      </c>
      <c r="U43" s="11" t="n">
        <f aca="false">IF(Time!U17&lt;Time!$F$11,0,T43+Financials!U14-U41)</f>
        <v>70.3906453224989</v>
      </c>
      <c r="V43" s="11" t="n">
        <f aca="false">IF(Time!V17&lt;Time!$F$11,0,U43+Financials!V14-V41)</f>
        <v>79.4458939642629</v>
      </c>
      <c r="W43" s="11" t="n">
        <f aca="false">IF(Time!W17&lt;Time!$F$11,0,V43+Financials!W14-W41)</f>
        <v>93.1111160309471</v>
      </c>
      <c r="X43" s="11" t="n">
        <f aca="false">IF(Time!X17&lt;Time!$F$11,0,W43+Financials!X14-X41)</f>
        <v>108.36994937261</v>
      </c>
      <c r="Y43" s="11" t="n">
        <f aca="false">IF(Time!Y17&lt;Time!$F$11,0,X43+Financials!Y14-Y41)</f>
        <v>121.60524481596</v>
      </c>
      <c r="Z43" s="11" t="n">
        <f aca="false">IF(Time!Z17&lt;Time!$F$11,0,Y43+Financials!Z14-Z41)</f>
        <v>129.54354684147</v>
      </c>
      <c r="AA43" s="11" t="n">
        <f aca="false">IF(Time!AA17&lt;Time!$F$11,0,Z43+Financials!AA14-AA41)</f>
        <v>138.516065243592</v>
      </c>
      <c r="AB43" s="11" t="n">
        <f aca="false">IF(Time!AB17&lt;Time!$F$11,0,AA43+Financials!AB14-AB41)</f>
        <v>148.069669531512</v>
      </c>
      <c r="AC43" s="11" t="n">
        <f aca="false">IF(Time!AC17&lt;Time!$F$11,0,AB43+Financials!AC14-AC41)</f>
        <v>158.260132508951</v>
      </c>
      <c r="AD43" s="11" t="n">
        <f aca="false">IF(Time!AD17&lt;Time!$F$11,0,AC43+Financials!AD14-AD41)</f>
        <v>158.584403289081</v>
      </c>
      <c r="AE43" s="11" t="n">
        <f aca="false">IF(Time!AE17&lt;Time!$F$11,0,AD43+Financials!AE14-AE41)</f>
        <v>170.186976384905</v>
      </c>
      <c r="AF43" s="11" t="n">
        <f aca="false">IF(Time!AF17&lt;Time!$F$11,0,AE43+Financials!AF14-AF41)</f>
        <v>183.364353008257</v>
      </c>
      <c r="AG43" s="11" t="n">
        <f aca="false">IF(Time!AG17&lt;Time!$F$11,0,AF43+Financials!AG14-AG41)</f>
        <v>197.62717313515</v>
      </c>
      <c r="AH43" s="11" t="n">
        <f aca="false">IF(Time!AH17&lt;Time!$F$11,0,AG43+Financials!AH14-AH41)</f>
        <v>212.864465582735</v>
      </c>
      <c r="AI43" s="11" t="n">
        <f aca="false">IF(Time!AI17&lt;Time!$F$11,0,AH43+Financials!AI14-AI41)</f>
        <v>229.473831575167</v>
      </c>
      <c r="AJ43" s="11" t="n">
        <f aca="false">IF(Time!AJ17&lt;Time!$F$11,0,AI43+Financials!AJ14-AJ41)</f>
        <v>247.20102646753</v>
      </c>
      <c r="AK43" s="11" t="n">
        <f aca="false">IF(Time!AK17&lt;Time!$F$11,0,AJ43+Financials!AK14-AK41)</f>
        <v>266.244908253385</v>
      </c>
      <c r="AL43" s="11" t="n">
        <f aca="false">IF(Time!AL17&lt;Time!$F$11,0,AK43+Financials!AL14-AL41)</f>
        <v>283.392903676199</v>
      </c>
      <c r="AM43" s="11" t="n">
        <f aca="false">IF(Time!AM17&lt;Time!$F$11,0,AL43+Financials!AM14-AM41)</f>
        <v>304.551218585541</v>
      </c>
      <c r="AN43" s="11" t="n">
        <f aca="false">IF(Time!AN17&lt;Time!$F$11,0,AM43+Financials!AN14-AN41)</f>
        <v>328.131723269595</v>
      </c>
      <c r="AO43" s="11" t="n">
        <f aca="false">IF(Time!AO17&lt;Time!$F$11,0,AN43+Financials!AO14-AO41)</f>
        <v>344.394457180447</v>
      </c>
      <c r="AP43" s="11" t="n">
        <f aca="false">IF(Time!AP17&lt;Time!$F$11,0,AO43+Financials!AP14-AP41)</f>
        <v>328.786786853999</v>
      </c>
      <c r="AQ43" s="11" t="n">
        <f aca="false">IF(Time!AQ17&lt;Time!$F$11,0,AP43+Financials!AQ14-AQ41)</f>
        <v>313.743770070311</v>
      </c>
      <c r="AR43" s="11" t="n">
        <f aca="false">IF(Time!AR17&lt;Time!$F$11,0,AQ43+Financials!AR14-AR41)</f>
        <v>298.153331503167</v>
      </c>
      <c r="AS43" s="11" t="n">
        <f aca="false">IF(Time!AS17&lt;Time!$F$11,0,AR43+Financials!AS14-AS41)</f>
        <v>282.842357164655</v>
      </c>
      <c r="AT43" s="11" t="n">
        <f aca="false">IF(Time!AT17&lt;Time!$F$11,0,AS43+Financials!AT14-AT41)</f>
        <v>250.197925998914</v>
      </c>
      <c r="AU43" s="11" t="n">
        <f aca="false">IF(Time!AU17&lt;Time!$F$11,0,AT43+Financials!AU14-AU41)</f>
        <v>233.138560195008</v>
      </c>
      <c r="AV43" s="11" t="n">
        <f aca="false">IF(Time!AV17&lt;Time!$F$11,0,AU43+Financials!AV14-AV41)</f>
        <v>216.31674979061</v>
      </c>
      <c r="AW43" s="11" t="n">
        <f aca="false">IF(Time!AW17&lt;Time!$F$11,0,AV43+Financials!AW14-AW41)</f>
        <v>199.507422313885</v>
      </c>
      <c r="AX43" s="11" t="n">
        <f aca="false">IF(Time!AX17&lt;Time!$F$11,0,AW43+Financials!AX14-AX41)</f>
        <v>182.138345733621</v>
      </c>
      <c r="AY43" s="11" t="n">
        <f aca="false">IF(Time!AY17&lt;Time!$F$11,0,AX43+Financials!AY14-AY41)</f>
        <v>165.35091876783</v>
      </c>
      <c r="AZ43" s="11" t="n">
        <f aca="false">IF(Time!AZ17&lt;Time!$F$11,0,AY43+Financials!AZ14-AZ41)</f>
        <v>147.999122827374</v>
      </c>
      <c r="BA43" s="11" t="n">
        <f aca="false">IF(Time!BA17&lt;Time!$F$11,0,AZ43+Financials!BA14-BA41)</f>
        <v>131.551907392639</v>
      </c>
      <c r="BB43" s="11" t="n">
        <f aca="false">IF(Time!BB17&lt;Time!$F$11,0,BA43+Financials!BB14-BB41)</f>
        <v>111.219747479287</v>
      </c>
      <c r="BC43" s="11" t="n">
        <f aca="false">IF(Time!BC17&lt;Time!$F$11,0,BB43+Financials!BC14-BC41)</f>
        <v>97.4988205034051</v>
      </c>
      <c r="BD43" s="11" t="n">
        <f aca="false">IF(Time!BD17&lt;Time!$F$11,0,BC43+Financials!BD14-BD41)</f>
        <v>89.9255047253244</v>
      </c>
      <c r="BE43" s="11" t="n">
        <f aca="false">IF(Time!BE17&lt;Time!$F$11,0,BD43+Financials!BE14-BE41)</f>
        <v>82.6592889267065</v>
      </c>
      <c r="BF43" s="11" t="n">
        <f aca="false">IF(Time!BF17&lt;Time!$F$11,0,BE43+Financials!BF14-BF41)</f>
        <v>74.8326216171217</v>
      </c>
      <c r="BG43" s="11" t="n">
        <f aca="false">IF(Time!BG17&lt;Time!$F$11,0,BF43+Financials!BG14-BG41)</f>
        <v>67.6231179145741</v>
      </c>
      <c r="BH43" s="11" t="n">
        <f aca="false">IF(Time!BH17&lt;Time!$F$11,0,BG43+Financials!BH14-BH41)</f>
        <v>59.8482422894035</v>
      </c>
      <c r="BI43" s="11" t="n">
        <f aca="false">IF(Time!BI17&lt;Time!$F$11,0,BH43+Financials!BI14-BI41)</f>
        <v>52.3885970878143</v>
      </c>
      <c r="BJ43" s="11" t="n">
        <f aca="false">IF(Time!BJ17&lt;Time!$F$11,0,BI43+Financials!BJ14-BJ41)</f>
        <v>24.4156569323646</v>
      </c>
      <c r="BK43" s="11" t="n">
        <f aca="false">IF(Time!BK17&lt;Time!$F$11,0,BJ43+Financials!BK14-BK41)</f>
        <v>14.8429560622032</v>
      </c>
      <c r="BL43" s="11" t="n">
        <f aca="false">IF(Time!BL17&lt;Time!$F$11,0,BK43+Financials!BL14-BL41)</f>
        <v>4.91407396445776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1390.95079986935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15.3470396906232</v>
      </c>
      <c r="Q44" s="11" t="n">
        <f aca="false">Q34+Q35+Q41</f>
        <v>12.817434186808</v>
      </c>
      <c r="R44" s="11" t="n">
        <f aca="false">R34+R35+R41</f>
        <v>13.6944211767362</v>
      </c>
      <c r="S44" s="11" t="n">
        <f aca="false">S34+S35+S41</f>
        <v>12.9200584528173</v>
      </c>
      <c r="T44" s="11" t="n">
        <f aca="false">T34+T35+T41</f>
        <v>13.6845286632475</v>
      </c>
      <c r="U44" s="11" t="n">
        <f aca="false">U34+U35+U41</f>
        <v>12.5914558450127</v>
      </c>
      <c r="V44" s="11" t="n">
        <f aca="false">V34+V35+V41</f>
        <v>12.5515835899042</v>
      </c>
      <c r="W44" s="11" t="n">
        <f aca="false">W34+W35+W41</f>
        <v>13.5633080447217</v>
      </c>
      <c r="X44" s="11" t="n">
        <f aca="false">X34+X35+X41</f>
        <v>13.3528522686011</v>
      </c>
      <c r="Y44" s="11" t="n">
        <f aca="false">Y34+Y35+Y41</f>
        <v>12.8081795172204</v>
      </c>
      <c r="Z44" s="11" t="n">
        <f aca="false">Z34+Z35+Z41</f>
        <v>13.4657980571963</v>
      </c>
      <c r="AA44" s="11" t="n">
        <f aca="false">AA34+AA35+AA41</f>
        <v>6.3361357909179</v>
      </c>
      <c r="AB44" s="11" t="n">
        <f aca="false">AB34+AB35+AB41</f>
        <v>7.37102298257586</v>
      </c>
      <c r="AC44" s="11" t="n">
        <f aca="false">AC34+AC35+AC41</f>
        <v>6.82254845278294</v>
      </c>
      <c r="AD44" s="11" t="n">
        <f aca="false">AD34+AD35+AD41</f>
        <v>7.36312833136017</v>
      </c>
      <c r="AE44" s="11" t="n">
        <f aca="false">AE34+AE35+AE41</f>
        <v>7.8406431815442</v>
      </c>
      <c r="AF44" s="11" t="n">
        <f aca="false">AF34+AF35+AF41</f>
        <v>9.46988010110519</v>
      </c>
      <c r="AG44" s="11" t="n">
        <f aca="false">AG34+AG35+AG41</f>
        <v>10.1829735432366</v>
      </c>
      <c r="AH44" s="11" t="n">
        <f aca="false">AH34+AH35+AH41</f>
        <v>11.5678504898404</v>
      </c>
      <c r="AI44" s="11" t="n">
        <f aca="false">AI34+AI35+AI41</f>
        <v>12.4693245240889</v>
      </c>
      <c r="AJ44" s="11" t="n">
        <f aca="false">AJ34+AJ35+AJ41</f>
        <v>14.3789345865293</v>
      </c>
      <c r="AK44" s="11" t="n">
        <f aca="false">AK34+AK35+AK41</f>
        <v>32.2638350009865</v>
      </c>
      <c r="AL44" s="11" t="n">
        <f aca="false">AL34+AL35+AL41</f>
        <v>28.5708133682081</v>
      </c>
      <c r="AM44" s="11" t="n">
        <f aca="false">AM34+AM35+AM41</f>
        <v>32.9159288449634</v>
      </c>
      <c r="AN44" s="11" t="n">
        <f aca="false">AN34+AN35+AN41</f>
        <v>24.0325033750714</v>
      </c>
      <c r="AO44" s="11" t="n">
        <f aca="false">AO34+AO35+AO41</f>
        <v>41.8354893001395</v>
      </c>
      <c r="AP44" s="11" t="n">
        <f aca="false">AP34+AP35+AP41</f>
        <v>41.8553230552979</v>
      </c>
      <c r="AQ44" s="11" t="n">
        <f aca="false">AQ34+AQ35+AQ41</f>
        <v>41.4261240282784</v>
      </c>
      <c r="AR44" s="11" t="n">
        <f aca="false">AR34+AR35+AR41</f>
        <v>42.0440281859729</v>
      </c>
      <c r="AS44" s="11" t="n">
        <f aca="false">AS34+AS35+AS41</f>
        <v>41.4778377035045</v>
      </c>
      <c r="AT44" s="11" t="n">
        <f aca="false">AT34+AT35+AT41</f>
        <v>47.0900929500161</v>
      </c>
      <c r="AU44" s="11" t="n">
        <f aca="false">AU34+AU35+AU41</f>
        <v>42.4479272064973</v>
      </c>
      <c r="AV44" s="11" t="n">
        <f aca="false">AV34+AV35+AV41</f>
        <v>43.68305656927</v>
      </c>
      <c r="AW44" s="11" t="n">
        <f aca="false">AW34+AW35+AW41</f>
        <v>43.7899850073499</v>
      </c>
      <c r="AX44" s="11" t="n">
        <f aca="false">AX34+AX35+AX41</f>
        <v>44.4351922012715</v>
      </c>
      <c r="AY44" s="11" t="n">
        <f aca="false">AY34+AY35+AY41</f>
        <v>43.9968593767662</v>
      </c>
      <c r="AZ44" s="11" t="n">
        <f aca="false">AZ34+AZ35+AZ41</f>
        <v>44.6373201088508</v>
      </c>
      <c r="BA44" s="11" t="n">
        <f aca="false">BA34+BA35+BA41</f>
        <v>43.7548979493539</v>
      </c>
      <c r="BB44" s="11" t="n">
        <f aca="false">BB34+BB35+BB41</f>
        <v>44.0712363167496</v>
      </c>
      <c r="BC44" s="11" t="n">
        <f aca="false">BC34+BC35+BC41</f>
        <v>40.6870685639472</v>
      </c>
      <c r="BD44" s="11" t="n">
        <f aca="false">BD34+BD35+BD41</f>
        <v>35.3004258138392</v>
      </c>
      <c r="BE44" s="11" t="n">
        <f aca="false">BE34+BE35+BE41</f>
        <v>35.122520482594</v>
      </c>
      <c r="BF44" s="11" t="n">
        <f aca="false">BF34+BF35+BF41</f>
        <v>35.7794523689352</v>
      </c>
      <c r="BG44" s="11" t="n">
        <f aca="false">BG34+BG35+BG41</f>
        <v>35.3140745893409</v>
      </c>
      <c r="BH44" s="11" t="n">
        <f aca="false">BH34+BH35+BH41</f>
        <v>35.9615944796383</v>
      </c>
      <c r="BI44" s="11" t="n">
        <f aca="false">BI34+BI35+BI41</f>
        <v>35.3595825151869</v>
      </c>
      <c r="BJ44" s="11" t="n">
        <f aca="false">BJ34+BJ35+BJ41</f>
        <v>42.1324549808026</v>
      </c>
      <c r="BK44" s="11" t="n">
        <f aca="false">BK34+BK35+BK41</f>
        <v>36.6481335907073</v>
      </c>
      <c r="BL44" s="11" t="n">
        <f aca="false">BL34+BL35+BL41</f>
        <v>38.5939777018221</v>
      </c>
      <c r="BM44" s="11" t="n">
        <f aca="false">BM34+BM35+BM41</f>
        <v>55.1239627571198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503.14565689355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30.4018816614571</v>
      </c>
      <c r="R9" s="11" t="n">
        <f aca="false">Debt!R119+Debt!R117+Debt!R111-Debt!R110+Tax!R13</f>
        <v>30.0658578849822</v>
      </c>
      <c r="S9" s="11" t="n">
        <f aca="false">Debt!S119+Debt!S117+Debt!S111-Debt!S110+Tax!S13</f>
        <v>28.9190393019581</v>
      </c>
      <c r="T9" s="11" t="n">
        <f aca="false">Debt!T119+Debt!T117+Debt!T111-Debt!T110+Tax!T13</f>
        <v>28.4978031749763</v>
      </c>
      <c r="U9" s="11" t="n">
        <f aca="false">Debt!U119+Debt!U117+Debt!U111-Debt!U110+Tax!U13</f>
        <v>27.4153604295177</v>
      </c>
      <c r="V9" s="11" t="n">
        <f aca="false">Debt!V119+Debt!V117+Debt!V111-Debt!V110+Tax!V13</f>
        <v>26.8102269524629</v>
      </c>
      <c r="W9" s="11" t="n">
        <f aca="false">Debt!W119+Debt!W117+Debt!W111-Debt!W110+Tax!W13</f>
        <v>25.6053908073569</v>
      </c>
      <c r="X9" s="11" t="n">
        <f aca="false">Debt!X119+Debt!X117+Debt!X111-Debt!X110+Tax!X13</f>
        <v>24.964814227694</v>
      </c>
      <c r="Y9" s="11" t="n">
        <f aca="false">Debt!Y119+Debt!Y117+Debt!Y111-Debt!Y110+Tax!Y13</f>
        <v>24.2203832948962</v>
      </c>
      <c r="Z9" s="11" t="n">
        <f aca="false">Debt!Z119+Debt!Z117+Debt!Z111-Debt!Z110+Tax!Z13</f>
        <v>23.5749203253052</v>
      </c>
      <c r="AA9" s="11" t="n">
        <f aca="false">Debt!AA119+Debt!AA117+Debt!AA111-Debt!AA110+Tax!AA13</f>
        <v>22.2678483786251</v>
      </c>
      <c r="AB9" s="11" t="n">
        <f aca="false">Debt!AB119+Debt!AB117+Debt!AB111-Debt!AB110+Tax!AB13</f>
        <v>21.5213763953289</v>
      </c>
      <c r="AC9" s="11" t="n">
        <f aca="false">Debt!AC119+Debt!AC117+Debt!AC111-Debt!AC110+Tax!AC13</f>
        <v>20.2054662683237</v>
      </c>
      <c r="AD9" s="11" t="n">
        <f aca="false">Debt!AD119+Debt!AD117+Debt!AD111-Debt!AD110+Tax!AD13</f>
        <v>19.2794820375375</v>
      </c>
      <c r="AE9" s="11" t="n">
        <f aca="false">Debt!AE119+Debt!AE117+Debt!AE111-Debt!AE110+Tax!AE13</f>
        <v>17.8546469081382</v>
      </c>
      <c r="AF9" s="11" t="n">
        <f aca="false">Debt!AF119+Debt!AF117+Debt!AF111-Debt!AF110+Tax!AF13</f>
        <v>16.8313246421124</v>
      </c>
      <c r="AG9" s="11" t="n">
        <f aca="false">Debt!AG119+Debt!AG117+Debt!AG111-Debt!AG110+Tax!AG13</f>
        <v>15.424203683767</v>
      </c>
      <c r="AH9" s="11" t="n">
        <f aca="false">Debt!AH119+Debt!AH117+Debt!AH111-Debt!AH110+Tax!AH13</f>
        <v>14.1250250985316</v>
      </c>
      <c r="AI9" s="11" t="n">
        <f aca="false">Debt!AI119+Debt!AI117+Debt!AI111-Debt!AI110+Tax!AI13</f>
        <v>12.3447445537978</v>
      </c>
      <c r="AJ9" s="11" t="n">
        <f aca="false">Debt!AJ119+Debt!AJ117+Debt!AJ111-Debt!AJ110+Tax!AJ13</f>
        <v>10.8381287839089</v>
      </c>
      <c r="AK9" s="11" t="n">
        <f aca="false">Debt!AK119+Debt!AK117+Debt!AK111-Debt!AK110+Tax!AK13</f>
        <v>8.96489064012811</v>
      </c>
      <c r="AL9" s="11" t="n">
        <f aca="false">Debt!AL119+Debt!AL117+Debt!AL111-Debt!AL110+Tax!AL13</f>
        <v>7.2425106194171</v>
      </c>
      <c r="AM9" s="11" t="n">
        <f aca="false">Debt!AM119+Debt!AM117+Debt!AM111-Debt!AM110+Tax!AM13</f>
        <v>5.46023451495631</v>
      </c>
      <c r="AN9" s="11" t="n">
        <f aca="false">Debt!AN119+Debt!AN117+Debt!AN111-Debt!AN110+Tax!AN13</f>
        <v>3.54484422791173</v>
      </c>
      <c r="AO9" s="11" t="n">
        <f aca="false">Debt!AO119+Debt!AO117+Debt!AO111-Debt!AO110+Tax!AO13</f>
        <v>1.99648088809053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-49.0893987348512</v>
      </c>
      <c r="Z12" s="11" t="n">
        <f aca="false">IF(Time!Z17&gt;=Time!$F$11,Inputs!$F$181/100*(Z11-Z10-Tax!Z21),0)</f>
        <v>-45.5356436627746</v>
      </c>
      <c r="AA12" s="11" t="n">
        <f aca="false">IF(Time!AA17&gt;=Time!$F$11,Inputs!$F$181/100*(AA11-AA10-Tax!AA21),0)</f>
        <v>-41.5377487852339</v>
      </c>
      <c r="AB12" s="11" t="n">
        <f aca="false">IF(Time!AB17&gt;=Time!$F$11,Inputs!$F$181/100*(AB11-AB10-Tax!AB21),0)</f>
        <v>-37.2899945639688</v>
      </c>
      <c r="AC12" s="11" t="n">
        <f aca="false">IF(Time!AC17&gt;=Time!$F$11,Inputs!$F$181/100*(AC11-AC10-Tax!AC21),0)</f>
        <v>-32.7702857664727</v>
      </c>
      <c r="AD12" s="11" t="n">
        <f aca="false">IF(Time!AD17&gt;=Time!$F$11,Inputs!$F$181/100*(AD11-AD10-Tax!AD21),0)</f>
        <v>-31.766261903656</v>
      </c>
      <c r="AE12" s="11" t="n">
        <f aca="false">IF(Time!AE17&gt;=Time!$F$11,Inputs!$F$181/100*(AE11-AE10-Tax!AE21),0)</f>
        <v>-27.360678212059</v>
      </c>
      <c r="AF12" s="11" t="n">
        <f aca="false">IF(Time!AF17&gt;=Time!$F$11,Inputs!$F$181/100*(AF11-AF10-Tax!AF21),0)</f>
        <v>-21.5569795395981</v>
      </c>
      <c r="AG12" s="11" t="n">
        <f aca="false">IF(Time!AG17&gt;=Time!$F$11,Inputs!$F$181/100*(AG11-AG10-Tax!AG21),0)</f>
        <v>-15.2874085547703</v>
      </c>
      <c r="AH12" s="11" t="n">
        <f aca="false">IF(Time!AH17&gt;=Time!$F$11,Inputs!$F$181/100*(AH11-AH10-Tax!AH21),0)</f>
        <v>-8.59973452235238</v>
      </c>
      <c r="AI12" s="11" t="n">
        <f aca="false">IF(Time!AI17&gt;=Time!$F$11,Inputs!$F$181/100*(AI11-AI10-Tax!AI21),0)</f>
        <v>-1.32305293951926</v>
      </c>
      <c r="AJ12" s="11" t="n">
        <f aca="false">IF(Time!AJ17&gt;=Time!$F$11,Inputs!$F$181/100*(AJ11-AJ10-Tax!AJ21),0)</f>
        <v>6.43359346451276</v>
      </c>
      <c r="AK12" s="11" t="n">
        <f aca="false">IF(Time!AK17&gt;=Time!$F$11,Inputs!$F$181/100*(AK11-AK10-Tax!AK21),0)</f>
        <v>14.7546648951197</v>
      </c>
      <c r="AL12" s="11" t="n">
        <f aca="false">IF(Time!AL17&gt;=Time!$F$11,Inputs!$F$181/100*(AL11-AL10-Tax!AL21),0)</f>
        <v>22.2601863085639</v>
      </c>
      <c r="AM12" s="11" t="n">
        <f aca="false">IF(Time!AM17&gt;=Time!$F$11,Inputs!$F$181/100*(AM11-AM10-Tax!AM21),0)</f>
        <v>31.4871003112244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-2.23495180340348</v>
      </c>
      <c r="Z13" s="11" t="n">
        <f aca="false">Z12-Y12</f>
        <v>3.55375507207656</v>
      </c>
      <c r="AA13" s="11" t="n">
        <f aca="false">AA12-Z12</f>
        <v>3.9978948775407</v>
      </c>
      <c r="AB13" s="11" t="n">
        <f aca="false">AB12-AA12</f>
        <v>4.2477542212651</v>
      </c>
      <c r="AC13" s="11" t="n">
        <f aca="false">AC12-AB12</f>
        <v>4.51970879749608</v>
      </c>
      <c r="AD13" s="11" t="n">
        <f aca="false">AD12-AC12</f>
        <v>1.00402386281673</v>
      </c>
      <c r="AE13" s="11" t="n">
        <f aca="false">AE12-AD12</f>
        <v>4.40558369159704</v>
      </c>
      <c r="AF13" s="11" t="n">
        <f aca="false">AF12-AE12</f>
        <v>5.80369867246084</v>
      </c>
      <c r="AG13" s="11" t="n">
        <f aca="false">AG12-AF12</f>
        <v>6.26957098482779</v>
      </c>
      <c r="AH13" s="11" t="n">
        <f aca="false">AH12-AG12</f>
        <v>6.68767403241795</v>
      </c>
      <c r="AI13" s="11" t="n">
        <f aca="false">AI12-AH12</f>
        <v>7.27668158283312</v>
      </c>
      <c r="AJ13" s="11" t="n">
        <f aca="false">AJ12-AI12</f>
        <v>7.75664640403202</v>
      </c>
      <c r="AK13" s="11" t="n">
        <f aca="false">AK12-AJ12</f>
        <v>8.32107143060693</v>
      </c>
      <c r="AL13" s="11" t="n">
        <f aca="false">AL12-AK12</f>
        <v>7.50552141344422</v>
      </c>
      <c r="AM13" s="11" t="n">
        <f aca="false">AM12-AL12</f>
        <v>9.22691400266045</v>
      </c>
      <c r="AN13" s="11" t="n">
        <f aca="false">AN12-AM12</f>
        <v>1.47834985125852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954.878383279509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9.86995053826463</v>
      </c>
      <c r="P14" s="11" t="n">
        <f aca="false">Operations!P79-P8-P9-Tax!P27-P13</f>
        <v>7.65903029854384</v>
      </c>
      <c r="Q14" s="11" t="n">
        <f aca="false">Operations!Q79-Q8-Q9-Tax!Q27-Q13</f>
        <v>9.03477630044192</v>
      </c>
      <c r="R14" s="11" t="n">
        <f aca="false">Operations!R79-R8-R9-Tax!R27-R13</f>
        <v>9.45496859629985</v>
      </c>
      <c r="S14" s="11" t="n">
        <f aca="false">Operations!S79-S8-S9-Tax!S27-S13</f>
        <v>10.7661876543892</v>
      </c>
      <c r="T14" s="11" t="n">
        <f aca="false">Operations!T79-T8-T9-Tax!T27-T13</f>
        <v>11.2674490800402</v>
      </c>
      <c r="U14" s="11" t="n">
        <f aca="false">Operations!U79-U8-U9-Tax!U27-U13</f>
        <v>12.3382828545192</v>
      </c>
      <c r="V14" s="11" t="n">
        <f aca="false">Operations!V79-V8-V9-Tax!V27-V13</f>
        <v>9.05524864176403</v>
      </c>
      <c r="W14" s="11" t="n">
        <f aca="false">Operations!W79-W8-W9-Tax!W27-W13</f>
        <v>13.6652220666842</v>
      </c>
      <c r="X14" s="11" t="n">
        <f aca="false">Operations!X79-X8-X9-Tax!X27-X13</f>
        <v>15.2588333416628</v>
      </c>
      <c r="Y14" s="11" t="n">
        <f aca="false">Operations!Y79-Y8-Y9-Tax!Y27-Y13</f>
        <v>13.23529544335</v>
      </c>
      <c r="Z14" s="11" t="n">
        <f aca="false">Operations!Z79-Z8-Z9-Tax!Z27-Z13</f>
        <v>7.93830202551009</v>
      </c>
      <c r="AA14" s="11" t="n">
        <f aca="false">Operations!AA79-AA8-AA9-Tax!AA27-AA13</f>
        <v>8.97251840212236</v>
      </c>
      <c r="AB14" s="11" t="n">
        <f aca="false">Operations!AB79-AB8-AB9-Tax!AB27-AB13</f>
        <v>9.55360428791943</v>
      </c>
      <c r="AC14" s="11" t="n">
        <f aca="false">Operations!AC79-AC8-AC9-Tax!AC27-AC13</f>
        <v>10.1904629774392</v>
      </c>
      <c r="AD14" s="11" t="n">
        <f aca="false">Operations!AD79-AD8-AD9-Tax!AD27-AD13</f>
        <v>0.32427078013014</v>
      </c>
      <c r="AE14" s="11" t="n">
        <f aca="false">Operations!AE79-AE8-AE9-Tax!AE27-AE13</f>
        <v>11.602573095824</v>
      </c>
      <c r="AF14" s="11" t="n">
        <f aca="false">Operations!AF79-AF8-AF9-Tax!AF27-AF13</f>
        <v>13.1773766233518</v>
      </c>
      <c r="AG14" s="11" t="n">
        <f aca="false">Operations!AG79-AG8-AG9-Tax!AG27-AG13</f>
        <v>14.2628201268931</v>
      </c>
      <c r="AH14" s="11" t="n">
        <f aca="false">Operations!AH79-AH8-AH9-Tax!AH27-AH13</f>
        <v>15.2372924475848</v>
      </c>
      <c r="AI14" s="11" t="n">
        <f aca="false">Operations!AI79-AI8-AI9-Tax!AI27-AI13</f>
        <v>16.6093659924317</v>
      </c>
      <c r="AJ14" s="11" t="n">
        <f aca="false">Operations!AJ79-AJ8-AJ9-Tax!AJ27-AJ13</f>
        <v>17.7271948923638</v>
      </c>
      <c r="AK14" s="11" t="n">
        <f aca="false">Operations!AK79-AK8-AK9-Tax!AK27-AK13</f>
        <v>19.0438817858547</v>
      </c>
      <c r="AL14" s="11" t="n">
        <f aca="false">Operations!AL79-AL8-AL9-Tax!AL27-AL13</f>
        <v>17.1479954228134</v>
      </c>
      <c r="AM14" s="11" t="n">
        <f aca="false">Operations!AM79-AM8-AM9-Tax!AM27-AM13</f>
        <v>21.1583149093425</v>
      </c>
      <c r="AN14" s="11" t="n">
        <f aca="false">Operations!AN79-AN8-AN9-Tax!AN27-AN13</f>
        <v>23.5805046840544</v>
      </c>
      <c r="AO14" s="11" t="n">
        <f aca="false">Operations!AO79-AO8-AO9-Tax!AO27-AO13</f>
        <v>24.7747422040602</v>
      </c>
      <c r="AP14" s="11" t="n">
        <f aca="false">Operations!AP79-AP8-AP9-Tax!AP27-AP13</f>
        <v>26.2476527288499</v>
      </c>
      <c r="AQ14" s="11" t="n">
        <f aca="false">Operations!AQ79-AQ8-AQ9-Tax!AQ27-AQ13</f>
        <v>26.3831072445902</v>
      </c>
      <c r="AR14" s="11" t="n">
        <f aca="false">Operations!AR79-AR8-AR9-Tax!AR27-AR13</f>
        <v>26.4535896188294</v>
      </c>
      <c r="AS14" s="11" t="n">
        <f aca="false">Operations!AS79-AS8-AS9-Tax!AS27-AS13</f>
        <v>26.1668633649923</v>
      </c>
      <c r="AT14" s="11" t="n">
        <f aca="false">Operations!AT79-AT8-AT9-Tax!AT27-AT13</f>
        <v>14.4456617842753</v>
      </c>
      <c r="AU14" s="11" t="n">
        <f aca="false">Operations!AU79-AU8-AU9-Tax!AU27-AU13</f>
        <v>25.3885614025905</v>
      </c>
      <c r="AV14" s="11" t="n">
        <f aca="false">Operations!AV79-AV8-AV9-Tax!AV27-AV13</f>
        <v>26.8612461648728</v>
      </c>
      <c r="AW14" s="11" t="n">
        <f aca="false">Operations!AW79-AW8-AW9-Tax!AW27-AW13</f>
        <v>26.9806575306249</v>
      </c>
      <c r="AX14" s="11" t="n">
        <f aca="false">Operations!AX79-AX8-AX9-Tax!AX27-AX13</f>
        <v>27.0661156210069</v>
      </c>
      <c r="AY14" s="11" t="n">
        <f aca="false">Operations!AY79-AY8-AY9-Tax!AY27-AY13</f>
        <v>27.2094324109755</v>
      </c>
      <c r="AZ14" s="11" t="n">
        <f aca="false">Operations!AZ79-AZ8-AZ9-Tax!AZ27-AZ13</f>
        <v>27.2855241683952</v>
      </c>
      <c r="BA14" s="11" t="n">
        <f aca="false">Operations!BA79-BA8-BA9-Tax!BA27-BA13</f>
        <v>27.3076825146183</v>
      </c>
      <c r="BB14" s="11" t="n">
        <f aca="false">Operations!BB79-BB8-BB9-Tax!BB27-BB13</f>
        <v>23.7390764033979</v>
      </c>
      <c r="BC14" s="11" t="n">
        <f aca="false">Operations!BC79-BC8-BC9-Tax!BC27-BC13</f>
        <v>26.9661415880652</v>
      </c>
      <c r="BD14" s="11" t="n">
        <f aca="false">Operations!BD79-BD8-BD9-Tax!BD27-BD13</f>
        <v>27.7271100357585</v>
      </c>
      <c r="BE14" s="11" t="n">
        <f aca="false">Operations!BE79-BE8-BE9-Tax!BE27-BE13</f>
        <v>27.856304683976</v>
      </c>
      <c r="BF14" s="11" t="n">
        <f aca="false">Operations!BF79-BF8-BF9-Tax!BF27-BF13</f>
        <v>27.9527850593504</v>
      </c>
      <c r="BG14" s="11" t="n">
        <f aca="false">Operations!BG79-BG8-BG9-Tax!BG27-BG13</f>
        <v>28.1045708867933</v>
      </c>
      <c r="BH14" s="11" t="n">
        <f aca="false">Operations!BH79-BH8-BH9-Tax!BH27-BH13</f>
        <v>28.1867188544678</v>
      </c>
      <c r="BI14" s="11" t="n">
        <f aca="false">Operations!BI79-BI8-BI9-Tax!BI27-BI13</f>
        <v>27.8999373135977</v>
      </c>
      <c r="BJ14" s="11" t="n">
        <f aca="false">Operations!BJ79-BJ8-BJ9-Tax!BJ27-BJ13</f>
        <v>14.1595148253528</v>
      </c>
      <c r="BK14" s="11" t="n">
        <f aca="false">Operations!BK79-BK8-BK9-Tax!BK27-BK13</f>
        <v>27.0754327205459</v>
      </c>
      <c r="BL14" s="11" t="n">
        <f aca="false">Operations!BL79-BL8-BL9-Tax!BL27-BL13</f>
        <v>28.6650956040767</v>
      </c>
      <c r="BM14" s="11" t="n">
        <f aca="false">Operations!BM79-BM8-BM9-Tax!BM27-BM13</f>
        <v>5.84313527585059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39.1911562592109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46.0629442699241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48.604279692316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36.0360476420817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35.2245441795351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34.3929528574795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33.9325041047794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32.5644284656966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31.3326603605309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29.1679436977358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26.6989116341107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38.4207127281762</v>
      </c>
      <c r="P18" s="11" t="n">
        <f aca="false">Operations!P83+Operations!P84</f>
        <v>38.2953922057586</v>
      </c>
      <c r="Q18" s="11" t="n">
        <f aca="false">Operations!Q83+Operations!Q84</f>
        <v>39.3039104786019</v>
      </c>
      <c r="R18" s="11" t="n">
        <f aca="false">Operations!R83+Operations!R84</f>
        <v>38.6212628229736</v>
      </c>
      <c r="S18" s="11" t="n">
        <f aca="false">Operations!S83+Operations!S84</f>
        <v>39.799782116238</v>
      </c>
      <c r="T18" s="11" t="n">
        <f aca="false">Operations!T83+Operations!T84</f>
        <v>39.4092216789825</v>
      </c>
      <c r="U18" s="11" t="n">
        <f aca="false">Operations!U83+Operations!U84</f>
        <v>40.0128872883052</v>
      </c>
      <c r="V18" s="11" t="n">
        <f aca="false">Operations!V83+Operations!V84</f>
        <v>38.8067538518055</v>
      </c>
      <c r="W18" s="11" t="n">
        <f aca="false">Operations!W83+Operations!W84</f>
        <v>40.3546065229662</v>
      </c>
      <c r="X18" s="11" t="n">
        <f aca="false">Operations!X83+Operations!X84</f>
        <v>40.5669112327118</v>
      </c>
      <c r="Y18" s="11" t="n">
        <f aca="false">Operations!Y83+Operations!Y84</f>
        <v>41.6435007899242</v>
      </c>
      <c r="Z18" s="11" t="n">
        <f aca="false">Operations!Z83+Operations!Z84</f>
        <v>40.9198383176405</v>
      </c>
      <c r="AA18" s="11" t="n">
        <f aca="false">Operations!AA83+Operations!AA84</f>
        <v>42.1792207864513</v>
      </c>
      <c r="AB18" s="11" t="n">
        <f aca="false">Operations!AB83+Operations!AB84</f>
        <v>41.7701907394751</v>
      </c>
      <c r="AC18" s="11" t="n">
        <f aca="false">Operations!AC83+Operations!AC84</f>
        <v>42.1385699976597</v>
      </c>
      <c r="AD18" s="11" t="n">
        <f aca="false">Operations!AD83+Operations!AD84</f>
        <v>40.3148298175659</v>
      </c>
      <c r="AE18" s="11" t="n">
        <f aca="false">Operations!AE83+Operations!AE84</f>
        <v>42.2239175742502</v>
      </c>
      <c r="AF18" s="11" t="n">
        <f aca="false">Operations!AF83+Operations!AF84</f>
        <v>43.0208583188408</v>
      </c>
      <c r="AG18" s="11" t="n">
        <f aca="false">Operations!AG83+Operations!AG84</f>
        <v>44.1710054424924</v>
      </c>
      <c r="AH18" s="11" t="n">
        <f aca="false">Operations!AH83+Operations!AH84</f>
        <v>43.4030297550563</v>
      </c>
      <c r="AI18" s="11" t="n">
        <f aca="false">Operations!AI83+Operations!AI84</f>
        <v>44.7497850013882</v>
      </c>
      <c r="AJ18" s="11" t="n">
        <f aca="false">Operations!AJ83+Operations!AJ84</f>
        <v>44.320783027817</v>
      </c>
      <c r="AK18" s="11" t="n">
        <f aca="false">Operations!AK83+Operations!AK84</f>
        <v>45.0118828801579</v>
      </c>
      <c r="AL18" s="11" t="n">
        <f aca="false">Operations!AL83+Operations!AL84</f>
        <v>43.6592206395646</v>
      </c>
      <c r="AM18" s="11" t="n">
        <f aca="false">Operations!AM83+Operations!AM84</f>
        <v>45.4207589739277</v>
      </c>
      <c r="AN18" s="11" t="n">
        <f aca="false">Operations!AN83+Operations!AN84</f>
        <v>45.6719076571363</v>
      </c>
      <c r="AO18" s="11" t="n">
        <f aca="false">Operations!AO83+Operations!AO84</f>
        <v>46.9015400690611</v>
      </c>
      <c r="AP18" s="11" t="n">
        <f aca="false">Operations!AP83+Operations!AP84</f>
        <v>46.0856891549707</v>
      </c>
      <c r="AQ18" s="11" t="n">
        <f aca="false">Operations!AQ83+Operations!AQ84</f>
        <v>47.5268495283118</v>
      </c>
      <c r="AR18" s="11" t="n">
        <f aca="false">Operations!AR83+Operations!AR84</f>
        <v>47.0762516375828</v>
      </c>
      <c r="AS18" s="11" t="n">
        <f aca="false">Operations!AS83+Operations!AS84</f>
        <v>47.5037589696788</v>
      </c>
      <c r="AT18" s="11" t="n">
        <f aca="false">Operations!AT83+Operations!AT84</f>
        <v>45.4517763792731</v>
      </c>
      <c r="AU18" s="11" t="n">
        <f aca="false">Operations!AU83+Operations!AU84</f>
        <v>47.6244944951818</v>
      </c>
      <c r="AV18" s="11" t="n">
        <f aca="false">Operations!AV83+Operations!AV84</f>
        <v>48.5359140606831</v>
      </c>
      <c r="AW18" s="11" t="n">
        <f aca="false">Operations!AW83+Operations!AW84</f>
        <v>49.8514363502115</v>
      </c>
      <c r="AX18" s="11" t="n">
        <f aca="false">Operations!AX83+Operations!AX84</f>
        <v>48.9838636655846</v>
      </c>
      <c r="AY18" s="11" t="n">
        <f aca="false">Operations!AY83+Operations!AY84</f>
        <v>50.5270260993808</v>
      </c>
      <c r="AZ18" s="11" t="n">
        <f aca="false">Operations!AZ83+Operations!AZ84</f>
        <v>50.0530768182482</v>
      </c>
      <c r="BA18" s="11" t="n">
        <f aca="false">Operations!BA83+Operations!BA84</f>
        <v>50.8462165637435</v>
      </c>
      <c r="BB18" s="11" t="n">
        <f aca="false">Operations!BB83+Operations!BB84</f>
        <v>49.3222303009087</v>
      </c>
      <c r="BC18" s="11" t="n">
        <f aca="false">Operations!BC83+Operations!BC84</f>
        <v>51.3333965026773</v>
      </c>
      <c r="BD18" s="11" t="n">
        <f aca="false">Operations!BD83+Operations!BD84</f>
        <v>51.6300078654333</v>
      </c>
      <c r="BE18" s="11" t="n">
        <f aca="false">Operations!BE83+Operations!BE84</f>
        <v>53.0383397507632</v>
      </c>
      <c r="BF18" s="11" t="n">
        <f aca="false">Operations!BF83+Operations!BF84</f>
        <v>52.1148916533904</v>
      </c>
      <c r="BG18" s="11" t="n">
        <f aca="false">Operations!BG83+Operations!BG84</f>
        <v>53.7682628354808</v>
      </c>
      <c r="BH18" s="11" t="n">
        <f aca="false">Operations!BH83+Operations!BH84</f>
        <v>53.2690646121621</v>
      </c>
      <c r="BI18" s="11" t="n">
        <f aca="false">Operations!BI83+Operations!BI84</f>
        <v>53.7654617142916</v>
      </c>
      <c r="BJ18" s="11" t="n">
        <f aca="false">Operations!BJ83+Operations!BJ84</f>
        <v>51.4465414503758</v>
      </c>
      <c r="BK18" s="11" t="n">
        <f aca="false">Operations!BK83+Operations!BK84</f>
        <v>53.927299895042</v>
      </c>
      <c r="BL18" s="11" t="n">
        <f aca="false">Operations!BL83+Operations!BL84</f>
        <v>54.9726974479527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49.0893987348512</v>
      </c>
      <c r="Z20" s="11" t="n">
        <f aca="false">MAX(0,-Z12)</f>
        <v>45.5356436627746</v>
      </c>
      <c r="AA20" s="11" t="n">
        <f aca="false">MAX(0,-AA12)</f>
        <v>41.5377487852339</v>
      </c>
      <c r="AB20" s="11" t="n">
        <f aca="false">MAX(0,-AB12)</f>
        <v>37.2899945639688</v>
      </c>
      <c r="AC20" s="11" t="n">
        <f aca="false">MAX(0,-AC12)</f>
        <v>32.7702857664727</v>
      </c>
      <c r="AD20" s="11" t="n">
        <f aca="false">MAX(0,-AD12)</f>
        <v>31.766261903656</v>
      </c>
      <c r="AE20" s="11" t="n">
        <f aca="false">MAX(0,-AE12)</f>
        <v>27.360678212059</v>
      </c>
      <c r="AF20" s="11" t="n">
        <f aca="false">MAX(0,-AF12)</f>
        <v>21.5569795395981</v>
      </c>
      <c r="AG20" s="11" t="n">
        <f aca="false">MAX(0,-AG12)</f>
        <v>15.2874085547703</v>
      </c>
      <c r="AH20" s="11" t="n">
        <f aca="false">MAX(0,-AH12)</f>
        <v>8.59973452235238</v>
      </c>
      <c r="AI20" s="11" t="n">
        <f aca="false">MAX(0,-AI12)</f>
        <v>1.32305293951926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915.74388409038</v>
      </c>
      <c r="P21" s="11" t="n">
        <f aca="false">P16+P17+P18+P19+P20</f>
        <v>902.287080333491</v>
      </c>
      <c r="Q21" s="11" t="n">
        <f aca="false">Q16+Q17+Q18+Q19+Q20</f>
        <v>892.466023808459</v>
      </c>
      <c r="R21" s="11" t="n">
        <f aca="false">R16+R17+R18+R19+R20</f>
        <v>880.194560127303</v>
      </c>
      <c r="S21" s="11" t="n">
        <f aca="false">S16+S17+S18+S19+S20</f>
        <v>870.493641279351</v>
      </c>
      <c r="T21" s="11" t="n">
        <f aca="false">T16+T17+T18+T19+T20</f>
        <v>858.625212384793</v>
      </c>
      <c r="U21" s="11" t="n">
        <f aca="false">U16+U17+U18+U19+U20</f>
        <v>848.648762044015</v>
      </c>
      <c r="V21" s="11" t="n">
        <f aca="false">V16+V17+V18+V19+V20</f>
        <v>832.966714250635</v>
      </c>
      <c r="W21" s="11" t="n">
        <f aca="false">W16+W17+W18+W19+W20</f>
        <v>821.704522837654</v>
      </c>
      <c r="X21" s="11" t="n">
        <f aca="false">X16+X17+X18+X19+X20</f>
        <v>811.819555328127</v>
      </c>
      <c r="Y21" s="11" t="n">
        <f aca="false">Y16+Y17+Y18+Y19+Y20</f>
        <v>800.671079249399</v>
      </c>
      <c r="Z21" s="11" t="n">
        <f aca="false">Z16+Z17+Z18+Z19+Z20</f>
        <v>781.335597448067</v>
      </c>
      <c r="AA21" s="11" t="n">
        <f aca="false">AA16+AA17+AA18+AA19+AA20</f>
        <v>764.266557813147</v>
      </c>
      <c r="AB21" s="11" t="n">
        <f aca="false">AB16+AB17+AB18+AB19+AB20</f>
        <v>744.043267961374</v>
      </c>
      <c r="AC21" s="11" t="n">
        <f aca="false">AC16+AC17+AC18+AC19+AC20</f>
        <v>725.699542797509</v>
      </c>
      <c r="AD21" s="11" t="n">
        <f aca="false">AD16+AD17+AD18+AD19+AD20</f>
        <v>693.569815657418</v>
      </c>
      <c r="AE21" s="11" t="n">
        <f aca="false">AE16+AE17+AE18+AE19+AE20</f>
        <v>673.528085213013</v>
      </c>
      <c r="AF21" s="11" t="n">
        <f aca="false">AF16+AF17+AF18+AF19+AF20</f>
        <v>650.956004916142</v>
      </c>
      <c r="AG21" s="11" t="n">
        <f aca="false">AG16+AG17+AG18+AG19+AG20</f>
        <v>628.64240125532</v>
      </c>
      <c r="AH21" s="11" t="n">
        <f aca="false">AH16+AH17+AH18+AH19+AH20</f>
        <v>603.084944849437</v>
      </c>
      <c r="AI21" s="11" t="n">
        <f aca="false">AI16+AI17+AI18+AI19+AI20</f>
        <v>579.189519360825</v>
      </c>
      <c r="AJ21" s="11" t="n">
        <f aca="false">AJ16+AJ17+AJ18+AJ19+AJ20</f>
        <v>558.539016737994</v>
      </c>
      <c r="AK21" s="11" t="n">
        <f aca="false">AK16+AK17+AK18+AK19+AK20</f>
        <v>540.027353479764</v>
      </c>
      <c r="AL21" s="11" t="n">
        <f aca="false">AL16+AL17+AL18+AL19+AL20</f>
        <v>518.811340411392</v>
      </c>
      <c r="AM21" s="11" t="n">
        <f aca="false">AM16+AM17+AM18+AM19+AM20</f>
        <v>499.401873100396</v>
      </c>
      <c r="AN21" s="11" t="n">
        <f aca="false">AN16+AN17+AN18+AN19+AN20</f>
        <v>485.04107031489</v>
      </c>
      <c r="AO21" s="11" t="n">
        <f aca="false">AO16+AO17+AO18+AO19+AO20</f>
        <v>452.978953017748</v>
      </c>
      <c r="AP21" s="11" t="n">
        <f aca="false">AP16+AP17+AP18+AP19+AP20</f>
        <v>437.777260142199</v>
      </c>
      <c r="AQ21" s="11" t="n">
        <f aca="false">AQ16+AQ17+AQ18+AQ19+AQ20</f>
        <v>424.832578554081</v>
      </c>
      <c r="AR21" s="11" t="n">
        <f aca="false">AR16+AR17+AR18+AR19+AR20</f>
        <v>409.996138701894</v>
      </c>
      <c r="AS21" s="11" t="n">
        <f aca="false">AS16+AS17+AS18+AS19+AS20</f>
        <v>396.037804072531</v>
      </c>
      <c r="AT21" s="11" t="n">
        <f aca="false">AT16+AT17+AT18+AT19+AT20</f>
        <v>363.164755922258</v>
      </c>
      <c r="AU21" s="11" t="n">
        <f aca="false">AU16+AU17+AU18+AU19+AU20</f>
        <v>348.603742991221</v>
      </c>
      <c r="AV21" s="11" t="n">
        <f aca="false">AV16+AV17+AV18+AV19+AV20</f>
        <v>333.3710725107</v>
      </c>
      <c r="AW21" s="11" t="n">
        <f aca="false">AW16+AW17+AW18+AW19+AW20</f>
        <v>318.542504754206</v>
      </c>
      <c r="AX21" s="11" t="n">
        <f aca="false">AX16+AX17+AX18+AX19+AX20</f>
        <v>301.530842023557</v>
      </c>
      <c r="AY21" s="11" t="n">
        <f aca="false">AY16+AY17+AY18+AY19+AY20</f>
        <v>286.929914411331</v>
      </c>
      <c r="AZ21" s="11" t="n">
        <f aca="false">AZ16+AZ17+AZ18+AZ19+AZ20</f>
        <v>270.311875084176</v>
      </c>
      <c r="BA21" s="11" t="n">
        <f aca="false">BA16+BA17+BA18+BA19+BA20</f>
        <v>255.455893170258</v>
      </c>
      <c r="BB21" s="11" t="n">
        <f aca="false">BB16+BB17+BB18+BB19+BB20</f>
        <v>235.161480109582</v>
      </c>
      <c r="BC21" s="11" t="n">
        <f aca="false">BC16+BC17+BC18+BC19+BC20</f>
        <v>221.956488337747</v>
      </c>
      <c r="BD21" s="11" t="n">
        <f aca="false">BD16+BD17+BD18+BD19+BD20</f>
        <v>209.847919574917</v>
      </c>
      <c r="BE21" s="11" t="n">
        <f aca="false">BE16+BE17+BE18+BE19+BE20</f>
        <v>198.86785545537</v>
      </c>
      <c r="BF21" s="11" t="n">
        <f aca="false">BF16+BF17+BF18+BF19+BF20</f>
        <v>185.572979094736</v>
      </c>
      <c r="BG21" s="11" t="n">
        <f aca="false">BG16+BG17+BG18+BG19+BG20</f>
        <v>174.872075384931</v>
      </c>
      <c r="BH21" s="11" t="n">
        <f aca="false">BH16+BH17+BH18+BH19+BH20</f>
        <v>162.035943301648</v>
      </c>
      <c r="BI21" s="11" t="n">
        <f aca="false">BI16+BI17+BI18+BI19+BI20</f>
        <v>150.212937289349</v>
      </c>
      <c r="BJ21" s="11" t="n">
        <f aca="false">BJ16+BJ17+BJ18+BJ19+BJ20</f>
        <v>116.031708917847</v>
      </c>
      <c r="BK21" s="11" t="n">
        <f aca="false">BK16+BK17+BK18+BK19+BK20</f>
        <v>103.434327843542</v>
      </c>
      <c r="BL21" s="11" t="n">
        <f aca="false">BL16+BL17+BL18+BL19+BL20</f>
        <v>89.4196983078774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400.442322124089</v>
      </c>
      <c r="AB22" s="11" t="n">
        <f aca="false">IF(Time!AB17&lt;Time!$F$11,SUMIFS(Funding!$J$73:$BJ$73,Construction!$J$12:$BJ$12,"&lt;="&amp;Time!AB17),Debt!AB123)</f>
        <v>370.847526129466</v>
      </c>
      <c r="AC22" s="11" t="n">
        <f aca="false">IF(Time!AC17&lt;Time!$F$11,SUMIFS(Funding!$J$73:$BJ$73,Construction!$J$12:$BJ$12,"&lt;="&amp;Time!AC17),Debt!AC123)</f>
        <v>341.512428297888</v>
      </c>
      <c r="AD22" s="11" t="n">
        <f aca="false">IF(Time!AD17&lt;Time!$F$11,SUMIFS(Funding!$J$73:$BJ$73,Construction!$J$12:$BJ$12,"&lt;="&amp;Time!AD17),Debt!AD123)</f>
        <v>310.048707335517</v>
      </c>
      <c r="AE22" s="11" t="n">
        <f aca="false">IF(Time!AE17&lt;Time!$F$11,SUMIFS(Funding!$J$73:$BJ$73,Construction!$J$12:$BJ$12,"&lt;="&amp;Time!AE17),Debt!AE123)</f>
        <v>277.65471523924</v>
      </c>
      <c r="AF22" s="11" t="n">
        <f aca="false">IF(Time!AF17&lt;Time!$F$11,SUMIFS(Funding!$J$73:$BJ$73,Construction!$J$12:$BJ$12,"&lt;="&amp;Time!AF17),Debt!AF123)</f>
        <v>243.468082930885</v>
      </c>
      <c r="AG22" s="11" t="n">
        <f aca="false">IF(Time!AG17&lt;Time!$F$11,SUMIFS(Funding!$J$73:$BJ$73,Construction!$J$12:$BJ$12,"&lt;="&amp;Time!AG17),Debt!AG123)</f>
        <v>209.04971747343</v>
      </c>
      <c r="AH22" s="11" t="n">
        <f aca="false">IF(Time!AH17&lt;Time!$F$11,SUMIFS(Funding!$J$73:$BJ$73,Construction!$J$12:$BJ$12,"&lt;="&amp;Time!AH17),Debt!AH123)</f>
        <v>173.212023904667</v>
      </c>
      <c r="AI22" s="11" t="n">
        <f aca="false">IF(Time!AI17&lt;Time!$F$11,SUMIFS(Funding!$J$73:$BJ$73,Construction!$J$12:$BJ$12,"&lt;="&amp;Time!AI17),Debt!AI123)</f>
        <v>137.324220165101</v>
      </c>
      <c r="AJ22" s="11" t="n">
        <f aca="false">IF(Time!AJ17&lt;Time!$F$11,SUMIFS(Funding!$J$73:$BJ$73,Construction!$J$12:$BJ$12,"&lt;="&amp;Time!AJ17),Debt!AJ123)</f>
        <v>100.439764943127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199.325269590166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195.897966939256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191.585179905255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187.690620544138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182.994672831881</v>
      </c>
      <c r="U23" s="11" t="n">
        <f aca="false">IF(Time!U17&lt;Time!$F$11,SUMIFS(Funding!$J$70:$BJ$70,Construction!$J$12:$BJ$12,"&lt;="&amp;Time!U17)+SUMIFS(Funding!$J$71:$BJ$71,Construction!$J$12:$BJ$12,"&lt;="&amp;Time!U17),Waterfall!U36)</f>
        <v>179.071649571152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175.095880870299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169.781267816165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164.559310236404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159.503452197307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153.676340015204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154.579833447742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154.611702214937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155.113088916391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155.178390158341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154.648137165216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152.584419906982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149.589635679637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145.185694317687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139.556008187551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131.860468184907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105.842845498762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82.3408894985494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53.3040061191409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31.8242535028711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23.3897924252464</v>
      </c>
      <c r="P24" s="11" t="n">
        <f aca="false">Operations!P85+Operations!P86+Operations!P87+Operations!P88+Operations!P89</f>
        <v>23.2998156476577</v>
      </c>
      <c r="Q24" s="11" t="n">
        <f aca="false">Operations!Q85+Operations!Q86+Operations!Q87+Operations!Q88+Operations!Q89</f>
        <v>24.0165518026808</v>
      </c>
      <c r="R24" s="11" t="n">
        <f aca="false">Operations!R85+Operations!R86+Operations!R87+Operations!R88+Operations!R89</f>
        <v>23.5434679046565</v>
      </c>
      <c r="S24" s="11" t="n">
        <f aca="false">Operations!S85+Operations!S86+Operations!S87+Operations!S88+Operations!S89</f>
        <v>24.4106930457316</v>
      </c>
      <c r="T24" s="11" t="n">
        <f aca="false">Operations!T85+Operations!T86+Operations!T87+Operations!T88+Operations!T89</f>
        <v>24.2127583411527</v>
      </c>
      <c r="U24" s="11" t="n">
        <f aca="false">Operations!U85+Operations!U86+Operations!U87+Operations!U88+Operations!U89</f>
        <v>24.6448133162026</v>
      </c>
      <c r="V24" s="11" t="n">
        <f aca="false">Operations!V85+Operations!V86+Operations!V87+Operations!V88+Operations!V89</f>
        <v>23.9367937536587</v>
      </c>
      <c r="W24" s="11" t="n">
        <f aca="false">Operations!W85+Operations!W86+Operations!W87+Operations!W88+Operations!W89</f>
        <v>24.9905249372275</v>
      </c>
      <c r="X24" s="11" t="n">
        <f aca="false">Operations!X85+Operations!X86+Operations!X87+Operations!X88+Operations!X89</f>
        <v>25.1615572015341</v>
      </c>
      <c r="Y24" s="11" t="n">
        <f aca="false">Operations!Y85+Operations!Y86+Operations!Y87+Operations!Y88+Operations!Y89</f>
        <v>25.9359739463262</v>
      </c>
      <c r="Z24" s="11" t="n">
        <f aca="false">Operations!Z85+Operations!Z86+Operations!Z87+Operations!Z88+Operations!Z89</f>
        <v>25.4244309598892</v>
      </c>
      <c r="AA24" s="11" t="n">
        <f aca="false">Operations!AA85+Operations!AA86+Operations!AA87+Operations!AA88+Operations!AA89</f>
        <v>26.3615834809117</v>
      </c>
      <c r="AB24" s="11" t="n">
        <f aca="false">Operations!AB85+Operations!AB86+Operations!AB87+Operations!AB88+Operations!AB89</f>
        <v>26.1476165686476</v>
      </c>
      <c r="AC24" s="11" t="n">
        <f aca="false">Operations!AC85+Operations!AC86+Operations!AC87+Operations!AC88+Operations!AC89</f>
        <v>26.4471395574673</v>
      </c>
      <c r="AD24" s="11" t="n">
        <f aca="false">Operations!AD85+Operations!AD86+Operations!AD87+Operations!AD88+Operations!AD89</f>
        <v>25.3915613576666</v>
      </c>
      <c r="AE24" s="11" t="n">
        <f aca="false">Operations!AE85+Operations!AE86+Operations!AE87+Operations!AE88+Operations!AE89</f>
        <v>26.6715029068411</v>
      </c>
      <c r="AF24" s="11" t="n">
        <f aca="false">Operations!AF85+Operations!AF86+Operations!AF87+Operations!AF88+Operations!AF89</f>
        <v>27.172395553207</v>
      </c>
      <c r="AG24" s="11" t="n">
        <f aca="false">Operations!AG85+Operations!AG86+Operations!AG87+Operations!AG88+Operations!AG89</f>
        <v>28.0091214502915</v>
      </c>
      <c r="AH24" s="11" t="n">
        <f aca="false">Operations!AH85+Operations!AH86+Operations!AH87+Operations!AH88+Operations!AH89</f>
        <v>27.4560075275368</v>
      </c>
      <c r="AI24" s="11" t="n">
        <f aca="false">Operations!AI85+Operations!AI86+Operations!AI87+Operations!AI88+Operations!AI89</f>
        <v>28.4687059161953</v>
      </c>
      <c r="AJ24" s="11" t="n">
        <f aca="false">Operations!AJ85+Operations!AJ86+Operations!AJ87+Operations!AJ88+Operations!AJ89</f>
        <v>28.2374101611049</v>
      </c>
      <c r="AK24" s="11" t="n">
        <f aca="false">Operations!AK85+Operations!AK86+Operations!AK87+Operations!AK88+Operations!AK89</f>
        <v>28.7411137785025</v>
      </c>
      <c r="AL24" s="11" t="n">
        <f aca="false">Operations!AL85+Operations!AL86+Operations!AL87+Operations!AL88+Operations!AL89</f>
        <v>27.9139264580607</v>
      </c>
      <c r="AM24" s="11" t="n">
        <f aca="false">Operations!AM85+Operations!AM86+Operations!AM87+Operations!AM88+Operations!AM89</f>
        <v>29.1442164183466</v>
      </c>
      <c r="AN24" s="11" t="n">
        <f aca="false">Operations!AN85+Operations!AN86+Operations!AN87+Operations!AN88+Operations!AN89</f>
        <v>29.3442354995514</v>
      </c>
      <c r="AO24" s="11" t="n">
        <f aca="false">Operations!AO85+Operations!AO86+Operations!AO87+Operations!AO88+Operations!AO89</f>
        <v>30.2482682951895</v>
      </c>
      <c r="AP24" s="11" t="n">
        <f aca="false">Operations!AP85+Operations!AP86+Operations!AP87+Operations!AP88+Operations!AP89</f>
        <v>29.6502218832718</v>
      </c>
      <c r="AQ24" s="11" t="n">
        <f aca="false">Operations!AQ85+Operations!AQ86+Operations!AQ87+Operations!AQ88+Operations!AQ89</f>
        <v>30.7445332160257</v>
      </c>
      <c r="AR24" s="11" t="n">
        <f aca="false">Operations!AR85+Operations!AR86+Operations!AR87+Operations!AR88+Operations!AR89</f>
        <v>30.4945080681649</v>
      </c>
      <c r="AS24" s="11" t="n">
        <f aca="false">Operations!AS85+Operations!AS86+Operations!AS87+Operations!AS88+Operations!AS89</f>
        <v>30.8431239144976</v>
      </c>
      <c r="AT24" s="11" t="n">
        <f aca="false">Operations!AT85+Operations!AT86+Operations!AT87+Operations!AT88+Operations!AT89</f>
        <v>29.6104830671488</v>
      </c>
      <c r="AU24" s="11" t="n">
        <f aca="false">Operations!AU85+Operations!AU86+Operations!AU87+Operations!AU88+Operations!AU89</f>
        <v>31.104812077202</v>
      </c>
      <c r="AV24" s="11" t="n">
        <f aca="false">Operations!AV85+Operations!AV86+Operations!AV87+Operations!AV88+Operations!AV89</f>
        <v>31.6899281382616</v>
      </c>
      <c r="AW24" s="11" t="n">
        <f aca="false">Operations!AW85+Operations!AW86+Operations!AW87+Operations!AW88+Operations!AW89</f>
        <v>32.6666639956759</v>
      </c>
      <c r="AX24" s="11" t="n">
        <f aca="false">Operations!AX85+Operations!AX86+Operations!AX87+Operations!AX88+Operations!AX89</f>
        <v>32.0200539824747</v>
      </c>
      <c r="AY24" s="11" t="n">
        <f aca="false">Operations!AY85+Operations!AY86+Operations!AY87+Operations!AY88+Operations!AY89</f>
        <v>33.2025294732226</v>
      </c>
      <c r="AZ24" s="11" t="n">
        <f aca="false">Operations!AZ85+Operations!AZ86+Operations!AZ87+Operations!AZ88+Operations!AZ89</f>
        <v>32.9322622237067</v>
      </c>
      <c r="BA24" s="11" t="n">
        <f aca="false">Operations!BA85+Operations!BA86+Operations!BA87+Operations!BA88+Operations!BA89</f>
        <v>33.5194718817074</v>
      </c>
      <c r="BB24" s="11" t="n">
        <f aca="false">Operations!BB85+Operations!BB86+Operations!BB87+Operations!BB88+Operations!BB89</f>
        <v>32.5531948715659</v>
      </c>
      <c r="BC24" s="11" t="n">
        <f aca="false">Operations!BC85+Operations!BC86+Operations!BC87+Operations!BC88+Operations!BC89</f>
        <v>33.9894852831952</v>
      </c>
      <c r="BD24" s="11" t="n">
        <f aca="false">Operations!BD85+Operations!BD86+Operations!BD87+Operations!BD88+Operations!BD89</f>
        <v>34.2233456468253</v>
      </c>
      <c r="BE24" s="11" t="n">
        <f aca="false">Operations!BE85+Operations!BE86+Operations!BE87+Operations!BE88+Operations!BE89</f>
        <v>35.2786106742758</v>
      </c>
      <c r="BF24" s="11" t="n">
        <f aca="false">Operations!BF85+Operations!BF86+Operations!BF87+Operations!BF88+Operations!BF89</f>
        <v>34.5795149716066</v>
      </c>
      <c r="BG24" s="11" t="n">
        <f aca="false">Operations!BG85+Operations!BG86+Operations!BG87+Operations!BG88+Operations!BG89</f>
        <v>35.8572283127284</v>
      </c>
      <c r="BH24" s="11" t="n">
        <f aca="false">Operations!BH85+Operations!BH86+Operations!BH87+Operations!BH88+Operations!BH89</f>
        <v>35.5650852029957</v>
      </c>
      <c r="BI24" s="11" t="n">
        <f aca="false">Operations!BI85+Operations!BI86+Operations!BI87+Operations!BI88+Operations!BI89</f>
        <v>35.9708377406646</v>
      </c>
      <c r="BJ24" s="11" t="n">
        <f aca="false">Operations!BJ85+Operations!BJ86+Operations!BJ87+Operations!BJ88+Operations!BJ89</f>
        <v>34.5316628729923</v>
      </c>
      <c r="BK24" s="11" t="n">
        <f aca="false">Operations!BK85+Operations!BK86+Operations!BK87+Operations!BK88+Operations!BK89</f>
        <v>36.2760960172281</v>
      </c>
      <c r="BL24" s="11" t="n">
        <f aca="false">Operations!BL85+Operations!BL86+Operations!BL87+Operations!BL88+Operations!BL89</f>
        <v>36.9594619276886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6.43359346451276</v>
      </c>
      <c r="AK25" s="11" t="n">
        <f aca="false">MAX(0,AK12)</f>
        <v>14.7546648951197</v>
      </c>
      <c r="AL25" s="11" t="n">
        <f aca="false">MAX(0,AL12)</f>
        <v>22.2601863085639</v>
      </c>
      <c r="AM25" s="11" t="n">
        <f aca="false">MAX(0,AM12)</f>
        <v>31.4871003112244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9.86995053826463</v>
      </c>
      <c r="P27" s="16" t="n">
        <f aca="false">Waterfall!P43</f>
        <v>17.5289808368085</v>
      </c>
      <c r="Q27" s="16" t="n">
        <f aca="false">Waterfall!Q43</f>
        <v>26.5637571372504</v>
      </c>
      <c r="R27" s="16" t="n">
        <f aca="false">Waterfall!R43</f>
        <v>36.0187257335503</v>
      </c>
      <c r="S27" s="16" t="n">
        <f aca="false">Waterfall!S43</f>
        <v>46.7849133879395</v>
      </c>
      <c r="T27" s="16" t="n">
        <f aca="false">Waterfall!T43</f>
        <v>58.0523624679797</v>
      </c>
      <c r="U27" s="16" t="n">
        <f aca="false">Waterfall!U43</f>
        <v>70.3906453224989</v>
      </c>
      <c r="V27" s="16" t="n">
        <f aca="false">Waterfall!V43</f>
        <v>79.4458939642629</v>
      </c>
      <c r="W27" s="16" t="n">
        <f aca="false">Waterfall!W43</f>
        <v>93.1111160309471</v>
      </c>
      <c r="X27" s="16" t="n">
        <f aca="false">Waterfall!X43</f>
        <v>108.36994937261</v>
      </c>
      <c r="Y27" s="16" t="n">
        <f aca="false">Waterfall!Y43</f>
        <v>121.60524481596</v>
      </c>
      <c r="Z27" s="16" t="n">
        <f aca="false">Waterfall!Z43</f>
        <v>129.54354684147</v>
      </c>
      <c r="AA27" s="16" t="n">
        <f aca="false">Waterfall!AA43</f>
        <v>138.516065243592</v>
      </c>
      <c r="AB27" s="16" t="n">
        <f aca="false">Waterfall!AB43</f>
        <v>148.069669531512</v>
      </c>
      <c r="AC27" s="16" t="n">
        <f aca="false">Waterfall!AC43</f>
        <v>158.260132508951</v>
      </c>
      <c r="AD27" s="16" t="n">
        <f aca="false">Waterfall!AD43</f>
        <v>158.584403289081</v>
      </c>
      <c r="AE27" s="16" t="n">
        <f aca="false">Waterfall!AE43</f>
        <v>170.186976384905</v>
      </c>
      <c r="AF27" s="16" t="n">
        <f aca="false">Waterfall!AF43</f>
        <v>183.364353008257</v>
      </c>
      <c r="AG27" s="16" t="n">
        <f aca="false">Waterfall!AG43</f>
        <v>197.62717313515</v>
      </c>
      <c r="AH27" s="16" t="n">
        <f aca="false">Waterfall!AH43</f>
        <v>212.864465582735</v>
      </c>
      <c r="AI27" s="16" t="n">
        <f aca="false">Waterfall!AI43</f>
        <v>229.473831575167</v>
      </c>
      <c r="AJ27" s="16" t="n">
        <f aca="false">Waterfall!AJ43</f>
        <v>247.20102646753</v>
      </c>
      <c r="AK27" s="16" t="n">
        <f aca="false">Waterfall!AK43</f>
        <v>266.244908253385</v>
      </c>
      <c r="AL27" s="16" t="n">
        <f aca="false">Waterfall!AL43</f>
        <v>283.392903676199</v>
      </c>
      <c r="AM27" s="16" t="n">
        <f aca="false">Waterfall!AM43</f>
        <v>304.551218585541</v>
      </c>
      <c r="AN27" s="16" t="n">
        <f aca="false">Waterfall!AN43</f>
        <v>328.131723269595</v>
      </c>
      <c r="AO27" s="16" t="n">
        <f aca="false">Waterfall!AO43</f>
        <v>344.394457180447</v>
      </c>
      <c r="AP27" s="16" t="n">
        <f aca="false">Waterfall!AP43</f>
        <v>328.786786853999</v>
      </c>
      <c r="AQ27" s="16" t="n">
        <f aca="false">Waterfall!AQ43</f>
        <v>313.743770070311</v>
      </c>
      <c r="AR27" s="16" t="n">
        <f aca="false">Waterfall!AR43</f>
        <v>298.153331503167</v>
      </c>
      <c r="AS27" s="16" t="n">
        <f aca="false">Waterfall!AS43</f>
        <v>282.842357164655</v>
      </c>
      <c r="AT27" s="16" t="n">
        <f aca="false">Waterfall!AT43</f>
        <v>250.197925998914</v>
      </c>
      <c r="AU27" s="16" t="n">
        <f aca="false">Waterfall!AU43</f>
        <v>233.138560195008</v>
      </c>
      <c r="AV27" s="16" t="n">
        <f aca="false">Waterfall!AV43</f>
        <v>216.31674979061</v>
      </c>
      <c r="AW27" s="16" t="n">
        <f aca="false">Waterfall!AW43</f>
        <v>199.507422313885</v>
      </c>
      <c r="AX27" s="16" t="n">
        <f aca="false">Waterfall!AX43</f>
        <v>182.138345733621</v>
      </c>
      <c r="AY27" s="16" t="n">
        <f aca="false">Waterfall!AY43</f>
        <v>165.35091876783</v>
      </c>
      <c r="AZ27" s="16" t="n">
        <f aca="false">Waterfall!AZ43</f>
        <v>147.999122827374</v>
      </c>
      <c r="BA27" s="16" t="n">
        <f aca="false">Waterfall!BA43</f>
        <v>131.551907392639</v>
      </c>
      <c r="BB27" s="16" t="n">
        <f aca="false">Waterfall!BB43</f>
        <v>111.219747479287</v>
      </c>
      <c r="BC27" s="16" t="n">
        <f aca="false">Waterfall!BC43</f>
        <v>97.4988205034051</v>
      </c>
      <c r="BD27" s="16" t="n">
        <f aca="false">Waterfall!BD43</f>
        <v>89.9255047253244</v>
      </c>
      <c r="BE27" s="16" t="n">
        <f aca="false">Waterfall!BE43</f>
        <v>82.6592889267065</v>
      </c>
      <c r="BF27" s="16" t="n">
        <f aca="false">Waterfall!BF43</f>
        <v>74.8326216171217</v>
      </c>
      <c r="BG27" s="16" t="n">
        <f aca="false">Waterfall!BG43</f>
        <v>67.6231179145741</v>
      </c>
      <c r="BH27" s="16" t="n">
        <f aca="false">Waterfall!BH43</f>
        <v>59.8482422894035</v>
      </c>
      <c r="BI27" s="16" t="n">
        <f aca="false">Waterfall!BI43</f>
        <v>52.3885970878143</v>
      </c>
      <c r="BJ27" s="16" t="n">
        <f aca="false">Waterfall!BJ43</f>
        <v>24.4156569323646</v>
      </c>
      <c r="BK27" s="16" t="n">
        <f aca="false">Waterfall!BK43</f>
        <v>14.8429560622032</v>
      </c>
      <c r="BL27" s="16" t="n">
        <f aca="false">Waterfall!BL43</f>
        <v>4.91407396445776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915.74388409038</v>
      </c>
      <c r="P28" s="11" t="n">
        <f aca="false">P22+P23+P24+P25+P26+P27</f>
        <v>902.287080333491</v>
      </c>
      <c r="Q28" s="11" t="n">
        <f aca="false">Q22+Q23+Q24+Q25+Q26+Q27</f>
        <v>892.466023808459</v>
      </c>
      <c r="R28" s="11" t="n">
        <f aca="false">R22+R23+R24+R25+R26+R27</f>
        <v>880.194560127303</v>
      </c>
      <c r="S28" s="11" t="n">
        <f aca="false">S22+S23+S24+S25+S26+S27</f>
        <v>870.493641279351</v>
      </c>
      <c r="T28" s="11" t="n">
        <f aca="false">T22+T23+T24+T25+T26+T27</f>
        <v>858.625212384793</v>
      </c>
      <c r="U28" s="11" t="n">
        <f aca="false">U22+U23+U24+U25+U26+U27</f>
        <v>848.648762044014</v>
      </c>
      <c r="V28" s="11" t="n">
        <f aca="false">V22+V23+V24+V25+V26+V27</f>
        <v>832.966714250635</v>
      </c>
      <c r="W28" s="11" t="n">
        <f aca="false">W22+W23+W24+W25+W26+W27</f>
        <v>821.704522837653</v>
      </c>
      <c r="X28" s="11" t="n">
        <f aca="false">X22+X23+X24+X25+X26+X27</f>
        <v>811.819555328126</v>
      </c>
      <c r="Y28" s="11" t="n">
        <f aca="false">Y22+Y23+Y24+Y25+Y26+Y27</f>
        <v>800.671079249399</v>
      </c>
      <c r="Z28" s="11" t="n">
        <f aca="false">Z22+Z23+Z24+Z25+Z26+Z27</f>
        <v>781.335597448067</v>
      </c>
      <c r="AA28" s="11" t="n">
        <f aca="false">AA22+AA23+AA24+AA25+AA26+AA27</f>
        <v>764.266557813147</v>
      </c>
      <c r="AB28" s="11" t="n">
        <f aca="false">AB22+AB23+AB24+AB25+AB26+AB27</f>
        <v>744.043267961374</v>
      </c>
      <c r="AC28" s="11" t="n">
        <f aca="false">AC22+AC23+AC24+AC25+AC26+AC27</f>
        <v>725.699542797509</v>
      </c>
      <c r="AD28" s="11" t="n">
        <f aca="false">AD22+AD23+AD24+AD25+AD26+AD27</f>
        <v>693.569815657418</v>
      </c>
      <c r="AE28" s="11" t="n">
        <f aca="false">AE22+AE23+AE24+AE25+AE26+AE27</f>
        <v>673.528085213013</v>
      </c>
      <c r="AF28" s="11" t="n">
        <f aca="false">AF22+AF23+AF24+AF25+AF26+AF27</f>
        <v>650.956004916142</v>
      </c>
      <c r="AG28" s="11" t="n">
        <f aca="false">AG22+AG23+AG24+AG25+AG26+AG27</f>
        <v>628.64240125532</v>
      </c>
      <c r="AH28" s="11" t="n">
        <f aca="false">AH22+AH23+AH24+AH25+AH26+AH27</f>
        <v>603.084944849437</v>
      </c>
      <c r="AI28" s="11" t="n">
        <f aca="false">AI22+AI23+AI24+AI25+AI26+AI27</f>
        <v>579.189519360825</v>
      </c>
      <c r="AJ28" s="11" t="n">
        <f aca="false">AJ22+AJ23+AJ24+AJ25+AJ26+AJ27</f>
        <v>558.539016737994</v>
      </c>
      <c r="AK28" s="11" t="n">
        <f aca="false">AK22+AK23+AK24+AK25+AK26+AK27</f>
        <v>540.027353479764</v>
      </c>
      <c r="AL28" s="11" t="n">
        <f aca="false">AL22+AL23+AL24+AL25+AL26+AL27</f>
        <v>518.811340411392</v>
      </c>
      <c r="AM28" s="11" t="n">
        <f aca="false">AM22+AM23+AM24+AM25+AM26+AM27</f>
        <v>499.401873100396</v>
      </c>
      <c r="AN28" s="11" t="n">
        <f aca="false">AN22+AN23+AN24+AN25+AN26+AN27</f>
        <v>485.04107031489</v>
      </c>
      <c r="AO28" s="11" t="n">
        <f aca="false">AO22+AO23+AO24+AO25+AO26+AO27</f>
        <v>452.978953017748</v>
      </c>
      <c r="AP28" s="11" t="n">
        <f aca="false">AP22+AP23+AP24+AP25+AP26+AP27</f>
        <v>437.777260142199</v>
      </c>
      <c r="AQ28" s="11" t="n">
        <f aca="false">AQ22+AQ23+AQ24+AQ25+AQ26+AQ27</f>
        <v>424.832578554081</v>
      </c>
      <c r="AR28" s="11" t="n">
        <f aca="false">AR22+AR23+AR24+AR25+AR26+AR27</f>
        <v>409.996138701894</v>
      </c>
      <c r="AS28" s="11" t="n">
        <f aca="false">AS22+AS23+AS24+AS25+AS26+AS27</f>
        <v>396.037804072531</v>
      </c>
      <c r="AT28" s="11" t="n">
        <f aca="false">AT22+AT23+AT24+AT25+AT26+AT27</f>
        <v>363.164755922258</v>
      </c>
      <c r="AU28" s="11" t="n">
        <f aca="false">AU22+AU23+AU24+AU25+AU26+AU27</f>
        <v>348.603742991221</v>
      </c>
      <c r="AV28" s="11" t="n">
        <f aca="false">AV22+AV23+AV24+AV25+AV26+AV27</f>
        <v>333.3710725107</v>
      </c>
      <c r="AW28" s="11" t="n">
        <f aca="false">AW22+AW23+AW24+AW25+AW26+AW27</f>
        <v>318.542504754206</v>
      </c>
      <c r="AX28" s="11" t="n">
        <f aca="false">AX22+AX23+AX24+AX25+AX26+AX27</f>
        <v>301.530842023557</v>
      </c>
      <c r="AY28" s="11" t="n">
        <f aca="false">AY22+AY23+AY24+AY25+AY26+AY27</f>
        <v>286.929914411331</v>
      </c>
      <c r="AZ28" s="11" t="n">
        <f aca="false">AZ22+AZ23+AZ24+AZ25+AZ26+AZ27</f>
        <v>270.311875084176</v>
      </c>
      <c r="BA28" s="11" t="n">
        <f aca="false">BA22+BA23+BA24+BA25+BA26+BA27</f>
        <v>255.455893170258</v>
      </c>
      <c r="BB28" s="11" t="n">
        <f aca="false">BB22+BB23+BB24+BB25+BB26+BB27</f>
        <v>235.161480109582</v>
      </c>
      <c r="BC28" s="11" t="n">
        <f aca="false">BC22+BC23+BC24+BC25+BC26+BC27</f>
        <v>221.956488337747</v>
      </c>
      <c r="BD28" s="11" t="n">
        <f aca="false">BD22+BD23+BD24+BD25+BD26+BD27</f>
        <v>209.847919574917</v>
      </c>
      <c r="BE28" s="11" t="n">
        <f aca="false">BE22+BE23+BE24+BE25+BE26+BE27</f>
        <v>198.86785545537</v>
      </c>
      <c r="BF28" s="11" t="n">
        <f aca="false">BF22+BF23+BF24+BF25+BF26+BF27</f>
        <v>185.572979094736</v>
      </c>
      <c r="BG28" s="11" t="n">
        <f aca="false">BG22+BG23+BG24+BG25+BG26+BG27</f>
        <v>174.872075384931</v>
      </c>
      <c r="BH28" s="11" t="n">
        <f aca="false">BH22+BH23+BH24+BH25+BH26+BH27</f>
        <v>162.035943301648</v>
      </c>
      <c r="BI28" s="11" t="n">
        <f aca="false">BI22+BI23+BI24+BI25+BI26+BI27</f>
        <v>150.212937289349</v>
      </c>
      <c r="BJ28" s="11" t="n">
        <f aca="false">BJ22+BJ23+BJ24+BJ25+BJ26+BJ27</f>
        <v>116.031708917847</v>
      </c>
      <c r="BK28" s="11" t="n">
        <f aca="false">BK22+BK23+BK24+BK25+BK26+BK27</f>
        <v>103.434327843542</v>
      </c>
      <c r="BL28" s="11" t="n">
        <f aca="false">BL22+BL23+BL24+BL25+BL26+BL27</f>
        <v>89.4196983078775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0.035257223988384</v>
      </c>
      <c r="AC7" s="14" t="n">
        <f aca="false">IF(Debt!AC122&gt;0.000000001,Debt!AC119/Debt!AC122,0)</f>
        <v>0.0347353836994192</v>
      </c>
      <c r="AD7" s="14" t="n">
        <f aca="false">IF(Debt!AD122&gt;0.000000001,Debt!AD119/Debt!AD122,0)</f>
        <v>0.0347016725666256</v>
      </c>
      <c r="AE7" s="14" t="n">
        <f aca="false">IF(Debt!AE122&gt;0.000000001,Debt!AE119/Debt!AE122,0)</f>
        <v>0.0340083879411549</v>
      </c>
      <c r="AF7" s="14" t="n">
        <f aca="false">IF(Debt!AF122&gt;0.000000001,Debt!AF119/Debt!AF122,0)</f>
        <v>0.0339456212408283</v>
      </c>
      <c r="AG7" s="14" t="n">
        <f aca="false">IF(Debt!AG122&gt;0.000000001,Debt!AG119/Debt!AG122,0)</f>
        <v>0.0338279016646838</v>
      </c>
      <c r="AH7" s="14" t="n">
        <f aca="false">IF(Debt!AH122&gt;0.000000001,Debt!AH119/Debt!AH122,0)</f>
        <v>0.0332988537596362</v>
      </c>
      <c r="AI7" s="14" t="n">
        <f aca="false">IF(Debt!AI122&gt;0.000000001,Debt!AI119/Debt!AI122,0)</f>
        <v>0.0317824711919266</v>
      </c>
      <c r="AJ7" s="14" t="n">
        <f aca="false">IF(Debt!AJ122&gt;0.000000001,Debt!AJ119/Debt!AJ122,0)</f>
        <v>0.0302549265892632</v>
      </c>
      <c r="AK7" s="14" t="n">
        <f aca="false">IF(Debt!AK122&gt;0.000000001,Debt!AK119/Debt!AK122,0)</f>
        <v>0.0270677487828283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0.035257223988384</v>
      </c>
      <c r="AC10" s="14" t="n">
        <f aca="false">IF(AC7&gt;0,AC7,$F$9)</f>
        <v>0.0347353836994192</v>
      </c>
      <c r="AD10" s="14" t="n">
        <f aca="false">IF(AD7&gt;0,AD7,$F$9)</f>
        <v>0.0347016725666256</v>
      </c>
      <c r="AE10" s="14" t="n">
        <f aca="false">IF(AE7&gt;0,AE7,$F$9)</f>
        <v>0.0340083879411549</v>
      </c>
      <c r="AF10" s="14" t="n">
        <f aca="false">IF(AF7&gt;0,AF7,$F$9)</f>
        <v>0.0339456212408283</v>
      </c>
      <c r="AG10" s="14" t="n">
        <f aca="false">IF(AG7&gt;0,AG7,$F$9)</f>
        <v>0.0338279016646838</v>
      </c>
      <c r="AH10" s="14" t="n">
        <f aca="false">IF(AH7&gt;0,AH7,$F$9)</f>
        <v>0.0332988537596362</v>
      </c>
      <c r="AI10" s="14" t="n">
        <f aca="false">IF(AI7&gt;0,AI7,$F$9)</f>
        <v>0.0317824711919266</v>
      </c>
      <c r="AJ10" s="14" t="n">
        <f aca="false">IF(AJ7&gt;0,AJ7,$F$9)</f>
        <v>0.0302549265892632</v>
      </c>
      <c r="AK10" s="14" t="n">
        <f aca="false">IF(AK7&gt;0,AK7,$F$9)</f>
        <v>0.0270677487828283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734.715881429599</v>
      </c>
      <c r="K11" s="11" t="n">
        <f aca="false">IF(Time!K17&lt;=$F$8,(Waterfall!K7+L11)/(1+K10),0)</f>
        <v>754.561979418421</v>
      </c>
      <c r="L11" s="11" t="n">
        <f aca="false">IF(Time!L17&lt;=$F$8,(Waterfall!L7+M11)/(1+L10),0)</f>
        <v>774.944158925741</v>
      </c>
      <c r="M11" s="11" t="n">
        <f aca="false">IF(Time!M17&lt;=$F$8,(Waterfall!M7+N11)/(1+M10),0)</f>
        <v>795.876900550952</v>
      </c>
      <c r="N11" s="11" t="n">
        <f aca="false">IF(Time!N17&lt;=$F$8,(Waterfall!N7+O11)/(1+N10),0)</f>
        <v>817.375076042463</v>
      </c>
      <c r="O11" s="11" t="n">
        <f aca="false">IF(Time!O17&lt;=$F$8,(Waterfall!O7+P11)/(1+O10),0)</f>
        <v>839.453958863391</v>
      </c>
      <c r="P11" s="11" t="n">
        <f aca="false">IF(Time!P17&lt;=$F$8,(Waterfall!P7+Q11)/(1+P10),0)</f>
        <v>860.183974220538</v>
      </c>
      <c r="Q11" s="11" t="n">
        <f aca="false">IF(Time!Q17&lt;=$F$8,(Waterfall!Q7+R11)/(1+Q10),0)</f>
        <v>839.177711595208</v>
      </c>
      <c r="R11" s="11" t="n">
        <f aca="false">IF(Time!R17&lt;=$F$8,(Waterfall!R7+S11)/(1+R10),0)</f>
        <v>817.277990523516</v>
      </c>
      <c r="S11" s="11" t="n">
        <f aca="false">IF(Time!S17&lt;=$F$8,(Waterfall!S7+T11)/(1+S10),0)</f>
        <v>794.348945185589</v>
      </c>
      <c r="T11" s="11" t="n">
        <f aca="false">IF(Time!T17&lt;=$F$8,(Waterfall!T7+U11)/(1+T10),0)</f>
        <v>770.705104432542</v>
      </c>
      <c r="U11" s="11" t="n">
        <f aca="false">IF(Time!U17&lt;=$F$8,(Waterfall!U7+V11)/(1+U10),0)</f>
        <v>745.956898803355</v>
      </c>
      <c r="V11" s="11" t="n">
        <f aca="false">IF(Time!V17&lt;=$F$8,(Waterfall!V7+W11)/(1+V10),0)</f>
        <v>720.550080387309</v>
      </c>
      <c r="W11" s="11" t="n">
        <f aca="false">IF(Time!W17&lt;=$F$8,(Waterfall!W7+X11)/(1+W10),0)</f>
        <v>694.757293322956</v>
      </c>
      <c r="X11" s="11" t="n">
        <f aca="false">IF(Time!X17&lt;=$F$8,(Waterfall!X7+Y11)/(1+X10),0)</f>
        <v>667.906055760661</v>
      </c>
      <c r="Y11" s="11" t="n">
        <f aca="false">IF(Time!Y17&lt;=$F$8,(Waterfall!Y7+Z11)/(1+Y10),0)</f>
        <v>640.954238863445</v>
      </c>
      <c r="Z11" s="11" t="n">
        <f aca="false">IF(Time!Z17&lt;=$F$8,(Waterfall!Z7+AA11)/(1+Z10),0)</f>
        <v>613.763253821488</v>
      </c>
      <c r="AA11" s="11" t="n">
        <f aca="false">IF(Time!AA17&lt;=$F$8,(Waterfall!AA7+AB11)/(1+AA10),0)</f>
        <v>585.494709668281</v>
      </c>
      <c r="AB11" s="11" t="n">
        <f aca="false">IF(Time!AB17&lt;=$F$8,(Waterfall!AB7+AC11)/(1+AB10),0)</f>
        <v>556.360390781666</v>
      </c>
      <c r="AC11" s="11" t="n">
        <f aca="false">IF(Time!AC17&lt;=$F$8,(Waterfall!AC7+AD11)/(1+AC10),0)</f>
        <v>525.697327155182</v>
      </c>
      <c r="AD11" s="11" t="n">
        <f aca="false">IF(Time!AD17&lt;=$F$8,(Waterfall!AD7+AE11)/(1+AD10),0)</f>
        <v>494.34985524647</v>
      </c>
      <c r="AE11" s="11" t="n">
        <f aca="false">IF(Time!AE17&lt;=$F$8,(Waterfall!AE7+AF11)/(1+AE10),0)</f>
        <v>461.558497087068</v>
      </c>
      <c r="AF11" s="11" t="n">
        <f aca="false">IF(Time!AF17&lt;=$F$8,(Waterfall!AF7+AG11)/(1+AF10),0)</f>
        <v>427.287968978546</v>
      </c>
      <c r="AG11" s="11" t="n">
        <f aca="false">IF(Time!AG17&lt;=$F$8,(Waterfall!AG7+AH11)/(1+AG10),0)</f>
        <v>390.037869602524</v>
      </c>
      <c r="AH11" s="11" t="n">
        <f aca="false">IF(Time!AH17&lt;=$F$8,(Waterfall!AH7+AI11)/(1+AH10),0)</f>
        <v>351.350555639991</v>
      </c>
      <c r="AI11" s="11" t="n">
        <f aca="false">IF(Time!AI17&lt;=$F$8,(Waterfall!AI7+AJ11)/(1+AI10),0)</f>
        <v>310.546969975369</v>
      </c>
      <c r="AJ11" s="11" t="n">
        <f aca="false">IF(Time!AJ17&lt;=$F$8,(Waterfall!AJ7+AK11)/(1+AJ10),0)</f>
        <v>268.281881738932</v>
      </c>
      <c r="AK11" s="11" t="n">
        <f aca="false">IF(Time!AK17&lt;=$F$8,(Waterfall!AK7+AL11)/(1+AK10),0)</f>
        <v>223.640750985357</v>
      </c>
      <c r="AL11" s="11" t="n">
        <f aca="false">IF(Time!AL17&lt;=$F$8,(Waterfall!AL7+AM11)/(1+AL10),0)</f>
        <v>177.313451936956</v>
      </c>
      <c r="AM11" s="11" t="n">
        <f aca="false">IF(Time!AM17&lt;=$F$8,(Waterfall!AM7+AN11)/(1+AM10),0)</f>
        <v>129.998738640891</v>
      </c>
      <c r="AN11" s="11" t="n">
        <f aca="false">IF(Time!AN17&lt;=$F$8,(Waterfall!AN7+AO11)/(1+AN10),0)</f>
        <v>81.4623100823347</v>
      </c>
      <c r="AO11" s="11" t="n">
        <f aca="false">IF(Time!AO17&lt;=$F$8,(Waterfall!AO7+AP11)/(1+AO10),0)</f>
        <v>40.7351539496879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1003.23058454823</v>
      </c>
      <c r="K12" s="11" t="n">
        <f aca="false">IF(Time!K17&lt;=Time!$F$14,(Waterfall!K7+L12)/(1+K10),0)</f>
        <v>1030.32978437441</v>
      </c>
      <c r="L12" s="11" t="n">
        <f aca="false">IF(Time!L17&lt;=Time!$F$14,(Waterfall!L7+M12)/(1+L10),0)</f>
        <v>1058.16098603798</v>
      </c>
      <c r="M12" s="11" t="n">
        <f aca="false">IF(Time!M17&lt;=Time!$F$14,(Waterfall!M7+N12)/(1+M10),0)</f>
        <v>1086.74396232535</v>
      </c>
      <c r="N12" s="11" t="n">
        <f aca="false">IF(Time!N17&lt;=Time!$F$14,(Waterfall!N7+O12)/(1+N10),0)</f>
        <v>1116.09902012416</v>
      </c>
      <c r="O12" s="11" t="n">
        <f aca="false">IF(Time!O17&lt;=Time!$F$14,(Waterfall!O7+P12)/(1+O10),0)</f>
        <v>1146.24701485038</v>
      </c>
      <c r="P12" s="11" t="n">
        <f aca="false">IF(Time!P17&lt;=Time!$F$14,(Waterfall!P7+Q12)/(1+P10),0)</f>
        <v>1175.26410444303</v>
      </c>
      <c r="Q12" s="11" t="n">
        <f aca="false">IF(Time!Q17&lt;=Time!$F$14,(Waterfall!Q7+R12)/(1+Q10),0)</f>
        <v>1165.08275384821</v>
      </c>
      <c r="R12" s="11" t="n">
        <f aca="false">IF(Time!R17&lt;=Time!$F$14,(Waterfall!R7+S12)/(1+R10),0)</f>
        <v>1154.26786493335</v>
      </c>
      <c r="S12" s="11" t="n">
        <f aca="false">IF(Time!S17&lt;=Time!$F$14,(Waterfall!S7+T12)/(1+S10),0)</f>
        <v>1142.92480815949</v>
      </c>
      <c r="T12" s="11" t="n">
        <f aca="false">IF(Time!T17&lt;=Time!$F$14,(Waterfall!T7+U12)/(1+T10),0)</f>
        <v>1131.14113503685</v>
      </c>
      <c r="U12" s="11" t="n">
        <f aca="false">IF(Time!U17&lt;=Time!$F$14,(Waterfall!U7+V12)/(1+U10),0)</f>
        <v>1118.78947835898</v>
      </c>
      <c r="V12" s="11" t="n">
        <f aca="false">IF(Time!V17&lt;=Time!$F$14,(Waterfall!V7+W12)/(1+V10),0)</f>
        <v>1106.11395768551</v>
      </c>
      <c r="W12" s="11" t="n">
        <f aca="false">IF(Time!W17&lt;=Time!$F$14,(Waterfall!W7+X12)/(1+W10),0)</f>
        <v>1093.58194666169</v>
      </c>
      <c r="X12" s="11" t="n">
        <f aca="false">IF(Time!X17&lt;=Time!$F$14,(Waterfall!X7+Y12)/(1+X10),0)</f>
        <v>1080.30057364303</v>
      </c>
      <c r="Y12" s="11" t="n">
        <f aca="false">IF(Time!Y17&lt;=Time!$F$14,(Waterfall!Y7+Z12)/(1+Y10),0)</f>
        <v>1067.5323244086</v>
      </c>
      <c r="Z12" s="11" t="n">
        <f aca="false">IF(Time!Z17&lt;=Time!$F$14,(Waterfall!Z7+AA12)/(1+Z10),0)</f>
        <v>1055.30828280674</v>
      </c>
      <c r="AA12" s="11" t="n">
        <f aca="false">IF(Time!AA17&lt;=Time!$F$14,(Waterfall!AA7+AB12)/(1+AA10),0)</f>
        <v>1042.70231824971</v>
      </c>
      <c r="AB12" s="11" t="n">
        <f aca="false">IF(Time!AB17&lt;=Time!$F$14,(Waterfall!AB7+AC12)/(1+AB10),0)</f>
        <v>1029.60961202418</v>
      </c>
      <c r="AC12" s="11" t="n">
        <f aca="false">IF(Time!AC17&lt;=Time!$F$14,(Waterfall!AC7+AD12)/(1+AC10),0)</f>
        <v>1015.63200219337</v>
      </c>
      <c r="AD12" s="11" t="n">
        <f aca="false">IF(Time!AD17&lt;=Time!$F$14,(Waterfall!AD7+AE12)/(1+AD10),0)</f>
        <v>1001.30259920976</v>
      </c>
      <c r="AE12" s="11" t="n">
        <f aca="false">IF(Time!AE17&lt;=Time!$F$14,(Waterfall!AE7+AF12)/(1+AE10),0)</f>
        <v>986.103349178123</v>
      </c>
      <c r="AF12" s="11" t="n">
        <f aca="false">IF(Time!AF17&lt;=Time!$F$14,(Waterfall!AF7+AG12)/(1+AF10),0)</f>
        <v>969.671745892049</v>
      </c>
      <c r="AG12" s="11" t="n">
        <f aca="false">IF(Time!AG17&lt;=Time!$F$14,(Waterfall!AG7+AH12)/(1+AG10),0)</f>
        <v>950.833200774303</v>
      </c>
      <c r="AH12" s="11" t="n">
        <f aca="false">IF(Time!AH17&lt;=Time!$F$14,(Waterfall!AH7+AI12)/(1+AH10),0)</f>
        <v>931.116416128663</v>
      </c>
      <c r="AI12" s="11" t="n">
        <f aca="false">IF(Time!AI17&lt;=Time!$F$14,(Waterfall!AI7+AJ12)/(1+AI10),0)</f>
        <v>909.618369067282</v>
      </c>
      <c r="AJ12" s="11" t="n">
        <f aca="false">IF(Time!AJ17&lt;=Time!$F$14,(Waterfall!AJ7+AK12)/(1+AJ10),0)</f>
        <v>886.393250314391</v>
      </c>
      <c r="AK12" s="11" t="n">
        <f aca="false">IF(Time!AK17&lt;=Time!$F$14,(Waterfall!AK7+AL12)/(1+AK10),0)</f>
        <v>860.453033641056</v>
      </c>
      <c r="AL12" s="11" t="n">
        <f aca="false">IF(Time!AL17&lt;=Time!$F$14,(Waterfall!AL7+AM12)/(1+AL10),0)</f>
        <v>831.362809481399</v>
      </c>
      <c r="AM12" s="11" t="n">
        <f aca="false">IF(Time!AM17&lt;=Time!$F$14,(Waterfall!AM7+AN12)/(1+AM10),0)</f>
        <v>801.801949521141</v>
      </c>
      <c r="AN12" s="11" t="n">
        <f aca="false">IF(Time!AN17&lt;=Time!$F$14,(Waterfall!AN7+AO12)/(1+AN10),0)</f>
        <v>771.412225953352</v>
      </c>
      <c r="AO12" s="11" t="n">
        <f aca="false">IF(Time!AO17&lt;=Time!$F$14,(Waterfall!AO7+AP12)/(1+AO10),0)</f>
        <v>749.413426441091</v>
      </c>
      <c r="AP12" s="11" t="n">
        <f aca="false">IF(Time!AP17&lt;=Time!$F$14,(Waterfall!AP7+AQ12)/(1+AP10),0)</f>
        <v>727.821044267408</v>
      </c>
      <c r="AQ12" s="11" t="n">
        <f aca="false">IF(Time!AQ17&lt;=Time!$F$14,(Waterfall!AQ7+AR12)/(1+AQ10),0)</f>
        <v>705.625576304328</v>
      </c>
      <c r="AR12" s="11" t="n">
        <f aca="false">IF(Time!AR17&lt;=Time!$F$14,(Waterfall!AR7+AS12)/(1+AR10),0)</f>
        <v>683.259764819594</v>
      </c>
      <c r="AS12" s="11" t="n">
        <f aca="false">IF(Time!AS17&lt;=Time!$F$14,(Waterfall!AS7+AT12)/(1+AS10),0)</f>
        <v>659.671905320276</v>
      </c>
      <c r="AT12" s="11" t="n">
        <f aca="false">IF(Time!AT17&lt;=Time!$F$14,(Waterfall!AT7+AU12)/(1+AT10),0)</f>
        <v>636.013082564406</v>
      </c>
      <c r="AU12" s="11" t="n">
        <f aca="false">IF(Time!AU17&lt;=Time!$F$14,(Waterfall!AU7+AV12)/(1+AU10),0)</f>
        <v>606.102933968097</v>
      </c>
      <c r="AV12" s="11" t="n">
        <f aca="false">IF(Time!AV17&lt;=Time!$F$14,(Waterfall!AV7+AW12)/(1+AV10),0)</f>
        <v>580.027020111084</v>
      </c>
      <c r="AW12" s="11" t="n">
        <f aca="false">IF(Time!AW17&lt;=Time!$F$14,(Waterfall!AW7+AX12)/(1+AW10),0)</f>
        <v>552.011615988485</v>
      </c>
      <c r="AX12" s="11" t="n">
        <f aca="false">IF(Time!AX17&lt;=Time!$F$14,(Waterfall!AX7+AY12)/(1+AX10),0)</f>
        <v>523.132533139067</v>
      </c>
      <c r="AY12" s="11" t="n">
        <f aca="false">IF(Time!AY17&lt;=Time!$F$14,(Waterfall!AY7+AZ12)/(1+AY10),0)</f>
        <v>492.828163172938</v>
      </c>
      <c r="AZ12" s="11" t="n">
        <f aca="false">IF(Time!AZ17&lt;=Time!$F$14,(Waterfall!AZ7+BA12)/(1+AZ10),0)</f>
        <v>462.143546344883</v>
      </c>
      <c r="BA12" s="11" t="n">
        <f aca="false">IF(Time!BA17&lt;=Time!$F$14,(Waterfall!BA7+BB12)/(1+BA10),0)</f>
        <v>429.989617894609</v>
      </c>
      <c r="BB12" s="11" t="n">
        <f aca="false">IF(Time!BB17&lt;=Time!$F$14,(Waterfall!BB7+BC12)/(1+BB10),0)</f>
        <v>397.354603376342</v>
      </c>
      <c r="BC12" s="11" t="n">
        <f aca="false">IF(Time!BC17&lt;=Time!$F$14,(Waterfall!BC7+BD12)/(1+BC10),0)</f>
        <v>362.515533715931</v>
      </c>
      <c r="BD12" s="11" t="n">
        <f aca="false">IF(Time!BD17&lt;=Time!$F$14,(Waterfall!BD7+BE12)/(1+BD10),0)</f>
        <v>330.103138287608</v>
      </c>
      <c r="BE12" s="11" t="n">
        <f aca="false">IF(Time!BE17&lt;=Time!$F$14,(Waterfall!BE7+BF12)/(1+BE10),0)</f>
        <v>302.185261588271</v>
      </c>
      <c r="BF12" s="11" t="n">
        <f aca="false">IF(Time!BF17&lt;=Time!$F$14,(Waterfall!BF7+BG12)/(1+BF10),0)</f>
        <v>273.674390215196</v>
      </c>
      <c r="BG12" s="11" t="n">
        <f aca="false">IF(Time!BG17&lt;=Time!$F$14,(Waterfall!BG7+BH12)/(1+BG10),0)</f>
        <v>243.719485396019</v>
      </c>
      <c r="BH12" s="11" t="n">
        <f aca="false">IF(Time!BH17&lt;=Time!$F$14,(Waterfall!BH7+BI12)/(1+BH10),0)</f>
        <v>213.403665028642</v>
      </c>
      <c r="BI12" s="11" t="n">
        <f aca="false">IF(Time!BI17&lt;=Time!$F$14,(Waterfall!BI7+BJ12)/(1+BI10),0)</f>
        <v>181.604094755105</v>
      </c>
      <c r="BJ12" s="11" t="n">
        <f aca="false">IF(Time!BJ17&lt;=Time!$F$14,(Waterfall!BJ7+BK12)/(1+BJ10),0)</f>
        <v>149.530037759812</v>
      </c>
      <c r="BK12" s="11" t="n">
        <f aca="false">IF(Time!BK17&lt;=Time!$F$14,(Waterfall!BK7+BL12)/(1+BK10),0)</f>
        <v>109.799003405977</v>
      </c>
      <c r="BL12" s="11" t="n">
        <f aca="false">IF(Time!BL17&lt;=Time!$F$14,(Waterfall!BL7+BM12)/(1+BL10),0)</f>
        <v>74.4611618835912</v>
      </c>
      <c r="BM12" s="11" t="n">
        <f aca="false">IF(Time!BM17&lt;=Time!$F$14,(Waterfall!BM7+BN12)/(1+BM10),0)</f>
        <v>36.2048203243201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1.41716762939096</v>
      </c>
      <c r="Q13" s="6" t="n">
        <f aca="false">IF(Debt!Q122&gt;0.000000001,(Q11+Reserves!Q9)/Debt!Q122,0)</f>
        <v>1.41855388314299</v>
      </c>
      <c r="R13" s="6" t="n">
        <f aca="false">IF(Debt!R122&gt;0.000000001,(R11+Reserves!R9)/Debt!R122,0)</f>
        <v>1.42099890720417</v>
      </c>
      <c r="S13" s="6" t="n">
        <f aca="false">IF(Debt!S122&gt;0.000000001,(S11+Reserves!S9)/Debt!S122,0)</f>
        <v>1.4224561155834</v>
      </c>
      <c r="T13" s="6" t="n">
        <f aca="false">IF(Debt!T122&gt;0.000000001,(T11+Reserves!T9)/Debt!T122,0)</f>
        <v>1.42524395394339</v>
      </c>
      <c r="U13" s="6" t="n">
        <f aca="false">IF(Debt!U122&gt;0.000000001,(U11+Reserves!U9)/Debt!U122,0)</f>
        <v>1.42719398276548</v>
      </c>
      <c r="V13" s="6" t="n">
        <f aca="false">IF(Debt!V122&gt;0.000000001,(V11+Reserves!V9)/Debt!V122,0)</f>
        <v>1.43129748346865</v>
      </c>
      <c r="W13" s="6" t="n">
        <f aca="false">IF(Debt!W122&gt;0.000000001,(W11+Reserves!W9)/Debt!W122,0)</f>
        <v>1.43648263341144</v>
      </c>
      <c r="X13" s="6" t="n">
        <f aca="false">IF(Debt!X122&gt;0.000000001,(X11+Reserves!X9)/Debt!X122,0)</f>
        <v>1.44003647254145</v>
      </c>
      <c r="Y13" s="6" t="n">
        <f aca="false">IF(Debt!Y122&gt;0.000000001,(Y11+Reserves!Y9)/Debt!Y122,0)</f>
        <v>1.44350129017561</v>
      </c>
      <c r="Z13" s="6" t="n">
        <f aca="false">IF(Debt!Z122&gt;0.000000001,(Z11+Reserves!Z9)/Debt!Z122,0)</f>
        <v>1.44823736121767</v>
      </c>
      <c r="AA13" s="6" t="n">
        <f aca="false">IF(Debt!AA122&gt;0.000000001,(AA11+Reserves!AA9)/Debt!AA122,0)</f>
        <v>1.45233102261476</v>
      </c>
      <c r="AB13" s="6" t="n">
        <f aca="false">IF(Debt!AB122&gt;0.000000001,(AB11+Reserves!AB9)/Debt!AB122,0)</f>
        <v>1.48177429465053</v>
      </c>
      <c r="AC13" s="6" t="n">
        <f aca="false">IF(Debt!AC122&gt;0.000000001,(AC11+Reserves!AC9)/Debt!AC122,0)</f>
        <v>1.51516868555509</v>
      </c>
      <c r="AD13" s="6" t="n">
        <f aca="false">IF(Debt!AD122&gt;0.000000001,(AD11+Reserves!AD9)/Debt!AD122,0)</f>
        <v>1.55519282950872</v>
      </c>
      <c r="AE13" s="6" t="n">
        <f aca="false">IF(Debt!AE122&gt;0.000000001,(AE11+Reserves!AE9)/Debt!AE122,0)</f>
        <v>1.60489153141568</v>
      </c>
      <c r="AF13" s="6" t="n">
        <f aca="false">IF(Debt!AF122&gt;0.000000001,(AF11+Reserves!AF9)/Debt!AF122,0)</f>
        <v>1.66578303112756</v>
      </c>
      <c r="AG13" s="6" t="n">
        <f aca="false">IF(Debt!AG122&gt;0.000000001,(AG11+Reserves!AG9)/Debt!AG122,0)</f>
        <v>1.7412360150116</v>
      </c>
      <c r="AH13" s="6" t="n">
        <f aca="false">IF(Debt!AH122&gt;0.000000001,(AH11+Reserves!AH9)/Debt!AH122,0)</f>
        <v>1.83828138339284</v>
      </c>
      <c r="AI13" s="6" t="n">
        <f aca="false">IF(Debt!AI122&gt;0.000000001,(AI11+Reserves!AI9)/Debt!AI122,0)</f>
        <v>1.97229445667318</v>
      </c>
      <c r="AJ13" s="6" t="n">
        <f aca="false">IF(Debt!AJ122&gt;0.000000001,(AJ11+Reserves!AJ9)/Debt!AJ122,0)</f>
        <v>2.16737316929209</v>
      </c>
      <c r="AK13" s="6" t="n">
        <f aca="false">IF(Debt!AK122&gt;0.000000001,(AK11+Reserves!AK9)/Debt!AK122,0)</f>
        <v>2.49235504533749</v>
      </c>
      <c r="AL13" s="6" t="n">
        <f aca="false">IF(Debt!AL122&gt;0.000000001,(AL11+Reserves!AL9)/Debt!AL122,0)</f>
        <v>2.51057889636406</v>
      </c>
      <c r="AM13" s="6" t="n">
        <f aca="false">IF(Debt!AM122&gt;0.000000001,(AM11+Reserves!AM9)/Debt!AM122,0)</f>
        <v>2.62344957031174</v>
      </c>
      <c r="AN13" s="6" t="n">
        <f aca="false">IF(Debt!AN122&gt;0.000000001,(AN11+Reserves!AN9)/Debt!AN122,0)</f>
        <v>2.75234584848107</v>
      </c>
      <c r="AO13" s="6" t="n">
        <f aca="false">IF(Debt!AO122&gt;0.000000001,(AO11+Reserves!AO9)/Debt!AO122,0)</f>
        <v>3.23983820432301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1.35835113673146</v>
      </c>
      <c r="Q14" s="6" t="n">
        <f aca="false">IF(Debt!Q122&gt;0.000000001,Q11/Debt!Q122,0)</f>
        <v>1.35840651217696</v>
      </c>
      <c r="R14" s="6" t="n">
        <f aca="false">IF(Debt!R122&gt;0.000000001,R11/Debt!R122,0)</f>
        <v>1.35845989105095</v>
      </c>
      <c r="S14" s="6" t="n">
        <f aca="false">IF(Debt!S122&gt;0.000000001,S11/Debt!S122,0)</f>
        <v>1.35860360679202</v>
      </c>
      <c r="T14" s="6" t="n">
        <f aca="false">IF(Debt!T122&gt;0.000000001,T11/Debt!T122,0)</f>
        <v>1.35869157081641</v>
      </c>
      <c r="U14" s="6" t="n">
        <f aca="false">IF(Debt!U122&gt;0.000000001,U11/Debt!U122,0)</f>
        <v>1.35875903904969</v>
      </c>
      <c r="V14" s="6" t="n">
        <f aca="false">IF(Debt!V122&gt;0.000000001,V11/Debt!V122,0)</f>
        <v>1.35907995636158</v>
      </c>
      <c r="W14" s="6" t="n">
        <f aca="false">IF(Debt!W122&gt;0.000000001,W11/Debt!W122,0)</f>
        <v>1.36194502724295</v>
      </c>
      <c r="X14" s="6" t="n">
        <f aca="false">IF(Debt!X122&gt;0.000000001,X11/Debt!X122,0)</f>
        <v>1.36459173176573</v>
      </c>
      <c r="Y14" s="6" t="n">
        <f aca="false">IF(Debt!Y122&gt;0.000000001,Y11/Debt!Y122,0)</f>
        <v>1.36558617729213</v>
      </c>
      <c r="Z14" s="6" t="n">
        <f aca="false">IF(Debt!Z122&gt;0.000000001,Z11/Debt!Z122,0)</f>
        <v>1.36616597395467</v>
      </c>
      <c r="AA14" s="6" t="n">
        <f aca="false">IF(Debt!AA122&gt;0.000000001,AA11/Debt!AA122,0)</f>
        <v>1.36694182558088</v>
      </c>
      <c r="AB14" s="6" t="n">
        <f aca="false">IF(Debt!AB122&gt;0.000000001,AB11/Debt!AB122,0)</f>
        <v>1.38936461019038</v>
      </c>
      <c r="AC14" s="6" t="n">
        <f aca="false">IF(Debt!AC122&gt;0.000000001,AC11/Debt!AC122,0)</f>
        <v>1.4175565161291</v>
      </c>
      <c r="AD14" s="6" t="n">
        <f aca="false">IF(Debt!AD122&gt;0.000000001,AD11/Debt!AD122,0)</f>
        <v>1.44753108315949</v>
      </c>
      <c r="AE14" s="6" t="n">
        <f aca="false">IF(Debt!AE122&gt;0.000000001,AE11/Debt!AE122,0)</f>
        <v>1.48866447808665</v>
      </c>
      <c r="AF14" s="6" t="n">
        <f aca="false">IF(Debt!AF122&gt;0.000000001,AF11/Debt!AF122,0)</f>
        <v>1.53891846789051</v>
      </c>
      <c r="AG14" s="6" t="n">
        <f aca="false">IF(Debt!AG122&gt;0.000000001,AG11/Debt!AG122,0)</f>
        <v>1.60200821769828</v>
      </c>
      <c r="AH14" s="6" t="n">
        <f aca="false">IF(Debt!AH122&gt;0.000000001,AH11/Debt!AH122,0)</f>
        <v>1.68070332687557</v>
      </c>
      <c r="AI14" s="6" t="n">
        <f aca="false">IF(Debt!AI122&gt;0.000000001,AI11/Debt!AI122,0)</f>
        <v>1.79287189754383</v>
      </c>
      <c r="AJ14" s="6" t="n">
        <f aca="false">IF(Debt!AJ122&gt;0.000000001,AJ11/Debt!AJ122,0)</f>
        <v>1.95363848719756</v>
      </c>
      <c r="AK14" s="6" t="n">
        <f aca="false">IF(Debt!AK122&gt;0.000000001,AK11/Debt!AK122,0)</f>
        <v>2.22661563487322</v>
      </c>
      <c r="AL14" s="6" t="n">
        <f aca="false">IF(Debt!AL122&gt;0.000000001,AL11/Debt!AL122,0)</f>
        <v>2.21428503053789</v>
      </c>
      <c r="AM14" s="6" t="n">
        <f aca="false">IF(Debt!AM122&gt;0.000000001,AM11/Debt!AM122,0)</f>
        <v>2.22080815864512</v>
      </c>
      <c r="AN14" s="6" t="n">
        <f aca="false">IF(Debt!AN122&gt;0.000000001,AN11/Debt!AN122,0)</f>
        <v>2.2288776802614</v>
      </c>
      <c r="AO14" s="6" t="n">
        <f aca="false">IF(Debt!AO122&gt;0.000000001,AO11/Debt!AO122,0)</f>
        <v>2.21282626883823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1.85590685257357</v>
      </c>
      <c r="Q15" s="6" t="n">
        <f aca="false">IF(Debt!Q122&gt;0.000000001,Q12/Debt!Q122,0)</f>
        <v>1.88596048034209</v>
      </c>
      <c r="R15" s="6" t="n">
        <f aca="false">IF(Debt!R122&gt;0.000000001,R12/Debt!R122,0)</f>
        <v>1.91859638485622</v>
      </c>
      <c r="S15" s="6" t="n">
        <f aca="false">IF(Debt!S122&gt;0.000000001,S12/Debt!S122,0)</f>
        <v>1.9547854580392</v>
      </c>
      <c r="T15" s="6" t="n">
        <f aca="false">IF(Debt!T122&gt;0.000000001,T12/Debt!T122,0)</f>
        <v>1.99411151780272</v>
      </c>
      <c r="U15" s="6" t="n">
        <f aca="false">IF(Debt!U122&gt;0.000000001,U12/Debt!U122,0)</f>
        <v>2.03787285693389</v>
      </c>
      <c r="V15" s="6" t="n">
        <f aca="false">IF(Debt!V122&gt;0.000000001,V12/Debt!V122,0)</f>
        <v>2.08631898081824</v>
      </c>
      <c r="W15" s="6" t="n">
        <f aca="false">IF(Debt!W122&gt;0.000000001,W12/Debt!W122,0)</f>
        <v>2.14376805893596</v>
      </c>
      <c r="X15" s="6" t="n">
        <f aca="false">IF(Debt!X122&gt;0.000000001,X12/Debt!X122,0)</f>
        <v>2.20715056840766</v>
      </c>
      <c r="Y15" s="6" t="n">
        <f aca="false">IF(Debt!Y122&gt;0.000000001,Y12/Debt!Y122,0)</f>
        <v>2.27443286530087</v>
      </c>
      <c r="Z15" s="6" t="n">
        <f aca="false">IF(Debt!Z122&gt;0.000000001,Z12/Debt!Z122,0)</f>
        <v>2.34899410974256</v>
      </c>
      <c r="AA15" s="6" t="n">
        <f aca="false">IF(Debt!AA122&gt;0.000000001,AA12/Debt!AA122,0)</f>
        <v>2.43437453303925</v>
      </c>
      <c r="AB15" s="6" t="n">
        <f aca="false">IF(Debt!AB122&gt;0.000000001,AB12/Debt!AB122,0)</f>
        <v>2.57118080467309</v>
      </c>
      <c r="AC15" s="6" t="n">
        <f aca="false">IF(Debt!AC122&gt;0.000000001,AC12/Debt!AC122,0)</f>
        <v>2.73867811063354</v>
      </c>
      <c r="AD15" s="6" t="n">
        <f aca="false">IF(Debt!AD122&gt;0.000000001,AD12/Debt!AD122,0)</f>
        <v>2.93196532905198</v>
      </c>
      <c r="AE15" s="6" t="n">
        <f aca="false">IF(Debt!AE122&gt;0.000000001,AE12/Debt!AE122,0)</f>
        <v>3.18047882751215</v>
      </c>
      <c r="AF15" s="6" t="n">
        <f aca="false">IF(Debt!AF122&gt;0.000000001,AF12/Debt!AF122,0)</f>
        <v>3.49236549091751</v>
      </c>
      <c r="AG15" s="6" t="n">
        <f aca="false">IF(Debt!AG122&gt;0.000000001,AG12/Debt!AG122,0)</f>
        <v>3.90537104218389</v>
      </c>
      <c r="AH15" s="6" t="n">
        <f aca="false">IF(Debt!AH122&gt;0.000000001,AH12/Debt!AH122,0)</f>
        <v>4.45404292998869</v>
      </c>
      <c r="AI15" s="6" t="n">
        <f aca="false">IF(Debt!AI122&gt;0.000000001,AI12/Debt!AI122,0)</f>
        <v>5.2514735903549</v>
      </c>
      <c r="AJ15" s="6" t="n">
        <f aca="false">IF(Debt!AJ122&gt;0.000000001,AJ12/Debt!AJ122,0)</f>
        <v>6.45474810815388</v>
      </c>
      <c r="AK15" s="6" t="n">
        <f aca="false">IF(Debt!AK122&gt;0.000000001,AK12/Debt!AK122,0)</f>
        <v>8.56685630565026</v>
      </c>
      <c r="AL15" s="6" t="n">
        <f aca="false">IF(Debt!AL122&gt;0.000000001,AL12/Debt!AL122,0)</f>
        <v>10.3820336464664</v>
      </c>
      <c r="AM15" s="6" t="n">
        <f aca="false">IF(Debt!AM122&gt;0.000000001,AM12/Debt!AM122,0)</f>
        <v>13.697427603763</v>
      </c>
      <c r="AN15" s="6" t="n">
        <f aca="false">IF(Debt!AN122&gt;0.000000001,AN12/Debt!AN122,0)</f>
        <v>21.1064907313627</v>
      </c>
      <c r="AO15" s="6" t="n">
        <f aca="false">IF(Debt!AO122&gt;0.000000001,AO12/Debt!AO122,0)</f>
        <v>40.7098428619445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n">
        <f aca="false">_xlfn.MINIFS(Waterfall!$J$17:$BN$17,Debt!$J$121:$BN$121,"&gt;0.000000001")</f>
        <v>1.32090776164261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n">
        <f aca="false">SUMIFS(Waterfall!$J$7:$BN$7,Debt!$J$121:$BN$121,"&gt;0.000000001")/SUM(Debt!$J$121:$BN$121)</f>
        <v>1.53355935298062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1.41716762939096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1.85590685257357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1169.11703228529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15.3470396906232</v>
      </c>
      <c r="BS8" s="16" t="n">
        <f aca="false">Waterfall!Q44</f>
        <v>12.817434186808</v>
      </c>
      <c r="BT8" s="16" t="n">
        <f aca="false">Waterfall!R44</f>
        <v>13.6944211767362</v>
      </c>
      <c r="BU8" s="16" t="n">
        <f aca="false">Waterfall!S44</f>
        <v>12.9200584528173</v>
      </c>
      <c r="BV8" s="16" t="n">
        <f aca="false">Waterfall!T44</f>
        <v>13.6845286632475</v>
      </c>
      <c r="BW8" s="16" t="n">
        <f aca="false">Waterfall!U44</f>
        <v>12.5914558450127</v>
      </c>
      <c r="BX8" s="16" t="n">
        <f aca="false">Waterfall!V44</f>
        <v>12.5515835899042</v>
      </c>
      <c r="BY8" s="16" t="n">
        <f aca="false">Waterfall!W44</f>
        <v>13.5633080447217</v>
      </c>
      <c r="BZ8" s="16" t="n">
        <f aca="false">Waterfall!X44</f>
        <v>13.3528522686011</v>
      </c>
      <c r="CA8" s="16" t="n">
        <f aca="false">Waterfall!Y44</f>
        <v>12.8081795172204</v>
      </c>
      <c r="CB8" s="16" t="n">
        <f aca="false">Waterfall!Z44</f>
        <v>13.4657980571963</v>
      </c>
      <c r="CC8" s="16" t="n">
        <f aca="false">Waterfall!AA44</f>
        <v>6.3361357909179</v>
      </c>
      <c r="CD8" s="16" t="n">
        <f aca="false">Waterfall!AB44</f>
        <v>7.37102298257586</v>
      </c>
      <c r="CE8" s="16" t="n">
        <f aca="false">Waterfall!AC44</f>
        <v>6.82254845278294</v>
      </c>
      <c r="CF8" s="16" t="n">
        <f aca="false">Waterfall!AD44</f>
        <v>7.36312833136017</v>
      </c>
      <c r="CG8" s="16" t="n">
        <f aca="false">Waterfall!AE44</f>
        <v>7.8406431815442</v>
      </c>
      <c r="CH8" s="16" t="n">
        <f aca="false">Waterfall!AF44</f>
        <v>9.46988010110519</v>
      </c>
      <c r="CI8" s="16" t="n">
        <f aca="false">Waterfall!AG44</f>
        <v>10.1829735432366</v>
      </c>
      <c r="CJ8" s="16" t="n">
        <f aca="false">Waterfall!AH44</f>
        <v>11.5678504898404</v>
      </c>
      <c r="CK8" s="16" t="n">
        <f aca="false">Waterfall!AI44</f>
        <v>12.4693245240889</v>
      </c>
      <c r="CL8" s="16" t="n">
        <f aca="false">Waterfall!AJ44</f>
        <v>14.3789345865293</v>
      </c>
      <c r="CM8" s="16" t="n">
        <f aca="false">Waterfall!AK44</f>
        <v>32.2638350009865</v>
      </c>
      <c r="CN8" s="16" t="n">
        <f aca="false">Waterfall!AL44</f>
        <v>28.5708133682081</v>
      </c>
      <c r="CO8" s="16" t="n">
        <f aca="false">Waterfall!AM44</f>
        <v>32.9159288449634</v>
      </c>
      <c r="CP8" s="16" t="n">
        <f aca="false">Waterfall!AN44</f>
        <v>24.0325033750714</v>
      </c>
      <c r="CQ8" s="16" t="n">
        <f aca="false">Waterfall!AO44</f>
        <v>41.8354893001395</v>
      </c>
      <c r="CR8" s="16" t="n">
        <f aca="false">Waterfall!AP44</f>
        <v>41.8553230552979</v>
      </c>
      <c r="CS8" s="16" t="n">
        <f aca="false">Waterfall!AQ44</f>
        <v>41.4261240282784</v>
      </c>
      <c r="CT8" s="16" t="n">
        <f aca="false">Waterfall!AR44</f>
        <v>42.0440281859729</v>
      </c>
      <c r="CU8" s="16" t="n">
        <f aca="false">Waterfall!AS44</f>
        <v>41.4778377035045</v>
      </c>
      <c r="CV8" s="16" t="n">
        <f aca="false">Waterfall!AT44</f>
        <v>47.0900929500161</v>
      </c>
      <c r="CW8" s="16" t="n">
        <f aca="false">Waterfall!AU44</f>
        <v>42.4479272064973</v>
      </c>
      <c r="CX8" s="16" t="n">
        <f aca="false">Waterfall!AV44</f>
        <v>43.68305656927</v>
      </c>
      <c r="CY8" s="16" t="n">
        <f aca="false">Waterfall!AW44</f>
        <v>43.7899850073499</v>
      </c>
      <c r="CZ8" s="16" t="n">
        <f aca="false">Waterfall!AX44</f>
        <v>44.4351922012715</v>
      </c>
      <c r="DA8" s="16" t="n">
        <f aca="false">Waterfall!AY44</f>
        <v>43.9968593767662</v>
      </c>
      <c r="DB8" s="16" t="n">
        <f aca="false">Waterfall!AZ44</f>
        <v>44.6373201088508</v>
      </c>
      <c r="DC8" s="16" t="n">
        <f aca="false">Waterfall!BA44</f>
        <v>43.7548979493539</v>
      </c>
      <c r="DD8" s="16" t="n">
        <f aca="false">Waterfall!BB44</f>
        <v>44.0712363167496</v>
      </c>
      <c r="DE8" s="16" t="n">
        <f aca="false">Waterfall!BC44</f>
        <v>40.6870685639472</v>
      </c>
      <c r="DF8" s="16" t="n">
        <f aca="false">Waterfall!BD44</f>
        <v>35.3004258138392</v>
      </c>
      <c r="DG8" s="16" t="n">
        <f aca="false">Waterfall!BE44</f>
        <v>35.122520482594</v>
      </c>
      <c r="DH8" s="16" t="n">
        <f aca="false">Waterfall!BF44</f>
        <v>35.7794523689352</v>
      </c>
      <c r="DI8" s="16" t="n">
        <f aca="false">Waterfall!BG44</f>
        <v>35.3140745893409</v>
      </c>
      <c r="DJ8" s="16" t="n">
        <f aca="false">Waterfall!BH44</f>
        <v>35.9615944796383</v>
      </c>
      <c r="DK8" s="16" t="n">
        <f aca="false">Waterfall!BI44</f>
        <v>35.3595825151869</v>
      </c>
      <c r="DL8" s="16" t="n">
        <f aca="false">Waterfall!BJ44</f>
        <v>42.1324549808026</v>
      </c>
      <c r="DM8" s="16" t="n">
        <f aca="false">Waterfall!BK44</f>
        <v>36.6481335907073</v>
      </c>
      <c r="DN8" s="16" t="n">
        <f aca="false">Waterfall!BL44</f>
        <v>38.5939777018221</v>
      </c>
      <c r="DO8" s="16" t="n">
        <f aca="false">Waterfall!BM44</f>
        <v>55.1239627571198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1589.07059252034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1.94526082211549</v>
      </c>
      <c r="BR9" s="16" t="n">
        <f aca="false">Waterfall!P7</f>
        <v>50.5587953236546</v>
      </c>
      <c r="BS9" s="16" t="n">
        <f aca="false">Waterfall!Q7</f>
        <v>50.442219274486</v>
      </c>
      <c r="BT9" s="16" t="n">
        <f aca="false">Waterfall!R7</f>
        <v>51.0277336692931</v>
      </c>
      <c r="BU9" s="16" t="n">
        <f aca="false">Waterfall!S7</f>
        <v>50.6712762345651</v>
      </c>
      <c r="BV9" s="16" t="n">
        <f aca="false">Waterfall!T7</f>
        <v>51.2552214181002</v>
      </c>
      <c r="BW9" s="16" t="n">
        <f aca="false">Waterfall!U7</f>
        <v>50.8793760801711</v>
      </c>
      <c r="BX9" s="16" t="n">
        <f aca="false">Waterfall!V7</f>
        <v>50.5748110157739</v>
      </c>
      <c r="BY9" s="16" t="n">
        <f aca="false">Waterfall!W7</f>
        <v>50.4901031193111</v>
      </c>
      <c r="BZ9" s="16" t="n">
        <f aca="false">Waterfall!X7</f>
        <v>49.9232443131463</v>
      </c>
      <c r="CA9" s="16" t="n">
        <f aca="false">Waterfall!Y7</f>
        <v>49.6795426257345</v>
      </c>
      <c r="CB9" s="16" t="n">
        <f aca="false">Waterfall!Z7</f>
        <v>50.0400854120507</v>
      </c>
      <c r="CC9" s="16" t="n">
        <f aca="false">Waterfall!AA7</f>
        <v>49.677020213812</v>
      </c>
      <c r="CD9" s="16" t="n">
        <f aca="false">Waterfall!AB7</f>
        <v>50.2787865425378</v>
      </c>
      <c r="CE9" s="16" t="n">
        <f aca="false">Waterfall!AC7</f>
        <v>49.6077702772062</v>
      </c>
      <c r="CF9" s="16" t="n">
        <f aca="false">Waterfall!AD7</f>
        <v>49.9461249695239</v>
      </c>
      <c r="CG9" s="16" t="n">
        <f aca="false">Waterfall!AE7</f>
        <v>49.9673885349949</v>
      </c>
      <c r="CH9" s="16" t="n">
        <f aca="false">Waterfall!AF7</f>
        <v>51.7546549317302</v>
      </c>
      <c r="CI9" s="16" t="n">
        <f aca="false">Waterfall!AG7</f>
        <v>51.8814766609504</v>
      </c>
      <c r="CJ9" s="16" t="n">
        <f aca="false">Waterfall!AH7</f>
        <v>52.5031564352454</v>
      </c>
      <c r="CK9" s="16" t="n">
        <f aca="false">Waterfall!AI7</f>
        <v>52.135038363419</v>
      </c>
      <c r="CL9" s="16" t="n">
        <f aca="false">Waterfall!AJ7</f>
        <v>52.7579793908153</v>
      </c>
      <c r="CM9" s="16" t="n">
        <f aca="false">Waterfall!AK7</f>
        <v>52.3807507136761</v>
      </c>
      <c r="CN9" s="16" t="n">
        <f aca="false">Waterfall!AL7</f>
        <v>52.1278011522673</v>
      </c>
      <c r="CO9" s="16" t="n">
        <f aca="false">Waterfall!AM7</f>
        <v>52.0479460998276</v>
      </c>
      <c r="CP9" s="16" t="n">
        <f aca="false">Waterfall!AN7</f>
        <v>42.9384111226795</v>
      </c>
      <c r="CQ9" s="16" t="n">
        <f aca="false">Waterfall!AO7</f>
        <v>41.8354893001395</v>
      </c>
      <c r="CR9" s="16" t="n">
        <f aca="false">Waterfall!AP7</f>
        <v>41.8553230552979</v>
      </c>
      <c r="CS9" s="16" t="n">
        <f aca="false">Waterfall!AQ7</f>
        <v>41.4261240282784</v>
      </c>
      <c r="CT9" s="16" t="n">
        <f aca="false">Waterfall!AR7</f>
        <v>42.0440281859729</v>
      </c>
      <c r="CU9" s="16" t="n">
        <f aca="false">Waterfall!AS7</f>
        <v>41.4778377035045</v>
      </c>
      <c r="CV9" s="16" t="n">
        <f aca="false">Waterfall!AT7</f>
        <v>47.0900929500161</v>
      </c>
      <c r="CW9" s="16" t="n">
        <f aca="false">Waterfall!AU7</f>
        <v>42.4479272064973</v>
      </c>
      <c r="CX9" s="16" t="n">
        <f aca="false">Waterfall!AV7</f>
        <v>43.68305656927</v>
      </c>
      <c r="CY9" s="16" t="n">
        <f aca="false">Waterfall!AW7</f>
        <v>43.7899850073499</v>
      </c>
      <c r="CZ9" s="16" t="n">
        <f aca="false">Waterfall!AX7</f>
        <v>44.4351922012715</v>
      </c>
      <c r="DA9" s="16" t="n">
        <f aca="false">Waterfall!AY7</f>
        <v>43.9968593767662</v>
      </c>
      <c r="DB9" s="16" t="n">
        <f aca="false">Waterfall!AZ7</f>
        <v>44.6373201088508</v>
      </c>
      <c r="DC9" s="16" t="n">
        <f aca="false">Waterfall!BA7</f>
        <v>44.2498663359626</v>
      </c>
      <c r="DD9" s="16" t="n">
        <f aca="false">Waterfall!BB7</f>
        <v>45.5723865713941</v>
      </c>
      <c r="DE9" s="16" t="n">
        <f aca="false">Waterfall!BC7</f>
        <v>42.2046416372894</v>
      </c>
      <c r="DF9" s="16" t="n">
        <f aca="false">Waterfall!BD7</f>
        <v>36.8346013740858</v>
      </c>
      <c r="DG9" s="16" t="n">
        <f aca="false">Waterfall!BE7</f>
        <v>36.6734801635497</v>
      </c>
      <c r="DH9" s="16" t="n">
        <f aca="false">Waterfall!BF7</f>
        <v>37.3473797915072</v>
      </c>
      <c r="DI9" s="16" t="n">
        <f aca="false">Waterfall!BG7</f>
        <v>36.8991553832777</v>
      </c>
      <c r="DJ9" s="16" t="n">
        <f aca="false">Waterfall!BH7</f>
        <v>37.5640163055069</v>
      </c>
      <c r="DK9" s="16" t="n">
        <f aca="false">Waterfall!BI7</f>
        <v>36.9795350865903</v>
      </c>
      <c r="DL9" s="16" t="n">
        <f aca="false">Waterfall!BJ7</f>
        <v>43.7701300868403</v>
      </c>
      <c r="DM9" s="16" t="n">
        <f aca="false">Waterfall!BK7</f>
        <v>38.3037251186816</v>
      </c>
      <c r="DN9" s="16" t="n">
        <f aca="false">Waterfall!BL7</f>
        <v>40.2676816601926</v>
      </c>
      <c r="DO9" s="16" t="n">
        <f aca="false">Waterfall!BM7</f>
        <v>37.1827825951588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1904.4527926011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1.94526082211549</v>
      </c>
      <c r="BR10" s="11" t="n">
        <f aca="false">Waterfall!P7+Tax!P27</f>
        <v>50.5587953236546</v>
      </c>
      <c r="BS10" s="11" t="n">
        <f aca="false">Waterfall!Q7+Tax!Q27</f>
        <v>50.442219274486</v>
      </c>
      <c r="BT10" s="11" t="n">
        <f aca="false">Waterfall!R7+Tax!R27</f>
        <v>51.0277336692931</v>
      </c>
      <c r="BU10" s="11" t="n">
        <f aca="false">Waterfall!S7+Tax!S27</f>
        <v>50.6712762345651</v>
      </c>
      <c r="BV10" s="11" t="n">
        <f aca="false">Waterfall!T7+Tax!T27</f>
        <v>51.2552214181002</v>
      </c>
      <c r="BW10" s="11" t="n">
        <f aca="false">Waterfall!U7+Tax!U27</f>
        <v>50.8793760801711</v>
      </c>
      <c r="BX10" s="11" t="n">
        <f aca="false">Waterfall!V7+Tax!V27</f>
        <v>50.5748110157739</v>
      </c>
      <c r="BY10" s="11" t="n">
        <f aca="false">Waterfall!W7+Tax!W27</f>
        <v>50.4901031193111</v>
      </c>
      <c r="BZ10" s="11" t="n">
        <f aca="false">Waterfall!X7+Tax!X27</f>
        <v>49.9232443131463</v>
      </c>
      <c r="CA10" s="11" t="n">
        <f aca="false">Waterfall!Y7+Tax!Y27</f>
        <v>49.7971430456444</v>
      </c>
      <c r="CB10" s="11" t="n">
        <f aca="false">Waterfall!Z7+Tax!Z27</f>
        <v>50.3938785547194</v>
      </c>
      <c r="CC10" s="11" t="n">
        <f aca="false">Waterfall!AA7+Tax!AA27</f>
        <v>50.032923192618</v>
      </c>
      <c r="CD10" s="11" t="n">
        <f aca="false">Waterfall!AB7+Tax!AB27</f>
        <v>50.6366087709034</v>
      </c>
      <c r="CE10" s="11" t="n">
        <f aca="false">Waterfall!AC7+Tax!AC27</f>
        <v>49.9632944939245</v>
      </c>
      <c r="CF10" s="11" t="n">
        <f aca="false">Waterfall!AD7+Tax!AD27</f>
        <v>50.2896807043382</v>
      </c>
      <c r="CG10" s="11" t="n">
        <f aca="false">Waterfall!AE7+Tax!AE27</f>
        <v>50.319406551192</v>
      </c>
      <c r="CH10" s="11" t="n">
        <f aca="false">Waterfall!AF7+Tax!AF27</f>
        <v>52.1192418774537</v>
      </c>
      <c r="CI10" s="11" t="n">
        <f aca="false">Waterfall!AG7+Tax!AG27</f>
        <v>52.2476554986555</v>
      </c>
      <c r="CJ10" s="11" t="n">
        <f aca="false">Waterfall!AH7+Tax!AH27</f>
        <v>52.8704367299691</v>
      </c>
      <c r="CK10" s="11" t="n">
        <f aca="false">Waterfall!AI7+Tax!AI27</f>
        <v>52.5045960642645</v>
      </c>
      <c r="CL10" s="11" t="n">
        <f aca="false">Waterfall!AJ7+Tax!AJ27</f>
        <v>53.1296261078595</v>
      </c>
      <c r="CM10" s="11" t="n">
        <f aca="false">Waterfall!AK7+Tax!AK27</f>
        <v>52.7527022659043</v>
      </c>
      <c r="CN10" s="11" t="n">
        <f aca="false">Waterfall!AL7+Tax!AL27</f>
        <v>52.4926890274905</v>
      </c>
      <c r="CO10" s="11" t="n">
        <f aca="false">Waterfall!AM7+Tax!AM27</f>
        <v>52.4190971966929</v>
      </c>
      <c r="CP10" s="11" t="n">
        <f aca="false">Waterfall!AN7+Tax!AN27</f>
        <v>51.5659918503015</v>
      </c>
      <c r="CQ10" s="11" t="n">
        <f aca="false">Waterfall!AO7+Tax!AO27</f>
        <v>51.4492120962057</v>
      </c>
      <c r="CR10" s="11" t="n">
        <f aca="false">Waterfall!AP7+Tax!AP27</f>
        <v>52.1002932191312</v>
      </c>
      <c r="CS10" s="11" t="n">
        <f aca="false">Waterfall!AQ7+Tax!AQ27</f>
        <v>51.7291461274289</v>
      </c>
      <c r="CT10" s="11" t="n">
        <f aca="false">Waterfall!AR7+Tax!AR27</f>
        <v>52.3772570169402</v>
      </c>
      <c r="CU10" s="11" t="n">
        <f aca="false">Waterfall!AS7+Tax!AS27</f>
        <v>51.6881838542559</v>
      </c>
      <c r="CV10" s="11" t="n">
        <f aca="false">Waterfall!AT7+Tax!AT27</f>
        <v>52.2770669947459</v>
      </c>
      <c r="CW10" s="11" t="n">
        <f aca="false">Waterfall!AU7+Tax!AU27</f>
        <v>52.3247153733622</v>
      </c>
      <c r="CX10" s="11" t="n">
        <f aca="false">Waterfall!AV7+Tax!AV27</f>
        <v>54.1909953485416</v>
      </c>
      <c r="CY10" s="11" t="n">
        <f aca="false">Waterfall!AW7+Tax!AW27</f>
        <v>54.3491000862295</v>
      </c>
      <c r="CZ10" s="11" t="n">
        <f aca="false">Waterfall!AX7+Tax!AX27</f>
        <v>55.0309321760291</v>
      </c>
      <c r="DA10" s="11" t="n">
        <f aca="false">Waterfall!AY7+Tax!AY27</f>
        <v>54.6540208329389</v>
      </c>
      <c r="DB10" s="11" t="n">
        <f aca="false">Waterfall!AZ7+Tax!AZ27</f>
        <v>55.3270923182035</v>
      </c>
      <c r="DC10" s="11" t="n">
        <f aca="false">Waterfall!BA7+Tax!BA27</f>
        <v>54.9491349794108</v>
      </c>
      <c r="DD10" s="11" t="n">
        <f aca="false">Waterfall!BB7+Tax!BB27</f>
        <v>54.7422525957479</v>
      </c>
      <c r="DE10" s="11" t="n">
        <f aca="false">Waterfall!BC7+Tax!BC27</f>
        <v>54.6819146683279</v>
      </c>
      <c r="DF10" s="11" t="n">
        <f aca="false">Waterfall!BD7+Tax!BD27</f>
        <v>53.4867618806475</v>
      </c>
      <c r="DG10" s="11" t="n">
        <f aca="false">Waterfall!BE7+Tax!BE27</f>
        <v>53.3810098050618</v>
      </c>
      <c r="DH10" s="11" t="n">
        <f aca="false">Waterfall!BF7+Tax!BF27</f>
        <v>54.0962581653226</v>
      </c>
      <c r="DI10" s="11" t="n">
        <f aca="false">Waterfall!BG7+Tax!BG27</f>
        <v>53.7130848259972</v>
      </c>
      <c r="DJ10" s="11" t="n">
        <f aca="false">Waterfall!BH7+Tax!BH27</f>
        <v>54.4131520200869</v>
      </c>
      <c r="DK10" s="11" t="n">
        <f aca="false">Waterfall!BI7+Tax!BI27</f>
        <v>53.7057644265116</v>
      </c>
      <c r="DL10" s="11" t="n">
        <f aca="false">Waterfall!BJ7+Tax!BJ27</f>
        <v>54.6076069317995</v>
      </c>
      <c r="DM10" s="11" t="n">
        <f aca="false">Waterfall!BK7+Tax!BK27</f>
        <v>54.676595347295</v>
      </c>
      <c r="DN10" s="11" t="n">
        <f aca="false">Waterfall!BL7+Tax!BL27</f>
        <v>57.3218359817479</v>
      </c>
      <c r="DO10" s="11" t="n">
        <f aca="false">Waterfall!BM7+Tax!BM27</f>
        <v>42.8663923265858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-206.486727893434</v>
      </c>
      <c r="BS11" s="11" t="n">
        <f aca="false">BR11+BS8</f>
        <v>-193.669293706626</v>
      </c>
      <c r="BT11" s="11" t="n">
        <f aca="false">BS11+BT8</f>
        <v>-179.97487252989</v>
      </c>
      <c r="BU11" s="11" t="n">
        <f aca="false">BT11+BU8</f>
        <v>-167.054814077073</v>
      </c>
      <c r="BV11" s="11" t="n">
        <f aca="false">BU11+BV8</f>
        <v>-153.370285413825</v>
      </c>
      <c r="BW11" s="11" t="n">
        <f aca="false">BV11+BW8</f>
        <v>-140.778829568812</v>
      </c>
      <c r="BX11" s="11" t="n">
        <f aca="false">BW11+BX8</f>
        <v>-128.227245978908</v>
      </c>
      <c r="BY11" s="11" t="n">
        <f aca="false">BX11+BY8</f>
        <v>-114.663937934187</v>
      </c>
      <c r="BZ11" s="11" t="n">
        <f aca="false">BY11+BZ8</f>
        <v>-101.311085665585</v>
      </c>
      <c r="CA11" s="11" t="n">
        <f aca="false">BZ11+CA8</f>
        <v>-88.502906148365</v>
      </c>
      <c r="CB11" s="11" t="n">
        <f aca="false">CA11+CB8</f>
        <v>-75.0371080911688</v>
      </c>
      <c r="CC11" s="11" t="n">
        <f aca="false">CB11+CC8</f>
        <v>-68.7009723002508</v>
      </c>
      <c r="CD11" s="11" t="n">
        <f aca="false">CC11+CD8</f>
        <v>-61.329949317675</v>
      </c>
      <c r="CE11" s="11" t="n">
        <f aca="false">CD11+CE8</f>
        <v>-54.5074008648921</v>
      </c>
      <c r="CF11" s="11" t="n">
        <f aca="false">CE11+CF8</f>
        <v>-47.1442725335319</v>
      </c>
      <c r="CG11" s="11" t="n">
        <f aca="false">CF11+CG8</f>
        <v>-39.3036293519877</v>
      </c>
      <c r="CH11" s="11" t="n">
        <f aca="false">CG11+CH8</f>
        <v>-29.8337492508825</v>
      </c>
      <c r="CI11" s="11" t="n">
        <f aca="false">CH11+CI8</f>
        <v>-19.6507757076459</v>
      </c>
      <c r="CJ11" s="11" t="n">
        <f aca="false">CI11+CJ8</f>
        <v>-8.08292521780554</v>
      </c>
      <c r="CK11" s="11" t="n">
        <f aca="false">CJ11+CK8</f>
        <v>4.38639930628336</v>
      </c>
      <c r="CL11" s="11" t="n">
        <f aca="false">CK11+CL8</f>
        <v>18.7653338928127</v>
      </c>
      <c r="CM11" s="11" t="n">
        <f aca="false">CL11+CM8</f>
        <v>51.0291688937992</v>
      </c>
      <c r="CN11" s="11" t="n">
        <f aca="false">CM11+CN8</f>
        <v>79.5999822620073</v>
      </c>
      <c r="CO11" s="11" t="n">
        <f aca="false">CN11+CO8</f>
        <v>112.515911106971</v>
      </c>
      <c r="CP11" s="11" t="n">
        <f aca="false">CO11+CP8</f>
        <v>136.548414482042</v>
      </c>
      <c r="CQ11" s="11" t="n">
        <f aca="false">CP11+CQ8</f>
        <v>178.383903782182</v>
      </c>
      <c r="CR11" s="11" t="n">
        <f aca="false">CQ11+CR8</f>
        <v>220.23922683748</v>
      </c>
      <c r="CS11" s="11" t="n">
        <f aca="false">CR11+CS8</f>
        <v>261.665350865758</v>
      </c>
      <c r="CT11" s="11" t="n">
        <f aca="false">CS11+CT8</f>
        <v>303.709379051731</v>
      </c>
      <c r="CU11" s="11" t="n">
        <f aca="false">CT11+CU8</f>
        <v>345.187216755235</v>
      </c>
      <c r="CV11" s="11" t="n">
        <f aca="false">CU11+CV8</f>
        <v>392.277309705251</v>
      </c>
      <c r="CW11" s="11" t="n">
        <f aca="false">CV11+CW8</f>
        <v>434.725236911749</v>
      </c>
      <c r="CX11" s="11" t="n">
        <f aca="false">CW11+CX8</f>
        <v>478.408293481019</v>
      </c>
      <c r="CY11" s="11" t="n">
        <f aca="false">CX11+CY8</f>
        <v>522.198278488369</v>
      </c>
      <c r="CZ11" s="11" t="n">
        <f aca="false">CY11+CZ8</f>
        <v>566.63347068964</v>
      </c>
      <c r="DA11" s="11" t="n">
        <f aca="false">CZ11+DA8</f>
        <v>610.630330066406</v>
      </c>
      <c r="DB11" s="11" t="n">
        <f aca="false">DA11+DB8</f>
        <v>655.267650175257</v>
      </c>
      <c r="DC11" s="11" t="n">
        <f aca="false">DB11+DC8</f>
        <v>699.022548124611</v>
      </c>
      <c r="DD11" s="11" t="n">
        <f aca="false">DC11+DD8</f>
        <v>743.093784441361</v>
      </c>
      <c r="DE11" s="11" t="n">
        <f aca="false">DD11+DE8</f>
        <v>783.780853005308</v>
      </c>
      <c r="DF11" s="11" t="n">
        <f aca="false">DE11+DF8</f>
        <v>819.081278819147</v>
      </c>
      <c r="DG11" s="11" t="n">
        <f aca="false">DF11+DG8</f>
        <v>854.203799301741</v>
      </c>
      <c r="DH11" s="11" t="n">
        <f aca="false">DG11+DH8</f>
        <v>889.983251670676</v>
      </c>
      <c r="DI11" s="11" t="n">
        <f aca="false">DH11+DI8</f>
        <v>925.297326260017</v>
      </c>
      <c r="DJ11" s="11" t="n">
        <f aca="false">DI11+DJ8</f>
        <v>961.258920739655</v>
      </c>
      <c r="DK11" s="11" t="n">
        <f aca="false">DJ11+DK8</f>
        <v>996.618503254842</v>
      </c>
      <c r="DL11" s="11" t="n">
        <f aca="false">DK11+DL8</f>
        <v>1038.75095823564</v>
      </c>
      <c r="DM11" s="11" t="n">
        <f aca="false">DL11+DM8</f>
        <v>1075.39909182635</v>
      </c>
      <c r="DN11" s="11" t="n">
        <f aca="false">DM11+DN8</f>
        <v>1113.99306952817</v>
      </c>
      <c r="DO11" s="11" t="n">
        <f aca="false">DN11+DO8</f>
        <v>1169.11703228529</v>
      </c>
      <c r="DP11" s="11" t="n">
        <f aca="false">DO11+DP8</f>
        <v>1169.11703228529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0.132391894286634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0.109455861578515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0.115671182098685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-43.3724878193095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n">
        <f aca="false">Ratios!$F$16</f>
        <v>1.32090776164261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n">
        <f aca="false">Ratios!$F$17</f>
        <v>1.53355935298062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1.41716762939096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1.85590685257357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0.132391894286634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0.109455861578515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-43.3724878193095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2026-10-03T21:04:01Z</dcterms:created>
  <dc:creator>openpyxl</dc:creator>
  <dc:description/>
  <dc:language>en-US</dc:language>
  <cp:lastModifiedBy/>
  <dcterms:modified xsi:type="dcterms:W3CDTF">2026-10-03T21:04:02Z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