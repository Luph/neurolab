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<sst xmlns="http://schemas.openxmlformats.org/spreadsheetml/2006/main" count="2278" uniqueCount="844">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</sst>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4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113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INDEX($J$10:$X$10,1,Scenario)</f>
        <v>1</v>
      </c>
    </row>
    <row r="34" customFormat="false" ht="15" hidden="false" customHeight="false" outlineLevel="0" collapsed="false">
      <c r="D34" s="0" t="s">
        <v>125</v>
      </c>
      <c r="E34" s="0" t="s">
        <v>94</v>
      </c>
      <c r="F34" s="6" t="n">
        <f aca="false">INDEX($J$11:$X$11,1,Scenario)</f>
        <v>1</v>
      </c>
    </row>
    <row r="35" customFormat="false" ht="15" hidden="false" customHeight="false" outlineLevel="0" collapsed="false">
      <c r="D35" s="0" t="s">
        <v>126</v>
      </c>
      <c r="E35" s="0" t="s">
        <v>97</v>
      </c>
      <c r="F35" s="6" t="n">
        <f aca="false">INDEX($J$12:$X$12,1,Scenario)</f>
        <v>0</v>
      </c>
    </row>
    <row r="36" customFormat="false" ht="15" hidden="false" customHeight="false" outlineLevel="0" collapsed="false">
      <c r="D36" s="0" t="s">
        <v>127</v>
      </c>
      <c r="E36" s="0" t="s">
        <v>99</v>
      </c>
      <c r="F36" s="6" t="n">
        <f aca="false">INDEX($J$13:$X$13,1,Scenario)</f>
        <v>1</v>
      </c>
    </row>
    <row r="37" customFormat="false" ht="15" hidden="false" customHeight="false" outlineLevel="0" collapsed="false">
      <c r="D37" s="0" t="s">
        <v>128</v>
      </c>
      <c r="E37" s="0" t="s">
        <v>101</v>
      </c>
      <c r="F37" s="6" t="n">
        <f aca="false">INDEX($J$14:$X$14,1,Scenario)</f>
        <v>-3</v>
      </c>
    </row>
    <row r="38" customFormat="false" ht="15" hidden="false" customHeight="false" outlineLevel="0" collapsed="false">
      <c r="D38" s="0" t="s">
        <v>129</v>
      </c>
      <c r="E38" s="0" t="s">
        <v>103</v>
      </c>
      <c r="F38" s="6" t="n">
        <f aca="false">INDEX($J$15:$X$15,1,Scenario)</f>
        <v>76.5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INDEX($J$16:$X$16,1,Scenario)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INDEX($J$17:$X$17,1,Scenario)</f>
        <v>1</v>
      </c>
    </row>
    <row r="41" customFormat="false" ht="15" hidden="false" customHeight="false" outlineLevel="0" collapsed="false">
      <c r="D41" s="0" t="s">
        <v>132</v>
      </c>
      <c r="E41" s="0" t="s">
        <v>99</v>
      </c>
      <c r="F41" s="6" t="n">
        <f aca="false">INDEX($J$18:$X$18,1,Scenario)</f>
        <v>1</v>
      </c>
    </row>
    <row r="42" customFormat="false" ht="15" hidden="false" customHeight="false" outlineLevel="0" collapsed="false">
      <c r="D42" s="0" t="s">
        <v>133</v>
      </c>
      <c r="E42" s="0" t="s">
        <v>103</v>
      </c>
      <c r="F42" s="6" t="n">
        <f aca="false">INDEX($J$19:$X$19,1,Scenario)</f>
        <v>0</v>
      </c>
    </row>
    <row r="43" customFormat="false" ht="15" hidden="false" customHeight="false" outlineLevel="0" collapsed="false">
      <c r="D43" s="0" t="s">
        <v>134</v>
      </c>
      <c r="E43" s="0" t="s">
        <v>109</v>
      </c>
      <c r="F43" s="6" t="n">
        <f aca="false">INDEX($J$20:$X$20,1,Scenario)</f>
        <v>0</v>
      </c>
    </row>
    <row r="44" customFormat="false" ht="15" hidden="false" customHeight="false" outlineLevel="0" collapsed="false">
      <c r="D44" s="0" t="s">
        <v>135</v>
      </c>
      <c r="E44" s="0" t="s">
        <v>111</v>
      </c>
      <c r="F44" s="6" t="n">
        <f aca="false">INDEX($J$21:$X$21,1,Scenario)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INDEX($J$22:$X$22,1,Scenario)</f>
        <v>0</v>
      </c>
    </row>
    <row r="46" customFormat="false" ht="15" hidden="false" customHeight="false" outlineLevel="0" collapsed="false">
      <c r="D46" s="0" t="s">
        <v>137</v>
      </c>
      <c r="E46" s="0" t="s">
        <v>113</v>
      </c>
      <c r="F46" s="6" t="n">
        <f aca="false">INDEX($J$23:$X$23,1,Scenario)</f>
        <v>0</v>
      </c>
    </row>
    <row r="47" customFormat="false" ht="15" hidden="false" customHeight="false" outlineLevel="0" collapsed="false">
      <c r="D47" s="0" t="s">
        <v>138</v>
      </c>
      <c r="E47" s="0" t="s">
        <v>94</v>
      </c>
      <c r="F47" s="6" t="n">
        <f aca="false">INDEX($J$24:$X$24,1,Scenario)</f>
        <v>1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INDEX($J$25:$X$25,1,Scenario)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INDEX($J$26:$X$26,1,Scenario)</f>
        <v>0</v>
      </c>
    </row>
    <row r="50" customFormat="false" ht="15" hidden="false" customHeight="false" outlineLevel="0" collapsed="false">
      <c r="D50" s="0" t="s">
        <v>141</v>
      </c>
      <c r="E50" s="0" t="s">
        <v>113</v>
      </c>
      <c r="F50" s="6" t="n">
        <f aca="false">INDEX($J$27:$X$27,1,Scenario)</f>
        <v>0</v>
      </c>
    </row>
    <row r="51" customFormat="false" ht="15" hidden="false" customHeight="false" outlineLevel="0" collapsed="false">
      <c r="D51" s="0" t="s">
        <v>142</v>
      </c>
      <c r="E51" s="0" t="s">
        <v>94</v>
      </c>
      <c r="F51" s="6" t="n">
        <f aca="false">INDEX($J$28:$X$28,1,Scenario)</f>
        <v>1</v>
      </c>
    </row>
    <row r="52" customFormat="false" ht="15" hidden="false" customHeight="false" outlineLevel="0" collapsed="false">
      <c r="D52" s="0" t="s">
        <v>143</v>
      </c>
      <c r="E52" s="0" t="s">
        <v>113</v>
      </c>
      <c r="F52" s="6" t="n">
        <f aca="false">INDEX($J$29:$X$29,1,Scenario)</f>
        <v>1</v>
      </c>
    </row>
    <row r="53" customFormat="false" ht="15" hidden="false" customHeight="false" outlineLevel="0" collapsed="false">
      <c r="D53" s="0" t="s">
        <v>144</v>
      </c>
      <c r="E53" s="0" t="s">
        <v>109</v>
      </c>
      <c r="F53" s="6" t="n">
        <f aca="false">INDEX($J$30:$X$30,1,Scenario)</f>
        <v>0.8</v>
      </c>
    </row>
    <row r="54" customFormat="false" ht="15" hidden="false" customHeight="false" outlineLevel="0" collapsed="false">
      <c r="D54" s="0" t="s">
        <v>145</v>
      </c>
      <c r="E54" s="0" t="s">
        <v>99</v>
      </c>
      <c r="F54" s="6" t="n">
        <f aca="false">INDEX($J$31:$X$31,1,Scenario)</f>
        <v>1</v>
      </c>
    </row>
    <row r="55" customFormat="false" ht="15" hidden="false" customHeight="false" outlineLevel="0" collapsed="false">
      <c r="D55" s="0" t="s">
        <v>146</v>
      </c>
      <c r="E55" s="0" t="s">
        <v>113</v>
      </c>
      <c r="F55" s="6" t="n">
        <f aca="false">INDEX($J$32:$X$32,1,Scenario)</f>
        <v>0</v>
      </c>
    </row>
    <row r="56" customFormat="false" ht="15" hidden="false" customHeight="false" outlineLevel="0" collapsed="false">
      <c r="B56" s="2" t="s">
        <v>147</v>
      </c>
    </row>
    <row r="57" customFormat="false" ht="15" hidden="false" customHeight="false" outlineLevel="0" collapsed="false">
      <c r="D57" s="0" t="s">
        <v>148</v>
      </c>
      <c r="E57" s="0" t="s">
        <v>149</v>
      </c>
      <c r="F57" s="7" t="n">
        <v>571.84</v>
      </c>
    </row>
    <row r="58" customFormat="false" ht="15" hidden="false" customHeight="false" outlineLevel="0" collapsed="false">
      <c r="D58" s="0" t="s">
        <v>150</v>
      </c>
      <c r="E58" s="0" t="s">
        <v>149</v>
      </c>
      <c r="F58" s="7" t="n">
        <v>489.17</v>
      </c>
    </row>
    <row r="59" customFormat="false" ht="15" hidden="false" customHeight="false" outlineLevel="0" collapsed="false">
      <c r="D59" s="0" t="s">
        <v>151</v>
      </c>
      <c r="E59" s="0" t="s">
        <v>149</v>
      </c>
      <c r="F59" s="7" t="n">
        <v>82.67</v>
      </c>
    </row>
    <row r="60" customFormat="false" ht="15" hidden="false" customHeight="false" outlineLevel="0" collapsed="false">
      <c r="D60" s="0" t="s">
        <v>152</v>
      </c>
      <c r="E60" s="0" t="s">
        <v>153</v>
      </c>
      <c r="F60" s="7" t="n">
        <v>519.4</v>
      </c>
    </row>
    <row r="61" customFormat="false" ht="15" hidden="false" customHeight="false" outlineLevel="0" collapsed="false">
      <c r="D61" s="0" t="s">
        <v>154</v>
      </c>
      <c r="E61" s="0" t="s">
        <v>149</v>
      </c>
      <c r="F61" s="7" t="n">
        <v>46.18</v>
      </c>
    </row>
    <row r="62" customFormat="false" ht="15" hidden="false" customHeight="false" outlineLevel="0" collapsed="false">
      <c r="D62" s="0" t="s">
        <v>155</v>
      </c>
      <c r="E62" s="0" t="s">
        <v>149</v>
      </c>
      <c r="F62" s="7" t="n">
        <v>7.62</v>
      </c>
    </row>
    <row r="63" customFormat="false" ht="15" hidden="false" customHeight="false" outlineLevel="0" collapsed="false">
      <c r="D63" s="0" t="s">
        <v>156</v>
      </c>
      <c r="E63" s="0" t="s">
        <v>149</v>
      </c>
      <c r="F63" s="7" t="n">
        <v>21.43</v>
      </c>
    </row>
    <row r="64" customFormat="false" ht="15" hidden="false" customHeight="false" outlineLevel="0" collapsed="false">
      <c r="D64" s="0" t="s">
        <v>157</v>
      </c>
      <c r="E64" s="0" t="s">
        <v>149</v>
      </c>
      <c r="F64" s="7" t="n">
        <v>11.2</v>
      </c>
    </row>
    <row r="65" customFormat="false" ht="15" hidden="false" customHeight="false" outlineLevel="0" collapsed="false">
      <c r="D65" s="0" t="s">
        <v>158</v>
      </c>
      <c r="E65" s="0" t="s">
        <v>149</v>
      </c>
      <c r="F65" s="7" t="n">
        <v>8.97</v>
      </c>
    </row>
    <row r="66" customFormat="false" ht="15" hidden="false" customHeight="false" outlineLevel="0" collapsed="false">
      <c r="D66" s="0" t="s">
        <v>159</v>
      </c>
      <c r="E66" s="0" t="s">
        <v>149</v>
      </c>
      <c r="F66" s="7" t="n">
        <v>38.4</v>
      </c>
    </row>
    <row r="67" customFormat="false" ht="15" hidden="false" customHeight="false" outlineLevel="0" collapsed="false">
      <c r="D67" s="0" t="s">
        <v>160</v>
      </c>
      <c r="E67" s="0" t="s">
        <v>149</v>
      </c>
      <c r="F67" s="7" t="n">
        <v>5.35</v>
      </c>
    </row>
    <row r="68" customFormat="false" ht="15" hidden="false" customHeight="false" outlineLevel="0" collapsed="false">
      <c r="D68" s="0" t="s">
        <v>161</v>
      </c>
      <c r="E68" s="0" t="s">
        <v>149</v>
      </c>
      <c r="F68" s="7" t="n">
        <v>14.2</v>
      </c>
    </row>
    <row r="69" customFormat="false" ht="15" hidden="false" customHeight="false" outlineLevel="0" collapsed="false">
      <c r="D69" s="0" t="s">
        <v>162</v>
      </c>
      <c r="E69" s="0" t="s">
        <v>149</v>
      </c>
      <c r="F69" s="7" t="n">
        <v>6.93</v>
      </c>
    </row>
    <row r="70" customFormat="false" ht="15" hidden="false" customHeight="false" outlineLevel="0" collapsed="false">
      <c r="D70" s="0" t="s">
        <v>163</v>
      </c>
      <c r="E70" s="0" t="s">
        <v>103</v>
      </c>
      <c r="F70" s="7" t="n">
        <v>18</v>
      </c>
    </row>
    <row r="71" customFormat="false" ht="15" hidden="false" customHeight="false" outlineLevel="0" collapsed="false">
      <c r="D71" s="0" t="s">
        <v>164</v>
      </c>
      <c r="E71" s="0" t="s">
        <v>103</v>
      </c>
      <c r="F71" s="7" t="n">
        <v>2.5</v>
      </c>
    </row>
    <row r="72" customFormat="false" ht="15" hidden="false" customHeight="false" outlineLevel="0" collapsed="false">
      <c r="D72" s="0" t="s">
        <v>165</v>
      </c>
      <c r="E72" s="0" t="s">
        <v>166</v>
      </c>
      <c r="F72" s="7" t="n">
        <v>7900</v>
      </c>
    </row>
    <row r="73" customFormat="false" ht="15" hidden="false" customHeight="false" outlineLevel="0" collapsed="false">
      <c r="D73" s="0" t="s">
        <v>167</v>
      </c>
      <c r="E73" s="0" t="s">
        <v>103</v>
      </c>
      <c r="F73" s="7" t="n">
        <v>13.5</v>
      </c>
    </row>
    <row r="74" customFormat="false" ht="15" hidden="false" customHeight="false" outlineLevel="0" collapsed="false">
      <c r="B74" s="2" t="s">
        <v>168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0.3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0.22</v>
      </c>
    </row>
    <row r="77" customFormat="false" ht="15" hidden="false" customHeight="false" outlineLevel="0" collapsed="false">
      <c r="D77" s="0" t="s">
        <v>171</v>
      </c>
      <c r="E77" s="0" t="s">
        <v>109</v>
      </c>
      <c r="F77" s="7" t="n">
        <v>0.1</v>
      </c>
    </row>
    <row r="78" customFormat="false" ht="15" hidden="false" customHeight="false" outlineLevel="0" collapsed="false">
      <c r="D78" s="0" t="s">
        <v>172</v>
      </c>
      <c r="E78" s="0" t="s">
        <v>109</v>
      </c>
      <c r="F78" s="7" t="n">
        <v>0.38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1.35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3.65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3.4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4.1</v>
      </c>
    </row>
    <row r="83" customFormat="false" ht="15" hidden="false" customHeight="false" outlineLevel="0" collapsed="false">
      <c r="D83" s="0" t="s">
        <v>177</v>
      </c>
      <c r="E83" s="0" t="s">
        <v>103</v>
      </c>
      <c r="F83" s="7" t="n">
        <v>4.6</v>
      </c>
    </row>
    <row r="84" customFormat="false" ht="15" hidden="false" customHeight="false" outlineLevel="0" collapsed="false">
      <c r="D84" s="0" t="s">
        <v>178</v>
      </c>
      <c r="E84" s="0" t="s">
        <v>103</v>
      </c>
      <c r="F84" s="7" t="n">
        <v>5.1</v>
      </c>
    </row>
    <row r="85" customFormat="false" ht="15" hidden="false" customHeight="false" outlineLevel="0" collapsed="false">
      <c r="D85" s="0" t="s">
        <v>179</v>
      </c>
      <c r="E85" s="0" t="s">
        <v>180</v>
      </c>
      <c r="F85" s="7" t="n">
        <v>0.45</v>
      </c>
    </row>
    <row r="86" customFormat="false" ht="15" hidden="false" customHeight="false" outlineLevel="0" collapsed="false">
      <c r="D86" s="0" t="s">
        <v>181</v>
      </c>
      <c r="E86" s="0" t="s">
        <v>180</v>
      </c>
      <c r="F86" s="7" t="n">
        <v>0.75</v>
      </c>
    </row>
    <row r="87" customFormat="false" ht="15" hidden="false" customHeight="false" outlineLevel="0" collapsed="false">
      <c r="D87" s="0" t="s">
        <v>182</v>
      </c>
      <c r="E87" s="0" t="s">
        <v>180</v>
      </c>
      <c r="F87" s="7" t="n">
        <v>0.85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40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1.1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1.25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1.5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2.15</v>
      </c>
    </row>
    <row r="93" customFormat="false" ht="15" hidden="false" customHeight="false" outlineLevel="0" collapsed="false">
      <c r="D93" s="0" t="s">
        <v>188</v>
      </c>
      <c r="E93" s="0" t="s">
        <v>103</v>
      </c>
      <c r="F93" s="7" t="n">
        <v>10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10.85</v>
      </c>
    </row>
    <row r="95" customFormat="false" ht="15" hidden="false" customHeight="false" outlineLevel="0" collapsed="false">
      <c r="D95" s="0" t="s">
        <v>190</v>
      </c>
      <c r="E95" s="0" t="s">
        <v>180</v>
      </c>
      <c r="F95" s="7" t="n">
        <v>1.15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90</v>
      </c>
    </row>
    <row r="97" customFormat="false" ht="15" hidden="false" customHeight="false" outlineLevel="0" collapsed="false">
      <c r="D97" s="0" t="s">
        <v>192</v>
      </c>
      <c r="E97" s="0" t="s">
        <v>103</v>
      </c>
      <c r="F97" s="7" t="n">
        <v>2.947</v>
      </c>
    </row>
    <row r="98" customFormat="false" ht="15" hidden="false" customHeight="false" outlineLevel="0" collapsed="false">
      <c r="D98" s="0" t="s">
        <v>193</v>
      </c>
      <c r="E98" s="0" t="s">
        <v>103</v>
      </c>
      <c r="F98" s="7" t="n">
        <v>0.42826</v>
      </c>
    </row>
    <row r="99" customFormat="false" ht="15" hidden="false" customHeight="false" outlineLevel="0" collapsed="false">
      <c r="D99" s="0" t="s">
        <v>194</v>
      </c>
      <c r="E99" s="0" t="s">
        <v>149</v>
      </c>
      <c r="F99" s="7" t="n">
        <v>46</v>
      </c>
    </row>
    <row r="100" customFormat="false" ht="15" hidden="false" customHeight="false" outlineLevel="0" collapsed="false">
      <c r="D100" s="0" t="s">
        <v>195</v>
      </c>
      <c r="E100" s="0" t="s">
        <v>180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103</v>
      </c>
      <c r="F101" s="7" t="n">
        <v>0.25</v>
      </c>
    </row>
    <row r="102" customFormat="false" ht="15" hidden="false" customHeight="false" outlineLevel="0" collapsed="false">
      <c r="D102" s="0" t="s">
        <v>197</v>
      </c>
      <c r="E102" s="0" t="s">
        <v>109</v>
      </c>
      <c r="F102" s="7" t="n">
        <v>0.6</v>
      </c>
    </row>
    <row r="103" customFormat="false" ht="15" hidden="false" customHeight="false" outlineLevel="0" collapsed="false">
      <c r="D103" s="0" t="s">
        <v>198</v>
      </c>
      <c r="E103" s="0" t="s">
        <v>149</v>
      </c>
      <c r="F103" s="7" t="n">
        <v>15.4</v>
      </c>
    </row>
    <row r="104" customFormat="false" ht="15" hidden="false" customHeight="false" outlineLevel="0" collapsed="false">
      <c r="D104" s="0" t="s">
        <v>199</v>
      </c>
      <c r="E104" s="0" t="s">
        <v>180</v>
      </c>
      <c r="F104" s="7" t="n">
        <v>9.5</v>
      </c>
    </row>
    <row r="105" customFormat="false" ht="15" hidden="false" customHeight="false" outlineLevel="0" collapsed="false">
      <c r="D105" s="0" t="s">
        <v>200</v>
      </c>
      <c r="E105" s="0" t="s">
        <v>109</v>
      </c>
      <c r="F105" s="7" t="n">
        <v>0.75</v>
      </c>
    </row>
    <row r="106" customFormat="false" ht="15" hidden="false" customHeight="false" outlineLevel="0" collapsed="false">
      <c r="D106" s="0" t="s">
        <v>201</v>
      </c>
      <c r="E106" s="0" t="s">
        <v>202</v>
      </c>
      <c r="F106" s="7" t="n">
        <v>1.35</v>
      </c>
    </row>
    <row r="107" customFormat="false" ht="15" hidden="false" customHeight="false" outlineLevel="0" collapsed="false">
      <c r="D107" s="0" t="s">
        <v>203</v>
      </c>
      <c r="E107" s="0" t="s">
        <v>204</v>
      </c>
      <c r="F107" s="7" t="n">
        <v>0.255</v>
      </c>
    </row>
    <row r="108" customFormat="false" ht="15" hidden="false" customHeight="false" outlineLevel="0" collapsed="false">
      <c r="D108" s="0" t="s">
        <v>205</v>
      </c>
      <c r="E108" s="0" t="s">
        <v>202</v>
      </c>
      <c r="F108" s="7" t="n">
        <v>1.2</v>
      </c>
    </row>
    <row r="109" customFormat="false" ht="15" hidden="false" customHeight="false" outlineLevel="0" collapsed="false">
      <c r="D109" s="0" t="s">
        <v>206</v>
      </c>
      <c r="E109" s="0" t="s">
        <v>202</v>
      </c>
      <c r="F109" s="7" t="n">
        <v>1.1</v>
      </c>
    </row>
    <row r="110" customFormat="false" ht="15" hidden="false" customHeight="false" outlineLevel="0" collapsed="false">
      <c r="D110" s="0" t="s">
        <v>207</v>
      </c>
      <c r="E110" s="0" t="s">
        <v>202</v>
      </c>
      <c r="F110" s="7" t="n">
        <v>1.25</v>
      </c>
    </row>
    <row r="111" customFormat="false" ht="15" hidden="false" customHeight="false" outlineLevel="0" collapsed="false">
      <c r="D111" s="0" t="s">
        <v>208</v>
      </c>
      <c r="E111" s="0" t="s">
        <v>109</v>
      </c>
      <c r="F111" s="7" t="n">
        <v>0.5</v>
      </c>
    </row>
    <row r="112" customFormat="false" ht="15" hidden="false" customHeight="false" outlineLevel="0" collapsed="false">
      <c r="B112" s="2" t="s">
        <v>209</v>
      </c>
    </row>
    <row r="113" customFormat="false" ht="15" hidden="false" customHeight="false" outlineLevel="0" collapsed="false">
      <c r="D113" s="0" t="s">
        <v>210</v>
      </c>
      <c r="E113" s="0" t="s">
        <v>149</v>
      </c>
      <c r="F113" s="7" t="n">
        <v>633.255975542774</v>
      </c>
    </row>
    <row r="114" customFormat="false" ht="15" hidden="false" customHeight="false" outlineLevel="0" collapsed="false">
      <c r="D114" s="0" t="s">
        <v>211</v>
      </c>
      <c r="E114" s="0" t="s">
        <v>149</v>
      </c>
      <c r="F114" s="7" t="n">
        <v>221.833767584051</v>
      </c>
    </row>
    <row r="115" customFormat="false" ht="15" hidden="false" customHeight="false" outlineLevel="0" collapsed="false">
      <c r="B115" s="2" t="s">
        <v>212</v>
      </c>
    </row>
    <row r="116" customFormat="false" ht="15" hidden="false" customHeight="false" outlineLevel="0" collapsed="false">
      <c r="D116" s="0" t="s">
        <v>213</v>
      </c>
      <c r="E116" s="0" t="s">
        <v>214</v>
      </c>
      <c r="F116" s="7" t="n">
        <v>588.4</v>
      </c>
    </row>
    <row r="117" customFormat="false" ht="15" hidden="false" customHeight="false" outlineLevel="0" collapsed="false">
      <c r="D117" s="0" t="s">
        <v>215</v>
      </c>
      <c r="E117" s="0" t="s">
        <v>214</v>
      </c>
      <c r="F117" s="7" t="n">
        <v>581.9</v>
      </c>
    </row>
    <row r="118" customFormat="false" ht="15" hidden="false" customHeight="false" outlineLevel="0" collapsed="false">
      <c r="D118" s="0" t="s">
        <v>216</v>
      </c>
      <c r="E118" s="0" t="s">
        <v>217</v>
      </c>
      <c r="F118" s="7" t="n">
        <v>6261</v>
      </c>
    </row>
    <row r="119" customFormat="false" ht="15" hidden="false" customHeight="false" outlineLevel="0" collapsed="false">
      <c r="D119" s="0" t="s">
        <v>218</v>
      </c>
      <c r="E119" s="0" t="s">
        <v>217</v>
      </c>
      <c r="F119" s="7" t="n">
        <v>6286</v>
      </c>
    </row>
    <row r="120" customFormat="false" ht="15" hidden="false" customHeight="false" outlineLevel="0" collapsed="false">
      <c r="D120" s="0" t="s">
        <v>219</v>
      </c>
      <c r="E120" s="0" t="s">
        <v>217</v>
      </c>
      <c r="F120" s="7" t="n">
        <v>6323</v>
      </c>
    </row>
    <row r="121" customFormat="false" ht="15" hidden="false" customHeight="false" outlineLevel="0" collapsed="false">
      <c r="D121" s="0" t="s">
        <v>220</v>
      </c>
      <c r="E121" s="0" t="s">
        <v>180</v>
      </c>
      <c r="F121" s="7" t="n">
        <v>0.1</v>
      </c>
    </row>
    <row r="122" customFormat="false" ht="15" hidden="false" customHeight="false" outlineLevel="0" collapsed="false">
      <c r="D122" s="0" t="s">
        <v>221</v>
      </c>
      <c r="E122" s="0" t="s">
        <v>103</v>
      </c>
      <c r="F122" s="7" t="n">
        <v>2.3</v>
      </c>
    </row>
    <row r="123" customFormat="false" ht="15" hidden="false" customHeight="false" outlineLevel="0" collapsed="false">
      <c r="D123" s="0" t="s">
        <v>222</v>
      </c>
      <c r="E123" s="0" t="s">
        <v>99</v>
      </c>
      <c r="F123" s="7" t="n">
        <v>1.108</v>
      </c>
    </row>
    <row r="124" customFormat="false" ht="15" hidden="false" customHeight="false" outlineLevel="0" collapsed="false">
      <c r="D124" s="0" t="s">
        <v>223</v>
      </c>
      <c r="E124" s="0" t="s">
        <v>224</v>
      </c>
      <c r="F124" s="7" t="n">
        <v>1055056</v>
      </c>
    </row>
    <row r="125" customFormat="false" ht="15" hidden="false" customHeight="false" outlineLevel="0" collapsed="false">
      <c r="D125" s="0" t="s">
        <v>225</v>
      </c>
      <c r="E125" s="0" t="s">
        <v>180</v>
      </c>
      <c r="F125" s="7" t="n">
        <v>0.15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1</v>
      </c>
    </row>
    <row r="127" customFormat="false" ht="15" hidden="false" customHeight="false" outlineLevel="0" collapsed="false">
      <c r="D127" s="0" t="s">
        <v>227</v>
      </c>
      <c r="E127" s="0" t="s">
        <v>180</v>
      </c>
      <c r="F127" s="7" t="n">
        <v>0.12</v>
      </c>
    </row>
    <row r="128" customFormat="false" ht="15" hidden="false" customHeight="false" outlineLevel="0" collapsed="false">
      <c r="D128" s="0" t="s">
        <v>228</v>
      </c>
      <c r="E128" s="0" t="s">
        <v>103</v>
      </c>
      <c r="F128" s="7" t="n">
        <v>0.8</v>
      </c>
    </row>
    <row r="129" customFormat="false" ht="15" hidden="false" customHeight="false" outlineLevel="0" collapsed="false">
      <c r="D129" s="0" t="s">
        <v>229</v>
      </c>
      <c r="E129" s="0" t="s">
        <v>230</v>
      </c>
      <c r="F129" s="7" t="n">
        <v>8059</v>
      </c>
    </row>
    <row r="130" customFormat="false" ht="15" hidden="false" customHeight="false" outlineLevel="0" collapsed="false">
      <c r="D130" s="0" t="s">
        <v>231</v>
      </c>
      <c r="E130" s="0" t="s">
        <v>232</v>
      </c>
      <c r="F130" s="7" t="n">
        <v>38</v>
      </c>
    </row>
    <row r="131" customFormat="false" ht="15" hidden="false" customHeight="false" outlineLevel="0" collapsed="false">
      <c r="D131" s="0" t="s">
        <v>233</v>
      </c>
      <c r="E131" s="0" t="s">
        <v>103</v>
      </c>
      <c r="F131" s="7" t="n">
        <v>76.5</v>
      </c>
    </row>
    <row r="132" customFormat="false" ht="15" hidden="false" customHeight="false" outlineLevel="0" collapsed="false">
      <c r="D132" s="0" t="s">
        <v>234</v>
      </c>
      <c r="E132" s="0" t="s">
        <v>230</v>
      </c>
      <c r="F132" s="7" t="n">
        <v>10</v>
      </c>
    </row>
    <row r="133" customFormat="false" ht="15" hidden="false" customHeight="false" outlineLevel="0" collapsed="false">
      <c r="D133" s="0" t="s">
        <v>235</v>
      </c>
      <c r="E133" s="0" t="s">
        <v>103</v>
      </c>
      <c r="F133" s="7" t="n">
        <v>90</v>
      </c>
    </row>
    <row r="134" customFormat="false" ht="15" hidden="false" customHeight="false" outlineLevel="0" collapsed="false">
      <c r="D134" s="0" t="s">
        <v>236</v>
      </c>
      <c r="E134" s="0" t="s">
        <v>237</v>
      </c>
      <c r="F134" s="7" t="n">
        <v>14.36</v>
      </c>
    </row>
    <row r="135" customFormat="false" ht="15" hidden="false" customHeight="false" outlineLevel="0" collapsed="false">
      <c r="D135" s="0" t="s">
        <v>238</v>
      </c>
      <c r="E135" s="0" t="s">
        <v>109</v>
      </c>
      <c r="F135" s="7" t="n">
        <v>0.2</v>
      </c>
    </row>
    <row r="136" customFormat="false" ht="15" hidden="false" customHeight="false" outlineLevel="0" collapsed="false">
      <c r="D136" s="0" t="s">
        <v>239</v>
      </c>
      <c r="E136" s="0" t="s">
        <v>237</v>
      </c>
      <c r="F136" s="7" t="n">
        <v>2.31</v>
      </c>
    </row>
    <row r="137" customFormat="false" ht="15" hidden="false" customHeight="false" outlineLevel="0" collapsed="false">
      <c r="D137" s="0" t="s">
        <v>240</v>
      </c>
      <c r="E137" s="0" t="s">
        <v>109</v>
      </c>
      <c r="F137" s="7" t="n">
        <v>0.62</v>
      </c>
    </row>
    <row r="138" customFormat="false" ht="15" hidden="false" customHeight="false" outlineLevel="0" collapsed="false">
      <c r="D138" s="0" t="s">
        <v>241</v>
      </c>
      <c r="E138" s="0" t="s">
        <v>153</v>
      </c>
      <c r="F138" s="7" t="n">
        <v>462.35</v>
      </c>
    </row>
    <row r="139" customFormat="false" ht="15" hidden="false" customHeight="false" outlineLevel="0" collapsed="false">
      <c r="D139" s="0" t="s">
        <v>242</v>
      </c>
      <c r="E139" s="0" t="s">
        <v>243</v>
      </c>
      <c r="F139" s="7" t="n">
        <v>3.86</v>
      </c>
    </row>
    <row r="140" customFormat="false" ht="15" hidden="false" customHeight="false" outlineLevel="0" collapsed="false">
      <c r="D140" s="0" t="s">
        <v>244</v>
      </c>
      <c r="E140" s="0" t="s">
        <v>109</v>
      </c>
      <c r="F140" s="7" t="n">
        <v>0.7</v>
      </c>
    </row>
    <row r="141" customFormat="false" ht="15" hidden="false" customHeight="false" outlineLevel="0" collapsed="false">
      <c r="B141" s="2" t="s">
        <v>245</v>
      </c>
    </row>
    <row r="142" customFormat="false" ht="15" hidden="false" customHeight="false" outlineLevel="0" collapsed="false">
      <c r="D142" s="0" t="s">
        <v>246</v>
      </c>
      <c r="E142" s="0" t="s">
        <v>247</v>
      </c>
      <c r="F142" s="7" t="n">
        <v>5.86</v>
      </c>
    </row>
    <row r="143" customFormat="false" ht="15" hidden="false" customHeight="false" outlineLevel="0" collapsed="false">
      <c r="D143" s="0" t="s">
        <v>248</v>
      </c>
      <c r="E143" s="0" t="s">
        <v>180</v>
      </c>
      <c r="F143" s="7" t="n">
        <v>2</v>
      </c>
    </row>
    <row r="144" customFormat="false" ht="15" hidden="false" customHeight="false" outlineLevel="0" collapsed="false">
      <c r="D144" s="0" t="s">
        <v>249</v>
      </c>
      <c r="E144" s="0" t="s">
        <v>250</v>
      </c>
      <c r="F144" s="7" t="n">
        <v>72400</v>
      </c>
    </row>
    <row r="145" customFormat="false" ht="15" hidden="false" customHeight="false" outlineLevel="0" collapsed="false">
      <c r="D145" s="0" t="s">
        <v>251</v>
      </c>
      <c r="E145" s="0" t="s">
        <v>109</v>
      </c>
      <c r="F145" s="7" t="n">
        <v>0.8</v>
      </c>
    </row>
    <row r="146" customFormat="false" ht="15" hidden="false" customHeight="false" outlineLevel="0" collapsed="false">
      <c r="D146" s="0" t="s">
        <v>252</v>
      </c>
      <c r="E146" s="0" t="s">
        <v>250</v>
      </c>
      <c r="F146" s="7" t="n">
        <v>96500</v>
      </c>
    </row>
    <row r="147" customFormat="false" ht="15" hidden="false" customHeight="false" outlineLevel="0" collapsed="false">
      <c r="D147" s="0" t="s">
        <v>253</v>
      </c>
      <c r="E147" s="0" t="s">
        <v>247</v>
      </c>
      <c r="F147" s="7" t="n">
        <v>0.62</v>
      </c>
    </row>
    <row r="148" customFormat="false" ht="15" hidden="false" customHeight="false" outlineLevel="0" collapsed="false">
      <c r="D148" s="0" t="s">
        <v>254</v>
      </c>
      <c r="E148" s="0" t="s">
        <v>247</v>
      </c>
      <c r="F148" s="7" t="n">
        <v>0.19</v>
      </c>
    </row>
    <row r="149" customFormat="false" ht="15" hidden="false" customHeight="false" outlineLevel="0" collapsed="false">
      <c r="D149" s="0" t="s">
        <v>255</v>
      </c>
      <c r="E149" s="0" t="s">
        <v>180</v>
      </c>
      <c r="F149" s="7" t="n">
        <v>1.5</v>
      </c>
    </row>
    <row r="150" customFormat="false" ht="15" hidden="false" customHeight="false" outlineLevel="0" collapsed="false">
      <c r="B150" s="2" t="s">
        <v>256</v>
      </c>
    </row>
    <row r="151" customFormat="false" ht="15" hidden="false" customHeight="false" outlineLevel="0" collapsed="false">
      <c r="D151" s="0" t="s">
        <v>257</v>
      </c>
      <c r="E151" s="0" t="s">
        <v>204</v>
      </c>
      <c r="F151" s="7" t="n">
        <v>7.92</v>
      </c>
    </row>
    <row r="152" customFormat="false" ht="15" hidden="false" customHeight="false" outlineLevel="0" collapsed="false">
      <c r="D152" s="0" t="s">
        <v>258</v>
      </c>
      <c r="E152" s="0" t="s">
        <v>109</v>
      </c>
      <c r="F152" s="7" t="n">
        <v>0.65</v>
      </c>
    </row>
    <row r="153" customFormat="false" ht="15" hidden="false" customHeight="false" outlineLevel="0" collapsed="false">
      <c r="D153" s="0" t="s">
        <v>259</v>
      </c>
      <c r="E153" s="0" t="s">
        <v>153</v>
      </c>
      <c r="F153" s="7" t="n">
        <v>516.8</v>
      </c>
    </row>
    <row r="154" customFormat="false" ht="15" hidden="false" customHeight="false" outlineLevel="0" collapsed="false">
      <c r="D154" s="0" t="s">
        <v>260</v>
      </c>
      <c r="E154" s="0" t="s">
        <v>204</v>
      </c>
      <c r="F154" s="7" t="n">
        <v>0.6</v>
      </c>
    </row>
    <row r="155" customFormat="false" ht="15" hidden="false" customHeight="false" outlineLevel="0" collapsed="false">
      <c r="D155" s="0" t="s">
        <v>261</v>
      </c>
      <c r="E155" s="0" t="s">
        <v>204</v>
      </c>
      <c r="F155" s="7" t="n">
        <v>2.64</v>
      </c>
    </row>
    <row r="156" customFormat="false" ht="15" hidden="false" customHeight="false" outlineLevel="0" collapsed="false">
      <c r="D156" s="0" t="s">
        <v>262</v>
      </c>
      <c r="E156" s="0" t="s">
        <v>263</v>
      </c>
      <c r="F156" s="7" t="n">
        <v>486</v>
      </c>
    </row>
    <row r="157" customFormat="false" ht="15" hidden="false" customHeight="false" outlineLevel="0" collapsed="false">
      <c r="D157" s="0" t="s">
        <v>264</v>
      </c>
      <c r="E157" s="0" t="s">
        <v>204</v>
      </c>
      <c r="F157" s="7" t="n">
        <v>4.37</v>
      </c>
    </row>
    <row r="158" customFormat="false" ht="15" hidden="false" customHeight="false" outlineLevel="0" collapsed="false">
      <c r="D158" s="0" t="s">
        <v>265</v>
      </c>
      <c r="E158" s="0" t="s">
        <v>109</v>
      </c>
      <c r="F158" s="7" t="n">
        <v>0.18</v>
      </c>
    </row>
    <row r="159" customFormat="false" ht="15" hidden="false" customHeight="false" outlineLevel="0" collapsed="false">
      <c r="D159" s="0" t="s">
        <v>266</v>
      </c>
      <c r="E159" s="0" t="s">
        <v>204</v>
      </c>
      <c r="F159" s="7" t="n">
        <v>3.18</v>
      </c>
    </row>
    <row r="160" customFormat="false" ht="15" hidden="false" customHeight="false" outlineLevel="0" collapsed="false">
      <c r="D160" s="0" t="s">
        <v>267</v>
      </c>
      <c r="E160" s="0" t="s">
        <v>268</v>
      </c>
      <c r="F160" s="7" t="n">
        <v>368</v>
      </c>
    </row>
    <row r="161" customFormat="false" ht="15" hidden="false" customHeight="false" outlineLevel="0" collapsed="false">
      <c r="D161" s="0" t="s">
        <v>269</v>
      </c>
      <c r="E161" s="0" t="s">
        <v>270</v>
      </c>
      <c r="F161" s="7" t="n">
        <v>0.55</v>
      </c>
    </row>
    <row r="162" customFormat="false" ht="15" hidden="false" customHeight="false" outlineLevel="0" collapsed="false">
      <c r="D162" s="0" t="s">
        <v>271</v>
      </c>
      <c r="E162" s="0" t="s">
        <v>243</v>
      </c>
      <c r="F162" s="7" t="n">
        <v>1.08</v>
      </c>
    </row>
    <row r="163" customFormat="false" ht="15" hidden="false" customHeight="false" outlineLevel="0" collapsed="false">
      <c r="D163" s="0" t="s">
        <v>272</v>
      </c>
      <c r="E163" s="0" t="s">
        <v>204</v>
      </c>
      <c r="F163" s="7" t="n">
        <v>0.31125</v>
      </c>
    </row>
    <row r="164" customFormat="false" ht="15" hidden="false" customHeight="false" outlineLevel="0" collapsed="false">
      <c r="D164" s="0" t="s">
        <v>273</v>
      </c>
      <c r="E164" s="0" t="s">
        <v>149</v>
      </c>
      <c r="F164" s="7" t="n">
        <v>9.47</v>
      </c>
    </row>
    <row r="165" customFormat="false" ht="15" hidden="false" customHeight="false" outlineLevel="0" collapsed="false">
      <c r="D165" s="0" t="s">
        <v>274</v>
      </c>
      <c r="E165" s="0" t="s">
        <v>149</v>
      </c>
      <c r="F165" s="7" t="n">
        <v>2.18</v>
      </c>
    </row>
    <row r="166" customFormat="false" ht="15" hidden="false" customHeight="false" outlineLevel="0" collapsed="false">
      <c r="D166" s="0" t="s">
        <v>275</v>
      </c>
      <c r="E166" s="0" t="s">
        <v>204</v>
      </c>
      <c r="F166" s="7" t="n">
        <v>1.85</v>
      </c>
    </row>
    <row r="167" customFormat="false" ht="15" hidden="false" customHeight="false" outlineLevel="0" collapsed="false">
      <c r="B167" s="2" t="s">
        <v>276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45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45</v>
      </c>
    </row>
    <row r="170" customFormat="false" ht="15" hidden="false" customHeight="false" outlineLevel="0" collapsed="false">
      <c r="D170" s="0" t="s">
        <v>279</v>
      </c>
      <c r="E170" s="0" t="s">
        <v>111</v>
      </c>
      <c r="F170" s="7" t="n">
        <v>30</v>
      </c>
    </row>
    <row r="171" customFormat="false" ht="15" hidden="false" customHeight="false" outlineLevel="0" collapsed="false">
      <c r="D171" s="0" t="s">
        <v>280</v>
      </c>
      <c r="E171" s="0" t="s">
        <v>111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111</v>
      </c>
      <c r="F172" s="7" t="n">
        <v>30</v>
      </c>
    </row>
    <row r="173" customFormat="false" ht="15" hidden="false" customHeight="false" outlineLevel="0" collapsed="false">
      <c r="B173" s="2" t="s">
        <v>282</v>
      </c>
    </row>
    <row r="174" customFormat="false" ht="15" hidden="false" customHeight="false" outlineLevel="0" collapsed="false">
      <c r="D174" s="0" t="s">
        <v>283</v>
      </c>
      <c r="E174" s="0" t="s">
        <v>103</v>
      </c>
      <c r="F174" s="7" t="n">
        <v>30</v>
      </c>
    </row>
    <row r="175" customFormat="false" ht="15" hidden="false" customHeight="false" outlineLevel="0" collapsed="false">
      <c r="D175" s="0" t="s">
        <v>284</v>
      </c>
      <c r="E175" s="0" t="s">
        <v>103</v>
      </c>
      <c r="F175" s="7" t="n">
        <v>15</v>
      </c>
    </row>
    <row r="176" customFormat="false" ht="15" hidden="false" customHeight="false" outlineLevel="0" collapsed="false">
      <c r="D176" s="0" t="s">
        <v>285</v>
      </c>
      <c r="E176" s="0" t="s">
        <v>103</v>
      </c>
      <c r="F176" s="7" t="n">
        <v>0.5</v>
      </c>
    </row>
    <row r="177" customFormat="false" ht="15" hidden="false" customHeight="false" outlineLevel="0" collapsed="false">
      <c r="D177" s="0" t="s">
        <v>286</v>
      </c>
      <c r="E177" s="0" t="s">
        <v>109</v>
      </c>
      <c r="F177" s="7" t="n">
        <v>0.92</v>
      </c>
    </row>
    <row r="178" customFormat="false" ht="15" hidden="false" customHeight="false" outlineLevel="0" collapsed="false">
      <c r="D178" s="0" t="s">
        <v>287</v>
      </c>
      <c r="E178" s="0" t="s">
        <v>97</v>
      </c>
      <c r="F178" s="7" t="n">
        <v>240</v>
      </c>
    </row>
    <row r="179" customFormat="false" ht="15" hidden="false" customHeight="false" outlineLevel="0" collapsed="false">
      <c r="D179" s="0" t="s">
        <v>288</v>
      </c>
      <c r="E179" s="0" t="s">
        <v>109</v>
      </c>
      <c r="F179" s="7" t="n">
        <v>0.05</v>
      </c>
    </row>
    <row r="180" customFormat="false" ht="15" hidden="false" customHeight="false" outlineLevel="0" collapsed="false">
      <c r="D180" s="0" t="s">
        <v>289</v>
      </c>
      <c r="E180" s="0" t="s">
        <v>97</v>
      </c>
      <c r="F180" s="7" t="n">
        <v>300</v>
      </c>
    </row>
    <row r="181" customFormat="false" ht="15" hidden="false" customHeight="false" outlineLevel="0" collapsed="false">
      <c r="D181" s="0" t="s">
        <v>290</v>
      </c>
      <c r="E181" s="0" t="s">
        <v>109</v>
      </c>
      <c r="F181" s="7" t="n">
        <v>0.03</v>
      </c>
    </row>
    <row r="182" customFormat="false" ht="15" hidden="false" customHeight="false" outlineLevel="0" collapsed="false">
      <c r="D182" s="0" t="s">
        <v>291</v>
      </c>
      <c r="E182" s="0" t="s">
        <v>97</v>
      </c>
      <c r="F182" s="7" t="n">
        <v>60</v>
      </c>
    </row>
    <row r="183" customFormat="false" ht="15" hidden="false" customHeight="false" outlineLevel="0" collapsed="false">
      <c r="D183" s="0" t="s">
        <v>292</v>
      </c>
      <c r="E183" s="0" t="s">
        <v>202</v>
      </c>
      <c r="F183" s="7" t="n">
        <v>3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30</v>
      </c>
    </row>
    <row r="185" customFormat="false" ht="15" hidden="false" customHeight="false" outlineLevel="0" collapsed="false">
      <c r="B185" s="2" t="s">
        <v>294</v>
      </c>
    </row>
    <row r="186" customFormat="false" ht="15" hidden="false" customHeight="false" outlineLevel="0" collapsed="false">
      <c r="D186" s="0" t="s">
        <v>295</v>
      </c>
      <c r="E186" s="0" t="s">
        <v>109</v>
      </c>
      <c r="F186" s="7" t="n">
        <v>0.8</v>
      </c>
    </row>
    <row r="187" customFormat="false" ht="15" hidden="false" customHeight="false" outlineLevel="0" collapsed="false">
      <c r="D187" s="0" t="s">
        <v>296</v>
      </c>
      <c r="E187" s="0" t="s">
        <v>103</v>
      </c>
      <c r="F187" s="7" t="n">
        <v>2</v>
      </c>
    </row>
    <row r="188" customFormat="false" ht="15" hidden="false" customHeight="false" outlineLevel="0" collapsed="false">
      <c r="D188" s="0" t="s">
        <v>297</v>
      </c>
      <c r="E188" s="0" t="s">
        <v>109</v>
      </c>
      <c r="F188" s="7" t="n">
        <v>0.6</v>
      </c>
    </row>
    <row r="189" customFormat="false" ht="15" hidden="false" customHeight="false" outlineLevel="0" collapsed="false">
      <c r="D189" s="0" t="s">
        <v>298</v>
      </c>
      <c r="E189" s="0" t="s">
        <v>149</v>
      </c>
      <c r="F189" s="7" t="n">
        <v>10.1393</v>
      </c>
    </row>
    <row r="190" customFormat="false" ht="15" hidden="false" customHeight="false" outlineLevel="0" collapsed="false">
      <c r="D190" s="0" t="s">
        <v>299</v>
      </c>
      <c r="E190" s="0" t="s">
        <v>149</v>
      </c>
      <c r="F190" s="7" t="n">
        <v>7.0804</v>
      </c>
    </row>
    <row r="191" customFormat="false" ht="15" hidden="false" customHeight="false" outlineLevel="0" collapsed="false">
      <c r="D191" s="0" t="s">
        <v>300</v>
      </c>
      <c r="E191" s="0" t="s">
        <v>149</v>
      </c>
      <c r="F191" s="7" t="n">
        <v>18.485</v>
      </c>
    </row>
    <row r="192" customFormat="false" ht="15" hidden="false" customHeight="false" outlineLevel="0" collapsed="false">
      <c r="D192" s="0" t="s">
        <v>301</v>
      </c>
      <c r="E192" s="0" t="s">
        <v>302</v>
      </c>
      <c r="F192" s="7" t="n">
        <v>0.25</v>
      </c>
    </row>
    <row r="193" customFormat="false" ht="15" hidden="false" customHeight="false" outlineLevel="0" collapsed="false">
      <c r="D193" s="0" t="s">
        <v>303</v>
      </c>
      <c r="E193" s="0" t="s">
        <v>103</v>
      </c>
      <c r="F193" s="7" t="n">
        <v>0.5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0.6</v>
      </c>
    </row>
    <row r="195" customFormat="false" ht="15" hidden="false" customHeight="false" outlineLevel="0" collapsed="false">
      <c r="D195" s="0" t="s">
        <v>305</v>
      </c>
      <c r="E195" s="0" t="s">
        <v>103</v>
      </c>
      <c r="F195" s="7" t="n">
        <v>7.875</v>
      </c>
    </row>
    <row r="196" customFormat="false" ht="15" hidden="false" customHeight="false" outlineLevel="0" collapsed="false">
      <c r="D196" s="0" t="s">
        <v>306</v>
      </c>
      <c r="E196" s="0" t="s">
        <v>109</v>
      </c>
      <c r="F196" s="7" t="n">
        <v>0.99512</v>
      </c>
    </row>
    <row r="197" customFormat="false" ht="15" hidden="false" customHeight="false" outlineLevel="0" collapsed="false">
      <c r="D197" s="0" t="s">
        <v>307</v>
      </c>
      <c r="E197" s="0" t="s">
        <v>109</v>
      </c>
      <c r="F197" s="7" t="n">
        <v>0.01</v>
      </c>
    </row>
    <row r="198" customFormat="false" ht="15" hidden="false" customHeight="false" outlineLevel="0" collapsed="false">
      <c r="D198" s="0" t="s">
        <v>308</v>
      </c>
      <c r="E198" s="0" t="s">
        <v>149</v>
      </c>
      <c r="F198" s="7" t="n">
        <v>3.1</v>
      </c>
    </row>
    <row r="199" customFormat="false" ht="15" hidden="false" customHeight="false" outlineLevel="0" collapsed="false">
      <c r="D199" s="0" t="s">
        <v>309</v>
      </c>
      <c r="E199" s="0" t="s">
        <v>149</v>
      </c>
      <c r="F199" s="7" t="n">
        <v>95</v>
      </c>
    </row>
    <row r="200" customFormat="false" ht="15" hidden="false" customHeight="false" outlineLevel="0" collapsed="false">
      <c r="D200" s="0" t="s">
        <v>310</v>
      </c>
      <c r="E200" s="0" t="s">
        <v>180</v>
      </c>
      <c r="F200" s="7" t="n">
        <v>1.1</v>
      </c>
    </row>
    <row r="201" customFormat="false" ht="15" hidden="false" customHeight="false" outlineLevel="0" collapsed="false">
      <c r="D201" s="0" t="s">
        <v>311</v>
      </c>
      <c r="E201" s="0" t="s">
        <v>103</v>
      </c>
      <c r="F201" s="7" t="n">
        <v>0.75</v>
      </c>
    </row>
    <row r="202" customFormat="false" ht="15" hidden="false" customHeight="false" outlineLevel="0" collapsed="false">
      <c r="D202" s="0" t="s">
        <v>312</v>
      </c>
      <c r="E202" s="0" t="s">
        <v>103</v>
      </c>
      <c r="F202" s="7" t="n">
        <v>3.68</v>
      </c>
    </row>
    <row r="203" customFormat="false" ht="15" hidden="false" customHeight="false" outlineLevel="0" collapsed="false">
      <c r="D203" s="0" t="s">
        <v>313</v>
      </c>
      <c r="E203" s="0" t="s">
        <v>109</v>
      </c>
      <c r="F203" s="7" t="n">
        <v>0.48</v>
      </c>
    </row>
    <row r="204" customFormat="false" ht="15" hidden="false" customHeight="false" outlineLevel="0" collapsed="false">
      <c r="D204" s="0" t="s">
        <v>314</v>
      </c>
      <c r="E204" s="0" t="s">
        <v>109</v>
      </c>
      <c r="F204" s="7" t="n">
        <v>0.52</v>
      </c>
    </row>
    <row r="205" customFormat="false" ht="15" hidden="false" customHeight="false" outlineLevel="0" collapsed="false">
      <c r="B205" s="2" t="s">
        <v>315</v>
      </c>
    </row>
    <row r="206" customFormat="false" ht="15" hidden="false" customHeight="false" outlineLevel="0" collapsed="false">
      <c r="D206" s="0" t="s">
        <v>316</v>
      </c>
      <c r="E206" s="0" t="s">
        <v>317</v>
      </c>
      <c r="J206" s="5" t="n">
        <v>2015</v>
      </c>
      <c r="K206" s="5" t="n">
        <v>2016</v>
      </c>
      <c r="L206" s="5" t="n">
        <v>2017</v>
      </c>
      <c r="M206" s="5" t="n">
        <v>2018</v>
      </c>
      <c r="N206" s="5" t="n">
        <v>2019</v>
      </c>
      <c r="O206" s="5" t="n">
        <v>2020</v>
      </c>
      <c r="P206" s="5" t="n">
        <v>2021</v>
      </c>
      <c r="Q206" s="5" t="n">
        <v>2022</v>
      </c>
      <c r="R206" s="5" t="n">
        <v>2023</v>
      </c>
      <c r="S206" s="5" t="n">
        <v>2024</v>
      </c>
      <c r="T206" s="5" t="n">
        <v>2025</v>
      </c>
      <c r="U206" s="5" t="n">
        <v>2026</v>
      </c>
      <c r="V206" s="5" t="n">
        <v>2027</v>
      </c>
      <c r="W206" s="5" t="n">
        <v>2028</v>
      </c>
      <c r="X206" s="5" t="n">
        <v>2029</v>
      </c>
      <c r="Y206" s="5" t="n">
        <v>2030</v>
      </c>
      <c r="Z206" s="5" t="n">
        <v>2031</v>
      </c>
      <c r="AA206" s="5" t="n">
        <v>2032</v>
      </c>
      <c r="AB206" s="5" t="n">
        <v>2033</v>
      </c>
      <c r="AC206" s="5" t="n">
        <v>2034</v>
      </c>
      <c r="AD206" s="5" t="n">
        <v>2035</v>
      </c>
      <c r="AE206" s="5" t="n">
        <v>2036</v>
      </c>
      <c r="AF206" s="5" t="n">
        <v>2037</v>
      </c>
      <c r="AG206" s="5" t="n">
        <v>2038</v>
      </c>
      <c r="AH206" s="5" t="n">
        <v>2039</v>
      </c>
      <c r="AI206" s="5" t="n">
        <v>2040</v>
      </c>
      <c r="AJ206" s="5" t="n">
        <v>2041</v>
      </c>
      <c r="AK206" s="5" t="n">
        <v>2042</v>
      </c>
      <c r="AL206" s="5" t="n">
        <v>2043</v>
      </c>
      <c r="AM206" s="5" t="n">
        <v>2044</v>
      </c>
      <c r="AN206" s="5" t="n">
        <v>2045</v>
      </c>
      <c r="AO206" s="5" t="n">
        <v>2046</v>
      </c>
      <c r="AP206" s="5" t="n">
        <v>2047</v>
      </c>
      <c r="AQ206" s="5" t="n">
        <v>2048</v>
      </c>
      <c r="AR206" s="5" t="n">
        <v>2049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0.1</v>
      </c>
      <c r="K207" s="5" t="n">
        <v>1.3</v>
      </c>
      <c r="L207" s="5" t="n">
        <v>2.1</v>
      </c>
      <c r="M207" s="5" t="n">
        <v>2.2</v>
      </c>
      <c r="N207" s="5" t="n">
        <v>2.2</v>
      </c>
      <c r="O207" s="5" t="n">
        <v>2.2</v>
      </c>
      <c r="P207" s="5" t="n">
        <v>2.2</v>
      </c>
      <c r="Q207" s="5" t="n">
        <v>2.2</v>
      </c>
      <c r="R207" s="5" t="n">
        <v>2.2</v>
      </c>
      <c r="S207" s="5" t="n">
        <v>2.2</v>
      </c>
      <c r="T207" s="5" t="n">
        <v>2.2</v>
      </c>
      <c r="U207" s="5" t="n">
        <v>2.2</v>
      </c>
      <c r="V207" s="5" t="n">
        <v>2.2</v>
      </c>
      <c r="W207" s="5" t="n">
        <v>2.2</v>
      </c>
      <c r="X207" s="5" t="n">
        <v>2.2</v>
      </c>
      <c r="Y207" s="5" t="n">
        <v>2.2</v>
      </c>
      <c r="Z207" s="5" t="n">
        <v>2.2</v>
      </c>
      <c r="AA207" s="5" t="n">
        <v>2.2</v>
      </c>
      <c r="AB207" s="5" t="n">
        <v>2.2</v>
      </c>
      <c r="AC207" s="5" t="n">
        <v>2.2</v>
      </c>
      <c r="AD207" s="5" t="n">
        <v>2.2</v>
      </c>
      <c r="AE207" s="5" t="n">
        <v>2.2</v>
      </c>
      <c r="AF207" s="5" t="n">
        <v>2.2</v>
      </c>
      <c r="AG207" s="5" t="n">
        <v>2.2</v>
      </c>
      <c r="AH207" s="5" t="n">
        <v>2.2</v>
      </c>
      <c r="AI207" s="5" t="n">
        <v>2.2</v>
      </c>
      <c r="AJ207" s="5" t="n">
        <v>2.2</v>
      </c>
      <c r="AK207" s="5" t="n">
        <v>2.2</v>
      </c>
      <c r="AL207" s="5" t="n">
        <v>2.2</v>
      </c>
      <c r="AM207" s="5" t="n">
        <v>2.2</v>
      </c>
      <c r="AN207" s="5" t="n">
        <v>2.2</v>
      </c>
      <c r="AO207" s="5" t="n">
        <v>2.2</v>
      </c>
      <c r="AP207" s="5" t="n">
        <v>2.2</v>
      </c>
      <c r="AQ207" s="5" t="n">
        <v>2.2</v>
      </c>
      <c r="AR207" s="5" t="n">
        <v>2.2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8.7</v>
      </c>
      <c r="K208" s="5" t="n">
        <v>9.4</v>
      </c>
      <c r="L208" s="5" t="n">
        <v>8.1</v>
      </c>
      <c r="M208" s="5" t="n">
        <v>7.5</v>
      </c>
      <c r="N208" s="5" t="n">
        <v>7.5</v>
      </c>
      <c r="O208" s="5" t="n">
        <v>7.5</v>
      </c>
      <c r="P208" s="5" t="n">
        <v>7.5</v>
      </c>
      <c r="Q208" s="5" t="n">
        <v>7.5</v>
      </c>
      <c r="R208" s="5" t="n">
        <v>7.5</v>
      </c>
      <c r="S208" s="5" t="n">
        <v>7.5</v>
      </c>
      <c r="T208" s="5" t="n">
        <v>7.5</v>
      </c>
      <c r="U208" s="5" t="n">
        <v>7.5</v>
      </c>
      <c r="V208" s="5" t="n">
        <v>7.5</v>
      </c>
      <c r="W208" s="5" t="n">
        <v>7.5</v>
      </c>
      <c r="X208" s="5" t="n">
        <v>7.5</v>
      </c>
      <c r="Y208" s="5" t="n">
        <v>7.5</v>
      </c>
      <c r="Z208" s="5" t="n">
        <v>7.5</v>
      </c>
      <c r="AA208" s="5" t="n">
        <v>7.5</v>
      </c>
      <c r="AB208" s="5" t="n">
        <v>7.5</v>
      </c>
      <c r="AC208" s="5" t="n">
        <v>7.5</v>
      </c>
      <c r="AD208" s="5" t="n">
        <v>7.5</v>
      </c>
      <c r="AE208" s="5" t="n">
        <v>7.5</v>
      </c>
      <c r="AF208" s="5" t="n">
        <v>7.5</v>
      </c>
      <c r="AG208" s="5" t="n">
        <v>7.5</v>
      </c>
      <c r="AH208" s="5" t="n">
        <v>7.5</v>
      </c>
      <c r="AI208" s="5" t="n">
        <v>7.5</v>
      </c>
      <c r="AJ208" s="5" t="n">
        <v>7.5</v>
      </c>
      <c r="AK208" s="5" t="n">
        <v>7.5</v>
      </c>
      <c r="AL208" s="5" t="n">
        <v>7.5</v>
      </c>
      <c r="AM208" s="5" t="n">
        <v>7.5</v>
      </c>
      <c r="AN208" s="5" t="n">
        <v>7.5</v>
      </c>
      <c r="AO208" s="5" t="n">
        <v>7.5</v>
      </c>
      <c r="AP208" s="5" t="n">
        <v>7.5</v>
      </c>
      <c r="AQ208" s="5" t="n">
        <v>7.5</v>
      </c>
      <c r="AR208" s="5" t="n">
        <v>7.5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0.1</v>
      </c>
      <c r="K209" s="5" t="n">
        <v>1.3</v>
      </c>
      <c r="L209" s="5" t="n">
        <v>2.1</v>
      </c>
      <c r="M209" s="5" t="n">
        <v>2.4</v>
      </c>
      <c r="N209" s="5" t="n">
        <v>1.8</v>
      </c>
      <c r="O209" s="5" t="n">
        <v>1.2</v>
      </c>
      <c r="P209" s="5" t="n">
        <v>4.7</v>
      </c>
      <c r="Q209" s="5" t="n">
        <v>8</v>
      </c>
      <c r="R209" s="5" t="n">
        <v>4.1</v>
      </c>
      <c r="S209" s="5" t="n">
        <v>2.9</v>
      </c>
      <c r="T209" s="5" t="n">
        <v>2.7</v>
      </c>
      <c r="U209" s="5" t="n">
        <v>2.6</v>
      </c>
      <c r="V209" s="5" t="n">
        <v>2.3</v>
      </c>
      <c r="W209" s="5" t="n">
        <v>2.3</v>
      </c>
      <c r="X209" s="5" t="n">
        <v>2.3</v>
      </c>
      <c r="Y209" s="5" t="n">
        <v>2.3</v>
      </c>
      <c r="Z209" s="5" t="n">
        <v>2.3</v>
      </c>
      <c r="AA209" s="5" t="n">
        <v>2.3</v>
      </c>
      <c r="AB209" s="5" t="n">
        <v>2.3</v>
      </c>
      <c r="AC209" s="5" t="n">
        <v>2.3</v>
      </c>
      <c r="AD209" s="5" t="n">
        <v>2.3</v>
      </c>
      <c r="AE209" s="5" t="n">
        <v>2.3</v>
      </c>
      <c r="AF209" s="5" t="n">
        <v>2.3</v>
      </c>
      <c r="AG209" s="5" t="n">
        <v>2.3</v>
      </c>
      <c r="AH209" s="5" t="n">
        <v>2.3</v>
      </c>
      <c r="AI209" s="5" t="n">
        <v>2.3</v>
      </c>
      <c r="AJ209" s="5" t="n">
        <v>2.3</v>
      </c>
      <c r="AK209" s="5" t="n">
        <v>2.3</v>
      </c>
      <c r="AL209" s="5" t="n">
        <v>2.3</v>
      </c>
      <c r="AM209" s="5" t="n">
        <v>2.3</v>
      </c>
      <c r="AN209" s="5" t="n">
        <v>2.3</v>
      </c>
      <c r="AO209" s="5" t="n">
        <v>2.3</v>
      </c>
      <c r="AP209" s="5" t="n">
        <v>2.3</v>
      </c>
      <c r="AQ209" s="5" t="n">
        <v>2.3</v>
      </c>
      <c r="AR209" s="5" t="n">
        <v>2.3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8.7</v>
      </c>
      <c r="K210" s="5" t="n">
        <v>9.4</v>
      </c>
      <c r="L210" s="5" t="n">
        <v>8.1</v>
      </c>
      <c r="M210" s="5" t="n">
        <v>7.6</v>
      </c>
      <c r="N210" s="5" t="n">
        <v>7.9</v>
      </c>
      <c r="O210" s="5" t="n">
        <v>9.8</v>
      </c>
      <c r="P210" s="5" t="n">
        <v>10.6</v>
      </c>
      <c r="Q210" s="5" t="n">
        <v>26.3</v>
      </c>
      <c r="R210" s="5" t="n">
        <v>34.8</v>
      </c>
      <c r="S210" s="5" t="n">
        <v>19.2</v>
      </c>
      <c r="T210" s="5" t="n">
        <v>12.4</v>
      </c>
      <c r="U210" s="5" t="n">
        <v>9.6</v>
      </c>
      <c r="V210" s="5" t="n">
        <v>8</v>
      </c>
      <c r="W210" s="5" t="n">
        <v>7</v>
      </c>
      <c r="X210" s="5" t="n">
        <v>7</v>
      </c>
      <c r="Y210" s="5" t="n">
        <v>7</v>
      </c>
      <c r="Z210" s="5" t="n">
        <v>7</v>
      </c>
      <c r="AA210" s="5" t="n">
        <v>7</v>
      </c>
      <c r="AB210" s="5" t="n">
        <v>7</v>
      </c>
      <c r="AC210" s="5" t="n">
        <v>7</v>
      </c>
      <c r="AD210" s="5" t="n">
        <v>7</v>
      </c>
      <c r="AE210" s="5" t="n">
        <v>7</v>
      </c>
      <c r="AF210" s="5" t="n">
        <v>7</v>
      </c>
      <c r="AG210" s="5" t="n">
        <v>7</v>
      </c>
      <c r="AH210" s="5" t="n">
        <v>7</v>
      </c>
      <c r="AI210" s="5" t="n">
        <v>7</v>
      </c>
      <c r="AJ210" s="5" t="n">
        <v>7</v>
      </c>
      <c r="AK210" s="5" t="n">
        <v>7</v>
      </c>
      <c r="AL210" s="5" t="n">
        <v>7</v>
      </c>
      <c r="AM210" s="5" t="n">
        <v>7</v>
      </c>
      <c r="AN210" s="5" t="n">
        <v>7</v>
      </c>
      <c r="AO210" s="5" t="n">
        <v>7</v>
      </c>
      <c r="AP210" s="5" t="n">
        <v>7</v>
      </c>
      <c r="AQ210" s="5" t="n">
        <v>7</v>
      </c>
      <c r="AR210" s="5" t="n">
        <v>7</v>
      </c>
    </row>
    <row r="211" customFormat="false" ht="15" hidden="false" customHeight="false" outlineLevel="0" collapsed="false">
      <c r="D211" s="0" t="s">
        <v>322</v>
      </c>
      <c r="E211" s="0" t="s">
        <v>103</v>
      </c>
      <c r="J211" s="5" t="n">
        <v>0.1</v>
      </c>
      <c r="K211" s="5" t="n">
        <v>1.3</v>
      </c>
      <c r="L211" s="5" t="n">
        <v>2.1</v>
      </c>
      <c r="M211" s="5" t="n">
        <v>2.4</v>
      </c>
      <c r="N211" s="5" t="n">
        <v>1.8</v>
      </c>
      <c r="O211" s="5" t="n">
        <v>1.2</v>
      </c>
      <c r="P211" s="5" t="n">
        <v>4.7</v>
      </c>
      <c r="Q211" s="5" t="n">
        <v>2.2</v>
      </c>
      <c r="R211" s="5" t="n">
        <v>2.2</v>
      </c>
      <c r="S211" s="5" t="n">
        <v>2.2</v>
      </c>
      <c r="T211" s="5" t="n">
        <v>2.2</v>
      </c>
      <c r="U211" s="5" t="n">
        <v>2.2</v>
      </c>
      <c r="V211" s="5" t="n">
        <v>2.2</v>
      </c>
      <c r="W211" s="5" t="n">
        <v>2.2</v>
      </c>
      <c r="X211" s="5" t="n">
        <v>2.2</v>
      </c>
      <c r="Y211" s="5" t="n">
        <v>2.2</v>
      </c>
      <c r="Z211" s="5" t="n">
        <v>2.2</v>
      </c>
      <c r="AA211" s="5" t="n">
        <v>2.2</v>
      </c>
      <c r="AB211" s="5" t="n">
        <v>2.2</v>
      </c>
      <c r="AC211" s="5" t="n">
        <v>2.2</v>
      </c>
      <c r="AD211" s="5" t="n">
        <v>2.2</v>
      </c>
      <c r="AE211" s="5" t="n">
        <v>2.2</v>
      </c>
      <c r="AF211" s="5" t="n">
        <v>2.2</v>
      </c>
      <c r="AG211" s="5" t="n">
        <v>2.2</v>
      </c>
      <c r="AH211" s="5" t="n">
        <v>2.2</v>
      </c>
      <c r="AI211" s="5" t="n">
        <v>2.2</v>
      </c>
      <c r="AJ211" s="5" t="n">
        <v>2.2</v>
      </c>
      <c r="AK211" s="5" t="n">
        <v>2.2</v>
      </c>
      <c r="AL211" s="5" t="n">
        <v>2.2</v>
      </c>
      <c r="AM211" s="5" t="n">
        <v>2.2</v>
      </c>
      <c r="AN211" s="5" t="n">
        <v>2.2</v>
      </c>
      <c r="AO211" s="5" t="n">
        <v>2.2</v>
      </c>
      <c r="AP211" s="5" t="n">
        <v>2.2</v>
      </c>
      <c r="AQ211" s="5" t="n">
        <v>2.2</v>
      </c>
      <c r="AR211" s="5" t="n">
        <v>2.2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8.7</v>
      </c>
      <c r="K212" s="5" t="n">
        <v>9.4</v>
      </c>
      <c r="L212" s="5" t="n">
        <v>8.1</v>
      </c>
      <c r="M212" s="5" t="n">
        <v>7.6</v>
      </c>
      <c r="N212" s="5" t="n">
        <v>7.9</v>
      </c>
      <c r="O212" s="5" t="n">
        <v>9.8</v>
      </c>
      <c r="P212" s="5" t="n">
        <v>10.6</v>
      </c>
      <c r="Q212" s="5" t="n">
        <v>7.5</v>
      </c>
      <c r="R212" s="5" t="n">
        <v>7.5</v>
      </c>
      <c r="S212" s="5" t="n">
        <v>7.5</v>
      </c>
      <c r="T212" s="5" t="n">
        <v>7.5</v>
      </c>
      <c r="U212" s="5" t="n">
        <v>7.5</v>
      </c>
      <c r="V212" s="5" t="n">
        <v>7.5</v>
      </c>
      <c r="W212" s="5" t="n">
        <v>7.5</v>
      </c>
      <c r="X212" s="5" t="n">
        <v>7.5</v>
      </c>
      <c r="Y212" s="5" t="n">
        <v>7.5</v>
      </c>
      <c r="Z212" s="5" t="n">
        <v>7.5</v>
      </c>
      <c r="AA212" s="5" t="n">
        <v>7.5</v>
      </c>
      <c r="AB212" s="5" t="n">
        <v>7.5</v>
      </c>
      <c r="AC212" s="5" t="n">
        <v>7.5</v>
      </c>
      <c r="AD212" s="5" t="n">
        <v>7.5</v>
      </c>
      <c r="AE212" s="5" t="n">
        <v>7.5</v>
      </c>
      <c r="AF212" s="5" t="n">
        <v>7.5</v>
      </c>
      <c r="AG212" s="5" t="n">
        <v>7.5</v>
      </c>
      <c r="AH212" s="5" t="n">
        <v>7.5</v>
      </c>
      <c r="AI212" s="5" t="n">
        <v>7.5</v>
      </c>
      <c r="AJ212" s="5" t="n">
        <v>7.5</v>
      </c>
      <c r="AK212" s="5" t="n">
        <v>7.5</v>
      </c>
      <c r="AL212" s="5" t="n">
        <v>7.5</v>
      </c>
      <c r="AM212" s="5" t="n">
        <v>7.5</v>
      </c>
      <c r="AN212" s="5" t="n">
        <v>7.5</v>
      </c>
      <c r="AO212" s="5" t="n">
        <v>7.5</v>
      </c>
      <c r="AP212" s="5" t="n">
        <v>7.5</v>
      </c>
      <c r="AQ212" s="5" t="n">
        <v>7.5</v>
      </c>
      <c r="AR212" s="5" t="n">
        <v>7.5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15.5</v>
      </c>
      <c r="K213" s="5" t="n">
        <v>15.5</v>
      </c>
      <c r="L213" s="5" t="n">
        <v>15.5</v>
      </c>
      <c r="M213" s="5" t="n">
        <v>13.5</v>
      </c>
      <c r="N213" s="5" t="n">
        <v>13.5</v>
      </c>
      <c r="O213" s="5" t="n">
        <v>13.5</v>
      </c>
      <c r="P213" s="5" t="n">
        <v>13.5</v>
      </c>
      <c r="Q213" s="5" t="n">
        <v>19</v>
      </c>
      <c r="R213" s="5" t="n">
        <v>27</v>
      </c>
      <c r="S213" s="5" t="n">
        <v>24.5</v>
      </c>
      <c r="T213" s="5" t="n">
        <v>18</v>
      </c>
      <c r="U213" s="5" t="n">
        <v>15.5</v>
      </c>
      <c r="V213" s="5" t="n">
        <v>15.5</v>
      </c>
      <c r="W213" s="5" t="n">
        <v>15.5</v>
      </c>
      <c r="X213" s="5" t="n">
        <v>15.5</v>
      </c>
      <c r="Y213" s="5" t="n">
        <v>15.5</v>
      </c>
      <c r="Z213" s="5" t="n">
        <v>15.5</v>
      </c>
      <c r="AA213" s="5" t="n">
        <v>15.5</v>
      </c>
      <c r="AB213" s="5" t="n">
        <v>15.5</v>
      </c>
      <c r="AC213" s="5" t="n">
        <v>15.5</v>
      </c>
      <c r="AD213" s="5" t="n">
        <v>15.5</v>
      </c>
      <c r="AE213" s="5" t="n">
        <v>15.5</v>
      </c>
      <c r="AF213" s="5" t="n">
        <v>15.5</v>
      </c>
      <c r="AG213" s="5" t="n">
        <v>15.5</v>
      </c>
      <c r="AH213" s="5" t="n">
        <v>15.5</v>
      </c>
      <c r="AI213" s="5" t="n">
        <v>15.5</v>
      </c>
      <c r="AJ213" s="5" t="n">
        <v>15.5</v>
      </c>
      <c r="AK213" s="5" t="n">
        <v>15.5</v>
      </c>
      <c r="AL213" s="5" t="n">
        <v>15.5</v>
      </c>
      <c r="AM213" s="5" t="n">
        <v>15.5</v>
      </c>
      <c r="AN213" s="5" t="n">
        <v>15.5</v>
      </c>
      <c r="AO213" s="5" t="n">
        <v>15.5</v>
      </c>
      <c r="AP213" s="5" t="n">
        <v>15.5</v>
      </c>
      <c r="AQ213" s="5" t="n">
        <v>15.5</v>
      </c>
      <c r="AR213" s="5" t="n">
        <v>15.5</v>
      </c>
    </row>
    <row r="214" customFormat="false" ht="15" hidden="false" customHeight="false" outlineLevel="0" collapsed="false">
      <c r="B214" s="2" t="s">
        <v>325</v>
      </c>
    </row>
    <row r="215" customFormat="false" ht="15" hidden="false" customHeight="false" outlineLevel="0" collapsed="false">
      <c r="D215" s="0" t="s">
        <v>326</v>
      </c>
      <c r="E215" s="0" t="s">
        <v>103</v>
      </c>
      <c r="J215" s="5" t="n">
        <v>2.52</v>
      </c>
      <c r="K215" s="5" t="n">
        <v>2.79</v>
      </c>
      <c r="L215" s="5" t="n">
        <v>2.94</v>
      </c>
      <c r="M215" s="5" t="n">
        <v>3.02</v>
      </c>
      <c r="N215" s="5" t="n">
        <v>3.06</v>
      </c>
      <c r="O215" s="5" t="n">
        <v>3.09</v>
      </c>
      <c r="P215" s="5" t="n">
        <v>3.09</v>
      </c>
      <c r="Q215" s="5" t="n">
        <v>3.11</v>
      </c>
      <c r="R215" s="5" t="n">
        <v>3.11</v>
      </c>
      <c r="S215" s="5" t="n">
        <v>3.12</v>
      </c>
      <c r="T215" s="5" t="n">
        <v>3.12</v>
      </c>
      <c r="U215" s="5" t="n">
        <v>3.12</v>
      </c>
      <c r="V215" s="5" t="n">
        <v>3.12</v>
      </c>
      <c r="W215" s="5" t="n">
        <v>3.12</v>
      </c>
      <c r="X215" s="5" t="n">
        <v>3.12</v>
      </c>
      <c r="Y215" s="5" t="n">
        <v>3.12</v>
      </c>
      <c r="Z215" s="5" t="n">
        <v>3.12</v>
      </c>
      <c r="AA215" s="5" t="n">
        <v>3.12</v>
      </c>
      <c r="AB215" s="5" t="n">
        <v>3.12</v>
      </c>
      <c r="AC215" s="5" t="n">
        <v>3.12</v>
      </c>
      <c r="AD215" s="5" t="n">
        <v>3.12</v>
      </c>
      <c r="AE215" s="5" t="n">
        <v>3.12</v>
      </c>
      <c r="AF215" s="5" t="n">
        <v>3.12</v>
      </c>
      <c r="AG215" s="5" t="n">
        <v>3.12</v>
      </c>
      <c r="AH215" s="5" t="n">
        <v>3.12</v>
      </c>
      <c r="AI215" s="5" t="n">
        <v>3.12</v>
      </c>
      <c r="AJ215" s="5" t="n">
        <v>3.12</v>
      </c>
      <c r="AK215" s="5" t="n">
        <v>3.12</v>
      </c>
      <c r="AL215" s="5" t="n">
        <v>3.12</v>
      </c>
      <c r="AM215" s="5" t="n">
        <v>3.12</v>
      </c>
      <c r="AN215" s="5" t="n">
        <v>3.12</v>
      </c>
      <c r="AO215" s="5" t="n">
        <v>3.12</v>
      </c>
      <c r="AP215" s="5" t="n">
        <v>3.12</v>
      </c>
      <c r="AQ215" s="5" t="n">
        <v>3.12</v>
      </c>
      <c r="AR215" s="5" t="n">
        <v>3.12</v>
      </c>
      <c r="AS215" s="5" t="n">
        <v>3.12</v>
      </c>
      <c r="AT215" s="5" t="n">
        <v>3.12</v>
      </c>
      <c r="AU215" s="5" t="n">
        <v>3.12</v>
      </c>
      <c r="AV215" s="5" t="n">
        <v>3.12</v>
      </c>
      <c r="AW215" s="5" t="n">
        <v>3.12</v>
      </c>
      <c r="AX215" s="5" t="n">
        <v>3.12</v>
      </c>
      <c r="AY215" s="5" t="n">
        <v>3.12</v>
      </c>
      <c r="AZ215" s="5" t="n">
        <v>3.12</v>
      </c>
      <c r="BA215" s="5" t="n">
        <v>3.12</v>
      </c>
      <c r="BB215" s="5" t="n">
        <v>3.12</v>
      </c>
      <c r="BC215" s="5" t="n">
        <v>3.12</v>
      </c>
      <c r="BD215" s="5" t="n">
        <v>3.12</v>
      </c>
      <c r="BE215" s="5" t="n">
        <v>3.12</v>
      </c>
      <c r="BF215" s="5" t="n">
        <v>3.12</v>
      </c>
      <c r="BG215" s="5" t="n">
        <v>3.12</v>
      </c>
      <c r="BH215" s="5" t="n">
        <v>3.12</v>
      </c>
      <c r="BI215" s="5" t="n">
        <v>3.12</v>
      </c>
      <c r="BJ215" s="5" t="n">
        <v>3.12</v>
      </c>
      <c r="BK215" s="5" t="n">
        <v>3.12</v>
      </c>
      <c r="BL215" s="5" t="n">
        <v>3.12</v>
      </c>
      <c r="BM215" s="5" t="n">
        <v>3.12</v>
      </c>
      <c r="BN215" s="5" t="n">
        <v>3.12</v>
      </c>
    </row>
    <row r="216" customFormat="false" ht="15" hidden="false" customHeight="false" outlineLevel="0" collapsed="false">
      <c r="D216" s="0" t="s">
        <v>327</v>
      </c>
      <c r="E216" s="0" t="s">
        <v>103</v>
      </c>
      <c r="J216" s="5" t="n">
        <v>2.52</v>
      </c>
      <c r="K216" s="5" t="n">
        <v>2.87</v>
      </c>
      <c r="L216" s="5" t="n">
        <v>2.2</v>
      </c>
      <c r="M216" s="5" t="n">
        <v>1.91</v>
      </c>
      <c r="N216" s="5" t="n">
        <v>0.37</v>
      </c>
      <c r="O216" s="5" t="n">
        <v>0.25</v>
      </c>
      <c r="P216" s="5" t="n">
        <v>0.16</v>
      </c>
      <c r="Q216" s="5" t="n">
        <v>0.34</v>
      </c>
      <c r="R216" s="5" t="n">
        <v>2.94</v>
      </c>
      <c r="S216" s="5" t="n">
        <v>5.28826</v>
      </c>
      <c r="T216" s="5" t="n">
        <v>5.89826</v>
      </c>
      <c r="U216" s="5" t="n">
        <v>5.58826</v>
      </c>
      <c r="V216" s="5" t="n">
        <v>5.64826</v>
      </c>
      <c r="W216" s="5" t="n">
        <v>4.67826</v>
      </c>
      <c r="X216" s="5" t="n">
        <v>4.59826</v>
      </c>
      <c r="Y216" s="5" t="n">
        <v>4.04826</v>
      </c>
      <c r="Z216" s="5" t="n">
        <v>4.00826</v>
      </c>
      <c r="AA216" s="5" t="n">
        <v>3.87826</v>
      </c>
      <c r="AB216" s="5" t="n">
        <v>3.87826</v>
      </c>
      <c r="AC216" s="5" t="n">
        <v>3.92826</v>
      </c>
      <c r="AD216" s="5" t="n">
        <v>3.92826</v>
      </c>
      <c r="AE216" s="5" t="n">
        <v>3.92826</v>
      </c>
      <c r="AF216" s="5" t="n">
        <v>3.92826</v>
      </c>
      <c r="AG216" s="5" t="n">
        <v>3.92826</v>
      </c>
      <c r="AH216" s="5" t="n">
        <v>3.92826</v>
      </c>
      <c r="AI216" s="5" t="n">
        <v>3.92826</v>
      </c>
      <c r="AJ216" s="5" t="n">
        <v>3.92826</v>
      </c>
      <c r="AK216" s="5" t="n">
        <v>3.92826</v>
      </c>
      <c r="AL216" s="5" t="n">
        <v>3.92826</v>
      </c>
      <c r="AM216" s="5" t="n">
        <v>3.92826</v>
      </c>
      <c r="AN216" s="5" t="n">
        <v>3.92826</v>
      </c>
      <c r="AO216" s="5" t="n">
        <v>3.92826</v>
      </c>
      <c r="AP216" s="5" t="n">
        <v>3.92826</v>
      </c>
      <c r="AQ216" s="5" t="n">
        <v>3.92826</v>
      </c>
      <c r="AR216" s="5" t="n">
        <v>3.92826</v>
      </c>
      <c r="AS216" s="5" t="n">
        <v>3.92826</v>
      </c>
      <c r="AT216" s="5" t="n">
        <v>3.92826</v>
      </c>
      <c r="AU216" s="5" t="n">
        <v>3.92826</v>
      </c>
      <c r="AV216" s="5" t="n">
        <v>3.92826</v>
      </c>
      <c r="AW216" s="5" t="n">
        <v>3.92826</v>
      </c>
      <c r="AX216" s="5" t="n">
        <v>3.92826</v>
      </c>
      <c r="AY216" s="5" t="n">
        <v>3.92826</v>
      </c>
      <c r="AZ216" s="5" t="n">
        <v>3.92826</v>
      </c>
      <c r="BA216" s="5" t="n">
        <v>3.92826</v>
      </c>
      <c r="BB216" s="5" t="n">
        <v>3.92826</v>
      </c>
      <c r="BC216" s="5" t="n">
        <v>3.92826</v>
      </c>
      <c r="BD216" s="5" t="n">
        <v>3.92826</v>
      </c>
      <c r="BE216" s="5" t="n">
        <v>3.92826</v>
      </c>
      <c r="BF216" s="5" t="n">
        <v>3.92826</v>
      </c>
      <c r="BG216" s="5" t="n">
        <v>3.92826</v>
      </c>
      <c r="BH216" s="5" t="n">
        <v>3.92826</v>
      </c>
      <c r="BI216" s="5" t="n">
        <v>3.92826</v>
      </c>
      <c r="BJ216" s="5" t="n">
        <v>3.92826</v>
      </c>
      <c r="BK216" s="5" t="n">
        <v>3.92826</v>
      </c>
      <c r="BL216" s="5" t="n">
        <v>3.92826</v>
      </c>
      <c r="BM216" s="5" t="n">
        <v>3.92826</v>
      </c>
      <c r="BN216" s="5" t="n">
        <v>3.92826</v>
      </c>
    </row>
    <row r="217" customFormat="false" ht="15" hidden="false" customHeight="false" outlineLevel="0" collapsed="false">
      <c r="D217" s="0" t="s">
        <v>328</v>
      </c>
      <c r="E217" s="0" t="s">
        <v>103</v>
      </c>
      <c r="J217" s="5" t="n">
        <v>2.52</v>
      </c>
      <c r="K217" s="5" t="n">
        <v>2.87</v>
      </c>
      <c r="L217" s="5" t="n">
        <v>2.2</v>
      </c>
      <c r="M217" s="5" t="n">
        <v>1.91</v>
      </c>
      <c r="N217" s="5" t="n">
        <v>0.37</v>
      </c>
      <c r="O217" s="5" t="n">
        <v>0.25</v>
      </c>
      <c r="P217" s="5" t="n">
        <v>0.16</v>
      </c>
      <c r="Q217" s="5" t="n">
        <v>3.11</v>
      </c>
      <c r="R217" s="5" t="n">
        <v>3.11</v>
      </c>
      <c r="S217" s="5" t="n">
        <v>3.12</v>
      </c>
      <c r="T217" s="5" t="n">
        <v>3.12</v>
      </c>
      <c r="U217" s="5" t="n">
        <v>3.12</v>
      </c>
      <c r="V217" s="5" t="n">
        <v>3.12</v>
      </c>
      <c r="W217" s="5" t="n">
        <v>3.12</v>
      </c>
      <c r="X217" s="5" t="n">
        <v>3.12</v>
      </c>
      <c r="Y217" s="5" t="n">
        <v>3.12</v>
      </c>
      <c r="Z217" s="5" t="n">
        <v>3.12</v>
      </c>
      <c r="AA217" s="5" t="n">
        <v>3.12</v>
      </c>
      <c r="AB217" s="5" t="n">
        <v>3.12</v>
      </c>
      <c r="AC217" s="5" t="n">
        <v>3.12</v>
      </c>
      <c r="AD217" s="5" t="n">
        <v>3.12</v>
      </c>
      <c r="AE217" s="5" t="n">
        <v>3.12</v>
      </c>
      <c r="AF217" s="5" t="n">
        <v>3.12</v>
      </c>
      <c r="AG217" s="5" t="n">
        <v>3.12</v>
      </c>
      <c r="AH217" s="5" t="n">
        <v>3.12</v>
      </c>
      <c r="AI217" s="5" t="n">
        <v>3.12</v>
      </c>
      <c r="AJ217" s="5" t="n">
        <v>3.12</v>
      </c>
      <c r="AK217" s="5" t="n">
        <v>3.12</v>
      </c>
      <c r="AL217" s="5" t="n">
        <v>3.12</v>
      </c>
      <c r="AM217" s="5" t="n">
        <v>3.12</v>
      </c>
      <c r="AN217" s="5" t="n">
        <v>3.12</v>
      </c>
      <c r="AO217" s="5" t="n">
        <v>3.12</v>
      </c>
      <c r="AP217" s="5" t="n">
        <v>3.12</v>
      </c>
      <c r="AQ217" s="5" t="n">
        <v>3.12</v>
      </c>
      <c r="AR217" s="5" t="n">
        <v>3.12</v>
      </c>
      <c r="AS217" s="5" t="n">
        <v>3.12</v>
      </c>
      <c r="AT217" s="5" t="n">
        <v>3.12</v>
      </c>
      <c r="AU217" s="5" t="n">
        <v>3.12</v>
      </c>
      <c r="AV217" s="5" t="n">
        <v>3.12</v>
      </c>
      <c r="AW217" s="5" t="n">
        <v>3.12</v>
      </c>
      <c r="AX217" s="5" t="n">
        <v>3.12</v>
      </c>
      <c r="AY217" s="5" t="n">
        <v>3.12</v>
      </c>
      <c r="AZ217" s="5" t="n">
        <v>3.12</v>
      </c>
      <c r="BA217" s="5" t="n">
        <v>3.12</v>
      </c>
      <c r="BB217" s="5" t="n">
        <v>3.12</v>
      </c>
      <c r="BC217" s="5" t="n">
        <v>3.12</v>
      </c>
      <c r="BD217" s="5" t="n">
        <v>3.12</v>
      </c>
      <c r="BE217" s="5" t="n">
        <v>3.12</v>
      </c>
      <c r="BF217" s="5" t="n">
        <v>3.12</v>
      </c>
      <c r="BG217" s="5" t="n">
        <v>3.12</v>
      </c>
      <c r="BH217" s="5" t="n">
        <v>3.12</v>
      </c>
      <c r="BI217" s="5" t="n">
        <v>3.12</v>
      </c>
      <c r="BJ217" s="5" t="n">
        <v>3.12</v>
      </c>
      <c r="BK217" s="5" t="n">
        <v>3.12</v>
      </c>
      <c r="BL217" s="5" t="n">
        <v>3.12</v>
      </c>
      <c r="BM217" s="5" t="n">
        <v>3.12</v>
      </c>
      <c r="BN217" s="5" t="n">
        <v>3.12</v>
      </c>
    </row>
    <row r="218" customFormat="false" ht="15" hidden="false" customHeight="false" outlineLevel="0" collapsed="false">
      <c r="D218" s="0" t="s">
        <v>329</v>
      </c>
      <c r="E218" s="0" t="s">
        <v>153</v>
      </c>
      <c r="J218" s="5" t="n">
        <v>524.6</v>
      </c>
      <c r="K218" s="5" t="n">
        <v>539.1</v>
      </c>
      <c r="L218" s="5" t="n">
        <v>551.3</v>
      </c>
      <c r="M218" s="5" t="n">
        <v>566</v>
      </c>
      <c r="N218" s="5" t="n">
        <v>579.8</v>
      </c>
      <c r="O218" s="5" t="n">
        <v>597.4</v>
      </c>
      <c r="P218" s="5" t="n">
        <v>609.6</v>
      </c>
      <c r="Q218" s="5" t="n">
        <v>654.9</v>
      </c>
      <c r="R218" s="5" t="n">
        <v>830.3</v>
      </c>
      <c r="S218" s="5" t="n">
        <v>1052.8</v>
      </c>
      <c r="T218" s="5" t="n">
        <v>1043.8</v>
      </c>
      <c r="U218" s="5" t="n">
        <v>1093.1</v>
      </c>
      <c r="V218" s="5" t="n">
        <v>1050.7</v>
      </c>
      <c r="W218" s="5" t="n">
        <v>1035.6</v>
      </c>
      <c r="X218" s="5" t="n">
        <v>1023.8</v>
      </c>
      <c r="Y218" s="5" t="n">
        <v>1028.9</v>
      </c>
      <c r="Z218" s="5" t="n">
        <v>1043.9</v>
      </c>
    </row>
    <row r="219" customFormat="false" ht="15" hidden="false" customHeight="false" outlineLevel="0" collapsed="false">
      <c r="D219" s="0" t="s">
        <v>330</v>
      </c>
      <c r="E219" s="0" t="s">
        <v>149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18.4</v>
      </c>
      <c r="R219" s="5" t="n">
        <v>68.9</v>
      </c>
      <c r="S219" s="5" t="n">
        <v>112.6</v>
      </c>
      <c r="T219" s="5" t="n">
        <v>71.8</v>
      </c>
      <c r="U219" s="5" t="n">
        <v>34.6</v>
      </c>
      <c r="V219" s="5" t="n">
        <v>12.3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149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1.27</v>
      </c>
      <c r="S220" s="5" t="n">
        <v>3.84</v>
      </c>
      <c r="T220" s="5" t="n">
        <v>1.12</v>
      </c>
      <c r="U220" s="5" t="n">
        <v>0.31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0</v>
      </c>
      <c r="AJ220" s="5" t="n">
        <v>0</v>
      </c>
      <c r="AK220" s="5" t="n">
        <v>0</v>
      </c>
      <c r="AL220" s="5" t="n">
        <v>0</v>
      </c>
      <c r="AM220" s="5" t="n">
        <v>0</v>
      </c>
      <c r="AN220" s="5" t="n">
        <v>0</v>
      </c>
      <c r="AO220" s="5" t="n">
        <v>0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0.2</v>
      </c>
      <c r="V221" s="5" t="n">
        <v>0.4</v>
      </c>
      <c r="W221" s="5" t="n">
        <v>0.4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109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0.024460432114308</v>
      </c>
      <c r="Q222" s="5" t="n">
        <v>0.0254956399199363</v>
      </c>
      <c r="R222" s="5" t="n">
        <v>0.0267515222906662</v>
      </c>
      <c r="S222" s="5" t="n">
        <v>0.0275398463746851</v>
      </c>
      <c r="T222" s="5" t="n">
        <v>0.0288066694390464</v>
      </c>
      <c r="U222" s="5" t="n">
        <v>0.0297253648392077</v>
      </c>
      <c r="V222" s="5" t="n">
        <v>0.0316673019225092</v>
      </c>
      <c r="W222" s="5" t="n">
        <v>0.0326353519070817</v>
      </c>
      <c r="X222" s="5" t="n">
        <v>0.0317294685115491</v>
      </c>
      <c r="Y222" s="5" t="n">
        <v>0.0317443987963029</v>
      </c>
      <c r="Z222" s="5" t="n">
        <v>0.0330595043187038</v>
      </c>
      <c r="AA222" s="5" t="n">
        <v>0.0340242635392698</v>
      </c>
      <c r="AB222" s="5" t="n">
        <v>0.035649748512346</v>
      </c>
      <c r="AC222" s="5" t="n">
        <v>0.036830769646369</v>
      </c>
      <c r="AD222" s="5" t="n">
        <v>0.0402165127561107</v>
      </c>
      <c r="AE222" s="5" t="n">
        <v>0.0419450401653678</v>
      </c>
      <c r="AF222" s="5" t="n">
        <v>0.0434165471296656</v>
      </c>
      <c r="AG222" s="5" t="n">
        <v>0.0442268395359645</v>
      </c>
      <c r="AH222" s="5" t="n">
        <v>0.0464470950071792</v>
      </c>
      <c r="AI222" s="5" t="n">
        <v>0.0478108988283702</v>
      </c>
      <c r="AJ222" s="5" t="n">
        <v>0.0501190973065472</v>
      </c>
      <c r="AK222" s="5" t="n">
        <v>0.0517413637371501</v>
      </c>
      <c r="AL222" s="5" t="n">
        <v>0.0548633733406637</v>
      </c>
      <c r="AM222" s="5" t="n">
        <v>0.0560037067338176</v>
      </c>
      <c r="AN222" s="5" t="n">
        <v>0.0462023932183935</v>
      </c>
      <c r="AO222" s="5" t="n">
        <v>0.0468868501087888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109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0.0254815794663755</v>
      </c>
      <c r="R223" s="5" t="n">
        <v>0.0272404616966825</v>
      </c>
      <c r="S223" s="5" t="n">
        <v>0.0281997800818635</v>
      </c>
      <c r="T223" s="5" t="n">
        <v>0.0295228109676876</v>
      </c>
      <c r="U223" s="5" t="n">
        <v>0.0303446121914986</v>
      </c>
      <c r="V223" s="5" t="n">
        <v>0.0317336885618467</v>
      </c>
      <c r="W223" s="5" t="n">
        <v>0.033467483780784</v>
      </c>
      <c r="X223" s="5" t="n">
        <v>0.0350039124595733</v>
      </c>
      <c r="Y223" s="5" t="n">
        <v>0.0325817454453932</v>
      </c>
      <c r="Z223" s="5" t="n">
        <v>0.0341159156522278</v>
      </c>
      <c r="AA223" s="5" t="n">
        <v>0.0348226141250488</v>
      </c>
      <c r="AB223" s="5" t="n">
        <v>0.0365180095175597</v>
      </c>
      <c r="AC223" s="5" t="n">
        <v>0.0375492755811024</v>
      </c>
      <c r="AD223" s="5" t="n">
        <v>0.0393340416498319</v>
      </c>
      <c r="AE223" s="5" t="n">
        <v>0.0424788624188137</v>
      </c>
      <c r="AF223" s="5" t="n">
        <v>0.0447618765783362</v>
      </c>
      <c r="AG223" s="5" t="n">
        <v>0.0451083917771355</v>
      </c>
      <c r="AH223" s="5" t="n">
        <v>0.0474375734175925</v>
      </c>
      <c r="AI223" s="5" t="n">
        <v>0.0489070592882663</v>
      </c>
      <c r="AJ223" s="5" t="n">
        <v>0.0513038213658132</v>
      </c>
      <c r="AK223" s="5" t="n">
        <v>0.0528163392817864</v>
      </c>
      <c r="AL223" s="5" t="n">
        <v>0.0552930464138874</v>
      </c>
      <c r="AM223" s="5" t="n">
        <v>0.0578441612372633</v>
      </c>
      <c r="AN223" s="5" t="n">
        <v>0.050237404554169</v>
      </c>
      <c r="AO223" s="5" t="n">
        <v>0.0478955324894626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</row>
    <row r="224" customFormat="false" ht="15" hidden="false" customHeight="false" outlineLevel="0" collapsed="false">
      <c r="D224" s="0" t="s">
        <v>335</v>
      </c>
      <c r="E224" s="0" t="s">
        <v>109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0.0112446792656657</v>
      </c>
      <c r="Y224" s="5" t="n">
        <v>0.0166044948312686</v>
      </c>
      <c r="Z224" s="5" t="n">
        <v>0.018134080626777</v>
      </c>
      <c r="AA224" s="5" t="n">
        <v>0.0180818761438085</v>
      </c>
      <c r="AB224" s="5" t="n">
        <v>0.0194216374020789</v>
      </c>
      <c r="AC224" s="5" t="n">
        <v>0.019460397096262</v>
      </c>
      <c r="AD224" s="5" t="n">
        <v>0.0205929299479628</v>
      </c>
      <c r="AE224" s="5" t="n">
        <v>0.0226422219505928</v>
      </c>
      <c r="AF224" s="5" t="n">
        <v>0.0241540569543948</v>
      </c>
      <c r="AG224" s="5" t="n">
        <v>0.0243817345221278</v>
      </c>
      <c r="AH224" s="5" t="n">
        <v>0.0257776829177445</v>
      </c>
      <c r="AI224" s="5" t="n">
        <v>0.0258644850439458</v>
      </c>
      <c r="AJ224" s="5" t="n">
        <v>0.027144560096898</v>
      </c>
      <c r="AK224" s="5" t="n">
        <v>0.0272624404276804</v>
      </c>
      <c r="AL224" s="5" t="n">
        <v>0.0283936733862867</v>
      </c>
      <c r="AM224" s="5" t="n">
        <v>0.0256865156686768</v>
      </c>
      <c r="AN224" s="5" t="n">
        <v>0.0235119055190009</v>
      </c>
      <c r="AO224" s="5" t="n">
        <v>0.0205075628133926</v>
      </c>
      <c r="AP224" s="5" t="n">
        <v>0.0890892224864926</v>
      </c>
      <c r="AQ224" s="5" t="n">
        <v>0.0910548118277837</v>
      </c>
      <c r="AR224" s="5" t="n">
        <v>0.0958509778997726</v>
      </c>
      <c r="AS224" s="5" t="n">
        <v>0.0980653776749948</v>
      </c>
      <c r="AT224" s="5" t="n">
        <v>0.102789589089454</v>
      </c>
      <c r="AU224" s="5" t="n">
        <v>0.124283086406939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0</v>
      </c>
      <c r="BB224" s="5" t="n">
        <v>0</v>
      </c>
      <c r="BC224" s="5" t="n">
        <v>0</v>
      </c>
      <c r="BD224" s="5" t="n">
        <v>0</v>
      </c>
      <c r="BE224" s="5" t="n">
        <v>0</v>
      </c>
      <c r="BF224" s="5" t="n">
        <v>0</v>
      </c>
      <c r="BG224" s="5" t="n">
        <v>0</v>
      </c>
      <c r="BH224" s="5" t="n">
        <v>0</v>
      </c>
      <c r="BI224" s="5" t="n">
        <v>0</v>
      </c>
      <c r="BJ224" s="5" t="n">
        <v>0</v>
      </c>
      <c r="BK224" s="5" t="n">
        <v>0</v>
      </c>
      <c r="BL224" s="5" t="n">
        <v>0</v>
      </c>
      <c r="BM224" s="5" t="n">
        <v>0</v>
      </c>
      <c r="BN224" s="5" t="n">
        <v>0</v>
      </c>
    </row>
    <row r="225" customFormat="false" ht="15" hidden="false" customHeight="false" outlineLevel="0" collapsed="false">
      <c r="D225" s="0" t="s">
        <v>336</v>
      </c>
      <c r="E225" s="0" t="s">
        <v>149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506.604780058454</v>
      </c>
      <c r="Q225" s="5" t="n">
        <v>494.213008227051</v>
      </c>
      <c r="R225" s="5" t="n">
        <v>481.296795172962</v>
      </c>
      <c r="S225" s="5" t="n">
        <v>467.74434610667</v>
      </c>
      <c r="T225" s="5" t="n">
        <v>453.792528291179</v>
      </c>
      <c r="U225" s="5" t="n">
        <v>439.198931855794</v>
      </c>
      <c r="V225" s="5" t="n">
        <v>424.13991993927</v>
      </c>
      <c r="W225" s="5" t="n">
        <v>408.097113413773</v>
      </c>
      <c r="X225" s="5" t="n">
        <v>391.563888138755</v>
      </c>
      <c r="Y225" s="5" t="n">
        <v>375.48958772209</v>
      </c>
      <c r="Z225" s="5" t="n">
        <v>359.407723551801</v>
      </c>
      <c r="AA225" s="5" t="n">
        <v>342.659620637583</v>
      </c>
      <c r="AB225" s="5" t="n">
        <v>325.42276609062</v>
      </c>
      <c r="AC225" s="5" t="n">
        <v>307.362433086384</v>
      </c>
      <c r="AD225" s="5" t="n">
        <v>288.703789130302</v>
      </c>
      <c r="AE225" s="5" t="n">
        <v>268.329911530774</v>
      </c>
      <c r="AF225" s="5" t="n">
        <v>247.080353683255</v>
      </c>
      <c r="AG225" s="5" t="n">
        <v>225.085323373733</v>
      </c>
      <c r="AH225" s="5" t="n">
        <v>202.679795057935</v>
      </c>
      <c r="AI225" s="5" t="n">
        <v>179.149474707469</v>
      </c>
      <c r="AJ225" s="5" t="n">
        <v>154.928244822126</v>
      </c>
      <c r="AK225" s="5" t="n">
        <v>129.537670554414</v>
      </c>
      <c r="AL225" s="5" t="n">
        <v>103.325248358431</v>
      </c>
      <c r="AM225" s="5" t="n">
        <v>75.5312011739189</v>
      </c>
      <c r="AN225" s="5" t="n">
        <v>47.1594556415751</v>
      </c>
      <c r="AO225" s="5" t="n">
        <v>23.7531023869967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0</v>
      </c>
      <c r="BH225" s="5" t="n">
        <v>0</v>
      </c>
      <c r="BI225" s="5" t="n">
        <v>0</v>
      </c>
      <c r="BJ225" s="5" t="n">
        <v>0</v>
      </c>
      <c r="BK225" s="5" t="n">
        <v>0</v>
      </c>
      <c r="BL225" s="5" t="n">
        <v>0</v>
      </c>
      <c r="BM225" s="5" t="n">
        <v>0</v>
      </c>
      <c r="BN225" s="5" t="n">
        <v>0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93.8</v>
      </c>
      <c r="K226" s="5" t="n">
        <v>92.9</v>
      </c>
      <c r="L226" s="5" t="n">
        <v>93.8</v>
      </c>
      <c r="M226" s="5" t="n">
        <v>90.6</v>
      </c>
      <c r="N226" s="5" t="n">
        <v>93.8</v>
      </c>
      <c r="O226" s="5" t="n">
        <v>92.9</v>
      </c>
      <c r="P226" s="5" t="n">
        <v>93.8</v>
      </c>
      <c r="Q226" s="5" t="n">
        <v>88.7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84</v>
      </c>
      <c r="R227" s="5" t="n">
        <v>81.5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0</v>
      </c>
      <c r="AJ227" s="5" t="n">
        <v>0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0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0</v>
      </c>
    </row>
    <row r="228" customFormat="false" ht="15" hidden="false" customHeight="false" outlineLevel="0" collapsed="false">
      <c r="B228" s="2" t="s">
        <v>339</v>
      </c>
    </row>
    <row r="229" customFormat="false" ht="15" hidden="false" customHeight="false" outlineLevel="0" collapsed="false">
      <c r="D229" s="0" t="s">
        <v>340</v>
      </c>
      <c r="E229" s="0" t="s">
        <v>103</v>
      </c>
      <c r="J229" s="5" t="n">
        <v>10</v>
      </c>
      <c r="K229" s="5" t="n">
        <v>0.0108</v>
      </c>
      <c r="L229" s="5" t="n">
        <v>0.1133</v>
      </c>
      <c r="M229" s="5" t="n">
        <v>0.3239</v>
      </c>
      <c r="N229" s="5" t="n">
        <v>0.6294</v>
      </c>
      <c r="O229" s="5" t="n">
        <v>1.0114</v>
      </c>
      <c r="P229" s="5" t="n">
        <v>1.4496</v>
      </c>
      <c r="Q229" s="5" t="n">
        <v>1.9236</v>
      </c>
      <c r="R229" s="5" t="n">
        <v>2.4133</v>
      </c>
      <c r="S229" s="5" t="n">
        <v>2.8999</v>
      </c>
      <c r="T229" s="5" t="n">
        <v>3.3659</v>
      </c>
      <c r="U229" s="5" t="n">
        <v>3.7957</v>
      </c>
      <c r="V229" s="5" t="n">
        <v>4.1755</v>
      </c>
      <c r="W229" s="5" t="n">
        <v>4.4935</v>
      </c>
      <c r="X229" s="5" t="n">
        <v>4.7405</v>
      </c>
      <c r="Y229" s="5" t="n">
        <v>4.9091</v>
      </c>
      <c r="Z229" s="5" t="n">
        <v>4.9946</v>
      </c>
      <c r="AA229" s="5" t="n">
        <v>4.9946</v>
      </c>
      <c r="AB229" s="5" t="n">
        <v>4.9091</v>
      </c>
      <c r="AC229" s="5" t="n">
        <v>4.7405</v>
      </c>
      <c r="AD229" s="5" t="n">
        <v>4.4935</v>
      </c>
      <c r="AE229" s="5" t="n">
        <v>4.1755</v>
      </c>
      <c r="AF229" s="5" t="n">
        <v>3.7957</v>
      </c>
      <c r="AG229" s="5" t="n">
        <v>3.3659</v>
      </c>
      <c r="AH229" s="5" t="n">
        <v>2.8999</v>
      </c>
      <c r="AI229" s="5" t="n">
        <v>2.4133</v>
      </c>
      <c r="AJ229" s="5" t="n">
        <v>1.9236</v>
      </c>
      <c r="AK229" s="5" t="n">
        <v>1.4496</v>
      </c>
      <c r="AL229" s="5" t="n">
        <v>1.0114</v>
      </c>
      <c r="AM229" s="5" t="n">
        <v>0.6294</v>
      </c>
      <c r="AN229" s="5" t="n">
        <v>0.3239</v>
      </c>
      <c r="AO229" s="5" t="n">
        <v>0.1133</v>
      </c>
      <c r="AP229" s="5" t="n">
        <v>7.5108</v>
      </c>
    </row>
    <row r="230" customFormat="false" ht="15" hidden="false" customHeight="false" outlineLevel="0" collapsed="false">
      <c r="D230" s="0" t="s">
        <v>341</v>
      </c>
      <c r="E230" s="0" t="s">
        <v>103</v>
      </c>
      <c r="J230" s="5" t="n">
        <v>10</v>
      </c>
      <c r="K230" s="5" t="n">
        <v>0.0102</v>
      </c>
      <c r="L230" s="5" t="n">
        <v>0.0868</v>
      </c>
      <c r="M230" s="5" t="n">
        <v>0.2284</v>
      </c>
      <c r="N230" s="5" t="n">
        <v>0.4235</v>
      </c>
      <c r="O230" s="5" t="n">
        <v>0.6612</v>
      </c>
      <c r="P230" s="5" t="n">
        <v>0.9313</v>
      </c>
      <c r="Q230" s="5" t="n">
        <v>1.2242</v>
      </c>
      <c r="R230" s="5" t="n">
        <v>1.5311</v>
      </c>
      <c r="S230" s="5" t="n">
        <v>1.8437</v>
      </c>
      <c r="T230" s="5" t="n">
        <v>2.1545</v>
      </c>
      <c r="U230" s="5" t="n">
        <v>2.4565</v>
      </c>
      <c r="V230" s="5" t="n">
        <v>2.7436</v>
      </c>
      <c r="W230" s="5" t="n">
        <v>3.01</v>
      </c>
      <c r="X230" s="5" t="n">
        <v>3.2509</v>
      </c>
      <c r="Y230" s="5" t="n">
        <v>3.4619</v>
      </c>
      <c r="Z230" s="5" t="n">
        <v>3.6396</v>
      </c>
      <c r="AA230" s="5" t="n">
        <v>3.7808</v>
      </c>
      <c r="AB230" s="5" t="n">
        <v>3.8833</v>
      </c>
      <c r="AC230" s="5" t="n">
        <v>3.9455</v>
      </c>
      <c r="AD230" s="5" t="n">
        <v>3.966</v>
      </c>
      <c r="AE230" s="5" t="n">
        <v>3.9455</v>
      </c>
      <c r="AF230" s="5" t="n">
        <v>3.8833</v>
      </c>
      <c r="AG230" s="5" t="n">
        <v>3.7808</v>
      </c>
      <c r="AH230" s="5" t="n">
        <v>3.6396</v>
      </c>
      <c r="AI230" s="5" t="n">
        <v>3.4619</v>
      </c>
      <c r="AJ230" s="5" t="n">
        <v>3.2509</v>
      </c>
      <c r="AK230" s="5" t="n">
        <v>3.01</v>
      </c>
      <c r="AL230" s="5" t="n">
        <v>2.7436</v>
      </c>
      <c r="AM230" s="5" t="n">
        <v>2.4565</v>
      </c>
      <c r="AN230" s="5" t="n">
        <v>2.1545</v>
      </c>
      <c r="AO230" s="5" t="n">
        <v>1.8437</v>
      </c>
      <c r="AP230" s="5" t="n">
        <v>1.5311</v>
      </c>
      <c r="AQ230" s="5" t="n">
        <v>1.2242</v>
      </c>
      <c r="AR230" s="5" t="n">
        <v>0.9313</v>
      </c>
      <c r="AS230" s="5" t="n">
        <v>0.6612</v>
      </c>
      <c r="AT230" s="5" t="n">
        <v>0.4235</v>
      </c>
      <c r="AU230" s="5" t="n">
        <v>0.2284</v>
      </c>
      <c r="AV230" s="5" t="n">
        <v>0.0868</v>
      </c>
      <c r="AW230" s="5" t="n">
        <v>7.5102</v>
      </c>
    </row>
    <row r="231" customFormat="false" ht="15" hidden="false" customHeight="false" outlineLevel="0" collapsed="false">
      <c r="D231" s="0" t="s">
        <v>342</v>
      </c>
      <c r="E231" s="0" t="s">
        <v>103</v>
      </c>
      <c r="J231" s="5" t="n">
        <v>12</v>
      </c>
      <c r="K231" s="5" t="n">
        <v>2.75</v>
      </c>
      <c r="L231" s="5" t="n">
        <v>2.75</v>
      </c>
      <c r="M231" s="5" t="n">
        <v>2.75</v>
      </c>
      <c r="N231" s="5" t="n">
        <v>2.75</v>
      </c>
      <c r="O231" s="5" t="n">
        <v>2.75</v>
      </c>
      <c r="P231" s="5" t="n">
        <v>2.75</v>
      </c>
      <c r="Q231" s="5" t="n">
        <v>2.75</v>
      </c>
      <c r="R231" s="5" t="n">
        <v>2.75</v>
      </c>
      <c r="S231" s="5" t="n">
        <v>2.75</v>
      </c>
      <c r="T231" s="5" t="n">
        <v>2.75</v>
      </c>
      <c r="U231" s="5" t="n">
        <v>2.75</v>
      </c>
      <c r="V231" s="5" t="n">
        <v>2.75</v>
      </c>
      <c r="W231" s="5" t="n">
        <v>2.75</v>
      </c>
      <c r="X231" s="5" t="n">
        <v>2.75</v>
      </c>
      <c r="Y231" s="5" t="n">
        <v>2.75</v>
      </c>
      <c r="Z231" s="5" t="n">
        <v>2.75</v>
      </c>
      <c r="AA231" s="5" t="n">
        <v>2.75</v>
      </c>
      <c r="AB231" s="5" t="n">
        <v>2.75</v>
      </c>
      <c r="AC231" s="5" t="n">
        <v>2.75</v>
      </c>
      <c r="AD231" s="5" t="n">
        <v>2.75</v>
      </c>
      <c r="AE231" s="5" t="n">
        <v>2.75</v>
      </c>
      <c r="AF231" s="5" t="n">
        <v>2.75</v>
      </c>
      <c r="AG231" s="5" t="n">
        <v>2.75</v>
      </c>
      <c r="AH231" s="5" t="n">
        <v>2.75</v>
      </c>
      <c r="AI231" s="5" t="n">
        <v>2.75</v>
      </c>
      <c r="AJ231" s="5" t="n">
        <v>2.75</v>
      </c>
      <c r="AK231" s="5" t="n">
        <v>2.75</v>
      </c>
      <c r="AL231" s="5" t="n">
        <v>2.75</v>
      </c>
      <c r="AM231" s="5" t="n">
        <v>2.75</v>
      </c>
      <c r="AN231" s="5" t="n">
        <v>2.75</v>
      </c>
      <c r="AO231" s="5" t="n">
        <v>2.75</v>
      </c>
      <c r="AP231" s="5" t="n">
        <v>2.75</v>
      </c>
    </row>
    <row r="232" customFormat="false" ht="15" hidden="false" customHeight="false" outlineLevel="0" collapsed="false">
      <c r="D232" s="0" t="s">
        <v>343</v>
      </c>
      <c r="E232" s="0" t="s">
        <v>149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0.3425</v>
      </c>
      <c r="AE232" s="5" t="n">
        <v>0.3425</v>
      </c>
      <c r="AF232" s="5" t="n">
        <v>0.3425</v>
      </c>
      <c r="AG232" s="5" t="n">
        <v>0.3425</v>
      </c>
      <c r="AH232" s="5" t="n">
        <v>0.3425</v>
      </c>
      <c r="AI232" s="5" t="n">
        <v>0.3425</v>
      </c>
      <c r="AJ232" s="5" t="n">
        <v>1.90916666666667</v>
      </c>
      <c r="AK232" s="5" t="n">
        <v>1.90916666666667</v>
      </c>
      <c r="AL232" s="5" t="n">
        <v>1.90916666666667</v>
      </c>
      <c r="AM232" s="5" t="n">
        <v>2.45416666666667</v>
      </c>
      <c r="AN232" s="5" t="n">
        <v>2.45416666666667</v>
      </c>
      <c r="AO232" s="5" t="n">
        <v>2.45416666666667</v>
      </c>
      <c r="AP232" s="5" t="n">
        <v>0.545</v>
      </c>
      <c r="AQ232" s="5" t="n">
        <v>2.08785714285714</v>
      </c>
      <c r="AR232" s="5" t="n">
        <v>0.667857142857143</v>
      </c>
      <c r="AS232" s="5" t="n">
        <v>1.12285714285714</v>
      </c>
      <c r="AT232" s="5" t="n">
        <v>0.122857142857143</v>
      </c>
      <c r="AU232" s="5" t="n">
        <v>2.76285714285714</v>
      </c>
      <c r="AV232" s="5" t="n">
        <v>0.807857142857143</v>
      </c>
      <c r="AW232" s="5" t="n">
        <v>9.07785714285714</v>
      </c>
      <c r="AX232" s="5" t="n">
        <v>0</v>
      </c>
      <c r="AY232" s="5" t="n">
        <v>0</v>
      </c>
      <c r="AZ232" s="5" t="n">
        <v>0</v>
      </c>
      <c r="BA232" s="5" t="n">
        <v>0</v>
      </c>
      <c r="BB232" s="5" t="n">
        <v>0</v>
      </c>
      <c r="BC232" s="5" t="n">
        <v>0</v>
      </c>
      <c r="BD232" s="5" t="n">
        <v>0</v>
      </c>
      <c r="BE232" s="5" t="n">
        <v>0</v>
      </c>
      <c r="BF232" s="5" t="n">
        <v>0</v>
      </c>
      <c r="BG232" s="5" t="n">
        <v>0</v>
      </c>
      <c r="BH232" s="5" t="n">
        <v>0</v>
      </c>
      <c r="BI232" s="5" t="n">
        <v>0</v>
      </c>
      <c r="BJ232" s="5" t="n">
        <v>0</v>
      </c>
    </row>
    <row r="233" customFormat="false" ht="15" hidden="false" customHeight="false" outlineLevel="0" collapsed="false">
      <c r="D233" s="0" t="s">
        <v>344</v>
      </c>
      <c r="E233" s="0" t="s">
        <v>149</v>
      </c>
      <c r="J233" s="5" t="n">
        <v>0</v>
      </c>
      <c r="K233" s="5" t="n">
        <v>72.038294745219</v>
      </c>
      <c r="L233" s="5" t="n">
        <v>73.5188727634301</v>
      </c>
      <c r="M233" s="5" t="n">
        <v>75.4061755390283</v>
      </c>
      <c r="N233" s="5" t="n">
        <v>78.0742147371756</v>
      </c>
      <c r="O233" s="5" t="n">
        <v>81.9159930804807</v>
      </c>
      <c r="P233" s="5" t="n">
        <v>87.2100026806785</v>
      </c>
      <c r="Q233" s="5" t="n">
        <v>94.1161870320207</v>
      </c>
      <c r="R233" s="5" t="n">
        <v>102.882341590788</v>
      </c>
      <c r="S233" s="5" t="n">
        <v>113.502241333422</v>
      </c>
      <c r="T233" s="5" t="n">
        <v>126.009719559759</v>
      </c>
      <c r="U233" s="5" t="n">
        <v>140.283618220881</v>
      </c>
      <c r="V233" s="5" t="n">
        <v>156.251143836047</v>
      </c>
      <c r="W233" s="5" t="n">
        <v>173.70770245687</v>
      </c>
      <c r="X233" s="5" t="n">
        <v>192.40256095453</v>
      </c>
      <c r="Y233" s="5" t="n">
        <v>212.12249619229</v>
      </c>
      <c r="Z233" s="5" t="n">
        <v>232.524998799284</v>
      </c>
      <c r="AA233" s="5" t="n">
        <v>253.355055082995</v>
      </c>
      <c r="AB233" s="5" t="n">
        <v>274.962511213658</v>
      </c>
      <c r="AC233" s="5" t="n">
        <v>295.573347969675</v>
      </c>
      <c r="AD233" s="5" t="n">
        <v>315.694288641713</v>
      </c>
      <c r="AE233" s="5" t="n">
        <v>334.928570701731</v>
      </c>
      <c r="AF233" s="5" t="n">
        <v>353.076211300926</v>
      </c>
      <c r="AG233" s="5" t="n">
        <v>369.827085578369</v>
      </c>
      <c r="AH233" s="5" t="n">
        <v>385.065863152433</v>
      </c>
      <c r="AI233" s="5" t="n">
        <v>398.61005725205</v>
      </c>
      <c r="AJ233" s="5" t="n">
        <v>410.334188843346</v>
      </c>
      <c r="AK233" s="5" t="n">
        <v>420.301584953568</v>
      </c>
      <c r="AL233" s="5" t="n">
        <v>428.480478068478</v>
      </c>
      <c r="AM233" s="5" t="n">
        <v>435.083252022206</v>
      </c>
      <c r="AN233" s="5" t="n">
        <v>440.274336168893</v>
      </c>
      <c r="AO233" s="5" t="n">
        <v>444.202704163639</v>
      </c>
      <c r="AP233" s="5" t="n">
        <v>447.481635057216</v>
      </c>
      <c r="AQ233" s="5" t="n">
        <v>479.624991969377</v>
      </c>
      <c r="AR233" s="5" t="n">
        <v>504.400258343845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346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347</v>
      </c>
    </row>
    <row r="8" customFormat="false" ht="15" hidden="false" customHeight="false" outlineLevel="0" collapsed="false">
      <c r="D8" s="0" t="s">
        <v>348</v>
      </c>
      <c r="E8" s="0" t="s">
        <v>349</v>
      </c>
      <c r="F8" s="8" t="n">
        <f aca="false">IF(Inputs!$F$34=2,DATE(2021,12,1),EDATE(DATE(2021,5,1),Inputs!$F$35))</f>
        <v>44317</v>
      </c>
    </row>
    <row r="9" customFormat="false" ht="15" hidden="false" customHeight="false" outlineLevel="0" collapsed="false">
      <c r="D9" s="0" t="s">
        <v>350</v>
      </c>
      <c r="E9" s="0" t="s">
        <v>349</v>
      </c>
      <c r="F9" s="8" t="n">
        <f aca="false">EDATE(Time!$F$8,300)-1</f>
        <v>53447</v>
      </c>
    </row>
    <row r="10" customFormat="false" ht="15" hidden="false" customHeight="false" outlineLevel="0" collapsed="false">
      <c r="D10" s="0" t="s">
        <v>351</v>
      </c>
      <c r="E10" s="0" t="s">
        <v>97</v>
      </c>
      <c r="F10" s="9" t="n">
        <f aca="false">(YEAR(Time!$F$8)-2018)*12+MONTH(Time!$F$8)-8</f>
        <v>33</v>
      </c>
    </row>
    <row r="11" customFormat="false" ht="15" hidden="false" customHeight="false" outlineLevel="0" collapsed="false">
      <c r="D11" s="0" t="s">
        <v>352</v>
      </c>
      <c r="E11" s="0" t="s">
        <v>91</v>
      </c>
      <c r="F11" s="9" t="n">
        <f aca="false">(YEAR(Time!$F$8)-2018)*2+IF(MONTH(Time!$F$8)&lt;=6,0,1)</f>
        <v>6</v>
      </c>
    </row>
    <row r="12" customFormat="false" ht="15" hidden="false" customHeight="false" outlineLevel="0" collapsed="false">
      <c r="D12" s="0" t="s">
        <v>353</v>
      </c>
      <c r="E12" s="0" t="s">
        <v>91</v>
      </c>
      <c r="F12" s="9" t="n">
        <f aca="false">Time!$F$11+1</f>
        <v>7</v>
      </c>
    </row>
    <row r="13" customFormat="false" ht="15" hidden="false" customHeight="false" outlineLevel="0" collapsed="false">
      <c r="D13" s="0" t="s">
        <v>354</v>
      </c>
      <c r="E13" s="0" t="s">
        <v>91</v>
      </c>
      <c r="F13" s="9" t="n">
        <f aca="false">(YEAR(Time!$F$8)-2018)*12+IF(MONTH(Time!$F$8)&lt;=6,6,12)-7</f>
        <v>35</v>
      </c>
    </row>
    <row r="14" customFormat="false" ht="15" hidden="false" customHeight="false" outlineLevel="0" collapsed="false">
      <c r="D14" s="0" t="s">
        <v>355</v>
      </c>
      <c r="E14" s="0" t="s">
        <v>91</v>
      </c>
      <c r="F14" s="9" t="n">
        <f aca="false">SUMPRODUCT($J$32:$BN$32,$J$17:$BN$17)</f>
        <v>56</v>
      </c>
    </row>
    <row r="15" customFormat="false" ht="15" hidden="false" customHeight="false" outlineLevel="0" collapsed="false">
      <c r="D15" s="0" t="s">
        <v>356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357</v>
      </c>
    </row>
    <row r="17" customFormat="false" ht="15" hidden="false" customHeight="false" outlineLevel="0" collapsed="false">
      <c r="D17" s="0" t="s">
        <v>358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359</v>
      </c>
      <c r="E18" s="0" t="s">
        <v>349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360</v>
      </c>
      <c r="E19" s="0" t="s">
        <v>349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361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316</v>
      </c>
      <c r="E21" s="0" t="s">
        <v>317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362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363</v>
      </c>
      <c r="E23" s="0" t="s">
        <v>349</v>
      </c>
      <c r="J23" s="8" t="n">
        <f aca="false">MAX(J18,$F$8)</f>
        <v>44317</v>
      </c>
      <c r="K23" s="8" t="n">
        <f aca="false">MAX(K18,$F$8)</f>
        <v>44317</v>
      </c>
      <c r="L23" s="8" t="n">
        <f aca="false">MAX(L18,$F$8)</f>
        <v>44317</v>
      </c>
      <c r="M23" s="8" t="n">
        <f aca="false">MAX(M18,$F$8)</f>
        <v>44317</v>
      </c>
      <c r="N23" s="8" t="n">
        <f aca="false">MAX(N18,$F$8)</f>
        <v>44317</v>
      </c>
      <c r="O23" s="8" t="n">
        <f aca="false">MAX(O18,$F$8)</f>
        <v>44317</v>
      </c>
      <c r="P23" s="8" t="n">
        <f aca="false">MAX(P18,$F$8)</f>
        <v>44378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364</v>
      </c>
      <c r="E24" s="0" t="s">
        <v>349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53447</v>
      </c>
      <c r="BN24" s="8" t="n">
        <f aca="false">MIN(BN19,$F$9)</f>
        <v>53447</v>
      </c>
    </row>
    <row r="25" customFormat="false" ht="15" hidden="false" customHeight="false" outlineLevel="0" collapsed="false">
      <c r="D25" s="0" t="s">
        <v>365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2</v>
      </c>
      <c r="P25" s="9" t="n">
        <f aca="false">IF(P24&gt;=P23,(YEAR(P24)-YEAR(P23))*12+MONTH(P24)-MONTH(P23)+1,0)</f>
        <v>6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4</v>
      </c>
      <c r="BN25" s="9" t="n">
        <f aca="false">IF(BN24&gt;=BN23,(YEAR(BN24)-YEAR(BN23))*12+MONTH(BN24)-MONTH(BN23)+1,0)</f>
        <v>0</v>
      </c>
    </row>
    <row r="26" customFormat="false" ht="15" hidden="false" customHeight="false" outlineLevel="0" collapsed="false">
      <c r="D26" s="0" t="s">
        <v>366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61</v>
      </c>
      <c r="P26" s="9" t="n">
        <f aca="false">IF(P24&gt;=P23,P24-P23+1,0)</f>
        <v>184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120</v>
      </c>
      <c r="BN26" s="9" t="n">
        <f aca="false">IF(BN24&gt;=BN23,BN24-BN23+1,0)</f>
        <v>0</v>
      </c>
    </row>
    <row r="27" customFormat="false" ht="15" hidden="false" customHeight="false" outlineLevel="0" collapsed="false">
      <c r="D27" s="0" t="s">
        <v>367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2</v>
      </c>
      <c r="Q27" s="9" t="n">
        <f aca="false">MIN(MAX((YEAR(Q18)-YEAR($F$8))*12+MONTH(Q18)-MONTH($F$8),0),300)</f>
        <v>8</v>
      </c>
      <c r="R27" s="9" t="n">
        <f aca="false">MIN(MAX((YEAR(R18)-YEAR($F$8))*12+MONTH(R18)-MONTH($F$8),0),300)</f>
        <v>14</v>
      </c>
      <c r="S27" s="9" t="n">
        <f aca="false">MIN(MAX((YEAR(S18)-YEAR($F$8))*12+MONTH(S18)-MONTH($F$8),0),300)</f>
        <v>20</v>
      </c>
      <c r="T27" s="9" t="n">
        <f aca="false">MIN(MAX((YEAR(T18)-YEAR($F$8))*12+MONTH(T18)-MONTH($F$8),0),300)</f>
        <v>26</v>
      </c>
      <c r="U27" s="9" t="n">
        <f aca="false">MIN(MAX((YEAR(U18)-YEAR($F$8))*12+MONTH(U18)-MONTH($F$8),0),300)</f>
        <v>32</v>
      </c>
      <c r="V27" s="9" t="n">
        <f aca="false">MIN(MAX((YEAR(V18)-YEAR($F$8))*12+MONTH(V18)-MONTH($F$8),0),300)</f>
        <v>38</v>
      </c>
      <c r="W27" s="9" t="n">
        <f aca="false">MIN(MAX((YEAR(W18)-YEAR($F$8))*12+MONTH(W18)-MONTH($F$8),0),300)</f>
        <v>44</v>
      </c>
      <c r="X27" s="9" t="n">
        <f aca="false">MIN(MAX((YEAR(X18)-YEAR($F$8))*12+MONTH(X18)-MONTH($F$8),0),300)</f>
        <v>50</v>
      </c>
      <c r="Y27" s="9" t="n">
        <f aca="false">MIN(MAX((YEAR(Y18)-YEAR($F$8))*12+MONTH(Y18)-MONTH($F$8),0),300)</f>
        <v>56</v>
      </c>
      <c r="Z27" s="9" t="n">
        <f aca="false">MIN(MAX((YEAR(Z18)-YEAR($F$8))*12+MONTH(Z18)-MONTH($F$8),0),300)</f>
        <v>62</v>
      </c>
      <c r="AA27" s="9" t="n">
        <f aca="false">MIN(MAX((YEAR(AA18)-YEAR($F$8))*12+MONTH(AA18)-MONTH($F$8),0),300)</f>
        <v>68</v>
      </c>
      <c r="AB27" s="9" t="n">
        <f aca="false">MIN(MAX((YEAR(AB18)-YEAR($F$8))*12+MONTH(AB18)-MONTH($F$8),0),300)</f>
        <v>74</v>
      </c>
      <c r="AC27" s="9" t="n">
        <f aca="false">MIN(MAX((YEAR(AC18)-YEAR($F$8))*12+MONTH(AC18)-MONTH($F$8),0),300)</f>
        <v>80</v>
      </c>
      <c r="AD27" s="9" t="n">
        <f aca="false">MIN(MAX((YEAR(AD18)-YEAR($F$8))*12+MONTH(AD18)-MONTH($F$8),0),300)</f>
        <v>86</v>
      </c>
      <c r="AE27" s="9" t="n">
        <f aca="false">MIN(MAX((YEAR(AE18)-YEAR($F$8))*12+MONTH(AE18)-MONTH($F$8),0),300)</f>
        <v>92</v>
      </c>
      <c r="AF27" s="9" t="n">
        <f aca="false">MIN(MAX((YEAR(AF18)-YEAR($F$8))*12+MONTH(AF18)-MONTH($F$8),0),300)</f>
        <v>98</v>
      </c>
      <c r="AG27" s="9" t="n">
        <f aca="false">MIN(MAX((YEAR(AG18)-YEAR($F$8))*12+MONTH(AG18)-MONTH($F$8),0),300)</f>
        <v>104</v>
      </c>
      <c r="AH27" s="9" t="n">
        <f aca="false">MIN(MAX((YEAR(AH18)-YEAR($F$8))*12+MONTH(AH18)-MONTH($F$8),0),300)</f>
        <v>110</v>
      </c>
      <c r="AI27" s="9" t="n">
        <f aca="false">MIN(MAX((YEAR(AI18)-YEAR($F$8))*12+MONTH(AI18)-MONTH($F$8),0),300)</f>
        <v>116</v>
      </c>
      <c r="AJ27" s="9" t="n">
        <f aca="false">MIN(MAX((YEAR(AJ18)-YEAR($F$8))*12+MONTH(AJ18)-MONTH($F$8),0),300)</f>
        <v>122</v>
      </c>
      <c r="AK27" s="9" t="n">
        <f aca="false">MIN(MAX((YEAR(AK18)-YEAR($F$8))*12+MONTH(AK18)-MONTH($F$8),0),300)</f>
        <v>128</v>
      </c>
      <c r="AL27" s="9" t="n">
        <f aca="false">MIN(MAX((YEAR(AL18)-YEAR($F$8))*12+MONTH(AL18)-MONTH($F$8),0),300)</f>
        <v>134</v>
      </c>
      <c r="AM27" s="9" t="n">
        <f aca="false">MIN(MAX((YEAR(AM18)-YEAR($F$8))*12+MONTH(AM18)-MONTH($F$8),0),300)</f>
        <v>140</v>
      </c>
      <c r="AN27" s="9" t="n">
        <f aca="false">MIN(MAX((YEAR(AN18)-YEAR($F$8))*12+MONTH(AN18)-MONTH($F$8),0),300)</f>
        <v>146</v>
      </c>
      <c r="AO27" s="9" t="n">
        <f aca="false">MIN(MAX((YEAR(AO18)-YEAR($F$8))*12+MONTH(AO18)-MONTH($F$8),0),300)</f>
        <v>152</v>
      </c>
      <c r="AP27" s="9" t="n">
        <f aca="false">MIN(MAX((YEAR(AP18)-YEAR($F$8))*12+MONTH(AP18)-MONTH($F$8),0),300)</f>
        <v>158</v>
      </c>
      <c r="AQ27" s="9" t="n">
        <f aca="false">MIN(MAX((YEAR(AQ18)-YEAR($F$8))*12+MONTH(AQ18)-MONTH($F$8),0),300)</f>
        <v>164</v>
      </c>
      <c r="AR27" s="9" t="n">
        <f aca="false">MIN(MAX((YEAR(AR18)-YEAR($F$8))*12+MONTH(AR18)-MONTH($F$8),0),300)</f>
        <v>170</v>
      </c>
      <c r="AS27" s="9" t="n">
        <f aca="false">MIN(MAX((YEAR(AS18)-YEAR($F$8))*12+MONTH(AS18)-MONTH($F$8),0),300)</f>
        <v>176</v>
      </c>
      <c r="AT27" s="9" t="n">
        <f aca="false">MIN(MAX((YEAR(AT18)-YEAR($F$8))*12+MONTH(AT18)-MONTH($F$8),0),300)</f>
        <v>182</v>
      </c>
      <c r="AU27" s="9" t="n">
        <f aca="false">MIN(MAX((YEAR(AU18)-YEAR($F$8))*12+MONTH(AU18)-MONTH($F$8),0),300)</f>
        <v>188</v>
      </c>
      <c r="AV27" s="9" t="n">
        <f aca="false">MIN(MAX((YEAR(AV18)-YEAR($F$8))*12+MONTH(AV18)-MONTH($F$8),0),300)</f>
        <v>194</v>
      </c>
      <c r="AW27" s="9" t="n">
        <f aca="false">MIN(MAX((YEAR(AW18)-YEAR($F$8))*12+MONTH(AW18)-MONTH($F$8),0),300)</f>
        <v>200</v>
      </c>
      <c r="AX27" s="9" t="n">
        <f aca="false">MIN(MAX((YEAR(AX18)-YEAR($F$8))*12+MONTH(AX18)-MONTH($F$8),0),300)</f>
        <v>206</v>
      </c>
      <c r="AY27" s="9" t="n">
        <f aca="false">MIN(MAX((YEAR(AY18)-YEAR($F$8))*12+MONTH(AY18)-MONTH($F$8),0),300)</f>
        <v>212</v>
      </c>
      <c r="AZ27" s="9" t="n">
        <f aca="false">MIN(MAX((YEAR(AZ18)-YEAR($F$8))*12+MONTH(AZ18)-MONTH($F$8),0),300)</f>
        <v>218</v>
      </c>
      <c r="BA27" s="9" t="n">
        <f aca="false">MIN(MAX((YEAR(BA18)-YEAR($F$8))*12+MONTH(BA18)-MONTH($F$8),0),300)</f>
        <v>224</v>
      </c>
      <c r="BB27" s="9" t="n">
        <f aca="false">MIN(MAX((YEAR(BB18)-YEAR($F$8))*12+MONTH(BB18)-MONTH($F$8),0),300)</f>
        <v>230</v>
      </c>
      <c r="BC27" s="9" t="n">
        <f aca="false">MIN(MAX((YEAR(BC18)-YEAR($F$8))*12+MONTH(BC18)-MONTH($F$8),0),300)</f>
        <v>236</v>
      </c>
      <c r="BD27" s="9" t="n">
        <f aca="false">MIN(MAX((YEAR(BD18)-YEAR($F$8))*12+MONTH(BD18)-MONTH($F$8),0),300)</f>
        <v>242</v>
      </c>
      <c r="BE27" s="9" t="n">
        <f aca="false">MIN(MAX((YEAR(BE18)-YEAR($F$8))*12+MONTH(BE18)-MONTH($F$8),0),300)</f>
        <v>248</v>
      </c>
      <c r="BF27" s="9" t="n">
        <f aca="false">MIN(MAX((YEAR(BF18)-YEAR($F$8))*12+MONTH(BF18)-MONTH($F$8),0),300)</f>
        <v>254</v>
      </c>
      <c r="BG27" s="9" t="n">
        <f aca="false">MIN(MAX((YEAR(BG18)-YEAR($F$8))*12+MONTH(BG18)-MONTH($F$8),0),300)</f>
        <v>260</v>
      </c>
      <c r="BH27" s="9" t="n">
        <f aca="false">MIN(MAX((YEAR(BH18)-YEAR($F$8))*12+MONTH(BH18)-MONTH($F$8),0),300)</f>
        <v>266</v>
      </c>
      <c r="BI27" s="9" t="n">
        <f aca="false">MIN(MAX((YEAR(BI18)-YEAR($F$8))*12+MONTH(BI18)-MONTH($F$8),0),300)</f>
        <v>272</v>
      </c>
      <c r="BJ27" s="9" t="n">
        <f aca="false">MIN(MAX((YEAR(BJ18)-YEAR($F$8))*12+MONTH(BJ18)-MONTH($F$8),0),300)</f>
        <v>278</v>
      </c>
      <c r="BK27" s="9" t="n">
        <f aca="false">MIN(MAX((YEAR(BK18)-YEAR($F$8))*12+MONTH(BK18)-MONTH($F$8),0),300)</f>
        <v>284</v>
      </c>
      <c r="BL27" s="9" t="n">
        <f aca="false">MIN(MAX((YEAR(BL18)-YEAR($F$8))*12+MONTH(BL18)-MONTH($F$8),0),300)</f>
        <v>290</v>
      </c>
      <c r="BM27" s="9" t="n">
        <f aca="false">MIN(MAX((YEAR(BM18)-YEAR($F$8))*12+MONTH(BM18)-MONTH($F$8),0),300)</f>
        <v>296</v>
      </c>
      <c r="BN27" s="9" t="n">
        <f aca="false">MIN(MAX((YEAR(BN18)-YEAR($F$8))*12+MONTH(BN18)-MONTH($F$8),0),300)</f>
        <v>300</v>
      </c>
    </row>
    <row r="28" customFormat="false" ht="15" hidden="false" customHeight="false" outlineLevel="0" collapsed="false">
      <c r="D28" s="0" t="s">
        <v>368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2</v>
      </c>
      <c r="P28" s="9" t="n">
        <f aca="false">P27+P25</f>
        <v>8</v>
      </c>
      <c r="Q28" s="9" t="n">
        <f aca="false">Q27+Q25</f>
        <v>14</v>
      </c>
      <c r="R28" s="9" t="n">
        <f aca="false">R27+R25</f>
        <v>20</v>
      </c>
      <c r="S28" s="9" t="n">
        <f aca="false">S27+S25</f>
        <v>26</v>
      </c>
      <c r="T28" s="9" t="n">
        <f aca="false">T27+T25</f>
        <v>32</v>
      </c>
      <c r="U28" s="9" t="n">
        <f aca="false">U27+U25</f>
        <v>38</v>
      </c>
      <c r="V28" s="9" t="n">
        <f aca="false">V27+V25</f>
        <v>44</v>
      </c>
      <c r="W28" s="9" t="n">
        <f aca="false">W27+W25</f>
        <v>50</v>
      </c>
      <c r="X28" s="9" t="n">
        <f aca="false">X27+X25</f>
        <v>56</v>
      </c>
      <c r="Y28" s="9" t="n">
        <f aca="false">Y27+Y25</f>
        <v>62</v>
      </c>
      <c r="Z28" s="9" t="n">
        <f aca="false">Z27+Z25</f>
        <v>68</v>
      </c>
      <c r="AA28" s="9" t="n">
        <f aca="false">AA27+AA25</f>
        <v>74</v>
      </c>
      <c r="AB28" s="9" t="n">
        <f aca="false">AB27+AB25</f>
        <v>80</v>
      </c>
      <c r="AC28" s="9" t="n">
        <f aca="false">AC27+AC25</f>
        <v>86</v>
      </c>
      <c r="AD28" s="9" t="n">
        <f aca="false">AD27+AD25</f>
        <v>92</v>
      </c>
      <c r="AE28" s="9" t="n">
        <f aca="false">AE27+AE25</f>
        <v>98</v>
      </c>
      <c r="AF28" s="9" t="n">
        <f aca="false">AF27+AF25</f>
        <v>104</v>
      </c>
      <c r="AG28" s="9" t="n">
        <f aca="false">AG27+AG25</f>
        <v>110</v>
      </c>
      <c r="AH28" s="9" t="n">
        <f aca="false">AH27+AH25</f>
        <v>116</v>
      </c>
      <c r="AI28" s="9" t="n">
        <f aca="false">AI27+AI25</f>
        <v>122</v>
      </c>
      <c r="AJ28" s="9" t="n">
        <f aca="false">AJ27+AJ25</f>
        <v>128</v>
      </c>
      <c r="AK28" s="9" t="n">
        <f aca="false">AK27+AK25</f>
        <v>134</v>
      </c>
      <c r="AL28" s="9" t="n">
        <f aca="false">AL27+AL25</f>
        <v>140</v>
      </c>
      <c r="AM28" s="9" t="n">
        <f aca="false">AM27+AM25</f>
        <v>146</v>
      </c>
      <c r="AN28" s="9" t="n">
        <f aca="false">AN27+AN25</f>
        <v>152</v>
      </c>
      <c r="AO28" s="9" t="n">
        <f aca="false">AO27+AO25</f>
        <v>158</v>
      </c>
      <c r="AP28" s="9" t="n">
        <f aca="false">AP27+AP25</f>
        <v>164</v>
      </c>
      <c r="AQ28" s="9" t="n">
        <f aca="false">AQ27+AQ25</f>
        <v>170</v>
      </c>
      <c r="AR28" s="9" t="n">
        <f aca="false">AR27+AR25</f>
        <v>176</v>
      </c>
      <c r="AS28" s="9" t="n">
        <f aca="false">AS27+AS25</f>
        <v>182</v>
      </c>
      <c r="AT28" s="9" t="n">
        <f aca="false">AT27+AT25</f>
        <v>188</v>
      </c>
      <c r="AU28" s="9" t="n">
        <f aca="false">AU27+AU25</f>
        <v>194</v>
      </c>
      <c r="AV28" s="9" t="n">
        <f aca="false">AV27+AV25</f>
        <v>200</v>
      </c>
      <c r="AW28" s="9" t="n">
        <f aca="false">AW27+AW25</f>
        <v>206</v>
      </c>
      <c r="AX28" s="9" t="n">
        <f aca="false">AX27+AX25</f>
        <v>212</v>
      </c>
      <c r="AY28" s="9" t="n">
        <f aca="false">AY27+AY25</f>
        <v>218</v>
      </c>
      <c r="AZ28" s="9" t="n">
        <f aca="false">AZ27+AZ25</f>
        <v>224</v>
      </c>
      <c r="BA28" s="9" t="n">
        <f aca="false">BA27+BA25</f>
        <v>230</v>
      </c>
      <c r="BB28" s="9" t="n">
        <f aca="false">BB27+BB25</f>
        <v>236</v>
      </c>
      <c r="BC28" s="9" t="n">
        <f aca="false">BC27+BC25</f>
        <v>242</v>
      </c>
      <c r="BD28" s="9" t="n">
        <f aca="false">BD27+BD25</f>
        <v>248</v>
      </c>
      <c r="BE28" s="9" t="n">
        <f aca="false">BE27+BE25</f>
        <v>254</v>
      </c>
      <c r="BF28" s="9" t="n">
        <f aca="false">BF27+BF25</f>
        <v>260</v>
      </c>
      <c r="BG28" s="9" t="n">
        <f aca="false">BG27+BG25</f>
        <v>266</v>
      </c>
      <c r="BH28" s="9" t="n">
        <f aca="false">BH27+BH25</f>
        <v>272</v>
      </c>
      <c r="BI28" s="9" t="n">
        <f aca="false">BI27+BI25</f>
        <v>278</v>
      </c>
      <c r="BJ28" s="9" t="n">
        <f aca="false">BJ27+BJ25</f>
        <v>284</v>
      </c>
      <c r="BK28" s="9" t="n">
        <f aca="false">BK27+BK25</f>
        <v>290</v>
      </c>
      <c r="BL28" s="9" t="n">
        <f aca="false">BL27+BL25</f>
        <v>296</v>
      </c>
      <c r="BM28" s="9" t="n">
        <f aca="false">BM27+BM25</f>
        <v>300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369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1</v>
      </c>
      <c r="P29" s="9" t="n">
        <f aca="false">IF(P17=$F$11,1,0)</f>
        <v>0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370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1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371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1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0</v>
      </c>
    </row>
    <row r="32" customFormat="false" ht="15" hidden="false" customHeight="false" outlineLevel="0" collapsed="false">
      <c r="D32" s="0" t="s">
        <v>372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1</v>
      </c>
      <c r="BN32" s="9" t="n">
        <f aca="false">IF(AND(BN25&gt;0,0=0),1,0)</f>
        <v>0</v>
      </c>
    </row>
    <row r="33" customFormat="false" ht="15" hidden="false" customHeight="false" outlineLevel="0" collapsed="false">
      <c r="D33" s="0" t="s">
        <v>373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374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376</v>
      </c>
      <c r="J5" s="3" t="s">
        <v>377</v>
      </c>
      <c r="K5" s="3" t="s">
        <v>378</v>
      </c>
      <c r="L5" s="3" t="s">
        <v>379</v>
      </c>
      <c r="M5" s="3" t="s">
        <v>380</v>
      </c>
      <c r="N5" s="3" t="s">
        <v>381</v>
      </c>
      <c r="O5" s="3" t="s">
        <v>382</v>
      </c>
      <c r="P5" s="3" t="s">
        <v>383</v>
      </c>
      <c r="Q5" s="3" t="s">
        <v>384</v>
      </c>
      <c r="R5" s="3" t="s">
        <v>385</v>
      </c>
      <c r="S5" s="3" t="s">
        <v>386</v>
      </c>
      <c r="T5" s="3" t="s">
        <v>387</v>
      </c>
      <c r="U5" s="3" t="s">
        <v>388</v>
      </c>
      <c r="V5" s="3" t="s">
        <v>389</v>
      </c>
      <c r="W5" s="3" t="s">
        <v>390</v>
      </c>
      <c r="X5" s="3" t="s">
        <v>391</v>
      </c>
      <c r="Y5" s="3" t="s">
        <v>392</v>
      </c>
      <c r="Z5" s="3" t="s">
        <v>393</v>
      </c>
      <c r="AA5" s="3" t="s">
        <v>394</v>
      </c>
      <c r="AB5" s="3" t="s">
        <v>395</v>
      </c>
      <c r="AC5" s="3" t="s">
        <v>396</v>
      </c>
      <c r="AD5" s="3" t="s">
        <v>397</v>
      </c>
      <c r="AE5" s="3" t="s">
        <v>398</v>
      </c>
      <c r="AF5" s="3" t="s">
        <v>399</v>
      </c>
      <c r="AG5" s="3" t="s">
        <v>400</v>
      </c>
      <c r="AH5" s="3" t="s">
        <v>401</v>
      </c>
      <c r="AI5" s="3" t="s">
        <v>402</v>
      </c>
      <c r="AJ5" s="3" t="s">
        <v>403</v>
      </c>
      <c r="AK5" s="3" t="s">
        <v>404</v>
      </c>
      <c r="AL5" s="3" t="s">
        <v>405</v>
      </c>
      <c r="AM5" s="3" t="s">
        <v>406</v>
      </c>
      <c r="AN5" s="3" t="s">
        <v>407</v>
      </c>
      <c r="AO5" s="3" t="s">
        <v>408</v>
      </c>
      <c r="AP5" s="3" t="s">
        <v>409</v>
      </c>
      <c r="AQ5" s="3" t="s">
        <v>410</v>
      </c>
      <c r="AR5" s="3" t="s">
        <v>411</v>
      </c>
      <c r="AS5" s="3" t="s">
        <v>412</v>
      </c>
      <c r="AT5" s="3" t="s">
        <v>413</v>
      </c>
      <c r="AU5" s="3" t="s">
        <v>414</v>
      </c>
      <c r="AV5" s="3" t="s">
        <v>415</v>
      </c>
      <c r="AW5" s="3" t="s">
        <v>416</v>
      </c>
      <c r="AX5" s="3" t="s">
        <v>417</v>
      </c>
      <c r="AY5" s="3" t="s">
        <v>418</v>
      </c>
      <c r="AZ5" s="3" t="s">
        <v>419</v>
      </c>
      <c r="BA5" s="3" t="s">
        <v>420</v>
      </c>
      <c r="BB5" s="3" t="s">
        <v>421</v>
      </c>
      <c r="BC5" s="3" t="s">
        <v>422</v>
      </c>
      <c r="BD5" s="3" t="s">
        <v>423</v>
      </c>
      <c r="BE5" s="3" t="s">
        <v>424</v>
      </c>
      <c r="BF5" s="3" t="s">
        <v>425</v>
      </c>
      <c r="BG5" s="3" t="s">
        <v>426</v>
      </c>
      <c r="BH5" s="3" t="s">
        <v>427</v>
      </c>
      <c r="BI5" s="3" t="s">
        <v>428</v>
      </c>
      <c r="BJ5" s="3" t="s">
        <v>429</v>
      </c>
    </row>
    <row r="7" customFormat="false" ht="15" hidden="false" customHeight="false" outlineLevel="0" collapsed="false">
      <c r="B7" s="2" t="s">
        <v>430</v>
      </c>
    </row>
    <row r="8" customFormat="false" ht="15" hidden="false" customHeight="false" outlineLevel="0" collapsed="false">
      <c r="D8" s="0" t="s">
        <v>431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432</v>
      </c>
      <c r="E9" s="0" t="s">
        <v>349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433</v>
      </c>
      <c r="E10" s="0" t="s">
        <v>349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434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435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436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0</v>
      </c>
      <c r="AR13" s="9" t="n">
        <f aca="false">IF(AR8&lt;=Time!$F$10,1,0)</f>
        <v>0</v>
      </c>
      <c r="AS13" s="9" t="n">
        <f aca="false">IF(AS8&lt;=Time!$F$10,1,0)</f>
        <v>0</v>
      </c>
      <c r="AT13" s="9" t="n">
        <f aca="false">IF(AT8&lt;=Time!$F$10,1,0)</f>
        <v>0</v>
      </c>
      <c r="AU13" s="9" t="n">
        <f aca="false">IF(AU8&lt;=Time!$F$10,1,0)</f>
        <v>0</v>
      </c>
      <c r="AV13" s="9" t="n">
        <f aca="false">IF(AV8&lt;=Time!$F$10,1,0)</f>
        <v>0</v>
      </c>
      <c r="AW13" s="9" t="n">
        <f aca="false">IF(AW8&lt;=Time!$F$10,1,0)</f>
        <v>0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437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0</v>
      </c>
      <c r="AT14" s="9" t="n">
        <f aca="false">IF(AT8&lt;=Time!$F$13,1,0)</f>
        <v>0</v>
      </c>
      <c r="AU14" s="9" t="n">
        <f aca="false">IF(AU8&lt;=Time!$F$13,1,0)</f>
        <v>0</v>
      </c>
      <c r="AV14" s="9" t="n">
        <f aca="false">IF(AV8&lt;=Time!$F$13,1,0)</f>
        <v>0</v>
      </c>
      <c r="AW14" s="9" t="n">
        <f aca="false">IF(AW8&lt;=Time!$F$13,1,0)</f>
        <v>0</v>
      </c>
      <c r="AX14" s="9" t="n">
        <f aca="false">IF(AX8&lt;=Time!$F$13,1,0)</f>
        <v>0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438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1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0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439</v>
      </c>
      <c r="E16" s="0" t="s">
        <v>153</v>
      </c>
      <c r="J16" s="11" t="n">
        <f aca="false">IF(Inputs!$F$33=1,Inputs!$F$60*Time!$F$15^((J8-0.5)/12),INDEX(Operations!$J$11:$BN$11,1,J12))</f>
        <v>520.495338031746</v>
      </c>
      <c r="K16" s="11" t="n">
        <f aca="false">IF(Inputs!$F$33=1,Inputs!$F$60*Time!$F$15^((K8-0.5)/12),INDEX(Operations!$J$11:$BN$11,1,K12))</f>
        <v>522.692948685804</v>
      </c>
      <c r="L16" s="11" t="n">
        <f aca="false">IF(Inputs!$F$33=1,Inputs!$F$60*Time!$F$15^((L8-0.5)/12),INDEX(Operations!$J$11:$BN$11,1,L12))</f>
        <v>524.899837987016</v>
      </c>
      <c r="M16" s="11" t="n">
        <f aca="false">IF(Inputs!$F$33=1,Inputs!$F$60*Time!$F$15^((M8-0.5)/12),INDEX(Operations!$J$11:$BN$11,1,M12))</f>
        <v>527.116045111244</v>
      </c>
      <c r="N16" s="11" t="n">
        <f aca="false">IF(Inputs!$F$33=1,Inputs!$F$60*Time!$F$15^((N8-0.5)/12),INDEX(Operations!$J$11:$BN$11,1,N12))</f>
        <v>529.341609399758</v>
      </c>
      <c r="O16" s="11" t="n">
        <f aca="false">IF(Inputs!$F$33=1,Inputs!$F$60*Time!$F$15^((O8-0.5)/12),INDEX(Operations!$J$11:$BN$11,1,O12))</f>
        <v>531.576570359931</v>
      </c>
      <c r="P16" s="11" t="n">
        <f aca="false">IF(Inputs!$F$33=1,Inputs!$F$60*Time!$F$15^((P8-0.5)/12),INDEX(Operations!$J$11:$BN$11,1,P12))</f>
        <v>533.820967665944</v>
      </c>
      <c r="Q16" s="11" t="n">
        <f aca="false">IF(Inputs!$F$33=1,Inputs!$F$60*Time!$F$15^((Q8-0.5)/12),INDEX(Operations!$J$11:$BN$11,1,Q12))</f>
        <v>536.074841159486</v>
      </c>
      <c r="R16" s="11" t="n">
        <f aca="false">IF(Inputs!$F$33=1,Inputs!$F$60*Time!$F$15^((R8-0.5)/12),INDEX(Operations!$J$11:$BN$11,1,R12))</f>
        <v>538.338230850467</v>
      </c>
      <c r="S16" s="11" t="n">
        <f aca="false">IF(Inputs!$F$33=1,Inputs!$F$60*Time!$F$15^((S8-0.5)/12),INDEX(Operations!$J$11:$BN$11,1,S12))</f>
        <v>540.611176917722</v>
      </c>
      <c r="T16" s="11" t="n">
        <f aca="false">IF(Inputs!$F$33=1,Inputs!$F$60*Time!$F$15^((T8-0.5)/12),INDEX(Operations!$J$11:$BN$11,1,T12))</f>
        <v>542.893719709728</v>
      </c>
      <c r="U16" s="11" t="n">
        <f aca="false">IF(Inputs!$F$33=1,Inputs!$F$60*Time!$F$15^((U8-0.5)/12),INDEX(Operations!$J$11:$BN$11,1,U12))</f>
        <v>545.18589974532</v>
      </c>
      <c r="V16" s="11" t="n">
        <f aca="false">IF(Inputs!$F$33=1,Inputs!$F$60*Time!$F$15^((V8-0.5)/12),INDEX(Operations!$J$11:$BN$11,1,V12))</f>
        <v>547.48775771441</v>
      </c>
      <c r="W16" s="11" t="n">
        <f aca="false">IF(Inputs!$F$33=1,Inputs!$F$60*Time!$F$15^((W8-0.5)/12),INDEX(Operations!$J$11:$BN$11,1,W12))</f>
        <v>549.799334478708</v>
      </c>
      <c r="X16" s="11" t="n">
        <f aca="false">IF(Inputs!$F$33=1,Inputs!$F$60*Time!$F$15^((X8-0.5)/12),INDEX(Operations!$J$11:$BN$11,1,X12))</f>
        <v>552.120671072448</v>
      </c>
      <c r="Y16" s="11" t="n">
        <f aca="false">IF(Inputs!$F$33=1,Inputs!$F$60*Time!$F$15^((Y8-0.5)/12),INDEX(Operations!$J$11:$BN$11,1,Y12))</f>
        <v>554.451808703119</v>
      </c>
      <c r="Z16" s="11" t="n">
        <f aca="false">IF(Inputs!$F$33=1,Inputs!$F$60*Time!$F$15^((Z8-0.5)/12),INDEX(Operations!$J$11:$BN$11,1,Z12))</f>
        <v>556.792788752192</v>
      </c>
      <c r="AA16" s="11" t="n">
        <f aca="false">IF(Inputs!$F$33=1,Inputs!$F$60*Time!$F$15^((AA8-0.5)/12),INDEX(Operations!$J$11:$BN$11,1,AA12))</f>
        <v>559.143652775857</v>
      </c>
      <c r="AB16" s="11" t="n">
        <f aca="false">IF(Inputs!$F$33=1,Inputs!$F$60*Time!$F$15^((AB8-0.5)/12),INDEX(Operations!$J$11:$BN$11,1,AB12))</f>
        <v>561.504442505763</v>
      </c>
      <c r="AC16" s="11" t="n">
        <f aca="false">IF(Inputs!$F$33=1,Inputs!$F$60*Time!$F$15^((AC8-0.5)/12),INDEX(Operations!$J$11:$BN$11,1,AC12))</f>
        <v>563.875199849753</v>
      </c>
      <c r="AD16" s="11" t="n">
        <f aca="false">IF(Inputs!$F$33=1,Inputs!$F$60*Time!$F$15^((AD8-0.5)/12),INDEX(Operations!$J$11:$BN$11,1,AD12))</f>
        <v>566.255966892614</v>
      </c>
      <c r="AE16" s="11" t="n">
        <f aca="false">IF(Inputs!$F$33=1,Inputs!$F$60*Time!$F$15^((AE8-0.5)/12),INDEX(Operations!$J$11:$BN$11,1,AE12))</f>
        <v>568.646785896821</v>
      </c>
      <c r="AF16" s="11" t="n">
        <f aca="false">IF(Inputs!$F$33=1,Inputs!$F$60*Time!$F$15^((AF8-0.5)/12),INDEX(Operations!$J$11:$BN$11,1,AF12))</f>
        <v>571.047699303285</v>
      </c>
      <c r="AG16" s="11" t="n">
        <f aca="false">IF(Inputs!$F$33=1,Inputs!$F$60*Time!$F$15^((AG8-0.5)/12),INDEX(Operations!$J$11:$BN$11,1,AG12))</f>
        <v>573.458749732113</v>
      </c>
      <c r="AH16" s="11" t="n">
        <f aca="false">IF(Inputs!$F$33=1,Inputs!$F$60*Time!$F$15^((AH8-0.5)/12),INDEX(Operations!$J$11:$BN$11,1,AH12))</f>
        <v>575.879979983357</v>
      </c>
      <c r="AI16" s="11" t="n">
        <f aca="false">IF(Inputs!$F$33=1,Inputs!$F$60*Time!$F$15^((AI8-0.5)/12),INDEX(Operations!$J$11:$BN$11,1,AI12))</f>
        <v>578.31143303778</v>
      </c>
      <c r="AJ16" s="11" t="n">
        <f aca="false">IF(Inputs!$F$33=1,Inputs!$F$60*Time!$F$15^((AJ8-0.5)/12),INDEX(Operations!$J$11:$BN$11,1,AJ12))</f>
        <v>580.753152057614</v>
      </c>
      <c r="AK16" s="11" t="n">
        <f aca="false">IF(Inputs!$F$33=1,Inputs!$F$60*Time!$F$15^((AK8-0.5)/12),INDEX(Operations!$J$11:$BN$11,1,AK12))</f>
        <v>583.205180387331</v>
      </c>
      <c r="AL16" s="11" t="n">
        <f aca="false">IF(Inputs!$F$33=1,Inputs!$F$60*Time!$F$15^((AL8-0.5)/12),INDEX(Operations!$J$11:$BN$11,1,AL12))</f>
        <v>585.667561554409</v>
      </c>
      <c r="AM16" s="11" t="n">
        <f aca="false">IF(Inputs!$F$33=1,Inputs!$F$60*Time!$F$15^((AM8-0.5)/12),INDEX(Operations!$J$11:$BN$11,1,AM12))</f>
        <v>588.140339270104</v>
      </c>
      <c r="AN16" s="11" t="n">
        <f aca="false">IF(Inputs!$F$33=1,Inputs!$F$60*Time!$F$15^((AN8-0.5)/12),INDEX(Operations!$J$11:$BN$11,1,AN12))</f>
        <v>590.62355743023</v>
      </c>
      <c r="AO16" s="11" t="n">
        <f aca="false">IF(Inputs!$F$33=1,Inputs!$F$60*Time!$F$15^((AO8-0.5)/12),INDEX(Operations!$J$11:$BN$11,1,AO12))</f>
        <v>593.117260115934</v>
      </c>
      <c r="AP16" s="11" t="n">
        <f aca="false">IF(Inputs!$F$33=1,Inputs!$F$60*Time!$F$15^((AP8-0.5)/12),INDEX(Operations!$J$11:$BN$11,1,AP12))</f>
        <v>595.621491594482</v>
      </c>
      <c r="AQ16" s="11" t="n">
        <f aca="false">IF(Inputs!$F$33=1,Inputs!$F$60*Time!$F$15^((AQ8-0.5)/12),INDEX(Operations!$J$11:$BN$11,1,AQ12))</f>
        <v>598.136296320041</v>
      </c>
      <c r="AR16" s="11" t="n">
        <f aca="false">IF(Inputs!$F$33=1,Inputs!$F$60*Time!$F$15^((AR8-0.5)/12),INDEX(Operations!$J$11:$BN$11,1,AR12))</f>
        <v>600.661718934473</v>
      </c>
      <c r="AS16" s="11" t="n">
        <f aca="false">IF(Inputs!$F$33=1,Inputs!$F$60*Time!$F$15^((AS8-0.5)/12),INDEX(Operations!$J$11:$BN$11,1,AS12))</f>
        <v>603.197804268122</v>
      </c>
      <c r="AT16" s="11" t="n">
        <f aca="false">IF(Inputs!$F$33=1,Inputs!$F$60*Time!$F$15^((AT8-0.5)/12),INDEX(Operations!$J$11:$BN$11,1,AT12))</f>
        <v>605.744597340615</v>
      </c>
      <c r="AU16" s="11" t="n">
        <f aca="false">IF(Inputs!$F$33=1,Inputs!$F$60*Time!$F$15^((AU8-0.5)/12),INDEX(Operations!$J$11:$BN$11,1,AU12))</f>
        <v>608.302143361657</v>
      </c>
      <c r="AV16" s="11" t="n">
        <f aca="false">IF(Inputs!$F$33=1,Inputs!$F$60*Time!$F$15^((AV8-0.5)/12),INDEX(Operations!$J$11:$BN$11,1,AV12))</f>
        <v>610.870487731835</v>
      </c>
      <c r="AW16" s="11" t="n">
        <f aca="false">IF(Inputs!$F$33=1,Inputs!$F$60*Time!$F$15^((AW8-0.5)/12),INDEX(Operations!$J$11:$BN$11,1,AW12))</f>
        <v>613.449676043426</v>
      </c>
      <c r="AX16" s="11" t="n">
        <f aca="false">IF(Inputs!$F$33=1,Inputs!$F$60*Time!$F$15^((AX8-0.5)/12),INDEX(Operations!$J$11:$BN$11,1,AX12))</f>
        <v>616.039754081203</v>
      </c>
      <c r="AY16" s="11" t="n">
        <f aca="false">IF(Inputs!$F$33=1,Inputs!$F$60*Time!$F$15^((AY8-0.5)/12),INDEX(Operations!$J$11:$BN$11,1,AY12))</f>
        <v>618.64076782325</v>
      </c>
      <c r="AZ16" s="11" t="n">
        <f aca="false">IF(Inputs!$F$33=1,Inputs!$F$60*Time!$F$15^((AZ8-0.5)/12),INDEX(Operations!$J$11:$BN$11,1,AZ12))</f>
        <v>621.252763441778</v>
      </c>
      <c r="BA16" s="11" t="n">
        <f aca="false">IF(Inputs!$F$33=1,Inputs!$F$60*Time!$F$15^((BA8-0.5)/12),INDEX(Operations!$J$11:$BN$11,1,BA12))</f>
        <v>623.875787303942</v>
      </c>
      <c r="BB16" s="11" t="n">
        <f aca="false">IF(Inputs!$F$33=1,Inputs!$F$60*Time!$F$15^((BB8-0.5)/12),INDEX(Operations!$J$11:$BN$11,1,BB12))</f>
        <v>626.509885972669</v>
      </c>
      <c r="BC16" s="11" t="n">
        <f aca="false">IF(Inputs!$F$33=1,Inputs!$F$60*Time!$F$15^((BC8-0.5)/12),INDEX(Operations!$J$11:$BN$11,1,BC12))</f>
        <v>629.15510620748</v>
      </c>
      <c r="BD16" s="11" t="n">
        <f aca="false">IF(Inputs!$F$33=1,Inputs!$F$60*Time!$F$15^((BD8-0.5)/12),INDEX(Operations!$J$11:$BN$11,1,BD12))</f>
        <v>631.811494965321</v>
      </c>
      <c r="BE16" s="11" t="n">
        <f aca="false">IF(Inputs!$F$33=1,Inputs!$F$60*Time!$F$15^((BE8-0.5)/12),INDEX(Operations!$J$11:$BN$11,1,BE12))</f>
        <v>634.479099401401</v>
      </c>
      <c r="BF16" s="11" t="n">
        <f aca="false">IF(Inputs!$F$33=1,Inputs!$F$60*Time!$F$15^((BF8-0.5)/12),INDEX(Operations!$J$11:$BN$11,1,BF12))</f>
        <v>637.157966870021</v>
      </c>
      <c r="BG16" s="11" t="n">
        <f aca="false">IF(Inputs!$F$33=1,Inputs!$F$60*Time!$F$15^((BG8-0.5)/12),INDEX(Operations!$J$11:$BN$11,1,BG12))</f>
        <v>639.848144925422</v>
      </c>
      <c r="BH16" s="11" t="n">
        <f aca="false">IF(Inputs!$F$33=1,Inputs!$F$60*Time!$F$15^((BH8-0.5)/12),INDEX(Operations!$J$11:$BN$11,1,BH12))</f>
        <v>642.549681322625</v>
      </c>
      <c r="BI16" s="11" t="n">
        <f aca="false">IF(Inputs!$F$33=1,Inputs!$F$60*Time!$F$15^((BI8-0.5)/12),INDEX(Operations!$J$11:$BN$11,1,BI12))</f>
        <v>645.262624018281</v>
      </c>
      <c r="BJ16" s="11" t="n">
        <f aca="false">IF(Inputs!$F$33=1,Inputs!$F$60*Time!$F$15^((BJ8-0.5)/12),INDEX(Operations!$J$11:$BN$11,1,BJ12))</f>
        <v>647.98702117152</v>
      </c>
    </row>
    <row r="17" customFormat="false" ht="15" hidden="false" customHeight="false" outlineLevel="0" collapsed="false">
      <c r="D17" s="0" t="s">
        <v>440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2.79</v>
      </c>
      <c r="P17" s="11" t="n">
        <f aca="false">INDEX(Operations!$J$8:$BN$8,1,P12)</f>
        <v>2.79</v>
      </c>
      <c r="Q17" s="11" t="n">
        <f aca="false">INDEX(Operations!$J$8:$BN$8,1,Q12)</f>
        <v>2.79</v>
      </c>
      <c r="R17" s="11" t="n">
        <f aca="false">INDEX(Operations!$J$8:$BN$8,1,R12)</f>
        <v>2.79</v>
      </c>
      <c r="S17" s="11" t="n">
        <f aca="false">INDEX(Operations!$J$8:$BN$8,1,S12)</f>
        <v>2.79</v>
      </c>
      <c r="T17" s="11" t="n">
        <f aca="false">INDEX(Operations!$J$8:$BN$8,1,T12)</f>
        <v>2.79</v>
      </c>
      <c r="U17" s="11" t="n">
        <f aca="false">INDEX(Operations!$J$8:$BN$8,1,U12)</f>
        <v>2.94</v>
      </c>
      <c r="V17" s="11" t="n">
        <f aca="false">INDEX(Operations!$J$8:$BN$8,1,V12)</f>
        <v>2.94</v>
      </c>
      <c r="W17" s="11" t="n">
        <f aca="false">INDEX(Operations!$J$8:$BN$8,1,W12)</f>
        <v>2.94</v>
      </c>
      <c r="X17" s="11" t="n">
        <f aca="false">INDEX(Operations!$J$8:$BN$8,1,X12)</f>
        <v>2.94</v>
      </c>
      <c r="Y17" s="11" t="n">
        <f aca="false">INDEX(Operations!$J$8:$BN$8,1,Y12)</f>
        <v>2.94</v>
      </c>
      <c r="Z17" s="11" t="n">
        <f aca="false">INDEX(Operations!$J$8:$BN$8,1,Z12)</f>
        <v>2.94</v>
      </c>
      <c r="AA17" s="11" t="n">
        <f aca="false">INDEX(Operations!$J$8:$BN$8,1,AA12)</f>
        <v>3.02</v>
      </c>
      <c r="AB17" s="11" t="n">
        <f aca="false">INDEX(Operations!$J$8:$BN$8,1,AB12)</f>
        <v>3.02</v>
      </c>
      <c r="AC17" s="11" t="n">
        <f aca="false">INDEX(Operations!$J$8:$BN$8,1,AC12)</f>
        <v>3.02</v>
      </c>
      <c r="AD17" s="11" t="n">
        <f aca="false">INDEX(Operations!$J$8:$BN$8,1,AD12)</f>
        <v>3.02</v>
      </c>
      <c r="AE17" s="11" t="n">
        <f aca="false">INDEX(Operations!$J$8:$BN$8,1,AE12)</f>
        <v>3.02</v>
      </c>
      <c r="AF17" s="11" t="n">
        <f aca="false">INDEX(Operations!$J$8:$BN$8,1,AF12)</f>
        <v>3.02</v>
      </c>
      <c r="AG17" s="11" t="n">
        <f aca="false">INDEX(Operations!$J$8:$BN$8,1,AG12)</f>
        <v>3.06</v>
      </c>
      <c r="AH17" s="11" t="n">
        <f aca="false">INDEX(Operations!$J$8:$BN$8,1,AH12)</f>
        <v>3.06</v>
      </c>
      <c r="AI17" s="11" t="n">
        <f aca="false">INDEX(Operations!$J$8:$BN$8,1,AI12)</f>
        <v>3.06</v>
      </c>
      <c r="AJ17" s="11" t="n">
        <f aca="false">INDEX(Operations!$J$8:$BN$8,1,AJ12)</f>
        <v>3.06</v>
      </c>
      <c r="AK17" s="11" t="n">
        <f aca="false">INDEX(Operations!$J$8:$BN$8,1,AK12)</f>
        <v>3.06</v>
      </c>
      <c r="AL17" s="11" t="n">
        <f aca="false">INDEX(Operations!$J$8:$BN$8,1,AL12)</f>
        <v>3.06</v>
      </c>
      <c r="AM17" s="11" t="n">
        <f aca="false">INDEX(Operations!$J$8:$BN$8,1,AM12)</f>
        <v>3.09</v>
      </c>
      <c r="AN17" s="11" t="n">
        <f aca="false">INDEX(Operations!$J$8:$BN$8,1,AN12)</f>
        <v>3.09</v>
      </c>
      <c r="AO17" s="11" t="n">
        <f aca="false">INDEX(Operations!$J$8:$BN$8,1,AO12)</f>
        <v>3.09</v>
      </c>
      <c r="AP17" s="11" t="n">
        <f aca="false">INDEX(Operations!$J$8:$BN$8,1,AP12)</f>
        <v>3.09</v>
      </c>
      <c r="AQ17" s="11" t="n">
        <f aca="false">INDEX(Operations!$J$8:$BN$8,1,AQ12)</f>
        <v>3.09</v>
      </c>
      <c r="AR17" s="11" t="n">
        <f aca="false">INDEX(Operations!$J$8:$BN$8,1,AR12)</f>
        <v>3.09</v>
      </c>
      <c r="AS17" s="11" t="n">
        <f aca="false">INDEX(Operations!$J$8:$BN$8,1,AS12)</f>
        <v>3.09</v>
      </c>
      <c r="AT17" s="11" t="n">
        <f aca="false">INDEX(Operations!$J$8:$BN$8,1,AT12)</f>
        <v>3.09</v>
      </c>
      <c r="AU17" s="11" t="n">
        <f aca="false">INDEX(Operations!$J$8:$BN$8,1,AU12)</f>
        <v>3.09</v>
      </c>
      <c r="AV17" s="11" t="n">
        <f aca="false">INDEX(Operations!$J$8:$BN$8,1,AV12)</f>
        <v>3.09</v>
      </c>
      <c r="AW17" s="11" t="n">
        <f aca="false">INDEX(Operations!$J$8:$BN$8,1,AW12)</f>
        <v>3.09</v>
      </c>
      <c r="AX17" s="11" t="n">
        <f aca="false">INDEX(Operations!$J$8:$BN$8,1,AX12)</f>
        <v>3.09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441</v>
      </c>
      <c r="E18" s="0" t="s">
        <v>103</v>
      </c>
      <c r="J18" s="11" t="n">
        <f aca="false">IF(Inputs!$F$33=1,Inputs!$F$73,INDEX(Inputs!$J$213:$AR$213,1,YEAR(J9)-2014))</f>
        <v>13.5</v>
      </c>
      <c r="K18" s="11" t="n">
        <f aca="false">IF(Inputs!$F$33=1,Inputs!$F$73,INDEX(Inputs!$J$213:$AR$213,1,YEAR(K9)-2014))</f>
        <v>13.5</v>
      </c>
      <c r="L18" s="11" t="n">
        <f aca="false">IF(Inputs!$F$33=1,Inputs!$F$73,INDEX(Inputs!$J$213:$AR$213,1,YEAR(L9)-2014))</f>
        <v>13.5</v>
      </c>
      <c r="M18" s="11" t="n">
        <f aca="false">IF(Inputs!$F$33=1,Inputs!$F$73,INDEX(Inputs!$J$213:$AR$213,1,YEAR(M9)-2014))</f>
        <v>13.5</v>
      </c>
      <c r="N18" s="11" t="n">
        <f aca="false">IF(Inputs!$F$33=1,Inputs!$F$73,INDEX(Inputs!$J$213:$AR$213,1,YEAR(N9)-2014))</f>
        <v>13.5</v>
      </c>
      <c r="O18" s="11" t="n">
        <f aca="false">IF(Inputs!$F$33=1,Inputs!$F$73,INDEX(Inputs!$J$213:$AR$213,1,YEAR(O9)-2014))</f>
        <v>13.5</v>
      </c>
      <c r="P18" s="11" t="n">
        <f aca="false">IF(Inputs!$F$33=1,Inputs!$F$73,INDEX(Inputs!$J$213:$AR$213,1,YEAR(P9)-2014))</f>
        <v>13.5</v>
      </c>
      <c r="Q18" s="11" t="n">
        <f aca="false">IF(Inputs!$F$33=1,Inputs!$F$73,INDEX(Inputs!$J$213:$AR$213,1,YEAR(Q9)-2014))</f>
        <v>13.5</v>
      </c>
      <c r="R18" s="11" t="n">
        <f aca="false">IF(Inputs!$F$33=1,Inputs!$F$73,INDEX(Inputs!$J$213:$AR$213,1,YEAR(R9)-2014))</f>
        <v>13.5</v>
      </c>
      <c r="S18" s="11" t="n">
        <f aca="false">IF(Inputs!$F$33=1,Inputs!$F$73,INDEX(Inputs!$J$213:$AR$213,1,YEAR(S9)-2014))</f>
        <v>13.5</v>
      </c>
      <c r="T18" s="11" t="n">
        <f aca="false">IF(Inputs!$F$33=1,Inputs!$F$73,INDEX(Inputs!$J$213:$AR$213,1,YEAR(T9)-2014))</f>
        <v>13.5</v>
      </c>
      <c r="U18" s="11" t="n">
        <f aca="false">IF(Inputs!$F$33=1,Inputs!$F$73,INDEX(Inputs!$J$213:$AR$213,1,YEAR(U9)-2014))</f>
        <v>13.5</v>
      </c>
      <c r="V18" s="11" t="n">
        <f aca="false">IF(Inputs!$F$33=1,Inputs!$F$73,INDEX(Inputs!$J$213:$AR$213,1,YEAR(V9)-2014))</f>
        <v>13.5</v>
      </c>
      <c r="W18" s="11" t="n">
        <f aca="false">IF(Inputs!$F$33=1,Inputs!$F$73,INDEX(Inputs!$J$213:$AR$213,1,YEAR(W9)-2014))</f>
        <v>13.5</v>
      </c>
      <c r="X18" s="11" t="n">
        <f aca="false">IF(Inputs!$F$33=1,Inputs!$F$73,INDEX(Inputs!$J$213:$AR$213,1,YEAR(X9)-2014))</f>
        <v>13.5</v>
      </c>
      <c r="Y18" s="11" t="n">
        <f aca="false">IF(Inputs!$F$33=1,Inputs!$F$73,INDEX(Inputs!$J$213:$AR$213,1,YEAR(Y9)-2014))</f>
        <v>13.5</v>
      </c>
      <c r="Z18" s="11" t="n">
        <f aca="false">IF(Inputs!$F$33=1,Inputs!$F$73,INDEX(Inputs!$J$213:$AR$213,1,YEAR(Z9)-2014))</f>
        <v>13.5</v>
      </c>
      <c r="AA18" s="11" t="n">
        <f aca="false">IF(Inputs!$F$33=1,Inputs!$F$73,INDEX(Inputs!$J$213:$AR$213,1,YEAR(AA9)-2014))</f>
        <v>13.5</v>
      </c>
      <c r="AB18" s="11" t="n">
        <f aca="false">IF(Inputs!$F$33=1,Inputs!$F$73,INDEX(Inputs!$J$213:$AR$213,1,YEAR(AB9)-2014))</f>
        <v>13.5</v>
      </c>
      <c r="AC18" s="11" t="n">
        <f aca="false">IF(Inputs!$F$33=1,Inputs!$F$73,INDEX(Inputs!$J$213:$AR$213,1,YEAR(AC9)-2014))</f>
        <v>13.5</v>
      </c>
      <c r="AD18" s="11" t="n">
        <f aca="false">IF(Inputs!$F$33=1,Inputs!$F$73,INDEX(Inputs!$J$213:$AR$213,1,YEAR(AD9)-2014))</f>
        <v>13.5</v>
      </c>
      <c r="AE18" s="11" t="n">
        <f aca="false">IF(Inputs!$F$33=1,Inputs!$F$73,INDEX(Inputs!$J$213:$AR$213,1,YEAR(AE9)-2014))</f>
        <v>13.5</v>
      </c>
      <c r="AF18" s="11" t="n">
        <f aca="false">IF(Inputs!$F$33=1,Inputs!$F$73,INDEX(Inputs!$J$213:$AR$213,1,YEAR(AF9)-2014))</f>
        <v>13.5</v>
      </c>
      <c r="AG18" s="11" t="n">
        <f aca="false">IF(Inputs!$F$33=1,Inputs!$F$73,INDEX(Inputs!$J$213:$AR$213,1,YEAR(AG9)-2014))</f>
        <v>13.5</v>
      </c>
      <c r="AH18" s="11" t="n">
        <f aca="false">IF(Inputs!$F$33=1,Inputs!$F$73,INDEX(Inputs!$J$213:$AR$213,1,YEAR(AH9)-2014))</f>
        <v>13.5</v>
      </c>
      <c r="AI18" s="11" t="n">
        <f aca="false">IF(Inputs!$F$33=1,Inputs!$F$73,INDEX(Inputs!$J$213:$AR$213,1,YEAR(AI9)-2014))</f>
        <v>13.5</v>
      </c>
      <c r="AJ18" s="11" t="n">
        <f aca="false">IF(Inputs!$F$33=1,Inputs!$F$73,INDEX(Inputs!$J$213:$AR$213,1,YEAR(AJ9)-2014))</f>
        <v>13.5</v>
      </c>
      <c r="AK18" s="11" t="n">
        <f aca="false">IF(Inputs!$F$33=1,Inputs!$F$73,INDEX(Inputs!$J$213:$AR$213,1,YEAR(AK9)-2014))</f>
        <v>13.5</v>
      </c>
      <c r="AL18" s="11" t="n">
        <f aca="false">IF(Inputs!$F$33=1,Inputs!$F$73,INDEX(Inputs!$J$213:$AR$213,1,YEAR(AL9)-2014))</f>
        <v>13.5</v>
      </c>
      <c r="AM18" s="11" t="n">
        <f aca="false">IF(Inputs!$F$33=1,Inputs!$F$73,INDEX(Inputs!$J$213:$AR$213,1,YEAR(AM9)-2014))</f>
        <v>13.5</v>
      </c>
      <c r="AN18" s="11" t="n">
        <f aca="false">IF(Inputs!$F$33=1,Inputs!$F$73,INDEX(Inputs!$J$213:$AR$213,1,YEAR(AN9)-2014))</f>
        <v>13.5</v>
      </c>
      <c r="AO18" s="11" t="n">
        <f aca="false">IF(Inputs!$F$33=1,Inputs!$F$73,INDEX(Inputs!$J$213:$AR$213,1,YEAR(AO9)-2014))</f>
        <v>13.5</v>
      </c>
      <c r="AP18" s="11" t="n">
        <f aca="false">IF(Inputs!$F$33=1,Inputs!$F$73,INDEX(Inputs!$J$213:$AR$213,1,YEAR(AP9)-2014))</f>
        <v>13.5</v>
      </c>
      <c r="AQ18" s="11" t="n">
        <f aca="false">IF(Inputs!$F$33=1,Inputs!$F$73,INDEX(Inputs!$J$213:$AR$213,1,YEAR(AQ9)-2014))</f>
        <v>13.5</v>
      </c>
      <c r="AR18" s="11" t="n">
        <f aca="false">IF(Inputs!$F$33=1,Inputs!$F$73,INDEX(Inputs!$J$213:$AR$213,1,YEAR(AR9)-2014))</f>
        <v>13.5</v>
      </c>
      <c r="AS18" s="11" t="n">
        <f aca="false">IF(Inputs!$F$33=1,Inputs!$F$73,INDEX(Inputs!$J$213:$AR$213,1,YEAR(AS9)-2014))</f>
        <v>13.5</v>
      </c>
      <c r="AT18" s="11" t="n">
        <f aca="false">IF(Inputs!$F$33=1,Inputs!$F$73,INDEX(Inputs!$J$213:$AR$213,1,YEAR(AT9)-2014))</f>
        <v>13.5</v>
      </c>
      <c r="AU18" s="11" t="n">
        <f aca="false">IF(Inputs!$F$33=1,Inputs!$F$73,INDEX(Inputs!$J$213:$AR$213,1,YEAR(AU9)-2014))</f>
        <v>13.5</v>
      </c>
      <c r="AV18" s="11" t="n">
        <f aca="false">IF(Inputs!$F$33=1,Inputs!$F$73,INDEX(Inputs!$J$213:$AR$213,1,YEAR(AV9)-2014))</f>
        <v>13.5</v>
      </c>
      <c r="AW18" s="11" t="n">
        <f aca="false">IF(Inputs!$F$33=1,Inputs!$F$73,INDEX(Inputs!$J$213:$AR$213,1,YEAR(AW9)-2014))</f>
        <v>13.5</v>
      </c>
      <c r="AX18" s="11" t="n">
        <f aca="false">IF(Inputs!$F$33=1,Inputs!$F$73,INDEX(Inputs!$J$213:$AR$213,1,YEAR(AX9)-2014))</f>
        <v>13.5</v>
      </c>
      <c r="AY18" s="11" t="n">
        <f aca="false">IF(Inputs!$F$33=1,Inputs!$F$73,INDEX(Inputs!$J$213:$AR$213,1,YEAR(AY9)-2014))</f>
        <v>13.5</v>
      </c>
      <c r="AZ18" s="11" t="n">
        <f aca="false">IF(Inputs!$F$33=1,Inputs!$F$73,INDEX(Inputs!$J$213:$AR$213,1,YEAR(AZ9)-2014))</f>
        <v>13.5</v>
      </c>
      <c r="BA18" s="11" t="n">
        <f aca="false">IF(Inputs!$F$33=1,Inputs!$F$73,INDEX(Inputs!$J$213:$AR$213,1,YEAR(BA9)-2014))</f>
        <v>13.5</v>
      </c>
      <c r="BB18" s="11" t="n">
        <f aca="false">IF(Inputs!$F$33=1,Inputs!$F$73,INDEX(Inputs!$J$213:$AR$213,1,YEAR(BB9)-2014))</f>
        <v>13.5</v>
      </c>
      <c r="BC18" s="11" t="n">
        <f aca="false">IF(Inputs!$F$33=1,Inputs!$F$73,INDEX(Inputs!$J$213:$AR$213,1,YEAR(BC9)-2014))</f>
        <v>13.5</v>
      </c>
      <c r="BD18" s="11" t="n">
        <f aca="false">IF(Inputs!$F$33=1,Inputs!$F$73,INDEX(Inputs!$J$213:$AR$213,1,YEAR(BD9)-2014))</f>
        <v>13.5</v>
      </c>
      <c r="BE18" s="11" t="n">
        <f aca="false">IF(Inputs!$F$33=1,Inputs!$F$73,INDEX(Inputs!$J$213:$AR$213,1,YEAR(BE9)-2014))</f>
        <v>13.5</v>
      </c>
      <c r="BF18" s="11" t="n">
        <f aca="false">IF(Inputs!$F$33=1,Inputs!$F$73,INDEX(Inputs!$J$213:$AR$213,1,YEAR(BF9)-2014))</f>
        <v>13.5</v>
      </c>
      <c r="BG18" s="11" t="n">
        <f aca="false">IF(Inputs!$F$33=1,Inputs!$F$73,INDEX(Inputs!$J$213:$AR$213,1,YEAR(BG9)-2014))</f>
        <v>13.5</v>
      </c>
      <c r="BH18" s="11" t="n">
        <f aca="false">IF(Inputs!$F$33=1,Inputs!$F$73,INDEX(Inputs!$J$213:$AR$213,1,YEAR(BH9)-2014))</f>
        <v>13.5</v>
      </c>
      <c r="BI18" s="11" t="n">
        <f aca="false">IF(Inputs!$F$33=1,Inputs!$F$73,INDEX(Inputs!$J$213:$AR$213,1,YEAR(BI9)-2014))</f>
        <v>13.5</v>
      </c>
      <c r="BJ18" s="11" t="n">
        <f aca="false">IF(Inputs!$F$33=1,Inputs!$F$73,INDEX(Inputs!$J$213:$AR$213,1,YEAR(BJ9)-2014))</f>
        <v>13.5</v>
      </c>
    </row>
    <row r="19" customFormat="false" ht="15" hidden="false" customHeight="false" outlineLevel="0" collapsed="false">
      <c r="B19" s="2" t="s">
        <v>442</v>
      </c>
    </row>
    <row r="20" customFormat="false" ht="15" hidden="false" customHeight="false" outlineLevel="0" collapsed="false">
      <c r="D20" s="0" t="s">
        <v>443</v>
      </c>
      <c r="E20" s="0" t="s">
        <v>103</v>
      </c>
      <c r="J20" s="11" t="n">
        <f aca="false">IF(Inputs!$F$34=2,Inputs!J230,Inputs!J229+IF(Inputs!$F$35&gt;0,IF(J8=33,-7.5,0)+IF(J8=33+Inputs!$F$35,7.5,0),0))</f>
        <v>10</v>
      </c>
      <c r="K20" s="11" t="n">
        <f aca="false">IF(Inputs!$F$34=2,Inputs!K230,Inputs!K229+IF(Inputs!$F$35&gt;0,IF(K8=33,-7.5,0)+IF(K8=33+Inputs!$F$35,7.5,0),0))</f>
        <v>0.0108</v>
      </c>
      <c r="L20" s="11" t="n">
        <f aca="false">IF(Inputs!$F$34=2,Inputs!L230,Inputs!L229+IF(Inputs!$F$35&gt;0,IF(L8=33,-7.5,0)+IF(L8=33+Inputs!$F$35,7.5,0),0))</f>
        <v>0.1133</v>
      </c>
      <c r="M20" s="11" t="n">
        <f aca="false">IF(Inputs!$F$34=2,Inputs!M230,Inputs!M229+IF(Inputs!$F$35&gt;0,IF(M8=33,-7.5,0)+IF(M8=33+Inputs!$F$35,7.5,0),0))</f>
        <v>0.3239</v>
      </c>
      <c r="N20" s="11" t="n">
        <f aca="false">IF(Inputs!$F$34=2,Inputs!N230,Inputs!N229+IF(Inputs!$F$35&gt;0,IF(N8=33,-7.5,0)+IF(N8=33+Inputs!$F$35,7.5,0),0))</f>
        <v>0.6294</v>
      </c>
      <c r="O20" s="11" t="n">
        <f aca="false">IF(Inputs!$F$34=2,Inputs!O230,Inputs!O229+IF(Inputs!$F$35&gt;0,IF(O8=33,-7.5,0)+IF(O8=33+Inputs!$F$35,7.5,0),0))</f>
        <v>1.0114</v>
      </c>
      <c r="P20" s="11" t="n">
        <f aca="false">IF(Inputs!$F$34=2,Inputs!P230,Inputs!P229+IF(Inputs!$F$35&gt;0,IF(P8=33,-7.5,0)+IF(P8=33+Inputs!$F$35,7.5,0),0))</f>
        <v>1.4496</v>
      </c>
      <c r="Q20" s="11" t="n">
        <f aca="false">IF(Inputs!$F$34=2,Inputs!Q230,Inputs!Q229+IF(Inputs!$F$35&gt;0,IF(Q8=33,-7.5,0)+IF(Q8=33+Inputs!$F$35,7.5,0),0))</f>
        <v>1.9236</v>
      </c>
      <c r="R20" s="11" t="n">
        <f aca="false">IF(Inputs!$F$34=2,Inputs!R230,Inputs!R229+IF(Inputs!$F$35&gt;0,IF(R8=33,-7.5,0)+IF(R8=33+Inputs!$F$35,7.5,0),0))</f>
        <v>2.4133</v>
      </c>
      <c r="S20" s="11" t="n">
        <f aca="false">IF(Inputs!$F$34=2,Inputs!S230,Inputs!S229+IF(Inputs!$F$35&gt;0,IF(S8=33,-7.5,0)+IF(S8=33+Inputs!$F$35,7.5,0),0))</f>
        <v>2.8999</v>
      </c>
      <c r="T20" s="11" t="n">
        <f aca="false">IF(Inputs!$F$34=2,Inputs!T230,Inputs!T229+IF(Inputs!$F$35&gt;0,IF(T8=33,-7.5,0)+IF(T8=33+Inputs!$F$35,7.5,0),0))</f>
        <v>3.3659</v>
      </c>
      <c r="U20" s="11" t="n">
        <f aca="false">IF(Inputs!$F$34=2,Inputs!U230,Inputs!U229+IF(Inputs!$F$35&gt;0,IF(U8=33,-7.5,0)+IF(U8=33+Inputs!$F$35,7.5,0),0))</f>
        <v>3.7957</v>
      </c>
      <c r="V20" s="11" t="n">
        <f aca="false">IF(Inputs!$F$34=2,Inputs!V230,Inputs!V229+IF(Inputs!$F$35&gt;0,IF(V8=33,-7.5,0)+IF(V8=33+Inputs!$F$35,7.5,0),0))</f>
        <v>4.1755</v>
      </c>
      <c r="W20" s="11" t="n">
        <f aca="false">IF(Inputs!$F$34=2,Inputs!W230,Inputs!W229+IF(Inputs!$F$35&gt;0,IF(W8=33,-7.5,0)+IF(W8=33+Inputs!$F$35,7.5,0),0))</f>
        <v>4.4935</v>
      </c>
      <c r="X20" s="11" t="n">
        <f aca="false">IF(Inputs!$F$34=2,Inputs!X230,Inputs!X229+IF(Inputs!$F$35&gt;0,IF(X8=33,-7.5,0)+IF(X8=33+Inputs!$F$35,7.5,0),0))</f>
        <v>4.7405</v>
      </c>
      <c r="Y20" s="11" t="n">
        <f aca="false">IF(Inputs!$F$34=2,Inputs!Y230,Inputs!Y229+IF(Inputs!$F$35&gt;0,IF(Y8=33,-7.5,0)+IF(Y8=33+Inputs!$F$35,7.5,0),0))</f>
        <v>4.9091</v>
      </c>
      <c r="Z20" s="11" t="n">
        <f aca="false">IF(Inputs!$F$34=2,Inputs!Z230,Inputs!Z229+IF(Inputs!$F$35&gt;0,IF(Z8=33,-7.5,0)+IF(Z8=33+Inputs!$F$35,7.5,0),0))</f>
        <v>4.9946</v>
      </c>
      <c r="AA20" s="11" t="n">
        <f aca="false">IF(Inputs!$F$34=2,Inputs!AA230,Inputs!AA229+IF(Inputs!$F$35&gt;0,IF(AA8=33,-7.5,0)+IF(AA8=33+Inputs!$F$35,7.5,0),0))</f>
        <v>4.9946</v>
      </c>
      <c r="AB20" s="11" t="n">
        <f aca="false">IF(Inputs!$F$34=2,Inputs!AB230,Inputs!AB229+IF(Inputs!$F$35&gt;0,IF(AB8=33,-7.5,0)+IF(AB8=33+Inputs!$F$35,7.5,0),0))</f>
        <v>4.9091</v>
      </c>
      <c r="AC20" s="11" t="n">
        <f aca="false">IF(Inputs!$F$34=2,Inputs!AC230,Inputs!AC229+IF(Inputs!$F$35&gt;0,IF(AC8=33,-7.5,0)+IF(AC8=33+Inputs!$F$35,7.5,0),0))</f>
        <v>4.7405</v>
      </c>
      <c r="AD20" s="11" t="n">
        <f aca="false">IF(Inputs!$F$34=2,Inputs!AD230,Inputs!AD229+IF(Inputs!$F$35&gt;0,IF(AD8=33,-7.5,0)+IF(AD8=33+Inputs!$F$35,7.5,0),0))</f>
        <v>4.4935</v>
      </c>
      <c r="AE20" s="11" t="n">
        <f aca="false">IF(Inputs!$F$34=2,Inputs!AE230,Inputs!AE229+IF(Inputs!$F$35&gt;0,IF(AE8=33,-7.5,0)+IF(AE8=33+Inputs!$F$35,7.5,0),0))</f>
        <v>4.1755</v>
      </c>
      <c r="AF20" s="11" t="n">
        <f aca="false">IF(Inputs!$F$34=2,Inputs!AF230,Inputs!AF229+IF(Inputs!$F$35&gt;0,IF(AF8=33,-7.5,0)+IF(AF8=33+Inputs!$F$35,7.5,0),0))</f>
        <v>3.7957</v>
      </c>
      <c r="AG20" s="11" t="n">
        <f aca="false">IF(Inputs!$F$34=2,Inputs!AG230,Inputs!AG229+IF(Inputs!$F$35&gt;0,IF(AG8=33,-7.5,0)+IF(AG8=33+Inputs!$F$35,7.5,0),0))</f>
        <v>3.3659</v>
      </c>
      <c r="AH20" s="11" t="n">
        <f aca="false">IF(Inputs!$F$34=2,Inputs!AH230,Inputs!AH229+IF(Inputs!$F$35&gt;0,IF(AH8=33,-7.5,0)+IF(AH8=33+Inputs!$F$35,7.5,0),0))</f>
        <v>2.8999</v>
      </c>
      <c r="AI20" s="11" t="n">
        <f aca="false">IF(Inputs!$F$34=2,Inputs!AI230,Inputs!AI229+IF(Inputs!$F$35&gt;0,IF(AI8=33,-7.5,0)+IF(AI8=33+Inputs!$F$35,7.5,0),0))</f>
        <v>2.4133</v>
      </c>
      <c r="AJ20" s="11" t="n">
        <f aca="false">IF(Inputs!$F$34=2,Inputs!AJ230,Inputs!AJ229+IF(Inputs!$F$35&gt;0,IF(AJ8=33,-7.5,0)+IF(AJ8=33+Inputs!$F$35,7.5,0),0))</f>
        <v>1.9236</v>
      </c>
      <c r="AK20" s="11" t="n">
        <f aca="false">IF(Inputs!$F$34=2,Inputs!AK230,Inputs!AK229+IF(Inputs!$F$35&gt;0,IF(AK8=33,-7.5,0)+IF(AK8=33+Inputs!$F$35,7.5,0),0))</f>
        <v>1.4496</v>
      </c>
      <c r="AL20" s="11" t="n">
        <f aca="false">IF(Inputs!$F$34=2,Inputs!AL230,Inputs!AL229+IF(Inputs!$F$35&gt;0,IF(AL8=33,-7.5,0)+IF(AL8=33+Inputs!$F$35,7.5,0),0))</f>
        <v>1.0114</v>
      </c>
      <c r="AM20" s="11" t="n">
        <f aca="false">IF(Inputs!$F$34=2,Inputs!AM230,Inputs!AM229+IF(Inputs!$F$35&gt;0,IF(AM8=33,-7.5,0)+IF(AM8=33+Inputs!$F$35,7.5,0),0))</f>
        <v>0.6294</v>
      </c>
      <c r="AN20" s="11" t="n">
        <f aca="false">IF(Inputs!$F$34=2,Inputs!AN230,Inputs!AN229+IF(Inputs!$F$35&gt;0,IF(AN8=33,-7.5,0)+IF(AN8=33+Inputs!$F$35,7.5,0),0))</f>
        <v>0.3239</v>
      </c>
      <c r="AO20" s="11" t="n">
        <f aca="false">IF(Inputs!$F$34=2,Inputs!AO230,Inputs!AO229+IF(Inputs!$F$35&gt;0,IF(AO8=33,-7.5,0)+IF(AO8=33+Inputs!$F$35,7.5,0),0))</f>
        <v>0.1133</v>
      </c>
      <c r="AP20" s="11" t="n">
        <f aca="false">IF(Inputs!$F$34=2,Inputs!AP230,Inputs!AP229+IF(Inputs!$F$35&gt;0,IF(AP8=33,-7.5,0)+IF(AP8=33+Inputs!$F$35,7.5,0),0))</f>
        <v>7.5108</v>
      </c>
      <c r="AQ20" s="11" t="n">
        <f aca="false">IF(Inputs!$F$34=2,Inputs!AQ230,Inputs!AQ229+IF(Inputs!$F$35&gt;0,IF(AQ8=33,-7.5,0)+IF(AQ8=33+Inputs!$F$35,7.5,0),0))</f>
        <v>0</v>
      </c>
      <c r="AR20" s="11" t="n">
        <f aca="false">IF(Inputs!$F$34=2,Inputs!AR230,Inputs!AR229+IF(Inputs!$F$35&gt;0,IF(AR8=33,-7.5,0)+IF(AR8=33+Inputs!$F$35,7.5,0),0))</f>
        <v>0</v>
      </c>
      <c r="AS20" s="11" t="n">
        <f aca="false">IF(Inputs!$F$34=2,Inputs!AS230,Inputs!AS229+IF(Inputs!$F$35&gt;0,IF(AS8=33,-7.5,0)+IF(AS8=33+Inputs!$F$35,7.5,0),0))</f>
        <v>0</v>
      </c>
      <c r="AT20" s="11" t="n">
        <f aca="false">IF(Inputs!$F$34=2,Inputs!AT230,Inputs!AT229+IF(Inputs!$F$35&gt;0,IF(AT8=33,-7.5,0)+IF(AT8=33+Inputs!$F$35,7.5,0),0))</f>
        <v>0</v>
      </c>
      <c r="AU20" s="11" t="n">
        <f aca="false">IF(Inputs!$F$34=2,Inputs!AU230,Inputs!AU229+IF(Inputs!$F$35&gt;0,IF(AU8=33,-7.5,0)+IF(AU8=33+Inputs!$F$35,7.5,0),0))</f>
        <v>0</v>
      </c>
      <c r="AV20" s="11" t="n">
        <f aca="false">IF(Inputs!$F$34=2,Inputs!AV230,Inputs!AV229+IF(Inputs!$F$35&gt;0,IF(AV8=33,-7.5,0)+IF(AV8=33+Inputs!$F$35,7.5,0),0))</f>
        <v>0</v>
      </c>
      <c r="AW20" s="11" t="n">
        <f aca="false">IF(Inputs!$F$34=2,Inputs!AW230,Inputs!AW229+IF(Inputs!$F$35&gt;0,IF(AW8=33,-7.5,0)+IF(AW8=33+Inputs!$F$35,7.5,0),0))</f>
        <v>0</v>
      </c>
      <c r="AX20" s="11" t="n">
        <f aca="false">IF(Inputs!$F$34=2,Inputs!AX230,Inputs!AX229+IF(Inputs!$F$35&gt;0,IF(AX8=33,-7.5,0)+IF(AX8=33+Inputs!$F$35,7.5,0),0))</f>
        <v>0</v>
      </c>
      <c r="AY20" s="11" t="n">
        <f aca="false">IF(Inputs!$F$34=2,Inputs!AY230,Inputs!AY229+IF(Inputs!$F$35&gt;0,IF(AY8=33,-7.5,0)+IF(AY8=33+Inputs!$F$35,7.5,0),0))</f>
        <v>0</v>
      </c>
      <c r="AZ20" s="11" t="n">
        <f aca="false">IF(Inputs!$F$34=2,Inputs!AZ230,Inputs!AZ229+IF(Inputs!$F$35&gt;0,IF(AZ8=33,-7.5,0)+IF(AZ8=33+Inputs!$F$35,7.5,0),0))</f>
        <v>0</v>
      </c>
      <c r="BA20" s="11" t="n">
        <f aca="false">IF(Inputs!$F$34=2,Inputs!BA230,Inputs!BA229+IF(Inputs!$F$35&gt;0,IF(BA8=33,-7.5,0)+IF(BA8=33+Inputs!$F$35,7.5,0),0))</f>
        <v>0</v>
      </c>
      <c r="BB20" s="11" t="n">
        <f aca="false">IF(Inputs!$F$34=2,Inputs!BB230,Inputs!BB229+IF(Inputs!$F$35&gt;0,IF(BB8=33,-7.5,0)+IF(BB8=33+Inputs!$F$35,7.5,0),0))</f>
        <v>0</v>
      </c>
      <c r="BC20" s="11" t="n">
        <f aca="false">IF(Inputs!$F$34=2,Inputs!BC230,Inputs!BC229+IF(Inputs!$F$35&gt;0,IF(BC8=33,-7.5,0)+IF(BC8=33+Inputs!$F$35,7.5,0),0))</f>
        <v>0</v>
      </c>
      <c r="BD20" s="11" t="n">
        <f aca="false">IF(Inputs!$F$34=2,Inputs!BD230,Inputs!BD229+IF(Inputs!$F$35&gt;0,IF(BD8=33,-7.5,0)+IF(BD8=33+Inputs!$F$35,7.5,0),0))</f>
        <v>0</v>
      </c>
      <c r="BE20" s="11" t="n">
        <f aca="false">IF(Inputs!$F$34=2,Inputs!BE230,Inputs!BE229+IF(Inputs!$F$35&gt;0,IF(BE8=33,-7.5,0)+IF(BE8=33+Inputs!$F$35,7.5,0),0))</f>
        <v>0</v>
      </c>
      <c r="BF20" s="11" t="n">
        <f aca="false">IF(Inputs!$F$34=2,Inputs!BF230,Inputs!BF229+IF(Inputs!$F$35&gt;0,IF(BF8=33,-7.5,0)+IF(BF8=33+Inputs!$F$35,7.5,0),0))</f>
        <v>0</v>
      </c>
      <c r="BG20" s="11" t="n">
        <f aca="false">IF(Inputs!$F$34=2,Inputs!BG230,Inputs!BG229+IF(Inputs!$F$35&gt;0,IF(BG8=33,-7.5,0)+IF(BG8=33+Inputs!$F$35,7.5,0),0))</f>
        <v>0</v>
      </c>
      <c r="BH20" s="11" t="n">
        <f aca="false">IF(Inputs!$F$34=2,Inputs!BH230,Inputs!BH229+IF(Inputs!$F$35&gt;0,IF(BH8=33,-7.5,0)+IF(BH8=33+Inputs!$F$35,7.5,0),0))</f>
        <v>0</v>
      </c>
      <c r="BI20" s="11" t="n">
        <f aca="false">IF(Inputs!$F$34=2,Inputs!BI230,Inputs!BI229+IF(Inputs!$F$35&gt;0,IF(BI8=33,-7.5,0)+IF(BI8=33+Inputs!$F$35,7.5,0),0))</f>
        <v>0</v>
      </c>
      <c r="BJ20" s="11" t="n">
        <f aca="false">IF(Inputs!$F$34=2,Inputs!BJ230,Inputs!BJ229+IF(Inputs!$F$35&gt;0,IF(BJ8=33,-7.5,0)+IF(BJ8=33+Inputs!$F$35,7.5,0),0))</f>
        <v>0</v>
      </c>
    </row>
    <row r="21" customFormat="false" ht="15" hidden="false" customHeight="false" outlineLevel="0" collapsed="false">
      <c r="D21" s="0" t="s">
        <v>444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0.0108</v>
      </c>
      <c r="L21" s="11" t="n">
        <f aca="false">IF(L8=1,0,L20)-IF(L8=Time!$F$10,7.5,0)</f>
        <v>0.1133</v>
      </c>
      <c r="M21" s="11" t="n">
        <f aca="false">IF(M8=1,0,M20)-IF(M8=Time!$F$10,7.5,0)</f>
        <v>0.3239</v>
      </c>
      <c r="N21" s="11" t="n">
        <f aca="false">IF(N8=1,0,N20)-IF(N8=Time!$F$10,7.5,0)</f>
        <v>0.6294</v>
      </c>
      <c r="O21" s="11" t="n">
        <f aca="false">IF(O8=1,0,O20)-IF(O8=Time!$F$10,7.5,0)</f>
        <v>1.0114</v>
      </c>
      <c r="P21" s="11" t="n">
        <f aca="false">IF(P8=1,0,P20)-IF(P8=Time!$F$10,7.5,0)</f>
        <v>1.4496</v>
      </c>
      <c r="Q21" s="11" t="n">
        <f aca="false">IF(Q8=1,0,Q20)-IF(Q8=Time!$F$10,7.5,0)</f>
        <v>1.9236</v>
      </c>
      <c r="R21" s="11" t="n">
        <f aca="false">IF(R8=1,0,R20)-IF(R8=Time!$F$10,7.5,0)</f>
        <v>2.4133</v>
      </c>
      <c r="S21" s="11" t="n">
        <f aca="false">IF(S8=1,0,S20)-IF(S8=Time!$F$10,7.5,0)</f>
        <v>2.8999</v>
      </c>
      <c r="T21" s="11" t="n">
        <f aca="false">IF(T8=1,0,T20)-IF(T8=Time!$F$10,7.5,0)</f>
        <v>3.3659</v>
      </c>
      <c r="U21" s="11" t="n">
        <f aca="false">IF(U8=1,0,U20)-IF(U8=Time!$F$10,7.5,0)</f>
        <v>3.7957</v>
      </c>
      <c r="V21" s="11" t="n">
        <f aca="false">IF(V8=1,0,V20)-IF(V8=Time!$F$10,7.5,0)</f>
        <v>4.1755</v>
      </c>
      <c r="W21" s="11" t="n">
        <f aca="false">IF(W8=1,0,W20)-IF(W8=Time!$F$10,7.5,0)</f>
        <v>4.4935</v>
      </c>
      <c r="X21" s="11" t="n">
        <f aca="false">IF(X8=1,0,X20)-IF(X8=Time!$F$10,7.5,0)</f>
        <v>4.7405</v>
      </c>
      <c r="Y21" s="11" t="n">
        <f aca="false">IF(Y8=1,0,Y20)-IF(Y8=Time!$F$10,7.5,0)</f>
        <v>4.9091</v>
      </c>
      <c r="Z21" s="11" t="n">
        <f aca="false">IF(Z8=1,0,Z20)-IF(Z8=Time!$F$10,7.5,0)</f>
        <v>4.9946</v>
      </c>
      <c r="AA21" s="11" t="n">
        <f aca="false">IF(AA8=1,0,AA20)-IF(AA8=Time!$F$10,7.5,0)</f>
        <v>4.9946</v>
      </c>
      <c r="AB21" s="11" t="n">
        <f aca="false">IF(AB8=1,0,AB20)-IF(AB8=Time!$F$10,7.5,0)</f>
        <v>4.9091</v>
      </c>
      <c r="AC21" s="11" t="n">
        <f aca="false">IF(AC8=1,0,AC20)-IF(AC8=Time!$F$10,7.5,0)</f>
        <v>4.7405</v>
      </c>
      <c r="AD21" s="11" t="n">
        <f aca="false">IF(AD8=1,0,AD20)-IF(AD8=Time!$F$10,7.5,0)</f>
        <v>4.4935</v>
      </c>
      <c r="AE21" s="11" t="n">
        <f aca="false">IF(AE8=1,0,AE20)-IF(AE8=Time!$F$10,7.5,0)</f>
        <v>4.1755</v>
      </c>
      <c r="AF21" s="11" t="n">
        <f aca="false">IF(AF8=1,0,AF20)-IF(AF8=Time!$F$10,7.5,0)</f>
        <v>3.7957</v>
      </c>
      <c r="AG21" s="11" t="n">
        <f aca="false">IF(AG8=1,0,AG20)-IF(AG8=Time!$F$10,7.5,0)</f>
        <v>3.3659</v>
      </c>
      <c r="AH21" s="11" t="n">
        <f aca="false">IF(AH8=1,0,AH20)-IF(AH8=Time!$F$10,7.5,0)</f>
        <v>2.8999</v>
      </c>
      <c r="AI21" s="11" t="n">
        <f aca="false">IF(AI8=1,0,AI20)-IF(AI8=Time!$F$10,7.5,0)</f>
        <v>2.4133</v>
      </c>
      <c r="AJ21" s="11" t="n">
        <f aca="false">IF(AJ8=1,0,AJ20)-IF(AJ8=Time!$F$10,7.5,0)</f>
        <v>1.9236</v>
      </c>
      <c r="AK21" s="11" t="n">
        <f aca="false">IF(AK8=1,0,AK20)-IF(AK8=Time!$F$10,7.5,0)</f>
        <v>1.4496</v>
      </c>
      <c r="AL21" s="11" t="n">
        <f aca="false">IF(AL8=1,0,AL20)-IF(AL8=Time!$F$10,7.5,0)</f>
        <v>1.0114</v>
      </c>
      <c r="AM21" s="11" t="n">
        <f aca="false">IF(AM8=1,0,AM20)-IF(AM8=Time!$F$10,7.5,0)</f>
        <v>0.6294</v>
      </c>
      <c r="AN21" s="11" t="n">
        <f aca="false">IF(AN8=1,0,AN20)-IF(AN8=Time!$F$10,7.5,0)</f>
        <v>0.3239</v>
      </c>
      <c r="AO21" s="11" t="n">
        <f aca="false">IF(AO8=1,0,AO20)-IF(AO8=Time!$F$10,7.5,0)</f>
        <v>0.1133</v>
      </c>
      <c r="AP21" s="11" t="n">
        <f aca="false">IF(AP8=1,0,AP20)-IF(AP8=Time!$F$10,7.5,0)</f>
        <v>0.0107999999999997</v>
      </c>
      <c r="AQ21" s="11" t="n">
        <f aca="false">IF(AQ8=1,0,AQ20)-IF(AQ8=Time!$F$10,7.5,0)</f>
        <v>0</v>
      </c>
      <c r="AR21" s="11" t="n">
        <f aca="false">IF(AR8=1,0,AR20)-IF(AR8=Time!$F$10,7.5,0)</f>
        <v>0</v>
      </c>
      <c r="AS21" s="11" t="n">
        <f aca="false">IF(AS8=1,0,AS20)-IF(AS8=Time!$F$10,7.5,0)</f>
        <v>0</v>
      </c>
      <c r="AT21" s="11" t="n">
        <f aca="false">IF(AT8=1,0,AT20)-IF(AT8=Time!$F$10,7.5,0)</f>
        <v>0</v>
      </c>
      <c r="AU21" s="11" t="n">
        <f aca="false">IF(AU8=1,0,AU20)-IF(AU8=Time!$F$10,7.5,0)</f>
        <v>0</v>
      </c>
      <c r="AV21" s="11" t="n">
        <f aca="false">IF(AV8=1,0,AV20)-IF(AV8=Time!$F$10,7.5,0)</f>
        <v>0</v>
      </c>
      <c r="AW21" s="11" t="n">
        <f aca="false">IF(AW8=1,0,AW20)-IF(AW8=Time!$F$10,7.5,0)</f>
        <v>0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445</v>
      </c>
      <c r="E22" s="0" t="s">
        <v>149</v>
      </c>
      <c r="G22" s="11" t="n">
        <f aca="false">SUM(J22:BJ22)</f>
        <v>571.84</v>
      </c>
      <c r="J22" s="11" t="n">
        <f aca="false">IF(Inputs!$F$34=2,J20/100*Inputs!$F$58+J20/100*Inputs!$F$59*Inputs!$F$60/J16,Inputs!$F$57*Inputs!$F$36*J20/100)</f>
        <v>57.184</v>
      </c>
      <c r="K22" s="11" t="n">
        <f aca="false">IF(Inputs!$F$34=2,K20/100*Inputs!$F$58+K20/100*Inputs!$F$59*Inputs!$F$60/K16,Inputs!$F$57*Inputs!$F$36*K20/100)</f>
        <v>0.06175872</v>
      </c>
      <c r="L22" s="11" t="n">
        <f aca="false">IF(Inputs!$F$34=2,L20/100*Inputs!$F$58+L20/100*Inputs!$F$59*Inputs!$F$60/L16,Inputs!$F$57*Inputs!$F$36*L20/100)</f>
        <v>0.64789472</v>
      </c>
      <c r="M22" s="11" t="n">
        <f aca="false">IF(Inputs!$F$34=2,M20/100*Inputs!$F$58+M20/100*Inputs!$F$59*Inputs!$F$60/M16,Inputs!$F$57*Inputs!$F$36*M20/100)</f>
        <v>1.85218976</v>
      </c>
      <c r="N22" s="11" t="n">
        <f aca="false">IF(Inputs!$F$34=2,N20/100*Inputs!$F$58+N20/100*Inputs!$F$59*Inputs!$F$60/N16,Inputs!$F$57*Inputs!$F$36*N20/100)</f>
        <v>3.59916096</v>
      </c>
      <c r="O22" s="11" t="n">
        <f aca="false">IF(Inputs!$F$34=2,O20/100*Inputs!$F$58+O20/100*Inputs!$F$59*Inputs!$F$60/O16,Inputs!$F$57*Inputs!$F$36*O20/100)</f>
        <v>5.78358976</v>
      </c>
      <c r="P22" s="11" t="n">
        <f aca="false">IF(Inputs!$F$34=2,P20/100*Inputs!$F$58+P20/100*Inputs!$F$59*Inputs!$F$60/P16,Inputs!$F$57*Inputs!$F$36*P20/100)</f>
        <v>8.28939264</v>
      </c>
      <c r="Q22" s="11" t="n">
        <f aca="false">IF(Inputs!$F$34=2,Q20/100*Inputs!$F$58+Q20/100*Inputs!$F$59*Inputs!$F$60/Q16,Inputs!$F$57*Inputs!$F$36*Q20/100)</f>
        <v>10.99991424</v>
      </c>
      <c r="R22" s="11" t="n">
        <f aca="false">IF(Inputs!$F$34=2,R20/100*Inputs!$F$58+R20/100*Inputs!$F$59*Inputs!$F$60/R16,Inputs!$F$57*Inputs!$F$36*R20/100)</f>
        <v>13.80021472</v>
      </c>
      <c r="S22" s="11" t="n">
        <f aca="false">IF(Inputs!$F$34=2,S20/100*Inputs!$F$58+S20/100*Inputs!$F$59*Inputs!$F$60/S16,Inputs!$F$57*Inputs!$F$36*S20/100)</f>
        <v>16.58278816</v>
      </c>
      <c r="T22" s="11" t="n">
        <f aca="false">IF(Inputs!$F$34=2,T20/100*Inputs!$F$58+T20/100*Inputs!$F$59*Inputs!$F$60/T16,Inputs!$F$57*Inputs!$F$36*T20/100)</f>
        <v>19.24756256</v>
      </c>
      <c r="U22" s="11" t="n">
        <f aca="false">IF(Inputs!$F$34=2,U20/100*Inputs!$F$58+U20/100*Inputs!$F$59*Inputs!$F$60/U16,Inputs!$F$57*Inputs!$F$36*U20/100)</f>
        <v>21.70533088</v>
      </c>
      <c r="V22" s="11" t="n">
        <f aca="false">IF(Inputs!$F$34=2,V20/100*Inputs!$F$58+V20/100*Inputs!$F$59*Inputs!$F$60/V16,Inputs!$F$57*Inputs!$F$36*V20/100)</f>
        <v>23.8771792</v>
      </c>
      <c r="W22" s="11" t="n">
        <f aca="false">IF(Inputs!$F$34=2,W20/100*Inputs!$F$58+W20/100*Inputs!$F$59*Inputs!$F$60/W16,Inputs!$F$57*Inputs!$F$36*W20/100)</f>
        <v>25.6956304</v>
      </c>
      <c r="X22" s="11" t="n">
        <f aca="false">IF(Inputs!$F$34=2,X20/100*Inputs!$F$58+X20/100*Inputs!$F$59*Inputs!$F$60/X16,Inputs!$F$57*Inputs!$F$36*X20/100)</f>
        <v>27.1080752</v>
      </c>
      <c r="Y22" s="11" t="n">
        <f aca="false">IF(Inputs!$F$34=2,Y20/100*Inputs!$F$58+Y20/100*Inputs!$F$59*Inputs!$F$60/Y16,Inputs!$F$57*Inputs!$F$36*Y20/100)</f>
        <v>28.07219744</v>
      </c>
      <c r="Z22" s="11" t="n">
        <f aca="false">IF(Inputs!$F$34=2,Z20/100*Inputs!$F$58+Z20/100*Inputs!$F$59*Inputs!$F$60/Z16,Inputs!$F$57*Inputs!$F$36*Z20/100)</f>
        <v>28.56112064</v>
      </c>
      <c r="AA22" s="11" t="n">
        <f aca="false">IF(Inputs!$F$34=2,AA20/100*Inputs!$F$58+AA20/100*Inputs!$F$59*Inputs!$F$60/AA16,Inputs!$F$57*Inputs!$F$36*AA20/100)</f>
        <v>28.56112064</v>
      </c>
      <c r="AB22" s="11" t="n">
        <f aca="false">IF(Inputs!$F$34=2,AB20/100*Inputs!$F$58+AB20/100*Inputs!$F$59*Inputs!$F$60/AB16,Inputs!$F$57*Inputs!$F$36*AB20/100)</f>
        <v>28.07219744</v>
      </c>
      <c r="AC22" s="11" t="n">
        <f aca="false">IF(Inputs!$F$34=2,AC20/100*Inputs!$F$58+AC20/100*Inputs!$F$59*Inputs!$F$60/AC16,Inputs!$F$57*Inputs!$F$36*AC20/100)</f>
        <v>27.1080752</v>
      </c>
      <c r="AD22" s="11" t="n">
        <f aca="false">IF(Inputs!$F$34=2,AD20/100*Inputs!$F$58+AD20/100*Inputs!$F$59*Inputs!$F$60/AD16,Inputs!$F$57*Inputs!$F$36*AD20/100)</f>
        <v>25.6956304</v>
      </c>
      <c r="AE22" s="11" t="n">
        <f aca="false">IF(Inputs!$F$34=2,AE20/100*Inputs!$F$58+AE20/100*Inputs!$F$59*Inputs!$F$60/AE16,Inputs!$F$57*Inputs!$F$36*AE20/100)</f>
        <v>23.8771792</v>
      </c>
      <c r="AF22" s="11" t="n">
        <f aca="false">IF(Inputs!$F$34=2,AF20/100*Inputs!$F$58+AF20/100*Inputs!$F$59*Inputs!$F$60/AF16,Inputs!$F$57*Inputs!$F$36*AF20/100)</f>
        <v>21.70533088</v>
      </c>
      <c r="AG22" s="11" t="n">
        <f aca="false">IF(Inputs!$F$34=2,AG20/100*Inputs!$F$58+AG20/100*Inputs!$F$59*Inputs!$F$60/AG16,Inputs!$F$57*Inputs!$F$36*AG20/100)</f>
        <v>19.24756256</v>
      </c>
      <c r="AH22" s="11" t="n">
        <f aca="false">IF(Inputs!$F$34=2,AH20/100*Inputs!$F$58+AH20/100*Inputs!$F$59*Inputs!$F$60/AH16,Inputs!$F$57*Inputs!$F$36*AH20/100)</f>
        <v>16.58278816</v>
      </c>
      <c r="AI22" s="11" t="n">
        <f aca="false">IF(Inputs!$F$34=2,AI20/100*Inputs!$F$58+AI20/100*Inputs!$F$59*Inputs!$F$60/AI16,Inputs!$F$57*Inputs!$F$36*AI20/100)</f>
        <v>13.80021472</v>
      </c>
      <c r="AJ22" s="11" t="n">
        <f aca="false">IF(Inputs!$F$34=2,AJ20/100*Inputs!$F$58+AJ20/100*Inputs!$F$59*Inputs!$F$60/AJ16,Inputs!$F$57*Inputs!$F$36*AJ20/100)</f>
        <v>10.99991424</v>
      </c>
      <c r="AK22" s="11" t="n">
        <f aca="false">IF(Inputs!$F$34=2,AK20/100*Inputs!$F$58+AK20/100*Inputs!$F$59*Inputs!$F$60/AK16,Inputs!$F$57*Inputs!$F$36*AK20/100)</f>
        <v>8.28939264</v>
      </c>
      <c r="AL22" s="11" t="n">
        <f aca="false">IF(Inputs!$F$34=2,AL20/100*Inputs!$F$58+AL20/100*Inputs!$F$59*Inputs!$F$60/AL16,Inputs!$F$57*Inputs!$F$36*AL20/100)</f>
        <v>5.78358976</v>
      </c>
      <c r="AM22" s="11" t="n">
        <f aca="false">IF(Inputs!$F$34=2,AM20/100*Inputs!$F$58+AM20/100*Inputs!$F$59*Inputs!$F$60/AM16,Inputs!$F$57*Inputs!$F$36*AM20/100)</f>
        <v>3.59916096</v>
      </c>
      <c r="AN22" s="11" t="n">
        <f aca="false">IF(Inputs!$F$34=2,AN20/100*Inputs!$F$58+AN20/100*Inputs!$F$59*Inputs!$F$60/AN16,Inputs!$F$57*Inputs!$F$36*AN20/100)</f>
        <v>1.85218976</v>
      </c>
      <c r="AO22" s="11" t="n">
        <f aca="false">IF(Inputs!$F$34=2,AO20/100*Inputs!$F$58+AO20/100*Inputs!$F$59*Inputs!$F$60/AO16,Inputs!$F$57*Inputs!$F$36*AO20/100)</f>
        <v>0.64789472</v>
      </c>
      <c r="AP22" s="11" t="n">
        <f aca="false">IF(Inputs!$F$34=2,AP20/100*Inputs!$F$58+AP20/100*Inputs!$F$59*Inputs!$F$60/AP16,Inputs!$F$57*Inputs!$F$36*AP20/100)</f>
        <v>42.94975872</v>
      </c>
      <c r="AQ22" s="11" t="n">
        <f aca="false">IF(Inputs!$F$34=2,AQ20/100*Inputs!$F$58+AQ20/100*Inputs!$F$59*Inputs!$F$60/AQ16,Inputs!$F$57*Inputs!$F$36*AQ20/100)</f>
        <v>0</v>
      </c>
      <c r="AR22" s="11" t="n">
        <f aca="false">IF(Inputs!$F$34=2,AR20/100*Inputs!$F$58+AR20/100*Inputs!$F$59*Inputs!$F$60/AR16,Inputs!$F$57*Inputs!$F$36*AR20/100)</f>
        <v>0</v>
      </c>
      <c r="AS22" s="11" t="n">
        <f aca="false">IF(Inputs!$F$34=2,AS20/100*Inputs!$F$58+AS20/100*Inputs!$F$59*Inputs!$F$60/AS16,Inputs!$F$57*Inputs!$F$36*AS20/100)</f>
        <v>0</v>
      </c>
      <c r="AT22" s="11" t="n">
        <f aca="false">IF(Inputs!$F$34=2,AT20/100*Inputs!$F$58+AT20/100*Inputs!$F$59*Inputs!$F$60/AT16,Inputs!$F$57*Inputs!$F$36*AT20/100)</f>
        <v>0</v>
      </c>
      <c r="AU22" s="11" t="n">
        <f aca="false">IF(Inputs!$F$34=2,AU20/100*Inputs!$F$58+AU20/100*Inputs!$F$59*Inputs!$F$60/AU16,Inputs!$F$57*Inputs!$F$36*AU20/100)</f>
        <v>0</v>
      </c>
      <c r="AV22" s="11" t="n">
        <f aca="false">IF(Inputs!$F$34=2,AV20/100*Inputs!$F$58+AV20/100*Inputs!$F$59*Inputs!$F$60/AV16,Inputs!$F$57*Inputs!$F$36*AV20/100)</f>
        <v>0</v>
      </c>
      <c r="AW22" s="11" t="n">
        <f aca="false">IF(Inputs!$F$34=2,AW20/100*Inputs!$F$58+AW20/100*Inputs!$F$59*Inputs!$F$60/AW16,Inputs!$F$57*Inputs!$F$36*AW20/100)</f>
        <v>0</v>
      </c>
      <c r="AX22" s="11" t="n">
        <f aca="false">IF(Inputs!$F$34=2,AX20/100*Inputs!$F$58+AX20/100*Inputs!$F$59*Inputs!$F$60/AX16,Inputs!$F$57*Inputs!$F$36*AX20/100)</f>
        <v>0</v>
      </c>
      <c r="AY22" s="11" t="n">
        <f aca="false">IF(Inputs!$F$34=2,AY20/100*Inputs!$F$58+AY20/100*Inputs!$F$59*Inputs!$F$60/AY16,Inputs!$F$57*Inputs!$F$36*AY20/100)</f>
        <v>0</v>
      </c>
      <c r="AZ22" s="11" t="n">
        <f aca="false">IF(Inputs!$F$34=2,AZ20/100*Inputs!$F$58+AZ20/100*Inputs!$F$59*Inputs!$F$60/AZ16,Inputs!$F$57*Inputs!$F$36*AZ20/100)</f>
        <v>0</v>
      </c>
      <c r="BA22" s="11" t="n">
        <f aca="false">IF(Inputs!$F$34=2,BA20/100*Inputs!$F$58+BA20/100*Inputs!$F$59*Inputs!$F$60/BA16,Inputs!$F$57*Inputs!$F$36*BA20/100)</f>
        <v>0</v>
      </c>
      <c r="BB22" s="11" t="n">
        <f aca="false">IF(Inputs!$F$34=2,BB20/100*Inputs!$F$58+BB20/100*Inputs!$F$59*Inputs!$F$60/BB16,Inputs!$F$57*Inputs!$F$36*BB20/100)</f>
        <v>0</v>
      </c>
      <c r="BC22" s="11" t="n">
        <f aca="false">IF(Inputs!$F$34=2,BC20/100*Inputs!$F$58+BC20/100*Inputs!$F$59*Inputs!$F$60/BC16,Inputs!$F$57*Inputs!$F$36*BC20/100)</f>
        <v>0</v>
      </c>
      <c r="BD22" s="11" t="n">
        <f aca="false">IF(Inputs!$F$34=2,BD20/100*Inputs!$F$58+BD20/100*Inputs!$F$59*Inputs!$F$60/BD16,Inputs!$F$57*Inputs!$F$36*BD20/100)</f>
        <v>0</v>
      </c>
      <c r="BE22" s="11" t="n">
        <f aca="false">IF(Inputs!$F$34=2,BE20/100*Inputs!$F$58+BE20/100*Inputs!$F$59*Inputs!$F$60/BE16,Inputs!$F$57*Inputs!$F$36*BE20/100)</f>
        <v>0</v>
      </c>
      <c r="BF22" s="11" t="n">
        <f aca="false">IF(Inputs!$F$34=2,BF20/100*Inputs!$F$58+BF20/100*Inputs!$F$59*Inputs!$F$60/BF16,Inputs!$F$57*Inputs!$F$36*BF20/100)</f>
        <v>0</v>
      </c>
      <c r="BG22" s="11" t="n">
        <f aca="false">IF(Inputs!$F$34=2,BG20/100*Inputs!$F$58+BG20/100*Inputs!$F$59*Inputs!$F$60/BG16,Inputs!$F$57*Inputs!$F$36*BG20/100)</f>
        <v>0</v>
      </c>
      <c r="BH22" s="11" t="n">
        <f aca="false">IF(Inputs!$F$34=2,BH20/100*Inputs!$F$58+BH20/100*Inputs!$F$59*Inputs!$F$60/BH16,Inputs!$F$57*Inputs!$F$36*BH20/100)</f>
        <v>0</v>
      </c>
      <c r="BI22" s="11" t="n">
        <f aca="false">IF(Inputs!$F$34=2,BI20/100*Inputs!$F$58+BI20/100*Inputs!$F$59*Inputs!$F$60/BI16,Inputs!$F$57*Inputs!$F$36*BI20/100)</f>
        <v>0</v>
      </c>
      <c r="BJ22" s="11" t="n">
        <f aca="false">IF(Inputs!$F$34=2,BJ20/100*Inputs!$F$58+BJ20/100*Inputs!$F$59*Inputs!$F$60/BJ16,Inputs!$F$57*Inputs!$F$36*BJ20/100)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154</v>
      </c>
      <c r="E23" s="0" t="s">
        <v>149</v>
      </c>
      <c r="G23" s="11" t="n">
        <f aca="false">SUM(J23:BJ23)</f>
        <v>46.18</v>
      </c>
      <c r="J23" s="11" t="n">
        <f aca="false">Inputs!$F$61*IF(Inputs!$F$34=1,Inputs!$F$36,1)*(Inputs!J231+IF(AND(Inputs!$F$34=1,J8&gt;33,J8&lt;=Time!$F$10),2.75,0))/100+IF(AND(Inputs!$F$34=2,J8&gt;=34,J8&lt;=40),Inputs!$F$69/7,0)</f>
        <v>5.5416</v>
      </c>
      <c r="K23" s="11" t="n">
        <f aca="false">Inputs!$F$61*IF(Inputs!$F$34=1,Inputs!$F$36,1)*(Inputs!K231+IF(AND(Inputs!$F$34=1,K8&gt;33,K8&lt;=Time!$F$10),2.75,0))/100+IF(AND(Inputs!$F$34=2,K8&gt;=34,K8&lt;=40),Inputs!$F$69/7,0)</f>
        <v>1.26995</v>
      </c>
      <c r="L23" s="11" t="n">
        <f aca="false">Inputs!$F$61*IF(Inputs!$F$34=1,Inputs!$F$36,1)*(Inputs!L231+IF(AND(Inputs!$F$34=1,L8&gt;33,L8&lt;=Time!$F$10),2.75,0))/100+IF(AND(Inputs!$F$34=2,L8&gt;=34,L8&lt;=40),Inputs!$F$69/7,0)</f>
        <v>1.26995</v>
      </c>
      <c r="M23" s="11" t="n">
        <f aca="false">Inputs!$F$61*IF(Inputs!$F$34=1,Inputs!$F$36,1)*(Inputs!M231+IF(AND(Inputs!$F$34=1,M8&gt;33,M8&lt;=Time!$F$10),2.75,0))/100+IF(AND(Inputs!$F$34=2,M8&gt;=34,M8&lt;=40),Inputs!$F$69/7,0)</f>
        <v>1.26995</v>
      </c>
      <c r="N23" s="11" t="n">
        <f aca="false">Inputs!$F$61*IF(Inputs!$F$34=1,Inputs!$F$36,1)*(Inputs!N231+IF(AND(Inputs!$F$34=1,N8&gt;33,N8&lt;=Time!$F$10),2.75,0))/100+IF(AND(Inputs!$F$34=2,N8&gt;=34,N8&lt;=40),Inputs!$F$69/7,0)</f>
        <v>1.26995</v>
      </c>
      <c r="O23" s="11" t="n">
        <f aca="false">Inputs!$F$61*IF(Inputs!$F$34=1,Inputs!$F$36,1)*(Inputs!O231+IF(AND(Inputs!$F$34=1,O8&gt;33,O8&lt;=Time!$F$10),2.75,0))/100+IF(AND(Inputs!$F$34=2,O8&gt;=34,O8&lt;=40),Inputs!$F$69/7,0)</f>
        <v>1.26995</v>
      </c>
      <c r="P23" s="11" t="n">
        <f aca="false">Inputs!$F$61*IF(Inputs!$F$34=1,Inputs!$F$36,1)*(Inputs!P231+IF(AND(Inputs!$F$34=1,P8&gt;33,P8&lt;=Time!$F$10),2.75,0))/100+IF(AND(Inputs!$F$34=2,P8&gt;=34,P8&lt;=40),Inputs!$F$69/7,0)</f>
        <v>1.26995</v>
      </c>
      <c r="Q23" s="11" t="n">
        <f aca="false">Inputs!$F$61*IF(Inputs!$F$34=1,Inputs!$F$36,1)*(Inputs!Q231+IF(AND(Inputs!$F$34=1,Q8&gt;33,Q8&lt;=Time!$F$10),2.75,0))/100+IF(AND(Inputs!$F$34=2,Q8&gt;=34,Q8&lt;=40),Inputs!$F$69/7,0)</f>
        <v>1.26995</v>
      </c>
      <c r="R23" s="11" t="n">
        <f aca="false">Inputs!$F$61*IF(Inputs!$F$34=1,Inputs!$F$36,1)*(Inputs!R231+IF(AND(Inputs!$F$34=1,R8&gt;33,R8&lt;=Time!$F$10),2.75,0))/100+IF(AND(Inputs!$F$34=2,R8&gt;=34,R8&lt;=40),Inputs!$F$69/7,0)</f>
        <v>1.26995</v>
      </c>
      <c r="S23" s="11" t="n">
        <f aca="false">Inputs!$F$61*IF(Inputs!$F$34=1,Inputs!$F$36,1)*(Inputs!S231+IF(AND(Inputs!$F$34=1,S8&gt;33,S8&lt;=Time!$F$10),2.75,0))/100+IF(AND(Inputs!$F$34=2,S8&gt;=34,S8&lt;=40),Inputs!$F$69/7,0)</f>
        <v>1.26995</v>
      </c>
      <c r="T23" s="11" t="n">
        <f aca="false">Inputs!$F$61*IF(Inputs!$F$34=1,Inputs!$F$36,1)*(Inputs!T231+IF(AND(Inputs!$F$34=1,T8&gt;33,T8&lt;=Time!$F$10),2.75,0))/100+IF(AND(Inputs!$F$34=2,T8&gt;=34,T8&lt;=40),Inputs!$F$69/7,0)</f>
        <v>1.26995</v>
      </c>
      <c r="U23" s="11" t="n">
        <f aca="false">Inputs!$F$61*IF(Inputs!$F$34=1,Inputs!$F$36,1)*(Inputs!U231+IF(AND(Inputs!$F$34=1,U8&gt;33,U8&lt;=Time!$F$10),2.75,0))/100+IF(AND(Inputs!$F$34=2,U8&gt;=34,U8&lt;=40),Inputs!$F$69/7,0)</f>
        <v>1.26995</v>
      </c>
      <c r="V23" s="11" t="n">
        <f aca="false">Inputs!$F$61*IF(Inputs!$F$34=1,Inputs!$F$36,1)*(Inputs!V231+IF(AND(Inputs!$F$34=1,V8&gt;33,V8&lt;=Time!$F$10),2.75,0))/100+IF(AND(Inputs!$F$34=2,V8&gt;=34,V8&lt;=40),Inputs!$F$69/7,0)</f>
        <v>1.26995</v>
      </c>
      <c r="W23" s="11" t="n">
        <f aca="false">Inputs!$F$61*IF(Inputs!$F$34=1,Inputs!$F$36,1)*(Inputs!W231+IF(AND(Inputs!$F$34=1,W8&gt;33,W8&lt;=Time!$F$10),2.75,0))/100+IF(AND(Inputs!$F$34=2,W8&gt;=34,W8&lt;=40),Inputs!$F$69/7,0)</f>
        <v>1.26995</v>
      </c>
      <c r="X23" s="11" t="n">
        <f aca="false">Inputs!$F$61*IF(Inputs!$F$34=1,Inputs!$F$36,1)*(Inputs!X231+IF(AND(Inputs!$F$34=1,X8&gt;33,X8&lt;=Time!$F$10),2.75,0))/100+IF(AND(Inputs!$F$34=2,X8&gt;=34,X8&lt;=40),Inputs!$F$69/7,0)</f>
        <v>1.26995</v>
      </c>
      <c r="Y23" s="11" t="n">
        <f aca="false">Inputs!$F$61*IF(Inputs!$F$34=1,Inputs!$F$36,1)*(Inputs!Y231+IF(AND(Inputs!$F$34=1,Y8&gt;33,Y8&lt;=Time!$F$10),2.75,0))/100+IF(AND(Inputs!$F$34=2,Y8&gt;=34,Y8&lt;=40),Inputs!$F$69/7,0)</f>
        <v>1.26995</v>
      </c>
      <c r="Z23" s="11" t="n">
        <f aca="false">Inputs!$F$61*IF(Inputs!$F$34=1,Inputs!$F$36,1)*(Inputs!Z231+IF(AND(Inputs!$F$34=1,Z8&gt;33,Z8&lt;=Time!$F$10),2.75,0))/100+IF(AND(Inputs!$F$34=2,Z8&gt;=34,Z8&lt;=40),Inputs!$F$69/7,0)</f>
        <v>1.26995</v>
      </c>
      <c r="AA23" s="11" t="n">
        <f aca="false">Inputs!$F$61*IF(Inputs!$F$34=1,Inputs!$F$36,1)*(Inputs!AA231+IF(AND(Inputs!$F$34=1,AA8&gt;33,AA8&lt;=Time!$F$10),2.75,0))/100+IF(AND(Inputs!$F$34=2,AA8&gt;=34,AA8&lt;=40),Inputs!$F$69/7,0)</f>
        <v>1.26995</v>
      </c>
      <c r="AB23" s="11" t="n">
        <f aca="false">Inputs!$F$61*IF(Inputs!$F$34=1,Inputs!$F$36,1)*(Inputs!AB231+IF(AND(Inputs!$F$34=1,AB8&gt;33,AB8&lt;=Time!$F$10),2.75,0))/100+IF(AND(Inputs!$F$34=2,AB8&gt;=34,AB8&lt;=40),Inputs!$F$69/7,0)</f>
        <v>1.26995</v>
      </c>
      <c r="AC23" s="11" t="n">
        <f aca="false">Inputs!$F$61*IF(Inputs!$F$34=1,Inputs!$F$36,1)*(Inputs!AC231+IF(AND(Inputs!$F$34=1,AC8&gt;33,AC8&lt;=Time!$F$10),2.75,0))/100+IF(AND(Inputs!$F$34=2,AC8&gt;=34,AC8&lt;=40),Inputs!$F$69/7,0)</f>
        <v>1.26995</v>
      </c>
      <c r="AD23" s="11" t="n">
        <f aca="false">Inputs!$F$61*IF(Inputs!$F$34=1,Inputs!$F$36,1)*(Inputs!AD231+IF(AND(Inputs!$F$34=1,AD8&gt;33,AD8&lt;=Time!$F$10),2.75,0))/100+IF(AND(Inputs!$F$34=2,AD8&gt;=34,AD8&lt;=40),Inputs!$F$69/7,0)</f>
        <v>1.26995</v>
      </c>
      <c r="AE23" s="11" t="n">
        <f aca="false">Inputs!$F$61*IF(Inputs!$F$34=1,Inputs!$F$36,1)*(Inputs!AE231+IF(AND(Inputs!$F$34=1,AE8&gt;33,AE8&lt;=Time!$F$10),2.75,0))/100+IF(AND(Inputs!$F$34=2,AE8&gt;=34,AE8&lt;=40),Inputs!$F$69/7,0)</f>
        <v>1.26995</v>
      </c>
      <c r="AF23" s="11" t="n">
        <f aca="false">Inputs!$F$61*IF(Inputs!$F$34=1,Inputs!$F$36,1)*(Inputs!AF231+IF(AND(Inputs!$F$34=1,AF8&gt;33,AF8&lt;=Time!$F$10),2.75,0))/100+IF(AND(Inputs!$F$34=2,AF8&gt;=34,AF8&lt;=40),Inputs!$F$69/7,0)</f>
        <v>1.26995</v>
      </c>
      <c r="AG23" s="11" t="n">
        <f aca="false">Inputs!$F$61*IF(Inputs!$F$34=1,Inputs!$F$36,1)*(Inputs!AG231+IF(AND(Inputs!$F$34=1,AG8&gt;33,AG8&lt;=Time!$F$10),2.75,0))/100+IF(AND(Inputs!$F$34=2,AG8&gt;=34,AG8&lt;=40),Inputs!$F$69/7,0)</f>
        <v>1.26995</v>
      </c>
      <c r="AH23" s="11" t="n">
        <f aca="false">Inputs!$F$61*IF(Inputs!$F$34=1,Inputs!$F$36,1)*(Inputs!AH231+IF(AND(Inputs!$F$34=1,AH8&gt;33,AH8&lt;=Time!$F$10),2.75,0))/100+IF(AND(Inputs!$F$34=2,AH8&gt;=34,AH8&lt;=40),Inputs!$F$69/7,0)</f>
        <v>1.26995</v>
      </c>
      <c r="AI23" s="11" t="n">
        <f aca="false">Inputs!$F$61*IF(Inputs!$F$34=1,Inputs!$F$36,1)*(Inputs!AI231+IF(AND(Inputs!$F$34=1,AI8&gt;33,AI8&lt;=Time!$F$10),2.75,0))/100+IF(AND(Inputs!$F$34=2,AI8&gt;=34,AI8&lt;=40),Inputs!$F$69/7,0)</f>
        <v>1.26995</v>
      </c>
      <c r="AJ23" s="11" t="n">
        <f aca="false">Inputs!$F$61*IF(Inputs!$F$34=1,Inputs!$F$36,1)*(Inputs!AJ231+IF(AND(Inputs!$F$34=1,AJ8&gt;33,AJ8&lt;=Time!$F$10),2.75,0))/100+IF(AND(Inputs!$F$34=2,AJ8&gt;=34,AJ8&lt;=40),Inputs!$F$69/7,0)</f>
        <v>1.26995</v>
      </c>
      <c r="AK23" s="11" t="n">
        <f aca="false">Inputs!$F$61*IF(Inputs!$F$34=1,Inputs!$F$36,1)*(Inputs!AK231+IF(AND(Inputs!$F$34=1,AK8&gt;33,AK8&lt;=Time!$F$10),2.75,0))/100+IF(AND(Inputs!$F$34=2,AK8&gt;=34,AK8&lt;=40),Inputs!$F$69/7,0)</f>
        <v>1.26995</v>
      </c>
      <c r="AL23" s="11" t="n">
        <f aca="false">Inputs!$F$61*IF(Inputs!$F$34=1,Inputs!$F$36,1)*(Inputs!AL231+IF(AND(Inputs!$F$34=1,AL8&gt;33,AL8&lt;=Time!$F$10),2.75,0))/100+IF(AND(Inputs!$F$34=2,AL8&gt;=34,AL8&lt;=40),Inputs!$F$69/7,0)</f>
        <v>1.26995</v>
      </c>
      <c r="AM23" s="11" t="n">
        <f aca="false">Inputs!$F$61*IF(Inputs!$F$34=1,Inputs!$F$36,1)*(Inputs!AM231+IF(AND(Inputs!$F$34=1,AM8&gt;33,AM8&lt;=Time!$F$10),2.75,0))/100+IF(AND(Inputs!$F$34=2,AM8&gt;=34,AM8&lt;=40),Inputs!$F$69/7,0)</f>
        <v>1.26995</v>
      </c>
      <c r="AN23" s="11" t="n">
        <f aca="false">Inputs!$F$61*IF(Inputs!$F$34=1,Inputs!$F$36,1)*(Inputs!AN231+IF(AND(Inputs!$F$34=1,AN8&gt;33,AN8&lt;=Time!$F$10),2.75,0))/100+IF(AND(Inputs!$F$34=2,AN8&gt;=34,AN8&lt;=40),Inputs!$F$69/7,0)</f>
        <v>1.26995</v>
      </c>
      <c r="AO23" s="11" t="n">
        <f aca="false">Inputs!$F$61*IF(Inputs!$F$34=1,Inputs!$F$36,1)*(Inputs!AO231+IF(AND(Inputs!$F$34=1,AO8&gt;33,AO8&lt;=Time!$F$10),2.75,0))/100+IF(AND(Inputs!$F$34=2,AO8&gt;=34,AO8&lt;=40),Inputs!$F$69/7,0)</f>
        <v>1.26995</v>
      </c>
      <c r="AP23" s="11" t="n">
        <f aca="false">Inputs!$F$61*IF(Inputs!$F$34=1,Inputs!$F$36,1)*(Inputs!AP231+IF(AND(Inputs!$F$34=1,AP8&gt;33,AP8&lt;=Time!$F$10),2.75,0))/100+IF(AND(Inputs!$F$34=2,AP8&gt;=34,AP8&lt;=40),Inputs!$F$69/7,0)</f>
        <v>1.26995</v>
      </c>
      <c r="AQ23" s="11" t="n">
        <f aca="false">Inputs!$F$61*IF(Inputs!$F$34=1,Inputs!$F$36,1)*(Inputs!AQ231+IF(AND(Inputs!$F$34=1,AQ8&gt;33,AQ8&lt;=Time!$F$10),2.75,0))/100+IF(AND(Inputs!$F$34=2,AQ8&gt;=34,AQ8&lt;=40),Inputs!$F$69/7,0)</f>
        <v>0</v>
      </c>
      <c r="AR23" s="11" t="n">
        <f aca="false">Inputs!$F$61*IF(Inputs!$F$34=1,Inputs!$F$36,1)*(Inputs!AR231+IF(AND(Inputs!$F$34=1,AR8&gt;33,AR8&lt;=Time!$F$10),2.75,0))/100+IF(AND(Inputs!$F$34=2,AR8&gt;=34,AR8&lt;=40),Inputs!$F$69/7,0)</f>
        <v>0</v>
      </c>
      <c r="AS23" s="11" t="n">
        <f aca="false">Inputs!$F$61*IF(Inputs!$F$34=1,Inputs!$F$36,1)*(Inputs!AS231+IF(AND(Inputs!$F$34=1,AS8&gt;33,AS8&lt;=Time!$F$10),2.75,0))/100+IF(AND(Inputs!$F$34=2,AS8&gt;=34,AS8&lt;=40),Inputs!$F$69/7,0)</f>
        <v>0</v>
      </c>
      <c r="AT23" s="11" t="n">
        <f aca="false">Inputs!$F$61*IF(Inputs!$F$34=1,Inputs!$F$36,1)*(Inputs!AT231+IF(AND(Inputs!$F$34=1,AT8&gt;33,AT8&lt;=Time!$F$10),2.75,0))/100+IF(AND(Inputs!$F$34=2,AT8&gt;=34,AT8&lt;=40),Inputs!$F$69/7,0)</f>
        <v>0</v>
      </c>
      <c r="AU23" s="11" t="n">
        <f aca="false">Inputs!$F$61*IF(Inputs!$F$34=1,Inputs!$F$36,1)*(Inputs!AU231+IF(AND(Inputs!$F$34=1,AU8&gt;33,AU8&lt;=Time!$F$10),2.75,0))/100+IF(AND(Inputs!$F$34=2,AU8&gt;=34,AU8&lt;=40),Inputs!$F$69/7,0)</f>
        <v>0</v>
      </c>
      <c r="AV23" s="11" t="n">
        <f aca="false">Inputs!$F$61*IF(Inputs!$F$34=1,Inputs!$F$36,1)*(Inputs!AV231+IF(AND(Inputs!$F$34=1,AV8&gt;33,AV8&lt;=Time!$F$10),2.75,0))/100+IF(AND(Inputs!$F$34=2,AV8&gt;=34,AV8&lt;=40),Inputs!$F$69/7,0)</f>
        <v>0</v>
      </c>
      <c r="AW23" s="11" t="n">
        <f aca="false">Inputs!$F$61*IF(Inputs!$F$34=1,Inputs!$F$36,1)*(Inputs!AW231+IF(AND(Inputs!$F$34=1,AW8&gt;33,AW8&lt;=Time!$F$10),2.75,0))/100+IF(AND(Inputs!$F$34=2,AW8&gt;=34,AW8&lt;=40),Inputs!$F$69/7,0)</f>
        <v>0</v>
      </c>
      <c r="AX23" s="11" t="n">
        <f aca="false">Inputs!$F$61*IF(Inputs!$F$34=1,Inputs!$F$36,1)*(Inputs!AX231+IF(AND(Inputs!$F$34=1,AX8&gt;33,AX8&lt;=Time!$F$10),2.75,0))/100+IF(AND(Inputs!$F$34=2,AX8&gt;=34,AX8&lt;=40),Inputs!$F$69/7,0)</f>
        <v>0</v>
      </c>
      <c r="AY23" s="11" t="n">
        <f aca="false">Inputs!$F$61*IF(Inputs!$F$34=1,Inputs!$F$36,1)*(Inputs!AY231+IF(AND(Inputs!$F$34=1,AY8&gt;33,AY8&lt;=Time!$F$10),2.75,0))/100+IF(AND(Inputs!$F$34=2,AY8&gt;=34,AY8&lt;=40),Inputs!$F$69/7,0)</f>
        <v>0</v>
      </c>
      <c r="AZ23" s="11" t="n">
        <f aca="false">Inputs!$F$61*IF(Inputs!$F$34=1,Inputs!$F$36,1)*(Inputs!AZ231+IF(AND(Inputs!$F$34=1,AZ8&gt;33,AZ8&lt;=Time!$F$10),2.75,0))/100+IF(AND(Inputs!$F$34=2,AZ8&gt;=34,AZ8&lt;=40),Inputs!$F$69/7,0)</f>
        <v>0</v>
      </c>
      <c r="BA23" s="11" t="n">
        <f aca="false">Inputs!$F$61*IF(Inputs!$F$34=1,Inputs!$F$36,1)*(Inputs!BA231+IF(AND(Inputs!$F$34=1,BA8&gt;33,BA8&lt;=Time!$F$10),2.75,0))/100+IF(AND(Inputs!$F$34=2,BA8&gt;=34,BA8&lt;=40),Inputs!$F$69/7,0)</f>
        <v>0</v>
      </c>
      <c r="BB23" s="11" t="n">
        <f aca="false">Inputs!$F$61*IF(Inputs!$F$34=1,Inputs!$F$36,1)*(Inputs!BB231+IF(AND(Inputs!$F$34=1,BB8&gt;33,BB8&lt;=Time!$F$10),2.75,0))/100+IF(AND(Inputs!$F$34=2,BB8&gt;=34,BB8&lt;=40),Inputs!$F$69/7,0)</f>
        <v>0</v>
      </c>
      <c r="BC23" s="11" t="n">
        <f aca="false">Inputs!$F$61*IF(Inputs!$F$34=1,Inputs!$F$36,1)*(Inputs!BC231+IF(AND(Inputs!$F$34=1,BC8&gt;33,BC8&lt;=Time!$F$10),2.75,0))/100+IF(AND(Inputs!$F$34=2,BC8&gt;=34,BC8&lt;=40),Inputs!$F$69/7,0)</f>
        <v>0</v>
      </c>
      <c r="BD23" s="11" t="n">
        <f aca="false">Inputs!$F$61*IF(Inputs!$F$34=1,Inputs!$F$36,1)*(Inputs!BD231+IF(AND(Inputs!$F$34=1,BD8&gt;33,BD8&lt;=Time!$F$10),2.75,0))/100+IF(AND(Inputs!$F$34=2,BD8&gt;=34,BD8&lt;=40),Inputs!$F$69/7,0)</f>
        <v>0</v>
      </c>
      <c r="BE23" s="11" t="n">
        <f aca="false">Inputs!$F$61*IF(Inputs!$F$34=1,Inputs!$F$36,1)*(Inputs!BE231+IF(AND(Inputs!$F$34=1,BE8&gt;33,BE8&lt;=Time!$F$10),2.75,0))/100+IF(AND(Inputs!$F$34=2,BE8&gt;=34,BE8&lt;=40),Inputs!$F$69/7,0)</f>
        <v>0</v>
      </c>
      <c r="BF23" s="11" t="n">
        <f aca="false">Inputs!$F$61*IF(Inputs!$F$34=1,Inputs!$F$36,1)*(Inputs!BF231+IF(AND(Inputs!$F$34=1,BF8&gt;33,BF8&lt;=Time!$F$10),2.75,0))/100+IF(AND(Inputs!$F$34=2,BF8&gt;=34,BF8&lt;=40),Inputs!$F$69/7,0)</f>
        <v>0</v>
      </c>
      <c r="BG23" s="11" t="n">
        <f aca="false">Inputs!$F$61*IF(Inputs!$F$34=1,Inputs!$F$36,1)*(Inputs!BG231+IF(AND(Inputs!$F$34=1,BG8&gt;33,BG8&lt;=Time!$F$10),2.75,0))/100+IF(AND(Inputs!$F$34=2,BG8&gt;=34,BG8&lt;=40),Inputs!$F$69/7,0)</f>
        <v>0</v>
      </c>
      <c r="BH23" s="11" t="n">
        <f aca="false">Inputs!$F$61*IF(Inputs!$F$34=1,Inputs!$F$36,1)*(Inputs!BH231+IF(AND(Inputs!$F$34=1,BH8&gt;33,BH8&lt;=Time!$F$10),2.75,0))/100+IF(AND(Inputs!$F$34=2,BH8&gt;=34,BH8&lt;=40),Inputs!$F$69/7,0)</f>
        <v>0</v>
      </c>
      <c r="BI23" s="11" t="n">
        <f aca="false">Inputs!$F$61*IF(Inputs!$F$34=1,Inputs!$F$36,1)*(Inputs!BI231+IF(AND(Inputs!$F$34=1,BI8&gt;33,BI8&lt;=Time!$F$10),2.75,0))/100+IF(AND(Inputs!$F$34=2,BI8&gt;=34,BI8&lt;=40),Inputs!$F$69/7,0)</f>
        <v>0</v>
      </c>
      <c r="BJ23" s="11" t="n">
        <f aca="false">Inputs!$F$61*IF(Inputs!$F$34=1,Inputs!$F$36,1)*(Inputs!BJ231+IF(AND(Inputs!$F$34=1,BJ8&gt;33,BJ8&lt;=Time!$F$10),2.75,0))/100+IF(AND(Inputs!$F$34=2,BJ8&gt;=34,BJ8&lt;=40),Inputs!$F$69/7,0)</f>
        <v>0</v>
      </c>
    </row>
    <row r="24" customFormat="false" ht="15" hidden="false" customHeight="false" outlineLevel="0" collapsed="false">
      <c r="D24" s="0" t="s">
        <v>155</v>
      </c>
      <c r="E24" s="0" t="s">
        <v>149</v>
      </c>
      <c r="G24" s="11" t="n">
        <f aca="false">SUM(J24:BJ24)</f>
        <v>7.62</v>
      </c>
      <c r="J24" s="11" t="n">
        <f aca="false">Inputs!$F$62*Inputs!$F$36*(0.85*IF(J8=1,1,0)+0.15*IF(J8=18,1,0))</f>
        <v>6.477</v>
      </c>
      <c r="K24" s="11" t="n">
        <f aca="false">Inputs!$F$62*Inputs!$F$36*(0.85*IF(K8=1,1,0)+0.15*IF(K8=18,1,0))</f>
        <v>0</v>
      </c>
      <c r="L24" s="11" t="n">
        <f aca="false">Inputs!$F$62*Inputs!$F$36*(0.85*IF(L8=1,1,0)+0.15*IF(L8=18,1,0))</f>
        <v>0</v>
      </c>
      <c r="M24" s="11" t="n">
        <f aca="false">Inputs!$F$62*Inputs!$F$36*(0.85*IF(M8=1,1,0)+0.15*IF(M8=18,1,0))</f>
        <v>0</v>
      </c>
      <c r="N24" s="11" t="n">
        <f aca="false">Inputs!$F$62*Inputs!$F$36*(0.85*IF(N8=1,1,0)+0.15*IF(N8=18,1,0))</f>
        <v>0</v>
      </c>
      <c r="O24" s="11" t="n">
        <f aca="false">Inputs!$F$62*Inputs!$F$36*(0.85*IF(O8=1,1,0)+0.15*IF(O8=18,1,0))</f>
        <v>0</v>
      </c>
      <c r="P24" s="11" t="n">
        <f aca="false">Inputs!$F$62*Inputs!$F$36*(0.85*IF(P8=1,1,0)+0.15*IF(P8=18,1,0))</f>
        <v>0</v>
      </c>
      <c r="Q24" s="11" t="n">
        <f aca="false">Inputs!$F$62*Inputs!$F$36*(0.85*IF(Q8=1,1,0)+0.15*IF(Q8=18,1,0))</f>
        <v>0</v>
      </c>
      <c r="R24" s="11" t="n">
        <f aca="false">Inputs!$F$62*Inputs!$F$36*(0.85*IF(R8=1,1,0)+0.15*IF(R8=18,1,0))</f>
        <v>0</v>
      </c>
      <c r="S24" s="11" t="n">
        <f aca="false">Inputs!$F$62*Inputs!$F$36*(0.85*IF(S8=1,1,0)+0.15*IF(S8=18,1,0))</f>
        <v>0</v>
      </c>
      <c r="T24" s="11" t="n">
        <f aca="false">Inputs!$F$62*Inputs!$F$36*(0.85*IF(T8=1,1,0)+0.15*IF(T8=18,1,0))</f>
        <v>0</v>
      </c>
      <c r="U24" s="11" t="n">
        <f aca="false">Inputs!$F$62*Inputs!$F$36*(0.85*IF(U8=1,1,0)+0.15*IF(U8=18,1,0))</f>
        <v>0</v>
      </c>
      <c r="V24" s="11" t="n">
        <f aca="false">Inputs!$F$62*Inputs!$F$36*(0.85*IF(V8=1,1,0)+0.15*IF(V8=18,1,0))</f>
        <v>0</v>
      </c>
      <c r="W24" s="11" t="n">
        <f aca="false">Inputs!$F$62*Inputs!$F$36*(0.85*IF(W8=1,1,0)+0.15*IF(W8=18,1,0))</f>
        <v>0</v>
      </c>
      <c r="X24" s="11" t="n">
        <f aca="false">Inputs!$F$62*Inputs!$F$36*(0.85*IF(X8=1,1,0)+0.15*IF(X8=18,1,0))</f>
        <v>0</v>
      </c>
      <c r="Y24" s="11" t="n">
        <f aca="false">Inputs!$F$62*Inputs!$F$36*(0.85*IF(Y8=1,1,0)+0.15*IF(Y8=18,1,0))</f>
        <v>0</v>
      </c>
      <c r="Z24" s="11" t="n">
        <f aca="false">Inputs!$F$62*Inputs!$F$36*(0.85*IF(Z8=1,1,0)+0.15*IF(Z8=18,1,0))</f>
        <v>0</v>
      </c>
      <c r="AA24" s="11" t="n">
        <f aca="false">Inputs!$F$62*Inputs!$F$36*(0.85*IF(AA8=1,1,0)+0.15*IF(AA8=18,1,0))</f>
        <v>1.143</v>
      </c>
      <c r="AB24" s="11" t="n">
        <f aca="false">Inputs!$F$62*Inputs!$F$36*(0.85*IF(AB8=1,1,0)+0.15*IF(AB8=18,1,0))</f>
        <v>0</v>
      </c>
      <c r="AC24" s="11" t="n">
        <f aca="false">Inputs!$F$62*Inputs!$F$36*(0.85*IF(AC8=1,1,0)+0.15*IF(AC8=18,1,0))</f>
        <v>0</v>
      </c>
      <c r="AD24" s="11" t="n">
        <f aca="false">Inputs!$F$62*Inputs!$F$36*(0.85*IF(AD8=1,1,0)+0.15*IF(AD8=18,1,0))</f>
        <v>0</v>
      </c>
      <c r="AE24" s="11" t="n">
        <f aca="false">Inputs!$F$62*Inputs!$F$36*(0.85*IF(AE8=1,1,0)+0.15*IF(AE8=18,1,0))</f>
        <v>0</v>
      </c>
      <c r="AF24" s="11" t="n">
        <f aca="false">Inputs!$F$62*Inputs!$F$36*(0.85*IF(AF8=1,1,0)+0.15*IF(AF8=18,1,0))</f>
        <v>0</v>
      </c>
      <c r="AG24" s="11" t="n">
        <f aca="false">Inputs!$F$62*Inputs!$F$36*(0.85*IF(AG8=1,1,0)+0.15*IF(AG8=18,1,0))</f>
        <v>0</v>
      </c>
      <c r="AH24" s="11" t="n">
        <f aca="false">Inputs!$F$62*Inputs!$F$36*(0.85*IF(AH8=1,1,0)+0.15*IF(AH8=18,1,0))</f>
        <v>0</v>
      </c>
      <c r="AI24" s="11" t="n">
        <f aca="false">Inputs!$F$62*Inputs!$F$36*(0.85*IF(AI8=1,1,0)+0.15*IF(AI8=18,1,0))</f>
        <v>0</v>
      </c>
      <c r="AJ24" s="11" t="n">
        <f aca="false">Inputs!$F$62*Inputs!$F$36*(0.85*IF(AJ8=1,1,0)+0.15*IF(AJ8=18,1,0))</f>
        <v>0</v>
      </c>
      <c r="AK24" s="11" t="n">
        <f aca="false">Inputs!$F$62*Inputs!$F$36*(0.85*IF(AK8=1,1,0)+0.15*IF(AK8=18,1,0))</f>
        <v>0</v>
      </c>
      <c r="AL24" s="11" t="n">
        <f aca="false">Inputs!$F$62*Inputs!$F$36*(0.85*IF(AL8=1,1,0)+0.15*IF(AL8=18,1,0))</f>
        <v>0</v>
      </c>
      <c r="AM24" s="11" t="n">
        <f aca="false">Inputs!$F$62*Inputs!$F$36*(0.85*IF(AM8=1,1,0)+0.15*IF(AM8=18,1,0))</f>
        <v>0</v>
      </c>
      <c r="AN24" s="11" t="n">
        <f aca="false">Inputs!$F$62*Inputs!$F$36*(0.85*IF(AN8=1,1,0)+0.15*IF(AN8=18,1,0))</f>
        <v>0</v>
      </c>
      <c r="AO24" s="11" t="n">
        <f aca="false">Inputs!$F$62*Inputs!$F$36*(0.85*IF(AO8=1,1,0)+0.15*IF(AO8=18,1,0))</f>
        <v>0</v>
      </c>
      <c r="AP24" s="11" t="n">
        <f aca="false">Inputs!$F$62*Inputs!$F$36*(0.85*IF(AP8=1,1,0)+0.15*IF(AP8=18,1,0))</f>
        <v>0</v>
      </c>
      <c r="AQ24" s="11" t="n">
        <f aca="false">Inputs!$F$62*Inputs!$F$36*(0.85*IF(AQ8=1,1,0)+0.15*IF(AQ8=18,1,0))</f>
        <v>0</v>
      </c>
      <c r="AR24" s="11" t="n">
        <f aca="false">Inputs!$F$62*Inputs!$F$36*(0.85*IF(AR8=1,1,0)+0.15*IF(AR8=18,1,0))</f>
        <v>0</v>
      </c>
      <c r="AS24" s="11" t="n">
        <f aca="false">Inputs!$F$62*Inputs!$F$36*(0.85*IF(AS8=1,1,0)+0.15*IF(AS8=18,1,0))</f>
        <v>0</v>
      </c>
      <c r="AT24" s="11" t="n">
        <f aca="false">Inputs!$F$62*Inputs!$F$36*(0.85*IF(AT8=1,1,0)+0.15*IF(AT8=18,1,0))</f>
        <v>0</v>
      </c>
      <c r="AU24" s="11" t="n">
        <f aca="false">Inputs!$F$62*Inputs!$F$36*(0.85*IF(AU8=1,1,0)+0.15*IF(AU8=18,1,0))</f>
        <v>0</v>
      </c>
      <c r="AV24" s="11" t="n">
        <f aca="false">Inputs!$F$62*Inputs!$F$36*(0.85*IF(AV8=1,1,0)+0.15*IF(AV8=18,1,0))</f>
        <v>0</v>
      </c>
      <c r="AW24" s="11" t="n">
        <f aca="false">Inputs!$F$62*Inputs!$F$36*(0.85*IF(AW8=1,1,0)+0.15*IF(AW8=18,1,0))</f>
        <v>0</v>
      </c>
      <c r="AX24" s="11" t="n">
        <f aca="false">Inputs!$F$62*Inputs!$F$36*(0.85*IF(AX8=1,1,0)+0.15*IF(AX8=18,1,0))</f>
        <v>0</v>
      </c>
      <c r="AY24" s="11" t="n">
        <f aca="false">Inputs!$F$62*Inputs!$F$36*(0.85*IF(AY8=1,1,0)+0.15*IF(AY8=18,1,0))</f>
        <v>0</v>
      </c>
      <c r="AZ24" s="11" t="n">
        <f aca="false">Inputs!$F$62*Inputs!$F$36*(0.85*IF(AZ8=1,1,0)+0.15*IF(AZ8=18,1,0))</f>
        <v>0</v>
      </c>
      <c r="BA24" s="11" t="n">
        <f aca="false">Inputs!$F$62*Inputs!$F$36*(0.85*IF(BA8=1,1,0)+0.15*IF(BA8=18,1,0))</f>
        <v>0</v>
      </c>
      <c r="BB24" s="11" t="n">
        <f aca="false">Inputs!$F$62*Inputs!$F$36*(0.85*IF(BB8=1,1,0)+0.15*IF(BB8=18,1,0))</f>
        <v>0</v>
      </c>
      <c r="BC24" s="11" t="n">
        <f aca="false">Inputs!$F$62*Inputs!$F$36*(0.85*IF(BC8=1,1,0)+0.15*IF(BC8=18,1,0))</f>
        <v>0</v>
      </c>
      <c r="BD24" s="11" t="n">
        <f aca="false">Inputs!$F$62*Inputs!$F$36*(0.85*IF(BD8=1,1,0)+0.15*IF(BD8=18,1,0))</f>
        <v>0</v>
      </c>
      <c r="BE24" s="11" t="n">
        <f aca="false">Inputs!$F$62*Inputs!$F$36*(0.85*IF(BE8=1,1,0)+0.15*IF(BE8=18,1,0))</f>
        <v>0</v>
      </c>
      <c r="BF24" s="11" t="n">
        <f aca="false">Inputs!$F$62*Inputs!$F$36*(0.85*IF(BF8=1,1,0)+0.15*IF(BF8=18,1,0))</f>
        <v>0</v>
      </c>
      <c r="BG24" s="11" t="n">
        <f aca="false">Inputs!$F$62*Inputs!$F$36*(0.85*IF(BG8=1,1,0)+0.15*IF(BG8=18,1,0))</f>
        <v>0</v>
      </c>
      <c r="BH24" s="11" t="n">
        <f aca="false">Inputs!$F$62*Inputs!$F$36*(0.85*IF(BH8=1,1,0)+0.15*IF(BH8=18,1,0))</f>
        <v>0</v>
      </c>
      <c r="BI24" s="11" t="n">
        <f aca="false">Inputs!$F$62*Inputs!$F$36*(0.85*IF(BI8=1,1,0)+0.15*IF(BI8=18,1,0))</f>
        <v>0</v>
      </c>
      <c r="BJ24" s="11" t="n">
        <f aca="false">Inputs!$F$62*Inputs!$F$36*(0.85*IF(BJ8=1,1,0)+0.15*IF(BJ8=18,1,0))</f>
        <v>0</v>
      </c>
    </row>
    <row r="25" customFormat="false" ht="15" hidden="false" customHeight="false" outlineLevel="0" collapsed="false">
      <c r="D25" s="0" t="s">
        <v>446</v>
      </c>
      <c r="E25" s="0" t="s">
        <v>149</v>
      </c>
      <c r="G25" s="11" t="n">
        <f aca="false">SUM(J25:BJ25)</f>
        <v>32.63</v>
      </c>
      <c r="J25" s="11" t="n">
        <f aca="false">IF(J8=1,Inputs!$F$63+Inputs!$F$64,0)</f>
        <v>32.63</v>
      </c>
      <c r="K25" s="11" t="n">
        <f aca="false">IF(K8=1,Inputs!$F$63+Inputs!$F$64,0)</f>
        <v>0</v>
      </c>
      <c r="L25" s="11" t="n">
        <f aca="false">IF(L8=1,Inputs!$F$63+Inputs!$F$64,0)</f>
        <v>0</v>
      </c>
      <c r="M25" s="11" t="n">
        <f aca="false">IF(M8=1,Inputs!$F$63+Inputs!$F$64,0)</f>
        <v>0</v>
      </c>
      <c r="N25" s="11" t="n">
        <f aca="false">IF(N8=1,Inputs!$F$63+Inputs!$F$64,0)</f>
        <v>0</v>
      </c>
      <c r="O25" s="11" t="n">
        <f aca="false">IF(O8=1,Inputs!$F$63+Inputs!$F$64,0)</f>
        <v>0</v>
      </c>
      <c r="P25" s="11" t="n">
        <f aca="false">IF(P8=1,Inputs!$F$63+Inputs!$F$64,0)</f>
        <v>0</v>
      </c>
      <c r="Q25" s="11" t="n">
        <f aca="false">IF(Q8=1,Inputs!$F$63+Inputs!$F$64,0)</f>
        <v>0</v>
      </c>
      <c r="R25" s="11" t="n">
        <f aca="false">IF(R8=1,Inputs!$F$63+Inputs!$F$64,0)</f>
        <v>0</v>
      </c>
      <c r="S25" s="11" t="n">
        <f aca="false">IF(S8=1,Inputs!$F$63+Inputs!$F$64,0)</f>
        <v>0</v>
      </c>
      <c r="T25" s="11" t="n">
        <f aca="false">IF(T8=1,Inputs!$F$63+Inputs!$F$64,0)</f>
        <v>0</v>
      </c>
      <c r="U25" s="11" t="n">
        <f aca="false">IF(U8=1,Inputs!$F$63+Inputs!$F$64,0)</f>
        <v>0</v>
      </c>
      <c r="V25" s="11" t="n">
        <f aca="false">IF(V8=1,Inputs!$F$63+Inputs!$F$64,0)</f>
        <v>0</v>
      </c>
      <c r="W25" s="11" t="n">
        <f aca="false">IF(W8=1,Inputs!$F$63+Inputs!$F$64,0)</f>
        <v>0</v>
      </c>
      <c r="X25" s="11" t="n">
        <f aca="false">IF(X8=1,Inputs!$F$63+Inputs!$F$64,0)</f>
        <v>0</v>
      </c>
      <c r="Y25" s="11" t="n">
        <f aca="false">IF(Y8=1,Inputs!$F$63+Inputs!$F$64,0)</f>
        <v>0</v>
      </c>
      <c r="Z25" s="11" t="n">
        <f aca="false">IF(Z8=1,Inputs!$F$63+Inputs!$F$64,0)</f>
        <v>0</v>
      </c>
      <c r="AA25" s="11" t="n">
        <f aca="false">IF(AA8=1,Inputs!$F$63+Inputs!$F$64,0)</f>
        <v>0</v>
      </c>
      <c r="AB25" s="11" t="n">
        <f aca="false">IF(AB8=1,Inputs!$F$63+Inputs!$F$64,0)</f>
        <v>0</v>
      </c>
      <c r="AC25" s="11" t="n">
        <f aca="false">IF(AC8=1,Inputs!$F$63+Inputs!$F$64,0)</f>
        <v>0</v>
      </c>
      <c r="AD25" s="11" t="n">
        <f aca="false">IF(AD8=1,Inputs!$F$63+Inputs!$F$64,0)</f>
        <v>0</v>
      </c>
      <c r="AE25" s="11" t="n">
        <f aca="false">IF(AE8=1,Inputs!$F$63+Inputs!$F$64,0)</f>
        <v>0</v>
      </c>
      <c r="AF25" s="11" t="n">
        <f aca="false">IF(AF8=1,Inputs!$F$63+Inputs!$F$64,0)</f>
        <v>0</v>
      </c>
      <c r="AG25" s="11" t="n">
        <f aca="false">IF(AG8=1,Inputs!$F$63+Inputs!$F$64,0)</f>
        <v>0</v>
      </c>
      <c r="AH25" s="11" t="n">
        <f aca="false">IF(AH8=1,Inputs!$F$63+Inputs!$F$64,0)</f>
        <v>0</v>
      </c>
      <c r="AI25" s="11" t="n">
        <f aca="false">IF(AI8=1,Inputs!$F$63+Inputs!$F$64,0)</f>
        <v>0</v>
      </c>
      <c r="AJ25" s="11" t="n">
        <f aca="false">IF(AJ8=1,Inputs!$F$63+Inputs!$F$64,0)</f>
        <v>0</v>
      </c>
      <c r="AK25" s="11" t="n">
        <f aca="false">IF(AK8=1,Inputs!$F$63+Inputs!$F$64,0)</f>
        <v>0</v>
      </c>
      <c r="AL25" s="11" t="n">
        <f aca="false">IF(AL8=1,Inputs!$F$63+Inputs!$F$64,0)</f>
        <v>0</v>
      </c>
      <c r="AM25" s="11" t="n">
        <f aca="false">IF(AM8=1,Inputs!$F$63+Inputs!$F$64,0)</f>
        <v>0</v>
      </c>
      <c r="AN25" s="11" t="n">
        <f aca="false">IF(AN8=1,Inputs!$F$63+Inputs!$F$64,0)</f>
        <v>0</v>
      </c>
      <c r="AO25" s="11" t="n">
        <f aca="false">IF(AO8=1,Inputs!$F$63+Inputs!$F$64,0)</f>
        <v>0</v>
      </c>
      <c r="AP25" s="11" t="n">
        <f aca="false">IF(AP8=1,Inputs!$F$63+Inputs!$F$64,0)</f>
        <v>0</v>
      </c>
      <c r="AQ25" s="11" t="n">
        <f aca="false">IF(AQ8=1,Inputs!$F$63+Inputs!$F$64,0)</f>
        <v>0</v>
      </c>
      <c r="AR25" s="11" t="n">
        <f aca="false">IF(AR8=1,Inputs!$F$63+Inputs!$F$64,0)</f>
        <v>0</v>
      </c>
      <c r="AS25" s="11" t="n">
        <f aca="false">IF(AS8=1,Inputs!$F$63+Inputs!$F$64,0)</f>
        <v>0</v>
      </c>
      <c r="AT25" s="11" t="n">
        <f aca="false">IF(AT8=1,Inputs!$F$63+Inputs!$F$64,0)</f>
        <v>0</v>
      </c>
      <c r="AU25" s="11" t="n">
        <f aca="false">IF(AU8=1,Inputs!$F$63+Inputs!$F$64,0)</f>
        <v>0</v>
      </c>
      <c r="AV25" s="11" t="n">
        <f aca="false">IF(AV8=1,Inputs!$F$63+Inputs!$F$64,0)</f>
        <v>0</v>
      </c>
      <c r="AW25" s="11" t="n">
        <f aca="false">IF(AW8=1,Inputs!$F$63+Inputs!$F$64,0)</f>
        <v>0</v>
      </c>
      <c r="AX25" s="11" t="n">
        <f aca="false">IF(AX8=1,Inputs!$F$63+Inputs!$F$64,0)</f>
        <v>0</v>
      </c>
      <c r="AY25" s="11" t="n">
        <f aca="false">IF(AY8=1,Inputs!$F$63+Inputs!$F$64,0)</f>
        <v>0</v>
      </c>
      <c r="AZ25" s="11" t="n">
        <f aca="false">IF(AZ8=1,Inputs!$F$63+Inputs!$F$64,0)</f>
        <v>0</v>
      </c>
      <c r="BA25" s="11" t="n">
        <f aca="false">IF(BA8=1,Inputs!$F$63+Inputs!$F$64,0)</f>
        <v>0</v>
      </c>
      <c r="BB25" s="11" t="n">
        <f aca="false">IF(BB8=1,Inputs!$F$63+Inputs!$F$64,0)</f>
        <v>0</v>
      </c>
      <c r="BC25" s="11" t="n">
        <f aca="false">IF(BC8=1,Inputs!$F$63+Inputs!$F$64,0)</f>
        <v>0</v>
      </c>
      <c r="BD25" s="11" t="n">
        <f aca="false">IF(BD8=1,Inputs!$F$63+Inputs!$F$64,0)</f>
        <v>0</v>
      </c>
      <c r="BE25" s="11" t="n">
        <f aca="false">IF(BE8=1,Inputs!$F$63+Inputs!$F$64,0)</f>
        <v>0</v>
      </c>
      <c r="BF25" s="11" t="n">
        <f aca="false">IF(BF8=1,Inputs!$F$63+Inputs!$F$64,0)</f>
        <v>0</v>
      </c>
      <c r="BG25" s="11" t="n">
        <f aca="false">IF(BG8=1,Inputs!$F$63+Inputs!$F$64,0)</f>
        <v>0</v>
      </c>
      <c r="BH25" s="11" t="n">
        <f aca="false">IF(BH8=1,Inputs!$F$63+Inputs!$F$64,0)</f>
        <v>0</v>
      </c>
      <c r="BI25" s="11" t="n">
        <f aca="false">IF(BI8=1,Inputs!$F$63+Inputs!$F$64,0)</f>
        <v>0</v>
      </c>
      <c r="BJ25" s="11" t="n">
        <f aca="false">IF(BJ8=1,Inputs!$F$63+Inputs!$F$64,0)</f>
        <v>0</v>
      </c>
    </row>
    <row r="26" customFormat="false" ht="15" hidden="false" customHeight="false" outlineLevel="0" collapsed="false">
      <c r="D26" s="0" t="s">
        <v>158</v>
      </c>
      <c r="E26" s="0" t="s">
        <v>149</v>
      </c>
      <c r="G26" s="11" t="n">
        <f aca="false">SUM(J26:BJ26)</f>
        <v>8.97</v>
      </c>
      <c r="J26" s="11" t="n">
        <f aca="false">Inputs!$F$65*Inputs!$F$36*(0.7*IF(J8=1,1,0)+0.3/(Time!$F$10-1)*IF(AND(J8&gt;=2,J8&lt;=Time!$F$10),1,0))</f>
        <v>6.279</v>
      </c>
      <c r="K26" s="11" t="n">
        <f aca="false">Inputs!$F$65*Inputs!$F$36*(0.7*IF(K8=1,1,0)+0.3/(Time!$F$10-1)*IF(AND(K8&gt;=2,K8&lt;=Time!$F$10),1,0))</f>
        <v>0.08409375</v>
      </c>
      <c r="L26" s="11" t="n">
        <f aca="false">Inputs!$F$65*Inputs!$F$36*(0.7*IF(L8=1,1,0)+0.3/(Time!$F$10-1)*IF(AND(L8&gt;=2,L8&lt;=Time!$F$10),1,0))</f>
        <v>0.08409375</v>
      </c>
      <c r="M26" s="11" t="n">
        <f aca="false">Inputs!$F$65*Inputs!$F$36*(0.7*IF(M8=1,1,0)+0.3/(Time!$F$10-1)*IF(AND(M8&gt;=2,M8&lt;=Time!$F$10),1,0))</f>
        <v>0.08409375</v>
      </c>
      <c r="N26" s="11" t="n">
        <f aca="false">Inputs!$F$65*Inputs!$F$36*(0.7*IF(N8=1,1,0)+0.3/(Time!$F$10-1)*IF(AND(N8&gt;=2,N8&lt;=Time!$F$10),1,0))</f>
        <v>0.08409375</v>
      </c>
      <c r="O26" s="11" t="n">
        <f aca="false">Inputs!$F$65*Inputs!$F$36*(0.7*IF(O8=1,1,0)+0.3/(Time!$F$10-1)*IF(AND(O8&gt;=2,O8&lt;=Time!$F$10),1,0))</f>
        <v>0.08409375</v>
      </c>
      <c r="P26" s="11" t="n">
        <f aca="false">Inputs!$F$65*Inputs!$F$36*(0.7*IF(P8=1,1,0)+0.3/(Time!$F$10-1)*IF(AND(P8&gt;=2,P8&lt;=Time!$F$10),1,0))</f>
        <v>0.08409375</v>
      </c>
      <c r="Q26" s="11" t="n">
        <f aca="false">Inputs!$F$65*Inputs!$F$36*(0.7*IF(Q8=1,1,0)+0.3/(Time!$F$10-1)*IF(AND(Q8&gt;=2,Q8&lt;=Time!$F$10),1,0))</f>
        <v>0.08409375</v>
      </c>
      <c r="R26" s="11" t="n">
        <f aca="false">Inputs!$F$65*Inputs!$F$36*(0.7*IF(R8=1,1,0)+0.3/(Time!$F$10-1)*IF(AND(R8&gt;=2,R8&lt;=Time!$F$10),1,0))</f>
        <v>0.08409375</v>
      </c>
      <c r="S26" s="11" t="n">
        <f aca="false">Inputs!$F$65*Inputs!$F$36*(0.7*IF(S8=1,1,0)+0.3/(Time!$F$10-1)*IF(AND(S8&gt;=2,S8&lt;=Time!$F$10),1,0))</f>
        <v>0.08409375</v>
      </c>
      <c r="T26" s="11" t="n">
        <f aca="false">Inputs!$F$65*Inputs!$F$36*(0.7*IF(T8=1,1,0)+0.3/(Time!$F$10-1)*IF(AND(T8&gt;=2,T8&lt;=Time!$F$10),1,0))</f>
        <v>0.08409375</v>
      </c>
      <c r="U26" s="11" t="n">
        <f aca="false">Inputs!$F$65*Inputs!$F$36*(0.7*IF(U8=1,1,0)+0.3/(Time!$F$10-1)*IF(AND(U8&gt;=2,U8&lt;=Time!$F$10),1,0))</f>
        <v>0.08409375</v>
      </c>
      <c r="V26" s="11" t="n">
        <f aca="false">Inputs!$F$65*Inputs!$F$36*(0.7*IF(V8=1,1,0)+0.3/(Time!$F$10-1)*IF(AND(V8&gt;=2,V8&lt;=Time!$F$10),1,0))</f>
        <v>0.08409375</v>
      </c>
      <c r="W26" s="11" t="n">
        <f aca="false">Inputs!$F$65*Inputs!$F$36*(0.7*IF(W8=1,1,0)+0.3/(Time!$F$10-1)*IF(AND(W8&gt;=2,W8&lt;=Time!$F$10),1,0))</f>
        <v>0.08409375</v>
      </c>
      <c r="X26" s="11" t="n">
        <f aca="false">Inputs!$F$65*Inputs!$F$36*(0.7*IF(X8=1,1,0)+0.3/(Time!$F$10-1)*IF(AND(X8&gt;=2,X8&lt;=Time!$F$10),1,0))</f>
        <v>0.08409375</v>
      </c>
      <c r="Y26" s="11" t="n">
        <f aca="false">Inputs!$F$65*Inputs!$F$36*(0.7*IF(Y8=1,1,0)+0.3/(Time!$F$10-1)*IF(AND(Y8&gt;=2,Y8&lt;=Time!$F$10),1,0))</f>
        <v>0.08409375</v>
      </c>
      <c r="Z26" s="11" t="n">
        <f aca="false">Inputs!$F$65*Inputs!$F$36*(0.7*IF(Z8=1,1,0)+0.3/(Time!$F$10-1)*IF(AND(Z8&gt;=2,Z8&lt;=Time!$F$10),1,0))</f>
        <v>0.08409375</v>
      </c>
      <c r="AA26" s="11" t="n">
        <f aca="false">Inputs!$F$65*Inputs!$F$36*(0.7*IF(AA8=1,1,0)+0.3/(Time!$F$10-1)*IF(AND(AA8&gt;=2,AA8&lt;=Time!$F$10),1,0))</f>
        <v>0.08409375</v>
      </c>
      <c r="AB26" s="11" t="n">
        <f aca="false">Inputs!$F$65*Inputs!$F$36*(0.7*IF(AB8=1,1,0)+0.3/(Time!$F$10-1)*IF(AND(AB8&gt;=2,AB8&lt;=Time!$F$10),1,0))</f>
        <v>0.08409375</v>
      </c>
      <c r="AC26" s="11" t="n">
        <f aca="false">Inputs!$F$65*Inputs!$F$36*(0.7*IF(AC8=1,1,0)+0.3/(Time!$F$10-1)*IF(AND(AC8&gt;=2,AC8&lt;=Time!$F$10),1,0))</f>
        <v>0.08409375</v>
      </c>
      <c r="AD26" s="11" t="n">
        <f aca="false">Inputs!$F$65*Inputs!$F$36*(0.7*IF(AD8=1,1,0)+0.3/(Time!$F$10-1)*IF(AND(AD8&gt;=2,AD8&lt;=Time!$F$10),1,0))</f>
        <v>0.08409375</v>
      </c>
      <c r="AE26" s="11" t="n">
        <f aca="false">Inputs!$F$65*Inputs!$F$36*(0.7*IF(AE8=1,1,0)+0.3/(Time!$F$10-1)*IF(AND(AE8&gt;=2,AE8&lt;=Time!$F$10),1,0))</f>
        <v>0.08409375</v>
      </c>
      <c r="AF26" s="11" t="n">
        <f aca="false">Inputs!$F$65*Inputs!$F$36*(0.7*IF(AF8=1,1,0)+0.3/(Time!$F$10-1)*IF(AND(AF8&gt;=2,AF8&lt;=Time!$F$10),1,0))</f>
        <v>0.08409375</v>
      </c>
      <c r="AG26" s="11" t="n">
        <f aca="false">Inputs!$F$65*Inputs!$F$36*(0.7*IF(AG8=1,1,0)+0.3/(Time!$F$10-1)*IF(AND(AG8&gt;=2,AG8&lt;=Time!$F$10),1,0))</f>
        <v>0.08409375</v>
      </c>
      <c r="AH26" s="11" t="n">
        <f aca="false">Inputs!$F$65*Inputs!$F$36*(0.7*IF(AH8=1,1,0)+0.3/(Time!$F$10-1)*IF(AND(AH8&gt;=2,AH8&lt;=Time!$F$10),1,0))</f>
        <v>0.08409375</v>
      </c>
      <c r="AI26" s="11" t="n">
        <f aca="false">Inputs!$F$65*Inputs!$F$36*(0.7*IF(AI8=1,1,0)+0.3/(Time!$F$10-1)*IF(AND(AI8&gt;=2,AI8&lt;=Time!$F$10),1,0))</f>
        <v>0.08409375</v>
      </c>
      <c r="AJ26" s="11" t="n">
        <f aca="false">Inputs!$F$65*Inputs!$F$36*(0.7*IF(AJ8=1,1,0)+0.3/(Time!$F$10-1)*IF(AND(AJ8&gt;=2,AJ8&lt;=Time!$F$10),1,0))</f>
        <v>0.08409375</v>
      </c>
      <c r="AK26" s="11" t="n">
        <f aca="false">Inputs!$F$65*Inputs!$F$36*(0.7*IF(AK8=1,1,0)+0.3/(Time!$F$10-1)*IF(AND(AK8&gt;=2,AK8&lt;=Time!$F$10),1,0))</f>
        <v>0.08409375</v>
      </c>
      <c r="AL26" s="11" t="n">
        <f aca="false">Inputs!$F$65*Inputs!$F$36*(0.7*IF(AL8=1,1,0)+0.3/(Time!$F$10-1)*IF(AND(AL8&gt;=2,AL8&lt;=Time!$F$10),1,0))</f>
        <v>0.08409375</v>
      </c>
      <c r="AM26" s="11" t="n">
        <f aca="false">Inputs!$F$65*Inputs!$F$36*(0.7*IF(AM8=1,1,0)+0.3/(Time!$F$10-1)*IF(AND(AM8&gt;=2,AM8&lt;=Time!$F$10),1,0))</f>
        <v>0.08409375</v>
      </c>
      <c r="AN26" s="11" t="n">
        <f aca="false">Inputs!$F$65*Inputs!$F$36*(0.7*IF(AN8=1,1,0)+0.3/(Time!$F$10-1)*IF(AND(AN8&gt;=2,AN8&lt;=Time!$F$10),1,0))</f>
        <v>0.08409375</v>
      </c>
      <c r="AO26" s="11" t="n">
        <f aca="false">Inputs!$F$65*Inputs!$F$36*(0.7*IF(AO8=1,1,0)+0.3/(Time!$F$10-1)*IF(AND(AO8&gt;=2,AO8&lt;=Time!$F$10),1,0))</f>
        <v>0.08409375</v>
      </c>
      <c r="AP26" s="11" t="n">
        <f aca="false">Inputs!$F$65*Inputs!$F$36*(0.7*IF(AP8=1,1,0)+0.3/(Time!$F$10-1)*IF(AND(AP8&gt;=2,AP8&lt;=Time!$F$10),1,0))</f>
        <v>0.08409375</v>
      </c>
      <c r="AQ26" s="11" t="n">
        <f aca="false">Inputs!$F$65*Inputs!$F$36*(0.7*IF(AQ8=1,1,0)+0.3/(Time!$F$10-1)*IF(AND(AQ8&gt;=2,AQ8&lt;=Time!$F$10),1,0))</f>
        <v>0</v>
      </c>
      <c r="AR26" s="11" t="n">
        <f aca="false">Inputs!$F$65*Inputs!$F$36*(0.7*IF(AR8=1,1,0)+0.3/(Time!$F$10-1)*IF(AND(AR8&gt;=2,AR8&lt;=Time!$F$10),1,0))</f>
        <v>0</v>
      </c>
      <c r="AS26" s="11" t="n">
        <f aca="false">Inputs!$F$65*Inputs!$F$36*(0.7*IF(AS8=1,1,0)+0.3/(Time!$F$10-1)*IF(AND(AS8&gt;=2,AS8&lt;=Time!$F$10),1,0))</f>
        <v>0</v>
      </c>
      <c r="AT26" s="11" t="n">
        <f aca="false">Inputs!$F$65*Inputs!$F$36*(0.7*IF(AT8=1,1,0)+0.3/(Time!$F$10-1)*IF(AND(AT8&gt;=2,AT8&lt;=Time!$F$10),1,0))</f>
        <v>0</v>
      </c>
      <c r="AU26" s="11" t="n">
        <f aca="false">Inputs!$F$65*Inputs!$F$36*(0.7*IF(AU8=1,1,0)+0.3/(Time!$F$10-1)*IF(AND(AU8&gt;=2,AU8&lt;=Time!$F$10),1,0))</f>
        <v>0</v>
      </c>
      <c r="AV26" s="11" t="n">
        <f aca="false">Inputs!$F$65*Inputs!$F$36*(0.7*IF(AV8=1,1,0)+0.3/(Time!$F$10-1)*IF(AND(AV8&gt;=2,AV8&lt;=Time!$F$10),1,0))</f>
        <v>0</v>
      </c>
      <c r="AW26" s="11" t="n">
        <f aca="false">Inputs!$F$65*Inputs!$F$36*(0.7*IF(AW8=1,1,0)+0.3/(Time!$F$10-1)*IF(AND(AW8&gt;=2,AW8&lt;=Time!$F$10),1,0))</f>
        <v>0</v>
      </c>
      <c r="AX26" s="11" t="n">
        <f aca="false">Inputs!$F$65*Inputs!$F$36*(0.7*IF(AX8=1,1,0)+0.3/(Time!$F$10-1)*IF(AND(AX8&gt;=2,AX8&lt;=Time!$F$10),1,0))</f>
        <v>0</v>
      </c>
      <c r="AY26" s="11" t="n">
        <f aca="false">Inputs!$F$65*Inputs!$F$36*(0.7*IF(AY8=1,1,0)+0.3/(Time!$F$10-1)*IF(AND(AY8&gt;=2,AY8&lt;=Time!$F$10),1,0))</f>
        <v>0</v>
      </c>
      <c r="AZ26" s="11" t="n">
        <f aca="false">Inputs!$F$65*Inputs!$F$36*(0.7*IF(AZ8=1,1,0)+0.3/(Time!$F$10-1)*IF(AND(AZ8&gt;=2,AZ8&lt;=Time!$F$10),1,0))</f>
        <v>0</v>
      </c>
      <c r="BA26" s="11" t="n">
        <f aca="false">Inputs!$F$65*Inputs!$F$36*(0.7*IF(BA8=1,1,0)+0.3/(Time!$F$10-1)*IF(AND(BA8&gt;=2,BA8&lt;=Time!$F$10),1,0))</f>
        <v>0</v>
      </c>
      <c r="BB26" s="11" t="n">
        <f aca="false">Inputs!$F$65*Inputs!$F$36*(0.7*IF(BB8=1,1,0)+0.3/(Time!$F$10-1)*IF(AND(BB8&gt;=2,BB8&lt;=Time!$F$10),1,0))</f>
        <v>0</v>
      </c>
      <c r="BC26" s="11" t="n">
        <f aca="false">Inputs!$F$65*Inputs!$F$36*(0.7*IF(BC8=1,1,0)+0.3/(Time!$F$10-1)*IF(AND(BC8&gt;=2,BC8&lt;=Time!$F$10),1,0))</f>
        <v>0</v>
      </c>
      <c r="BD26" s="11" t="n">
        <f aca="false">Inputs!$F$65*Inputs!$F$36*(0.7*IF(BD8=1,1,0)+0.3/(Time!$F$10-1)*IF(AND(BD8&gt;=2,BD8&lt;=Time!$F$10),1,0))</f>
        <v>0</v>
      </c>
      <c r="BE26" s="11" t="n">
        <f aca="false">Inputs!$F$65*Inputs!$F$36*(0.7*IF(BE8=1,1,0)+0.3/(Time!$F$10-1)*IF(AND(BE8&gt;=2,BE8&lt;=Time!$F$10),1,0))</f>
        <v>0</v>
      </c>
      <c r="BF26" s="11" t="n">
        <f aca="false">Inputs!$F$65*Inputs!$F$36*(0.7*IF(BF8=1,1,0)+0.3/(Time!$F$10-1)*IF(AND(BF8&gt;=2,BF8&lt;=Time!$F$10),1,0))</f>
        <v>0</v>
      </c>
      <c r="BG26" s="11" t="n">
        <f aca="false">Inputs!$F$65*Inputs!$F$36*(0.7*IF(BG8=1,1,0)+0.3/(Time!$F$10-1)*IF(AND(BG8&gt;=2,BG8&lt;=Time!$F$10),1,0))</f>
        <v>0</v>
      </c>
      <c r="BH26" s="11" t="n">
        <f aca="false">Inputs!$F$65*Inputs!$F$36*(0.7*IF(BH8=1,1,0)+0.3/(Time!$F$10-1)*IF(AND(BH8&gt;=2,BH8&lt;=Time!$F$10),1,0))</f>
        <v>0</v>
      </c>
      <c r="BI26" s="11" t="n">
        <f aca="false">Inputs!$F$65*Inputs!$F$36*(0.7*IF(BI8=1,1,0)+0.3/(Time!$F$10-1)*IF(AND(BI8&gt;=2,BI8&lt;=Time!$F$10),1,0))</f>
        <v>0</v>
      </c>
      <c r="BJ26" s="11" t="n">
        <f aca="false">Inputs!$F$65*Inputs!$F$36*(0.7*IF(BJ8=1,1,0)+0.3/(Time!$F$10-1)*IF(AND(BJ8&gt;=2,BJ8&lt;=Time!$F$10),1,0))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447</v>
      </c>
      <c r="E27" s="0" t="s">
        <v>149</v>
      </c>
      <c r="G27" s="11" t="n">
        <f aca="false">SUM(J27:BJ27)</f>
        <v>38.4</v>
      </c>
      <c r="J27" s="11" t="n">
        <f aca="false">IF(Inputs!$F$34=1,Inputs!$F$66*Inputs!$F$36*J21/SUM($J$21:$BJ$21),0)</f>
        <v>0</v>
      </c>
      <c r="K27" s="11" t="n">
        <f aca="false">IF(Inputs!$F$34=1,Inputs!$F$66*Inputs!$F$36*K21/SUM($J$21:$BJ$21),0)</f>
        <v>0.00502690909090909</v>
      </c>
      <c r="L27" s="11" t="n">
        <f aca="false">IF(Inputs!$F$34=1,Inputs!$F$66*Inputs!$F$36*L21/SUM($J$21:$BJ$21),0)</f>
        <v>0.052736</v>
      </c>
      <c r="M27" s="11" t="n">
        <f aca="false">IF(Inputs!$F$34=1,Inputs!$F$66*Inputs!$F$36*M21/SUM($J$21:$BJ$21),0)</f>
        <v>0.150760727272727</v>
      </c>
      <c r="N27" s="11" t="n">
        <f aca="false">IF(Inputs!$F$34=1,Inputs!$F$66*Inputs!$F$36*N21/SUM($J$21:$BJ$21),0)</f>
        <v>0.292957090909091</v>
      </c>
      <c r="O27" s="11" t="n">
        <f aca="false">IF(Inputs!$F$34=1,Inputs!$F$66*Inputs!$F$36*O21/SUM($J$21:$BJ$21),0)</f>
        <v>0.470760727272727</v>
      </c>
      <c r="P27" s="11" t="n">
        <f aca="false">IF(Inputs!$F$34=1,Inputs!$F$66*Inputs!$F$36*P21/SUM($J$21:$BJ$21),0)</f>
        <v>0.674722909090909</v>
      </c>
      <c r="Q27" s="11" t="n">
        <f aca="false">IF(Inputs!$F$34=1,Inputs!$F$66*Inputs!$F$36*Q21/SUM($J$21:$BJ$21),0)</f>
        <v>0.895348363636364</v>
      </c>
      <c r="R27" s="11" t="n">
        <f aca="false">IF(Inputs!$F$34=1,Inputs!$F$66*Inputs!$F$36*R21/SUM($J$21:$BJ$21),0)</f>
        <v>1.12328145454545</v>
      </c>
      <c r="S27" s="11" t="n">
        <f aca="false">IF(Inputs!$F$34=1,Inputs!$F$66*Inputs!$F$36*S21/SUM($J$21:$BJ$21),0)</f>
        <v>1.34977163636364</v>
      </c>
      <c r="T27" s="11" t="n">
        <f aca="false">IF(Inputs!$F$34=1,Inputs!$F$66*Inputs!$F$36*T21/SUM($J$21:$BJ$21),0)</f>
        <v>1.56667345454545</v>
      </c>
      <c r="U27" s="11" t="n">
        <f aca="false">IF(Inputs!$F$34=1,Inputs!$F$66*Inputs!$F$36*U21/SUM($J$21:$BJ$21),0)</f>
        <v>1.76672581818182</v>
      </c>
      <c r="V27" s="11" t="n">
        <f aca="false">IF(Inputs!$F$34=1,Inputs!$F$66*Inputs!$F$36*V21/SUM($J$21:$BJ$21),0)</f>
        <v>1.94350545454545</v>
      </c>
      <c r="W27" s="11" t="n">
        <f aca="false">IF(Inputs!$F$34=1,Inputs!$F$66*Inputs!$F$36*W21/SUM($J$21:$BJ$21),0)</f>
        <v>2.09152</v>
      </c>
      <c r="X27" s="11" t="n">
        <f aca="false">IF(Inputs!$F$34=1,Inputs!$F$66*Inputs!$F$36*X21/SUM($J$21:$BJ$21),0)</f>
        <v>2.20648727272727</v>
      </c>
      <c r="Y27" s="11" t="n">
        <f aca="false">IF(Inputs!$F$34=1,Inputs!$F$66*Inputs!$F$36*Y21/SUM($J$21:$BJ$21),0)</f>
        <v>2.28496290909091</v>
      </c>
      <c r="Z27" s="11" t="n">
        <f aca="false">IF(Inputs!$F$34=1,Inputs!$F$66*Inputs!$F$36*Z21/SUM($J$21:$BJ$21),0)</f>
        <v>2.32475927272727</v>
      </c>
      <c r="AA27" s="11" t="n">
        <f aca="false">IF(Inputs!$F$34=1,Inputs!$F$66*Inputs!$F$36*AA21/SUM($J$21:$BJ$21),0)</f>
        <v>2.32475927272727</v>
      </c>
      <c r="AB27" s="11" t="n">
        <f aca="false">IF(Inputs!$F$34=1,Inputs!$F$66*Inputs!$F$36*AB21/SUM($J$21:$BJ$21),0)</f>
        <v>2.28496290909091</v>
      </c>
      <c r="AC27" s="11" t="n">
        <f aca="false">IF(Inputs!$F$34=1,Inputs!$F$66*Inputs!$F$36*AC21/SUM($J$21:$BJ$21),0)</f>
        <v>2.20648727272727</v>
      </c>
      <c r="AD27" s="11" t="n">
        <f aca="false">IF(Inputs!$F$34=1,Inputs!$F$66*Inputs!$F$36*AD21/SUM($J$21:$BJ$21),0)</f>
        <v>2.09152</v>
      </c>
      <c r="AE27" s="11" t="n">
        <f aca="false">IF(Inputs!$F$34=1,Inputs!$F$66*Inputs!$F$36*AE21/SUM($J$21:$BJ$21),0)</f>
        <v>1.94350545454545</v>
      </c>
      <c r="AF27" s="11" t="n">
        <f aca="false">IF(Inputs!$F$34=1,Inputs!$F$66*Inputs!$F$36*AF21/SUM($J$21:$BJ$21),0)</f>
        <v>1.76672581818182</v>
      </c>
      <c r="AG27" s="11" t="n">
        <f aca="false">IF(Inputs!$F$34=1,Inputs!$F$66*Inputs!$F$36*AG21/SUM($J$21:$BJ$21),0)</f>
        <v>1.56667345454545</v>
      </c>
      <c r="AH27" s="11" t="n">
        <f aca="false">IF(Inputs!$F$34=1,Inputs!$F$66*Inputs!$F$36*AH21/SUM($J$21:$BJ$21),0)</f>
        <v>1.34977163636364</v>
      </c>
      <c r="AI27" s="11" t="n">
        <f aca="false">IF(Inputs!$F$34=1,Inputs!$F$66*Inputs!$F$36*AI21/SUM($J$21:$BJ$21),0)</f>
        <v>1.12328145454545</v>
      </c>
      <c r="AJ27" s="11" t="n">
        <f aca="false">IF(Inputs!$F$34=1,Inputs!$F$66*Inputs!$F$36*AJ21/SUM($J$21:$BJ$21),0)</f>
        <v>0.895348363636364</v>
      </c>
      <c r="AK27" s="11" t="n">
        <f aca="false">IF(Inputs!$F$34=1,Inputs!$F$66*Inputs!$F$36*AK21/SUM($J$21:$BJ$21),0)</f>
        <v>0.674722909090909</v>
      </c>
      <c r="AL27" s="11" t="n">
        <f aca="false">IF(Inputs!$F$34=1,Inputs!$F$66*Inputs!$F$36*AL21/SUM($J$21:$BJ$21),0)</f>
        <v>0.470760727272727</v>
      </c>
      <c r="AM27" s="11" t="n">
        <f aca="false">IF(Inputs!$F$34=1,Inputs!$F$66*Inputs!$F$36*AM21/SUM($J$21:$BJ$21),0)</f>
        <v>0.292957090909091</v>
      </c>
      <c r="AN27" s="11" t="n">
        <f aca="false">IF(Inputs!$F$34=1,Inputs!$F$66*Inputs!$F$36*AN21/SUM($J$21:$BJ$21),0)</f>
        <v>0.150760727272727</v>
      </c>
      <c r="AO27" s="11" t="n">
        <f aca="false">IF(Inputs!$F$34=1,Inputs!$F$66*Inputs!$F$36*AO21/SUM($J$21:$BJ$21),0)</f>
        <v>0.052736</v>
      </c>
      <c r="AP27" s="11" t="n">
        <f aca="false">IF(Inputs!$F$34=1,Inputs!$F$66*Inputs!$F$36*AP21/SUM($J$21:$BJ$21),0)</f>
        <v>0.00502690909090895</v>
      </c>
      <c r="AQ27" s="11" t="n">
        <f aca="false">IF(Inputs!$F$34=1,Inputs!$F$66*Inputs!$F$36*AQ21/SUM($J$21:$BJ$21),0)</f>
        <v>0</v>
      </c>
      <c r="AR27" s="11" t="n">
        <f aca="false">IF(Inputs!$F$34=1,Inputs!$F$66*Inputs!$F$36*AR21/SUM($J$21:$BJ$21),0)</f>
        <v>0</v>
      </c>
      <c r="AS27" s="11" t="n">
        <f aca="false">IF(Inputs!$F$34=1,Inputs!$F$66*Inputs!$F$36*AS21/SUM($J$21:$BJ$21),0)</f>
        <v>0</v>
      </c>
      <c r="AT27" s="11" t="n">
        <f aca="false">IF(Inputs!$F$34=1,Inputs!$F$66*Inputs!$F$36*AT21/SUM($J$21:$BJ$21),0)</f>
        <v>0</v>
      </c>
      <c r="AU27" s="11" t="n">
        <f aca="false">IF(Inputs!$F$34=1,Inputs!$F$66*Inputs!$F$36*AU21/SUM($J$21:$BJ$21),0)</f>
        <v>0</v>
      </c>
      <c r="AV27" s="11" t="n">
        <f aca="false">IF(Inputs!$F$34=1,Inputs!$F$66*Inputs!$F$36*AV21/SUM($J$21:$BJ$21),0)</f>
        <v>0</v>
      </c>
      <c r="AW27" s="11" t="n">
        <f aca="false">IF(Inputs!$F$34=1,Inputs!$F$66*Inputs!$F$36*AW21/SUM($J$21:$BJ$21),0)</f>
        <v>0</v>
      </c>
      <c r="AX27" s="11" t="n">
        <f aca="false">IF(Inputs!$F$34=1,Inputs!$F$66*Inputs!$F$36*AX21/SUM($J$21:$BJ$21),0)</f>
        <v>0</v>
      </c>
      <c r="AY27" s="11" t="n">
        <f aca="false">IF(Inputs!$F$34=1,Inputs!$F$66*Inputs!$F$36*AY21/SUM($J$21:$BJ$21),0)</f>
        <v>0</v>
      </c>
      <c r="AZ27" s="11" t="n">
        <f aca="false">IF(Inputs!$F$34=1,Inputs!$F$66*Inputs!$F$36*AZ21/SUM($J$21:$BJ$21),0)</f>
        <v>0</v>
      </c>
      <c r="BA27" s="11" t="n">
        <f aca="false">IF(Inputs!$F$34=1,Inputs!$F$66*Inputs!$F$36*BA21/SUM($J$21:$BJ$21),0)</f>
        <v>0</v>
      </c>
      <c r="BB27" s="11" t="n">
        <f aca="false">IF(Inputs!$F$34=1,Inputs!$F$66*Inputs!$F$36*BB21/SUM($J$21:$BJ$21),0)</f>
        <v>0</v>
      </c>
      <c r="BC27" s="11" t="n">
        <f aca="false">IF(Inputs!$F$34=1,Inputs!$F$66*Inputs!$F$36*BC21/SUM($J$21:$BJ$21),0)</f>
        <v>0</v>
      </c>
      <c r="BD27" s="11" t="n">
        <f aca="false">IF(Inputs!$F$34=1,Inputs!$F$66*Inputs!$F$36*BD21/SUM($J$21:$BJ$21),0)</f>
        <v>0</v>
      </c>
      <c r="BE27" s="11" t="n">
        <f aca="false">IF(Inputs!$F$34=1,Inputs!$F$66*Inputs!$F$36*BE21/SUM($J$21:$BJ$21),0)</f>
        <v>0</v>
      </c>
      <c r="BF27" s="11" t="n">
        <f aca="false">IF(Inputs!$F$34=1,Inputs!$F$66*Inputs!$F$36*BF21/SUM($J$21:$BJ$21),0)</f>
        <v>0</v>
      </c>
      <c r="BG27" s="11" t="n">
        <f aca="false">IF(Inputs!$F$34=1,Inputs!$F$66*Inputs!$F$36*BG21/SUM($J$21:$BJ$21),0)</f>
        <v>0</v>
      </c>
      <c r="BH27" s="11" t="n">
        <f aca="false">IF(Inputs!$F$34=1,Inputs!$F$66*Inputs!$F$36*BH21/SUM($J$21:$BJ$21),0)</f>
        <v>0</v>
      </c>
      <c r="BI27" s="11" t="n">
        <f aca="false">IF(Inputs!$F$34=1,Inputs!$F$66*Inputs!$F$36*BI21/SUM($J$21:$BJ$21),0)</f>
        <v>0</v>
      </c>
      <c r="BJ27" s="11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448</v>
      </c>
      <c r="E28" s="0" t="s">
        <v>149</v>
      </c>
      <c r="G28" s="11" t="n">
        <f aca="false">SUM(J28:BJ28)</f>
        <v>5.35</v>
      </c>
      <c r="J28" s="11" t="n">
        <f aca="false">IF(J8=Time!$F$10,Inputs!$F$67*Inputs!$F$36,0)</f>
        <v>0</v>
      </c>
      <c r="K28" s="11" t="n">
        <f aca="false">IF(K8=Time!$F$10,Inputs!$F$67*Inputs!$F$36,0)</f>
        <v>0</v>
      </c>
      <c r="L28" s="11" t="n">
        <f aca="false">IF(L8=Time!$F$10,Inputs!$F$67*Inputs!$F$36,0)</f>
        <v>0</v>
      </c>
      <c r="M28" s="11" t="n">
        <f aca="false">IF(M8=Time!$F$10,Inputs!$F$67*Inputs!$F$36,0)</f>
        <v>0</v>
      </c>
      <c r="N28" s="11" t="n">
        <f aca="false">IF(N8=Time!$F$10,Inputs!$F$67*Inputs!$F$36,0)</f>
        <v>0</v>
      </c>
      <c r="O28" s="11" t="n">
        <f aca="false">IF(O8=Time!$F$10,Inputs!$F$67*Inputs!$F$36,0)</f>
        <v>0</v>
      </c>
      <c r="P28" s="11" t="n">
        <f aca="false">IF(P8=Time!$F$10,Inputs!$F$67*Inputs!$F$36,0)</f>
        <v>0</v>
      </c>
      <c r="Q28" s="11" t="n">
        <f aca="false">IF(Q8=Time!$F$10,Inputs!$F$67*Inputs!$F$36,0)</f>
        <v>0</v>
      </c>
      <c r="R28" s="11" t="n">
        <f aca="false">IF(R8=Time!$F$10,Inputs!$F$67*Inputs!$F$36,0)</f>
        <v>0</v>
      </c>
      <c r="S28" s="11" t="n">
        <f aca="false">IF(S8=Time!$F$10,Inputs!$F$67*Inputs!$F$36,0)</f>
        <v>0</v>
      </c>
      <c r="T28" s="11" t="n">
        <f aca="false">IF(T8=Time!$F$10,Inputs!$F$67*Inputs!$F$36,0)</f>
        <v>0</v>
      </c>
      <c r="U28" s="11" t="n">
        <f aca="false">IF(U8=Time!$F$10,Inputs!$F$67*Inputs!$F$36,0)</f>
        <v>0</v>
      </c>
      <c r="V28" s="11" t="n">
        <f aca="false">IF(V8=Time!$F$10,Inputs!$F$67*Inputs!$F$36,0)</f>
        <v>0</v>
      </c>
      <c r="W28" s="11" t="n">
        <f aca="false">IF(W8=Time!$F$10,Inputs!$F$67*Inputs!$F$36,0)</f>
        <v>0</v>
      </c>
      <c r="X28" s="11" t="n">
        <f aca="false">IF(X8=Time!$F$10,Inputs!$F$67*Inputs!$F$36,0)</f>
        <v>0</v>
      </c>
      <c r="Y28" s="11" t="n">
        <f aca="false">IF(Y8=Time!$F$10,Inputs!$F$67*Inputs!$F$36,0)</f>
        <v>0</v>
      </c>
      <c r="Z28" s="11" t="n">
        <f aca="false">IF(Z8=Time!$F$10,Inputs!$F$67*Inputs!$F$36,0)</f>
        <v>0</v>
      </c>
      <c r="AA28" s="11" t="n">
        <f aca="false">IF(AA8=Time!$F$10,Inputs!$F$67*Inputs!$F$36,0)</f>
        <v>0</v>
      </c>
      <c r="AB28" s="11" t="n">
        <f aca="false">IF(AB8=Time!$F$10,Inputs!$F$67*Inputs!$F$36,0)</f>
        <v>0</v>
      </c>
      <c r="AC28" s="11" t="n">
        <f aca="false">IF(AC8=Time!$F$10,Inputs!$F$67*Inputs!$F$36,0)</f>
        <v>0</v>
      </c>
      <c r="AD28" s="11" t="n">
        <f aca="false">IF(AD8=Time!$F$10,Inputs!$F$67*Inputs!$F$36,0)</f>
        <v>0</v>
      </c>
      <c r="AE28" s="11" t="n">
        <f aca="false">IF(AE8=Time!$F$10,Inputs!$F$67*Inputs!$F$36,0)</f>
        <v>0</v>
      </c>
      <c r="AF28" s="11" t="n">
        <f aca="false">IF(AF8=Time!$F$10,Inputs!$F$67*Inputs!$F$36,0)</f>
        <v>0</v>
      </c>
      <c r="AG28" s="11" t="n">
        <f aca="false">IF(AG8=Time!$F$10,Inputs!$F$67*Inputs!$F$36,0)</f>
        <v>0</v>
      </c>
      <c r="AH28" s="11" t="n">
        <f aca="false">IF(AH8=Time!$F$10,Inputs!$F$67*Inputs!$F$36,0)</f>
        <v>0</v>
      </c>
      <c r="AI28" s="11" t="n">
        <f aca="false">IF(AI8=Time!$F$10,Inputs!$F$67*Inputs!$F$36,0)</f>
        <v>0</v>
      </c>
      <c r="AJ28" s="11" t="n">
        <f aca="false">IF(AJ8=Time!$F$10,Inputs!$F$67*Inputs!$F$36,0)</f>
        <v>0</v>
      </c>
      <c r="AK28" s="11" t="n">
        <f aca="false">IF(AK8=Time!$F$10,Inputs!$F$67*Inputs!$F$36,0)</f>
        <v>0</v>
      </c>
      <c r="AL28" s="11" t="n">
        <f aca="false">IF(AL8=Time!$F$10,Inputs!$F$67*Inputs!$F$36,0)</f>
        <v>0</v>
      </c>
      <c r="AM28" s="11" t="n">
        <f aca="false">IF(AM8=Time!$F$10,Inputs!$F$67*Inputs!$F$36,0)</f>
        <v>0</v>
      </c>
      <c r="AN28" s="11" t="n">
        <f aca="false">IF(AN8=Time!$F$10,Inputs!$F$67*Inputs!$F$36,0)</f>
        <v>0</v>
      </c>
      <c r="AO28" s="11" t="n">
        <f aca="false">IF(AO8=Time!$F$10,Inputs!$F$67*Inputs!$F$36,0)</f>
        <v>0</v>
      </c>
      <c r="AP28" s="11" t="n">
        <f aca="false">IF(AP8=Time!$F$10,Inputs!$F$67*Inputs!$F$36,0)</f>
        <v>5.35</v>
      </c>
      <c r="AQ28" s="11" t="n">
        <f aca="false">IF(AQ8=Time!$F$10,Inputs!$F$67*Inputs!$F$36,0)</f>
        <v>0</v>
      </c>
      <c r="AR28" s="11" t="n">
        <f aca="false">IF(AR8=Time!$F$10,Inputs!$F$67*Inputs!$F$36,0)</f>
        <v>0</v>
      </c>
      <c r="AS28" s="11" t="n">
        <f aca="false">IF(AS8=Time!$F$10,Inputs!$F$67*Inputs!$F$36,0)</f>
        <v>0</v>
      </c>
      <c r="AT28" s="11" t="n">
        <f aca="false">IF(AT8=Time!$F$10,Inputs!$F$67*Inputs!$F$36,0)</f>
        <v>0</v>
      </c>
      <c r="AU28" s="11" t="n">
        <f aca="false">IF(AU8=Time!$F$10,Inputs!$F$67*Inputs!$F$36,0)</f>
        <v>0</v>
      </c>
      <c r="AV28" s="11" t="n">
        <f aca="false">IF(AV8=Time!$F$10,Inputs!$F$67*Inputs!$F$36,0)</f>
        <v>0</v>
      </c>
      <c r="AW28" s="11" t="n">
        <f aca="false">IF(AW8=Time!$F$10,Inputs!$F$67*Inputs!$F$36,0)</f>
        <v>0</v>
      </c>
      <c r="AX28" s="11" t="n">
        <f aca="false">IF(AX8=Time!$F$10,Inputs!$F$67*Inputs!$F$36,0)</f>
        <v>0</v>
      </c>
      <c r="AY28" s="11" t="n">
        <f aca="false">IF(AY8=Time!$F$10,Inputs!$F$67*Inputs!$F$36,0)</f>
        <v>0</v>
      </c>
      <c r="AZ28" s="11" t="n">
        <f aca="false">IF(AZ8=Time!$F$10,Inputs!$F$67*Inputs!$F$36,0)</f>
        <v>0</v>
      </c>
      <c r="BA28" s="11" t="n">
        <f aca="false">IF(BA8=Time!$F$10,Inputs!$F$67*Inputs!$F$36,0)</f>
        <v>0</v>
      </c>
      <c r="BB28" s="11" t="n">
        <f aca="false">IF(BB8=Time!$F$10,Inputs!$F$67*Inputs!$F$36,0)</f>
        <v>0</v>
      </c>
      <c r="BC28" s="11" t="n">
        <f aca="false">IF(BC8=Time!$F$10,Inputs!$F$67*Inputs!$F$36,0)</f>
        <v>0</v>
      </c>
      <c r="BD28" s="11" t="n">
        <f aca="false">IF(BD8=Time!$F$10,Inputs!$F$67*Inputs!$F$36,0)</f>
        <v>0</v>
      </c>
      <c r="BE28" s="11" t="n">
        <f aca="false">IF(BE8=Time!$F$10,Inputs!$F$67*Inputs!$F$36,0)</f>
        <v>0</v>
      </c>
      <c r="BF28" s="11" t="n">
        <f aca="false">IF(BF8=Time!$F$10,Inputs!$F$67*Inputs!$F$36,0)</f>
        <v>0</v>
      </c>
      <c r="BG28" s="11" t="n">
        <f aca="false">IF(BG8=Time!$F$10,Inputs!$F$67*Inputs!$F$36,0)</f>
        <v>0</v>
      </c>
      <c r="BH28" s="11" t="n">
        <f aca="false">IF(BH8=Time!$F$10,Inputs!$F$67*Inputs!$F$36,0)</f>
        <v>0</v>
      </c>
      <c r="BI28" s="11" t="n">
        <f aca="false">IF(BI8=Time!$F$10,Inputs!$F$67*Inputs!$F$36,0)</f>
        <v>0</v>
      </c>
      <c r="BJ28" s="11" t="n">
        <f aca="false">IF(BJ8=Time!$F$10,Inputs!$F$67*Inputs!$F$36,0)</f>
        <v>0</v>
      </c>
    </row>
    <row r="29" customFormat="false" ht="15" hidden="false" customHeight="false" outlineLevel="0" collapsed="false">
      <c r="D29" s="0" t="s">
        <v>449</v>
      </c>
      <c r="E29" s="0" t="s">
        <v>149</v>
      </c>
      <c r="G29" s="11" t="n">
        <f aca="false">SUM(J29:BJ29)</f>
        <v>0</v>
      </c>
      <c r="J29" s="11" t="n">
        <f aca="false">IF(Inputs!$F$34=2,Inputs!J232,0)</f>
        <v>0</v>
      </c>
      <c r="K29" s="11" t="n">
        <f aca="false">IF(Inputs!$F$34=2,Inputs!K232,0)</f>
        <v>0</v>
      </c>
      <c r="L29" s="11" t="n">
        <f aca="false">IF(Inputs!$F$34=2,Inputs!L232,0)</f>
        <v>0</v>
      </c>
      <c r="M29" s="11" t="n">
        <f aca="false">IF(Inputs!$F$34=2,Inputs!M232,0)</f>
        <v>0</v>
      </c>
      <c r="N29" s="11" t="n">
        <f aca="false">IF(Inputs!$F$34=2,Inputs!N232,0)</f>
        <v>0</v>
      </c>
      <c r="O29" s="11" t="n">
        <f aca="false">IF(Inputs!$F$34=2,Inputs!O232,0)</f>
        <v>0</v>
      </c>
      <c r="P29" s="11" t="n">
        <f aca="false">IF(Inputs!$F$34=2,Inputs!P232,0)</f>
        <v>0</v>
      </c>
      <c r="Q29" s="11" t="n">
        <f aca="false">IF(Inputs!$F$34=2,Inputs!Q232,0)</f>
        <v>0</v>
      </c>
      <c r="R29" s="11" t="n">
        <f aca="false">IF(Inputs!$F$34=2,Inputs!R232,0)</f>
        <v>0</v>
      </c>
      <c r="S29" s="11" t="n">
        <f aca="false">IF(Inputs!$F$34=2,Inputs!S232,0)</f>
        <v>0</v>
      </c>
      <c r="T29" s="11" t="n">
        <f aca="false">IF(Inputs!$F$34=2,Inputs!T232,0)</f>
        <v>0</v>
      </c>
      <c r="U29" s="11" t="n">
        <f aca="false">IF(Inputs!$F$34=2,Inputs!U232,0)</f>
        <v>0</v>
      </c>
      <c r="V29" s="11" t="n">
        <f aca="false">IF(Inputs!$F$34=2,Inputs!V232,0)</f>
        <v>0</v>
      </c>
      <c r="W29" s="11" t="n">
        <f aca="false">IF(Inputs!$F$34=2,Inputs!W232,0)</f>
        <v>0</v>
      </c>
      <c r="X29" s="11" t="n">
        <f aca="false">IF(Inputs!$F$34=2,Inputs!X232,0)</f>
        <v>0</v>
      </c>
      <c r="Y29" s="11" t="n">
        <f aca="false">IF(Inputs!$F$34=2,Inputs!Y232,0)</f>
        <v>0</v>
      </c>
      <c r="Z29" s="11" t="n">
        <f aca="false">IF(Inputs!$F$34=2,Inputs!Z232,0)</f>
        <v>0</v>
      </c>
      <c r="AA29" s="11" t="n">
        <f aca="false">IF(Inputs!$F$34=2,Inputs!AA232,0)</f>
        <v>0</v>
      </c>
      <c r="AB29" s="11" t="n">
        <f aca="false">IF(Inputs!$F$34=2,Inputs!AB232,0)</f>
        <v>0</v>
      </c>
      <c r="AC29" s="11" t="n">
        <f aca="false">IF(Inputs!$F$34=2,Inputs!AC232,0)</f>
        <v>0</v>
      </c>
      <c r="AD29" s="11" t="n">
        <f aca="false">IF(Inputs!$F$34=2,Inputs!AD232,0)</f>
        <v>0</v>
      </c>
      <c r="AE29" s="11" t="n">
        <f aca="false">IF(Inputs!$F$34=2,Inputs!AE232,0)</f>
        <v>0</v>
      </c>
      <c r="AF29" s="11" t="n">
        <f aca="false">IF(Inputs!$F$34=2,Inputs!AF232,0)</f>
        <v>0</v>
      </c>
      <c r="AG29" s="11" t="n">
        <f aca="false">IF(Inputs!$F$34=2,Inputs!AG232,0)</f>
        <v>0</v>
      </c>
      <c r="AH29" s="11" t="n">
        <f aca="false">IF(Inputs!$F$34=2,Inputs!AH232,0)</f>
        <v>0</v>
      </c>
      <c r="AI29" s="11" t="n">
        <f aca="false">IF(Inputs!$F$34=2,Inputs!AI232,0)</f>
        <v>0</v>
      </c>
      <c r="AJ29" s="11" t="n">
        <f aca="false">IF(Inputs!$F$34=2,Inputs!AJ232,0)</f>
        <v>0</v>
      </c>
      <c r="AK29" s="11" t="n">
        <f aca="false">IF(Inputs!$F$34=2,Inputs!AK232,0)</f>
        <v>0</v>
      </c>
      <c r="AL29" s="11" t="n">
        <f aca="false">IF(Inputs!$F$34=2,Inputs!AL232,0)</f>
        <v>0</v>
      </c>
      <c r="AM29" s="11" t="n">
        <f aca="false">IF(Inputs!$F$34=2,Inputs!AM232,0)</f>
        <v>0</v>
      </c>
      <c r="AN29" s="11" t="n">
        <f aca="false">IF(Inputs!$F$34=2,Inputs!AN232,0)</f>
        <v>0</v>
      </c>
      <c r="AO29" s="11" t="n">
        <f aca="false">IF(Inputs!$F$34=2,Inputs!AO232,0)</f>
        <v>0</v>
      </c>
      <c r="AP29" s="11" t="n">
        <f aca="false">IF(Inputs!$F$34=2,Inputs!AP232,0)</f>
        <v>0</v>
      </c>
      <c r="AQ29" s="11" t="n">
        <f aca="false">IF(Inputs!$F$34=2,Inputs!AQ232,0)</f>
        <v>0</v>
      </c>
      <c r="AR29" s="11" t="n">
        <f aca="false">IF(Inputs!$F$34=2,Inputs!AR232,0)</f>
        <v>0</v>
      </c>
      <c r="AS29" s="11" t="n">
        <f aca="false">IF(Inputs!$F$34=2,Inputs!AS232,0)</f>
        <v>0</v>
      </c>
      <c r="AT29" s="11" t="n">
        <f aca="false">IF(Inputs!$F$34=2,Inputs!AT232,0)</f>
        <v>0</v>
      </c>
      <c r="AU29" s="11" t="n">
        <f aca="false">IF(Inputs!$F$34=2,Inputs!AU232,0)</f>
        <v>0</v>
      </c>
      <c r="AV29" s="11" t="n">
        <f aca="false">IF(Inputs!$F$34=2,Inputs!AV232,0)</f>
        <v>0</v>
      </c>
      <c r="AW29" s="11" t="n">
        <f aca="false">IF(Inputs!$F$34=2,Inputs!AW232,0)</f>
        <v>0</v>
      </c>
      <c r="AX29" s="11" t="n">
        <f aca="false">IF(Inputs!$F$34=2,Inputs!AX232,0)</f>
        <v>0</v>
      </c>
      <c r="AY29" s="11" t="n">
        <f aca="false">IF(Inputs!$F$34=2,Inputs!AY232,0)</f>
        <v>0</v>
      </c>
      <c r="AZ29" s="11" t="n">
        <f aca="false">IF(Inputs!$F$34=2,Inputs!AZ232,0)</f>
        <v>0</v>
      </c>
      <c r="BA29" s="11" t="n">
        <f aca="false">IF(Inputs!$F$34=2,Inputs!BA232,0)</f>
        <v>0</v>
      </c>
      <c r="BB29" s="11" t="n">
        <f aca="false">IF(Inputs!$F$34=2,Inputs!BB232,0)</f>
        <v>0</v>
      </c>
      <c r="BC29" s="11" t="n">
        <f aca="false">IF(Inputs!$F$34=2,Inputs!BC232,0)</f>
        <v>0</v>
      </c>
      <c r="BD29" s="11" t="n">
        <f aca="false">IF(Inputs!$F$34=2,Inputs!BD232,0)</f>
        <v>0</v>
      </c>
      <c r="BE29" s="11" t="n">
        <f aca="false">IF(Inputs!$F$34=2,Inputs!BE232,0)</f>
        <v>0</v>
      </c>
      <c r="BF29" s="11" t="n">
        <f aca="false">IF(Inputs!$F$34=2,Inputs!BF232,0)</f>
        <v>0</v>
      </c>
      <c r="BG29" s="11" t="n">
        <f aca="false">IF(Inputs!$F$34=2,Inputs!BG232,0)</f>
        <v>0</v>
      </c>
      <c r="BH29" s="11" t="n">
        <f aca="false">IF(Inputs!$F$34=2,Inputs!BH232,0)</f>
        <v>0</v>
      </c>
      <c r="BI29" s="11" t="n">
        <f aca="false">IF(Inputs!$F$34=2,Inputs!BI232,0)</f>
        <v>0</v>
      </c>
      <c r="BJ29" s="11" t="n">
        <f aca="false">IF(Inputs!$F$34=2,Inputs!BJ232,0)</f>
        <v>0</v>
      </c>
    </row>
    <row r="30" customFormat="false" ht="15" hidden="false" customHeight="false" outlineLevel="0" collapsed="false">
      <c r="D30" s="0" t="s">
        <v>450</v>
      </c>
      <c r="E30" s="0" t="s">
        <v>149</v>
      </c>
      <c r="G30" s="11" t="n">
        <f aca="false">SUM(J30:BJ30)</f>
        <v>710.99</v>
      </c>
      <c r="J30" s="11" t="n">
        <f aca="false">J22+J23+J24+J25+J26+J27+J28+J29</f>
        <v>108.1116</v>
      </c>
      <c r="K30" s="11" t="n">
        <f aca="false">K22+K23+K24+K25+K26+K27+K28+K29</f>
        <v>1.42082937909091</v>
      </c>
      <c r="L30" s="11" t="n">
        <f aca="false">L22+L23+L24+L25+L26+L27+L28+L29</f>
        <v>2.05467447</v>
      </c>
      <c r="M30" s="11" t="n">
        <f aca="false">M22+M23+M24+M25+M26+M27+M28+M29</f>
        <v>3.35699423727273</v>
      </c>
      <c r="N30" s="11" t="n">
        <f aca="false">N22+N23+N24+N25+N26+N27+N28+N29</f>
        <v>5.24616180090909</v>
      </c>
      <c r="O30" s="11" t="n">
        <f aca="false">O22+O23+O24+O25+O26+O27+O28+O29</f>
        <v>7.60839423727273</v>
      </c>
      <c r="P30" s="11" t="n">
        <f aca="false">P22+P23+P24+P25+P26+P27+P28+P29</f>
        <v>10.3181592990909</v>
      </c>
      <c r="Q30" s="11" t="n">
        <f aca="false">Q22+Q23+Q24+Q25+Q26+Q27+Q28+Q29</f>
        <v>13.2493063536364</v>
      </c>
      <c r="R30" s="11" t="n">
        <f aca="false">R22+R23+R24+R25+R26+R27+R28+R29</f>
        <v>16.2775399245455</v>
      </c>
      <c r="S30" s="11" t="n">
        <f aca="false">S22+S23+S24+S25+S26+S27+S28+S29</f>
        <v>19.2866035463636</v>
      </c>
      <c r="T30" s="11" t="n">
        <f aca="false">T22+T23+T24+T25+T26+T27+T28+T29</f>
        <v>22.1682797645455</v>
      </c>
      <c r="U30" s="11" t="n">
        <f aca="false">U22+U23+U24+U25+U26+U27+U28+U29</f>
        <v>24.8261004481818</v>
      </c>
      <c r="V30" s="11" t="n">
        <f aca="false">V22+V23+V24+V25+V26+V27+V28+V29</f>
        <v>27.1747284045455</v>
      </c>
      <c r="W30" s="11" t="n">
        <f aca="false">W22+W23+W24+W25+W26+W27+W28+W29</f>
        <v>29.14119415</v>
      </c>
      <c r="X30" s="11" t="n">
        <f aca="false">X22+X23+X24+X25+X26+X27+X28+X29</f>
        <v>30.6686062227273</v>
      </c>
      <c r="Y30" s="11" t="n">
        <f aca="false">Y22+Y23+Y24+Y25+Y26+Y27+Y28+Y29</f>
        <v>31.7112040990909</v>
      </c>
      <c r="Z30" s="11" t="n">
        <f aca="false">Z22+Z23+Z24+Z25+Z26+Z27+Z28+Z29</f>
        <v>32.2399236627273</v>
      </c>
      <c r="AA30" s="11" t="n">
        <f aca="false">AA22+AA23+AA24+AA25+AA26+AA27+AA28+AA29</f>
        <v>33.3829236627273</v>
      </c>
      <c r="AB30" s="11" t="n">
        <f aca="false">AB22+AB23+AB24+AB25+AB26+AB27+AB28+AB29</f>
        <v>31.7112040990909</v>
      </c>
      <c r="AC30" s="11" t="n">
        <f aca="false">AC22+AC23+AC24+AC25+AC26+AC27+AC28+AC29</f>
        <v>30.6686062227273</v>
      </c>
      <c r="AD30" s="11" t="n">
        <f aca="false">AD22+AD23+AD24+AD25+AD26+AD27+AD28+AD29</f>
        <v>29.14119415</v>
      </c>
      <c r="AE30" s="11" t="n">
        <f aca="false">AE22+AE23+AE24+AE25+AE26+AE27+AE28+AE29</f>
        <v>27.1747284045455</v>
      </c>
      <c r="AF30" s="11" t="n">
        <f aca="false">AF22+AF23+AF24+AF25+AF26+AF27+AF28+AF29</f>
        <v>24.8261004481818</v>
      </c>
      <c r="AG30" s="11" t="n">
        <f aca="false">AG22+AG23+AG24+AG25+AG26+AG27+AG28+AG29</f>
        <v>22.1682797645455</v>
      </c>
      <c r="AH30" s="11" t="n">
        <f aca="false">AH22+AH23+AH24+AH25+AH26+AH27+AH28+AH29</f>
        <v>19.2866035463636</v>
      </c>
      <c r="AI30" s="11" t="n">
        <f aca="false">AI22+AI23+AI24+AI25+AI26+AI27+AI28+AI29</f>
        <v>16.2775399245455</v>
      </c>
      <c r="AJ30" s="11" t="n">
        <f aca="false">AJ22+AJ23+AJ24+AJ25+AJ26+AJ27+AJ28+AJ29</f>
        <v>13.2493063536364</v>
      </c>
      <c r="AK30" s="11" t="n">
        <f aca="false">AK22+AK23+AK24+AK25+AK26+AK27+AK28+AK29</f>
        <v>10.3181592990909</v>
      </c>
      <c r="AL30" s="11" t="n">
        <f aca="false">AL22+AL23+AL24+AL25+AL26+AL27+AL28+AL29</f>
        <v>7.60839423727273</v>
      </c>
      <c r="AM30" s="11" t="n">
        <f aca="false">AM22+AM23+AM24+AM25+AM26+AM27+AM28+AM29</f>
        <v>5.24616180090909</v>
      </c>
      <c r="AN30" s="11" t="n">
        <f aca="false">AN22+AN23+AN24+AN25+AN26+AN27+AN28+AN29</f>
        <v>3.35699423727273</v>
      </c>
      <c r="AO30" s="11" t="n">
        <f aca="false">AO22+AO23+AO24+AO25+AO26+AO27+AO28+AO29</f>
        <v>2.05467447</v>
      </c>
      <c r="AP30" s="11" t="n">
        <f aca="false">AP22+AP23+AP24+AP25+AP26+AP27+AP28+AP29</f>
        <v>49.6588293790909</v>
      </c>
      <c r="AQ30" s="11" t="n">
        <f aca="false">AQ22+AQ23+AQ24+AQ25+AQ26+AQ27+AQ28+AQ29</f>
        <v>0</v>
      </c>
      <c r="AR30" s="11" t="n">
        <f aca="false">AR22+AR23+AR24+AR25+AR26+AR27+AR28+AR29</f>
        <v>0</v>
      </c>
      <c r="AS30" s="11" t="n">
        <f aca="false">AS22+AS23+AS24+AS25+AS26+AS27+AS28+AS29</f>
        <v>0</v>
      </c>
      <c r="AT30" s="11" t="n">
        <f aca="false">AT22+AT23+AT24+AT25+AT26+AT27+AT28+AT29</f>
        <v>0</v>
      </c>
      <c r="AU30" s="11" t="n">
        <f aca="false">AU22+AU23+AU24+AU25+AU26+AU27+AU28+AU29</f>
        <v>0</v>
      </c>
      <c r="AV30" s="11" t="n">
        <f aca="false">AV22+AV23+AV24+AV25+AV26+AV27+AV28+AV29</f>
        <v>0</v>
      </c>
      <c r="AW30" s="11" t="n">
        <f aca="false">AW22+AW23+AW24+AW25+AW26+AW27+AW28+AW29</f>
        <v>0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451</v>
      </c>
    </row>
    <row r="32" customFormat="false" ht="15" hidden="false" customHeight="false" outlineLevel="0" collapsed="false">
      <c r="D32" s="0" t="s">
        <v>452</v>
      </c>
      <c r="E32" s="0" t="s">
        <v>166</v>
      </c>
      <c r="G32" s="11" t="n">
        <f aca="false">SUM(J32:BJ32)</f>
        <v>42938.798</v>
      </c>
      <c r="J32" s="11" t="n">
        <f aca="false">J20/100*Inputs!$F$59*Inputs!$F$60*Inputs!$F$36</f>
        <v>4293.8798</v>
      </c>
      <c r="K32" s="11" t="n">
        <f aca="false">K20/100*Inputs!$F$59*Inputs!$F$60*Inputs!$F$36</f>
        <v>4.637390184</v>
      </c>
      <c r="L32" s="11" t="n">
        <f aca="false">L20/100*Inputs!$F$59*Inputs!$F$60*Inputs!$F$36</f>
        <v>48.649658134</v>
      </c>
      <c r="M32" s="11" t="n">
        <f aca="false">M20/100*Inputs!$F$59*Inputs!$F$60*Inputs!$F$36</f>
        <v>139.078766722</v>
      </c>
      <c r="N32" s="11" t="n">
        <f aca="false">N20/100*Inputs!$F$59*Inputs!$F$60*Inputs!$F$36</f>
        <v>270.256794612</v>
      </c>
      <c r="O32" s="11" t="n">
        <f aca="false">O20/100*Inputs!$F$59*Inputs!$F$60*Inputs!$F$36</f>
        <v>434.283002972</v>
      </c>
      <c r="P32" s="11" t="n">
        <f aca="false">P20/100*Inputs!$F$59*Inputs!$F$60*Inputs!$F$36</f>
        <v>622.440815808</v>
      </c>
      <c r="Q32" s="11" t="n">
        <f aca="false">Q20/100*Inputs!$F$59*Inputs!$F$60*Inputs!$F$36</f>
        <v>825.970718328</v>
      </c>
      <c r="R32" s="11" t="n">
        <f aca="false">R20/100*Inputs!$F$59*Inputs!$F$60*Inputs!$F$36</f>
        <v>1036.242012134</v>
      </c>
      <c r="S32" s="11" t="n">
        <f aca="false">S20/100*Inputs!$F$59*Inputs!$F$60*Inputs!$F$36</f>
        <v>1245.182203202</v>
      </c>
      <c r="T32" s="11" t="n">
        <f aca="false">T20/100*Inputs!$F$59*Inputs!$F$60*Inputs!$F$36</f>
        <v>1445.277001882</v>
      </c>
      <c r="U32" s="11" t="n">
        <f aca="false">U20/100*Inputs!$F$59*Inputs!$F$60*Inputs!$F$36</f>
        <v>1629.827955686</v>
      </c>
      <c r="V32" s="11" t="n">
        <f aca="false">V20/100*Inputs!$F$59*Inputs!$F$60*Inputs!$F$36</f>
        <v>1792.90951049</v>
      </c>
      <c r="W32" s="11" t="n">
        <f aca="false">W20/100*Inputs!$F$59*Inputs!$F$60*Inputs!$F$36</f>
        <v>1929.45488813</v>
      </c>
      <c r="X32" s="11" t="n">
        <f aca="false">X20/100*Inputs!$F$59*Inputs!$F$60*Inputs!$F$36</f>
        <v>2035.51371919</v>
      </c>
      <c r="Y32" s="11" t="n">
        <f aca="false">Y20/100*Inputs!$F$59*Inputs!$F$60*Inputs!$F$36</f>
        <v>2107.908532618</v>
      </c>
      <c r="Z32" s="11" t="n">
        <f aca="false">Z20/100*Inputs!$F$59*Inputs!$F$60*Inputs!$F$36</f>
        <v>2144.621204908</v>
      </c>
      <c r="AA32" s="11" t="n">
        <f aca="false">AA20/100*Inputs!$F$59*Inputs!$F$60*Inputs!$F$36</f>
        <v>2144.621204908</v>
      </c>
      <c r="AB32" s="11" t="n">
        <f aca="false">AB20/100*Inputs!$F$59*Inputs!$F$60*Inputs!$F$36</f>
        <v>2107.908532618</v>
      </c>
      <c r="AC32" s="11" t="n">
        <f aca="false">AC20/100*Inputs!$F$59*Inputs!$F$60*Inputs!$F$36</f>
        <v>2035.51371919</v>
      </c>
      <c r="AD32" s="11" t="n">
        <f aca="false">AD20/100*Inputs!$F$59*Inputs!$F$60*Inputs!$F$36</f>
        <v>1929.45488813</v>
      </c>
      <c r="AE32" s="11" t="n">
        <f aca="false">AE20/100*Inputs!$F$59*Inputs!$F$60*Inputs!$F$36</f>
        <v>1792.90951049</v>
      </c>
      <c r="AF32" s="11" t="n">
        <f aca="false">AF20/100*Inputs!$F$59*Inputs!$F$60*Inputs!$F$36</f>
        <v>1629.827955686</v>
      </c>
      <c r="AG32" s="11" t="n">
        <f aca="false">AG20/100*Inputs!$F$59*Inputs!$F$60*Inputs!$F$36</f>
        <v>1445.277001882</v>
      </c>
      <c r="AH32" s="11" t="n">
        <f aca="false">AH20/100*Inputs!$F$59*Inputs!$F$60*Inputs!$F$36</f>
        <v>1245.182203202</v>
      </c>
      <c r="AI32" s="11" t="n">
        <f aca="false">AI20/100*Inputs!$F$59*Inputs!$F$60*Inputs!$F$36</f>
        <v>1036.242012134</v>
      </c>
      <c r="AJ32" s="11" t="n">
        <f aca="false">AJ20/100*Inputs!$F$59*Inputs!$F$60*Inputs!$F$36</f>
        <v>825.970718328</v>
      </c>
      <c r="AK32" s="11" t="n">
        <f aca="false">AK20/100*Inputs!$F$59*Inputs!$F$60*Inputs!$F$36</f>
        <v>622.440815808</v>
      </c>
      <c r="AL32" s="11" t="n">
        <f aca="false">AL20/100*Inputs!$F$59*Inputs!$F$60*Inputs!$F$36</f>
        <v>434.283002972</v>
      </c>
      <c r="AM32" s="11" t="n">
        <f aca="false">AM20/100*Inputs!$F$59*Inputs!$F$60*Inputs!$F$36</f>
        <v>270.256794612</v>
      </c>
      <c r="AN32" s="11" t="n">
        <f aca="false">AN20/100*Inputs!$F$59*Inputs!$F$60*Inputs!$F$36</f>
        <v>139.078766722</v>
      </c>
      <c r="AO32" s="11" t="n">
        <f aca="false">AO20/100*Inputs!$F$59*Inputs!$F$60*Inputs!$F$36</f>
        <v>48.649658134</v>
      </c>
      <c r="AP32" s="11" t="n">
        <f aca="false">AP20/100*Inputs!$F$59*Inputs!$F$60*Inputs!$F$36</f>
        <v>3225.047240184</v>
      </c>
      <c r="AQ32" s="11" t="n">
        <f aca="false">AQ20/100*Inputs!$F$59*Inputs!$F$60*Inputs!$F$36</f>
        <v>0</v>
      </c>
      <c r="AR32" s="11" t="n">
        <f aca="false">AR20/100*Inputs!$F$59*Inputs!$F$60*Inputs!$F$36</f>
        <v>0</v>
      </c>
      <c r="AS32" s="11" t="n">
        <f aca="false">AS20/100*Inputs!$F$59*Inputs!$F$60*Inputs!$F$36</f>
        <v>0</v>
      </c>
      <c r="AT32" s="11" t="n">
        <f aca="false">AT20/100*Inputs!$F$59*Inputs!$F$60*Inputs!$F$36</f>
        <v>0</v>
      </c>
      <c r="AU32" s="11" t="n">
        <f aca="false">AU20/100*Inputs!$F$59*Inputs!$F$60*Inputs!$F$36</f>
        <v>0</v>
      </c>
      <c r="AV32" s="11" t="n">
        <f aca="false">AV20/100*Inputs!$F$59*Inputs!$F$60*Inputs!$F$36</f>
        <v>0</v>
      </c>
      <c r="AW32" s="11" t="n">
        <f aca="false">AW20/100*Inputs!$F$59*Inputs!$F$60*Inputs!$F$36</f>
        <v>0</v>
      </c>
      <c r="AX32" s="11" t="n">
        <f aca="false">AX20/100*Inputs!$F$59*Inputs!$F$60*Inputs!$F$36</f>
        <v>0</v>
      </c>
      <c r="AY32" s="11" t="n">
        <f aca="false">AY20/100*Inputs!$F$59*Inputs!$F$60*Inputs!$F$36</f>
        <v>0</v>
      </c>
      <c r="AZ32" s="11" t="n">
        <f aca="false">AZ20/100*Inputs!$F$59*Inputs!$F$60*Inputs!$F$36</f>
        <v>0</v>
      </c>
      <c r="BA32" s="11" t="n">
        <f aca="false">BA20/100*Inputs!$F$59*Inputs!$F$60*Inputs!$F$36</f>
        <v>0</v>
      </c>
      <c r="BB32" s="11" t="n">
        <f aca="false">BB20/100*Inputs!$F$59*Inputs!$F$60*Inputs!$F$36</f>
        <v>0</v>
      </c>
      <c r="BC32" s="11" t="n">
        <f aca="false">BC20/100*Inputs!$F$59*Inputs!$F$60*Inputs!$F$36</f>
        <v>0</v>
      </c>
      <c r="BD32" s="11" t="n">
        <f aca="false">BD20/100*Inputs!$F$59*Inputs!$F$60*Inputs!$F$36</f>
        <v>0</v>
      </c>
      <c r="BE32" s="11" t="n">
        <f aca="false">BE20/100*Inputs!$F$59*Inputs!$F$60*Inputs!$F$36</f>
        <v>0</v>
      </c>
      <c r="BF32" s="11" t="n">
        <f aca="false">BF20/100*Inputs!$F$59*Inputs!$F$60*Inputs!$F$36</f>
        <v>0</v>
      </c>
      <c r="BG32" s="11" t="n">
        <f aca="false">BG20/100*Inputs!$F$59*Inputs!$F$60*Inputs!$F$36</f>
        <v>0</v>
      </c>
      <c r="BH32" s="11" t="n">
        <f aca="false">BH20/100*Inputs!$F$59*Inputs!$F$60*Inputs!$F$36</f>
        <v>0</v>
      </c>
      <c r="BI32" s="11" t="n">
        <f aca="false">BI20/100*Inputs!$F$59*Inputs!$F$60*Inputs!$F$36</f>
        <v>0</v>
      </c>
      <c r="BJ32" s="11" t="n">
        <f aca="false">BJ20/100*Inputs!$F$59*Inputs!$F$60*Inputs!$F$36</f>
        <v>0</v>
      </c>
    </row>
    <row r="33" customFormat="false" ht="15" hidden="false" customHeight="false" outlineLevel="0" collapsed="false">
      <c r="D33" s="0" t="s">
        <v>453</v>
      </c>
      <c r="E33" s="0" t="s">
        <v>166</v>
      </c>
      <c r="G33" s="11" t="n">
        <f aca="false">SUM(J33:BJ33)</f>
        <v>7728.98364</v>
      </c>
      <c r="J33" s="11" t="n">
        <f aca="false">Inputs!$F$70/100*J32</f>
        <v>772.898364</v>
      </c>
      <c r="K33" s="11" t="n">
        <f aca="false">Inputs!$F$70/100*K32</f>
        <v>0.83473023312</v>
      </c>
      <c r="L33" s="11" t="n">
        <f aca="false">Inputs!$F$70/100*L32</f>
        <v>8.75693846412</v>
      </c>
      <c r="M33" s="11" t="n">
        <f aca="false">Inputs!$F$70/100*M32</f>
        <v>25.03417800996</v>
      </c>
      <c r="N33" s="11" t="n">
        <f aca="false">Inputs!$F$70/100*N32</f>
        <v>48.64622303016</v>
      </c>
      <c r="O33" s="11" t="n">
        <f aca="false">Inputs!$F$70/100*O32</f>
        <v>78.17094053496</v>
      </c>
      <c r="P33" s="11" t="n">
        <f aca="false">Inputs!$F$70/100*P32</f>
        <v>112.03934684544</v>
      </c>
      <c r="Q33" s="11" t="n">
        <f aca="false">Inputs!$F$70/100*Q32</f>
        <v>148.67472929904</v>
      </c>
      <c r="R33" s="11" t="n">
        <f aca="false">Inputs!$F$70/100*R32</f>
        <v>186.52356218412</v>
      </c>
      <c r="S33" s="11" t="n">
        <f aca="false">Inputs!$F$70/100*S32</f>
        <v>224.13279657636</v>
      </c>
      <c r="T33" s="11" t="n">
        <f aca="false">Inputs!$F$70/100*T32</f>
        <v>260.14986033876</v>
      </c>
      <c r="U33" s="11" t="n">
        <f aca="false">Inputs!$F$70/100*U32</f>
        <v>293.36903202348</v>
      </c>
      <c r="V33" s="11" t="n">
        <f aca="false">Inputs!$F$70/100*V32</f>
        <v>322.7237118882</v>
      </c>
      <c r="W33" s="11" t="n">
        <f aca="false">Inputs!$F$70/100*W32</f>
        <v>347.3018798634</v>
      </c>
      <c r="X33" s="11" t="n">
        <f aca="false">Inputs!$F$70/100*X32</f>
        <v>366.3924694542</v>
      </c>
      <c r="Y33" s="11" t="n">
        <f aca="false">Inputs!$F$70/100*Y32</f>
        <v>379.42353587124</v>
      </c>
      <c r="Z33" s="11" t="n">
        <f aca="false">Inputs!$F$70/100*Z32</f>
        <v>386.03181688344</v>
      </c>
      <c r="AA33" s="11" t="n">
        <f aca="false">Inputs!$F$70/100*AA32</f>
        <v>386.03181688344</v>
      </c>
      <c r="AB33" s="11" t="n">
        <f aca="false">Inputs!$F$70/100*AB32</f>
        <v>379.42353587124</v>
      </c>
      <c r="AC33" s="11" t="n">
        <f aca="false">Inputs!$F$70/100*AC32</f>
        <v>366.3924694542</v>
      </c>
      <c r="AD33" s="11" t="n">
        <f aca="false">Inputs!$F$70/100*AD32</f>
        <v>347.3018798634</v>
      </c>
      <c r="AE33" s="11" t="n">
        <f aca="false">Inputs!$F$70/100*AE32</f>
        <v>322.7237118882</v>
      </c>
      <c r="AF33" s="11" t="n">
        <f aca="false">Inputs!$F$70/100*AF32</f>
        <v>293.36903202348</v>
      </c>
      <c r="AG33" s="11" t="n">
        <f aca="false">Inputs!$F$70/100*AG32</f>
        <v>260.14986033876</v>
      </c>
      <c r="AH33" s="11" t="n">
        <f aca="false">Inputs!$F$70/100*AH32</f>
        <v>224.13279657636</v>
      </c>
      <c r="AI33" s="11" t="n">
        <f aca="false">Inputs!$F$70/100*AI32</f>
        <v>186.52356218412</v>
      </c>
      <c r="AJ33" s="11" t="n">
        <f aca="false">Inputs!$F$70/100*AJ32</f>
        <v>148.67472929904</v>
      </c>
      <c r="AK33" s="11" t="n">
        <f aca="false">Inputs!$F$70/100*AK32</f>
        <v>112.03934684544</v>
      </c>
      <c r="AL33" s="11" t="n">
        <f aca="false">Inputs!$F$70/100*AL32</f>
        <v>78.17094053496</v>
      </c>
      <c r="AM33" s="11" t="n">
        <f aca="false">Inputs!$F$70/100*AM32</f>
        <v>48.64622303016</v>
      </c>
      <c r="AN33" s="11" t="n">
        <f aca="false">Inputs!$F$70/100*AN32</f>
        <v>25.03417800996</v>
      </c>
      <c r="AO33" s="11" t="n">
        <f aca="false">Inputs!$F$70/100*AO32</f>
        <v>8.75693846412</v>
      </c>
      <c r="AP33" s="11" t="n">
        <f aca="false">Inputs!$F$70/100*AP32</f>
        <v>580.50850323312</v>
      </c>
      <c r="AQ33" s="11" t="n">
        <f aca="false">Inputs!$F$70/100*AQ32</f>
        <v>0</v>
      </c>
      <c r="AR33" s="11" t="n">
        <f aca="false">Inputs!$F$70/100*AR32</f>
        <v>0</v>
      </c>
      <c r="AS33" s="11" t="n">
        <f aca="false">Inputs!$F$70/100*AS32</f>
        <v>0</v>
      </c>
      <c r="AT33" s="11" t="n">
        <f aca="false">Inputs!$F$70/100*AT32</f>
        <v>0</v>
      </c>
      <c r="AU33" s="11" t="n">
        <f aca="false">Inputs!$F$70/100*AU32</f>
        <v>0</v>
      </c>
      <c r="AV33" s="11" t="n">
        <f aca="false">Inputs!$F$70/100*AV32</f>
        <v>0</v>
      </c>
      <c r="AW33" s="11" t="n">
        <f aca="false">Inputs!$F$70/100*AW32</f>
        <v>0</v>
      </c>
      <c r="AX33" s="11" t="n">
        <f aca="false">Inputs!$F$70/100*AX32</f>
        <v>0</v>
      </c>
      <c r="AY33" s="11" t="n">
        <f aca="false">Inputs!$F$70/100*AY32</f>
        <v>0</v>
      </c>
      <c r="AZ33" s="11" t="n">
        <f aca="false">Inputs!$F$70/100*AZ32</f>
        <v>0</v>
      </c>
      <c r="BA33" s="11" t="n">
        <f aca="false">Inputs!$F$70/100*BA32</f>
        <v>0</v>
      </c>
      <c r="BB33" s="11" t="n">
        <f aca="false">Inputs!$F$70/100*BB32</f>
        <v>0</v>
      </c>
      <c r="BC33" s="11" t="n">
        <f aca="false">Inputs!$F$70/100*BC32</f>
        <v>0</v>
      </c>
      <c r="BD33" s="11" t="n">
        <f aca="false">Inputs!$F$70/100*BD32</f>
        <v>0</v>
      </c>
      <c r="BE33" s="11" t="n">
        <f aca="false">Inputs!$F$70/100*BE32</f>
        <v>0</v>
      </c>
      <c r="BF33" s="11" t="n">
        <f aca="false">Inputs!$F$70/100*BF32</f>
        <v>0</v>
      </c>
      <c r="BG33" s="11" t="n">
        <f aca="false">Inputs!$F$70/100*BG32</f>
        <v>0</v>
      </c>
      <c r="BH33" s="11" t="n">
        <f aca="false">Inputs!$F$70/100*BH32</f>
        <v>0</v>
      </c>
      <c r="BI33" s="11" t="n">
        <f aca="false">Inputs!$F$70/100*BI32</f>
        <v>0</v>
      </c>
      <c r="BJ33" s="11" t="n">
        <f aca="false">Inputs!$F$70/100*BJ32</f>
        <v>0</v>
      </c>
    </row>
    <row r="34" customFormat="false" ht="15" hidden="false" customHeight="false" outlineLevel="0" collapsed="false">
      <c r="D34" s="0" t="s">
        <v>454</v>
      </c>
      <c r="E34" s="0" t="s">
        <v>166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0.83473023312</v>
      </c>
      <c r="U34" s="11" t="n">
        <f aca="false">L33</f>
        <v>8.75693846412</v>
      </c>
      <c r="V34" s="11" t="n">
        <f aca="false">M33</f>
        <v>25.03417800996</v>
      </c>
      <c r="W34" s="11" t="n">
        <f aca="false">N33</f>
        <v>48.64622303016</v>
      </c>
      <c r="X34" s="11" t="n">
        <f aca="false">O33</f>
        <v>78.17094053496</v>
      </c>
      <c r="Y34" s="11" t="n">
        <f aca="false">P33</f>
        <v>112.03934684544</v>
      </c>
      <c r="Z34" s="11" t="n">
        <f aca="false">Q33</f>
        <v>148.67472929904</v>
      </c>
      <c r="AA34" s="11" t="n">
        <f aca="false">R33</f>
        <v>186.52356218412</v>
      </c>
      <c r="AB34" s="11" t="n">
        <f aca="false">S33</f>
        <v>224.13279657636</v>
      </c>
      <c r="AC34" s="11" t="n">
        <f aca="false">T33</f>
        <v>260.14986033876</v>
      </c>
      <c r="AD34" s="11" t="n">
        <f aca="false">U33</f>
        <v>293.36903202348</v>
      </c>
      <c r="AE34" s="11" t="n">
        <f aca="false">V33</f>
        <v>322.7237118882</v>
      </c>
      <c r="AF34" s="11" t="n">
        <f aca="false">W33</f>
        <v>347.3018798634</v>
      </c>
      <c r="AG34" s="11" t="n">
        <f aca="false">X33</f>
        <v>366.3924694542</v>
      </c>
      <c r="AH34" s="11" t="n">
        <f aca="false">Y33</f>
        <v>379.42353587124</v>
      </c>
      <c r="AI34" s="11" t="n">
        <f aca="false">Z33</f>
        <v>386.03181688344</v>
      </c>
      <c r="AJ34" s="11" t="n">
        <f aca="false">AA33</f>
        <v>386.03181688344</v>
      </c>
      <c r="AK34" s="11" t="n">
        <f aca="false">AB33</f>
        <v>379.42353587124</v>
      </c>
      <c r="AL34" s="11" t="n">
        <f aca="false">AC33</f>
        <v>366.3924694542</v>
      </c>
      <c r="AM34" s="11" t="n">
        <f aca="false">AD33</f>
        <v>347.3018798634</v>
      </c>
      <c r="AN34" s="11" t="n">
        <f aca="false">AE33</f>
        <v>322.7237118882</v>
      </c>
      <c r="AO34" s="11" t="n">
        <f aca="false">AF33</f>
        <v>293.36903202348</v>
      </c>
      <c r="AP34" s="11" t="n">
        <f aca="false">AG33</f>
        <v>260.14986033876</v>
      </c>
      <c r="AQ34" s="11" t="n">
        <f aca="false">AH33</f>
        <v>224.13279657636</v>
      </c>
      <c r="AR34" s="11" t="n">
        <f aca="false">AI33</f>
        <v>186.52356218412</v>
      </c>
      <c r="AS34" s="11" t="n">
        <f aca="false">AJ33</f>
        <v>148.67472929904</v>
      </c>
      <c r="AT34" s="11" t="n">
        <f aca="false">AK33</f>
        <v>112.03934684544</v>
      </c>
      <c r="AU34" s="11" t="n">
        <f aca="false">AL33</f>
        <v>78.17094053496</v>
      </c>
      <c r="AV34" s="11" t="n">
        <f aca="false">AM33</f>
        <v>48.64622303016</v>
      </c>
      <c r="AW34" s="11" t="n">
        <f aca="false">AN33</f>
        <v>25.03417800996</v>
      </c>
      <c r="AX34" s="11" t="n">
        <f aca="false">AO33</f>
        <v>8.75693846412</v>
      </c>
      <c r="AY34" s="11" t="n">
        <f aca="false">AP33</f>
        <v>580.50850323312</v>
      </c>
      <c r="AZ34" s="11" t="n">
        <f aca="false">AQ33</f>
        <v>0</v>
      </c>
      <c r="BA34" s="11" t="n">
        <f aca="false">AR33</f>
        <v>0</v>
      </c>
      <c r="BB34" s="11" t="n">
        <f aca="false">AS33</f>
        <v>0</v>
      </c>
      <c r="BC34" s="11" t="n">
        <f aca="false">AT33</f>
        <v>0</v>
      </c>
      <c r="BD34" s="11" t="n">
        <f aca="false">AU33</f>
        <v>0</v>
      </c>
      <c r="BE34" s="11" t="n">
        <f aca="false">AV33</f>
        <v>0</v>
      </c>
      <c r="BF34" s="11" t="n">
        <f aca="false">AW33</f>
        <v>0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455</v>
      </c>
      <c r="E35" s="0" t="s">
        <v>166</v>
      </c>
      <c r="J35" s="11" t="n">
        <f aca="false">0+J33-J34</f>
        <v>772.898364</v>
      </c>
      <c r="K35" s="11" t="n">
        <f aca="false">J35+K33-K34</f>
        <v>773.73309423312</v>
      </c>
      <c r="L35" s="11" t="n">
        <f aca="false">K35+L33-L34</f>
        <v>782.49003269724</v>
      </c>
      <c r="M35" s="11" t="n">
        <f aca="false">L35+M33-M34</f>
        <v>807.5242107072</v>
      </c>
      <c r="N35" s="11" t="n">
        <f aca="false">M35+N33-N34</f>
        <v>856.17043373736</v>
      </c>
      <c r="O35" s="11" t="n">
        <f aca="false">N35+O33-O34</f>
        <v>934.34137427232</v>
      </c>
      <c r="P35" s="11" t="n">
        <f aca="false">O35+P33-P34</f>
        <v>1046.38072111776</v>
      </c>
      <c r="Q35" s="11" t="n">
        <f aca="false">P35+Q33-Q34</f>
        <v>1195.0554504168</v>
      </c>
      <c r="R35" s="11" t="n">
        <f aca="false">Q35+R33-R34</f>
        <v>1381.57901260092</v>
      </c>
      <c r="S35" s="11" t="n">
        <f aca="false">R35+S33-S34</f>
        <v>832.81344517728</v>
      </c>
      <c r="T35" s="11" t="n">
        <f aca="false">S35+T33-T34</f>
        <v>1092.12857528292</v>
      </c>
      <c r="U35" s="11" t="n">
        <f aca="false">T35+U33-U34</f>
        <v>1376.74066884228</v>
      </c>
      <c r="V35" s="11" t="n">
        <f aca="false">U35+V33-V34</f>
        <v>1674.43020272052</v>
      </c>
      <c r="W35" s="11" t="n">
        <f aca="false">V35+W33-W34</f>
        <v>1973.08585955376</v>
      </c>
      <c r="X35" s="11" t="n">
        <f aca="false">W35+X33-X34</f>
        <v>2261.307388473</v>
      </c>
      <c r="Y35" s="11" t="n">
        <f aca="false">X35+Y33-Y34</f>
        <v>2528.6915774988</v>
      </c>
      <c r="Z35" s="11" t="n">
        <f aca="false">Y35+Z33-Z34</f>
        <v>2766.0486650832</v>
      </c>
      <c r="AA35" s="11" t="n">
        <f aca="false">Z35+AA33-AA34</f>
        <v>2965.55691978252</v>
      </c>
      <c r="AB35" s="11" t="n">
        <f aca="false">AA35+AB33-AB34</f>
        <v>3120.8476590774</v>
      </c>
      <c r="AC35" s="11" t="n">
        <f aca="false">AB35+AC33-AC34</f>
        <v>3227.09026819284</v>
      </c>
      <c r="AD35" s="11" t="n">
        <f aca="false">AC35+AD33-AD34</f>
        <v>3281.02311603276</v>
      </c>
      <c r="AE35" s="11" t="n">
        <f aca="false">AD35+AE33-AE34</f>
        <v>3281.02311603276</v>
      </c>
      <c r="AF35" s="11" t="n">
        <f aca="false">AE35+AF33-AF34</f>
        <v>3227.09026819284</v>
      </c>
      <c r="AG35" s="11" t="n">
        <f aca="false">AF35+AG33-AG34</f>
        <v>3120.8476590774</v>
      </c>
      <c r="AH35" s="11" t="n">
        <f aca="false">AG35+AH33-AH34</f>
        <v>2965.55691978252</v>
      </c>
      <c r="AI35" s="11" t="n">
        <f aca="false">AH35+AI33-AI34</f>
        <v>2766.0486650832</v>
      </c>
      <c r="AJ35" s="11" t="n">
        <f aca="false">AI35+AJ33-AJ34</f>
        <v>2528.6915774988</v>
      </c>
      <c r="AK35" s="11" t="n">
        <f aca="false">AJ35+AK33-AK34</f>
        <v>2261.307388473</v>
      </c>
      <c r="AL35" s="11" t="n">
        <f aca="false">AK35+AL33-AL34</f>
        <v>1973.08585955376</v>
      </c>
      <c r="AM35" s="11" t="n">
        <f aca="false">AL35+AM33-AM34</f>
        <v>1674.43020272052</v>
      </c>
      <c r="AN35" s="11" t="n">
        <f aca="false">AM35+AN33-AN34</f>
        <v>1376.74066884228</v>
      </c>
      <c r="AO35" s="11" t="n">
        <f aca="false">AN35+AO33-AO34</f>
        <v>1092.12857528292</v>
      </c>
      <c r="AP35" s="11" t="n">
        <f aca="false">AO35+AP33-AP34</f>
        <v>1412.48721817728</v>
      </c>
      <c r="AQ35" s="11" t="n">
        <f aca="false">AP35+AQ33-AQ34</f>
        <v>1188.35442160092</v>
      </c>
      <c r="AR35" s="11" t="n">
        <f aca="false">AQ35+AR33-AR34</f>
        <v>1001.8308594168</v>
      </c>
      <c r="AS35" s="11" t="n">
        <f aca="false">AR35+AS33-AS34</f>
        <v>853.15613011776</v>
      </c>
      <c r="AT35" s="11" t="n">
        <f aca="false">AS35+AT33-AT34</f>
        <v>741.11678327232</v>
      </c>
      <c r="AU35" s="11" t="n">
        <f aca="false">AT35+AU33-AU34</f>
        <v>662.94584273736</v>
      </c>
      <c r="AV35" s="11" t="n">
        <f aca="false">AU35+AV33-AV34</f>
        <v>614.299619707201</v>
      </c>
      <c r="AW35" s="11" t="n">
        <f aca="false">AV35+AW33-AW34</f>
        <v>589.265441697241</v>
      </c>
      <c r="AX35" s="11" t="n">
        <f aca="false">AW35+AX33-AX34</f>
        <v>580.508503233121</v>
      </c>
      <c r="AY35" s="11" t="n">
        <f aca="false">AX35+AY33-AY34</f>
        <v>0</v>
      </c>
      <c r="AZ35" s="11" t="n">
        <f aca="false">AY35+AZ33-AZ34</f>
        <v>0</v>
      </c>
      <c r="BA35" s="11" t="n">
        <f aca="false">AZ35+BA33-BA34</f>
        <v>0</v>
      </c>
      <c r="BB35" s="11" t="n">
        <f aca="false">BA35+BB33-BB34</f>
        <v>0</v>
      </c>
      <c r="BC35" s="11" t="n">
        <f aca="false">BB35+BC33-BC34</f>
        <v>0</v>
      </c>
      <c r="BD35" s="11" t="n">
        <f aca="false">BC35+BD33-BD34</f>
        <v>0</v>
      </c>
      <c r="BE35" s="11" t="n">
        <f aca="false">BD35+BE33-BE34</f>
        <v>0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456</v>
      </c>
      <c r="E36" s="0" t="s">
        <v>149</v>
      </c>
      <c r="G36" s="11" t="n">
        <f aca="false">SUM(J36:BJ36)</f>
        <v>1.63486709417751</v>
      </c>
      <c r="J36" s="11" t="n">
        <f aca="false">0*(J18+Inputs!$F$71)/100*J11/365/J16</f>
        <v>0</v>
      </c>
      <c r="K36" s="11" t="n">
        <f aca="false">J35*(K18+Inputs!$F$71)/100*K11/365/K16</f>
        <v>0.0194457240997733</v>
      </c>
      <c r="L36" s="11" t="n">
        <f aca="false">K35*(L18+Inputs!$F$71)/100*L11/365/L16</f>
        <v>0.0200310422177048</v>
      </c>
      <c r="M36" s="11" t="n">
        <f aca="false">L35*(M18+Inputs!$F$71)/100*M11/365/M16</f>
        <v>0.0195218490832966</v>
      </c>
      <c r="N36" s="11" t="n">
        <f aca="false">M35*(N18+Inputs!$F$71)/100*N11/365/N16</f>
        <v>0.0207304309549175</v>
      </c>
      <c r="O36" s="11" t="n">
        <f aca="false">N35*(O18+Inputs!$F$71)/100*O11/365/O16</f>
        <v>0.021886847272568</v>
      </c>
      <c r="P36" s="11" t="n">
        <f aca="false">O35*(P18+Inputs!$F$71)/100*P11/365/P16</f>
        <v>0.0214830085816359</v>
      </c>
      <c r="Q36" s="11" t="n">
        <f aca="false">P35*(Q18+Inputs!$F$71)/100*Q11/365/Q16</f>
        <v>0.026524860951246</v>
      </c>
      <c r="R36" s="11" t="n">
        <f aca="false">Q35*(R18+Inputs!$F$71)/100*R11/365/R16</f>
        <v>0.0291931666812582</v>
      </c>
      <c r="S36" s="11" t="n">
        <f aca="false">R35*(S18+Inputs!$F$71)/100*S11/365/S16</f>
        <v>0.034727979703444</v>
      </c>
      <c r="T36" s="11" t="n">
        <f aca="false">S35*(T18+Inputs!$F$71)/100*T11/365/T16</f>
        <v>0.0201735014177452</v>
      </c>
      <c r="U36" s="11" t="n">
        <f aca="false">T35*(U18+Inputs!$F$71)/100*U11/365/U16</f>
        <v>0.0272218707388594</v>
      </c>
      <c r="V36" s="11" t="n">
        <f aca="false">U35*(V18+Inputs!$F$71)/100*V11/365/V16</f>
        <v>0.0341716965606389</v>
      </c>
      <c r="W36" s="11" t="n">
        <f aca="false">V35*(W18+Inputs!$F$71)/100*W11/365/W16</f>
        <v>0.0400508015468132</v>
      </c>
      <c r="X36" s="11" t="n">
        <f aca="false">W35*(X18+Inputs!$F$71)/100*X11/365/X16</f>
        <v>0.0485624723651726</v>
      </c>
      <c r="Y36" s="11" t="n">
        <f aca="false">X35*(Y18+Inputs!$F$71)/100*Y11/365/Y16</f>
        <v>0.0536344918211279</v>
      </c>
      <c r="Z36" s="11" t="n">
        <f aca="false">Y35*(Z18+Inputs!$F$71)/100*Z11/365/Z16</f>
        <v>0.0617150481464958</v>
      </c>
      <c r="AA36" s="11" t="n">
        <f aca="false">Z35*(AA18+Inputs!$F$71)/100*AA11/365/AA16</f>
        <v>0.0672241360452611</v>
      </c>
      <c r="AB36" s="11" t="n">
        <f aca="false">AA35*(AB18+Inputs!$F$71)/100*AB11/365/AB16</f>
        <v>0.0671395125097447</v>
      </c>
      <c r="AC36" s="11" t="n">
        <f aca="false">AB35*(AC18+Inputs!$F$71)/100*AC11/365/AC16</f>
        <v>0.0752104847039138</v>
      </c>
      <c r="AD36" s="11" t="n">
        <f aca="false">AC35*(AD18+Inputs!$F$71)/100*AD11/365/AD16</f>
        <v>0.0749456956637847</v>
      </c>
      <c r="AE36" s="11" t="n">
        <f aca="false">AD35*(AE18+Inputs!$F$71)/100*AE11/365/AE16</f>
        <v>0.0784071220767009</v>
      </c>
      <c r="AF36" s="11" t="n">
        <f aca="false">AE35*(AF18+Inputs!$F$71)/100*AF11/365/AF16</f>
        <v>0.0755588391382728</v>
      </c>
      <c r="AG36" s="11" t="n">
        <f aca="false">AF35*(AG18+Inputs!$F$71)/100*AG11/365/AG16</f>
        <v>0.0764711712832112</v>
      </c>
      <c r="AH36" s="11" t="n">
        <f aca="false">AG35*(AH18+Inputs!$F$71)/100*AH11/365/AH16</f>
        <v>0.0736426487589338</v>
      </c>
      <c r="AI36" s="11" t="n">
        <f aca="false">AH35*(AI18+Inputs!$F$71)/100*AI11/365/AI16</f>
        <v>0.0674361640987342</v>
      </c>
      <c r="AJ36" s="11" t="n">
        <f aca="false">AI35*(AJ18+Inputs!$F$71)/100*AJ11/365/AJ16</f>
        <v>0.0647227636214697</v>
      </c>
      <c r="AK36" s="11" t="n">
        <f aca="false">AJ35*(AK18+Inputs!$F$71)/100*AK11/365/AK16</f>
        <v>0.0570194287412817</v>
      </c>
      <c r="AL36" s="11" t="n">
        <f aca="false">AK35*(AL18+Inputs!$F$71)/100*AL11/365/AL16</f>
        <v>0.0524683302432578</v>
      </c>
      <c r="AM36" s="11" t="n">
        <f aca="false">AL35*(AM18+Inputs!$F$71)/100*AM11/365/AM16</f>
        <v>0.0455883452314648</v>
      </c>
      <c r="AN36" s="11" t="n">
        <f aca="false">AM35*(AN18+Inputs!$F$71)/100*AN11/365/AN16</f>
        <v>0.0347969703795965</v>
      </c>
      <c r="AO36" s="11" t="n">
        <f aca="false">AN35*(AO18+Inputs!$F$71)/100*AO11/365/AO16</f>
        <v>0.031542810815562</v>
      </c>
      <c r="AP36" s="11" t="n">
        <f aca="false">AO35*(AP18+Inputs!$F$71)/100*AP11/365/AP16</f>
        <v>0.0241130298367733</v>
      </c>
      <c r="AQ36" s="11" t="n">
        <f aca="false">AP35*(AQ18+Inputs!$F$71)/100*AQ11/365/AQ16</f>
        <v>0.0320902559722956</v>
      </c>
      <c r="AR36" s="11" t="n">
        <f aca="false">AQ35*(AR18+Inputs!$F$71)/100*AR11/365/AR16</f>
        <v>0.0260174305983059</v>
      </c>
      <c r="AS36" s="11" t="n">
        <f aca="false">AR35*(AS18+Inputs!$F$71)/100*AS11/365/AS16</f>
        <v>0.0225695793708405</v>
      </c>
      <c r="AT36" s="11" t="n">
        <f aca="false">AS35*(AT18+Inputs!$F$71)/100*AT11/365/AT16</f>
        <v>0.0191393761731925</v>
      </c>
      <c r="AU36" s="11" t="n">
        <f aca="false">AT35*(AU18+Inputs!$F$71)/100*AU11/365/AU16</f>
        <v>0.0160219611596398</v>
      </c>
      <c r="AV36" s="11" t="n">
        <f aca="false">AU35*(AV18+Inputs!$F$71)/100*AV11/365/AV16</f>
        <v>0.0147474767274442</v>
      </c>
      <c r="AW36" s="11" t="n">
        <f aca="false">AV35*(AW18+Inputs!$F$71)/100*AW11/365/AW16</f>
        <v>0.013168905401365</v>
      </c>
      <c r="AX36" s="11" t="n">
        <f aca="false">AW35*(AX18+Inputs!$F$71)/100*AX11/365/AX16</f>
        <v>0.0129984343551899</v>
      </c>
      <c r="AY36" s="11" t="n">
        <f aca="false">AX35*(AY18+Inputs!$F$71)/100*AY11/365/AY16</f>
        <v>0.0127514291285803</v>
      </c>
      <c r="AZ36" s="11" t="n">
        <f aca="false">AY35*(AZ18+Inputs!$F$71)/100*AZ11/365/AZ16</f>
        <v>0</v>
      </c>
      <c r="BA36" s="11" t="n">
        <f aca="false">AZ35*(BA18+Inputs!$F$71)/100*BA11/365/BA16</f>
        <v>0</v>
      </c>
      <c r="BB36" s="11" t="n">
        <f aca="false">BA35*(BB18+Inputs!$F$71)/100*BB11/365/BB16</f>
        <v>0</v>
      </c>
      <c r="BC36" s="11" t="n">
        <f aca="false">BB35*(BC18+Inputs!$F$71)/100*BC11/365/BC16</f>
        <v>0</v>
      </c>
      <c r="BD36" s="11" t="n">
        <f aca="false">BC35*(BD18+Inputs!$F$71)/100*BD11/365/BD16</f>
        <v>0</v>
      </c>
      <c r="BE36" s="11" t="n">
        <f aca="false">BD35*(BE18+Inputs!$F$71)/100*BE11/365/BE16</f>
        <v>0</v>
      </c>
      <c r="BF36" s="11" t="n">
        <f aca="false">BE35*(BF18+Inputs!$F$71)/100*BF11/365/BF16</f>
        <v>0</v>
      </c>
      <c r="BG36" s="11" t="n">
        <f aca="false">BF35*(BG18+Inputs!$F$71)/100*BG11/365/BG16</f>
        <v>0</v>
      </c>
      <c r="BH36" s="11" t="n">
        <f aca="false">BG35*(BH18+Inputs!$F$71)/100*BH11/365/BH16</f>
        <v>0</v>
      </c>
      <c r="BI36" s="11" t="n">
        <f aca="false">BH35*(BI18+Inputs!$F$71)/100*BI11/365/BI16</f>
        <v>0</v>
      </c>
      <c r="BJ36" s="11" t="n">
        <f aca="false">BI35*(BJ18+Inputs!$F$71)/100*BJ11/365/BJ16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346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458</v>
      </c>
    </row>
    <row r="8" customFormat="false" ht="15" hidden="false" customHeight="false" outlineLevel="0" collapsed="false">
      <c r="D8" s="0" t="s">
        <v>459</v>
      </c>
      <c r="E8" s="0" t="s">
        <v>103</v>
      </c>
      <c r="J8" s="11" t="n">
        <f aca="false">CHOOSE(Inputs!$F$33,Inputs!J215,Inputs!J216,Inputs!J217)</f>
        <v>2.52</v>
      </c>
      <c r="K8" s="11" t="n">
        <f aca="false">CHOOSE(Inputs!$F$33,Inputs!K215,Inputs!K216,Inputs!K217)</f>
        <v>2.79</v>
      </c>
      <c r="L8" s="11" t="n">
        <f aca="false">CHOOSE(Inputs!$F$33,Inputs!L215,Inputs!L216,Inputs!L217)</f>
        <v>2.94</v>
      </c>
      <c r="M8" s="11" t="n">
        <f aca="false">CHOOSE(Inputs!$F$33,Inputs!M215,Inputs!M216,Inputs!M217)</f>
        <v>3.02</v>
      </c>
      <c r="N8" s="11" t="n">
        <f aca="false">CHOOSE(Inputs!$F$33,Inputs!N215,Inputs!N216,Inputs!N217)</f>
        <v>3.06</v>
      </c>
      <c r="O8" s="11" t="n">
        <f aca="false">CHOOSE(Inputs!$F$33,Inputs!O215,Inputs!O216,Inputs!O217)</f>
        <v>3.09</v>
      </c>
      <c r="P8" s="11" t="n">
        <f aca="false">CHOOSE(Inputs!$F$33,Inputs!P215,Inputs!P216,Inputs!P217)</f>
        <v>3.09</v>
      </c>
      <c r="Q8" s="11" t="n">
        <f aca="false">CHOOSE(Inputs!$F$33,Inputs!Q215,Inputs!Q216,Inputs!Q217)</f>
        <v>3.11</v>
      </c>
      <c r="R8" s="11" t="n">
        <f aca="false">CHOOSE(Inputs!$F$33,Inputs!R215,Inputs!R216,Inputs!R217)</f>
        <v>3.11</v>
      </c>
      <c r="S8" s="11" t="n">
        <f aca="false">CHOOSE(Inputs!$F$33,Inputs!S215,Inputs!S216,Inputs!S217)</f>
        <v>3.12</v>
      </c>
      <c r="T8" s="11" t="n">
        <f aca="false">CHOOSE(Inputs!$F$33,Inputs!T215,Inputs!T216,Inputs!T217)</f>
        <v>3.12</v>
      </c>
      <c r="U8" s="11" t="n">
        <f aca="false">CHOOSE(Inputs!$F$33,Inputs!U215,Inputs!U216,Inputs!U217)</f>
        <v>3.12</v>
      </c>
      <c r="V8" s="11" t="n">
        <f aca="false">CHOOSE(Inputs!$F$33,Inputs!V215,Inputs!V216,Inputs!V217)</f>
        <v>3.12</v>
      </c>
      <c r="W8" s="11" t="n">
        <f aca="false">CHOOSE(Inputs!$F$33,Inputs!W215,Inputs!W216,Inputs!W217)</f>
        <v>3.12</v>
      </c>
      <c r="X8" s="11" t="n">
        <f aca="false">CHOOSE(Inputs!$F$33,Inputs!X215,Inputs!X216,Inputs!X217)</f>
        <v>3.12</v>
      </c>
      <c r="Y8" s="11" t="n">
        <f aca="false">CHOOSE(Inputs!$F$33,Inputs!Y215,Inputs!Y216,Inputs!Y217)</f>
        <v>3.12</v>
      </c>
      <c r="Z8" s="11" t="n">
        <f aca="false">CHOOSE(Inputs!$F$33,Inputs!Z215,Inputs!Z216,Inputs!Z217)</f>
        <v>3.12</v>
      </c>
      <c r="AA8" s="11" t="n">
        <f aca="false">CHOOSE(Inputs!$F$33,Inputs!AA215,Inputs!AA216,Inputs!AA217)</f>
        <v>3.12</v>
      </c>
      <c r="AB8" s="11" t="n">
        <f aca="false">CHOOSE(Inputs!$F$33,Inputs!AB215,Inputs!AB216,Inputs!AB217)</f>
        <v>3.12</v>
      </c>
      <c r="AC8" s="11" t="n">
        <f aca="false">CHOOSE(Inputs!$F$33,Inputs!AC215,Inputs!AC216,Inputs!AC217)</f>
        <v>3.12</v>
      </c>
      <c r="AD8" s="11" t="n">
        <f aca="false">CHOOSE(Inputs!$F$33,Inputs!AD215,Inputs!AD216,Inputs!AD217)</f>
        <v>3.12</v>
      </c>
      <c r="AE8" s="11" t="n">
        <f aca="false">CHOOSE(Inputs!$F$33,Inputs!AE215,Inputs!AE216,Inputs!AE217)</f>
        <v>3.12</v>
      </c>
      <c r="AF8" s="11" t="n">
        <f aca="false">CHOOSE(Inputs!$F$33,Inputs!AF215,Inputs!AF216,Inputs!AF217)</f>
        <v>3.12</v>
      </c>
      <c r="AG8" s="11" t="n">
        <f aca="false">CHOOSE(Inputs!$F$33,Inputs!AG215,Inputs!AG216,Inputs!AG217)</f>
        <v>3.12</v>
      </c>
      <c r="AH8" s="11" t="n">
        <f aca="false">CHOOSE(Inputs!$F$33,Inputs!AH215,Inputs!AH216,Inputs!AH217)</f>
        <v>3.12</v>
      </c>
      <c r="AI8" s="11" t="n">
        <f aca="false">CHOOSE(Inputs!$F$33,Inputs!AI215,Inputs!AI216,Inputs!AI217)</f>
        <v>3.12</v>
      </c>
      <c r="AJ8" s="11" t="n">
        <f aca="false">CHOOSE(Inputs!$F$33,Inputs!AJ215,Inputs!AJ216,Inputs!AJ217)</f>
        <v>3.12</v>
      </c>
      <c r="AK8" s="11" t="n">
        <f aca="false">CHOOSE(Inputs!$F$33,Inputs!AK215,Inputs!AK216,Inputs!AK217)</f>
        <v>3.12</v>
      </c>
      <c r="AL8" s="11" t="n">
        <f aca="false">CHOOSE(Inputs!$F$33,Inputs!AL215,Inputs!AL216,Inputs!AL217)</f>
        <v>3.12</v>
      </c>
      <c r="AM8" s="11" t="n">
        <f aca="false">CHOOSE(Inputs!$F$33,Inputs!AM215,Inputs!AM216,Inputs!AM217)</f>
        <v>3.12</v>
      </c>
      <c r="AN8" s="11" t="n">
        <f aca="false">CHOOSE(Inputs!$F$33,Inputs!AN215,Inputs!AN216,Inputs!AN217)</f>
        <v>3.12</v>
      </c>
      <c r="AO8" s="11" t="n">
        <f aca="false">CHOOSE(Inputs!$F$33,Inputs!AO215,Inputs!AO216,Inputs!AO217)</f>
        <v>3.12</v>
      </c>
      <c r="AP8" s="11" t="n">
        <f aca="false">CHOOSE(Inputs!$F$33,Inputs!AP215,Inputs!AP216,Inputs!AP217)</f>
        <v>3.12</v>
      </c>
      <c r="AQ8" s="11" t="n">
        <f aca="false">CHOOSE(Inputs!$F$33,Inputs!AQ215,Inputs!AQ216,Inputs!AQ217)</f>
        <v>3.12</v>
      </c>
      <c r="AR8" s="11" t="n">
        <f aca="false">CHOOSE(Inputs!$F$33,Inputs!AR215,Inputs!AR216,Inputs!AR217)</f>
        <v>3.12</v>
      </c>
      <c r="AS8" s="11" t="n">
        <f aca="false">CHOOSE(Inputs!$F$33,Inputs!AS215,Inputs!AS216,Inputs!AS217)</f>
        <v>3.12</v>
      </c>
      <c r="AT8" s="11" t="n">
        <f aca="false">CHOOSE(Inputs!$F$33,Inputs!AT215,Inputs!AT216,Inputs!AT217)</f>
        <v>3.12</v>
      </c>
      <c r="AU8" s="11" t="n">
        <f aca="false">CHOOSE(Inputs!$F$33,Inputs!AU215,Inputs!AU216,Inputs!AU217)</f>
        <v>3.12</v>
      </c>
      <c r="AV8" s="11" t="n">
        <f aca="false">CHOOSE(Inputs!$F$33,Inputs!AV215,Inputs!AV216,Inputs!AV217)</f>
        <v>3.12</v>
      </c>
      <c r="AW8" s="11" t="n">
        <f aca="false">CHOOSE(Inputs!$F$33,Inputs!AW215,Inputs!AW216,Inputs!AW217)</f>
        <v>3.12</v>
      </c>
      <c r="AX8" s="11" t="n">
        <f aca="false">CHOOSE(Inputs!$F$33,Inputs!AX215,Inputs!AX216,Inputs!AX217)</f>
        <v>3.12</v>
      </c>
      <c r="AY8" s="11" t="n">
        <f aca="false">CHOOSE(Inputs!$F$33,Inputs!AY215,Inputs!AY216,Inputs!AY217)</f>
        <v>3.12</v>
      </c>
      <c r="AZ8" s="11" t="n">
        <f aca="false">CHOOSE(Inputs!$F$33,Inputs!AZ215,Inputs!AZ216,Inputs!AZ217)</f>
        <v>3.12</v>
      </c>
      <c r="BA8" s="11" t="n">
        <f aca="false">CHOOSE(Inputs!$F$33,Inputs!BA215,Inputs!BA216,Inputs!BA217)</f>
        <v>3.12</v>
      </c>
      <c r="BB8" s="11" t="n">
        <f aca="false">CHOOSE(Inputs!$F$33,Inputs!BB215,Inputs!BB216,Inputs!BB217)</f>
        <v>3.12</v>
      </c>
      <c r="BC8" s="11" t="n">
        <f aca="false">CHOOSE(Inputs!$F$33,Inputs!BC215,Inputs!BC216,Inputs!BC217)</f>
        <v>3.12</v>
      </c>
      <c r="BD8" s="11" t="n">
        <f aca="false">CHOOSE(Inputs!$F$33,Inputs!BD215,Inputs!BD216,Inputs!BD217)</f>
        <v>3.12</v>
      </c>
      <c r="BE8" s="11" t="n">
        <f aca="false">CHOOSE(Inputs!$F$33,Inputs!BE215,Inputs!BE216,Inputs!BE217)</f>
        <v>3.12</v>
      </c>
      <c r="BF8" s="11" t="n">
        <f aca="false">CHOOSE(Inputs!$F$33,Inputs!BF215,Inputs!BF216,Inputs!BF217)</f>
        <v>3.12</v>
      </c>
      <c r="BG8" s="11" t="n">
        <f aca="false">CHOOSE(Inputs!$F$33,Inputs!BG215,Inputs!BG216,Inputs!BG217)</f>
        <v>3.12</v>
      </c>
      <c r="BH8" s="11" t="n">
        <f aca="false">CHOOSE(Inputs!$F$33,Inputs!BH215,Inputs!BH216,Inputs!BH217)</f>
        <v>3.12</v>
      </c>
      <c r="BI8" s="11" t="n">
        <f aca="false">CHOOSE(Inputs!$F$33,Inputs!BI215,Inputs!BI216,Inputs!BI217)</f>
        <v>3.12</v>
      </c>
      <c r="BJ8" s="11" t="n">
        <f aca="false">CHOOSE(Inputs!$F$33,Inputs!BJ215,Inputs!BJ216,Inputs!BJ217)</f>
        <v>3.12</v>
      </c>
      <c r="BK8" s="11" t="n">
        <f aca="false">CHOOSE(Inputs!$F$33,Inputs!BK215,Inputs!BK216,Inputs!BK217)</f>
        <v>3.12</v>
      </c>
      <c r="BL8" s="11" t="n">
        <f aca="false">CHOOSE(Inputs!$F$33,Inputs!BL215,Inputs!BL216,Inputs!BL217)</f>
        <v>3.12</v>
      </c>
      <c r="BM8" s="11" t="n">
        <f aca="false">CHOOSE(Inputs!$F$33,Inputs!BM215,Inputs!BM216,Inputs!BM217)</f>
        <v>3.12</v>
      </c>
      <c r="BN8" s="11" t="n">
        <f aca="false">CHOOSE(Inputs!$F$33,Inputs!BN215,Inputs!BN216,Inputs!BN217)</f>
        <v>3.12</v>
      </c>
    </row>
    <row r="9" customFormat="false" ht="15" hidden="false" customHeight="false" outlineLevel="0" collapsed="false">
      <c r="D9" s="0" t="s">
        <v>460</v>
      </c>
      <c r="E9" s="0" t="s">
        <v>103</v>
      </c>
      <c r="J9" s="11" t="n">
        <f aca="false">J8+Inputs!$F$42*Time!J34</f>
        <v>2.52</v>
      </c>
      <c r="K9" s="11" t="n">
        <f aca="false">K8+Inputs!$F$42*Time!K34</f>
        <v>2.79</v>
      </c>
      <c r="L9" s="11" t="n">
        <f aca="false">L8+Inputs!$F$42*Time!L34</f>
        <v>2.94</v>
      </c>
      <c r="M9" s="11" t="n">
        <f aca="false">M8+Inputs!$F$42*Time!M34</f>
        <v>3.02</v>
      </c>
      <c r="N9" s="11" t="n">
        <f aca="false">N8+Inputs!$F$42*Time!N34</f>
        <v>3.06</v>
      </c>
      <c r="O9" s="11" t="n">
        <f aca="false">O8+Inputs!$F$42*Time!O34</f>
        <v>3.09</v>
      </c>
      <c r="P9" s="11" t="n">
        <f aca="false">P8+Inputs!$F$42*Time!P34</f>
        <v>3.09</v>
      </c>
      <c r="Q9" s="11" t="n">
        <f aca="false">Q8+Inputs!$F$42*Time!Q34</f>
        <v>3.11</v>
      </c>
      <c r="R9" s="11" t="n">
        <f aca="false">R8+Inputs!$F$42*Time!R34</f>
        <v>3.11</v>
      </c>
      <c r="S9" s="11" t="n">
        <f aca="false">S8+Inputs!$F$42*Time!S34</f>
        <v>3.12</v>
      </c>
      <c r="T9" s="11" t="n">
        <f aca="false">T8+Inputs!$F$42*Time!T34</f>
        <v>3.12</v>
      </c>
      <c r="U9" s="11" t="n">
        <f aca="false">U8+Inputs!$F$42*Time!U34</f>
        <v>3.12</v>
      </c>
      <c r="V9" s="11" t="n">
        <f aca="false">V8+Inputs!$F$42*Time!V34</f>
        <v>3.12</v>
      </c>
      <c r="W9" s="11" t="n">
        <f aca="false">W8+Inputs!$F$42*Time!W34</f>
        <v>3.12</v>
      </c>
      <c r="X9" s="11" t="n">
        <f aca="false">X8+Inputs!$F$42*Time!X34</f>
        <v>3.12</v>
      </c>
      <c r="Y9" s="11" t="n">
        <f aca="false">Y8+Inputs!$F$42*Time!Y34</f>
        <v>3.12</v>
      </c>
      <c r="Z9" s="11" t="n">
        <f aca="false">Z8+Inputs!$F$42*Time!Z34</f>
        <v>3.12</v>
      </c>
      <c r="AA9" s="11" t="n">
        <f aca="false">AA8+Inputs!$F$42*Time!AA34</f>
        <v>3.12</v>
      </c>
      <c r="AB9" s="11" t="n">
        <f aca="false">AB8+Inputs!$F$42*Time!AB34</f>
        <v>3.12</v>
      </c>
      <c r="AC9" s="11" t="n">
        <f aca="false">AC8+Inputs!$F$42*Time!AC34</f>
        <v>3.12</v>
      </c>
      <c r="AD9" s="11" t="n">
        <f aca="false">AD8+Inputs!$F$42*Time!AD34</f>
        <v>3.12</v>
      </c>
      <c r="AE9" s="11" t="n">
        <f aca="false">AE8+Inputs!$F$42*Time!AE34</f>
        <v>3.12</v>
      </c>
      <c r="AF9" s="11" t="n">
        <f aca="false">AF8+Inputs!$F$42*Time!AF34</f>
        <v>3.12</v>
      </c>
      <c r="AG9" s="11" t="n">
        <f aca="false">AG8+Inputs!$F$42*Time!AG34</f>
        <v>3.12</v>
      </c>
      <c r="AH9" s="11" t="n">
        <f aca="false">AH8+Inputs!$F$42*Time!AH34</f>
        <v>3.12</v>
      </c>
      <c r="AI9" s="11" t="n">
        <f aca="false">AI8+Inputs!$F$42*Time!AI34</f>
        <v>3.12</v>
      </c>
      <c r="AJ9" s="11" t="n">
        <f aca="false">AJ8+Inputs!$F$42*Time!AJ34</f>
        <v>3.12</v>
      </c>
      <c r="AK9" s="11" t="n">
        <f aca="false">AK8+Inputs!$F$42*Time!AK34</f>
        <v>3.12</v>
      </c>
      <c r="AL9" s="11" t="n">
        <f aca="false">AL8+Inputs!$F$42*Time!AL34</f>
        <v>3.12</v>
      </c>
      <c r="AM9" s="11" t="n">
        <f aca="false">AM8+Inputs!$F$42*Time!AM34</f>
        <v>3.12</v>
      </c>
      <c r="AN9" s="11" t="n">
        <f aca="false">AN8+Inputs!$F$42*Time!AN34</f>
        <v>3.12</v>
      </c>
      <c r="AO9" s="11" t="n">
        <f aca="false">AO8+Inputs!$F$42*Time!AO34</f>
        <v>3.12</v>
      </c>
      <c r="AP9" s="11" t="n">
        <f aca="false">AP8+Inputs!$F$42*Time!AP34</f>
        <v>3.12</v>
      </c>
      <c r="AQ9" s="11" t="n">
        <f aca="false">AQ8+Inputs!$F$42*Time!AQ34</f>
        <v>3.12</v>
      </c>
      <c r="AR9" s="11" t="n">
        <f aca="false">AR8+Inputs!$F$42*Time!AR34</f>
        <v>3.12</v>
      </c>
      <c r="AS9" s="11" t="n">
        <f aca="false">AS8+Inputs!$F$42*Time!AS34</f>
        <v>3.12</v>
      </c>
      <c r="AT9" s="11" t="n">
        <f aca="false">AT8+Inputs!$F$42*Time!AT34</f>
        <v>3.12</v>
      </c>
      <c r="AU9" s="11" t="n">
        <f aca="false">AU8+Inputs!$F$42*Time!AU34</f>
        <v>3.12</v>
      </c>
      <c r="AV9" s="11" t="n">
        <f aca="false">AV8+Inputs!$F$42*Time!AV34</f>
        <v>3.12</v>
      </c>
      <c r="AW9" s="11" t="n">
        <f aca="false">AW8+Inputs!$F$42*Time!AW34</f>
        <v>3.12</v>
      </c>
      <c r="AX9" s="11" t="n">
        <f aca="false">AX8+Inputs!$F$42*Time!AX34</f>
        <v>3.12</v>
      </c>
      <c r="AY9" s="11" t="n">
        <f aca="false">AY8+Inputs!$F$42*Time!AY34</f>
        <v>3.12</v>
      </c>
      <c r="AZ9" s="11" t="n">
        <f aca="false">AZ8+Inputs!$F$42*Time!AZ34</f>
        <v>3.12</v>
      </c>
      <c r="BA9" s="11" t="n">
        <f aca="false">BA8+Inputs!$F$42*Time!BA34</f>
        <v>3.12</v>
      </c>
      <c r="BB9" s="11" t="n">
        <f aca="false">BB8+Inputs!$F$42*Time!BB34</f>
        <v>3.12</v>
      </c>
      <c r="BC9" s="11" t="n">
        <f aca="false">BC8+Inputs!$F$42*Time!BC34</f>
        <v>3.12</v>
      </c>
      <c r="BD9" s="11" t="n">
        <f aca="false">BD8+Inputs!$F$42*Time!BD34</f>
        <v>3.12</v>
      </c>
      <c r="BE9" s="11" t="n">
        <f aca="false">BE8+Inputs!$F$42*Time!BE34</f>
        <v>3.12</v>
      </c>
      <c r="BF9" s="11" t="n">
        <f aca="false">BF8+Inputs!$F$42*Time!BF34</f>
        <v>3.12</v>
      </c>
      <c r="BG9" s="11" t="n">
        <f aca="false">BG8+Inputs!$F$42*Time!BG34</f>
        <v>3.12</v>
      </c>
      <c r="BH9" s="11" t="n">
        <f aca="false">BH8+Inputs!$F$42*Time!BH34</f>
        <v>3.12</v>
      </c>
      <c r="BI9" s="11" t="n">
        <f aca="false">BI8+Inputs!$F$42*Time!BI34</f>
        <v>3.12</v>
      </c>
      <c r="BJ9" s="11" t="n">
        <f aca="false">BJ8+Inputs!$F$42*Time!BJ34</f>
        <v>3.12</v>
      </c>
      <c r="BK9" s="11" t="n">
        <f aca="false">BK8+Inputs!$F$42*Time!BK34</f>
        <v>3.12</v>
      </c>
      <c r="BL9" s="11" t="n">
        <f aca="false">BL8+Inputs!$F$42*Time!BL34</f>
        <v>3.12</v>
      </c>
      <c r="BM9" s="11" t="n">
        <f aca="false">BM8+Inputs!$F$42*Time!BM34</f>
        <v>3.12</v>
      </c>
      <c r="BN9" s="11" t="n">
        <f aca="false">BN8+Inputs!$F$42*Time!BN34</f>
        <v>3.12</v>
      </c>
    </row>
    <row r="10" customFormat="false" ht="15" hidden="false" customHeight="false" outlineLevel="0" collapsed="false">
      <c r="D10" s="0" t="s">
        <v>461</v>
      </c>
      <c r="E10" s="0" t="s">
        <v>153</v>
      </c>
      <c r="J10" s="11" t="n">
        <f aca="false">CHOOSE(Inputs!$F$33,Inputs!$F$60*Time!$F$15^((Time!J17-0.5)/2),Inputs!J218,Inputs!J218)</f>
        <v>526.006774366309</v>
      </c>
      <c r="K10" s="11" t="n">
        <f aca="false">CHOOSE(Inputs!$F$33,Inputs!$F$60*Time!$F$15^((Time!K17-0.5)/2),Inputs!K218,Inputs!K218)</f>
        <v>539.473506819265</v>
      </c>
      <c r="L10" s="11" t="n">
        <f aca="false">CHOOSE(Inputs!$F$33,Inputs!$F$60*Time!$F$15^((Time!L17-0.5)/2),Inputs!L218,Inputs!L218)</f>
        <v>553.285012175912</v>
      </c>
      <c r="M10" s="11" t="n">
        <f aca="false">CHOOSE(Inputs!$F$33,Inputs!$F$60*Time!$F$15^((Time!M17-0.5)/2),Inputs!M218,Inputs!M218)</f>
        <v>567.450117251183</v>
      </c>
      <c r="N10" s="11" t="n">
        <f aca="false">CHOOSE(Inputs!$F$33,Inputs!$F$60*Time!$F$15^((Time!N17-0.5)/2),Inputs!N218,Inputs!N218)</f>
        <v>581.977874842568</v>
      </c>
      <c r="O10" s="11" t="n">
        <f aca="false">CHOOSE(Inputs!$F$33,Inputs!$F$60*Time!$F$15^((Time!O17-0.5)/2),Inputs!O218,Inputs!O218)</f>
        <v>596.877569515677</v>
      </c>
      <c r="P10" s="11" t="n">
        <f aca="false">CHOOSE(Inputs!$F$33,Inputs!$F$60*Time!$F$15^((Time!P17-0.5)/2),Inputs!P218,Inputs!P218)</f>
        <v>612.158723537927</v>
      </c>
      <c r="Q10" s="11" t="n">
        <f aca="false">CHOOSE(Inputs!$F$33,Inputs!$F$60*Time!$F$15^((Time!Q17-0.5)/2),Inputs!Q218,P10*Time!$F$15^0.5)</f>
        <v>627.831102964142</v>
      </c>
      <c r="R10" s="11" t="n">
        <f aca="false">CHOOSE(Inputs!$F$33,Inputs!$F$60*Time!$F$15^((Time!R17-0.5)/2),Inputs!R218,Q10*Time!$F$15^0.5)</f>
        <v>643.904723877956</v>
      </c>
      <c r="S10" s="11" t="n">
        <f aca="false">CHOOSE(Inputs!$F$33,Inputs!$F$60*Time!$F$15^((Time!S17-0.5)/2),Inputs!S218,R10*Time!$F$15^0.5)</f>
        <v>660.389858793006</v>
      </c>
      <c r="T10" s="11" t="n">
        <f aca="false">CHOOSE(Inputs!$F$33,Inputs!$F$60*Time!$F$15^((Time!T17-0.5)/2),Inputs!T218,S10*Time!$F$15^0.5)</f>
        <v>677.297043218007</v>
      </c>
      <c r="U10" s="11" t="n">
        <f aca="false">CHOOSE(Inputs!$F$33,Inputs!$F$60*Time!$F$15^((Time!U17-0.5)/2),Inputs!U218,T10*Time!$F$15^0.5)</f>
        <v>694.637082389903</v>
      </c>
      <c r="V10" s="11" t="n">
        <f aca="false">CHOOSE(Inputs!$F$33,Inputs!$F$60*Time!$F$15^((Time!V17-0.5)/2),Inputs!V218,U10*Time!$F$15^0.5)</f>
        <v>712.42105817941</v>
      </c>
      <c r="W10" s="11" t="n">
        <f aca="false">CHOOSE(Inputs!$F$33,Inputs!$F$60*Time!$F$15^((Time!W17-0.5)/2),Inputs!W218,V10*Time!$F$15^0.5)</f>
        <v>730.660336173333</v>
      </c>
      <c r="X10" s="11" t="n">
        <f aca="false">CHOOSE(Inputs!$F$33,Inputs!$F$60*Time!$F$15^((Time!X17-0.5)/2),Inputs!X218,W10*Time!$F$15^0.5)</f>
        <v>749.366572938224</v>
      </c>
      <c r="Y10" s="11" t="n">
        <f aca="false">CHOOSE(Inputs!$F$33,Inputs!$F$60*Time!$F$15^((Time!Y17-0.5)/2),Inputs!Y218,X10*Time!$F$15^0.5)</f>
        <v>768.551723469993</v>
      </c>
      <c r="Z10" s="11" t="n">
        <f aca="false">CHOOSE(Inputs!$F$33,Inputs!$F$60*Time!$F$15^((Time!Z17-0.5)/2),Inputs!Z218,Y10*Time!$F$15^0.5)</f>
        <v>788.228048834238</v>
      </c>
      <c r="AA10" s="11" t="n">
        <f aca="false">CHOOSE(Inputs!$F$33,Inputs!$F$60*Time!$F$15^((Time!AA17-0.5)/2),Z10*((1+AA13/100)/(1+AA12/100))^0.5,Z10*Time!$F$15^0.5)</f>
        <v>808.408124002194</v>
      </c>
      <c r="AB10" s="11" t="n">
        <f aca="false">CHOOSE(Inputs!$F$33,Inputs!$F$60*Time!$F$15^((Time!AB17-0.5)/2),AA10*((1+AB13/100)/(1+AB12/100))^0.5,AA10*Time!$F$15^0.5)</f>
        <v>829.104845887285</v>
      </c>
      <c r="AC10" s="11" t="n">
        <f aca="false">CHOOSE(Inputs!$F$33,Inputs!$F$60*Time!$F$15^((Time!AC17-0.5)/2),AB10*((1+AC13/100)/(1+AC12/100))^0.5,AB10*Time!$F$15^0.5)</f>
        <v>850.331441587435</v>
      </c>
      <c r="AD10" s="11" t="n">
        <f aca="false">CHOOSE(Inputs!$F$33,Inputs!$F$60*Time!$F$15^((Time!AD17-0.5)/2),AC10*((1+AD13/100)/(1+AD12/100))^0.5,AC10*Time!$F$15^0.5)</f>
        <v>872.101476838387</v>
      </c>
      <c r="AE10" s="11" t="n">
        <f aca="false">CHOOSE(Inputs!$F$33,Inputs!$F$60*Time!$F$15^((Time!AE17-0.5)/2),AD10*((1+AE13/100)/(1+AE12/100))^0.5,AD10*Time!$F$15^0.5)</f>
        <v>894.428864683456</v>
      </c>
      <c r="AF10" s="11" t="n">
        <f aca="false">CHOOSE(Inputs!$F$33,Inputs!$F$60*Time!$F$15^((Time!AF17-0.5)/2),AE10*((1+AF13/100)/(1+AF12/100))^0.5,AE10*Time!$F$15^0.5)</f>
        <v>917.327874365231</v>
      </c>
      <c r="AG10" s="11" t="n">
        <f aca="false">CHOOSE(Inputs!$F$33,Inputs!$F$60*Time!$F$15^((Time!AG17-0.5)/2),AF10*((1+AG13/100)/(1+AG12/100))^0.5,AF10*Time!$F$15^0.5)</f>
        <v>940.813140444927</v>
      </c>
      <c r="AH10" s="11" t="n">
        <f aca="false">CHOOSE(Inputs!$F$33,Inputs!$F$60*Time!$F$15^((Time!AH17-0.5)/2),AG10*((1+AH13/100)/(1+AH12/100))^0.5,AG10*Time!$F$15^0.5)</f>
        <v>964.899672155209</v>
      </c>
      <c r="AI10" s="11" t="n">
        <f aca="false">CHOOSE(Inputs!$F$33,Inputs!$F$60*Time!$F$15^((Time!AI17-0.5)/2),AH10*((1+AI13/100)/(1+AI12/100))^0.5,AH10*Time!$F$15^0.5)</f>
        <v>989.602862992462</v>
      </c>
      <c r="AJ10" s="11" t="n">
        <f aca="false">CHOOSE(Inputs!$F$33,Inputs!$F$60*Time!$F$15^((Time!AJ17-0.5)/2),AI10*((1+AJ13/100)/(1+AJ12/100))^0.5,AI10*Time!$F$15^0.5)</f>
        <v>1014.93850055465</v>
      </c>
      <c r="AK10" s="11" t="n">
        <f aca="false">CHOOSE(Inputs!$F$33,Inputs!$F$60*Time!$F$15^((Time!AK17-0.5)/2),AJ10*((1+AK13/100)/(1+AK12/100))^0.5,AJ10*Time!$F$15^0.5)</f>
        <v>1040.92277663101</v>
      </c>
      <c r="AL10" s="11" t="n">
        <f aca="false">CHOOSE(Inputs!$F$33,Inputs!$F$60*Time!$F$15^((Time!AL17-0.5)/2),AK10*((1+AL13/100)/(1+AL12/100))^0.5,AK10*Time!$F$15^0.5)</f>
        <v>1067.57229755014</v>
      </c>
      <c r="AM10" s="11" t="n">
        <f aca="false">CHOOSE(Inputs!$F$33,Inputs!$F$60*Time!$F$15^((Time!AM17-0.5)/2),AL10*((1+AM13/100)/(1+AM12/100))^0.5,AL10*Time!$F$15^0.5)</f>
        <v>1094.9040947929</v>
      </c>
      <c r="AN10" s="11" t="n">
        <f aca="false">CHOOSE(Inputs!$F$33,Inputs!$F$60*Time!$F$15^((Time!AN17-0.5)/2),AM10*((1+AN13/100)/(1+AN12/100))^0.5,AM10*Time!$F$15^0.5)</f>
        <v>1122.93563587711</v>
      </c>
      <c r="AO10" s="11" t="n">
        <f aca="false">CHOOSE(Inputs!$F$33,Inputs!$F$60*Time!$F$15^((Time!AO17-0.5)/2),AN10*((1+AO13/100)/(1+AO12/100))^0.5,AN10*Time!$F$15^0.5)</f>
        <v>1151.6848355209</v>
      </c>
      <c r="AP10" s="11" t="n">
        <f aca="false">CHOOSE(Inputs!$F$33,Inputs!$F$60*Time!$F$15^((Time!AP17-0.5)/2),AO10*((1+AP13/100)/(1+AP12/100))^0.5,AO10*Time!$F$15^0.5)</f>
        <v>1181.17006709187</v>
      </c>
      <c r="AQ10" s="11" t="n">
        <f aca="false">CHOOSE(Inputs!$F$33,Inputs!$F$60*Time!$F$15^((Time!AQ17-0.5)/2),AP10*((1+AQ13/100)/(1+AQ12/100))^0.5,AP10*Time!$F$15^0.5)</f>
        <v>1211.41017434929</v>
      </c>
      <c r="AR10" s="11" t="n">
        <f aca="false">CHOOSE(Inputs!$F$33,Inputs!$F$60*Time!$F$15^((Time!AR17-0.5)/2),AQ10*((1+AR13/100)/(1+AR12/100))^0.5,AQ10*Time!$F$15^0.5)</f>
        <v>1242.42448348704</v>
      </c>
      <c r="AS10" s="11" t="n">
        <f aca="false">CHOOSE(Inputs!$F$33,Inputs!$F$60*Time!$F$15^((Time!AS17-0.5)/2),AR10*((1+AS13/100)/(1+AS12/100))^0.5,AR10*Time!$F$15^0.5)</f>
        <v>1274.23281548482</v>
      </c>
      <c r="AT10" s="11" t="n">
        <f aca="false">CHOOSE(Inputs!$F$33,Inputs!$F$60*Time!$F$15^((Time!AT17-0.5)/2),AS10*((1+AT13/100)/(1+AT12/100))^0.5,AS10*Time!$F$15^0.5)</f>
        <v>1306.85549877551</v>
      </c>
      <c r="AU10" s="11" t="n">
        <f aca="false">CHOOSE(Inputs!$F$33,Inputs!$F$60*Time!$F$15^((Time!AU17-0.5)/2),AT10*((1+AU13/100)/(1+AU12/100))^0.5,AT10*Time!$F$15^0.5)</f>
        <v>1340.31338223697</v>
      </c>
      <c r="AV10" s="11" t="n">
        <f aca="false">CHOOSE(Inputs!$F$33,Inputs!$F$60*Time!$F$15^((Time!AV17-0.5)/2),AU10*((1+AV13/100)/(1+AV12/100))^0.5,AU10*Time!$F$15^0.5)</f>
        <v>1374.62784851631</v>
      </c>
      <c r="AW10" s="11" t="n">
        <f aca="false">CHOOSE(Inputs!$F$33,Inputs!$F$60*Time!$F$15^((Time!AW17-0.5)/2),AV10*((1+AW13/100)/(1+AW12/100))^0.5,AV10*Time!$F$15^0.5)</f>
        <v>1409.82082769544</v>
      </c>
      <c r="AX10" s="11" t="n">
        <f aca="false">CHOOSE(Inputs!$F$33,Inputs!$F$60*Time!$F$15^((Time!AX17-0.5)/2),AW10*((1+AX13/100)/(1+AX12/100))^0.5,AW10*Time!$F$15^0.5)</f>
        <v>1445.9148113063</v>
      </c>
      <c r="AY10" s="11" t="n">
        <f aca="false">CHOOSE(Inputs!$F$33,Inputs!$F$60*Time!$F$15^((Time!AY17-0.5)/2),AX10*((1+AY13/100)/(1+AY12/100))^0.5,AX10*Time!$F$15^0.5)</f>
        <v>1482.93286670508</v>
      </c>
      <c r="AZ10" s="11" t="n">
        <f aca="false">CHOOSE(Inputs!$F$33,Inputs!$F$60*Time!$F$15^((Time!AZ17-0.5)/2),AY10*((1+AZ13/100)/(1+AZ12/100))^0.5,AY10*Time!$F$15^0.5)</f>
        <v>1520.89865181436</v>
      </c>
      <c r="BA10" s="11" t="n">
        <f aca="false">CHOOSE(Inputs!$F$33,Inputs!$F$60*Time!$F$15^((Time!BA17-0.5)/2),AZ10*((1+BA13/100)/(1+BA12/100))^0.5,AZ10*Time!$F$15^0.5)</f>
        <v>1559.83643024263</v>
      </c>
      <c r="BB10" s="11" t="n">
        <f aca="false">CHOOSE(Inputs!$F$33,Inputs!$F$60*Time!$F$15^((Time!BB17-0.5)/2),BA10*((1+BB13/100)/(1+BB12/100))^0.5,BA10*Time!$F$15^0.5)</f>
        <v>1599.77108679103</v>
      </c>
      <c r="BC10" s="11" t="n">
        <f aca="false">CHOOSE(Inputs!$F$33,Inputs!$F$60*Time!$F$15^((Time!BC17-0.5)/2),BB10*((1+BC13/100)/(1+BC12/100))^0.5,BB10*Time!$F$15^0.5)</f>
        <v>1640.72814335697</v>
      </c>
      <c r="BD10" s="11" t="n">
        <f aca="false">CHOOSE(Inputs!$F$33,Inputs!$F$60*Time!$F$15^((Time!BD17-0.5)/2),BC10*((1+BD13/100)/(1+BD12/100))^0.5,BC10*Time!$F$15^0.5)</f>
        <v>1682.73377524497</v>
      </c>
      <c r="BE10" s="11" t="n">
        <f aca="false">CHOOSE(Inputs!$F$33,Inputs!$F$60*Time!$F$15^((Time!BE17-0.5)/2),BD10*((1+BE13/100)/(1+BE12/100))^0.5,BD10*Time!$F$15^0.5)</f>
        <v>1725.81482789505</v>
      </c>
      <c r="BF10" s="11" t="n">
        <f aca="false">CHOOSE(Inputs!$F$33,Inputs!$F$60*Time!$F$15^((Time!BF17-0.5)/2),BE10*((1+BF13/100)/(1+BF12/100))^0.5,BE10*Time!$F$15^0.5)</f>
        <v>1769.99883403947</v>
      </c>
      <c r="BG10" s="11" t="n">
        <f aca="false">CHOOSE(Inputs!$F$33,Inputs!$F$60*Time!$F$15^((Time!BG17-0.5)/2),BF10*((1+BG13/100)/(1+BG12/100))^0.5,BF10*Time!$F$15^0.5)</f>
        <v>1815.31403129861</v>
      </c>
      <c r="BH10" s="11" t="n">
        <f aca="false">CHOOSE(Inputs!$F$33,Inputs!$F$60*Time!$F$15^((Time!BH17-0.5)/2),BG10*((1+BH13/100)/(1+BH12/100))^0.5,BG10*Time!$F$15^0.5)</f>
        <v>1861.78938022743</v>
      </c>
      <c r="BI10" s="11" t="n">
        <f aca="false">CHOOSE(Inputs!$F$33,Inputs!$F$60*Time!$F$15^((Time!BI17-0.5)/2),BH10*((1+BI13/100)/(1+BI12/100))^0.5,BH10*Time!$F$15^0.5)</f>
        <v>1909.45458282388</v>
      </c>
      <c r="BJ10" s="11" t="n">
        <f aca="false">CHOOSE(Inputs!$F$33,Inputs!$F$60*Time!$F$15^((Time!BJ17-0.5)/2),BI10*((1+BJ13/100)/(1+BJ12/100))^0.5,BI10*Time!$F$15^0.5)</f>
        <v>1958.34010151124</v>
      </c>
      <c r="BK10" s="11" t="n">
        <f aca="false">CHOOSE(Inputs!$F$33,Inputs!$F$60*Time!$F$15^((Time!BK17-0.5)/2),BJ10*((1+BK13/100)/(1+BK12/100))^0.5,BJ10*Time!$F$15^0.5)</f>
        <v>2008.47717860633</v>
      </c>
      <c r="BL10" s="11" t="n">
        <f aca="false">CHOOSE(Inputs!$F$33,Inputs!$F$60*Time!$F$15^((Time!BL17-0.5)/2),BK10*((1+BL13/100)/(1+BL12/100))^0.5,BK10*Time!$F$15^0.5)</f>
        <v>2059.89785628628</v>
      </c>
      <c r="BM10" s="11" t="n">
        <f aca="false">CHOOSE(Inputs!$F$33,Inputs!$F$60*Time!$F$15^((Time!BM17-0.5)/2),BL10*((1+BM13/100)/(1+BM12/100))^0.5,BL10*Time!$F$15^0.5)</f>
        <v>2112.63499706635</v>
      </c>
      <c r="BN10" s="11" t="n">
        <f aca="false">CHOOSE(Inputs!$F$33,Inputs!$F$60*Time!$F$15^((Time!BN17-0.5)/2),BM10*((1+BN13/100)/(1+BN12/100))^0.5,BM10*Time!$F$15^0.5)</f>
        <v>2166.72230480211</v>
      </c>
    </row>
    <row r="11" customFormat="false" ht="15" hidden="false" customHeight="false" outlineLevel="0" collapsed="false">
      <c r="D11" s="0" t="s">
        <v>462</v>
      </c>
      <c r="E11" s="0" t="s">
        <v>153</v>
      </c>
      <c r="J11" s="11" t="n">
        <f aca="false">J10/(1-Inputs!$F$43*Time!J34)</f>
        <v>526.006774366309</v>
      </c>
      <c r="K11" s="11" t="n">
        <f aca="false">K10/(1-Inputs!$F$43*Time!K34)</f>
        <v>539.473506819265</v>
      </c>
      <c r="L11" s="11" t="n">
        <f aca="false">L10/(1-Inputs!$F$43*Time!L34)</f>
        <v>553.285012175912</v>
      </c>
      <c r="M11" s="11" t="n">
        <f aca="false">M10/(1-Inputs!$F$43*Time!M34)</f>
        <v>567.450117251183</v>
      </c>
      <c r="N11" s="11" t="n">
        <f aca="false">N10/(1-Inputs!$F$43*Time!N34)</f>
        <v>581.977874842568</v>
      </c>
      <c r="O11" s="11" t="n">
        <f aca="false">O10/(1-Inputs!$F$43*Time!O34)</f>
        <v>596.877569515677</v>
      </c>
      <c r="P11" s="11" t="n">
        <f aca="false">P10/(1-Inputs!$F$43*Time!P34)</f>
        <v>612.158723537927</v>
      </c>
      <c r="Q11" s="11" t="n">
        <f aca="false">Q10/(1-Inputs!$F$43*Time!Q34)</f>
        <v>627.831102964142</v>
      </c>
      <c r="R11" s="11" t="n">
        <f aca="false">R10/(1-Inputs!$F$43*Time!R34)</f>
        <v>643.904723877956</v>
      </c>
      <c r="S11" s="11" t="n">
        <f aca="false">S10/(1-Inputs!$F$43*Time!S34)</f>
        <v>660.389858793006</v>
      </c>
      <c r="T11" s="11" t="n">
        <f aca="false">T10/(1-Inputs!$F$43*Time!T34)</f>
        <v>677.297043218007</v>
      </c>
      <c r="U11" s="11" t="n">
        <f aca="false">U10/(1-Inputs!$F$43*Time!U34)</f>
        <v>694.637082389903</v>
      </c>
      <c r="V11" s="11" t="n">
        <f aca="false">V10/(1-Inputs!$F$43*Time!V34)</f>
        <v>712.42105817941</v>
      </c>
      <c r="W11" s="11" t="n">
        <f aca="false">W10/(1-Inputs!$F$43*Time!W34)</f>
        <v>730.660336173333</v>
      </c>
      <c r="X11" s="11" t="n">
        <f aca="false">X10/(1-Inputs!$F$43*Time!X34)</f>
        <v>749.366572938224</v>
      </c>
      <c r="Y11" s="11" t="n">
        <f aca="false">Y10/(1-Inputs!$F$43*Time!Y34)</f>
        <v>768.551723469993</v>
      </c>
      <c r="Z11" s="11" t="n">
        <f aca="false">Z10/(1-Inputs!$F$43*Time!Z34)</f>
        <v>788.228048834238</v>
      </c>
      <c r="AA11" s="11" t="n">
        <f aca="false">AA10/(1-Inputs!$F$43*Time!AA34)</f>
        <v>808.408124002194</v>
      </c>
      <c r="AB11" s="11" t="n">
        <f aca="false">AB10/(1-Inputs!$F$43*Time!AB34)</f>
        <v>829.104845887285</v>
      </c>
      <c r="AC11" s="11" t="n">
        <f aca="false">AC10/(1-Inputs!$F$43*Time!AC34)</f>
        <v>850.331441587435</v>
      </c>
      <c r="AD11" s="11" t="n">
        <f aca="false">AD10/(1-Inputs!$F$43*Time!AD34)</f>
        <v>872.101476838387</v>
      </c>
      <c r="AE11" s="11" t="n">
        <f aca="false">AE10/(1-Inputs!$F$43*Time!AE34)</f>
        <v>894.428864683456</v>
      </c>
      <c r="AF11" s="11" t="n">
        <f aca="false">AF10/(1-Inputs!$F$43*Time!AF34)</f>
        <v>917.327874365231</v>
      </c>
      <c r="AG11" s="11" t="n">
        <f aca="false">AG10/(1-Inputs!$F$43*Time!AG34)</f>
        <v>940.813140444927</v>
      </c>
      <c r="AH11" s="11" t="n">
        <f aca="false">AH10/(1-Inputs!$F$43*Time!AH34)</f>
        <v>964.899672155209</v>
      </c>
      <c r="AI11" s="11" t="n">
        <f aca="false">AI10/(1-Inputs!$F$43*Time!AI34)</f>
        <v>989.602862992462</v>
      </c>
      <c r="AJ11" s="11" t="n">
        <f aca="false">AJ10/(1-Inputs!$F$43*Time!AJ34)</f>
        <v>1014.93850055465</v>
      </c>
      <c r="AK11" s="11" t="n">
        <f aca="false">AK10/(1-Inputs!$F$43*Time!AK34)</f>
        <v>1040.92277663101</v>
      </c>
      <c r="AL11" s="11" t="n">
        <f aca="false">AL10/(1-Inputs!$F$43*Time!AL34)</f>
        <v>1067.57229755014</v>
      </c>
      <c r="AM11" s="11" t="n">
        <f aca="false">AM10/(1-Inputs!$F$43*Time!AM34)</f>
        <v>1094.9040947929</v>
      </c>
      <c r="AN11" s="11" t="n">
        <f aca="false">AN10/(1-Inputs!$F$43*Time!AN34)</f>
        <v>1122.93563587711</v>
      </c>
      <c r="AO11" s="11" t="n">
        <f aca="false">AO10/(1-Inputs!$F$43*Time!AO34)</f>
        <v>1151.6848355209</v>
      </c>
      <c r="AP11" s="11" t="n">
        <f aca="false">AP10/(1-Inputs!$F$43*Time!AP34)</f>
        <v>1181.17006709187</v>
      </c>
      <c r="AQ11" s="11" t="n">
        <f aca="false">AQ10/(1-Inputs!$F$43*Time!AQ34)</f>
        <v>1211.41017434929</v>
      </c>
      <c r="AR11" s="11" t="n">
        <f aca="false">AR10/(1-Inputs!$F$43*Time!AR34)</f>
        <v>1242.42448348704</v>
      </c>
      <c r="AS11" s="11" t="n">
        <f aca="false">AS10/(1-Inputs!$F$43*Time!AS34)</f>
        <v>1274.23281548482</v>
      </c>
      <c r="AT11" s="11" t="n">
        <f aca="false">AT10/(1-Inputs!$F$43*Time!AT34)</f>
        <v>1306.85549877551</v>
      </c>
      <c r="AU11" s="11" t="n">
        <f aca="false">AU10/(1-Inputs!$F$43*Time!AU34)</f>
        <v>1340.31338223697</v>
      </c>
      <c r="AV11" s="11" t="n">
        <f aca="false">AV10/(1-Inputs!$F$43*Time!AV34)</f>
        <v>1374.62784851631</v>
      </c>
      <c r="AW11" s="11" t="n">
        <f aca="false">AW10/(1-Inputs!$F$43*Time!AW34)</f>
        <v>1409.82082769544</v>
      </c>
      <c r="AX11" s="11" t="n">
        <f aca="false">AX10/(1-Inputs!$F$43*Time!AX34)</f>
        <v>1445.9148113063</v>
      </c>
      <c r="AY11" s="11" t="n">
        <f aca="false">AY10/(1-Inputs!$F$43*Time!AY34)</f>
        <v>1482.93286670508</v>
      </c>
      <c r="AZ11" s="11" t="n">
        <f aca="false">AZ10/(1-Inputs!$F$43*Time!AZ34)</f>
        <v>1520.89865181436</v>
      </c>
      <c r="BA11" s="11" t="n">
        <f aca="false">BA10/(1-Inputs!$F$43*Time!BA34)</f>
        <v>1559.83643024263</v>
      </c>
      <c r="BB11" s="11" t="n">
        <f aca="false">BB10/(1-Inputs!$F$43*Time!BB34)</f>
        <v>1599.77108679103</v>
      </c>
      <c r="BC11" s="11" t="n">
        <f aca="false">BC10/(1-Inputs!$F$43*Time!BC34)</f>
        <v>1640.72814335697</v>
      </c>
      <c r="BD11" s="11" t="n">
        <f aca="false">BD10/(1-Inputs!$F$43*Time!BD34)</f>
        <v>1682.73377524497</v>
      </c>
      <c r="BE11" s="11" t="n">
        <f aca="false">BE10/(1-Inputs!$F$43*Time!BE34)</f>
        <v>1725.81482789505</v>
      </c>
      <c r="BF11" s="11" t="n">
        <f aca="false">BF10/(1-Inputs!$F$43*Time!BF34)</f>
        <v>1769.99883403947</v>
      </c>
      <c r="BG11" s="11" t="n">
        <f aca="false">BG10/(1-Inputs!$F$43*Time!BG34)</f>
        <v>1815.31403129861</v>
      </c>
      <c r="BH11" s="11" t="n">
        <f aca="false">BH10/(1-Inputs!$F$43*Time!BH34)</f>
        <v>1861.78938022743</v>
      </c>
      <c r="BI11" s="11" t="n">
        <f aca="false">BI10/(1-Inputs!$F$43*Time!BI34)</f>
        <v>1909.45458282388</v>
      </c>
      <c r="BJ11" s="11" t="n">
        <f aca="false">BJ10/(1-Inputs!$F$43*Time!BJ34)</f>
        <v>1958.34010151124</v>
      </c>
      <c r="BK11" s="11" t="n">
        <f aca="false">BK10/(1-Inputs!$F$43*Time!BK34)</f>
        <v>2008.47717860633</v>
      </c>
      <c r="BL11" s="11" t="n">
        <f aca="false">BL10/(1-Inputs!$F$43*Time!BL34)</f>
        <v>2059.89785628628</v>
      </c>
      <c r="BM11" s="11" t="n">
        <f aca="false">BM10/(1-Inputs!$F$43*Time!BM34)</f>
        <v>2112.63499706635</v>
      </c>
      <c r="BN11" s="11" t="n">
        <f aca="false">BN10/(1-Inputs!$F$43*Time!BN34)</f>
        <v>2166.72230480211</v>
      </c>
    </row>
    <row r="12" customFormat="false" ht="15" hidden="false" customHeight="false" outlineLevel="0" collapsed="false">
      <c r="D12" s="0" t="s">
        <v>463</v>
      </c>
      <c r="E12" s="0" t="s">
        <v>103</v>
      </c>
      <c r="J12" s="11" t="n">
        <f aca="false">CHOOSE(Inputs!$F$33,INDEX(Inputs!$J$207:$AR$207,1,(Time!J21-0)-2014),INDEX(Inputs!$J$209:$AR$209,1,(Time!J21-0)-2014),INDEX(Inputs!$J$211:$AR$211,1,(Time!J21-0)-2014))</f>
        <v>2.2</v>
      </c>
      <c r="K12" s="11" t="n">
        <f aca="false">CHOOSE(Inputs!$F$33,INDEX(Inputs!$J$207:$AR$207,1,(Time!K21-0)-2014),INDEX(Inputs!$J$209:$AR$209,1,(Time!K21-0)-2014),INDEX(Inputs!$J$211:$AR$211,1,(Time!K21-0)-2014))</f>
        <v>2.2</v>
      </c>
      <c r="L12" s="11" t="n">
        <f aca="false">CHOOSE(Inputs!$F$33,INDEX(Inputs!$J$207:$AR$207,1,(Time!L21-0)-2014),INDEX(Inputs!$J$209:$AR$209,1,(Time!L21-0)-2014),INDEX(Inputs!$J$211:$AR$211,1,(Time!L21-0)-2014))</f>
        <v>2.2</v>
      </c>
      <c r="M12" s="11" t="n">
        <f aca="false">CHOOSE(Inputs!$F$33,INDEX(Inputs!$J$207:$AR$207,1,(Time!M21-0)-2014),INDEX(Inputs!$J$209:$AR$209,1,(Time!M21-0)-2014),INDEX(Inputs!$J$211:$AR$211,1,(Time!M21-0)-2014))</f>
        <v>2.2</v>
      </c>
      <c r="N12" s="11" t="n">
        <f aca="false">CHOOSE(Inputs!$F$33,INDEX(Inputs!$J$207:$AR$207,1,(Time!N21-0)-2014),INDEX(Inputs!$J$209:$AR$209,1,(Time!N21-0)-2014),INDEX(Inputs!$J$211:$AR$211,1,(Time!N21-0)-2014))</f>
        <v>2.2</v>
      </c>
      <c r="O12" s="11" t="n">
        <f aca="false">CHOOSE(Inputs!$F$33,INDEX(Inputs!$J$207:$AR$207,1,(Time!O21-0)-2014),INDEX(Inputs!$J$209:$AR$209,1,(Time!O21-0)-2014),INDEX(Inputs!$J$211:$AR$211,1,(Time!O21-0)-2014))</f>
        <v>2.2</v>
      </c>
      <c r="P12" s="11" t="n">
        <f aca="false">CHOOSE(Inputs!$F$33,INDEX(Inputs!$J$207:$AR$207,1,(Time!P21-0)-2014),INDEX(Inputs!$J$209:$AR$209,1,(Time!P21-0)-2014),INDEX(Inputs!$J$211:$AR$211,1,(Time!P21-0)-2014))</f>
        <v>2.2</v>
      </c>
      <c r="Q12" s="11" t="n">
        <f aca="false">CHOOSE(Inputs!$F$33,INDEX(Inputs!$J$207:$AR$207,1,(Time!Q21-0)-2014),INDEX(Inputs!$J$209:$AR$209,1,(Time!Q21-0)-2014),INDEX(Inputs!$J$211:$AR$211,1,(Time!Q21-0)-2014))</f>
        <v>2.2</v>
      </c>
      <c r="R12" s="11" t="n">
        <f aca="false">CHOOSE(Inputs!$F$33,INDEX(Inputs!$J$207:$AR$207,1,(Time!R21-0)-2014),INDEX(Inputs!$J$209:$AR$209,1,(Time!R21-0)-2014),INDEX(Inputs!$J$211:$AR$211,1,(Time!R21-0)-2014))</f>
        <v>2.2</v>
      </c>
      <c r="S12" s="11" t="n">
        <f aca="false">CHOOSE(Inputs!$F$33,INDEX(Inputs!$J$207:$AR$207,1,(Time!S21-0)-2014),INDEX(Inputs!$J$209:$AR$209,1,(Time!S21-0)-2014),INDEX(Inputs!$J$211:$AR$211,1,(Time!S21-0)-2014))</f>
        <v>2.2</v>
      </c>
      <c r="T12" s="11" t="n">
        <f aca="false">CHOOSE(Inputs!$F$33,INDEX(Inputs!$J$207:$AR$207,1,(Time!T21-0)-2014),INDEX(Inputs!$J$209:$AR$209,1,(Time!T21-0)-2014),INDEX(Inputs!$J$211:$AR$211,1,(Time!T21-0)-2014))</f>
        <v>2.2</v>
      </c>
      <c r="U12" s="11" t="n">
        <f aca="false">CHOOSE(Inputs!$F$33,INDEX(Inputs!$J$207:$AR$207,1,(Time!U21-0)-2014),INDEX(Inputs!$J$209:$AR$209,1,(Time!U21-0)-2014),INDEX(Inputs!$J$211:$AR$211,1,(Time!U21-0)-2014))</f>
        <v>2.2</v>
      </c>
      <c r="V12" s="11" t="n">
        <f aca="false">CHOOSE(Inputs!$F$33,INDEX(Inputs!$J$207:$AR$207,1,(Time!V21-0)-2014),INDEX(Inputs!$J$209:$AR$209,1,(Time!V21-0)-2014),INDEX(Inputs!$J$211:$AR$211,1,(Time!V21-0)-2014))</f>
        <v>2.2</v>
      </c>
      <c r="W12" s="11" t="n">
        <f aca="false">CHOOSE(Inputs!$F$33,INDEX(Inputs!$J$207:$AR$207,1,(Time!W21-0)-2014),INDEX(Inputs!$J$209:$AR$209,1,(Time!W21-0)-2014),INDEX(Inputs!$J$211:$AR$211,1,(Time!W21-0)-2014))</f>
        <v>2.2</v>
      </c>
      <c r="X12" s="11" t="n">
        <f aca="false">CHOOSE(Inputs!$F$33,INDEX(Inputs!$J$207:$AR$207,1,(Time!X21-0)-2014),INDEX(Inputs!$J$209:$AR$209,1,(Time!X21-0)-2014),INDEX(Inputs!$J$211:$AR$211,1,(Time!X21-0)-2014))</f>
        <v>2.2</v>
      </c>
      <c r="Y12" s="11" t="n">
        <f aca="false">CHOOSE(Inputs!$F$33,INDEX(Inputs!$J$207:$AR$207,1,(Time!Y21-0)-2014),INDEX(Inputs!$J$209:$AR$209,1,(Time!Y21-0)-2014),INDEX(Inputs!$J$211:$AR$211,1,(Time!Y21-0)-2014))</f>
        <v>2.2</v>
      </c>
      <c r="Z12" s="11" t="n">
        <f aca="false">CHOOSE(Inputs!$F$33,INDEX(Inputs!$J$207:$AR$207,1,(Time!Z21-0)-2014),INDEX(Inputs!$J$209:$AR$209,1,(Time!Z21-0)-2014),INDEX(Inputs!$J$211:$AR$211,1,(Time!Z21-0)-2014))</f>
        <v>2.2</v>
      </c>
      <c r="AA12" s="11" t="n">
        <f aca="false">CHOOSE(Inputs!$F$33,INDEX(Inputs!$J$207:$AR$207,1,(Time!AA21-0)-2014),INDEX(Inputs!$J$209:$AR$209,1,(Time!AA21-0)-2014),INDEX(Inputs!$J$211:$AR$211,1,(Time!AA21-0)-2014))</f>
        <v>2.2</v>
      </c>
      <c r="AB12" s="11" t="n">
        <f aca="false">CHOOSE(Inputs!$F$33,INDEX(Inputs!$J$207:$AR$207,1,(Time!AB21-0)-2014),INDEX(Inputs!$J$209:$AR$209,1,(Time!AB21-0)-2014),INDEX(Inputs!$J$211:$AR$211,1,(Time!AB21-0)-2014))</f>
        <v>2.2</v>
      </c>
      <c r="AC12" s="11" t="n">
        <f aca="false">CHOOSE(Inputs!$F$33,INDEX(Inputs!$J$207:$AR$207,1,(Time!AC21-0)-2014),INDEX(Inputs!$J$209:$AR$209,1,(Time!AC21-0)-2014),INDEX(Inputs!$J$211:$AR$211,1,(Time!AC21-0)-2014))</f>
        <v>2.2</v>
      </c>
      <c r="AD12" s="11" t="n">
        <f aca="false">CHOOSE(Inputs!$F$33,INDEX(Inputs!$J$207:$AR$207,1,(Time!AD21-0)-2014),INDEX(Inputs!$J$209:$AR$209,1,(Time!AD21-0)-2014),INDEX(Inputs!$J$211:$AR$211,1,(Time!AD21-0)-2014))</f>
        <v>2.2</v>
      </c>
      <c r="AE12" s="11" t="n">
        <f aca="false">CHOOSE(Inputs!$F$33,INDEX(Inputs!$J$207:$AR$207,1,(Time!AE21-0)-2014),INDEX(Inputs!$J$209:$AR$209,1,(Time!AE21-0)-2014),INDEX(Inputs!$J$211:$AR$211,1,(Time!AE21-0)-2014))</f>
        <v>2.2</v>
      </c>
      <c r="AF12" s="11" t="n">
        <f aca="false">CHOOSE(Inputs!$F$33,INDEX(Inputs!$J$207:$AR$207,1,(Time!AF21-0)-2014),INDEX(Inputs!$J$209:$AR$209,1,(Time!AF21-0)-2014),INDEX(Inputs!$J$211:$AR$211,1,(Time!AF21-0)-2014))</f>
        <v>2.2</v>
      </c>
      <c r="AG12" s="11" t="n">
        <f aca="false">CHOOSE(Inputs!$F$33,INDEX(Inputs!$J$207:$AR$207,1,(Time!AG21-0)-2014),INDEX(Inputs!$J$209:$AR$209,1,(Time!AG21-0)-2014),INDEX(Inputs!$J$211:$AR$211,1,(Time!AG21-0)-2014))</f>
        <v>2.2</v>
      </c>
      <c r="AH12" s="11" t="n">
        <f aca="false">CHOOSE(Inputs!$F$33,INDEX(Inputs!$J$207:$AR$207,1,(Time!AH21-0)-2014),INDEX(Inputs!$J$209:$AR$209,1,(Time!AH21-0)-2014),INDEX(Inputs!$J$211:$AR$211,1,(Time!AH21-0)-2014))</f>
        <v>2.2</v>
      </c>
      <c r="AI12" s="11" t="n">
        <f aca="false">CHOOSE(Inputs!$F$33,INDEX(Inputs!$J$207:$AR$207,1,(Time!AI21-0)-2014),INDEX(Inputs!$J$209:$AR$209,1,(Time!AI21-0)-2014),INDEX(Inputs!$J$211:$AR$211,1,(Time!AI21-0)-2014))</f>
        <v>2.2</v>
      </c>
      <c r="AJ12" s="11" t="n">
        <f aca="false">CHOOSE(Inputs!$F$33,INDEX(Inputs!$J$207:$AR$207,1,(Time!AJ21-0)-2014),INDEX(Inputs!$J$209:$AR$209,1,(Time!AJ21-0)-2014),INDEX(Inputs!$J$211:$AR$211,1,(Time!AJ21-0)-2014))</f>
        <v>2.2</v>
      </c>
      <c r="AK12" s="11" t="n">
        <f aca="false">CHOOSE(Inputs!$F$33,INDEX(Inputs!$J$207:$AR$207,1,(Time!AK21-0)-2014),INDEX(Inputs!$J$209:$AR$209,1,(Time!AK21-0)-2014),INDEX(Inputs!$J$211:$AR$211,1,(Time!AK21-0)-2014))</f>
        <v>2.2</v>
      </c>
      <c r="AL12" s="11" t="n">
        <f aca="false">CHOOSE(Inputs!$F$33,INDEX(Inputs!$J$207:$AR$207,1,(Time!AL21-0)-2014),INDEX(Inputs!$J$209:$AR$209,1,(Time!AL21-0)-2014),INDEX(Inputs!$J$211:$AR$211,1,(Time!AL21-0)-2014))</f>
        <v>2.2</v>
      </c>
      <c r="AM12" s="11" t="n">
        <f aca="false">CHOOSE(Inputs!$F$33,INDEX(Inputs!$J$207:$AR$207,1,(Time!AM21-0)-2014),INDEX(Inputs!$J$209:$AR$209,1,(Time!AM21-0)-2014),INDEX(Inputs!$J$211:$AR$211,1,(Time!AM21-0)-2014))</f>
        <v>2.2</v>
      </c>
      <c r="AN12" s="11" t="n">
        <f aca="false">CHOOSE(Inputs!$F$33,INDEX(Inputs!$J$207:$AR$207,1,(Time!AN21-0)-2014),INDEX(Inputs!$J$209:$AR$209,1,(Time!AN21-0)-2014),INDEX(Inputs!$J$211:$AR$211,1,(Time!AN21-0)-2014))</f>
        <v>2.2</v>
      </c>
      <c r="AO12" s="11" t="n">
        <f aca="false">CHOOSE(Inputs!$F$33,INDEX(Inputs!$J$207:$AR$207,1,(Time!AO21-0)-2014),INDEX(Inputs!$J$209:$AR$209,1,(Time!AO21-0)-2014),INDEX(Inputs!$J$211:$AR$211,1,(Time!AO21-0)-2014))</f>
        <v>2.2</v>
      </c>
      <c r="AP12" s="11" t="n">
        <f aca="false">CHOOSE(Inputs!$F$33,INDEX(Inputs!$J$207:$AR$207,1,(Time!AP21-0)-2014),INDEX(Inputs!$J$209:$AR$209,1,(Time!AP21-0)-2014),INDEX(Inputs!$J$211:$AR$211,1,(Time!AP21-0)-2014))</f>
        <v>2.2</v>
      </c>
      <c r="AQ12" s="11" t="n">
        <f aca="false">CHOOSE(Inputs!$F$33,INDEX(Inputs!$J$207:$AR$207,1,(Time!AQ21-0)-2014),INDEX(Inputs!$J$209:$AR$209,1,(Time!AQ21-0)-2014),INDEX(Inputs!$J$211:$AR$211,1,(Time!AQ21-0)-2014))</f>
        <v>2.2</v>
      </c>
      <c r="AR12" s="11" t="n">
        <f aca="false">CHOOSE(Inputs!$F$33,INDEX(Inputs!$J$207:$AR$207,1,(Time!AR21-0)-2014),INDEX(Inputs!$J$209:$AR$209,1,(Time!AR21-0)-2014),INDEX(Inputs!$J$211:$AR$211,1,(Time!AR21-0)-2014))</f>
        <v>2.2</v>
      </c>
      <c r="AS12" s="11" t="n">
        <f aca="false">CHOOSE(Inputs!$F$33,INDEX(Inputs!$J$207:$AR$207,1,(Time!AS21-0)-2014),INDEX(Inputs!$J$209:$AR$209,1,(Time!AS21-0)-2014),INDEX(Inputs!$J$211:$AR$211,1,(Time!AS21-0)-2014))</f>
        <v>2.2</v>
      </c>
      <c r="AT12" s="11" t="n">
        <f aca="false">CHOOSE(Inputs!$F$33,INDEX(Inputs!$J$207:$AR$207,1,(Time!AT21-0)-2014),INDEX(Inputs!$J$209:$AR$209,1,(Time!AT21-0)-2014),INDEX(Inputs!$J$211:$AR$211,1,(Time!AT21-0)-2014))</f>
        <v>2.2</v>
      </c>
      <c r="AU12" s="11" t="n">
        <f aca="false">CHOOSE(Inputs!$F$33,INDEX(Inputs!$J$207:$AR$207,1,(Time!AU21-0)-2014),INDEX(Inputs!$J$209:$AR$209,1,(Time!AU21-0)-2014),INDEX(Inputs!$J$211:$AR$211,1,(Time!AU21-0)-2014))</f>
        <v>2.2</v>
      </c>
      <c r="AV12" s="11" t="n">
        <f aca="false">CHOOSE(Inputs!$F$33,INDEX(Inputs!$J$207:$AR$207,1,(Time!AV21-0)-2014),INDEX(Inputs!$J$209:$AR$209,1,(Time!AV21-0)-2014),INDEX(Inputs!$J$211:$AR$211,1,(Time!AV21-0)-2014))</f>
        <v>2.2</v>
      </c>
      <c r="AW12" s="11" t="n">
        <f aca="false">CHOOSE(Inputs!$F$33,INDEX(Inputs!$J$207:$AR$207,1,(Time!AW21-0)-2014),INDEX(Inputs!$J$209:$AR$209,1,(Time!AW21-0)-2014),INDEX(Inputs!$J$211:$AR$211,1,(Time!AW21-0)-2014))</f>
        <v>2.2</v>
      </c>
      <c r="AX12" s="11" t="n">
        <f aca="false">CHOOSE(Inputs!$F$33,INDEX(Inputs!$J$207:$AR$207,1,(Time!AX21-0)-2014),INDEX(Inputs!$J$209:$AR$209,1,(Time!AX21-0)-2014),INDEX(Inputs!$J$211:$AR$211,1,(Time!AX21-0)-2014))</f>
        <v>2.2</v>
      </c>
      <c r="AY12" s="11" t="n">
        <f aca="false">CHOOSE(Inputs!$F$33,INDEX(Inputs!$J$207:$AR$207,1,(Time!AY21-0)-2014),INDEX(Inputs!$J$209:$AR$209,1,(Time!AY21-0)-2014),INDEX(Inputs!$J$211:$AR$211,1,(Time!AY21-0)-2014))</f>
        <v>2.2</v>
      </c>
      <c r="AZ12" s="11" t="n">
        <f aca="false">CHOOSE(Inputs!$F$33,INDEX(Inputs!$J$207:$AR$207,1,(Time!AZ21-0)-2014),INDEX(Inputs!$J$209:$AR$209,1,(Time!AZ21-0)-2014),INDEX(Inputs!$J$211:$AR$211,1,(Time!AZ21-0)-2014))</f>
        <v>2.2</v>
      </c>
      <c r="BA12" s="11" t="n">
        <f aca="false">CHOOSE(Inputs!$F$33,INDEX(Inputs!$J$207:$AR$207,1,(Time!BA21-0)-2014),INDEX(Inputs!$J$209:$AR$209,1,(Time!BA21-0)-2014),INDEX(Inputs!$J$211:$AR$211,1,(Time!BA21-0)-2014))</f>
        <v>2.2</v>
      </c>
      <c r="BB12" s="11" t="n">
        <f aca="false">CHOOSE(Inputs!$F$33,INDEX(Inputs!$J$207:$AR$207,1,(Time!BB21-0)-2014),INDEX(Inputs!$J$209:$AR$209,1,(Time!BB21-0)-2014),INDEX(Inputs!$J$211:$AR$211,1,(Time!BB21-0)-2014))</f>
        <v>2.2</v>
      </c>
      <c r="BC12" s="11" t="n">
        <f aca="false">CHOOSE(Inputs!$F$33,INDEX(Inputs!$J$207:$AR$207,1,(Time!BC21-0)-2014),INDEX(Inputs!$J$209:$AR$209,1,(Time!BC21-0)-2014),INDEX(Inputs!$J$211:$AR$211,1,(Time!BC21-0)-2014))</f>
        <v>2.2</v>
      </c>
      <c r="BD12" s="11" t="n">
        <f aca="false">CHOOSE(Inputs!$F$33,INDEX(Inputs!$J$207:$AR$207,1,(Time!BD21-0)-2014),INDEX(Inputs!$J$209:$AR$209,1,(Time!BD21-0)-2014),INDEX(Inputs!$J$211:$AR$211,1,(Time!BD21-0)-2014))</f>
        <v>2.2</v>
      </c>
      <c r="BE12" s="11" t="n">
        <f aca="false">CHOOSE(Inputs!$F$33,INDEX(Inputs!$J$207:$AR$207,1,(Time!BE21-0)-2014),INDEX(Inputs!$J$209:$AR$209,1,(Time!BE21-0)-2014),INDEX(Inputs!$J$211:$AR$211,1,(Time!BE21-0)-2014))</f>
        <v>2.2</v>
      </c>
      <c r="BF12" s="11" t="n">
        <f aca="false">CHOOSE(Inputs!$F$33,INDEX(Inputs!$J$207:$AR$207,1,(Time!BF21-0)-2014),INDEX(Inputs!$J$209:$AR$209,1,(Time!BF21-0)-2014),INDEX(Inputs!$J$211:$AR$211,1,(Time!BF21-0)-2014))</f>
        <v>2.2</v>
      </c>
      <c r="BG12" s="11" t="n">
        <f aca="false">CHOOSE(Inputs!$F$33,INDEX(Inputs!$J$207:$AR$207,1,(Time!BG21-0)-2014),INDEX(Inputs!$J$209:$AR$209,1,(Time!BG21-0)-2014),INDEX(Inputs!$J$211:$AR$211,1,(Time!BG21-0)-2014))</f>
        <v>2.2</v>
      </c>
      <c r="BH12" s="11" t="n">
        <f aca="false">CHOOSE(Inputs!$F$33,INDEX(Inputs!$J$207:$AR$207,1,(Time!BH21-0)-2014),INDEX(Inputs!$J$209:$AR$209,1,(Time!BH21-0)-2014),INDEX(Inputs!$J$211:$AR$211,1,(Time!BH21-0)-2014))</f>
        <v>2.2</v>
      </c>
      <c r="BI12" s="11" t="n">
        <f aca="false">CHOOSE(Inputs!$F$33,INDEX(Inputs!$J$207:$AR$207,1,(Time!BI21-0)-2014),INDEX(Inputs!$J$209:$AR$209,1,(Time!BI21-0)-2014),INDEX(Inputs!$J$211:$AR$211,1,(Time!BI21-0)-2014))</f>
        <v>2.2</v>
      </c>
      <c r="BJ12" s="11" t="n">
        <f aca="false">CHOOSE(Inputs!$F$33,INDEX(Inputs!$J$207:$AR$207,1,(Time!BJ21-0)-2014),INDEX(Inputs!$J$209:$AR$209,1,(Time!BJ21-0)-2014),INDEX(Inputs!$J$211:$AR$211,1,(Time!BJ21-0)-2014))</f>
        <v>2.2</v>
      </c>
      <c r="BK12" s="11" t="n">
        <f aca="false">CHOOSE(Inputs!$F$33,INDEX(Inputs!$J$207:$AR$207,1,(Time!BK21-0)-2014),INDEX(Inputs!$J$209:$AR$209,1,(Time!BK21-0)-2014),INDEX(Inputs!$J$211:$AR$211,1,(Time!BK21-0)-2014))</f>
        <v>2.2</v>
      </c>
      <c r="BL12" s="11" t="n">
        <f aca="false">CHOOSE(Inputs!$F$33,INDEX(Inputs!$J$207:$AR$207,1,(Time!BL21-0)-2014),INDEX(Inputs!$J$209:$AR$209,1,(Time!BL21-0)-2014),INDEX(Inputs!$J$211:$AR$211,1,(Time!BL21-0)-2014))</f>
        <v>2.2</v>
      </c>
      <c r="BM12" s="11" t="n">
        <f aca="false">CHOOSE(Inputs!$F$33,INDEX(Inputs!$J$207:$AR$207,1,(Time!BM21-0)-2014),INDEX(Inputs!$J$209:$AR$209,1,(Time!BM21-0)-2014),INDEX(Inputs!$J$211:$AR$211,1,(Time!BM21-0)-2014))</f>
        <v>2.2</v>
      </c>
      <c r="BN12" s="11" t="n">
        <f aca="false">CHOOSE(Inputs!$F$33,INDEX(Inputs!$J$207:$AR$207,1,(Time!BN21-0)-2014),INDEX(Inputs!$J$209:$AR$209,1,(Time!BN21-0)-2014),INDEX(Inputs!$J$211:$AR$211,1,(Time!BN21-0)-2014))</f>
        <v>2.2</v>
      </c>
    </row>
    <row r="13" customFormat="false" ht="15" hidden="false" customHeight="false" outlineLevel="0" collapsed="false">
      <c r="D13" s="0" t="s">
        <v>464</v>
      </c>
      <c r="E13" s="0" t="s">
        <v>103</v>
      </c>
      <c r="J13" s="11" t="n">
        <f aca="false">CHOOSE(Inputs!$F$33,INDEX(Inputs!$J$208:$AR$208,1,(Time!J21-0)-2014),INDEX(Inputs!$J$210:$AR$210,1,(Time!J21-0)-2014),INDEX(Inputs!$J$212:$AR$212,1,(Time!J21-0)-2014))</f>
        <v>7.5</v>
      </c>
      <c r="K13" s="11" t="n">
        <f aca="false">CHOOSE(Inputs!$F$33,INDEX(Inputs!$J$208:$AR$208,1,(Time!K21-0)-2014),INDEX(Inputs!$J$210:$AR$210,1,(Time!K21-0)-2014),INDEX(Inputs!$J$212:$AR$212,1,(Time!K21-0)-2014))</f>
        <v>7.5</v>
      </c>
      <c r="L13" s="11" t="n">
        <f aca="false">CHOOSE(Inputs!$F$33,INDEX(Inputs!$J$208:$AR$208,1,(Time!L21-0)-2014),INDEX(Inputs!$J$210:$AR$210,1,(Time!L21-0)-2014),INDEX(Inputs!$J$212:$AR$212,1,(Time!L21-0)-2014))</f>
        <v>7.5</v>
      </c>
      <c r="M13" s="11" t="n">
        <f aca="false">CHOOSE(Inputs!$F$33,INDEX(Inputs!$J$208:$AR$208,1,(Time!M21-0)-2014),INDEX(Inputs!$J$210:$AR$210,1,(Time!M21-0)-2014),INDEX(Inputs!$J$212:$AR$212,1,(Time!M21-0)-2014))</f>
        <v>7.5</v>
      </c>
      <c r="N13" s="11" t="n">
        <f aca="false">CHOOSE(Inputs!$F$33,INDEX(Inputs!$J$208:$AR$208,1,(Time!N21-0)-2014),INDEX(Inputs!$J$210:$AR$210,1,(Time!N21-0)-2014),INDEX(Inputs!$J$212:$AR$212,1,(Time!N21-0)-2014))</f>
        <v>7.5</v>
      </c>
      <c r="O13" s="11" t="n">
        <f aca="false">CHOOSE(Inputs!$F$33,INDEX(Inputs!$J$208:$AR$208,1,(Time!O21-0)-2014),INDEX(Inputs!$J$210:$AR$210,1,(Time!O21-0)-2014),INDEX(Inputs!$J$212:$AR$212,1,(Time!O21-0)-2014))</f>
        <v>7.5</v>
      </c>
      <c r="P13" s="11" t="n">
        <f aca="false">CHOOSE(Inputs!$F$33,INDEX(Inputs!$J$208:$AR$208,1,(Time!P21-0)-2014),INDEX(Inputs!$J$210:$AR$210,1,(Time!P21-0)-2014),INDEX(Inputs!$J$212:$AR$212,1,(Time!P21-0)-2014))</f>
        <v>7.5</v>
      </c>
      <c r="Q13" s="11" t="n">
        <f aca="false">CHOOSE(Inputs!$F$33,INDEX(Inputs!$J$208:$AR$208,1,(Time!Q21-0)-2014),INDEX(Inputs!$J$210:$AR$210,1,(Time!Q21-0)-2014),INDEX(Inputs!$J$212:$AR$212,1,(Time!Q21-0)-2014))</f>
        <v>7.5</v>
      </c>
      <c r="R13" s="11" t="n">
        <f aca="false">CHOOSE(Inputs!$F$33,INDEX(Inputs!$J$208:$AR$208,1,(Time!R21-0)-2014),INDEX(Inputs!$J$210:$AR$210,1,(Time!R21-0)-2014),INDEX(Inputs!$J$212:$AR$212,1,(Time!R21-0)-2014))</f>
        <v>7.5</v>
      </c>
      <c r="S13" s="11" t="n">
        <f aca="false">CHOOSE(Inputs!$F$33,INDEX(Inputs!$J$208:$AR$208,1,(Time!S21-0)-2014),INDEX(Inputs!$J$210:$AR$210,1,(Time!S21-0)-2014),INDEX(Inputs!$J$212:$AR$212,1,(Time!S21-0)-2014))</f>
        <v>7.5</v>
      </c>
      <c r="T13" s="11" t="n">
        <f aca="false">CHOOSE(Inputs!$F$33,INDEX(Inputs!$J$208:$AR$208,1,(Time!T21-0)-2014),INDEX(Inputs!$J$210:$AR$210,1,(Time!T21-0)-2014),INDEX(Inputs!$J$212:$AR$212,1,(Time!T21-0)-2014))</f>
        <v>7.5</v>
      </c>
      <c r="U13" s="11" t="n">
        <f aca="false">CHOOSE(Inputs!$F$33,INDEX(Inputs!$J$208:$AR$208,1,(Time!U21-0)-2014),INDEX(Inputs!$J$210:$AR$210,1,(Time!U21-0)-2014),INDEX(Inputs!$J$212:$AR$212,1,(Time!U21-0)-2014))</f>
        <v>7.5</v>
      </c>
      <c r="V13" s="11" t="n">
        <f aca="false">CHOOSE(Inputs!$F$33,INDEX(Inputs!$J$208:$AR$208,1,(Time!V21-0)-2014),INDEX(Inputs!$J$210:$AR$210,1,(Time!V21-0)-2014),INDEX(Inputs!$J$212:$AR$212,1,(Time!V21-0)-2014))</f>
        <v>7.5</v>
      </c>
      <c r="W13" s="11" t="n">
        <f aca="false">CHOOSE(Inputs!$F$33,INDEX(Inputs!$J$208:$AR$208,1,(Time!W21-0)-2014),INDEX(Inputs!$J$210:$AR$210,1,(Time!W21-0)-2014),INDEX(Inputs!$J$212:$AR$212,1,(Time!W21-0)-2014))</f>
        <v>7.5</v>
      </c>
      <c r="X13" s="11" t="n">
        <f aca="false">CHOOSE(Inputs!$F$33,INDEX(Inputs!$J$208:$AR$208,1,(Time!X21-0)-2014),INDEX(Inputs!$J$210:$AR$210,1,(Time!X21-0)-2014),INDEX(Inputs!$J$212:$AR$212,1,(Time!X21-0)-2014))</f>
        <v>7.5</v>
      </c>
      <c r="Y13" s="11" t="n">
        <f aca="false">CHOOSE(Inputs!$F$33,INDEX(Inputs!$J$208:$AR$208,1,(Time!Y21-0)-2014),INDEX(Inputs!$J$210:$AR$210,1,(Time!Y21-0)-2014),INDEX(Inputs!$J$212:$AR$212,1,(Time!Y21-0)-2014))</f>
        <v>7.5</v>
      </c>
      <c r="Z13" s="11" t="n">
        <f aca="false">CHOOSE(Inputs!$F$33,INDEX(Inputs!$J$208:$AR$208,1,(Time!Z21-0)-2014),INDEX(Inputs!$J$210:$AR$210,1,(Time!Z21-0)-2014),INDEX(Inputs!$J$212:$AR$212,1,(Time!Z21-0)-2014))</f>
        <v>7.5</v>
      </c>
      <c r="AA13" s="11" t="n">
        <f aca="false">CHOOSE(Inputs!$F$33,INDEX(Inputs!$J$208:$AR$208,1,(Time!AA21-0)-2014),INDEX(Inputs!$J$210:$AR$210,1,(Time!AA21-0)-2014),INDEX(Inputs!$J$212:$AR$212,1,(Time!AA21-0)-2014))</f>
        <v>7.5</v>
      </c>
      <c r="AB13" s="11" t="n">
        <f aca="false">CHOOSE(Inputs!$F$33,INDEX(Inputs!$J$208:$AR$208,1,(Time!AB21-0)-2014),INDEX(Inputs!$J$210:$AR$210,1,(Time!AB21-0)-2014),INDEX(Inputs!$J$212:$AR$212,1,(Time!AB21-0)-2014))</f>
        <v>7.5</v>
      </c>
      <c r="AC13" s="11" t="n">
        <f aca="false">CHOOSE(Inputs!$F$33,INDEX(Inputs!$J$208:$AR$208,1,(Time!AC21-0)-2014),INDEX(Inputs!$J$210:$AR$210,1,(Time!AC21-0)-2014),INDEX(Inputs!$J$212:$AR$212,1,(Time!AC21-0)-2014))</f>
        <v>7.5</v>
      </c>
      <c r="AD13" s="11" t="n">
        <f aca="false">CHOOSE(Inputs!$F$33,INDEX(Inputs!$J$208:$AR$208,1,(Time!AD21-0)-2014),INDEX(Inputs!$J$210:$AR$210,1,(Time!AD21-0)-2014),INDEX(Inputs!$J$212:$AR$212,1,(Time!AD21-0)-2014))</f>
        <v>7.5</v>
      </c>
      <c r="AE13" s="11" t="n">
        <f aca="false">CHOOSE(Inputs!$F$33,INDEX(Inputs!$J$208:$AR$208,1,(Time!AE21-0)-2014),INDEX(Inputs!$J$210:$AR$210,1,(Time!AE21-0)-2014),INDEX(Inputs!$J$212:$AR$212,1,(Time!AE21-0)-2014))</f>
        <v>7.5</v>
      </c>
      <c r="AF13" s="11" t="n">
        <f aca="false">CHOOSE(Inputs!$F$33,INDEX(Inputs!$J$208:$AR$208,1,(Time!AF21-0)-2014),INDEX(Inputs!$J$210:$AR$210,1,(Time!AF21-0)-2014),INDEX(Inputs!$J$212:$AR$212,1,(Time!AF21-0)-2014))</f>
        <v>7.5</v>
      </c>
      <c r="AG13" s="11" t="n">
        <f aca="false">CHOOSE(Inputs!$F$33,INDEX(Inputs!$J$208:$AR$208,1,(Time!AG21-0)-2014),INDEX(Inputs!$J$210:$AR$210,1,(Time!AG21-0)-2014),INDEX(Inputs!$J$212:$AR$212,1,(Time!AG21-0)-2014))</f>
        <v>7.5</v>
      </c>
      <c r="AH13" s="11" t="n">
        <f aca="false">CHOOSE(Inputs!$F$33,INDEX(Inputs!$J$208:$AR$208,1,(Time!AH21-0)-2014),INDEX(Inputs!$J$210:$AR$210,1,(Time!AH21-0)-2014),INDEX(Inputs!$J$212:$AR$212,1,(Time!AH21-0)-2014))</f>
        <v>7.5</v>
      </c>
      <c r="AI13" s="11" t="n">
        <f aca="false">CHOOSE(Inputs!$F$33,INDEX(Inputs!$J$208:$AR$208,1,(Time!AI21-0)-2014),INDEX(Inputs!$J$210:$AR$210,1,(Time!AI21-0)-2014),INDEX(Inputs!$J$212:$AR$212,1,(Time!AI21-0)-2014))</f>
        <v>7.5</v>
      </c>
      <c r="AJ13" s="11" t="n">
        <f aca="false">CHOOSE(Inputs!$F$33,INDEX(Inputs!$J$208:$AR$208,1,(Time!AJ21-0)-2014),INDEX(Inputs!$J$210:$AR$210,1,(Time!AJ21-0)-2014),INDEX(Inputs!$J$212:$AR$212,1,(Time!AJ21-0)-2014))</f>
        <v>7.5</v>
      </c>
      <c r="AK13" s="11" t="n">
        <f aca="false">CHOOSE(Inputs!$F$33,INDEX(Inputs!$J$208:$AR$208,1,(Time!AK21-0)-2014),INDEX(Inputs!$J$210:$AR$210,1,(Time!AK21-0)-2014),INDEX(Inputs!$J$212:$AR$212,1,(Time!AK21-0)-2014))</f>
        <v>7.5</v>
      </c>
      <c r="AL13" s="11" t="n">
        <f aca="false">CHOOSE(Inputs!$F$33,INDEX(Inputs!$J$208:$AR$208,1,(Time!AL21-0)-2014),INDEX(Inputs!$J$210:$AR$210,1,(Time!AL21-0)-2014),INDEX(Inputs!$J$212:$AR$212,1,(Time!AL21-0)-2014))</f>
        <v>7.5</v>
      </c>
      <c r="AM13" s="11" t="n">
        <f aca="false">CHOOSE(Inputs!$F$33,INDEX(Inputs!$J$208:$AR$208,1,(Time!AM21-0)-2014),INDEX(Inputs!$J$210:$AR$210,1,(Time!AM21-0)-2014),INDEX(Inputs!$J$212:$AR$212,1,(Time!AM21-0)-2014))</f>
        <v>7.5</v>
      </c>
      <c r="AN13" s="11" t="n">
        <f aca="false">CHOOSE(Inputs!$F$33,INDEX(Inputs!$J$208:$AR$208,1,(Time!AN21-0)-2014),INDEX(Inputs!$J$210:$AR$210,1,(Time!AN21-0)-2014),INDEX(Inputs!$J$212:$AR$212,1,(Time!AN21-0)-2014))</f>
        <v>7.5</v>
      </c>
      <c r="AO13" s="11" t="n">
        <f aca="false">CHOOSE(Inputs!$F$33,INDEX(Inputs!$J$208:$AR$208,1,(Time!AO21-0)-2014),INDEX(Inputs!$J$210:$AR$210,1,(Time!AO21-0)-2014),INDEX(Inputs!$J$212:$AR$212,1,(Time!AO21-0)-2014))</f>
        <v>7.5</v>
      </c>
      <c r="AP13" s="11" t="n">
        <f aca="false">CHOOSE(Inputs!$F$33,INDEX(Inputs!$J$208:$AR$208,1,(Time!AP21-0)-2014),INDEX(Inputs!$J$210:$AR$210,1,(Time!AP21-0)-2014),INDEX(Inputs!$J$212:$AR$212,1,(Time!AP21-0)-2014))</f>
        <v>7.5</v>
      </c>
      <c r="AQ13" s="11" t="n">
        <f aca="false">CHOOSE(Inputs!$F$33,INDEX(Inputs!$J$208:$AR$208,1,(Time!AQ21-0)-2014),INDEX(Inputs!$J$210:$AR$210,1,(Time!AQ21-0)-2014),INDEX(Inputs!$J$212:$AR$212,1,(Time!AQ21-0)-2014))</f>
        <v>7.5</v>
      </c>
      <c r="AR13" s="11" t="n">
        <f aca="false">CHOOSE(Inputs!$F$33,INDEX(Inputs!$J$208:$AR$208,1,(Time!AR21-0)-2014),INDEX(Inputs!$J$210:$AR$210,1,(Time!AR21-0)-2014),INDEX(Inputs!$J$212:$AR$212,1,(Time!AR21-0)-2014))</f>
        <v>7.5</v>
      </c>
      <c r="AS13" s="11" t="n">
        <f aca="false">CHOOSE(Inputs!$F$33,INDEX(Inputs!$J$208:$AR$208,1,(Time!AS21-0)-2014),INDEX(Inputs!$J$210:$AR$210,1,(Time!AS21-0)-2014),INDEX(Inputs!$J$212:$AR$212,1,(Time!AS21-0)-2014))</f>
        <v>7.5</v>
      </c>
      <c r="AT13" s="11" t="n">
        <f aca="false">CHOOSE(Inputs!$F$33,INDEX(Inputs!$J$208:$AR$208,1,(Time!AT21-0)-2014),INDEX(Inputs!$J$210:$AR$210,1,(Time!AT21-0)-2014),INDEX(Inputs!$J$212:$AR$212,1,(Time!AT21-0)-2014))</f>
        <v>7.5</v>
      </c>
      <c r="AU13" s="11" t="n">
        <f aca="false">CHOOSE(Inputs!$F$33,INDEX(Inputs!$J$208:$AR$208,1,(Time!AU21-0)-2014),INDEX(Inputs!$J$210:$AR$210,1,(Time!AU21-0)-2014),INDEX(Inputs!$J$212:$AR$212,1,(Time!AU21-0)-2014))</f>
        <v>7.5</v>
      </c>
      <c r="AV13" s="11" t="n">
        <f aca="false">CHOOSE(Inputs!$F$33,INDEX(Inputs!$J$208:$AR$208,1,(Time!AV21-0)-2014),INDEX(Inputs!$J$210:$AR$210,1,(Time!AV21-0)-2014),INDEX(Inputs!$J$212:$AR$212,1,(Time!AV21-0)-2014))</f>
        <v>7.5</v>
      </c>
      <c r="AW13" s="11" t="n">
        <f aca="false">CHOOSE(Inputs!$F$33,INDEX(Inputs!$J$208:$AR$208,1,(Time!AW21-0)-2014),INDEX(Inputs!$J$210:$AR$210,1,(Time!AW21-0)-2014),INDEX(Inputs!$J$212:$AR$212,1,(Time!AW21-0)-2014))</f>
        <v>7.5</v>
      </c>
      <c r="AX13" s="11" t="n">
        <f aca="false">CHOOSE(Inputs!$F$33,INDEX(Inputs!$J$208:$AR$208,1,(Time!AX21-0)-2014),INDEX(Inputs!$J$210:$AR$210,1,(Time!AX21-0)-2014),INDEX(Inputs!$J$212:$AR$212,1,(Time!AX21-0)-2014))</f>
        <v>7.5</v>
      </c>
      <c r="AY13" s="11" t="n">
        <f aca="false">CHOOSE(Inputs!$F$33,INDEX(Inputs!$J$208:$AR$208,1,(Time!AY21-0)-2014),INDEX(Inputs!$J$210:$AR$210,1,(Time!AY21-0)-2014),INDEX(Inputs!$J$212:$AR$212,1,(Time!AY21-0)-2014))</f>
        <v>7.5</v>
      </c>
      <c r="AZ13" s="11" t="n">
        <f aca="false">CHOOSE(Inputs!$F$33,INDEX(Inputs!$J$208:$AR$208,1,(Time!AZ21-0)-2014),INDEX(Inputs!$J$210:$AR$210,1,(Time!AZ21-0)-2014),INDEX(Inputs!$J$212:$AR$212,1,(Time!AZ21-0)-2014))</f>
        <v>7.5</v>
      </c>
      <c r="BA13" s="11" t="n">
        <f aca="false">CHOOSE(Inputs!$F$33,INDEX(Inputs!$J$208:$AR$208,1,(Time!BA21-0)-2014),INDEX(Inputs!$J$210:$AR$210,1,(Time!BA21-0)-2014),INDEX(Inputs!$J$212:$AR$212,1,(Time!BA21-0)-2014))</f>
        <v>7.5</v>
      </c>
      <c r="BB13" s="11" t="n">
        <f aca="false">CHOOSE(Inputs!$F$33,INDEX(Inputs!$J$208:$AR$208,1,(Time!BB21-0)-2014),INDEX(Inputs!$J$210:$AR$210,1,(Time!BB21-0)-2014),INDEX(Inputs!$J$212:$AR$212,1,(Time!BB21-0)-2014))</f>
        <v>7.5</v>
      </c>
      <c r="BC13" s="11" t="n">
        <f aca="false">CHOOSE(Inputs!$F$33,INDEX(Inputs!$J$208:$AR$208,1,(Time!BC21-0)-2014),INDEX(Inputs!$J$210:$AR$210,1,(Time!BC21-0)-2014),INDEX(Inputs!$J$212:$AR$212,1,(Time!BC21-0)-2014))</f>
        <v>7.5</v>
      </c>
      <c r="BD13" s="11" t="n">
        <f aca="false">CHOOSE(Inputs!$F$33,INDEX(Inputs!$J$208:$AR$208,1,(Time!BD21-0)-2014),INDEX(Inputs!$J$210:$AR$210,1,(Time!BD21-0)-2014),INDEX(Inputs!$J$212:$AR$212,1,(Time!BD21-0)-2014))</f>
        <v>7.5</v>
      </c>
      <c r="BE13" s="11" t="n">
        <f aca="false">CHOOSE(Inputs!$F$33,INDEX(Inputs!$J$208:$AR$208,1,(Time!BE21-0)-2014),INDEX(Inputs!$J$210:$AR$210,1,(Time!BE21-0)-2014),INDEX(Inputs!$J$212:$AR$212,1,(Time!BE21-0)-2014))</f>
        <v>7.5</v>
      </c>
      <c r="BF13" s="11" t="n">
        <f aca="false">CHOOSE(Inputs!$F$33,INDEX(Inputs!$J$208:$AR$208,1,(Time!BF21-0)-2014),INDEX(Inputs!$J$210:$AR$210,1,(Time!BF21-0)-2014),INDEX(Inputs!$J$212:$AR$212,1,(Time!BF21-0)-2014))</f>
        <v>7.5</v>
      </c>
      <c r="BG13" s="11" t="n">
        <f aca="false">CHOOSE(Inputs!$F$33,INDEX(Inputs!$J$208:$AR$208,1,(Time!BG21-0)-2014),INDEX(Inputs!$J$210:$AR$210,1,(Time!BG21-0)-2014),INDEX(Inputs!$J$212:$AR$212,1,(Time!BG21-0)-2014))</f>
        <v>7.5</v>
      </c>
      <c r="BH13" s="11" t="n">
        <f aca="false">CHOOSE(Inputs!$F$33,INDEX(Inputs!$J$208:$AR$208,1,(Time!BH21-0)-2014),INDEX(Inputs!$J$210:$AR$210,1,(Time!BH21-0)-2014),INDEX(Inputs!$J$212:$AR$212,1,(Time!BH21-0)-2014))</f>
        <v>7.5</v>
      </c>
      <c r="BI13" s="11" t="n">
        <f aca="false">CHOOSE(Inputs!$F$33,INDEX(Inputs!$J$208:$AR$208,1,(Time!BI21-0)-2014),INDEX(Inputs!$J$210:$AR$210,1,(Time!BI21-0)-2014),INDEX(Inputs!$J$212:$AR$212,1,(Time!BI21-0)-2014))</f>
        <v>7.5</v>
      </c>
      <c r="BJ13" s="11" t="n">
        <f aca="false">CHOOSE(Inputs!$F$33,INDEX(Inputs!$J$208:$AR$208,1,(Time!BJ21-0)-2014),INDEX(Inputs!$J$210:$AR$210,1,(Time!BJ21-0)-2014),INDEX(Inputs!$J$212:$AR$212,1,(Time!BJ21-0)-2014))</f>
        <v>7.5</v>
      </c>
      <c r="BK13" s="11" t="n">
        <f aca="false">CHOOSE(Inputs!$F$33,INDEX(Inputs!$J$208:$AR$208,1,(Time!BK21-0)-2014),INDEX(Inputs!$J$210:$AR$210,1,(Time!BK21-0)-2014),INDEX(Inputs!$J$212:$AR$212,1,(Time!BK21-0)-2014))</f>
        <v>7.5</v>
      </c>
      <c r="BL13" s="11" t="n">
        <f aca="false">CHOOSE(Inputs!$F$33,INDEX(Inputs!$J$208:$AR$208,1,(Time!BL21-0)-2014),INDEX(Inputs!$J$210:$AR$210,1,(Time!BL21-0)-2014),INDEX(Inputs!$J$212:$AR$212,1,(Time!BL21-0)-2014))</f>
        <v>7.5</v>
      </c>
      <c r="BM13" s="11" t="n">
        <f aca="false">CHOOSE(Inputs!$F$33,INDEX(Inputs!$J$208:$AR$208,1,(Time!BM21-0)-2014),INDEX(Inputs!$J$210:$AR$210,1,(Time!BM21-0)-2014),INDEX(Inputs!$J$212:$AR$212,1,(Time!BM21-0)-2014))</f>
        <v>7.5</v>
      </c>
      <c r="BN13" s="11" t="n">
        <f aca="false">CHOOSE(Inputs!$F$33,INDEX(Inputs!$J$208:$AR$208,1,(Time!BN21-0)-2014),INDEX(Inputs!$J$210:$AR$210,1,(Time!BN21-0)-2014),INDEX(Inputs!$J$212:$AR$212,1,(Time!BN21-0)-2014))</f>
        <v>7.5</v>
      </c>
    </row>
    <row r="14" customFormat="false" ht="15" hidden="false" customHeight="false" outlineLevel="0" collapsed="false">
      <c r="D14" s="0" t="s">
        <v>465</v>
      </c>
      <c r="E14" s="0" t="s">
        <v>103</v>
      </c>
      <c r="J14" s="11" t="n">
        <f aca="false">CHOOSE(Inputs!$F$33,INDEX(Inputs!$J$207:$AR$207,1,(Time!J21-1)-2014),INDEX(Inputs!$J$209:$AR$209,1,(Time!J21-1)-2014),INDEX(Inputs!$J$211:$AR$211,1,(Time!J21-1)-2014))</f>
        <v>2.1</v>
      </c>
      <c r="K14" s="11" t="n">
        <f aca="false">CHOOSE(Inputs!$F$33,INDEX(Inputs!$J$207:$AR$207,1,(Time!K21-1)-2014),INDEX(Inputs!$J$209:$AR$209,1,(Time!K21-1)-2014),INDEX(Inputs!$J$211:$AR$211,1,(Time!K21-1)-2014))</f>
        <v>2.2</v>
      </c>
      <c r="L14" s="11" t="n">
        <f aca="false">CHOOSE(Inputs!$F$33,INDEX(Inputs!$J$207:$AR$207,1,(Time!L21-1)-2014),INDEX(Inputs!$J$209:$AR$209,1,(Time!L21-1)-2014),INDEX(Inputs!$J$211:$AR$211,1,(Time!L21-1)-2014))</f>
        <v>2.2</v>
      </c>
      <c r="M14" s="11" t="n">
        <f aca="false">CHOOSE(Inputs!$F$33,INDEX(Inputs!$J$207:$AR$207,1,(Time!M21-1)-2014),INDEX(Inputs!$J$209:$AR$209,1,(Time!M21-1)-2014),INDEX(Inputs!$J$211:$AR$211,1,(Time!M21-1)-2014))</f>
        <v>2.2</v>
      </c>
      <c r="N14" s="11" t="n">
        <f aca="false">CHOOSE(Inputs!$F$33,INDEX(Inputs!$J$207:$AR$207,1,(Time!N21-1)-2014),INDEX(Inputs!$J$209:$AR$209,1,(Time!N21-1)-2014),INDEX(Inputs!$J$211:$AR$211,1,(Time!N21-1)-2014))</f>
        <v>2.2</v>
      </c>
      <c r="O14" s="11" t="n">
        <f aca="false">CHOOSE(Inputs!$F$33,INDEX(Inputs!$J$207:$AR$207,1,(Time!O21-1)-2014),INDEX(Inputs!$J$209:$AR$209,1,(Time!O21-1)-2014),INDEX(Inputs!$J$211:$AR$211,1,(Time!O21-1)-2014))</f>
        <v>2.2</v>
      </c>
      <c r="P14" s="11" t="n">
        <f aca="false">CHOOSE(Inputs!$F$33,INDEX(Inputs!$J$207:$AR$207,1,(Time!P21-1)-2014),INDEX(Inputs!$J$209:$AR$209,1,(Time!P21-1)-2014),INDEX(Inputs!$J$211:$AR$211,1,(Time!P21-1)-2014))</f>
        <v>2.2</v>
      </c>
      <c r="Q14" s="11" t="n">
        <f aca="false">CHOOSE(Inputs!$F$33,INDEX(Inputs!$J$207:$AR$207,1,(Time!Q21-1)-2014),INDEX(Inputs!$J$209:$AR$209,1,(Time!Q21-1)-2014),INDEX(Inputs!$J$211:$AR$211,1,(Time!Q21-1)-2014))</f>
        <v>2.2</v>
      </c>
      <c r="R14" s="11" t="n">
        <f aca="false">CHOOSE(Inputs!$F$33,INDEX(Inputs!$J$207:$AR$207,1,(Time!R21-1)-2014),INDEX(Inputs!$J$209:$AR$209,1,(Time!R21-1)-2014),INDEX(Inputs!$J$211:$AR$211,1,(Time!R21-1)-2014))</f>
        <v>2.2</v>
      </c>
      <c r="S14" s="11" t="n">
        <f aca="false">CHOOSE(Inputs!$F$33,INDEX(Inputs!$J$207:$AR$207,1,(Time!S21-1)-2014),INDEX(Inputs!$J$209:$AR$209,1,(Time!S21-1)-2014),INDEX(Inputs!$J$211:$AR$211,1,(Time!S21-1)-2014))</f>
        <v>2.2</v>
      </c>
      <c r="T14" s="11" t="n">
        <f aca="false">CHOOSE(Inputs!$F$33,INDEX(Inputs!$J$207:$AR$207,1,(Time!T21-1)-2014),INDEX(Inputs!$J$209:$AR$209,1,(Time!T21-1)-2014),INDEX(Inputs!$J$211:$AR$211,1,(Time!T21-1)-2014))</f>
        <v>2.2</v>
      </c>
      <c r="U14" s="11" t="n">
        <f aca="false">CHOOSE(Inputs!$F$33,INDEX(Inputs!$J$207:$AR$207,1,(Time!U21-1)-2014),INDEX(Inputs!$J$209:$AR$209,1,(Time!U21-1)-2014),INDEX(Inputs!$J$211:$AR$211,1,(Time!U21-1)-2014))</f>
        <v>2.2</v>
      </c>
      <c r="V14" s="11" t="n">
        <f aca="false">CHOOSE(Inputs!$F$33,INDEX(Inputs!$J$207:$AR$207,1,(Time!V21-1)-2014),INDEX(Inputs!$J$209:$AR$209,1,(Time!V21-1)-2014),INDEX(Inputs!$J$211:$AR$211,1,(Time!V21-1)-2014))</f>
        <v>2.2</v>
      </c>
      <c r="W14" s="11" t="n">
        <f aca="false">CHOOSE(Inputs!$F$33,INDEX(Inputs!$J$207:$AR$207,1,(Time!W21-1)-2014),INDEX(Inputs!$J$209:$AR$209,1,(Time!W21-1)-2014),INDEX(Inputs!$J$211:$AR$211,1,(Time!W21-1)-2014))</f>
        <v>2.2</v>
      </c>
      <c r="X14" s="11" t="n">
        <f aca="false">CHOOSE(Inputs!$F$33,INDEX(Inputs!$J$207:$AR$207,1,(Time!X21-1)-2014),INDEX(Inputs!$J$209:$AR$209,1,(Time!X21-1)-2014),INDEX(Inputs!$J$211:$AR$211,1,(Time!X21-1)-2014))</f>
        <v>2.2</v>
      </c>
      <c r="Y14" s="11" t="n">
        <f aca="false">CHOOSE(Inputs!$F$33,INDEX(Inputs!$J$207:$AR$207,1,(Time!Y21-1)-2014),INDEX(Inputs!$J$209:$AR$209,1,(Time!Y21-1)-2014),INDEX(Inputs!$J$211:$AR$211,1,(Time!Y21-1)-2014))</f>
        <v>2.2</v>
      </c>
      <c r="Z14" s="11" t="n">
        <f aca="false">CHOOSE(Inputs!$F$33,INDEX(Inputs!$J$207:$AR$207,1,(Time!Z21-1)-2014),INDEX(Inputs!$J$209:$AR$209,1,(Time!Z21-1)-2014),INDEX(Inputs!$J$211:$AR$211,1,(Time!Z21-1)-2014))</f>
        <v>2.2</v>
      </c>
      <c r="AA14" s="11" t="n">
        <f aca="false">CHOOSE(Inputs!$F$33,INDEX(Inputs!$J$207:$AR$207,1,(Time!AA21-1)-2014),INDEX(Inputs!$J$209:$AR$209,1,(Time!AA21-1)-2014),INDEX(Inputs!$J$211:$AR$211,1,(Time!AA21-1)-2014))</f>
        <v>2.2</v>
      </c>
      <c r="AB14" s="11" t="n">
        <f aca="false">CHOOSE(Inputs!$F$33,INDEX(Inputs!$J$207:$AR$207,1,(Time!AB21-1)-2014),INDEX(Inputs!$J$209:$AR$209,1,(Time!AB21-1)-2014),INDEX(Inputs!$J$211:$AR$211,1,(Time!AB21-1)-2014))</f>
        <v>2.2</v>
      </c>
      <c r="AC14" s="11" t="n">
        <f aca="false">CHOOSE(Inputs!$F$33,INDEX(Inputs!$J$207:$AR$207,1,(Time!AC21-1)-2014),INDEX(Inputs!$J$209:$AR$209,1,(Time!AC21-1)-2014),INDEX(Inputs!$J$211:$AR$211,1,(Time!AC21-1)-2014))</f>
        <v>2.2</v>
      </c>
      <c r="AD14" s="11" t="n">
        <f aca="false">CHOOSE(Inputs!$F$33,INDEX(Inputs!$J$207:$AR$207,1,(Time!AD21-1)-2014),INDEX(Inputs!$J$209:$AR$209,1,(Time!AD21-1)-2014),INDEX(Inputs!$J$211:$AR$211,1,(Time!AD21-1)-2014))</f>
        <v>2.2</v>
      </c>
      <c r="AE14" s="11" t="n">
        <f aca="false">CHOOSE(Inputs!$F$33,INDEX(Inputs!$J$207:$AR$207,1,(Time!AE21-1)-2014),INDEX(Inputs!$J$209:$AR$209,1,(Time!AE21-1)-2014),INDEX(Inputs!$J$211:$AR$211,1,(Time!AE21-1)-2014))</f>
        <v>2.2</v>
      </c>
      <c r="AF14" s="11" t="n">
        <f aca="false">CHOOSE(Inputs!$F$33,INDEX(Inputs!$J$207:$AR$207,1,(Time!AF21-1)-2014),INDEX(Inputs!$J$209:$AR$209,1,(Time!AF21-1)-2014),INDEX(Inputs!$J$211:$AR$211,1,(Time!AF21-1)-2014))</f>
        <v>2.2</v>
      </c>
      <c r="AG14" s="11" t="n">
        <f aca="false">CHOOSE(Inputs!$F$33,INDEX(Inputs!$J$207:$AR$207,1,(Time!AG21-1)-2014),INDEX(Inputs!$J$209:$AR$209,1,(Time!AG21-1)-2014),INDEX(Inputs!$J$211:$AR$211,1,(Time!AG21-1)-2014))</f>
        <v>2.2</v>
      </c>
      <c r="AH14" s="11" t="n">
        <f aca="false">CHOOSE(Inputs!$F$33,INDEX(Inputs!$J$207:$AR$207,1,(Time!AH21-1)-2014),INDEX(Inputs!$J$209:$AR$209,1,(Time!AH21-1)-2014),INDEX(Inputs!$J$211:$AR$211,1,(Time!AH21-1)-2014))</f>
        <v>2.2</v>
      </c>
      <c r="AI14" s="11" t="n">
        <f aca="false">CHOOSE(Inputs!$F$33,INDEX(Inputs!$J$207:$AR$207,1,(Time!AI21-1)-2014),INDEX(Inputs!$J$209:$AR$209,1,(Time!AI21-1)-2014),INDEX(Inputs!$J$211:$AR$211,1,(Time!AI21-1)-2014))</f>
        <v>2.2</v>
      </c>
      <c r="AJ14" s="11" t="n">
        <f aca="false">CHOOSE(Inputs!$F$33,INDEX(Inputs!$J$207:$AR$207,1,(Time!AJ21-1)-2014),INDEX(Inputs!$J$209:$AR$209,1,(Time!AJ21-1)-2014),INDEX(Inputs!$J$211:$AR$211,1,(Time!AJ21-1)-2014))</f>
        <v>2.2</v>
      </c>
      <c r="AK14" s="11" t="n">
        <f aca="false">CHOOSE(Inputs!$F$33,INDEX(Inputs!$J$207:$AR$207,1,(Time!AK21-1)-2014),INDEX(Inputs!$J$209:$AR$209,1,(Time!AK21-1)-2014),INDEX(Inputs!$J$211:$AR$211,1,(Time!AK21-1)-2014))</f>
        <v>2.2</v>
      </c>
      <c r="AL14" s="11" t="n">
        <f aca="false">CHOOSE(Inputs!$F$33,INDEX(Inputs!$J$207:$AR$207,1,(Time!AL21-1)-2014),INDEX(Inputs!$J$209:$AR$209,1,(Time!AL21-1)-2014),INDEX(Inputs!$J$211:$AR$211,1,(Time!AL21-1)-2014))</f>
        <v>2.2</v>
      </c>
      <c r="AM14" s="11" t="n">
        <f aca="false">CHOOSE(Inputs!$F$33,INDEX(Inputs!$J$207:$AR$207,1,(Time!AM21-1)-2014),INDEX(Inputs!$J$209:$AR$209,1,(Time!AM21-1)-2014),INDEX(Inputs!$J$211:$AR$211,1,(Time!AM21-1)-2014))</f>
        <v>2.2</v>
      </c>
      <c r="AN14" s="11" t="n">
        <f aca="false">CHOOSE(Inputs!$F$33,INDEX(Inputs!$J$207:$AR$207,1,(Time!AN21-1)-2014),INDEX(Inputs!$J$209:$AR$209,1,(Time!AN21-1)-2014),INDEX(Inputs!$J$211:$AR$211,1,(Time!AN21-1)-2014))</f>
        <v>2.2</v>
      </c>
      <c r="AO14" s="11" t="n">
        <f aca="false">CHOOSE(Inputs!$F$33,INDEX(Inputs!$J$207:$AR$207,1,(Time!AO21-1)-2014),INDEX(Inputs!$J$209:$AR$209,1,(Time!AO21-1)-2014),INDEX(Inputs!$J$211:$AR$211,1,(Time!AO21-1)-2014))</f>
        <v>2.2</v>
      </c>
      <c r="AP14" s="11" t="n">
        <f aca="false">CHOOSE(Inputs!$F$33,INDEX(Inputs!$J$207:$AR$207,1,(Time!AP21-1)-2014),INDEX(Inputs!$J$209:$AR$209,1,(Time!AP21-1)-2014),INDEX(Inputs!$J$211:$AR$211,1,(Time!AP21-1)-2014))</f>
        <v>2.2</v>
      </c>
      <c r="AQ14" s="11" t="n">
        <f aca="false">CHOOSE(Inputs!$F$33,INDEX(Inputs!$J$207:$AR$207,1,(Time!AQ21-1)-2014),INDEX(Inputs!$J$209:$AR$209,1,(Time!AQ21-1)-2014),INDEX(Inputs!$J$211:$AR$211,1,(Time!AQ21-1)-2014))</f>
        <v>2.2</v>
      </c>
      <c r="AR14" s="11" t="n">
        <f aca="false">CHOOSE(Inputs!$F$33,INDEX(Inputs!$J$207:$AR$207,1,(Time!AR21-1)-2014),INDEX(Inputs!$J$209:$AR$209,1,(Time!AR21-1)-2014),INDEX(Inputs!$J$211:$AR$211,1,(Time!AR21-1)-2014))</f>
        <v>2.2</v>
      </c>
      <c r="AS14" s="11" t="n">
        <f aca="false">CHOOSE(Inputs!$F$33,INDEX(Inputs!$J$207:$AR$207,1,(Time!AS21-1)-2014),INDEX(Inputs!$J$209:$AR$209,1,(Time!AS21-1)-2014),INDEX(Inputs!$J$211:$AR$211,1,(Time!AS21-1)-2014))</f>
        <v>2.2</v>
      </c>
      <c r="AT14" s="11" t="n">
        <f aca="false">CHOOSE(Inputs!$F$33,INDEX(Inputs!$J$207:$AR$207,1,(Time!AT21-1)-2014),INDEX(Inputs!$J$209:$AR$209,1,(Time!AT21-1)-2014),INDEX(Inputs!$J$211:$AR$211,1,(Time!AT21-1)-2014))</f>
        <v>2.2</v>
      </c>
      <c r="AU14" s="11" t="n">
        <f aca="false">CHOOSE(Inputs!$F$33,INDEX(Inputs!$J$207:$AR$207,1,(Time!AU21-1)-2014),INDEX(Inputs!$J$209:$AR$209,1,(Time!AU21-1)-2014),INDEX(Inputs!$J$211:$AR$211,1,(Time!AU21-1)-2014))</f>
        <v>2.2</v>
      </c>
      <c r="AV14" s="11" t="n">
        <f aca="false">CHOOSE(Inputs!$F$33,INDEX(Inputs!$J$207:$AR$207,1,(Time!AV21-1)-2014),INDEX(Inputs!$J$209:$AR$209,1,(Time!AV21-1)-2014),INDEX(Inputs!$J$211:$AR$211,1,(Time!AV21-1)-2014))</f>
        <v>2.2</v>
      </c>
      <c r="AW14" s="11" t="n">
        <f aca="false">CHOOSE(Inputs!$F$33,INDEX(Inputs!$J$207:$AR$207,1,(Time!AW21-1)-2014),INDEX(Inputs!$J$209:$AR$209,1,(Time!AW21-1)-2014),INDEX(Inputs!$J$211:$AR$211,1,(Time!AW21-1)-2014))</f>
        <v>2.2</v>
      </c>
      <c r="AX14" s="11" t="n">
        <f aca="false">CHOOSE(Inputs!$F$33,INDEX(Inputs!$J$207:$AR$207,1,(Time!AX21-1)-2014),INDEX(Inputs!$J$209:$AR$209,1,(Time!AX21-1)-2014),INDEX(Inputs!$J$211:$AR$211,1,(Time!AX21-1)-2014))</f>
        <v>2.2</v>
      </c>
      <c r="AY14" s="11" t="n">
        <f aca="false">CHOOSE(Inputs!$F$33,INDEX(Inputs!$J$207:$AR$207,1,(Time!AY21-1)-2014),INDEX(Inputs!$J$209:$AR$209,1,(Time!AY21-1)-2014),INDEX(Inputs!$J$211:$AR$211,1,(Time!AY21-1)-2014))</f>
        <v>2.2</v>
      </c>
      <c r="AZ14" s="11" t="n">
        <f aca="false">CHOOSE(Inputs!$F$33,INDEX(Inputs!$J$207:$AR$207,1,(Time!AZ21-1)-2014),INDEX(Inputs!$J$209:$AR$209,1,(Time!AZ21-1)-2014),INDEX(Inputs!$J$211:$AR$211,1,(Time!AZ21-1)-2014))</f>
        <v>2.2</v>
      </c>
      <c r="BA14" s="11" t="n">
        <f aca="false">CHOOSE(Inputs!$F$33,INDEX(Inputs!$J$207:$AR$207,1,(Time!BA21-1)-2014),INDEX(Inputs!$J$209:$AR$209,1,(Time!BA21-1)-2014),INDEX(Inputs!$J$211:$AR$211,1,(Time!BA21-1)-2014))</f>
        <v>2.2</v>
      </c>
      <c r="BB14" s="11" t="n">
        <f aca="false">CHOOSE(Inputs!$F$33,INDEX(Inputs!$J$207:$AR$207,1,(Time!BB21-1)-2014),INDEX(Inputs!$J$209:$AR$209,1,(Time!BB21-1)-2014),INDEX(Inputs!$J$211:$AR$211,1,(Time!BB21-1)-2014))</f>
        <v>2.2</v>
      </c>
      <c r="BC14" s="11" t="n">
        <f aca="false">CHOOSE(Inputs!$F$33,INDEX(Inputs!$J$207:$AR$207,1,(Time!BC21-1)-2014),INDEX(Inputs!$J$209:$AR$209,1,(Time!BC21-1)-2014),INDEX(Inputs!$J$211:$AR$211,1,(Time!BC21-1)-2014))</f>
        <v>2.2</v>
      </c>
      <c r="BD14" s="11" t="n">
        <f aca="false">CHOOSE(Inputs!$F$33,INDEX(Inputs!$J$207:$AR$207,1,(Time!BD21-1)-2014),INDEX(Inputs!$J$209:$AR$209,1,(Time!BD21-1)-2014),INDEX(Inputs!$J$211:$AR$211,1,(Time!BD21-1)-2014))</f>
        <v>2.2</v>
      </c>
      <c r="BE14" s="11" t="n">
        <f aca="false">CHOOSE(Inputs!$F$33,INDEX(Inputs!$J$207:$AR$207,1,(Time!BE21-1)-2014),INDEX(Inputs!$J$209:$AR$209,1,(Time!BE21-1)-2014),INDEX(Inputs!$J$211:$AR$211,1,(Time!BE21-1)-2014))</f>
        <v>2.2</v>
      </c>
      <c r="BF14" s="11" t="n">
        <f aca="false">CHOOSE(Inputs!$F$33,INDEX(Inputs!$J$207:$AR$207,1,(Time!BF21-1)-2014),INDEX(Inputs!$J$209:$AR$209,1,(Time!BF21-1)-2014),INDEX(Inputs!$J$211:$AR$211,1,(Time!BF21-1)-2014))</f>
        <v>2.2</v>
      </c>
      <c r="BG14" s="11" t="n">
        <f aca="false">CHOOSE(Inputs!$F$33,INDEX(Inputs!$J$207:$AR$207,1,(Time!BG21-1)-2014),INDEX(Inputs!$J$209:$AR$209,1,(Time!BG21-1)-2014),INDEX(Inputs!$J$211:$AR$211,1,(Time!BG21-1)-2014))</f>
        <v>2.2</v>
      </c>
      <c r="BH14" s="11" t="n">
        <f aca="false">CHOOSE(Inputs!$F$33,INDEX(Inputs!$J$207:$AR$207,1,(Time!BH21-1)-2014),INDEX(Inputs!$J$209:$AR$209,1,(Time!BH21-1)-2014),INDEX(Inputs!$J$211:$AR$211,1,(Time!BH21-1)-2014))</f>
        <v>2.2</v>
      </c>
      <c r="BI14" s="11" t="n">
        <f aca="false">CHOOSE(Inputs!$F$33,INDEX(Inputs!$J$207:$AR$207,1,(Time!BI21-1)-2014),INDEX(Inputs!$J$209:$AR$209,1,(Time!BI21-1)-2014),INDEX(Inputs!$J$211:$AR$211,1,(Time!BI21-1)-2014))</f>
        <v>2.2</v>
      </c>
      <c r="BJ14" s="11" t="n">
        <f aca="false">CHOOSE(Inputs!$F$33,INDEX(Inputs!$J$207:$AR$207,1,(Time!BJ21-1)-2014),INDEX(Inputs!$J$209:$AR$209,1,(Time!BJ21-1)-2014),INDEX(Inputs!$J$211:$AR$211,1,(Time!BJ21-1)-2014))</f>
        <v>2.2</v>
      </c>
      <c r="BK14" s="11" t="n">
        <f aca="false">CHOOSE(Inputs!$F$33,INDEX(Inputs!$J$207:$AR$207,1,(Time!BK21-1)-2014),INDEX(Inputs!$J$209:$AR$209,1,(Time!BK21-1)-2014),INDEX(Inputs!$J$211:$AR$211,1,(Time!BK21-1)-2014))</f>
        <v>2.2</v>
      </c>
      <c r="BL14" s="11" t="n">
        <f aca="false">CHOOSE(Inputs!$F$33,INDEX(Inputs!$J$207:$AR$207,1,(Time!BL21-1)-2014),INDEX(Inputs!$J$209:$AR$209,1,(Time!BL21-1)-2014),INDEX(Inputs!$J$211:$AR$211,1,(Time!BL21-1)-2014))</f>
        <v>2.2</v>
      </c>
      <c r="BM14" s="11" t="n">
        <f aca="false">CHOOSE(Inputs!$F$33,INDEX(Inputs!$J$207:$AR$207,1,(Time!BM21-1)-2014),INDEX(Inputs!$J$209:$AR$209,1,(Time!BM21-1)-2014),INDEX(Inputs!$J$211:$AR$211,1,(Time!BM21-1)-2014))</f>
        <v>2.2</v>
      </c>
      <c r="BN14" s="11" t="n">
        <f aca="false">CHOOSE(Inputs!$F$33,INDEX(Inputs!$J$207:$AR$207,1,(Time!BN21-1)-2014),INDEX(Inputs!$J$209:$AR$209,1,(Time!BN21-1)-2014),INDEX(Inputs!$J$211:$AR$211,1,(Time!BN21-1)-2014))</f>
        <v>2.2</v>
      </c>
    </row>
    <row r="15" customFormat="false" ht="15" hidden="false" customHeight="false" outlineLevel="0" collapsed="false">
      <c r="D15" s="0" t="s">
        <v>466</v>
      </c>
      <c r="E15" s="0" t="s">
        <v>103</v>
      </c>
      <c r="J15" s="11" t="n">
        <f aca="false">CHOOSE(Inputs!$F$33,INDEX(Inputs!$J$208:$AR$208,1,(Time!J21-1)-2014),INDEX(Inputs!$J$210:$AR$210,1,(Time!J21-1)-2014),INDEX(Inputs!$J$212:$AR$212,1,(Time!J21-1)-2014))</f>
        <v>8.1</v>
      </c>
      <c r="K15" s="11" t="n">
        <f aca="false">CHOOSE(Inputs!$F$33,INDEX(Inputs!$J$208:$AR$208,1,(Time!K21-1)-2014),INDEX(Inputs!$J$210:$AR$210,1,(Time!K21-1)-2014),INDEX(Inputs!$J$212:$AR$212,1,(Time!K21-1)-2014))</f>
        <v>7.5</v>
      </c>
      <c r="L15" s="11" t="n">
        <f aca="false">CHOOSE(Inputs!$F$33,INDEX(Inputs!$J$208:$AR$208,1,(Time!L21-1)-2014),INDEX(Inputs!$J$210:$AR$210,1,(Time!L21-1)-2014),INDEX(Inputs!$J$212:$AR$212,1,(Time!L21-1)-2014))</f>
        <v>7.5</v>
      </c>
      <c r="M15" s="11" t="n">
        <f aca="false">CHOOSE(Inputs!$F$33,INDEX(Inputs!$J$208:$AR$208,1,(Time!M21-1)-2014),INDEX(Inputs!$J$210:$AR$210,1,(Time!M21-1)-2014),INDEX(Inputs!$J$212:$AR$212,1,(Time!M21-1)-2014))</f>
        <v>7.5</v>
      </c>
      <c r="N15" s="11" t="n">
        <f aca="false">CHOOSE(Inputs!$F$33,INDEX(Inputs!$J$208:$AR$208,1,(Time!N21-1)-2014),INDEX(Inputs!$J$210:$AR$210,1,(Time!N21-1)-2014),INDEX(Inputs!$J$212:$AR$212,1,(Time!N21-1)-2014))</f>
        <v>7.5</v>
      </c>
      <c r="O15" s="11" t="n">
        <f aca="false">CHOOSE(Inputs!$F$33,INDEX(Inputs!$J$208:$AR$208,1,(Time!O21-1)-2014),INDEX(Inputs!$J$210:$AR$210,1,(Time!O21-1)-2014),INDEX(Inputs!$J$212:$AR$212,1,(Time!O21-1)-2014))</f>
        <v>7.5</v>
      </c>
      <c r="P15" s="11" t="n">
        <f aca="false">CHOOSE(Inputs!$F$33,INDEX(Inputs!$J$208:$AR$208,1,(Time!P21-1)-2014),INDEX(Inputs!$J$210:$AR$210,1,(Time!P21-1)-2014),INDEX(Inputs!$J$212:$AR$212,1,(Time!P21-1)-2014))</f>
        <v>7.5</v>
      </c>
      <c r="Q15" s="11" t="n">
        <f aca="false">CHOOSE(Inputs!$F$33,INDEX(Inputs!$J$208:$AR$208,1,(Time!Q21-1)-2014),INDEX(Inputs!$J$210:$AR$210,1,(Time!Q21-1)-2014),INDEX(Inputs!$J$212:$AR$212,1,(Time!Q21-1)-2014))</f>
        <v>7.5</v>
      </c>
      <c r="R15" s="11" t="n">
        <f aca="false">CHOOSE(Inputs!$F$33,INDEX(Inputs!$J$208:$AR$208,1,(Time!R21-1)-2014),INDEX(Inputs!$J$210:$AR$210,1,(Time!R21-1)-2014),INDEX(Inputs!$J$212:$AR$212,1,(Time!R21-1)-2014))</f>
        <v>7.5</v>
      </c>
      <c r="S15" s="11" t="n">
        <f aca="false">CHOOSE(Inputs!$F$33,INDEX(Inputs!$J$208:$AR$208,1,(Time!S21-1)-2014),INDEX(Inputs!$J$210:$AR$210,1,(Time!S21-1)-2014),INDEX(Inputs!$J$212:$AR$212,1,(Time!S21-1)-2014))</f>
        <v>7.5</v>
      </c>
      <c r="T15" s="11" t="n">
        <f aca="false">CHOOSE(Inputs!$F$33,INDEX(Inputs!$J$208:$AR$208,1,(Time!T21-1)-2014),INDEX(Inputs!$J$210:$AR$210,1,(Time!T21-1)-2014),INDEX(Inputs!$J$212:$AR$212,1,(Time!T21-1)-2014))</f>
        <v>7.5</v>
      </c>
      <c r="U15" s="11" t="n">
        <f aca="false">CHOOSE(Inputs!$F$33,INDEX(Inputs!$J$208:$AR$208,1,(Time!U21-1)-2014),INDEX(Inputs!$J$210:$AR$210,1,(Time!U21-1)-2014),INDEX(Inputs!$J$212:$AR$212,1,(Time!U21-1)-2014))</f>
        <v>7.5</v>
      </c>
      <c r="V15" s="11" t="n">
        <f aca="false">CHOOSE(Inputs!$F$33,INDEX(Inputs!$J$208:$AR$208,1,(Time!V21-1)-2014),INDEX(Inputs!$J$210:$AR$210,1,(Time!V21-1)-2014),INDEX(Inputs!$J$212:$AR$212,1,(Time!V21-1)-2014))</f>
        <v>7.5</v>
      </c>
      <c r="W15" s="11" t="n">
        <f aca="false">CHOOSE(Inputs!$F$33,INDEX(Inputs!$J$208:$AR$208,1,(Time!W21-1)-2014),INDEX(Inputs!$J$210:$AR$210,1,(Time!W21-1)-2014),INDEX(Inputs!$J$212:$AR$212,1,(Time!W21-1)-2014))</f>
        <v>7.5</v>
      </c>
      <c r="X15" s="11" t="n">
        <f aca="false">CHOOSE(Inputs!$F$33,INDEX(Inputs!$J$208:$AR$208,1,(Time!X21-1)-2014),INDEX(Inputs!$J$210:$AR$210,1,(Time!X21-1)-2014),INDEX(Inputs!$J$212:$AR$212,1,(Time!X21-1)-2014))</f>
        <v>7.5</v>
      </c>
      <c r="Y15" s="11" t="n">
        <f aca="false">CHOOSE(Inputs!$F$33,INDEX(Inputs!$J$208:$AR$208,1,(Time!Y21-1)-2014),INDEX(Inputs!$J$210:$AR$210,1,(Time!Y21-1)-2014),INDEX(Inputs!$J$212:$AR$212,1,(Time!Y21-1)-2014))</f>
        <v>7.5</v>
      </c>
      <c r="Z15" s="11" t="n">
        <f aca="false">CHOOSE(Inputs!$F$33,INDEX(Inputs!$J$208:$AR$208,1,(Time!Z21-1)-2014),INDEX(Inputs!$J$210:$AR$210,1,(Time!Z21-1)-2014),INDEX(Inputs!$J$212:$AR$212,1,(Time!Z21-1)-2014))</f>
        <v>7.5</v>
      </c>
      <c r="AA15" s="11" t="n">
        <f aca="false">CHOOSE(Inputs!$F$33,INDEX(Inputs!$J$208:$AR$208,1,(Time!AA21-1)-2014),INDEX(Inputs!$J$210:$AR$210,1,(Time!AA21-1)-2014),INDEX(Inputs!$J$212:$AR$212,1,(Time!AA21-1)-2014))</f>
        <v>7.5</v>
      </c>
      <c r="AB15" s="11" t="n">
        <f aca="false">CHOOSE(Inputs!$F$33,INDEX(Inputs!$J$208:$AR$208,1,(Time!AB21-1)-2014),INDEX(Inputs!$J$210:$AR$210,1,(Time!AB21-1)-2014),INDEX(Inputs!$J$212:$AR$212,1,(Time!AB21-1)-2014))</f>
        <v>7.5</v>
      </c>
      <c r="AC15" s="11" t="n">
        <f aca="false">CHOOSE(Inputs!$F$33,INDEX(Inputs!$J$208:$AR$208,1,(Time!AC21-1)-2014),INDEX(Inputs!$J$210:$AR$210,1,(Time!AC21-1)-2014),INDEX(Inputs!$J$212:$AR$212,1,(Time!AC21-1)-2014))</f>
        <v>7.5</v>
      </c>
      <c r="AD15" s="11" t="n">
        <f aca="false">CHOOSE(Inputs!$F$33,INDEX(Inputs!$J$208:$AR$208,1,(Time!AD21-1)-2014),INDEX(Inputs!$J$210:$AR$210,1,(Time!AD21-1)-2014),INDEX(Inputs!$J$212:$AR$212,1,(Time!AD21-1)-2014))</f>
        <v>7.5</v>
      </c>
      <c r="AE15" s="11" t="n">
        <f aca="false">CHOOSE(Inputs!$F$33,INDEX(Inputs!$J$208:$AR$208,1,(Time!AE21-1)-2014),INDEX(Inputs!$J$210:$AR$210,1,(Time!AE21-1)-2014),INDEX(Inputs!$J$212:$AR$212,1,(Time!AE21-1)-2014))</f>
        <v>7.5</v>
      </c>
      <c r="AF15" s="11" t="n">
        <f aca="false">CHOOSE(Inputs!$F$33,INDEX(Inputs!$J$208:$AR$208,1,(Time!AF21-1)-2014),INDEX(Inputs!$J$210:$AR$210,1,(Time!AF21-1)-2014),INDEX(Inputs!$J$212:$AR$212,1,(Time!AF21-1)-2014))</f>
        <v>7.5</v>
      </c>
      <c r="AG15" s="11" t="n">
        <f aca="false">CHOOSE(Inputs!$F$33,INDEX(Inputs!$J$208:$AR$208,1,(Time!AG21-1)-2014),INDEX(Inputs!$J$210:$AR$210,1,(Time!AG21-1)-2014),INDEX(Inputs!$J$212:$AR$212,1,(Time!AG21-1)-2014))</f>
        <v>7.5</v>
      </c>
      <c r="AH15" s="11" t="n">
        <f aca="false">CHOOSE(Inputs!$F$33,INDEX(Inputs!$J$208:$AR$208,1,(Time!AH21-1)-2014),INDEX(Inputs!$J$210:$AR$210,1,(Time!AH21-1)-2014),INDEX(Inputs!$J$212:$AR$212,1,(Time!AH21-1)-2014))</f>
        <v>7.5</v>
      </c>
      <c r="AI15" s="11" t="n">
        <f aca="false">CHOOSE(Inputs!$F$33,INDEX(Inputs!$J$208:$AR$208,1,(Time!AI21-1)-2014),INDEX(Inputs!$J$210:$AR$210,1,(Time!AI21-1)-2014),INDEX(Inputs!$J$212:$AR$212,1,(Time!AI21-1)-2014))</f>
        <v>7.5</v>
      </c>
      <c r="AJ15" s="11" t="n">
        <f aca="false">CHOOSE(Inputs!$F$33,INDEX(Inputs!$J$208:$AR$208,1,(Time!AJ21-1)-2014),INDEX(Inputs!$J$210:$AR$210,1,(Time!AJ21-1)-2014),INDEX(Inputs!$J$212:$AR$212,1,(Time!AJ21-1)-2014))</f>
        <v>7.5</v>
      </c>
      <c r="AK15" s="11" t="n">
        <f aca="false">CHOOSE(Inputs!$F$33,INDEX(Inputs!$J$208:$AR$208,1,(Time!AK21-1)-2014),INDEX(Inputs!$J$210:$AR$210,1,(Time!AK21-1)-2014),INDEX(Inputs!$J$212:$AR$212,1,(Time!AK21-1)-2014))</f>
        <v>7.5</v>
      </c>
      <c r="AL15" s="11" t="n">
        <f aca="false">CHOOSE(Inputs!$F$33,INDEX(Inputs!$J$208:$AR$208,1,(Time!AL21-1)-2014),INDEX(Inputs!$J$210:$AR$210,1,(Time!AL21-1)-2014),INDEX(Inputs!$J$212:$AR$212,1,(Time!AL21-1)-2014))</f>
        <v>7.5</v>
      </c>
      <c r="AM15" s="11" t="n">
        <f aca="false">CHOOSE(Inputs!$F$33,INDEX(Inputs!$J$208:$AR$208,1,(Time!AM21-1)-2014),INDEX(Inputs!$J$210:$AR$210,1,(Time!AM21-1)-2014),INDEX(Inputs!$J$212:$AR$212,1,(Time!AM21-1)-2014))</f>
        <v>7.5</v>
      </c>
      <c r="AN15" s="11" t="n">
        <f aca="false">CHOOSE(Inputs!$F$33,INDEX(Inputs!$J$208:$AR$208,1,(Time!AN21-1)-2014),INDEX(Inputs!$J$210:$AR$210,1,(Time!AN21-1)-2014),INDEX(Inputs!$J$212:$AR$212,1,(Time!AN21-1)-2014))</f>
        <v>7.5</v>
      </c>
      <c r="AO15" s="11" t="n">
        <f aca="false">CHOOSE(Inputs!$F$33,INDEX(Inputs!$J$208:$AR$208,1,(Time!AO21-1)-2014),INDEX(Inputs!$J$210:$AR$210,1,(Time!AO21-1)-2014),INDEX(Inputs!$J$212:$AR$212,1,(Time!AO21-1)-2014))</f>
        <v>7.5</v>
      </c>
      <c r="AP15" s="11" t="n">
        <f aca="false">CHOOSE(Inputs!$F$33,INDEX(Inputs!$J$208:$AR$208,1,(Time!AP21-1)-2014),INDEX(Inputs!$J$210:$AR$210,1,(Time!AP21-1)-2014),INDEX(Inputs!$J$212:$AR$212,1,(Time!AP21-1)-2014))</f>
        <v>7.5</v>
      </c>
      <c r="AQ15" s="11" t="n">
        <f aca="false">CHOOSE(Inputs!$F$33,INDEX(Inputs!$J$208:$AR$208,1,(Time!AQ21-1)-2014),INDEX(Inputs!$J$210:$AR$210,1,(Time!AQ21-1)-2014),INDEX(Inputs!$J$212:$AR$212,1,(Time!AQ21-1)-2014))</f>
        <v>7.5</v>
      </c>
      <c r="AR15" s="11" t="n">
        <f aca="false">CHOOSE(Inputs!$F$33,INDEX(Inputs!$J$208:$AR$208,1,(Time!AR21-1)-2014),INDEX(Inputs!$J$210:$AR$210,1,(Time!AR21-1)-2014),INDEX(Inputs!$J$212:$AR$212,1,(Time!AR21-1)-2014))</f>
        <v>7.5</v>
      </c>
      <c r="AS15" s="11" t="n">
        <f aca="false">CHOOSE(Inputs!$F$33,INDEX(Inputs!$J$208:$AR$208,1,(Time!AS21-1)-2014),INDEX(Inputs!$J$210:$AR$210,1,(Time!AS21-1)-2014),INDEX(Inputs!$J$212:$AR$212,1,(Time!AS21-1)-2014))</f>
        <v>7.5</v>
      </c>
      <c r="AT15" s="11" t="n">
        <f aca="false">CHOOSE(Inputs!$F$33,INDEX(Inputs!$J$208:$AR$208,1,(Time!AT21-1)-2014),INDEX(Inputs!$J$210:$AR$210,1,(Time!AT21-1)-2014),INDEX(Inputs!$J$212:$AR$212,1,(Time!AT21-1)-2014))</f>
        <v>7.5</v>
      </c>
      <c r="AU15" s="11" t="n">
        <f aca="false">CHOOSE(Inputs!$F$33,INDEX(Inputs!$J$208:$AR$208,1,(Time!AU21-1)-2014),INDEX(Inputs!$J$210:$AR$210,1,(Time!AU21-1)-2014),INDEX(Inputs!$J$212:$AR$212,1,(Time!AU21-1)-2014))</f>
        <v>7.5</v>
      </c>
      <c r="AV15" s="11" t="n">
        <f aca="false">CHOOSE(Inputs!$F$33,INDEX(Inputs!$J$208:$AR$208,1,(Time!AV21-1)-2014),INDEX(Inputs!$J$210:$AR$210,1,(Time!AV21-1)-2014),INDEX(Inputs!$J$212:$AR$212,1,(Time!AV21-1)-2014))</f>
        <v>7.5</v>
      </c>
      <c r="AW15" s="11" t="n">
        <f aca="false">CHOOSE(Inputs!$F$33,INDEX(Inputs!$J$208:$AR$208,1,(Time!AW21-1)-2014),INDEX(Inputs!$J$210:$AR$210,1,(Time!AW21-1)-2014),INDEX(Inputs!$J$212:$AR$212,1,(Time!AW21-1)-2014))</f>
        <v>7.5</v>
      </c>
      <c r="AX15" s="11" t="n">
        <f aca="false">CHOOSE(Inputs!$F$33,INDEX(Inputs!$J$208:$AR$208,1,(Time!AX21-1)-2014),INDEX(Inputs!$J$210:$AR$210,1,(Time!AX21-1)-2014),INDEX(Inputs!$J$212:$AR$212,1,(Time!AX21-1)-2014))</f>
        <v>7.5</v>
      </c>
      <c r="AY15" s="11" t="n">
        <f aca="false">CHOOSE(Inputs!$F$33,INDEX(Inputs!$J$208:$AR$208,1,(Time!AY21-1)-2014),INDEX(Inputs!$J$210:$AR$210,1,(Time!AY21-1)-2014),INDEX(Inputs!$J$212:$AR$212,1,(Time!AY21-1)-2014))</f>
        <v>7.5</v>
      </c>
      <c r="AZ15" s="11" t="n">
        <f aca="false">CHOOSE(Inputs!$F$33,INDEX(Inputs!$J$208:$AR$208,1,(Time!AZ21-1)-2014),INDEX(Inputs!$J$210:$AR$210,1,(Time!AZ21-1)-2014),INDEX(Inputs!$J$212:$AR$212,1,(Time!AZ21-1)-2014))</f>
        <v>7.5</v>
      </c>
      <c r="BA15" s="11" t="n">
        <f aca="false">CHOOSE(Inputs!$F$33,INDEX(Inputs!$J$208:$AR$208,1,(Time!BA21-1)-2014),INDEX(Inputs!$J$210:$AR$210,1,(Time!BA21-1)-2014),INDEX(Inputs!$J$212:$AR$212,1,(Time!BA21-1)-2014))</f>
        <v>7.5</v>
      </c>
      <c r="BB15" s="11" t="n">
        <f aca="false">CHOOSE(Inputs!$F$33,INDEX(Inputs!$J$208:$AR$208,1,(Time!BB21-1)-2014),INDEX(Inputs!$J$210:$AR$210,1,(Time!BB21-1)-2014),INDEX(Inputs!$J$212:$AR$212,1,(Time!BB21-1)-2014))</f>
        <v>7.5</v>
      </c>
      <c r="BC15" s="11" t="n">
        <f aca="false">CHOOSE(Inputs!$F$33,INDEX(Inputs!$J$208:$AR$208,1,(Time!BC21-1)-2014),INDEX(Inputs!$J$210:$AR$210,1,(Time!BC21-1)-2014),INDEX(Inputs!$J$212:$AR$212,1,(Time!BC21-1)-2014))</f>
        <v>7.5</v>
      </c>
      <c r="BD15" s="11" t="n">
        <f aca="false">CHOOSE(Inputs!$F$33,INDEX(Inputs!$J$208:$AR$208,1,(Time!BD21-1)-2014),INDEX(Inputs!$J$210:$AR$210,1,(Time!BD21-1)-2014),INDEX(Inputs!$J$212:$AR$212,1,(Time!BD21-1)-2014))</f>
        <v>7.5</v>
      </c>
      <c r="BE15" s="11" t="n">
        <f aca="false">CHOOSE(Inputs!$F$33,INDEX(Inputs!$J$208:$AR$208,1,(Time!BE21-1)-2014),INDEX(Inputs!$J$210:$AR$210,1,(Time!BE21-1)-2014),INDEX(Inputs!$J$212:$AR$212,1,(Time!BE21-1)-2014))</f>
        <v>7.5</v>
      </c>
      <c r="BF15" s="11" t="n">
        <f aca="false">CHOOSE(Inputs!$F$33,INDEX(Inputs!$J$208:$AR$208,1,(Time!BF21-1)-2014),INDEX(Inputs!$J$210:$AR$210,1,(Time!BF21-1)-2014),INDEX(Inputs!$J$212:$AR$212,1,(Time!BF21-1)-2014))</f>
        <v>7.5</v>
      </c>
      <c r="BG15" s="11" t="n">
        <f aca="false">CHOOSE(Inputs!$F$33,INDEX(Inputs!$J$208:$AR$208,1,(Time!BG21-1)-2014),INDEX(Inputs!$J$210:$AR$210,1,(Time!BG21-1)-2014),INDEX(Inputs!$J$212:$AR$212,1,(Time!BG21-1)-2014))</f>
        <v>7.5</v>
      </c>
      <c r="BH15" s="11" t="n">
        <f aca="false">CHOOSE(Inputs!$F$33,INDEX(Inputs!$J$208:$AR$208,1,(Time!BH21-1)-2014),INDEX(Inputs!$J$210:$AR$210,1,(Time!BH21-1)-2014),INDEX(Inputs!$J$212:$AR$212,1,(Time!BH21-1)-2014))</f>
        <v>7.5</v>
      </c>
      <c r="BI15" s="11" t="n">
        <f aca="false">CHOOSE(Inputs!$F$33,INDEX(Inputs!$J$208:$AR$208,1,(Time!BI21-1)-2014),INDEX(Inputs!$J$210:$AR$210,1,(Time!BI21-1)-2014),INDEX(Inputs!$J$212:$AR$212,1,(Time!BI21-1)-2014))</f>
        <v>7.5</v>
      </c>
      <c r="BJ15" s="11" t="n">
        <f aca="false">CHOOSE(Inputs!$F$33,INDEX(Inputs!$J$208:$AR$208,1,(Time!BJ21-1)-2014),INDEX(Inputs!$J$210:$AR$210,1,(Time!BJ21-1)-2014),INDEX(Inputs!$J$212:$AR$212,1,(Time!BJ21-1)-2014))</f>
        <v>7.5</v>
      </c>
      <c r="BK15" s="11" t="n">
        <f aca="false">CHOOSE(Inputs!$F$33,INDEX(Inputs!$J$208:$AR$208,1,(Time!BK21-1)-2014),INDEX(Inputs!$J$210:$AR$210,1,(Time!BK21-1)-2014),INDEX(Inputs!$J$212:$AR$212,1,(Time!BK21-1)-2014))</f>
        <v>7.5</v>
      </c>
      <c r="BL15" s="11" t="n">
        <f aca="false">CHOOSE(Inputs!$F$33,INDEX(Inputs!$J$208:$AR$208,1,(Time!BL21-1)-2014),INDEX(Inputs!$J$210:$AR$210,1,(Time!BL21-1)-2014),INDEX(Inputs!$J$212:$AR$212,1,(Time!BL21-1)-2014))</f>
        <v>7.5</v>
      </c>
      <c r="BM15" s="11" t="n">
        <f aca="false">CHOOSE(Inputs!$F$33,INDEX(Inputs!$J$208:$AR$208,1,(Time!BM21-1)-2014),INDEX(Inputs!$J$210:$AR$210,1,(Time!BM21-1)-2014),INDEX(Inputs!$J$212:$AR$212,1,(Time!BM21-1)-2014))</f>
        <v>7.5</v>
      </c>
      <c r="BN15" s="11" t="n">
        <f aca="false">CHOOSE(Inputs!$F$33,INDEX(Inputs!$J$208:$AR$208,1,(Time!BN21-1)-2014),INDEX(Inputs!$J$210:$AR$210,1,(Time!BN21-1)-2014),INDEX(Inputs!$J$212:$AR$212,1,(Time!BN21-1)-2014))</f>
        <v>7.5</v>
      </c>
    </row>
    <row r="16" customFormat="false" ht="15" hidden="false" customHeight="false" outlineLevel="0" collapsed="false">
      <c r="D16" s="0" t="s">
        <v>467</v>
      </c>
      <c r="E16" s="0" t="s">
        <v>91</v>
      </c>
      <c r="F16" s="6" t="n">
        <f aca="false">100*(1+CHOOSE(Inputs!$F$33,INDEX(Inputs!$J$207:$AR$207,1,2016-2014),INDEX(Inputs!$J$209:$AR$209,1,2016-2014),INDEX(Inputs!$J$211:$AR$211,1,2016-2014))/100)^(1/12)*(1+CHOOSE(Inputs!$F$33,INDEX(Inputs!$J$207:$AR$207,1,2017-2014),INDEX(Inputs!$J$209:$AR$209,1,2017-2014),INDEX(Inputs!$J$211:$AR$211,1,2017-2014))/100)*(1+CHOOSE(Inputs!$F$33,INDEX(Inputs!$J$207:$AR$207,1,2018-2014),INDEX(Inputs!$J$209:$AR$209,1,2018-2014),INDEX(Inputs!$J$211:$AR$211,1,2018-2014))/100)^(6/12)</f>
        <v>103.328147613562</v>
      </c>
    </row>
    <row r="17" customFormat="false" ht="15" hidden="false" customHeight="false" outlineLevel="0" collapsed="false">
      <c r="D17" s="0" t="s">
        <v>468</v>
      </c>
      <c r="E17" s="0" t="s">
        <v>91</v>
      </c>
      <c r="J17" s="11" t="n">
        <f aca="false">100*(1+CHOOSE(Inputs!$F$33,INDEX(Inputs!$J$207:$AR$207,1,2016-2014),INDEX(Inputs!$J$209:$AR$209,1,2016-2014),INDEX(Inputs!$J$211:$AR$211,1,2016-2014))/100)^(1/12)*(1+CHOOSE(Inputs!$F$33,INDEX(Inputs!$J$207:$AR$207,1,2017-2014),INDEX(Inputs!$J$209:$AR$209,1,2017-2014),INDEX(Inputs!$J$211:$AR$211,1,2017-2014))/100)*(1+CHOOSE(Inputs!$F$33,INDEX(Inputs!$J$207:$AR$207,1,2018-2014),INDEX(Inputs!$J$209:$AR$209,1,2018-2014),INDEX(Inputs!$J$211:$AR$211,1,2018-2014))/100)^(9/12)</f>
        <v>103.89182318471</v>
      </c>
      <c r="K17" s="11" t="n">
        <f aca="false">J17*IF(Time!K22=1,(1+K14/100)^0.25*(1+K12/100)^0.25,(1+K12/100)^0.5)</f>
        <v>105.028415988175</v>
      </c>
      <c r="L17" s="11" t="n">
        <f aca="false">K17*IF(Time!L22=1,(1+L14/100)^0.25*(1+L12/100)^0.25,(1+L12/100)^0.5)</f>
        <v>106.177443294773</v>
      </c>
      <c r="M17" s="11" t="n">
        <f aca="false">L17*IF(Time!M22=1,(1+M14/100)^0.25*(1+M12/100)^0.25,(1+M12/100)^0.5)</f>
        <v>107.339041139915</v>
      </c>
      <c r="N17" s="11" t="n">
        <f aca="false">M17*IF(Time!N22=1,(1+N14/100)^0.25*(1+N12/100)^0.25,(1+N12/100)^0.5)</f>
        <v>108.513347047258</v>
      </c>
      <c r="O17" s="11" t="n">
        <f aca="false">N17*IF(Time!O22=1,(1+O14/100)^0.25*(1+O12/100)^0.25,(1+O12/100)^0.5)</f>
        <v>109.700500044993</v>
      </c>
      <c r="P17" s="11" t="n">
        <f aca="false">O17*IF(Time!P22=1,(1+P14/100)^0.25*(1+P12/100)^0.25,(1+P12/100)^0.5)</f>
        <v>110.900640682298</v>
      </c>
      <c r="Q17" s="11" t="n">
        <f aca="false">P17*IF(Time!Q22=1,(1+Q14/100)^0.25*(1+Q12/100)^0.25,(1+Q12/100)^0.5)</f>
        <v>112.113911045983</v>
      </c>
      <c r="R17" s="11" t="n">
        <f aca="false">Q17*IF(Time!R22=1,(1+R14/100)^0.25*(1+R12/100)^0.25,(1+R12/100)^0.5)</f>
        <v>113.340454777308</v>
      </c>
      <c r="S17" s="11" t="n">
        <f aca="false">R17*IF(Time!S22=1,(1+S14/100)^0.25*(1+S12/100)^0.25,(1+S12/100)^0.5)</f>
        <v>114.580417088994</v>
      </c>
      <c r="T17" s="11" t="n">
        <f aca="false">S17*IF(Time!T22=1,(1+T14/100)^0.25*(1+T12/100)^0.25,(1+T12/100)^0.5)</f>
        <v>115.833944782409</v>
      </c>
      <c r="U17" s="11" t="n">
        <f aca="false">T17*IF(Time!U22=1,(1+U14/100)^0.25*(1+U12/100)^0.25,(1+U12/100)^0.5)</f>
        <v>117.101186264952</v>
      </c>
      <c r="V17" s="11" t="n">
        <f aca="false">U17*IF(Time!V22=1,(1+V14/100)^0.25*(1+V12/100)^0.25,(1+V12/100)^0.5)</f>
        <v>118.382291567622</v>
      </c>
      <c r="W17" s="11" t="n">
        <f aca="false">V17*IF(Time!W22=1,(1+W14/100)^0.25*(1+W12/100)^0.25,(1+W12/100)^0.5)</f>
        <v>119.677412362781</v>
      </c>
      <c r="X17" s="11" t="n">
        <f aca="false">W17*IF(Time!X22=1,(1+X14/100)^0.25*(1+X12/100)^0.25,(1+X12/100)^0.5)</f>
        <v>120.98670198211</v>
      </c>
      <c r="Y17" s="11" t="n">
        <f aca="false">X17*IF(Time!Y22=1,(1+Y14/100)^0.25*(1+Y12/100)^0.25,(1+Y12/100)^0.5)</f>
        <v>122.310315434762</v>
      </c>
      <c r="Z17" s="11" t="n">
        <f aca="false">Y17*IF(Time!Z22=1,(1+Z14/100)^0.25*(1+Z12/100)^0.25,(1+Z12/100)^0.5)</f>
        <v>123.648409425716</v>
      </c>
      <c r="AA17" s="11" t="n">
        <f aca="false">Z17*IF(Time!AA22=1,(1+AA14/100)^0.25*(1+AA12/100)^0.25,(1+AA12/100)^0.5)</f>
        <v>125.001142374327</v>
      </c>
      <c r="AB17" s="11" t="n">
        <f aca="false">AA17*IF(Time!AB22=1,(1+AB14/100)^0.25*(1+AB12/100)^0.25,(1+AB12/100)^0.5)</f>
        <v>126.368674433082</v>
      </c>
      <c r="AC17" s="11" t="n">
        <f aca="false">AB17*IF(Time!AC22=1,(1+AC14/100)^0.25*(1+AC12/100)^0.25,(1+AC12/100)^0.5)</f>
        <v>127.751167506562</v>
      </c>
      <c r="AD17" s="11" t="n">
        <f aca="false">AC17*IF(Time!AD22=1,(1+AD14/100)^0.25*(1+AD12/100)^0.25,(1+AD12/100)^0.5)</f>
        <v>129.14878527061</v>
      </c>
      <c r="AE17" s="11" t="n">
        <f aca="false">AD17*IF(Time!AE22=1,(1+AE14/100)^0.25*(1+AE12/100)^0.25,(1+AE12/100)^0.5)</f>
        <v>130.561693191706</v>
      </c>
      <c r="AF17" s="11" t="n">
        <f aca="false">AE17*IF(Time!AF22=1,(1+AF14/100)^0.25*(1+AF12/100)^0.25,(1+AF12/100)^0.5)</f>
        <v>131.990058546563</v>
      </c>
      <c r="AG17" s="11" t="n">
        <f aca="false">AF17*IF(Time!AG22=1,(1+AG14/100)^0.25*(1+AG12/100)^0.25,(1+AG12/100)^0.5)</f>
        <v>133.434050441924</v>
      </c>
      <c r="AH17" s="11" t="n">
        <f aca="false">AG17*IF(Time!AH22=1,(1+AH14/100)^0.25*(1+AH12/100)^0.25,(1+AH12/100)^0.5)</f>
        <v>134.893839834587</v>
      </c>
      <c r="AI17" s="11" t="n">
        <f aca="false">AH17*IF(Time!AI22=1,(1+AI14/100)^0.25*(1+AI12/100)^0.25,(1+AI12/100)^0.5)</f>
        <v>136.369599551646</v>
      </c>
      <c r="AJ17" s="11" t="n">
        <f aca="false">AI17*IF(Time!AJ22=1,(1+AJ14/100)^0.25*(1+AJ12/100)^0.25,(1+AJ12/100)^0.5)</f>
        <v>137.861504310948</v>
      </c>
      <c r="AK17" s="11" t="n">
        <f aca="false">AJ17*IF(Time!AK22=1,(1+AK14/100)^0.25*(1+AK12/100)^0.25,(1+AK12/100)^0.5)</f>
        <v>139.369730741782</v>
      </c>
      <c r="AL17" s="11" t="n">
        <f aca="false">AK17*IF(Time!AL22=1,(1+AL14/100)^0.25*(1+AL12/100)^0.25,(1+AL12/100)^0.5)</f>
        <v>140.894457405789</v>
      </c>
      <c r="AM17" s="11" t="n">
        <f aca="false">AL17*IF(Time!AM22=1,(1+AM14/100)^0.25*(1+AM12/100)^0.25,(1+AM12/100)^0.5)</f>
        <v>142.435864818102</v>
      </c>
      <c r="AN17" s="11" t="n">
        <f aca="false">AM17*IF(Time!AN22=1,(1+AN14/100)^0.25*(1+AN12/100)^0.25,(1+AN12/100)^0.5)</f>
        <v>143.994135468717</v>
      </c>
      <c r="AO17" s="11" t="n">
        <f aca="false">AN17*IF(Time!AO22=1,(1+AO14/100)^0.25*(1+AO12/100)^0.25,(1+AO12/100)^0.5)</f>
        <v>145.5694538441</v>
      </c>
      <c r="AP17" s="11" t="n">
        <f aca="false">AO17*IF(Time!AP22=1,(1+AP14/100)^0.25*(1+AP12/100)^0.25,(1+AP12/100)^0.5)</f>
        <v>147.162006449028</v>
      </c>
      <c r="AQ17" s="11" t="n">
        <f aca="false">AP17*IF(Time!AQ22=1,(1+AQ14/100)^0.25*(1+AQ12/100)^0.25,(1+AQ12/100)^0.5)</f>
        <v>148.77198182867</v>
      </c>
      <c r="AR17" s="11" t="n">
        <f aca="false">AQ17*IF(Time!AR22=1,(1+AR14/100)^0.25*(1+AR12/100)^0.25,(1+AR12/100)^0.5)</f>
        <v>150.399570590907</v>
      </c>
      <c r="AS17" s="11" t="n">
        <f aca="false">AR17*IF(Time!AS22=1,(1+AS14/100)^0.25*(1+AS12/100)^0.25,(1+AS12/100)^0.5)</f>
        <v>152.044965428901</v>
      </c>
      <c r="AT17" s="11" t="n">
        <f aca="false">AS17*IF(Time!AT22=1,(1+AT14/100)^0.25*(1+AT12/100)^0.25,(1+AT12/100)^0.5)</f>
        <v>153.708361143907</v>
      </c>
      <c r="AU17" s="11" t="n">
        <f aca="false">AT17*IF(Time!AU22=1,(1+AU14/100)^0.25*(1+AU12/100)^0.25,(1+AU12/100)^0.5)</f>
        <v>155.389954668337</v>
      </c>
      <c r="AV17" s="11" t="n">
        <f aca="false">AU17*IF(Time!AV22=1,(1+AV14/100)^0.25*(1+AV12/100)^0.25,(1+AV12/100)^0.5)</f>
        <v>157.089945089073</v>
      </c>
      <c r="AW17" s="11" t="n">
        <f aca="false">AV17*IF(Time!AW22=1,(1+AW14/100)^0.25*(1+AW12/100)^0.25,(1+AW12/100)^0.5)</f>
        <v>158.80853367104</v>
      </c>
      <c r="AX17" s="11" t="n">
        <f aca="false">AW17*IF(Time!AX22=1,(1+AX14/100)^0.25*(1+AX12/100)^0.25,(1+AX12/100)^0.5)</f>
        <v>160.545923881032</v>
      </c>
      <c r="AY17" s="11" t="n">
        <f aca="false">AX17*IF(Time!AY22=1,(1+AY14/100)^0.25*(1+AY12/100)^0.25,(1+AY12/100)^0.5)</f>
        <v>162.302321411803</v>
      </c>
      <c r="AZ17" s="11" t="n">
        <f aca="false">AY17*IF(Time!AZ22=1,(1+AZ14/100)^0.25*(1+AZ12/100)^0.25,(1+AZ12/100)^0.5)</f>
        <v>164.077934206415</v>
      </c>
      <c r="BA17" s="11" t="n">
        <f aca="false">AZ17*IF(Time!BA22=1,(1+BA14/100)^0.25*(1+BA12/100)^0.25,(1+BA12/100)^0.5)</f>
        <v>165.872972482862</v>
      </c>
      <c r="BB17" s="11" t="n">
        <f aca="false">BA17*IF(Time!BB22=1,(1+BB14/100)^0.25*(1+BB12/100)^0.25,(1+BB12/100)^0.5)</f>
        <v>167.687648758956</v>
      </c>
      <c r="BC17" s="11" t="n">
        <f aca="false">BB17*IF(Time!BC22=1,(1+BC14/100)^0.25*(1+BC12/100)^0.25,(1+BC12/100)^0.5)</f>
        <v>169.522177877485</v>
      </c>
      <c r="BD17" s="11" t="n">
        <f aca="false">BC17*IF(Time!BD22=1,(1+BD14/100)^0.25*(1+BD12/100)^0.25,(1+BD12/100)^0.5)</f>
        <v>171.376777031653</v>
      </c>
      <c r="BE17" s="11" t="n">
        <f aca="false">BD17*IF(Time!BE22=1,(1+BE14/100)^0.25*(1+BE12/100)^0.25,(1+BE12/100)^0.5)</f>
        <v>173.25166579079</v>
      </c>
      <c r="BF17" s="11" t="n">
        <f aca="false">BE17*IF(Time!BF22=1,(1+BF14/100)^0.25*(1+BF12/100)^0.25,(1+BF12/100)^0.5)</f>
        <v>175.147066126349</v>
      </c>
      <c r="BG17" s="11" t="n">
        <f aca="false">BF17*IF(Time!BG22=1,(1+BG14/100)^0.25*(1+BG12/100)^0.25,(1+BG12/100)^0.5)</f>
        <v>177.063202438187</v>
      </c>
      <c r="BH17" s="11" t="n">
        <f aca="false">BG17*IF(Time!BH22=1,(1+BH14/100)^0.25*(1+BH12/100)^0.25,(1+BH12/100)^0.5)</f>
        <v>179.000301581129</v>
      </c>
      <c r="BI17" s="11" t="n">
        <f aca="false">BH17*IF(Time!BI22=1,(1+BI14/100)^0.25*(1+BI12/100)^0.25,(1+BI12/100)^0.5)</f>
        <v>180.958592891827</v>
      </c>
      <c r="BJ17" s="11" t="n">
        <f aca="false">BI17*IF(Time!BJ22=1,(1+BJ14/100)^0.25*(1+BJ12/100)^0.25,(1+BJ12/100)^0.5)</f>
        <v>182.938308215914</v>
      </c>
      <c r="BK17" s="11" t="n">
        <f aca="false">BJ17*IF(Time!BK22=1,(1+BK14/100)^0.25*(1+BK12/100)^0.25,(1+BK12/100)^0.5)</f>
        <v>184.939681935447</v>
      </c>
      <c r="BL17" s="11" t="n">
        <f aca="false">BK17*IF(Time!BL22=1,(1+BL14/100)^0.25*(1+BL12/100)^0.25,(1+BL12/100)^0.5)</f>
        <v>186.962950996664</v>
      </c>
      <c r="BM17" s="11" t="n">
        <f aca="false">BL17*IF(Time!BM22=1,(1+BM14/100)^0.25*(1+BM12/100)^0.25,(1+BM12/100)^0.5)</f>
        <v>189.008354938027</v>
      </c>
      <c r="BN17" s="11" t="n">
        <f aca="false">BM17*IF(Time!BN22=1,(1+BN14/100)^0.25*(1+BN12/100)^0.25,(1+BN12/100)^0.5)</f>
        <v>191.07613591859</v>
      </c>
    </row>
    <row r="18" customFormat="false" ht="15" hidden="false" customHeight="false" outlineLevel="0" collapsed="false">
      <c r="D18" s="0" t="s">
        <v>469</v>
      </c>
      <c r="E18" s="0" t="s">
        <v>91</v>
      </c>
      <c r="J18" s="11" t="n">
        <f aca="false">100*(1+CHOOSE(Inputs!$F$33,INDEX(Inputs!$J$207:$AR$207,1,2016-2014),INDEX(Inputs!$J$209:$AR$209,1,2016-2014),INDEX(Inputs!$J$211:$AR$211,1,2016-2014))/100)^(1/12)*(1+CHOOSE(Inputs!$F$33,INDEX(Inputs!$J$207:$AR$207,1,2017-2014),INDEX(Inputs!$J$209:$AR$209,1,2017-2014),INDEX(Inputs!$J$211:$AR$211,1,2017-2014))/100)*(1+CHOOSE(Inputs!$F$33,INDEX(Inputs!$J$207:$AR$207,1,2018-2014),INDEX(Inputs!$J$209:$AR$209,1,2018-2014),INDEX(Inputs!$J$211:$AR$211,1,2018-2014))/100)^(3/12)</f>
        <v>102.76753032111</v>
      </c>
      <c r="K18" s="11" t="n">
        <f aca="false">J17</f>
        <v>103.89182318471</v>
      </c>
      <c r="L18" s="11" t="n">
        <f aca="false">K17</f>
        <v>105.028415988175</v>
      </c>
      <c r="M18" s="11" t="n">
        <f aca="false">L17</f>
        <v>106.177443294773</v>
      </c>
      <c r="N18" s="11" t="n">
        <f aca="false">M17</f>
        <v>107.339041139915</v>
      </c>
      <c r="O18" s="11" t="n">
        <f aca="false">N17</f>
        <v>108.513347047258</v>
      </c>
      <c r="P18" s="11" t="n">
        <f aca="false">O17</f>
        <v>109.700500044993</v>
      </c>
      <c r="Q18" s="11" t="n">
        <f aca="false">P17</f>
        <v>110.900640682298</v>
      </c>
      <c r="R18" s="11" t="n">
        <f aca="false">Q17</f>
        <v>112.113911045983</v>
      </c>
      <c r="S18" s="11" t="n">
        <f aca="false">R17</f>
        <v>113.340454777308</v>
      </c>
      <c r="T18" s="11" t="n">
        <f aca="false">S17</f>
        <v>114.580417088994</v>
      </c>
      <c r="U18" s="11" t="n">
        <f aca="false">T17</f>
        <v>115.833944782409</v>
      </c>
      <c r="V18" s="11" t="n">
        <f aca="false">U17</f>
        <v>117.101186264952</v>
      </c>
      <c r="W18" s="11" t="n">
        <f aca="false">V17</f>
        <v>118.382291567622</v>
      </c>
      <c r="X18" s="11" t="n">
        <f aca="false">W17</f>
        <v>119.677412362781</v>
      </c>
      <c r="Y18" s="11" t="n">
        <f aca="false">X17</f>
        <v>120.98670198211</v>
      </c>
      <c r="Z18" s="11" t="n">
        <f aca="false">Y17</f>
        <v>122.310315434762</v>
      </c>
      <c r="AA18" s="11" t="n">
        <f aca="false">Z17</f>
        <v>123.648409425716</v>
      </c>
      <c r="AB18" s="11" t="n">
        <f aca="false">AA17</f>
        <v>125.001142374327</v>
      </c>
      <c r="AC18" s="11" t="n">
        <f aca="false">AB17</f>
        <v>126.368674433082</v>
      </c>
      <c r="AD18" s="11" t="n">
        <f aca="false">AC17</f>
        <v>127.751167506562</v>
      </c>
      <c r="AE18" s="11" t="n">
        <f aca="false">AD17</f>
        <v>129.14878527061</v>
      </c>
      <c r="AF18" s="11" t="n">
        <f aca="false">AE17</f>
        <v>130.561693191706</v>
      </c>
      <c r="AG18" s="11" t="n">
        <f aca="false">AF17</f>
        <v>131.990058546563</v>
      </c>
      <c r="AH18" s="11" t="n">
        <f aca="false">AG17</f>
        <v>133.434050441924</v>
      </c>
      <c r="AI18" s="11" t="n">
        <f aca="false">AH17</f>
        <v>134.893839834587</v>
      </c>
      <c r="AJ18" s="11" t="n">
        <f aca="false">AI17</f>
        <v>136.369599551646</v>
      </c>
      <c r="AK18" s="11" t="n">
        <f aca="false">AJ17</f>
        <v>137.861504310948</v>
      </c>
      <c r="AL18" s="11" t="n">
        <f aca="false">AK17</f>
        <v>139.369730741782</v>
      </c>
      <c r="AM18" s="11" t="n">
        <f aca="false">AL17</f>
        <v>140.894457405789</v>
      </c>
      <c r="AN18" s="11" t="n">
        <f aca="false">AM17</f>
        <v>142.435864818102</v>
      </c>
      <c r="AO18" s="11" t="n">
        <f aca="false">AN17</f>
        <v>143.994135468717</v>
      </c>
      <c r="AP18" s="11" t="n">
        <f aca="false">AO17</f>
        <v>145.5694538441</v>
      </c>
      <c r="AQ18" s="11" t="n">
        <f aca="false">AP17</f>
        <v>147.162006449028</v>
      </c>
      <c r="AR18" s="11" t="n">
        <f aca="false">AQ17</f>
        <v>148.77198182867</v>
      </c>
      <c r="AS18" s="11" t="n">
        <f aca="false">AR17</f>
        <v>150.399570590907</v>
      </c>
      <c r="AT18" s="11" t="n">
        <f aca="false">AS17</f>
        <v>152.044965428901</v>
      </c>
      <c r="AU18" s="11" t="n">
        <f aca="false">AT17</f>
        <v>153.708361143907</v>
      </c>
      <c r="AV18" s="11" t="n">
        <f aca="false">AU17</f>
        <v>155.389954668337</v>
      </c>
      <c r="AW18" s="11" t="n">
        <f aca="false">AV17</f>
        <v>157.089945089073</v>
      </c>
      <c r="AX18" s="11" t="n">
        <f aca="false">AW17</f>
        <v>158.80853367104</v>
      </c>
      <c r="AY18" s="11" t="n">
        <f aca="false">AX17</f>
        <v>160.545923881032</v>
      </c>
      <c r="AZ18" s="11" t="n">
        <f aca="false">AY17</f>
        <v>162.302321411803</v>
      </c>
      <c r="BA18" s="11" t="n">
        <f aca="false">AZ17</f>
        <v>164.077934206415</v>
      </c>
      <c r="BB18" s="11" t="n">
        <f aca="false">BA17</f>
        <v>165.872972482862</v>
      </c>
      <c r="BC18" s="11" t="n">
        <f aca="false">BB17</f>
        <v>167.687648758956</v>
      </c>
      <c r="BD18" s="11" t="n">
        <f aca="false">BC17</f>
        <v>169.522177877485</v>
      </c>
      <c r="BE18" s="11" t="n">
        <f aca="false">BD17</f>
        <v>171.376777031653</v>
      </c>
      <c r="BF18" s="11" t="n">
        <f aca="false">BE17</f>
        <v>173.25166579079</v>
      </c>
      <c r="BG18" s="11" t="n">
        <f aca="false">BF17</f>
        <v>175.147066126349</v>
      </c>
      <c r="BH18" s="11" t="n">
        <f aca="false">BG17</f>
        <v>177.063202438187</v>
      </c>
      <c r="BI18" s="11" t="n">
        <f aca="false">BH17</f>
        <v>179.000301581129</v>
      </c>
      <c r="BJ18" s="11" t="n">
        <f aca="false">BI17</f>
        <v>180.958592891827</v>
      </c>
      <c r="BK18" s="11" t="n">
        <f aca="false">BJ17</f>
        <v>182.938308215914</v>
      </c>
      <c r="BL18" s="11" t="n">
        <f aca="false">BK17</f>
        <v>184.939681935447</v>
      </c>
      <c r="BM18" s="11" t="n">
        <f aca="false">BL17</f>
        <v>186.962950996664</v>
      </c>
      <c r="BN18" s="11" t="n">
        <f aca="false">BM17</f>
        <v>189.008354938027</v>
      </c>
    </row>
    <row r="19" customFormat="false" ht="15" hidden="false" customHeight="false" outlineLevel="0" collapsed="false">
      <c r="D19" s="0" t="s">
        <v>470</v>
      </c>
      <c r="E19" s="0" t="s">
        <v>99</v>
      </c>
      <c r="J19" s="11" t="n">
        <f aca="false">J17/$F$16</f>
        <v>1.00545519864786</v>
      </c>
      <c r="K19" s="11" t="n">
        <f aca="false">K17/$F$16</f>
        <v>1.01645503586275</v>
      </c>
      <c r="L19" s="11" t="n">
        <f aca="false">L17/$F$16</f>
        <v>1.02757521301811</v>
      </c>
      <c r="M19" s="11" t="n">
        <f aca="false">M17/$F$16</f>
        <v>1.03881704665173</v>
      </c>
      <c r="N19" s="11" t="n">
        <f aca="false">N17/$F$16</f>
        <v>1.05018186770451</v>
      </c>
      <c r="O19" s="11" t="n">
        <f aca="false">O17/$F$16</f>
        <v>1.06167102167807</v>
      </c>
      <c r="P19" s="11" t="n">
        <f aca="false">P17/$F$16</f>
        <v>1.07328586879401</v>
      </c>
      <c r="Q19" s="11" t="n">
        <f aca="false">Q17/$F$16</f>
        <v>1.08502778415499</v>
      </c>
      <c r="R19" s="11" t="n">
        <f aca="false">R17/$F$16</f>
        <v>1.09689815790748</v>
      </c>
      <c r="S19" s="11" t="n">
        <f aca="false">S17/$F$16</f>
        <v>1.1088983954064</v>
      </c>
      <c r="T19" s="11" t="n">
        <f aca="false">T17/$F$16</f>
        <v>1.12102991738144</v>
      </c>
      <c r="U19" s="11" t="n">
        <f aca="false">U17/$F$16</f>
        <v>1.13329416010534</v>
      </c>
      <c r="V19" s="11" t="n">
        <f aca="false">V17/$F$16</f>
        <v>1.14569257556383</v>
      </c>
      <c r="W19" s="11" t="n">
        <f aca="false">W17/$F$16</f>
        <v>1.15822663162765</v>
      </c>
      <c r="X19" s="11" t="n">
        <f aca="false">X17/$F$16</f>
        <v>1.17089781222624</v>
      </c>
      <c r="Y19" s="11" t="n">
        <f aca="false">Y17/$F$16</f>
        <v>1.18370761752346</v>
      </c>
      <c r="Z19" s="11" t="n">
        <f aca="false">Z17/$F$16</f>
        <v>1.19665756409522</v>
      </c>
      <c r="AA19" s="11" t="n">
        <f aca="false">AA17/$F$16</f>
        <v>1.20974918510898</v>
      </c>
      <c r="AB19" s="11" t="n">
        <f aca="false">AB17/$F$16</f>
        <v>1.22298403050531</v>
      </c>
      <c r="AC19" s="11" t="n">
        <f aca="false">AC17/$F$16</f>
        <v>1.23636366718137</v>
      </c>
      <c r="AD19" s="11" t="n">
        <f aca="false">AD17/$F$16</f>
        <v>1.24988967917643</v>
      </c>
      <c r="AE19" s="11" t="n">
        <f aca="false">AE17/$F$16</f>
        <v>1.26356366785936</v>
      </c>
      <c r="AF19" s="11" t="n">
        <f aca="false">AF17/$F$16</f>
        <v>1.27738725211831</v>
      </c>
      <c r="AG19" s="11" t="n">
        <f aca="false">AG17/$F$16</f>
        <v>1.29136206855227</v>
      </c>
      <c r="AH19" s="11" t="n">
        <f aca="false">AH17/$F$16</f>
        <v>1.30548977166491</v>
      </c>
      <c r="AI19" s="11" t="n">
        <f aca="false">AI17/$F$16</f>
        <v>1.31977203406042</v>
      </c>
      <c r="AJ19" s="11" t="n">
        <f aca="false">AJ17/$F$16</f>
        <v>1.33421054664154</v>
      </c>
      <c r="AK19" s="11" t="n">
        <f aca="false">AK17/$F$16</f>
        <v>1.34880701880975</v>
      </c>
      <c r="AL19" s="11" t="n">
        <f aca="false">AL17/$F$16</f>
        <v>1.36356317866765</v>
      </c>
      <c r="AM19" s="11" t="n">
        <f aca="false">AM17/$F$16</f>
        <v>1.37848077322356</v>
      </c>
      <c r="AN19" s="11" t="n">
        <f aca="false">AN17/$F$16</f>
        <v>1.39356156859834</v>
      </c>
      <c r="AO19" s="11" t="n">
        <f aca="false">AO17/$F$16</f>
        <v>1.40880735023448</v>
      </c>
      <c r="AP19" s="11" t="n">
        <f aca="false">AP17/$F$16</f>
        <v>1.4242199231075</v>
      </c>
      <c r="AQ19" s="11" t="n">
        <f aca="false">AQ17/$F$16</f>
        <v>1.43980111193964</v>
      </c>
      <c r="AR19" s="11" t="n">
        <f aca="false">AR17/$F$16</f>
        <v>1.45555276141587</v>
      </c>
      <c r="AS19" s="11" t="n">
        <f aca="false">AS17/$F$16</f>
        <v>1.47147673640231</v>
      </c>
      <c r="AT19" s="11" t="n">
        <f aca="false">AT17/$F$16</f>
        <v>1.48757492216702</v>
      </c>
      <c r="AU19" s="11" t="n">
        <f aca="false">AU17/$F$16</f>
        <v>1.50384922460316</v>
      </c>
      <c r="AV19" s="11" t="n">
        <f aca="false">AV17/$F$16</f>
        <v>1.52030157045469</v>
      </c>
      <c r="AW19" s="11" t="n">
        <f aca="false">AW17/$F$16</f>
        <v>1.53693390754443</v>
      </c>
      <c r="AX19" s="11" t="n">
        <f aca="false">AX17/$F$16</f>
        <v>1.55374820500469</v>
      </c>
      <c r="AY19" s="11" t="n">
        <f aca="false">AY17/$F$16</f>
        <v>1.57074645351041</v>
      </c>
      <c r="AZ19" s="11" t="n">
        <f aca="false">AZ17/$F$16</f>
        <v>1.5879306655148</v>
      </c>
      <c r="BA19" s="11" t="n">
        <f aca="false">BA17/$F$16</f>
        <v>1.60530287548764</v>
      </c>
      <c r="BB19" s="11" t="n">
        <f aca="false">BB17/$F$16</f>
        <v>1.62286514015612</v>
      </c>
      <c r="BC19" s="11" t="n">
        <f aca="false">BC17/$F$16</f>
        <v>1.64061953874836</v>
      </c>
      <c r="BD19" s="11" t="n">
        <f aca="false">BD17/$F$16</f>
        <v>1.65856817323956</v>
      </c>
      <c r="BE19" s="11" t="n">
        <f aca="false">BE17/$F$16</f>
        <v>1.67671316860083</v>
      </c>
      <c r="BF19" s="11" t="n">
        <f aca="false">BF17/$F$16</f>
        <v>1.69505667305083</v>
      </c>
      <c r="BG19" s="11" t="n">
        <f aca="false">BG17/$F$16</f>
        <v>1.71360085831005</v>
      </c>
      <c r="BH19" s="11" t="n">
        <f aca="false">BH17/$F$16</f>
        <v>1.73234791985794</v>
      </c>
      <c r="BI19" s="11" t="n">
        <f aca="false">BI17/$F$16</f>
        <v>1.75130007719287</v>
      </c>
      <c r="BJ19" s="11" t="n">
        <f aca="false">BJ17/$F$16</f>
        <v>1.77045957409482</v>
      </c>
      <c r="BK19" s="11" t="n">
        <f aca="false">BK17/$F$16</f>
        <v>1.78982867889111</v>
      </c>
      <c r="BL19" s="11" t="n">
        <f aca="false">BL17/$F$16</f>
        <v>1.8094096847249</v>
      </c>
      <c r="BM19" s="11" t="n">
        <f aca="false">BM17/$F$16</f>
        <v>1.82920490982671</v>
      </c>
      <c r="BN19" s="11" t="n">
        <f aca="false">BN17/$F$16</f>
        <v>1.84921669778885</v>
      </c>
    </row>
    <row r="20" customFormat="false" ht="15" hidden="false" customHeight="false" outlineLevel="0" collapsed="false">
      <c r="D20" s="0" t="s">
        <v>471</v>
      </c>
      <c r="E20" s="0" t="s">
        <v>91</v>
      </c>
      <c r="F20" s="6" t="n">
        <f aca="false">100*(1+CHOOSE(Inputs!$F$33,INDEX(Inputs!$J$208:$AR$208,1,2016-2014),INDEX(Inputs!$J$210:$AR$210,1,2016-2014),INDEX(Inputs!$J$212:$AR$212,1,2016-2014))/100)^(1/12)*(1+CHOOSE(Inputs!$F$33,INDEX(Inputs!$J$208:$AR$208,1,2017-2014),INDEX(Inputs!$J$210:$AR$210,1,2017-2014),INDEX(Inputs!$J$212:$AR$212,1,2017-2014))/100)*(1+CHOOSE(Inputs!$F$33,INDEX(Inputs!$J$208:$AR$208,1,2018-2014),INDEX(Inputs!$J$210:$AR$210,1,2018-2014),INDEX(Inputs!$J$212:$AR$212,1,2018-2014))/100)^(6/12)</f>
        <v>112.922730143092</v>
      </c>
    </row>
    <row r="21" customFormat="false" ht="15" hidden="false" customHeight="false" outlineLevel="0" collapsed="false">
      <c r="D21" s="0" t="s">
        <v>472</v>
      </c>
      <c r="E21" s="0" t="s">
        <v>91</v>
      </c>
      <c r="J21" s="11" t="n">
        <f aca="false">100*(1+CHOOSE(Inputs!$F$33,INDEX(Inputs!$J$208:$AR$208,1,2016-2014),INDEX(Inputs!$J$210:$AR$210,1,2016-2014),INDEX(Inputs!$J$212:$AR$212,1,2016-2014))/100)^(1/12)*(1+CHOOSE(Inputs!$F$33,INDEX(Inputs!$J$208:$AR$208,1,2017-2014),INDEX(Inputs!$J$210:$AR$210,1,2017-2014),INDEX(Inputs!$J$212:$AR$212,1,2017-2014))/100)*(1+CHOOSE(Inputs!$F$33,INDEX(Inputs!$J$208:$AR$208,1,2018-2014),INDEX(Inputs!$J$210:$AR$210,1,2018-2014),INDEX(Inputs!$J$212:$AR$212,1,2018-2014))/100)^(9/12)</f>
        <v>114.982960309515</v>
      </c>
      <c r="K21" s="11" t="n">
        <f aca="false">J21*IF(Time!K22=1,(1+K15/100)^0.25*(1+K13/100)^0.25,(1+K13/100)^0.5)</f>
        <v>119.216870654513</v>
      </c>
      <c r="L21" s="11" t="n">
        <f aca="false">K21*IF(Time!L22=1,(1+L15/100)^0.25*(1+L13/100)^0.25,(1+L13/100)^0.5)</f>
        <v>123.606682332728</v>
      </c>
      <c r="M21" s="11" t="n">
        <f aca="false">L21*IF(Time!M22=1,(1+M15/100)^0.25*(1+M13/100)^0.25,(1+M13/100)^0.5)</f>
        <v>128.158135953601</v>
      </c>
      <c r="N21" s="11" t="n">
        <f aca="false">M21*IF(Time!N22=1,(1+N15/100)^0.25*(1+N13/100)^0.25,(1+N13/100)^0.5)</f>
        <v>132.877183507683</v>
      </c>
      <c r="O21" s="11" t="n">
        <f aca="false">N21*IF(Time!O22=1,(1+O15/100)^0.25*(1+O13/100)^0.25,(1+O13/100)^0.5)</f>
        <v>137.769996150121</v>
      </c>
      <c r="P21" s="11" t="n">
        <f aca="false">O21*IF(Time!P22=1,(1+P15/100)^0.25*(1+P13/100)^0.25,(1+P13/100)^0.5)</f>
        <v>142.842972270759</v>
      </c>
      <c r="Q21" s="11" t="n">
        <f aca="false">P21*IF(Time!Q22=1,(1+Q15/100)^0.25*(1+Q13/100)^0.25,(1+Q13/100)^0.5)</f>
        <v>148.102745861381</v>
      </c>
      <c r="R21" s="11" t="n">
        <f aca="false">Q21*IF(Time!R22=1,(1+R15/100)^0.25*(1+R13/100)^0.25,(1+R13/100)^0.5)</f>
        <v>153.556195191066</v>
      </c>
      <c r="S21" s="11" t="n">
        <f aca="false">R21*IF(Time!S22=1,(1+S15/100)^0.25*(1+S13/100)^0.25,(1+S13/100)^0.5)</f>
        <v>159.210451800984</v>
      </c>
      <c r="T21" s="11" t="n">
        <f aca="false">S21*IF(Time!T22=1,(1+T15/100)^0.25*(1+T13/100)^0.25,(1+T13/100)^0.5)</f>
        <v>165.072909830396</v>
      </c>
      <c r="U21" s="11" t="n">
        <f aca="false">T21*IF(Time!U22=1,(1+U15/100)^0.25*(1+U13/100)^0.25,(1+U13/100)^0.5)</f>
        <v>171.151235686058</v>
      </c>
      <c r="V21" s="11" t="n">
        <f aca="false">U21*IF(Time!V22=1,(1+V15/100)^0.25*(1+V13/100)^0.25,(1+V13/100)^0.5)</f>
        <v>177.453378067675</v>
      </c>
      <c r="W21" s="11" t="n">
        <f aca="false">V21*IF(Time!W22=1,(1+W15/100)^0.25*(1+W13/100)^0.25,(1+W13/100)^0.5)</f>
        <v>183.987578362512</v>
      </c>
      <c r="X21" s="11" t="n">
        <f aca="false">W21*IF(Time!X22=1,(1+X15/100)^0.25*(1+X13/100)^0.25,(1+X13/100)^0.5)</f>
        <v>190.762381422751</v>
      </c>
      <c r="Y21" s="11" t="n">
        <f aca="false">X21*IF(Time!Y22=1,(1+Y15/100)^0.25*(1+Y13/100)^0.25,(1+Y13/100)^0.5)</f>
        <v>197.786646739701</v>
      </c>
      <c r="Z21" s="11" t="n">
        <f aca="false">Y21*IF(Time!Z22=1,(1+Z15/100)^0.25*(1+Z13/100)^0.25,(1+Z13/100)^0.5)</f>
        <v>205.069560029457</v>
      </c>
      <c r="AA21" s="11" t="n">
        <f aca="false">Z21*IF(Time!AA22=1,(1+AA15/100)^0.25*(1+AA13/100)^0.25,(1+AA13/100)^0.5)</f>
        <v>212.620645245178</v>
      </c>
      <c r="AB21" s="11" t="n">
        <f aca="false">AA21*IF(Time!AB22=1,(1+AB15/100)^0.25*(1+AB13/100)^0.25,(1+AB13/100)^0.5)</f>
        <v>220.449777031667</v>
      </c>
      <c r="AC21" s="11" t="n">
        <f aca="false">AB21*IF(Time!AC22=1,(1+AC15/100)^0.25*(1+AC13/100)^0.25,(1+AC13/100)^0.5)</f>
        <v>228.567193638566</v>
      </c>
      <c r="AD21" s="11" t="n">
        <f aca="false">AC21*IF(Time!AD22=1,(1+AD15/100)^0.25*(1+AD13/100)^0.25,(1+AD13/100)^0.5)</f>
        <v>236.983510309042</v>
      </c>
      <c r="AE21" s="11" t="n">
        <f aca="false">AD21*IF(Time!AE22=1,(1+AE15/100)^0.25*(1+AE13/100)^0.25,(1+AE13/100)^0.5)</f>
        <v>245.709733161459</v>
      </c>
      <c r="AF21" s="11" t="n">
        <f aca="false">AE21*IF(Time!AF22=1,(1+AF15/100)^0.25*(1+AF13/100)^0.25,(1+AF13/100)^0.5)</f>
        <v>254.75727358222</v>
      </c>
      <c r="AG21" s="11" t="n">
        <f aca="false">AF21*IF(Time!AG22=1,(1+AG15/100)^0.25*(1+AG13/100)^0.25,(1+AG13/100)^0.5)</f>
        <v>264.137963148568</v>
      </c>
      <c r="AH21" s="11" t="n">
        <f aca="false">AG21*IF(Time!AH22=1,(1+AH15/100)^0.25*(1+AH13/100)^0.25,(1+AH13/100)^0.5)</f>
        <v>273.864069100886</v>
      </c>
      <c r="AI21" s="11" t="n">
        <f aca="false">AH21*IF(Time!AI22=1,(1+AI15/100)^0.25*(1+AI13/100)^0.25,(1+AI13/100)^0.5)</f>
        <v>283.948310384711</v>
      </c>
      <c r="AJ21" s="11" t="n">
        <f aca="false">AI21*IF(Time!AJ22=1,(1+AJ15/100)^0.25*(1+AJ13/100)^0.25,(1+AJ13/100)^0.5)</f>
        <v>294.403874283453</v>
      </c>
      <c r="AK21" s="11" t="n">
        <f aca="false">AJ21*IF(Time!AK22=1,(1+AK15/100)^0.25*(1+AK13/100)^0.25,(1+AK13/100)^0.5)</f>
        <v>305.244433663564</v>
      </c>
      <c r="AL21" s="11" t="n">
        <f aca="false">AK21*IF(Time!AL22=1,(1+AL15/100)^0.25*(1+AL13/100)^0.25,(1+AL13/100)^0.5)</f>
        <v>316.484164854711</v>
      </c>
      <c r="AM21" s="11" t="n">
        <f aca="false">AL21*IF(Time!AM22=1,(1+AM15/100)^0.25*(1+AM13/100)^0.25,(1+AM13/100)^0.5)</f>
        <v>328.137766188331</v>
      </c>
      <c r="AN21" s="11" t="n">
        <f aca="false">AM21*IF(Time!AN22=1,(1+AN15/100)^0.25*(1+AN13/100)^0.25,(1+AN13/100)^0.5)</f>
        <v>340.220477218815</v>
      </c>
      <c r="AO21" s="11" t="n">
        <f aca="false">AN21*IF(Time!AO22=1,(1+AO15/100)^0.25*(1+AO13/100)^0.25,(1+AO13/100)^0.5)</f>
        <v>352.748098652456</v>
      </c>
      <c r="AP21" s="11" t="n">
        <f aca="false">AO21*IF(Time!AP22=1,(1+AP15/100)^0.25*(1+AP13/100)^0.25,(1+AP13/100)^0.5)</f>
        <v>365.737013010226</v>
      </c>
      <c r="AQ21" s="11" t="n">
        <f aca="false">AP21*IF(Time!AQ22=1,(1+AQ15/100)^0.25*(1+AQ13/100)^0.25,(1+AQ13/100)^0.5)</f>
        <v>379.20420605139</v>
      </c>
      <c r="AR21" s="11" t="n">
        <f aca="false">AQ21*IF(Time!AR22=1,(1+AR15/100)^0.25*(1+AR13/100)^0.25,(1+AR13/100)^0.5)</f>
        <v>393.167288985993</v>
      </c>
      <c r="AS21" s="11" t="n">
        <f aca="false">AR21*IF(Time!AS22=1,(1+AS15/100)^0.25*(1+AS13/100)^0.25,(1+AS13/100)^0.5)</f>
        <v>407.644521505245</v>
      </c>
      <c r="AT21" s="11" t="n">
        <f aca="false">AS21*IF(Time!AT22=1,(1+AT15/100)^0.25*(1+AT13/100)^0.25,(1+AT13/100)^0.5)</f>
        <v>422.654835659942</v>
      </c>
      <c r="AU21" s="11" t="n">
        <f aca="false">AT21*IF(Time!AU22=1,(1+AU15/100)^0.25*(1+AU13/100)^0.25,(1+AU13/100)^0.5)</f>
        <v>438.217860618138</v>
      </c>
      <c r="AV21" s="11" t="n">
        <f aca="false">AU21*IF(Time!AV22=1,(1+AV15/100)^0.25*(1+AV13/100)^0.25,(1+AV13/100)^0.5)</f>
        <v>454.353948334438</v>
      </c>
      <c r="AW21" s="11" t="n">
        <f aca="false">AV21*IF(Time!AW22=1,(1+AW15/100)^0.25*(1+AW13/100)^0.25,(1+AW13/100)^0.5)</f>
        <v>471.084200164498</v>
      </c>
      <c r="AX21" s="11" t="n">
        <f aca="false">AW21*IF(Time!AX22=1,(1+AX15/100)^0.25*(1+AX13/100)^0.25,(1+AX13/100)^0.5)</f>
        <v>488.430494459521</v>
      </c>
      <c r="AY21" s="11" t="n">
        <f aca="false">AX21*IF(Time!AY22=1,(1+AY15/100)^0.25*(1+AY13/100)^0.25,(1+AY13/100)^0.5)</f>
        <v>506.415515176835</v>
      </c>
      <c r="AZ21" s="11" t="n">
        <f aca="false">AY21*IF(Time!AZ22=1,(1+AZ15/100)^0.25*(1+AZ13/100)^0.25,(1+AZ13/100)^0.5)</f>
        <v>525.062781543984</v>
      </c>
      <c r="BA21" s="11" t="n">
        <f aca="false">AZ21*IF(Time!BA22=1,(1+BA15/100)^0.25*(1+BA13/100)^0.25,(1+BA13/100)^0.5)</f>
        <v>544.396678815098</v>
      </c>
      <c r="BB21" s="11" t="n">
        <f aca="false">BA21*IF(Time!BB22=1,(1+BB15/100)^0.25*(1+BB13/100)^0.25,(1+BB13/100)^0.5)</f>
        <v>564.442490159783</v>
      </c>
      <c r="BC21" s="11" t="n">
        <f aca="false">BB21*IF(Time!BC22=1,(1+BC15/100)^0.25*(1+BC13/100)^0.25,(1+BC13/100)^0.5)</f>
        <v>585.22642972623</v>
      </c>
      <c r="BD21" s="11" t="n">
        <f aca="false">BC21*IF(Time!BD22=1,(1+BD15/100)^0.25*(1+BD13/100)^0.25,(1+BD13/100)^0.5)</f>
        <v>606.775676921767</v>
      </c>
      <c r="BE21" s="11" t="n">
        <f aca="false">BD21*IF(Time!BE22=1,(1+BE15/100)^0.25*(1+BE13/100)^0.25,(1+BE13/100)^0.5)</f>
        <v>629.118411955697</v>
      </c>
      <c r="BF21" s="11" t="n">
        <f aca="false">BE21*IF(Time!BF22=1,(1+BF15/100)^0.25*(1+BF13/100)^0.25,(1+BF13/100)^0.5)</f>
        <v>652.283852690899</v>
      </c>
      <c r="BG21" s="11" t="n">
        <f aca="false">BF21*IF(Time!BG22=1,(1+BG15/100)^0.25*(1+BG13/100)^0.25,(1+BG13/100)^0.5)</f>
        <v>676.302292852375</v>
      </c>
      <c r="BH21" s="11" t="n">
        <f aca="false">BG21*IF(Time!BH22=1,(1+BH15/100)^0.25*(1+BH13/100)^0.25,(1+BH13/100)^0.5)</f>
        <v>701.205141642717</v>
      </c>
      <c r="BI21" s="11" t="n">
        <f aca="false">BH21*IF(Time!BI22=1,(1+BI15/100)^0.25*(1+BI13/100)^0.25,(1+BI13/100)^0.5)</f>
        <v>727.024964816303</v>
      </c>
      <c r="BJ21" s="11" t="n">
        <f aca="false">BI21*IF(Time!BJ22=1,(1+BJ15/100)^0.25*(1+BJ13/100)^0.25,(1+BJ13/100)^0.5)</f>
        <v>753.79552726592</v>
      </c>
      <c r="BK21" s="11" t="n">
        <f aca="false">BJ21*IF(Time!BK22=1,(1+BK15/100)^0.25*(1+BK13/100)^0.25,(1+BK13/100)^0.5)</f>
        <v>781.551837177525</v>
      </c>
      <c r="BL21" s="11" t="n">
        <f aca="false">BK21*IF(Time!BL22=1,(1+BL15/100)^0.25*(1+BL13/100)^0.25,(1+BL13/100)^0.5)</f>
        <v>810.330191810864</v>
      </c>
      <c r="BM21" s="11" t="n">
        <f aca="false">BL21*IF(Time!BM22=1,(1+BM15/100)^0.25*(1+BM13/100)^0.25,(1+BM13/100)^0.5)</f>
        <v>840.168224965839</v>
      </c>
      <c r="BN21" s="11" t="n">
        <f aca="false">BM21*IF(Time!BN22=1,(1+BN15/100)^0.25*(1+BN13/100)^0.25,(1+BN13/100)^0.5)</f>
        <v>871.104956196679</v>
      </c>
    </row>
    <row r="22" customFormat="false" ht="15" hidden="false" customHeight="false" outlineLevel="0" collapsed="false">
      <c r="D22" s="0" t="s">
        <v>473</v>
      </c>
      <c r="E22" s="0" t="s">
        <v>91</v>
      </c>
      <c r="J22" s="11" t="n">
        <f aca="false">100*(1+CHOOSE(Inputs!$F$33,INDEX(Inputs!$J$208:$AR$208,1,2016-2014),INDEX(Inputs!$J$210:$AR$210,1,2016-2014),INDEX(Inputs!$J$212:$AR$212,1,2016-2014))/100)^(1/12)*(1+CHOOSE(Inputs!$F$33,INDEX(Inputs!$J$208:$AR$208,1,2017-2014),INDEX(Inputs!$J$210:$AR$210,1,2017-2014),INDEX(Inputs!$J$212:$AR$212,1,2017-2014))/100)*(1+CHOOSE(Inputs!$F$33,INDEX(Inputs!$J$208:$AR$208,1,2018-2014),INDEX(Inputs!$J$210:$AR$210,1,2018-2014),INDEX(Inputs!$J$212:$AR$212,1,2018-2014))/100)^(3/12)</f>
        <v>110.899414562338</v>
      </c>
      <c r="K22" s="11" t="n">
        <f aca="false">J21</f>
        <v>114.982960309515</v>
      </c>
      <c r="L22" s="11" t="n">
        <f aca="false">K21</f>
        <v>119.216870654513</v>
      </c>
      <c r="M22" s="11" t="n">
        <f aca="false">L21</f>
        <v>123.606682332728</v>
      </c>
      <c r="N22" s="11" t="n">
        <f aca="false">M21</f>
        <v>128.158135953601</v>
      </c>
      <c r="O22" s="11" t="n">
        <f aca="false">N21</f>
        <v>132.877183507683</v>
      </c>
      <c r="P22" s="11" t="n">
        <f aca="false">O21</f>
        <v>137.769996150121</v>
      </c>
      <c r="Q22" s="11" t="n">
        <f aca="false">P21</f>
        <v>142.842972270759</v>
      </c>
      <c r="R22" s="11" t="n">
        <f aca="false">Q21</f>
        <v>148.102745861381</v>
      </c>
      <c r="S22" s="11" t="n">
        <f aca="false">R21</f>
        <v>153.556195191066</v>
      </c>
      <c r="T22" s="11" t="n">
        <f aca="false">S21</f>
        <v>159.210451800984</v>
      </c>
      <c r="U22" s="11" t="n">
        <f aca="false">T21</f>
        <v>165.072909830396</v>
      </c>
      <c r="V22" s="11" t="n">
        <f aca="false">U21</f>
        <v>171.151235686058</v>
      </c>
      <c r="W22" s="11" t="n">
        <f aca="false">V21</f>
        <v>177.453378067675</v>
      </c>
      <c r="X22" s="11" t="n">
        <f aca="false">W21</f>
        <v>183.987578362512</v>
      </c>
      <c r="Y22" s="11" t="n">
        <f aca="false">X21</f>
        <v>190.762381422751</v>
      </c>
      <c r="Z22" s="11" t="n">
        <f aca="false">Y21</f>
        <v>197.786646739701</v>
      </c>
      <c r="AA22" s="11" t="n">
        <f aca="false">Z21</f>
        <v>205.069560029457</v>
      </c>
      <c r="AB22" s="11" t="n">
        <f aca="false">AA21</f>
        <v>212.620645245178</v>
      </c>
      <c r="AC22" s="11" t="n">
        <f aca="false">AB21</f>
        <v>220.449777031667</v>
      </c>
      <c r="AD22" s="11" t="n">
        <f aca="false">AC21</f>
        <v>228.567193638566</v>
      </c>
      <c r="AE22" s="11" t="n">
        <f aca="false">AD21</f>
        <v>236.983510309042</v>
      </c>
      <c r="AF22" s="11" t="n">
        <f aca="false">AE21</f>
        <v>245.709733161459</v>
      </c>
      <c r="AG22" s="11" t="n">
        <f aca="false">AF21</f>
        <v>254.75727358222</v>
      </c>
      <c r="AH22" s="11" t="n">
        <f aca="false">AG21</f>
        <v>264.137963148568</v>
      </c>
      <c r="AI22" s="11" t="n">
        <f aca="false">AH21</f>
        <v>273.864069100886</v>
      </c>
      <c r="AJ22" s="11" t="n">
        <f aca="false">AI21</f>
        <v>283.948310384711</v>
      </c>
      <c r="AK22" s="11" t="n">
        <f aca="false">AJ21</f>
        <v>294.403874283453</v>
      </c>
      <c r="AL22" s="11" t="n">
        <f aca="false">AK21</f>
        <v>305.244433663564</v>
      </c>
      <c r="AM22" s="11" t="n">
        <f aca="false">AL21</f>
        <v>316.484164854711</v>
      </c>
      <c r="AN22" s="11" t="n">
        <f aca="false">AM21</f>
        <v>328.137766188331</v>
      </c>
      <c r="AO22" s="11" t="n">
        <f aca="false">AN21</f>
        <v>340.220477218815</v>
      </c>
      <c r="AP22" s="11" t="n">
        <f aca="false">AO21</f>
        <v>352.748098652456</v>
      </c>
      <c r="AQ22" s="11" t="n">
        <f aca="false">AP21</f>
        <v>365.737013010226</v>
      </c>
      <c r="AR22" s="11" t="n">
        <f aca="false">AQ21</f>
        <v>379.20420605139</v>
      </c>
      <c r="AS22" s="11" t="n">
        <f aca="false">AR21</f>
        <v>393.167288985993</v>
      </c>
      <c r="AT22" s="11" t="n">
        <f aca="false">AS21</f>
        <v>407.644521505245</v>
      </c>
      <c r="AU22" s="11" t="n">
        <f aca="false">AT21</f>
        <v>422.654835659942</v>
      </c>
      <c r="AV22" s="11" t="n">
        <f aca="false">AU21</f>
        <v>438.217860618138</v>
      </c>
      <c r="AW22" s="11" t="n">
        <f aca="false">AV21</f>
        <v>454.353948334438</v>
      </c>
      <c r="AX22" s="11" t="n">
        <f aca="false">AW21</f>
        <v>471.084200164498</v>
      </c>
      <c r="AY22" s="11" t="n">
        <f aca="false">AX21</f>
        <v>488.430494459521</v>
      </c>
      <c r="AZ22" s="11" t="n">
        <f aca="false">AY21</f>
        <v>506.415515176835</v>
      </c>
      <c r="BA22" s="11" t="n">
        <f aca="false">AZ21</f>
        <v>525.062781543984</v>
      </c>
      <c r="BB22" s="11" t="n">
        <f aca="false">BA21</f>
        <v>544.396678815098</v>
      </c>
      <c r="BC22" s="11" t="n">
        <f aca="false">BB21</f>
        <v>564.442490159783</v>
      </c>
      <c r="BD22" s="11" t="n">
        <f aca="false">BC21</f>
        <v>585.22642972623</v>
      </c>
      <c r="BE22" s="11" t="n">
        <f aca="false">BD21</f>
        <v>606.775676921767</v>
      </c>
      <c r="BF22" s="11" t="n">
        <f aca="false">BE21</f>
        <v>629.118411955697</v>
      </c>
      <c r="BG22" s="11" t="n">
        <f aca="false">BF21</f>
        <v>652.283852690899</v>
      </c>
      <c r="BH22" s="11" t="n">
        <f aca="false">BG21</f>
        <v>676.302292852375</v>
      </c>
      <c r="BI22" s="11" t="n">
        <f aca="false">BH21</f>
        <v>701.205141642717</v>
      </c>
      <c r="BJ22" s="11" t="n">
        <f aca="false">BI21</f>
        <v>727.024964816303</v>
      </c>
      <c r="BK22" s="11" t="n">
        <f aca="false">BJ21</f>
        <v>753.79552726592</v>
      </c>
      <c r="BL22" s="11" t="n">
        <f aca="false">BK21</f>
        <v>781.551837177525</v>
      </c>
      <c r="BM22" s="11" t="n">
        <f aca="false">BL21</f>
        <v>810.330191810864</v>
      </c>
      <c r="BN22" s="11" t="n">
        <f aca="false">BM21</f>
        <v>840.168224965839</v>
      </c>
    </row>
    <row r="23" customFormat="false" ht="15" hidden="false" customHeight="false" outlineLevel="0" collapsed="false">
      <c r="D23" s="0" t="s">
        <v>474</v>
      </c>
      <c r="E23" s="0" t="s">
        <v>99</v>
      </c>
      <c r="J23" s="11" t="n">
        <f aca="false">J21/$F$20</f>
        <v>1.01824460109857</v>
      </c>
      <c r="K23" s="11" t="n">
        <f aca="false">K21/$F$20</f>
        <v>1.05573847270115</v>
      </c>
      <c r="L23" s="11" t="n">
        <f aca="false">L21/$F$20</f>
        <v>1.09461294618096</v>
      </c>
      <c r="M23" s="11" t="n">
        <f aca="false">M21/$F$20</f>
        <v>1.13491885815374</v>
      </c>
      <c r="N23" s="11" t="n">
        <f aca="false">N21/$F$20</f>
        <v>1.17670891714453</v>
      </c>
      <c r="O23" s="11" t="n">
        <f aca="false">O21/$F$20</f>
        <v>1.22003777251527</v>
      </c>
      <c r="P23" s="11" t="n">
        <f aca="false">P21/$F$20</f>
        <v>1.26496208593037</v>
      </c>
      <c r="Q23" s="11" t="n">
        <f aca="false">Q21/$F$20</f>
        <v>1.31154060545392</v>
      </c>
      <c r="R23" s="11" t="n">
        <f aca="false">R21/$F$20</f>
        <v>1.35983424237515</v>
      </c>
      <c r="S23" s="11" t="n">
        <f aca="false">S21/$F$20</f>
        <v>1.40990615086296</v>
      </c>
      <c r="T23" s="11" t="n">
        <f aca="false">T21/$F$20</f>
        <v>1.46182181055329</v>
      </c>
      <c r="U23" s="11" t="n">
        <f aca="false">U21/$F$20</f>
        <v>1.51564911217768</v>
      </c>
      <c r="V23" s="11" t="n">
        <f aca="false">V21/$F$20</f>
        <v>1.57145844634479</v>
      </c>
      <c r="W23" s="11" t="n">
        <f aca="false">W21/$F$20</f>
        <v>1.62932279559101</v>
      </c>
      <c r="X23" s="11" t="n">
        <f aca="false">X21/$F$20</f>
        <v>1.68931782982064</v>
      </c>
      <c r="Y23" s="11" t="n">
        <f aca="false">Y21/$F$20</f>
        <v>1.75152200526033</v>
      </c>
      <c r="Z23" s="11" t="n">
        <f aca="false">Z21/$F$20</f>
        <v>1.81601666705719</v>
      </c>
      <c r="AA23" s="11" t="n">
        <f aca="false">AA21/$F$20</f>
        <v>1.88288615565486</v>
      </c>
      <c r="AB23" s="11" t="n">
        <f aca="false">AB21/$F$20</f>
        <v>1.95221791708648</v>
      </c>
      <c r="AC23" s="11" t="n">
        <f aca="false">AC21/$F$20</f>
        <v>2.02410261732897</v>
      </c>
      <c r="AD23" s="11" t="n">
        <f aca="false">AD21/$F$20</f>
        <v>2.09863426086797</v>
      </c>
      <c r="AE23" s="11" t="n">
        <f aca="false">AE21/$F$20</f>
        <v>2.17591031362864</v>
      </c>
      <c r="AF23" s="11" t="n">
        <f aca="false">AF21/$F$20</f>
        <v>2.25603183043306</v>
      </c>
      <c r="AG23" s="11" t="n">
        <f aca="false">AG21/$F$20</f>
        <v>2.33910358715079</v>
      </c>
      <c r="AH23" s="11" t="n">
        <f aca="false">AH21/$F$20</f>
        <v>2.42523421771554</v>
      </c>
      <c r="AI23" s="11" t="n">
        <f aca="false">AI21/$F$20</f>
        <v>2.5145363561871</v>
      </c>
      <c r="AJ23" s="11" t="n">
        <f aca="false">AJ21/$F$20</f>
        <v>2.60712678404421</v>
      </c>
      <c r="AK23" s="11" t="n">
        <f aca="false">AK21/$F$20</f>
        <v>2.70312658290113</v>
      </c>
      <c r="AL23" s="11" t="n">
        <f aca="false">AL21/$F$20</f>
        <v>2.80266129284752</v>
      </c>
      <c r="AM23" s="11" t="n">
        <f aca="false">AM21/$F$20</f>
        <v>2.90586107661872</v>
      </c>
      <c r="AN23" s="11" t="n">
        <f aca="false">AN21/$F$20</f>
        <v>3.01286088981109</v>
      </c>
      <c r="AO23" s="11" t="n">
        <f aca="false">AO21/$F$20</f>
        <v>3.12380065736512</v>
      </c>
      <c r="AP23" s="11" t="n">
        <f aca="false">AP21/$F$20</f>
        <v>3.23882545654692</v>
      </c>
      <c r="AQ23" s="11" t="n">
        <f aca="false">AQ21/$F$20</f>
        <v>3.3580857066675</v>
      </c>
      <c r="AR23" s="11" t="n">
        <f aca="false">AR21/$F$20</f>
        <v>3.48173736578794</v>
      </c>
      <c r="AS23" s="11" t="n">
        <f aca="false">AS21/$F$20</f>
        <v>3.60994213466757</v>
      </c>
      <c r="AT23" s="11" t="n">
        <f aca="false">AT21/$F$20</f>
        <v>3.74286766822203</v>
      </c>
      <c r="AU23" s="11" t="n">
        <f aca="false">AU21/$F$20</f>
        <v>3.88068779476763</v>
      </c>
      <c r="AV23" s="11" t="n">
        <f aca="false">AV21/$F$20</f>
        <v>4.02358274333869</v>
      </c>
      <c r="AW23" s="11" t="n">
        <f aca="false">AW21/$F$20</f>
        <v>4.17173937937521</v>
      </c>
      <c r="AX23" s="11" t="n">
        <f aca="false">AX21/$F$20</f>
        <v>4.32535144908909</v>
      </c>
      <c r="AY23" s="11" t="n">
        <f aca="false">AY21/$F$20</f>
        <v>4.48461983282835</v>
      </c>
      <c r="AZ23" s="11" t="n">
        <f aca="false">AZ21/$F$20</f>
        <v>4.64975280777077</v>
      </c>
      <c r="BA23" s="11" t="n">
        <f aca="false">BA21/$F$20</f>
        <v>4.82096632029047</v>
      </c>
      <c r="BB23" s="11" t="n">
        <f aca="false">BB21/$F$20</f>
        <v>4.99848426835357</v>
      </c>
      <c r="BC23" s="11" t="n">
        <f aca="false">BC21/$F$20</f>
        <v>5.18253879431226</v>
      </c>
      <c r="BD23" s="11" t="n">
        <f aca="false">BD21/$F$20</f>
        <v>5.37337058848009</v>
      </c>
      <c r="BE23" s="11" t="n">
        <f aca="false">BE21/$F$20</f>
        <v>5.57122920388567</v>
      </c>
      <c r="BF23" s="11" t="n">
        <f aca="false">BF21/$F$20</f>
        <v>5.7763733826161</v>
      </c>
      <c r="BG23" s="11" t="n">
        <f aca="false">BG21/$F$20</f>
        <v>5.9890713941771</v>
      </c>
      <c r="BH23" s="11" t="n">
        <f aca="false">BH21/$F$20</f>
        <v>6.2096013863123</v>
      </c>
      <c r="BI23" s="11" t="n">
        <f aca="false">BI21/$F$20</f>
        <v>6.43825174874038</v>
      </c>
      <c r="BJ23" s="11" t="n">
        <f aca="false">BJ21/$F$20</f>
        <v>6.67532149028573</v>
      </c>
      <c r="BK23" s="11" t="n">
        <f aca="false">BK21/$F$20</f>
        <v>6.92112062989591</v>
      </c>
      <c r="BL23" s="11" t="n">
        <f aca="false">BL21/$F$20</f>
        <v>7.17597060205715</v>
      </c>
      <c r="BM23" s="11" t="n">
        <f aca="false">BM21/$F$20</f>
        <v>7.4402046771381</v>
      </c>
      <c r="BN23" s="11" t="n">
        <f aca="false">BN21/$F$20</f>
        <v>7.71416839721144</v>
      </c>
    </row>
    <row r="24" customFormat="false" ht="15" hidden="false" customHeight="false" outlineLevel="0" collapsed="false">
      <c r="B24" s="2" t="s">
        <v>475</v>
      </c>
    </row>
    <row r="25" customFormat="false" ht="15" hidden="false" customHeight="false" outlineLevel="0" collapsed="false">
      <c r="D25" s="0" t="s">
        <v>476</v>
      </c>
      <c r="E25" s="0" t="s">
        <v>477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2</v>
      </c>
      <c r="S25" s="9" t="n">
        <f aca="false">INT(Time!S27/12)+1</f>
        <v>2</v>
      </c>
      <c r="T25" s="9" t="n">
        <f aca="false">INT(Time!T27/12)+1</f>
        <v>3</v>
      </c>
      <c r="U25" s="9" t="n">
        <f aca="false">INT(Time!U27/12)+1</f>
        <v>3</v>
      </c>
      <c r="V25" s="9" t="n">
        <f aca="false">INT(Time!V27/12)+1</f>
        <v>4</v>
      </c>
      <c r="W25" s="9" t="n">
        <f aca="false">INT(Time!W27/12)+1</f>
        <v>4</v>
      </c>
      <c r="X25" s="9" t="n">
        <f aca="false">INT(Time!X27/12)+1</f>
        <v>5</v>
      </c>
      <c r="Y25" s="9" t="n">
        <f aca="false">INT(Time!Y27/12)+1</f>
        <v>5</v>
      </c>
      <c r="Z25" s="9" t="n">
        <f aca="false">INT(Time!Z27/12)+1</f>
        <v>6</v>
      </c>
      <c r="AA25" s="9" t="n">
        <f aca="false">INT(Time!AA27/12)+1</f>
        <v>6</v>
      </c>
      <c r="AB25" s="9" t="n">
        <f aca="false">INT(Time!AB27/12)+1</f>
        <v>7</v>
      </c>
      <c r="AC25" s="9" t="n">
        <f aca="false">INT(Time!AC27/12)+1</f>
        <v>7</v>
      </c>
      <c r="AD25" s="9" t="n">
        <f aca="false">INT(Time!AD27/12)+1</f>
        <v>8</v>
      </c>
      <c r="AE25" s="9" t="n">
        <f aca="false">INT(Time!AE27/12)+1</f>
        <v>8</v>
      </c>
      <c r="AF25" s="9" t="n">
        <f aca="false">INT(Time!AF27/12)+1</f>
        <v>9</v>
      </c>
      <c r="AG25" s="9" t="n">
        <f aca="false">INT(Time!AG27/12)+1</f>
        <v>9</v>
      </c>
      <c r="AH25" s="9" t="n">
        <f aca="false">INT(Time!AH27/12)+1</f>
        <v>10</v>
      </c>
      <c r="AI25" s="9" t="n">
        <f aca="false">INT(Time!AI27/12)+1</f>
        <v>10</v>
      </c>
      <c r="AJ25" s="9" t="n">
        <f aca="false">INT(Time!AJ27/12)+1</f>
        <v>11</v>
      </c>
      <c r="AK25" s="9" t="n">
        <f aca="false">INT(Time!AK27/12)+1</f>
        <v>11</v>
      </c>
      <c r="AL25" s="9" t="n">
        <f aca="false">INT(Time!AL27/12)+1</f>
        <v>12</v>
      </c>
      <c r="AM25" s="9" t="n">
        <f aca="false">INT(Time!AM27/12)+1</f>
        <v>12</v>
      </c>
      <c r="AN25" s="9" t="n">
        <f aca="false">INT(Time!AN27/12)+1</f>
        <v>13</v>
      </c>
      <c r="AO25" s="9" t="n">
        <f aca="false">INT(Time!AO27/12)+1</f>
        <v>13</v>
      </c>
      <c r="AP25" s="9" t="n">
        <f aca="false">INT(Time!AP27/12)+1</f>
        <v>14</v>
      </c>
      <c r="AQ25" s="9" t="n">
        <f aca="false">INT(Time!AQ27/12)+1</f>
        <v>14</v>
      </c>
      <c r="AR25" s="9" t="n">
        <f aca="false">INT(Time!AR27/12)+1</f>
        <v>15</v>
      </c>
      <c r="AS25" s="9" t="n">
        <f aca="false">INT(Time!AS27/12)+1</f>
        <v>15</v>
      </c>
      <c r="AT25" s="9" t="n">
        <f aca="false">INT(Time!AT27/12)+1</f>
        <v>16</v>
      </c>
      <c r="AU25" s="9" t="n">
        <f aca="false">INT(Time!AU27/12)+1</f>
        <v>16</v>
      </c>
      <c r="AV25" s="9" t="n">
        <f aca="false">INT(Time!AV27/12)+1</f>
        <v>17</v>
      </c>
      <c r="AW25" s="9" t="n">
        <f aca="false">INT(Time!AW27/12)+1</f>
        <v>17</v>
      </c>
      <c r="AX25" s="9" t="n">
        <f aca="false">INT(Time!AX27/12)+1</f>
        <v>18</v>
      </c>
      <c r="AY25" s="9" t="n">
        <f aca="false">INT(Time!AY27/12)+1</f>
        <v>18</v>
      </c>
      <c r="AZ25" s="9" t="n">
        <f aca="false">INT(Time!AZ27/12)+1</f>
        <v>19</v>
      </c>
      <c r="BA25" s="9" t="n">
        <f aca="false">INT(Time!BA27/12)+1</f>
        <v>19</v>
      </c>
      <c r="BB25" s="9" t="n">
        <f aca="false">INT(Time!BB27/12)+1</f>
        <v>20</v>
      </c>
      <c r="BC25" s="9" t="n">
        <f aca="false">INT(Time!BC27/12)+1</f>
        <v>20</v>
      </c>
      <c r="BD25" s="9" t="n">
        <f aca="false">INT(Time!BD27/12)+1</f>
        <v>21</v>
      </c>
      <c r="BE25" s="9" t="n">
        <f aca="false">INT(Time!BE27/12)+1</f>
        <v>21</v>
      </c>
      <c r="BF25" s="9" t="n">
        <f aca="false">INT(Time!BF27/12)+1</f>
        <v>22</v>
      </c>
      <c r="BG25" s="9" t="n">
        <f aca="false">INT(Time!BG27/12)+1</f>
        <v>22</v>
      </c>
      <c r="BH25" s="9" t="n">
        <f aca="false">INT(Time!BH27/12)+1</f>
        <v>23</v>
      </c>
      <c r="BI25" s="9" t="n">
        <f aca="false">INT(Time!BI27/12)+1</f>
        <v>23</v>
      </c>
      <c r="BJ25" s="9" t="n">
        <f aca="false">INT(Time!BJ27/12)+1</f>
        <v>24</v>
      </c>
      <c r="BK25" s="9" t="n">
        <f aca="false">INT(Time!BK27/12)+1</f>
        <v>24</v>
      </c>
      <c r="BL25" s="9" t="n">
        <f aca="false">INT(Time!BL27/12)+1</f>
        <v>25</v>
      </c>
      <c r="BM25" s="9" t="n">
        <f aca="false">INT(Time!BM27/12)+1</f>
        <v>25</v>
      </c>
      <c r="BN25" s="9" t="n">
        <f aca="false">INT(Time!BN27/12)+1</f>
        <v>26</v>
      </c>
    </row>
    <row r="26" customFormat="false" ht="15" hidden="false" customHeight="false" outlineLevel="0" collapsed="false">
      <c r="D26" s="0" t="s">
        <v>478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2</v>
      </c>
      <c r="P26" s="9" t="n">
        <f aca="false">MIN(Time!P28,P25*12)-Time!P27</f>
        <v>6</v>
      </c>
      <c r="Q26" s="9" t="n">
        <f aca="false">MIN(Time!Q28,Q25*12)-Time!Q27</f>
        <v>4</v>
      </c>
      <c r="R26" s="9" t="n">
        <f aca="false">MIN(Time!R28,R25*12)-Time!R27</f>
        <v>6</v>
      </c>
      <c r="S26" s="9" t="n">
        <f aca="false">MIN(Time!S28,S25*12)-Time!S27</f>
        <v>4</v>
      </c>
      <c r="T26" s="9" t="n">
        <f aca="false">MIN(Time!T28,T25*12)-Time!T27</f>
        <v>6</v>
      </c>
      <c r="U26" s="9" t="n">
        <f aca="false">MIN(Time!U28,U25*12)-Time!U27</f>
        <v>4</v>
      </c>
      <c r="V26" s="9" t="n">
        <f aca="false">MIN(Time!V28,V25*12)-Time!V27</f>
        <v>6</v>
      </c>
      <c r="W26" s="9" t="n">
        <f aca="false">MIN(Time!W28,W25*12)-Time!W27</f>
        <v>4</v>
      </c>
      <c r="X26" s="9" t="n">
        <f aca="false">MIN(Time!X28,X25*12)-Time!X27</f>
        <v>6</v>
      </c>
      <c r="Y26" s="9" t="n">
        <f aca="false">MIN(Time!Y28,Y25*12)-Time!Y27</f>
        <v>4</v>
      </c>
      <c r="Z26" s="9" t="n">
        <f aca="false">MIN(Time!Z28,Z25*12)-Time!Z27</f>
        <v>6</v>
      </c>
      <c r="AA26" s="9" t="n">
        <f aca="false">MIN(Time!AA28,AA25*12)-Time!AA27</f>
        <v>4</v>
      </c>
      <c r="AB26" s="9" t="n">
        <f aca="false">MIN(Time!AB28,AB25*12)-Time!AB27</f>
        <v>6</v>
      </c>
      <c r="AC26" s="9" t="n">
        <f aca="false">MIN(Time!AC28,AC25*12)-Time!AC27</f>
        <v>4</v>
      </c>
      <c r="AD26" s="9" t="n">
        <f aca="false">MIN(Time!AD28,AD25*12)-Time!AD27</f>
        <v>6</v>
      </c>
      <c r="AE26" s="9" t="n">
        <f aca="false">MIN(Time!AE28,AE25*12)-Time!AE27</f>
        <v>4</v>
      </c>
      <c r="AF26" s="9" t="n">
        <f aca="false">MIN(Time!AF28,AF25*12)-Time!AF27</f>
        <v>6</v>
      </c>
      <c r="AG26" s="9" t="n">
        <f aca="false">MIN(Time!AG28,AG25*12)-Time!AG27</f>
        <v>4</v>
      </c>
      <c r="AH26" s="9" t="n">
        <f aca="false">MIN(Time!AH28,AH25*12)-Time!AH27</f>
        <v>6</v>
      </c>
      <c r="AI26" s="9" t="n">
        <f aca="false">MIN(Time!AI28,AI25*12)-Time!AI27</f>
        <v>4</v>
      </c>
      <c r="AJ26" s="9" t="n">
        <f aca="false">MIN(Time!AJ28,AJ25*12)-Time!AJ27</f>
        <v>6</v>
      </c>
      <c r="AK26" s="9" t="n">
        <f aca="false">MIN(Time!AK28,AK25*12)-Time!AK27</f>
        <v>4</v>
      </c>
      <c r="AL26" s="9" t="n">
        <f aca="false">MIN(Time!AL28,AL25*12)-Time!AL27</f>
        <v>6</v>
      </c>
      <c r="AM26" s="9" t="n">
        <f aca="false">MIN(Time!AM28,AM25*12)-Time!AM27</f>
        <v>4</v>
      </c>
      <c r="AN26" s="9" t="n">
        <f aca="false">MIN(Time!AN28,AN25*12)-Time!AN27</f>
        <v>6</v>
      </c>
      <c r="AO26" s="9" t="n">
        <f aca="false">MIN(Time!AO28,AO25*12)-Time!AO27</f>
        <v>4</v>
      </c>
      <c r="AP26" s="9" t="n">
        <f aca="false">MIN(Time!AP28,AP25*12)-Time!AP27</f>
        <v>6</v>
      </c>
      <c r="AQ26" s="9" t="n">
        <f aca="false">MIN(Time!AQ28,AQ25*12)-Time!AQ27</f>
        <v>4</v>
      </c>
      <c r="AR26" s="9" t="n">
        <f aca="false">MIN(Time!AR28,AR25*12)-Time!AR27</f>
        <v>6</v>
      </c>
      <c r="AS26" s="9" t="n">
        <f aca="false">MIN(Time!AS28,AS25*12)-Time!AS27</f>
        <v>4</v>
      </c>
      <c r="AT26" s="9" t="n">
        <f aca="false">MIN(Time!AT28,AT25*12)-Time!AT27</f>
        <v>6</v>
      </c>
      <c r="AU26" s="9" t="n">
        <f aca="false">MIN(Time!AU28,AU25*12)-Time!AU27</f>
        <v>4</v>
      </c>
      <c r="AV26" s="9" t="n">
        <f aca="false">MIN(Time!AV28,AV25*12)-Time!AV27</f>
        <v>6</v>
      </c>
      <c r="AW26" s="9" t="n">
        <f aca="false">MIN(Time!AW28,AW25*12)-Time!AW27</f>
        <v>4</v>
      </c>
      <c r="AX26" s="9" t="n">
        <f aca="false">MIN(Time!AX28,AX25*12)-Time!AX27</f>
        <v>6</v>
      </c>
      <c r="AY26" s="9" t="n">
        <f aca="false">MIN(Time!AY28,AY25*12)-Time!AY27</f>
        <v>4</v>
      </c>
      <c r="AZ26" s="9" t="n">
        <f aca="false">MIN(Time!AZ28,AZ25*12)-Time!AZ27</f>
        <v>6</v>
      </c>
      <c r="BA26" s="9" t="n">
        <f aca="false">MIN(Time!BA28,BA25*12)-Time!BA27</f>
        <v>4</v>
      </c>
      <c r="BB26" s="9" t="n">
        <f aca="false">MIN(Time!BB28,BB25*12)-Time!BB27</f>
        <v>6</v>
      </c>
      <c r="BC26" s="9" t="n">
        <f aca="false">MIN(Time!BC28,BC25*12)-Time!BC27</f>
        <v>4</v>
      </c>
      <c r="BD26" s="9" t="n">
        <f aca="false">MIN(Time!BD28,BD25*12)-Time!BD27</f>
        <v>6</v>
      </c>
      <c r="BE26" s="9" t="n">
        <f aca="false">MIN(Time!BE28,BE25*12)-Time!BE27</f>
        <v>4</v>
      </c>
      <c r="BF26" s="9" t="n">
        <f aca="false">MIN(Time!BF28,BF25*12)-Time!BF27</f>
        <v>6</v>
      </c>
      <c r="BG26" s="9" t="n">
        <f aca="false">MIN(Time!BG28,BG25*12)-Time!BG27</f>
        <v>4</v>
      </c>
      <c r="BH26" s="9" t="n">
        <f aca="false">MIN(Time!BH28,BH25*12)-Time!BH27</f>
        <v>6</v>
      </c>
      <c r="BI26" s="9" t="n">
        <f aca="false">MIN(Time!BI28,BI25*12)-Time!BI27</f>
        <v>4</v>
      </c>
      <c r="BJ26" s="9" t="n">
        <f aca="false">MIN(Time!BJ28,BJ25*12)-Time!BJ27</f>
        <v>6</v>
      </c>
      <c r="BK26" s="9" t="n">
        <f aca="false">MIN(Time!BK28,BK25*12)-Time!BK27</f>
        <v>4</v>
      </c>
      <c r="BL26" s="9" t="n">
        <f aca="false">MIN(Time!BL28,BL25*12)-Time!BL27</f>
        <v>6</v>
      </c>
      <c r="BM26" s="9" t="n">
        <f aca="false">MIN(Time!BM28,BM25*12)-Time!BM27</f>
        <v>4</v>
      </c>
      <c r="BN26" s="9" t="n">
        <f aca="false">MIN(Time!BN28,BN25*12)-Time!BN27</f>
        <v>0</v>
      </c>
    </row>
    <row r="27" customFormat="false" ht="15" hidden="false" customHeight="false" outlineLevel="0" collapsed="false">
      <c r="D27" s="0" t="s">
        <v>479</v>
      </c>
      <c r="E27" s="0" t="s">
        <v>103</v>
      </c>
      <c r="J27" s="11" t="n">
        <f aca="false">IF(Time!J25&gt;0,(J26*INDEX(Inputs!$J$226:$Q$226,1,MOD(J25-1,8)+1)+(Time!J25-J26)*INDEX(Inputs!$J$226:$Q$226,1,MOD(J25,8)+1))/Time!J25,0)</f>
        <v>0</v>
      </c>
      <c r="K27" s="11" t="n">
        <f aca="false">IF(Time!K25&gt;0,(K26*INDEX(Inputs!$J$226:$Q$226,1,MOD(K25-1,8)+1)+(Time!K25-K26)*INDEX(Inputs!$J$226:$Q$226,1,MOD(K25,8)+1))/Time!K25,0)</f>
        <v>0</v>
      </c>
      <c r="L27" s="11" t="n">
        <f aca="false">IF(Time!L25&gt;0,(L26*INDEX(Inputs!$J$226:$Q$226,1,MOD(L25-1,8)+1)+(Time!L25-L26)*INDEX(Inputs!$J$226:$Q$226,1,MOD(L25,8)+1))/Time!L25,0)</f>
        <v>0</v>
      </c>
      <c r="M27" s="11" t="n">
        <f aca="false">IF(Time!M25&gt;0,(M26*INDEX(Inputs!$J$226:$Q$226,1,MOD(M25-1,8)+1)+(Time!M25-M26)*INDEX(Inputs!$J$226:$Q$226,1,MOD(M25,8)+1))/Time!M25,0)</f>
        <v>0</v>
      </c>
      <c r="N27" s="11" t="n">
        <f aca="false">IF(Time!N25&gt;0,(N26*INDEX(Inputs!$J$226:$Q$226,1,MOD(N25-1,8)+1)+(Time!N25-N26)*INDEX(Inputs!$J$226:$Q$226,1,MOD(N25,8)+1))/Time!N25,0)</f>
        <v>0</v>
      </c>
      <c r="O27" s="11" t="n">
        <f aca="false">IF(Time!O25&gt;0,(O26*INDEX(Inputs!$J$226:$Q$226,1,MOD(O25-1,8)+1)+(Time!O25-O26)*INDEX(Inputs!$J$226:$Q$226,1,MOD(O25,8)+1))/Time!O25,0)</f>
        <v>93.8</v>
      </c>
      <c r="P27" s="11" t="n">
        <f aca="false">IF(Time!P25&gt;0,(P26*INDEX(Inputs!$J$226:$Q$226,1,MOD(P25-1,8)+1)+(Time!P25-P26)*INDEX(Inputs!$J$226:$Q$226,1,MOD(P25,8)+1))/Time!P25,0)</f>
        <v>93.8</v>
      </c>
      <c r="Q27" s="11" t="n">
        <f aca="false">IF(Time!Q25&gt;0,(Q26*INDEX(Inputs!$J$226:$Q$226,1,MOD(Q25-1,8)+1)+(Time!Q25-Q26)*INDEX(Inputs!$J$226:$Q$226,1,MOD(Q25,8)+1))/Time!Q25,0)</f>
        <v>93.5</v>
      </c>
      <c r="R27" s="11" t="n">
        <f aca="false">IF(Time!R25&gt;0,(R26*INDEX(Inputs!$J$226:$Q$226,1,MOD(R25-1,8)+1)+(Time!R25-R26)*INDEX(Inputs!$J$226:$Q$226,1,MOD(R25,8)+1))/Time!R25,0)</f>
        <v>92.9</v>
      </c>
      <c r="S27" s="11" t="n">
        <f aca="false">IF(Time!S25&gt;0,(S26*INDEX(Inputs!$J$226:$Q$226,1,MOD(S25-1,8)+1)+(Time!S25-S26)*INDEX(Inputs!$J$226:$Q$226,1,MOD(S25,8)+1))/Time!S25,0)</f>
        <v>93.2</v>
      </c>
      <c r="T27" s="11" t="n">
        <f aca="false">IF(Time!T25&gt;0,(T26*INDEX(Inputs!$J$226:$Q$226,1,MOD(T25-1,8)+1)+(Time!T25-T26)*INDEX(Inputs!$J$226:$Q$226,1,MOD(T25,8)+1))/Time!T25,0)</f>
        <v>93.8</v>
      </c>
      <c r="U27" s="11" t="n">
        <f aca="false">IF(Time!U25&gt;0,(U26*INDEX(Inputs!$J$226:$Q$226,1,MOD(U25-1,8)+1)+(Time!U25-U26)*INDEX(Inputs!$J$226:$Q$226,1,MOD(U25,8)+1))/Time!U25,0)</f>
        <v>92.7333333333333</v>
      </c>
      <c r="V27" s="11" t="n">
        <f aca="false">IF(Time!V25&gt;0,(V26*INDEX(Inputs!$J$226:$Q$226,1,MOD(V25-1,8)+1)+(Time!V25-V26)*INDEX(Inputs!$J$226:$Q$226,1,MOD(V25,8)+1))/Time!V25,0)</f>
        <v>90.6</v>
      </c>
      <c r="W27" s="11" t="n">
        <f aca="false">IF(Time!W25&gt;0,(W26*INDEX(Inputs!$J$226:$Q$226,1,MOD(W25-1,8)+1)+(Time!W25-W26)*INDEX(Inputs!$J$226:$Q$226,1,MOD(W25,8)+1))/Time!W25,0)</f>
        <v>91.6666666666667</v>
      </c>
      <c r="X27" s="11" t="n">
        <f aca="false">IF(Time!X25&gt;0,(X26*INDEX(Inputs!$J$226:$Q$226,1,MOD(X25-1,8)+1)+(Time!X25-X26)*INDEX(Inputs!$J$226:$Q$226,1,MOD(X25,8)+1))/Time!X25,0)</f>
        <v>93.8</v>
      </c>
      <c r="Y27" s="11" t="n">
        <f aca="false">IF(Time!Y25&gt;0,(Y26*INDEX(Inputs!$J$226:$Q$226,1,MOD(Y25-1,8)+1)+(Time!Y25-Y26)*INDEX(Inputs!$J$226:$Q$226,1,MOD(Y25,8)+1))/Time!Y25,0)</f>
        <v>93.5</v>
      </c>
      <c r="Z27" s="11" t="n">
        <f aca="false">IF(Time!Z25&gt;0,(Z26*INDEX(Inputs!$J$226:$Q$226,1,MOD(Z25-1,8)+1)+(Time!Z25-Z26)*INDEX(Inputs!$J$226:$Q$226,1,MOD(Z25,8)+1))/Time!Z25,0)</f>
        <v>92.9</v>
      </c>
      <c r="AA27" s="11" t="n">
        <f aca="false">IF(Time!AA25&gt;0,(AA26*INDEX(Inputs!$J$226:$Q$226,1,MOD(AA25-1,8)+1)+(Time!AA25-AA26)*INDEX(Inputs!$J$226:$Q$226,1,MOD(AA25,8)+1))/Time!AA25,0)</f>
        <v>93.2</v>
      </c>
      <c r="AB27" s="11" t="n">
        <f aca="false">IF(Time!AB25&gt;0,(AB26*INDEX(Inputs!$J$226:$Q$226,1,MOD(AB25-1,8)+1)+(Time!AB25-AB26)*INDEX(Inputs!$J$226:$Q$226,1,MOD(AB25,8)+1))/Time!AB25,0)</f>
        <v>93.8</v>
      </c>
      <c r="AC27" s="11" t="n">
        <f aca="false">IF(Time!AC25&gt;0,(AC26*INDEX(Inputs!$J$226:$Q$226,1,MOD(AC25-1,8)+1)+(Time!AC25-AC26)*INDEX(Inputs!$J$226:$Q$226,1,MOD(AC25,8)+1))/Time!AC25,0)</f>
        <v>92.1</v>
      </c>
      <c r="AD27" s="11" t="n">
        <f aca="false">IF(Time!AD25&gt;0,(AD26*INDEX(Inputs!$J$226:$Q$226,1,MOD(AD25-1,8)+1)+(Time!AD25-AD26)*INDEX(Inputs!$J$226:$Q$226,1,MOD(AD25,8)+1))/Time!AD25,0)</f>
        <v>88.7</v>
      </c>
      <c r="AE27" s="11" t="n">
        <f aca="false">IF(Time!AE25&gt;0,(AE26*INDEX(Inputs!$J$226:$Q$226,1,MOD(AE25-1,8)+1)+(Time!AE25-AE26)*INDEX(Inputs!$J$226:$Q$226,1,MOD(AE25,8)+1))/Time!AE25,0)</f>
        <v>90.4</v>
      </c>
      <c r="AF27" s="11" t="n">
        <f aca="false">IF(Time!AF25&gt;0,(AF26*INDEX(Inputs!$J$226:$Q$226,1,MOD(AF25-1,8)+1)+(Time!AF25-AF26)*INDEX(Inputs!$J$226:$Q$226,1,MOD(AF25,8)+1))/Time!AF25,0)</f>
        <v>93.8</v>
      </c>
      <c r="AG27" s="11" t="n">
        <f aca="false">IF(Time!AG25&gt;0,(AG26*INDEX(Inputs!$J$226:$Q$226,1,MOD(AG25-1,8)+1)+(Time!AG25-AG26)*INDEX(Inputs!$J$226:$Q$226,1,MOD(AG25,8)+1))/Time!AG25,0)</f>
        <v>93.5</v>
      </c>
      <c r="AH27" s="11" t="n">
        <f aca="false">IF(Time!AH25&gt;0,(AH26*INDEX(Inputs!$J$226:$Q$226,1,MOD(AH25-1,8)+1)+(Time!AH25-AH26)*INDEX(Inputs!$J$226:$Q$226,1,MOD(AH25,8)+1))/Time!AH25,0)</f>
        <v>92.9</v>
      </c>
      <c r="AI27" s="11" t="n">
        <f aca="false">IF(Time!AI25&gt;0,(AI26*INDEX(Inputs!$J$226:$Q$226,1,MOD(AI25-1,8)+1)+(Time!AI25-AI26)*INDEX(Inputs!$J$226:$Q$226,1,MOD(AI25,8)+1))/Time!AI25,0)</f>
        <v>93.2</v>
      </c>
      <c r="AJ27" s="11" t="n">
        <f aca="false">IF(Time!AJ25&gt;0,(AJ26*INDEX(Inputs!$J$226:$Q$226,1,MOD(AJ25-1,8)+1)+(Time!AJ25-AJ26)*INDEX(Inputs!$J$226:$Q$226,1,MOD(AJ25,8)+1))/Time!AJ25,0)</f>
        <v>93.8</v>
      </c>
      <c r="AK27" s="11" t="n">
        <f aca="false">IF(Time!AK25&gt;0,(AK26*INDEX(Inputs!$J$226:$Q$226,1,MOD(AK25-1,8)+1)+(Time!AK25-AK26)*INDEX(Inputs!$J$226:$Q$226,1,MOD(AK25,8)+1))/Time!AK25,0)</f>
        <v>92.7333333333333</v>
      </c>
      <c r="AL27" s="11" t="n">
        <f aca="false">IF(Time!AL25&gt;0,(AL26*INDEX(Inputs!$J$226:$Q$226,1,MOD(AL25-1,8)+1)+(Time!AL25-AL26)*INDEX(Inputs!$J$226:$Q$226,1,MOD(AL25,8)+1))/Time!AL25,0)</f>
        <v>90.6</v>
      </c>
      <c r="AM27" s="11" t="n">
        <f aca="false">IF(Time!AM25&gt;0,(AM26*INDEX(Inputs!$J$226:$Q$226,1,MOD(AM25-1,8)+1)+(Time!AM25-AM26)*INDEX(Inputs!$J$226:$Q$226,1,MOD(AM25,8)+1))/Time!AM25,0)</f>
        <v>91.6666666666667</v>
      </c>
      <c r="AN27" s="11" t="n">
        <f aca="false">IF(Time!AN25&gt;0,(AN26*INDEX(Inputs!$J$226:$Q$226,1,MOD(AN25-1,8)+1)+(Time!AN25-AN26)*INDEX(Inputs!$J$226:$Q$226,1,MOD(AN25,8)+1))/Time!AN25,0)</f>
        <v>93.8</v>
      </c>
      <c r="AO27" s="11" t="n">
        <f aca="false">IF(Time!AO25&gt;0,(AO26*INDEX(Inputs!$J$226:$Q$226,1,MOD(AO25-1,8)+1)+(Time!AO25-AO26)*INDEX(Inputs!$J$226:$Q$226,1,MOD(AO25,8)+1))/Time!AO25,0)</f>
        <v>93.5</v>
      </c>
      <c r="AP27" s="11" t="n">
        <f aca="false">IF(Time!AP25&gt;0,(AP26*INDEX(Inputs!$J$226:$Q$226,1,MOD(AP25-1,8)+1)+(Time!AP25-AP26)*INDEX(Inputs!$J$226:$Q$226,1,MOD(AP25,8)+1))/Time!AP25,0)</f>
        <v>92.9</v>
      </c>
      <c r="AQ27" s="11" t="n">
        <f aca="false">IF(Time!AQ25&gt;0,(AQ26*INDEX(Inputs!$J$226:$Q$226,1,MOD(AQ25-1,8)+1)+(Time!AQ25-AQ26)*INDEX(Inputs!$J$226:$Q$226,1,MOD(AQ25,8)+1))/Time!AQ25,0)</f>
        <v>93.2</v>
      </c>
      <c r="AR27" s="11" t="n">
        <f aca="false">IF(Time!AR25&gt;0,(AR26*INDEX(Inputs!$J$226:$Q$226,1,MOD(AR25-1,8)+1)+(Time!AR25-AR26)*INDEX(Inputs!$J$226:$Q$226,1,MOD(AR25,8)+1))/Time!AR25,0)</f>
        <v>93.8</v>
      </c>
      <c r="AS27" s="11" t="n">
        <f aca="false">IF(Time!AS25&gt;0,(AS26*INDEX(Inputs!$J$226:$Q$226,1,MOD(AS25-1,8)+1)+(Time!AS25-AS26)*INDEX(Inputs!$J$226:$Q$226,1,MOD(AS25,8)+1))/Time!AS25,0)</f>
        <v>92.1</v>
      </c>
      <c r="AT27" s="11" t="n">
        <f aca="false">IF(Time!AT25&gt;0,(AT26*INDEX(Inputs!$J$226:$Q$226,1,MOD(AT25-1,8)+1)+(Time!AT25-AT26)*INDEX(Inputs!$J$226:$Q$226,1,MOD(AT25,8)+1))/Time!AT25,0)</f>
        <v>88.7</v>
      </c>
      <c r="AU27" s="11" t="n">
        <f aca="false">IF(Time!AU25&gt;0,(AU26*INDEX(Inputs!$J$226:$Q$226,1,MOD(AU25-1,8)+1)+(Time!AU25-AU26)*INDEX(Inputs!$J$226:$Q$226,1,MOD(AU25,8)+1))/Time!AU25,0)</f>
        <v>90.4</v>
      </c>
      <c r="AV27" s="11" t="n">
        <f aca="false">IF(Time!AV25&gt;0,(AV26*INDEX(Inputs!$J$226:$Q$226,1,MOD(AV25-1,8)+1)+(Time!AV25-AV26)*INDEX(Inputs!$J$226:$Q$226,1,MOD(AV25,8)+1))/Time!AV25,0)</f>
        <v>93.8</v>
      </c>
      <c r="AW27" s="11" t="n">
        <f aca="false">IF(Time!AW25&gt;0,(AW26*INDEX(Inputs!$J$226:$Q$226,1,MOD(AW25-1,8)+1)+(Time!AW25-AW26)*INDEX(Inputs!$J$226:$Q$226,1,MOD(AW25,8)+1))/Time!AW25,0)</f>
        <v>93.5</v>
      </c>
      <c r="AX27" s="11" t="n">
        <f aca="false">IF(Time!AX25&gt;0,(AX26*INDEX(Inputs!$J$226:$Q$226,1,MOD(AX25-1,8)+1)+(Time!AX25-AX26)*INDEX(Inputs!$J$226:$Q$226,1,MOD(AX25,8)+1))/Time!AX25,0)</f>
        <v>92.9</v>
      </c>
      <c r="AY27" s="11" t="n">
        <f aca="false">IF(Time!AY25&gt;0,(AY26*INDEX(Inputs!$J$226:$Q$226,1,MOD(AY25-1,8)+1)+(Time!AY25-AY26)*INDEX(Inputs!$J$226:$Q$226,1,MOD(AY25,8)+1))/Time!AY25,0)</f>
        <v>93.2</v>
      </c>
      <c r="AZ27" s="11" t="n">
        <f aca="false">IF(Time!AZ25&gt;0,(AZ26*INDEX(Inputs!$J$226:$Q$226,1,MOD(AZ25-1,8)+1)+(Time!AZ25-AZ26)*INDEX(Inputs!$J$226:$Q$226,1,MOD(AZ25,8)+1))/Time!AZ25,0)</f>
        <v>93.8</v>
      </c>
      <c r="BA27" s="11" t="n">
        <f aca="false">IF(Time!BA25&gt;0,(BA26*INDEX(Inputs!$J$226:$Q$226,1,MOD(BA25-1,8)+1)+(Time!BA25-BA26)*INDEX(Inputs!$J$226:$Q$226,1,MOD(BA25,8)+1))/Time!BA25,0)</f>
        <v>92.7333333333333</v>
      </c>
      <c r="BB27" s="11" t="n">
        <f aca="false">IF(Time!BB25&gt;0,(BB26*INDEX(Inputs!$J$226:$Q$226,1,MOD(BB25-1,8)+1)+(Time!BB25-BB26)*INDEX(Inputs!$J$226:$Q$226,1,MOD(BB25,8)+1))/Time!BB25,0)</f>
        <v>90.6</v>
      </c>
      <c r="BC27" s="11" t="n">
        <f aca="false">IF(Time!BC25&gt;0,(BC26*INDEX(Inputs!$J$226:$Q$226,1,MOD(BC25-1,8)+1)+(Time!BC25-BC26)*INDEX(Inputs!$J$226:$Q$226,1,MOD(BC25,8)+1))/Time!BC25,0)</f>
        <v>91.6666666666667</v>
      </c>
      <c r="BD27" s="11" t="n">
        <f aca="false">IF(Time!BD25&gt;0,(BD26*INDEX(Inputs!$J$226:$Q$226,1,MOD(BD25-1,8)+1)+(Time!BD25-BD26)*INDEX(Inputs!$J$226:$Q$226,1,MOD(BD25,8)+1))/Time!BD25,0)</f>
        <v>93.8</v>
      </c>
      <c r="BE27" s="11" t="n">
        <f aca="false">IF(Time!BE25&gt;0,(BE26*INDEX(Inputs!$J$226:$Q$226,1,MOD(BE25-1,8)+1)+(Time!BE25-BE26)*INDEX(Inputs!$J$226:$Q$226,1,MOD(BE25,8)+1))/Time!BE25,0)</f>
        <v>93.5</v>
      </c>
      <c r="BF27" s="11" t="n">
        <f aca="false">IF(Time!BF25&gt;0,(BF26*INDEX(Inputs!$J$226:$Q$226,1,MOD(BF25-1,8)+1)+(Time!BF25-BF26)*INDEX(Inputs!$J$226:$Q$226,1,MOD(BF25,8)+1))/Time!BF25,0)</f>
        <v>92.9</v>
      </c>
      <c r="BG27" s="11" t="n">
        <f aca="false">IF(Time!BG25&gt;0,(BG26*INDEX(Inputs!$J$226:$Q$226,1,MOD(BG25-1,8)+1)+(Time!BG25-BG26)*INDEX(Inputs!$J$226:$Q$226,1,MOD(BG25,8)+1))/Time!BG25,0)</f>
        <v>93.2</v>
      </c>
      <c r="BH27" s="11" t="n">
        <f aca="false">IF(Time!BH25&gt;0,(BH26*INDEX(Inputs!$J$226:$Q$226,1,MOD(BH25-1,8)+1)+(Time!BH25-BH26)*INDEX(Inputs!$J$226:$Q$226,1,MOD(BH25,8)+1))/Time!BH25,0)</f>
        <v>93.8</v>
      </c>
      <c r="BI27" s="11" t="n">
        <f aca="false">IF(Time!BI25&gt;0,(BI26*INDEX(Inputs!$J$226:$Q$226,1,MOD(BI25-1,8)+1)+(Time!BI25-BI26)*INDEX(Inputs!$J$226:$Q$226,1,MOD(BI25,8)+1))/Time!BI25,0)</f>
        <v>92.1</v>
      </c>
      <c r="BJ27" s="11" t="n">
        <f aca="false">IF(Time!BJ25&gt;0,(BJ26*INDEX(Inputs!$J$226:$Q$226,1,MOD(BJ25-1,8)+1)+(Time!BJ25-BJ26)*INDEX(Inputs!$J$226:$Q$226,1,MOD(BJ25,8)+1))/Time!BJ25,0)</f>
        <v>88.7</v>
      </c>
      <c r="BK27" s="11" t="n">
        <f aca="false">IF(Time!BK25&gt;0,(BK26*INDEX(Inputs!$J$226:$Q$226,1,MOD(BK25-1,8)+1)+(Time!BK25-BK26)*INDEX(Inputs!$J$226:$Q$226,1,MOD(BK25,8)+1))/Time!BK25,0)</f>
        <v>90.4</v>
      </c>
      <c r="BL27" s="11" t="n">
        <f aca="false">IF(Time!BL25&gt;0,(BL26*INDEX(Inputs!$J$226:$Q$226,1,MOD(BL25-1,8)+1)+(Time!BL25-BL26)*INDEX(Inputs!$J$226:$Q$226,1,MOD(BL25,8)+1))/Time!BL25,0)</f>
        <v>93.8</v>
      </c>
      <c r="BM27" s="11" t="n">
        <f aca="false">IF(Time!BM25&gt;0,(BM26*INDEX(Inputs!$J$226:$Q$226,1,MOD(BM25-1,8)+1)+(Time!BM25-BM26)*INDEX(Inputs!$J$226:$Q$226,1,MOD(BM25,8)+1))/Time!BM25,0)</f>
        <v>93.8</v>
      </c>
      <c r="BN27" s="11" t="n">
        <f aca="false">IF(Time!BN25&gt;0,(BN26*INDEX(Inputs!$J$226:$Q$226,1,MOD(BN25-1,8)+1)+(Time!BN25-BN26)*INDEX(Inputs!$J$226:$Q$226,1,MOD(BN25,8)+1))/Time!BN25,0)</f>
        <v>0</v>
      </c>
    </row>
    <row r="28" customFormat="false" ht="15" hidden="false" customHeight="false" outlineLevel="0" collapsed="false">
      <c r="D28" s="0" t="s">
        <v>480</v>
      </c>
      <c r="E28" s="0" t="s">
        <v>103</v>
      </c>
      <c r="J28" s="11" t="n">
        <f aca="false">IF(Time!J25&gt;0,J27+Inputs!$F$37,0)</f>
        <v>0</v>
      </c>
      <c r="K28" s="11" t="n">
        <f aca="false">IF(Time!K25&gt;0,K27+Inputs!$F$37,0)</f>
        <v>0</v>
      </c>
      <c r="L28" s="11" t="n">
        <f aca="false">IF(Time!L25&gt;0,L27+Inputs!$F$37,0)</f>
        <v>0</v>
      </c>
      <c r="M28" s="11" t="n">
        <f aca="false">IF(Time!M25&gt;0,M27+Inputs!$F$37,0)</f>
        <v>0</v>
      </c>
      <c r="N28" s="11" t="n">
        <f aca="false">IF(Time!N25&gt;0,N27+Inputs!$F$37,0)</f>
        <v>0</v>
      </c>
      <c r="O28" s="11" t="n">
        <f aca="false">IF(Time!O25&gt;0,O27+Inputs!$F$37,0)</f>
        <v>90.8</v>
      </c>
      <c r="P28" s="11" t="n">
        <f aca="false">IF(Time!P25&gt;0,P27+Inputs!$F$37,0)</f>
        <v>90.8</v>
      </c>
      <c r="Q28" s="11" t="n">
        <f aca="false">IF(Time!Q25&gt;0,Q27+Inputs!$F$37,0)</f>
        <v>90.5</v>
      </c>
      <c r="R28" s="11" t="n">
        <f aca="false">IF(Time!R25&gt;0,R27+Inputs!$F$37,0)</f>
        <v>89.9</v>
      </c>
      <c r="S28" s="11" t="n">
        <f aca="false">IF(Time!S25&gt;0,S27+Inputs!$F$37,0)</f>
        <v>90.2</v>
      </c>
      <c r="T28" s="11" t="n">
        <f aca="false">IF(Time!T25&gt;0,T27+Inputs!$F$37,0)</f>
        <v>90.8</v>
      </c>
      <c r="U28" s="11" t="n">
        <f aca="false">IF(Time!U25&gt;0,U27+Inputs!$F$37,0)</f>
        <v>89.7333333333333</v>
      </c>
      <c r="V28" s="11" t="n">
        <f aca="false">IF(Time!V25&gt;0,V27+Inputs!$F$37,0)</f>
        <v>87.6</v>
      </c>
      <c r="W28" s="11" t="n">
        <f aca="false">IF(Time!W25&gt;0,W27+Inputs!$F$37,0)</f>
        <v>88.6666666666667</v>
      </c>
      <c r="X28" s="11" t="n">
        <f aca="false">IF(Time!X25&gt;0,X27+Inputs!$F$37,0)</f>
        <v>90.8</v>
      </c>
      <c r="Y28" s="11" t="n">
        <f aca="false">IF(Time!Y25&gt;0,Y27+Inputs!$F$37,0)</f>
        <v>90.5</v>
      </c>
      <c r="Z28" s="11" t="n">
        <f aca="false">IF(Time!Z25&gt;0,Z27+Inputs!$F$37,0)</f>
        <v>89.9</v>
      </c>
      <c r="AA28" s="11" t="n">
        <f aca="false">IF(Time!AA25&gt;0,AA27+Inputs!$F$37,0)</f>
        <v>90.2</v>
      </c>
      <c r="AB28" s="11" t="n">
        <f aca="false">IF(Time!AB25&gt;0,AB27+Inputs!$F$37,0)</f>
        <v>90.8</v>
      </c>
      <c r="AC28" s="11" t="n">
        <f aca="false">IF(Time!AC25&gt;0,AC27+Inputs!$F$37,0)</f>
        <v>89.1</v>
      </c>
      <c r="AD28" s="11" t="n">
        <f aca="false">IF(Time!AD25&gt;0,AD27+Inputs!$F$37,0)</f>
        <v>85.7</v>
      </c>
      <c r="AE28" s="11" t="n">
        <f aca="false">IF(Time!AE25&gt;0,AE27+Inputs!$F$37,0)</f>
        <v>87.4</v>
      </c>
      <c r="AF28" s="11" t="n">
        <f aca="false">IF(Time!AF25&gt;0,AF27+Inputs!$F$37,0)</f>
        <v>90.8</v>
      </c>
      <c r="AG28" s="11" t="n">
        <f aca="false">IF(Time!AG25&gt;0,AG27+Inputs!$F$37,0)</f>
        <v>90.5</v>
      </c>
      <c r="AH28" s="11" t="n">
        <f aca="false">IF(Time!AH25&gt;0,AH27+Inputs!$F$37,0)</f>
        <v>89.9</v>
      </c>
      <c r="AI28" s="11" t="n">
        <f aca="false">IF(Time!AI25&gt;0,AI27+Inputs!$F$37,0)</f>
        <v>90.2</v>
      </c>
      <c r="AJ28" s="11" t="n">
        <f aca="false">IF(Time!AJ25&gt;0,AJ27+Inputs!$F$37,0)</f>
        <v>90.8</v>
      </c>
      <c r="AK28" s="11" t="n">
        <f aca="false">IF(Time!AK25&gt;0,AK27+Inputs!$F$37,0)</f>
        <v>89.7333333333333</v>
      </c>
      <c r="AL28" s="11" t="n">
        <f aca="false">IF(Time!AL25&gt;0,AL27+Inputs!$F$37,0)</f>
        <v>87.6</v>
      </c>
      <c r="AM28" s="11" t="n">
        <f aca="false">IF(Time!AM25&gt;0,AM27+Inputs!$F$37,0)</f>
        <v>88.6666666666667</v>
      </c>
      <c r="AN28" s="11" t="n">
        <f aca="false">IF(Time!AN25&gt;0,AN27+Inputs!$F$37,0)</f>
        <v>90.8</v>
      </c>
      <c r="AO28" s="11" t="n">
        <f aca="false">IF(Time!AO25&gt;0,AO27+Inputs!$F$37,0)</f>
        <v>90.5</v>
      </c>
      <c r="AP28" s="11" t="n">
        <f aca="false">IF(Time!AP25&gt;0,AP27+Inputs!$F$37,0)</f>
        <v>89.9</v>
      </c>
      <c r="AQ28" s="11" t="n">
        <f aca="false">IF(Time!AQ25&gt;0,AQ27+Inputs!$F$37,0)</f>
        <v>90.2</v>
      </c>
      <c r="AR28" s="11" t="n">
        <f aca="false">IF(Time!AR25&gt;0,AR27+Inputs!$F$37,0)</f>
        <v>90.8</v>
      </c>
      <c r="AS28" s="11" t="n">
        <f aca="false">IF(Time!AS25&gt;0,AS27+Inputs!$F$37,0)</f>
        <v>89.1</v>
      </c>
      <c r="AT28" s="11" t="n">
        <f aca="false">IF(Time!AT25&gt;0,AT27+Inputs!$F$37,0)</f>
        <v>85.7</v>
      </c>
      <c r="AU28" s="11" t="n">
        <f aca="false">IF(Time!AU25&gt;0,AU27+Inputs!$F$37,0)</f>
        <v>87.4</v>
      </c>
      <c r="AV28" s="11" t="n">
        <f aca="false">IF(Time!AV25&gt;0,AV27+Inputs!$F$37,0)</f>
        <v>90.8</v>
      </c>
      <c r="AW28" s="11" t="n">
        <f aca="false">IF(Time!AW25&gt;0,AW27+Inputs!$F$37,0)</f>
        <v>90.5</v>
      </c>
      <c r="AX28" s="11" t="n">
        <f aca="false">IF(Time!AX25&gt;0,AX27+Inputs!$F$37,0)</f>
        <v>89.9</v>
      </c>
      <c r="AY28" s="11" t="n">
        <f aca="false">IF(Time!AY25&gt;0,AY27+Inputs!$F$37,0)</f>
        <v>90.2</v>
      </c>
      <c r="AZ28" s="11" t="n">
        <f aca="false">IF(Time!AZ25&gt;0,AZ27+Inputs!$F$37,0)</f>
        <v>90.8</v>
      </c>
      <c r="BA28" s="11" t="n">
        <f aca="false">IF(Time!BA25&gt;0,BA27+Inputs!$F$37,0)</f>
        <v>89.7333333333333</v>
      </c>
      <c r="BB28" s="11" t="n">
        <f aca="false">IF(Time!BB25&gt;0,BB27+Inputs!$F$37,0)</f>
        <v>87.6</v>
      </c>
      <c r="BC28" s="11" t="n">
        <f aca="false">IF(Time!BC25&gt;0,BC27+Inputs!$F$37,0)</f>
        <v>88.6666666666667</v>
      </c>
      <c r="BD28" s="11" t="n">
        <f aca="false">IF(Time!BD25&gt;0,BD27+Inputs!$F$37,0)</f>
        <v>90.8</v>
      </c>
      <c r="BE28" s="11" t="n">
        <f aca="false">IF(Time!BE25&gt;0,BE27+Inputs!$F$37,0)</f>
        <v>90.5</v>
      </c>
      <c r="BF28" s="11" t="n">
        <f aca="false">IF(Time!BF25&gt;0,BF27+Inputs!$F$37,0)</f>
        <v>89.9</v>
      </c>
      <c r="BG28" s="11" t="n">
        <f aca="false">IF(Time!BG25&gt;0,BG27+Inputs!$F$37,0)</f>
        <v>90.2</v>
      </c>
      <c r="BH28" s="11" t="n">
        <f aca="false">IF(Time!BH25&gt;0,BH27+Inputs!$F$37,0)</f>
        <v>90.8</v>
      </c>
      <c r="BI28" s="11" t="n">
        <f aca="false">IF(Time!BI25&gt;0,BI27+Inputs!$F$37,0)</f>
        <v>89.1</v>
      </c>
      <c r="BJ28" s="11" t="n">
        <f aca="false">IF(Time!BJ25&gt;0,BJ27+Inputs!$F$37,0)</f>
        <v>85.7</v>
      </c>
      <c r="BK28" s="11" t="n">
        <f aca="false">IF(Time!BK25&gt;0,BK27+Inputs!$F$37,0)</f>
        <v>87.4</v>
      </c>
      <c r="BL28" s="11" t="n">
        <f aca="false">IF(Time!BL25&gt;0,BL27+Inputs!$F$37,0)</f>
        <v>90.8</v>
      </c>
      <c r="BM28" s="11" t="n">
        <f aca="false">IF(Time!BM25&gt;0,BM27+Inputs!$F$37,0)</f>
        <v>90.8</v>
      </c>
      <c r="BN28" s="11" t="n">
        <f aca="false">IF(Time!BN25&gt;0,BN27+Inputs!$F$37,0)</f>
        <v>0</v>
      </c>
    </row>
    <row r="29" customFormat="false" ht="15" hidden="false" customHeight="false" outlineLevel="0" collapsed="false">
      <c r="D29" s="0" t="s">
        <v>481</v>
      </c>
      <c r="E29" s="0" t="s">
        <v>482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0.0833333333333333</v>
      </c>
      <c r="P29" s="11" t="n">
        <f aca="false">IF(Time!P25&gt;0,(Time!P27+Time!P28)/24,0)</f>
        <v>0.416666666666667</v>
      </c>
      <c r="Q29" s="11" t="n">
        <f aca="false">IF(Time!Q25&gt;0,(Time!Q27+Time!Q28)/24,0)</f>
        <v>0.916666666666667</v>
      </c>
      <c r="R29" s="11" t="n">
        <f aca="false">IF(Time!R25&gt;0,(Time!R27+Time!R28)/24,0)</f>
        <v>1.41666666666667</v>
      </c>
      <c r="S29" s="11" t="n">
        <f aca="false">IF(Time!S25&gt;0,(Time!S27+Time!S28)/24,0)</f>
        <v>1.91666666666667</v>
      </c>
      <c r="T29" s="11" t="n">
        <f aca="false">IF(Time!T25&gt;0,(Time!T27+Time!T28)/24,0)</f>
        <v>2.41666666666667</v>
      </c>
      <c r="U29" s="11" t="n">
        <f aca="false">IF(Time!U25&gt;0,(Time!U27+Time!U28)/24,0)</f>
        <v>2.91666666666667</v>
      </c>
      <c r="V29" s="11" t="n">
        <f aca="false">IF(Time!V25&gt;0,(Time!V27+Time!V28)/24,0)</f>
        <v>3.41666666666667</v>
      </c>
      <c r="W29" s="11" t="n">
        <f aca="false">IF(Time!W25&gt;0,(Time!W27+Time!W28)/24,0)</f>
        <v>3.91666666666667</v>
      </c>
      <c r="X29" s="11" t="n">
        <f aca="false">IF(Time!X25&gt;0,(Time!X27+Time!X28)/24,0)</f>
        <v>4.41666666666667</v>
      </c>
      <c r="Y29" s="11" t="n">
        <f aca="false">IF(Time!Y25&gt;0,(Time!Y27+Time!Y28)/24,0)</f>
        <v>4.91666666666667</v>
      </c>
      <c r="Z29" s="11" t="n">
        <f aca="false">IF(Time!Z25&gt;0,(Time!Z27+Time!Z28)/24,0)</f>
        <v>5.41666666666667</v>
      </c>
      <c r="AA29" s="11" t="n">
        <f aca="false">IF(Time!AA25&gt;0,(Time!AA27+Time!AA28)/24,0)</f>
        <v>5.91666666666667</v>
      </c>
      <c r="AB29" s="11" t="n">
        <f aca="false">IF(Time!AB25&gt;0,(Time!AB27+Time!AB28)/24,0)</f>
        <v>6.41666666666667</v>
      </c>
      <c r="AC29" s="11" t="n">
        <f aca="false">IF(Time!AC25&gt;0,(Time!AC27+Time!AC28)/24,0)</f>
        <v>6.91666666666667</v>
      </c>
      <c r="AD29" s="11" t="n">
        <f aca="false">IF(Time!AD25&gt;0,(Time!AD27+Time!AD28)/24,0)</f>
        <v>7.41666666666667</v>
      </c>
      <c r="AE29" s="11" t="n">
        <f aca="false">IF(Time!AE25&gt;0,(Time!AE27+Time!AE28)/24,0)</f>
        <v>7.91666666666667</v>
      </c>
      <c r="AF29" s="11" t="n">
        <f aca="false">IF(Time!AF25&gt;0,(Time!AF27+Time!AF28)/24,0)</f>
        <v>8.41666666666667</v>
      </c>
      <c r="AG29" s="11" t="n">
        <f aca="false">IF(Time!AG25&gt;0,(Time!AG27+Time!AG28)/24,0)</f>
        <v>8.91666666666667</v>
      </c>
      <c r="AH29" s="11" t="n">
        <f aca="false">IF(Time!AH25&gt;0,(Time!AH27+Time!AH28)/24,0)</f>
        <v>9.41666666666667</v>
      </c>
      <c r="AI29" s="11" t="n">
        <f aca="false">IF(Time!AI25&gt;0,(Time!AI27+Time!AI28)/24,0)</f>
        <v>9.91666666666667</v>
      </c>
      <c r="AJ29" s="11" t="n">
        <f aca="false">IF(Time!AJ25&gt;0,(Time!AJ27+Time!AJ28)/24,0)</f>
        <v>10.4166666666667</v>
      </c>
      <c r="AK29" s="11" t="n">
        <f aca="false">IF(Time!AK25&gt;0,(Time!AK27+Time!AK28)/24,0)</f>
        <v>10.9166666666667</v>
      </c>
      <c r="AL29" s="11" t="n">
        <f aca="false">IF(Time!AL25&gt;0,(Time!AL27+Time!AL28)/24,0)</f>
        <v>11.4166666666667</v>
      </c>
      <c r="AM29" s="11" t="n">
        <f aca="false">IF(Time!AM25&gt;0,(Time!AM27+Time!AM28)/24,0)</f>
        <v>11.9166666666667</v>
      </c>
      <c r="AN29" s="11" t="n">
        <f aca="false">IF(Time!AN25&gt;0,(Time!AN27+Time!AN28)/24,0)</f>
        <v>12.4166666666667</v>
      </c>
      <c r="AO29" s="11" t="n">
        <f aca="false">IF(Time!AO25&gt;0,(Time!AO27+Time!AO28)/24,0)</f>
        <v>12.9166666666667</v>
      </c>
      <c r="AP29" s="11" t="n">
        <f aca="false">IF(Time!AP25&gt;0,(Time!AP27+Time!AP28)/24,0)</f>
        <v>13.4166666666667</v>
      </c>
      <c r="AQ29" s="11" t="n">
        <f aca="false">IF(Time!AQ25&gt;0,(Time!AQ27+Time!AQ28)/24,0)</f>
        <v>13.9166666666667</v>
      </c>
      <c r="AR29" s="11" t="n">
        <f aca="false">IF(Time!AR25&gt;0,(Time!AR27+Time!AR28)/24,0)</f>
        <v>14.4166666666667</v>
      </c>
      <c r="AS29" s="11" t="n">
        <f aca="false">IF(Time!AS25&gt;0,(Time!AS27+Time!AS28)/24,0)</f>
        <v>14.9166666666667</v>
      </c>
      <c r="AT29" s="11" t="n">
        <f aca="false">IF(Time!AT25&gt;0,(Time!AT27+Time!AT28)/24,0)</f>
        <v>15.4166666666667</v>
      </c>
      <c r="AU29" s="11" t="n">
        <f aca="false">IF(Time!AU25&gt;0,(Time!AU27+Time!AU28)/24,0)</f>
        <v>15.9166666666667</v>
      </c>
      <c r="AV29" s="11" t="n">
        <f aca="false">IF(Time!AV25&gt;0,(Time!AV27+Time!AV28)/24,0)</f>
        <v>16.4166666666667</v>
      </c>
      <c r="AW29" s="11" t="n">
        <f aca="false">IF(Time!AW25&gt;0,(Time!AW27+Time!AW28)/24,0)</f>
        <v>16.9166666666667</v>
      </c>
      <c r="AX29" s="11" t="n">
        <f aca="false">IF(Time!AX25&gt;0,(Time!AX27+Time!AX28)/24,0)</f>
        <v>17.4166666666667</v>
      </c>
      <c r="AY29" s="11" t="n">
        <f aca="false">IF(Time!AY25&gt;0,(Time!AY27+Time!AY28)/24,0)</f>
        <v>17.9166666666667</v>
      </c>
      <c r="AZ29" s="11" t="n">
        <f aca="false">IF(Time!AZ25&gt;0,(Time!AZ27+Time!AZ28)/24,0)</f>
        <v>18.4166666666667</v>
      </c>
      <c r="BA29" s="11" t="n">
        <f aca="false">IF(Time!BA25&gt;0,(Time!BA27+Time!BA28)/24,0)</f>
        <v>18.9166666666667</v>
      </c>
      <c r="BB29" s="11" t="n">
        <f aca="false">IF(Time!BB25&gt;0,(Time!BB27+Time!BB28)/24,0)</f>
        <v>19.4166666666667</v>
      </c>
      <c r="BC29" s="11" t="n">
        <f aca="false">IF(Time!BC25&gt;0,(Time!BC27+Time!BC28)/24,0)</f>
        <v>19.9166666666667</v>
      </c>
      <c r="BD29" s="11" t="n">
        <f aca="false">IF(Time!BD25&gt;0,(Time!BD27+Time!BD28)/24,0)</f>
        <v>20.4166666666667</v>
      </c>
      <c r="BE29" s="11" t="n">
        <f aca="false">IF(Time!BE25&gt;0,(Time!BE27+Time!BE28)/24,0)</f>
        <v>20.9166666666667</v>
      </c>
      <c r="BF29" s="11" t="n">
        <f aca="false">IF(Time!BF25&gt;0,(Time!BF27+Time!BF28)/24,0)</f>
        <v>21.4166666666667</v>
      </c>
      <c r="BG29" s="11" t="n">
        <f aca="false">IF(Time!BG25&gt;0,(Time!BG27+Time!BG28)/24,0)</f>
        <v>21.9166666666667</v>
      </c>
      <c r="BH29" s="11" t="n">
        <f aca="false">IF(Time!BH25&gt;0,(Time!BH27+Time!BH28)/24,0)</f>
        <v>22.4166666666667</v>
      </c>
      <c r="BI29" s="11" t="n">
        <f aca="false">IF(Time!BI25&gt;0,(Time!BI27+Time!BI28)/24,0)</f>
        <v>22.9166666666667</v>
      </c>
      <c r="BJ29" s="11" t="n">
        <f aca="false">IF(Time!BJ25&gt;0,(Time!BJ27+Time!BJ28)/24,0)</f>
        <v>23.4166666666667</v>
      </c>
      <c r="BK29" s="11" t="n">
        <f aca="false">IF(Time!BK25&gt;0,(Time!BK27+Time!BK28)/24,0)</f>
        <v>23.9166666666667</v>
      </c>
      <c r="BL29" s="11" t="n">
        <f aca="false">IF(Time!BL25&gt;0,(Time!BL27+Time!BL28)/24,0)</f>
        <v>24.4166666666667</v>
      </c>
      <c r="BM29" s="11" t="n">
        <f aca="false">IF(Time!BM25&gt;0,(Time!BM27+Time!BM28)/24,0)</f>
        <v>24.8333333333333</v>
      </c>
      <c r="BN29" s="11" t="n">
        <f aca="false">IF(Time!BN25&gt;0,(Time!BN27+Time!BN28)/24,0)</f>
        <v>0</v>
      </c>
    </row>
    <row r="30" customFormat="false" ht="15" hidden="false" customHeight="false" outlineLevel="0" collapsed="false">
      <c r="D30" s="0" t="s">
        <v>483</v>
      </c>
      <c r="E30" s="0" t="s">
        <v>214</v>
      </c>
      <c r="F30" s="12" t="n">
        <f aca="false">IF(Inputs!$F$34=2,Inputs!$F$117,Inputs!$F$116)</f>
        <v>588.4</v>
      </c>
    </row>
    <row r="31" customFormat="false" ht="15" hidden="false" customHeight="false" outlineLevel="0" collapsed="false">
      <c r="D31" s="0" t="s">
        <v>484</v>
      </c>
      <c r="E31" s="0" t="s">
        <v>217</v>
      </c>
      <c r="F31" s="9" t="n">
        <f aca="false">IF(Inputs!$F$34=2,Inputs!$F$119,Inputs!$F$118)</f>
        <v>6261</v>
      </c>
    </row>
    <row r="32" customFormat="false" ht="15" hidden="false" customHeight="false" outlineLevel="0" collapsed="false">
      <c r="D32" s="0" t="s">
        <v>485</v>
      </c>
      <c r="E32" s="0" t="s">
        <v>99</v>
      </c>
      <c r="J32" s="11" t="n">
        <f aca="false">(1-Inputs!$F$125/100*J29)*(1-Inputs!$F$126/100)</f>
        <v>0.99</v>
      </c>
      <c r="K32" s="11" t="n">
        <f aca="false">(1-Inputs!$F$125/100*K29)*(1-Inputs!$F$126/100)</f>
        <v>0.99</v>
      </c>
      <c r="L32" s="11" t="n">
        <f aca="false">(1-Inputs!$F$125/100*L29)*(1-Inputs!$F$126/100)</f>
        <v>0.99</v>
      </c>
      <c r="M32" s="11" t="n">
        <f aca="false">(1-Inputs!$F$125/100*M29)*(1-Inputs!$F$126/100)</f>
        <v>0.99</v>
      </c>
      <c r="N32" s="11" t="n">
        <f aca="false">(1-Inputs!$F$125/100*N29)*(1-Inputs!$F$126/100)</f>
        <v>0.99</v>
      </c>
      <c r="O32" s="11" t="n">
        <f aca="false">(1-Inputs!$F$125/100*O29)*(1-Inputs!$F$126/100)</f>
        <v>0.98987625</v>
      </c>
      <c r="P32" s="11" t="n">
        <f aca="false">(1-Inputs!$F$125/100*P29)*(1-Inputs!$F$126/100)</f>
        <v>0.98938125</v>
      </c>
      <c r="Q32" s="11" t="n">
        <f aca="false">(1-Inputs!$F$125/100*Q29)*(1-Inputs!$F$126/100)</f>
        <v>0.98863875</v>
      </c>
      <c r="R32" s="11" t="n">
        <f aca="false">(1-Inputs!$F$125/100*R29)*(1-Inputs!$F$126/100)</f>
        <v>0.98789625</v>
      </c>
      <c r="S32" s="11" t="n">
        <f aca="false">(1-Inputs!$F$125/100*S29)*(1-Inputs!$F$126/100)</f>
        <v>0.98715375</v>
      </c>
      <c r="T32" s="11" t="n">
        <f aca="false">(1-Inputs!$F$125/100*T29)*(1-Inputs!$F$126/100)</f>
        <v>0.98641125</v>
      </c>
      <c r="U32" s="11" t="n">
        <f aca="false">(1-Inputs!$F$125/100*U29)*(1-Inputs!$F$126/100)</f>
        <v>0.98566875</v>
      </c>
      <c r="V32" s="11" t="n">
        <f aca="false">(1-Inputs!$F$125/100*V29)*(1-Inputs!$F$126/100)</f>
        <v>0.98492625</v>
      </c>
      <c r="W32" s="11" t="n">
        <f aca="false">(1-Inputs!$F$125/100*W29)*(1-Inputs!$F$126/100)</f>
        <v>0.98418375</v>
      </c>
      <c r="X32" s="11" t="n">
        <f aca="false">(1-Inputs!$F$125/100*X29)*(1-Inputs!$F$126/100)</f>
        <v>0.98344125</v>
      </c>
      <c r="Y32" s="11" t="n">
        <f aca="false">(1-Inputs!$F$125/100*Y29)*(1-Inputs!$F$126/100)</f>
        <v>0.98269875</v>
      </c>
      <c r="Z32" s="11" t="n">
        <f aca="false">(1-Inputs!$F$125/100*Z29)*(1-Inputs!$F$126/100)</f>
        <v>0.98195625</v>
      </c>
      <c r="AA32" s="11" t="n">
        <f aca="false">(1-Inputs!$F$125/100*AA29)*(1-Inputs!$F$126/100)</f>
        <v>0.98121375</v>
      </c>
      <c r="AB32" s="11" t="n">
        <f aca="false">(1-Inputs!$F$125/100*AB29)*(1-Inputs!$F$126/100)</f>
        <v>0.98047125</v>
      </c>
      <c r="AC32" s="11" t="n">
        <f aca="false">(1-Inputs!$F$125/100*AC29)*(1-Inputs!$F$126/100)</f>
        <v>0.97972875</v>
      </c>
      <c r="AD32" s="11" t="n">
        <f aca="false">(1-Inputs!$F$125/100*AD29)*(1-Inputs!$F$126/100)</f>
        <v>0.97898625</v>
      </c>
      <c r="AE32" s="11" t="n">
        <f aca="false">(1-Inputs!$F$125/100*AE29)*(1-Inputs!$F$126/100)</f>
        <v>0.97824375</v>
      </c>
      <c r="AF32" s="11" t="n">
        <f aca="false">(1-Inputs!$F$125/100*AF29)*(1-Inputs!$F$126/100)</f>
        <v>0.97750125</v>
      </c>
      <c r="AG32" s="11" t="n">
        <f aca="false">(1-Inputs!$F$125/100*AG29)*(1-Inputs!$F$126/100)</f>
        <v>0.97675875</v>
      </c>
      <c r="AH32" s="11" t="n">
        <f aca="false">(1-Inputs!$F$125/100*AH29)*(1-Inputs!$F$126/100)</f>
        <v>0.97601625</v>
      </c>
      <c r="AI32" s="11" t="n">
        <f aca="false">(1-Inputs!$F$125/100*AI29)*(1-Inputs!$F$126/100)</f>
        <v>0.97527375</v>
      </c>
      <c r="AJ32" s="11" t="n">
        <f aca="false">(1-Inputs!$F$125/100*AJ29)*(1-Inputs!$F$126/100)</f>
        <v>0.97453125</v>
      </c>
      <c r="AK32" s="11" t="n">
        <f aca="false">(1-Inputs!$F$125/100*AK29)*(1-Inputs!$F$126/100)</f>
        <v>0.97378875</v>
      </c>
      <c r="AL32" s="11" t="n">
        <f aca="false">(1-Inputs!$F$125/100*AL29)*(1-Inputs!$F$126/100)</f>
        <v>0.97304625</v>
      </c>
      <c r="AM32" s="11" t="n">
        <f aca="false">(1-Inputs!$F$125/100*AM29)*(1-Inputs!$F$126/100)</f>
        <v>0.97230375</v>
      </c>
      <c r="AN32" s="11" t="n">
        <f aca="false">(1-Inputs!$F$125/100*AN29)*(1-Inputs!$F$126/100)</f>
        <v>0.97156125</v>
      </c>
      <c r="AO32" s="11" t="n">
        <f aca="false">(1-Inputs!$F$125/100*AO29)*(1-Inputs!$F$126/100)</f>
        <v>0.97081875</v>
      </c>
      <c r="AP32" s="11" t="n">
        <f aca="false">(1-Inputs!$F$125/100*AP29)*(1-Inputs!$F$126/100)</f>
        <v>0.97007625</v>
      </c>
      <c r="AQ32" s="11" t="n">
        <f aca="false">(1-Inputs!$F$125/100*AQ29)*(1-Inputs!$F$126/100)</f>
        <v>0.96933375</v>
      </c>
      <c r="AR32" s="11" t="n">
        <f aca="false">(1-Inputs!$F$125/100*AR29)*(1-Inputs!$F$126/100)</f>
        <v>0.96859125</v>
      </c>
      <c r="AS32" s="11" t="n">
        <f aca="false">(1-Inputs!$F$125/100*AS29)*(1-Inputs!$F$126/100)</f>
        <v>0.96784875</v>
      </c>
      <c r="AT32" s="11" t="n">
        <f aca="false">(1-Inputs!$F$125/100*AT29)*(1-Inputs!$F$126/100)</f>
        <v>0.96710625</v>
      </c>
      <c r="AU32" s="11" t="n">
        <f aca="false">(1-Inputs!$F$125/100*AU29)*(1-Inputs!$F$126/100)</f>
        <v>0.96636375</v>
      </c>
      <c r="AV32" s="11" t="n">
        <f aca="false">(1-Inputs!$F$125/100*AV29)*(1-Inputs!$F$126/100)</f>
        <v>0.96562125</v>
      </c>
      <c r="AW32" s="11" t="n">
        <f aca="false">(1-Inputs!$F$125/100*AW29)*(1-Inputs!$F$126/100)</f>
        <v>0.96487875</v>
      </c>
      <c r="AX32" s="11" t="n">
        <f aca="false">(1-Inputs!$F$125/100*AX29)*(1-Inputs!$F$126/100)</f>
        <v>0.96413625</v>
      </c>
      <c r="AY32" s="11" t="n">
        <f aca="false">(1-Inputs!$F$125/100*AY29)*(1-Inputs!$F$126/100)</f>
        <v>0.96339375</v>
      </c>
      <c r="AZ32" s="11" t="n">
        <f aca="false">(1-Inputs!$F$125/100*AZ29)*(1-Inputs!$F$126/100)</f>
        <v>0.96265125</v>
      </c>
      <c r="BA32" s="11" t="n">
        <f aca="false">(1-Inputs!$F$125/100*BA29)*(1-Inputs!$F$126/100)</f>
        <v>0.96190875</v>
      </c>
      <c r="BB32" s="11" t="n">
        <f aca="false">(1-Inputs!$F$125/100*BB29)*(1-Inputs!$F$126/100)</f>
        <v>0.96116625</v>
      </c>
      <c r="BC32" s="11" t="n">
        <f aca="false">(1-Inputs!$F$125/100*BC29)*(1-Inputs!$F$126/100)</f>
        <v>0.96042375</v>
      </c>
      <c r="BD32" s="11" t="n">
        <f aca="false">(1-Inputs!$F$125/100*BD29)*(1-Inputs!$F$126/100)</f>
        <v>0.95968125</v>
      </c>
      <c r="BE32" s="11" t="n">
        <f aca="false">(1-Inputs!$F$125/100*BE29)*(1-Inputs!$F$126/100)</f>
        <v>0.95893875</v>
      </c>
      <c r="BF32" s="11" t="n">
        <f aca="false">(1-Inputs!$F$125/100*BF29)*(1-Inputs!$F$126/100)</f>
        <v>0.95819625</v>
      </c>
      <c r="BG32" s="11" t="n">
        <f aca="false">(1-Inputs!$F$125/100*BG29)*(1-Inputs!$F$126/100)</f>
        <v>0.95745375</v>
      </c>
      <c r="BH32" s="11" t="n">
        <f aca="false">(1-Inputs!$F$125/100*BH29)*(1-Inputs!$F$126/100)</f>
        <v>0.95671125</v>
      </c>
      <c r="BI32" s="11" t="n">
        <f aca="false">(1-Inputs!$F$125/100*BI29)*(1-Inputs!$F$126/100)</f>
        <v>0.95596875</v>
      </c>
      <c r="BJ32" s="11" t="n">
        <f aca="false">(1-Inputs!$F$125/100*BJ29)*(1-Inputs!$F$126/100)</f>
        <v>0.95522625</v>
      </c>
      <c r="BK32" s="11" t="n">
        <f aca="false">(1-Inputs!$F$125/100*BK29)*(1-Inputs!$F$126/100)</f>
        <v>0.95448375</v>
      </c>
      <c r="BL32" s="11" t="n">
        <f aca="false">(1-Inputs!$F$125/100*BL29)*(1-Inputs!$F$126/100)</f>
        <v>0.95374125</v>
      </c>
      <c r="BM32" s="11" t="n">
        <f aca="false">(1-Inputs!$F$125/100*BM29)*(1-Inputs!$F$126/100)</f>
        <v>0.9531225</v>
      </c>
      <c r="BN32" s="11" t="n">
        <f aca="false">(1-Inputs!$F$125/100*BN29)*(1-Inputs!$F$126/100)</f>
        <v>0.99</v>
      </c>
    </row>
    <row r="33" customFormat="false" ht="15" hidden="false" customHeight="false" outlineLevel="0" collapsed="false">
      <c r="D33" s="0" t="s">
        <v>129</v>
      </c>
      <c r="E33" s="0" t="s">
        <v>103</v>
      </c>
      <c r="J33" s="11" t="n">
        <f aca="false">IF(AND(Inputs!$F$55=1,Inputs!J227&gt;0),Inputs!J227,Inputs!$F$38)</f>
        <v>76.5</v>
      </c>
      <c r="K33" s="11" t="n">
        <f aca="false">IF(AND(Inputs!$F$55=1,Inputs!K227&gt;0),Inputs!K227,Inputs!$F$38)</f>
        <v>76.5</v>
      </c>
      <c r="L33" s="11" t="n">
        <f aca="false">IF(AND(Inputs!$F$55=1,Inputs!L227&gt;0),Inputs!L227,Inputs!$F$38)</f>
        <v>76.5</v>
      </c>
      <c r="M33" s="11" t="n">
        <f aca="false">IF(AND(Inputs!$F$55=1,Inputs!M227&gt;0),Inputs!M227,Inputs!$F$38)</f>
        <v>76.5</v>
      </c>
      <c r="N33" s="11" t="n">
        <f aca="false">IF(AND(Inputs!$F$55=1,Inputs!N227&gt;0),Inputs!N227,Inputs!$F$38)</f>
        <v>76.5</v>
      </c>
      <c r="O33" s="11" t="n">
        <f aca="false">IF(AND(Inputs!$F$55=1,Inputs!O227&gt;0),Inputs!O227,Inputs!$F$38)</f>
        <v>76.5</v>
      </c>
      <c r="P33" s="11" t="n">
        <f aca="false">IF(AND(Inputs!$F$55=1,Inputs!P227&gt;0),Inputs!P227,Inputs!$F$38)</f>
        <v>76.5</v>
      </c>
      <c r="Q33" s="11" t="n">
        <f aca="false">IF(AND(Inputs!$F$55=1,Inputs!Q227&gt;0),Inputs!Q227,Inputs!$F$38)</f>
        <v>76.5</v>
      </c>
      <c r="R33" s="11" t="n">
        <f aca="false">IF(AND(Inputs!$F$55=1,Inputs!R227&gt;0),Inputs!R227,Inputs!$F$38)</f>
        <v>76.5</v>
      </c>
      <c r="S33" s="11" t="n">
        <f aca="false">IF(AND(Inputs!$F$55=1,Inputs!S227&gt;0),Inputs!S227,Inputs!$F$38)</f>
        <v>76.5</v>
      </c>
      <c r="T33" s="11" t="n">
        <f aca="false">IF(AND(Inputs!$F$55=1,Inputs!T227&gt;0),Inputs!T227,Inputs!$F$38)</f>
        <v>76.5</v>
      </c>
      <c r="U33" s="11" t="n">
        <f aca="false">IF(AND(Inputs!$F$55=1,Inputs!U227&gt;0),Inputs!U227,Inputs!$F$38)</f>
        <v>76.5</v>
      </c>
      <c r="V33" s="11" t="n">
        <f aca="false">IF(AND(Inputs!$F$55=1,Inputs!V227&gt;0),Inputs!V227,Inputs!$F$38)</f>
        <v>76.5</v>
      </c>
      <c r="W33" s="11" t="n">
        <f aca="false">IF(AND(Inputs!$F$55=1,Inputs!W227&gt;0),Inputs!W227,Inputs!$F$38)</f>
        <v>76.5</v>
      </c>
      <c r="X33" s="11" t="n">
        <f aca="false">IF(AND(Inputs!$F$55=1,Inputs!X227&gt;0),Inputs!X227,Inputs!$F$38)</f>
        <v>76.5</v>
      </c>
      <c r="Y33" s="11" t="n">
        <f aca="false">IF(AND(Inputs!$F$55=1,Inputs!Y227&gt;0),Inputs!Y227,Inputs!$F$38)</f>
        <v>76.5</v>
      </c>
      <c r="Z33" s="11" t="n">
        <f aca="false">IF(AND(Inputs!$F$55=1,Inputs!Z227&gt;0),Inputs!Z227,Inputs!$F$38)</f>
        <v>76.5</v>
      </c>
      <c r="AA33" s="11" t="n">
        <f aca="false">IF(AND(Inputs!$F$55=1,Inputs!AA227&gt;0),Inputs!AA227,Inputs!$F$38)</f>
        <v>76.5</v>
      </c>
      <c r="AB33" s="11" t="n">
        <f aca="false">IF(AND(Inputs!$F$55=1,Inputs!AB227&gt;0),Inputs!AB227,Inputs!$F$38)</f>
        <v>76.5</v>
      </c>
      <c r="AC33" s="11" t="n">
        <f aca="false">IF(AND(Inputs!$F$55=1,Inputs!AC227&gt;0),Inputs!AC227,Inputs!$F$38)</f>
        <v>76.5</v>
      </c>
      <c r="AD33" s="11" t="n">
        <f aca="false">IF(AND(Inputs!$F$55=1,Inputs!AD227&gt;0),Inputs!AD227,Inputs!$F$38)</f>
        <v>76.5</v>
      </c>
      <c r="AE33" s="11" t="n">
        <f aca="false">IF(AND(Inputs!$F$55=1,Inputs!AE227&gt;0),Inputs!AE227,Inputs!$F$38)</f>
        <v>76.5</v>
      </c>
      <c r="AF33" s="11" t="n">
        <f aca="false">IF(AND(Inputs!$F$55=1,Inputs!AF227&gt;0),Inputs!AF227,Inputs!$F$38)</f>
        <v>76.5</v>
      </c>
      <c r="AG33" s="11" t="n">
        <f aca="false">IF(AND(Inputs!$F$55=1,Inputs!AG227&gt;0),Inputs!AG227,Inputs!$F$38)</f>
        <v>76.5</v>
      </c>
      <c r="AH33" s="11" t="n">
        <f aca="false">IF(AND(Inputs!$F$55=1,Inputs!AH227&gt;0),Inputs!AH227,Inputs!$F$38)</f>
        <v>76.5</v>
      </c>
      <c r="AI33" s="11" t="n">
        <f aca="false">IF(AND(Inputs!$F$55=1,Inputs!AI227&gt;0),Inputs!AI227,Inputs!$F$38)</f>
        <v>76.5</v>
      </c>
      <c r="AJ33" s="11" t="n">
        <f aca="false">IF(AND(Inputs!$F$55=1,Inputs!AJ227&gt;0),Inputs!AJ227,Inputs!$F$38)</f>
        <v>76.5</v>
      </c>
      <c r="AK33" s="11" t="n">
        <f aca="false">IF(AND(Inputs!$F$55=1,Inputs!AK227&gt;0),Inputs!AK227,Inputs!$F$38)</f>
        <v>76.5</v>
      </c>
      <c r="AL33" s="11" t="n">
        <f aca="false">IF(AND(Inputs!$F$55=1,Inputs!AL227&gt;0),Inputs!AL227,Inputs!$F$38)</f>
        <v>76.5</v>
      </c>
      <c r="AM33" s="11" t="n">
        <f aca="false">IF(AND(Inputs!$F$55=1,Inputs!AM227&gt;0),Inputs!AM227,Inputs!$F$38)</f>
        <v>76.5</v>
      </c>
      <c r="AN33" s="11" t="n">
        <f aca="false">IF(AND(Inputs!$F$55=1,Inputs!AN227&gt;0),Inputs!AN227,Inputs!$F$38)</f>
        <v>76.5</v>
      </c>
      <c r="AO33" s="11" t="n">
        <f aca="false">IF(AND(Inputs!$F$55=1,Inputs!AO227&gt;0),Inputs!AO227,Inputs!$F$38)</f>
        <v>76.5</v>
      </c>
      <c r="AP33" s="11" t="n">
        <f aca="false">IF(AND(Inputs!$F$55=1,Inputs!AP227&gt;0),Inputs!AP227,Inputs!$F$38)</f>
        <v>76.5</v>
      </c>
      <c r="AQ33" s="11" t="n">
        <f aca="false">IF(AND(Inputs!$F$55=1,Inputs!AQ227&gt;0),Inputs!AQ227,Inputs!$F$38)</f>
        <v>76.5</v>
      </c>
      <c r="AR33" s="11" t="n">
        <f aca="false">IF(AND(Inputs!$F$55=1,Inputs!AR227&gt;0),Inputs!AR227,Inputs!$F$38)</f>
        <v>76.5</v>
      </c>
      <c r="AS33" s="11" t="n">
        <f aca="false">IF(AND(Inputs!$F$55=1,Inputs!AS227&gt;0),Inputs!AS227,Inputs!$F$38)</f>
        <v>76.5</v>
      </c>
      <c r="AT33" s="11" t="n">
        <f aca="false">IF(AND(Inputs!$F$55=1,Inputs!AT227&gt;0),Inputs!AT227,Inputs!$F$38)</f>
        <v>76.5</v>
      </c>
      <c r="AU33" s="11" t="n">
        <f aca="false">IF(AND(Inputs!$F$55=1,Inputs!AU227&gt;0),Inputs!AU227,Inputs!$F$38)</f>
        <v>76.5</v>
      </c>
      <c r="AV33" s="11" t="n">
        <f aca="false">IF(AND(Inputs!$F$55=1,Inputs!AV227&gt;0),Inputs!AV227,Inputs!$F$38)</f>
        <v>76.5</v>
      </c>
      <c r="AW33" s="11" t="n">
        <f aca="false">IF(AND(Inputs!$F$55=1,Inputs!AW227&gt;0),Inputs!AW227,Inputs!$F$38)</f>
        <v>76.5</v>
      </c>
      <c r="AX33" s="11" t="n">
        <f aca="false">IF(AND(Inputs!$F$55=1,Inputs!AX227&gt;0),Inputs!AX227,Inputs!$F$38)</f>
        <v>76.5</v>
      </c>
      <c r="AY33" s="11" t="n">
        <f aca="false">IF(AND(Inputs!$F$55=1,Inputs!AY227&gt;0),Inputs!AY227,Inputs!$F$38)</f>
        <v>76.5</v>
      </c>
      <c r="AZ33" s="11" t="n">
        <f aca="false">IF(AND(Inputs!$F$55=1,Inputs!AZ227&gt;0),Inputs!AZ227,Inputs!$F$38)</f>
        <v>76.5</v>
      </c>
      <c r="BA33" s="11" t="n">
        <f aca="false">IF(AND(Inputs!$F$55=1,Inputs!BA227&gt;0),Inputs!BA227,Inputs!$F$38)</f>
        <v>76.5</v>
      </c>
      <c r="BB33" s="11" t="n">
        <f aca="false">IF(AND(Inputs!$F$55=1,Inputs!BB227&gt;0),Inputs!BB227,Inputs!$F$38)</f>
        <v>76.5</v>
      </c>
      <c r="BC33" s="11" t="n">
        <f aca="false">IF(AND(Inputs!$F$55=1,Inputs!BC227&gt;0),Inputs!BC227,Inputs!$F$38)</f>
        <v>76.5</v>
      </c>
      <c r="BD33" s="11" t="n">
        <f aca="false">IF(AND(Inputs!$F$55=1,Inputs!BD227&gt;0),Inputs!BD227,Inputs!$F$38)</f>
        <v>76.5</v>
      </c>
      <c r="BE33" s="11" t="n">
        <f aca="false">IF(AND(Inputs!$F$55=1,Inputs!BE227&gt;0),Inputs!BE227,Inputs!$F$38)</f>
        <v>76.5</v>
      </c>
      <c r="BF33" s="11" t="n">
        <f aca="false">IF(AND(Inputs!$F$55=1,Inputs!BF227&gt;0),Inputs!BF227,Inputs!$F$38)</f>
        <v>76.5</v>
      </c>
      <c r="BG33" s="11" t="n">
        <f aca="false">IF(AND(Inputs!$F$55=1,Inputs!BG227&gt;0),Inputs!BG227,Inputs!$F$38)</f>
        <v>76.5</v>
      </c>
      <c r="BH33" s="11" t="n">
        <f aca="false">IF(AND(Inputs!$F$55=1,Inputs!BH227&gt;0),Inputs!BH227,Inputs!$F$38)</f>
        <v>76.5</v>
      </c>
      <c r="BI33" s="11" t="n">
        <f aca="false">IF(AND(Inputs!$F$55=1,Inputs!BI227&gt;0),Inputs!BI227,Inputs!$F$38)</f>
        <v>76.5</v>
      </c>
      <c r="BJ33" s="11" t="n">
        <f aca="false">IF(AND(Inputs!$F$55=1,Inputs!BJ227&gt;0),Inputs!BJ227,Inputs!$F$38)</f>
        <v>76.5</v>
      </c>
      <c r="BK33" s="11" t="n">
        <f aca="false">IF(AND(Inputs!$F$55=1,Inputs!BK227&gt;0),Inputs!BK227,Inputs!$F$38)</f>
        <v>76.5</v>
      </c>
      <c r="BL33" s="11" t="n">
        <f aca="false">IF(AND(Inputs!$F$55=1,Inputs!BL227&gt;0),Inputs!BL227,Inputs!$F$38)</f>
        <v>76.5</v>
      </c>
      <c r="BM33" s="11" t="n">
        <f aca="false">IF(AND(Inputs!$F$55=1,Inputs!BM227&gt;0),Inputs!BM227,Inputs!$F$38)</f>
        <v>76.5</v>
      </c>
      <c r="BN33" s="11" t="n">
        <f aca="false">IF(AND(Inputs!$F$55=1,Inputs!BN227&gt;0),Inputs!BN227,Inputs!$F$38)</f>
        <v>76.5</v>
      </c>
    </row>
    <row r="34" customFormat="false" ht="15" hidden="false" customHeight="false" outlineLevel="0" collapsed="false">
      <c r="D34" s="0" t="s">
        <v>486</v>
      </c>
      <c r="E34" s="0" t="s">
        <v>487</v>
      </c>
      <c r="J34" s="13" t="n">
        <f aca="false">$F$30*730*Time!J25*J28/100*J33/100*J32</f>
        <v>0</v>
      </c>
      <c r="K34" s="13" t="n">
        <f aca="false">$F$30*730*Time!K25*K28/100*K33/100*K32</f>
        <v>0</v>
      </c>
      <c r="L34" s="13" t="n">
        <f aca="false">$F$30*730*Time!L25*L28/100*L33/100*L32</f>
        <v>0</v>
      </c>
      <c r="M34" s="13" t="n">
        <f aca="false">$F$30*730*Time!M25*M28/100*M33/100*M32</f>
        <v>0</v>
      </c>
      <c r="N34" s="13" t="n">
        <f aca="false">$F$30*730*Time!N25*N28/100*N33/100*N32</f>
        <v>0</v>
      </c>
      <c r="O34" s="13" t="n">
        <f aca="false">$F$30*730*Time!O25*O28/100*O33/100*O32</f>
        <v>590681.960847535</v>
      </c>
      <c r="P34" s="13" t="n">
        <f aca="false">$F$30*730*Time!P25*P28/100*P33/100*P32</f>
        <v>1771159.74883462</v>
      </c>
      <c r="Q34" s="13" t="n">
        <f aca="false">$F$30*730*Time!Q25*Q28/100*Q33/100*Q32</f>
        <v>1763983.09051403</v>
      </c>
      <c r="R34" s="13" t="n">
        <f aca="false">$F$30*730*Time!R25*R28/100*R33/100*R32</f>
        <v>1750972.14933027</v>
      </c>
      <c r="S34" s="13" t="n">
        <f aca="false">$F$30*730*Time!S25*S28/100*S33/100*S32</f>
        <v>1755494.79815872</v>
      </c>
      <c r="T34" s="13" t="n">
        <f aca="false">$F$30*730*Time!T25*T28/100*T33/100*T32</f>
        <v>1765842.94658671</v>
      </c>
      <c r="U34" s="13" t="n">
        <f aca="false">$F$30*730*Time!U25*U28/100*U33/100*U32</f>
        <v>1743785.24386879</v>
      </c>
      <c r="V34" s="13" t="n">
        <f aca="false">$F$30*730*Time!V25*V28/100*V33/100*V32</f>
        <v>1701045.88306759</v>
      </c>
      <c r="W34" s="13" t="n">
        <f aca="false">$F$30*730*Time!W25*W28/100*W33/100*W32</f>
        <v>1720460.79935245</v>
      </c>
      <c r="X34" s="13" t="n">
        <f aca="false">$F$30*730*Time!X25*X28/100*X33/100*X32</f>
        <v>1760526.1443388</v>
      </c>
      <c r="Y34" s="13" t="n">
        <f aca="false">$F$30*730*Time!Y25*Y28/100*Y33/100*Y32</f>
        <v>1753384.61907272</v>
      </c>
      <c r="Z34" s="13" t="n">
        <f aca="false">$F$30*730*Time!Z25*Z28/100*Z33/100*Z32</f>
        <v>1740443.94399796</v>
      </c>
      <c r="AA34" s="13" t="n">
        <f aca="false">$F$30*730*Time!AA25*AA28/100*AA33/100*AA32</f>
        <v>1744931.4597719</v>
      </c>
      <c r="AB34" s="13" t="n">
        <f aca="false">$F$30*730*Time!AB25*AB28/100*AB33/100*AB32</f>
        <v>1755209.34209089</v>
      </c>
      <c r="AC34" s="13" t="n">
        <f aca="false">$F$30*730*Time!AC25*AC28/100*AC33/100*AC32</f>
        <v>1721043.17852672</v>
      </c>
      <c r="AD34" s="13" t="n">
        <f aca="false">$F$30*730*Time!AD25*AD28/100*AD33/100*AD32</f>
        <v>1654114.70970117</v>
      </c>
      <c r="AE34" s="13" t="n">
        <f aca="false">$F$30*730*Time!AE25*AE28/100*AE33/100*AE32</f>
        <v>1685647.358055</v>
      </c>
      <c r="AF34" s="13" t="n">
        <f aca="false">$F$30*730*Time!AF25*AF28/100*AF33/100*AF32</f>
        <v>1749892.53984298</v>
      </c>
      <c r="AG34" s="13" t="n">
        <f aca="false">$F$30*730*Time!AG25*AG28/100*AG33/100*AG32</f>
        <v>1742786.1476314</v>
      </c>
      <c r="AH34" s="13" t="n">
        <f aca="false">$F$30*730*Time!AH25*AH28/100*AH33/100*AH32</f>
        <v>1729915.73866565</v>
      </c>
      <c r="AI34" s="13" t="n">
        <f aca="false">$F$30*730*Time!AI25*AI28/100*AI33/100*AI32</f>
        <v>1734368.12138509</v>
      </c>
      <c r="AJ34" s="13" t="n">
        <f aca="false">$F$30*730*Time!AJ25*AJ28/100*AJ33/100*AJ32</f>
        <v>1744575.73759507</v>
      </c>
      <c r="AK34" s="13" t="n">
        <f aca="false">$F$30*730*Time!AK25*AK28/100*AK33/100*AK32</f>
        <v>1722767.86993139</v>
      </c>
      <c r="AL34" s="13" t="n">
        <f aca="false">$F$30*730*Time!AL25*AL28/100*AL33/100*AL32</f>
        <v>1680528.17923866</v>
      </c>
      <c r="AM34" s="13" t="n">
        <f aca="false">$F$30*730*Time!AM25*AM28/100*AM33/100*AM32</f>
        <v>1699693.26046928</v>
      </c>
      <c r="AN34" s="13" t="n">
        <f aca="false">$F$30*730*Time!AN25*AN28/100*AN33/100*AN32</f>
        <v>1739258.93534717</v>
      </c>
      <c r="AO34" s="13" t="n">
        <f aca="false">$F$30*730*Time!AO25*AO28/100*AO33/100*AO32</f>
        <v>1732187.67619008</v>
      </c>
      <c r="AP34" s="13" t="n">
        <f aca="false">$F$30*730*Time!AP25*AP28/100*AP33/100*AP32</f>
        <v>1719387.53333333</v>
      </c>
      <c r="AQ34" s="13" t="n">
        <f aca="false">$F$30*730*Time!AQ25*AQ28/100*AQ33/100*AQ32</f>
        <v>1723804.78299828</v>
      </c>
      <c r="AR34" s="13" t="n">
        <f aca="false">$F$30*730*Time!AR25*AR28/100*AR33/100*AR32</f>
        <v>1733942.13309926</v>
      </c>
      <c r="AS34" s="13" t="n">
        <f aca="false">$F$30*730*Time!AS25*AS28/100*AS33/100*AS32</f>
        <v>1700174.14415277</v>
      </c>
      <c r="AT34" s="13" t="n">
        <f aca="false">$F$30*730*Time!AT25*AT28/100*AT33/100*AT32</f>
        <v>1634042.02456259</v>
      </c>
      <c r="AU34" s="13" t="n">
        <f aca="false">$F$30*730*Time!AU25*AU28/100*AU33/100*AU32</f>
        <v>1665176.49829873</v>
      </c>
      <c r="AV34" s="13" t="n">
        <f aca="false">$F$30*730*Time!AV25*AV28/100*AV33/100*AV32</f>
        <v>1728625.33085135</v>
      </c>
      <c r="AW34" s="13" t="n">
        <f aca="false">$F$30*730*Time!AW25*AW28/100*AW33/100*AW32</f>
        <v>1721589.20474877</v>
      </c>
      <c r="AX34" s="13" t="n">
        <f aca="false">$F$30*730*Time!AX25*AX28/100*AX33/100*AX32</f>
        <v>1708859.32800102</v>
      </c>
      <c r="AY34" s="13" t="n">
        <f aca="false">$F$30*730*Time!AY25*AY28/100*AY33/100*AY32</f>
        <v>1713241.44461146</v>
      </c>
      <c r="AZ34" s="13" t="n">
        <f aca="false">$F$30*730*Time!AZ25*AZ28/100*AZ33/100*AZ32</f>
        <v>1723308.52860344</v>
      </c>
      <c r="BA34" s="13" t="n">
        <f aca="false">$F$30*730*Time!BA25*BA28/100*BA33/100*BA32</f>
        <v>1701750.49599399</v>
      </c>
      <c r="BB34" s="13" t="n">
        <f aca="false">$F$30*730*Time!BB25*BB28/100*BB33/100*BB32</f>
        <v>1660010.47540972</v>
      </c>
      <c r="BC34" s="13" t="n">
        <f aca="false">$F$30*730*Time!BC25*BC28/100*BC33/100*BC32</f>
        <v>1678925.72158611</v>
      </c>
      <c r="BD34" s="13" t="n">
        <f aca="false">$F$30*730*Time!BD25*BD28/100*BD33/100*BD32</f>
        <v>1717991.72635553</v>
      </c>
      <c r="BE34" s="13" t="n">
        <f aca="false">$F$30*730*Time!BE25*BE28/100*BE33/100*BE32</f>
        <v>1710990.73330745</v>
      </c>
      <c r="BF34" s="13" t="n">
        <f aca="false">$F$30*730*Time!BF25*BF28/100*BF33/100*BF32</f>
        <v>1698331.12266871</v>
      </c>
      <c r="BG34" s="13" t="n">
        <f aca="false">$F$30*730*Time!BG25*BG28/100*BG33/100*BG32</f>
        <v>1702678.10622465</v>
      </c>
      <c r="BH34" s="13" t="n">
        <f aca="false">$F$30*730*Time!BH25*BH28/100*BH33/100*BH32</f>
        <v>1712674.92410762</v>
      </c>
      <c r="BI34" s="13" t="n">
        <f aca="false">$F$30*730*Time!BI25*BI28/100*BI33/100*BI32</f>
        <v>1679305.10977882</v>
      </c>
      <c r="BJ34" s="13" t="n">
        <f aca="false">$F$30*730*Time!BJ25*BJ28/100*BJ33/100*BJ32</f>
        <v>1613969.33942401</v>
      </c>
      <c r="BK34" s="13" t="n">
        <f aca="false">$F$30*730*Time!BK25*BK28/100*BK33/100*BK32</f>
        <v>1644705.63854246</v>
      </c>
      <c r="BL34" s="13" t="n">
        <f aca="false">$F$30*730*Time!BL25*BL28/100*BL33/100*BL32</f>
        <v>1707358.12185971</v>
      </c>
      <c r="BM34" s="13" t="n">
        <f aca="false">$F$30*730*Time!BM25*BM28/100*BM33/100*BM32</f>
        <v>1137500.30314982</v>
      </c>
      <c r="BN34" s="13" t="n">
        <f aca="false">$F$30*730*Time!BN25*BN28/100*BN33/100*BN32</f>
        <v>0</v>
      </c>
    </row>
    <row r="35" customFormat="false" ht="15" hidden="false" customHeight="false" outlineLevel="0" collapsed="false">
      <c r="D35" s="0" t="s">
        <v>488</v>
      </c>
      <c r="E35" s="0" t="s">
        <v>217</v>
      </c>
      <c r="J35" s="11" t="n">
        <f aca="false">$F$31*(1+Inputs!$F$127/100*J29)*(1+Inputs!$F$128/100)*(1+Inputs!$F$122/100)*Inputs!$F$39</f>
        <v>6456.243024</v>
      </c>
      <c r="K35" s="11" t="n">
        <f aca="false">$F$31*(1+Inputs!$F$127/100*K29)*(1+Inputs!$F$128/100)*(1+Inputs!$F$122/100)*Inputs!$F$39</f>
        <v>6456.243024</v>
      </c>
      <c r="L35" s="11" t="n">
        <f aca="false">$F$31*(1+Inputs!$F$127/100*L29)*(1+Inputs!$F$128/100)*(1+Inputs!$F$122/100)*Inputs!$F$39</f>
        <v>6456.243024</v>
      </c>
      <c r="M35" s="11" t="n">
        <f aca="false">$F$31*(1+Inputs!$F$127/100*M29)*(1+Inputs!$F$128/100)*(1+Inputs!$F$122/100)*Inputs!$F$39</f>
        <v>6456.243024</v>
      </c>
      <c r="N35" s="11" t="n">
        <f aca="false">$F$31*(1+Inputs!$F$127/100*N29)*(1+Inputs!$F$128/100)*(1+Inputs!$F$122/100)*Inputs!$F$39</f>
        <v>6456.243024</v>
      </c>
      <c r="O35" s="11" t="n">
        <f aca="false">$F$31*(1+Inputs!$F$127/100*O29)*(1+Inputs!$F$128/100)*(1+Inputs!$F$122/100)*Inputs!$F$39</f>
        <v>6456.8886483024</v>
      </c>
      <c r="P35" s="11" t="n">
        <f aca="false">$F$31*(1+Inputs!$F$127/100*P29)*(1+Inputs!$F$128/100)*(1+Inputs!$F$122/100)*Inputs!$F$39</f>
        <v>6459.471145512</v>
      </c>
      <c r="Q35" s="11" t="n">
        <f aca="false">$F$31*(1+Inputs!$F$127/100*Q29)*(1+Inputs!$F$128/100)*(1+Inputs!$F$122/100)*Inputs!$F$39</f>
        <v>6463.3448913264</v>
      </c>
      <c r="R35" s="11" t="n">
        <f aca="false">$F$31*(1+Inputs!$F$127/100*R29)*(1+Inputs!$F$128/100)*(1+Inputs!$F$122/100)*Inputs!$F$39</f>
        <v>6467.2186371408</v>
      </c>
      <c r="S35" s="11" t="n">
        <f aca="false">$F$31*(1+Inputs!$F$127/100*S29)*(1+Inputs!$F$128/100)*(1+Inputs!$F$122/100)*Inputs!$F$39</f>
        <v>6471.0923829552</v>
      </c>
      <c r="T35" s="11" t="n">
        <f aca="false">$F$31*(1+Inputs!$F$127/100*T29)*(1+Inputs!$F$128/100)*(1+Inputs!$F$122/100)*Inputs!$F$39</f>
        <v>6474.9661287696</v>
      </c>
      <c r="U35" s="11" t="n">
        <f aca="false">$F$31*(1+Inputs!$F$127/100*U29)*(1+Inputs!$F$128/100)*(1+Inputs!$F$122/100)*Inputs!$F$39</f>
        <v>6478.839874584</v>
      </c>
      <c r="V35" s="11" t="n">
        <f aca="false">$F$31*(1+Inputs!$F$127/100*V29)*(1+Inputs!$F$128/100)*(1+Inputs!$F$122/100)*Inputs!$F$39</f>
        <v>6482.7136203984</v>
      </c>
      <c r="W35" s="11" t="n">
        <f aca="false">$F$31*(1+Inputs!$F$127/100*W29)*(1+Inputs!$F$128/100)*(1+Inputs!$F$122/100)*Inputs!$F$39</f>
        <v>6486.5873662128</v>
      </c>
      <c r="X35" s="11" t="n">
        <f aca="false">$F$31*(1+Inputs!$F$127/100*X29)*(1+Inputs!$F$128/100)*(1+Inputs!$F$122/100)*Inputs!$F$39</f>
        <v>6490.4611120272</v>
      </c>
      <c r="Y35" s="11" t="n">
        <f aca="false">$F$31*(1+Inputs!$F$127/100*Y29)*(1+Inputs!$F$128/100)*(1+Inputs!$F$122/100)*Inputs!$F$39</f>
        <v>6494.3348578416</v>
      </c>
      <c r="Z35" s="11" t="n">
        <f aca="false">$F$31*(1+Inputs!$F$127/100*Z29)*(1+Inputs!$F$128/100)*(1+Inputs!$F$122/100)*Inputs!$F$39</f>
        <v>6498.208603656</v>
      </c>
      <c r="AA35" s="11" t="n">
        <f aca="false">$F$31*(1+Inputs!$F$127/100*AA29)*(1+Inputs!$F$128/100)*(1+Inputs!$F$122/100)*Inputs!$F$39</f>
        <v>6502.0823494704</v>
      </c>
      <c r="AB35" s="11" t="n">
        <f aca="false">$F$31*(1+Inputs!$F$127/100*AB29)*(1+Inputs!$F$128/100)*(1+Inputs!$F$122/100)*Inputs!$F$39</f>
        <v>6505.9560952848</v>
      </c>
      <c r="AC35" s="11" t="n">
        <f aca="false">$F$31*(1+Inputs!$F$127/100*AC29)*(1+Inputs!$F$128/100)*(1+Inputs!$F$122/100)*Inputs!$F$39</f>
        <v>6509.8298410992</v>
      </c>
      <c r="AD35" s="11" t="n">
        <f aca="false">$F$31*(1+Inputs!$F$127/100*AD29)*(1+Inputs!$F$128/100)*(1+Inputs!$F$122/100)*Inputs!$F$39</f>
        <v>6513.7035869136</v>
      </c>
      <c r="AE35" s="11" t="n">
        <f aca="false">$F$31*(1+Inputs!$F$127/100*AE29)*(1+Inputs!$F$128/100)*(1+Inputs!$F$122/100)*Inputs!$F$39</f>
        <v>6517.577332728</v>
      </c>
      <c r="AF35" s="11" t="n">
        <f aca="false">$F$31*(1+Inputs!$F$127/100*AF29)*(1+Inputs!$F$128/100)*(1+Inputs!$F$122/100)*Inputs!$F$39</f>
        <v>6521.4510785424</v>
      </c>
      <c r="AG35" s="11" t="n">
        <f aca="false">$F$31*(1+Inputs!$F$127/100*AG29)*(1+Inputs!$F$128/100)*(1+Inputs!$F$122/100)*Inputs!$F$39</f>
        <v>6525.3248243568</v>
      </c>
      <c r="AH35" s="11" t="n">
        <f aca="false">$F$31*(1+Inputs!$F$127/100*AH29)*(1+Inputs!$F$128/100)*(1+Inputs!$F$122/100)*Inputs!$F$39</f>
        <v>6529.1985701712</v>
      </c>
      <c r="AI35" s="11" t="n">
        <f aca="false">$F$31*(1+Inputs!$F$127/100*AI29)*(1+Inputs!$F$128/100)*(1+Inputs!$F$122/100)*Inputs!$F$39</f>
        <v>6533.0723159856</v>
      </c>
      <c r="AJ35" s="11" t="n">
        <f aca="false">$F$31*(1+Inputs!$F$127/100*AJ29)*(1+Inputs!$F$128/100)*(1+Inputs!$F$122/100)*Inputs!$F$39</f>
        <v>6536.9460618</v>
      </c>
      <c r="AK35" s="11" t="n">
        <f aca="false">$F$31*(1+Inputs!$F$127/100*AK29)*(1+Inputs!$F$128/100)*(1+Inputs!$F$122/100)*Inputs!$F$39</f>
        <v>6540.8198076144</v>
      </c>
      <c r="AL35" s="11" t="n">
        <f aca="false">$F$31*(1+Inputs!$F$127/100*AL29)*(1+Inputs!$F$128/100)*(1+Inputs!$F$122/100)*Inputs!$F$39</f>
        <v>6544.6935534288</v>
      </c>
      <c r="AM35" s="11" t="n">
        <f aca="false">$F$31*(1+Inputs!$F$127/100*AM29)*(1+Inputs!$F$128/100)*(1+Inputs!$F$122/100)*Inputs!$F$39</f>
        <v>6548.5672992432</v>
      </c>
      <c r="AN35" s="11" t="n">
        <f aca="false">$F$31*(1+Inputs!$F$127/100*AN29)*(1+Inputs!$F$128/100)*(1+Inputs!$F$122/100)*Inputs!$F$39</f>
        <v>6552.4410450576</v>
      </c>
      <c r="AO35" s="11" t="n">
        <f aca="false">$F$31*(1+Inputs!$F$127/100*AO29)*(1+Inputs!$F$128/100)*(1+Inputs!$F$122/100)*Inputs!$F$39</f>
        <v>6556.314790872</v>
      </c>
      <c r="AP35" s="11" t="n">
        <f aca="false">$F$31*(1+Inputs!$F$127/100*AP29)*(1+Inputs!$F$128/100)*(1+Inputs!$F$122/100)*Inputs!$F$39</f>
        <v>6560.1885366864</v>
      </c>
      <c r="AQ35" s="11" t="n">
        <f aca="false">$F$31*(1+Inputs!$F$127/100*AQ29)*(1+Inputs!$F$128/100)*(1+Inputs!$F$122/100)*Inputs!$F$39</f>
        <v>6564.0622825008</v>
      </c>
      <c r="AR35" s="11" t="n">
        <f aca="false">$F$31*(1+Inputs!$F$127/100*AR29)*(1+Inputs!$F$128/100)*(1+Inputs!$F$122/100)*Inputs!$F$39</f>
        <v>6567.9360283152</v>
      </c>
      <c r="AS35" s="11" t="n">
        <f aca="false">$F$31*(1+Inputs!$F$127/100*AS29)*(1+Inputs!$F$128/100)*(1+Inputs!$F$122/100)*Inputs!$F$39</f>
        <v>6571.8097741296</v>
      </c>
      <c r="AT35" s="11" t="n">
        <f aca="false">$F$31*(1+Inputs!$F$127/100*AT29)*(1+Inputs!$F$128/100)*(1+Inputs!$F$122/100)*Inputs!$F$39</f>
        <v>6575.683519944</v>
      </c>
      <c r="AU35" s="11" t="n">
        <f aca="false">$F$31*(1+Inputs!$F$127/100*AU29)*(1+Inputs!$F$128/100)*(1+Inputs!$F$122/100)*Inputs!$F$39</f>
        <v>6579.5572657584</v>
      </c>
      <c r="AV35" s="11" t="n">
        <f aca="false">$F$31*(1+Inputs!$F$127/100*AV29)*(1+Inputs!$F$128/100)*(1+Inputs!$F$122/100)*Inputs!$F$39</f>
        <v>6583.4310115728</v>
      </c>
      <c r="AW35" s="11" t="n">
        <f aca="false">$F$31*(1+Inputs!$F$127/100*AW29)*(1+Inputs!$F$128/100)*(1+Inputs!$F$122/100)*Inputs!$F$39</f>
        <v>6587.3047573872</v>
      </c>
      <c r="AX35" s="11" t="n">
        <f aca="false">$F$31*(1+Inputs!$F$127/100*AX29)*(1+Inputs!$F$128/100)*(1+Inputs!$F$122/100)*Inputs!$F$39</f>
        <v>6591.1785032016</v>
      </c>
      <c r="AY35" s="11" t="n">
        <f aca="false">$F$31*(1+Inputs!$F$127/100*AY29)*(1+Inputs!$F$128/100)*(1+Inputs!$F$122/100)*Inputs!$F$39</f>
        <v>6595.052249016</v>
      </c>
      <c r="AZ35" s="11" t="n">
        <f aca="false">$F$31*(1+Inputs!$F$127/100*AZ29)*(1+Inputs!$F$128/100)*(1+Inputs!$F$122/100)*Inputs!$F$39</f>
        <v>6598.9259948304</v>
      </c>
      <c r="BA35" s="11" t="n">
        <f aca="false">$F$31*(1+Inputs!$F$127/100*BA29)*(1+Inputs!$F$128/100)*(1+Inputs!$F$122/100)*Inputs!$F$39</f>
        <v>6602.7997406448</v>
      </c>
      <c r="BB35" s="11" t="n">
        <f aca="false">$F$31*(1+Inputs!$F$127/100*BB29)*(1+Inputs!$F$128/100)*(1+Inputs!$F$122/100)*Inputs!$F$39</f>
        <v>6606.6734864592</v>
      </c>
      <c r="BC35" s="11" t="n">
        <f aca="false">$F$31*(1+Inputs!$F$127/100*BC29)*(1+Inputs!$F$128/100)*(1+Inputs!$F$122/100)*Inputs!$F$39</f>
        <v>6610.5472322736</v>
      </c>
      <c r="BD35" s="11" t="n">
        <f aca="false">$F$31*(1+Inputs!$F$127/100*BD29)*(1+Inputs!$F$128/100)*(1+Inputs!$F$122/100)*Inputs!$F$39</f>
        <v>6614.420978088</v>
      </c>
      <c r="BE35" s="11" t="n">
        <f aca="false">$F$31*(1+Inputs!$F$127/100*BE29)*(1+Inputs!$F$128/100)*(1+Inputs!$F$122/100)*Inputs!$F$39</f>
        <v>6618.2947239024</v>
      </c>
      <c r="BF35" s="11" t="n">
        <f aca="false">$F$31*(1+Inputs!$F$127/100*BF29)*(1+Inputs!$F$128/100)*(1+Inputs!$F$122/100)*Inputs!$F$39</f>
        <v>6622.1684697168</v>
      </c>
      <c r="BG35" s="11" t="n">
        <f aca="false">$F$31*(1+Inputs!$F$127/100*BG29)*(1+Inputs!$F$128/100)*(1+Inputs!$F$122/100)*Inputs!$F$39</f>
        <v>6626.0422155312</v>
      </c>
      <c r="BH35" s="11" t="n">
        <f aca="false">$F$31*(1+Inputs!$F$127/100*BH29)*(1+Inputs!$F$128/100)*(1+Inputs!$F$122/100)*Inputs!$F$39</f>
        <v>6629.9159613456</v>
      </c>
      <c r="BI35" s="11" t="n">
        <f aca="false">$F$31*(1+Inputs!$F$127/100*BI29)*(1+Inputs!$F$128/100)*(1+Inputs!$F$122/100)*Inputs!$F$39</f>
        <v>6633.78970716</v>
      </c>
      <c r="BJ35" s="11" t="n">
        <f aca="false">$F$31*(1+Inputs!$F$127/100*BJ29)*(1+Inputs!$F$128/100)*(1+Inputs!$F$122/100)*Inputs!$F$39</f>
        <v>6637.6634529744</v>
      </c>
      <c r="BK35" s="11" t="n">
        <f aca="false">$F$31*(1+Inputs!$F$127/100*BK29)*(1+Inputs!$F$128/100)*(1+Inputs!$F$122/100)*Inputs!$F$39</f>
        <v>6641.5371987888</v>
      </c>
      <c r="BL35" s="11" t="n">
        <f aca="false">$F$31*(1+Inputs!$F$127/100*BL29)*(1+Inputs!$F$128/100)*(1+Inputs!$F$122/100)*Inputs!$F$39</f>
        <v>6645.4109446032</v>
      </c>
      <c r="BM35" s="11" t="n">
        <f aca="false">$F$31*(1+Inputs!$F$127/100*BM29)*(1+Inputs!$F$128/100)*(1+Inputs!$F$122/100)*Inputs!$F$39</f>
        <v>6648.6390661152</v>
      </c>
      <c r="BN35" s="11" t="n">
        <f aca="false">$F$31*(1+Inputs!$F$127/100*BN29)*(1+Inputs!$F$128/100)*(1+Inputs!$F$122/100)*Inputs!$F$39</f>
        <v>6456.243024</v>
      </c>
    </row>
    <row r="36" customFormat="false" ht="15" hidden="false" customHeight="false" outlineLevel="0" collapsed="false">
      <c r="D36" s="0" t="s">
        <v>489</v>
      </c>
      <c r="E36" s="0" t="s">
        <v>217</v>
      </c>
      <c r="J36" s="11" t="n">
        <f aca="false">Inputs!$F$120*(1+Inputs!$F$121/100*J29)*(1+Inputs!$F$122/100)</f>
        <v>6468.429</v>
      </c>
      <c r="K36" s="11" t="n">
        <f aca="false">Inputs!$F$120*(1+Inputs!$F$121/100*K29)*(1+Inputs!$F$122/100)</f>
        <v>6468.429</v>
      </c>
      <c r="L36" s="11" t="n">
        <f aca="false">Inputs!$F$120*(1+Inputs!$F$121/100*L29)*(1+Inputs!$F$122/100)</f>
        <v>6468.429</v>
      </c>
      <c r="M36" s="11" t="n">
        <f aca="false">Inputs!$F$120*(1+Inputs!$F$121/100*M29)*(1+Inputs!$F$122/100)</f>
        <v>6468.429</v>
      </c>
      <c r="N36" s="11" t="n">
        <f aca="false">Inputs!$F$120*(1+Inputs!$F$121/100*N29)*(1+Inputs!$F$122/100)</f>
        <v>6468.429</v>
      </c>
      <c r="O36" s="11" t="n">
        <f aca="false">Inputs!$F$120*(1+Inputs!$F$121/100*O29)*(1+Inputs!$F$122/100)</f>
        <v>6468.96803575</v>
      </c>
      <c r="P36" s="11" t="n">
        <f aca="false">Inputs!$F$120*(1+Inputs!$F$121/100*P29)*(1+Inputs!$F$122/100)</f>
        <v>6471.12417875</v>
      </c>
      <c r="Q36" s="11" t="n">
        <f aca="false">Inputs!$F$120*(1+Inputs!$F$121/100*Q29)*(1+Inputs!$F$122/100)</f>
        <v>6474.35839325</v>
      </c>
      <c r="R36" s="11" t="n">
        <f aca="false">Inputs!$F$120*(1+Inputs!$F$121/100*R29)*(1+Inputs!$F$122/100)</f>
        <v>6477.59260775</v>
      </c>
      <c r="S36" s="11" t="n">
        <f aca="false">Inputs!$F$120*(1+Inputs!$F$121/100*S29)*(1+Inputs!$F$122/100)</f>
        <v>6480.82682225</v>
      </c>
      <c r="T36" s="11" t="n">
        <f aca="false">Inputs!$F$120*(1+Inputs!$F$121/100*T29)*(1+Inputs!$F$122/100)</f>
        <v>6484.06103675</v>
      </c>
      <c r="U36" s="11" t="n">
        <f aca="false">Inputs!$F$120*(1+Inputs!$F$121/100*U29)*(1+Inputs!$F$122/100)</f>
        <v>6487.29525125</v>
      </c>
      <c r="V36" s="11" t="n">
        <f aca="false">Inputs!$F$120*(1+Inputs!$F$121/100*V29)*(1+Inputs!$F$122/100)</f>
        <v>6490.52946575</v>
      </c>
      <c r="W36" s="11" t="n">
        <f aca="false">Inputs!$F$120*(1+Inputs!$F$121/100*W29)*(1+Inputs!$F$122/100)</f>
        <v>6493.76368025</v>
      </c>
      <c r="X36" s="11" t="n">
        <f aca="false">Inputs!$F$120*(1+Inputs!$F$121/100*X29)*(1+Inputs!$F$122/100)</f>
        <v>6496.99789475</v>
      </c>
      <c r="Y36" s="11" t="n">
        <f aca="false">Inputs!$F$120*(1+Inputs!$F$121/100*Y29)*(1+Inputs!$F$122/100)</f>
        <v>6500.23210925</v>
      </c>
      <c r="Z36" s="11" t="n">
        <f aca="false">Inputs!$F$120*(1+Inputs!$F$121/100*Z29)*(1+Inputs!$F$122/100)</f>
        <v>6503.46632375</v>
      </c>
      <c r="AA36" s="11" t="n">
        <f aca="false">Inputs!$F$120*(1+Inputs!$F$121/100*AA29)*(1+Inputs!$F$122/100)</f>
        <v>6506.70053825</v>
      </c>
      <c r="AB36" s="11" t="n">
        <f aca="false">Inputs!$F$120*(1+Inputs!$F$121/100*AB29)*(1+Inputs!$F$122/100)</f>
        <v>6509.93475275</v>
      </c>
      <c r="AC36" s="11" t="n">
        <f aca="false">Inputs!$F$120*(1+Inputs!$F$121/100*AC29)*(1+Inputs!$F$122/100)</f>
        <v>6513.16896725</v>
      </c>
      <c r="AD36" s="11" t="n">
        <f aca="false">Inputs!$F$120*(1+Inputs!$F$121/100*AD29)*(1+Inputs!$F$122/100)</f>
        <v>6516.40318175</v>
      </c>
      <c r="AE36" s="11" t="n">
        <f aca="false">Inputs!$F$120*(1+Inputs!$F$121/100*AE29)*(1+Inputs!$F$122/100)</f>
        <v>6519.63739625</v>
      </c>
      <c r="AF36" s="11" t="n">
        <f aca="false">Inputs!$F$120*(1+Inputs!$F$121/100*AF29)*(1+Inputs!$F$122/100)</f>
        <v>6522.87161075</v>
      </c>
      <c r="AG36" s="11" t="n">
        <f aca="false">Inputs!$F$120*(1+Inputs!$F$121/100*AG29)*(1+Inputs!$F$122/100)</f>
        <v>6526.10582525</v>
      </c>
      <c r="AH36" s="11" t="n">
        <f aca="false">Inputs!$F$120*(1+Inputs!$F$121/100*AH29)*(1+Inputs!$F$122/100)</f>
        <v>6529.34003975</v>
      </c>
      <c r="AI36" s="11" t="n">
        <f aca="false">Inputs!$F$120*(1+Inputs!$F$121/100*AI29)*(1+Inputs!$F$122/100)</f>
        <v>6532.57425425</v>
      </c>
      <c r="AJ36" s="11" t="n">
        <f aca="false">Inputs!$F$120*(1+Inputs!$F$121/100*AJ29)*(1+Inputs!$F$122/100)</f>
        <v>6535.80846875</v>
      </c>
      <c r="AK36" s="11" t="n">
        <f aca="false">Inputs!$F$120*(1+Inputs!$F$121/100*AK29)*(1+Inputs!$F$122/100)</f>
        <v>6539.04268325</v>
      </c>
      <c r="AL36" s="11" t="n">
        <f aca="false">Inputs!$F$120*(1+Inputs!$F$121/100*AL29)*(1+Inputs!$F$122/100)</f>
        <v>6542.27689775</v>
      </c>
      <c r="AM36" s="11" t="n">
        <f aca="false">Inputs!$F$120*(1+Inputs!$F$121/100*AM29)*(1+Inputs!$F$122/100)</f>
        <v>6545.51111225</v>
      </c>
      <c r="AN36" s="11" t="n">
        <f aca="false">Inputs!$F$120*(1+Inputs!$F$121/100*AN29)*(1+Inputs!$F$122/100)</f>
        <v>6548.74532675</v>
      </c>
      <c r="AO36" s="11" t="n">
        <f aca="false">Inputs!$F$120*(1+Inputs!$F$121/100*AO29)*(1+Inputs!$F$122/100)</f>
        <v>6551.97954125</v>
      </c>
      <c r="AP36" s="11" t="n">
        <f aca="false">Inputs!$F$120*(1+Inputs!$F$121/100*AP29)*(1+Inputs!$F$122/100)</f>
        <v>6555.21375575</v>
      </c>
      <c r="AQ36" s="11" t="n">
        <f aca="false">Inputs!$F$120*(1+Inputs!$F$121/100*AQ29)*(1+Inputs!$F$122/100)</f>
        <v>6558.44797025</v>
      </c>
      <c r="AR36" s="11" t="n">
        <f aca="false">Inputs!$F$120*(1+Inputs!$F$121/100*AR29)*(1+Inputs!$F$122/100)</f>
        <v>6561.68218475</v>
      </c>
      <c r="AS36" s="11" t="n">
        <f aca="false">Inputs!$F$120*(1+Inputs!$F$121/100*AS29)*(1+Inputs!$F$122/100)</f>
        <v>6564.91639925</v>
      </c>
      <c r="AT36" s="11" t="n">
        <f aca="false">Inputs!$F$120*(1+Inputs!$F$121/100*AT29)*(1+Inputs!$F$122/100)</f>
        <v>6568.15061375</v>
      </c>
      <c r="AU36" s="11" t="n">
        <f aca="false">Inputs!$F$120*(1+Inputs!$F$121/100*AU29)*(1+Inputs!$F$122/100)</f>
        <v>6571.38482825</v>
      </c>
      <c r="AV36" s="11" t="n">
        <f aca="false">Inputs!$F$120*(1+Inputs!$F$121/100*AV29)*(1+Inputs!$F$122/100)</f>
        <v>6574.61904275</v>
      </c>
      <c r="AW36" s="11" t="n">
        <f aca="false">Inputs!$F$120*(1+Inputs!$F$121/100*AW29)*(1+Inputs!$F$122/100)</f>
        <v>6577.85325725</v>
      </c>
      <c r="AX36" s="11" t="n">
        <f aca="false">Inputs!$F$120*(1+Inputs!$F$121/100*AX29)*(1+Inputs!$F$122/100)</f>
        <v>6581.08747175</v>
      </c>
      <c r="AY36" s="11" t="n">
        <f aca="false">Inputs!$F$120*(1+Inputs!$F$121/100*AY29)*(1+Inputs!$F$122/100)</f>
        <v>6584.32168625</v>
      </c>
      <c r="AZ36" s="11" t="n">
        <f aca="false">Inputs!$F$120*(1+Inputs!$F$121/100*AZ29)*(1+Inputs!$F$122/100)</f>
        <v>6587.55590075</v>
      </c>
      <c r="BA36" s="11" t="n">
        <f aca="false">Inputs!$F$120*(1+Inputs!$F$121/100*BA29)*(1+Inputs!$F$122/100)</f>
        <v>6590.79011525</v>
      </c>
      <c r="BB36" s="11" t="n">
        <f aca="false">Inputs!$F$120*(1+Inputs!$F$121/100*BB29)*(1+Inputs!$F$122/100)</f>
        <v>6594.02432975</v>
      </c>
      <c r="BC36" s="11" t="n">
        <f aca="false">Inputs!$F$120*(1+Inputs!$F$121/100*BC29)*(1+Inputs!$F$122/100)</f>
        <v>6597.25854425</v>
      </c>
      <c r="BD36" s="11" t="n">
        <f aca="false">Inputs!$F$120*(1+Inputs!$F$121/100*BD29)*(1+Inputs!$F$122/100)</f>
        <v>6600.49275875</v>
      </c>
      <c r="BE36" s="11" t="n">
        <f aca="false">Inputs!$F$120*(1+Inputs!$F$121/100*BE29)*(1+Inputs!$F$122/100)</f>
        <v>6603.72697325</v>
      </c>
      <c r="BF36" s="11" t="n">
        <f aca="false">Inputs!$F$120*(1+Inputs!$F$121/100*BF29)*(1+Inputs!$F$122/100)</f>
        <v>6606.96118775</v>
      </c>
      <c r="BG36" s="11" t="n">
        <f aca="false">Inputs!$F$120*(1+Inputs!$F$121/100*BG29)*(1+Inputs!$F$122/100)</f>
        <v>6610.19540225</v>
      </c>
      <c r="BH36" s="11" t="n">
        <f aca="false">Inputs!$F$120*(1+Inputs!$F$121/100*BH29)*(1+Inputs!$F$122/100)</f>
        <v>6613.42961675</v>
      </c>
      <c r="BI36" s="11" t="n">
        <f aca="false">Inputs!$F$120*(1+Inputs!$F$121/100*BI29)*(1+Inputs!$F$122/100)</f>
        <v>6616.66383125</v>
      </c>
      <c r="BJ36" s="11" t="n">
        <f aca="false">Inputs!$F$120*(1+Inputs!$F$121/100*BJ29)*(1+Inputs!$F$122/100)</f>
        <v>6619.89804575</v>
      </c>
      <c r="BK36" s="11" t="n">
        <f aca="false">Inputs!$F$120*(1+Inputs!$F$121/100*BK29)*(1+Inputs!$F$122/100)</f>
        <v>6623.13226025</v>
      </c>
      <c r="BL36" s="11" t="n">
        <f aca="false">Inputs!$F$120*(1+Inputs!$F$121/100*BL29)*(1+Inputs!$F$122/100)</f>
        <v>6626.36647475</v>
      </c>
      <c r="BM36" s="11" t="n">
        <f aca="false">Inputs!$F$120*(1+Inputs!$F$121/100*BM29)*(1+Inputs!$F$122/100)</f>
        <v>6629.0616535</v>
      </c>
      <c r="BN36" s="11" t="n">
        <f aca="false">Inputs!$F$120*(1+Inputs!$F$121/100*BN29)*(1+Inputs!$F$122/100)</f>
        <v>6468.429</v>
      </c>
    </row>
    <row r="37" customFormat="false" ht="15" hidden="false" customHeight="false" outlineLevel="0" collapsed="false">
      <c r="D37" s="0" t="s">
        <v>490</v>
      </c>
      <c r="E37" s="0" t="s">
        <v>247</v>
      </c>
      <c r="J37" s="11" t="n">
        <f aca="false">Inputs!$F$142*(1+Inputs!$F$143/100)^(Time!J21-2018)*Inputs!$F$41</f>
        <v>5.86</v>
      </c>
      <c r="K37" s="11" t="n">
        <f aca="false">Inputs!$F$142*(1+Inputs!$F$143/100)^(Time!K21-2018)*Inputs!$F$41</f>
        <v>5.9772</v>
      </c>
      <c r="L37" s="11" t="n">
        <f aca="false">Inputs!$F$142*(1+Inputs!$F$143/100)^(Time!L21-2018)*Inputs!$F$41</f>
        <v>5.9772</v>
      </c>
      <c r="M37" s="11" t="n">
        <f aca="false">Inputs!$F$142*(1+Inputs!$F$143/100)^(Time!M21-2018)*Inputs!$F$41</f>
        <v>6.096744</v>
      </c>
      <c r="N37" s="11" t="n">
        <f aca="false">Inputs!$F$142*(1+Inputs!$F$143/100)^(Time!N21-2018)*Inputs!$F$41</f>
        <v>6.096744</v>
      </c>
      <c r="O37" s="11" t="n">
        <f aca="false">Inputs!$F$142*(1+Inputs!$F$143/100)^(Time!O21-2018)*Inputs!$F$41</f>
        <v>6.21867888</v>
      </c>
      <c r="P37" s="11" t="n">
        <f aca="false">Inputs!$F$142*(1+Inputs!$F$143/100)^(Time!P21-2018)*Inputs!$F$41</f>
        <v>6.21867888</v>
      </c>
      <c r="Q37" s="11" t="n">
        <f aca="false">Inputs!$F$142*(1+Inputs!$F$143/100)^(Time!Q21-2018)*Inputs!$F$41</f>
        <v>6.3430524576</v>
      </c>
      <c r="R37" s="11" t="n">
        <f aca="false">Inputs!$F$142*(1+Inputs!$F$143/100)^(Time!R21-2018)*Inputs!$F$41</f>
        <v>6.3430524576</v>
      </c>
      <c r="S37" s="11" t="n">
        <f aca="false">Inputs!$F$142*(1+Inputs!$F$143/100)^(Time!S21-2018)*Inputs!$F$41</f>
        <v>6.469913506752</v>
      </c>
      <c r="T37" s="11" t="n">
        <f aca="false">Inputs!$F$142*(1+Inputs!$F$143/100)^(Time!T21-2018)*Inputs!$F$41</f>
        <v>6.469913506752</v>
      </c>
      <c r="U37" s="11" t="n">
        <f aca="false">Inputs!$F$142*(1+Inputs!$F$143/100)^(Time!U21-2018)*Inputs!$F$41</f>
        <v>6.59931177688704</v>
      </c>
      <c r="V37" s="11" t="n">
        <f aca="false">Inputs!$F$142*(1+Inputs!$F$143/100)^(Time!V21-2018)*Inputs!$F$41</f>
        <v>6.59931177688704</v>
      </c>
      <c r="W37" s="11" t="n">
        <f aca="false">Inputs!$F$142*(1+Inputs!$F$143/100)^(Time!W21-2018)*Inputs!$F$41</f>
        <v>6.73129801242478</v>
      </c>
      <c r="X37" s="11" t="n">
        <f aca="false">Inputs!$F$142*(1+Inputs!$F$143/100)^(Time!X21-2018)*Inputs!$F$41</f>
        <v>6.73129801242478</v>
      </c>
      <c r="Y37" s="11" t="n">
        <f aca="false">Inputs!$F$142*(1+Inputs!$F$143/100)^(Time!Y21-2018)*Inputs!$F$41</f>
        <v>6.86592397267328</v>
      </c>
      <c r="Z37" s="11" t="n">
        <f aca="false">Inputs!$F$142*(1+Inputs!$F$143/100)^(Time!Z21-2018)*Inputs!$F$41</f>
        <v>6.86592397267328</v>
      </c>
      <c r="AA37" s="11" t="n">
        <f aca="false">Inputs!$F$142*(1+Inputs!$F$143/100)^(Time!AA21-2018)*Inputs!$F$41</f>
        <v>7.00324245212674</v>
      </c>
      <c r="AB37" s="11" t="n">
        <f aca="false">Inputs!$F$142*(1+Inputs!$F$143/100)^(Time!AB21-2018)*Inputs!$F$41</f>
        <v>7.00324245212674</v>
      </c>
      <c r="AC37" s="11" t="n">
        <f aca="false">Inputs!$F$142*(1+Inputs!$F$143/100)^(Time!AC21-2018)*Inputs!$F$41</f>
        <v>7.14330730116928</v>
      </c>
      <c r="AD37" s="11" t="n">
        <f aca="false">Inputs!$F$142*(1+Inputs!$F$143/100)^(Time!AD21-2018)*Inputs!$F$41</f>
        <v>7.14330730116928</v>
      </c>
      <c r="AE37" s="11" t="n">
        <f aca="false">Inputs!$F$142*(1+Inputs!$F$143/100)^(Time!AE21-2018)*Inputs!$F$41</f>
        <v>7.28617344719266</v>
      </c>
      <c r="AF37" s="11" t="n">
        <f aca="false">Inputs!$F$142*(1+Inputs!$F$143/100)^(Time!AF21-2018)*Inputs!$F$41</f>
        <v>7.28617344719266</v>
      </c>
      <c r="AG37" s="11" t="n">
        <f aca="false">Inputs!$F$142*(1+Inputs!$F$143/100)^(Time!AG21-2018)*Inputs!$F$41</f>
        <v>7.43189691613652</v>
      </c>
      <c r="AH37" s="11" t="n">
        <f aca="false">Inputs!$F$142*(1+Inputs!$F$143/100)^(Time!AH21-2018)*Inputs!$F$41</f>
        <v>7.43189691613652</v>
      </c>
      <c r="AI37" s="11" t="n">
        <f aca="false">Inputs!$F$142*(1+Inputs!$F$143/100)^(Time!AI21-2018)*Inputs!$F$41</f>
        <v>7.58053485445925</v>
      </c>
      <c r="AJ37" s="11" t="n">
        <f aca="false">Inputs!$F$142*(1+Inputs!$F$143/100)^(Time!AJ21-2018)*Inputs!$F$41</f>
        <v>7.58053485445925</v>
      </c>
      <c r="AK37" s="11" t="n">
        <f aca="false">Inputs!$F$142*(1+Inputs!$F$143/100)^(Time!AK21-2018)*Inputs!$F$41</f>
        <v>7.73214555154843</v>
      </c>
      <c r="AL37" s="11" t="n">
        <f aca="false">Inputs!$F$142*(1+Inputs!$F$143/100)^(Time!AL21-2018)*Inputs!$F$41</f>
        <v>7.73214555154843</v>
      </c>
      <c r="AM37" s="11" t="n">
        <f aca="false">Inputs!$F$142*(1+Inputs!$F$143/100)^(Time!AM21-2018)*Inputs!$F$41</f>
        <v>7.8867884625794</v>
      </c>
      <c r="AN37" s="11" t="n">
        <f aca="false">Inputs!$F$142*(1+Inputs!$F$143/100)^(Time!AN21-2018)*Inputs!$F$41</f>
        <v>7.8867884625794</v>
      </c>
      <c r="AO37" s="11" t="n">
        <f aca="false">Inputs!$F$142*(1+Inputs!$F$143/100)^(Time!AO21-2018)*Inputs!$F$41</f>
        <v>8.04452423183099</v>
      </c>
      <c r="AP37" s="11" t="n">
        <f aca="false">Inputs!$F$142*(1+Inputs!$F$143/100)^(Time!AP21-2018)*Inputs!$F$41</f>
        <v>8.04452423183099</v>
      </c>
      <c r="AQ37" s="11" t="n">
        <f aca="false">Inputs!$F$142*(1+Inputs!$F$143/100)^(Time!AQ21-2018)*Inputs!$F$41</f>
        <v>8.20541471646761</v>
      </c>
      <c r="AR37" s="11" t="n">
        <f aca="false">Inputs!$F$142*(1+Inputs!$F$143/100)^(Time!AR21-2018)*Inputs!$F$41</f>
        <v>8.20541471646761</v>
      </c>
      <c r="AS37" s="11" t="n">
        <f aca="false">Inputs!$F$142*(1+Inputs!$F$143/100)^(Time!AS21-2018)*Inputs!$F$41</f>
        <v>8.36952301079696</v>
      </c>
      <c r="AT37" s="11" t="n">
        <f aca="false">Inputs!$F$142*(1+Inputs!$F$143/100)^(Time!AT21-2018)*Inputs!$F$41</f>
        <v>8.36952301079696</v>
      </c>
      <c r="AU37" s="11" t="n">
        <f aca="false">Inputs!$F$142*(1+Inputs!$F$143/100)^(Time!AU21-2018)*Inputs!$F$41</f>
        <v>8.5369134710129</v>
      </c>
      <c r="AV37" s="11" t="n">
        <f aca="false">Inputs!$F$142*(1+Inputs!$F$143/100)^(Time!AV21-2018)*Inputs!$F$41</f>
        <v>8.5369134710129</v>
      </c>
      <c r="AW37" s="11" t="n">
        <f aca="false">Inputs!$F$142*(1+Inputs!$F$143/100)^(Time!AW21-2018)*Inputs!$F$41</f>
        <v>8.70765174043316</v>
      </c>
      <c r="AX37" s="11" t="n">
        <f aca="false">Inputs!$F$142*(1+Inputs!$F$143/100)^(Time!AX21-2018)*Inputs!$F$41</f>
        <v>8.70765174043316</v>
      </c>
      <c r="AY37" s="11" t="n">
        <f aca="false">Inputs!$F$142*(1+Inputs!$F$143/100)^(Time!AY21-2018)*Inputs!$F$41</f>
        <v>8.88180477524182</v>
      </c>
      <c r="AZ37" s="11" t="n">
        <f aca="false">Inputs!$F$142*(1+Inputs!$F$143/100)^(Time!AZ21-2018)*Inputs!$F$41</f>
        <v>8.88180477524182</v>
      </c>
      <c r="BA37" s="11" t="n">
        <f aca="false">Inputs!$F$142*(1+Inputs!$F$143/100)^(Time!BA21-2018)*Inputs!$F$41</f>
        <v>9.05944087074666</v>
      </c>
      <c r="BB37" s="11" t="n">
        <f aca="false">Inputs!$F$142*(1+Inputs!$F$143/100)^(Time!BB21-2018)*Inputs!$F$41</f>
        <v>9.05944087074666</v>
      </c>
      <c r="BC37" s="11" t="n">
        <f aca="false">Inputs!$F$142*(1+Inputs!$F$143/100)^(Time!BC21-2018)*Inputs!$F$41</f>
        <v>9.24062968816159</v>
      </c>
      <c r="BD37" s="11" t="n">
        <f aca="false">Inputs!$F$142*(1+Inputs!$F$143/100)^(Time!BD21-2018)*Inputs!$F$41</f>
        <v>9.24062968816159</v>
      </c>
      <c r="BE37" s="11" t="n">
        <f aca="false">Inputs!$F$142*(1+Inputs!$F$143/100)^(Time!BE21-2018)*Inputs!$F$41</f>
        <v>9.42544228192483</v>
      </c>
      <c r="BF37" s="11" t="n">
        <f aca="false">Inputs!$F$142*(1+Inputs!$F$143/100)^(Time!BF21-2018)*Inputs!$F$41</f>
        <v>9.42544228192483</v>
      </c>
      <c r="BG37" s="11" t="n">
        <f aca="false">Inputs!$F$142*(1+Inputs!$F$143/100)^(Time!BG21-2018)*Inputs!$F$41</f>
        <v>9.61395112756332</v>
      </c>
      <c r="BH37" s="11" t="n">
        <f aca="false">Inputs!$F$142*(1+Inputs!$F$143/100)^(Time!BH21-2018)*Inputs!$F$41</f>
        <v>9.61395112756332</v>
      </c>
      <c r="BI37" s="11" t="n">
        <f aca="false">Inputs!$F$142*(1+Inputs!$F$143/100)^(Time!BI21-2018)*Inputs!$F$41</f>
        <v>9.80623015011459</v>
      </c>
      <c r="BJ37" s="11" t="n">
        <f aca="false">Inputs!$F$142*(1+Inputs!$F$143/100)^(Time!BJ21-2018)*Inputs!$F$41</f>
        <v>9.80623015011459</v>
      </c>
      <c r="BK37" s="11" t="n">
        <f aca="false">Inputs!$F$142*(1+Inputs!$F$143/100)^(Time!BK21-2018)*Inputs!$F$41</f>
        <v>10.0023547531169</v>
      </c>
      <c r="BL37" s="11" t="n">
        <f aca="false">Inputs!$F$142*(1+Inputs!$F$143/100)^(Time!BL21-2018)*Inputs!$F$41</f>
        <v>10.0023547531169</v>
      </c>
      <c r="BM37" s="11" t="n">
        <f aca="false">Inputs!$F$142*(1+Inputs!$F$143/100)^(Time!BM21-2018)*Inputs!$F$41</f>
        <v>10.2024018481792</v>
      </c>
      <c r="BN37" s="11" t="n">
        <f aca="false">Inputs!$F$142*(1+Inputs!$F$143/100)^(Time!BN21-2018)*Inputs!$F$41</f>
        <v>10.2024018481792</v>
      </c>
    </row>
    <row r="38" customFormat="false" ht="15" hidden="false" customHeight="false" outlineLevel="0" collapsed="false">
      <c r="D38" s="0" t="s">
        <v>491</v>
      </c>
      <c r="E38" s="0" t="s">
        <v>492</v>
      </c>
      <c r="J38" s="13" t="n">
        <f aca="false">J34*J35*(1000*Inputs!$F$123/Inputs!$F$124)</f>
        <v>0</v>
      </c>
      <c r="K38" s="13" t="n">
        <f aca="false">K34*K35*(1000*Inputs!$F$123/Inputs!$F$124)</f>
        <v>0</v>
      </c>
      <c r="L38" s="13" t="n">
        <f aca="false">L34*L35*(1000*Inputs!$F$123/Inputs!$F$124)</f>
        <v>0</v>
      </c>
      <c r="M38" s="13" t="n">
        <f aca="false">M34*M35*(1000*Inputs!$F$123/Inputs!$F$124)</f>
        <v>0</v>
      </c>
      <c r="N38" s="13" t="n">
        <f aca="false">N34*N35*(1000*Inputs!$F$123/Inputs!$F$124)</f>
        <v>0</v>
      </c>
      <c r="O38" s="13" t="n">
        <f aca="false">O34*O35*(1000*Inputs!$F$123/Inputs!$F$124)</f>
        <v>4005357.20730541</v>
      </c>
      <c r="P38" s="13" t="n">
        <f aca="false">P34*P35*(1000*Inputs!$F$123/Inputs!$F$124)</f>
        <v>12014866.3797864</v>
      </c>
      <c r="Q38" s="13" t="n">
        <f aca="false">Q34*Q35*(1000*Inputs!$F$123/Inputs!$F$124)</f>
        <v>11973358.8121178</v>
      </c>
      <c r="R38" s="13" t="n">
        <f aca="false">R34*R35*(1000*Inputs!$F$123/Inputs!$F$124)</f>
        <v>11892167.8533913</v>
      </c>
      <c r="S38" s="13" t="n">
        <f aca="false">S34*S35*(1000*Inputs!$F$123/Inputs!$F$124)</f>
        <v>11930026.1507295</v>
      </c>
      <c r="T38" s="13" t="n">
        <f aca="false">T34*T35*(1000*Inputs!$F$123/Inputs!$F$124)</f>
        <v>12007533.9894813</v>
      </c>
      <c r="U38" s="13" t="n">
        <f aca="false">U34*U35*(1000*Inputs!$F$123/Inputs!$F$124)</f>
        <v>11864638.0388554</v>
      </c>
      <c r="V38" s="13" t="n">
        <f aca="false">V34*V35*(1000*Inputs!$F$123/Inputs!$F$124)</f>
        <v>11580761.3938161</v>
      </c>
      <c r="W38" s="13" t="n">
        <f aca="false">W34*W35*(1000*Inputs!$F$123/Inputs!$F$124)</f>
        <v>11719937.6790801</v>
      </c>
      <c r="X38" s="13" t="n">
        <f aca="false">X34*X35*(1000*Inputs!$F$123/Inputs!$F$124)</f>
        <v>12000028.5634168</v>
      </c>
      <c r="Y38" s="13" t="n">
        <f aca="false">Y34*Y35*(1000*Inputs!$F$123/Inputs!$F$124)</f>
        <v>11958483.7873428</v>
      </c>
      <c r="Z38" s="13" t="n">
        <f aca="false">Z34*Z35*(1000*Inputs!$F$123/Inputs!$F$124)</f>
        <v>11877305.7872416</v>
      </c>
      <c r="AA38" s="13" t="n">
        <f aca="false">AA34*AA35*(1000*Inputs!$F$123/Inputs!$F$124)</f>
        <v>11915028.5430776</v>
      </c>
      <c r="AB38" s="13" t="n">
        <f aca="false">AB34*AB35*(1000*Inputs!$F$123/Inputs!$F$124)</f>
        <v>11992350.1015929</v>
      </c>
      <c r="AC38" s="13" t="n">
        <f aca="false">AC34*AC35*(1000*Inputs!$F$123/Inputs!$F$124)</f>
        <v>11765913.5168787</v>
      </c>
      <c r="AD38" s="13" t="n">
        <f aca="false">AD34*AD35*(1000*Inputs!$F$123/Inputs!$F$124)</f>
        <v>11315086.130844</v>
      </c>
      <c r="AE38" s="13" t="n">
        <f aca="false">AE34*AE35*(1000*Inputs!$F$123/Inputs!$F$124)</f>
        <v>11537644.8350703</v>
      </c>
      <c r="AF38" s="13" t="n">
        <f aca="false">AF34*AF35*(1000*Inputs!$F$123/Inputs!$F$124)</f>
        <v>11984498.6040095</v>
      </c>
      <c r="AG38" s="13" t="n">
        <f aca="false">AG34*AG35*(1000*Inputs!$F$123/Inputs!$F$124)</f>
        <v>11942918.9063464</v>
      </c>
      <c r="AH38" s="13" t="n">
        <f aca="false">AH34*AH35*(1000*Inputs!$F$123/Inputs!$F$124)</f>
        <v>11861758.4385027</v>
      </c>
      <c r="AI38" s="13" t="n">
        <f aca="false">AI34*AI35*(1000*Inputs!$F$123/Inputs!$F$124)</f>
        <v>11899343.3660205</v>
      </c>
      <c r="AJ38" s="13" t="n">
        <f aca="false">AJ34*AJ35*(1000*Inputs!$F$123/Inputs!$F$124)</f>
        <v>11976474.0706668</v>
      </c>
      <c r="AK38" s="13" t="n">
        <f aca="false">AK34*AK35*(1000*Inputs!$F$123/Inputs!$F$124)</f>
        <v>11833771.9912368</v>
      </c>
      <c r="AL38" s="13" t="n">
        <f aca="false">AL34*AL35*(1000*Inputs!$F$123/Inputs!$F$124)</f>
        <v>11550462.2225253</v>
      </c>
      <c r="AM38" s="13" t="n">
        <f aca="false">AM34*AM35*(1000*Inputs!$F$123/Inputs!$F$124)</f>
        <v>11689100.5978001</v>
      </c>
      <c r="AN38" s="13" t="n">
        <f aca="false">AN34*AN35*(1000*Inputs!$F$123/Inputs!$F$124)</f>
        <v>11968276.5015646</v>
      </c>
      <c r="AO38" s="13" t="n">
        <f aca="false">AO34*AO35*(1000*Inputs!$F$123/Inputs!$F$124)</f>
        <v>11926664.1691286</v>
      </c>
      <c r="AP38" s="13" t="n">
        <f aca="false">AP34*AP35*(1000*Inputs!$F$123/Inputs!$F$124)</f>
        <v>11845525.8071749</v>
      </c>
      <c r="AQ38" s="13" t="n">
        <f aca="false">AQ34*AQ35*(1000*Inputs!$F$123/Inputs!$F$124)</f>
        <v>11882970.6195582</v>
      </c>
      <c r="AR38" s="13" t="n">
        <f aca="false">AR34*AR35*(1000*Inputs!$F$123/Inputs!$F$124)</f>
        <v>11959905.896703</v>
      </c>
      <c r="AS38" s="13" t="n">
        <f aca="false">AS34*AS35*(1000*Inputs!$F$123/Inputs!$F$124)</f>
        <v>11733906.9514398</v>
      </c>
      <c r="AT38" s="13" t="n">
        <f aca="false">AT34*AT35*(1000*Inputs!$F$123/Inputs!$F$124)</f>
        <v>11284137.5990354</v>
      </c>
      <c r="AU38" s="13" t="n">
        <f aca="false">AU34*AU35*(1000*Inputs!$F$123/Inputs!$F$124)</f>
        <v>11505915.8319482</v>
      </c>
      <c r="AV38" s="13" t="n">
        <f aca="false">AV34*AV35*(1000*Inputs!$F$123/Inputs!$F$124)</f>
        <v>11951362.2560821</v>
      </c>
      <c r="AW38" s="13" t="n">
        <f aca="false">AW34*AW35*(1000*Inputs!$F$123/Inputs!$F$124)</f>
        <v>11909719.5756893</v>
      </c>
      <c r="AX38" s="13" t="n">
        <f aca="false">AX34*AX35*(1000*Inputs!$F$123/Inputs!$F$124)</f>
        <v>11828607.893258</v>
      </c>
      <c r="AY38" s="13" t="n">
        <f aca="false">AY34*AY35*(1000*Inputs!$F$123/Inputs!$F$124)</f>
        <v>11865910.3036906</v>
      </c>
      <c r="AZ38" s="13" t="n">
        <f aca="false">AZ34*AZ35*(1000*Inputs!$F$123/Inputs!$F$124)</f>
        <v>11942645.5797016</v>
      </c>
      <c r="BA38" s="13" t="n">
        <f aca="false">BA34*BA35*(1000*Inputs!$F$123/Inputs!$F$124)</f>
        <v>11800169.8950758</v>
      </c>
      <c r="BB38" s="13" t="n">
        <f aca="false">BB34*BB35*(1000*Inputs!$F$123/Inputs!$F$124)</f>
        <v>11517492.0499087</v>
      </c>
      <c r="BC38" s="13" t="n">
        <f aca="false">BC34*BC35*(1000*Inputs!$F$123/Inputs!$F$124)</f>
        <v>11655559.9915859</v>
      </c>
      <c r="BD38" s="13" t="n">
        <f aca="false">BD34*BD35*(1000*Inputs!$F$123/Inputs!$F$124)</f>
        <v>11933755.8675618</v>
      </c>
      <c r="BE38" s="13" t="n">
        <f aca="false">BE34*BE35*(1000*Inputs!$F$123/Inputs!$F$124)</f>
        <v>11892085.1260286</v>
      </c>
      <c r="BF38" s="13" t="n">
        <f aca="false">BF34*BF35*(1000*Inputs!$F$123/Inputs!$F$124)</f>
        <v>11811004.696752</v>
      </c>
      <c r="BG38" s="13" t="n">
        <f aca="false">BG34*BG35*(1000*Inputs!$F$123/Inputs!$F$124)</f>
        <v>11848162.4184178</v>
      </c>
      <c r="BH38" s="13" t="n">
        <f aca="false">BH34*BH35*(1000*Inputs!$F$123/Inputs!$F$124)</f>
        <v>11924693.1196626</v>
      </c>
      <c r="BI38" s="13" t="n">
        <f aca="false">BI34*BI35*(1000*Inputs!$F$123/Inputs!$F$124)</f>
        <v>11699183.648351</v>
      </c>
      <c r="BJ38" s="13" t="n">
        <f aca="false">BJ34*BJ35*(1000*Inputs!$F$123/Inputs!$F$124)</f>
        <v>11250575.998578</v>
      </c>
      <c r="BK38" s="13" t="n">
        <f aca="false">BK34*BK35*(1000*Inputs!$F$123/Inputs!$F$124)</f>
        <v>11471521.9256767</v>
      </c>
      <c r="BL38" s="13" t="n">
        <f aca="false">BL34*BL35*(1000*Inputs!$F$123/Inputs!$F$124)</f>
        <v>11915457.336004</v>
      </c>
      <c r="BM38" s="13" t="n">
        <f aca="false">BM34*BM35*(1000*Inputs!$F$123/Inputs!$F$124)</f>
        <v>7942340.95648921</v>
      </c>
      <c r="BN38" s="13" t="n">
        <f aca="false">BN34*BN35*(1000*Inputs!$F$123/Inputs!$F$124)</f>
        <v>0</v>
      </c>
    </row>
    <row r="39" customFormat="false" ht="15" hidden="false" customHeight="false" outlineLevel="0" collapsed="false">
      <c r="D39" s="0" t="s">
        <v>493</v>
      </c>
      <c r="E39" s="0" t="s">
        <v>492</v>
      </c>
      <c r="J39" s="13" t="n">
        <f aca="false">Inputs!$F$145*Inputs!$F$144*Time!J26</f>
        <v>0</v>
      </c>
      <c r="K39" s="13" t="n">
        <f aca="false">Inputs!$F$145*Inputs!$F$144*Time!K26</f>
        <v>0</v>
      </c>
      <c r="L39" s="13" t="n">
        <f aca="false">Inputs!$F$145*Inputs!$F$144*Time!L26</f>
        <v>0</v>
      </c>
      <c r="M39" s="13" t="n">
        <f aca="false">Inputs!$F$145*Inputs!$F$144*Time!M26</f>
        <v>0</v>
      </c>
      <c r="N39" s="13" t="n">
        <f aca="false">Inputs!$F$145*Inputs!$F$144*Time!N26</f>
        <v>0</v>
      </c>
      <c r="O39" s="13" t="n">
        <f aca="false">Inputs!$F$145*Inputs!$F$144*Time!O26</f>
        <v>3533120</v>
      </c>
      <c r="P39" s="13" t="n">
        <f aca="false">Inputs!$F$145*Inputs!$F$144*Time!P26</f>
        <v>10657280</v>
      </c>
      <c r="Q39" s="13" t="n">
        <f aca="false">Inputs!$F$145*Inputs!$F$144*Time!Q26</f>
        <v>10483520</v>
      </c>
      <c r="R39" s="13" t="n">
        <f aca="false">Inputs!$F$145*Inputs!$F$144*Time!R26</f>
        <v>10657280</v>
      </c>
      <c r="S39" s="13" t="n">
        <f aca="false">Inputs!$F$145*Inputs!$F$144*Time!S26</f>
        <v>10483520</v>
      </c>
      <c r="T39" s="13" t="n">
        <f aca="false">Inputs!$F$145*Inputs!$F$144*Time!T26</f>
        <v>10657280</v>
      </c>
      <c r="U39" s="13" t="n">
        <f aca="false">Inputs!$F$145*Inputs!$F$144*Time!U26</f>
        <v>10541440</v>
      </c>
      <c r="V39" s="13" t="n">
        <f aca="false">Inputs!$F$145*Inputs!$F$144*Time!V26</f>
        <v>10657280</v>
      </c>
      <c r="W39" s="13" t="n">
        <f aca="false">Inputs!$F$145*Inputs!$F$144*Time!W26</f>
        <v>10483520</v>
      </c>
      <c r="X39" s="13" t="n">
        <f aca="false">Inputs!$F$145*Inputs!$F$144*Time!X26</f>
        <v>10657280</v>
      </c>
      <c r="Y39" s="13" t="n">
        <f aca="false">Inputs!$F$145*Inputs!$F$144*Time!Y26</f>
        <v>10483520</v>
      </c>
      <c r="Z39" s="13" t="n">
        <f aca="false">Inputs!$F$145*Inputs!$F$144*Time!Z26</f>
        <v>10657280</v>
      </c>
      <c r="AA39" s="13" t="n">
        <f aca="false">Inputs!$F$145*Inputs!$F$144*Time!AA26</f>
        <v>10483520</v>
      </c>
      <c r="AB39" s="13" t="n">
        <f aca="false">Inputs!$F$145*Inputs!$F$144*Time!AB26</f>
        <v>10657280</v>
      </c>
      <c r="AC39" s="13" t="n">
        <f aca="false">Inputs!$F$145*Inputs!$F$144*Time!AC26</f>
        <v>10541440</v>
      </c>
      <c r="AD39" s="13" t="n">
        <f aca="false">Inputs!$F$145*Inputs!$F$144*Time!AD26</f>
        <v>10657280</v>
      </c>
      <c r="AE39" s="13" t="n">
        <f aca="false">Inputs!$F$145*Inputs!$F$144*Time!AE26</f>
        <v>10483520</v>
      </c>
      <c r="AF39" s="13" t="n">
        <f aca="false">Inputs!$F$145*Inputs!$F$144*Time!AF26</f>
        <v>10657280</v>
      </c>
      <c r="AG39" s="13" t="n">
        <f aca="false">Inputs!$F$145*Inputs!$F$144*Time!AG26</f>
        <v>10483520</v>
      </c>
      <c r="AH39" s="13" t="n">
        <f aca="false">Inputs!$F$145*Inputs!$F$144*Time!AH26</f>
        <v>10657280</v>
      </c>
      <c r="AI39" s="13" t="n">
        <f aca="false">Inputs!$F$145*Inputs!$F$144*Time!AI26</f>
        <v>10483520</v>
      </c>
      <c r="AJ39" s="13" t="n">
        <f aca="false">Inputs!$F$145*Inputs!$F$144*Time!AJ26</f>
        <v>10657280</v>
      </c>
      <c r="AK39" s="13" t="n">
        <f aca="false">Inputs!$F$145*Inputs!$F$144*Time!AK26</f>
        <v>10541440</v>
      </c>
      <c r="AL39" s="13" t="n">
        <f aca="false">Inputs!$F$145*Inputs!$F$144*Time!AL26</f>
        <v>10657280</v>
      </c>
      <c r="AM39" s="13" t="n">
        <f aca="false">Inputs!$F$145*Inputs!$F$144*Time!AM26</f>
        <v>10483520</v>
      </c>
      <c r="AN39" s="13" t="n">
        <f aca="false">Inputs!$F$145*Inputs!$F$144*Time!AN26</f>
        <v>10657280</v>
      </c>
      <c r="AO39" s="13" t="n">
        <f aca="false">Inputs!$F$145*Inputs!$F$144*Time!AO26</f>
        <v>10483520</v>
      </c>
      <c r="AP39" s="13" t="n">
        <f aca="false">Inputs!$F$145*Inputs!$F$144*Time!AP26</f>
        <v>10657280</v>
      </c>
      <c r="AQ39" s="13" t="n">
        <f aca="false">Inputs!$F$145*Inputs!$F$144*Time!AQ26</f>
        <v>10483520</v>
      </c>
      <c r="AR39" s="13" t="n">
        <f aca="false">Inputs!$F$145*Inputs!$F$144*Time!AR26</f>
        <v>10657280</v>
      </c>
      <c r="AS39" s="13" t="n">
        <f aca="false">Inputs!$F$145*Inputs!$F$144*Time!AS26</f>
        <v>10541440</v>
      </c>
      <c r="AT39" s="13" t="n">
        <f aca="false">Inputs!$F$145*Inputs!$F$144*Time!AT26</f>
        <v>10657280</v>
      </c>
      <c r="AU39" s="13" t="n">
        <f aca="false">Inputs!$F$145*Inputs!$F$144*Time!AU26</f>
        <v>10483520</v>
      </c>
      <c r="AV39" s="13" t="n">
        <f aca="false">Inputs!$F$145*Inputs!$F$144*Time!AV26</f>
        <v>10657280</v>
      </c>
      <c r="AW39" s="13" t="n">
        <f aca="false">Inputs!$F$145*Inputs!$F$144*Time!AW26</f>
        <v>10483520</v>
      </c>
      <c r="AX39" s="13" t="n">
        <f aca="false">Inputs!$F$145*Inputs!$F$144*Time!AX26</f>
        <v>10657280</v>
      </c>
      <c r="AY39" s="13" t="n">
        <f aca="false">Inputs!$F$145*Inputs!$F$144*Time!AY26</f>
        <v>10483520</v>
      </c>
      <c r="AZ39" s="13" t="n">
        <f aca="false">Inputs!$F$145*Inputs!$F$144*Time!AZ26</f>
        <v>10657280</v>
      </c>
      <c r="BA39" s="13" t="n">
        <f aca="false">Inputs!$F$145*Inputs!$F$144*Time!BA26</f>
        <v>10541440</v>
      </c>
      <c r="BB39" s="13" t="n">
        <f aca="false">Inputs!$F$145*Inputs!$F$144*Time!BB26</f>
        <v>10657280</v>
      </c>
      <c r="BC39" s="13" t="n">
        <f aca="false">Inputs!$F$145*Inputs!$F$144*Time!BC26</f>
        <v>10483520</v>
      </c>
      <c r="BD39" s="13" t="n">
        <f aca="false">Inputs!$F$145*Inputs!$F$144*Time!BD26</f>
        <v>10657280</v>
      </c>
      <c r="BE39" s="13" t="n">
        <f aca="false">Inputs!$F$145*Inputs!$F$144*Time!BE26</f>
        <v>10483520</v>
      </c>
      <c r="BF39" s="13" t="n">
        <f aca="false">Inputs!$F$145*Inputs!$F$144*Time!BF26</f>
        <v>10657280</v>
      </c>
      <c r="BG39" s="13" t="n">
        <f aca="false">Inputs!$F$145*Inputs!$F$144*Time!BG26</f>
        <v>10483520</v>
      </c>
      <c r="BH39" s="13" t="n">
        <f aca="false">Inputs!$F$145*Inputs!$F$144*Time!BH26</f>
        <v>10657280</v>
      </c>
      <c r="BI39" s="13" t="n">
        <f aca="false">Inputs!$F$145*Inputs!$F$144*Time!BI26</f>
        <v>10541440</v>
      </c>
      <c r="BJ39" s="13" t="n">
        <f aca="false">Inputs!$F$145*Inputs!$F$144*Time!BJ26</f>
        <v>10657280</v>
      </c>
      <c r="BK39" s="13" t="n">
        <f aca="false">Inputs!$F$145*Inputs!$F$144*Time!BK26</f>
        <v>10483520</v>
      </c>
      <c r="BL39" s="13" t="n">
        <f aca="false">Inputs!$F$145*Inputs!$F$144*Time!BL26</f>
        <v>10657280</v>
      </c>
      <c r="BM39" s="13" t="n">
        <f aca="false">Inputs!$F$145*Inputs!$F$144*Time!BM26</f>
        <v>6950400</v>
      </c>
      <c r="BN39" s="13" t="n">
        <f aca="false">Inputs!$F$145*Inputs!$F$144*Time!BN26</f>
        <v>0</v>
      </c>
    </row>
    <row r="40" customFormat="false" ht="15" hidden="false" customHeight="false" outlineLevel="0" collapsed="false">
      <c r="B40" s="2" t="s">
        <v>494</v>
      </c>
    </row>
    <row r="41" customFormat="false" ht="15" hidden="false" customHeight="false" outlineLevel="0" collapsed="false">
      <c r="D41" s="0" t="s">
        <v>495</v>
      </c>
      <c r="E41" s="0" t="s">
        <v>237</v>
      </c>
      <c r="J41" s="11" t="n">
        <f aca="false">Inputs!$F$134*Inputs!$F$54*(1-Inputs!$F$135+Inputs!$F$135*J18/100)</f>
        <v>14.4394834708223</v>
      </c>
      <c r="K41" s="11" t="n">
        <f aca="false">Inputs!$F$134*Inputs!$F$54*(1-Inputs!$F$135+Inputs!$F$135*K18/100)</f>
        <v>14.4717731618649</v>
      </c>
      <c r="L41" s="11" t="n">
        <f aca="false">Inputs!$F$134*Inputs!$F$54*(1-Inputs!$F$135+Inputs!$F$135*L18/100)</f>
        <v>14.5044161071804</v>
      </c>
      <c r="M41" s="11" t="n">
        <f aca="false">Inputs!$F$134*Inputs!$F$54*(1-Inputs!$F$135+Inputs!$F$135*M18/100)</f>
        <v>14.5374161714259</v>
      </c>
      <c r="N41" s="11" t="n">
        <f aca="false">Inputs!$F$134*Inputs!$F$54*(1-Inputs!$F$135+Inputs!$F$135*N18/100)</f>
        <v>14.5707772615384</v>
      </c>
      <c r="O41" s="11" t="n">
        <f aca="false">Inputs!$F$134*Inputs!$F$54*(1-Inputs!$F$135+Inputs!$F$135*O18/100)</f>
        <v>14.6045033271973</v>
      </c>
      <c r="P41" s="11" t="n">
        <f aca="false">Inputs!$F$134*Inputs!$F$54*(1-Inputs!$F$135+Inputs!$F$135*P18/100)</f>
        <v>14.6385983612922</v>
      </c>
      <c r="Q41" s="11" t="n">
        <f aca="false">Inputs!$F$134*Inputs!$F$54*(1-Inputs!$F$135+Inputs!$F$135*Q18/100)</f>
        <v>14.6730664003956</v>
      </c>
      <c r="R41" s="11" t="n">
        <f aca="false">Inputs!$F$134*Inputs!$F$54*(1-Inputs!$F$135+Inputs!$F$135*R18/100)</f>
        <v>14.7079115252406</v>
      </c>
      <c r="S41" s="11" t="n">
        <f aca="false">Inputs!$F$134*Inputs!$F$54*(1-Inputs!$F$135+Inputs!$F$135*S18/100)</f>
        <v>14.7431378612043</v>
      </c>
      <c r="T41" s="11" t="n">
        <f aca="false">Inputs!$F$134*Inputs!$F$54*(1-Inputs!$F$135+Inputs!$F$135*T18/100)</f>
        <v>14.7787495787959</v>
      </c>
      <c r="U41" s="11" t="n">
        <f aca="false">Inputs!$F$134*Inputs!$F$54*(1-Inputs!$F$135+Inputs!$F$135*U18/100)</f>
        <v>14.8147508941508</v>
      </c>
      <c r="V41" s="11" t="n">
        <f aca="false">Inputs!$F$134*Inputs!$F$54*(1-Inputs!$F$135+Inputs!$F$135*V18/100)</f>
        <v>14.8511460695294</v>
      </c>
      <c r="W41" s="11" t="n">
        <f aca="false">Inputs!$F$134*Inputs!$F$54*(1-Inputs!$F$135+Inputs!$F$135*W18/100)</f>
        <v>14.8879394138221</v>
      </c>
      <c r="X41" s="11" t="n">
        <f aca="false">Inputs!$F$134*Inputs!$F$54*(1-Inputs!$F$135+Inputs!$F$135*X18/100)</f>
        <v>14.9251352830591</v>
      </c>
      <c r="Y41" s="11" t="n">
        <f aca="false">Inputs!$F$134*Inputs!$F$54*(1-Inputs!$F$135+Inputs!$F$135*Y18/100)</f>
        <v>14.9627380809262</v>
      </c>
      <c r="Z41" s="11" t="n">
        <f aca="false">Inputs!$F$134*Inputs!$F$54*(1-Inputs!$F$135+Inputs!$F$135*Z18/100)</f>
        <v>15.0007522592864</v>
      </c>
      <c r="AA41" s="11" t="n">
        <f aca="false">Inputs!$F$134*Inputs!$F$54*(1-Inputs!$F$135+Inputs!$F$135*AA18/100)</f>
        <v>15.0391823187066</v>
      </c>
      <c r="AB41" s="11" t="n">
        <f aca="false">Inputs!$F$134*Inputs!$F$54*(1-Inputs!$F$135+Inputs!$F$135*AB18/100)</f>
        <v>15.0780328089907</v>
      </c>
      <c r="AC41" s="11" t="n">
        <f aca="false">Inputs!$F$134*Inputs!$F$54*(1-Inputs!$F$135+Inputs!$F$135*AC18/100)</f>
        <v>15.1173083297181</v>
      </c>
      <c r="AD41" s="11" t="n">
        <f aca="false">Inputs!$F$134*Inputs!$F$54*(1-Inputs!$F$135+Inputs!$F$135*AD18/100)</f>
        <v>15.1570135307885</v>
      </c>
      <c r="AE41" s="11" t="n">
        <f aca="false">Inputs!$F$134*Inputs!$F$54*(1-Inputs!$F$135+Inputs!$F$135*AE18/100)</f>
        <v>15.1971531129719</v>
      </c>
      <c r="AF41" s="11" t="n">
        <f aca="false">Inputs!$F$134*Inputs!$F$54*(1-Inputs!$F$135+Inputs!$F$135*AF18/100)</f>
        <v>15.2377318284658</v>
      </c>
      <c r="AG41" s="11" t="n">
        <f aca="false">Inputs!$F$134*Inputs!$F$54*(1-Inputs!$F$135+Inputs!$F$135*AG18/100)</f>
        <v>15.2787544814573</v>
      </c>
      <c r="AH41" s="11" t="n">
        <f aca="false">Inputs!$F$134*Inputs!$F$54*(1-Inputs!$F$135+Inputs!$F$135*AH18/100)</f>
        <v>15.3202259286921</v>
      </c>
      <c r="AI41" s="11" t="n">
        <f aca="false">Inputs!$F$134*Inputs!$F$54*(1-Inputs!$F$135+Inputs!$F$135*AI18/100)</f>
        <v>15.3621510800494</v>
      </c>
      <c r="AJ41" s="11" t="n">
        <f aca="false">Inputs!$F$134*Inputs!$F$54*(1-Inputs!$F$135+Inputs!$F$135*AJ18/100)</f>
        <v>15.4045348991233</v>
      </c>
      <c r="AK41" s="11" t="n">
        <f aca="false">Inputs!$F$134*Inputs!$F$54*(1-Inputs!$F$135+Inputs!$F$135*AK18/100)</f>
        <v>15.4473824038104</v>
      </c>
      <c r="AL41" s="11" t="n">
        <f aca="false">Inputs!$F$134*Inputs!$F$54*(1-Inputs!$F$135+Inputs!$F$135*AL18/100)</f>
        <v>15.490698666904</v>
      </c>
      <c r="AM41" s="11" t="n">
        <f aca="false">Inputs!$F$134*Inputs!$F$54*(1-Inputs!$F$135+Inputs!$F$135*AM18/100)</f>
        <v>15.5344888166943</v>
      </c>
      <c r="AN41" s="11" t="n">
        <f aca="false">Inputs!$F$134*Inputs!$F$54*(1-Inputs!$F$135+Inputs!$F$135*AN18/100)</f>
        <v>15.5787580375759</v>
      </c>
      <c r="AO41" s="11" t="n">
        <f aca="false">Inputs!$F$134*Inputs!$F$54*(1-Inputs!$F$135+Inputs!$F$135*AO18/100)</f>
        <v>15.6235115706615</v>
      </c>
      <c r="AP41" s="11" t="n">
        <f aca="false">Inputs!$F$134*Inputs!$F$54*(1-Inputs!$F$135+Inputs!$F$135*AP18/100)</f>
        <v>15.6687547144025</v>
      </c>
      <c r="AQ41" s="11" t="n">
        <f aca="false">Inputs!$F$134*Inputs!$F$54*(1-Inputs!$F$135+Inputs!$F$135*AQ18/100)</f>
        <v>15.7144928252161</v>
      </c>
      <c r="AR41" s="11" t="n">
        <f aca="false">Inputs!$F$134*Inputs!$F$54*(1-Inputs!$F$135+Inputs!$F$135*AR18/100)</f>
        <v>15.7607313181194</v>
      </c>
      <c r="AS41" s="11" t="n">
        <f aca="false">Inputs!$F$134*Inputs!$F$54*(1-Inputs!$F$135+Inputs!$F$135*AS18/100)</f>
        <v>15.8074756673708</v>
      </c>
      <c r="AT41" s="11" t="n">
        <f aca="false">Inputs!$F$134*Inputs!$F$54*(1-Inputs!$F$135+Inputs!$F$135*AT18/100)</f>
        <v>15.854731407118</v>
      </c>
      <c r="AU41" s="11" t="n">
        <f aca="false">Inputs!$F$134*Inputs!$F$54*(1-Inputs!$F$135+Inputs!$F$135*AU18/100)</f>
        <v>15.902504132053</v>
      </c>
      <c r="AV41" s="11" t="n">
        <f aca="false">Inputs!$F$134*Inputs!$F$54*(1-Inputs!$F$135+Inputs!$F$135*AV18/100)</f>
        <v>15.9507994980746</v>
      </c>
      <c r="AW41" s="11" t="n">
        <f aca="false">Inputs!$F$134*Inputs!$F$54*(1-Inputs!$F$135+Inputs!$F$135*AW18/100)</f>
        <v>15.9996232229582</v>
      </c>
      <c r="AX41" s="11" t="n">
        <f aca="false">Inputs!$F$134*Inputs!$F$54*(1-Inputs!$F$135+Inputs!$F$135*AX18/100)</f>
        <v>16.0489810870323</v>
      </c>
      <c r="AY41" s="11" t="n">
        <f aca="false">Inputs!$F$134*Inputs!$F$54*(1-Inputs!$F$135+Inputs!$F$135*AY18/100)</f>
        <v>16.0988789338632</v>
      </c>
      <c r="AZ41" s="11" t="n">
        <f aca="false">Inputs!$F$134*Inputs!$F$54*(1-Inputs!$F$135+Inputs!$F$135*AZ18/100)</f>
        <v>16.149322670947</v>
      </c>
      <c r="BA41" s="11" t="n">
        <f aca="false">Inputs!$F$134*Inputs!$F$54*(1-Inputs!$F$135+Inputs!$F$135*BA18/100)</f>
        <v>16.2003182704082</v>
      </c>
      <c r="BB41" s="11" t="n">
        <f aca="false">Inputs!$F$134*Inputs!$F$54*(1-Inputs!$F$135+Inputs!$F$135*BB18/100)</f>
        <v>16.2518717697078</v>
      </c>
      <c r="BC41" s="11" t="n">
        <f aca="false">Inputs!$F$134*Inputs!$F$54*(1-Inputs!$F$135+Inputs!$F$135*BC18/100)</f>
        <v>16.3039892723572</v>
      </c>
      <c r="BD41" s="11" t="n">
        <f aca="false">Inputs!$F$134*Inputs!$F$54*(1-Inputs!$F$135+Inputs!$F$135*BD18/100)</f>
        <v>16.3566769486414</v>
      </c>
      <c r="BE41" s="11" t="n">
        <f aca="false">Inputs!$F$134*Inputs!$F$54*(1-Inputs!$F$135+Inputs!$F$135*BE18/100)</f>
        <v>16.4099410363491</v>
      </c>
      <c r="BF41" s="11" t="n">
        <f aca="false">Inputs!$F$134*Inputs!$F$54*(1-Inputs!$F$135+Inputs!$F$135*BF18/100)</f>
        <v>16.4637878415115</v>
      </c>
      <c r="BG41" s="11" t="n">
        <f aca="false">Inputs!$F$134*Inputs!$F$54*(1-Inputs!$F$135+Inputs!$F$135*BG18/100)</f>
        <v>16.5182237391488</v>
      </c>
      <c r="BH41" s="11" t="n">
        <f aca="false">Inputs!$F$134*Inputs!$F$54*(1-Inputs!$F$135+Inputs!$F$135*BH18/100)</f>
        <v>16.5732551740247</v>
      </c>
      <c r="BI41" s="11" t="n">
        <f aca="false">Inputs!$F$134*Inputs!$F$54*(1-Inputs!$F$135+Inputs!$F$135*BI18/100)</f>
        <v>16.62888866141</v>
      </c>
      <c r="BJ41" s="11" t="n">
        <f aca="false">Inputs!$F$134*Inputs!$F$54*(1-Inputs!$F$135+Inputs!$F$135*BJ18/100)</f>
        <v>16.6851307878533</v>
      </c>
      <c r="BK41" s="11" t="n">
        <f aca="false">Inputs!$F$134*Inputs!$F$54*(1-Inputs!$F$135+Inputs!$F$135*BK18/100)</f>
        <v>16.741988211961</v>
      </c>
      <c r="BL41" s="11" t="n">
        <f aca="false">Inputs!$F$134*Inputs!$F$54*(1-Inputs!$F$135+Inputs!$F$135*BL18/100)</f>
        <v>16.7994676651861</v>
      </c>
      <c r="BM41" s="11" t="n">
        <f aca="false">Inputs!$F$134*Inputs!$F$54*(1-Inputs!$F$135+Inputs!$F$135*BM18/100)</f>
        <v>16.8575759526242</v>
      </c>
      <c r="BN41" s="11" t="n">
        <f aca="false">Inputs!$F$134*Inputs!$F$54*(1-Inputs!$F$135+Inputs!$F$135*BN18/100)</f>
        <v>16.9163199538201</v>
      </c>
    </row>
    <row r="42" customFormat="false" ht="15" hidden="false" customHeight="false" outlineLevel="0" collapsed="false">
      <c r="D42" s="0" t="s">
        <v>496</v>
      </c>
      <c r="E42" s="0" t="s">
        <v>237</v>
      </c>
      <c r="J42" s="11" t="n">
        <f aca="false">Inputs!$F$136*(Inputs!$F$137*J18/100+(1-Inputs!$F$137)*J22/100*Inputs!$F$138/J11)</f>
        <v>2.32750272490611</v>
      </c>
      <c r="K42" s="11" t="n">
        <f aca="false">Inputs!$F$136*(Inputs!$F$137*K18/100+(1-Inputs!$F$137)*K22/100*Inputs!$F$138/K11)</f>
        <v>2.35296596894285</v>
      </c>
      <c r="L42" s="11" t="n">
        <f aca="false">Inputs!$F$136*(Inputs!$F$137*L18/100+(1-Inputs!$F$137)*L22/100*Inputs!$F$138/L11)</f>
        <v>2.37870778485405</v>
      </c>
      <c r="M42" s="11" t="n">
        <f aca="false">Inputs!$F$136*(Inputs!$F$137*M18/100+(1-Inputs!$F$137)*M22/100*Inputs!$F$138/M11)</f>
        <v>2.4047312202596</v>
      </c>
      <c r="N42" s="11" t="n">
        <f aca="false">Inputs!$F$136*(Inputs!$F$137*N18/100+(1-Inputs!$F$137)*N22/100*Inputs!$F$138/N11)</f>
        <v>2.43103935612084</v>
      </c>
      <c r="O42" s="11" t="n">
        <f aca="false">Inputs!$F$136*(Inputs!$F$137*O18/100+(1-Inputs!$F$137)*O22/100*Inputs!$F$138/O11)</f>
        <v>2.45763530710531</v>
      </c>
      <c r="P42" s="11" t="n">
        <f aca="false">Inputs!$F$136*(Inputs!$F$137*P18/100+(1-Inputs!$F$137)*P22/100*Inputs!$F$138/P11)</f>
        <v>2.4845222219555</v>
      </c>
      <c r="Q42" s="11" t="n">
        <f aca="false">Inputs!$F$136*(Inputs!$F$137*Q18/100+(1-Inputs!$F$137)*Q22/100*Inputs!$F$138/Q11)</f>
        <v>2.51170328386162</v>
      </c>
      <c r="R42" s="11" t="n">
        <f aca="false">Inputs!$F$136*(Inputs!$F$137*R18/100+(1-Inputs!$F$137)*R22/100*Inputs!$F$138/R11)</f>
        <v>2.53918171083852</v>
      </c>
      <c r="S42" s="11" t="n">
        <f aca="false">Inputs!$F$136*(Inputs!$F$137*S18/100+(1-Inputs!$F$137)*S22/100*Inputs!$F$138/S11)</f>
        <v>2.56696075610658</v>
      </c>
      <c r="T42" s="11" t="n">
        <f aca="false">Inputs!$F$136*(Inputs!$F$137*T18/100+(1-Inputs!$F$137)*T22/100*Inputs!$F$138/T11)</f>
        <v>2.59504370847696</v>
      </c>
      <c r="U42" s="11" t="n">
        <f aca="false">Inputs!$F$136*(Inputs!$F$137*U18/100+(1-Inputs!$F$137)*U22/100*Inputs!$F$138/U11)</f>
        <v>2.62343389274092</v>
      </c>
      <c r="V42" s="11" t="n">
        <f aca="false">Inputs!$F$136*(Inputs!$F$137*V18/100+(1-Inputs!$F$137)*V22/100*Inputs!$F$138/V11)</f>
        <v>2.65213467006346</v>
      </c>
      <c r="W42" s="11" t="n">
        <f aca="false">Inputs!$F$136*(Inputs!$F$137*W18/100+(1-Inputs!$F$137)*W22/100*Inputs!$F$138/W11)</f>
        <v>2.68114943838122</v>
      </c>
      <c r="X42" s="11" t="n">
        <f aca="false">Inputs!$F$136*(Inputs!$F$137*X18/100+(1-Inputs!$F$137)*X22/100*Inputs!$F$138/X11)</f>
        <v>2.71048163280485</v>
      </c>
      <c r="Y42" s="11" t="n">
        <f aca="false">Inputs!$F$136*(Inputs!$F$137*Y18/100+(1-Inputs!$F$137)*Y22/100*Inputs!$F$138/Y11)</f>
        <v>2.74013472602561</v>
      </c>
      <c r="Z42" s="11" t="n">
        <f aca="false">Inputs!$F$136*(Inputs!$F$137*Z18/100+(1-Inputs!$F$137)*Z22/100*Inputs!$F$138/Z11)</f>
        <v>2.77011222872656</v>
      </c>
      <c r="AA42" s="11" t="n">
        <f aca="false">Inputs!$F$136*(Inputs!$F$137*AA18/100+(1-Inputs!$F$137)*AA22/100*Inputs!$F$138/AA11)</f>
        <v>2.80041768999817</v>
      </c>
      <c r="AB42" s="11" t="n">
        <f aca="false">Inputs!$F$136*(Inputs!$F$137*AB18/100+(1-Inputs!$F$137)*AB22/100*Inputs!$F$138/AB11)</f>
        <v>2.83105469775854</v>
      </c>
      <c r="AC42" s="11" t="n">
        <f aca="false">Inputs!$F$136*(Inputs!$F$137*AC18/100+(1-Inputs!$F$137)*AC22/100*Inputs!$F$138/AC11)</f>
        <v>2.86202687917813</v>
      </c>
      <c r="AD42" s="11" t="n">
        <f aca="false">Inputs!$F$136*(Inputs!$F$137*AD18/100+(1-Inputs!$F$137)*AD22/100*Inputs!$F$138/AD11)</f>
        <v>2.89333790110923</v>
      </c>
      <c r="AE42" s="11" t="n">
        <f aca="false">Inputs!$F$136*(Inputs!$F$137*AE18/100+(1-Inputs!$F$137)*AE22/100*Inputs!$F$138/AE11)</f>
        <v>2.92499147052005</v>
      </c>
      <c r="AF42" s="11" t="n">
        <f aca="false">Inputs!$F$136*(Inputs!$F$137*AF18/100+(1-Inputs!$F$137)*AF22/100*Inputs!$F$138/AF11)</f>
        <v>2.95699133493363</v>
      </c>
      <c r="AG42" s="11" t="n">
        <f aca="false">Inputs!$F$136*(Inputs!$F$137*AG18/100+(1-Inputs!$F$137)*AG22/100*Inputs!$F$138/AG11)</f>
        <v>2.98934128287149</v>
      </c>
      <c r="AH42" s="11" t="n">
        <f aca="false">Inputs!$F$136*(Inputs!$F$137*AH18/100+(1-Inputs!$F$137)*AH22/100*Inputs!$F$138/AH11)</f>
        <v>3.02204514430217</v>
      </c>
      <c r="AI42" s="11" t="n">
        <f aca="false">Inputs!$F$136*(Inputs!$F$137*AI18/100+(1-Inputs!$F$137)*AI22/100*Inputs!$F$138/AI11)</f>
        <v>3.05510679109467</v>
      </c>
      <c r="AJ42" s="11" t="n">
        <f aca="false">Inputs!$F$136*(Inputs!$F$137*AJ18/100+(1-Inputs!$F$137)*AJ22/100*Inputs!$F$138/AJ11)</f>
        <v>3.08853013747682</v>
      </c>
      <c r="AK42" s="11" t="n">
        <f aca="false">Inputs!$F$136*(Inputs!$F$137*AK18/100+(1-Inputs!$F$137)*AK22/100*Inputs!$F$138/AK11)</f>
        <v>3.12231914049875</v>
      </c>
      <c r="AL42" s="11" t="n">
        <f aca="false">Inputs!$F$136*(Inputs!$F$137*AL18/100+(1-Inputs!$F$137)*AL22/100*Inputs!$F$138/AL11)</f>
        <v>3.15647780050131</v>
      </c>
      <c r="AM42" s="11" t="n">
        <f aca="false">Inputs!$F$136*(Inputs!$F$137*AM18/100+(1-Inputs!$F$137)*AM22/100*Inputs!$F$138/AM11)</f>
        <v>3.19101016158972</v>
      </c>
      <c r="AN42" s="11" t="n">
        <f aca="false">Inputs!$F$136*(Inputs!$F$137*AN18/100+(1-Inputs!$F$137)*AN22/100*Inputs!$F$138/AN11)</f>
        <v>3.22592031211234</v>
      </c>
      <c r="AO42" s="11" t="n">
        <f aca="false">Inputs!$F$136*(Inputs!$F$137*AO18/100+(1-Inputs!$F$137)*AO22/100*Inputs!$F$138/AO11)</f>
        <v>3.26121238514469</v>
      </c>
      <c r="AP42" s="11" t="n">
        <f aca="false">Inputs!$F$136*(Inputs!$F$137*AP18/100+(1-Inputs!$F$137)*AP22/100*Inputs!$F$138/AP11)</f>
        <v>3.29689055897881</v>
      </c>
      <c r="AQ42" s="11" t="n">
        <f aca="false">Inputs!$F$136*(Inputs!$F$137*AQ18/100+(1-Inputs!$F$137)*AQ22/100*Inputs!$F$138/AQ11)</f>
        <v>3.33295905761788</v>
      </c>
      <c r="AR42" s="11" t="n">
        <f aca="false">Inputs!$F$136*(Inputs!$F$137*AR18/100+(1-Inputs!$F$137)*AR22/100*Inputs!$F$138/AR11)</f>
        <v>3.36942215127634</v>
      </c>
      <c r="AS42" s="11" t="n">
        <f aca="false">Inputs!$F$136*(Inputs!$F$137*AS18/100+(1-Inputs!$F$137)*AS22/100*Inputs!$F$138/AS11)</f>
        <v>3.40628415688547</v>
      </c>
      <c r="AT42" s="11" t="n">
        <f aca="false">Inputs!$F$136*(Inputs!$F$137*AT18/100+(1-Inputs!$F$137)*AT22/100*Inputs!$F$138/AT11)</f>
        <v>3.44354943860442</v>
      </c>
      <c r="AU42" s="11" t="n">
        <f aca="false">Inputs!$F$136*(Inputs!$F$137*AU18/100+(1-Inputs!$F$137)*AU22/100*Inputs!$F$138/AU11)</f>
        <v>3.48122240833695</v>
      </c>
      <c r="AV42" s="11" t="n">
        <f aca="false">Inputs!$F$136*(Inputs!$F$137*AV18/100+(1-Inputs!$F$137)*AV22/100*Inputs!$F$138/AV11)</f>
        <v>3.51930752625372</v>
      </c>
      <c r="AW42" s="11" t="n">
        <f aca="false">Inputs!$F$136*(Inputs!$F$137*AW18/100+(1-Inputs!$F$137)*AW22/100*Inputs!$F$138/AW11)</f>
        <v>3.55780930132036</v>
      </c>
      <c r="AX42" s="11" t="n">
        <f aca="false">Inputs!$F$136*(Inputs!$F$137*AX18/100+(1-Inputs!$F$137)*AX22/100*Inputs!$F$138/AX11)</f>
        <v>3.5967322918313</v>
      </c>
      <c r="AY42" s="11" t="n">
        <f aca="false">Inputs!$F$136*(Inputs!$F$137*AY18/100+(1-Inputs!$F$137)*AY22/100*Inputs!$F$138/AY11)</f>
        <v>3.63608110594941</v>
      </c>
      <c r="AZ42" s="11" t="n">
        <f aca="false">Inputs!$F$136*(Inputs!$F$137*AZ18/100+(1-Inputs!$F$137)*AZ22/100*Inputs!$F$138/AZ11)</f>
        <v>3.67586040225159</v>
      </c>
      <c r="BA42" s="11" t="n">
        <f aca="false">Inputs!$F$136*(Inputs!$F$137*BA18/100+(1-Inputs!$F$137)*BA22/100*Inputs!$F$138/BA11)</f>
        <v>3.7160748902803</v>
      </c>
      <c r="BB42" s="11" t="n">
        <f aca="false">Inputs!$F$136*(Inputs!$F$137*BB18/100+(1-Inputs!$F$137)*BB22/100*Inputs!$F$138/BB11)</f>
        <v>3.75672933110112</v>
      </c>
      <c r="BC42" s="11" t="n">
        <f aca="false">Inputs!$F$136*(Inputs!$F$137*BC18/100+(1-Inputs!$F$137)*BC22/100*Inputs!$F$138/BC11)</f>
        <v>3.79782853786646</v>
      </c>
      <c r="BD42" s="11" t="n">
        <f aca="false">Inputs!$F$136*(Inputs!$F$137*BD18/100+(1-Inputs!$F$137)*BD22/100*Inputs!$F$138/BD11)</f>
        <v>3.83937737638535</v>
      </c>
      <c r="BE42" s="11" t="n">
        <f aca="false">Inputs!$F$136*(Inputs!$F$137*BE18/100+(1-Inputs!$F$137)*BE22/100*Inputs!$F$138/BE11)</f>
        <v>3.88138076569952</v>
      </c>
      <c r="BF42" s="11" t="n">
        <f aca="false">Inputs!$F$136*(Inputs!$F$137*BF18/100+(1-Inputs!$F$137)*BF22/100*Inputs!$F$138/BF11)</f>
        <v>3.92384367866582</v>
      </c>
      <c r="BG42" s="11" t="n">
        <f aca="false">Inputs!$F$136*(Inputs!$F$137*BG18/100+(1-Inputs!$F$137)*BG22/100*Inputs!$F$138/BG11)</f>
        <v>3.96677114254491</v>
      </c>
      <c r="BH42" s="11" t="n">
        <f aca="false">Inputs!$F$136*(Inputs!$F$137*BH18/100+(1-Inputs!$F$137)*BH22/100*Inputs!$F$138/BH11)</f>
        <v>4.01016823959647</v>
      </c>
      <c r="BI42" s="11" t="n">
        <f aca="false">Inputs!$F$136*(Inputs!$F$137*BI18/100+(1-Inputs!$F$137)*BI22/100*Inputs!$F$138/BI11)</f>
        <v>4.0540401076809</v>
      </c>
      <c r="BJ42" s="11" t="n">
        <f aca="false">Inputs!$F$136*(Inputs!$F$137*BJ18/100+(1-Inputs!$F$137)*BJ22/100*Inputs!$F$138/BJ11)</f>
        <v>4.09839194086759</v>
      </c>
      <c r="BK42" s="11" t="n">
        <f aca="false">Inputs!$F$136*(Inputs!$F$137*BK18/100+(1-Inputs!$F$137)*BK22/100*Inputs!$F$138/BK11)</f>
        <v>4.14322899004988</v>
      </c>
      <c r="BL42" s="11" t="n">
        <f aca="false">Inputs!$F$136*(Inputs!$F$137*BL18/100+(1-Inputs!$F$137)*BL22/100*Inputs!$F$138/BL11)</f>
        <v>4.18855656356668</v>
      </c>
      <c r="BM42" s="11" t="n">
        <f aca="false">Inputs!$F$136*(Inputs!$F$137*BM18/100+(1-Inputs!$F$137)*BM22/100*Inputs!$F$138/BM11)</f>
        <v>4.23438002783098</v>
      </c>
      <c r="BN42" s="11" t="n">
        <f aca="false">Inputs!$F$136*(Inputs!$F$137*BN18/100+(1-Inputs!$F$137)*BN22/100*Inputs!$F$138/BN11)</f>
        <v>4.28070480796515</v>
      </c>
    </row>
    <row r="43" customFormat="false" ht="15" hidden="false" customHeight="false" outlineLevel="0" collapsed="false">
      <c r="D43" s="0" t="s">
        <v>497</v>
      </c>
      <c r="E43" s="0" t="s">
        <v>99</v>
      </c>
      <c r="J43" s="11" t="n">
        <f aca="false">MIN(1,J28/Inputs!$F$133)</f>
        <v>0</v>
      </c>
      <c r="K43" s="11" t="n">
        <f aca="false">MIN(1,K28/Inputs!$F$133)</f>
        <v>0</v>
      </c>
      <c r="L43" s="11" t="n">
        <f aca="false">MIN(1,L28/Inputs!$F$133)</f>
        <v>0</v>
      </c>
      <c r="M43" s="11" t="n">
        <f aca="false">MIN(1,M28/Inputs!$F$133)</f>
        <v>0</v>
      </c>
      <c r="N43" s="11" t="n">
        <f aca="false">MIN(1,N28/Inputs!$F$133)</f>
        <v>0</v>
      </c>
      <c r="O43" s="11" t="n">
        <f aca="false">MIN(1,O28/Inputs!$F$133)</f>
        <v>1</v>
      </c>
      <c r="P43" s="11" t="n">
        <f aca="false">MIN(1,P28/Inputs!$F$133)</f>
        <v>1</v>
      </c>
      <c r="Q43" s="11" t="n">
        <f aca="false">MIN(1,Q28/Inputs!$F$133)</f>
        <v>1</v>
      </c>
      <c r="R43" s="11" t="n">
        <f aca="false">MIN(1,R28/Inputs!$F$133)</f>
        <v>0.998888888888889</v>
      </c>
      <c r="S43" s="11" t="n">
        <f aca="false">MIN(1,S28/Inputs!$F$133)</f>
        <v>1</v>
      </c>
      <c r="T43" s="11" t="n">
        <f aca="false">MIN(1,T28/Inputs!$F$133)</f>
        <v>1</v>
      </c>
      <c r="U43" s="11" t="n">
        <f aca="false">MIN(1,U28/Inputs!$F$133)</f>
        <v>0.997037037037037</v>
      </c>
      <c r="V43" s="11" t="n">
        <f aca="false">MIN(1,V28/Inputs!$F$133)</f>
        <v>0.973333333333333</v>
      </c>
      <c r="W43" s="11" t="n">
        <f aca="false">MIN(1,W28/Inputs!$F$133)</f>
        <v>0.985185185185185</v>
      </c>
      <c r="X43" s="11" t="n">
        <f aca="false">MIN(1,X28/Inputs!$F$133)</f>
        <v>1</v>
      </c>
      <c r="Y43" s="11" t="n">
        <f aca="false">MIN(1,Y28/Inputs!$F$133)</f>
        <v>1</v>
      </c>
      <c r="Z43" s="11" t="n">
        <f aca="false">MIN(1,Z28/Inputs!$F$133)</f>
        <v>0.998888888888889</v>
      </c>
      <c r="AA43" s="11" t="n">
        <f aca="false">MIN(1,AA28/Inputs!$F$133)</f>
        <v>1</v>
      </c>
      <c r="AB43" s="11" t="n">
        <f aca="false">MIN(1,AB28/Inputs!$F$133)</f>
        <v>1</v>
      </c>
      <c r="AC43" s="11" t="n">
        <f aca="false">MIN(1,AC28/Inputs!$F$133)</f>
        <v>0.99</v>
      </c>
      <c r="AD43" s="11" t="n">
        <f aca="false">MIN(1,AD28/Inputs!$F$133)</f>
        <v>0.952222222222222</v>
      </c>
      <c r="AE43" s="11" t="n">
        <f aca="false">MIN(1,AE28/Inputs!$F$133)</f>
        <v>0.971111111111111</v>
      </c>
      <c r="AF43" s="11" t="n">
        <f aca="false">MIN(1,AF28/Inputs!$F$133)</f>
        <v>1</v>
      </c>
      <c r="AG43" s="11" t="n">
        <f aca="false">MIN(1,AG28/Inputs!$F$133)</f>
        <v>1</v>
      </c>
      <c r="AH43" s="11" t="n">
        <f aca="false">MIN(1,AH28/Inputs!$F$133)</f>
        <v>0.998888888888889</v>
      </c>
      <c r="AI43" s="11" t="n">
        <f aca="false">MIN(1,AI28/Inputs!$F$133)</f>
        <v>1</v>
      </c>
      <c r="AJ43" s="11" t="n">
        <f aca="false">MIN(1,AJ28/Inputs!$F$133)</f>
        <v>1</v>
      </c>
      <c r="AK43" s="11" t="n">
        <f aca="false">MIN(1,AK28/Inputs!$F$133)</f>
        <v>0.997037037037037</v>
      </c>
      <c r="AL43" s="11" t="n">
        <f aca="false">MIN(1,AL28/Inputs!$F$133)</f>
        <v>0.973333333333333</v>
      </c>
      <c r="AM43" s="11" t="n">
        <f aca="false">MIN(1,AM28/Inputs!$F$133)</f>
        <v>0.985185185185185</v>
      </c>
      <c r="AN43" s="11" t="n">
        <f aca="false">MIN(1,AN28/Inputs!$F$133)</f>
        <v>1</v>
      </c>
      <c r="AO43" s="11" t="n">
        <f aca="false">MIN(1,AO28/Inputs!$F$133)</f>
        <v>1</v>
      </c>
      <c r="AP43" s="11" t="n">
        <f aca="false">MIN(1,AP28/Inputs!$F$133)</f>
        <v>0.998888888888889</v>
      </c>
      <c r="AQ43" s="11" t="n">
        <f aca="false">MIN(1,AQ28/Inputs!$F$133)</f>
        <v>1</v>
      </c>
      <c r="AR43" s="11" t="n">
        <f aca="false">MIN(1,AR28/Inputs!$F$133)</f>
        <v>1</v>
      </c>
      <c r="AS43" s="11" t="n">
        <f aca="false">MIN(1,AS28/Inputs!$F$133)</f>
        <v>0.99</v>
      </c>
      <c r="AT43" s="11" t="n">
        <f aca="false">MIN(1,AT28/Inputs!$F$133)</f>
        <v>0.952222222222222</v>
      </c>
      <c r="AU43" s="11" t="n">
        <f aca="false">MIN(1,AU28/Inputs!$F$133)</f>
        <v>0.971111111111111</v>
      </c>
      <c r="AV43" s="11" t="n">
        <f aca="false">MIN(1,AV28/Inputs!$F$133)</f>
        <v>1</v>
      </c>
      <c r="AW43" s="11" t="n">
        <f aca="false">MIN(1,AW28/Inputs!$F$133)</f>
        <v>1</v>
      </c>
      <c r="AX43" s="11" t="n">
        <f aca="false">MIN(1,AX28/Inputs!$F$133)</f>
        <v>0.998888888888889</v>
      </c>
      <c r="AY43" s="11" t="n">
        <f aca="false">MIN(1,AY28/Inputs!$F$133)</f>
        <v>1</v>
      </c>
      <c r="AZ43" s="11" t="n">
        <f aca="false">MIN(1,AZ28/Inputs!$F$133)</f>
        <v>1</v>
      </c>
      <c r="BA43" s="11" t="n">
        <f aca="false">MIN(1,BA28/Inputs!$F$133)</f>
        <v>0.997037037037037</v>
      </c>
      <c r="BB43" s="11" t="n">
        <f aca="false">MIN(1,BB28/Inputs!$F$133)</f>
        <v>0.973333333333333</v>
      </c>
      <c r="BC43" s="11" t="n">
        <f aca="false">MIN(1,BC28/Inputs!$F$133)</f>
        <v>0.985185185185185</v>
      </c>
      <c r="BD43" s="11" t="n">
        <f aca="false">MIN(1,BD28/Inputs!$F$133)</f>
        <v>1</v>
      </c>
      <c r="BE43" s="11" t="n">
        <f aca="false">MIN(1,BE28/Inputs!$F$133)</f>
        <v>1</v>
      </c>
      <c r="BF43" s="11" t="n">
        <f aca="false">MIN(1,BF28/Inputs!$F$133)</f>
        <v>0.998888888888889</v>
      </c>
      <c r="BG43" s="11" t="n">
        <f aca="false">MIN(1,BG28/Inputs!$F$133)</f>
        <v>1</v>
      </c>
      <c r="BH43" s="11" t="n">
        <f aca="false">MIN(1,BH28/Inputs!$F$133)</f>
        <v>1</v>
      </c>
      <c r="BI43" s="11" t="n">
        <f aca="false">MIN(1,BI28/Inputs!$F$133)</f>
        <v>0.99</v>
      </c>
      <c r="BJ43" s="11" t="n">
        <f aca="false">MIN(1,BJ28/Inputs!$F$133)</f>
        <v>0.952222222222222</v>
      </c>
      <c r="BK43" s="11" t="n">
        <f aca="false">MIN(1,BK28/Inputs!$F$133)</f>
        <v>0.971111111111111</v>
      </c>
      <c r="BL43" s="11" t="n">
        <f aca="false">MIN(1,BL28/Inputs!$F$133)</f>
        <v>1</v>
      </c>
      <c r="BM43" s="11" t="n">
        <f aca="false">MIN(1,BM28/Inputs!$F$133)</f>
        <v>1</v>
      </c>
      <c r="BN43" s="11" t="n">
        <f aca="false">MIN(1,BN28/Inputs!$F$133)</f>
        <v>0</v>
      </c>
    </row>
    <row r="44" customFormat="false" ht="15" hidden="false" customHeight="false" outlineLevel="0" collapsed="false">
      <c r="D44" s="0" t="s">
        <v>498</v>
      </c>
      <c r="E44" s="0" t="s">
        <v>149</v>
      </c>
      <c r="G44" s="11" t="n">
        <f aca="false">SUM(J44:BN44)</f>
        <v>3310.70625074072</v>
      </c>
      <c r="J44" s="11" t="n">
        <f aca="false">$F$30*1000*Time!J25*(J41+J42)*J43/1000000</f>
        <v>0</v>
      </c>
      <c r="K44" s="11" t="n">
        <f aca="false">$F$30*1000*Time!K25*(K41+K42)*K43/1000000</f>
        <v>0</v>
      </c>
      <c r="L44" s="11" t="n">
        <f aca="false">$F$30*1000*Time!L25*(L41+L42)*L43/1000000</f>
        <v>0</v>
      </c>
      <c r="M44" s="11" t="n">
        <f aca="false">$F$30*1000*Time!M25*(M41+M42)*M43/1000000</f>
        <v>0</v>
      </c>
      <c r="N44" s="11" t="n">
        <f aca="false">$F$30*1000*Time!N25*(N41+N42)*N43/1000000</f>
        <v>0</v>
      </c>
      <c r="O44" s="11" t="n">
        <f aca="false">$F$30*1000*Time!O25*(O41+O42)*O43/1000000</f>
        <v>20.0787247448473</v>
      </c>
      <c r="P44" s="11" t="n">
        <f aca="false">$F$30*1000*Time!P25*(P41+P42)*P43/1000000</f>
        <v>60.4514649070976</v>
      </c>
      <c r="Q44" s="11" t="n">
        <f aca="false">$F$30*1000*Time!Q25*(Q41+Q42)*Q43/1000000</f>
        <v>60.6691108933017</v>
      </c>
      <c r="R44" s="11" t="n">
        <f aca="false">$F$30*1000*Time!R25*(R41+R42)*R43/1000000</f>
        <v>60.8214833629198</v>
      </c>
      <c r="S44" s="11" t="n">
        <f aca="false">$F$30*1000*Time!S25*(S41+S42)*S43/1000000</f>
        <v>61.1115721585543</v>
      </c>
      <c r="T44" s="11" t="n">
        <f aca="false">$F$30*1000*Time!T25*(T41+T42)*T43/1000000</f>
        <v>61.3364398213882</v>
      </c>
      <c r="U44" s="11" t="n">
        <f aca="false">$F$30*1000*Time!U25*(U41+U42)*U43/1000000</f>
        <v>61.3813564084673</v>
      </c>
      <c r="V44" s="11" t="n">
        <f aca="false">$F$30*1000*Time!V25*(V41+V42)*V43/1000000</f>
        <v>60.1457534611105</v>
      </c>
      <c r="W44" s="11" t="n">
        <f aca="false">$F$30*1000*Time!W25*(W41+W42)*W43/1000000</f>
        <v>61.1070088944287</v>
      </c>
      <c r="X44" s="11" t="n">
        <f aca="false">$F$30*1000*Time!X25*(X41+X42)*X43/1000000</f>
        <v>62.260781959766</v>
      </c>
      <c r="Y44" s="11" t="n">
        <f aca="false">$F$30*1000*Time!Y25*(Y41+Y42)*Y43/1000000</f>
        <v>62.4982221576627</v>
      </c>
      <c r="Z44" s="11" t="n">
        <f aca="false">$F$30*1000*Time!Z25*(Z41+Z42)*Z43/1000000</f>
        <v>62.6685508107159</v>
      </c>
      <c r="AA44" s="11" t="n">
        <f aca="false">$F$30*1000*Time!AA25*(AA41+AA42)*AA43/1000000</f>
        <v>62.9809238707312</v>
      </c>
      <c r="AB44" s="11" t="n">
        <f aca="false">$F$30*1000*Time!AB25*(AB41+AB42)*AB43/1000000</f>
        <v>63.2262425338274</v>
      </c>
      <c r="AC44" s="11" t="n">
        <f aca="false">$F$30*1000*Time!AC25*(AC41+AC42)*AC43/1000000</f>
        <v>62.8395025712725</v>
      </c>
      <c r="AD44" s="11" t="n">
        <f aca="false">$F$30*1000*Time!AD25*(AD41+AD42)*AD43/1000000</f>
        <v>60.6803236841801</v>
      </c>
      <c r="AE44" s="11" t="n">
        <f aca="false">$F$30*1000*Time!AE25*(AE41+AE42)*AE43/1000000</f>
        <v>62.1301537929194</v>
      </c>
      <c r="AF44" s="11" t="n">
        <f aca="false">$F$30*1000*Time!AF25*(AF41+AF42)*AF43/1000000</f>
        <v>64.2346506560654</v>
      </c>
      <c r="AG44" s="11" t="n">
        <f aca="false">$F$30*1000*Time!AG25*(AG41+AG42)*AG43/1000000</f>
        <v>64.4936852863863</v>
      </c>
      <c r="AH44" s="11" t="n">
        <f aca="false">$F$30*1000*Time!AH25*(AH41+AH42)*AH43/1000000</f>
        <v>64.6836031807699</v>
      </c>
      <c r="AI44" s="11" t="n">
        <f aca="false">$F$30*1000*Time!AI25*(AI41+AI42)*AI43/1000000</f>
        <v>65.0202871882868</v>
      </c>
      <c r="AJ44" s="11" t="n">
        <f aca="false">$F$30*1000*Time!AJ25*(AJ41+AJ42)*AJ43/1000000</f>
        <v>65.287916805213</v>
      </c>
      <c r="AK44" s="11" t="n">
        <f aca="false">$F$30*1000*Time!AK25*(AK41+AK42)*AK43/1000000</f>
        <v>65.364227000675</v>
      </c>
      <c r="AL44" s="11" t="n">
        <f aca="false">$F$30*1000*Time!AL25*(AL41+AL42)*AL43/1000000</f>
        <v>64.0764720191802</v>
      </c>
      <c r="AM44" s="11" t="n">
        <f aca="false">$F$30*1000*Time!AM25*(AM41+AM42)*AM43/1000000</f>
        <v>65.1291163841496</v>
      </c>
      <c r="AN44" s="11" t="n">
        <f aca="false">$F$30*1000*Time!AN25*(AN41+AN42)*AN43/1000000</f>
        <v>66.3880364457393</v>
      </c>
      <c r="AO44" s="11" t="n">
        <f aca="false">$F$30*1000*Time!AO25*(AO41+AO42)*AO43/1000000</f>
        <v>66.6706294535783</v>
      </c>
      <c r="AP44" s="11" t="n">
        <f aca="false">$F$30*1000*Time!AP25*(AP41+AP42)*AP43/1000000</f>
        <v>66.8819181686199</v>
      </c>
      <c r="AQ44" s="11" t="n">
        <f aca="false">$F$30*1000*Time!AQ25*(AQ41+AQ42)*AQ43/1000000</f>
        <v>67.245124127157</v>
      </c>
      <c r="AR44" s="11" t="n">
        <f aca="false">$F$30*1000*Time!AR25*(AR41+AR42)*AR43/1000000</f>
        <v>67.5370938083547</v>
      </c>
      <c r="AS44" s="11" t="n">
        <f aca="false">$F$30*1000*Time!AS25*(AS41+AS42)*AS43/1000000</f>
        <v>67.153935106719</v>
      </c>
      <c r="AT44" s="11" t="n">
        <f aca="false">$F$30*1000*Time!AT25*(AT41+AT42)*AT43/1000000</f>
        <v>64.8755196088466</v>
      </c>
      <c r="AU44" s="11" t="n">
        <f aca="false">$F$30*1000*Time!AU25*(AU41+AU42)*AU43/1000000</f>
        <v>66.4553748308227</v>
      </c>
      <c r="AV44" s="11" t="n">
        <f aca="false">$F$30*1000*Time!AV25*(AV41+AV42)*AV43/1000000</f>
        <v>68.7372658386888</v>
      </c>
      <c r="AW44" s="11" t="n">
        <f aca="false">$F$30*1000*Time!AW25*(AW41+AW42)*AW43/1000000</f>
        <v>69.0455597837129</v>
      </c>
      <c r="AX44" s="11" t="n">
        <f aca="false">$F$30*1000*Time!AX25*(AX41+AX42)*AX43/1000000</f>
        <v>69.2801629277258</v>
      </c>
      <c r="AY44" s="11" t="n">
        <f aca="false">$F$30*1000*Time!AY25*(AY41+AY42)*AY43/1000000</f>
        <v>69.6723029245546</v>
      </c>
      <c r="AZ44" s="11" t="n">
        <f aca="false">$F$30*1000*Time!AZ25*(AZ41+AZ42)*AZ43/1000000</f>
        <v>69.9908263216202</v>
      </c>
      <c r="BA44" s="11" t="n">
        <f aca="false">$F$30*1000*Time!BA25*(BA41+BA42)*BA43/1000000</f>
        <v>70.1045000903037</v>
      </c>
      <c r="BB44" s="11" t="n">
        <f aca="false">$F$30*1000*Time!BB25*(BB41+BB42)*BB43/1000000</f>
        <v>68.7546755842613</v>
      </c>
      <c r="BC44" s="11" t="n">
        <f aca="false">$F$30*1000*Time!BC25*(BC41+BC42)*BC43/1000000</f>
        <v>69.9160878550327</v>
      </c>
      <c r="BD44" s="11" t="n">
        <f aca="false">$F$30*1000*Time!BD25*(BD41+BD42)*BD43/1000000</f>
        <v>71.3001501890743</v>
      </c>
      <c r="BE44" s="11" t="n">
        <f aca="false">$F$30*1000*Time!BE25*(BE41+BE42)*BE43/1000000</f>
        <v>71.6364824899524</v>
      </c>
      <c r="BF44" s="11" t="n">
        <f aca="false">$F$30*1000*Time!BF25*(BF41+BF42)*BF43/1000000</f>
        <v>71.8965204362575</v>
      </c>
      <c r="BG44" s="11" t="n">
        <f aca="false">$F$30*1000*Time!BG25*(BG41+BG42)*BG43/1000000</f>
        <v>72.3202259303313</v>
      </c>
      <c r="BH44" s="11" t="n">
        <f aca="false">$F$30*1000*Time!BH25*(BH41+BH42)*BH43/1000000</f>
        <v>72.6677180194483</v>
      </c>
      <c r="BI44" s="11" t="n">
        <f aca="false">$F$30*1000*Time!BI25*(BI41+BI42)*BI43/1000000</f>
        <v>72.2888216091346</v>
      </c>
      <c r="BJ44" s="11" t="n">
        <f aca="false">$F$30*1000*Time!BJ25*(BJ41+BJ42)*BJ43/1000000</f>
        <v>69.8684948730501</v>
      </c>
      <c r="BK44" s="11" t="n">
        <f aca="false">$F$30*1000*Time!BK25*(BK41+BK42)*BK43/1000000</f>
        <v>71.6031014310244</v>
      </c>
      <c r="BL44" s="11" t="n">
        <f aca="false">$F$30*1000*Time!BL25*(BL41+BL42)*BL43/1000000</f>
        <v>74.0961207371887</v>
      </c>
      <c r="BM44" s="11" t="n">
        <f aca="false">$F$30*1000*Time!BM25*(BM41+BM42)*BM43/1000000</f>
        <v>49.6420275955993</v>
      </c>
      <c r="BN44" s="11" t="n">
        <f aca="false">$F$30*1000*Time!BN25*(BN41+BN42)*BN43/1000000</f>
        <v>0</v>
      </c>
    </row>
    <row r="45" customFormat="false" ht="15" hidden="false" customHeight="false" outlineLevel="0" collapsed="false">
      <c r="D45" s="0" t="s">
        <v>499</v>
      </c>
      <c r="E45" s="0" t="s">
        <v>243</v>
      </c>
      <c r="J45" s="11" t="n">
        <f aca="false">Inputs!$F$139*(Inputs!$F$140*J18/100+(1-Inputs!$F$140)*J22/100*Inputs!$F$138/J11)</f>
        <v>3.90557954446372</v>
      </c>
      <c r="K45" s="11" t="n">
        <f aca="false">Inputs!$F$139*(Inputs!$F$140*K18/100+(1-Inputs!$F$140)*K22/100*Inputs!$F$138/K11)</f>
        <v>3.94830719585652</v>
      </c>
      <c r="L45" s="11" t="n">
        <f aca="false">Inputs!$F$139*(Inputs!$F$140*L18/100+(1-Inputs!$F$140)*L22/100*Inputs!$F$138/L11)</f>
        <v>3.99150229444192</v>
      </c>
      <c r="M45" s="11" t="n">
        <f aca="false">Inputs!$F$139*(Inputs!$F$140*M18/100+(1-Inputs!$F$140)*M22/100*Inputs!$F$138/M11)</f>
        <v>4.03516995416536</v>
      </c>
      <c r="N45" s="11" t="n">
        <f aca="false">Inputs!$F$139*(Inputs!$F$140*N18/100+(1-Inputs!$F$140)*N22/100*Inputs!$F$138/N11)</f>
        <v>4.07931534491964</v>
      </c>
      <c r="O45" s="11" t="n">
        <f aca="false">Inputs!$F$139*(Inputs!$F$140*O18/100+(1-Inputs!$F$140)*O22/100*Inputs!$F$138/O11)</f>
        <v>4.123943693157</v>
      </c>
      <c r="P45" s="11" t="n">
        <f aca="false">Inputs!$F$139*(Inputs!$F$140*P18/100+(1-Inputs!$F$140)*P22/100*Inputs!$F$138/P11)</f>
        <v>4.16906028250787</v>
      </c>
      <c r="Q45" s="11" t="n">
        <f aca="false">Inputs!$F$139*(Inputs!$F$140*Q18/100+(1-Inputs!$F$140)*Q22/100*Inputs!$F$138/Q11)</f>
        <v>4.21467045440645</v>
      </c>
      <c r="R45" s="11" t="n">
        <f aca="false">Inputs!$F$139*(Inputs!$F$140*R18/100+(1-Inputs!$F$140)*R22/100*Inputs!$F$138/R11)</f>
        <v>4.26077960872305</v>
      </c>
      <c r="S45" s="11" t="n">
        <f aca="false">Inputs!$F$139*(Inputs!$F$140*S18/100+(1-Inputs!$F$140)*S22/100*Inputs!$F$138/S11)</f>
        <v>4.30739320440339</v>
      </c>
      <c r="T45" s="11" t="n">
        <f aca="false">Inputs!$F$139*(Inputs!$F$140*T18/100+(1-Inputs!$F$140)*T22/100*Inputs!$F$138/T11)</f>
        <v>4.35451676011495</v>
      </c>
      <c r="U45" s="11" t="n">
        <f aca="false">Inputs!$F$139*(Inputs!$F$140*U18/100+(1-Inputs!$F$140)*U22/100*Inputs!$F$138/U11)</f>
        <v>4.40215585490027</v>
      </c>
      <c r="V45" s="11" t="n">
        <f aca="false">Inputs!$F$139*(Inputs!$F$140*V18/100+(1-Inputs!$F$140)*V22/100*Inputs!$F$138/V11)</f>
        <v>4.45031612883748</v>
      </c>
      <c r="W45" s="11" t="n">
        <f aca="false">Inputs!$F$139*(Inputs!$F$140*W18/100+(1-Inputs!$F$140)*W22/100*Inputs!$F$138/W11)</f>
        <v>4.49900328370807</v>
      </c>
      <c r="X45" s="11" t="n">
        <f aca="false">Inputs!$F$139*(Inputs!$F$140*X18/100+(1-Inputs!$F$140)*X22/100*Inputs!$F$138/X11)</f>
        <v>4.5482230836719</v>
      </c>
      <c r="Y45" s="11" t="n">
        <f aca="false">Inputs!$F$139*(Inputs!$F$140*Y18/100+(1-Inputs!$F$140)*Y22/100*Inputs!$F$138/Y11)</f>
        <v>4.59798135594965</v>
      </c>
      <c r="Z45" s="11" t="n">
        <f aca="false">Inputs!$F$139*(Inputs!$F$140*Z18/100+(1-Inputs!$F$140)*Z22/100*Inputs!$F$138/Z11)</f>
        <v>4.64828399151269</v>
      </c>
      <c r="AA45" s="11" t="n">
        <f aca="false">Inputs!$F$139*(Inputs!$F$140*AA18/100+(1-Inputs!$F$140)*AA22/100*Inputs!$F$138/AA11)</f>
        <v>4.69913694578054</v>
      </c>
      <c r="AB45" s="11" t="n">
        <f aca="false">Inputs!$F$139*(Inputs!$F$140*AB18/100+(1-Inputs!$F$140)*AB22/100*Inputs!$F$138/AB11)</f>
        <v>4.75054623932596</v>
      </c>
      <c r="AC45" s="11" t="n">
        <f aca="false">Inputs!$F$139*(Inputs!$F$140*AC18/100+(1-Inputs!$F$140)*AC22/100*Inputs!$F$138/AC11)</f>
        <v>4.80251795858771</v>
      </c>
      <c r="AD45" s="11" t="n">
        <f aca="false">Inputs!$F$139*(Inputs!$F$140*AD18/100+(1-Inputs!$F$140)*AD22/100*Inputs!$F$138/AD11)</f>
        <v>4.85505825659113</v>
      </c>
      <c r="AE45" s="11" t="n">
        <f aca="false">Inputs!$F$139*(Inputs!$F$140*AE18/100+(1-Inputs!$F$140)*AE22/100*Inputs!$F$138/AE11)</f>
        <v>4.90817335367664</v>
      </c>
      <c r="AF45" s="11" t="n">
        <f aca="false">Inputs!$F$139*(Inputs!$F$140*AF18/100+(1-Inputs!$F$140)*AF22/100*Inputs!$F$138/AF11)</f>
        <v>4.96186953823614</v>
      </c>
      <c r="AG45" s="11" t="n">
        <f aca="false">Inputs!$F$139*(Inputs!$F$140*AG18/100+(1-Inputs!$F$140)*AG22/100*Inputs!$F$138/AG11)</f>
        <v>5.01615316745753</v>
      </c>
      <c r="AH45" s="11" t="n">
        <f aca="false">Inputs!$F$139*(Inputs!$F$140*AH18/100+(1-Inputs!$F$140)*AH22/100*Inputs!$F$138/AH11)</f>
        <v>5.07103066807733</v>
      </c>
      <c r="AI45" s="11" t="n">
        <f aca="false">Inputs!$F$139*(Inputs!$F$140*AI18/100+(1-Inputs!$F$140)*AI22/100*Inputs!$F$138/AI11)</f>
        <v>5.12650853714159</v>
      </c>
      <c r="AJ45" s="11" t="n">
        <f aca="false">Inputs!$F$139*(Inputs!$F$140*AJ18/100+(1-Inputs!$F$140)*AJ22/100*Inputs!$F$138/AJ11)</f>
        <v>5.18259334277503</v>
      </c>
      <c r="AK45" s="11" t="n">
        <f aca="false">Inputs!$F$139*(Inputs!$F$140*AK18/100+(1-Inputs!$F$140)*AK22/100*Inputs!$F$138/AK11)</f>
        <v>5.2392917249587</v>
      </c>
      <c r="AL45" s="11" t="n">
        <f aca="false">Inputs!$F$139*(Inputs!$F$140*AL18/100+(1-Inputs!$F$140)*AL22/100*Inputs!$F$138/AL11)</f>
        <v>5.29661039631608</v>
      </c>
      <c r="AM45" s="11" t="n">
        <f aca="false">Inputs!$F$139*(Inputs!$F$140*AM18/100+(1-Inputs!$F$140)*AM22/100*Inputs!$F$138/AM11)</f>
        <v>5.3545561429078</v>
      </c>
      <c r="AN45" s="11" t="n">
        <f aca="false">Inputs!$F$139*(Inputs!$F$140*AN18/100+(1-Inputs!$F$140)*AN22/100*Inputs!$F$138/AN11)</f>
        <v>5.41313582503504</v>
      </c>
      <c r="AO45" s="11" t="n">
        <f aca="false">Inputs!$F$139*(Inputs!$F$140*AO18/100+(1-Inputs!$F$140)*AO22/100*Inputs!$F$138/AO11)</f>
        <v>5.47235637805177</v>
      </c>
      <c r="AP45" s="11" t="n">
        <f aca="false">Inputs!$F$139*(Inputs!$F$140*AP18/100+(1-Inputs!$F$140)*AP22/100*Inputs!$F$138/AP11)</f>
        <v>5.53222481318581</v>
      </c>
      <c r="AQ45" s="11" t="n">
        <f aca="false">Inputs!$F$139*(Inputs!$F$140*AQ18/100+(1-Inputs!$F$140)*AQ22/100*Inputs!$F$138/AQ11)</f>
        <v>5.59274821836891</v>
      </c>
      <c r="AR45" s="11" t="n">
        <f aca="false">Inputs!$F$139*(Inputs!$F$140*AR18/100+(1-Inputs!$F$140)*AR22/100*Inputs!$F$138/AR11)</f>
        <v>5.65393375907589</v>
      </c>
      <c r="AS45" s="11" t="n">
        <f aca="false">Inputs!$F$139*(Inputs!$F$140*AS18/100+(1-Inputs!$F$140)*AS22/100*Inputs!$F$138/AS11)</f>
        <v>5.71578867917302</v>
      </c>
      <c r="AT45" s="11" t="n">
        <f aca="false">Inputs!$F$139*(Inputs!$F$140*AT18/100+(1-Inputs!$F$140)*AT22/100*Inputs!$F$138/AT11)</f>
        <v>5.77832030177556</v>
      </c>
      <c r="AU45" s="11" t="n">
        <f aca="false">Inputs!$F$139*(Inputs!$F$140*AU18/100+(1-Inputs!$F$140)*AU22/100*Inputs!$F$138/AU11)</f>
        <v>5.84153603011483</v>
      </c>
      <c r="AV45" s="11" t="n">
        <f aca="false">Inputs!$F$139*(Inputs!$F$140*AV18/100+(1-Inputs!$F$140)*AV22/100*Inputs!$F$138/AV11)</f>
        <v>5.90544334841462</v>
      </c>
      <c r="AW45" s="11" t="n">
        <f aca="false">Inputs!$F$139*(Inputs!$F$140*AW18/100+(1-Inputs!$F$140)*AW22/100*Inputs!$F$138/AW11)</f>
        <v>5.97004982277735</v>
      </c>
      <c r="AX45" s="11" t="n">
        <f aca="false">Inputs!$F$139*(Inputs!$F$140*AX18/100+(1-Inputs!$F$140)*AX22/100*Inputs!$F$138/AX11)</f>
        <v>6.03536310207975</v>
      </c>
      <c r="AY45" s="11" t="n">
        <f aca="false">Inputs!$F$139*(Inputs!$F$140*AY18/100+(1-Inputs!$F$140)*AY22/100*Inputs!$F$138/AY11)</f>
        <v>6.10139091887845</v>
      </c>
      <c r="AZ45" s="11" t="n">
        <f aca="false">Inputs!$F$139*(Inputs!$F$140*AZ18/100+(1-Inputs!$F$140)*AZ22/100*Inputs!$F$138/AZ11)</f>
        <v>6.1681410903255</v>
      </c>
      <c r="BA45" s="11" t="n">
        <f aca="false">Inputs!$F$139*(Inputs!$F$140*BA18/100+(1-Inputs!$F$140)*BA22/100*Inputs!$F$138/BA11)</f>
        <v>6.23562151909378</v>
      </c>
      <c r="BB45" s="11" t="n">
        <f aca="false">Inputs!$F$139*(Inputs!$F$140*BB18/100+(1-Inputs!$F$140)*BB22/100*Inputs!$F$138/BB11)</f>
        <v>6.30384019431266</v>
      </c>
      <c r="BC45" s="11" t="n">
        <f aca="false">Inputs!$F$139*(Inputs!$F$140*BC18/100+(1-Inputs!$F$140)*BC22/100*Inputs!$F$138/BC11)</f>
        <v>6.37280519251384</v>
      </c>
      <c r="BD45" s="11" t="n">
        <f aca="false">Inputs!$F$139*(Inputs!$F$140*BD18/100+(1-Inputs!$F$140)*BD22/100*Inputs!$F$138/BD11)</f>
        <v>6.44252467858754</v>
      </c>
      <c r="BE45" s="11" t="n">
        <f aca="false">Inputs!$F$139*(Inputs!$F$140*BE18/100+(1-Inputs!$F$140)*BE22/100*Inputs!$F$138/BE11)</f>
        <v>6.51300690674914</v>
      </c>
      <c r="BF45" s="11" t="n">
        <f aca="false">Inputs!$F$139*(Inputs!$F$140*BF18/100+(1-Inputs!$F$140)*BF22/100*Inputs!$F$138/BF11)</f>
        <v>6.58426022151646</v>
      </c>
      <c r="BG45" s="11" t="n">
        <f aca="false">Inputs!$F$139*(Inputs!$F$140*BG18/100+(1-Inputs!$F$140)*BG22/100*Inputs!$F$138/BG11)</f>
        <v>6.65629305869762</v>
      </c>
      <c r="BH45" s="11" t="n">
        <f aca="false">Inputs!$F$139*(Inputs!$F$140*BH18/100+(1-Inputs!$F$140)*BH22/100*Inputs!$F$138/BH11)</f>
        <v>6.72911394638982</v>
      </c>
      <c r="BI45" s="11" t="n">
        <f aca="false">Inputs!$F$139*(Inputs!$F$140*BI18/100+(1-Inputs!$F$140)*BI22/100*Inputs!$F$138/BI11)</f>
        <v>6.80273150598897</v>
      </c>
      <c r="BJ45" s="11" t="n">
        <f aca="false">Inputs!$F$139*(Inputs!$F$140*BJ18/100+(1-Inputs!$F$140)*BJ22/100*Inputs!$F$138/BJ11)</f>
        <v>6.8771544532104</v>
      </c>
      <c r="BK45" s="11" t="n">
        <f aca="false">Inputs!$F$139*(Inputs!$F$140*BK18/100+(1-Inputs!$F$140)*BK22/100*Inputs!$F$138/BK11)</f>
        <v>6.95239159912073</v>
      </c>
      <c r="BL45" s="11" t="n">
        <f aca="false">Inputs!$F$139*(Inputs!$F$140*BL18/100+(1-Inputs!$F$140)*BL22/100*Inputs!$F$138/BL11)</f>
        <v>7.02845185118103</v>
      </c>
      <c r="BM45" s="11" t="n">
        <f aca="false">Inputs!$F$139*(Inputs!$F$140*BM18/100+(1-Inputs!$F$140)*BM22/100*Inputs!$F$138/BM11)</f>
        <v>7.10534421430138</v>
      </c>
      <c r="BN45" s="11" t="n">
        <f aca="false">Inputs!$F$139*(Inputs!$F$140*BN18/100+(1-Inputs!$F$140)*BN22/100*Inputs!$F$138/BN11)</f>
        <v>7.18307779190701</v>
      </c>
    </row>
    <row r="46" customFormat="false" ht="15" hidden="false" customHeight="false" outlineLevel="0" collapsed="false">
      <c r="D46" s="0" t="s">
        <v>500</v>
      </c>
      <c r="E46" s="0" t="s">
        <v>149</v>
      </c>
      <c r="G46" s="11" t="n">
        <f aca="false">SUM(J46:BN46)</f>
        <v>470.066567937815</v>
      </c>
      <c r="J46" s="11" t="n">
        <f aca="false">J34*J45/1000000</f>
        <v>0</v>
      </c>
      <c r="K46" s="11" t="n">
        <f aca="false">K34*K45/1000000</f>
        <v>0</v>
      </c>
      <c r="L46" s="11" t="n">
        <f aca="false">L34*L45/1000000</f>
        <v>0</v>
      </c>
      <c r="M46" s="11" t="n">
        <f aca="false">M34*M45/1000000</f>
        <v>0</v>
      </c>
      <c r="N46" s="11" t="n">
        <f aca="false">N34*N45/1000000</f>
        <v>0</v>
      </c>
      <c r="O46" s="11" t="n">
        <f aca="false">O34*O45/1000000</f>
        <v>2.4359391470988</v>
      </c>
      <c r="P46" s="11" t="n">
        <f aca="false">P34*P45/1000000</f>
        <v>7.38407176284303</v>
      </c>
      <c r="Q46" s="11" t="n">
        <f aca="false">Q34*Q45/1000000</f>
        <v>7.43460741366207</v>
      </c>
      <c r="R46" s="11" t="n">
        <f aca="false">R34*R45/1000000</f>
        <v>7.46050642930839</v>
      </c>
      <c r="S46" s="11" t="n">
        <f aca="false">S34*S45/1000000</f>
        <v>7.56160636395437</v>
      </c>
      <c r="T46" s="11" t="n">
        <f aca="false">T34*T45/1000000</f>
        <v>7.6893927066426</v>
      </c>
      <c r="U46" s="11" t="n">
        <f aca="false">U34*U45/1000000</f>
        <v>7.67641442098568</v>
      </c>
      <c r="V46" s="11" t="n">
        <f aca="false">V34*V45/1000000</f>
        <v>7.5701919293083</v>
      </c>
      <c r="W46" s="11" t="n">
        <f aca="false">W34*W45/1000000</f>
        <v>7.74035878577768</v>
      </c>
      <c r="X46" s="11" t="n">
        <f aca="false">X34*X45/1000000</f>
        <v>8.00726564908963</v>
      </c>
      <c r="Y46" s="11" t="n">
        <f aca="false">Y34*Y45/1000000</f>
        <v>8.06202978830523</v>
      </c>
      <c r="Z46" s="11" t="n">
        <f aca="false">Z34*Z45/1000000</f>
        <v>8.09007772301092</v>
      </c>
      <c r="AA46" s="11" t="n">
        <f aca="false">AA34*AA45/1000000</f>
        <v>8.19967189046892</v>
      </c>
      <c r="AB46" s="11" t="n">
        <f aca="false">AB34*AB45/1000000</f>
        <v>8.33820313929969</v>
      </c>
      <c r="AC46" s="11" t="n">
        <f aca="false">AC34*AC45/1000000</f>
        <v>8.26534077237946</v>
      </c>
      <c r="AD46" s="11" t="n">
        <f aca="false">AD34*AD45/1000000</f>
        <v>8.03082327868353</v>
      </c>
      <c r="AE46" s="11" t="n">
        <f aca="false">AE34*AE45/1000000</f>
        <v>8.27344944650096</v>
      </c>
      <c r="AF46" s="11" t="n">
        <f aca="false">AF34*AF45/1000000</f>
        <v>8.68273848863357</v>
      </c>
      <c r="AG46" s="11" t="n">
        <f aca="false">AG34*AG45/1000000</f>
        <v>8.74208225464234</v>
      </c>
      <c r="AH46" s="11" t="n">
        <f aca="false">AH34*AH45/1000000</f>
        <v>8.77245576396315</v>
      </c>
      <c r="AI46" s="11" t="n">
        <f aca="false">AI34*AI45/1000000</f>
        <v>8.89125298082688</v>
      </c>
      <c r="AJ46" s="11" t="n">
        <f aca="false">AJ34*AJ45/1000000</f>
        <v>9.04142660362708</v>
      </c>
      <c r="AK46" s="11" t="n">
        <f aca="false">AK34*AK45/1000000</f>
        <v>9.02608344495625</v>
      </c>
      <c r="AL46" s="11" t="n">
        <f aca="false">AL34*AL45/1000000</f>
        <v>8.90110302545761</v>
      </c>
      <c r="AM46" s="11" t="n">
        <f aca="false">AM34*AM45/1000000</f>
        <v>9.10110298890477</v>
      </c>
      <c r="AN46" s="11" t="n">
        <f aca="false">AN34*AN45/1000000</f>
        <v>9.41484485194004</v>
      </c>
      <c r="AO46" s="11" t="n">
        <f aca="false">AO34*AO45/1000000</f>
        <v>9.47914827778147</v>
      </c>
      <c r="AP46" s="11" t="n">
        <f aca="false">AP34*AP45/1000000</f>
        <v>9.51203837538901</v>
      </c>
      <c r="AQ46" s="11" t="n">
        <f aca="false">AQ34*AQ45/1000000</f>
        <v>9.6408061289294</v>
      </c>
      <c r="AR46" s="11" t="n">
        <f aca="false">AR34*AR45/1000000</f>
        <v>9.80359396261396</v>
      </c>
      <c r="AS46" s="11" t="n">
        <f aca="false">AS34*AS45/1000000</f>
        <v>9.71783612577109</v>
      </c>
      <c r="AT46" s="11" t="n">
        <f aca="false">AT34*AT45/1000000</f>
        <v>9.44201820448448</v>
      </c>
      <c r="AU46" s="11" t="n">
        <f aca="false">AU34*AU45/1000000</f>
        <v>9.72718851131247</v>
      </c>
      <c r="AV46" s="11" t="n">
        <f aca="false">AV34*AV45/1000000</f>
        <v>10.2082989619771</v>
      </c>
      <c r="AW46" s="11" t="n">
        <f aca="false">AW34*AW45/1000000</f>
        <v>10.2779733267058</v>
      </c>
      <c r="AX46" s="11" t="n">
        <f aca="false">AX34*AX45/1000000</f>
        <v>10.3135865348622</v>
      </c>
      <c r="AY46" s="11" t="n">
        <f aca="false">AY34*AY45/1000000</f>
        <v>10.4531557919986</v>
      </c>
      <c r="AZ46" s="11" t="n">
        <f aca="false">AZ34*AZ45/1000000</f>
        <v>10.6296101465873</v>
      </c>
      <c r="BA46" s="11" t="n">
        <f aca="false">BA34*BA45/1000000</f>
        <v>10.6114720129486</v>
      </c>
      <c r="BB46" s="11" t="n">
        <f aca="false">BB34*BB45/1000000</f>
        <v>10.4644407578679</v>
      </c>
      <c r="BC46" s="11" t="n">
        <f aca="false">BC34*BC45/1000000</f>
        <v>10.699466556369</v>
      </c>
      <c r="BD46" s="11" t="n">
        <f aca="false">BD34*BD45/1000000</f>
        <v>11.0682040946547</v>
      </c>
      <c r="BE46" s="11" t="n">
        <f aca="false">BE34*BE45/1000000</f>
        <v>11.1436944634152</v>
      </c>
      <c r="BF46" s="11" t="n">
        <f aca="false">BF34*BF45/1000000</f>
        <v>11.182254053951</v>
      </c>
      <c r="BG46" s="11" t="n">
        <f aca="false">BG34*BG45/1000000</f>
        <v>11.3335244596595</v>
      </c>
      <c r="BH46" s="11" t="n">
        <f aca="false">BH34*BH45/1000000</f>
        <v>11.5247847174447</v>
      </c>
      <c r="BI46" s="11" t="n">
        <f aca="false">BI34*BI45/1000000</f>
        <v>11.4238617784607</v>
      </c>
      <c r="BJ46" s="11" t="n">
        <f aca="false">BJ34*BJ45/1000000</f>
        <v>11.0995164299649</v>
      </c>
      <c r="BK46" s="11" t="n">
        <f aca="false">BK34*BK45/1000000</f>
        <v>11.4346376644291</v>
      </c>
      <c r="BL46" s="11" t="n">
        <f aca="false">BL34*BL45/1000000</f>
        <v>12.0000843522139</v>
      </c>
      <c r="BM46" s="11" t="n">
        <f aca="false">BM34*BM45/1000000</f>
        <v>8.08233119775165</v>
      </c>
      <c r="BN46" s="11" t="n">
        <f aca="false">BN34*BN45/1000000</f>
        <v>0</v>
      </c>
    </row>
    <row r="47" customFormat="false" ht="15" hidden="false" customHeight="false" outlineLevel="0" collapsed="false">
      <c r="D47" s="0" t="s">
        <v>501</v>
      </c>
      <c r="E47" s="0" t="s">
        <v>149</v>
      </c>
      <c r="G47" s="11" t="n">
        <f aca="false">SUM(J47:BN47)</f>
        <v>4728.44580171515</v>
      </c>
      <c r="J47" s="11" t="n">
        <f aca="false">J34*J36*(1000*Inputs!$F$123/Inputs!$F$124)*J37/1000000</f>
        <v>0</v>
      </c>
      <c r="K47" s="11" t="n">
        <f aca="false">K34*K36*(1000*Inputs!$F$123/Inputs!$F$124)*K37/1000000</f>
        <v>0</v>
      </c>
      <c r="L47" s="11" t="n">
        <f aca="false">L34*L36*(1000*Inputs!$F$123/Inputs!$F$124)*L37/1000000</f>
        <v>0</v>
      </c>
      <c r="M47" s="11" t="n">
        <f aca="false">M34*M36*(1000*Inputs!$F$123/Inputs!$F$124)*M37/1000000</f>
        <v>0</v>
      </c>
      <c r="N47" s="11" t="n">
        <f aca="false">N34*N36*(1000*Inputs!$F$123/Inputs!$F$124)*N37/1000000</f>
        <v>0</v>
      </c>
      <c r="O47" s="11" t="n">
        <f aca="false">O34*O36*(1000*Inputs!$F$123/Inputs!$F$124)*O37/1000000</f>
        <v>24.9546275983783</v>
      </c>
      <c r="P47" s="11" t="n">
        <f aca="false">P34*P36*(1000*Inputs!$F$123/Inputs!$F$124)*P37/1000000</f>
        <v>74.8513862445452</v>
      </c>
      <c r="Q47" s="11" t="n">
        <f aca="false">Q34*Q36*(1000*Inputs!$F$123/Inputs!$F$124)*Q37/1000000</f>
        <v>76.0770573788371</v>
      </c>
      <c r="R47" s="11" t="n">
        <f aca="false">R34*R36*(1000*Inputs!$F$123/Inputs!$F$124)*R37/1000000</f>
        <v>75.553644927924</v>
      </c>
      <c r="S47" s="11" t="n">
        <f aca="false">S34*S36*(1000*Inputs!$F$123/Inputs!$F$124)*S37/1000000</f>
        <v>77.302348287402</v>
      </c>
      <c r="T47" s="11" t="n">
        <f aca="false">T34*T36*(1000*Inputs!$F$123/Inputs!$F$124)*T37/1000000</f>
        <v>77.7968285400141</v>
      </c>
      <c r="U47" s="11" t="n">
        <f aca="false">U34*U36*(1000*Inputs!$F$123/Inputs!$F$124)*U37/1000000</f>
        <v>78.4006309391337</v>
      </c>
      <c r="V47" s="11" t="n">
        <f aca="false">V34*V36*(1000*Inputs!$F$123/Inputs!$F$124)*V37/1000000</f>
        <v>76.517196467339</v>
      </c>
      <c r="W47" s="11" t="n">
        <f aca="false">W34*W36*(1000*Inputs!$F$123/Inputs!$F$124)*W37/1000000</f>
        <v>78.9776721089547</v>
      </c>
      <c r="X47" s="11" t="n">
        <f aca="false">X34*X36*(1000*Inputs!$F$123/Inputs!$F$124)*X37/1000000</f>
        <v>80.8571206729624</v>
      </c>
      <c r="Y47" s="11" t="n">
        <f aca="false">Y34*Y36*(1000*Inputs!$F$123/Inputs!$F$124)*Y37/1000000</f>
        <v>82.1805977955198</v>
      </c>
      <c r="Z47" s="11" t="n">
        <f aca="false">Z34*Z36*(1000*Inputs!$F$123/Inputs!$F$124)*Z37/1000000</f>
        <v>81.6146598160697</v>
      </c>
      <c r="AA47" s="11" t="n">
        <f aca="false">AA34*AA36*(1000*Inputs!$F$123/Inputs!$F$124)*AA37/1000000</f>
        <v>83.503100782232</v>
      </c>
      <c r="AB47" s="11" t="n">
        <f aca="false">AB34*AB36*(1000*Inputs!$F$123/Inputs!$F$124)*AB37/1000000</f>
        <v>84.03669578972</v>
      </c>
      <c r="AC47" s="11" t="n">
        <f aca="false">AC34*AC36*(1000*Inputs!$F$123/Inputs!$F$124)*AC37/1000000</f>
        <v>84.0906469378579</v>
      </c>
      <c r="AD47" s="11" t="n">
        <f aca="false">AD34*AD36*(1000*Inputs!$F$123/Inputs!$F$124)*AD37/1000000</f>
        <v>80.8606360595882</v>
      </c>
      <c r="AE47" s="11" t="n">
        <f aca="false">AE34*AE36*(1000*Inputs!$F$123/Inputs!$F$124)*AE37/1000000</f>
        <v>84.0918526356631</v>
      </c>
      <c r="AF47" s="11" t="n">
        <f aca="false">AF34*AF36*(1000*Inputs!$F$123/Inputs!$F$124)*AF37/1000000</f>
        <v>87.3401561943168</v>
      </c>
      <c r="AG47" s="11" t="n">
        <f aca="false">AG34*AG36*(1000*Inputs!$F$123/Inputs!$F$124)*AG37/1000000</f>
        <v>88.7691654924299</v>
      </c>
      <c r="AH47" s="11" t="n">
        <f aca="false">AH34*AH36*(1000*Inputs!$F$123/Inputs!$F$124)*AH37/1000000</f>
        <v>88.1572760407321</v>
      </c>
      <c r="AI47" s="11" t="n">
        <f aca="false">AI34*AI36*(1000*Inputs!$F$123/Inputs!$F$124)*AI37/1000000</f>
        <v>90.1965102970331</v>
      </c>
      <c r="AJ47" s="11" t="n">
        <f aca="false">AJ34*AJ36*(1000*Inputs!$F$123/Inputs!$F$124)*AJ37/1000000</f>
        <v>90.7722797166976</v>
      </c>
      <c r="AK47" s="11" t="n">
        <f aca="false">AK34*AK36*(1000*Inputs!$F$123/Inputs!$F$124)*AK37/1000000</f>
        <v>91.4755870176099</v>
      </c>
      <c r="AL47" s="11" t="n">
        <f aca="false">AL34*AL36*(1000*Inputs!$F$123/Inputs!$F$124)*AL37/1000000</f>
        <v>89.2768770518168</v>
      </c>
      <c r="AM47" s="11" t="n">
        <f aca="false">AM34*AM36*(1000*Inputs!$F$123/Inputs!$F$124)*AM37/1000000</f>
        <v>92.1464393233352</v>
      </c>
      <c r="AN47" s="11" t="n">
        <f aca="false">AN34*AN36*(1000*Inputs!$F$123/Inputs!$F$124)*AN37/1000000</f>
        <v>94.3380263168053</v>
      </c>
      <c r="AO47" s="11" t="n">
        <f aca="false">AO34*AO36*(1000*Inputs!$F$123/Inputs!$F$124)*AO37/1000000</f>
        <v>95.8808973807942</v>
      </c>
      <c r="AP47" s="11" t="n">
        <f aca="false">AP34*AP36*(1000*Inputs!$F$123/Inputs!$F$124)*AP37/1000000</f>
        <v>95.2193570001691</v>
      </c>
      <c r="AQ47" s="11" t="n">
        <f aca="false">AQ34*AQ36*(1000*Inputs!$F$123/Inputs!$F$124)*AQ37/1000000</f>
        <v>97.4213051889137</v>
      </c>
      <c r="AR47" s="11" t="n">
        <f aca="false">AR34*AR36*(1000*Inputs!$F$123/Inputs!$F$124)*AR37/1000000</f>
        <v>98.0425449330926</v>
      </c>
      <c r="AS47" s="11" t="n">
        <f aca="false">AS34*AS36*(1000*Inputs!$F$123/Inputs!$F$124)*AS37/1000000</f>
        <v>98.1041916574511</v>
      </c>
      <c r="AT47" s="11" t="n">
        <f aca="false">AT34*AT36*(1000*Inputs!$F$123/Inputs!$F$124)*AT37/1000000</f>
        <v>94.3346583911719</v>
      </c>
      <c r="AU47" s="11" t="n">
        <f aca="false">AU34*AU36*(1000*Inputs!$F$123/Inputs!$F$124)*AU37/1000000</f>
        <v>98.1030030362282</v>
      </c>
      <c r="AV47" s="11" t="n">
        <f aca="false">AV34*AV36*(1000*Inputs!$F$123/Inputs!$F$124)*AV37/1000000</f>
        <v>101.891180584324</v>
      </c>
      <c r="AW47" s="11" t="n">
        <f aca="false">AW34*AW36*(1000*Inputs!$F$123/Inputs!$F$124)*AW37/1000000</f>
        <v>103.556892911463</v>
      </c>
      <c r="AX47" s="11" t="n">
        <f aca="false">AX34*AX36*(1000*Inputs!$F$123/Inputs!$F$124)*AX37/1000000</f>
        <v>102.841707012067</v>
      </c>
      <c r="AY47" s="11" t="n">
        <f aca="false">AY34*AY36*(1000*Inputs!$F$123/Inputs!$F$124)*AY37/1000000</f>
        <v>105.219221535001</v>
      </c>
      <c r="AZ47" s="11" t="n">
        <f aca="false">AZ34*AZ36*(1000*Inputs!$F$123/Inputs!$F$124)*AZ37/1000000</f>
        <v>105.889481733843</v>
      </c>
      <c r="BA47" s="11" t="n">
        <f aca="false">BA34*BA36*(1000*Inputs!$F$123/Inputs!$F$124)*BA37/1000000</f>
        <v>106.708499021347</v>
      </c>
      <c r="BB47" s="11" t="n">
        <f aca="false">BB34*BB36*(1000*Inputs!$F$123/Inputs!$F$124)*BB37/1000000</f>
        <v>104.142264628721</v>
      </c>
      <c r="BC47" s="11" t="n">
        <f aca="false">BC34*BC36*(1000*Inputs!$F$123/Inputs!$F$124)*BC37/1000000</f>
        <v>107.488202970692</v>
      </c>
      <c r="BD47" s="11" t="n">
        <f aca="false">BD34*BD36*(1000*Inputs!$F$123/Inputs!$F$124)*BD37/1000000</f>
        <v>110.043207925803</v>
      </c>
      <c r="BE47" s="11" t="n">
        <f aca="false">BE34*BE36*(1000*Inputs!$F$123/Inputs!$F$124)*BE37/1000000</f>
        <v>111.8414409517</v>
      </c>
      <c r="BF47" s="11" t="n">
        <f aca="false">BF34*BF36*(1000*Inputs!$F$123/Inputs!$F$124)*BF37/1000000</f>
        <v>111.068296500363</v>
      </c>
      <c r="BG47" s="11" t="n">
        <f aca="false">BG34*BG36*(1000*Inputs!$F$123/Inputs!$F$124)*BG37/1000000</f>
        <v>113.635233399112</v>
      </c>
      <c r="BH47" s="11" t="n">
        <f aca="false">BH34*BH36*(1000*Inputs!$F$123/Inputs!$F$124)*BH37/1000000</f>
        <v>114.358337703189</v>
      </c>
      <c r="BI47" s="11" t="n">
        <f aca="false">BI34*BI36*(1000*Inputs!$F$123/Inputs!$F$124)*BI37/1000000</f>
        <v>114.428712195163</v>
      </c>
      <c r="BJ47" s="11" t="n">
        <f aca="false">BJ34*BJ36*(1000*Inputs!$F$123/Inputs!$F$124)*BJ37/1000000</f>
        <v>110.030455696677</v>
      </c>
      <c r="BK47" s="11" t="n">
        <f aca="false">BK34*BK36*(1000*Inputs!$F$123/Inputs!$F$124)*BK37/1000000</f>
        <v>114.42425972944</v>
      </c>
      <c r="BL47" s="11" t="n">
        <f aca="false">BL34*BL36*(1000*Inputs!$F$123/Inputs!$F$124)*BL37/1000000</f>
        <v>118.841076817823</v>
      </c>
      <c r="BM47" s="11" t="n">
        <f aca="false">BM34*BM36*(1000*Inputs!$F$123/Inputs!$F$124)*BM37/1000000</f>
        <v>80.7923523776842</v>
      </c>
      <c r="BN47" s="11" t="n">
        <f aca="false">BN34*BN36*(1000*Inputs!$F$123/Inputs!$F$124)*BN37/1000000</f>
        <v>0</v>
      </c>
    </row>
    <row r="48" customFormat="false" ht="15" hidden="false" customHeight="false" outlineLevel="0" collapsed="false">
      <c r="D48" s="0" t="s">
        <v>502</v>
      </c>
      <c r="E48" s="0" t="s">
        <v>149</v>
      </c>
      <c r="G48" s="11" t="n">
        <f aca="false">SUM(J48:BN48)</f>
        <v>690.346731956093</v>
      </c>
      <c r="J48" s="11" t="n">
        <f aca="false">Inputs!$F$146*Time!J26*Inputs!$F$147*(1+Inputs!$F$149/100)^(Time!J21-2018)/1000000</f>
        <v>0</v>
      </c>
      <c r="K48" s="11" t="n">
        <f aca="false">Inputs!$F$146*Time!K26*Inputs!$F$147*(1+Inputs!$F$149/100)^(Time!K21-2018)/1000000</f>
        <v>0</v>
      </c>
      <c r="L48" s="11" t="n">
        <f aca="false">Inputs!$F$146*Time!L26*Inputs!$F$147*(1+Inputs!$F$149/100)^(Time!L21-2018)/1000000</f>
        <v>0</v>
      </c>
      <c r="M48" s="11" t="n">
        <f aca="false">Inputs!$F$146*Time!M26*Inputs!$F$147*(1+Inputs!$F$149/100)^(Time!M21-2018)/1000000</f>
        <v>0</v>
      </c>
      <c r="N48" s="11" t="n">
        <f aca="false">Inputs!$F$146*Time!N26*Inputs!$F$147*(1+Inputs!$F$149/100)^(Time!N21-2018)/1000000</f>
        <v>0</v>
      </c>
      <c r="O48" s="11" t="n">
        <f aca="false">Inputs!$F$146*Time!O26*Inputs!$F$147*(1+Inputs!$F$149/100)^(Time!O21-2018)/1000000</f>
        <v>3.81633916775125</v>
      </c>
      <c r="P48" s="11" t="n">
        <f aca="false">Inputs!$F$146*Time!P26*Inputs!$F$147*(1+Inputs!$F$149/100)^(Time!P21-2018)/1000000</f>
        <v>11.51158044043</v>
      </c>
      <c r="Q48" s="11" t="n">
        <f aca="false">Inputs!$F$146*Time!Q26*Inputs!$F$147*(1+Inputs!$F$149/100)^(Time!Q21-2018)/1000000</f>
        <v>11.4937500033348</v>
      </c>
      <c r="R48" s="11" t="n">
        <f aca="false">Inputs!$F$146*Time!R26*Inputs!$F$147*(1+Inputs!$F$149/100)^(Time!R21-2018)/1000000</f>
        <v>11.6842541470364</v>
      </c>
      <c r="S48" s="11" t="n">
        <f aca="false">Inputs!$F$146*Time!S26*Inputs!$F$147*(1+Inputs!$F$149/100)^(Time!S21-2018)/1000000</f>
        <v>11.6661562533848</v>
      </c>
      <c r="T48" s="11" t="n">
        <f aca="false">Inputs!$F$146*Time!T26*Inputs!$F$147*(1+Inputs!$F$149/100)^(Time!T21-2018)/1000000</f>
        <v>11.859517959242</v>
      </c>
      <c r="U48" s="11" t="n">
        <f aca="false">Inputs!$F$146*Time!U26*Inputs!$F$147*(1+Inputs!$F$149/100)^(Time!U21-2018)/1000000</f>
        <v>11.9065693076672</v>
      </c>
      <c r="V48" s="11" t="n">
        <f aca="false">Inputs!$F$146*Time!V26*Inputs!$F$147*(1+Inputs!$F$149/100)^(Time!V21-2018)/1000000</f>
        <v>12.0374107286306</v>
      </c>
      <c r="W48" s="11" t="n">
        <f aca="false">Inputs!$F$146*Time!W26*Inputs!$F$147*(1+Inputs!$F$149/100)^(Time!W21-2018)/1000000</f>
        <v>12.0187658261433</v>
      </c>
      <c r="X48" s="11" t="n">
        <f aca="false">Inputs!$F$146*Time!X26*Inputs!$F$147*(1+Inputs!$F$149/100)^(Time!X21-2018)/1000000</f>
        <v>12.2179718895601</v>
      </c>
      <c r="Y48" s="11" t="n">
        <f aca="false">Inputs!$F$146*Time!Y26*Inputs!$F$147*(1+Inputs!$F$149/100)^(Time!Y21-2018)/1000000</f>
        <v>12.1990473135355</v>
      </c>
      <c r="Z48" s="11" t="n">
        <f aca="false">Inputs!$F$146*Time!Z26*Inputs!$F$147*(1+Inputs!$F$149/100)^(Time!Z21-2018)/1000000</f>
        <v>12.4012414679035</v>
      </c>
      <c r="AA48" s="11" t="n">
        <f aca="false">Inputs!$F$146*Time!AA26*Inputs!$F$147*(1+Inputs!$F$149/100)^(Time!AA21-2018)/1000000</f>
        <v>12.3820330232385</v>
      </c>
      <c r="AB48" s="11" t="n">
        <f aca="false">Inputs!$F$146*Time!AB26*Inputs!$F$147*(1+Inputs!$F$149/100)^(Time!AB21-2018)/1000000</f>
        <v>12.587260089922</v>
      </c>
      <c r="AC48" s="11" t="n">
        <f aca="false">Inputs!$F$146*Time!AC26*Inputs!$F$147*(1+Inputs!$F$149/100)^(Time!AC21-2018)/1000000</f>
        <v>12.6371986761484</v>
      </c>
      <c r="AD48" s="11" t="n">
        <f aca="false">Inputs!$F$146*Time!AD26*Inputs!$F$147*(1+Inputs!$F$149/100)^(Time!AD21-2018)/1000000</f>
        <v>12.7760689912709</v>
      </c>
      <c r="AE48" s="11" t="n">
        <f aca="false">Inputs!$F$146*Time!AE26*Inputs!$F$147*(1+Inputs!$F$149/100)^(Time!AE21-2018)/1000000</f>
        <v>12.7562799713659</v>
      </c>
      <c r="AF48" s="11" t="n">
        <f aca="false">Inputs!$F$146*Time!AF26*Inputs!$F$147*(1+Inputs!$F$149/100)^(Time!AF21-2018)/1000000</f>
        <v>12.9677100261399</v>
      </c>
      <c r="AG48" s="11" t="n">
        <f aca="false">Inputs!$F$146*Time!AG26*Inputs!$F$147*(1+Inputs!$F$149/100)^(Time!AG21-2018)/1000000</f>
        <v>12.9476241709364</v>
      </c>
      <c r="AH48" s="11" t="n">
        <f aca="false">Inputs!$F$146*Time!AH26*Inputs!$F$147*(1+Inputs!$F$149/100)^(Time!AH21-2018)/1000000</f>
        <v>13.162225676532</v>
      </c>
      <c r="AI48" s="11" t="n">
        <f aca="false">Inputs!$F$146*Time!AI26*Inputs!$F$147*(1+Inputs!$F$149/100)^(Time!AI21-2018)/1000000</f>
        <v>13.1418385335004</v>
      </c>
      <c r="AJ48" s="11" t="n">
        <f aca="false">Inputs!$F$146*Time!AJ26*Inputs!$F$147*(1+Inputs!$F$149/100)^(Time!AJ21-2018)/1000000</f>
        <v>13.35965906168</v>
      </c>
      <c r="AK48" s="11" t="n">
        <f aca="false">Inputs!$F$146*Time!AK26*Inputs!$F$147*(1+Inputs!$F$149/100)^(Time!AK21-2018)/1000000</f>
        <v>13.4126620568704</v>
      </c>
      <c r="AL48" s="11" t="n">
        <f aca="false">Inputs!$F$146*Time!AL26*Inputs!$F$147*(1+Inputs!$F$149/100)^(Time!AL21-2018)/1000000</f>
        <v>13.5600539476052</v>
      </c>
      <c r="AM48" s="11" t="n">
        <f aca="false">Inputs!$F$146*Time!AM26*Inputs!$F$147*(1+Inputs!$F$149/100)^(Time!AM21-2018)/1000000</f>
        <v>13.5390506031755</v>
      </c>
      <c r="AN48" s="11" t="n">
        <f aca="false">Inputs!$F$146*Time!AN26*Inputs!$F$147*(1+Inputs!$F$149/100)^(Time!AN21-2018)/1000000</f>
        <v>13.7634547568193</v>
      </c>
      <c r="AO48" s="11" t="n">
        <f aca="false">Inputs!$F$146*Time!AO26*Inputs!$F$147*(1+Inputs!$F$149/100)^(Time!AO21-2018)/1000000</f>
        <v>13.7421363622231</v>
      </c>
      <c r="AP48" s="11" t="n">
        <f aca="false">Inputs!$F$146*Time!AP26*Inputs!$F$147*(1+Inputs!$F$149/100)^(Time!AP21-2018)/1000000</f>
        <v>13.9699065781716</v>
      </c>
      <c r="AQ48" s="11" t="n">
        <f aca="false">Inputs!$F$146*Time!AQ26*Inputs!$F$147*(1+Inputs!$F$149/100)^(Time!AQ21-2018)/1000000</f>
        <v>13.9482684076565</v>
      </c>
      <c r="AR48" s="11" t="n">
        <f aca="false">Inputs!$F$146*Time!AR26*Inputs!$F$147*(1+Inputs!$F$149/100)^(Time!AR21-2018)/1000000</f>
        <v>14.1794551768441</v>
      </c>
      <c r="AS48" s="11" t="n">
        <f aca="false">Inputs!$F$146*Time!AS26*Inputs!$F$147*(1+Inputs!$F$149/100)^(Time!AS21-2018)/1000000</f>
        <v>14.2357106240131</v>
      </c>
      <c r="AT48" s="11" t="n">
        <f aca="false">Inputs!$F$146*Time!AT26*Inputs!$F$147*(1+Inputs!$F$149/100)^(Time!AT21-2018)/1000000</f>
        <v>14.3921470044968</v>
      </c>
      <c r="AU48" s="11" t="n">
        <f aca="false">Inputs!$F$146*Time!AU26*Inputs!$F$147*(1+Inputs!$F$149/100)^(Time!AU21-2018)/1000000</f>
        <v>14.3698548202779</v>
      </c>
      <c r="AV48" s="11" t="n">
        <f aca="false">Inputs!$F$146*Time!AV26*Inputs!$F$147*(1+Inputs!$F$149/100)^(Time!AV21-2018)/1000000</f>
        <v>14.6080292095642</v>
      </c>
      <c r="AW48" s="11" t="n">
        <f aca="false">Inputs!$F$146*Time!AW26*Inputs!$F$147*(1+Inputs!$F$149/100)^(Time!AW21-2018)/1000000</f>
        <v>14.585402642582</v>
      </c>
      <c r="AX48" s="11" t="n">
        <f aca="false">Inputs!$F$146*Time!AX26*Inputs!$F$147*(1+Inputs!$F$149/100)^(Time!AX21-2018)/1000000</f>
        <v>14.8271496477077</v>
      </c>
      <c r="AY48" s="11" t="n">
        <f aca="false">Inputs!$F$146*Time!AY26*Inputs!$F$147*(1+Inputs!$F$149/100)^(Time!AY21-2018)/1000000</f>
        <v>14.8041836822208</v>
      </c>
      <c r="AZ48" s="11" t="n">
        <f aca="false">Inputs!$F$146*Time!AZ26*Inputs!$F$147*(1+Inputs!$F$149/100)^(Time!AZ21-2018)/1000000</f>
        <v>15.0495568924233</v>
      </c>
      <c r="BA48" s="11" t="n">
        <f aca="false">Inputs!$F$146*Time!BA26*Inputs!$F$147*(1+Inputs!$F$149/100)^(Time!BA21-2018)/1000000</f>
        <v>15.1092643735726</v>
      </c>
      <c r="BB48" s="11" t="n">
        <f aca="false">Inputs!$F$146*Time!BB26*Inputs!$F$147*(1+Inputs!$F$149/100)^(Time!BB21-2018)/1000000</f>
        <v>15.2753002458097</v>
      </c>
      <c r="BC48" s="11" t="n">
        <f aca="false">Inputs!$F$146*Time!BC26*Inputs!$F$147*(1+Inputs!$F$149/100)^(Time!BC21-2018)/1000000</f>
        <v>15.2516401340159</v>
      </c>
      <c r="BD48" s="11" t="n">
        <f aca="false">Inputs!$F$146*Time!BD26*Inputs!$F$147*(1+Inputs!$F$149/100)^(Time!BD21-2018)/1000000</f>
        <v>15.5044297494968</v>
      </c>
      <c r="BE48" s="11" t="n">
        <f aca="false">Inputs!$F$146*Time!BE26*Inputs!$F$147*(1+Inputs!$F$149/100)^(Time!BE21-2018)/1000000</f>
        <v>15.4804147360261</v>
      </c>
      <c r="BF48" s="11" t="n">
        <f aca="false">Inputs!$F$146*Time!BF26*Inputs!$F$147*(1+Inputs!$F$149/100)^(Time!BF21-2018)/1000000</f>
        <v>15.7369961957393</v>
      </c>
      <c r="BG48" s="11" t="n">
        <f aca="false">Inputs!$F$146*Time!BG26*Inputs!$F$147*(1+Inputs!$F$149/100)^(Time!BG21-2018)/1000000</f>
        <v>15.7126209570665</v>
      </c>
      <c r="BH48" s="11" t="n">
        <f aca="false">Inputs!$F$146*Time!BH26*Inputs!$F$147*(1+Inputs!$F$149/100)^(Time!BH21-2018)/1000000</f>
        <v>15.9730511386753</v>
      </c>
      <c r="BI48" s="11" t="n">
        <f aca="false">Inputs!$F$146*Time!BI26*Inputs!$F$147*(1+Inputs!$F$149/100)^(Time!BI21-2018)/1000000</f>
        <v>16.0364224828668</v>
      </c>
      <c r="BJ48" s="11" t="n">
        <f aca="false">Inputs!$F$146*Time!BJ26*Inputs!$F$147*(1+Inputs!$F$149/100)^(Time!BJ21-2018)/1000000</f>
        <v>16.2126469057555</v>
      </c>
      <c r="BK48" s="11" t="n">
        <f aca="false">Inputs!$F$146*Time!BK26*Inputs!$F$147*(1+Inputs!$F$149/100)^(Time!BK21-2018)/1000000</f>
        <v>16.1875349254938</v>
      </c>
      <c r="BL48" s="11" t="n">
        <f aca="false">Inputs!$F$146*Time!BL26*Inputs!$F$147*(1+Inputs!$F$149/100)^(Time!BL21-2018)/1000000</f>
        <v>16.4558366093418</v>
      </c>
      <c r="BM48" s="11" t="n">
        <f aca="false">Inputs!$F$146*Time!BM26*Inputs!$F$147*(1+Inputs!$F$149/100)^(Time!BM21-2018)/1000000</f>
        <v>10.8930483642273</v>
      </c>
      <c r="BN48" s="11" t="n">
        <f aca="false">Inputs!$F$146*Time!BN26*Inputs!$F$147*(1+Inputs!$F$149/100)^(Time!BN21-2018)/1000000</f>
        <v>0</v>
      </c>
    </row>
    <row r="49" customFormat="false" ht="15" hidden="false" customHeight="false" outlineLevel="0" collapsed="false">
      <c r="D49" s="0" t="s">
        <v>503</v>
      </c>
      <c r="E49" s="0" t="s">
        <v>149</v>
      </c>
      <c r="G49" s="11" t="n">
        <f aca="false">SUM(J49:BN49)</f>
        <v>141.684092682669</v>
      </c>
      <c r="J49" s="11" t="n">
        <f aca="false">J38*Inputs!$F$148*(1+Inputs!$F$149/100)^(Time!J21-2018)/1000000</f>
        <v>0</v>
      </c>
      <c r="K49" s="11" t="n">
        <f aca="false">K38*Inputs!$F$148*(1+Inputs!$F$149/100)^(Time!K21-2018)/1000000</f>
        <v>0</v>
      </c>
      <c r="L49" s="11" t="n">
        <f aca="false">L38*Inputs!$F$148*(1+Inputs!$F$149/100)^(Time!L21-2018)/1000000</f>
        <v>0</v>
      </c>
      <c r="M49" s="11" t="n">
        <f aca="false">M38*Inputs!$F$148*(1+Inputs!$F$149/100)^(Time!M21-2018)/1000000</f>
        <v>0</v>
      </c>
      <c r="N49" s="11" t="n">
        <f aca="false">N38*Inputs!$F$148*(1+Inputs!$F$149/100)^(Time!N21-2018)/1000000</f>
        <v>0</v>
      </c>
      <c r="O49" s="11" t="n">
        <f aca="false">O38*Inputs!$F$148*(1+Inputs!$F$149/100)^(Time!O21-2018)/1000000</f>
        <v>0.795779929007636</v>
      </c>
      <c r="P49" s="11" t="n">
        <f aca="false">P38*Inputs!$F$148*(1+Inputs!$F$149/100)^(Time!P21-2018)/1000000</f>
        <v>2.38710033085287</v>
      </c>
      <c r="Q49" s="11" t="n">
        <f aca="false">Q38*Inputs!$F$148*(1+Inputs!$F$149/100)^(Time!Q21-2018)/1000000</f>
        <v>2.41453645812992</v>
      </c>
      <c r="R49" s="11" t="n">
        <f aca="false">R38*Inputs!$F$148*(1+Inputs!$F$149/100)^(Time!R21-2018)/1000000</f>
        <v>2.39816356452574</v>
      </c>
      <c r="S49" s="11" t="n">
        <f aca="false">S38*Inputs!$F$148*(1+Inputs!$F$149/100)^(Time!S21-2018)/1000000</f>
        <v>2.4418850042396</v>
      </c>
      <c r="T49" s="11" t="n">
        <f aca="false">T38*Inputs!$F$148*(1+Inputs!$F$149/100)^(Time!T21-2018)/1000000</f>
        <v>2.45774961566357</v>
      </c>
      <c r="U49" s="11" t="n">
        <f aca="false">U38*Inputs!$F$148*(1+Inputs!$F$149/100)^(Time!U21-2018)/1000000</f>
        <v>2.46492862311377</v>
      </c>
      <c r="V49" s="11" t="n">
        <f aca="false">V38*Inputs!$F$148*(1+Inputs!$F$149/100)^(Time!V21-2018)/1000000</f>
        <v>2.40595205210509</v>
      </c>
      <c r="W49" s="11" t="n">
        <f aca="false">W38*Inputs!$F$148*(1+Inputs!$F$149/100)^(Time!W21-2018)/1000000</f>
        <v>2.47138951040406</v>
      </c>
      <c r="X49" s="11" t="n">
        <f aca="false">X38*Inputs!$F$148*(1+Inputs!$F$149/100)^(Time!X21-2018)/1000000</f>
        <v>2.530452424599</v>
      </c>
      <c r="Y49" s="11" t="n">
        <f aca="false">Y38*Inputs!$F$148*(1+Inputs!$F$149/100)^(Time!Y21-2018)/1000000</f>
        <v>2.55951723333875</v>
      </c>
      <c r="Z49" s="11" t="n">
        <f aca="false">Z38*Inputs!$F$148*(1+Inputs!$F$149/100)^(Time!Z21-2018)/1000000</f>
        <v>2.5421424144301</v>
      </c>
      <c r="AA49" s="11" t="n">
        <f aca="false">AA38*Inputs!$F$148*(1+Inputs!$F$149/100)^(Time!AA21-2018)/1000000</f>
        <v>2.58846959661132</v>
      </c>
      <c r="AB49" s="11" t="n">
        <f aca="false">AB38*Inputs!$F$148*(1+Inputs!$F$149/100)^(Time!AB21-2018)/1000000</f>
        <v>2.60526724864008</v>
      </c>
      <c r="AC49" s="11" t="n">
        <f aca="false">AC38*Inputs!$F$148*(1+Inputs!$F$149/100)^(Time!AC21-2018)/1000000</f>
        <v>2.59441636621006</v>
      </c>
      <c r="AD49" s="11" t="n">
        <f aca="false">AD38*Inputs!$F$148*(1+Inputs!$F$149/100)^(Time!AD21-2018)/1000000</f>
        <v>2.49500768476887</v>
      </c>
      <c r="AE49" s="11" t="n">
        <f aca="false">AE38*Inputs!$F$148*(1+Inputs!$F$149/100)^(Time!AE21-2018)/1000000</f>
        <v>2.58224372997939</v>
      </c>
      <c r="AF49" s="11" t="n">
        <f aca="false">AF38*Inputs!$F$148*(1+Inputs!$F$149/100)^(Time!AF21-2018)/1000000</f>
        <v>2.68225420521552</v>
      </c>
      <c r="AG49" s="11" t="n">
        <f aca="false">AG38*Inputs!$F$148*(1+Inputs!$F$149/100)^(Time!AG21-2018)/1000000</f>
        <v>2.71304246429667</v>
      </c>
      <c r="AH49" s="11" t="n">
        <f aca="false">AH38*Inputs!$F$148*(1+Inputs!$F$149/100)^(Time!AH21-2018)/1000000</f>
        <v>2.6946054475666</v>
      </c>
      <c r="AI49" s="11" t="n">
        <f aca="false">AI38*Inputs!$F$148*(1+Inputs!$F$149/100)^(Time!AI21-2018)/1000000</f>
        <v>2.74369067260323</v>
      </c>
      <c r="AJ49" s="11" t="n">
        <f aca="false">AJ38*Inputs!$F$148*(1+Inputs!$F$149/100)^(Time!AJ21-2018)/1000000</f>
        <v>2.76147508207859</v>
      </c>
      <c r="AK49" s="11" t="n">
        <f aca="false">AK38*Inputs!$F$148*(1+Inputs!$F$149/100)^(Time!AK21-2018)/1000000</f>
        <v>2.769500128527</v>
      </c>
      <c r="AL49" s="11" t="n">
        <f aca="false">AL38*Inputs!$F$148*(1+Inputs!$F$149/100)^(Time!AL21-2018)/1000000</f>
        <v>2.70319612660434</v>
      </c>
      <c r="AM49" s="11" t="n">
        <f aca="false">AM38*Inputs!$F$148*(1+Inputs!$F$149/100)^(Time!AM21-2018)/1000000</f>
        <v>2.77667679556649</v>
      </c>
      <c r="AN49" s="11" t="n">
        <f aca="false">AN38*Inputs!$F$148*(1+Inputs!$F$149/100)^(Time!AN21-2018)/1000000</f>
        <v>2.84299338231999</v>
      </c>
      <c r="AO49" s="11" t="n">
        <f aca="false">AO38*Inputs!$F$148*(1+Inputs!$F$149/100)^(Time!AO21-2018)/1000000</f>
        <v>2.87560524784634</v>
      </c>
      <c r="AP49" s="11" t="n">
        <f aca="false">AP38*Inputs!$F$148*(1+Inputs!$F$149/100)^(Time!AP21-2018)/1000000</f>
        <v>2.85604220019722</v>
      </c>
      <c r="AQ49" s="11" t="n">
        <f aca="false">AQ38*Inputs!$F$148*(1+Inputs!$F$149/100)^(Time!AQ21-2018)/1000000</f>
        <v>2.90804647233088</v>
      </c>
      <c r="AR49" s="11" t="n">
        <f aca="false">AR38*Inputs!$F$148*(1+Inputs!$F$149/100)^(Time!AR21-2018)/1000000</f>
        <v>2.92687437054437</v>
      </c>
      <c r="AS49" s="11" t="n">
        <f aca="false">AS38*Inputs!$F$148*(1+Inputs!$F$149/100)^(Time!AS21-2018)/1000000</f>
        <v>2.91464054119095</v>
      </c>
      <c r="AT49" s="11" t="n">
        <f aca="false">AT38*Inputs!$F$148*(1+Inputs!$F$149/100)^(Time!AT21-2018)/1000000</f>
        <v>2.80292020847242</v>
      </c>
      <c r="AU49" s="11" t="n">
        <f aca="false">AU38*Inputs!$F$148*(1+Inputs!$F$149/100)^(Time!AU21-2018)/1000000</f>
        <v>2.90087888197887</v>
      </c>
      <c r="AV49" s="11" t="n">
        <f aca="false">AV38*Inputs!$F$148*(1+Inputs!$F$149/100)^(Time!AV21-2018)/1000000</f>
        <v>3.01318512023893</v>
      </c>
      <c r="AW49" s="11" t="n">
        <f aca="false">AW38*Inputs!$F$148*(1+Inputs!$F$149/100)^(Time!AW21-2018)/1000000</f>
        <v>3.04772643305362</v>
      </c>
      <c r="AX49" s="11" t="n">
        <f aca="false">AX38*Inputs!$F$148*(1+Inputs!$F$149/100)^(Time!AX21-2018)/1000000</f>
        <v>3.02696975469488</v>
      </c>
      <c r="AY49" s="11" t="n">
        <f aca="false">AY38*Inputs!$F$148*(1+Inputs!$F$149/100)^(Time!AY21-2018)/1000000</f>
        <v>3.08206326595635</v>
      </c>
      <c r="AZ49" s="11" t="n">
        <f aca="false">AZ38*Inputs!$F$148*(1+Inputs!$F$149/100)^(Time!AZ21-2018)/1000000</f>
        <v>3.10199456236292</v>
      </c>
      <c r="BA49" s="11" t="n">
        <f aca="false">BA38*Inputs!$F$148*(1+Inputs!$F$149/100)^(Time!BA21-2018)/1000000</f>
        <v>3.1109626040794</v>
      </c>
      <c r="BB49" s="11" t="n">
        <f aca="false">BB38*Inputs!$F$148*(1+Inputs!$F$149/100)^(Time!BB21-2018)/1000000</f>
        <v>3.03643823594435</v>
      </c>
      <c r="BC49" s="11" t="n">
        <f aca="false">BC38*Inputs!$F$148*(1+Inputs!$F$149/100)^(Time!BC21-2018)/1000000</f>
        <v>3.11893063910354</v>
      </c>
      <c r="BD49" s="11" t="n">
        <f aca="false">BD38*Inputs!$F$148*(1+Inputs!$F$149/100)^(Time!BD21-2018)/1000000</f>
        <v>3.19337353518747</v>
      </c>
      <c r="BE49" s="11" t="n">
        <f aca="false">BE38*Inputs!$F$148*(1+Inputs!$F$149/100)^(Time!BE21-2018)/1000000</f>
        <v>3.22995613419786</v>
      </c>
      <c r="BF49" s="11" t="n">
        <f aca="false">BF38*Inputs!$F$148*(1+Inputs!$F$149/100)^(Time!BF21-2018)/1000000</f>
        <v>3.20793424088564</v>
      </c>
      <c r="BG49" s="11" t="n">
        <f aca="false">BG38*Inputs!$F$148*(1+Inputs!$F$149/100)^(Time!BG21-2018)/1000000</f>
        <v>3.26629688098676</v>
      </c>
      <c r="BH49" s="11" t="n">
        <f aca="false">BH38*Inputs!$F$148*(1+Inputs!$F$149/100)^(Time!BH21-2018)/1000000</f>
        <v>3.28739483541614</v>
      </c>
      <c r="BI49" s="11" t="n">
        <f aca="false">BI38*Inputs!$F$148*(1+Inputs!$F$149/100)^(Time!BI21-2018)/1000000</f>
        <v>3.2736048677319</v>
      </c>
      <c r="BJ49" s="11" t="n">
        <f aca="false">BJ38*Inputs!$F$148*(1+Inputs!$F$149/100)^(Time!BJ21-2018)/1000000</f>
        <v>3.1480778027554</v>
      </c>
      <c r="BK49" s="11" t="n">
        <f aca="false">BK38*Inputs!$F$148*(1+Inputs!$F$149/100)^(Time!BK21-2018)/1000000</f>
        <v>3.25805027189258</v>
      </c>
      <c r="BL49" s="11" t="n">
        <f aca="false">BL38*Inputs!$F$148*(1+Inputs!$F$149/100)^(Time!BL21-2018)/1000000</f>
        <v>3.38413327061677</v>
      </c>
      <c r="BM49" s="11" t="n">
        <f aca="false">BM38*Inputs!$F$148*(1+Inputs!$F$149/100)^(Time!BM21-2018)/1000000</f>
        <v>2.28955621360548</v>
      </c>
      <c r="BN49" s="11" t="n">
        <f aca="false">BN38*Inputs!$F$148*(1+Inputs!$F$149/100)^(Time!BN21-2018)/1000000</f>
        <v>0</v>
      </c>
    </row>
    <row r="50" customFormat="false" ht="15" hidden="false" customHeight="false" outlineLevel="0" collapsed="false">
      <c r="D50" s="0" t="s">
        <v>504</v>
      </c>
      <c r="E50" s="0" t="s">
        <v>149</v>
      </c>
      <c r="G50" s="11" t="n">
        <f aca="false">SUM(J50:BN50)</f>
        <v>0</v>
      </c>
      <c r="J50" s="11" t="n">
        <f aca="false">MAX(0,J39-J38)*J37/1000000</f>
        <v>0</v>
      </c>
      <c r="K50" s="11" t="n">
        <f aca="false">MAX(0,K39-K38)*K37/1000000</f>
        <v>0</v>
      </c>
      <c r="L50" s="11" t="n">
        <f aca="false">MAX(0,L39-L38)*L37/1000000</f>
        <v>0</v>
      </c>
      <c r="M50" s="11" t="n">
        <f aca="false">MAX(0,M39-M38)*M37/1000000</f>
        <v>0</v>
      </c>
      <c r="N50" s="11" t="n">
        <f aca="false">MAX(0,N39-N38)*N37/1000000</f>
        <v>0</v>
      </c>
      <c r="O50" s="11" t="n">
        <f aca="false">MAX(0,O39-O38)*O37/1000000</f>
        <v>0</v>
      </c>
      <c r="P50" s="11" t="n">
        <f aca="false">MAX(0,P39-P38)*P37/1000000</f>
        <v>0</v>
      </c>
      <c r="Q50" s="11" t="n">
        <f aca="false">MAX(0,Q39-Q38)*Q37/1000000</f>
        <v>0</v>
      </c>
      <c r="R50" s="11" t="n">
        <f aca="false">MAX(0,R39-R38)*R37/1000000</f>
        <v>0</v>
      </c>
      <c r="S50" s="11" t="n">
        <f aca="false">MAX(0,S39-S38)*S37/1000000</f>
        <v>0</v>
      </c>
      <c r="T50" s="11" t="n">
        <f aca="false">MAX(0,T39-T38)*T37/1000000</f>
        <v>0</v>
      </c>
      <c r="U50" s="11" t="n">
        <f aca="false">MAX(0,U39-U38)*U37/1000000</f>
        <v>0</v>
      </c>
      <c r="V50" s="11" t="n">
        <f aca="false">MAX(0,V39-V38)*V37/1000000</f>
        <v>0</v>
      </c>
      <c r="W50" s="11" t="n">
        <f aca="false">MAX(0,W39-W38)*W37/1000000</f>
        <v>0</v>
      </c>
      <c r="X50" s="11" t="n">
        <f aca="false">MAX(0,X39-X38)*X37/1000000</f>
        <v>0</v>
      </c>
      <c r="Y50" s="11" t="n">
        <f aca="false">MAX(0,Y39-Y38)*Y37/1000000</f>
        <v>0</v>
      </c>
      <c r="Z50" s="11" t="n">
        <f aca="false">MAX(0,Z39-Z38)*Z37/1000000</f>
        <v>0</v>
      </c>
      <c r="AA50" s="11" t="n">
        <f aca="false">MAX(0,AA39-AA38)*AA37/1000000</f>
        <v>0</v>
      </c>
      <c r="AB50" s="11" t="n">
        <f aca="false">MAX(0,AB39-AB38)*AB37/1000000</f>
        <v>0</v>
      </c>
      <c r="AC50" s="11" t="n">
        <f aca="false">MAX(0,AC39-AC38)*AC37/1000000</f>
        <v>0</v>
      </c>
      <c r="AD50" s="11" t="n">
        <f aca="false">MAX(0,AD39-AD38)*AD37/1000000</f>
        <v>0</v>
      </c>
      <c r="AE50" s="11" t="n">
        <f aca="false">MAX(0,AE39-AE38)*AE37/1000000</f>
        <v>0</v>
      </c>
      <c r="AF50" s="11" t="n">
        <f aca="false">MAX(0,AF39-AF38)*AF37/1000000</f>
        <v>0</v>
      </c>
      <c r="AG50" s="11" t="n">
        <f aca="false">MAX(0,AG39-AG38)*AG37/1000000</f>
        <v>0</v>
      </c>
      <c r="AH50" s="11" t="n">
        <f aca="false">MAX(0,AH39-AH38)*AH37/1000000</f>
        <v>0</v>
      </c>
      <c r="AI50" s="11" t="n">
        <f aca="false">MAX(0,AI39-AI38)*AI37/1000000</f>
        <v>0</v>
      </c>
      <c r="AJ50" s="11" t="n">
        <f aca="false">MAX(0,AJ39-AJ38)*AJ37/1000000</f>
        <v>0</v>
      </c>
      <c r="AK50" s="11" t="n">
        <f aca="false">MAX(0,AK39-AK38)*AK37/1000000</f>
        <v>0</v>
      </c>
      <c r="AL50" s="11" t="n">
        <f aca="false">MAX(0,AL39-AL38)*AL37/1000000</f>
        <v>0</v>
      </c>
      <c r="AM50" s="11" t="n">
        <f aca="false">MAX(0,AM39-AM38)*AM37/1000000</f>
        <v>0</v>
      </c>
      <c r="AN50" s="11" t="n">
        <f aca="false">MAX(0,AN39-AN38)*AN37/1000000</f>
        <v>0</v>
      </c>
      <c r="AO50" s="11" t="n">
        <f aca="false">MAX(0,AO39-AO38)*AO37/1000000</f>
        <v>0</v>
      </c>
      <c r="AP50" s="11" t="n">
        <f aca="false">MAX(0,AP39-AP38)*AP37/1000000</f>
        <v>0</v>
      </c>
      <c r="AQ50" s="11" t="n">
        <f aca="false">MAX(0,AQ39-AQ38)*AQ37/1000000</f>
        <v>0</v>
      </c>
      <c r="AR50" s="11" t="n">
        <f aca="false">MAX(0,AR39-AR38)*AR37/1000000</f>
        <v>0</v>
      </c>
      <c r="AS50" s="11" t="n">
        <f aca="false">MAX(0,AS39-AS38)*AS37/1000000</f>
        <v>0</v>
      </c>
      <c r="AT50" s="11" t="n">
        <f aca="false">MAX(0,AT39-AT38)*AT37/1000000</f>
        <v>0</v>
      </c>
      <c r="AU50" s="11" t="n">
        <f aca="false">MAX(0,AU39-AU38)*AU37/1000000</f>
        <v>0</v>
      </c>
      <c r="AV50" s="11" t="n">
        <f aca="false">MAX(0,AV39-AV38)*AV37/1000000</f>
        <v>0</v>
      </c>
      <c r="AW50" s="11" t="n">
        <f aca="false">MAX(0,AW39-AW38)*AW37/1000000</f>
        <v>0</v>
      </c>
      <c r="AX50" s="11" t="n">
        <f aca="false">MAX(0,AX39-AX38)*AX37/1000000</f>
        <v>0</v>
      </c>
      <c r="AY50" s="11" t="n">
        <f aca="false">MAX(0,AY39-AY38)*AY37/1000000</f>
        <v>0</v>
      </c>
      <c r="AZ50" s="11" t="n">
        <f aca="false">MAX(0,AZ39-AZ38)*AZ37/1000000</f>
        <v>0</v>
      </c>
      <c r="BA50" s="11" t="n">
        <f aca="false">MAX(0,BA39-BA38)*BA37/1000000</f>
        <v>0</v>
      </c>
      <c r="BB50" s="11" t="n">
        <f aca="false">MAX(0,BB39-BB38)*BB37/1000000</f>
        <v>0</v>
      </c>
      <c r="BC50" s="11" t="n">
        <f aca="false">MAX(0,BC39-BC38)*BC37/1000000</f>
        <v>0</v>
      </c>
      <c r="BD50" s="11" t="n">
        <f aca="false">MAX(0,BD39-BD38)*BD37/1000000</f>
        <v>0</v>
      </c>
      <c r="BE50" s="11" t="n">
        <f aca="false">MAX(0,BE39-BE38)*BE37/1000000</f>
        <v>0</v>
      </c>
      <c r="BF50" s="11" t="n">
        <f aca="false">MAX(0,BF39-BF38)*BF37/1000000</f>
        <v>0</v>
      </c>
      <c r="BG50" s="11" t="n">
        <f aca="false">MAX(0,BG39-BG38)*BG37/1000000</f>
        <v>0</v>
      </c>
      <c r="BH50" s="11" t="n">
        <f aca="false">MAX(0,BH39-BH38)*BH37/1000000</f>
        <v>0</v>
      </c>
      <c r="BI50" s="11" t="n">
        <f aca="false">MAX(0,BI39-BI38)*BI37/1000000</f>
        <v>0</v>
      </c>
      <c r="BJ50" s="11" t="n">
        <f aca="false">MAX(0,BJ39-BJ38)*BJ37/1000000</f>
        <v>0</v>
      </c>
      <c r="BK50" s="11" t="n">
        <f aca="false">MAX(0,BK39-BK38)*BK37/1000000</f>
        <v>0</v>
      </c>
      <c r="BL50" s="11" t="n">
        <f aca="false">MAX(0,BL39-BL38)*BL37/1000000</f>
        <v>0</v>
      </c>
      <c r="BM50" s="11" t="n">
        <f aca="false">MAX(0,BM39-BM38)*BM37/1000000</f>
        <v>0</v>
      </c>
      <c r="BN50" s="11" t="n">
        <f aca="false">MAX(0,BN39-BN38)*BN37/1000000</f>
        <v>0</v>
      </c>
    </row>
    <row r="51" customFormat="false" ht="15" hidden="false" customHeight="false" outlineLevel="0" collapsed="false">
      <c r="D51" s="0" t="s">
        <v>505</v>
      </c>
      <c r="E51" s="0" t="s">
        <v>149</v>
      </c>
      <c r="G51" s="11" t="n">
        <f aca="false">SUM(J51:BN51)</f>
        <v>3780.77281867853</v>
      </c>
      <c r="J51" s="11" t="n">
        <f aca="false">J44+J46</f>
        <v>0</v>
      </c>
      <c r="K51" s="11" t="n">
        <f aca="false">K44+K46</f>
        <v>0</v>
      </c>
      <c r="L51" s="11" t="n">
        <f aca="false">L44+L46</f>
        <v>0</v>
      </c>
      <c r="M51" s="11" t="n">
        <f aca="false">M44+M46</f>
        <v>0</v>
      </c>
      <c r="N51" s="11" t="n">
        <f aca="false">N44+N46</f>
        <v>0</v>
      </c>
      <c r="O51" s="11" t="n">
        <f aca="false">O44+O46</f>
        <v>22.5146638919461</v>
      </c>
      <c r="P51" s="11" t="n">
        <f aca="false">P44+P46</f>
        <v>67.8355366699407</v>
      </c>
      <c r="Q51" s="11" t="n">
        <f aca="false">Q44+Q46</f>
        <v>68.1037183069638</v>
      </c>
      <c r="R51" s="11" t="n">
        <f aca="false">R44+R46</f>
        <v>68.2819897922281</v>
      </c>
      <c r="S51" s="11" t="n">
        <f aca="false">S44+S46</f>
        <v>68.6731785225087</v>
      </c>
      <c r="T51" s="11" t="n">
        <f aca="false">T44+T46</f>
        <v>69.0258325280308</v>
      </c>
      <c r="U51" s="11" t="n">
        <f aca="false">U44+U46</f>
        <v>69.057770829453</v>
      </c>
      <c r="V51" s="11" t="n">
        <f aca="false">V44+V46</f>
        <v>67.7159453904188</v>
      </c>
      <c r="W51" s="11" t="n">
        <f aca="false">W44+W46</f>
        <v>68.8473676802064</v>
      </c>
      <c r="X51" s="11" t="n">
        <f aca="false">X44+X46</f>
        <v>70.2680476088556</v>
      </c>
      <c r="Y51" s="11" t="n">
        <f aca="false">Y44+Y46</f>
        <v>70.5602519459679</v>
      </c>
      <c r="Z51" s="11" t="n">
        <f aca="false">Z44+Z46</f>
        <v>70.7586285337268</v>
      </c>
      <c r="AA51" s="11" t="n">
        <f aca="false">AA44+AA46</f>
        <v>71.1805957612001</v>
      </c>
      <c r="AB51" s="11" t="n">
        <f aca="false">AB44+AB46</f>
        <v>71.5644456731271</v>
      </c>
      <c r="AC51" s="11" t="n">
        <f aca="false">AC44+AC46</f>
        <v>71.1048433436519</v>
      </c>
      <c r="AD51" s="11" t="n">
        <f aca="false">AD44+AD46</f>
        <v>68.7111469628636</v>
      </c>
      <c r="AE51" s="11" t="n">
        <f aca="false">AE44+AE46</f>
        <v>70.4036032394204</v>
      </c>
      <c r="AF51" s="11" t="n">
        <f aca="false">AF44+AF46</f>
        <v>72.9173891446989</v>
      </c>
      <c r="AG51" s="11" t="n">
        <f aca="false">AG44+AG46</f>
        <v>73.2357675410287</v>
      </c>
      <c r="AH51" s="11" t="n">
        <f aca="false">AH44+AH46</f>
        <v>73.456058944733</v>
      </c>
      <c r="AI51" s="11" t="n">
        <f aca="false">AI44+AI46</f>
        <v>73.9115401691137</v>
      </c>
      <c r="AJ51" s="11" t="n">
        <f aca="false">AJ44+AJ46</f>
        <v>74.3293434088401</v>
      </c>
      <c r="AK51" s="11" t="n">
        <f aca="false">AK44+AK46</f>
        <v>74.3903104456312</v>
      </c>
      <c r="AL51" s="11" t="n">
        <f aca="false">AL44+AL46</f>
        <v>72.9775750446379</v>
      </c>
      <c r="AM51" s="11" t="n">
        <f aca="false">AM44+AM46</f>
        <v>74.2302193730544</v>
      </c>
      <c r="AN51" s="11" t="n">
        <f aca="false">AN44+AN46</f>
        <v>75.8028812976793</v>
      </c>
      <c r="AO51" s="11" t="n">
        <f aca="false">AO44+AO46</f>
        <v>76.1497777313598</v>
      </c>
      <c r="AP51" s="11" t="n">
        <f aca="false">AP44+AP46</f>
        <v>76.3939565440089</v>
      </c>
      <c r="AQ51" s="11" t="n">
        <f aca="false">AQ44+AQ46</f>
        <v>76.8859302560864</v>
      </c>
      <c r="AR51" s="11" t="n">
        <f aca="false">AR44+AR46</f>
        <v>77.3406877709687</v>
      </c>
      <c r="AS51" s="11" t="n">
        <f aca="false">AS44+AS46</f>
        <v>76.87177123249</v>
      </c>
      <c r="AT51" s="11" t="n">
        <f aca="false">AT44+AT46</f>
        <v>74.3175378133311</v>
      </c>
      <c r="AU51" s="11" t="n">
        <f aca="false">AU44+AU46</f>
        <v>76.1825633421352</v>
      </c>
      <c r="AV51" s="11" t="n">
        <f aca="false">AV44+AV46</f>
        <v>78.9455648006659</v>
      </c>
      <c r="AW51" s="11" t="n">
        <f aca="false">AW44+AW46</f>
        <v>79.3235331104187</v>
      </c>
      <c r="AX51" s="11" t="n">
        <f aca="false">AX44+AX46</f>
        <v>79.5937494625879</v>
      </c>
      <c r="AY51" s="11" t="n">
        <f aca="false">AY44+AY46</f>
        <v>80.1254587165532</v>
      </c>
      <c r="AZ51" s="11" t="n">
        <f aca="false">AZ44+AZ46</f>
        <v>80.6204364682074</v>
      </c>
      <c r="BA51" s="11" t="n">
        <f aca="false">BA44+BA46</f>
        <v>80.7159721032523</v>
      </c>
      <c r="BB51" s="11" t="n">
        <f aca="false">BB44+BB46</f>
        <v>79.2191163421292</v>
      </c>
      <c r="BC51" s="11" t="n">
        <f aca="false">BC44+BC46</f>
        <v>80.6155544114018</v>
      </c>
      <c r="BD51" s="11" t="n">
        <f aca="false">BD44+BD46</f>
        <v>82.3683542837291</v>
      </c>
      <c r="BE51" s="11" t="n">
        <f aca="false">BE44+BE46</f>
        <v>82.7801769533676</v>
      </c>
      <c r="BF51" s="11" t="n">
        <f aca="false">BF44+BF46</f>
        <v>83.0787744902085</v>
      </c>
      <c r="BG51" s="11" t="n">
        <f aca="false">BG44+BG46</f>
        <v>83.6537503899909</v>
      </c>
      <c r="BH51" s="11" t="n">
        <f aca="false">BH44+BH46</f>
        <v>84.1925027368931</v>
      </c>
      <c r="BI51" s="11" t="n">
        <f aca="false">BI44+BI46</f>
        <v>83.7126833875953</v>
      </c>
      <c r="BJ51" s="11" t="n">
        <f aca="false">BJ44+BJ46</f>
        <v>80.968011303015</v>
      </c>
      <c r="BK51" s="11" t="n">
        <f aca="false">BK44+BK46</f>
        <v>83.0377390954535</v>
      </c>
      <c r="BL51" s="11" t="n">
        <f aca="false">BL44+BL46</f>
        <v>86.0962050894025</v>
      </c>
      <c r="BM51" s="11" t="n">
        <f aca="false">BM44+BM46</f>
        <v>57.7243587933509</v>
      </c>
      <c r="BN51" s="11" t="n">
        <f aca="false">BN44+BN46</f>
        <v>0</v>
      </c>
    </row>
    <row r="52" customFormat="false" ht="15" hidden="false" customHeight="false" outlineLevel="0" collapsed="false">
      <c r="D52" s="0" t="s">
        <v>506</v>
      </c>
      <c r="E52" s="0" t="s">
        <v>149</v>
      </c>
      <c r="G52" s="11" t="n">
        <f aca="false">SUM(J52:BN52)</f>
        <v>9341.24944503245</v>
      </c>
      <c r="J52" s="11" t="n">
        <f aca="false">J51+J47+J48+J49+J50</f>
        <v>0</v>
      </c>
      <c r="K52" s="11" t="n">
        <f aca="false">K51+K47+K48+K49+K50</f>
        <v>0</v>
      </c>
      <c r="L52" s="11" t="n">
        <f aca="false">L51+L47+L48+L49+L50</f>
        <v>0</v>
      </c>
      <c r="M52" s="11" t="n">
        <f aca="false">M51+M47+M48+M49+M50</f>
        <v>0</v>
      </c>
      <c r="N52" s="11" t="n">
        <f aca="false">N51+N47+N48+N49+N50</f>
        <v>0</v>
      </c>
      <c r="O52" s="11" t="n">
        <f aca="false">O51+O47+O48+O49+O50</f>
        <v>52.0814105870832</v>
      </c>
      <c r="P52" s="11" t="n">
        <f aca="false">P51+P47+P48+P49+P50</f>
        <v>156.585603685769</v>
      </c>
      <c r="Q52" s="11" t="n">
        <f aca="false">Q51+Q47+Q48+Q49+Q50</f>
        <v>158.089062147266</v>
      </c>
      <c r="R52" s="11" t="n">
        <f aca="false">R51+R47+R48+R49+R50</f>
        <v>157.918052431714</v>
      </c>
      <c r="S52" s="11" t="n">
        <f aca="false">S51+S47+S48+S49+S50</f>
        <v>160.083568067535</v>
      </c>
      <c r="T52" s="11" t="n">
        <f aca="false">T51+T47+T48+T49+T50</f>
        <v>161.13992864295</v>
      </c>
      <c r="U52" s="11" t="n">
        <f aca="false">U51+U47+U48+U49+U50</f>
        <v>161.829899699368</v>
      </c>
      <c r="V52" s="11" t="n">
        <f aca="false">V51+V47+V48+V49+V50</f>
        <v>158.676504638493</v>
      </c>
      <c r="W52" s="11" t="n">
        <f aca="false">W51+W47+W48+W49+W50</f>
        <v>162.315195125709</v>
      </c>
      <c r="X52" s="11" t="n">
        <f aca="false">X51+X47+X48+X49+X50</f>
        <v>165.873592595977</v>
      </c>
      <c r="Y52" s="11" t="n">
        <f aca="false">Y51+Y47+Y48+Y49+Y50</f>
        <v>167.499414288362</v>
      </c>
      <c r="Z52" s="11" t="n">
        <f aca="false">Z51+Z47+Z48+Z49+Z50</f>
        <v>167.31667223213</v>
      </c>
      <c r="AA52" s="11" t="n">
        <f aca="false">AA51+AA47+AA48+AA49+AA50</f>
        <v>169.654199163282</v>
      </c>
      <c r="AB52" s="11" t="n">
        <f aca="false">AB51+AB47+AB48+AB49+AB50</f>
        <v>170.793668801409</v>
      </c>
      <c r="AC52" s="11" t="n">
        <f aca="false">AC51+AC47+AC48+AC49+AC50</f>
        <v>170.427105323868</v>
      </c>
      <c r="AD52" s="11" t="n">
        <f aca="false">AD51+AD47+AD48+AD49+AD50</f>
        <v>164.842859698492</v>
      </c>
      <c r="AE52" s="11" t="n">
        <f aca="false">AE51+AE47+AE48+AE49+AE50</f>
        <v>169.833979576429</v>
      </c>
      <c r="AF52" s="11" t="n">
        <f aca="false">AF51+AF47+AF48+AF49+AF50</f>
        <v>175.907509570371</v>
      </c>
      <c r="AG52" s="11" t="n">
        <f aca="false">AG51+AG47+AG48+AG49+AG50</f>
        <v>177.665599668692</v>
      </c>
      <c r="AH52" s="11" t="n">
        <f aca="false">AH51+AH47+AH48+AH49+AH50</f>
        <v>177.470166109564</v>
      </c>
      <c r="AI52" s="11" t="n">
        <f aca="false">AI51+AI47+AI48+AI49+AI50</f>
        <v>179.993579672251</v>
      </c>
      <c r="AJ52" s="11" t="n">
        <f aca="false">AJ51+AJ47+AJ48+AJ49+AJ50</f>
        <v>181.222757269296</v>
      </c>
      <c r="AK52" s="11" t="n">
        <f aca="false">AK51+AK47+AK48+AK49+AK50</f>
        <v>182.048059648638</v>
      </c>
      <c r="AL52" s="11" t="n">
        <f aca="false">AL51+AL47+AL48+AL49+AL50</f>
        <v>178.517702170664</v>
      </c>
      <c r="AM52" s="11" t="n">
        <f aca="false">AM51+AM47+AM48+AM49+AM50</f>
        <v>182.692386095132</v>
      </c>
      <c r="AN52" s="11" t="n">
        <f aca="false">AN51+AN47+AN48+AN49+AN50</f>
        <v>186.747355753624</v>
      </c>
      <c r="AO52" s="11" t="n">
        <f aca="false">AO51+AO47+AO48+AO49+AO50</f>
        <v>188.648416722223</v>
      </c>
      <c r="AP52" s="11" t="n">
        <f aca="false">AP51+AP47+AP48+AP49+AP50</f>
        <v>188.439262322547</v>
      </c>
      <c r="AQ52" s="11" t="n">
        <f aca="false">AQ51+AQ47+AQ48+AQ49+AQ50</f>
        <v>191.163550324987</v>
      </c>
      <c r="AR52" s="11" t="n">
        <f aca="false">AR51+AR47+AR48+AR49+AR50</f>
        <v>192.48956225145</v>
      </c>
      <c r="AS52" s="11" t="n">
        <f aca="false">AS51+AS47+AS48+AS49+AS50</f>
        <v>192.126314055145</v>
      </c>
      <c r="AT52" s="11" t="n">
        <f aca="false">AT51+AT47+AT48+AT49+AT50</f>
        <v>185.847263417472</v>
      </c>
      <c r="AU52" s="11" t="n">
        <f aca="false">AU51+AU47+AU48+AU49+AU50</f>
        <v>191.55630008062</v>
      </c>
      <c r="AV52" s="11" t="n">
        <f aca="false">AV51+AV47+AV48+AV49+AV50</f>
        <v>198.457959714793</v>
      </c>
      <c r="AW52" s="11" t="n">
        <f aca="false">AW51+AW47+AW48+AW49+AW50</f>
        <v>200.513555097517</v>
      </c>
      <c r="AX52" s="11" t="n">
        <f aca="false">AX51+AX47+AX48+AX49+AX50</f>
        <v>200.289575877057</v>
      </c>
      <c r="AY52" s="11" t="n">
        <f aca="false">AY51+AY47+AY48+AY49+AY50</f>
        <v>203.230927199732</v>
      </c>
      <c r="AZ52" s="11" t="n">
        <f aca="false">AZ51+AZ47+AZ48+AZ49+AZ50</f>
        <v>204.661469656837</v>
      </c>
      <c r="BA52" s="11" t="n">
        <f aca="false">BA51+BA47+BA48+BA49+BA50</f>
        <v>205.644698102252</v>
      </c>
      <c r="BB52" s="11" t="n">
        <f aca="false">BB51+BB47+BB48+BB49+BB50</f>
        <v>201.673119452604</v>
      </c>
      <c r="BC52" s="11" t="n">
        <f aca="false">BC51+BC47+BC48+BC49+BC50</f>
        <v>206.474328155213</v>
      </c>
      <c r="BD52" s="11" t="n">
        <f aca="false">BD51+BD47+BD48+BD49+BD50</f>
        <v>211.109365494216</v>
      </c>
      <c r="BE52" s="11" t="n">
        <f aca="false">BE51+BE47+BE48+BE49+BE50</f>
        <v>213.331988775292</v>
      </c>
      <c r="BF52" s="11" t="n">
        <f aca="false">BF51+BF47+BF48+BF49+BF50</f>
        <v>213.092001427196</v>
      </c>
      <c r="BG52" s="11" t="n">
        <f aca="false">BG51+BG47+BG48+BG49+BG50</f>
        <v>216.267901627156</v>
      </c>
      <c r="BH52" s="11" t="n">
        <f aca="false">BH51+BH47+BH48+BH49+BH50</f>
        <v>217.811286414174</v>
      </c>
      <c r="BI52" s="11" t="n">
        <f aca="false">BI51+BI47+BI48+BI49+BI50</f>
        <v>217.451422933357</v>
      </c>
      <c r="BJ52" s="11" t="n">
        <f aca="false">BJ51+BJ47+BJ48+BJ49+BJ50</f>
        <v>210.359191708203</v>
      </c>
      <c r="BK52" s="11" t="n">
        <f aca="false">BK51+BK47+BK48+BK49+BK50</f>
        <v>216.90758402228</v>
      </c>
      <c r="BL52" s="11" t="n">
        <f aca="false">BL51+BL47+BL48+BL49+BL50</f>
        <v>224.777251787185</v>
      </c>
      <c r="BM52" s="11" t="n">
        <f aca="false">BM51+BM47+BM48+BM49+BM50</f>
        <v>151.699315748868</v>
      </c>
      <c r="BN52" s="11" t="n">
        <f aca="false">BN51+BN47+BN48+BN49+BN50</f>
        <v>0</v>
      </c>
    </row>
    <row r="53" customFormat="false" ht="15" hidden="false" customHeight="false" outlineLevel="0" collapsed="false">
      <c r="D53" s="0" t="s">
        <v>507</v>
      </c>
      <c r="E53" s="0" t="s">
        <v>149</v>
      </c>
      <c r="G53" s="11" t="n">
        <f aca="false">SUM(J53:BN53)</f>
        <v>0</v>
      </c>
      <c r="J53" s="11" t="n">
        <f aca="false">IF(Inputs!$F$45=1,(0+J85)/2*(J9-IF(Time!J17&gt;=10,Inputs!$F$98,0)+Inputs!$F$187)/100*MAX(0,MIN(Time!J20,DATE(2024,3,21)-Time!J18))/360,0)</f>
        <v>0</v>
      </c>
      <c r="K53" s="11" t="n">
        <f aca="false">IF(Inputs!$F$45=1,(J85+K85)/2*(K9-IF(Time!K17&gt;=10,Inputs!$F$98,0)+Inputs!$F$187)/100*MAX(0,MIN(Time!K20,DATE(2024,3,21)-Time!K18))/360,0)</f>
        <v>0</v>
      </c>
      <c r="L53" s="11" t="n">
        <f aca="false">IF(Inputs!$F$45=1,(K85+L85)/2*(L9-IF(Time!L17&gt;=10,Inputs!$F$98,0)+Inputs!$F$187)/100*MAX(0,MIN(Time!L20,DATE(2024,3,21)-Time!L18))/360,0)</f>
        <v>0</v>
      </c>
      <c r="M53" s="11" t="n">
        <f aca="false">IF(Inputs!$F$45=1,(L85+M85)/2*(M9-IF(Time!M17&gt;=10,Inputs!$F$98,0)+Inputs!$F$187)/100*MAX(0,MIN(Time!M20,DATE(2024,3,21)-Time!M18))/360,0)</f>
        <v>0</v>
      </c>
      <c r="N53" s="11" t="n">
        <f aca="false">IF(Inputs!$F$45=1,(M85+N85)/2*(N9-IF(Time!N17&gt;=10,Inputs!$F$98,0)+Inputs!$F$187)/100*MAX(0,MIN(Time!N20,DATE(2024,3,21)-Time!N18))/360,0)</f>
        <v>0</v>
      </c>
      <c r="O53" s="11" t="n">
        <f aca="false">IF(Inputs!$F$45=1,(N85+O85)/2*(O9-IF(Time!O17&gt;=10,Inputs!$F$98,0)+Inputs!$F$187)/100*MAX(0,MIN(Time!O20,DATE(2024,3,21)-Time!O18))/360,0)</f>
        <v>0</v>
      </c>
      <c r="P53" s="11" t="n">
        <f aca="false">IF(Inputs!$F$45=1,(O85+P85)/2*(P9-IF(Time!P17&gt;=10,Inputs!$F$98,0)+Inputs!$F$187)/100*MAX(0,MIN(Time!P20,DATE(2024,3,21)-Time!P18))/360,0)</f>
        <v>0</v>
      </c>
      <c r="Q53" s="11" t="n">
        <f aca="false">IF(Inputs!$F$45=1,(P85+Q85)/2*(Q9-IF(Time!Q17&gt;=10,Inputs!$F$98,0)+Inputs!$F$187)/100*MAX(0,MIN(Time!Q20,DATE(2024,3,21)-Time!Q18))/360,0)</f>
        <v>0</v>
      </c>
      <c r="R53" s="11" t="n">
        <f aca="false">IF(Inputs!$F$45=1,(Q85+R85)/2*(R9-IF(Time!R17&gt;=10,Inputs!$F$98,0)+Inputs!$F$187)/100*MAX(0,MIN(Time!R20,DATE(2024,3,21)-Time!R18))/360,0)</f>
        <v>0</v>
      </c>
      <c r="S53" s="11" t="n">
        <f aca="false">IF(Inputs!$F$45=1,(R85+S85)/2*(S9-IF(Time!S17&gt;=10,Inputs!$F$98,0)+Inputs!$F$187)/100*MAX(0,MIN(Time!S20,DATE(2024,3,21)-Time!S18))/360,0)</f>
        <v>0</v>
      </c>
      <c r="T53" s="11" t="n">
        <f aca="false">IF(Inputs!$F$45=1,(S85+T85)/2*(T9-IF(Time!T17&gt;=10,Inputs!$F$98,0)+Inputs!$F$187)/100*MAX(0,MIN(Time!T20,DATE(2024,3,21)-Time!T18))/360,0)</f>
        <v>0</v>
      </c>
      <c r="U53" s="11" t="n">
        <f aca="false">IF(Inputs!$F$45=1,(T85+U85)/2*(U9-IF(Time!U17&gt;=10,Inputs!$F$98,0)+Inputs!$F$187)/100*MAX(0,MIN(Time!U20,DATE(2024,3,21)-Time!U18))/360,0)</f>
        <v>0</v>
      </c>
      <c r="V53" s="11" t="n">
        <f aca="false">IF(Inputs!$F$45=1,(U85+V85)/2*(V9-IF(Time!V17&gt;=10,Inputs!$F$98,0)+Inputs!$F$187)/100*MAX(0,MIN(Time!V20,DATE(2024,3,21)-Time!V18))/360,0)</f>
        <v>0</v>
      </c>
      <c r="W53" s="11" t="n">
        <f aca="false">IF(Inputs!$F$45=1,(V85+W85)/2*(W9-IF(Time!W17&gt;=10,Inputs!$F$98,0)+Inputs!$F$187)/100*MAX(0,MIN(Time!W20,DATE(2024,3,21)-Time!W18))/360,0)</f>
        <v>0</v>
      </c>
      <c r="X53" s="11" t="n">
        <f aca="false">IF(Inputs!$F$45=1,(W85+X85)/2*(X9-IF(Time!X17&gt;=10,Inputs!$F$98,0)+Inputs!$F$187)/100*MAX(0,MIN(Time!X20,DATE(2024,3,21)-Time!X18))/360,0)</f>
        <v>0</v>
      </c>
      <c r="Y53" s="11" t="n">
        <f aca="false">IF(Inputs!$F$45=1,(X85+Y85)/2*(Y9-IF(Time!Y17&gt;=10,Inputs!$F$98,0)+Inputs!$F$187)/100*MAX(0,MIN(Time!Y20,DATE(2024,3,21)-Time!Y18))/360,0)</f>
        <v>0</v>
      </c>
      <c r="Z53" s="11" t="n">
        <f aca="false">IF(Inputs!$F$45=1,(Y85+Z85)/2*(Z9-IF(Time!Z17&gt;=10,Inputs!$F$98,0)+Inputs!$F$187)/100*MAX(0,MIN(Time!Z20,DATE(2024,3,21)-Time!Z18))/360,0)</f>
        <v>0</v>
      </c>
      <c r="AA53" s="11" t="n">
        <f aca="false">IF(Inputs!$F$45=1,(Z85+AA85)/2*(AA9-IF(Time!AA17&gt;=10,Inputs!$F$98,0)+Inputs!$F$187)/100*MAX(0,MIN(Time!AA20,DATE(2024,3,21)-Time!AA18))/360,0)</f>
        <v>0</v>
      </c>
      <c r="AB53" s="11" t="n">
        <f aca="false">IF(Inputs!$F$45=1,(AA85+AB85)/2*(AB9-IF(Time!AB17&gt;=10,Inputs!$F$98,0)+Inputs!$F$187)/100*MAX(0,MIN(Time!AB20,DATE(2024,3,21)-Time!AB18))/360,0)</f>
        <v>0</v>
      </c>
      <c r="AC53" s="11" t="n">
        <f aca="false">IF(Inputs!$F$45=1,(AB85+AC85)/2*(AC9-IF(Time!AC17&gt;=10,Inputs!$F$98,0)+Inputs!$F$187)/100*MAX(0,MIN(Time!AC20,DATE(2024,3,21)-Time!AC18))/360,0)</f>
        <v>0</v>
      </c>
      <c r="AD53" s="11" t="n">
        <f aca="false">IF(Inputs!$F$45=1,(AC85+AD85)/2*(AD9-IF(Time!AD17&gt;=10,Inputs!$F$98,0)+Inputs!$F$187)/100*MAX(0,MIN(Time!AD20,DATE(2024,3,21)-Time!AD18))/360,0)</f>
        <v>0</v>
      </c>
      <c r="AE53" s="11" t="n">
        <f aca="false">IF(Inputs!$F$45=1,(AD85+AE85)/2*(AE9-IF(Time!AE17&gt;=10,Inputs!$F$98,0)+Inputs!$F$187)/100*MAX(0,MIN(Time!AE20,DATE(2024,3,21)-Time!AE18))/360,0)</f>
        <v>0</v>
      </c>
      <c r="AF53" s="11" t="n">
        <f aca="false">IF(Inputs!$F$45=1,(AE85+AF85)/2*(AF9-IF(Time!AF17&gt;=10,Inputs!$F$98,0)+Inputs!$F$187)/100*MAX(0,MIN(Time!AF20,DATE(2024,3,21)-Time!AF18))/360,0)</f>
        <v>0</v>
      </c>
      <c r="AG53" s="11" t="n">
        <f aca="false">IF(Inputs!$F$45=1,(AF85+AG85)/2*(AG9-IF(Time!AG17&gt;=10,Inputs!$F$98,0)+Inputs!$F$187)/100*MAX(0,MIN(Time!AG20,DATE(2024,3,21)-Time!AG18))/360,0)</f>
        <v>0</v>
      </c>
      <c r="AH53" s="11" t="n">
        <f aca="false">IF(Inputs!$F$45=1,(AG85+AH85)/2*(AH9-IF(Time!AH17&gt;=10,Inputs!$F$98,0)+Inputs!$F$187)/100*MAX(0,MIN(Time!AH20,DATE(2024,3,21)-Time!AH18))/360,0)</f>
        <v>0</v>
      </c>
      <c r="AI53" s="11" t="n">
        <f aca="false">IF(Inputs!$F$45=1,(AH85+AI85)/2*(AI9-IF(Time!AI17&gt;=10,Inputs!$F$98,0)+Inputs!$F$187)/100*MAX(0,MIN(Time!AI20,DATE(2024,3,21)-Time!AI18))/360,0)</f>
        <v>0</v>
      </c>
      <c r="AJ53" s="11" t="n">
        <f aca="false">IF(Inputs!$F$45=1,(AI85+AJ85)/2*(AJ9-IF(Time!AJ17&gt;=10,Inputs!$F$98,0)+Inputs!$F$187)/100*MAX(0,MIN(Time!AJ20,DATE(2024,3,21)-Time!AJ18))/360,0)</f>
        <v>0</v>
      </c>
      <c r="AK53" s="11" t="n">
        <f aca="false">IF(Inputs!$F$45=1,(AJ85+AK85)/2*(AK9-IF(Time!AK17&gt;=10,Inputs!$F$98,0)+Inputs!$F$187)/100*MAX(0,MIN(Time!AK20,DATE(2024,3,21)-Time!AK18))/360,0)</f>
        <v>0</v>
      </c>
      <c r="AL53" s="11" t="n">
        <f aca="false">IF(Inputs!$F$45=1,(AK85+AL85)/2*(AL9-IF(Time!AL17&gt;=10,Inputs!$F$98,0)+Inputs!$F$187)/100*MAX(0,MIN(Time!AL20,DATE(2024,3,21)-Time!AL18))/360,0)</f>
        <v>0</v>
      </c>
      <c r="AM53" s="11" t="n">
        <f aca="false">IF(Inputs!$F$45=1,(AL85+AM85)/2*(AM9-IF(Time!AM17&gt;=10,Inputs!$F$98,0)+Inputs!$F$187)/100*MAX(0,MIN(Time!AM20,DATE(2024,3,21)-Time!AM18))/360,0)</f>
        <v>0</v>
      </c>
      <c r="AN53" s="11" t="n">
        <f aca="false">IF(Inputs!$F$45=1,(AM85+AN85)/2*(AN9-IF(Time!AN17&gt;=10,Inputs!$F$98,0)+Inputs!$F$187)/100*MAX(0,MIN(Time!AN20,DATE(2024,3,21)-Time!AN18))/360,0)</f>
        <v>0</v>
      </c>
      <c r="AO53" s="11" t="n">
        <f aca="false">IF(Inputs!$F$45=1,(AN85+AO85)/2*(AO9-IF(Time!AO17&gt;=10,Inputs!$F$98,0)+Inputs!$F$187)/100*MAX(0,MIN(Time!AO20,DATE(2024,3,21)-Time!AO18))/360,0)</f>
        <v>0</v>
      </c>
      <c r="AP53" s="11" t="n">
        <f aca="false">IF(Inputs!$F$45=1,(AO85+AP85)/2*(AP9-IF(Time!AP17&gt;=10,Inputs!$F$98,0)+Inputs!$F$187)/100*MAX(0,MIN(Time!AP20,DATE(2024,3,21)-Time!AP18))/360,0)</f>
        <v>0</v>
      </c>
      <c r="AQ53" s="11" t="n">
        <f aca="false">IF(Inputs!$F$45=1,(AP85+AQ85)/2*(AQ9-IF(Time!AQ17&gt;=10,Inputs!$F$98,0)+Inputs!$F$187)/100*MAX(0,MIN(Time!AQ20,DATE(2024,3,21)-Time!AQ18))/360,0)</f>
        <v>0</v>
      </c>
      <c r="AR53" s="11" t="n">
        <f aca="false">IF(Inputs!$F$45=1,(AQ85+AR85)/2*(AR9-IF(Time!AR17&gt;=10,Inputs!$F$98,0)+Inputs!$F$187)/100*MAX(0,MIN(Time!AR20,DATE(2024,3,21)-Time!AR18))/360,0)</f>
        <v>0</v>
      </c>
      <c r="AS53" s="11" t="n">
        <f aca="false">IF(Inputs!$F$45=1,(AR85+AS85)/2*(AS9-IF(Time!AS17&gt;=10,Inputs!$F$98,0)+Inputs!$F$187)/100*MAX(0,MIN(Time!AS20,DATE(2024,3,21)-Time!AS18))/360,0)</f>
        <v>0</v>
      </c>
      <c r="AT53" s="11" t="n">
        <f aca="false">IF(Inputs!$F$45=1,(AS85+AT85)/2*(AT9-IF(Time!AT17&gt;=10,Inputs!$F$98,0)+Inputs!$F$187)/100*MAX(0,MIN(Time!AT20,DATE(2024,3,21)-Time!AT18))/360,0)</f>
        <v>0</v>
      </c>
      <c r="AU53" s="11" t="n">
        <f aca="false">IF(Inputs!$F$45=1,(AT85+AU85)/2*(AU9-IF(Time!AU17&gt;=10,Inputs!$F$98,0)+Inputs!$F$187)/100*MAX(0,MIN(Time!AU20,DATE(2024,3,21)-Time!AU18))/360,0)</f>
        <v>0</v>
      </c>
      <c r="AV53" s="11" t="n">
        <f aca="false">IF(Inputs!$F$45=1,(AU85+AV85)/2*(AV9-IF(Time!AV17&gt;=10,Inputs!$F$98,0)+Inputs!$F$187)/100*MAX(0,MIN(Time!AV20,DATE(2024,3,21)-Time!AV18))/360,0)</f>
        <v>0</v>
      </c>
      <c r="AW53" s="11" t="n">
        <f aca="false">IF(Inputs!$F$45=1,(AV85+AW85)/2*(AW9-IF(Time!AW17&gt;=10,Inputs!$F$98,0)+Inputs!$F$187)/100*MAX(0,MIN(Time!AW20,DATE(2024,3,21)-Time!AW18))/360,0)</f>
        <v>0</v>
      </c>
      <c r="AX53" s="11" t="n">
        <f aca="false">IF(Inputs!$F$45=1,(AW85+AX85)/2*(AX9-IF(Time!AX17&gt;=10,Inputs!$F$98,0)+Inputs!$F$187)/100*MAX(0,MIN(Time!AX20,DATE(2024,3,21)-Time!AX18))/360,0)</f>
        <v>0</v>
      </c>
      <c r="AY53" s="11" t="n">
        <f aca="false">IF(Inputs!$F$45=1,(AX85+AY85)/2*(AY9-IF(Time!AY17&gt;=10,Inputs!$F$98,0)+Inputs!$F$187)/100*MAX(0,MIN(Time!AY20,DATE(2024,3,21)-Time!AY18))/360,0)</f>
        <v>0</v>
      </c>
      <c r="AZ53" s="11" t="n">
        <f aca="false">IF(Inputs!$F$45=1,(AY85+AZ85)/2*(AZ9-IF(Time!AZ17&gt;=10,Inputs!$F$98,0)+Inputs!$F$187)/100*MAX(0,MIN(Time!AZ20,DATE(2024,3,21)-Time!AZ18))/360,0)</f>
        <v>0</v>
      </c>
      <c r="BA53" s="11" t="n">
        <f aca="false">IF(Inputs!$F$45=1,(AZ85+BA85)/2*(BA9-IF(Time!BA17&gt;=10,Inputs!$F$98,0)+Inputs!$F$187)/100*MAX(0,MIN(Time!BA20,DATE(2024,3,21)-Time!BA18))/360,0)</f>
        <v>0</v>
      </c>
      <c r="BB53" s="11" t="n">
        <f aca="false">IF(Inputs!$F$45=1,(BA85+BB85)/2*(BB9-IF(Time!BB17&gt;=10,Inputs!$F$98,0)+Inputs!$F$187)/100*MAX(0,MIN(Time!BB20,DATE(2024,3,21)-Time!BB18))/360,0)</f>
        <v>0</v>
      </c>
      <c r="BC53" s="11" t="n">
        <f aca="false">IF(Inputs!$F$45=1,(BB85+BC85)/2*(BC9-IF(Time!BC17&gt;=10,Inputs!$F$98,0)+Inputs!$F$187)/100*MAX(0,MIN(Time!BC20,DATE(2024,3,21)-Time!BC18))/360,0)</f>
        <v>0</v>
      </c>
      <c r="BD53" s="11" t="n">
        <f aca="false">IF(Inputs!$F$45=1,(BC85+BD85)/2*(BD9-IF(Time!BD17&gt;=10,Inputs!$F$98,0)+Inputs!$F$187)/100*MAX(0,MIN(Time!BD20,DATE(2024,3,21)-Time!BD18))/360,0)</f>
        <v>0</v>
      </c>
      <c r="BE53" s="11" t="n">
        <f aca="false">IF(Inputs!$F$45=1,(BD85+BE85)/2*(BE9-IF(Time!BE17&gt;=10,Inputs!$F$98,0)+Inputs!$F$187)/100*MAX(0,MIN(Time!BE20,DATE(2024,3,21)-Time!BE18))/360,0)</f>
        <v>0</v>
      </c>
      <c r="BF53" s="11" t="n">
        <f aca="false">IF(Inputs!$F$45=1,(BE85+BF85)/2*(BF9-IF(Time!BF17&gt;=10,Inputs!$F$98,0)+Inputs!$F$187)/100*MAX(0,MIN(Time!BF20,DATE(2024,3,21)-Time!BF18))/360,0)</f>
        <v>0</v>
      </c>
      <c r="BG53" s="11" t="n">
        <f aca="false">IF(Inputs!$F$45=1,(BF85+BG85)/2*(BG9-IF(Time!BG17&gt;=10,Inputs!$F$98,0)+Inputs!$F$187)/100*MAX(0,MIN(Time!BG20,DATE(2024,3,21)-Time!BG18))/360,0)</f>
        <v>0</v>
      </c>
      <c r="BH53" s="11" t="n">
        <f aca="false">IF(Inputs!$F$45=1,(BG85+BH85)/2*(BH9-IF(Time!BH17&gt;=10,Inputs!$F$98,0)+Inputs!$F$187)/100*MAX(0,MIN(Time!BH20,DATE(2024,3,21)-Time!BH18))/360,0)</f>
        <v>0</v>
      </c>
      <c r="BI53" s="11" t="n">
        <f aca="false">IF(Inputs!$F$45=1,(BH85+BI85)/2*(BI9-IF(Time!BI17&gt;=10,Inputs!$F$98,0)+Inputs!$F$187)/100*MAX(0,MIN(Time!BI20,DATE(2024,3,21)-Time!BI18))/360,0)</f>
        <v>0</v>
      </c>
      <c r="BJ53" s="11" t="n">
        <f aca="false">IF(Inputs!$F$45=1,(BI85+BJ85)/2*(BJ9-IF(Time!BJ17&gt;=10,Inputs!$F$98,0)+Inputs!$F$187)/100*MAX(0,MIN(Time!BJ20,DATE(2024,3,21)-Time!BJ18))/360,0)</f>
        <v>0</v>
      </c>
      <c r="BK53" s="11" t="n">
        <f aca="false">IF(Inputs!$F$45=1,(BJ85+BK85)/2*(BK9-IF(Time!BK17&gt;=10,Inputs!$F$98,0)+Inputs!$F$187)/100*MAX(0,MIN(Time!BK20,DATE(2024,3,21)-Time!BK18))/360,0)</f>
        <v>0</v>
      </c>
      <c r="BL53" s="11" t="n">
        <f aca="false">IF(Inputs!$F$45=1,(BK85+BL85)/2*(BL9-IF(Time!BL17&gt;=10,Inputs!$F$98,0)+Inputs!$F$187)/100*MAX(0,MIN(Time!BL20,DATE(2024,3,21)-Time!BL18))/360,0)</f>
        <v>0</v>
      </c>
      <c r="BM53" s="11" t="n">
        <f aca="false">IF(Inputs!$F$45=1,(BL85+BM85)/2*(BM9-IF(Time!BM17&gt;=10,Inputs!$F$98,0)+Inputs!$F$187)/100*MAX(0,MIN(Time!BM20,DATE(2024,3,21)-Time!BM18))/360,0)</f>
        <v>0</v>
      </c>
      <c r="BN53" s="11" t="n">
        <f aca="false">IF(Inputs!$F$45=1,(BM85+BN85)/2*(BN9-IF(Time!BN17&gt;=10,Inputs!$F$98,0)+Inputs!$F$187)/100*MAX(0,MIN(Time!BN20,DATE(2024,3,21)-Time!BN18))/360,0)</f>
        <v>0</v>
      </c>
    </row>
    <row r="54" customFormat="false" ht="15" hidden="false" customHeight="false" outlineLevel="0" collapsed="false">
      <c r="D54" s="0" t="s">
        <v>508</v>
      </c>
      <c r="E54" s="0" t="s">
        <v>149</v>
      </c>
      <c r="G54" s="11" t="n">
        <f aca="false">SUM(J54:BN54)</f>
        <v>0</v>
      </c>
      <c r="J54" s="11" t="n">
        <f aca="false">Inputs!$F$188*SUM($J$53:$BN$53)*Inputs!J221</f>
        <v>0</v>
      </c>
      <c r="K54" s="11" t="n">
        <f aca="false">Inputs!$F$188*SUM($J$53:$BN$53)*Inputs!K221</f>
        <v>0</v>
      </c>
      <c r="L54" s="11" t="n">
        <f aca="false">Inputs!$F$188*SUM($J$53:$BN$53)*Inputs!L221</f>
        <v>0</v>
      </c>
      <c r="M54" s="11" t="n">
        <f aca="false">Inputs!$F$188*SUM($J$53:$BN$53)*Inputs!M221</f>
        <v>0</v>
      </c>
      <c r="N54" s="11" t="n">
        <f aca="false">Inputs!$F$188*SUM($J$53:$BN$53)*Inputs!N221</f>
        <v>0</v>
      </c>
      <c r="O54" s="11" t="n">
        <f aca="false">Inputs!$F$188*SUM($J$53:$BN$53)*Inputs!O221</f>
        <v>0</v>
      </c>
      <c r="P54" s="11" t="n">
        <f aca="false">Inputs!$F$188*SUM($J$53:$BN$53)*Inputs!P221</f>
        <v>0</v>
      </c>
      <c r="Q54" s="11" t="n">
        <f aca="false">Inputs!$F$188*SUM($J$53:$BN$53)*Inputs!Q221</f>
        <v>0</v>
      </c>
      <c r="R54" s="11" t="n">
        <f aca="false">Inputs!$F$188*SUM($J$53:$BN$53)*Inputs!R221</f>
        <v>0</v>
      </c>
      <c r="S54" s="11" t="n">
        <f aca="false">Inputs!$F$188*SUM($J$53:$BN$53)*Inputs!S221</f>
        <v>0</v>
      </c>
      <c r="T54" s="11" t="n">
        <f aca="false">Inputs!$F$188*SUM($J$53:$BN$53)*Inputs!T221</f>
        <v>0</v>
      </c>
      <c r="U54" s="11" t="n">
        <f aca="false">Inputs!$F$188*SUM($J$53:$BN$53)*Inputs!U221</f>
        <v>0</v>
      </c>
      <c r="V54" s="11" t="n">
        <f aca="false">Inputs!$F$188*SUM($J$53:$BN$53)*Inputs!V221</f>
        <v>0</v>
      </c>
      <c r="W54" s="11" t="n">
        <f aca="false">Inputs!$F$188*SUM($J$53:$BN$53)*Inputs!W221</f>
        <v>0</v>
      </c>
      <c r="X54" s="11" t="n">
        <f aca="false">Inputs!$F$188*SUM($J$53:$BN$53)*Inputs!X221</f>
        <v>0</v>
      </c>
      <c r="Y54" s="11" t="n">
        <f aca="false">Inputs!$F$188*SUM($J$53:$BN$53)*Inputs!Y221</f>
        <v>0</v>
      </c>
      <c r="Z54" s="11" t="n">
        <f aca="false">Inputs!$F$188*SUM($J$53:$BN$53)*Inputs!Z221</f>
        <v>0</v>
      </c>
      <c r="AA54" s="11" t="n">
        <f aca="false">Inputs!$F$188*SUM($J$53:$BN$53)*Inputs!AA221</f>
        <v>0</v>
      </c>
      <c r="AB54" s="11" t="n">
        <f aca="false">Inputs!$F$188*SUM($J$53:$BN$53)*Inputs!AB221</f>
        <v>0</v>
      </c>
      <c r="AC54" s="11" t="n">
        <f aca="false">Inputs!$F$188*SUM($J$53:$BN$53)*Inputs!AC221</f>
        <v>0</v>
      </c>
      <c r="AD54" s="11" t="n">
        <f aca="false">Inputs!$F$188*SUM($J$53:$BN$53)*Inputs!AD221</f>
        <v>0</v>
      </c>
      <c r="AE54" s="11" t="n">
        <f aca="false">Inputs!$F$188*SUM($J$53:$BN$53)*Inputs!AE221</f>
        <v>0</v>
      </c>
      <c r="AF54" s="11" t="n">
        <f aca="false">Inputs!$F$188*SUM($J$53:$BN$53)*Inputs!AF221</f>
        <v>0</v>
      </c>
      <c r="AG54" s="11" t="n">
        <f aca="false">Inputs!$F$188*SUM($J$53:$BN$53)*Inputs!AG221</f>
        <v>0</v>
      </c>
      <c r="AH54" s="11" t="n">
        <f aca="false">Inputs!$F$188*SUM($J$53:$BN$53)*Inputs!AH221</f>
        <v>0</v>
      </c>
      <c r="AI54" s="11" t="n">
        <f aca="false">Inputs!$F$188*SUM($J$53:$BN$53)*Inputs!AI221</f>
        <v>0</v>
      </c>
      <c r="AJ54" s="11" t="n">
        <f aca="false">Inputs!$F$188*SUM($J$53:$BN$53)*Inputs!AJ221</f>
        <v>0</v>
      </c>
      <c r="AK54" s="11" t="n">
        <f aca="false">Inputs!$F$188*SUM($J$53:$BN$53)*Inputs!AK221</f>
        <v>0</v>
      </c>
      <c r="AL54" s="11" t="n">
        <f aca="false">Inputs!$F$188*SUM($J$53:$BN$53)*Inputs!AL221</f>
        <v>0</v>
      </c>
      <c r="AM54" s="11" t="n">
        <f aca="false">Inputs!$F$188*SUM($J$53:$BN$53)*Inputs!AM221</f>
        <v>0</v>
      </c>
      <c r="AN54" s="11" t="n">
        <f aca="false">Inputs!$F$188*SUM($J$53:$BN$53)*Inputs!AN221</f>
        <v>0</v>
      </c>
      <c r="AO54" s="11" t="n">
        <f aca="false">Inputs!$F$188*SUM($J$53:$BN$53)*Inputs!AO221</f>
        <v>0</v>
      </c>
      <c r="AP54" s="11" t="n">
        <f aca="false">Inputs!$F$188*SUM($J$53:$BN$53)*Inputs!AP221</f>
        <v>0</v>
      </c>
      <c r="AQ54" s="11" t="n">
        <f aca="false">Inputs!$F$188*SUM($J$53:$BN$53)*Inputs!AQ221</f>
        <v>0</v>
      </c>
      <c r="AR54" s="11" t="n">
        <f aca="false">Inputs!$F$188*SUM($J$53:$BN$53)*Inputs!AR221</f>
        <v>0</v>
      </c>
      <c r="AS54" s="11" t="n">
        <f aca="false">Inputs!$F$188*SUM($J$53:$BN$53)*Inputs!AS221</f>
        <v>0</v>
      </c>
      <c r="AT54" s="11" t="n">
        <f aca="false">Inputs!$F$188*SUM($J$53:$BN$53)*Inputs!AT221</f>
        <v>0</v>
      </c>
      <c r="AU54" s="11" t="n">
        <f aca="false">Inputs!$F$188*SUM($J$53:$BN$53)*Inputs!AU221</f>
        <v>0</v>
      </c>
      <c r="AV54" s="11" t="n">
        <f aca="false">Inputs!$F$188*SUM($J$53:$BN$53)*Inputs!AV221</f>
        <v>0</v>
      </c>
      <c r="AW54" s="11" t="n">
        <f aca="false">Inputs!$F$188*SUM($J$53:$BN$53)*Inputs!AW221</f>
        <v>0</v>
      </c>
      <c r="AX54" s="11" t="n">
        <f aca="false">Inputs!$F$188*SUM($J$53:$BN$53)*Inputs!AX221</f>
        <v>0</v>
      </c>
      <c r="AY54" s="11" t="n">
        <f aca="false">Inputs!$F$188*SUM($J$53:$BN$53)*Inputs!AY221</f>
        <v>0</v>
      </c>
      <c r="AZ54" s="11" t="n">
        <f aca="false">Inputs!$F$188*SUM($J$53:$BN$53)*Inputs!AZ221</f>
        <v>0</v>
      </c>
      <c r="BA54" s="11" t="n">
        <f aca="false">Inputs!$F$188*SUM($J$53:$BN$53)*Inputs!BA221</f>
        <v>0</v>
      </c>
      <c r="BB54" s="11" t="n">
        <f aca="false">Inputs!$F$188*SUM($J$53:$BN$53)*Inputs!BB221</f>
        <v>0</v>
      </c>
      <c r="BC54" s="11" t="n">
        <f aca="false">Inputs!$F$188*SUM($J$53:$BN$53)*Inputs!BC221</f>
        <v>0</v>
      </c>
      <c r="BD54" s="11" t="n">
        <f aca="false">Inputs!$F$188*SUM($J$53:$BN$53)*Inputs!BD221</f>
        <v>0</v>
      </c>
      <c r="BE54" s="11" t="n">
        <f aca="false">Inputs!$F$188*SUM($J$53:$BN$53)*Inputs!BE221</f>
        <v>0</v>
      </c>
      <c r="BF54" s="11" t="n">
        <f aca="false">Inputs!$F$188*SUM($J$53:$BN$53)*Inputs!BF221</f>
        <v>0</v>
      </c>
      <c r="BG54" s="11" t="n">
        <f aca="false">Inputs!$F$188*SUM($J$53:$BN$53)*Inputs!BG221</f>
        <v>0</v>
      </c>
      <c r="BH54" s="11" t="n">
        <f aca="false">Inputs!$F$188*SUM($J$53:$BN$53)*Inputs!BH221</f>
        <v>0</v>
      </c>
      <c r="BI54" s="11" t="n">
        <f aca="false">Inputs!$F$188*SUM($J$53:$BN$53)*Inputs!BI221</f>
        <v>0</v>
      </c>
      <c r="BJ54" s="11" t="n">
        <f aca="false">Inputs!$F$188*SUM($J$53:$BN$53)*Inputs!BJ221</f>
        <v>0</v>
      </c>
      <c r="BK54" s="11" t="n">
        <f aca="false">Inputs!$F$188*SUM($J$53:$BN$53)*Inputs!BK221</f>
        <v>0</v>
      </c>
      <c r="BL54" s="11" t="n">
        <f aca="false">Inputs!$F$188*SUM($J$53:$BN$53)*Inputs!BL221</f>
        <v>0</v>
      </c>
      <c r="BM54" s="11" t="n">
        <f aca="false">Inputs!$F$188*SUM($J$53:$BN$53)*Inputs!BM221</f>
        <v>0</v>
      </c>
      <c r="BN54" s="11" t="n">
        <f aca="false">Inputs!$F$188*SUM($J$53:$BN$53)*Inputs!BN221</f>
        <v>0</v>
      </c>
    </row>
    <row r="55" customFormat="false" ht="15" hidden="false" customHeight="false" outlineLevel="0" collapsed="false">
      <c r="B55" s="2" t="s">
        <v>509</v>
      </c>
    </row>
    <row r="56" customFormat="false" ht="15" hidden="false" customHeight="false" outlineLevel="0" collapsed="false">
      <c r="D56" s="0" t="s">
        <v>257</v>
      </c>
      <c r="E56" s="0" t="s">
        <v>149</v>
      </c>
      <c r="G56" s="11" t="n">
        <f aca="false">SUM(J56:BN56)</f>
        <v>279.359635423702</v>
      </c>
      <c r="J56" s="11" t="n">
        <f aca="false">Inputs!$F$151*(Inputs!$F$152*J19+(1-Inputs!$F$152)*J23*Inputs!$F$153/J11)*Time!J25/12*Inputs!$F$40</f>
        <v>0</v>
      </c>
      <c r="K56" s="11" t="n">
        <f aca="false">Inputs!$F$151*(Inputs!$F$152*K19+(1-Inputs!$F$152)*K23*Inputs!$F$153/K11)*Time!K25/12*Inputs!$F$40</f>
        <v>0</v>
      </c>
      <c r="L56" s="11" t="n">
        <f aca="false">Inputs!$F$151*(Inputs!$F$152*L19+(1-Inputs!$F$152)*L23*Inputs!$F$153/L11)*Time!L25/12*Inputs!$F$40</f>
        <v>0</v>
      </c>
      <c r="M56" s="11" t="n">
        <f aca="false">Inputs!$F$151*(Inputs!$F$152*M19+(1-Inputs!$F$152)*M23*Inputs!$F$153/M11)*Time!M25/12*Inputs!$F$40</f>
        <v>0</v>
      </c>
      <c r="N56" s="11" t="n">
        <f aca="false">Inputs!$F$151*(Inputs!$F$152*N19+(1-Inputs!$F$152)*N23*Inputs!$F$153/N11)*Time!N25/12*Inputs!$F$40</f>
        <v>0</v>
      </c>
      <c r="O56" s="11" t="n">
        <f aca="false">Inputs!$F$151*(Inputs!$F$152*O19+(1-Inputs!$F$152)*O23*Inputs!$F$153/O11)*Time!O25/12*Inputs!$F$40</f>
        <v>1.39895045552449</v>
      </c>
      <c r="P56" s="11" t="n">
        <f aca="false">Inputs!$F$151*(Inputs!$F$152*P19+(1-Inputs!$F$152)*P23*Inputs!$F$153/P11)*Time!P25/12*Inputs!$F$40</f>
        <v>4.24276557728068</v>
      </c>
      <c r="Q56" s="11" t="n">
        <f aca="false">Inputs!$F$151*(Inputs!$F$152*Q19+(1-Inputs!$F$152)*Q23*Inputs!$F$153/Q11)*Time!Q25/12*Inputs!$F$40</f>
        <v>4.28918209663807</v>
      </c>
      <c r="R56" s="11" t="n">
        <f aca="false">Inputs!$F$151*(Inputs!$F$152*R19+(1-Inputs!$F$152)*R23*Inputs!$F$153/R11)*Time!R25/12*Inputs!$F$40</f>
        <v>4.33610641998086</v>
      </c>
      <c r="S56" s="11" t="n">
        <f aca="false">Inputs!$F$151*(Inputs!$F$152*S19+(1-Inputs!$F$152)*S23*Inputs!$F$153/S11)*Time!S25/12*Inputs!$F$40</f>
        <v>4.38354410276411</v>
      </c>
      <c r="T56" s="11" t="n">
        <f aca="false">Inputs!$F$151*(Inputs!$F$152*T19+(1-Inputs!$F$152)*T23*Inputs!$F$153/T11)*Time!T25/12*Inputs!$F$40</f>
        <v>4.43150076122044</v>
      </c>
      <c r="U56" s="11" t="n">
        <f aca="false">Inputs!$F$151*(Inputs!$F$152*U19+(1-Inputs!$F$152)*U23*Inputs!$F$153/U11)*Time!U25/12*Inputs!$F$40</f>
        <v>4.47998207302492</v>
      </c>
      <c r="V56" s="11" t="n">
        <f aca="false">Inputs!$F$151*(Inputs!$F$152*V19+(1-Inputs!$F$152)*V23*Inputs!$F$153/V11)*Time!V25/12*Inputs!$F$40</f>
        <v>4.52899377796729</v>
      </c>
      <c r="W56" s="11" t="n">
        <f aca="false">Inputs!$F$151*(Inputs!$F$152*W19+(1-Inputs!$F$152)*W23*Inputs!$F$153/W11)*Time!W25/12*Inputs!$F$40</f>
        <v>4.57854167863147</v>
      </c>
      <c r="X56" s="11" t="n">
        <f aca="false">Inputs!$F$151*(Inputs!$F$152*X19+(1-Inputs!$F$152)*X23*Inputs!$F$153/X11)*Time!X25/12*Inputs!$F$40</f>
        <v>4.62863164108256</v>
      </c>
      <c r="Y56" s="11" t="n">
        <f aca="false">Inputs!$F$151*(Inputs!$F$152*Y19+(1-Inputs!$F$152)*Y23*Inputs!$F$153/Y11)*Time!Y25/12*Inputs!$F$40</f>
        <v>4.67926959556136</v>
      </c>
      <c r="Z56" s="11" t="n">
        <f aca="false">Inputs!$F$151*(Inputs!$F$152*Z19+(1-Inputs!$F$152)*Z23*Inputs!$F$153/Z11)*Time!Z25/12*Inputs!$F$40</f>
        <v>4.73046153718638</v>
      </c>
      <c r="AA56" s="11" t="n">
        <f aca="false">Inputs!$F$151*(Inputs!$F$152*AA19+(1-Inputs!$F$152)*AA23*Inputs!$F$153/AA11)*Time!AA25/12*Inputs!$F$40</f>
        <v>4.78221352666371</v>
      </c>
      <c r="AB56" s="11" t="n">
        <f aca="false">Inputs!$F$151*(Inputs!$F$152*AB19+(1-Inputs!$F$152)*AB23*Inputs!$F$153/AB11)*Time!AB25/12*Inputs!$F$40</f>
        <v>4.83453169100448</v>
      </c>
      <c r="AC56" s="11" t="n">
        <f aca="false">Inputs!$F$151*(Inputs!$F$152*AC19+(1-Inputs!$F$152)*AC23*Inputs!$F$153/AC11)*Time!AC25/12*Inputs!$F$40</f>
        <v>4.88742222425031</v>
      </c>
      <c r="AD56" s="11" t="n">
        <f aca="false">Inputs!$F$151*(Inputs!$F$152*AD19+(1-Inputs!$F$152)*AD23*Inputs!$F$153/AD11)*Time!AD25/12*Inputs!$F$40</f>
        <v>4.94089138820658</v>
      </c>
      <c r="AE56" s="11" t="n">
        <f aca="false">Inputs!$F$151*(Inputs!$F$152*AE19+(1-Inputs!$F$152)*AE23*Inputs!$F$153/AE11)*Time!AE25/12*Inputs!$F$40</f>
        <v>4.99494551318381</v>
      </c>
      <c r="AF56" s="11" t="n">
        <f aca="false">Inputs!$F$151*(Inputs!$F$152*AF19+(1-Inputs!$F$152)*AF23*Inputs!$F$153/AF11)*Time!AF25/12*Inputs!$F$40</f>
        <v>5.04959099874712</v>
      </c>
      <c r="AG56" s="11" t="n">
        <f aca="false">Inputs!$F$151*(Inputs!$F$152*AG19+(1-Inputs!$F$152)*AG23*Inputs!$F$153/AG11)*Time!AG25/12*Inputs!$F$40</f>
        <v>5.10483431447386</v>
      </c>
      <c r="AH56" s="11" t="n">
        <f aca="false">Inputs!$F$151*(Inputs!$F$152*AH19+(1-Inputs!$F$152)*AH23*Inputs!$F$153/AH11)*Time!AH25/12*Inputs!$F$40</f>
        <v>5.16068200071956</v>
      </c>
      <c r="AI56" s="11" t="n">
        <f aca="false">Inputs!$F$151*(Inputs!$F$152*AI19+(1-Inputs!$F$152)*AI23*Inputs!$F$153/AI11)*Time!AI25/12*Inputs!$F$40</f>
        <v>5.21714066939228</v>
      </c>
      <c r="AJ56" s="11" t="n">
        <f aca="false">Inputs!$F$151*(Inputs!$F$152*AJ19+(1-Inputs!$F$152)*AJ23*Inputs!$F$153/AJ11)*Time!AJ25/12*Inputs!$F$40</f>
        <v>5.27421700473539</v>
      </c>
      <c r="AK56" s="11" t="n">
        <f aca="false">Inputs!$F$151*(Inputs!$F$152*AK19+(1-Inputs!$F$152)*AK23*Inputs!$F$153/AK11)*Time!AK25/12*Inputs!$F$40</f>
        <v>5.33191776411891</v>
      </c>
      <c r="AL56" s="11" t="n">
        <f aca="false">Inputs!$F$151*(Inputs!$F$152*AL19+(1-Inputs!$F$152)*AL23*Inputs!$F$153/AL11)*Time!AL25/12*Inputs!$F$40</f>
        <v>5.39024977883957</v>
      </c>
      <c r="AM56" s="11" t="n">
        <f aca="false">Inputs!$F$151*(Inputs!$F$152*AM19+(1-Inputs!$F$152)*AM23*Inputs!$F$153/AM11)*Time!AM25/12*Inputs!$F$40</f>
        <v>5.44921995492953</v>
      </c>
      <c r="AN56" s="11" t="n">
        <f aca="false">Inputs!$F$151*(Inputs!$F$152*AN19+(1-Inputs!$F$152)*AN23*Inputs!$F$153/AN11)*Time!AN25/12*Inputs!$F$40</f>
        <v>5.50883527397404</v>
      </c>
      <c r="AO56" s="11" t="n">
        <f aca="false">Inputs!$F$151*(Inputs!$F$152*AO19+(1-Inputs!$F$152)*AO23*Inputs!$F$153/AO11)*Time!AO25/12*Inputs!$F$40</f>
        <v>5.56910279393798</v>
      </c>
      <c r="AP56" s="11" t="n">
        <f aca="false">Inputs!$F$151*(Inputs!$F$152*AP19+(1-Inputs!$F$152)*AP23*Inputs!$F$153/AP11)*Time!AP25/12*Inputs!$F$40</f>
        <v>5.63002965000146</v>
      </c>
      <c r="AQ56" s="11" t="n">
        <f aca="false">Inputs!$F$151*(Inputs!$F$152*AQ19+(1-Inputs!$F$152)*AQ23*Inputs!$F$153/AQ11)*Time!AQ25/12*Inputs!$F$40</f>
        <v>5.69162305540461</v>
      </c>
      <c r="AR56" s="11" t="n">
        <f aca="false">Inputs!$F$151*(Inputs!$F$152*AR19+(1-Inputs!$F$152)*AR23*Inputs!$F$153/AR11)*Time!AR25/12*Inputs!$F$40</f>
        <v>5.7538903023015</v>
      </c>
      <c r="AS56" s="11" t="n">
        <f aca="false">Inputs!$F$151*(Inputs!$F$152*AS19+(1-Inputs!$F$152)*AS23*Inputs!$F$153/AS11)*Time!AS25/12*Inputs!$F$40</f>
        <v>5.81683876262351</v>
      </c>
      <c r="AT56" s="11" t="n">
        <f aca="false">Inputs!$F$151*(Inputs!$F$152*AT19+(1-Inputs!$F$152)*AT23*Inputs!$F$153/AT11)*Time!AT25/12*Inputs!$F$40</f>
        <v>5.88047588895213</v>
      </c>
      <c r="AU56" s="11" t="n">
        <f aca="false">Inputs!$F$151*(Inputs!$F$152*AU19+(1-Inputs!$F$152)*AU23*Inputs!$F$153/AU11)*Time!AU25/12*Inputs!$F$40</f>
        <v>5.94480921540123</v>
      </c>
      <c r="AV56" s="11" t="n">
        <f aca="false">Inputs!$F$151*(Inputs!$F$152*AV19+(1-Inputs!$F$152)*AV23*Inputs!$F$153/AV11)*Time!AV25/12*Inputs!$F$40</f>
        <v>6.00984635850908</v>
      </c>
      <c r="AW56" s="11" t="n">
        <f aca="false">Inputs!$F$151*(Inputs!$F$152*AW19+(1-Inputs!$F$152)*AW23*Inputs!$F$153/AW11)*Time!AW25/12*Inputs!$F$40</f>
        <v>6.07559501814005</v>
      </c>
      <c r="AX56" s="11" t="n">
        <f aca="false">Inputs!$F$151*(Inputs!$F$152*AX19+(1-Inputs!$F$152)*AX23*Inputs!$F$153/AX11)*Time!AX25/12*Inputs!$F$40</f>
        <v>6.14206297839627</v>
      </c>
      <c r="AY56" s="11" t="n">
        <f aca="false">Inputs!$F$151*(Inputs!$F$152*AY19+(1-Inputs!$F$152)*AY23*Inputs!$F$153/AY11)*Time!AY25/12*Inputs!$F$40</f>
        <v>6.20925810853913</v>
      </c>
      <c r="AZ56" s="11" t="n">
        <f aca="false">Inputs!$F$151*(Inputs!$F$152*AZ19+(1-Inputs!$F$152)*AZ23*Inputs!$F$153/AZ11)*Time!AZ25/12*Inputs!$F$40</f>
        <v>6.27718836392099</v>
      </c>
      <c r="BA56" s="11" t="n">
        <f aca="false">Inputs!$F$151*(Inputs!$F$152*BA19+(1-Inputs!$F$152)*BA23*Inputs!$F$153/BA11)*Time!BA25/12*Inputs!$F$40</f>
        <v>6.34586178692699</v>
      </c>
      <c r="BB56" s="11" t="n">
        <f aca="false">Inputs!$F$151*(Inputs!$F$152*BB19+(1-Inputs!$F$152)*BB23*Inputs!$F$153/BB11)*Time!BB25/12*Inputs!$F$40</f>
        <v>6.41528650792725</v>
      </c>
      <c r="BC56" s="11" t="n">
        <f aca="false">Inputs!$F$151*(Inputs!$F$152*BC19+(1-Inputs!$F$152)*BC23*Inputs!$F$153/BC11)*Time!BC25/12*Inputs!$F$40</f>
        <v>6.48547074623939</v>
      </c>
      <c r="BD56" s="11" t="n">
        <f aca="false">Inputs!$F$151*(Inputs!$F$152*BD19+(1-Inputs!$F$152)*BD23*Inputs!$F$153/BD11)*Time!BD25/12*Inputs!$F$40</f>
        <v>6.55642281110165</v>
      </c>
      <c r="BE56" s="11" t="n">
        <f aca="false">Inputs!$F$151*(Inputs!$F$152*BE19+(1-Inputs!$F$152)*BE23*Inputs!$F$153/BE11)*Time!BE25/12*Inputs!$F$40</f>
        <v>6.62815110265665</v>
      </c>
      <c r="BF56" s="11" t="n">
        <f aca="false">Inputs!$F$151*(Inputs!$F$152*BF19+(1-Inputs!$F$152)*BF23*Inputs!$F$153/BF11)*Time!BF25/12*Inputs!$F$40</f>
        <v>6.70066411294588</v>
      </c>
      <c r="BG56" s="11" t="n">
        <f aca="false">Inputs!$F$151*(Inputs!$F$152*BG19+(1-Inputs!$F$152)*BG23*Inputs!$F$153/BG11)*Time!BG25/12*Inputs!$F$40</f>
        <v>6.7739704269151</v>
      </c>
      <c r="BH56" s="11" t="n">
        <f aca="false">Inputs!$F$151*(Inputs!$F$152*BH19+(1-Inputs!$F$152)*BH23*Inputs!$F$153/BH11)*Time!BH25/12*Inputs!$F$40</f>
        <v>6.84807872343069</v>
      </c>
      <c r="BI56" s="11" t="n">
        <f aca="false">Inputs!$F$151*(Inputs!$F$152*BI19+(1-Inputs!$F$152)*BI23*Inputs!$F$153/BI11)*Time!BI25/12*Inputs!$F$40</f>
        <v>6.92299777630723</v>
      </c>
      <c r="BJ56" s="11" t="n">
        <f aca="false">Inputs!$F$151*(Inputs!$F$152*BJ19+(1-Inputs!$F$152)*BJ23*Inputs!$F$153/BJ11)*Time!BJ25/12*Inputs!$F$40</f>
        <v>6.99873645534617</v>
      </c>
      <c r="BK56" s="11" t="n">
        <f aca="false">Inputs!$F$151*(Inputs!$F$152*BK19+(1-Inputs!$F$152)*BK23*Inputs!$F$153/BK11)*Time!BK25/12*Inputs!$F$40</f>
        <v>7.07530372738599</v>
      </c>
      <c r="BL56" s="11" t="n">
        <f aca="false">Inputs!$F$151*(Inputs!$F$152*BL19+(1-Inputs!$F$152)*BL23*Inputs!$F$153/BL11)*Time!BL25/12*Inputs!$F$40</f>
        <v>7.15270865736378</v>
      </c>
      <c r="BM56" s="11" t="n">
        <f aca="false">Inputs!$F$151*(Inputs!$F$152*BM19+(1-Inputs!$F$152)*BM23*Inputs!$F$153/BM11)*Time!BM25/12*Inputs!$F$40</f>
        <v>4.82064027292565</v>
      </c>
      <c r="BN56" s="11" t="n">
        <f aca="false">Inputs!$F$151*(Inputs!$F$152*BN19+(1-Inputs!$F$152)*BN23*Inputs!$F$153/BN11)*Time!BN25/12*Inputs!$F$40</f>
        <v>0</v>
      </c>
    </row>
    <row r="57" customFormat="false" ht="15" hidden="false" customHeight="false" outlineLevel="0" collapsed="false">
      <c r="D57" s="0" t="s">
        <v>510</v>
      </c>
      <c r="E57" s="0" t="s">
        <v>149</v>
      </c>
      <c r="G57" s="11" t="n">
        <f aca="false">SUM(J57:BN57)</f>
        <v>-14.2934922267267</v>
      </c>
      <c r="J57" s="11" t="n">
        <f aca="false">IF(Time!J25&gt;0,Inputs!$F$154*MAX(-1,MIN(1,(J28-92)/3))*J19*Time!J25/12,0)</f>
        <v>0</v>
      </c>
      <c r="K57" s="11" t="n">
        <f aca="false">IF(Time!K25&gt;0,Inputs!$F$154*MAX(-1,MIN(1,(K28-92)/3))*K19*Time!K25/12,0)</f>
        <v>0</v>
      </c>
      <c r="L57" s="11" t="n">
        <f aca="false">IF(Time!L25&gt;0,Inputs!$F$154*MAX(-1,MIN(1,(L28-92)/3))*L19*Time!L25/12,0)</f>
        <v>0</v>
      </c>
      <c r="M57" s="11" t="n">
        <f aca="false">IF(Time!M25&gt;0,Inputs!$F$154*MAX(-1,MIN(1,(M28-92)/3))*M19*Time!M25/12,0)</f>
        <v>0</v>
      </c>
      <c r="N57" s="11" t="n">
        <f aca="false">IF(Time!N25&gt;0,Inputs!$F$154*MAX(-1,MIN(1,(N28-92)/3))*N19*Time!N25/12,0)</f>
        <v>0</v>
      </c>
      <c r="O57" s="11" t="n">
        <f aca="false">IF(Time!O25&gt;0,Inputs!$F$154*MAX(-1,MIN(1,(O28-92)/3))*O19*Time!O25/12,0)</f>
        <v>-0.0424668408671228</v>
      </c>
      <c r="P57" s="11" t="n">
        <f aca="false">IF(Time!P25&gt;0,Inputs!$F$154*MAX(-1,MIN(1,(P28-92)/3))*P19*Time!P25/12,0)</f>
        <v>-0.128794304255282</v>
      </c>
      <c r="Q57" s="11" t="n">
        <f aca="false">IF(Time!Q25&gt;0,Inputs!$F$154*MAX(-1,MIN(1,(Q28-92)/3))*Q19*Time!Q25/12,0)</f>
        <v>-0.162754167623248</v>
      </c>
      <c r="R57" s="11" t="n">
        <f aca="false">IF(Time!R25&gt;0,Inputs!$F$154*MAX(-1,MIN(1,(R28-92)/3))*R19*Time!R25/12,0)</f>
        <v>-0.230348613160568</v>
      </c>
      <c r="S57" s="11" t="n">
        <f aca="false">IF(Time!S25&gt;0,Inputs!$F$154*MAX(-1,MIN(1,(S28-92)/3))*S19*Time!S25/12,0)</f>
        <v>-0.199601711173151</v>
      </c>
      <c r="T57" s="11" t="n">
        <f aca="false">IF(Time!T25&gt;0,Inputs!$F$154*MAX(-1,MIN(1,(T28-92)/3))*T19*Time!T25/12,0)</f>
        <v>-0.134523590085774</v>
      </c>
      <c r="U57" s="11" t="n">
        <f aca="false">IF(Time!U25&gt;0,Inputs!$F$154*MAX(-1,MIN(1,(U28-92)/3))*U19*Time!U25/12,0)</f>
        <v>-0.256880009623876</v>
      </c>
      <c r="V57" s="11" t="n">
        <f aca="false">IF(Time!V25&gt;0,Inputs!$F$154*MAX(-1,MIN(1,(V28-92)/3))*V19*Time!V25/12,0)</f>
        <v>-0.34370777266915</v>
      </c>
      <c r="W57" s="11" t="n">
        <f aca="false">IF(Time!W25&gt;0,Inputs!$F$154*MAX(-1,MIN(1,(W28-92)/3))*W19*Time!W25/12,0)</f>
        <v>-0.347467989488296</v>
      </c>
      <c r="X57" s="11" t="n">
        <f aca="false">IF(Time!X25&gt;0,Inputs!$F$154*MAX(-1,MIN(1,(X28-92)/3))*X19*Time!X25/12,0)</f>
        <v>-0.140507737467149</v>
      </c>
      <c r="Y57" s="11" t="n">
        <f aca="false">IF(Time!Y25&gt;0,Inputs!$F$154*MAX(-1,MIN(1,(Y28-92)/3))*Y19*Time!Y25/12,0)</f>
        <v>-0.177556142628519</v>
      </c>
      <c r="Z57" s="11" t="n">
        <f aca="false">IF(Time!Z25&gt;0,Inputs!$F$154*MAX(-1,MIN(1,(Z28-92)/3))*Z19*Time!Z25/12,0)</f>
        <v>-0.251298088459993</v>
      </c>
      <c r="AA57" s="11" t="n">
        <f aca="false">IF(Time!AA25&gt;0,Inputs!$F$154*MAX(-1,MIN(1,(AA28-92)/3))*AA19*Time!AA25/12,0)</f>
        <v>-0.217754853319615</v>
      </c>
      <c r="AB57" s="11" t="n">
        <f aca="false">IF(Time!AB25&gt;0,Inputs!$F$154*MAX(-1,MIN(1,(AB28-92)/3))*AB19*Time!AB25/12,0)</f>
        <v>-0.146758083660638</v>
      </c>
      <c r="AC57" s="11" t="n">
        <f aca="false">IF(Time!AC25&gt;0,Inputs!$F$154*MAX(-1,MIN(1,(AC28-92)/3))*AC19*Time!AC25/12,0)</f>
        <v>-0.358545463482597</v>
      </c>
      <c r="AD57" s="11" t="n">
        <f aca="false">IF(Time!AD25&gt;0,Inputs!$F$154*MAX(-1,MIN(1,(AD28-92)/3))*AD19*Time!AD25/12,0)</f>
        <v>-0.374966903752928</v>
      </c>
      <c r="AE57" s="11" t="n">
        <f aca="false">IF(Time!AE25&gt;0,Inputs!$F$154*MAX(-1,MIN(1,(AE28-92)/3))*AE19*Time!AE25/12,0)</f>
        <v>-0.379069100357809</v>
      </c>
      <c r="AF57" s="11" t="n">
        <f aca="false">IF(Time!AF25&gt;0,Inputs!$F$154*MAX(-1,MIN(1,(AF28-92)/3))*AF19*Time!AF25/12,0)</f>
        <v>-0.153286470254197</v>
      </c>
      <c r="AG57" s="11" t="n">
        <f aca="false">IF(Time!AG25&gt;0,Inputs!$F$154*MAX(-1,MIN(1,(AG28-92)/3))*AG19*Time!AG25/12,0)</f>
        <v>-0.19370431028284</v>
      </c>
      <c r="AH57" s="11" t="n">
        <f aca="false">IF(Time!AH25&gt;0,Inputs!$F$154*MAX(-1,MIN(1,(AH28-92)/3))*AH19*Time!AH25/12,0)</f>
        <v>-0.274152852049629</v>
      </c>
      <c r="AI57" s="11" t="n">
        <f aca="false">IF(Time!AI25&gt;0,Inputs!$F$154*MAX(-1,MIN(1,(AI28-92)/3))*AI19*Time!AI25/12,0)</f>
        <v>-0.237558966130875</v>
      </c>
      <c r="AJ57" s="11" t="n">
        <f aca="false">IF(Time!AJ25&gt;0,Inputs!$F$154*MAX(-1,MIN(1,(AJ28-92)/3))*AJ19*Time!AJ25/12,0)</f>
        <v>-0.160105265596985</v>
      </c>
      <c r="AK57" s="11" t="n">
        <f aca="false">IF(Time!AK25&gt;0,Inputs!$F$154*MAX(-1,MIN(1,(AK28-92)/3))*AK19*Time!AK25/12,0)</f>
        <v>-0.305729590930209</v>
      </c>
      <c r="AL57" s="11" t="n">
        <f aca="false">IF(Time!AL25&gt;0,Inputs!$F$154*MAX(-1,MIN(1,(AL28-92)/3))*AL19*Time!AL25/12,0)</f>
        <v>-0.409068953600295</v>
      </c>
      <c r="AM57" s="11" t="n">
        <f aca="false">IF(Time!AM25&gt;0,Inputs!$F$154*MAX(-1,MIN(1,(AM28-92)/3))*AM19*Time!AM25/12,0)</f>
        <v>-0.413544231967069</v>
      </c>
      <c r="AN57" s="11" t="n">
        <f aca="false">IF(Time!AN25&gt;0,Inputs!$F$154*MAX(-1,MIN(1,(AN28-92)/3))*AN19*Time!AN25/12,0)</f>
        <v>-0.167227388231801</v>
      </c>
      <c r="AO57" s="11" t="n">
        <f aca="false">IF(Time!AO25&gt;0,Inputs!$F$154*MAX(-1,MIN(1,(AO28-92)/3))*AO19*Time!AO25/12,0)</f>
        <v>-0.211321102535172</v>
      </c>
      <c r="AP57" s="11" t="n">
        <f aca="false">IF(Time!AP25&gt;0,Inputs!$F$154*MAX(-1,MIN(1,(AP28-92)/3))*AP19*Time!AP25/12,0)</f>
        <v>-0.299086183852573</v>
      </c>
      <c r="AQ57" s="11" t="n">
        <f aca="false">IF(Time!AQ25&gt;0,Inputs!$F$154*MAX(-1,MIN(1,(AQ28-92)/3))*AQ19*Time!AQ25/12,0)</f>
        <v>-0.259164200149135</v>
      </c>
      <c r="AR57" s="11" t="n">
        <f aca="false">IF(Time!AR25&gt;0,Inputs!$F$154*MAX(-1,MIN(1,(AR28-92)/3))*AR19*Time!AR25/12,0)</f>
        <v>-0.174666331369905</v>
      </c>
      <c r="AS57" s="11" t="n">
        <f aca="false">IF(Time!AS25&gt;0,Inputs!$F$154*MAX(-1,MIN(1,(AS28-92)/3))*AS19*Time!AS25/12,0)</f>
        <v>-0.426728253556669</v>
      </c>
      <c r="AT57" s="11" t="n">
        <f aca="false">IF(Time!AT25&gt;0,Inputs!$F$154*MAX(-1,MIN(1,(AT28-92)/3))*AT19*Time!AT25/12,0)</f>
        <v>-0.446272476650105</v>
      </c>
      <c r="AU57" s="11" t="n">
        <f aca="false">IF(Time!AU25&gt;0,Inputs!$F$154*MAX(-1,MIN(1,(AU28-92)/3))*AU19*Time!AU25/12,0)</f>
        <v>-0.451154767380948</v>
      </c>
      <c r="AV57" s="11" t="n">
        <f aca="false">IF(Time!AV25&gt;0,Inputs!$F$154*MAX(-1,MIN(1,(AV28-92)/3))*AV19*Time!AV25/12,0)</f>
        <v>-0.182436188454563</v>
      </c>
      <c r="AW57" s="11" t="n">
        <f aca="false">IF(Time!AW25&gt;0,Inputs!$F$154*MAX(-1,MIN(1,(AW28-92)/3))*AW19*Time!AW25/12,0)</f>
        <v>-0.230540086131665</v>
      </c>
      <c r="AX57" s="11" t="n">
        <f aca="false">IF(Time!AX25&gt;0,Inputs!$F$154*MAX(-1,MIN(1,(AX28-92)/3))*AX19*Time!AX25/12,0)</f>
        <v>-0.326287123050983</v>
      </c>
      <c r="AY57" s="11" t="n">
        <f aca="false">IF(Time!AY25&gt;0,Inputs!$F$154*MAX(-1,MIN(1,(AY28-92)/3))*AY19*Time!AY25/12,0)</f>
        <v>-0.282734361631873</v>
      </c>
      <c r="AZ57" s="11" t="n">
        <f aca="false">IF(Time!AZ25&gt;0,Inputs!$F$154*MAX(-1,MIN(1,(AZ28-92)/3))*AZ19*Time!AZ25/12,0)</f>
        <v>-0.190551679861776</v>
      </c>
      <c r="BA57" s="11" t="n">
        <f aca="false">IF(Time!BA25&gt;0,Inputs!$F$154*MAX(-1,MIN(1,(BA28-92)/3))*BA19*Time!BA25/12,0)</f>
        <v>-0.363868651777197</v>
      </c>
      <c r="BB57" s="11" t="n">
        <f aca="false">IF(Time!BB25&gt;0,Inputs!$F$154*MAX(-1,MIN(1,(BB28-92)/3))*BB19*Time!BB25/12,0)</f>
        <v>-0.486859542046837</v>
      </c>
      <c r="BC57" s="11" t="n">
        <f aca="false">IF(Time!BC25&gt;0,Inputs!$F$154*MAX(-1,MIN(1,(BC28-92)/3))*BC19*Time!BC25/12,0)</f>
        <v>-0.492185861624509</v>
      </c>
      <c r="BD57" s="11" t="n">
        <f aca="false">IF(Time!BD25&gt;0,Inputs!$F$154*MAX(-1,MIN(1,(BD28-92)/3))*BD19*Time!BD25/12,0)</f>
        <v>-0.199028180788747</v>
      </c>
      <c r="BE57" s="11" t="n">
        <f aca="false">IF(Time!BE25&gt;0,Inputs!$F$154*MAX(-1,MIN(1,(BE28-92)/3))*BE19*Time!BE25/12,0)</f>
        <v>-0.251506975290124</v>
      </c>
      <c r="BF57" s="11" t="n">
        <f aca="false">IF(Time!BF25&gt;0,Inputs!$F$154*MAX(-1,MIN(1,(BF28-92)/3))*BF19*Time!BF25/12,0)</f>
        <v>-0.35596190134067</v>
      </c>
      <c r="BG57" s="11" t="n">
        <f aca="false">IF(Time!BG25&gt;0,Inputs!$F$154*MAX(-1,MIN(1,(BG28-92)/3))*BG19*Time!BG25/12,0)</f>
        <v>-0.308448154495808</v>
      </c>
      <c r="BH57" s="11" t="n">
        <f aca="false">IF(Time!BH25&gt;0,Inputs!$F$154*MAX(-1,MIN(1,(BH28-92)/3))*BH19*Time!BH25/12,0)</f>
        <v>-0.207881750382954</v>
      </c>
      <c r="BI57" s="11" t="n">
        <f aca="false">IF(Time!BI25&gt;0,Inputs!$F$154*MAX(-1,MIN(1,(BI28-92)/3))*BI19*Time!BI25/12,0)</f>
        <v>-0.50787702238593</v>
      </c>
      <c r="BJ57" s="11" t="n">
        <f aca="false">IF(Time!BJ25&gt;0,Inputs!$F$154*MAX(-1,MIN(1,(BJ28-92)/3))*BJ19*Time!BJ25/12,0)</f>
        <v>-0.531137872228445</v>
      </c>
      <c r="BK57" s="11" t="n">
        <f aca="false">IF(Time!BK25&gt;0,Inputs!$F$154*MAX(-1,MIN(1,(BK28-92)/3))*BK19*Time!BK25/12,0)</f>
        <v>-0.536948603667333</v>
      </c>
      <c r="BL57" s="11" t="n">
        <f aca="false">IF(Time!BL25&gt;0,Inputs!$F$154*MAX(-1,MIN(1,(BL28-92)/3))*BL19*Time!BL25/12,0)</f>
        <v>-0.217129162166989</v>
      </c>
      <c r="BM57" s="11" t="n">
        <f aca="false">IF(Time!BM25&gt;0,Inputs!$F$154*MAX(-1,MIN(1,(BM28-92)/3))*BM19*Time!BM25/12,0)</f>
        <v>-0.146336392786137</v>
      </c>
      <c r="BN57" s="11" t="n">
        <f aca="false">IF(Time!BN25&gt;0,Inputs!$F$154*MAX(-1,MIN(1,(BN28-92)/3))*BN19*Time!BN25/12,0)</f>
        <v>0</v>
      </c>
    </row>
    <row r="58" customFormat="false" ht="15" hidden="false" customHeight="false" outlineLevel="0" collapsed="false">
      <c r="D58" s="0" t="s">
        <v>261</v>
      </c>
      <c r="E58" s="0" t="s">
        <v>149</v>
      </c>
      <c r="G58" s="11" t="n">
        <f aca="false">SUM(J58:BN58)</f>
        <v>93.2833128501808</v>
      </c>
      <c r="J58" s="11" t="n">
        <f aca="false">Inputs!$F$155*J19*Time!J25/12*Inputs!$F$40</f>
        <v>0</v>
      </c>
      <c r="K58" s="11" t="n">
        <f aca="false">Inputs!$F$155*K19*Time!K25/12*Inputs!$F$40</f>
        <v>0</v>
      </c>
      <c r="L58" s="11" t="n">
        <f aca="false">Inputs!$F$155*L19*Time!L25/12*Inputs!$F$40</f>
        <v>0</v>
      </c>
      <c r="M58" s="11" t="n">
        <f aca="false">Inputs!$F$155*M19*Time!M25/12*Inputs!$F$40</f>
        <v>0</v>
      </c>
      <c r="N58" s="11" t="n">
        <f aca="false">Inputs!$F$155*N19*Time!N25/12*Inputs!$F$40</f>
        <v>0</v>
      </c>
      <c r="O58" s="11" t="n">
        <f aca="false">Inputs!$F$155*O19*Time!O25/12*Inputs!$F$40</f>
        <v>0.46713524953835</v>
      </c>
      <c r="P58" s="11" t="n">
        <f aca="false">Inputs!$F$155*P19*Time!P25/12*Inputs!$F$40</f>
        <v>1.41673734680809</v>
      </c>
      <c r="Q58" s="11" t="n">
        <f aca="false">Inputs!$F$155*Q19*Time!Q25/12*Inputs!$F$40</f>
        <v>1.43223667508458</v>
      </c>
      <c r="R58" s="11" t="n">
        <f aca="false">Inputs!$F$155*R19*Time!R25/12*Inputs!$F$40</f>
        <v>1.44790556843787</v>
      </c>
      <c r="S58" s="11" t="n">
        <f aca="false">Inputs!$F$155*S19*Time!S25/12*Inputs!$F$40</f>
        <v>1.46374588193644</v>
      </c>
      <c r="T58" s="11" t="n">
        <f aca="false">Inputs!$F$155*T19*Time!T25/12*Inputs!$F$40</f>
        <v>1.47975949094351</v>
      </c>
      <c r="U58" s="11" t="n">
        <f aca="false">Inputs!$F$155*U19*Time!U25/12*Inputs!$F$40</f>
        <v>1.49594829133904</v>
      </c>
      <c r="V58" s="11" t="n">
        <f aca="false">Inputs!$F$155*V19*Time!V25/12*Inputs!$F$40</f>
        <v>1.51231419974426</v>
      </c>
      <c r="W58" s="11" t="n">
        <f aca="false">Inputs!$F$155*W19*Time!W25/12*Inputs!$F$40</f>
        <v>1.5288591537485</v>
      </c>
      <c r="X58" s="11" t="n">
        <f aca="false">Inputs!$F$155*X19*Time!X25/12*Inputs!$F$40</f>
        <v>1.54558511213864</v>
      </c>
      <c r="Y58" s="11" t="n">
        <f aca="false">Inputs!$F$155*Y19*Time!Y25/12*Inputs!$F$40</f>
        <v>1.56249405513097</v>
      </c>
      <c r="Z58" s="11" t="n">
        <f aca="false">Inputs!$F$155*Z19*Time!Z25/12*Inputs!$F$40</f>
        <v>1.57958798460568</v>
      </c>
      <c r="AA58" s="11" t="n">
        <f aca="false">Inputs!$F$155*AA19*Time!AA25/12*Inputs!$F$40</f>
        <v>1.59686892434385</v>
      </c>
      <c r="AB58" s="11" t="n">
        <f aca="false">Inputs!$F$155*AB19*Time!AB25/12*Inputs!$F$40</f>
        <v>1.61433892026701</v>
      </c>
      <c r="AC58" s="11" t="n">
        <f aca="false">Inputs!$F$155*AC19*Time!AC25/12*Inputs!$F$40</f>
        <v>1.63200004067941</v>
      </c>
      <c r="AD58" s="11" t="n">
        <f aca="false">Inputs!$F$155*AD19*Time!AD25/12*Inputs!$F$40</f>
        <v>1.64985437651288</v>
      </c>
      <c r="AE58" s="11" t="n">
        <f aca="false">Inputs!$F$155*AE19*Time!AE25/12*Inputs!$F$40</f>
        <v>1.66790404157436</v>
      </c>
      <c r="AF58" s="11" t="n">
        <f aca="false">Inputs!$F$155*AF19*Time!AF25/12*Inputs!$F$40</f>
        <v>1.68615117279617</v>
      </c>
      <c r="AG58" s="11" t="n">
        <f aca="false">Inputs!$F$155*AG19*Time!AG25/12*Inputs!$F$40</f>
        <v>1.704597930489</v>
      </c>
      <c r="AH58" s="11" t="n">
        <f aca="false">Inputs!$F$155*AH19*Time!AH25/12*Inputs!$F$40</f>
        <v>1.72324649859768</v>
      </c>
      <c r="AI58" s="11" t="n">
        <f aca="false">Inputs!$F$155*AI19*Time!AI25/12*Inputs!$F$40</f>
        <v>1.74209908495975</v>
      </c>
      <c r="AJ58" s="11" t="n">
        <f aca="false">Inputs!$F$155*AJ19*Time!AJ25/12*Inputs!$F$40</f>
        <v>1.76115792156683</v>
      </c>
      <c r="AK58" s="11" t="n">
        <f aca="false">Inputs!$F$155*AK19*Time!AK25/12*Inputs!$F$40</f>
        <v>1.78042526482887</v>
      </c>
      <c r="AL58" s="11" t="n">
        <f aca="false">Inputs!$F$155*AL19*Time!AL25/12*Inputs!$F$40</f>
        <v>1.7999033958413</v>
      </c>
      <c r="AM58" s="11" t="n">
        <f aca="false">Inputs!$F$155*AM19*Time!AM25/12*Inputs!$F$40</f>
        <v>1.8195946206551</v>
      </c>
      <c r="AN58" s="11" t="n">
        <f aca="false">Inputs!$F$155*AN19*Time!AN25/12*Inputs!$F$40</f>
        <v>1.83950127054981</v>
      </c>
      <c r="AO58" s="11" t="n">
        <f aca="false">Inputs!$F$155*AO19*Time!AO25/12*Inputs!$F$40</f>
        <v>1.85962570230951</v>
      </c>
      <c r="AP58" s="11" t="n">
        <f aca="false">Inputs!$F$155*AP19*Time!AP25/12*Inputs!$F$40</f>
        <v>1.8799702985019</v>
      </c>
      <c r="AQ58" s="11" t="n">
        <f aca="false">Inputs!$F$155*AQ19*Time!AQ25/12*Inputs!$F$40</f>
        <v>1.90053746776032</v>
      </c>
      <c r="AR58" s="11" t="n">
        <f aca="false">Inputs!$F$155*AR19*Time!AR25/12*Inputs!$F$40</f>
        <v>1.92132964506895</v>
      </c>
      <c r="AS58" s="11" t="n">
        <f aca="false">Inputs!$F$155*AS19*Time!AS25/12*Inputs!$F$40</f>
        <v>1.94234929205105</v>
      </c>
      <c r="AT58" s="11" t="n">
        <f aca="false">Inputs!$F$155*AT19*Time!AT25/12*Inputs!$F$40</f>
        <v>1.96359889726046</v>
      </c>
      <c r="AU58" s="11" t="n">
        <f aca="false">Inputs!$F$155*AU19*Time!AU25/12*Inputs!$F$40</f>
        <v>1.98508097647617</v>
      </c>
      <c r="AV58" s="11" t="n">
        <f aca="false">Inputs!$F$155*AV19*Time!AV25/12*Inputs!$F$40</f>
        <v>2.00679807300019</v>
      </c>
      <c r="AW58" s="11" t="n">
        <f aca="false">Inputs!$F$155*AW19*Time!AW25/12*Inputs!$F$40</f>
        <v>2.02875275795865</v>
      </c>
      <c r="AX58" s="11" t="n">
        <f aca="false">Inputs!$F$155*AX19*Time!AX25/12*Inputs!$F$40</f>
        <v>2.0509476306062</v>
      </c>
      <c r="AY58" s="11" t="n">
        <f aca="false">Inputs!$F$155*AY19*Time!AY25/12*Inputs!$F$40</f>
        <v>2.07338531863374</v>
      </c>
      <c r="AZ58" s="11" t="n">
        <f aca="false">Inputs!$F$155*AZ19*Time!AZ25/12*Inputs!$F$40</f>
        <v>2.09606847847953</v>
      </c>
      <c r="BA58" s="11" t="n">
        <f aca="false">Inputs!$F$155*BA19*Time!BA25/12*Inputs!$F$40</f>
        <v>2.11899979564368</v>
      </c>
      <c r="BB58" s="11" t="n">
        <f aca="false">Inputs!$F$155*BB19*Time!BB25/12*Inputs!$F$40</f>
        <v>2.14218198500608</v>
      </c>
      <c r="BC58" s="11" t="n">
        <f aca="false">Inputs!$F$155*BC19*Time!BC25/12*Inputs!$F$40</f>
        <v>2.16561779114784</v>
      </c>
      <c r="BD58" s="11" t="n">
        <f aca="false">Inputs!$F$155*BD19*Time!BD25/12*Inputs!$F$40</f>
        <v>2.18930998867621</v>
      </c>
      <c r="BE58" s="11" t="n">
        <f aca="false">Inputs!$F$155*BE19*Time!BE25/12*Inputs!$F$40</f>
        <v>2.21326138255309</v>
      </c>
      <c r="BF58" s="11" t="n">
        <f aca="false">Inputs!$F$155*BF19*Time!BF25/12*Inputs!$F$40</f>
        <v>2.23747480842709</v>
      </c>
      <c r="BG58" s="11" t="n">
        <f aca="false">Inputs!$F$155*BG19*Time!BG25/12*Inputs!$F$40</f>
        <v>2.26195313296926</v>
      </c>
      <c r="BH58" s="11" t="n">
        <f aca="false">Inputs!$F$155*BH19*Time!BH25/12*Inputs!$F$40</f>
        <v>2.28669925421249</v>
      </c>
      <c r="BI58" s="11" t="n">
        <f aca="false">Inputs!$F$155*BI19*Time!BI25/12*Inputs!$F$40</f>
        <v>2.31171610189458</v>
      </c>
      <c r="BJ58" s="11" t="n">
        <f aca="false">Inputs!$F$155*BJ19*Time!BJ25/12*Inputs!$F$40</f>
        <v>2.33700663780516</v>
      </c>
      <c r="BK58" s="11" t="n">
        <f aca="false">Inputs!$F$155*BK19*Time!BK25/12*Inputs!$F$40</f>
        <v>2.36257385613626</v>
      </c>
      <c r="BL58" s="11" t="n">
        <f aca="false">Inputs!$F$155*BL19*Time!BL25/12*Inputs!$F$40</f>
        <v>2.38842078383687</v>
      </c>
      <c r="BM58" s="11" t="n">
        <f aca="false">Inputs!$F$155*BM19*Time!BM25/12*Inputs!$F$40</f>
        <v>1.60970032064751</v>
      </c>
      <c r="BN58" s="11" t="n">
        <f aca="false">Inputs!$F$155*BN19*Time!BN25/12*Inputs!$F$40</f>
        <v>0</v>
      </c>
    </row>
    <row r="59" customFormat="false" ht="15" hidden="false" customHeight="false" outlineLevel="0" collapsed="false">
      <c r="D59" s="0" t="s">
        <v>511</v>
      </c>
      <c r="E59" s="0" t="s">
        <v>512</v>
      </c>
      <c r="J59" s="13" t="n">
        <f aca="false">IF(J27&gt;0,2*(Inputs!$F$129*J28/J27*J33/Inputs!$F$131+Inputs!$F$130*Inputs!$F$132)*Time!J25/12,0)</f>
        <v>0</v>
      </c>
      <c r="K59" s="13" t="n">
        <f aca="false">IF(K27&gt;0,2*(Inputs!$F$129*K28/K27*K33/Inputs!$F$131+Inputs!$F$130*Inputs!$F$132)*Time!K25/12,0)</f>
        <v>0</v>
      </c>
      <c r="L59" s="13" t="n">
        <f aca="false">IF(L27&gt;0,2*(Inputs!$F$129*L28/L27*L33/Inputs!$F$131+Inputs!$F$130*Inputs!$F$132)*Time!L25/12,0)</f>
        <v>0</v>
      </c>
      <c r="M59" s="13" t="n">
        <f aca="false">IF(M27&gt;0,2*(Inputs!$F$129*M28/M27*M33/Inputs!$F$131+Inputs!$F$130*Inputs!$F$132)*Time!M25/12,0)</f>
        <v>0</v>
      </c>
      <c r="N59" s="13" t="n">
        <f aca="false">IF(N27&gt;0,2*(Inputs!$F$129*N28/N27*N33/Inputs!$F$131+Inputs!$F$130*Inputs!$F$132)*Time!N25/12,0)</f>
        <v>0</v>
      </c>
      <c r="O59" s="13" t="n">
        <f aca="false">IF(O27&gt;0,2*(Inputs!$F$129*O28/O27*O33/Inputs!$F$131+Inputs!$F$130*Inputs!$F$132)*Time!O25/12,0)</f>
        <v>2727.08315565032</v>
      </c>
      <c r="P59" s="13" t="n">
        <f aca="false">IF(P27&gt;0,2*(Inputs!$F$129*P28/P27*P33/Inputs!$F$131+Inputs!$F$130*Inputs!$F$132)*Time!P25/12,0)</f>
        <v>8181.24946695096</v>
      </c>
      <c r="Q59" s="13" t="n">
        <f aca="false">IF(Q27&gt;0,2*(Inputs!$F$129*Q28/Q27*Q33/Inputs!$F$131+Inputs!$F$130*Inputs!$F$132)*Time!Q25/12,0)</f>
        <v>8180.42245989305</v>
      </c>
      <c r="R59" s="13" t="n">
        <f aca="false">IF(R27&gt;0,2*(Inputs!$F$129*R28/R27*R33/Inputs!$F$131+Inputs!$F$130*Inputs!$F$132)*Time!R25/12,0)</f>
        <v>8178.7524219591</v>
      </c>
      <c r="S59" s="13" t="n">
        <f aca="false">IF(S27&gt;0,2*(Inputs!$F$129*S28/S27*S33/Inputs!$F$131+Inputs!$F$130*Inputs!$F$132)*Time!S25/12,0)</f>
        <v>8179.59012875537</v>
      </c>
      <c r="T59" s="13" t="n">
        <f aca="false">IF(T27&gt;0,2*(Inputs!$F$129*T28/T27*T33/Inputs!$F$131+Inputs!$F$130*Inputs!$F$132)*Time!T25/12,0)</f>
        <v>8181.24946695096</v>
      </c>
      <c r="U59" s="13" t="n">
        <f aca="false">IF(U27&gt;0,2*(Inputs!$F$129*U28/U27*U33/Inputs!$F$131+Inputs!$F$130*Inputs!$F$132)*Time!U25/12,0)</f>
        <v>8178.28468727534</v>
      </c>
      <c r="V59" s="13" t="n">
        <f aca="false">IF(V27&gt;0,2*(Inputs!$F$129*V28/V27*V33/Inputs!$F$131+Inputs!$F$130*Inputs!$F$132)*Time!V25/12,0)</f>
        <v>8172.14569536424</v>
      </c>
      <c r="W59" s="13" t="n">
        <f aca="false">IF(W27&gt;0,2*(Inputs!$F$129*W28/W27*W33/Inputs!$F$131+Inputs!$F$130*Inputs!$F$132)*Time!W25/12,0)</f>
        <v>8175.25090909091</v>
      </c>
      <c r="X59" s="13" t="n">
        <f aca="false">IF(X27&gt;0,2*(Inputs!$F$129*X28/X27*X33/Inputs!$F$131+Inputs!$F$130*Inputs!$F$132)*Time!X25/12,0)</f>
        <v>8181.24946695096</v>
      </c>
      <c r="Y59" s="13" t="n">
        <f aca="false">IF(Y27&gt;0,2*(Inputs!$F$129*Y28/Y27*Y33/Inputs!$F$131+Inputs!$F$130*Inputs!$F$132)*Time!Y25/12,0)</f>
        <v>8180.42245989305</v>
      </c>
      <c r="Z59" s="13" t="n">
        <f aca="false">IF(Z27&gt;0,2*(Inputs!$F$129*Z28/Z27*Z33/Inputs!$F$131+Inputs!$F$130*Inputs!$F$132)*Time!Z25/12,0)</f>
        <v>8178.7524219591</v>
      </c>
      <c r="AA59" s="13" t="n">
        <f aca="false">IF(AA27&gt;0,2*(Inputs!$F$129*AA28/AA27*AA33/Inputs!$F$131+Inputs!$F$130*Inputs!$F$132)*Time!AA25/12,0)</f>
        <v>8179.59012875537</v>
      </c>
      <c r="AB59" s="13" t="n">
        <f aca="false">IF(AB27&gt;0,2*(Inputs!$F$129*AB28/AB27*AB33/Inputs!$F$131+Inputs!$F$130*Inputs!$F$132)*Time!AB25/12,0)</f>
        <v>8181.24946695096</v>
      </c>
      <c r="AC59" s="13" t="n">
        <f aca="false">IF(AC27&gt;0,2*(Inputs!$F$129*AC28/AC27*AC33/Inputs!$F$131+Inputs!$F$130*Inputs!$F$132)*Time!AC25/12,0)</f>
        <v>8176.49185667753</v>
      </c>
      <c r="AD59" s="13" t="n">
        <f aca="false">IF(AD27&gt;0,2*(Inputs!$F$129*AD28/AD27*AD33/Inputs!$F$131+Inputs!$F$130*Inputs!$F$132)*Time!AD25/12,0)</f>
        <v>8166.42953776776</v>
      </c>
      <c r="AE59" s="13" t="n">
        <f aca="false">IF(AE27&gt;0,2*(Inputs!$F$129*AE28/AE27*AE33/Inputs!$F$131+Inputs!$F$130*Inputs!$F$132)*Time!AE25/12,0)</f>
        <v>8171.55530973452</v>
      </c>
      <c r="AF59" s="13" t="n">
        <f aca="false">IF(AF27&gt;0,2*(Inputs!$F$129*AF28/AF27*AF33/Inputs!$F$131+Inputs!$F$130*Inputs!$F$132)*Time!AF25/12,0)</f>
        <v>8181.24946695096</v>
      </c>
      <c r="AG59" s="13" t="n">
        <f aca="false">IF(AG27&gt;0,2*(Inputs!$F$129*AG28/AG27*AG33/Inputs!$F$131+Inputs!$F$130*Inputs!$F$132)*Time!AG25/12,0)</f>
        <v>8180.42245989305</v>
      </c>
      <c r="AH59" s="13" t="n">
        <f aca="false">IF(AH27&gt;0,2*(Inputs!$F$129*AH28/AH27*AH33/Inputs!$F$131+Inputs!$F$130*Inputs!$F$132)*Time!AH25/12,0)</f>
        <v>8178.7524219591</v>
      </c>
      <c r="AI59" s="13" t="n">
        <f aca="false">IF(AI27&gt;0,2*(Inputs!$F$129*AI28/AI27*AI33/Inputs!$F$131+Inputs!$F$130*Inputs!$F$132)*Time!AI25/12,0)</f>
        <v>8179.59012875537</v>
      </c>
      <c r="AJ59" s="13" t="n">
        <f aca="false">IF(AJ27&gt;0,2*(Inputs!$F$129*AJ28/AJ27*AJ33/Inputs!$F$131+Inputs!$F$130*Inputs!$F$132)*Time!AJ25/12,0)</f>
        <v>8181.24946695096</v>
      </c>
      <c r="AK59" s="13" t="n">
        <f aca="false">IF(AK27&gt;0,2*(Inputs!$F$129*AK28/AK27*AK33/Inputs!$F$131+Inputs!$F$130*Inputs!$F$132)*Time!AK25/12,0)</f>
        <v>8178.28468727534</v>
      </c>
      <c r="AL59" s="13" t="n">
        <f aca="false">IF(AL27&gt;0,2*(Inputs!$F$129*AL28/AL27*AL33/Inputs!$F$131+Inputs!$F$130*Inputs!$F$132)*Time!AL25/12,0)</f>
        <v>8172.14569536424</v>
      </c>
      <c r="AM59" s="13" t="n">
        <f aca="false">IF(AM27&gt;0,2*(Inputs!$F$129*AM28/AM27*AM33/Inputs!$F$131+Inputs!$F$130*Inputs!$F$132)*Time!AM25/12,0)</f>
        <v>8175.25090909091</v>
      </c>
      <c r="AN59" s="13" t="n">
        <f aca="false">IF(AN27&gt;0,2*(Inputs!$F$129*AN28/AN27*AN33/Inputs!$F$131+Inputs!$F$130*Inputs!$F$132)*Time!AN25/12,0)</f>
        <v>8181.24946695096</v>
      </c>
      <c r="AO59" s="13" t="n">
        <f aca="false">IF(AO27&gt;0,2*(Inputs!$F$129*AO28/AO27*AO33/Inputs!$F$131+Inputs!$F$130*Inputs!$F$132)*Time!AO25/12,0)</f>
        <v>8180.42245989305</v>
      </c>
      <c r="AP59" s="13" t="n">
        <f aca="false">IF(AP27&gt;0,2*(Inputs!$F$129*AP28/AP27*AP33/Inputs!$F$131+Inputs!$F$130*Inputs!$F$132)*Time!AP25/12,0)</f>
        <v>8178.7524219591</v>
      </c>
      <c r="AQ59" s="13" t="n">
        <f aca="false">IF(AQ27&gt;0,2*(Inputs!$F$129*AQ28/AQ27*AQ33/Inputs!$F$131+Inputs!$F$130*Inputs!$F$132)*Time!AQ25/12,0)</f>
        <v>8179.59012875537</v>
      </c>
      <c r="AR59" s="13" t="n">
        <f aca="false">IF(AR27&gt;0,2*(Inputs!$F$129*AR28/AR27*AR33/Inputs!$F$131+Inputs!$F$130*Inputs!$F$132)*Time!AR25/12,0)</f>
        <v>8181.24946695096</v>
      </c>
      <c r="AS59" s="13" t="n">
        <f aca="false">IF(AS27&gt;0,2*(Inputs!$F$129*AS28/AS27*AS33/Inputs!$F$131+Inputs!$F$130*Inputs!$F$132)*Time!AS25/12,0)</f>
        <v>8176.49185667753</v>
      </c>
      <c r="AT59" s="13" t="n">
        <f aca="false">IF(AT27&gt;0,2*(Inputs!$F$129*AT28/AT27*AT33/Inputs!$F$131+Inputs!$F$130*Inputs!$F$132)*Time!AT25/12,0)</f>
        <v>8166.42953776776</v>
      </c>
      <c r="AU59" s="13" t="n">
        <f aca="false">IF(AU27&gt;0,2*(Inputs!$F$129*AU28/AU27*AU33/Inputs!$F$131+Inputs!$F$130*Inputs!$F$132)*Time!AU25/12,0)</f>
        <v>8171.55530973452</v>
      </c>
      <c r="AV59" s="13" t="n">
        <f aca="false">IF(AV27&gt;0,2*(Inputs!$F$129*AV28/AV27*AV33/Inputs!$F$131+Inputs!$F$130*Inputs!$F$132)*Time!AV25/12,0)</f>
        <v>8181.24946695096</v>
      </c>
      <c r="AW59" s="13" t="n">
        <f aca="false">IF(AW27&gt;0,2*(Inputs!$F$129*AW28/AW27*AW33/Inputs!$F$131+Inputs!$F$130*Inputs!$F$132)*Time!AW25/12,0)</f>
        <v>8180.42245989305</v>
      </c>
      <c r="AX59" s="13" t="n">
        <f aca="false">IF(AX27&gt;0,2*(Inputs!$F$129*AX28/AX27*AX33/Inputs!$F$131+Inputs!$F$130*Inputs!$F$132)*Time!AX25/12,0)</f>
        <v>8178.7524219591</v>
      </c>
      <c r="AY59" s="13" t="n">
        <f aca="false">IF(AY27&gt;0,2*(Inputs!$F$129*AY28/AY27*AY33/Inputs!$F$131+Inputs!$F$130*Inputs!$F$132)*Time!AY25/12,0)</f>
        <v>8179.59012875537</v>
      </c>
      <c r="AZ59" s="13" t="n">
        <f aca="false">IF(AZ27&gt;0,2*(Inputs!$F$129*AZ28/AZ27*AZ33/Inputs!$F$131+Inputs!$F$130*Inputs!$F$132)*Time!AZ25/12,0)</f>
        <v>8181.24946695096</v>
      </c>
      <c r="BA59" s="13" t="n">
        <f aca="false">IF(BA27&gt;0,2*(Inputs!$F$129*BA28/BA27*BA33/Inputs!$F$131+Inputs!$F$130*Inputs!$F$132)*Time!BA25/12,0)</f>
        <v>8178.28468727534</v>
      </c>
      <c r="BB59" s="13" t="n">
        <f aca="false">IF(BB27&gt;0,2*(Inputs!$F$129*BB28/BB27*BB33/Inputs!$F$131+Inputs!$F$130*Inputs!$F$132)*Time!BB25/12,0)</f>
        <v>8172.14569536424</v>
      </c>
      <c r="BC59" s="13" t="n">
        <f aca="false">IF(BC27&gt;0,2*(Inputs!$F$129*BC28/BC27*BC33/Inputs!$F$131+Inputs!$F$130*Inputs!$F$132)*Time!BC25/12,0)</f>
        <v>8175.25090909091</v>
      </c>
      <c r="BD59" s="13" t="n">
        <f aca="false">IF(BD27&gt;0,2*(Inputs!$F$129*BD28/BD27*BD33/Inputs!$F$131+Inputs!$F$130*Inputs!$F$132)*Time!BD25/12,0)</f>
        <v>8181.24946695096</v>
      </c>
      <c r="BE59" s="13" t="n">
        <f aca="false">IF(BE27&gt;0,2*(Inputs!$F$129*BE28/BE27*BE33/Inputs!$F$131+Inputs!$F$130*Inputs!$F$132)*Time!BE25/12,0)</f>
        <v>8180.42245989305</v>
      </c>
      <c r="BF59" s="13" t="n">
        <f aca="false">IF(BF27&gt;0,2*(Inputs!$F$129*BF28/BF27*BF33/Inputs!$F$131+Inputs!$F$130*Inputs!$F$132)*Time!BF25/12,0)</f>
        <v>8178.7524219591</v>
      </c>
      <c r="BG59" s="13" t="n">
        <f aca="false">IF(BG27&gt;0,2*(Inputs!$F$129*BG28/BG27*BG33/Inputs!$F$131+Inputs!$F$130*Inputs!$F$132)*Time!BG25/12,0)</f>
        <v>8179.59012875537</v>
      </c>
      <c r="BH59" s="13" t="n">
        <f aca="false">IF(BH27&gt;0,2*(Inputs!$F$129*BH28/BH27*BH33/Inputs!$F$131+Inputs!$F$130*Inputs!$F$132)*Time!BH25/12,0)</f>
        <v>8181.24946695096</v>
      </c>
      <c r="BI59" s="13" t="n">
        <f aca="false">IF(BI27&gt;0,2*(Inputs!$F$129*BI28/BI27*BI33/Inputs!$F$131+Inputs!$F$130*Inputs!$F$132)*Time!BI25/12,0)</f>
        <v>8176.49185667753</v>
      </c>
      <c r="BJ59" s="13" t="n">
        <f aca="false">IF(BJ27&gt;0,2*(Inputs!$F$129*BJ28/BJ27*BJ33/Inputs!$F$131+Inputs!$F$130*Inputs!$F$132)*Time!BJ25/12,0)</f>
        <v>8166.42953776776</v>
      </c>
      <c r="BK59" s="13" t="n">
        <f aca="false">IF(BK27&gt;0,2*(Inputs!$F$129*BK28/BK27*BK33/Inputs!$F$131+Inputs!$F$130*Inputs!$F$132)*Time!BK25/12,0)</f>
        <v>8171.55530973452</v>
      </c>
      <c r="BL59" s="13" t="n">
        <f aca="false">IF(BL27&gt;0,2*(Inputs!$F$129*BL28/BL27*BL33/Inputs!$F$131+Inputs!$F$130*Inputs!$F$132)*Time!BL25/12,0)</f>
        <v>8181.24946695096</v>
      </c>
      <c r="BM59" s="13" t="n">
        <f aca="false">IF(BM27&gt;0,2*(Inputs!$F$129*BM28/BM27*BM33/Inputs!$F$131+Inputs!$F$130*Inputs!$F$132)*Time!BM25/12,0)</f>
        <v>5454.16631130064</v>
      </c>
      <c r="BN59" s="13" t="n">
        <f aca="false">IF(BN27&gt;0,2*(Inputs!$F$129*BN28/BN27*BN33/Inputs!$F$131+Inputs!$F$130*Inputs!$F$132)*Time!BN25/12,0)</f>
        <v>0</v>
      </c>
    </row>
    <row r="60" customFormat="false" ht="15" hidden="false" customHeight="false" outlineLevel="0" collapsed="false">
      <c r="D60" s="0" t="s">
        <v>262</v>
      </c>
      <c r="E60" s="0" t="s">
        <v>149</v>
      </c>
      <c r="G60" s="11" t="n">
        <f aca="false">SUM(J60:BN60)</f>
        <v>280.866139856236</v>
      </c>
      <c r="J60" s="11" t="n">
        <f aca="false">J59*Inputs!$F$156*J19/1000000</f>
        <v>0</v>
      </c>
      <c r="K60" s="11" t="n">
        <f aca="false">K59*Inputs!$F$156*K19/1000000</f>
        <v>0</v>
      </c>
      <c r="L60" s="11" t="n">
        <f aca="false">L59*Inputs!$F$156*L19/1000000</f>
        <v>0</v>
      </c>
      <c r="M60" s="11" t="n">
        <f aca="false">M59*Inputs!$F$156*M19/1000000</f>
        <v>0</v>
      </c>
      <c r="N60" s="11" t="n">
        <f aca="false">N59*Inputs!$F$156*N19/1000000</f>
        <v>0</v>
      </c>
      <c r="O60" s="11" t="n">
        <f aca="false">O59*Inputs!$F$156*O19/1000000</f>
        <v>1.40709886778932</v>
      </c>
      <c r="P60" s="11" t="n">
        <f aca="false">P59*Inputs!$F$156*P19/1000000</f>
        <v>4.2674782487911</v>
      </c>
      <c r="Q60" s="11" t="n">
        <f aca="false">Q59*Inputs!$F$156*Q19/1000000</f>
        <v>4.31372902838318</v>
      </c>
      <c r="R60" s="11" t="n">
        <f aca="false">R59*Inputs!$F$156*R19/1000000</f>
        <v>4.36003161429534</v>
      </c>
      <c r="S60" s="11" t="n">
        <f aca="false">S59*Inputs!$F$156*S19/1000000</f>
        <v>4.40818250326539</v>
      </c>
      <c r="T60" s="11" t="n">
        <f aca="false">T59*Inputs!$F$156*T19/1000000</f>
        <v>4.45731275121032</v>
      </c>
      <c r="U60" s="11" t="n">
        <f aca="false">U59*Inputs!$F$156*U19/1000000</f>
        <v>4.50444350602326</v>
      </c>
      <c r="V60" s="11" t="n">
        <f aca="false">V59*Inputs!$F$156*V19/1000000</f>
        <v>4.55030459170791</v>
      </c>
      <c r="W60" s="11" t="n">
        <f aca="false">W59*Inputs!$F$156*W19/1000000</f>
        <v>4.60183355504957</v>
      </c>
      <c r="X60" s="11" t="n">
        <f aca="false">X59*Inputs!$F$156*X19/1000000</f>
        <v>4.65559185163516</v>
      </c>
      <c r="Y60" s="11" t="n">
        <f aca="false">Y59*Inputs!$F$156*Y19/1000000</f>
        <v>4.70604899284301</v>
      </c>
      <c r="Z60" s="11" t="n">
        <f aca="false">Z59*Inputs!$F$156*Z19/1000000</f>
        <v>4.75656265199132</v>
      </c>
      <c r="AA60" s="11" t="n">
        <f aca="false">AA59*Inputs!$F$156*AA19/1000000</f>
        <v>4.8090927114946</v>
      </c>
      <c r="AB60" s="11" t="n">
        <f aca="false">AB59*Inputs!$F$156*AB19/1000000</f>
        <v>4.8626911995633</v>
      </c>
      <c r="AC60" s="11" t="n">
        <f aca="false">AC59*Inputs!$F$156*AC19/1000000</f>
        <v>4.91303108390783</v>
      </c>
      <c r="AD60" s="11" t="n">
        <f aca="false">AD59*Inputs!$F$156*AD19/1000000</f>
        <v>4.96066809355904</v>
      </c>
      <c r="AE60" s="11" t="n">
        <f aca="false">AE59*Inputs!$F$156*AE19/1000000</f>
        <v>5.01808627405193</v>
      </c>
      <c r="AF60" s="11" t="n">
        <f aca="false">AF59*Inputs!$F$156*AF19/1000000</f>
        <v>5.07900315488467</v>
      </c>
      <c r="AG60" s="11" t="n">
        <f aca="false">AG59*Inputs!$F$156*AG19/1000000</f>
        <v>5.13404921294732</v>
      </c>
      <c r="AH60" s="11" t="n">
        <f aca="false">AH59*Inputs!$F$156*AH19/1000000</f>
        <v>5.18915692907775</v>
      </c>
      <c r="AI60" s="11" t="n">
        <f aca="false">AI59*Inputs!$F$156*AI19/1000000</f>
        <v>5.24646443077589</v>
      </c>
      <c r="AJ60" s="11" t="n">
        <f aca="false">AJ59*Inputs!$F$156*AJ19/1000000</f>
        <v>5.30493753122656</v>
      </c>
      <c r="AK60" s="11" t="n">
        <f aca="false">AK59*Inputs!$F$156*AK19/1000000</f>
        <v>5.36103090497834</v>
      </c>
      <c r="AL60" s="11" t="n">
        <f aca="false">AL59*Inputs!$F$156*AL19/1000000</f>
        <v>5.41561316300033</v>
      </c>
      <c r="AM60" s="11" t="n">
        <f aca="false">AM59*Inputs!$F$156*AM19/1000000</f>
        <v>5.47694113050769</v>
      </c>
      <c r="AN60" s="11" t="n">
        <f aca="false">AN59*Inputs!$F$156*AN19/1000000</f>
        <v>5.54092237236564</v>
      </c>
      <c r="AO60" s="11" t="n">
        <f aca="false">AO59*Inputs!$F$156*AO19/1000000</f>
        <v>5.60097469470699</v>
      </c>
      <c r="AP60" s="11" t="n">
        <f aca="false">AP59*Inputs!$F$156*AP19/1000000</f>
        <v>5.66109428272169</v>
      </c>
      <c r="AQ60" s="11" t="n">
        <f aca="false">AQ59*Inputs!$F$156*AQ19/1000000</f>
        <v>5.72361371981994</v>
      </c>
      <c r="AR60" s="11" t="n">
        <f aca="false">AR59*Inputs!$F$156*AR19/1000000</f>
        <v>5.78740476317795</v>
      </c>
      <c r="AS60" s="11" t="n">
        <f aca="false">AS59*Inputs!$F$156*AS19/1000000</f>
        <v>5.84731753050718</v>
      </c>
      <c r="AT60" s="11" t="n">
        <f aca="false">AT59*Inputs!$F$156*AT19/1000000</f>
        <v>5.90401343103727</v>
      </c>
      <c r="AU60" s="11" t="n">
        <f aca="false">AU59*Inputs!$F$156*AU19/1000000</f>
        <v>5.9723505385442</v>
      </c>
      <c r="AV60" s="11" t="n">
        <f aca="false">AV59*Inputs!$F$156*AV19/1000000</f>
        <v>6.04485167666315</v>
      </c>
      <c r="AW60" s="11" t="n">
        <f aca="false">AW59*Inputs!$F$156*AW19/1000000</f>
        <v>6.11036556713076</v>
      </c>
      <c r="AX60" s="11" t="n">
        <f aca="false">AX59*Inputs!$F$156*AX19/1000000</f>
        <v>6.17595284087122</v>
      </c>
      <c r="AY60" s="11" t="n">
        <f aca="false">AY59*Inputs!$F$156*AY19/1000000</f>
        <v>6.24415822235286</v>
      </c>
      <c r="AZ60" s="11" t="n">
        <f aca="false">AZ59*Inputs!$F$156*AZ19/1000000</f>
        <v>6.31375085864783</v>
      </c>
      <c r="BA60" s="11" t="n">
        <f aca="false">BA59*Inputs!$F$156*BA19/1000000</f>
        <v>6.38051122756925</v>
      </c>
      <c r="BB60" s="11" t="n">
        <f aca="false">BB59*Inputs!$F$156*BB19/1000000</f>
        <v>6.4454731194718</v>
      </c>
      <c r="BC60" s="11" t="n">
        <f aca="false">BC59*Inputs!$F$156*BC19/1000000</f>
        <v>6.51846351855369</v>
      </c>
      <c r="BD60" s="11" t="n">
        <f aca="false">BD59*Inputs!$F$156*BD19/1000000</f>
        <v>6.59461175184392</v>
      </c>
      <c r="BE60" s="11" t="n">
        <f aca="false">BE59*Inputs!$F$156*BE19/1000000</f>
        <v>6.66608392272524</v>
      </c>
      <c r="BF60" s="11" t="n">
        <f aca="false">BF59*Inputs!$F$156*BF19/1000000</f>
        <v>6.73763615085517</v>
      </c>
      <c r="BG60" s="11" t="n">
        <f aca="false">BG59*Inputs!$F$156*BG19/1000000</f>
        <v>6.81204459531615</v>
      </c>
      <c r="BH60" s="11" t="n">
        <f aca="false">BH59*Inputs!$F$156*BH19/1000000</f>
        <v>6.88796646101294</v>
      </c>
      <c r="BI60" s="11" t="n">
        <f aca="false">BI59*Inputs!$F$156*BI19/1000000</f>
        <v>6.95927253840637</v>
      </c>
      <c r="BJ60" s="11" t="n">
        <f aca="false">BJ59*Inputs!$F$156*BJ19/1000000</f>
        <v>7.02675001359746</v>
      </c>
      <c r="BK60" s="11" t="n">
        <f aca="false">BK59*Inputs!$F$156*BK19/1000000</f>
        <v>7.10808244563077</v>
      </c>
      <c r="BL60" s="11" t="n">
        <f aca="false">BL59*Inputs!$F$156*BL19/1000000</f>
        <v>7.19437076106464</v>
      </c>
      <c r="BM60" s="11" t="n">
        <f aca="false">BM59*Inputs!$F$156*BM19/1000000</f>
        <v>4.8487188686823</v>
      </c>
      <c r="BN60" s="11" t="n">
        <f aca="false">BN59*Inputs!$F$156*BN19/1000000</f>
        <v>0</v>
      </c>
    </row>
    <row r="61" customFormat="false" ht="15" hidden="false" customHeight="false" outlineLevel="0" collapsed="false">
      <c r="D61" s="0" t="s">
        <v>264</v>
      </c>
      <c r="E61" s="0" t="s">
        <v>149</v>
      </c>
      <c r="G61" s="11" t="n">
        <f aca="false">SUM(J61:BN61)</f>
        <v>154.41215043761</v>
      </c>
      <c r="J61" s="11" t="n">
        <f aca="false">Inputs!$F$157*J19*Time!J25/12*(1+Inputs!$F$158*Inputs!$F$46*IF(Time!J17&gt;=9,1,0))*Inputs!$F$40</f>
        <v>0</v>
      </c>
      <c r="K61" s="11" t="n">
        <f aca="false">Inputs!$F$157*K19*Time!K25/12*(1+Inputs!$F$158*Inputs!$F$46*IF(Time!K17&gt;=9,1,0))*Inputs!$F$40</f>
        <v>0</v>
      </c>
      <c r="L61" s="11" t="n">
        <f aca="false">Inputs!$F$157*L19*Time!L25/12*(1+Inputs!$F$158*Inputs!$F$46*IF(Time!L17&gt;=9,1,0))*Inputs!$F$40</f>
        <v>0</v>
      </c>
      <c r="M61" s="11" t="n">
        <f aca="false">Inputs!$F$157*M19*Time!M25/12*(1+Inputs!$F$158*Inputs!$F$46*IF(Time!M17&gt;=9,1,0))*Inputs!$F$40</f>
        <v>0</v>
      </c>
      <c r="N61" s="11" t="n">
        <f aca="false">Inputs!$F$157*N19*Time!N25/12*(1+Inputs!$F$158*Inputs!$F$46*IF(Time!N17&gt;=9,1,0))*Inputs!$F$40</f>
        <v>0</v>
      </c>
      <c r="O61" s="11" t="n">
        <f aca="false">Inputs!$F$157*O19*Time!O25/12*(1+Inputs!$F$158*Inputs!$F$46*IF(Time!O17&gt;=9,1,0))*Inputs!$F$40</f>
        <v>0.773250394122193</v>
      </c>
      <c r="P61" s="11" t="n">
        <f aca="false">Inputs!$F$157*P19*Time!P25/12*(1+Inputs!$F$158*Inputs!$F$46*IF(Time!P17&gt;=9,1,0))*Inputs!$F$40</f>
        <v>2.34512962331491</v>
      </c>
      <c r="Q61" s="11" t="n">
        <f aca="false">Inputs!$F$157*Q19*Time!Q25/12*(1+Inputs!$F$158*Inputs!$F$46*IF(Time!Q17&gt;=9,1,0))*Inputs!$F$40</f>
        <v>2.37078570837864</v>
      </c>
      <c r="R61" s="11" t="n">
        <f aca="false">Inputs!$F$157*R19*Time!R25/12*(1+Inputs!$F$158*Inputs!$F$46*IF(Time!R17&gt;=9,1,0))*Inputs!$F$40</f>
        <v>2.39672247502784</v>
      </c>
      <c r="S61" s="11" t="n">
        <f aca="false">Inputs!$F$157*S19*Time!S25/12*(1+Inputs!$F$158*Inputs!$F$46*IF(Time!S17&gt;=9,1,0))*Inputs!$F$40</f>
        <v>2.42294299396297</v>
      </c>
      <c r="T61" s="11" t="n">
        <f aca="false">Inputs!$F$157*T19*Time!T25/12*(1+Inputs!$F$158*Inputs!$F$46*IF(Time!T17&gt;=9,1,0))*Inputs!$F$40</f>
        <v>2.44945036947845</v>
      </c>
      <c r="U61" s="11" t="n">
        <f aca="false">Inputs!$F$157*U19*Time!U25/12*(1+Inputs!$F$158*Inputs!$F$46*IF(Time!U17&gt;=9,1,0))*Inputs!$F$40</f>
        <v>2.47624773983016</v>
      </c>
      <c r="V61" s="11" t="n">
        <f aca="false">Inputs!$F$157*V19*Time!V25/12*(1+Inputs!$F$158*Inputs!$F$46*IF(Time!V17&gt;=9,1,0))*Inputs!$F$40</f>
        <v>2.50333827760698</v>
      </c>
      <c r="W61" s="11" t="n">
        <f aca="false">Inputs!$F$157*W19*Time!W25/12*(1+Inputs!$F$158*Inputs!$F$46*IF(Time!W17&gt;=9,1,0))*Inputs!$F$40</f>
        <v>2.53072519010642</v>
      </c>
      <c r="X61" s="11" t="n">
        <f aca="false">Inputs!$F$157*X19*Time!X25/12*(1+Inputs!$F$158*Inputs!$F$46*IF(Time!X17&gt;=9,1,0))*Inputs!$F$40</f>
        <v>2.55841171971433</v>
      </c>
      <c r="Y61" s="11" t="n">
        <f aca="false">Inputs!$F$157*Y19*Time!Y25/12*(1+Inputs!$F$158*Inputs!$F$46*IF(Time!Y17&gt;=9,1,0))*Inputs!$F$40</f>
        <v>2.58640114428876</v>
      </c>
      <c r="Z61" s="11" t="n">
        <f aca="false">Inputs!$F$157*Z19*Time!Z25/12*(1+Inputs!$F$158*Inputs!$F$46*IF(Time!Z17&gt;=9,1,0))*Inputs!$F$40</f>
        <v>2.61469677754805</v>
      </c>
      <c r="AA61" s="11" t="n">
        <f aca="false">Inputs!$F$157*AA19*Time!AA25/12*(1+Inputs!$F$158*Inputs!$F$46*IF(Time!AA17&gt;=9,1,0))*Inputs!$F$40</f>
        <v>2.64330196946311</v>
      </c>
      <c r="AB61" s="11" t="n">
        <f aca="false">Inputs!$F$157*AB19*Time!AB25/12*(1+Inputs!$F$158*Inputs!$F$46*IF(Time!AB17&gt;=9,1,0))*Inputs!$F$40</f>
        <v>2.6722201066541</v>
      </c>
      <c r="AC61" s="11" t="n">
        <f aca="false">Inputs!$F$157*AC19*Time!AC25/12*(1+Inputs!$F$158*Inputs!$F$46*IF(Time!AC17&gt;=9,1,0))*Inputs!$F$40</f>
        <v>2.7014546127913</v>
      </c>
      <c r="AD61" s="11" t="n">
        <f aca="false">Inputs!$F$157*AD19*Time!AD25/12*(1+Inputs!$F$158*Inputs!$F$46*IF(Time!AD17&gt;=9,1,0))*Inputs!$F$40</f>
        <v>2.73100894900049</v>
      </c>
      <c r="AE61" s="11" t="n">
        <f aca="false">Inputs!$F$157*AE19*Time!AE25/12*(1+Inputs!$F$158*Inputs!$F$46*IF(Time!AE17&gt;=9,1,0))*Inputs!$F$40</f>
        <v>2.76088661427271</v>
      </c>
      <c r="AF61" s="11" t="n">
        <f aca="false">Inputs!$F$157*AF19*Time!AF25/12*(1+Inputs!$F$158*Inputs!$F$46*IF(Time!AF17&gt;=9,1,0))*Inputs!$F$40</f>
        <v>2.7910911458785</v>
      </c>
      <c r="AG61" s="11" t="n">
        <f aca="false">Inputs!$F$157*AG19*Time!AG25/12*(1+Inputs!$F$158*Inputs!$F$46*IF(Time!AG17&gt;=9,1,0))*Inputs!$F$40</f>
        <v>2.82162611978671</v>
      </c>
      <c r="AH61" s="11" t="n">
        <f aca="false">Inputs!$F$157*AH19*Time!AH25/12*(1+Inputs!$F$158*Inputs!$F$46*IF(Time!AH17&gt;=9,1,0))*Inputs!$F$40</f>
        <v>2.85249515108783</v>
      </c>
      <c r="AI61" s="11" t="n">
        <f aca="false">Inputs!$F$157*AI19*Time!AI25/12*(1+Inputs!$F$158*Inputs!$F$46*IF(Time!AI17&gt;=9,1,0))*Inputs!$F$40</f>
        <v>2.88370189442202</v>
      </c>
      <c r="AJ61" s="11" t="n">
        <f aca="false">Inputs!$F$157*AJ19*Time!AJ25/12*(1+Inputs!$F$158*Inputs!$F$46*IF(Time!AJ17&gt;=9,1,0))*Inputs!$F$40</f>
        <v>2.91525004441176</v>
      </c>
      <c r="AK61" s="11" t="n">
        <f aca="false">Inputs!$F$157*AK19*Time!AK25/12*(1+Inputs!$F$158*Inputs!$F$46*IF(Time!AK17&gt;=9,1,0))*Inputs!$F$40</f>
        <v>2.9471433360993</v>
      </c>
      <c r="AL61" s="11" t="n">
        <f aca="false">Inputs!$F$157*AL19*Time!AL25/12*(1+Inputs!$F$158*Inputs!$F$46*IF(Time!AL17&gt;=9,1,0))*Inputs!$F$40</f>
        <v>2.97938554538882</v>
      </c>
      <c r="AM61" s="11" t="n">
        <f aca="false">Inputs!$F$157*AM19*Time!AM25/12*(1+Inputs!$F$158*Inputs!$F$46*IF(Time!AM17&gt;=9,1,0))*Inputs!$F$40</f>
        <v>3.01198048949348</v>
      </c>
      <c r="AN61" s="11" t="n">
        <f aca="false">Inputs!$F$157*AN19*Time!AN25/12*(1+Inputs!$F$158*Inputs!$F$46*IF(Time!AN17&gt;=9,1,0))*Inputs!$F$40</f>
        <v>3.04493202738737</v>
      </c>
      <c r="AO61" s="11" t="n">
        <f aca="false">Inputs!$F$157*AO19*Time!AO25/12*(1+Inputs!$F$158*Inputs!$F$46*IF(Time!AO17&gt;=9,1,0))*Inputs!$F$40</f>
        <v>3.07824406026234</v>
      </c>
      <c r="AP61" s="11" t="n">
        <f aca="false">Inputs!$F$157*AP19*Time!AP25/12*(1+Inputs!$F$158*Inputs!$F$46*IF(Time!AP17&gt;=9,1,0))*Inputs!$F$40</f>
        <v>3.1119205319899</v>
      </c>
      <c r="AQ61" s="11" t="n">
        <f aca="false">Inputs!$F$157*AQ19*Time!AQ25/12*(1+Inputs!$F$158*Inputs!$F$46*IF(Time!AQ17&gt;=9,1,0))*Inputs!$F$40</f>
        <v>3.14596542958811</v>
      </c>
      <c r="AR61" s="11" t="n">
        <f aca="false">Inputs!$F$157*AR19*Time!AR25/12*(1+Inputs!$F$158*Inputs!$F$46*IF(Time!AR17&gt;=9,1,0))*Inputs!$F$40</f>
        <v>3.18038278369367</v>
      </c>
      <c r="AS61" s="11" t="n">
        <f aca="false">Inputs!$F$157*AS19*Time!AS25/12*(1+Inputs!$F$158*Inputs!$F$46*IF(Time!AS17&gt;=9,1,0))*Inputs!$F$40</f>
        <v>3.21517666903905</v>
      </c>
      <c r="AT61" s="11" t="n">
        <f aca="false">Inputs!$F$157*AT19*Time!AT25/12*(1+Inputs!$F$158*Inputs!$F$46*IF(Time!AT17&gt;=9,1,0))*Inputs!$F$40</f>
        <v>3.25035120493493</v>
      </c>
      <c r="AU61" s="11" t="n">
        <f aca="false">Inputs!$F$157*AU19*Time!AU25/12*(1+Inputs!$F$158*Inputs!$F$46*IF(Time!AU17&gt;=9,1,0))*Inputs!$F$40</f>
        <v>3.28591055575791</v>
      </c>
      <c r="AV61" s="11" t="n">
        <f aca="false">Inputs!$F$157*AV19*Time!AV25/12*(1+Inputs!$F$158*Inputs!$F$46*IF(Time!AV17&gt;=9,1,0))*Inputs!$F$40</f>
        <v>3.3218589314435</v>
      </c>
      <c r="AW61" s="11" t="n">
        <f aca="false">Inputs!$F$157*AW19*Time!AW25/12*(1+Inputs!$F$158*Inputs!$F$46*IF(Time!AW17&gt;=9,1,0))*Inputs!$F$40</f>
        <v>3.35820058798458</v>
      </c>
      <c r="AX61" s="11" t="n">
        <f aca="false">Inputs!$F$157*AX19*Time!AX25/12*(1+Inputs!$F$158*Inputs!$F$46*IF(Time!AX17&gt;=9,1,0))*Inputs!$F$40</f>
        <v>3.39493982793526</v>
      </c>
      <c r="AY61" s="11" t="n">
        <f aca="false">Inputs!$F$157*AY19*Time!AY25/12*(1+Inputs!$F$158*Inputs!$F$46*IF(Time!AY17&gt;=9,1,0))*Inputs!$F$40</f>
        <v>3.43208100092024</v>
      </c>
      <c r="AZ61" s="11" t="n">
        <f aca="false">Inputs!$F$157*AZ19*Time!AZ25/12*(1+Inputs!$F$158*Inputs!$F$46*IF(Time!AZ17&gt;=9,1,0))*Inputs!$F$40</f>
        <v>3.46962850414983</v>
      </c>
      <c r="BA61" s="11" t="n">
        <f aca="false">Inputs!$F$157*BA19*Time!BA25/12*(1+Inputs!$F$158*Inputs!$F$46*IF(Time!BA17&gt;=9,1,0))*Inputs!$F$40</f>
        <v>3.50758678294049</v>
      </c>
      <c r="BB61" s="11" t="n">
        <f aca="false">Inputs!$F$157*BB19*Time!BB25/12*(1+Inputs!$F$158*Inputs!$F$46*IF(Time!BB17&gt;=9,1,0))*Inputs!$F$40</f>
        <v>3.54596033124113</v>
      </c>
      <c r="BC61" s="11" t="n">
        <f aca="false">Inputs!$F$157*BC19*Time!BC25/12*(1+Inputs!$F$158*Inputs!$F$46*IF(Time!BC17&gt;=9,1,0))*Inputs!$F$40</f>
        <v>3.58475369216518</v>
      </c>
      <c r="BD61" s="11" t="n">
        <f aca="false">Inputs!$F$157*BD19*Time!BD25/12*(1+Inputs!$F$158*Inputs!$F$46*IF(Time!BD17&gt;=9,1,0))*Inputs!$F$40</f>
        <v>3.62397145852843</v>
      </c>
      <c r="BE61" s="11" t="n">
        <f aca="false">Inputs!$F$157*BE19*Time!BE25/12*(1+Inputs!$F$158*Inputs!$F$46*IF(Time!BE17&gt;=9,1,0))*Inputs!$F$40</f>
        <v>3.66361827339281</v>
      </c>
      <c r="BF61" s="11" t="n">
        <f aca="false">Inputs!$F$157*BF19*Time!BF25/12*(1+Inputs!$F$158*Inputs!$F$46*IF(Time!BF17&gt;=9,1,0))*Inputs!$F$40</f>
        <v>3.70369883061606</v>
      </c>
      <c r="BG61" s="11" t="n">
        <f aca="false">Inputs!$F$157*BG19*Time!BG25/12*(1+Inputs!$F$158*Inputs!$F$46*IF(Time!BG17&gt;=9,1,0))*Inputs!$F$40</f>
        <v>3.74421787540745</v>
      </c>
      <c r="BH61" s="11" t="n">
        <f aca="false">Inputs!$F$157*BH19*Time!BH25/12*(1+Inputs!$F$158*Inputs!$F$46*IF(Time!BH17&gt;=9,1,0))*Inputs!$F$40</f>
        <v>3.78518020488961</v>
      </c>
      <c r="BI61" s="11" t="n">
        <f aca="false">Inputs!$F$157*BI19*Time!BI25/12*(1+Inputs!$F$158*Inputs!$F$46*IF(Time!BI17&gt;=9,1,0))*Inputs!$F$40</f>
        <v>3.82659066866641</v>
      </c>
      <c r="BJ61" s="11" t="n">
        <f aca="false">Inputs!$F$157*BJ19*Time!BJ25/12*(1+Inputs!$F$158*Inputs!$F$46*IF(Time!BJ17&gt;=9,1,0))*Inputs!$F$40</f>
        <v>3.86845416939718</v>
      </c>
      <c r="BK61" s="11" t="n">
        <f aca="false">Inputs!$F$157*BK19*Time!BK25/12*(1+Inputs!$F$158*Inputs!$F$46*IF(Time!BK17&gt;=9,1,0))*Inputs!$F$40</f>
        <v>3.91077566337707</v>
      </c>
      <c r="BL61" s="11" t="n">
        <f aca="false">Inputs!$F$157*BL19*Time!BL25/12*(1+Inputs!$F$158*Inputs!$F$46*IF(Time!BL17&gt;=9,1,0))*Inputs!$F$40</f>
        <v>3.95356016112392</v>
      </c>
      <c r="BM61" s="11" t="n">
        <f aca="false">Inputs!$F$157*BM19*Time!BM25/12*(1+Inputs!$F$158*Inputs!$F$46*IF(Time!BM17&gt;=9,1,0))*Inputs!$F$40</f>
        <v>2.66454181864758</v>
      </c>
      <c r="BN61" s="11" t="n">
        <f aca="false">Inputs!$F$157*BN19*Time!BN25/12*(1+Inputs!$F$158*Inputs!$F$46*IF(Time!BN17&gt;=9,1,0))*Inputs!$F$40</f>
        <v>0</v>
      </c>
    </row>
    <row r="62" customFormat="false" ht="15" hidden="false" customHeight="false" outlineLevel="0" collapsed="false">
      <c r="D62" s="0" t="s">
        <v>513</v>
      </c>
      <c r="E62" s="0" t="s">
        <v>149</v>
      </c>
      <c r="G62" s="11" t="n">
        <f aca="false">SUM(J62:BN62)</f>
        <v>112.08275600111</v>
      </c>
      <c r="J62" s="11" t="n">
        <f aca="false">Inputs!$F$159*(0.5*J19+0.5*J23*Inputs!$F$153/J11)*Time!J25/12*Inputs!$F$40</f>
        <v>0</v>
      </c>
      <c r="K62" s="11" t="n">
        <f aca="false">Inputs!$F$159*(0.5*K19+0.5*K23*Inputs!$F$153/K11)*Time!K25/12*Inputs!$F$40</f>
        <v>0</v>
      </c>
      <c r="L62" s="11" t="n">
        <f aca="false">Inputs!$F$159*(0.5*L19+0.5*L23*Inputs!$F$153/L11)*Time!L25/12*Inputs!$F$40</f>
        <v>0</v>
      </c>
      <c r="M62" s="11" t="n">
        <f aca="false">Inputs!$F$159*(0.5*M19+0.5*M23*Inputs!$F$153/M11)*Time!M25/12*Inputs!$F$40</f>
        <v>0</v>
      </c>
      <c r="N62" s="11" t="n">
        <f aca="false">Inputs!$F$159*(0.5*N19+0.5*N23*Inputs!$F$153/N11)*Time!N25/12*Inputs!$F$40</f>
        <v>0</v>
      </c>
      <c r="O62" s="11" t="n">
        <f aca="false">Inputs!$F$159*(0.5*O19+0.5*O23*Inputs!$F$153/O11)*Time!O25/12*Inputs!$F$40</f>
        <v>0.561277302378987</v>
      </c>
      <c r="P62" s="11" t="n">
        <f aca="false">Inputs!$F$159*(0.5*P19+0.5*P23*Inputs!$F$153/P11)*Time!P25/12*Inputs!$F$40</f>
        <v>1.70225329170054</v>
      </c>
      <c r="Q62" s="11" t="n">
        <f aca="false">Inputs!$F$159*(0.5*Q19+0.5*Q23*Inputs!$F$153/Q11)*Time!Q25/12*Inputs!$F$40</f>
        <v>1.72087620909397</v>
      </c>
      <c r="R62" s="11" t="n">
        <f aca="false">Inputs!$F$159*(0.5*R19+0.5*R23*Inputs!$F$153/R11)*Time!R25/12*Inputs!$F$40</f>
        <v>1.73970286411795</v>
      </c>
      <c r="S62" s="11" t="n">
        <f aca="false">Inputs!$F$159*(0.5*S19+0.5*S23*Inputs!$F$153/S11)*Time!S25/12*Inputs!$F$40</f>
        <v>1.75873548569404</v>
      </c>
      <c r="T62" s="11" t="n">
        <f aca="false">Inputs!$F$159*(0.5*T19+0.5*T23*Inputs!$F$153/T11)*Time!T25/12*Inputs!$F$40</f>
        <v>1.77797632712855</v>
      </c>
      <c r="U62" s="11" t="n">
        <f aca="false">Inputs!$F$159*(0.5*U19+0.5*U23*Inputs!$F$153/U11)*Time!U25/12*Inputs!$F$40</f>
        <v>1.79742766637931</v>
      </c>
      <c r="V62" s="11" t="n">
        <f aca="false">Inputs!$F$159*(0.5*V19+0.5*V23*Inputs!$F$153/V11)*Time!V25/12*Inputs!$F$40</f>
        <v>1.81709180632538</v>
      </c>
      <c r="W62" s="11" t="n">
        <f aca="false">Inputs!$F$159*(0.5*W19+0.5*W23*Inputs!$F$153/W11)*Time!W25/12*Inputs!$F$40</f>
        <v>1.83697107503966</v>
      </c>
      <c r="X62" s="11" t="n">
        <f aca="false">Inputs!$F$159*(0.5*X19+0.5*X23*Inputs!$F$153/X11)*Time!X25/12*Inputs!$F$40</f>
        <v>1.85706782606454</v>
      </c>
      <c r="Y62" s="11" t="n">
        <f aca="false">Inputs!$F$159*(0.5*Y19+0.5*Y23*Inputs!$F$153/Y11)*Time!Y25/12*Inputs!$F$40</f>
        <v>1.87738443869053</v>
      </c>
      <c r="Z62" s="11" t="n">
        <f aca="false">Inputs!$F$159*(0.5*Z19+0.5*Z23*Inputs!$F$153/Z11)*Time!Z25/12*Inputs!$F$40</f>
        <v>1.89792331823795</v>
      </c>
      <c r="AA62" s="11" t="n">
        <f aca="false">Inputs!$F$159*(0.5*AA19+0.5*AA23*Inputs!$F$153/AA11)*Time!AA25/12*Inputs!$F$40</f>
        <v>1.91868689634172</v>
      </c>
      <c r="AB62" s="11" t="n">
        <f aca="false">Inputs!$F$159*(0.5*AB19+0.5*AB23*Inputs!$F$153/AB11)*Time!AB25/12*Inputs!$F$40</f>
        <v>1.93967763123919</v>
      </c>
      <c r="AC62" s="11" t="n">
        <f aca="false">Inputs!$F$159*(0.5*AC19+0.5*AC23*Inputs!$F$153/AC11)*Time!AC25/12*Inputs!$F$40</f>
        <v>1.96089800806124</v>
      </c>
      <c r="AD62" s="11" t="n">
        <f aca="false">Inputs!$F$159*(0.5*AD19+0.5*AD23*Inputs!$F$153/AD11)*Time!AD25/12*Inputs!$F$40</f>
        <v>1.98235053912645</v>
      </c>
      <c r="AE62" s="11" t="n">
        <f aca="false">Inputs!$F$159*(0.5*AE19+0.5*AE23*Inputs!$F$153/AE11)*Time!AE25/12*Inputs!$F$40</f>
        <v>2.00403776423858</v>
      </c>
      <c r="AF62" s="11" t="n">
        <f aca="false">Inputs!$F$159*(0.5*AF19+0.5*AF23*Inputs!$F$153/AF11)*Time!AF25/12*Inputs!$F$40</f>
        <v>2.02596225098723</v>
      </c>
      <c r="AG62" s="11" t="n">
        <f aca="false">Inputs!$F$159*(0.5*AG19+0.5*AG23*Inputs!$F$153/AG11)*Time!AG25/12*Inputs!$F$40</f>
        <v>2.04812659505183</v>
      </c>
      <c r="AH62" s="11" t="n">
        <f aca="false">Inputs!$F$159*(0.5*AH19+0.5*AH23*Inputs!$F$153/AH11)*Time!AH25/12*Inputs!$F$40</f>
        <v>2.07053342050895</v>
      </c>
      <c r="AI62" s="11" t="n">
        <f aca="false">Inputs!$F$159*(0.5*AI19+0.5*AI23*Inputs!$F$153/AI11)*Time!AI25/12*Inputs!$F$40</f>
        <v>2.09318538014297</v>
      </c>
      <c r="AJ62" s="11" t="n">
        <f aca="false">Inputs!$F$159*(0.5*AJ19+0.5*AJ23*Inputs!$F$153/AJ11)*Time!AJ25/12*Inputs!$F$40</f>
        <v>2.11608515576015</v>
      </c>
      <c r="AK62" s="11" t="n">
        <f aca="false">Inputs!$F$159*(0.5*AK19+0.5*AK23*Inputs!$F$153/AK11)*Time!AK25/12*Inputs!$F$40</f>
        <v>2.13923545850612</v>
      </c>
      <c r="AL62" s="11" t="n">
        <f aca="false">Inputs!$F$159*(0.5*AL19+0.5*AL23*Inputs!$F$153/AL11)*Time!AL25/12*Inputs!$F$40</f>
        <v>2.16263902918687</v>
      </c>
      <c r="AM62" s="11" t="n">
        <f aca="false">Inputs!$F$159*(0.5*AM19+0.5*AM23*Inputs!$F$153/AM11)*Time!AM25/12*Inputs!$F$40</f>
        <v>2.18629863859325</v>
      </c>
      <c r="AN62" s="11" t="n">
        <f aca="false">Inputs!$F$159*(0.5*AN19+0.5*AN23*Inputs!$F$153/AN11)*Time!AN25/12*Inputs!$F$40</f>
        <v>2.21021708782898</v>
      </c>
      <c r="AO62" s="11" t="n">
        <f aca="false">Inputs!$F$159*(0.5*AO19+0.5*AO23*Inputs!$F$153/AO11)*Time!AO25/12*Inputs!$F$40</f>
        <v>2.2343972086423</v>
      </c>
      <c r="AP62" s="11" t="n">
        <f aca="false">Inputs!$F$159*(0.5*AP19+0.5*AP23*Inputs!$F$153/AP11)*Time!AP25/12*Inputs!$F$40</f>
        <v>2.25884186376122</v>
      </c>
      <c r="AQ62" s="11" t="n">
        <f aca="false">Inputs!$F$159*(0.5*AQ19+0.5*AQ23*Inputs!$F$153/AQ11)*Time!AQ25/12*Inputs!$F$40</f>
        <v>2.28355394723243</v>
      </c>
      <c r="AR62" s="11" t="n">
        <f aca="false">Inputs!$F$159*(0.5*AR19+0.5*AR23*Inputs!$F$153/AR11)*Time!AR25/12*Inputs!$F$40</f>
        <v>2.30853638476397</v>
      </c>
      <c r="AS62" s="11" t="n">
        <f aca="false">Inputs!$F$159*(0.5*AS19+0.5*AS23*Inputs!$F$153/AS11)*Time!AS25/12*Inputs!$F$40</f>
        <v>2.33379213407155</v>
      </c>
      <c r="AT62" s="11" t="n">
        <f aca="false">Inputs!$F$159*(0.5*AT19+0.5*AT23*Inputs!$F$153/AT11)*Time!AT25/12*Inputs!$F$40</f>
        <v>2.35932418522877</v>
      </c>
      <c r="AU62" s="11" t="n">
        <f aca="false">Inputs!$F$159*(0.5*AU19+0.5*AU23*Inputs!$F$153/AU11)*Time!AU25/12*Inputs!$F$40</f>
        <v>2.38513556102112</v>
      </c>
      <c r="AV62" s="11" t="n">
        <f aca="false">Inputs!$F$159*(0.5*AV19+0.5*AV23*Inputs!$F$153/AV11)*Time!AV25/12*Inputs!$F$40</f>
        <v>2.41122931730381</v>
      </c>
      <c r="AW62" s="11" t="n">
        <f aca="false">Inputs!$F$159*(0.5*AW19+0.5*AW23*Inputs!$F$153/AW11)*Time!AW25/12*Inputs!$F$40</f>
        <v>2.43760854336359</v>
      </c>
      <c r="AX62" s="11" t="n">
        <f aca="false">Inputs!$F$159*(0.5*AX19+0.5*AX23*Inputs!$F$153/AX11)*Time!AX25/12*Inputs!$F$40</f>
        <v>2.46427636228449</v>
      </c>
      <c r="AY62" s="11" t="n">
        <f aca="false">Inputs!$F$159*(0.5*AY19+0.5*AY23*Inputs!$F$153/AY11)*Time!AY25/12*Inputs!$F$40</f>
        <v>2.49123593131758</v>
      </c>
      <c r="AZ62" s="11" t="n">
        <f aca="false">Inputs!$F$159*(0.5*AZ19+0.5*AZ23*Inputs!$F$153/AZ11)*Time!AZ25/12*Inputs!$F$40</f>
        <v>2.51849044225475</v>
      </c>
      <c r="BA62" s="11" t="n">
        <f aca="false">Inputs!$F$159*(0.5*BA19+0.5*BA23*Inputs!$F$153/BA11)*Time!BA25/12*Inputs!$F$40</f>
        <v>2.54604312180657</v>
      </c>
      <c r="BB62" s="11" t="n">
        <f aca="false">Inputs!$F$159*(0.5*BB19+0.5*BB23*Inputs!$F$153/BB11)*Time!BB25/12*Inputs!$F$40</f>
        <v>2.57389723198435</v>
      </c>
      <c r="BC62" s="11" t="n">
        <f aca="false">Inputs!$F$159*(0.5*BC19+0.5*BC23*Inputs!$F$153/BC11)*Time!BC25/12*Inputs!$F$40</f>
        <v>2.60205607048631</v>
      </c>
      <c r="BD62" s="11" t="n">
        <f aca="false">Inputs!$F$159*(0.5*BD19+0.5*BD23*Inputs!$F$153/BD11)*Time!BD25/12*Inputs!$F$40</f>
        <v>2.63052297108801</v>
      </c>
      <c r="BE62" s="11" t="n">
        <f aca="false">Inputs!$F$159*(0.5*BE19+0.5*BE23*Inputs!$F$153/BE11)*Time!BE25/12*Inputs!$F$40</f>
        <v>2.65930130403701</v>
      </c>
      <c r="BF62" s="11" t="n">
        <f aca="false">Inputs!$F$159*(0.5*BF19+0.5*BF23*Inputs!$F$153/BF11)*Time!BF25/12*Inputs!$F$40</f>
        <v>2.68839447645194</v>
      </c>
      <c r="BG62" s="11" t="n">
        <f aca="false">Inputs!$F$159*(0.5*BG19+0.5*BG23*Inputs!$F$153/BG11)*Time!BG25/12*Inputs!$F$40</f>
        <v>2.71780593272583</v>
      </c>
      <c r="BH62" s="11" t="n">
        <f aca="false">Inputs!$F$159*(0.5*BH19+0.5*BH23*Inputs!$F$153/BH11)*Time!BH25/12*Inputs!$F$40</f>
        <v>2.74753915493389</v>
      </c>
      <c r="BI62" s="11" t="n">
        <f aca="false">Inputs!$F$159*(0.5*BI19+0.5*BI23*Inputs!$F$153/BI11)*Time!BI25/12*Inputs!$F$40</f>
        <v>2.7775976632458</v>
      </c>
      <c r="BJ62" s="11" t="n">
        <f aca="false">Inputs!$F$159*(0.5*BJ19+0.5*BJ23*Inputs!$F$153/BJ11)*Time!BJ25/12*Inputs!$F$40</f>
        <v>2.80798501634243</v>
      </c>
      <c r="BK62" s="11" t="n">
        <f aca="false">Inputs!$F$159*(0.5*BK19+0.5*BK23*Inputs!$F$153/BK11)*Time!BK25/12*Inputs!$F$40</f>
        <v>2.8387048118372</v>
      </c>
      <c r="BL62" s="11" t="n">
        <f aca="false">Inputs!$F$159*(0.5*BL19+0.5*BL23*Inputs!$F$153/BL11)*Time!BL25/12*Inputs!$F$40</f>
        <v>2.86976068670197</v>
      </c>
      <c r="BM62" s="11" t="n">
        <f aca="false">Inputs!$F$159*(0.5*BM19+0.5*BM23*Inputs!$F$153/BM11)*Time!BM25/12*Inputs!$F$40</f>
        <v>1.93410421179841</v>
      </c>
      <c r="BN62" s="11" t="n">
        <f aca="false">Inputs!$F$159*(0.5*BN19+0.5*BN23*Inputs!$F$153/BN11)*Time!BN25/12*Inputs!$F$40</f>
        <v>0</v>
      </c>
    </row>
    <row r="63" customFormat="false" ht="15" hidden="false" customHeight="false" outlineLevel="0" collapsed="false">
      <c r="D63" s="0" t="s">
        <v>267</v>
      </c>
      <c r="E63" s="0" t="s">
        <v>149</v>
      </c>
      <c r="G63" s="11" t="n">
        <f aca="false">SUM(J63:BN63)</f>
        <v>25.0349026913824</v>
      </c>
      <c r="J63" s="11" t="n">
        <f aca="false">Inputs!$F$160*J23/J11*Time!J25/12*Inputs!$F$40</f>
        <v>0</v>
      </c>
      <c r="K63" s="11" t="n">
        <f aca="false">Inputs!$F$160*K23/K11*Time!K25/12*Inputs!$F$40</f>
        <v>0</v>
      </c>
      <c r="L63" s="11" t="n">
        <f aca="false">Inputs!$F$160*L23/L11*Time!L25/12*Inputs!$F$40</f>
        <v>0</v>
      </c>
      <c r="M63" s="11" t="n">
        <f aca="false">Inputs!$F$160*M23/M11*Time!M25/12*Inputs!$F$40</f>
        <v>0</v>
      </c>
      <c r="N63" s="11" t="n">
        <f aca="false">Inputs!$F$160*N23/N11*Time!N25/12*Inputs!$F$40</f>
        <v>0</v>
      </c>
      <c r="O63" s="11" t="n">
        <f aca="false">Inputs!$F$160*O23/O11*Time!O25/12*Inputs!$F$40</f>
        <v>0.125367390571663</v>
      </c>
      <c r="P63" s="11" t="n">
        <f aca="false">Inputs!$F$160*P23/P11*Time!P25/12*Inputs!$F$40</f>
        <v>0.38021678832903</v>
      </c>
      <c r="Q63" s="11" t="n">
        <f aca="false">Inputs!$F$160*Q23/Q11*Time!Q25/12*Inputs!$F$40</f>
        <v>0.384376419492718</v>
      </c>
      <c r="R63" s="11" t="n">
        <f aca="false">Inputs!$F$160*R23/R11*Time!R25/12*Inputs!$F$40</f>
        <v>0.388581557672269</v>
      </c>
      <c r="S63" s="11" t="n">
        <f aca="false">Inputs!$F$160*S23/S11*Time!S25/12*Inputs!$F$40</f>
        <v>0.392832700721557</v>
      </c>
      <c r="T63" s="11" t="n">
        <f aca="false">Inputs!$F$160*T23/T11*Time!T25/12*Inputs!$F$40</f>
        <v>0.397130351941059</v>
      </c>
      <c r="U63" s="11" t="n">
        <f aca="false">Inputs!$F$160*U23/U11*Time!U25/12*Inputs!$F$40</f>
        <v>0.401475020137432</v>
      </c>
      <c r="V63" s="11" t="n">
        <f aca="false">Inputs!$F$160*V23/V11*Time!V25/12*Inputs!$F$40</f>
        <v>0.405867219683762</v>
      </c>
      <c r="W63" s="11" t="n">
        <f aca="false">Inputs!$F$160*W23/W11*Time!W25/12*Inputs!$F$40</f>
        <v>0.410307470580455</v>
      </c>
      <c r="X63" s="11" t="n">
        <f aca="false">Inputs!$F$160*X23/X11*Time!X25/12*Inputs!$F$40</f>
        <v>0.414796298516805</v>
      </c>
      <c r="Y63" s="11" t="n">
        <f aca="false">Inputs!$F$160*Y23/Y11*Time!Y25/12*Inputs!$F$40</f>
        <v>0.419334234933225</v>
      </c>
      <c r="Z63" s="11" t="n">
        <f aca="false">Inputs!$F$160*Z23/Z11*Time!Z25/12*Inputs!$F$40</f>
        <v>0.423921817084174</v>
      </c>
      <c r="AA63" s="11" t="n">
        <f aca="false">Inputs!$F$160*AA23/AA11*Time!AA25/12*Inputs!$F$40</f>
        <v>0.428559588101756</v>
      </c>
      <c r="AB63" s="11" t="n">
        <f aca="false">Inputs!$F$160*AB23/AB11*Time!AB25/12*Inputs!$F$40</f>
        <v>0.433248097060026</v>
      </c>
      <c r="AC63" s="11" t="n">
        <f aca="false">Inputs!$F$160*AC23/AC11*Time!AC25/12*Inputs!$F$40</f>
        <v>0.437987899039995</v>
      </c>
      <c r="AD63" s="11" t="n">
        <f aca="false">Inputs!$F$160*AD23/AD11*Time!AD25/12*Inputs!$F$40</f>
        <v>0.442779555195347</v>
      </c>
      <c r="AE63" s="11" t="n">
        <f aca="false">Inputs!$F$160*AE23/AE11*Time!AE25/12*Inputs!$F$40</f>
        <v>0.447623632818875</v>
      </c>
      <c r="AF63" s="11" t="n">
        <f aca="false">Inputs!$F$160*AF23/AF11*Time!AF25/12*Inputs!$F$40</f>
        <v>0.452520705409644</v>
      </c>
      <c r="AG63" s="11" t="n">
        <f aca="false">Inputs!$F$160*AG23/AG11*Time!AG25/12*Inputs!$F$40</f>
        <v>0.45747135274089</v>
      </c>
      <c r="AH63" s="11" t="n">
        <f aca="false">Inputs!$F$160*AH23/AH11*Time!AH25/12*Inputs!$F$40</f>
        <v>0.462476160928656</v>
      </c>
      <c r="AI63" s="11" t="n">
        <f aca="false">Inputs!$F$160*AI23/AI11*Time!AI25/12*Inputs!$F$40</f>
        <v>0.46753572250119</v>
      </c>
      <c r="AJ63" s="11" t="n">
        <f aca="false">Inputs!$F$160*AJ23/AJ11*Time!AJ25/12*Inputs!$F$40</f>
        <v>0.472650636469087</v>
      </c>
      <c r="AK63" s="11" t="n">
        <f aca="false">Inputs!$F$160*AK23/AK11*Time!AK25/12*Inputs!$F$40</f>
        <v>0.477821508396216</v>
      </c>
      <c r="AL63" s="11" t="n">
        <f aca="false">Inputs!$F$160*AL23/AL11*Time!AL25/12*Inputs!$F$40</f>
        <v>0.483048950471407</v>
      </c>
      <c r="AM63" s="11" t="n">
        <f aca="false">Inputs!$F$160*AM23/AM11*Time!AM25/12*Inputs!$F$40</f>
        <v>0.488333581580932</v>
      </c>
      <c r="AN63" s="11" t="n">
        <f aca="false">Inputs!$F$160*AN23/AN11*Time!AN25/12*Inputs!$F$40</f>
        <v>0.493676027381778</v>
      </c>
      <c r="AO63" s="11" t="n">
        <f aca="false">Inputs!$F$160*AO23/AO11*Time!AO25/12*Inputs!$F$40</f>
        <v>0.499076920375713</v>
      </c>
      <c r="AP63" s="11" t="n">
        <f aca="false">Inputs!$F$160*AP23/AP11*Time!AP25/12*Inputs!$F$40</f>
        <v>0.504536899984177</v>
      </c>
      <c r="AQ63" s="11" t="n">
        <f aca="false">Inputs!$F$160*AQ23/AQ11*Time!AQ25/12*Inputs!$F$40</f>
        <v>0.510056612623979</v>
      </c>
      <c r="AR63" s="11" t="n">
        <f aca="false">Inputs!$F$160*AR23/AR11*Time!AR25/12*Inputs!$F$40</f>
        <v>0.515636711783829</v>
      </c>
      <c r="AS63" s="11" t="n">
        <f aca="false">Inputs!$F$160*AS23/AS11*Time!AS25/12*Inputs!$F$40</f>
        <v>0.521277858101706</v>
      </c>
      <c r="AT63" s="11" t="n">
        <f aca="false">Inputs!$F$160*AT23/AT11*Time!AT25/12*Inputs!$F$40</f>
        <v>0.526980719443073</v>
      </c>
      <c r="AU63" s="11" t="n">
        <f aca="false">Inputs!$F$160*AU23/AU11*Time!AU25/12*Inputs!$F$40</f>
        <v>0.532745970979944</v>
      </c>
      <c r="AV63" s="11" t="n">
        <f aca="false">Inputs!$F$160*AV23/AV11*Time!AV25/12*Inputs!$F$40</f>
        <v>0.538574295270821</v>
      </c>
      <c r="AW63" s="11" t="n">
        <f aca="false">Inputs!$F$160*AW23/AW11*Time!AW25/12*Inputs!$F$40</f>
        <v>0.544466382341503</v>
      </c>
      <c r="AX63" s="11" t="n">
        <f aca="false">Inputs!$F$160*AX23/AX11*Time!AX25/12*Inputs!$F$40</f>
        <v>0.550422929766779</v>
      </c>
      <c r="AY63" s="11" t="n">
        <f aca="false">Inputs!$F$160*AY23/AY11*Time!AY25/12*Inputs!$F$40</f>
        <v>0.556444642753016</v>
      </c>
      <c r="AZ63" s="11" t="n">
        <f aca="false">Inputs!$F$160*AZ23/AZ11*Time!AZ25/12*Inputs!$F$40</f>
        <v>0.562532234221648</v>
      </c>
      <c r="BA63" s="11" t="n">
        <f aca="false">Inputs!$F$160*BA23/BA11*Time!BA25/12*Inputs!$F$40</f>
        <v>0.568686424893582</v>
      </c>
      <c r="BB63" s="11" t="n">
        <f aca="false">Inputs!$F$160*BB23/BB11*Time!BB25/12*Inputs!$F$40</f>
        <v>0.574907943374524</v>
      </c>
      <c r="BC63" s="11" t="n">
        <f aca="false">Inputs!$F$160*BC23/BC11*Time!BC25/12*Inputs!$F$40</f>
        <v>0.581197526241241</v>
      </c>
      <c r="BD63" s="11" t="n">
        <f aca="false">Inputs!$F$160*BD23/BD11*Time!BD25/12*Inputs!$F$40</f>
        <v>0.587555918128764</v>
      </c>
      <c r="BE63" s="11" t="n">
        <f aca="false">Inputs!$F$160*BE23/BE11*Time!BE25/12*Inputs!$F$40</f>
        <v>0.593983871818548</v>
      </c>
      <c r="BF63" s="11" t="n">
        <f aca="false">Inputs!$F$160*BF23/BF11*Time!BF25/12*Inputs!$F$40</f>
        <v>0.600482148327596</v>
      </c>
      <c r="BG63" s="11" t="n">
        <f aca="false">Inputs!$F$160*BG23/BG11*Time!BG25/12*Inputs!$F$40</f>
        <v>0.607051516998556</v>
      </c>
      <c r="BH63" s="11" t="n">
        <f aca="false">Inputs!$F$160*BH23/BH11*Time!BH25/12*Inputs!$F$40</f>
        <v>0.613692755590804</v>
      </c>
      <c r="BI63" s="11" t="n">
        <f aca="false">Inputs!$F$160*BI23/BI11*Time!BI25/12*Inputs!$F$40</f>
        <v>0.620406650372524</v>
      </c>
      <c r="BJ63" s="11" t="n">
        <f aca="false">Inputs!$F$160*BJ23/BJ11*Time!BJ25/12*Inputs!$F$40</f>
        <v>0.627193996213801</v>
      </c>
      <c r="BK63" s="11" t="n">
        <f aca="false">Inputs!$F$160*BK23/BK11*Time!BK25/12*Inputs!$F$40</f>
        <v>0.63405559668072</v>
      </c>
      <c r="BL63" s="11" t="n">
        <f aca="false">Inputs!$F$160*BL23/BL11*Time!BL25/12*Inputs!$F$40</f>
        <v>0.640992264130505</v>
      </c>
      <c r="BM63" s="11" t="n">
        <f aca="false">Inputs!$F$160*BM23/BM11*Time!BM25/12*Inputs!$F$40</f>
        <v>0.43200321320513</v>
      </c>
      <c r="BN63" s="11" t="n">
        <f aca="false">Inputs!$F$160*BN23/BN11*Time!BN25/12*Inputs!$F$40</f>
        <v>0</v>
      </c>
    </row>
    <row r="64" customFormat="false" ht="15" hidden="false" customHeight="false" outlineLevel="0" collapsed="false">
      <c r="D64" s="0" t="s">
        <v>514</v>
      </c>
      <c r="E64" s="0" t="s">
        <v>149</v>
      </c>
      <c r="G64" s="11" t="n">
        <f aca="false">SUM(J64:BN64)</f>
        <v>20.7942505027319</v>
      </c>
      <c r="J64" s="11" t="n">
        <f aca="false">Inputs!$F$161/100*J51</f>
        <v>0</v>
      </c>
      <c r="K64" s="11" t="n">
        <f aca="false">Inputs!$F$161/100*K51</f>
        <v>0</v>
      </c>
      <c r="L64" s="11" t="n">
        <f aca="false">Inputs!$F$161/100*L51</f>
        <v>0</v>
      </c>
      <c r="M64" s="11" t="n">
        <f aca="false">Inputs!$F$161/100*M51</f>
        <v>0</v>
      </c>
      <c r="N64" s="11" t="n">
        <f aca="false">Inputs!$F$161/100*N51</f>
        <v>0</v>
      </c>
      <c r="O64" s="11" t="n">
        <f aca="false">Inputs!$F$161/100*O51</f>
        <v>0.123830651405703</v>
      </c>
      <c r="P64" s="11" t="n">
        <f aca="false">Inputs!$F$161/100*P51</f>
        <v>0.373095451684674</v>
      </c>
      <c r="Q64" s="11" t="n">
        <f aca="false">Inputs!$F$161/100*Q51</f>
        <v>0.374570450688301</v>
      </c>
      <c r="R64" s="11" t="n">
        <f aca="false">Inputs!$F$161/100*R51</f>
        <v>0.375550943857255</v>
      </c>
      <c r="S64" s="11" t="n">
        <f aca="false">Inputs!$F$161/100*S51</f>
        <v>0.377702481873798</v>
      </c>
      <c r="T64" s="11" t="n">
        <f aca="false">Inputs!$F$161/100*T51</f>
        <v>0.379642078904169</v>
      </c>
      <c r="U64" s="11" t="n">
        <f aca="false">Inputs!$F$161/100*U51</f>
        <v>0.379817739561991</v>
      </c>
      <c r="V64" s="11" t="n">
        <f aca="false">Inputs!$F$161/100*V51</f>
        <v>0.372437699647303</v>
      </c>
      <c r="W64" s="11" t="n">
        <f aca="false">Inputs!$F$161/100*W51</f>
        <v>0.378660522241135</v>
      </c>
      <c r="X64" s="11" t="n">
        <f aca="false">Inputs!$F$161/100*X51</f>
        <v>0.386474261848706</v>
      </c>
      <c r="Y64" s="11" t="n">
        <f aca="false">Inputs!$F$161/100*Y51</f>
        <v>0.388081385702823</v>
      </c>
      <c r="Z64" s="11" t="n">
        <f aca="false">Inputs!$F$161/100*Z51</f>
        <v>0.389172456935497</v>
      </c>
      <c r="AA64" s="11" t="n">
        <f aca="false">Inputs!$F$161/100*AA51</f>
        <v>0.391493276686601</v>
      </c>
      <c r="AB64" s="11" t="n">
        <f aca="false">Inputs!$F$161/100*AB51</f>
        <v>0.393604451202199</v>
      </c>
      <c r="AC64" s="11" t="n">
        <f aca="false">Inputs!$F$161/100*AC51</f>
        <v>0.391076638390086</v>
      </c>
      <c r="AD64" s="11" t="n">
        <f aca="false">Inputs!$F$161/100*AD51</f>
        <v>0.37791130829575</v>
      </c>
      <c r="AE64" s="11" t="n">
        <f aca="false">Inputs!$F$161/100*AE51</f>
        <v>0.387219817816812</v>
      </c>
      <c r="AF64" s="11" t="n">
        <f aca="false">Inputs!$F$161/100*AF51</f>
        <v>0.401045640295844</v>
      </c>
      <c r="AG64" s="11" t="n">
        <f aca="false">Inputs!$F$161/100*AG51</f>
        <v>0.402796721475658</v>
      </c>
      <c r="AH64" s="11" t="n">
        <f aca="false">Inputs!$F$161/100*AH51</f>
        <v>0.404008324196032</v>
      </c>
      <c r="AI64" s="11" t="n">
        <f aca="false">Inputs!$F$161/100*AI51</f>
        <v>0.406513470930125</v>
      </c>
      <c r="AJ64" s="11" t="n">
        <f aca="false">Inputs!$F$161/100*AJ51</f>
        <v>0.40881138874862</v>
      </c>
      <c r="AK64" s="11" t="n">
        <f aca="false">Inputs!$F$161/100*AK51</f>
        <v>0.409146707450972</v>
      </c>
      <c r="AL64" s="11" t="n">
        <f aca="false">Inputs!$F$161/100*AL51</f>
        <v>0.401376662745508</v>
      </c>
      <c r="AM64" s="11" t="n">
        <f aca="false">Inputs!$F$161/100*AM51</f>
        <v>0.408266206551799</v>
      </c>
      <c r="AN64" s="11" t="n">
        <f aca="false">Inputs!$F$161/100*AN51</f>
        <v>0.416915847137236</v>
      </c>
      <c r="AO64" s="11" t="n">
        <f aca="false">Inputs!$F$161/100*AO51</f>
        <v>0.418823777522479</v>
      </c>
      <c r="AP64" s="11" t="n">
        <f aca="false">Inputs!$F$161/100*AP51</f>
        <v>0.420166760992049</v>
      </c>
      <c r="AQ64" s="11" t="n">
        <f aca="false">Inputs!$F$161/100*AQ51</f>
        <v>0.422872616408475</v>
      </c>
      <c r="AR64" s="11" t="n">
        <f aca="false">Inputs!$F$161/100*AR51</f>
        <v>0.425373782740328</v>
      </c>
      <c r="AS64" s="11" t="n">
        <f aca="false">Inputs!$F$161/100*AS51</f>
        <v>0.422794741778695</v>
      </c>
      <c r="AT64" s="11" t="n">
        <f aca="false">Inputs!$F$161/100*AT51</f>
        <v>0.408746457973321</v>
      </c>
      <c r="AU64" s="11" t="n">
        <f aca="false">Inputs!$F$161/100*AU51</f>
        <v>0.419004098381743</v>
      </c>
      <c r="AV64" s="11" t="n">
        <f aca="false">Inputs!$F$161/100*AV51</f>
        <v>0.434200606403662</v>
      </c>
      <c r="AW64" s="11" t="n">
        <f aca="false">Inputs!$F$161/100*AW51</f>
        <v>0.436279432107303</v>
      </c>
      <c r="AX64" s="11" t="n">
        <f aca="false">Inputs!$F$161/100*AX51</f>
        <v>0.437765622044234</v>
      </c>
      <c r="AY64" s="11" t="n">
        <f aca="false">Inputs!$F$161/100*AY51</f>
        <v>0.440690022941043</v>
      </c>
      <c r="AZ64" s="11" t="n">
        <f aca="false">Inputs!$F$161/100*AZ51</f>
        <v>0.443412400575141</v>
      </c>
      <c r="BA64" s="11" t="n">
        <f aca="false">Inputs!$F$161/100*BA51</f>
        <v>0.443937846567888</v>
      </c>
      <c r="BB64" s="11" t="n">
        <f aca="false">Inputs!$F$161/100*BB51</f>
        <v>0.43570513988171</v>
      </c>
      <c r="BC64" s="11" t="n">
        <f aca="false">Inputs!$F$161/100*BC51</f>
        <v>0.44338554926271</v>
      </c>
      <c r="BD64" s="11" t="n">
        <f aca="false">Inputs!$F$161/100*BD51</f>
        <v>0.45302594856051</v>
      </c>
      <c r="BE64" s="11" t="n">
        <f aca="false">Inputs!$F$161/100*BE51</f>
        <v>0.455290973243522</v>
      </c>
      <c r="BF64" s="11" t="n">
        <f aca="false">Inputs!$F$161/100*BF51</f>
        <v>0.456933259696147</v>
      </c>
      <c r="BG64" s="11" t="n">
        <f aca="false">Inputs!$F$161/100*BG51</f>
        <v>0.46009562714495</v>
      </c>
      <c r="BH64" s="11" t="n">
        <f aca="false">Inputs!$F$161/100*BH51</f>
        <v>0.463058765052912</v>
      </c>
      <c r="BI64" s="11" t="n">
        <f aca="false">Inputs!$F$161/100*BI51</f>
        <v>0.460419758631774</v>
      </c>
      <c r="BJ64" s="11" t="n">
        <f aca="false">Inputs!$F$161/100*BJ51</f>
        <v>0.445324062166583</v>
      </c>
      <c r="BK64" s="11" t="n">
        <f aca="false">Inputs!$F$161/100*BK51</f>
        <v>0.456707565024995</v>
      </c>
      <c r="BL64" s="11" t="n">
        <f aca="false">Inputs!$F$161/100*BL51</f>
        <v>0.473529127991714</v>
      </c>
      <c r="BM64" s="11" t="n">
        <f aca="false">Inputs!$F$161/100*BM51</f>
        <v>0.31748397336343</v>
      </c>
      <c r="BN64" s="11" t="n">
        <f aca="false">Inputs!$F$161/100*BN51</f>
        <v>0</v>
      </c>
    </row>
    <row r="65" customFormat="false" ht="15" hidden="false" customHeight="false" outlineLevel="0" collapsed="false">
      <c r="D65" s="0" t="s">
        <v>271</v>
      </c>
      <c r="E65" s="0" t="s">
        <v>149</v>
      </c>
      <c r="G65" s="11" t="n">
        <f aca="false">SUM(J65:BN65)</f>
        <v>130.499146695983</v>
      </c>
      <c r="J65" s="11" t="n">
        <f aca="false">Inputs!$F$162*(0.7*J19+0.3*J23*Inputs!$F$153/J11)*J34/1000000</f>
        <v>0</v>
      </c>
      <c r="K65" s="11" t="n">
        <f aca="false">Inputs!$F$162*(0.7*K19+0.3*K23*Inputs!$F$153/K11)*K34/1000000</f>
        <v>0</v>
      </c>
      <c r="L65" s="11" t="n">
        <f aca="false">Inputs!$F$162*(0.7*L19+0.3*L23*Inputs!$F$153/L11)*L34/1000000</f>
        <v>0</v>
      </c>
      <c r="M65" s="11" t="n">
        <f aca="false">Inputs!$F$162*(0.7*M19+0.3*M23*Inputs!$F$153/M11)*M34/1000000</f>
        <v>0</v>
      </c>
      <c r="N65" s="11" t="n">
        <f aca="false">Inputs!$F$162*(0.7*N19+0.3*N23*Inputs!$F$153/N11)*N34/1000000</f>
        <v>0</v>
      </c>
      <c r="O65" s="11" t="n">
        <f aca="false">Inputs!$F$162*(0.7*O19+0.3*O23*Inputs!$F$153/O11)*O34/1000000</f>
        <v>0.676261622889523</v>
      </c>
      <c r="P65" s="11" t="n">
        <f aca="false">Inputs!$F$162*(0.7*P19+0.3*P23*Inputs!$F$153/P11)*P34/1000000</f>
        <v>2.04995447436372</v>
      </c>
      <c r="Q65" s="11" t="n">
        <f aca="false">Inputs!$F$162*(0.7*Q19+0.3*Q23*Inputs!$F$153/Q11)*Q34/1000000</f>
        <v>2.06398410284494</v>
      </c>
      <c r="R65" s="11" t="n">
        <f aca="false">Inputs!$F$162*(0.7*R19+0.3*R23*Inputs!$F$153/R11)*R34/1000000</f>
        <v>2.07117414713364</v>
      </c>
      <c r="S65" s="11" t="n">
        <f aca="false">Inputs!$F$162*(0.7*S19+0.3*S23*Inputs!$F$153/S11)*S34/1000000</f>
        <v>2.09924135314704</v>
      </c>
      <c r="T65" s="11" t="n">
        <f aca="false">Inputs!$F$162*(0.7*T19+0.3*T23*Inputs!$F$153/T11)*T34/1000000</f>
        <v>2.13471719809677</v>
      </c>
      <c r="U65" s="11" t="n">
        <f aca="false">Inputs!$F$162*(0.7*U19+0.3*U23*Inputs!$F$153/U11)*U34/1000000</f>
        <v>2.13111418669514</v>
      </c>
      <c r="V65" s="11" t="n">
        <f aca="false">Inputs!$F$162*(0.7*V19+0.3*V23*Inputs!$F$153/V11)*V34/1000000</f>
        <v>2.10162486439632</v>
      </c>
      <c r="W65" s="11" t="n">
        <f aca="false">Inputs!$F$162*(0.7*W19+0.3*W23*Inputs!$F$153/W11)*W34/1000000</f>
        <v>2.14886632141508</v>
      </c>
      <c r="X65" s="11" t="n">
        <f aca="false">Inputs!$F$162*(0.7*X19+0.3*X23*Inputs!$F$153/X11)*X34/1000000</f>
        <v>2.22296458809743</v>
      </c>
      <c r="Y65" s="11" t="n">
        <f aca="false">Inputs!$F$162*(0.7*Y19+0.3*Y23*Inputs!$F$153/Y11)*Y34/1000000</f>
        <v>2.23816812292554</v>
      </c>
      <c r="Z65" s="11" t="n">
        <f aca="false">Inputs!$F$162*(0.7*Z19+0.3*Z23*Inputs!$F$153/Z11)*Z34/1000000</f>
        <v>2.24595474676849</v>
      </c>
      <c r="AA65" s="11" t="n">
        <f aca="false">Inputs!$F$162*(0.7*AA19+0.3*AA23*Inputs!$F$153/AA11)*AA34/1000000</f>
        <v>2.27638010843348</v>
      </c>
      <c r="AB65" s="11" t="n">
        <f aca="false">Inputs!$F$162*(0.7*AB19+0.3*AB23*Inputs!$F$153/AB11)*AB34/1000000</f>
        <v>2.31483893745094</v>
      </c>
      <c r="AC65" s="11" t="n">
        <f aca="false">Inputs!$F$162*(0.7*AC19+0.3*AC23*Inputs!$F$153/AC11)*AC34/1000000</f>
        <v>2.29461100090345</v>
      </c>
      <c r="AD65" s="11" t="n">
        <f aca="false">Inputs!$F$162*(0.7*AD19+0.3*AD23*Inputs!$F$153/AD11)*AD34/1000000</f>
        <v>2.22950462044576</v>
      </c>
      <c r="AE65" s="11" t="n">
        <f aca="false">Inputs!$F$162*(0.7*AE19+0.3*AE23*Inputs!$F$153/AE11)*AE34/1000000</f>
        <v>2.29686211835333</v>
      </c>
      <c r="AF65" s="11" t="n">
        <f aca="false">Inputs!$F$162*(0.7*AF19+0.3*AF23*Inputs!$F$153/AF11)*AF34/1000000</f>
        <v>2.41048830322464</v>
      </c>
      <c r="AG65" s="11" t="n">
        <f aca="false">Inputs!$F$162*(0.7*AG19+0.3*AG23*Inputs!$F$153/AG11)*AG34/1000000</f>
        <v>2.4269632268931</v>
      </c>
      <c r="AH65" s="11" t="n">
        <f aca="false">Inputs!$F$162*(0.7*AH19+0.3*AH23*Inputs!$F$153/AH11)*AH34/1000000</f>
        <v>2.43539547312988</v>
      </c>
      <c r="AI65" s="11" t="n">
        <f aca="false">Inputs!$F$162*(0.7*AI19+0.3*AI23*Inputs!$F$153/AI11)*AI34/1000000</f>
        <v>2.46837577100255</v>
      </c>
      <c r="AJ65" s="11" t="n">
        <f aca="false">Inputs!$F$162*(0.7*AJ19+0.3*AJ23*Inputs!$F$153/AJ11)*AJ34/1000000</f>
        <v>2.51006673770466</v>
      </c>
      <c r="AK65" s="11" t="n">
        <f aca="false">Inputs!$F$162*(0.7*AK19+0.3*AK23*Inputs!$F$153/AK11)*AK34/1000000</f>
        <v>2.50580719394909</v>
      </c>
      <c r="AL65" s="11" t="n">
        <f aca="false">Inputs!$F$162*(0.7*AL19+0.3*AL23*Inputs!$F$153/AL11)*AL34/1000000</f>
        <v>2.47111032501448</v>
      </c>
      <c r="AM65" s="11" t="n">
        <f aca="false">Inputs!$F$162*(0.7*AM19+0.3*AM23*Inputs!$F$153/AM11)*AM34/1000000</f>
        <v>2.52663400261525</v>
      </c>
      <c r="AN65" s="11" t="n">
        <f aca="false">Inputs!$F$162*(0.7*AN19+0.3*AN23*Inputs!$F$153/AN11)*AN34/1000000</f>
        <v>2.6137345287993</v>
      </c>
      <c r="AO65" s="11" t="n">
        <f aca="false">Inputs!$F$162*(0.7*AO19+0.3*AO23*Inputs!$F$153/AO11)*AO34/1000000</f>
        <v>2.6315863454872</v>
      </c>
      <c r="AP65" s="11" t="n">
        <f aca="false">Inputs!$F$162*(0.7*AP19+0.3*AP23*Inputs!$F$153/AP11)*AP34/1000000</f>
        <v>2.64071724303509</v>
      </c>
      <c r="AQ65" s="11" t="n">
        <f aca="false">Inputs!$F$162*(0.7*AQ19+0.3*AQ23*Inputs!$F$153/AQ11)*AQ34/1000000</f>
        <v>2.67646554573336</v>
      </c>
      <c r="AR65" s="11" t="n">
        <f aca="false">Inputs!$F$162*(0.7*AR19+0.3*AR23*Inputs!$F$153/AR11)*AR34/1000000</f>
        <v>2.72165844996716</v>
      </c>
      <c r="AS65" s="11" t="n">
        <f aca="false">Inputs!$F$162*(0.7*AS19+0.3*AS23*Inputs!$F$153/AS11)*AS34/1000000</f>
        <v>2.6978504931929</v>
      </c>
      <c r="AT65" s="11" t="n">
        <f aca="false">Inputs!$F$162*(0.7*AT19+0.3*AT23*Inputs!$F$153/AT11)*AT34/1000000</f>
        <v>2.62127835250809</v>
      </c>
      <c r="AU65" s="11" t="n">
        <f aca="false">Inputs!$F$162*(0.7*AU19+0.3*AU23*Inputs!$F$153/AU11)*AU34/1000000</f>
        <v>2.70044688786542</v>
      </c>
      <c r="AV65" s="11" t="n">
        <f aca="false">Inputs!$F$162*(0.7*AV19+0.3*AV23*Inputs!$F$153/AV11)*AV34/1000000</f>
        <v>2.83401202004168</v>
      </c>
      <c r="AW65" s="11" t="n">
        <f aca="false">Inputs!$F$162*(0.7*AW19+0.3*AW23*Inputs!$F$153/AW11)*AW34/1000000</f>
        <v>2.85335490839803</v>
      </c>
      <c r="AX65" s="11" t="n">
        <f aca="false">Inputs!$F$162*(0.7*AX19+0.3*AX23*Inputs!$F$153/AX11)*AX34/1000000</f>
        <v>2.86324179164502</v>
      </c>
      <c r="AY65" s="11" t="n">
        <f aca="false">Inputs!$F$162*(0.7*AY19+0.3*AY23*Inputs!$F$153/AY11)*AY34/1000000</f>
        <v>2.90198879090769</v>
      </c>
      <c r="AZ65" s="11" t="n">
        <f aca="false">Inputs!$F$162*(0.7*AZ19+0.3*AZ23*Inputs!$F$153/AZ11)*AZ34/1000000</f>
        <v>2.95097577333794</v>
      </c>
      <c r="BA65" s="11" t="n">
        <f aca="false">Inputs!$F$162*(0.7*BA19+0.3*BA23*Inputs!$F$153/BA11)*BA34/1000000</f>
        <v>2.94594029299547</v>
      </c>
      <c r="BB65" s="11" t="n">
        <f aca="false">Inputs!$F$162*(0.7*BB19+0.3*BB23*Inputs!$F$153/BB11)*BB34/1000000</f>
        <v>2.9051217055136</v>
      </c>
      <c r="BC65" s="11" t="n">
        <f aca="false">Inputs!$F$162*(0.7*BC19+0.3*BC23*Inputs!$F$153/BC11)*BC34/1000000</f>
        <v>2.97036920075772</v>
      </c>
      <c r="BD65" s="11" t="n">
        <f aca="false">Inputs!$F$162*(0.7*BD19+0.3*BD23*Inputs!$F$153/BD11)*BD34/1000000</f>
        <v>3.07273754044237</v>
      </c>
      <c r="BE65" s="11" t="n">
        <f aca="false">Inputs!$F$162*(0.7*BE19+0.3*BE23*Inputs!$F$153/BE11)*BE34/1000000</f>
        <v>3.09369505875777</v>
      </c>
      <c r="BF65" s="11" t="n">
        <f aca="false">Inputs!$F$162*(0.7*BF19+0.3*BF23*Inputs!$F$153/BF11)*BF34/1000000</f>
        <v>3.10439991208086</v>
      </c>
      <c r="BG65" s="11" t="n">
        <f aca="false">Inputs!$F$162*(0.7*BG19+0.3*BG23*Inputs!$F$153/BG11)*BG34/1000000</f>
        <v>3.14639536594162</v>
      </c>
      <c r="BH65" s="11" t="n">
        <f aca="false">Inputs!$F$162*(0.7*BH19+0.3*BH23*Inputs!$F$153/BH11)*BH34/1000000</f>
        <v>3.19949274010146</v>
      </c>
      <c r="BI65" s="11" t="n">
        <f aca="false">Inputs!$F$162*(0.7*BI19+0.3*BI23*Inputs!$F$153/BI11)*BI34/1000000</f>
        <v>3.17147467134738</v>
      </c>
      <c r="BJ65" s="11" t="n">
        <f aca="false">Inputs!$F$162*(0.7*BJ19+0.3*BJ23*Inputs!$F$153/BJ11)*BJ34/1000000</f>
        <v>3.08143042208457</v>
      </c>
      <c r="BK65" s="11" t="n">
        <f aca="false">Inputs!$F$162*(0.7*BK19+0.3*BK23*Inputs!$F$153/BK11)*BK34/1000000</f>
        <v>3.17446625598602</v>
      </c>
      <c r="BL65" s="11" t="n">
        <f aca="false">Inputs!$F$162*(0.7*BL19+0.3*BL23*Inputs!$F$153/BL11)*BL34/1000000</f>
        <v>3.33144468264099</v>
      </c>
      <c r="BM65" s="11" t="n">
        <f aca="false">Inputs!$F$162*(0.7*BM19+0.3*BM23*Inputs!$F$153/BM11)*BM34/1000000</f>
        <v>2.24380416852033</v>
      </c>
      <c r="BN65" s="11" t="n">
        <f aca="false">Inputs!$F$162*(0.7*BN19+0.3*BN23*Inputs!$F$153/BN11)*BN34/1000000</f>
        <v>0</v>
      </c>
    </row>
    <row r="66" customFormat="false" ht="15" hidden="false" customHeight="false" outlineLevel="0" collapsed="false">
      <c r="D66" s="0" t="s">
        <v>203</v>
      </c>
      <c r="E66" s="0" t="s">
        <v>149</v>
      </c>
      <c r="G66" s="11" t="n">
        <f aca="false">SUM(J66:BN66)</f>
        <v>6.375</v>
      </c>
      <c r="J66" s="11" t="n">
        <f aca="false">Inputs!$F$107*Time!J25/12</f>
        <v>0</v>
      </c>
      <c r="K66" s="11" t="n">
        <f aca="false">Inputs!$F$107*Time!K25/12</f>
        <v>0</v>
      </c>
      <c r="L66" s="11" t="n">
        <f aca="false">Inputs!$F$107*Time!L25/12</f>
        <v>0</v>
      </c>
      <c r="M66" s="11" t="n">
        <f aca="false">Inputs!$F$107*Time!M25/12</f>
        <v>0</v>
      </c>
      <c r="N66" s="11" t="n">
        <f aca="false">Inputs!$F$107*Time!N25/12</f>
        <v>0</v>
      </c>
      <c r="O66" s="11" t="n">
        <f aca="false">Inputs!$F$107*Time!O25/12</f>
        <v>0.0425</v>
      </c>
      <c r="P66" s="11" t="n">
        <f aca="false">Inputs!$F$107*Time!P25/12</f>
        <v>0.1275</v>
      </c>
      <c r="Q66" s="11" t="n">
        <f aca="false">Inputs!$F$107*Time!Q25/12</f>
        <v>0.1275</v>
      </c>
      <c r="R66" s="11" t="n">
        <f aca="false">Inputs!$F$107*Time!R25/12</f>
        <v>0.1275</v>
      </c>
      <c r="S66" s="11" t="n">
        <f aca="false">Inputs!$F$107*Time!S25/12</f>
        <v>0.1275</v>
      </c>
      <c r="T66" s="11" t="n">
        <f aca="false">Inputs!$F$107*Time!T25/12</f>
        <v>0.1275</v>
      </c>
      <c r="U66" s="11" t="n">
        <f aca="false">Inputs!$F$107*Time!U25/12</f>
        <v>0.1275</v>
      </c>
      <c r="V66" s="11" t="n">
        <f aca="false">Inputs!$F$107*Time!V25/12</f>
        <v>0.1275</v>
      </c>
      <c r="W66" s="11" t="n">
        <f aca="false">Inputs!$F$107*Time!W25/12</f>
        <v>0.1275</v>
      </c>
      <c r="X66" s="11" t="n">
        <f aca="false">Inputs!$F$107*Time!X25/12</f>
        <v>0.1275</v>
      </c>
      <c r="Y66" s="11" t="n">
        <f aca="false">Inputs!$F$107*Time!Y25/12</f>
        <v>0.1275</v>
      </c>
      <c r="Z66" s="11" t="n">
        <f aca="false">Inputs!$F$107*Time!Z25/12</f>
        <v>0.1275</v>
      </c>
      <c r="AA66" s="11" t="n">
        <f aca="false">Inputs!$F$107*Time!AA25/12</f>
        <v>0.1275</v>
      </c>
      <c r="AB66" s="11" t="n">
        <f aca="false">Inputs!$F$107*Time!AB25/12</f>
        <v>0.1275</v>
      </c>
      <c r="AC66" s="11" t="n">
        <f aca="false">Inputs!$F$107*Time!AC25/12</f>
        <v>0.1275</v>
      </c>
      <c r="AD66" s="11" t="n">
        <f aca="false">Inputs!$F$107*Time!AD25/12</f>
        <v>0.1275</v>
      </c>
      <c r="AE66" s="11" t="n">
        <f aca="false">Inputs!$F$107*Time!AE25/12</f>
        <v>0.1275</v>
      </c>
      <c r="AF66" s="11" t="n">
        <f aca="false">Inputs!$F$107*Time!AF25/12</f>
        <v>0.1275</v>
      </c>
      <c r="AG66" s="11" t="n">
        <f aca="false">Inputs!$F$107*Time!AG25/12</f>
        <v>0.1275</v>
      </c>
      <c r="AH66" s="11" t="n">
        <f aca="false">Inputs!$F$107*Time!AH25/12</f>
        <v>0.1275</v>
      </c>
      <c r="AI66" s="11" t="n">
        <f aca="false">Inputs!$F$107*Time!AI25/12</f>
        <v>0.1275</v>
      </c>
      <c r="AJ66" s="11" t="n">
        <f aca="false">Inputs!$F$107*Time!AJ25/12</f>
        <v>0.1275</v>
      </c>
      <c r="AK66" s="11" t="n">
        <f aca="false">Inputs!$F$107*Time!AK25/12</f>
        <v>0.1275</v>
      </c>
      <c r="AL66" s="11" t="n">
        <f aca="false">Inputs!$F$107*Time!AL25/12</f>
        <v>0.1275</v>
      </c>
      <c r="AM66" s="11" t="n">
        <f aca="false">Inputs!$F$107*Time!AM25/12</f>
        <v>0.1275</v>
      </c>
      <c r="AN66" s="11" t="n">
        <f aca="false">Inputs!$F$107*Time!AN25/12</f>
        <v>0.1275</v>
      </c>
      <c r="AO66" s="11" t="n">
        <f aca="false">Inputs!$F$107*Time!AO25/12</f>
        <v>0.1275</v>
      </c>
      <c r="AP66" s="11" t="n">
        <f aca="false">Inputs!$F$107*Time!AP25/12</f>
        <v>0.1275</v>
      </c>
      <c r="AQ66" s="11" t="n">
        <f aca="false">Inputs!$F$107*Time!AQ25/12</f>
        <v>0.1275</v>
      </c>
      <c r="AR66" s="11" t="n">
        <f aca="false">Inputs!$F$107*Time!AR25/12</f>
        <v>0.1275</v>
      </c>
      <c r="AS66" s="11" t="n">
        <f aca="false">Inputs!$F$107*Time!AS25/12</f>
        <v>0.1275</v>
      </c>
      <c r="AT66" s="11" t="n">
        <f aca="false">Inputs!$F$107*Time!AT25/12</f>
        <v>0.1275</v>
      </c>
      <c r="AU66" s="11" t="n">
        <f aca="false">Inputs!$F$107*Time!AU25/12</f>
        <v>0.1275</v>
      </c>
      <c r="AV66" s="11" t="n">
        <f aca="false">Inputs!$F$107*Time!AV25/12</f>
        <v>0.1275</v>
      </c>
      <c r="AW66" s="11" t="n">
        <f aca="false">Inputs!$F$107*Time!AW25/12</f>
        <v>0.1275</v>
      </c>
      <c r="AX66" s="11" t="n">
        <f aca="false">Inputs!$F$107*Time!AX25/12</f>
        <v>0.1275</v>
      </c>
      <c r="AY66" s="11" t="n">
        <f aca="false">Inputs!$F$107*Time!AY25/12</f>
        <v>0.1275</v>
      </c>
      <c r="AZ66" s="11" t="n">
        <f aca="false">Inputs!$F$107*Time!AZ25/12</f>
        <v>0.1275</v>
      </c>
      <c r="BA66" s="11" t="n">
        <f aca="false">Inputs!$F$107*Time!BA25/12</f>
        <v>0.1275</v>
      </c>
      <c r="BB66" s="11" t="n">
        <f aca="false">Inputs!$F$107*Time!BB25/12</f>
        <v>0.1275</v>
      </c>
      <c r="BC66" s="11" t="n">
        <f aca="false">Inputs!$F$107*Time!BC25/12</f>
        <v>0.1275</v>
      </c>
      <c r="BD66" s="11" t="n">
        <f aca="false">Inputs!$F$107*Time!BD25/12</f>
        <v>0.1275</v>
      </c>
      <c r="BE66" s="11" t="n">
        <f aca="false">Inputs!$F$107*Time!BE25/12</f>
        <v>0.1275</v>
      </c>
      <c r="BF66" s="11" t="n">
        <f aca="false">Inputs!$F$107*Time!BF25/12</f>
        <v>0.1275</v>
      </c>
      <c r="BG66" s="11" t="n">
        <f aca="false">Inputs!$F$107*Time!BG25/12</f>
        <v>0.1275</v>
      </c>
      <c r="BH66" s="11" t="n">
        <f aca="false">Inputs!$F$107*Time!BH25/12</f>
        <v>0.1275</v>
      </c>
      <c r="BI66" s="11" t="n">
        <f aca="false">Inputs!$F$107*Time!BI25/12</f>
        <v>0.1275</v>
      </c>
      <c r="BJ66" s="11" t="n">
        <f aca="false">Inputs!$F$107*Time!BJ25/12</f>
        <v>0.1275</v>
      </c>
      <c r="BK66" s="11" t="n">
        <f aca="false">Inputs!$F$107*Time!BK25/12</f>
        <v>0.1275</v>
      </c>
      <c r="BL66" s="11" t="n">
        <f aca="false">Inputs!$F$107*Time!BL25/12</f>
        <v>0.1275</v>
      </c>
      <c r="BM66" s="11" t="n">
        <f aca="false">Inputs!$F$107*Time!BM25/12</f>
        <v>0.085</v>
      </c>
      <c r="BN66" s="11" t="n">
        <f aca="false">Inputs!$F$107*Time!BN25/12</f>
        <v>0</v>
      </c>
    </row>
    <row r="67" customFormat="false" ht="15" hidden="false" customHeight="false" outlineLevel="0" collapsed="false">
      <c r="D67" s="0" t="s">
        <v>515</v>
      </c>
      <c r="E67" s="0" t="s">
        <v>149</v>
      </c>
      <c r="G67" s="11" t="n">
        <f aca="false">SUM(J67:BN67)</f>
        <v>7.78125</v>
      </c>
      <c r="J67" s="11" t="n">
        <f aca="false">Inputs!$F$163*Time!J25/12</f>
        <v>0</v>
      </c>
      <c r="K67" s="11" t="n">
        <f aca="false">Inputs!$F$163*Time!K25/12</f>
        <v>0</v>
      </c>
      <c r="L67" s="11" t="n">
        <f aca="false">Inputs!$F$163*Time!L25/12</f>
        <v>0</v>
      </c>
      <c r="M67" s="11" t="n">
        <f aca="false">Inputs!$F$163*Time!M25/12</f>
        <v>0</v>
      </c>
      <c r="N67" s="11" t="n">
        <f aca="false">Inputs!$F$163*Time!N25/12</f>
        <v>0</v>
      </c>
      <c r="O67" s="11" t="n">
        <f aca="false">Inputs!$F$163*Time!O25/12</f>
        <v>0.051875</v>
      </c>
      <c r="P67" s="11" t="n">
        <f aca="false">Inputs!$F$163*Time!P25/12</f>
        <v>0.155625</v>
      </c>
      <c r="Q67" s="11" t="n">
        <f aca="false">Inputs!$F$163*Time!Q25/12</f>
        <v>0.155625</v>
      </c>
      <c r="R67" s="11" t="n">
        <f aca="false">Inputs!$F$163*Time!R25/12</f>
        <v>0.155625</v>
      </c>
      <c r="S67" s="11" t="n">
        <f aca="false">Inputs!$F$163*Time!S25/12</f>
        <v>0.155625</v>
      </c>
      <c r="T67" s="11" t="n">
        <f aca="false">Inputs!$F$163*Time!T25/12</f>
        <v>0.155625</v>
      </c>
      <c r="U67" s="11" t="n">
        <f aca="false">Inputs!$F$163*Time!U25/12</f>
        <v>0.155625</v>
      </c>
      <c r="V67" s="11" t="n">
        <f aca="false">Inputs!$F$163*Time!V25/12</f>
        <v>0.155625</v>
      </c>
      <c r="W67" s="11" t="n">
        <f aca="false">Inputs!$F$163*Time!W25/12</f>
        <v>0.155625</v>
      </c>
      <c r="X67" s="11" t="n">
        <f aca="false">Inputs!$F$163*Time!X25/12</f>
        <v>0.155625</v>
      </c>
      <c r="Y67" s="11" t="n">
        <f aca="false">Inputs!$F$163*Time!Y25/12</f>
        <v>0.155625</v>
      </c>
      <c r="Z67" s="11" t="n">
        <f aca="false">Inputs!$F$163*Time!Z25/12</f>
        <v>0.155625</v>
      </c>
      <c r="AA67" s="11" t="n">
        <f aca="false">Inputs!$F$163*Time!AA25/12</f>
        <v>0.155625</v>
      </c>
      <c r="AB67" s="11" t="n">
        <f aca="false">Inputs!$F$163*Time!AB25/12</f>
        <v>0.155625</v>
      </c>
      <c r="AC67" s="11" t="n">
        <f aca="false">Inputs!$F$163*Time!AC25/12</f>
        <v>0.155625</v>
      </c>
      <c r="AD67" s="11" t="n">
        <f aca="false">Inputs!$F$163*Time!AD25/12</f>
        <v>0.155625</v>
      </c>
      <c r="AE67" s="11" t="n">
        <f aca="false">Inputs!$F$163*Time!AE25/12</f>
        <v>0.155625</v>
      </c>
      <c r="AF67" s="11" t="n">
        <f aca="false">Inputs!$F$163*Time!AF25/12</f>
        <v>0.155625</v>
      </c>
      <c r="AG67" s="11" t="n">
        <f aca="false">Inputs!$F$163*Time!AG25/12</f>
        <v>0.155625</v>
      </c>
      <c r="AH67" s="11" t="n">
        <f aca="false">Inputs!$F$163*Time!AH25/12</f>
        <v>0.155625</v>
      </c>
      <c r="AI67" s="11" t="n">
        <f aca="false">Inputs!$F$163*Time!AI25/12</f>
        <v>0.155625</v>
      </c>
      <c r="AJ67" s="11" t="n">
        <f aca="false">Inputs!$F$163*Time!AJ25/12</f>
        <v>0.155625</v>
      </c>
      <c r="AK67" s="11" t="n">
        <f aca="false">Inputs!$F$163*Time!AK25/12</f>
        <v>0.155625</v>
      </c>
      <c r="AL67" s="11" t="n">
        <f aca="false">Inputs!$F$163*Time!AL25/12</f>
        <v>0.155625</v>
      </c>
      <c r="AM67" s="11" t="n">
        <f aca="false">Inputs!$F$163*Time!AM25/12</f>
        <v>0.155625</v>
      </c>
      <c r="AN67" s="11" t="n">
        <f aca="false">Inputs!$F$163*Time!AN25/12</f>
        <v>0.155625</v>
      </c>
      <c r="AO67" s="11" t="n">
        <f aca="false">Inputs!$F$163*Time!AO25/12</f>
        <v>0.155625</v>
      </c>
      <c r="AP67" s="11" t="n">
        <f aca="false">Inputs!$F$163*Time!AP25/12</f>
        <v>0.155625</v>
      </c>
      <c r="AQ67" s="11" t="n">
        <f aca="false">Inputs!$F$163*Time!AQ25/12</f>
        <v>0.155625</v>
      </c>
      <c r="AR67" s="11" t="n">
        <f aca="false">Inputs!$F$163*Time!AR25/12</f>
        <v>0.155625</v>
      </c>
      <c r="AS67" s="11" t="n">
        <f aca="false">Inputs!$F$163*Time!AS25/12</f>
        <v>0.155625</v>
      </c>
      <c r="AT67" s="11" t="n">
        <f aca="false">Inputs!$F$163*Time!AT25/12</f>
        <v>0.155625</v>
      </c>
      <c r="AU67" s="11" t="n">
        <f aca="false">Inputs!$F$163*Time!AU25/12</f>
        <v>0.155625</v>
      </c>
      <c r="AV67" s="11" t="n">
        <f aca="false">Inputs!$F$163*Time!AV25/12</f>
        <v>0.155625</v>
      </c>
      <c r="AW67" s="11" t="n">
        <f aca="false">Inputs!$F$163*Time!AW25/12</f>
        <v>0.155625</v>
      </c>
      <c r="AX67" s="11" t="n">
        <f aca="false">Inputs!$F$163*Time!AX25/12</f>
        <v>0.155625</v>
      </c>
      <c r="AY67" s="11" t="n">
        <f aca="false">Inputs!$F$163*Time!AY25/12</f>
        <v>0.155625</v>
      </c>
      <c r="AZ67" s="11" t="n">
        <f aca="false">Inputs!$F$163*Time!AZ25/12</f>
        <v>0.155625</v>
      </c>
      <c r="BA67" s="11" t="n">
        <f aca="false">Inputs!$F$163*Time!BA25/12</f>
        <v>0.155625</v>
      </c>
      <c r="BB67" s="11" t="n">
        <f aca="false">Inputs!$F$163*Time!BB25/12</f>
        <v>0.155625</v>
      </c>
      <c r="BC67" s="11" t="n">
        <f aca="false">Inputs!$F$163*Time!BC25/12</f>
        <v>0.155625</v>
      </c>
      <c r="BD67" s="11" t="n">
        <f aca="false">Inputs!$F$163*Time!BD25/12</f>
        <v>0.155625</v>
      </c>
      <c r="BE67" s="11" t="n">
        <f aca="false">Inputs!$F$163*Time!BE25/12</f>
        <v>0.155625</v>
      </c>
      <c r="BF67" s="11" t="n">
        <f aca="false">Inputs!$F$163*Time!BF25/12</f>
        <v>0.155625</v>
      </c>
      <c r="BG67" s="11" t="n">
        <f aca="false">Inputs!$F$163*Time!BG25/12</f>
        <v>0.155625</v>
      </c>
      <c r="BH67" s="11" t="n">
        <f aca="false">Inputs!$F$163*Time!BH25/12</f>
        <v>0.155625</v>
      </c>
      <c r="BI67" s="11" t="n">
        <f aca="false">Inputs!$F$163*Time!BI25/12</f>
        <v>0.155625</v>
      </c>
      <c r="BJ67" s="11" t="n">
        <f aca="false">Inputs!$F$163*Time!BJ25/12</f>
        <v>0.155625</v>
      </c>
      <c r="BK67" s="11" t="n">
        <f aca="false">Inputs!$F$163*Time!BK25/12</f>
        <v>0.155625</v>
      </c>
      <c r="BL67" s="11" t="n">
        <f aca="false">Inputs!$F$163*Time!BL25/12</f>
        <v>0.155625</v>
      </c>
      <c r="BM67" s="11" t="n">
        <f aca="false">Inputs!$F$163*Time!BM25/12</f>
        <v>0.10375</v>
      </c>
      <c r="BN67" s="11" t="n">
        <f aca="false">Inputs!$F$163*Time!BN25/12</f>
        <v>0</v>
      </c>
    </row>
    <row r="68" customFormat="false" ht="15" hidden="false" customHeight="false" outlineLevel="0" collapsed="false">
      <c r="D68" s="0" t="s">
        <v>516</v>
      </c>
      <c r="E68" s="0" t="s">
        <v>149</v>
      </c>
      <c r="G68" s="11" t="n">
        <f aca="false">SUM(J68:BN68)</f>
        <v>1096.19505223221</v>
      </c>
      <c r="J68" s="11" t="n">
        <f aca="false">J56+J57+J58+J60+J61+J62+J63+J64+J65+J66+J67</f>
        <v>0</v>
      </c>
      <c r="K68" s="11" t="n">
        <f aca="false">K56+K57+K58+K60+K61+K62+K63+K64+K65+K66+K67</f>
        <v>0</v>
      </c>
      <c r="L68" s="11" t="n">
        <f aca="false">L56+L57+L58+L60+L61+L62+L63+L64+L65+L66+L67</f>
        <v>0</v>
      </c>
      <c r="M68" s="11" t="n">
        <f aca="false">M56+M57+M58+M60+M61+M62+M63+M64+M65+M66+M67</f>
        <v>0</v>
      </c>
      <c r="N68" s="11" t="n">
        <f aca="false">N56+N57+N58+N60+N61+N62+N63+N64+N65+N66+N67</f>
        <v>0</v>
      </c>
      <c r="O68" s="11" t="n">
        <f aca="false">O56+O57+O58+O60+O61+O62+O63+O64+O65+O66+O67</f>
        <v>5.5850800933531</v>
      </c>
      <c r="P68" s="11" t="n">
        <f aca="false">P56+P57+P58+P60+P61+P62+P63+P64+P65+P66+P67</f>
        <v>16.9319614980175</v>
      </c>
      <c r="Q68" s="11" t="n">
        <f aca="false">Q56+Q57+Q58+Q60+Q61+Q62+Q63+Q64+Q65+Q66+Q67</f>
        <v>17.0701115229812</v>
      </c>
      <c r="R68" s="11" t="n">
        <f aca="false">R56+R57+R58+R60+R61+R62+R63+R64+R65+R66+R67</f>
        <v>17.1685519773625</v>
      </c>
      <c r="S68" s="11" t="n">
        <f aca="false">S56+S57+S58+S60+S61+S62+S63+S64+S65+S66+S67</f>
        <v>17.3904507921922</v>
      </c>
      <c r="T68" s="11" t="n">
        <f aca="false">T56+T57+T58+T60+T61+T62+T63+T64+T65+T66+T67</f>
        <v>17.6560907388375</v>
      </c>
      <c r="U68" s="11" t="n">
        <f aca="false">U56+U57+U58+U60+U61+U62+U63+U64+U65+U66+U67</f>
        <v>17.6927012133674</v>
      </c>
      <c r="V68" s="11" t="n">
        <f aca="false">V56+V57+V58+V60+V61+V62+V63+V64+V65+V66+V67</f>
        <v>17.7313896644101</v>
      </c>
      <c r="W68" s="11" t="n">
        <f aca="false">W56+W57+W58+W60+W61+W62+W63+W64+W65+W66+W67</f>
        <v>17.950421977324</v>
      </c>
      <c r="X68" s="11" t="n">
        <f aca="false">X56+X57+X58+X60+X61+X62+X63+X64+X65+X66+X67</f>
        <v>18.412140561631</v>
      </c>
      <c r="Y68" s="11" t="n">
        <f aca="false">Y56+Y57+Y58+Y60+Y61+Y62+Y63+Y64+Y65+Y66+Y67</f>
        <v>18.5627508274477</v>
      </c>
      <c r="Z68" s="11" t="n">
        <f aca="false">Z56+Z57+Z58+Z60+Z61+Z62+Z63+Z64+Z65+Z66+Z67</f>
        <v>18.6701082018976</v>
      </c>
      <c r="AA68" s="11" t="n">
        <f aca="false">AA56+AA57+AA58+AA60+AA61+AA62+AA63+AA64+AA65+AA66+AA67</f>
        <v>18.9119671482092</v>
      </c>
      <c r="AB68" s="11" t="n">
        <f aca="false">AB56+AB57+AB58+AB60+AB61+AB62+AB63+AB64+AB65+AB66+AB67</f>
        <v>19.2015179507806</v>
      </c>
      <c r="AC68" s="11" t="n">
        <f aca="false">AC56+AC57+AC58+AC60+AC61+AC62+AC63+AC64+AC65+AC66+AC67</f>
        <v>19.143061044541</v>
      </c>
      <c r="AD68" s="11" t="n">
        <f aca="false">AD56+AD57+AD58+AD60+AD61+AD62+AD63+AD64+AD65+AD66+AD67</f>
        <v>19.2231269265894</v>
      </c>
      <c r="AE68" s="11" t="n">
        <f aca="false">AE56+AE57+AE58+AE60+AE61+AE62+AE63+AE64+AE65+AE66+AE67</f>
        <v>19.4816216759526</v>
      </c>
      <c r="AF68" s="11" t="n">
        <f aca="false">AF56+AF57+AF58+AF60+AF61+AF62+AF63+AF64+AF65+AF66+AF67</f>
        <v>20.0256919019696</v>
      </c>
      <c r="AG68" s="11" t="n">
        <f aca="false">AG56+AG57+AG58+AG60+AG61+AG62+AG63+AG64+AG65+AG66+AG67</f>
        <v>20.1898861635755</v>
      </c>
      <c r="AH68" s="11" t="n">
        <f aca="false">AH56+AH57+AH58+AH60+AH61+AH62+AH63+AH64+AH65+AH66+AH67</f>
        <v>20.3069661061967</v>
      </c>
      <c r="AI68" s="11" t="n">
        <f aca="false">AI56+AI57+AI58+AI60+AI61+AI62+AI63+AI64+AI65+AI66+AI67</f>
        <v>20.5705824579959</v>
      </c>
      <c r="AJ68" s="11" t="n">
        <f aca="false">AJ56+AJ57+AJ58+AJ60+AJ61+AJ62+AJ63+AJ64+AJ65+AJ66+AJ67</f>
        <v>20.8861961550261</v>
      </c>
      <c r="AK68" s="11" t="n">
        <f aca="false">AK56+AK57+AK58+AK60+AK61+AK62+AK63+AK64+AK65+AK66+AK67</f>
        <v>20.9299235473976</v>
      </c>
      <c r="AL68" s="11" t="n">
        <f aca="false">AL56+AL57+AL58+AL60+AL61+AL62+AL63+AL64+AL65+AL66+AL67</f>
        <v>20.977382896888</v>
      </c>
      <c r="AM68" s="11" t="n">
        <f aca="false">AM56+AM57+AM58+AM60+AM61+AM62+AM63+AM64+AM65+AM66+AM67</f>
        <v>21.23684939296</v>
      </c>
      <c r="AN68" s="11" t="n">
        <f aca="false">AN56+AN57+AN58+AN60+AN61+AN62+AN63+AN64+AN65+AN66+AN67</f>
        <v>21.7846320471924</v>
      </c>
      <c r="AO68" s="11" t="n">
        <f aca="false">AO56+AO57+AO58+AO60+AO61+AO62+AO63+AO64+AO65+AO66+AO67</f>
        <v>21.9636354007093</v>
      </c>
      <c r="AP68" s="11" t="n">
        <f aca="false">AP56+AP57+AP58+AP60+AP61+AP62+AP63+AP64+AP65+AP66+AP67</f>
        <v>22.0913163471349</v>
      </c>
      <c r="AQ68" s="11" t="n">
        <f aca="false">AQ56+AQ57+AQ58+AQ60+AQ61+AQ62+AQ63+AQ64+AQ65+AQ66+AQ67</f>
        <v>22.3786491944221</v>
      </c>
      <c r="AR68" s="11" t="n">
        <f aca="false">AR56+AR57+AR58+AR60+AR61+AR62+AR63+AR64+AR65+AR66+AR67</f>
        <v>22.7226714921274</v>
      </c>
      <c r="AS68" s="11" t="n">
        <f aca="false">AS56+AS57+AS58+AS60+AS61+AS62+AS63+AS64+AS65+AS66+AS67</f>
        <v>22.653794227809</v>
      </c>
      <c r="AT68" s="11" t="n">
        <f aca="false">AT56+AT57+AT58+AT60+AT61+AT62+AT63+AT64+AT65+AT66+AT67</f>
        <v>22.7516216606879</v>
      </c>
      <c r="AU68" s="11" t="n">
        <f aca="false">AU56+AU57+AU58+AU60+AU61+AU62+AU63+AU64+AU65+AU66+AU67</f>
        <v>23.0574540370468</v>
      </c>
      <c r="AV68" s="11" t="n">
        <f aca="false">AV56+AV57+AV58+AV60+AV61+AV62+AV63+AV64+AV65+AV66+AV67</f>
        <v>23.7020600901813</v>
      </c>
      <c r="AW68" s="11" t="n">
        <f aca="false">AW56+AW57+AW58+AW60+AW61+AW62+AW63+AW64+AW65+AW66+AW67</f>
        <v>23.8972081112928</v>
      </c>
      <c r="AX68" s="11" t="n">
        <f aca="false">AX56+AX57+AX58+AX60+AX61+AX62+AX63+AX64+AX65+AX66+AX67</f>
        <v>24.0364478604985</v>
      </c>
      <c r="AY68" s="11" t="n">
        <f aca="false">AY56+AY57+AY58+AY60+AY61+AY62+AY63+AY64+AY65+AY66+AY67</f>
        <v>24.3496326767334</v>
      </c>
      <c r="AZ68" s="11" t="n">
        <f aca="false">AZ56+AZ57+AZ58+AZ60+AZ61+AZ62+AZ63+AZ64+AZ65+AZ66+AZ67</f>
        <v>24.7246203757259</v>
      </c>
      <c r="BA68" s="11" t="n">
        <f aca="false">BA56+BA57+BA58+BA60+BA61+BA62+BA63+BA64+BA65+BA66+BA67</f>
        <v>24.7768236275667</v>
      </c>
      <c r="BB68" s="11" t="n">
        <f aca="false">BB56+BB57+BB58+BB60+BB61+BB62+BB63+BB64+BB65+BB66+BB67</f>
        <v>24.8347994223536</v>
      </c>
      <c r="BC68" s="11" t="n">
        <f aca="false">BC56+BC57+BC58+BC60+BC61+BC62+BC63+BC64+BC65+BC66+BC67</f>
        <v>25.1422532332296</v>
      </c>
      <c r="BD68" s="11" t="n">
        <f aca="false">BD56+BD57+BD58+BD60+BD61+BD62+BD63+BD64+BD65+BD66+BD67</f>
        <v>25.7922552075811</v>
      </c>
      <c r="BE68" s="11" t="n">
        <f aca="false">BE56+BE57+BE58+BE60+BE61+BE62+BE63+BE64+BE65+BE66+BE67</f>
        <v>26.0050039138945</v>
      </c>
      <c r="BF68" s="11" t="n">
        <f aca="false">BF56+BF57+BF58+BF60+BF61+BF62+BF63+BF64+BF65+BF66+BF67</f>
        <v>26.1568467980601</v>
      </c>
      <c r="BG68" s="11" t="n">
        <f aca="false">BG56+BG57+BG58+BG60+BG61+BG62+BG63+BG64+BG65+BG66+BG67</f>
        <v>26.4982113189231</v>
      </c>
      <c r="BH68" s="11" t="n">
        <f aca="false">BH56+BH57+BH58+BH60+BH61+BH62+BH63+BH64+BH65+BH66+BH67</f>
        <v>26.9069513088418</v>
      </c>
      <c r="BI68" s="11" t="n">
        <f aca="false">BI56+BI57+BI58+BI60+BI61+BI62+BI63+BI64+BI65+BI66+BI67</f>
        <v>26.8257238064861</v>
      </c>
      <c r="BJ68" s="11" t="n">
        <f aca="false">BJ56+BJ57+BJ58+BJ60+BJ61+BJ62+BJ63+BJ64+BJ65+BJ66+BJ67</f>
        <v>26.9448679007249</v>
      </c>
      <c r="BK68" s="11" t="n">
        <f aca="false">BK56+BK57+BK58+BK60+BK61+BK62+BK63+BK64+BK65+BK66+BK67</f>
        <v>27.3068463183917</v>
      </c>
      <c r="BL68" s="11" t="n">
        <f aca="false">BL56+BL57+BL58+BL60+BL61+BL62+BL63+BL64+BL65+BL66+BL67</f>
        <v>28.0707829626874</v>
      </c>
      <c r="BM68" s="11" t="n">
        <f aca="false">BM56+BM57+BM58+BM60+BM61+BM62+BM63+BM64+BM65+BM66+BM67</f>
        <v>18.9134104550042</v>
      </c>
      <c r="BN68" s="11" t="n">
        <f aca="false">BN56+BN57+BN58+BN60+BN61+BN62+BN63+BN64+BN65+BN66+BN67</f>
        <v>0</v>
      </c>
    </row>
    <row r="69" customFormat="false" ht="15" hidden="false" customHeight="false" outlineLevel="0" collapsed="false">
      <c r="D69" s="0" t="s">
        <v>517</v>
      </c>
      <c r="E69" s="0" t="s">
        <v>149</v>
      </c>
      <c r="G69" s="11" t="n">
        <f aca="false">SUM(J69:BN69)</f>
        <v>4732.05212305053</v>
      </c>
      <c r="J69" s="11" t="n">
        <f aca="false">J38*J37/1000000</f>
        <v>0</v>
      </c>
      <c r="K69" s="11" t="n">
        <f aca="false">K38*K37/1000000</f>
        <v>0</v>
      </c>
      <c r="L69" s="11" t="n">
        <f aca="false">L38*L37/1000000</f>
        <v>0</v>
      </c>
      <c r="M69" s="11" t="n">
        <f aca="false">M38*M37/1000000</f>
        <v>0</v>
      </c>
      <c r="N69" s="11" t="n">
        <f aca="false">N38*N37/1000000</f>
        <v>0</v>
      </c>
      <c r="O69" s="11" t="n">
        <f aca="false">O38*O37/1000000</f>
        <v>24.908030271926</v>
      </c>
      <c r="P69" s="11" t="n">
        <f aca="false">P38*P37/1000000</f>
        <v>74.716595802</v>
      </c>
      <c r="Q69" s="11" t="n">
        <f aca="false">Q38*Q37/1000000</f>
        <v>75.9476430389301</v>
      </c>
      <c r="R69" s="11" t="n">
        <f aca="false">R38*R37/1000000</f>
        <v>75.4326445286457</v>
      </c>
      <c r="S69" s="11" t="n">
        <f aca="false">S38*S37/1000000</f>
        <v>77.1862373285093</v>
      </c>
      <c r="T69" s="11" t="n">
        <f aca="false">T38*T37/1000000</f>
        <v>77.687706341329</v>
      </c>
      <c r="U69" s="11" t="n">
        <f aca="false">U38*U37/1000000</f>
        <v>78.2984455383205</v>
      </c>
      <c r="V69" s="11" t="n">
        <f aca="false">V38*V37/1000000</f>
        <v>76.4250550515296</v>
      </c>
      <c r="W69" s="11" t="n">
        <f aca="false">W38*W37/1000000</f>
        <v>78.8903932049341</v>
      </c>
      <c r="X69" s="11" t="n">
        <f aca="false">X38*X37/1000000</f>
        <v>80.7757684179683</v>
      </c>
      <c r="Y69" s="11" t="n">
        <f aca="false">Y38*Y37/1000000</f>
        <v>82.1060405123417</v>
      </c>
      <c r="Z69" s="11" t="n">
        <f aca="false">Z38*Z37/1000000</f>
        <v>81.5486785353929</v>
      </c>
      <c r="AA69" s="11" t="n">
        <f aca="false">AA38*AA37/1000000</f>
        <v>83.4438337111832</v>
      </c>
      <c r="AB69" s="11" t="n">
        <f aca="false">AB38*AB37/1000000</f>
        <v>83.9853353322418</v>
      </c>
      <c r="AC69" s="11" t="n">
        <f aca="false">AC38*AC37/1000000</f>
        <v>84.0475359300459</v>
      </c>
      <c r="AD69" s="11" t="n">
        <f aca="false">AD38*AD37/1000000</f>
        <v>80.8271373718173</v>
      </c>
      <c r="AE69" s="11" t="n">
        <f aca="false">AE38*AE37/1000000</f>
        <v>84.0652814404289</v>
      </c>
      <c r="AF69" s="11" t="n">
        <f aca="false">AF38*AF37/1000000</f>
        <v>87.3211355064519</v>
      </c>
      <c r="AG69" s="11" t="n">
        <f aca="false">AG38*AG37/1000000</f>
        <v>88.7585421897445</v>
      </c>
      <c r="AH69" s="11" t="n">
        <f aca="false">AH38*AH37/1000000</f>
        <v>88.1553659590648</v>
      </c>
      <c r="AI69" s="11" t="n">
        <f aca="false">AI38*AI37/1000000</f>
        <v>90.2033871312971</v>
      </c>
      <c r="AJ69" s="11" t="n">
        <f aca="false">AJ38*AJ37/1000000</f>
        <v>90.788079126217</v>
      </c>
      <c r="AK69" s="11" t="n">
        <f aca="false">AK38*AK37/1000000</f>
        <v>91.50044746008</v>
      </c>
      <c r="AL69" s="11" t="n">
        <f aca="false">AL38*AL37/1000000</f>
        <v>89.3098550922276</v>
      </c>
      <c r="AM69" s="11" t="n">
        <f aca="false">AM38*AM37/1000000</f>
        <v>92.1894637326595</v>
      </c>
      <c r="AN69" s="11" t="n">
        <f aca="false">AN38*AN37/1000000</f>
        <v>94.3912650295</v>
      </c>
      <c r="AO69" s="11" t="n">
        <f aca="false">AO38*AO37/1000000</f>
        <v>95.9443389134654</v>
      </c>
      <c r="AP69" s="11" t="n">
        <f aca="false">AP38*AP37/1000000</f>
        <v>95.2916193945976</v>
      </c>
      <c r="AQ69" s="11" t="n">
        <f aca="false">AQ38*AQ37/1000000</f>
        <v>97.504701997075</v>
      </c>
      <c r="AR69" s="11" t="n">
        <f aca="false">AR38*AR37/1000000</f>
        <v>98.1359878523749</v>
      </c>
      <c r="AS69" s="11" t="n">
        <f aca="false">AS38*AS37/1000000</f>
        <v>98.2072042366261</v>
      </c>
      <c r="AT69" s="11" t="n">
        <f aca="false">AT38*AT37/1000000</f>
        <v>94.4428492921259</v>
      </c>
      <c r="AU69" s="11" t="n">
        <f aca="false">AU38*AU37/1000000</f>
        <v>98.2250078620989</v>
      </c>
      <c r="AV69" s="11" t="n">
        <f aca="false">AV38*AV37/1000000</f>
        <v>102.027745440902</v>
      </c>
      <c r="AW69" s="11" t="n">
        <f aca="false">AW38*AW37/1000000</f>
        <v>103.705690391322</v>
      </c>
      <c r="AX69" s="11" t="n">
        <f aca="false">AX38*AX37/1000000</f>
        <v>102.999398108629</v>
      </c>
      <c r="AY69" s="11" t="n">
        <f aca="false">AY38*AY37/1000000</f>
        <v>105.39069879791</v>
      </c>
      <c r="AZ69" s="11" t="n">
        <f aca="false">AZ38*AZ37/1000000</f>
        <v>106.072246538815</v>
      </c>
      <c r="BA69" s="11" t="n">
        <f aca="false">BA38*BA37/1000000</f>
        <v>106.902941429204</v>
      </c>
      <c r="BB69" s="11" t="n">
        <f aca="false">BB38*BB37/1000000</f>
        <v>104.342038205442</v>
      </c>
      <c r="BC69" s="11" t="n">
        <f aca="false">BC38*BC37/1000000</f>
        <v>107.704713690397</v>
      </c>
      <c r="BD69" s="11" t="n">
        <f aca="false">BD38*BD37/1000000</f>
        <v>110.275418761064</v>
      </c>
      <c r="BE69" s="11" t="n">
        <f aca="false">BE38*BE37/1000000</f>
        <v>112.088161967119</v>
      </c>
      <c r="BF69" s="11" t="n">
        <f aca="false">BF38*BF37/1000000</f>
        <v>111.323943060779</v>
      </c>
      <c r="BG69" s="11" t="n">
        <f aca="false">BG38*BG37/1000000</f>
        <v>113.907654442101</v>
      </c>
      <c r="BH69" s="11" t="n">
        <f aca="false">BH38*BH37/1000000</f>
        <v>114.643416863627</v>
      </c>
      <c r="BI69" s="11" t="n">
        <f aca="false">BI38*BI37/1000000</f>
        <v>114.724887424187</v>
      </c>
      <c r="BJ69" s="11" t="n">
        <f aca="false">BJ38*BJ37/1000000</f>
        <v>110.325737563411</v>
      </c>
      <c r="BK69" s="11" t="n">
        <f aca="false">BK38*BK37/1000000</f>
        <v>114.742231858776</v>
      </c>
      <c r="BL69" s="11" t="n">
        <f aca="false">BL38*BL37/1000000</f>
        <v>119.182631320341</v>
      </c>
      <c r="BM69" s="11" t="n">
        <f aca="false">BM38*BM37/1000000</f>
        <v>81.0309540533551</v>
      </c>
      <c r="BN69" s="11" t="n">
        <f aca="false">BN38*BN37/1000000</f>
        <v>0</v>
      </c>
    </row>
    <row r="70" customFormat="false" ht="15" hidden="false" customHeight="false" outlineLevel="0" collapsed="false">
      <c r="D70" s="0" t="s">
        <v>518</v>
      </c>
      <c r="E70" s="0" t="s">
        <v>149</v>
      </c>
      <c r="G70" s="11" t="n">
        <f aca="false">SUM(J70:BN70)</f>
        <v>5564.0829476893</v>
      </c>
      <c r="J70" s="11" t="n">
        <f aca="false">J69+J48+J49+J50</f>
        <v>0</v>
      </c>
      <c r="K70" s="11" t="n">
        <f aca="false">K69+K48+K49+K50</f>
        <v>0</v>
      </c>
      <c r="L70" s="11" t="n">
        <f aca="false">L69+L48+L49+L50</f>
        <v>0</v>
      </c>
      <c r="M70" s="11" t="n">
        <f aca="false">M69+M48+M49+M50</f>
        <v>0</v>
      </c>
      <c r="N70" s="11" t="n">
        <f aca="false">N69+N48+N49+N50</f>
        <v>0</v>
      </c>
      <c r="O70" s="11" t="n">
        <f aca="false">O69+O48+O49+O50</f>
        <v>29.5201493686849</v>
      </c>
      <c r="P70" s="11" t="n">
        <f aca="false">P69+P48+P49+P50</f>
        <v>88.6152765732829</v>
      </c>
      <c r="Q70" s="11" t="n">
        <f aca="false">Q69+Q48+Q49+Q50</f>
        <v>89.8559295003948</v>
      </c>
      <c r="R70" s="11" t="n">
        <f aca="false">R69+R48+R49+R50</f>
        <v>89.5150622402079</v>
      </c>
      <c r="S70" s="11" t="n">
        <f aca="false">S69+S48+S49+S50</f>
        <v>91.2942785861337</v>
      </c>
      <c r="T70" s="11" t="n">
        <f aca="false">T69+T48+T49+T50</f>
        <v>92.0049739162346</v>
      </c>
      <c r="U70" s="11" t="n">
        <f aca="false">U69+U48+U49+U50</f>
        <v>92.6699434691015</v>
      </c>
      <c r="V70" s="11" t="n">
        <f aca="false">V69+V48+V49+V50</f>
        <v>90.8684178322653</v>
      </c>
      <c r="W70" s="11" t="n">
        <f aca="false">W69+W48+W49+W50</f>
        <v>93.3805485414815</v>
      </c>
      <c r="X70" s="11" t="n">
        <f aca="false">X69+X48+X49+X50</f>
        <v>95.5241927321274</v>
      </c>
      <c r="Y70" s="11" t="n">
        <f aca="false">Y69+Y48+Y49+Y50</f>
        <v>96.864605059216</v>
      </c>
      <c r="Z70" s="11" t="n">
        <f aca="false">Z69+Z48+Z49+Z50</f>
        <v>96.4920624177264</v>
      </c>
      <c r="AA70" s="11" t="n">
        <f aca="false">AA69+AA48+AA49+AA50</f>
        <v>98.414336331033</v>
      </c>
      <c r="AB70" s="11" t="n">
        <f aca="false">AB69+AB48+AB49+AB50</f>
        <v>99.1778626708039</v>
      </c>
      <c r="AC70" s="11" t="n">
        <f aca="false">AC69+AC48+AC49+AC50</f>
        <v>99.2791509724043</v>
      </c>
      <c r="AD70" s="11" t="n">
        <f aca="false">AD69+AD48+AD49+AD50</f>
        <v>96.0982140478571</v>
      </c>
      <c r="AE70" s="11" t="n">
        <f aca="false">AE69+AE48+AE49+AE50</f>
        <v>99.4038051417742</v>
      </c>
      <c r="AF70" s="11" t="n">
        <f aca="false">AF69+AF48+AF49+AF50</f>
        <v>102.971099737807</v>
      </c>
      <c r="AG70" s="11" t="n">
        <f aca="false">AG69+AG48+AG49+AG50</f>
        <v>104.419208824978</v>
      </c>
      <c r="AH70" s="11" t="n">
        <f aca="false">AH69+AH48+AH49+AH50</f>
        <v>104.012197083163</v>
      </c>
      <c r="AI70" s="11" t="n">
        <f aca="false">AI69+AI48+AI49+AI50</f>
        <v>106.088916337401</v>
      </c>
      <c r="AJ70" s="11" t="n">
        <f aca="false">AJ69+AJ48+AJ49+AJ50</f>
        <v>106.909213269976</v>
      </c>
      <c r="AK70" s="11" t="n">
        <f aca="false">AK69+AK48+AK49+AK50</f>
        <v>107.682609645477</v>
      </c>
      <c r="AL70" s="11" t="n">
        <f aca="false">AL69+AL48+AL49+AL50</f>
        <v>105.573105166437</v>
      </c>
      <c r="AM70" s="11" t="n">
        <f aca="false">AM69+AM48+AM49+AM50</f>
        <v>108.505191131401</v>
      </c>
      <c r="AN70" s="11" t="n">
        <f aca="false">AN69+AN48+AN49+AN50</f>
        <v>110.997713168639</v>
      </c>
      <c r="AO70" s="11" t="n">
        <f aca="false">AO69+AO48+AO49+AO50</f>
        <v>112.562080523535</v>
      </c>
      <c r="AP70" s="11" t="n">
        <f aca="false">AP69+AP48+AP49+AP50</f>
        <v>112.117568172966</v>
      </c>
      <c r="AQ70" s="11" t="n">
        <f aca="false">AQ69+AQ48+AQ49+AQ50</f>
        <v>114.361016877062</v>
      </c>
      <c r="AR70" s="11" t="n">
        <f aca="false">AR69+AR48+AR49+AR50</f>
        <v>115.242317399763</v>
      </c>
      <c r="AS70" s="11" t="n">
        <f aca="false">AS69+AS48+AS49+AS50</f>
        <v>115.35755540183</v>
      </c>
      <c r="AT70" s="11" t="n">
        <f aca="false">AT69+AT48+AT49+AT50</f>
        <v>111.637916505095</v>
      </c>
      <c r="AU70" s="11" t="n">
        <f aca="false">AU69+AU48+AU49+AU50</f>
        <v>115.495741564356</v>
      </c>
      <c r="AV70" s="11" t="n">
        <f aca="false">AV69+AV48+AV49+AV50</f>
        <v>119.648959770705</v>
      </c>
      <c r="AW70" s="11" t="n">
        <f aca="false">AW69+AW48+AW49+AW50</f>
        <v>121.338819466958</v>
      </c>
      <c r="AX70" s="11" t="n">
        <f aca="false">AX69+AX48+AX49+AX50</f>
        <v>120.853517511032</v>
      </c>
      <c r="AY70" s="11" t="n">
        <f aca="false">AY69+AY48+AY49+AY50</f>
        <v>123.276945746088</v>
      </c>
      <c r="AZ70" s="11" t="n">
        <f aca="false">AZ69+AZ48+AZ49+AZ50</f>
        <v>124.223797993601</v>
      </c>
      <c r="BA70" s="11" t="n">
        <f aca="false">BA69+BA48+BA49+BA50</f>
        <v>125.123168406856</v>
      </c>
      <c r="BB70" s="11" t="n">
        <f aca="false">BB69+BB48+BB49+BB50</f>
        <v>122.653776687196</v>
      </c>
      <c r="BC70" s="11" t="n">
        <f aca="false">BC69+BC48+BC49+BC50</f>
        <v>126.075284463516</v>
      </c>
      <c r="BD70" s="11" t="n">
        <f aca="false">BD69+BD48+BD49+BD50</f>
        <v>128.973222045749</v>
      </c>
      <c r="BE70" s="11" t="n">
        <f aca="false">BE69+BE48+BE49+BE50</f>
        <v>130.798532837343</v>
      </c>
      <c r="BF70" s="11" t="n">
        <f aca="false">BF69+BF48+BF49+BF50</f>
        <v>130.268873497404</v>
      </c>
      <c r="BG70" s="11" t="n">
        <f aca="false">BG69+BG48+BG49+BG50</f>
        <v>132.886572280154</v>
      </c>
      <c r="BH70" s="11" t="n">
        <f aca="false">BH69+BH48+BH49+BH50</f>
        <v>133.903862837718</v>
      </c>
      <c r="BI70" s="11" t="n">
        <f aca="false">BI69+BI48+BI49+BI50</f>
        <v>134.034914774786</v>
      </c>
      <c r="BJ70" s="11" t="n">
        <f aca="false">BJ69+BJ48+BJ49+BJ50</f>
        <v>129.686462271922</v>
      </c>
      <c r="BK70" s="11" t="n">
        <f aca="false">BK69+BK48+BK49+BK50</f>
        <v>134.187817056163</v>
      </c>
      <c r="BL70" s="11" t="n">
        <f aca="false">BL69+BL48+BL49+BL50</f>
        <v>139.022601200299</v>
      </c>
      <c r="BM70" s="11" t="n">
        <f aca="false">BM69+BM48+BM49+BM50</f>
        <v>94.2135586311879</v>
      </c>
      <c r="BN70" s="11" t="n">
        <f aca="false">BN69+BN48+BN49+BN50</f>
        <v>0</v>
      </c>
    </row>
    <row r="71" customFormat="false" ht="15" hidden="false" customHeight="false" outlineLevel="0" collapsed="false">
      <c r="D71" s="0" t="s">
        <v>519</v>
      </c>
      <c r="E71" s="0" t="s">
        <v>149</v>
      </c>
      <c r="G71" s="11" t="n">
        <f aca="false">SUM(J71:BN71)</f>
        <v>0.111397162316252</v>
      </c>
      <c r="J71" s="11" t="n">
        <f aca="false">SUMIFS(Construction!$J$36:$BJ$36,Construction!$J$12:$BJ$12,Time!J17,Construction!$J$8:$BJ$8,"&gt;"&amp;Time!$F$13)</f>
        <v>0</v>
      </c>
      <c r="K71" s="11" t="n">
        <f aca="false">SUMIFS(Construction!$J$36:$BJ$36,Construction!$J$12:$BJ$12,Time!K17,Construction!$J$8:$BJ$8,"&gt;"&amp;Time!$F$13)</f>
        <v>0</v>
      </c>
      <c r="L71" s="11" t="n">
        <f aca="false">SUMIFS(Construction!$J$36:$BJ$36,Construction!$J$12:$BJ$12,Time!L17,Construction!$J$8:$BJ$8,"&gt;"&amp;Time!$F$13)</f>
        <v>0</v>
      </c>
      <c r="M71" s="11" t="n">
        <f aca="false">SUMIFS(Construction!$J$36:$BJ$36,Construction!$J$12:$BJ$12,Time!M17,Construction!$J$8:$BJ$8,"&gt;"&amp;Time!$F$13)</f>
        <v>0</v>
      </c>
      <c r="N71" s="11" t="n">
        <f aca="false">SUMIFS(Construction!$J$36:$BJ$36,Construction!$J$12:$BJ$12,Time!N17,Construction!$J$8:$BJ$8,"&gt;"&amp;Time!$F$13)</f>
        <v>0</v>
      </c>
      <c r="O71" s="11" t="n">
        <f aca="false">SUMIFS(Construction!$J$36:$BJ$36,Construction!$J$12:$BJ$12,Time!O17,Construction!$J$8:$BJ$8,"&gt;"&amp;Time!$F$13)</f>
        <v>0</v>
      </c>
      <c r="P71" s="11" t="n">
        <f aca="false">SUMIFS(Construction!$J$36:$BJ$36,Construction!$J$12:$BJ$12,Time!P17,Construction!$J$8:$BJ$8,"&gt;"&amp;Time!$F$13)</f>
        <v>0.0986457331876719</v>
      </c>
      <c r="Q71" s="11" t="n">
        <f aca="false">SUMIFS(Construction!$J$36:$BJ$36,Construction!$J$12:$BJ$12,Time!Q17,Construction!$J$8:$BJ$8,"&gt;"&amp;Time!$F$13)</f>
        <v>0.0127514291285803</v>
      </c>
      <c r="R71" s="11" t="n">
        <f aca="false">SUMIFS(Construction!$J$36:$BJ$36,Construction!$J$12:$BJ$12,Time!R17,Construction!$J$8:$BJ$8,"&gt;"&amp;Time!$F$13)</f>
        <v>0</v>
      </c>
      <c r="S71" s="11" t="n">
        <f aca="false">SUMIFS(Construction!$J$36:$BJ$36,Construction!$J$12:$BJ$12,Time!S17,Construction!$J$8:$BJ$8,"&gt;"&amp;Time!$F$13)</f>
        <v>0</v>
      </c>
      <c r="T71" s="11" t="n">
        <f aca="false">SUMIFS(Construction!$J$36:$BJ$36,Construction!$J$12:$BJ$12,Time!T17,Construction!$J$8:$BJ$8,"&gt;"&amp;Time!$F$13)</f>
        <v>0</v>
      </c>
      <c r="U71" s="11" t="n">
        <f aca="false">SUMIFS(Construction!$J$36:$BJ$36,Construction!$J$12:$BJ$12,Time!U17,Construction!$J$8:$BJ$8,"&gt;"&amp;Time!$F$13)</f>
        <v>0</v>
      </c>
      <c r="V71" s="11" t="n">
        <f aca="false">SUMIFS(Construction!$J$36:$BJ$36,Construction!$J$12:$BJ$12,Time!V17,Construction!$J$8:$BJ$8,"&gt;"&amp;Time!$F$13)</f>
        <v>0</v>
      </c>
      <c r="W71" s="11" t="n">
        <f aca="false">SUMIFS(Construction!$J$36:$BJ$36,Construction!$J$12:$BJ$12,Time!W17,Construction!$J$8:$BJ$8,"&gt;"&amp;Time!$F$13)</f>
        <v>0</v>
      </c>
      <c r="X71" s="11" t="n">
        <f aca="false">SUMIFS(Construction!$J$36:$BJ$36,Construction!$J$12:$BJ$12,Time!X17,Construction!$J$8:$BJ$8,"&gt;"&amp;Time!$F$13)</f>
        <v>0</v>
      </c>
      <c r="Y71" s="11" t="n">
        <f aca="false">SUMIFS(Construction!$J$36:$BJ$36,Construction!$J$12:$BJ$12,Time!Y17,Construction!$J$8:$BJ$8,"&gt;"&amp;Time!$F$13)</f>
        <v>0</v>
      </c>
      <c r="Z71" s="11" t="n">
        <f aca="false">SUMIFS(Construction!$J$36:$BJ$36,Construction!$J$12:$BJ$12,Time!Z17,Construction!$J$8:$BJ$8,"&gt;"&amp;Time!$F$13)</f>
        <v>0</v>
      </c>
      <c r="AA71" s="11" t="n">
        <f aca="false">SUMIFS(Construction!$J$36:$BJ$36,Construction!$J$12:$BJ$12,Time!AA17,Construction!$J$8:$BJ$8,"&gt;"&amp;Time!$F$13)</f>
        <v>0</v>
      </c>
      <c r="AB71" s="11" t="n">
        <f aca="false">SUMIFS(Construction!$J$36:$BJ$36,Construction!$J$12:$BJ$12,Time!AB17,Construction!$J$8:$BJ$8,"&gt;"&amp;Time!$F$13)</f>
        <v>0</v>
      </c>
      <c r="AC71" s="11" t="n">
        <f aca="false">SUMIFS(Construction!$J$36:$BJ$36,Construction!$J$12:$BJ$12,Time!AC17,Construction!$J$8:$BJ$8,"&gt;"&amp;Time!$F$13)</f>
        <v>0</v>
      </c>
      <c r="AD71" s="11" t="n">
        <f aca="false">SUMIFS(Construction!$J$36:$BJ$36,Construction!$J$12:$BJ$12,Time!AD17,Construction!$J$8:$BJ$8,"&gt;"&amp;Time!$F$13)</f>
        <v>0</v>
      </c>
      <c r="AE71" s="11" t="n">
        <f aca="false">SUMIFS(Construction!$J$36:$BJ$36,Construction!$J$12:$BJ$12,Time!AE17,Construction!$J$8:$BJ$8,"&gt;"&amp;Time!$F$13)</f>
        <v>0</v>
      </c>
      <c r="AF71" s="11" t="n">
        <f aca="false">SUMIFS(Construction!$J$36:$BJ$36,Construction!$J$12:$BJ$12,Time!AF17,Construction!$J$8:$BJ$8,"&gt;"&amp;Time!$F$13)</f>
        <v>0</v>
      </c>
      <c r="AG71" s="11" t="n">
        <f aca="false">SUMIFS(Construction!$J$36:$BJ$36,Construction!$J$12:$BJ$12,Time!AG17,Construction!$J$8:$BJ$8,"&gt;"&amp;Time!$F$13)</f>
        <v>0</v>
      </c>
      <c r="AH71" s="11" t="n">
        <f aca="false">SUMIFS(Construction!$J$36:$BJ$36,Construction!$J$12:$BJ$12,Time!AH17,Construction!$J$8:$BJ$8,"&gt;"&amp;Time!$F$13)</f>
        <v>0</v>
      </c>
      <c r="AI71" s="11" t="n">
        <f aca="false">SUMIFS(Construction!$J$36:$BJ$36,Construction!$J$12:$BJ$12,Time!AI17,Construction!$J$8:$BJ$8,"&gt;"&amp;Time!$F$13)</f>
        <v>0</v>
      </c>
      <c r="AJ71" s="11" t="n">
        <f aca="false">SUMIFS(Construction!$J$36:$BJ$36,Construction!$J$12:$BJ$12,Time!AJ17,Construction!$J$8:$BJ$8,"&gt;"&amp;Time!$F$13)</f>
        <v>0</v>
      </c>
      <c r="AK71" s="11" t="n">
        <f aca="false">SUMIFS(Construction!$J$36:$BJ$36,Construction!$J$12:$BJ$12,Time!AK17,Construction!$J$8:$BJ$8,"&gt;"&amp;Time!$F$13)</f>
        <v>0</v>
      </c>
      <c r="AL71" s="11" t="n">
        <f aca="false">SUMIFS(Construction!$J$36:$BJ$36,Construction!$J$12:$BJ$12,Time!AL17,Construction!$J$8:$BJ$8,"&gt;"&amp;Time!$F$13)</f>
        <v>0</v>
      </c>
      <c r="AM71" s="11" t="n">
        <f aca="false">SUMIFS(Construction!$J$36:$BJ$36,Construction!$J$12:$BJ$12,Time!AM17,Construction!$J$8:$BJ$8,"&gt;"&amp;Time!$F$13)</f>
        <v>0</v>
      </c>
      <c r="AN71" s="11" t="n">
        <f aca="false">SUMIFS(Construction!$J$36:$BJ$36,Construction!$J$12:$BJ$12,Time!AN17,Construction!$J$8:$BJ$8,"&gt;"&amp;Time!$F$13)</f>
        <v>0</v>
      </c>
      <c r="AO71" s="11" t="n">
        <f aca="false">SUMIFS(Construction!$J$36:$BJ$36,Construction!$J$12:$BJ$12,Time!AO17,Construction!$J$8:$BJ$8,"&gt;"&amp;Time!$F$13)</f>
        <v>0</v>
      </c>
      <c r="AP71" s="11" t="n">
        <f aca="false">SUMIFS(Construction!$J$36:$BJ$36,Construction!$J$12:$BJ$12,Time!AP17,Construction!$J$8:$BJ$8,"&gt;"&amp;Time!$F$13)</f>
        <v>0</v>
      </c>
      <c r="AQ71" s="11" t="n">
        <f aca="false">SUMIFS(Construction!$J$36:$BJ$36,Construction!$J$12:$BJ$12,Time!AQ17,Construction!$J$8:$BJ$8,"&gt;"&amp;Time!$F$13)</f>
        <v>0</v>
      </c>
      <c r="AR71" s="11" t="n">
        <f aca="false">SUMIFS(Construction!$J$36:$BJ$36,Construction!$J$12:$BJ$12,Time!AR17,Construction!$J$8:$BJ$8,"&gt;"&amp;Time!$F$13)</f>
        <v>0</v>
      </c>
      <c r="AS71" s="11" t="n">
        <f aca="false">SUMIFS(Construction!$J$36:$BJ$36,Construction!$J$12:$BJ$12,Time!AS17,Construction!$J$8:$BJ$8,"&gt;"&amp;Time!$F$13)</f>
        <v>0</v>
      </c>
      <c r="AT71" s="11" t="n">
        <f aca="false">SUMIFS(Construction!$J$36:$BJ$36,Construction!$J$12:$BJ$12,Time!AT17,Construction!$J$8:$BJ$8,"&gt;"&amp;Time!$F$13)</f>
        <v>0</v>
      </c>
      <c r="AU71" s="11" t="n">
        <f aca="false">SUMIFS(Construction!$J$36:$BJ$36,Construction!$J$12:$BJ$12,Time!AU17,Construction!$J$8:$BJ$8,"&gt;"&amp;Time!$F$13)</f>
        <v>0</v>
      </c>
      <c r="AV71" s="11" t="n">
        <f aca="false">SUMIFS(Construction!$J$36:$BJ$36,Construction!$J$12:$BJ$12,Time!AV17,Construction!$J$8:$BJ$8,"&gt;"&amp;Time!$F$13)</f>
        <v>0</v>
      </c>
      <c r="AW71" s="11" t="n">
        <f aca="false">SUMIFS(Construction!$J$36:$BJ$36,Construction!$J$12:$BJ$12,Time!AW17,Construction!$J$8:$BJ$8,"&gt;"&amp;Time!$F$13)</f>
        <v>0</v>
      </c>
      <c r="AX71" s="11" t="n">
        <f aca="false">SUMIFS(Construction!$J$36:$BJ$36,Construction!$J$12:$BJ$12,Time!AX17,Construction!$J$8:$BJ$8,"&gt;"&amp;Time!$F$13)</f>
        <v>0</v>
      </c>
      <c r="AY71" s="11" t="n">
        <f aca="false">SUMIFS(Construction!$J$36:$BJ$36,Construction!$J$12:$BJ$12,Time!AY17,Construction!$J$8:$BJ$8,"&gt;"&amp;Time!$F$13)</f>
        <v>0</v>
      </c>
      <c r="AZ71" s="11" t="n">
        <f aca="false">SUMIFS(Construction!$J$36:$BJ$36,Construction!$J$12:$BJ$12,Time!AZ17,Construction!$J$8:$BJ$8,"&gt;"&amp;Time!$F$13)</f>
        <v>0</v>
      </c>
      <c r="BA71" s="11" t="n">
        <f aca="false">SUMIFS(Construction!$J$36:$BJ$36,Construction!$J$12:$BJ$12,Time!BA17,Construction!$J$8:$BJ$8,"&gt;"&amp;Time!$F$13)</f>
        <v>0</v>
      </c>
      <c r="BB71" s="11" t="n">
        <f aca="false">SUMIFS(Construction!$J$36:$BJ$36,Construction!$J$12:$BJ$12,Time!BB17,Construction!$J$8:$BJ$8,"&gt;"&amp;Time!$F$13)</f>
        <v>0</v>
      </c>
      <c r="BC71" s="11" t="n">
        <f aca="false">SUMIFS(Construction!$J$36:$BJ$36,Construction!$J$12:$BJ$12,Time!BC17,Construction!$J$8:$BJ$8,"&gt;"&amp;Time!$F$13)</f>
        <v>0</v>
      </c>
      <c r="BD71" s="11" t="n">
        <f aca="false">SUMIFS(Construction!$J$36:$BJ$36,Construction!$J$12:$BJ$12,Time!BD17,Construction!$J$8:$BJ$8,"&gt;"&amp;Time!$F$13)</f>
        <v>0</v>
      </c>
      <c r="BE71" s="11" t="n">
        <f aca="false">SUMIFS(Construction!$J$36:$BJ$36,Construction!$J$12:$BJ$12,Time!BE17,Construction!$J$8:$BJ$8,"&gt;"&amp;Time!$F$13)</f>
        <v>0</v>
      </c>
      <c r="BF71" s="11" t="n">
        <f aca="false">SUMIFS(Construction!$J$36:$BJ$36,Construction!$J$12:$BJ$12,Time!BF17,Construction!$J$8:$BJ$8,"&gt;"&amp;Time!$F$13)</f>
        <v>0</v>
      </c>
      <c r="BG71" s="11" t="n">
        <f aca="false">SUMIFS(Construction!$J$36:$BJ$36,Construction!$J$12:$BJ$12,Time!BG17,Construction!$J$8:$BJ$8,"&gt;"&amp;Time!$F$13)</f>
        <v>0</v>
      </c>
      <c r="BH71" s="11" t="n">
        <f aca="false">SUMIFS(Construction!$J$36:$BJ$36,Construction!$J$12:$BJ$12,Time!BH17,Construction!$J$8:$BJ$8,"&gt;"&amp;Time!$F$13)</f>
        <v>0</v>
      </c>
      <c r="BI71" s="11" t="n">
        <f aca="false">SUMIFS(Construction!$J$36:$BJ$36,Construction!$J$12:$BJ$12,Time!BI17,Construction!$J$8:$BJ$8,"&gt;"&amp;Time!$F$13)</f>
        <v>0</v>
      </c>
      <c r="BJ71" s="11" t="n">
        <f aca="false">SUMIFS(Construction!$J$36:$BJ$36,Construction!$J$12:$BJ$12,Time!BJ17,Construction!$J$8:$BJ$8,"&gt;"&amp;Time!$F$13)</f>
        <v>0</v>
      </c>
      <c r="BK71" s="11" t="n">
        <f aca="false">SUMIFS(Construction!$J$36:$BJ$36,Construction!$J$12:$BJ$12,Time!BK17,Construction!$J$8:$BJ$8,"&gt;"&amp;Time!$F$13)</f>
        <v>0</v>
      </c>
      <c r="BL71" s="11" t="n">
        <f aca="false">SUMIFS(Construction!$J$36:$BJ$36,Construction!$J$12:$BJ$12,Time!BL17,Construction!$J$8:$BJ$8,"&gt;"&amp;Time!$F$13)</f>
        <v>0</v>
      </c>
      <c r="BM71" s="11" t="n">
        <f aca="false">SUMIFS(Construction!$J$36:$BJ$36,Construction!$J$12:$BJ$12,Time!BM17,Construction!$J$8:$BJ$8,"&gt;"&amp;Time!$F$13)</f>
        <v>0</v>
      </c>
      <c r="BN71" s="11" t="n">
        <f aca="false">SUMIFS(Construction!$J$36:$BJ$36,Construction!$J$12:$BJ$12,Time!BN17,Construction!$J$8:$BJ$8,"&gt;"&amp;Time!$F$13)</f>
        <v>0</v>
      </c>
    </row>
    <row r="72" customFormat="false" ht="15" hidden="false" customHeight="false" outlineLevel="0" collapsed="false">
      <c r="D72" s="0" t="s">
        <v>520</v>
      </c>
      <c r="E72" s="0" t="s">
        <v>149</v>
      </c>
      <c r="G72" s="11" t="n">
        <f aca="false">SUM(J72:BN72)</f>
        <v>0</v>
      </c>
      <c r="J72" s="11" t="n">
        <f aca="false">Inputs!$F$45*Inputs!J220</f>
        <v>0</v>
      </c>
      <c r="K72" s="11" t="n">
        <f aca="false">Inputs!$F$45*Inputs!K220</f>
        <v>0</v>
      </c>
      <c r="L72" s="11" t="n">
        <f aca="false">Inputs!$F$45*Inputs!L220</f>
        <v>0</v>
      </c>
      <c r="M72" s="11" t="n">
        <f aca="false">Inputs!$F$45*Inputs!M220</f>
        <v>0</v>
      </c>
      <c r="N72" s="11" t="n">
        <f aca="false">Inputs!$F$45*Inputs!N220</f>
        <v>0</v>
      </c>
      <c r="O72" s="11" t="n">
        <f aca="false">Inputs!$F$45*Inputs!O220</f>
        <v>0</v>
      </c>
      <c r="P72" s="11" t="n">
        <f aca="false">Inputs!$F$45*Inputs!P220</f>
        <v>0</v>
      </c>
      <c r="Q72" s="11" t="n">
        <f aca="false">Inputs!$F$45*Inputs!Q220</f>
        <v>0</v>
      </c>
      <c r="R72" s="11" t="n">
        <f aca="false">Inputs!$F$45*Inputs!R220</f>
        <v>0</v>
      </c>
      <c r="S72" s="11" t="n">
        <f aca="false">Inputs!$F$45*Inputs!S220</f>
        <v>0</v>
      </c>
      <c r="T72" s="11" t="n">
        <f aca="false">Inputs!$F$45*Inputs!T220</f>
        <v>0</v>
      </c>
      <c r="U72" s="11" t="n">
        <f aca="false">Inputs!$F$45*Inputs!U220</f>
        <v>0</v>
      </c>
      <c r="V72" s="11" t="n">
        <f aca="false">Inputs!$F$45*Inputs!V220</f>
        <v>0</v>
      </c>
      <c r="W72" s="11" t="n">
        <f aca="false">Inputs!$F$45*Inputs!W220</f>
        <v>0</v>
      </c>
      <c r="X72" s="11" t="n">
        <f aca="false">Inputs!$F$45*Inputs!X220</f>
        <v>0</v>
      </c>
      <c r="Y72" s="11" t="n">
        <f aca="false">Inputs!$F$45*Inputs!Y220</f>
        <v>0</v>
      </c>
      <c r="Z72" s="11" t="n">
        <f aca="false">Inputs!$F$45*Inputs!Z220</f>
        <v>0</v>
      </c>
      <c r="AA72" s="11" t="n">
        <f aca="false">Inputs!$F$45*Inputs!AA220</f>
        <v>0</v>
      </c>
      <c r="AB72" s="11" t="n">
        <f aca="false">Inputs!$F$45*Inputs!AB220</f>
        <v>0</v>
      </c>
      <c r="AC72" s="11" t="n">
        <f aca="false">Inputs!$F$45*Inputs!AC220</f>
        <v>0</v>
      </c>
      <c r="AD72" s="11" t="n">
        <f aca="false">Inputs!$F$45*Inputs!AD220</f>
        <v>0</v>
      </c>
      <c r="AE72" s="11" t="n">
        <f aca="false">Inputs!$F$45*Inputs!AE220</f>
        <v>0</v>
      </c>
      <c r="AF72" s="11" t="n">
        <f aca="false">Inputs!$F$45*Inputs!AF220</f>
        <v>0</v>
      </c>
      <c r="AG72" s="11" t="n">
        <f aca="false">Inputs!$F$45*Inputs!AG220</f>
        <v>0</v>
      </c>
      <c r="AH72" s="11" t="n">
        <f aca="false">Inputs!$F$45*Inputs!AH220</f>
        <v>0</v>
      </c>
      <c r="AI72" s="11" t="n">
        <f aca="false">Inputs!$F$45*Inputs!AI220</f>
        <v>0</v>
      </c>
      <c r="AJ72" s="11" t="n">
        <f aca="false">Inputs!$F$45*Inputs!AJ220</f>
        <v>0</v>
      </c>
      <c r="AK72" s="11" t="n">
        <f aca="false">Inputs!$F$45*Inputs!AK220</f>
        <v>0</v>
      </c>
      <c r="AL72" s="11" t="n">
        <f aca="false">Inputs!$F$45*Inputs!AL220</f>
        <v>0</v>
      </c>
      <c r="AM72" s="11" t="n">
        <f aca="false">Inputs!$F$45*Inputs!AM220</f>
        <v>0</v>
      </c>
      <c r="AN72" s="11" t="n">
        <f aca="false">Inputs!$F$45*Inputs!AN220</f>
        <v>0</v>
      </c>
      <c r="AO72" s="11" t="n">
        <f aca="false">Inputs!$F$45*Inputs!AO220</f>
        <v>0</v>
      </c>
      <c r="AP72" s="11" t="n">
        <f aca="false">Inputs!$F$45*Inputs!AP220</f>
        <v>0</v>
      </c>
      <c r="AQ72" s="11" t="n">
        <f aca="false">Inputs!$F$45*Inputs!AQ220</f>
        <v>0</v>
      </c>
      <c r="AR72" s="11" t="n">
        <f aca="false">Inputs!$F$45*Inputs!AR220</f>
        <v>0</v>
      </c>
      <c r="AS72" s="11" t="n">
        <f aca="false">Inputs!$F$45*Inputs!AS220</f>
        <v>0</v>
      </c>
      <c r="AT72" s="11" t="n">
        <f aca="false">Inputs!$F$45*Inputs!AT220</f>
        <v>0</v>
      </c>
      <c r="AU72" s="11" t="n">
        <f aca="false">Inputs!$F$45*Inputs!AU220</f>
        <v>0</v>
      </c>
      <c r="AV72" s="11" t="n">
        <f aca="false">Inputs!$F$45*Inputs!AV220</f>
        <v>0</v>
      </c>
      <c r="AW72" s="11" t="n">
        <f aca="false">Inputs!$F$45*Inputs!AW220</f>
        <v>0</v>
      </c>
      <c r="AX72" s="11" t="n">
        <f aca="false">Inputs!$F$45*Inputs!AX220</f>
        <v>0</v>
      </c>
      <c r="AY72" s="11" t="n">
        <f aca="false">Inputs!$F$45*Inputs!AY220</f>
        <v>0</v>
      </c>
      <c r="AZ72" s="11" t="n">
        <f aca="false">Inputs!$F$45*Inputs!AZ220</f>
        <v>0</v>
      </c>
      <c r="BA72" s="11" t="n">
        <f aca="false">Inputs!$F$45*Inputs!BA220</f>
        <v>0</v>
      </c>
      <c r="BB72" s="11" t="n">
        <f aca="false">Inputs!$F$45*Inputs!BB220</f>
        <v>0</v>
      </c>
      <c r="BC72" s="11" t="n">
        <f aca="false">Inputs!$F$45*Inputs!BC220</f>
        <v>0</v>
      </c>
      <c r="BD72" s="11" t="n">
        <f aca="false">Inputs!$F$45*Inputs!BD220</f>
        <v>0</v>
      </c>
      <c r="BE72" s="11" t="n">
        <f aca="false">Inputs!$F$45*Inputs!BE220</f>
        <v>0</v>
      </c>
      <c r="BF72" s="11" t="n">
        <f aca="false">Inputs!$F$45*Inputs!BF220</f>
        <v>0</v>
      </c>
      <c r="BG72" s="11" t="n">
        <f aca="false">Inputs!$F$45*Inputs!BG220</f>
        <v>0</v>
      </c>
      <c r="BH72" s="11" t="n">
        <f aca="false">Inputs!$F$45*Inputs!BH220</f>
        <v>0</v>
      </c>
      <c r="BI72" s="11" t="n">
        <f aca="false">Inputs!$F$45*Inputs!BI220</f>
        <v>0</v>
      </c>
      <c r="BJ72" s="11" t="n">
        <f aca="false">Inputs!$F$45*Inputs!BJ220</f>
        <v>0</v>
      </c>
      <c r="BK72" s="11" t="n">
        <f aca="false">Inputs!$F$45*Inputs!BK220</f>
        <v>0</v>
      </c>
      <c r="BL72" s="11" t="n">
        <f aca="false">Inputs!$F$45*Inputs!BL220</f>
        <v>0</v>
      </c>
      <c r="BM72" s="11" t="n">
        <f aca="false">Inputs!$F$45*Inputs!BM220</f>
        <v>0</v>
      </c>
      <c r="BN72" s="11" t="n">
        <f aca="false">Inputs!$F$45*Inputs!BN220</f>
        <v>0</v>
      </c>
    </row>
    <row r="73" customFormat="false" ht="15" hidden="false" customHeight="false" outlineLevel="0" collapsed="false">
      <c r="D73" s="0" t="s">
        <v>521</v>
      </c>
      <c r="E73" s="0" t="s">
        <v>477</v>
      </c>
      <c r="J73" s="9" t="n">
        <f aca="false">INT((Time!J28-7)/12)+1</f>
        <v>0</v>
      </c>
      <c r="K73" s="9" t="n">
        <f aca="false">INT((Time!K28-7)/12)+1</f>
        <v>0</v>
      </c>
      <c r="L73" s="9" t="n">
        <f aca="false">INT((Time!L28-7)/12)+1</f>
        <v>0</v>
      </c>
      <c r="M73" s="9" t="n">
        <f aca="false">INT((Time!M28-7)/12)+1</f>
        <v>0</v>
      </c>
      <c r="N73" s="9" t="n">
        <f aca="false">INT((Time!N28-7)/12)+1</f>
        <v>0</v>
      </c>
      <c r="O73" s="9" t="n">
        <f aca="false">INT((Time!O28-7)/12)+1</f>
        <v>0</v>
      </c>
      <c r="P73" s="9" t="n">
        <f aca="false">INT((Time!P28-7)/12)+1</f>
        <v>1</v>
      </c>
      <c r="Q73" s="9" t="n">
        <f aca="false">INT((Time!Q28-7)/12)+1</f>
        <v>1</v>
      </c>
      <c r="R73" s="9" t="n">
        <f aca="false">INT((Time!R28-7)/12)+1</f>
        <v>2</v>
      </c>
      <c r="S73" s="9" t="n">
        <f aca="false">INT((Time!S28-7)/12)+1</f>
        <v>2</v>
      </c>
      <c r="T73" s="9" t="n">
        <f aca="false">INT((Time!T28-7)/12)+1</f>
        <v>3</v>
      </c>
      <c r="U73" s="9" t="n">
        <f aca="false">INT((Time!U28-7)/12)+1</f>
        <v>3</v>
      </c>
      <c r="V73" s="9" t="n">
        <f aca="false">INT((Time!V28-7)/12)+1</f>
        <v>4</v>
      </c>
      <c r="W73" s="9" t="n">
        <f aca="false">INT((Time!W28-7)/12)+1</f>
        <v>4</v>
      </c>
      <c r="X73" s="9" t="n">
        <f aca="false">INT((Time!X28-7)/12)+1</f>
        <v>5</v>
      </c>
      <c r="Y73" s="9" t="n">
        <f aca="false">INT((Time!Y28-7)/12)+1</f>
        <v>5</v>
      </c>
      <c r="Z73" s="9" t="n">
        <f aca="false">INT((Time!Z28-7)/12)+1</f>
        <v>6</v>
      </c>
      <c r="AA73" s="9" t="n">
        <f aca="false">INT((Time!AA28-7)/12)+1</f>
        <v>6</v>
      </c>
      <c r="AB73" s="9" t="n">
        <f aca="false">INT((Time!AB28-7)/12)+1</f>
        <v>7</v>
      </c>
      <c r="AC73" s="9" t="n">
        <f aca="false">INT((Time!AC28-7)/12)+1</f>
        <v>7</v>
      </c>
      <c r="AD73" s="9" t="n">
        <f aca="false">INT((Time!AD28-7)/12)+1</f>
        <v>8</v>
      </c>
      <c r="AE73" s="9" t="n">
        <f aca="false">INT((Time!AE28-7)/12)+1</f>
        <v>8</v>
      </c>
      <c r="AF73" s="9" t="n">
        <f aca="false">INT((Time!AF28-7)/12)+1</f>
        <v>9</v>
      </c>
      <c r="AG73" s="9" t="n">
        <f aca="false">INT((Time!AG28-7)/12)+1</f>
        <v>9</v>
      </c>
      <c r="AH73" s="9" t="n">
        <f aca="false">INT((Time!AH28-7)/12)+1</f>
        <v>10</v>
      </c>
      <c r="AI73" s="9" t="n">
        <f aca="false">INT((Time!AI28-7)/12)+1</f>
        <v>10</v>
      </c>
      <c r="AJ73" s="9" t="n">
        <f aca="false">INT((Time!AJ28-7)/12)+1</f>
        <v>11</v>
      </c>
      <c r="AK73" s="9" t="n">
        <f aca="false">INT((Time!AK28-7)/12)+1</f>
        <v>11</v>
      </c>
      <c r="AL73" s="9" t="n">
        <f aca="false">INT((Time!AL28-7)/12)+1</f>
        <v>12</v>
      </c>
      <c r="AM73" s="9" t="n">
        <f aca="false">INT((Time!AM28-7)/12)+1</f>
        <v>12</v>
      </c>
      <c r="AN73" s="9" t="n">
        <f aca="false">INT((Time!AN28-7)/12)+1</f>
        <v>13</v>
      </c>
      <c r="AO73" s="9" t="n">
        <f aca="false">INT((Time!AO28-7)/12)+1</f>
        <v>13</v>
      </c>
      <c r="AP73" s="9" t="n">
        <f aca="false">INT((Time!AP28-7)/12)+1</f>
        <v>14</v>
      </c>
      <c r="AQ73" s="9" t="n">
        <f aca="false">INT((Time!AQ28-7)/12)+1</f>
        <v>14</v>
      </c>
      <c r="AR73" s="9" t="n">
        <f aca="false">INT((Time!AR28-7)/12)+1</f>
        <v>15</v>
      </c>
      <c r="AS73" s="9" t="n">
        <f aca="false">INT((Time!AS28-7)/12)+1</f>
        <v>15</v>
      </c>
      <c r="AT73" s="9" t="n">
        <f aca="false">INT((Time!AT28-7)/12)+1</f>
        <v>16</v>
      </c>
      <c r="AU73" s="9" t="n">
        <f aca="false">INT((Time!AU28-7)/12)+1</f>
        <v>16</v>
      </c>
      <c r="AV73" s="9" t="n">
        <f aca="false">INT((Time!AV28-7)/12)+1</f>
        <v>17</v>
      </c>
      <c r="AW73" s="9" t="n">
        <f aca="false">INT((Time!AW28-7)/12)+1</f>
        <v>17</v>
      </c>
      <c r="AX73" s="9" t="n">
        <f aca="false">INT((Time!AX28-7)/12)+1</f>
        <v>18</v>
      </c>
      <c r="AY73" s="9" t="n">
        <f aca="false">INT((Time!AY28-7)/12)+1</f>
        <v>18</v>
      </c>
      <c r="AZ73" s="9" t="n">
        <f aca="false">INT((Time!AZ28-7)/12)+1</f>
        <v>19</v>
      </c>
      <c r="BA73" s="9" t="n">
        <f aca="false">INT((Time!BA28-7)/12)+1</f>
        <v>19</v>
      </c>
      <c r="BB73" s="9" t="n">
        <f aca="false">INT((Time!BB28-7)/12)+1</f>
        <v>20</v>
      </c>
      <c r="BC73" s="9" t="n">
        <f aca="false">INT((Time!BC28-7)/12)+1</f>
        <v>20</v>
      </c>
      <c r="BD73" s="9" t="n">
        <f aca="false">INT((Time!BD28-7)/12)+1</f>
        <v>21</v>
      </c>
      <c r="BE73" s="9" t="n">
        <f aca="false">INT((Time!BE28-7)/12)+1</f>
        <v>21</v>
      </c>
      <c r="BF73" s="9" t="n">
        <f aca="false">INT((Time!BF28-7)/12)+1</f>
        <v>22</v>
      </c>
      <c r="BG73" s="9" t="n">
        <f aca="false">INT((Time!BG28-7)/12)+1</f>
        <v>22</v>
      </c>
      <c r="BH73" s="9" t="n">
        <f aca="false">INT((Time!BH28-7)/12)+1</f>
        <v>23</v>
      </c>
      <c r="BI73" s="9" t="n">
        <f aca="false">INT((Time!BI28-7)/12)+1</f>
        <v>23</v>
      </c>
      <c r="BJ73" s="9" t="n">
        <f aca="false">INT((Time!BJ28-7)/12)+1</f>
        <v>24</v>
      </c>
      <c r="BK73" s="9" t="n">
        <f aca="false">INT((Time!BK28-7)/12)+1</f>
        <v>24</v>
      </c>
      <c r="BL73" s="9" t="n">
        <f aca="false">INT((Time!BL28-7)/12)+1</f>
        <v>25</v>
      </c>
      <c r="BM73" s="9" t="n">
        <f aca="false">INT((Time!BM28-7)/12)+1</f>
        <v>25</v>
      </c>
      <c r="BN73" s="9" t="n">
        <f aca="false">INT((Time!BN28-7)/12)+1</f>
        <v>25</v>
      </c>
    </row>
    <row r="74" customFormat="false" ht="15" hidden="false" customHeight="false" outlineLevel="0" collapsed="false">
      <c r="D74" s="0" t="s">
        <v>522</v>
      </c>
      <c r="E74" s="0" t="s">
        <v>149</v>
      </c>
      <c r="J74" s="11" t="n">
        <f aca="false">IF(AND(Time!J25&gt;0,J73&gt;=1,J73&lt;=24,Time!J27&lt;(J73-1)*12+7,(J73-1)*12+7&lt;=Time!J28),IF(MOD(J73,8)=0,Inputs!$F$164,IF(MOD(J73,4)=0,Inputs!$F$165,0)),0)</f>
        <v>0</v>
      </c>
      <c r="K74" s="11" t="n">
        <f aca="false">IF(AND(Time!K25&gt;0,K73&gt;=1,K73&lt;=24,Time!K27&lt;(K73-1)*12+7,(K73-1)*12+7&lt;=Time!K28),IF(MOD(K73,8)=0,Inputs!$F$164,IF(MOD(K73,4)=0,Inputs!$F$165,0)),0)</f>
        <v>0</v>
      </c>
      <c r="L74" s="11" t="n">
        <f aca="false">IF(AND(Time!L25&gt;0,L73&gt;=1,L73&lt;=24,Time!L27&lt;(L73-1)*12+7,(L73-1)*12+7&lt;=Time!L28),IF(MOD(L73,8)=0,Inputs!$F$164,IF(MOD(L73,4)=0,Inputs!$F$165,0)),0)</f>
        <v>0</v>
      </c>
      <c r="M74" s="11" t="n">
        <f aca="false">IF(AND(Time!M25&gt;0,M73&gt;=1,M73&lt;=24,Time!M27&lt;(M73-1)*12+7,(M73-1)*12+7&lt;=Time!M28),IF(MOD(M73,8)=0,Inputs!$F$164,IF(MOD(M73,4)=0,Inputs!$F$165,0)),0)</f>
        <v>0</v>
      </c>
      <c r="N74" s="11" t="n">
        <f aca="false">IF(AND(Time!N25&gt;0,N73&gt;=1,N73&lt;=24,Time!N27&lt;(N73-1)*12+7,(N73-1)*12+7&lt;=Time!N28),IF(MOD(N73,8)=0,Inputs!$F$164,IF(MOD(N73,4)=0,Inputs!$F$165,0)),0)</f>
        <v>0</v>
      </c>
      <c r="O74" s="11" t="n">
        <f aca="false">IF(AND(Time!O25&gt;0,O73&gt;=1,O73&lt;=24,Time!O27&lt;(O73-1)*12+7,(O73-1)*12+7&lt;=Time!O28),IF(MOD(O73,8)=0,Inputs!$F$164,IF(MOD(O73,4)=0,Inputs!$F$165,0)),0)</f>
        <v>0</v>
      </c>
      <c r="P74" s="11" t="n">
        <f aca="false">IF(AND(Time!P25&gt;0,P73&gt;=1,P73&lt;=24,Time!P27&lt;(P73-1)*12+7,(P73-1)*12+7&lt;=Time!P28),IF(MOD(P73,8)=0,Inputs!$F$164,IF(MOD(P73,4)=0,Inputs!$F$165,0)),0)</f>
        <v>0</v>
      </c>
      <c r="Q74" s="11" t="n">
        <f aca="false">IF(AND(Time!Q25&gt;0,Q73&gt;=1,Q73&lt;=24,Time!Q27&lt;(Q73-1)*12+7,(Q73-1)*12+7&lt;=Time!Q28),IF(MOD(Q73,8)=0,Inputs!$F$164,IF(MOD(Q73,4)=0,Inputs!$F$165,0)),0)</f>
        <v>0</v>
      </c>
      <c r="R74" s="11" t="n">
        <f aca="false">IF(AND(Time!R25&gt;0,R73&gt;=1,R73&lt;=24,Time!R27&lt;(R73-1)*12+7,(R73-1)*12+7&lt;=Time!R28),IF(MOD(R73,8)=0,Inputs!$F$164,IF(MOD(R73,4)=0,Inputs!$F$165,0)),0)</f>
        <v>0</v>
      </c>
      <c r="S74" s="11" t="n">
        <f aca="false">IF(AND(Time!S25&gt;0,S73&gt;=1,S73&lt;=24,Time!S27&lt;(S73-1)*12+7,(S73-1)*12+7&lt;=Time!S28),IF(MOD(S73,8)=0,Inputs!$F$164,IF(MOD(S73,4)=0,Inputs!$F$165,0)),0)</f>
        <v>0</v>
      </c>
      <c r="T74" s="11" t="n">
        <f aca="false">IF(AND(Time!T25&gt;0,T73&gt;=1,T73&lt;=24,Time!T27&lt;(T73-1)*12+7,(T73-1)*12+7&lt;=Time!T28),IF(MOD(T73,8)=0,Inputs!$F$164,IF(MOD(T73,4)=0,Inputs!$F$165,0)),0)</f>
        <v>0</v>
      </c>
      <c r="U74" s="11" t="n">
        <f aca="false">IF(AND(Time!U25&gt;0,U73&gt;=1,U73&lt;=24,Time!U27&lt;(U73-1)*12+7,(U73-1)*12+7&lt;=Time!U28),IF(MOD(U73,8)=0,Inputs!$F$164,IF(MOD(U73,4)=0,Inputs!$F$165,0)),0)</f>
        <v>0</v>
      </c>
      <c r="V74" s="11" t="n">
        <f aca="false">IF(AND(Time!V25&gt;0,V73&gt;=1,V73&lt;=24,Time!V27&lt;(V73-1)*12+7,(V73-1)*12+7&lt;=Time!V28),IF(MOD(V73,8)=0,Inputs!$F$164,IF(MOD(V73,4)=0,Inputs!$F$165,0)),0)</f>
        <v>2.18</v>
      </c>
      <c r="W74" s="11" t="n">
        <f aca="false">IF(AND(Time!W25&gt;0,W73&gt;=1,W73&lt;=24,Time!W27&lt;(W73-1)*12+7,(W73-1)*12+7&lt;=Time!W28),IF(MOD(W73,8)=0,Inputs!$F$164,IF(MOD(W73,4)=0,Inputs!$F$165,0)),0)</f>
        <v>0</v>
      </c>
      <c r="X74" s="11" t="n">
        <f aca="false">IF(AND(Time!X25&gt;0,X73&gt;=1,X73&lt;=24,Time!X27&lt;(X73-1)*12+7,(X73-1)*12+7&lt;=Time!X28),IF(MOD(X73,8)=0,Inputs!$F$164,IF(MOD(X73,4)=0,Inputs!$F$165,0)),0)</f>
        <v>0</v>
      </c>
      <c r="Y74" s="11" t="n">
        <f aca="false">IF(AND(Time!Y25&gt;0,Y73&gt;=1,Y73&lt;=24,Time!Y27&lt;(Y73-1)*12+7,(Y73-1)*12+7&lt;=Time!Y28),IF(MOD(Y73,8)=0,Inputs!$F$164,IF(MOD(Y73,4)=0,Inputs!$F$165,0)),0)</f>
        <v>0</v>
      </c>
      <c r="Z74" s="11" t="n">
        <f aca="false">IF(AND(Time!Z25&gt;0,Z73&gt;=1,Z73&lt;=24,Time!Z27&lt;(Z73-1)*12+7,(Z73-1)*12+7&lt;=Time!Z28),IF(MOD(Z73,8)=0,Inputs!$F$164,IF(MOD(Z73,4)=0,Inputs!$F$165,0)),0)</f>
        <v>0</v>
      </c>
      <c r="AA74" s="11" t="n">
        <f aca="false">IF(AND(Time!AA25&gt;0,AA73&gt;=1,AA73&lt;=24,Time!AA27&lt;(AA73-1)*12+7,(AA73-1)*12+7&lt;=Time!AA28),IF(MOD(AA73,8)=0,Inputs!$F$164,IF(MOD(AA73,4)=0,Inputs!$F$165,0)),0)</f>
        <v>0</v>
      </c>
      <c r="AB74" s="11" t="n">
        <f aca="false">IF(AND(Time!AB25&gt;0,AB73&gt;=1,AB73&lt;=24,Time!AB27&lt;(AB73-1)*12+7,(AB73-1)*12+7&lt;=Time!AB28),IF(MOD(AB73,8)=0,Inputs!$F$164,IF(MOD(AB73,4)=0,Inputs!$F$165,0)),0)</f>
        <v>0</v>
      </c>
      <c r="AC74" s="11" t="n">
        <f aca="false">IF(AND(Time!AC25&gt;0,AC73&gt;=1,AC73&lt;=24,Time!AC27&lt;(AC73-1)*12+7,(AC73-1)*12+7&lt;=Time!AC28),IF(MOD(AC73,8)=0,Inputs!$F$164,IF(MOD(AC73,4)=0,Inputs!$F$165,0)),0)</f>
        <v>0</v>
      </c>
      <c r="AD74" s="11" t="n">
        <f aca="false">IF(AND(Time!AD25&gt;0,AD73&gt;=1,AD73&lt;=24,Time!AD27&lt;(AD73-1)*12+7,(AD73-1)*12+7&lt;=Time!AD28),IF(MOD(AD73,8)=0,Inputs!$F$164,IF(MOD(AD73,4)=0,Inputs!$F$165,0)),0)</f>
        <v>9.47</v>
      </c>
      <c r="AE74" s="11" t="n">
        <f aca="false">IF(AND(Time!AE25&gt;0,AE73&gt;=1,AE73&lt;=24,Time!AE27&lt;(AE73-1)*12+7,(AE73-1)*12+7&lt;=Time!AE28),IF(MOD(AE73,8)=0,Inputs!$F$164,IF(MOD(AE73,4)=0,Inputs!$F$165,0)),0)</f>
        <v>0</v>
      </c>
      <c r="AF74" s="11" t="n">
        <f aca="false">IF(AND(Time!AF25&gt;0,AF73&gt;=1,AF73&lt;=24,Time!AF27&lt;(AF73-1)*12+7,(AF73-1)*12+7&lt;=Time!AF28),IF(MOD(AF73,8)=0,Inputs!$F$164,IF(MOD(AF73,4)=0,Inputs!$F$165,0)),0)</f>
        <v>0</v>
      </c>
      <c r="AG74" s="11" t="n">
        <f aca="false">IF(AND(Time!AG25&gt;0,AG73&gt;=1,AG73&lt;=24,Time!AG27&lt;(AG73-1)*12+7,(AG73-1)*12+7&lt;=Time!AG28),IF(MOD(AG73,8)=0,Inputs!$F$164,IF(MOD(AG73,4)=0,Inputs!$F$165,0)),0)</f>
        <v>0</v>
      </c>
      <c r="AH74" s="11" t="n">
        <f aca="false">IF(AND(Time!AH25&gt;0,AH73&gt;=1,AH73&lt;=24,Time!AH27&lt;(AH73-1)*12+7,(AH73-1)*12+7&lt;=Time!AH28),IF(MOD(AH73,8)=0,Inputs!$F$164,IF(MOD(AH73,4)=0,Inputs!$F$165,0)),0)</f>
        <v>0</v>
      </c>
      <c r="AI74" s="11" t="n">
        <f aca="false">IF(AND(Time!AI25&gt;0,AI73&gt;=1,AI73&lt;=24,Time!AI27&lt;(AI73-1)*12+7,(AI73-1)*12+7&lt;=Time!AI28),IF(MOD(AI73,8)=0,Inputs!$F$164,IF(MOD(AI73,4)=0,Inputs!$F$165,0)),0)</f>
        <v>0</v>
      </c>
      <c r="AJ74" s="11" t="n">
        <f aca="false">IF(AND(Time!AJ25&gt;0,AJ73&gt;=1,AJ73&lt;=24,Time!AJ27&lt;(AJ73-1)*12+7,(AJ73-1)*12+7&lt;=Time!AJ28),IF(MOD(AJ73,8)=0,Inputs!$F$164,IF(MOD(AJ73,4)=0,Inputs!$F$165,0)),0)</f>
        <v>0</v>
      </c>
      <c r="AK74" s="11" t="n">
        <f aca="false">IF(AND(Time!AK25&gt;0,AK73&gt;=1,AK73&lt;=24,Time!AK27&lt;(AK73-1)*12+7,(AK73-1)*12+7&lt;=Time!AK28),IF(MOD(AK73,8)=0,Inputs!$F$164,IF(MOD(AK73,4)=0,Inputs!$F$165,0)),0)</f>
        <v>0</v>
      </c>
      <c r="AL74" s="11" t="n">
        <f aca="false">IF(AND(Time!AL25&gt;0,AL73&gt;=1,AL73&lt;=24,Time!AL27&lt;(AL73-1)*12+7,(AL73-1)*12+7&lt;=Time!AL28),IF(MOD(AL73,8)=0,Inputs!$F$164,IF(MOD(AL73,4)=0,Inputs!$F$165,0)),0)</f>
        <v>2.18</v>
      </c>
      <c r="AM74" s="11" t="n">
        <f aca="false">IF(AND(Time!AM25&gt;0,AM73&gt;=1,AM73&lt;=24,Time!AM27&lt;(AM73-1)*12+7,(AM73-1)*12+7&lt;=Time!AM28),IF(MOD(AM73,8)=0,Inputs!$F$164,IF(MOD(AM73,4)=0,Inputs!$F$165,0)),0)</f>
        <v>0</v>
      </c>
      <c r="AN74" s="11" t="n">
        <f aca="false">IF(AND(Time!AN25&gt;0,AN73&gt;=1,AN73&lt;=24,Time!AN27&lt;(AN73-1)*12+7,(AN73-1)*12+7&lt;=Time!AN28),IF(MOD(AN73,8)=0,Inputs!$F$164,IF(MOD(AN73,4)=0,Inputs!$F$165,0)),0)</f>
        <v>0</v>
      </c>
      <c r="AO74" s="11" t="n">
        <f aca="false">IF(AND(Time!AO25&gt;0,AO73&gt;=1,AO73&lt;=24,Time!AO27&lt;(AO73-1)*12+7,(AO73-1)*12+7&lt;=Time!AO28),IF(MOD(AO73,8)=0,Inputs!$F$164,IF(MOD(AO73,4)=0,Inputs!$F$165,0)),0)</f>
        <v>0</v>
      </c>
      <c r="AP74" s="11" t="n">
        <f aca="false">IF(AND(Time!AP25&gt;0,AP73&gt;=1,AP73&lt;=24,Time!AP27&lt;(AP73-1)*12+7,(AP73-1)*12+7&lt;=Time!AP28),IF(MOD(AP73,8)=0,Inputs!$F$164,IF(MOD(AP73,4)=0,Inputs!$F$165,0)),0)</f>
        <v>0</v>
      </c>
      <c r="AQ74" s="11" t="n">
        <f aca="false">IF(AND(Time!AQ25&gt;0,AQ73&gt;=1,AQ73&lt;=24,Time!AQ27&lt;(AQ73-1)*12+7,(AQ73-1)*12+7&lt;=Time!AQ28),IF(MOD(AQ73,8)=0,Inputs!$F$164,IF(MOD(AQ73,4)=0,Inputs!$F$165,0)),0)</f>
        <v>0</v>
      </c>
      <c r="AR74" s="11" t="n">
        <f aca="false">IF(AND(Time!AR25&gt;0,AR73&gt;=1,AR73&lt;=24,Time!AR27&lt;(AR73-1)*12+7,(AR73-1)*12+7&lt;=Time!AR28),IF(MOD(AR73,8)=0,Inputs!$F$164,IF(MOD(AR73,4)=0,Inputs!$F$165,0)),0)</f>
        <v>0</v>
      </c>
      <c r="AS74" s="11" t="n">
        <f aca="false">IF(AND(Time!AS25&gt;0,AS73&gt;=1,AS73&lt;=24,Time!AS27&lt;(AS73-1)*12+7,(AS73-1)*12+7&lt;=Time!AS28),IF(MOD(AS73,8)=0,Inputs!$F$164,IF(MOD(AS73,4)=0,Inputs!$F$165,0)),0)</f>
        <v>0</v>
      </c>
      <c r="AT74" s="11" t="n">
        <f aca="false">IF(AND(Time!AT25&gt;0,AT73&gt;=1,AT73&lt;=24,Time!AT27&lt;(AT73-1)*12+7,(AT73-1)*12+7&lt;=Time!AT28),IF(MOD(AT73,8)=0,Inputs!$F$164,IF(MOD(AT73,4)=0,Inputs!$F$165,0)),0)</f>
        <v>9.47</v>
      </c>
      <c r="AU74" s="11" t="n">
        <f aca="false">IF(AND(Time!AU25&gt;0,AU73&gt;=1,AU73&lt;=24,Time!AU27&lt;(AU73-1)*12+7,(AU73-1)*12+7&lt;=Time!AU28),IF(MOD(AU73,8)=0,Inputs!$F$164,IF(MOD(AU73,4)=0,Inputs!$F$165,0)),0)</f>
        <v>0</v>
      </c>
      <c r="AV74" s="11" t="n">
        <f aca="false">IF(AND(Time!AV25&gt;0,AV73&gt;=1,AV73&lt;=24,Time!AV27&lt;(AV73-1)*12+7,(AV73-1)*12+7&lt;=Time!AV28),IF(MOD(AV73,8)=0,Inputs!$F$164,IF(MOD(AV73,4)=0,Inputs!$F$165,0)),0)</f>
        <v>0</v>
      </c>
      <c r="AW74" s="11" t="n">
        <f aca="false">IF(AND(Time!AW25&gt;0,AW73&gt;=1,AW73&lt;=24,Time!AW27&lt;(AW73-1)*12+7,(AW73-1)*12+7&lt;=Time!AW28),IF(MOD(AW73,8)=0,Inputs!$F$164,IF(MOD(AW73,4)=0,Inputs!$F$165,0)),0)</f>
        <v>0</v>
      </c>
      <c r="AX74" s="11" t="n">
        <f aca="false">IF(AND(Time!AX25&gt;0,AX73&gt;=1,AX73&lt;=24,Time!AX27&lt;(AX73-1)*12+7,(AX73-1)*12+7&lt;=Time!AX28),IF(MOD(AX73,8)=0,Inputs!$F$164,IF(MOD(AX73,4)=0,Inputs!$F$165,0)),0)</f>
        <v>0</v>
      </c>
      <c r="AY74" s="11" t="n">
        <f aca="false">IF(AND(Time!AY25&gt;0,AY73&gt;=1,AY73&lt;=24,Time!AY27&lt;(AY73-1)*12+7,(AY73-1)*12+7&lt;=Time!AY28),IF(MOD(AY73,8)=0,Inputs!$F$164,IF(MOD(AY73,4)=0,Inputs!$F$165,0)),0)</f>
        <v>0</v>
      </c>
      <c r="AZ74" s="11" t="n">
        <f aca="false">IF(AND(Time!AZ25&gt;0,AZ73&gt;=1,AZ73&lt;=24,Time!AZ27&lt;(AZ73-1)*12+7,(AZ73-1)*12+7&lt;=Time!AZ28),IF(MOD(AZ73,8)=0,Inputs!$F$164,IF(MOD(AZ73,4)=0,Inputs!$F$165,0)),0)</f>
        <v>0</v>
      </c>
      <c r="BA74" s="11" t="n">
        <f aca="false">IF(AND(Time!BA25&gt;0,BA73&gt;=1,BA73&lt;=24,Time!BA27&lt;(BA73-1)*12+7,(BA73-1)*12+7&lt;=Time!BA28),IF(MOD(BA73,8)=0,Inputs!$F$164,IF(MOD(BA73,4)=0,Inputs!$F$165,0)),0)</f>
        <v>0</v>
      </c>
      <c r="BB74" s="11" t="n">
        <f aca="false">IF(AND(Time!BB25&gt;0,BB73&gt;=1,BB73&lt;=24,Time!BB27&lt;(BB73-1)*12+7,(BB73-1)*12+7&lt;=Time!BB28),IF(MOD(BB73,8)=0,Inputs!$F$164,IF(MOD(BB73,4)=0,Inputs!$F$165,0)),0)</f>
        <v>2.18</v>
      </c>
      <c r="BC74" s="11" t="n">
        <f aca="false">IF(AND(Time!BC25&gt;0,BC73&gt;=1,BC73&lt;=24,Time!BC27&lt;(BC73-1)*12+7,(BC73-1)*12+7&lt;=Time!BC28),IF(MOD(BC73,8)=0,Inputs!$F$164,IF(MOD(BC73,4)=0,Inputs!$F$165,0)),0)</f>
        <v>0</v>
      </c>
      <c r="BD74" s="11" t="n">
        <f aca="false">IF(AND(Time!BD25&gt;0,BD73&gt;=1,BD73&lt;=24,Time!BD27&lt;(BD73-1)*12+7,(BD73-1)*12+7&lt;=Time!BD28),IF(MOD(BD73,8)=0,Inputs!$F$164,IF(MOD(BD73,4)=0,Inputs!$F$165,0)),0)</f>
        <v>0</v>
      </c>
      <c r="BE74" s="11" t="n">
        <f aca="false">IF(AND(Time!BE25&gt;0,BE73&gt;=1,BE73&lt;=24,Time!BE27&lt;(BE73-1)*12+7,(BE73-1)*12+7&lt;=Time!BE28),IF(MOD(BE73,8)=0,Inputs!$F$164,IF(MOD(BE73,4)=0,Inputs!$F$165,0)),0)</f>
        <v>0</v>
      </c>
      <c r="BF74" s="11" t="n">
        <f aca="false">IF(AND(Time!BF25&gt;0,BF73&gt;=1,BF73&lt;=24,Time!BF27&lt;(BF73-1)*12+7,(BF73-1)*12+7&lt;=Time!BF28),IF(MOD(BF73,8)=0,Inputs!$F$164,IF(MOD(BF73,4)=0,Inputs!$F$165,0)),0)</f>
        <v>0</v>
      </c>
      <c r="BG74" s="11" t="n">
        <f aca="false">IF(AND(Time!BG25&gt;0,BG73&gt;=1,BG73&lt;=24,Time!BG27&lt;(BG73-1)*12+7,(BG73-1)*12+7&lt;=Time!BG28),IF(MOD(BG73,8)=0,Inputs!$F$164,IF(MOD(BG73,4)=0,Inputs!$F$165,0)),0)</f>
        <v>0</v>
      </c>
      <c r="BH74" s="11" t="n">
        <f aca="false">IF(AND(Time!BH25&gt;0,BH73&gt;=1,BH73&lt;=24,Time!BH27&lt;(BH73-1)*12+7,(BH73-1)*12+7&lt;=Time!BH28),IF(MOD(BH73,8)=0,Inputs!$F$164,IF(MOD(BH73,4)=0,Inputs!$F$165,0)),0)</f>
        <v>0</v>
      </c>
      <c r="BI74" s="11" t="n">
        <f aca="false">IF(AND(Time!BI25&gt;0,BI73&gt;=1,BI73&lt;=24,Time!BI27&lt;(BI73-1)*12+7,(BI73-1)*12+7&lt;=Time!BI28),IF(MOD(BI73,8)=0,Inputs!$F$164,IF(MOD(BI73,4)=0,Inputs!$F$165,0)),0)</f>
        <v>0</v>
      </c>
      <c r="BJ74" s="11" t="n">
        <f aca="false">IF(AND(Time!BJ25&gt;0,BJ73&gt;=1,BJ73&lt;=24,Time!BJ27&lt;(BJ73-1)*12+7,(BJ73-1)*12+7&lt;=Time!BJ28),IF(MOD(BJ73,8)=0,Inputs!$F$164,IF(MOD(BJ73,4)=0,Inputs!$F$165,0)),0)</f>
        <v>9.47</v>
      </c>
      <c r="BK74" s="11" t="n">
        <f aca="false">IF(AND(Time!BK25&gt;0,BK73&gt;=1,BK73&lt;=24,Time!BK27&lt;(BK73-1)*12+7,(BK73-1)*12+7&lt;=Time!BK28),IF(MOD(BK73,8)=0,Inputs!$F$164,IF(MOD(BK73,4)=0,Inputs!$F$165,0)),0)</f>
        <v>0</v>
      </c>
      <c r="BL74" s="11" t="n">
        <f aca="false">IF(AND(Time!BL25&gt;0,BL73&gt;=1,BL73&lt;=24,Time!BL27&lt;(BL73-1)*12+7,(BL73-1)*12+7&lt;=Time!BL28),IF(MOD(BL73,8)=0,Inputs!$F$164,IF(MOD(BL73,4)=0,Inputs!$F$165,0)),0)</f>
        <v>0</v>
      </c>
      <c r="BM74" s="11" t="n">
        <f aca="false">IF(AND(Time!BM25&gt;0,BM73&gt;=1,BM73&lt;=24,Time!BM27&lt;(BM73-1)*12+7,(BM73-1)*12+7&lt;=Time!BM28),IF(MOD(BM73,8)=0,Inputs!$F$164,IF(MOD(BM73,4)=0,Inputs!$F$165,0)),0)</f>
        <v>0</v>
      </c>
      <c r="BN74" s="11" t="n">
        <f aca="false">IF(AND(Time!BN25&gt;0,BN73&gt;=1,BN73&lt;=24,Time!BN27&lt;(BN73-1)*12+7,(BN73-1)*12+7&lt;=Time!BN28),IF(MOD(BN73,8)=0,Inputs!$F$164,IF(MOD(BN73,4)=0,Inputs!$F$165,0)),0)</f>
        <v>0</v>
      </c>
    </row>
    <row r="75" customFormat="false" ht="15" hidden="false" customHeight="false" outlineLevel="0" collapsed="false">
      <c r="D75" s="0" t="s">
        <v>523</v>
      </c>
      <c r="E75" s="0" t="s">
        <v>149</v>
      </c>
      <c r="G75" s="11" t="n">
        <f aca="false">SUM(J75:BN75)</f>
        <v>51.6980654911653</v>
      </c>
      <c r="J75" s="11" t="n">
        <f aca="false">J74*J19</f>
        <v>0</v>
      </c>
      <c r="K75" s="11" t="n">
        <f aca="false">K74*K19</f>
        <v>0</v>
      </c>
      <c r="L75" s="11" t="n">
        <f aca="false">L74*L19</f>
        <v>0</v>
      </c>
      <c r="M75" s="11" t="n">
        <f aca="false">M74*M19</f>
        <v>0</v>
      </c>
      <c r="N75" s="11" t="n">
        <f aca="false">N74*N19</f>
        <v>0</v>
      </c>
      <c r="O75" s="11" t="n">
        <f aca="false">O74*O19</f>
        <v>0</v>
      </c>
      <c r="P75" s="11" t="n">
        <f aca="false">P74*P19</f>
        <v>0</v>
      </c>
      <c r="Q75" s="11" t="n">
        <f aca="false">Q74*Q19</f>
        <v>0</v>
      </c>
      <c r="R75" s="11" t="n">
        <f aca="false">R74*R19</f>
        <v>0</v>
      </c>
      <c r="S75" s="11" t="n">
        <f aca="false">S74*S19</f>
        <v>0</v>
      </c>
      <c r="T75" s="11" t="n">
        <f aca="false">T74*T19</f>
        <v>0</v>
      </c>
      <c r="U75" s="11" t="n">
        <f aca="false">U74*U19</f>
        <v>0</v>
      </c>
      <c r="V75" s="11" t="n">
        <f aca="false">V74*V19</f>
        <v>2.49760981472916</v>
      </c>
      <c r="W75" s="11" t="n">
        <f aca="false">W74*W19</f>
        <v>0</v>
      </c>
      <c r="X75" s="11" t="n">
        <f aca="false">X74*X19</f>
        <v>0</v>
      </c>
      <c r="Y75" s="11" t="n">
        <f aca="false">Y74*Y19</f>
        <v>0</v>
      </c>
      <c r="Z75" s="11" t="n">
        <f aca="false">Z74*Z19</f>
        <v>0</v>
      </c>
      <c r="AA75" s="11" t="n">
        <f aca="false">AA74*AA19</f>
        <v>0</v>
      </c>
      <c r="AB75" s="11" t="n">
        <f aca="false">AB74*AB19</f>
        <v>0</v>
      </c>
      <c r="AC75" s="11" t="n">
        <f aca="false">AC74*AC19</f>
        <v>0</v>
      </c>
      <c r="AD75" s="11" t="n">
        <f aca="false">AD74*AD19</f>
        <v>11.8364552618008</v>
      </c>
      <c r="AE75" s="11" t="n">
        <f aca="false">AE74*AE19</f>
        <v>0</v>
      </c>
      <c r="AF75" s="11" t="n">
        <f aca="false">AF74*AF19</f>
        <v>0</v>
      </c>
      <c r="AG75" s="11" t="n">
        <f aca="false">AG74*AG19</f>
        <v>0</v>
      </c>
      <c r="AH75" s="11" t="n">
        <f aca="false">AH74*AH19</f>
        <v>0</v>
      </c>
      <c r="AI75" s="11" t="n">
        <f aca="false">AI74*AI19</f>
        <v>0</v>
      </c>
      <c r="AJ75" s="11" t="n">
        <f aca="false">AJ74*AJ19</f>
        <v>0</v>
      </c>
      <c r="AK75" s="11" t="n">
        <f aca="false">AK74*AK19</f>
        <v>0</v>
      </c>
      <c r="AL75" s="11" t="n">
        <f aca="false">AL74*AL19</f>
        <v>2.97256772949548</v>
      </c>
      <c r="AM75" s="11" t="n">
        <f aca="false">AM74*AM19</f>
        <v>0</v>
      </c>
      <c r="AN75" s="11" t="n">
        <f aca="false">AN74*AN19</f>
        <v>0</v>
      </c>
      <c r="AO75" s="11" t="n">
        <f aca="false">AO74*AO19</f>
        <v>0</v>
      </c>
      <c r="AP75" s="11" t="n">
        <f aca="false">AP74*AP19</f>
        <v>0</v>
      </c>
      <c r="AQ75" s="11" t="n">
        <f aca="false">AQ74*AQ19</f>
        <v>0</v>
      </c>
      <c r="AR75" s="11" t="n">
        <f aca="false">AR74*AR19</f>
        <v>0</v>
      </c>
      <c r="AS75" s="11" t="n">
        <f aca="false">AS74*AS19</f>
        <v>0</v>
      </c>
      <c r="AT75" s="11" t="n">
        <f aca="false">AT74*AT19</f>
        <v>14.0873345129217</v>
      </c>
      <c r="AU75" s="11" t="n">
        <f aca="false">AU74*AU19</f>
        <v>0</v>
      </c>
      <c r="AV75" s="11" t="n">
        <f aca="false">AV74*AV19</f>
        <v>0</v>
      </c>
      <c r="AW75" s="11" t="n">
        <f aca="false">AW74*AW19</f>
        <v>0</v>
      </c>
      <c r="AX75" s="11" t="n">
        <f aca="false">AX74*AX19</f>
        <v>0</v>
      </c>
      <c r="AY75" s="11" t="n">
        <f aca="false">AY74*AY19</f>
        <v>0</v>
      </c>
      <c r="AZ75" s="11" t="n">
        <f aca="false">AZ74*AZ19</f>
        <v>0</v>
      </c>
      <c r="BA75" s="11" t="n">
        <f aca="false">BA74*BA19</f>
        <v>0</v>
      </c>
      <c r="BB75" s="11" t="n">
        <f aca="false">BB74*BB19</f>
        <v>3.53784600554035</v>
      </c>
      <c r="BC75" s="11" t="n">
        <f aca="false">BC74*BC19</f>
        <v>0</v>
      </c>
      <c r="BD75" s="11" t="n">
        <f aca="false">BD74*BD19</f>
        <v>0</v>
      </c>
      <c r="BE75" s="11" t="n">
        <f aca="false">BE74*BE19</f>
        <v>0</v>
      </c>
      <c r="BF75" s="11" t="n">
        <f aca="false">BF74*BF19</f>
        <v>0</v>
      </c>
      <c r="BG75" s="11" t="n">
        <f aca="false">BG74*BG19</f>
        <v>0</v>
      </c>
      <c r="BH75" s="11" t="n">
        <f aca="false">BH74*BH19</f>
        <v>0</v>
      </c>
      <c r="BI75" s="11" t="n">
        <f aca="false">BI74*BI19</f>
        <v>0</v>
      </c>
      <c r="BJ75" s="11" t="n">
        <f aca="false">BJ74*BJ19</f>
        <v>16.7662521666779</v>
      </c>
      <c r="BK75" s="11" t="n">
        <f aca="false">BK74*BK19</f>
        <v>0</v>
      </c>
      <c r="BL75" s="11" t="n">
        <f aca="false">BL74*BL19</f>
        <v>0</v>
      </c>
      <c r="BM75" s="11" t="n">
        <f aca="false">BM74*BM19</f>
        <v>0</v>
      </c>
      <c r="BN75" s="11" t="n">
        <f aca="false">BN74*BN19</f>
        <v>0</v>
      </c>
    </row>
    <row r="76" customFormat="false" ht="15" hidden="false" customHeight="false" outlineLevel="0" collapsed="false">
      <c r="D76" s="0" t="s">
        <v>524</v>
      </c>
      <c r="E76" s="0" t="s">
        <v>97</v>
      </c>
      <c r="J76" s="9" t="n">
        <f aca="false">MAX(0,MIN(Time!J28,300)-MAX(Time!J27,228))</f>
        <v>0</v>
      </c>
      <c r="K76" s="9" t="n">
        <f aca="false">MAX(0,MIN(Time!K28,300)-MAX(Time!K27,228))</f>
        <v>0</v>
      </c>
      <c r="L76" s="9" t="n">
        <f aca="false">MAX(0,MIN(Time!L28,300)-MAX(Time!L27,228))</f>
        <v>0</v>
      </c>
      <c r="M76" s="9" t="n">
        <f aca="false">MAX(0,MIN(Time!M28,300)-MAX(Time!M27,228))</f>
        <v>0</v>
      </c>
      <c r="N76" s="9" t="n">
        <f aca="false">MAX(0,MIN(Time!N28,300)-MAX(Time!N27,228))</f>
        <v>0</v>
      </c>
      <c r="O76" s="9" t="n">
        <f aca="false">MAX(0,MIN(Time!O28,300)-MAX(Time!O27,228))</f>
        <v>0</v>
      </c>
      <c r="P76" s="9" t="n">
        <f aca="false">MAX(0,MIN(Time!P28,300)-MAX(Time!P27,228))</f>
        <v>0</v>
      </c>
      <c r="Q76" s="9" t="n">
        <f aca="false">MAX(0,MIN(Time!Q28,300)-MAX(Time!Q27,228))</f>
        <v>0</v>
      </c>
      <c r="R76" s="9" t="n">
        <f aca="false">MAX(0,MIN(Time!R28,300)-MAX(Time!R27,228))</f>
        <v>0</v>
      </c>
      <c r="S76" s="9" t="n">
        <f aca="false">MAX(0,MIN(Time!S28,300)-MAX(Time!S27,228))</f>
        <v>0</v>
      </c>
      <c r="T76" s="9" t="n">
        <f aca="false">MAX(0,MIN(Time!T28,300)-MAX(Time!T27,228))</f>
        <v>0</v>
      </c>
      <c r="U76" s="9" t="n">
        <f aca="false">MAX(0,MIN(Time!U28,300)-MAX(Time!U27,228))</f>
        <v>0</v>
      </c>
      <c r="V76" s="9" t="n">
        <f aca="false">MAX(0,MIN(Time!V28,300)-MAX(Time!V27,228))</f>
        <v>0</v>
      </c>
      <c r="W76" s="9" t="n">
        <f aca="false">MAX(0,MIN(Time!W28,300)-MAX(Time!W27,228))</f>
        <v>0</v>
      </c>
      <c r="X76" s="9" t="n">
        <f aca="false">MAX(0,MIN(Time!X28,300)-MAX(Time!X27,228))</f>
        <v>0</v>
      </c>
      <c r="Y76" s="9" t="n">
        <f aca="false">MAX(0,MIN(Time!Y28,300)-MAX(Time!Y27,228))</f>
        <v>0</v>
      </c>
      <c r="Z76" s="9" t="n">
        <f aca="false">MAX(0,MIN(Time!Z28,300)-MAX(Time!Z27,228))</f>
        <v>0</v>
      </c>
      <c r="AA76" s="9" t="n">
        <f aca="false">MAX(0,MIN(Time!AA28,300)-MAX(Time!AA27,228))</f>
        <v>0</v>
      </c>
      <c r="AB76" s="9" t="n">
        <f aca="false">MAX(0,MIN(Time!AB28,300)-MAX(Time!AB27,228))</f>
        <v>0</v>
      </c>
      <c r="AC76" s="9" t="n">
        <f aca="false">MAX(0,MIN(Time!AC28,300)-MAX(Time!AC27,228))</f>
        <v>0</v>
      </c>
      <c r="AD76" s="9" t="n">
        <f aca="false">MAX(0,MIN(Time!AD28,300)-MAX(Time!AD27,228))</f>
        <v>0</v>
      </c>
      <c r="AE76" s="9" t="n">
        <f aca="false">MAX(0,MIN(Time!AE28,300)-MAX(Time!AE27,228))</f>
        <v>0</v>
      </c>
      <c r="AF76" s="9" t="n">
        <f aca="false">MAX(0,MIN(Time!AF28,300)-MAX(Time!AF27,228))</f>
        <v>0</v>
      </c>
      <c r="AG76" s="9" t="n">
        <f aca="false">MAX(0,MIN(Time!AG28,300)-MAX(Time!AG27,228))</f>
        <v>0</v>
      </c>
      <c r="AH76" s="9" t="n">
        <f aca="false">MAX(0,MIN(Time!AH28,300)-MAX(Time!AH27,228))</f>
        <v>0</v>
      </c>
      <c r="AI76" s="9" t="n">
        <f aca="false">MAX(0,MIN(Time!AI28,300)-MAX(Time!AI27,228))</f>
        <v>0</v>
      </c>
      <c r="AJ76" s="9" t="n">
        <f aca="false">MAX(0,MIN(Time!AJ28,300)-MAX(Time!AJ27,228))</f>
        <v>0</v>
      </c>
      <c r="AK76" s="9" t="n">
        <f aca="false">MAX(0,MIN(Time!AK28,300)-MAX(Time!AK27,228))</f>
        <v>0</v>
      </c>
      <c r="AL76" s="9" t="n">
        <f aca="false">MAX(0,MIN(Time!AL28,300)-MAX(Time!AL27,228))</f>
        <v>0</v>
      </c>
      <c r="AM76" s="9" t="n">
        <f aca="false">MAX(0,MIN(Time!AM28,300)-MAX(Time!AM27,228))</f>
        <v>0</v>
      </c>
      <c r="AN76" s="9" t="n">
        <f aca="false">MAX(0,MIN(Time!AN28,300)-MAX(Time!AN27,228))</f>
        <v>0</v>
      </c>
      <c r="AO76" s="9" t="n">
        <f aca="false">MAX(0,MIN(Time!AO28,300)-MAX(Time!AO27,228))</f>
        <v>0</v>
      </c>
      <c r="AP76" s="9" t="n">
        <f aca="false">MAX(0,MIN(Time!AP28,300)-MAX(Time!AP27,228))</f>
        <v>0</v>
      </c>
      <c r="AQ76" s="9" t="n">
        <f aca="false">MAX(0,MIN(Time!AQ28,300)-MAX(Time!AQ27,228))</f>
        <v>0</v>
      </c>
      <c r="AR76" s="9" t="n">
        <f aca="false">MAX(0,MIN(Time!AR28,300)-MAX(Time!AR27,228))</f>
        <v>0</v>
      </c>
      <c r="AS76" s="9" t="n">
        <f aca="false">MAX(0,MIN(Time!AS28,300)-MAX(Time!AS27,228))</f>
        <v>0</v>
      </c>
      <c r="AT76" s="9" t="n">
        <f aca="false">MAX(0,MIN(Time!AT28,300)-MAX(Time!AT27,228))</f>
        <v>0</v>
      </c>
      <c r="AU76" s="9" t="n">
        <f aca="false">MAX(0,MIN(Time!AU28,300)-MAX(Time!AU27,228))</f>
        <v>0</v>
      </c>
      <c r="AV76" s="9" t="n">
        <f aca="false">MAX(0,MIN(Time!AV28,300)-MAX(Time!AV27,228))</f>
        <v>0</v>
      </c>
      <c r="AW76" s="9" t="n">
        <f aca="false">MAX(0,MIN(Time!AW28,300)-MAX(Time!AW27,228))</f>
        <v>0</v>
      </c>
      <c r="AX76" s="9" t="n">
        <f aca="false">MAX(0,MIN(Time!AX28,300)-MAX(Time!AX27,228))</f>
        <v>0</v>
      </c>
      <c r="AY76" s="9" t="n">
        <f aca="false">MAX(0,MIN(Time!AY28,300)-MAX(Time!AY27,228))</f>
        <v>0</v>
      </c>
      <c r="AZ76" s="9" t="n">
        <f aca="false">MAX(0,MIN(Time!AZ28,300)-MAX(Time!AZ27,228))</f>
        <v>0</v>
      </c>
      <c r="BA76" s="9" t="n">
        <f aca="false">MAX(0,MIN(Time!BA28,300)-MAX(Time!BA27,228))</f>
        <v>2</v>
      </c>
      <c r="BB76" s="9" t="n">
        <f aca="false">MAX(0,MIN(Time!BB28,300)-MAX(Time!BB27,228))</f>
        <v>6</v>
      </c>
      <c r="BC76" s="9" t="n">
        <f aca="false">MAX(0,MIN(Time!BC28,300)-MAX(Time!BC27,228))</f>
        <v>6</v>
      </c>
      <c r="BD76" s="9" t="n">
        <f aca="false">MAX(0,MIN(Time!BD28,300)-MAX(Time!BD27,228))</f>
        <v>6</v>
      </c>
      <c r="BE76" s="9" t="n">
        <f aca="false">MAX(0,MIN(Time!BE28,300)-MAX(Time!BE27,228))</f>
        <v>6</v>
      </c>
      <c r="BF76" s="9" t="n">
        <f aca="false">MAX(0,MIN(Time!BF28,300)-MAX(Time!BF27,228))</f>
        <v>6</v>
      </c>
      <c r="BG76" s="9" t="n">
        <f aca="false">MAX(0,MIN(Time!BG28,300)-MAX(Time!BG27,228))</f>
        <v>6</v>
      </c>
      <c r="BH76" s="9" t="n">
        <f aca="false">MAX(0,MIN(Time!BH28,300)-MAX(Time!BH27,228))</f>
        <v>6</v>
      </c>
      <c r="BI76" s="9" t="n">
        <f aca="false">MAX(0,MIN(Time!BI28,300)-MAX(Time!BI27,228))</f>
        <v>6</v>
      </c>
      <c r="BJ76" s="9" t="n">
        <f aca="false">MAX(0,MIN(Time!BJ28,300)-MAX(Time!BJ27,228))</f>
        <v>6</v>
      </c>
      <c r="BK76" s="9" t="n">
        <f aca="false">MAX(0,MIN(Time!BK28,300)-MAX(Time!BK27,228))</f>
        <v>6</v>
      </c>
      <c r="BL76" s="9" t="n">
        <f aca="false">MAX(0,MIN(Time!BL28,300)-MAX(Time!BL27,228))</f>
        <v>6</v>
      </c>
      <c r="BM76" s="9" t="n">
        <f aca="false">MAX(0,MIN(Time!BM28,300)-MAX(Time!BM27,228))</f>
        <v>4</v>
      </c>
      <c r="BN76" s="9" t="n">
        <f aca="false">MAX(0,MIN(Time!BN28,300)-MAX(Time!BN27,228))</f>
        <v>0</v>
      </c>
    </row>
    <row r="77" customFormat="false" ht="15" hidden="false" customHeight="false" outlineLevel="0" collapsed="false">
      <c r="D77" s="0" t="s">
        <v>525</v>
      </c>
      <c r="E77" s="0" t="s">
        <v>149</v>
      </c>
      <c r="G77" s="11" t="n">
        <f aca="false">SUM(J77:BN77)</f>
        <v>19.0691898563542</v>
      </c>
      <c r="J77" s="11" t="n">
        <f aca="false">Inputs!$F$166*J19*J76/12</f>
        <v>0</v>
      </c>
      <c r="K77" s="11" t="n">
        <f aca="false">Inputs!$F$166*K19*K76/12</f>
        <v>0</v>
      </c>
      <c r="L77" s="11" t="n">
        <f aca="false">Inputs!$F$166*L19*L76/12</f>
        <v>0</v>
      </c>
      <c r="M77" s="11" t="n">
        <f aca="false">Inputs!$F$166*M19*M76/12</f>
        <v>0</v>
      </c>
      <c r="N77" s="11" t="n">
        <f aca="false">Inputs!$F$166*N19*N76/12</f>
        <v>0</v>
      </c>
      <c r="O77" s="11" t="n">
        <f aca="false">Inputs!$F$166*O19*O76/12</f>
        <v>0</v>
      </c>
      <c r="P77" s="11" t="n">
        <f aca="false">Inputs!$F$166*P19*P76/12</f>
        <v>0</v>
      </c>
      <c r="Q77" s="11" t="n">
        <f aca="false">Inputs!$F$166*Q19*Q76/12</f>
        <v>0</v>
      </c>
      <c r="R77" s="11" t="n">
        <f aca="false">Inputs!$F$166*R19*R76/12</f>
        <v>0</v>
      </c>
      <c r="S77" s="11" t="n">
        <f aca="false">Inputs!$F$166*S19*S76/12</f>
        <v>0</v>
      </c>
      <c r="T77" s="11" t="n">
        <f aca="false">Inputs!$F$166*T19*T76/12</f>
        <v>0</v>
      </c>
      <c r="U77" s="11" t="n">
        <f aca="false">Inputs!$F$166*U19*U76/12</f>
        <v>0</v>
      </c>
      <c r="V77" s="11" t="n">
        <f aca="false">Inputs!$F$166*V19*V76/12</f>
        <v>0</v>
      </c>
      <c r="W77" s="11" t="n">
        <f aca="false">Inputs!$F$166*W19*W76/12</f>
        <v>0</v>
      </c>
      <c r="X77" s="11" t="n">
        <f aca="false">Inputs!$F$166*X19*X76/12</f>
        <v>0</v>
      </c>
      <c r="Y77" s="11" t="n">
        <f aca="false">Inputs!$F$166*Y19*Y76/12</f>
        <v>0</v>
      </c>
      <c r="Z77" s="11" t="n">
        <f aca="false">Inputs!$F$166*Z19*Z76/12</f>
        <v>0</v>
      </c>
      <c r="AA77" s="11" t="n">
        <f aca="false">Inputs!$F$166*AA19*AA76/12</f>
        <v>0</v>
      </c>
      <c r="AB77" s="11" t="n">
        <f aca="false">Inputs!$F$166*AB19*AB76/12</f>
        <v>0</v>
      </c>
      <c r="AC77" s="11" t="n">
        <f aca="false">Inputs!$F$166*AC19*AC76/12</f>
        <v>0</v>
      </c>
      <c r="AD77" s="11" t="n">
        <f aca="false">Inputs!$F$166*AD19*AD76/12</f>
        <v>0</v>
      </c>
      <c r="AE77" s="11" t="n">
        <f aca="false">Inputs!$F$166*AE19*AE76/12</f>
        <v>0</v>
      </c>
      <c r="AF77" s="11" t="n">
        <f aca="false">Inputs!$F$166*AF19*AF76/12</f>
        <v>0</v>
      </c>
      <c r="AG77" s="11" t="n">
        <f aca="false">Inputs!$F$166*AG19*AG76/12</f>
        <v>0</v>
      </c>
      <c r="AH77" s="11" t="n">
        <f aca="false">Inputs!$F$166*AH19*AH76/12</f>
        <v>0</v>
      </c>
      <c r="AI77" s="11" t="n">
        <f aca="false">Inputs!$F$166*AI19*AI76/12</f>
        <v>0</v>
      </c>
      <c r="AJ77" s="11" t="n">
        <f aca="false">Inputs!$F$166*AJ19*AJ76/12</f>
        <v>0</v>
      </c>
      <c r="AK77" s="11" t="n">
        <f aca="false">Inputs!$F$166*AK19*AK76/12</f>
        <v>0</v>
      </c>
      <c r="AL77" s="11" t="n">
        <f aca="false">Inputs!$F$166*AL19*AL76/12</f>
        <v>0</v>
      </c>
      <c r="AM77" s="11" t="n">
        <f aca="false">Inputs!$F$166*AM19*AM76/12</f>
        <v>0</v>
      </c>
      <c r="AN77" s="11" t="n">
        <f aca="false">Inputs!$F$166*AN19*AN76/12</f>
        <v>0</v>
      </c>
      <c r="AO77" s="11" t="n">
        <f aca="false">Inputs!$F$166*AO19*AO76/12</f>
        <v>0</v>
      </c>
      <c r="AP77" s="11" t="n">
        <f aca="false">Inputs!$F$166*AP19*AP76/12</f>
        <v>0</v>
      </c>
      <c r="AQ77" s="11" t="n">
        <f aca="false">Inputs!$F$166*AQ19*AQ76/12</f>
        <v>0</v>
      </c>
      <c r="AR77" s="11" t="n">
        <f aca="false">Inputs!$F$166*AR19*AR76/12</f>
        <v>0</v>
      </c>
      <c r="AS77" s="11" t="n">
        <f aca="false">Inputs!$F$166*AS19*AS76/12</f>
        <v>0</v>
      </c>
      <c r="AT77" s="11" t="n">
        <f aca="false">Inputs!$F$166*AT19*AT76/12</f>
        <v>0</v>
      </c>
      <c r="AU77" s="11" t="n">
        <f aca="false">Inputs!$F$166*AU19*AU76/12</f>
        <v>0</v>
      </c>
      <c r="AV77" s="11" t="n">
        <f aca="false">Inputs!$F$166*AV19*AV76/12</f>
        <v>0</v>
      </c>
      <c r="AW77" s="11" t="n">
        <f aca="false">Inputs!$F$166*AW19*AW76/12</f>
        <v>0</v>
      </c>
      <c r="AX77" s="11" t="n">
        <f aca="false">Inputs!$F$166*AX19*AX76/12</f>
        <v>0</v>
      </c>
      <c r="AY77" s="11" t="n">
        <f aca="false">Inputs!$F$166*AY19*AY76/12</f>
        <v>0</v>
      </c>
      <c r="AZ77" s="11" t="n">
        <f aca="false">Inputs!$F$166*AZ19*AZ76/12</f>
        <v>0</v>
      </c>
      <c r="BA77" s="11" t="n">
        <f aca="false">Inputs!$F$166*BA19*BA76/12</f>
        <v>0.494968386608688</v>
      </c>
      <c r="BB77" s="11" t="n">
        <f aca="false">Inputs!$F$166*BB19*BB76/12</f>
        <v>1.50115025464441</v>
      </c>
      <c r="BC77" s="11" t="n">
        <f aca="false">Inputs!$F$166*BC19*BC76/12</f>
        <v>1.51757307334224</v>
      </c>
      <c r="BD77" s="11" t="n">
        <f aca="false">Inputs!$F$166*BD19*BD76/12</f>
        <v>1.53417556024659</v>
      </c>
      <c r="BE77" s="11" t="n">
        <f aca="false">Inputs!$F$166*BE19*BE76/12</f>
        <v>1.55095968095577</v>
      </c>
      <c r="BF77" s="11" t="n">
        <f aca="false">Inputs!$F$166*BF19*BF76/12</f>
        <v>1.56792742257201</v>
      </c>
      <c r="BG77" s="11" t="n">
        <f aca="false">Inputs!$F$166*BG19*BG76/12</f>
        <v>1.58508079393679</v>
      </c>
      <c r="BH77" s="11" t="n">
        <f aca="false">Inputs!$F$166*BH19*BH76/12</f>
        <v>1.6024218258686</v>
      </c>
      <c r="BI77" s="11" t="n">
        <f aca="false">Inputs!$F$166*BI19*BI76/12</f>
        <v>1.6199525714034</v>
      </c>
      <c r="BJ77" s="11" t="n">
        <f aca="false">Inputs!$F$166*BJ19*BJ76/12</f>
        <v>1.63767510603771</v>
      </c>
      <c r="BK77" s="11" t="n">
        <f aca="false">Inputs!$F$166*BK19*BK76/12</f>
        <v>1.65559152797428</v>
      </c>
      <c r="BL77" s="11" t="n">
        <f aca="false">Inputs!$F$166*BL19*BL76/12</f>
        <v>1.67370395837054</v>
      </c>
      <c r="BM77" s="11" t="n">
        <f aca="false">Inputs!$F$166*BM19*BM76/12</f>
        <v>1.12800969439314</v>
      </c>
      <c r="BN77" s="11" t="n">
        <f aca="false">Inputs!$F$166*BN19*BN76/12</f>
        <v>0</v>
      </c>
    </row>
    <row r="78" customFormat="false" ht="15" hidden="false" customHeight="false" outlineLevel="0" collapsed="false">
      <c r="D78" s="0" t="s">
        <v>526</v>
      </c>
      <c r="E78" s="0" t="s">
        <v>149</v>
      </c>
      <c r="G78" s="11" t="n">
        <f aca="false">SUM(J78:BN78)</f>
        <v>19.0691898563542</v>
      </c>
      <c r="J78" s="11" t="n">
        <f aca="false">Time!J32*SUM($J$77:$BN$77)</f>
        <v>0</v>
      </c>
      <c r="K78" s="11" t="n">
        <f aca="false">Time!K32*SUM($J$77:$BN$77)</f>
        <v>0</v>
      </c>
      <c r="L78" s="11" t="n">
        <f aca="false">Time!L32*SUM($J$77:$BN$77)</f>
        <v>0</v>
      </c>
      <c r="M78" s="11" t="n">
        <f aca="false">Time!M32*SUM($J$77:$BN$77)</f>
        <v>0</v>
      </c>
      <c r="N78" s="11" t="n">
        <f aca="false">Time!N32*SUM($J$77:$BN$77)</f>
        <v>0</v>
      </c>
      <c r="O78" s="11" t="n">
        <f aca="false">Time!O32*SUM($J$77:$BN$77)</f>
        <v>0</v>
      </c>
      <c r="P78" s="11" t="n">
        <f aca="false">Time!P32*SUM($J$77:$BN$77)</f>
        <v>0</v>
      </c>
      <c r="Q78" s="11" t="n">
        <f aca="false">Time!Q32*SUM($J$77:$BN$77)</f>
        <v>0</v>
      </c>
      <c r="R78" s="11" t="n">
        <f aca="false">Time!R32*SUM($J$77:$BN$77)</f>
        <v>0</v>
      </c>
      <c r="S78" s="11" t="n">
        <f aca="false">Time!S32*SUM($J$77:$BN$77)</f>
        <v>0</v>
      </c>
      <c r="T78" s="11" t="n">
        <f aca="false">Time!T32*SUM($J$77:$BN$77)</f>
        <v>0</v>
      </c>
      <c r="U78" s="11" t="n">
        <f aca="false">Time!U32*SUM($J$77:$BN$77)</f>
        <v>0</v>
      </c>
      <c r="V78" s="11" t="n">
        <f aca="false">Time!V32*SUM($J$77:$BN$77)</f>
        <v>0</v>
      </c>
      <c r="W78" s="11" t="n">
        <f aca="false">Time!W32*SUM($J$77:$BN$77)</f>
        <v>0</v>
      </c>
      <c r="X78" s="11" t="n">
        <f aca="false">Time!X32*SUM($J$77:$BN$77)</f>
        <v>0</v>
      </c>
      <c r="Y78" s="11" t="n">
        <f aca="false">Time!Y32*SUM($J$77:$BN$77)</f>
        <v>0</v>
      </c>
      <c r="Z78" s="11" t="n">
        <f aca="false">Time!Z32*SUM($J$77:$BN$77)</f>
        <v>0</v>
      </c>
      <c r="AA78" s="11" t="n">
        <f aca="false">Time!AA32*SUM($J$77:$BN$77)</f>
        <v>0</v>
      </c>
      <c r="AB78" s="11" t="n">
        <f aca="false">Time!AB32*SUM($J$77:$BN$77)</f>
        <v>0</v>
      </c>
      <c r="AC78" s="11" t="n">
        <f aca="false">Time!AC32*SUM($J$77:$BN$77)</f>
        <v>0</v>
      </c>
      <c r="AD78" s="11" t="n">
        <f aca="false">Time!AD32*SUM($J$77:$BN$77)</f>
        <v>0</v>
      </c>
      <c r="AE78" s="11" t="n">
        <f aca="false">Time!AE32*SUM($J$77:$BN$77)</f>
        <v>0</v>
      </c>
      <c r="AF78" s="11" t="n">
        <f aca="false">Time!AF32*SUM($J$77:$BN$77)</f>
        <v>0</v>
      </c>
      <c r="AG78" s="11" t="n">
        <f aca="false">Time!AG32*SUM($J$77:$BN$77)</f>
        <v>0</v>
      </c>
      <c r="AH78" s="11" t="n">
        <f aca="false">Time!AH32*SUM($J$77:$BN$77)</f>
        <v>0</v>
      </c>
      <c r="AI78" s="11" t="n">
        <f aca="false">Time!AI32*SUM($J$77:$BN$77)</f>
        <v>0</v>
      </c>
      <c r="AJ78" s="11" t="n">
        <f aca="false">Time!AJ32*SUM($J$77:$BN$77)</f>
        <v>0</v>
      </c>
      <c r="AK78" s="11" t="n">
        <f aca="false">Time!AK32*SUM($J$77:$BN$77)</f>
        <v>0</v>
      </c>
      <c r="AL78" s="11" t="n">
        <f aca="false">Time!AL32*SUM($J$77:$BN$77)</f>
        <v>0</v>
      </c>
      <c r="AM78" s="11" t="n">
        <f aca="false">Time!AM32*SUM($J$77:$BN$77)</f>
        <v>0</v>
      </c>
      <c r="AN78" s="11" t="n">
        <f aca="false">Time!AN32*SUM($J$77:$BN$77)</f>
        <v>0</v>
      </c>
      <c r="AO78" s="11" t="n">
        <f aca="false">Time!AO32*SUM($J$77:$BN$77)</f>
        <v>0</v>
      </c>
      <c r="AP78" s="11" t="n">
        <f aca="false">Time!AP32*SUM($J$77:$BN$77)</f>
        <v>0</v>
      </c>
      <c r="AQ78" s="11" t="n">
        <f aca="false">Time!AQ32*SUM($J$77:$BN$77)</f>
        <v>0</v>
      </c>
      <c r="AR78" s="11" t="n">
        <f aca="false">Time!AR32*SUM($J$77:$BN$77)</f>
        <v>0</v>
      </c>
      <c r="AS78" s="11" t="n">
        <f aca="false">Time!AS32*SUM($J$77:$BN$77)</f>
        <v>0</v>
      </c>
      <c r="AT78" s="11" t="n">
        <f aca="false">Time!AT32*SUM($J$77:$BN$77)</f>
        <v>0</v>
      </c>
      <c r="AU78" s="11" t="n">
        <f aca="false">Time!AU32*SUM($J$77:$BN$77)</f>
        <v>0</v>
      </c>
      <c r="AV78" s="11" t="n">
        <f aca="false">Time!AV32*SUM($J$77:$BN$77)</f>
        <v>0</v>
      </c>
      <c r="AW78" s="11" t="n">
        <f aca="false">Time!AW32*SUM($J$77:$BN$77)</f>
        <v>0</v>
      </c>
      <c r="AX78" s="11" t="n">
        <f aca="false">Time!AX32*SUM($J$77:$BN$77)</f>
        <v>0</v>
      </c>
      <c r="AY78" s="11" t="n">
        <f aca="false">Time!AY32*SUM($J$77:$BN$77)</f>
        <v>0</v>
      </c>
      <c r="AZ78" s="11" t="n">
        <f aca="false">Time!AZ32*SUM($J$77:$BN$77)</f>
        <v>0</v>
      </c>
      <c r="BA78" s="11" t="n">
        <f aca="false">Time!BA32*SUM($J$77:$BN$77)</f>
        <v>0</v>
      </c>
      <c r="BB78" s="11" t="n">
        <f aca="false">Time!BB32*SUM($J$77:$BN$77)</f>
        <v>0</v>
      </c>
      <c r="BC78" s="11" t="n">
        <f aca="false">Time!BC32*SUM($J$77:$BN$77)</f>
        <v>0</v>
      </c>
      <c r="BD78" s="11" t="n">
        <f aca="false">Time!BD32*SUM($J$77:$BN$77)</f>
        <v>0</v>
      </c>
      <c r="BE78" s="11" t="n">
        <f aca="false">Time!BE32*SUM($J$77:$BN$77)</f>
        <v>0</v>
      </c>
      <c r="BF78" s="11" t="n">
        <f aca="false">Time!BF32*SUM($J$77:$BN$77)</f>
        <v>0</v>
      </c>
      <c r="BG78" s="11" t="n">
        <f aca="false">Time!BG32*SUM($J$77:$BN$77)</f>
        <v>0</v>
      </c>
      <c r="BH78" s="11" t="n">
        <f aca="false">Time!BH32*SUM($J$77:$BN$77)</f>
        <v>0</v>
      </c>
      <c r="BI78" s="11" t="n">
        <f aca="false">Time!BI32*SUM($J$77:$BN$77)</f>
        <v>0</v>
      </c>
      <c r="BJ78" s="11" t="n">
        <f aca="false">Time!BJ32*SUM($J$77:$BN$77)</f>
        <v>0</v>
      </c>
      <c r="BK78" s="11" t="n">
        <f aca="false">Time!BK32*SUM($J$77:$BN$77)</f>
        <v>0</v>
      </c>
      <c r="BL78" s="11" t="n">
        <f aca="false">Time!BL32*SUM($J$77:$BN$77)</f>
        <v>0</v>
      </c>
      <c r="BM78" s="11" t="n">
        <f aca="false">Time!BM32*SUM($J$77:$BN$77)</f>
        <v>19.0691898563542</v>
      </c>
      <c r="BN78" s="11" t="n">
        <f aca="false">Time!BN32*SUM($J$77:$BN$77)</f>
        <v>0</v>
      </c>
    </row>
    <row r="79" customFormat="false" ht="15" hidden="false" customHeight="false" outlineLevel="0" collapsed="false">
      <c r="D79" s="0" t="s">
        <v>527</v>
      </c>
      <c r="E79" s="0" t="s">
        <v>149</v>
      </c>
      <c r="G79" s="11" t="n">
        <f aca="false">SUM(J79:BN79)</f>
        <v>6731.15665243134</v>
      </c>
      <c r="J79" s="11" t="n">
        <f aca="false">J68+J70+J71+J72+J75+J78</f>
        <v>0</v>
      </c>
      <c r="K79" s="11" t="n">
        <f aca="false">K68+K70+K71+K72+K75+K78</f>
        <v>0</v>
      </c>
      <c r="L79" s="11" t="n">
        <f aca="false">L68+L70+L71+L72+L75+L78</f>
        <v>0</v>
      </c>
      <c r="M79" s="11" t="n">
        <f aca="false">M68+M70+M71+M72+M75+M78</f>
        <v>0</v>
      </c>
      <c r="N79" s="11" t="n">
        <f aca="false">N68+N70+N71+N72+N75+N78</f>
        <v>0</v>
      </c>
      <c r="O79" s="11" t="n">
        <f aca="false">O68+O70+O71+O72+O75+O78</f>
        <v>35.105229462038</v>
      </c>
      <c r="P79" s="11" t="n">
        <f aca="false">P68+P70+P71+P72+P75+P78</f>
        <v>105.645883804488</v>
      </c>
      <c r="Q79" s="11" t="n">
        <f aca="false">Q68+Q70+Q71+Q72+Q75+Q78</f>
        <v>106.938792452505</v>
      </c>
      <c r="R79" s="11" t="n">
        <f aca="false">R68+R70+R71+R72+R75+R78</f>
        <v>106.68361421757</v>
      </c>
      <c r="S79" s="11" t="n">
        <f aca="false">S68+S70+S71+S72+S75+S78</f>
        <v>108.684729378326</v>
      </c>
      <c r="T79" s="11" t="n">
        <f aca="false">T68+T70+T71+T72+T75+T78</f>
        <v>109.661064655072</v>
      </c>
      <c r="U79" s="11" t="n">
        <f aca="false">U68+U70+U71+U72+U75+U78</f>
        <v>110.362644682469</v>
      </c>
      <c r="V79" s="11" t="n">
        <f aca="false">V68+V70+V71+V72+V75+V78</f>
        <v>111.097417311405</v>
      </c>
      <c r="W79" s="11" t="n">
        <f aca="false">W68+W70+W71+W72+W75+W78</f>
        <v>111.330970518805</v>
      </c>
      <c r="X79" s="11" t="n">
        <f aca="false">X68+X70+X71+X72+X75+X78</f>
        <v>113.936333293758</v>
      </c>
      <c r="Y79" s="11" t="n">
        <f aca="false">Y68+Y70+Y71+Y72+Y75+Y78</f>
        <v>115.427355886664</v>
      </c>
      <c r="Z79" s="11" t="n">
        <f aca="false">Z68+Z70+Z71+Z72+Z75+Z78</f>
        <v>115.162170619624</v>
      </c>
      <c r="AA79" s="11" t="n">
        <f aca="false">AA68+AA70+AA71+AA72+AA75+AA78</f>
        <v>117.326303479242</v>
      </c>
      <c r="AB79" s="11" t="n">
        <f aca="false">AB68+AB70+AB71+AB72+AB75+AB78</f>
        <v>118.379380621585</v>
      </c>
      <c r="AC79" s="11" t="n">
        <f aca="false">AC68+AC70+AC71+AC72+AC75+AC78</f>
        <v>118.422212016945</v>
      </c>
      <c r="AD79" s="11" t="n">
        <f aca="false">AD68+AD70+AD71+AD72+AD75+AD78</f>
        <v>127.157796236247</v>
      </c>
      <c r="AE79" s="11" t="n">
        <f aca="false">AE68+AE70+AE71+AE72+AE75+AE78</f>
        <v>118.885426817727</v>
      </c>
      <c r="AF79" s="11" t="n">
        <f aca="false">AF68+AF70+AF71+AF72+AF75+AF78</f>
        <v>122.996791639777</v>
      </c>
      <c r="AG79" s="11" t="n">
        <f aca="false">AG68+AG70+AG71+AG72+AG75+AG78</f>
        <v>124.609094988553</v>
      </c>
      <c r="AH79" s="11" t="n">
        <f aca="false">AH68+AH70+AH71+AH72+AH75+AH78</f>
        <v>124.31916318936</v>
      </c>
      <c r="AI79" s="11" t="n">
        <f aca="false">AI68+AI70+AI71+AI72+AI75+AI78</f>
        <v>126.659498795397</v>
      </c>
      <c r="AJ79" s="11" t="n">
        <f aca="false">AJ68+AJ70+AJ71+AJ72+AJ75+AJ78</f>
        <v>127.795409425002</v>
      </c>
      <c r="AK79" s="11" t="n">
        <f aca="false">AK68+AK70+AK71+AK72+AK75+AK78</f>
        <v>128.612533192875</v>
      </c>
      <c r="AL79" s="11" t="n">
        <f aca="false">AL68+AL70+AL71+AL72+AL75+AL78</f>
        <v>129.523055792821</v>
      </c>
      <c r="AM79" s="11" t="n">
        <f aca="false">AM68+AM70+AM71+AM72+AM75+AM78</f>
        <v>129.742040524361</v>
      </c>
      <c r="AN79" s="11" t="n">
        <f aca="false">AN68+AN70+AN71+AN72+AN75+AN78</f>
        <v>132.782345215832</v>
      </c>
      <c r="AO79" s="11" t="n">
        <f aca="false">AO68+AO70+AO71+AO72+AO75+AO78</f>
        <v>134.525715924244</v>
      </c>
      <c r="AP79" s="11" t="n">
        <f aca="false">AP68+AP70+AP71+AP72+AP75+AP78</f>
        <v>134.208884520101</v>
      </c>
      <c r="AQ79" s="11" t="n">
        <f aca="false">AQ68+AQ70+AQ71+AQ72+AQ75+AQ78</f>
        <v>136.739666071484</v>
      </c>
      <c r="AR79" s="11" t="n">
        <f aca="false">AR68+AR70+AR71+AR72+AR75+AR78</f>
        <v>137.964988891891</v>
      </c>
      <c r="AS79" s="11" t="n">
        <f aca="false">AS68+AS70+AS71+AS72+AS75+AS78</f>
        <v>138.011349629639</v>
      </c>
      <c r="AT79" s="11" t="n">
        <f aca="false">AT68+AT70+AT71+AT72+AT75+AT78</f>
        <v>148.476872678705</v>
      </c>
      <c r="AU79" s="11" t="n">
        <f aca="false">AU68+AU70+AU71+AU72+AU75+AU78</f>
        <v>138.553195601402</v>
      </c>
      <c r="AV79" s="11" t="n">
        <f aca="false">AV68+AV70+AV71+AV72+AV75+AV78</f>
        <v>143.351019860887</v>
      </c>
      <c r="AW79" s="11" t="n">
        <f aca="false">AW68+AW70+AW71+AW72+AW75+AW78</f>
        <v>145.23602757825</v>
      </c>
      <c r="AX79" s="11" t="n">
        <f aca="false">AX68+AX70+AX71+AX72+AX75+AX78</f>
        <v>144.88996537153</v>
      </c>
      <c r="AY79" s="11" t="n">
        <f aca="false">AY68+AY70+AY71+AY72+AY75+AY78</f>
        <v>147.626578422821</v>
      </c>
      <c r="AZ79" s="11" t="n">
        <f aca="false">AZ68+AZ70+AZ71+AZ72+AZ75+AZ78</f>
        <v>148.948418369327</v>
      </c>
      <c r="BA79" s="11" t="n">
        <f aca="false">BA68+BA70+BA71+BA72+BA75+BA78</f>
        <v>149.899992034423</v>
      </c>
      <c r="BB79" s="11" t="n">
        <f aca="false">BB68+BB70+BB71+BB72+BB75+BB78</f>
        <v>151.02642211509</v>
      </c>
      <c r="BC79" s="11" t="n">
        <f aca="false">BC68+BC70+BC71+BC72+BC75+BC78</f>
        <v>151.217537696746</v>
      </c>
      <c r="BD79" s="11" t="n">
        <f aca="false">BD68+BD70+BD71+BD72+BD75+BD78</f>
        <v>154.76547725333</v>
      </c>
      <c r="BE79" s="11" t="n">
        <f aca="false">BE68+BE70+BE71+BE72+BE75+BE78</f>
        <v>156.803536751238</v>
      </c>
      <c r="BF79" s="11" t="n">
        <f aca="false">BF68+BF70+BF71+BF72+BF75+BF78</f>
        <v>156.425720295464</v>
      </c>
      <c r="BG79" s="11" t="n">
        <f aca="false">BG68+BG70+BG71+BG72+BG75+BG78</f>
        <v>159.384783599077</v>
      </c>
      <c r="BH79" s="11" t="n">
        <f aca="false">BH68+BH70+BH71+BH72+BH75+BH78</f>
        <v>160.81081414656</v>
      </c>
      <c r="BI79" s="11" t="n">
        <f aca="false">BI68+BI70+BI71+BI72+BI75+BI78</f>
        <v>160.860638581272</v>
      </c>
      <c r="BJ79" s="11" t="n">
        <f aca="false">BJ68+BJ70+BJ71+BJ72+BJ75+BJ78</f>
        <v>173.397582339325</v>
      </c>
      <c r="BK79" s="11" t="n">
        <f aca="false">BK68+BK70+BK71+BK72+BK75+BK78</f>
        <v>161.494663374555</v>
      </c>
      <c r="BL79" s="11" t="n">
        <f aca="false">BL68+BL70+BL71+BL72+BL75+BL78</f>
        <v>167.093384162986</v>
      </c>
      <c r="BM79" s="11" t="n">
        <f aca="false">BM68+BM70+BM71+BM72+BM75+BM78</f>
        <v>132.196158942546</v>
      </c>
      <c r="BN79" s="11" t="n">
        <f aca="false">BN68+BN70+BN71+BN72+BN75+BN78</f>
        <v>0</v>
      </c>
    </row>
    <row r="80" customFormat="false" ht="15" hidden="false" customHeight="false" outlineLevel="0" collapsed="false">
      <c r="D80" s="0" t="s">
        <v>528</v>
      </c>
      <c r="E80" s="0" t="s">
        <v>149</v>
      </c>
      <c r="G80" s="11" t="n">
        <f aca="false">SUM(J80:BN80)</f>
        <v>2610.0927926011</v>
      </c>
      <c r="J80" s="11" t="n">
        <f aca="false">J52-J79+J54</f>
        <v>0</v>
      </c>
      <c r="K80" s="11" t="n">
        <f aca="false">K52-K79+K54</f>
        <v>0</v>
      </c>
      <c r="L80" s="11" t="n">
        <f aca="false">L52-L79+L54</f>
        <v>0</v>
      </c>
      <c r="M80" s="11" t="n">
        <f aca="false">M52-M79+M54</f>
        <v>0</v>
      </c>
      <c r="N80" s="11" t="n">
        <f aca="false">N52-N79+N54</f>
        <v>0</v>
      </c>
      <c r="O80" s="11" t="n">
        <f aca="false">O52-O79+O54</f>
        <v>16.9761811250453</v>
      </c>
      <c r="P80" s="11" t="n">
        <f aca="false">P52-P79+P54</f>
        <v>50.9397198812807</v>
      </c>
      <c r="Q80" s="11" t="n">
        <f aca="false">Q52-Q79+Q54</f>
        <v>51.1502696947609</v>
      </c>
      <c r="R80" s="11" t="n">
        <f aca="false">R52-R79+R54</f>
        <v>51.234438214144</v>
      </c>
      <c r="S80" s="11" t="n">
        <f aca="false">S52-S79+S54</f>
        <v>51.3988386892092</v>
      </c>
      <c r="T80" s="11" t="n">
        <f aca="false">T52-T79+T54</f>
        <v>51.4788639878784</v>
      </c>
      <c r="U80" s="11" t="n">
        <f aca="false">U52-U79+U54</f>
        <v>51.4672550168988</v>
      </c>
      <c r="V80" s="11" t="n">
        <f aca="false">V52-V79+V54</f>
        <v>47.5790873270889</v>
      </c>
      <c r="W80" s="11" t="n">
        <f aca="false">W52-W79+W54</f>
        <v>50.984224606903</v>
      </c>
      <c r="X80" s="11" t="n">
        <f aca="false">X52-X79+X54</f>
        <v>51.9372593022188</v>
      </c>
      <c r="Y80" s="11" t="n">
        <f aca="false">Y52-Y79+Y54</f>
        <v>52.0720584016982</v>
      </c>
      <c r="Z80" s="11" t="n">
        <f aca="false">Z52-Z79+Z54</f>
        <v>52.1545016125061</v>
      </c>
      <c r="AA80" s="11" t="n">
        <f aca="false">AA52-AA79+AA54</f>
        <v>52.3278956840398</v>
      </c>
      <c r="AB80" s="11" t="n">
        <f aca="false">AB52-AB79+AB54</f>
        <v>52.4142881798247</v>
      </c>
      <c r="AC80" s="11" t="n">
        <f aca="false">AC52-AC79+AC54</f>
        <v>52.0048933069229</v>
      </c>
      <c r="AD80" s="11" t="n">
        <f aca="false">AD52-AD79+AD54</f>
        <v>37.6850634622443</v>
      </c>
      <c r="AE80" s="11" t="n">
        <f aca="false">AE52-AE79+AE54</f>
        <v>50.9485527587019</v>
      </c>
      <c r="AF80" s="11" t="n">
        <f aca="false">AF52-AF79+AF54</f>
        <v>52.9107179305942</v>
      </c>
      <c r="AG80" s="11" t="n">
        <f aca="false">AG52-AG79+AG54</f>
        <v>53.0565046801386</v>
      </c>
      <c r="AH80" s="11" t="n">
        <f aca="false">AH52-AH79+AH54</f>
        <v>53.1510029202036</v>
      </c>
      <c r="AI80" s="11" t="n">
        <f aca="false">AI52-AI79+AI54</f>
        <v>53.3340808768538</v>
      </c>
      <c r="AJ80" s="11" t="n">
        <f aca="false">AJ52-AJ79+AJ54</f>
        <v>53.4273478442946</v>
      </c>
      <c r="AK80" s="11" t="n">
        <f aca="false">AK52-AK79+AK54</f>
        <v>53.4355264557635</v>
      </c>
      <c r="AL80" s="11" t="n">
        <f aca="false">AL52-AL79+AL54</f>
        <v>48.9946463778435</v>
      </c>
      <c r="AM80" s="11" t="n">
        <f aca="false">AM52-AM79+AM54</f>
        <v>52.9503455707701</v>
      </c>
      <c r="AN80" s="11" t="n">
        <f aca="false">AN52-AN79+AN54</f>
        <v>53.9650105377922</v>
      </c>
      <c r="AO80" s="11" t="n">
        <f aca="false">AO52-AO79+AO54</f>
        <v>54.1227007979793</v>
      </c>
      <c r="AP80" s="11" t="n">
        <f aca="false">AP52-AP79+AP54</f>
        <v>54.2303778024455</v>
      </c>
      <c r="AQ80" s="11" t="n">
        <f aca="false">AQ52-AQ79+AQ54</f>
        <v>54.423884253503</v>
      </c>
      <c r="AR80" s="11" t="n">
        <f aca="false">AR52-AR79+AR54</f>
        <v>54.524573359559</v>
      </c>
      <c r="AS80" s="11" t="n">
        <f aca="false">AS52-AS79+AS54</f>
        <v>54.1149644255061</v>
      </c>
      <c r="AT80" s="11" t="n">
        <f aca="false">AT52-AT79+AT54</f>
        <v>37.3703907387674</v>
      </c>
      <c r="AU80" s="11" t="n">
        <f aca="false">AU52-AU79+AU54</f>
        <v>53.0031044792177</v>
      </c>
      <c r="AV80" s="11" t="n">
        <f aca="false">AV52-AV79+AV54</f>
        <v>55.1069398539067</v>
      </c>
      <c r="AW80" s="11" t="n">
        <f aca="false">AW52-AW79+AW54</f>
        <v>55.2775275192669</v>
      </c>
      <c r="AX80" s="11" t="n">
        <f aca="false">AX52-AX79+AX54</f>
        <v>55.3996105055268</v>
      </c>
      <c r="AY80" s="11" t="n">
        <f aca="false">AY52-AY79+AY54</f>
        <v>55.6043487769106</v>
      </c>
      <c r="AZ80" s="11" t="n">
        <f aca="false">AZ52-AZ79+AZ54</f>
        <v>55.7130512875102</v>
      </c>
      <c r="BA80" s="11" t="n">
        <f aca="false">BA52-BA79+BA54</f>
        <v>55.7447060678288</v>
      </c>
      <c r="BB80" s="11" t="n">
        <f aca="false">BB52-BB79+BB54</f>
        <v>50.6466973375141</v>
      </c>
      <c r="BC80" s="11" t="n">
        <f aca="false">BC52-BC79+BC54</f>
        <v>55.2567904584672</v>
      </c>
      <c r="BD80" s="11" t="n">
        <f aca="false">BD52-BD79+BD54</f>
        <v>56.3438882408863</v>
      </c>
      <c r="BE80" s="11" t="n">
        <f aca="false">BE52-BE79+BE54</f>
        <v>56.5284520240542</v>
      </c>
      <c r="BF80" s="11" t="n">
        <f aca="false">BF52-BF79+BF54</f>
        <v>56.6662811317319</v>
      </c>
      <c r="BG80" s="11" t="n">
        <f aca="false">BG52-BG79+BG54</f>
        <v>56.8831180280789</v>
      </c>
      <c r="BH80" s="11" t="n">
        <f aca="false">BH52-BH79+BH54</f>
        <v>57.0004722676139</v>
      </c>
      <c r="BI80" s="11" t="n">
        <f aca="false">BI52-BI79+BI54</f>
        <v>56.5907843520851</v>
      </c>
      <c r="BJ80" s="11" t="n">
        <f aca="false">BJ52-BJ79+BJ54</f>
        <v>36.9616093688782</v>
      </c>
      <c r="BK80" s="11" t="n">
        <f aca="false">BK52-BK79+BK54</f>
        <v>55.4129206477255</v>
      </c>
      <c r="BL80" s="11" t="n">
        <f aca="false">BL52-BL79+BL54</f>
        <v>57.6838676241981</v>
      </c>
      <c r="BM80" s="11" t="n">
        <f aca="false">BM52-BM79+BM54</f>
        <v>19.5031568063217</v>
      </c>
      <c r="BN80" s="11" t="n">
        <f aca="false">BN52-BN79+BN54</f>
        <v>0</v>
      </c>
    </row>
    <row r="81" customFormat="false" ht="15" hidden="false" customHeight="false" outlineLevel="0" collapsed="false">
      <c r="B81" s="2" t="s">
        <v>529</v>
      </c>
    </row>
    <row r="82" customFormat="false" ht="15" hidden="false" customHeight="false" outlineLevel="0" collapsed="false">
      <c r="D82" s="0" t="s">
        <v>530</v>
      </c>
      <c r="E82" s="0" t="s">
        <v>113</v>
      </c>
      <c r="J82" s="9" t="n">
        <f aca="false">IF(Time!J17&gt;=Time!$F$14,1,0)</f>
        <v>0</v>
      </c>
      <c r="K82" s="9" t="n">
        <f aca="false">IF(Time!K17&gt;=Time!$F$14,1,0)</f>
        <v>0</v>
      </c>
      <c r="L82" s="9" t="n">
        <f aca="false">IF(Time!L17&gt;=Time!$F$14,1,0)</f>
        <v>0</v>
      </c>
      <c r="M82" s="9" t="n">
        <f aca="false">IF(Time!M17&gt;=Time!$F$14,1,0)</f>
        <v>0</v>
      </c>
      <c r="N82" s="9" t="n">
        <f aca="false">IF(Time!N17&gt;=Time!$F$14,1,0)</f>
        <v>0</v>
      </c>
      <c r="O82" s="9" t="n">
        <f aca="false">IF(Time!O17&gt;=Time!$F$14,1,0)</f>
        <v>0</v>
      </c>
      <c r="P82" s="9" t="n">
        <f aca="false">IF(Time!P17&gt;=Time!$F$14,1,0)</f>
        <v>0</v>
      </c>
      <c r="Q82" s="9" t="n">
        <f aca="false">IF(Time!Q17&gt;=Time!$F$14,1,0)</f>
        <v>0</v>
      </c>
      <c r="R82" s="9" t="n">
        <f aca="false">IF(Time!R17&gt;=Time!$F$14,1,0)</f>
        <v>0</v>
      </c>
      <c r="S82" s="9" t="n">
        <f aca="false">IF(Time!S17&gt;=Time!$F$14,1,0)</f>
        <v>0</v>
      </c>
      <c r="T82" s="9" t="n">
        <f aca="false">IF(Time!T17&gt;=Time!$F$14,1,0)</f>
        <v>0</v>
      </c>
      <c r="U82" s="9" t="n">
        <f aca="false">IF(Time!U17&gt;=Time!$F$14,1,0)</f>
        <v>0</v>
      </c>
      <c r="V82" s="9" t="n">
        <f aca="false">IF(Time!V17&gt;=Time!$F$14,1,0)</f>
        <v>0</v>
      </c>
      <c r="W82" s="9" t="n">
        <f aca="false">IF(Time!W17&gt;=Time!$F$14,1,0)</f>
        <v>0</v>
      </c>
      <c r="X82" s="9" t="n">
        <f aca="false">IF(Time!X17&gt;=Time!$F$14,1,0)</f>
        <v>0</v>
      </c>
      <c r="Y82" s="9" t="n">
        <f aca="false">IF(Time!Y17&gt;=Time!$F$14,1,0)</f>
        <v>0</v>
      </c>
      <c r="Z82" s="9" t="n">
        <f aca="false">IF(Time!Z17&gt;=Time!$F$14,1,0)</f>
        <v>0</v>
      </c>
      <c r="AA82" s="9" t="n">
        <f aca="false">IF(Time!AA17&gt;=Time!$F$14,1,0)</f>
        <v>0</v>
      </c>
      <c r="AB82" s="9" t="n">
        <f aca="false">IF(Time!AB17&gt;=Time!$F$14,1,0)</f>
        <v>0</v>
      </c>
      <c r="AC82" s="9" t="n">
        <f aca="false">IF(Time!AC17&gt;=Time!$F$14,1,0)</f>
        <v>0</v>
      </c>
      <c r="AD82" s="9" t="n">
        <f aca="false">IF(Time!AD17&gt;=Time!$F$14,1,0)</f>
        <v>0</v>
      </c>
      <c r="AE82" s="9" t="n">
        <f aca="false">IF(Time!AE17&gt;=Time!$F$14,1,0)</f>
        <v>0</v>
      </c>
      <c r="AF82" s="9" t="n">
        <f aca="false">IF(Time!AF17&gt;=Time!$F$14,1,0)</f>
        <v>0</v>
      </c>
      <c r="AG82" s="9" t="n">
        <f aca="false">IF(Time!AG17&gt;=Time!$F$14,1,0)</f>
        <v>0</v>
      </c>
      <c r="AH82" s="9" t="n">
        <f aca="false">IF(Time!AH17&gt;=Time!$F$14,1,0)</f>
        <v>0</v>
      </c>
      <c r="AI82" s="9" t="n">
        <f aca="false">IF(Time!AI17&gt;=Time!$F$14,1,0)</f>
        <v>0</v>
      </c>
      <c r="AJ82" s="9" t="n">
        <f aca="false">IF(Time!AJ17&gt;=Time!$F$14,1,0)</f>
        <v>0</v>
      </c>
      <c r="AK82" s="9" t="n">
        <f aca="false">IF(Time!AK17&gt;=Time!$F$14,1,0)</f>
        <v>0</v>
      </c>
      <c r="AL82" s="9" t="n">
        <f aca="false">IF(Time!AL17&gt;=Time!$F$14,1,0)</f>
        <v>0</v>
      </c>
      <c r="AM82" s="9" t="n">
        <f aca="false">IF(Time!AM17&gt;=Time!$F$14,1,0)</f>
        <v>0</v>
      </c>
      <c r="AN82" s="9" t="n">
        <f aca="false">IF(Time!AN17&gt;=Time!$F$14,1,0)</f>
        <v>0</v>
      </c>
      <c r="AO82" s="9" t="n">
        <f aca="false">IF(Time!AO17&gt;=Time!$F$14,1,0)</f>
        <v>0</v>
      </c>
      <c r="AP82" s="9" t="n">
        <f aca="false">IF(Time!AP17&gt;=Time!$F$14,1,0)</f>
        <v>0</v>
      </c>
      <c r="AQ82" s="9" t="n">
        <f aca="false">IF(Time!AQ17&gt;=Time!$F$14,1,0)</f>
        <v>0</v>
      </c>
      <c r="AR82" s="9" t="n">
        <f aca="false">IF(Time!AR17&gt;=Time!$F$14,1,0)</f>
        <v>0</v>
      </c>
      <c r="AS82" s="9" t="n">
        <f aca="false">IF(Time!AS17&gt;=Time!$F$14,1,0)</f>
        <v>0</v>
      </c>
      <c r="AT82" s="9" t="n">
        <f aca="false">IF(Time!AT17&gt;=Time!$F$14,1,0)</f>
        <v>0</v>
      </c>
      <c r="AU82" s="9" t="n">
        <f aca="false">IF(Time!AU17&gt;=Time!$F$14,1,0)</f>
        <v>0</v>
      </c>
      <c r="AV82" s="9" t="n">
        <f aca="false">IF(Time!AV17&gt;=Time!$F$14,1,0)</f>
        <v>0</v>
      </c>
      <c r="AW82" s="9" t="n">
        <f aca="false">IF(Time!AW17&gt;=Time!$F$14,1,0)</f>
        <v>0</v>
      </c>
      <c r="AX82" s="9" t="n">
        <f aca="false">IF(Time!AX17&gt;=Time!$F$14,1,0)</f>
        <v>0</v>
      </c>
      <c r="AY82" s="9" t="n">
        <f aca="false">IF(Time!AY17&gt;=Time!$F$14,1,0)</f>
        <v>0</v>
      </c>
      <c r="AZ82" s="9" t="n">
        <f aca="false">IF(Time!AZ17&gt;=Time!$F$14,1,0)</f>
        <v>0</v>
      </c>
      <c r="BA82" s="9" t="n">
        <f aca="false">IF(Time!BA17&gt;=Time!$F$14,1,0)</f>
        <v>0</v>
      </c>
      <c r="BB82" s="9" t="n">
        <f aca="false">IF(Time!BB17&gt;=Time!$F$14,1,0)</f>
        <v>0</v>
      </c>
      <c r="BC82" s="9" t="n">
        <f aca="false">IF(Time!BC17&gt;=Time!$F$14,1,0)</f>
        <v>0</v>
      </c>
      <c r="BD82" s="9" t="n">
        <f aca="false">IF(Time!BD17&gt;=Time!$F$14,1,0)</f>
        <v>0</v>
      </c>
      <c r="BE82" s="9" t="n">
        <f aca="false">IF(Time!BE17&gt;=Time!$F$14,1,0)</f>
        <v>0</v>
      </c>
      <c r="BF82" s="9" t="n">
        <f aca="false">IF(Time!BF17&gt;=Time!$F$14,1,0)</f>
        <v>0</v>
      </c>
      <c r="BG82" s="9" t="n">
        <f aca="false">IF(Time!BG17&gt;=Time!$F$14,1,0)</f>
        <v>0</v>
      </c>
      <c r="BH82" s="9" t="n">
        <f aca="false">IF(Time!BH17&gt;=Time!$F$14,1,0)</f>
        <v>0</v>
      </c>
      <c r="BI82" s="9" t="n">
        <f aca="false">IF(Time!BI17&gt;=Time!$F$14,1,0)</f>
        <v>0</v>
      </c>
      <c r="BJ82" s="9" t="n">
        <f aca="false">IF(Time!BJ17&gt;=Time!$F$14,1,0)</f>
        <v>0</v>
      </c>
      <c r="BK82" s="9" t="n">
        <f aca="false">IF(Time!BK17&gt;=Time!$F$14,1,0)</f>
        <v>0</v>
      </c>
      <c r="BL82" s="9" t="n">
        <f aca="false">IF(Time!BL17&gt;=Time!$F$14,1,0)</f>
        <v>0</v>
      </c>
      <c r="BM82" s="9" t="n">
        <f aca="false">IF(Time!BM17&gt;=Time!$F$14,1,0)</f>
        <v>1</v>
      </c>
      <c r="BN82" s="9" t="n">
        <f aca="false">IF(Time!BN17&gt;=Time!$F$14,1,0)</f>
        <v>1</v>
      </c>
    </row>
    <row r="83" customFormat="false" ht="15" hidden="false" customHeight="false" outlineLevel="0" collapsed="false">
      <c r="D83" s="0" t="s">
        <v>531</v>
      </c>
      <c r="E83" s="0" t="s">
        <v>111</v>
      </c>
      <c r="J83" s="9" t="n">
        <f aca="false">Inputs!$F$44*Time!J33</f>
        <v>0</v>
      </c>
      <c r="K83" s="9" t="n">
        <f aca="false">Inputs!$F$44*Time!K33</f>
        <v>0</v>
      </c>
      <c r="L83" s="9" t="n">
        <f aca="false">Inputs!$F$44*Time!L33</f>
        <v>0</v>
      </c>
      <c r="M83" s="9" t="n">
        <f aca="false">Inputs!$F$44*Time!M33</f>
        <v>0</v>
      </c>
      <c r="N83" s="9" t="n">
        <f aca="false">Inputs!$F$44*Time!N33</f>
        <v>0</v>
      </c>
      <c r="O83" s="9" t="n">
        <f aca="false">Inputs!$F$44*Time!O33</f>
        <v>0</v>
      </c>
      <c r="P83" s="9" t="n">
        <f aca="false">Inputs!$F$44*Time!P33</f>
        <v>0</v>
      </c>
      <c r="Q83" s="9" t="n">
        <f aca="false">Inputs!$F$44*Time!Q33</f>
        <v>0</v>
      </c>
      <c r="R83" s="9" t="n">
        <f aca="false">Inputs!$F$44*Time!R33</f>
        <v>0</v>
      </c>
      <c r="S83" s="9" t="n">
        <f aca="false">Inputs!$F$44*Time!S33</f>
        <v>0</v>
      </c>
      <c r="T83" s="9" t="n">
        <f aca="false">Inputs!$F$44*Time!T33</f>
        <v>0</v>
      </c>
      <c r="U83" s="9" t="n">
        <f aca="false">Inputs!$F$44*Time!U33</f>
        <v>0</v>
      </c>
      <c r="V83" s="9" t="n">
        <f aca="false">Inputs!$F$44*Time!V33</f>
        <v>0</v>
      </c>
      <c r="W83" s="9" t="n">
        <f aca="false">Inputs!$F$44*Time!W33</f>
        <v>0</v>
      </c>
      <c r="X83" s="9" t="n">
        <f aca="false">Inputs!$F$44*Time!X33</f>
        <v>0</v>
      </c>
      <c r="Y83" s="9" t="n">
        <f aca="false">Inputs!$F$44*Time!Y33</f>
        <v>0</v>
      </c>
      <c r="Z83" s="9" t="n">
        <f aca="false">Inputs!$F$44*Time!Z33</f>
        <v>0</v>
      </c>
      <c r="AA83" s="9" t="n">
        <f aca="false">Inputs!$F$44*Time!AA33</f>
        <v>0</v>
      </c>
      <c r="AB83" s="9" t="n">
        <f aca="false">Inputs!$F$44*Time!AB33</f>
        <v>0</v>
      </c>
      <c r="AC83" s="9" t="n">
        <f aca="false">Inputs!$F$44*Time!AC33</f>
        <v>0</v>
      </c>
      <c r="AD83" s="9" t="n">
        <f aca="false">Inputs!$F$44*Time!AD33</f>
        <v>0</v>
      </c>
      <c r="AE83" s="9" t="n">
        <f aca="false">Inputs!$F$44*Time!AE33</f>
        <v>0</v>
      </c>
      <c r="AF83" s="9" t="n">
        <f aca="false">Inputs!$F$44*Time!AF33</f>
        <v>0</v>
      </c>
      <c r="AG83" s="9" t="n">
        <f aca="false">Inputs!$F$44*Time!AG33</f>
        <v>0</v>
      </c>
      <c r="AH83" s="9" t="n">
        <f aca="false">Inputs!$F$44*Time!AH33</f>
        <v>0</v>
      </c>
      <c r="AI83" s="9" t="n">
        <f aca="false">Inputs!$F$44*Time!AI33</f>
        <v>0</v>
      </c>
      <c r="AJ83" s="9" t="n">
        <f aca="false">Inputs!$F$44*Time!AJ33</f>
        <v>0</v>
      </c>
      <c r="AK83" s="9" t="n">
        <f aca="false">Inputs!$F$44*Time!AK33</f>
        <v>0</v>
      </c>
      <c r="AL83" s="9" t="n">
        <f aca="false">Inputs!$F$44*Time!AL33</f>
        <v>0</v>
      </c>
      <c r="AM83" s="9" t="n">
        <f aca="false">Inputs!$F$44*Time!AM33</f>
        <v>0</v>
      </c>
      <c r="AN83" s="9" t="n">
        <f aca="false">Inputs!$F$44*Time!AN33</f>
        <v>0</v>
      </c>
      <c r="AO83" s="9" t="n">
        <f aca="false">Inputs!$F$44*Time!AO33</f>
        <v>0</v>
      </c>
      <c r="AP83" s="9" t="n">
        <f aca="false">Inputs!$F$44*Time!AP33</f>
        <v>0</v>
      </c>
      <c r="AQ83" s="9" t="n">
        <f aca="false">Inputs!$F$44*Time!AQ33</f>
        <v>0</v>
      </c>
      <c r="AR83" s="9" t="n">
        <f aca="false">Inputs!$F$44*Time!AR33</f>
        <v>0</v>
      </c>
      <c r="AS83" s="9" t="n">
        <f aca="false">Inputs!$F$44*Time!AS33</f>
        <v>0</v>
      </c>
      <c r="AT83" s="9" t="n">
        <f aca="false">Inputs!$F$44*Time!AT33</f>
        <v>0</v>
      </c>
      <c r="AU83" s="9" t="n">
        <f aca="false">Inputs!$F$44*Time!AU33</f>
        <v>0</v>
      </c>
      <c r="AV83" s="9" t="n">
        <f aca="false">Inputs!$F$44*Time!AV33</f>
        <v>0</v>
      </c>
      <c r="AW83" s="9" t="n">
        <f aca="false">Inputs!$F$44*Time!AW33</f>
        <v>0</v>
      </c>
      <c r="AX83" s="9" t="n">
        <f aca="false">Inputs!$F$44*Time!AX33</f>
        <v>0</v>
      </c>
      <c r="AY83" s="9" t="n">
        <f aca="false">Inputs!$F$44*Time!AY33</f>
        <v>0</v>
      </c>
      <c r="AZ83" s="9" t="n">
        <f aca="false">Inputs!$F$44*Time!AZ33</f>
        <v>0</v>
      </c>
      <c r="BA83" s="9" t="n">
        <f aca="false">Inputs!$F$44*Time!BA33</f>
        <v>0</v>
      </c>
      <c r="BB83" s="9" t="n">
        <f aca="false">Inputs!$F$44*Time!BB33</f>
        <v>0</v>
      </c>
      <c r="BC83" s="9" t="n">
        <f aca="false">Inputs!$F$44*Time!BC33</f>
        <v>0</v>
      </c>
      <c r="BD83" s="9" t="n">
        <f aca="false">Inputs!$F$44*Time!BD33</f>
        <v>0</v>
      </c>
      <c r="BE83" s="9" t="n">
        <f aca="false">Inputs!$F$44*Time!BE33</f>
        <v>0</v>
      </c>
      <c r="BF83" s="9" t="n">
        <f aca="false">Inputs!$F$44*Time!BF33</f>
        <v>0</v>
      </c>
      <c r="BG83" s="9" t="n">
        <f aca="false">Inputs!$F$44*Time!BG33</f>
        <v>0</v>
      </c>
      <c r="BH83" s="9" t="n">
        <f aca="false">Inputs!$F$44*Time!BH33</f>
        <v>0</v>
      </c>
      <c r="BI83" s="9" t="n">
        <f aca="false">Inputs!$F$44*Time!BI33</f>
        <v>0</v>
      </c>
      <c r="BJ83" s="9" t="n">
        <f aca="false">Inputs!$F$44*Time!BJ33</f>
        <v>0</v>
      </c>
      <c r="BK83" s="9" t="n">
        <f aca="false">Inputs!$F$44*Time!BK33</f>
        <v>0</v>
      </c>
      <c r="BL83" s="9" t="n">
        <f aca="false">Inputs!$F$44*Time!BL33</f>
        <v>0</v>
      </c>
      <c r="BM83" s="9" t="n">
        <f aca="false">Inputs!$F$44*Time!BM33</f>
        <v>0</v>
      </c>
      <c r="BN83" s="9" t="n">
        <f aca="false">Inputs!$F$44*Time!BN33</f>
        <v>0</v>
      </c>
    </row>
    <row r="84" customFormat="false" ht="15" hidden="false" customHeight="false" outlineLevel="0" collapsed="false">
      <c r="D84" s="0" t="s">
        <v>532</v>
      </c>
      <c r="E84" s="0" t="s">
        <v>149</v>
      </c>
      <c r="J84" s="11" t="n">
        <f aca="false">(1-J82)*(J52/MAX(Time!J26,1)*Inputs!$F$168+J51/MAX(Time!J26,1)*J83)</f>
        <v>0</v>
      </c>
      <c r="K84" s="11" t="n">
        <f aca="false">(1-K82)*(K52/MAX(Time!K26,1)*Inputs!$F$168+K51/MAX(Time!K26,1)*K83)</f>
        <v>0</v>
      </c>
      <c r="L84" s="11" t="n">
        <f aca="false">(1-L82)*(L52/MAX(Time!L26,1)*Inputs!$F$168+L51/MAX(Time!L26,1)*L83)</f>
        <v>0</v>
      </c>
      <c r="M84" s="11" t="n">
        <f aca="false">(1-M82)*(M52/MAX(Time!M26,1)*Inputs!$F$168+M51/MAX(Time!M26,1)*M83)</f>
        <v>0</v>
      </c>
      <c r="N84" s="11" t="n">
        <f aca="false">(1-N82)*(N52/MAX(Time!N26,1)*Inputs!$F$168+N51/MAX(Time!N26,1)*N83)</f>
        <v>0</v>
      </c>
      <c r="O84" s="11" t="n">
        <f aca="false">(1-O82)*(O52/MAX(Time!O26,1)*Inputs!$F$168+O51/MAX(Time!O26,1)*O83)</f>
        <v>38.4207127281762</v>
      </c>
      <c r="P84" s="11" t="n">
        <f aca="false">(1-P82)*(P52/MAX(Time!P26,1)*Inputs!$F$168+P51/MAX(Time!P26,1)*P83)</f>
        <v>38.2953922057586</v>
      </c>
      <c r="Q84" s="11" t="n">
        <f aca="false">(1-Q82)*(Q52/MAX(Time!Q26,1)*Inputs!$F$168+Q51/MAX(Time!Q26,1)*Q83)</f>
        <v>39.3039104786019</v>
      </c>
      <c r="R84" s="11" t="n">
        <f aca="false">(1-R82)*(R52/MAX(Time!R26,1)*Inputs!$F$168+R51/MAX(Time!R26,1)*R83)</f>
        <v>38.6212628229736</v>
      </c>
      <c r="S84" s="11" t="n">
        <f aca="false">(1-S82)*(S52/MAX(Time!S26,1)*Inputs!$F$168+S51/MAX(Time!S26,1)*S83)</f>
        <v>39.799782116238</v>
      </c>
      <c r="T84" s="11" t="n">
        <f aca="false">(1-T82)*(T52/MAX(Time!T26,1)*Inputs!$F$168+T51/MAX(Time!T26,1)*T83)</f>
        <v>39.4092216789825</v>
      </c>
      <c r="U84" s="11" t="n">
        <f aca="false">(1-U82)*(U52/MAX(Time!U26,1)*Inputs!$F$168+U51/MAX(Time!U26,1)*U83)</f>
        <v>40.0128872883052</v>
      </c>
      <c r="V84" s="11" t="n">
        <f aca="false">(1-V82)*(V52/MAX(Time!V26,1)*Inputs!$F$168+V51/MAX(Time!V26,1)*V83)</f>
        <v>38.8067538518055</v>
      </c>
      <c r="W84" s="11" t="n">
        <f aca="false">(1-W82)*(W52/MAX(Time!W26,1)*Inputs!$F$168+W51/MAX(Time!W26,1)*W83)</f>
        <v>40.3546065229662</v>
      </c>
      <c r="X84" s="11" t="n">
        <f aca="false">(1-X82)*(X52/MAX(Time!X26,1)*Inputs!$F$168+X51/MAX(Time!X26,1)*X83)</f>
        <v>40.5669112327118</v>
      </c>
      <c r="Y84" s="11" t="n">
        <f aca="false">(1-Y82)*(Y52/MAX(Time!Y26,1)*Inputs!$F$168+Y51/MAX(Time!Y26,1)*Y83)</f>
        <v>41.6435007899242</v>
      </c>
      <c r="Z84" s="11" t="n">
        <f aca="false">(1-Z82)*(Z52/MAX(Time!Z26,1)*Inputs!$F$168+Z51/MAX(Time!Z26,1)*Z83)</f>
        <v>40.9198383176405</v>
      </c>
      <c r="AA84" s="11" t="n">
        <f aca="false">(1-AA82)*(AA52/MAX(Time!AA26,1)*Inputs!$F$168+AA51/MAX(Time!AA26,1)*AA83)</f>
        <v>42.1792207864513</v>
      </c>
      <c r="AB84" s="11" t="n">
        <f aca="false">(1-AB82)*(AB52/MAX(Time!AB26,1)*Inputs!$F$168+AB51/MAX(Time!AB26,1)*AB83)</f>
        <v>41.7701907394751</v>
      </c>
      <c r="AC84" s="11" t="n">
        <f aca="false">(1-AC82)*(AC52/MAX(Time!AC26,1)*Inputs!$F$168+AC51/MAX(Time!AC26,1)*AC83)</f>
        <v>42.1385699976597</v>
      </c>
      <c r="AD84" s="11" t="n">
        <f aca="false">(1-AD82)*(AD52/MAX(Time!AD26,1)*Inputs!$F$168+AD51/MAX(Time!AD26,1)*AD83)</f>
        <v>40.3148298175659</v>
      </c>
      <c r="AE84" s="11" t="n">
        <f aca="false">(1-AE82)*(AE52/MAX(Time!AE26,1)*Inputs!$F$168+AE51/MAX(Time!AE26,1)*AE83)</f>
        <v>42.2239175742502</v>
      </c>
      <c r="AF84" s="11" t="n">
        <f aca="false">(1-AF82)*(AF52/MAX(Time!AF26,1)*Inputs!$F$168+AF51/MAX(Time!AF26,1)*AF83)</f>
        <v>43.0208583188408</v>
      </c>
      <c r="AG84" s="11" t="n">
        <f aca="false">(1-AG82)*(AG52/MAX(Time!AG26,1)*Inputs!$F$168+AG51/MAX(Time!AG26,1)*AG83)</f>
        <v>44.1710054424924</v>
      </c>
      <c r="AH84" s="11" t="n">
        <f aca="false">(1-AH82)*(AH52/MAX(Time!AH26,1)*Inputs!$F$168+AH51/MAX(Time!AH26,1)*AH83)</f>
        <v>43.4030297550563</v>
      </c>
      <c r="AI84" s="11" t="n">
        <f aca="false">(1-AI82)*(AI52/MAX(Time!AI26,1)*Inputs!$F$168+AI51/MAX(Time!AI26,1)*AI83)</f>
        <v>44.7497850013882</v>
      </c>
      <c r="AJ84" s="11" t="n">
        <f aca="false">(1-AJ82)*(AJ52/MAX(Time!AJ26,1)*Inputs!$F$168+AJ51/MAX(Time!AJ26,1)*AJ83)</f>
        <v>44.320783027817</v>
      </c>
      <c r="AK84" s="11" t="n">
        <f aca="false">(1-AK82)*(AK52/MAX(Time!AK26,1)*Inputs!$F$168+AK51/MAX(Time!AK26,1)*AK83)</f>
        <v>45.0118828801579</v>
      </c>
      <c r="AL84" s="11" t="n">
        <f aca="false">(1-AL82)*(AL52/MAX(Time!AL26,1)*Inputs!$F$168+AL51/MAX(Time!AL26,1)*AL83)</f>
        <v>43.6592206395646</v>
      </c>
      <c r="AM84" s="11" t="n">
        <f aca="false">(1-AM82)*(AM52/MAX(Time!AM26,1)*Inputs!$F$168+AM51/MAX(Time!AM26,1)*AM83)</f>
        <v>45.4207589739277</v>
      </c>
      <c r="AN84" s="11" t="n">
        <f aca="false">(1-AN82)*(AN52/MAX(Time!AN26,1)*Inputs!$F$168+AN51/MAX(Time!AN26,1)*AN83)</f>
        <v>45.6719076571363</v>
      </c>
      <c r="AO84" s="11" t="n">
        <f aca="false">(1-AO82)*(AO52/MAX(Time!AO26,1)*Inputs!$F$168+AO51/MAX(Time!AO26,1)*AO83)</f>
        <v>46.9015400690611</v>
      </c>
      <c r="AP84" s="11" t="n">
        <f aca="false">(1-AP82)*(AP52/MAX(Time!AP26,1)*Inputs!$F$168+AP51/MAX(Time!AP26,1)*AP83)</f>
        <v>46.0856891549707</v>
      </c>
      <c r="AQ84" s="11" t="n">
        <f aca="false">(1-AQ82)*(AQ52/MAX(Time!AQ26,1)*Inputs!$F$168+AQ51/MAX(Time!AQ26,1)*AQ83)</f>
        <v>47.5268495283118</v>
      </c>
      <c r="AR84" s="11" t="n">
        <f aca="false">(1-AR82)*(AR52/MAX(Time!AR26,1)*Inputs!$F$168+AR51/MAX(Time!AR26,1)*AR83)</f>
        <v>47.0762516375828</v>
      </c>
      <c r="AS84" s="11" t="n">
        <f aca="false">(1-AS82)*(AS52/MAX(Time!AS26,1)*Inputs!$F$168+AS51/MAX(Time!AS26,1)*AS83)</f>
        <v>47.5037589696788</v>
      </c>
      <c r="AT84" s="11" t="n">
        <f aca="false">(1-AT82)*(AT52/MAX(Time!AT26,1)*Inputs!$F$168+AT51/MAX(Time!AT26,1)*AT83)</f>
        <v>45.4517763792731</v>
      </c>
      <c r="AU84" s="11" t="n">
        <f aca="false">(1-AU82)*(AU52/MAX(Time!AU26,1)*Inputs!$F$168+AU51/MAX(Time!AU26,1)*AU83)</f>
        <v>47.6244944951818</v>
      </c>
      <c r="AV84" s="11" t="n">
        <f aca="false">(1-AV82)*(AV52/MAX(Time!AV26,1)*Inputs!$F$168+AV51/MAX(Time!AV26,1)*AV83)</f>
        <v>48.5359140606831</v>
      </c>
      <c r="AW84" s="11" t="n">
        <f aca="false">(1-AW82)*(AW52/MAX(Time!AW26,1)*Inputs!$F$168+AW51/MAX(Time!AW26,1)*AW83)</f>
        <v>49.8514363502115</v>
      </c>
      <c r="AX84" s="11" t="n">
        <f aca="false">(1-AX82)*(AX52/MAX(Time!AX26,1)*Inputs!$F$168+AX51/MAX(Time!AX26,1)*AX83)</f>
        <v>48.9838636655846</v>
      </c>
      <c r="AY84" s="11" t="n">
        <f aca="false">(1-AY82)*(AY52/MAX(Time!AY26,1)*Inputs!$F$168+AY51/MAX(Time!AY26,1)*AY83)</f>
        <v>50.5270260993808</v>
      </c>
      <c r="AZ84" s="11" t="n">
        <f aca="false">(1-AZ82)*(AZ52/MAX(Time!AZ26,1)*Inputs!$F$168+AZ51/MAX(Time!AZ26,1)*AZ83)</f>
        <v>50.0530768182482</v>
      </c>
      <c r="BA84" s="11" t="n">
        <f aca="false">(1-BA82)*(BA52/MAX(Time!BA26,1)*Inputs!$F$168+BA51/MAX(Time!BA26,1)*BA83)</f>
        <v>50.8462165637435</v>
      </c>
      <c r="BB84" s="11" t="n">
        <f aca="false">(1-BB82)*(BB52/MAX(Time!BB26,1)*Inputs!$F$168+BB51/MAX(Time!BB26,1)*BB83)</f>
        <v>49.3222303009087</v>
      </c>
      <c r="BC84" s="11" t="n">
        <f aca="false">(1-BC82)*(BC52/MAX(Time!BC26,1)*Inputs!$F$168+BC51/MAX(Time!BC26,1)*BC83)</f>
        <v>51.3333965026773</v>
      </c>
      <c r="BD84" s="11" t="n">
        <f aca="false">(1-BD82)*(BD52/MAX(Time!BD26,1)*Inputs!$F$168+BD51/MAX(Time!BD26,1)*BD83)</f>
        <v>51.6300078654333</v>
      </c>
      <c r="BE84" s="11" t="n">
        <f aca="false">(1-BE82)*(BE52/MAX(Time!BE26,1)*Inputs!$F$168+BE51/MAX(Time!BE26,1)*BE83)</f>
        <v>53.0383397507632</v>
      </c>
      <c r="BF84" s="11" t="n">
        <f aca="false">(1-BF82)*(BF52/MAX(Time!BF26,1)*Inputs!$F$168+BF51/MAX(Time!BF26,1)*BF83)</f>
        <v>52.1148916533904</v>
      </c>
      <c r="BG84" s="11" t="n">
        <f aca="false">(1-BG82)*(BG52/MAX(Time!BG26,1)*Inputs!$F$168+BG51/MAX(Time!BG26,1)*BG83)</f>
        <v>53.7682628354808</v>
      </c>
      <c r="BH84" s="11" t="n">
        <f aca="false">(1-BH82)*(BH52/MAX(Time!BH26,1)*Inputs!$F$168+BH51/MAX(Time!BH26,1)*BH83)</f>
        <v>53.2690646121621</v>
      </c>
      <c r="BI84" s="11" t="n">
        <f aca="false">(1-BI82)*(BI52/MAX(Time!BI26,1)*Inputs!$F$168+BI51/MAX(Time!BI26,1)*BI83)</f>
        <v>53.7654617142916</v>
      </c>
      <c r="BJ84" s="11" t="n">
        <f aca="false">(1-BJ82)*(BJ52/MAX(Time!BJ26,1)*Inputs!$F$168+BJ51/MAX(Time!BJ26,1)*BJ83)</f>
        <v>51.4465414503758</v>
      </c>
      <c r="BK84" s="11" t="n">
        <f aca="false">(1-BK82)*(BK52/MAX(Time!BK26,1)*Inputs!$F$168+BK51/MAX(Time!BK26,1)*BK83)</f>
        <v>53.927299895042</v>
      </c>
      <c r="BL84" s="11" t="n">
        <f aca="false">(1-BL82)*(BL52/MAX(Time!BL26,1)*Inputs!$F$168+BL51/MAX(Time!BL26,1)*BL83)</f>
        <v>54.9726974479527</v>
      </c>
      <c r="BM84" s="11" t="n">
        <f aca="false">(1-BM82)*(BM52/MAX(Time!BM26,1)*Inputs!$F$168+BM51/MAX(Time!BM26,1)*BM83)</f>
        <v>0</v>
      </c>
      <c r="BN84" s="11" t="n">
        <f aca="false">(1-BN82)*(BN52/MAX(Time!BN26,1)*Inputs!$F$168+BN51/MAX(Time!BN26,1)*BN83)</f>
        <v>0</v>
      </c>
    </row>
    <row r="85" customFormat="false" ht="15" hidden="false" customHeight="false" outlineLevel="0" collapsed="false">
      <c r="D85" s="0" t="s">
        <v>533</v>
      </c>
      <c r="E85" s="0" t="s">
        <v>149</v>
      </c>
      <c r="J85" s="11" t="n">
        <f aca="false">Inputs!$F$45*Inputs!J219</f>
        <v>0</v>
      </c>
      <c r="K85" s="11" t="n">
        <f aca="false">Inputs!$F$45*Inputs!K219</f>
        <v>0</v>
      </c>
      <c r="L85" s="11" t="n">
        <f aca="false">Inputs!$F$45*Inputs!L219</f>
        <v>0</v>
      </c>
      <c r="M85" s="11" t="n">
        <f aca="false">Inputs!$F$45*Inputs!M219</f>
        <v>0</v>
      </c>
      <c r="N85" s="11" t="n">
        <f aca="false">Inputs!$F$45*Inputs!N219</f>
        <v>0</v>
      </c>
      <c r="O85" s="11" t="n">
        <f aca="false">Inputs!$F$45*Inputs!O219</f>
        <v>0</v>
      </c>
      <c r="P85" s="11" t="n">
        <f aca="false">Inputs!$F$45*Inputs!P219</f>
        <v>0</v>
      </c>
      <c r="Q85" s="11" t="n">
        <f aca="false">Inputs!$F$45*Inputs!Q219</f>
        <v>0</v>
      </c>
      <c r="R85" s="11" t="n">
        <f aca="false">Inputs!$F$45*Inputs!R219</f>
        <v>0</v>
      </c>
      <c r="S85" s="11" t="n">
        <f aca="false">Inputs!$F$45*Inputs!S219</f>
        <v>0</v>
      </c>
      <c r="T85" s="11" t="n">
        <f aca="false">Inputs!$F$45*Inputs!T219</f>
        <v>0</v>
      </c>
      <c r="U85" s="11" t="n">
        <f aca="false">Inputs!$F$45*Inputs!U219</f>
        <v>0</v>
      </c>
      <c r="V85" s="11" t="n">
        <f aca="false">Inputs!$F$45*Inputs!V219</f>
        <v>0</v>
      </c>
      <c r="W85" s="11" t="n">
        <f aca="false">Inputs!$F$45*Inputs!W219</f>
        <v>0</v>
      </c>
      <c r="X85" s="11" t="n">
        <f aca="false">Inputs!$F$45*Inputs!X219</f>
        <v>0</v>
      </c>
      <c r="Y85" s="11" t="n">
        <f aca="false">Inputs!$F$45*Inputs!Y219</f>
        <v>0</v>
      </c>
      <c r="Z85" s="11" t="n">
        <f aca="false">Inputs!$F$45*Inputs!Z219</f>
        <v>0</v>
      </c>
      <c r="AA85" s="11" t="n">
        <f aca="false">Inputs!$F$45*Inputs!AA219</f>
        <v>0</v>
      </c>
      <c r="AB85" s="11" t="n">
        <f aca="false">Inputs!$F$45*Inputs!AB219</f>
        <v>0</v>
      </c>
      <c r="AC85" s="11" t="n">
        <f aca="false">Inputs!$F$45*Inputs!AC219</f>
        <v>0</v>
      </c>
      <c r="AD85" s="11" t="n">
        <f aca="false">Inputs!$F$45*Inputs!AD219</f>
        <v>0</v>
      </c>
      <c r="AE85" s="11" t="n">
        <f aca="false">Inputs!$F$45*Inputs!AE219</f>
        <v>0</v>
      </c>
      <c r="AF85" s="11" t="n">
        <f aca="false">Inputs!$F$45*Inputs!AF219</f>
        <v>0</v>
      </c>
      <c r="AG85" s="11" t="n">
        <f aca="false">Inputs!$F$45*Inputs!AG219</f>
        <v>0</v>
      </c>
      <c r="AH85" s="11" t="n">
        <f aca="false">Inputs!$F$45*Inputs!AH219</f>
        <v>0</v>
      </c>
      <c r="AI85" s="11" t="n">
        <f aca="false">Inputs!$F$45*Inputs!AI219</f>
        <v>0</v>
      </c>
      <c r="AJ85" s="11" t="n">
        <f aca="false">Inputs!$F$45*Inputs!AJ219</f>
        <v>0</v>
      </c>
      <c r="AK85" s="11" t="n">
        <f aca="false">Inputs!$F$45*Inputs!AK219</f>
        <v>0</v>
      </c>
      <c r="AL85" s="11" t="n">
        <f aca="false">Inputs!$F$45*Inputs!AL219</f>
        <v>0</v>
      </c>
      <c r="AM85" s="11" t="n">
        <f aca="false">Inputs!$F$45*Inputs!AM219</f>
        <v>0</v>
      </c>
      <c r="AN85" s="11" t="n">
        <f aca="false">Inputs!$F$45*Inputs!AN219</f>
        <v>0</v>
      </c>
      <c r="AO85" s="11" t="n">
        <f aca="false">Inputs!$F$45*Inputs!AO219</f>
        <v>0</v>
      </c>
      <c r="AP85" s="11" t="n">
        <f aca="false">Inputs!$F$45*Inputs!AP219</f>
        <v>0</v>
      </c>
      <c r="AQ85" s="11" t="n">
        <f aca="false">Inputs!$F$45*Inputs!AQ219</f>
        <v>0</v>
      </c>
      <c r="AR85" s="11" t="n">
        <f aca="false">Inputs!$F$45*Inputs!AR219</f>
        <v>0</v>
      </c>
      <c r="AS85" s="11" t="n">
        <f aca="false">Inputs!$F$45*Inputs!AS219</f>
        <v>0</v>
      </c>
      <c r="AT85" s="11" t="n">
        <f aca="false">Inputs!$F$45*Inputs!AT219</f>
        <v>0</v>
      </c>
      <c r="AU85" s="11" t="n">
        <f aca="false">Inputs!$F$45*Inputs!AU219</f>
        <v>0</v>
      </c>
      <c r="AV85" s="11" t="n">
        <f aca="false">Inputs!$F$45*Inputs!AV219</f>
        <v>0</v>
      </c>
      <c r="AW85" s="11" t="n">
        <f aca="false">Inputs!$F$45*Inputs!AW219</f>
        <v>0</v>
      </c>
      <c r="AX85" s="11" t="n">
        <f aca="false">Inputs!$F$45*Inputs!AX219</f>
        <v>0</v>
      </c>
      <c r="AY85" s="11" t="n">
        <f aca="false">Inputs!$F$45*Inputs!AY219</f>
        <v>0</v>
      </c>
      <c r="AZ85" s="11" t="n">
        <f aca="false">Inputs!$F$45*Inputs!AZ219</f>
        <v>0</v>
      </c>
      <c r="BA85" s="11" t="n">
        <f aca="false">Inputs!$F$45*Inputs!BA219</f>
        <v>0</v>
      </c>
      <c r="BB85" s="11" t="n">
        <f aca="false">Inputs!$F$45*Inputs!BB219</f>
        <v>0</v>
      </c>
      <c r="BC85" s="11" t="n">
        <f aca="false">Inputs!$F$45*Inputs!BC219</f>
        <v>0</v>
      </c>
      <c r="BD85" s="11" t="n">
        <f aca="false">Inputs!$F$45*Inputs!BD219</f>
        <v>0</v>
      </c>
      <c r="BE85" s="11" t="n">
        <f aca="false">Inputs!$F$45*Inputs!BE219</f>
        <v>0</v>
      </c>
      <c r="BF85" s="11" t="n">
        <f aca="false">Inputs!$F$45*Inputs!BF219</f>
        <v>0</v>
      </c>
      <c r="BG85" s="11" t="n">
        <f aca="false">Inputs!$F$45*Inputs!BG219</f>
        <v>0</v>
      </c>
      <c r="BH85" s="11" t="n">
        <f aca="false">Inputs!$F$45*Inputs!BH219</f>
        <v>0</v>
      </c>
      <c r="BI85" s="11" t="n">
        <f aca="false">Inputs!$F$45*Inputs!BI219</f>
        <v>0</v>
      </c>
      <c r="BJ85" s="11" t="n">
        <f aca="false">Inputs!$F$45*Inputs!BJ219</f>
        <v>0</v>
      </c>
      <c r="BK85" s="11" t="n">
        <f aca="false">Inputs!$F$45*Inputs!BK219</f>
        <v>0</v>
      </c>
      <c r="BL85" s="11" t="n">
        <f aca="false">Inputs!$F$45*Inputs!BL219</f>
        <v>0</v>
      </c>
      <c r="BM85" s="11" t="n">
        <f aca="false">Inputs!$F$45*Inputs!BM219</f>
        <v>0</v>
      </c>
      <c r="BN85" s="11" t="n">
        <f aca="false">Inputs!$F$45*Inputs!BN219</f>
        <v>0</v>
      </c>
    </row>
    <row r="86" customFormat="false" ht="15" hidden="false" customHeight="false" outlineLevel="0" collapsed="false">
      <c r="D86" s="0" t="s">
        <v>534</v>
      </c>
      <c r="E86" s="0" t="s">
        <v>149</v>
      </c>
      <c r="J86" s="11" t="n">
        <f aca="false">(1-J82)*(J69+J50)/MAX(Time!J26,1)*Inputs!$F$169</f>
        <v>0</v>
      </c>
      <c r="K86" s="11" t="n">
        <f aca="false">(1-K82)*(K69+K50)/MAX(Time!K26,1)*Inputs!$F$169</f>
        <v>0</v>
      </c>
      <c r="L86" s="11" t="n">
        <f aca="false">(1-L82)*(L69+L50)/MAX(Time!L26,1)*Inputs!$F$169</f>
        <v>0</v>
      </c>
      <c r="M86" s="11" t="n">
        <f aca="false">(1-M82)*(M69+M50)/MAX(Time!M26,1)*Inputs!$F$169</f>
        <v>0</v>
      </c>
      <c r="N86" s="11" t="n">
        <f aca="false">(1-N82)*(N69+N50)/MAX(Time!N26,1)*Inputs!$F$169</f>
        <v>0</v>
      </c>
      <c r="O86" s="11" t="n">
        <f aca="false">(1-O82)*(O69+O50)/MAX(Time!O26,1)*Inputs!$F$169</f>
        <v>18.3747764301093</v>
      </c>
      <c r="P86" s="11" t="n">
        <f aca="false">(1-P82)*(P69+P50)/MAX(Time!P26,1)*Inputs!$F$169</f>
        <v>18.2730804950544</v>
      </c>
      <c r="Q86" s="11" t="n">
        <f aca="false">(1-Q82)*(Q69+Q50)/MAX(Time!Q26,1)*Inputs!$F$169</f>
        <v>18.8820107002865</v>
      </c>
      <c r="R86" s="11" t="n">
        <f aca="false">(1-R82)*(R69+R50)/MAX(Time!R26,1)*Inputs!$F$169</f>
        <v>18.4482011075492</v>
      </c>
      <c r="S86" s="11" t="n">
        <f aca="false">(1-S82)*(S69+S50)/MAX(Time!S26,1)*Inputs!$F$169</f>
        <v>19.1899485070879</v>
      </c>
      <c r="T86" s="11" t="n">
        <f aca="false">(1-T82)*(T69+T50)/MAX(Time!T26,1)*Inputs!$F$169</f>
        <v>18.9997107899989</v>
      </c>
      <c r="U86" s="11" t="n">
        <f aca="false">(1-U82)*(U69+U50)/MAX(Time!U26,1)*Inputs!$F$169</f>
        <v>19.3595057649693</v>
      </c>
      <c r="V86" s="11" t="n">
        <f aca="false">(1-V82)*(V69+V50)/MAX(Time!V26,1)*Inputs!$F$169</f>
        <v>18.6909102028197</v>
      </c>
      <c r="W86" s="11" t="n">
        <f aca="false">(1-W82)*(W69+W50)/MAX(Time!W26,1)*Inputs!$F$169</f>
        <v>19.613633669735</v>
      </c>
      <c r="X86" s="11" t="n">
        <f aca="false">(1-X82)*(X69+X50)/MAX(Time!X26,1)*Inputs!$F$169</f>
        <v>19.7549433630901</v>
      </c>
      <c r="Y86" s="11" t="n">
        <f aca="false">(1-Y82)*(Y69+Y50)/MAX(Time!Y26,1)*Inputs!$F$169</f>
        <v>20.4131039947811</v>
      </c>
      <c r="Z86" s="11" t="n">
        <f aca="false">(1-Z82)*(Z69+Z50)/MAX(Time!Z26,1)*Inputs!$F$169</f>
        <v>19.943970293982</v>
      </c>
      <c r="AA86" s="11" t="n">
        <f aca="false">(1-AA82)*(AA69+AA50)/MAX(Time!AA26,1)*Inputs!$F$169</f>
        <v>20.7457045138301</v>
      </c>
      <c r="AB86" s="11" t="n">
        <f aca="false">(1-AB82)*(AB69+AB50)/MAX(Time!AB26,1)*Inputs!$F$169</f>
        <v>20.5398917932113</v>
      </c>
      <c r="AC86" s="11" t="n">
        <f aca="false">(1-AC82)*(AC69+AC50)/MAX(Time!AC26,1)*Inputs!$F$169</f>
        <v>20.7809841585278</v>
      </c>
      <c r="AD86" s="11" t="n">
        <f aca="false">(1-AD82)*(AD69+AD50)/MAX(Time!AD26,1)*Inputs!$F$169</f>
        <v>19.7675064224553</v>
      </c>
      <c r="AE86" s="11" t="n">
        <f aca="false">(1-AE82)*(AE69+AE50)/MAX(Time!AE26,1)*Inputs!$F$169</f>
        <v>20.9002080929243</v>
      </c>
      <c r="AF86" s="11" t="n">
        <f aca="false">(1-AF82)*(AF69+AF50)/MAX(Time!AF26,1)*Inputs!$F$169</f>
        <v>21.355712487991</v>
      </c>
      <c r="AG86" s="11" t="n">
        <f aca="false">(1-AG82)*(AG69+AG50)/MAX(Time!AG26,1)*Inputs!$F$169</f>
        <v>22.0670408759033</v>
      </c>
      <c r="AH86" s="11" t="n">
        <f aca="false">(1-AH82)*(AH69+AH50)/MAX(Time!AH26,1)*Inputs!$F$169</f>
        <v>21.5597362399887</v>
      </c>
      <c r="AI86" s="11" t="n">
        <f aca="false">(1-AI82)*(AI69+AI50)/MAX(Time!AI26,1)*Inputs!$F$169</f>
        <v>22.426256469107</v>
      </c>
      <c r="AJ86" s="11" t="n">
        <f aca="false">(1-AJ82)*(AJ69+AJ50)/MAX(Time!AJ26,1)*Inputs!$F$169</f>
        <v>22.2036063080422</v>
      </c>
      <c r="AK86" s="11" t="n">
        <f aca="false">(1-AK82)*(AK69+AK50)/MAX(Time!AK26,1)*Inputs!$F$169</f>
        <v>22.6237370093604</v>
      </c>
      <c r="AL86" s="11" t="n">
        <f aca="false">(1-AL82)*(AL69+AL50)/MAX(Time!AL26,1)*Inputs!$F$169</f>
        <v>21.8420841258165</v>
      </c>
      <c r="AM86" s="11" t="n">
        <f aca="false">(1-AM82)*(AM69+AM50)/MAX(Time!AM26,1)*Inputs!$F$169</f>
        <v>22.920032419722</v>
      </c>
      <c r="AN86" s="11" t="n">
        <f aca="false">(1-AN82)*(AN69+AN50)/MAX(Time!AN26,1)*Inputs!$F$169</f>
        <v>23.0848202517799</v>
      </c>
      <c r="AO86" s="11" t="n">
        <f aca="false">(1-AO82)*(AO69+AO50)/MAX(Time!AO26,1)*Inputs!$F$169</f>
        <v>23.8535649232373</v>
      </c>
      <c r="AP86" s="11" t="n">
        <f aca="false">(1-AP82)*(AP69+AP50)/MAX(Time!AP26,1)*Inputs!$F$169</f>
        <v>23.3050156128092</v>
      </c>
      <c r="AQ86" s="11" t="n">
        <f aca="false">(1-AQ82)*(AQ69+AQ50)/MAX(Time!AQ26,1)*Inputs!$F$169</f>
        <v>24.2415004965104</v>
      </c>
      <c r="AR86" s="11" t="n">
        <f aca="false">(1-AR82)*(AR69+AR50)/MAX(Time!AR26,1)*Inputs!$F$169</f>
        <v>24.0006492030265</v>
      </c>
      <c r="AS86" s="11" t="n">
        <f aca="false">(1-AS82)*(AS69+AS50)/MAX(Time!AS26,1)*Inputs!$F$169</f>
        <v>24.2820010475174</v>
      </c>
      <c r="AT86" s="11" t="n">
        <f aca="false">(1-AT82)*(AT69+AT50)/MAX(Time!AT26,1)*Inputs!$F$169</f>
        <v>23.097435968183</v>
      </c>
      <c r="AU86" s="11" t="n">
        <f aca="false">(1-AU82)*(AU69+AU50)/MAX(Time!AU26,1)*Inputs!$F$169</f>
        <v>24.4205820651627</v>
      </c>
      <c r="AV86" s="11" t="n">
        <f aca="false">(1-AV82)*(AV69+AV50)/MAX(Time!AV26,1)*Inputs!$F$169</f>
        <v>24.9524377436989</v>
      </c>
      <c r="AW86" s="11" t="n">
        <f aca="false">(1-AW82)*(AW69+AW50)/MAX(Time!AW26,1)*Inputs!$F$169</f>
        <v>25.7831826939751</v>
      </c>
      <c r="AX86" s="11" t="n">
        <f aca="false">(1-AX82)*(AX69+AX50)/MAX(Time!AX26,1)*Inputs!$F$169</f>
        <v>25.1900701896104</v>
      </c>
      <c r="AY86" s="11" t="n">
        <f aca="false">(1-AY82)*(AY69+AY50)/MAX(Time!AY26,1)*Inputs!$F$169</f>
        <v>26.2021074359446</v>
      </c>
      <c r="AZ86" s="11" t="n">
        <f aca="false">(1-AZ82)*(AZ69+AZ50)/MAX(Time!AZ26,1)*Inputs!$F$169</f>
        <v>25.9415820339493</v>
      </c>
      <c r="BA86" s="11" t="n">
        <f aca="false">(1-BA82)*(BA69+BA50)/MAX(Time!BA26,1)*Inputs!$F$169</f>
        <v>26.4320459577702</v>
      </c>
      <c r="BB86" s="11" t="n">
        <f aca="false">(1-BB82)*(BB69+BB50)/MAX(Time!BB26,1)*Inputs!$F$169</f>
        <v>25.5184332567658</v>
      </c>
      <c r="BC86" s="11" t="n">
        <f aca="false">(1-BC82)*(BC69+BC50)/MAX(Time!BC26,1)*Inputs!$F$169</f>
        <v>26.7774150058998</v>
      </c>
      <c r="BD86" s="11" t="n">
        <f aca="false">(1-BD82)*(BD69+BD50)/MAX(Time!BD26,1)*Inputs!$F$169</f>
        <v>26.9695317622168</v>
      </c>
      <c r="BE86" s="11" t="n">
        <f aca="false">(1-BE82)*(BE69+BE50)/MAX(Time!BE26,1)*Inputs!$F$169</f>
        <v>27.8672225885103</v>
      </c>
      <c r="BF86" s="11" t="n">
        <f aca="false">(1-BF82)*(BF69+BF50)/MAX(Time!BF26,1)*Inputs!$F$169</f>
        <v>27.2259643355167</v>
      </c>
      <c r="BG86" s="11" t="n">
        <f aca="false">(1-BG82)*(BG69+BG50)/MAX(Time!BG26,1)*Inputs!$F$169</f>
        <v>28.3195825961025</v>
      </c>
      <c r="BH86" s="11" t="n">
        <f aca="false">(1-BH82)*(BH69+BH50)/MAX(Time!BH26,1)*Inputs!$F$169</f>
        <v>28.0377921677348</v>
      </c>
      <c r="BI86" s="11" t="n">
        <f aca="false">(1-BI82)*(BI69+BI50)/MAX(Time!BI26,1)*Inputs!$F$169</f>
        <v>28.3660435938924</v>
      </c>
      <c r="BJ86" s="11" t="n">
        <f aca="false">(1-BJ82)*(BJ69+BJ50)/MAX(Time!BJ26,1)*Inputs!$F$169</f>
        <v>26.9818379910517</v>
      </c>
      <c r="BK86" s="11" t="n">
        <f aca="false">(1-BK82)*(BK69+BK50)/MAX(Time!BK26,1)*Inputs!$F$169</f>
        <v>28.5270742190328</v>
      </c>
      <c r="BL86" s="11" t="n">
        <f aca="false">(1-BL82)*(BL69+BL50)/MAX(Time!BL26,1)*Inputs!$F$169</f>
        <v>29.1479261381268</v>
      </c>
      <c r="BM86" s="11" t="n">
        <f aca="false">(1-BM82)*(BM69+BM50)/MAX(Time!BM26,1)*Inputs!$F$169</f>
        <v>0</v>
      </c>
      <c r="BN86" s="11" t="n">
        <f aca="false">(1-BN82)*(BN69+BN50)/MAX(Time!BN26,1)*Inputs!$F$169</f>
        <v>0</v>
      </c>
    </row>
    <row r="87" customFormat="false" ht="15" hidden="false" customHeight="false" outlineLevel="0" collapsed="false">
      <c r="D87" s="0" t="s">
        <v>535</v>
      </c>
      <c r="E87" s="0" t="s">
        <v>149</v>
      </c>
      <c r="J87" s="11" t="n">
        <f aca="false">(1-J82)*(J48+J49)/MAX(Time!J26,1)*Inputs!$F$170</f>
        <v>0</v>
      </c>
      <c r="K87" s="11" t="n">
        <f aca="false">(1-K82)*(K48+K49)/MAX(Time!K26,1)*Inputs!$F$170</f>
        <v>0</v>
      </c>
      <c r="L87" s="11" t="n">
        <f aca="false">(1-L82)*(L48+L49)/MAX(Time!L26,1)*Inputs!$F$170</f>
        <v>0</v>
      </c>
      <c r="M87" s="11" t="n">
        <f aca="false">(1-M82)*(M48+M49)/MAX(Time!M26,1)*Inputs!$F$170</f>
        <v>0</v>
      </c>
      <c r="N87" s="11" t="n">
        <f aca="false">(1-N82)*(N48+N49)/MAX(Time!N26,1)*Inputs!$F$170</f>
        <v>0</v>
      </c>
      <c r="O87" s="11" t="n">
        <f aca="false">(1-O82)*(O48+O49)/MAX(Time!O26,1)*Inputs!$F$170</f>
        <v>2.26825529348798</v>
      </c>
      <c r="P87" s="11" t="n">
        <f aca="false">(1-P82)*(P48+P49)/MAX(Time!P26,1)*Inputs!$F$170</f>
        <v>2.26608925618742</v>
      </c>
      <c r="Q87" s="11" t="n">
        <f aca="false">(1-Q82)*(Q48+Q49)/MAX(Time!Q26,1)*Inputs!$F$170</f>
        <v>2.30524084996652</v>
      </c>
      <c r="R87" s="11" t="n">
        <f aca="false">(1-R82)*(R48+R49)/MAX(Time!R26,1)*Inputs!$F$170</f>
        <v>2.29604636601557</v>
      </c>
      <c r="S87" s="11" t="n">
        <f aca="false">(1-S82)*(S48+S49)/MAX(Time!S26,1)*Inputs!$F$170</f>
        <v>2.33834937971675</v>
      </c>
      <c r="T87" s="11" t="n">
        <f aca="false">(1-T82)*(T48+T49)/MAX(Time!T26,1)*Inputs!$F$170</f>
        <v>2.33433710460417</v>
      </c>
      <c r="U87" s="11" t="n">
        <f aca="false">(1-U82)*(U48+U49)/MAX(Time!U26,1)*Inputs!$F$170</f>
        <v>2.36892823034852</v>
      </c>
      <c r="V87" s="11" t="n">
        <f aca="false">(1-V82)*(V48+V49)/MAX(Time!V26,1)*Inputs!$F$170</f>
        <v>2.35489610555474</v>
      </c>
      <c r="W87" s="11" t="n">
        <f aca="false">(1-W82)*(W48+W49)/MAX(Time!W26,1)*Inputs!$F$170</f>
        <v>2.40168320495261</v>
      </c>
      <c r="X87" s="11" t="n">
        <f aca="false">(1-X82)*(X48+X49)/MAX(Time!X26,1)*Inputs!$F$170</f>
        <v>2.40463439904768</v>
      </c>
      <c r="Y87" s="11" t="n">
        <f aca="false">(1-Y82)*(Y48+Y49)/MAX(Time!Y26,1)*Inputs!$F$170</f>
        <v>2.44617091937142</v>
      </c>
      <c r="Z87" s="11" t="n">
        <f aca="false">(1-Z82)*(Z48+Z49)/MAX(Time!Z26,1)*Inputs!$F$170</f>
        <v>2.43642128516308</v>
      </c>
      <c r="AA87" s="11" t="n">
        <f aca="false">(1-AA82)*(AA48+AA49)/MAX(Time!AA26,1)*Inputs!$F$170</f>
        <v>2.48129877677069</v>
      </c>
      <c r="AB87" s="11" t="n">
        <f aca="false">(1-AB82)*(AB48+AB49)/MAX(Time!AB26,1)*Inputs!$F$170</f>
        <v>2.47704250085252</v>
      </c>
      <c r="AC87" s="11" t="n">
        <f aca="false">(1-AC82)*(AC48+AC49)/MAX(Time!AC26,1)*Inputs!$F$170</f>
        <v>2.51070577621293</v>
      </c>
      <c r="AD87" s="11" t="n">
        <f aca="false">(1-AD82)*(AD48+AD49)/MAX(Time!AD26,1)*Inputs!$F$170</f>
        <v>2.48984945804996</v>
      </c>
      <c r="AE87" s="11" t="n">
        <f aca="false">(1-AE82)*(AE48+AE49)/MAX(Time!AE26,1)*Inputs!$F$170</f>
        <v>2.54229674607933</v>
      </c>
      <c r="AF87" s="11" t="n">
        <f aca="false">(1-AF82)*(AF48+AF49)/MAX(Time!AF26,1)*Inputs!$F$170</f>
        <v>2.55162460293839</v>
      </c>
      <c r="AG87" s="11" t="n">
        <f aca="false">(1-AG82)*(AG48+AG49)/MAX(Time!AG26,1)*Inputs!$F$170</f>
        <v>2.59569060252482</v>
      </c>
      <c r="AH87" s="11" t="n">
        <f aca="false">(1-AH82)*(AH48+AH49)/MAX(Time!AH26,1)*Inputs!$F$170</f>
        <v>2.58535290066825</v>
      </c>
      <c r="AI87" s="11" t="n">
        <f aca="false">(1-AI82)*(AI48+AI49)/MAX(Time!AI26,1)*Inputs!$F$170</f>
        <v>2.63296064189563</v>
      </c>
      <c r="AJ87" s="11" t="n">
        <f aca="false">(1-AJ82)*(AJ48+AJ49)/MAX(Time!AJ26,1)*Inputs!$F$170</f>
        <v>2.62844578430847</v>
      </c>
      <c r="AK87" s="11" t="n">
        <f aca="false">(1-AK82)*(AK48+AK49)/MAX(Time!AK26,1)*Inputs!$F$170</f>
        <v>2.66738937121934</v>
      </c>
      <c r="AL87" s="11" t="n">
        <f aca="false">(1-AL82)*(AL48+AL49)/MAX(Time!AL26,1)*Inputs!$F$170</f>
        <v>2.65161685992547</v>
      </c>
      <c r="AM87" s="11" t="n">
        <f aca="false">(1-AM82)*(AM48+AM49)/MAX(Time!AM26,1)*Inputs!$F$170</f>
        <v>2.70426420973624</v>
      </c>
      <c r="AN87" s="11" t="n">
        <f aca="false">(1-AN82)*(AN48+AN49)/MAX(Time!AN26,1)*Inputs!$F$170</f>
        <v>2.70757306616401</v>
      </c>
      <c r="AO87" s="11" t="n">
        <f aca="false">(1-AO82)*(AO48+AO49)/MAX(Time!AO26,1)*Inputs!$F$170</f>
        <v>2.75432181382367</v>
      </c>
      <c r="AP87" s="11" t="n">
        <f aca="false">(1-AP82)*(AP48+AP49)/MAX(Time!AP26,1)*Inputs!$F$170</f>
        <v>2.74336121386447</v>
      </c>
      <c r="AQ87" s="11" t="n">
        <f aca="false">(1-AQ82)*(AQ48+AQ49)/MAX(Time!AQ26,1)*Inputs!$F$170</f>
        <v>2.79386434474928</v>
      </c>
      <c r="AR87" s="11" t="n">
        <f aca="false">(1-AR82)*(AR48+AR49)/MAX(Time!AR26,1)*Inputs!$F$170</f>
        <v>2.78907546968291</v>
      </c>
      <c r="AS87" s="11" t="n">
        <f aca="false">(1-AS82)*(AS48+AS49)/MAX(Time!AS26,1)*Inputs!$F$170</f>
        <v>2.82698096129738</v>
      </c>
      <c r="AT87" s="11" t="n">
        <f aca="false">(1-AT82)*(AT48+AT49)/MAX(Time!AT26,1)*Inputs!$F$170</f>
        <v>2.80354356733194</v>
      </c>
      <c r="AU87" s="11" t="n">
        <f aca="false">(1-AU82)*(AU48+AU49)/MAX(Time!AU26,1)*Inputs!$F$170</f>
        <v>2.86255254733537</v>
      </c>
      <c r="AV87" s="11" t="n">
        <f aca="false">(1-AV82)*(AV48+AV49)/MAX(Time!AV26,1)*Inputs!$F$170</f>
        <v>2.87302407551139</v>
      </c>
      <c r="AW87" s="11" t="n">
        <f aca="false">(1-AW82)*(AW48+AW49)/MAX(Time!AW26,1)*Inputs!$F$170</f>
        <v>2.92261807883464</v>
      </c>
      <c r="AX87" s="11" t="n">
        <f aca="false">(1-AX82)*(AX48+AX49)/MAX(Time!AX26,1)*Inputs!$F$170</f>
        <v>2.91099772865259</v>
      </c>
      <c r="AY87" s="11" t="n">
        <f aca="false">(1-AY82)*(AY48+AY49)/MAX(Time!AY26,1)*Inputs!$F$170</f>
        <v>2.96457131737742</v>
      </c>
      <c r="AZ87" s="11" t="n">
        <f aca="false">(1-AZ82)*(AZ48+AZ49)/MAX(Time!AZ26,1)*Inputs!$F$170</f>
        <v>2.95949208501949</v>
      </c>
      <c r="BA87" s="11" t="n">
        <f aca="false">(1-BA82)*(BA48+BA49)/MAX(Time!BA26,1)*Inputs!$F$170</f>
        <v>3.00333411719539</v>
      </c>
      <c r="BB87" s="11" t="n">
        <f aca="false">(1-BB82)*(BB48+BB49)/MAX(Time!BB26,1)*Inputs!$F$170</f>
        <v>2.98560953506859</v>
      </c>
      <c r="BC87" s="11" t="n">
        <f aca="false">(1-BC82)*(BC48+BC49)/MAX(Time!BC26,1)*Inputs!$F$170</f>
        <v>3.04484598449493</v>
      </c>
      <c r="BD87" s="11" t="n">
        <f aca="false">(1-BD82)*(BD48+BD49)/MAX(Time!BD26,1)*Inputs!$F$170</f>
        <v>3.04855488337244</v>
      </c>
      <c r="BE87" s="11" t="n">
        <f aca="false">(1-BE82)*(BE48+BE49)/MAX(Time!BE26,1)*Inputs!$F$170</f>
        <v>3.10116644257856</v>
      </c>
      <c r="BF87" s="11" t="n">
        <f aca="false">(1-BF82)*(BF48+BF49)/MAX(Time!BF26,1)*Inputs!$F$170</f>
        <v>3.08884735379754</v>
      </c>
      <c r="BG87" s="11" t="n">
        <f aca="false">(1-BG82)*(BG48+BG49)/MAX(Time!BG26,1)*Inputs!$F$170</f>
        <v>3.14567698973259</v>
      </c>
      <c r="BH87" s="11" t="n">
        <f aca="false">(1-BH82)*(BH48+BH49)/MAX(Time!BH26,1)*Inputs!$F$170</f>
        <v>3.14029010447144</v>
      </c>
      <c r="BI87" s="11" t="n">
        <f aca="false">(1-BI82)*(BI48+BI49)/MAX(Time!BI26,1)*Inputs!$F$170</f>
        <v>3.18297154130748</v>
      </c>
      <c r="BJ87" s="11" t="n">
        <f aca="false">(1-BJ82)*(BJ48+BJ49)/MAX(Time!BJ26,1)*Inputs!$F$170</f>
        <v>3.15663989812677</v>
      </c>
      <c r="BK87" s="11" t="n">
        <f aca="false">(1-BK82)*(BK48+BK49)/MAX(Time!BK26,1)*Inputs!$F$170</f>
        <v>3.22302517083753</v>
      </c>
      <c r="BL87" s="11" t="n">
        <f aca="false">(1-BL82)*(BL48+BL49)/MAX(Time!BL26,1)*Inputs!$F$170</f>
        <v>3.23477769781933</v>
      </c>
      <c r="BM87" s="11" t="n">
        <f aca="false">(1-BM82)*(BM48+BM49)/MAX(Time!BM26,1)*Inputs!$F$170</f>
        <v>0</v>
      </c>
      <c r="BN87" s="11" t="n">
        <f aca="false">(1-BN82)*(BN48+BN49)/MAX(Time!BN26,1)*Inputs!$F$170</f>
        <v>0</v>
      </c>
    </row>
    <row r="88" customFormat="false" ht="15" hidden="false" customHeight="false" outlineLevel="0" collapsed="false">
      <c r="D88" s="0" t="s">
        <v>536</v>
      </c>
      <c r="E88" s="0" t="s">
        <v>149</v>
      </c>
      <c r="J88" s="11" t="n">
        <f aca="false">(1-J82)*(J56+J57+J58+J60)/MAX(Time!J26,1)*Inputs!$F$171</f>
        <v>0</v>
      </c>
      <c r="K88" s="11" t="n">
        <f aca="false">(1-K82)*(K56+K57+K58+K60)/MAX(Time!K26,1)*Inputs!$F$171</f>
        <v>0</v>
      </c>
      <c r="L88" s="11" t="n">
        <f aca="false">(1-L82)*(L56+L57+L58+L60)/MAX(Time!L26,1)*Inputs!$F$171</f>
        <v>0</v>
      </c>
      <c r="M88" s="11" t="n">
        <f aca="false">(1-M82)*(M56+M57+M58+M60)/MAX(Time!M26,1)*Inputs!$F$171</f>
        <v>0</v>
      </c>
      <c r="N88" s="11" t="n">
        <f aca="false">(1-N82)*(N56+N57+N58+N60)/MAX(Time!N26,1)*Inputs!$F$171</f>
        <v>0</v>
      </c>
      <c r="O88" s="11" t="n">
        <f aca="false">(1-O82)*(O56+O57+O58+O60)/MAX(Time!O26,1)*Inputs!$F$171</f>
        <v>1.58887757310739</v>
      </c>
      <c r="P88" s="11" t="n">
        <f aca="false">(1-P82)*(P56+P57+P58+P60)/MAX(Time!P26,1)*Inputs!$F$171</f>
        <v>1.59753046771053</v>
      </c>
      <c r="Q88" s="11" t="n">
        <f aca="false">(1-Q82)*(Q56+Q57+Q58+Q60)/MAX(Time!Q26,1)*Inputs!$F$171</f>
        <v>1.63630833687557</v>
      </c>
      <c r="R88" s="11" t="n">
        <f aca="false">(1-R82)*(R56+R57+R58+R60)/MAX(Time!R26,1)*Inputs!$F$171</f>
        <v>1.61636331351416</v>
      </c>
      <c r="S88" s="11" t="n">
        <f aca="false">(1-S82)*(S56+S57+S58+S60)/MAX(Time!S26,1)*Inputs!$F$171</f>
        <v>1.66671891328057</v>
      </c>
      <c r="T88" s="11" t="n">
        <f aca="false">(1-T82)*(T56+T57+T58+T60)/MAX(Time!T26,1)*Inputs!$F$171</f>
        <v>1.66859501303617</v>
      </c>
      <c r="U88" s="11" t="n">
        <f aca="false">(1-U82)*(U56+U57+U58+U60)/MAX(Time!U26,1)*Inputs!$F$171</f>
        <v>1.68519129573022</v>
      </c>
      <c r="V88" s="11" t="n">
        <f aca="false">(1-V82)*(V56+V57+V58+V60)/MAX(Time!V26,1)*Inputs!$F$171</f>
        <v>1.67085404294842</v>
      </c>
      <c r="W88" s="11" t="n">
        <f aca="false">(1-W82)*(W56+W57+W58+W60)/MAX(Time!W26,1)*Inputs!$F$171</f>
        <v>1.71741984496264</v>
      </c>
      <c r="X88" s="11" t="n">
        <f aca="false">(1-X82)*(X56+X57+X58+X60)/MAX(Time!X26,1)*Inputs!$F$171</f>
        <v>1.74282079359607</v>
      </c>
      <c r="Y88" s="11" t="n">
        <f aca="false">(1-Y82)*(Y56+Y57+Y58+Y60)/MAX(Time!Y26,1)*Inputs!$F$171</f>
        <v>1.78512538689063</v>
      </c>
      <c r="Z88" s="11" t="n">
        <f aca="false">(1-Z82)*(Z56+Z57+Z58+Z60)/MAX(Time!Z26,1)*Inputs!$F$171</f>
        <v>1.7633664269549</v>
      </c>
      <c r="AA88" s="11" t="n">
        <f aca="false">(1-AA82)*(AA56+AA57+AA58+AA60)/MAX(Time!AA26,1)*Inputs!$F$171</f>
        <v>1.81830170870429</v>
      </c>
      <c r="AB88" s="11" t="n">
        <f aca="false">(1-AB82)*(AB56+AB57+AB58+AB60)/MAX(Time!AB26,1)*Inputs!$F$171</f>
        <v>1.82034843377839</v>
      </c>
      <c r="AC88" s="11" t="n">
        <f aca="false">(1-AC82)*(AC56+AC57+AC58+AC60)/MAX(Time!AC26,1)*Inputs!$F$171</f>
        <v>1.82536943165191</v>
      </c>
      <c r="AD88" s="11" t="n">
        <f aca="false">(1-AD82)*(AD56+AD57+AD58+AD60)/MAX(Time!AD26,1)*Inputs!$F$171</f>
        <v>1.82224678606395</v>
      </c>
      <c r="AE88" s="11" t="n">
        <f aca="false">(1-AE82)*(AE56+AE57+AE58+AE60)/MAX(Time!AE26,1)*Inputs!$F$171</f>
        <v>1.87323757930149</v>
      </c>
      <c r="AF88" s="11" t="n">
        <f aca="false">(1-AF82)*(AF56+AF57+AF58+AF60)/MAX(Time!AF26,1)*Inputs!$F$171</f>
        <v>1.90132481350659</v>
      </c>
      <c r="AG88" s="11" t="n">
        <f aca="false">(1-AG82)*(AG56+AG57+AG58+AG60)/MAX(Time!AG26,1)*Inputs!$F$171</f>
        <v>1.94747687529735</v>
      </c>
      <c r="AH88" s="11" t="n">
        <f aca="false">(1-AH82)*(AH56+AH57+AH58+AH60)/MAX(Time!AH26,1)*Inputs!$F$171</f>
        <v>1.92373900701283</v>
      </c>
      <c r="AI88" s="11" t="n">
        <f aca="false">(1-AI82)*(AI56+AI57+AI58+AI60)/MAX(Time!AI26,1)*Inputs!$F$171</f>
        <v>1.9836704782868</v>
      </c>
      <c r="AJ88" s="11" t="n">
        <f aca="false">(1-AJ82)*(AJ56+AJ57+AJ58+AJ60)/MAX(Time!AJ26,1)*Inputs!$F$171</f>
        <v>1.98590334651062</v>
      </c>
      <c r="AK88" s="11" t="n">
        <f aca="false">(1-AK82)*(AK56+AK57+AK58+AK60)/MAX(Time!AK26,1)*Inputs!$F$171</f>
        <v>2.00565566093339</v>
      </c>
      <c r="AL88" s="11" t="n">
        <f aca="false">(1-AL82)*(AL56+AL57+AL58+AL60)/MAX(Time!AL26,1)*Inputs!$F$171</f>
        <v>1.9885919647958</v>
      </c>
      <c r="AM88" s="11" t="n">
        <f aca="false">(1-AM82)*(AM56+AM57+AM58+AM60)/MAX(Time!AM26,1)*Inputs!$F$171</f>
        <v>2.04401295151247</v>
      </c>
      <c r="AN88" s="11" t="n">
        <f aca="false">(1-AN82)*(AN56+AN57+AN58+AN60)/MAX(Time!AN26,1)*Inputs!$F$171</f>
        <v>2.0742442709768</v>
      </c>
      <c r="AO88" s="11" t="n">
        <f aca="false">(1-AO82)*(AO56+AO57+AO58+AO60)/MAX(Time!AO26,1)*Inputs!$F$171</f>
        <v>2.12459371631259</v>
      </c>
      <c r="AP88" s="11" t="n">
        <f aca="false">(1-AP82)*(AP56+AP57+AP58+AP60)/MAX(Time!AP26,1)*Inputs!$F$171</f>
        <v>2.09869696424552</v>
      </c>
      <c r="AQ88" s="11" t="n">
        <f aca="false">(1-AQ82)*(AQ56+AQ57+AQ58+AQ60)/MAX(Time!AQ26,1)*Inputs!$F$171</f>
        <v>2.16407901262471</v>
      </c>
      <c r="AR88" s="11" t="n">
        <f aca="false">(1-AR82)*(AR56+AR57+AR58+AR60)/MAX(Time!AR26,1)*Inputs!$F$171</f>
        <v>2.16651495312693</v>
      </c>
      <c r="AS88" s="11" t="n">
        <f aca="false">(1-AS82)*(AS56+AS57+AS58+AS60)/MAX(Time!AS26,1)*Inputs!$F$171</f>
        <v>2.17249076894919</v>
      </c>
      <c r="AT88" s="11" t="n">
        <f aca="false">(1-AT82)*(AT56+AT57+AT58+AT60)/MAX(Time!AT26,1)*Inputs!$F$171</f>
        <v>2.16877430553257</v>
      </c>
      <c r="AU88" s="11" t="n">
        <f aca="false">(1-AU82)*(AU56+AU57+AU58+AU60)/MAX(Time!AU26,1)*Inputs!$F$171</f>
        <v>2.22946176182994</v>
      </c>
      <c r="AV88" s="11" t="n">
        <f aca="false">(1-AV82)*(AV56+AV57+AV58+AV60)/MAX(Time!AV26,1)*Inputs!$F$171</f>
        <v>2.26289020430182</v>
      </c>
      <c r="AW88" s="11" t="n">
        <f aca="false">(1-AW82)*(AW56+AW57+AW58+AW60)/MAX(Time!AW26,1)*Inputs!$F$171</f>
        <v>2.31781877189466</v>
      </c>
      <c r="AX88" s="11" t="n">
        <f aca="false">(1-AX82)*(AX56+AX57+AX58+AX60)/MAX(Time!AX26,1)*Inputs!$F$171</f>
        <v>2.28956679241675</v>
      </c>
      <c r="AY88" s="11" t="n">
        <f aca="false">(1-AY82)*(AY56+AY57+AY58+AY60)/MAX(Time!AY26,1)*Inputs!$F$171</f>
        <v>2.36089513059014</v>
      </c>
      <c r="AZ88" s="11" t="n">
        <f aca="false">(1-AZ82)*(AZ56+AZ57+AZ58+AZ60)/MAX(Time!AZ26,1)*Inputs!$F$171</f>
        <v>2.36355261214999</v>
      </c>
      <c r="BA88" s="11" t="n">
        <f aca="false">(1-BA82)*(BA56+BA57+BA58+BA60)/MAX(Time!BA26,1)*Inputs!$F$171</f>
        <v>2.38706112500485</v>
      </c>
      <c r="BB88" s="11" t="n">
        <f aca="false">(1-BB82)*(BB56+BB57+BB58+BB60)/MAX(Time!BB26,1)*Inputs!$F$171</f>
        <v>2.36675251147146</v>
      </c>
      <c r="BC88" s="11" t="n">
        <f aca="false">(1-BC82)*(BC56+BC57+BC58+BC60)/MAX(Time!BC26,1)*Inputs!$F$171</f>
        <v>2.43271262889222</v>
      </c>
      <c r="BD88" s="11" t="n">
        <f aca="false">(1-BD82)*(BD56+BD57+BD58+BD60)/MAX(Time!BD26,1)*Inputs!$F$171</f>
        <v>2.46869288654887</v>
      </c>
      <c r="BE88" s="11" t="n">
        <f aca="false">(1-BE82)*(BE56+BE57+BE58+BE60)/MAX(Time!BE26,1)*Inputs!$F$171</f>
        <v>2.52861703303506</v>
      </c>
      <c r="BF88" s="11" t="n">
        <f aca="false">(1-BF82)*(BF56+BF57+BF58+BF60)/MAX(Time!BF26,1)*Inputs!$F$171</f>
        <v>2.49779562568818</v>
      </c>
      <c r="BG88" s="11" t="n">
        <f aca="false">(1-BG82)*(BG56+BG57+BG58+BG60)/MAX(Time!BG26,1)*Inputs!$F$171</f>
        <v>2.57561104984056</v>
      </c>
      <c r="BH88" s="11" t="n">
        <f aca="false">(1-BH82)*(BH56+BH57+BH58+BH60)/MAX(Time!BH26,1)*Inputs!$F$171</f>
        <v>2.5785102209141</v>
      </c>
      <c r="BI88" s="11" t="n">
        <f aca="false">(1-BI82)*(BI56+BI57+BI58+BI60)/MAX(Time!BI26,1)*Inputs!$F$171</f>
        <v>2.58562242761905</v>
      </c>
      <c r="BJ88" s="11" t="n">
        <f aca="false">(1-BJ82)*(BJ56+BJ57+BJ58+BJ60)/MAX(Time!BJ26,1)*Inputs!$F$171</f>
        <v>2.58119922301962</v>
      </c>
      <c r="BK88" s="11" t="n">
        <f aca="false">(1-BK82)*(BK56+BK57+BK58+BK60)/MAX(Time!BK26,1)*Inputs!$F$171</f>
        <v>2.65342730809155</v>
      </c>
      <c r="BL88" s="11" t="n">
        <f aca="false">(1-BL82)*(BL56+BL57+BL58+BL60)/MAX(Time!BL26,1)*Inputs!$F$171</f>
        <v>2.69321266958125</v>
      </c>
      <c r="BM88" s="11" t="n">
        <f aca="false">(1-BM82)*(BM56+BM57+BM58+BM60)/MAX(Time!BM26,1)*Inputs!$F$171</f>
        <v>0</v>
      </c>
      <c r="BN88" s="11" t="n">
        <f aca="false">(1-BN82)*(BN56+BN57+BN58+BN60)/MAX(Time!BN26,1)*Inputs!$F$171</f>
        <v>0</v>
      </c>
    </row>
    <row r="89" customFormat="false" ht="15" hidden="false" customHeight="false" outlineLevel="0" collapsed="false">
      <c r="D89" s="0" t="s">
        <v>537</v>
      </c>
      <c r="E89" s="0" t="s">
        <v>149</v>
      </c>
      <c r="J89" s="11" t="n">
        <f aca="false">(1-J82)*(J61+J62+J63+J64+J65+J66+J67)/MAX(Time!J26,1)*Inputs!$F$172</f>
        <v>0</v>
      </c>
      <c r="K89" s="11" t="n">
        <f aca="false">(1-K82)*(K61+K62+K63+K64+K65+K66+K67)/MAX(Time!K26,1)*Inputs!$F$172</f>
        <v>0</v>
      </c>
      <c r="L89" s="11" t="n">
        <f aca="false">(1-L82)*(L61+L62+L63+L64+L65+L66+L67)/MAX(Time!L26,1)*Inputs!$F$172</f>
        <v>0</v>
      </c>
      <c r="M89" s="11" t="n">
        <f aca="false">(1-M82)*(M61+M62+M63+M64+M65+M66+M67)/MAX(Time!M26,1)*Inputs!$F$172</f>
        <v>0</v>
      </c>
      <c r="N89" s="11" t="n">
        <f aca="false">(1-N82)*(N61+N62+N63+N64+N65+N66+N67)/MAX(Time!N26,1)*Inputs!$F$172</f>
        <v>0</v>
      </c>
      <c r="O89" s="11" t="n">
        <f aca="false">(1-O82)*(O61+O62+O63+O64+O65+O66+O67)/MAX(Time!O26,1)*Inputs!$F$172</f>
        <v>1.15788312854167</v>
      </c>
      <c r="P89" s="11" t="n">
        <f aca="false">(1-P82)*(P61+P62+P63+P64+P65+P66+P67)/MAX(Time!P26,1)*Inputs!$F$172</f>
        <v>1.16311542870536</v>
      </c>
      <c r="Q89" s="11" t="n">
        <f aca="false">(1-Q82)*(Q61+Q62+Q63+Q64+Q65+Q66+Q67)/MAX(Time!Q26,1)*Inputs!$F$172</f>
        <v>1.19299191555225</v>
      </c>
      <c r="R89" s="11" t="n">
        <f aca="false">(1-R82)*(R61+R62+R63+R64+R65+R66+R67)/MAX(Time!R26,1)*Inputs!$F$172</f>
        <v>1.18285711757755</v>
      </c>
      <c r="S89" s="11" t="n">
        <f aca="false">(1-S82)*(S61+S62+S63+S64+S65+S66+S67)/MAX(Time!S26,1)*Inputs!$F$172</f>
        <v>1.21567624564631</v>
      </c>
      <c r="T89" s="11" t="n">
        <f aca="false">(1-T82)*(T61+T62+T63+T64+T65+T66+T67)/MAX(Time!T26,1)*Inputs!$F$172</f>
        <v>1.21011543351342</v>
      </c>
      <c r="U89" s="11" t="n">
        <f aca="false">(1-U82)*(U61+U62+U63+U64+U65+U66+U67)/MAX(Time!U26,1)*Inputs!$F$172</f>
        <v>1.23118802515451</v>
      </c>
      <c r="V89" s="11" t="n">
        <f aca="false">(1-V82)*(V61+V62+V63+V64+V65+V66+V67)/MAX(Time!V26,1)*Inputs!$F$172</f>
        <v>1.22013340233583</v>
      </c>
      <c r="W89" s="11" t="n">
        <f aca="false">(1-W82)*(W61+W62+W63+W64+W65+W66+W67)/MAX(Time!W26,1)*Inputs!$F$172</f>
        <v>1.25778821757725</v>
      </c>
      <c r="X89" s="11" t="n">
        <f aca="false">(1-X82)*(X61+X62+X63+X64+X65+X66+X67)/MAX(Time!X26,1)*Inputs!$F$172</f>
        <v>1.25915864580029</v>
      </c>
      <c r="Y89" s="11" t="n">
        <f aca="false">(1-Y82)*(Y61+Y62+Y63+Y64+Y65+Y66+Y67)/MAX(Time!Y26,1)*Inputs!$F$172</f>
        <v>1.29157364528302</v>
      </c>
      <c r="Z89" s="11" t="n">
        <f aca="false">(1-Z82)*(Z61+Z62+Z63+Z64+Z65+Z66+Z67)/MAX(Time!Z26,1)*Inputs!$F$172</f>
        <v>1.28067295378927</v>
      </c>
      <c r="AA89" s="11" t="n">
        <f aca="false">(1-AA82)*(AA61+AA62+AA63+AA64+AA65+AA66+AA67)/MAX(Time!AA26,1)*Inputs!$F$172</f>
        <v>1.31627848160663</v>
      </c>
      <c r="AB89" s="11" t="n">
        <f aca="false">(1-AB82)*(AB61+AB62+AB63+AB64+AB65+AB66+AB67)/MAX(Time!AB26,1)*Inputs!$F$172</f>
        <v>1.3103338408054</v>
      </c>
      <c r="AC89" s="11" t="n">
        <f aca="false">(1-AC82)*(AC61+AC62+AC63+AC64+AC65+AC66+AC67)/MAX(Time!AC26,1)*Inputs!$F$172</f>
        <v>1.33008019107463</v>
      </c>
      <c r="AD89" s="11" t="n">
        <f aca="false">(1-AD82)*(AD61+AD62+AD63+AD64+AD65+AD66+AD67)/MAX(Time!AD26,1)*Inputs!$F$172</f>
        <v>1.31195869109736</v>
      </c>
      <c r="AE89" s="11" t="n">
        <f aca="false">(1-AE82)*(AE61+AE62+AE63+AE64+AE65+AE66+AE67)/MAX(Time!AE26,1)*Inputs!$F$172</f>
        <v>1.35576048853596</v>
      </c>
      <c r="AF89" s="11" t="n">
        <f aca="false">(1-AF82)*(AF61+AF62+AF63+AF64+AF65+AF66+AF67)/MAX(Time!AF26,1)*Inputs!$F$172</f>
        <v>1.36373364877106</v>
      </c>
      <c r="AG89" s="11" t="n">
        <f aca="false">(1-AG82)*(AG61+AG62+AG63+AG64+AG65+AG66+AG67)/MAX(Time!AG26,1)*Inputs!$F$172</f>
        <v>1.398913096566</v>
      </c>
      <c r="AH89" s="11" t="n">
        <f aca="false">(1-AH82)*(AH61+AH62+AH63+AH64+AH65+AH66+AH67)/MAX(Time!AH26,1)*Inputs!$F$172</f>
        <v>1.38717937986707</v>
      </c>
      <c r="AI89" s="11" t="n">
        <f aca="false">(1-AI82)*(AI61+AI62+AI63+AI64+AI65+AI66+AI67)/MAX(Time!AI26,1)*Inputs!$F$172</f>
        <v>1.42581832690589</v>
      </c>
      <c r="AJ89" s="11" t="n">
        <f aca="false">(1-AJ82)*(AJ61+AJ62+AJ63+AJ64+AJ65+AJ66+AJ67)/MAX(Time!AJ26,1)*Inputs!$F$172</f>
        <v>1.41945472224363</v>
      </c>
      <c r="AK89" s="11" t="n">
        <f aca="false">(1-AK82)*(AK61+AK62+AK63+AK64+AK65+AK66+AK67)/MAX(Time!AK26,1)*Inputs!$F$172</f>
        <v>1.44433173698929</v>
      </c>
      <c r="AL89" s="11" t="n">
        <f aca="false">(1-AL82)*(AL61+AL62+AL63+AL64+AL65+AL66+AL67)/MAX(Time!AL26,1)*Inputs!$F$172</f>
        <v>1.43163350752289</v>
      </c>
      <c r="AM89" s="11" t="n">
        <f aca="false">(1-AM82)*(AM61+AM62+AM63+AM64+AM65+AM66+AM67)/MAX(Time!AM26,1)*Inputs!$F$172</f>
        <v>1.47590683737592</v>
      </c>
      <c r="AN89" s="11" t="n">
        <f aca="false">(1-AN82)*(AN61+AN62+AN63+AN64+AN65+AN66+AN67)/MAX(Time!AN26,1)*Inputs!$F$172</f>
        <v>1.47759791063065</v>
      </c>
      <c r="AO89" s="11" t="n">
        <f aca="false">(1-AO82)*(AO61+AO62+AO63+AO64+AO65+AO66+AO67)/MAX(Time!AO26,1)*Inputs!$F$172</f>
        <v>1.51578784181603</v>
      </c>
      <c r="AP89" s="11" t="n">
        <f aca="false">(1-AP82)*(AP61+AP62+AP63+AP64+AP65+AP66+AP67)/MAX(Time!AP26,1)*Inputs!$F$172</f>
        <v>1.50314809235257</v>
      </c>
      <c r="AQ89" s="11" t="n">
        <f aca="false">(1-AQ82)*(AQ61+AQ62+AQ63+AQ64+AQ65+AQ66+AQ67)/MAX(Time!AQ26,1)*Inputs!$F$172</f>
        <v>1.54508936214139</v>
      </c>
      <c r="AR89" s="11" t="n">
        <f aca="false">(1-AR82)*(AR61+AR62+AR63+AR64+AR65+AR66+AR67)/MAX(Time!AR26,1)*Inputs!$F$172</f>
        <v>1.53826844232863</v>
      </c>
      <c r="AS89" s="11" t="n">
        <f aca="false">(1-AS82)*(AS61+AS62+AS63+AS64+AS65+AS66+AS67)/MAX(Time!AS26,1)*Inputs!$F$172</f>
        <v>1.56165113673361</v>
      </c>
      <c r="AT89" s="11" t="n">
        <f aca="false">(1-AT82)*(AT61+AT62+AT63+AT64+AT65+AT66+AT67)/MAX(Time!AT26,1)*Inputs!$F$172</f>
        <v>1.54072922610133</v>
      </c>
      <c r="AU89" s="11" t="n">
        <f aca="false">(1-AU82)*(AU61+AU62+AU63+AU64+AU65+AU66+AU67)/MAX(Time!AU26,1)*Inputs!$F$172</f>
        <v>1.59221570287395</v>
      </c>
      <c r="AV89" s="11" t="n">
        <f aca="false">(1-AV82)*(AV61+AV62+AV63+AV64+AV65+AV66+AV67)/MAX(Time!AV26,1)*Inputs!$F$172</f>
        <v>1.60157611474948</v>
      </c>
      <c r="AW89" s="11" t="n">
        <f aca="false">(1-AW82)*(AW61+AW62+AW63+AW64+AW65+AW66+AW67)/MAX(Time!AW26,1)*Inputs!$F$172</f>
        <v>1.64304445097155</v>
      </c>
      <c r="AX89" s="11" t="n">
        <f aca="false">(1-AX82)*(AX61+AX62+AX63+AX64+AX65+AX66+AX67)/MAX(Time!AX26,1)*Inputs!$F$172</f>
        <v>1.62941927179496</v>
      </c>
      <c r="AY89" s="11" t="n">
        <f aca="false">(1-AY82)*(AY61+AY62+AY63+AY64+AY65+AY66+AY67)/MAX(Time!AY26,1)*Inputs!$F$172</f>
        <v>1.67495558931043</v>
      </c>
      <c r="AZ89" s="11" t="n">
        <f aca="false">(1-AZ82)*(AZ61+AZ62+AZ63+AZ64+AZ65+AZ66+AZ67)/MAX(Time!AZ26,1)*Inputs!$F$172</f>
        <v>1.66763549258793</v>
      </c>
      <c r="BA89" s="11" t="n">
        <f aca="false">(1-BA82)*(BA61+BA62+BA63+BA64+BA65+BA66+BA67)/MAX(Time!BA26,1)*Inputs!$F$172</f>
        <v>1.69703068173692</v>
      </c>
      <c r="BB89" s="11" t="n">
        <f aca="false">(1-BB82)*(BB61+BB62+BB63+BB64+BB65+BB66+BB67)/MAX(Time!BB26,1)*Inputs!$F$172</f>
        <v>1.68239956826011</v>
      </c>
      <c r="BC89" s="11" t="n">
        <f aca="false">(1-BC82)*(BC61+BC62+BC63+BC64+BC65+BC66+BC67)/MAX(Time!BC26,1)*Inputs!$F$172</f>
        <v>1.73451166390826</v>
      </c>
      <c r="BD89" s="11" t="n">
        <f aca="false">(1-BD82)*(BD61+BD62+BD63+BD64+BD65+BD66+BD67)/MAX(Time!BD26,1)*Inputs!$F$172</f>
        <v>1.73656611468719</v>
      </c>
      <c r="BE89" s="11" t="n">
        <f aca="false">(1-BE82)*(BE61+BE62+BE63+BE64+BE65+BE66+BE67)/MAX(Time!BE26,1)*Inputs!$F$172</f>
        <v>1.78160461015188</v>
      </c>
      <c r="BF89" s="11" t="n">
        <f aca="false">(1-BF82)*(BF61+BF62+BF63+BF64+BF65+BF66+BF67)/MAX(Time!BF26,1)*Inputs!$F$172</f>
        <v>1.76690765660423</v>
      </c>
      <c r="BG89" s="11" t="n">
        <f aca="false">(1-BG82)*(BG61+BG62+BG63+BG64+BG65+BG66+BG67)/MAX(Time!BG26,1)*Inputs!$F$172</f>
        <v>1.81635767705277</v>
      </c>
      <c r="BH89" s="11" t="n">
        <f aca="false">(1-BH82)*(BH61+BH62+BH63+BH64+BH65+BH66+BH67)/MAX(Time!BH26,1)*Inputs!$F$172</f>
        <v>1.80849270987533</v>
      </c>
      <c r="BI89" s="11" t="n">
        <f aca="false">(1-BI82)*(BI61+BI62+BI63+BI64+BI65+BI66+BI67)/MAX(Time!BI26,1)*Inputs!$F$172</f>
        <v>1.8362001778457</v>
      </c>
      <c r="BJ89" s="11" t="n">
        <f aca="false">(1-BJ82)*(BJ61+BJ62+BJ63+BJ64+BJ65+BJ66+BJ67)/MAX(Time!BJ26,1)*Inputs!$F$172</f>
        <v>1.81198576079422</v>
      </c>
      <c r="BK89" s="11" t="n">
        <f aca="false">(1-BK82)*(BK61+BK62+BK63+BK64+BK65+BK66+BK67)/MAX(Time!BK26,1)*Inputs!$F$172</f>
        <v>1.87256931926619</v>
      </c>
      <c r="BL89" s="11" t="n">
        <f aca="false">(1-BL82)*(BL61+BL62+BL63+BL64+BL65+BL66+BL67)/MAX(Time!BL26,1)*Inputs!$F$172</f>
        <v>1.88354542216126</v>
      </c>
      <c r="BM89" s="11" t="n">
        <f aca="false">(1-BM82)*(BM61+BM62+BM63+BM64+BM65+BM66+BM67)/MAX(Time!BM26,1)*Inputs!$F$172</f>
        <v>0</v>
      </c>
      <c r="BN89" s="11" t="n">
        <f aca="false">(1-BN82)*(BN61+BN62+BN63+BN64+BN65+BN66+BN67)/MAX(Time!BN26,1)*Inputs!$F$172</f>
        <v>0</v>
      </c>
    </row>
    <row r="90" customFormat="false" ht="15" hidden="false" customHeight="false" outlineLevel="0" collapsed="false">
      <c r="D90" s="0" t="s">
        <v>538</v>
      </c>
      <c r="E90" s="0" t="s">
        <v>149</v>
      </c>
      <c r="J90" s="11" t="n">
        <f aca="false">Inputs!$F$186*J85</f>
        <v>0</v>
      </c>
      <c r="K90" s="11" t="n">
        <f aca="false">Inputs!$F$186*K85</f>
        <v>0</v>
      </c>
      <c r="L90" s="11" t="n">
        <f aca="false">Inputs!$F$186*L85</f>
        <v>0</v>
      </c>
      <c r="M90" s="11" t="n">
        <f aca="false">Inputs!$F$186*M85</f>
        <v>0</v>
      </c>
      <c r="N90" s="11" t="n">
        <f aca="false">Inputs!$F$186*N85</f>
        <v>0</v>
      </c>
      <c r="O90" s="11" t="n">
        <f aca="false">Inputs!$F$186*O85</f>
        <v>0</v>
      </c>
      <c r="P90" s="11" t="n">
        <f aca="false">Inputs!$F$186*P85</f>
        <v>0</v>
      </c>
      <c r="Q90" s="11" t="n">
        <f aca="false">Inputs!$F$186*Q85</f>
        <v>0</v>
      </c>
      <c r="R90" s="11" t="n">
        <f aca="false">Inputs!$F$186*R85</f>
        <v>0</v>
      </c>
      <c r="S90" s="11" t="n">
        <f aca="false">Inputs!$F$186*S85</f>
        <v>0</v>
      </c>
      <c r="T90" s="11" t="n">
        <f aca="false">Inputs!$F$186*T85</f>
        <v>0</v>
      </c>
      <c r="U90" s="11" t="n">
        <f aca="false">Inputs!$F$186*U85</f>
        <v>0</v>
      </c>
      <c r="V90" s="11" t="n">
        <f aca="false">Inputs!$F$186*V85</f>
        <v>0</v>
      </c>
      <c r="W90" s="11" t="n">
        <f aca="false">Inputs!$F$186*W85</f>
        <v>0</v>
      </c>
      <c r="X90" s="11" t="n">
        <f aca="false">Inputs!$F$186*X85</f>
        <v>0</v>
      </c>
      <c r="Y90" s="11" t="n">
        <f aca="false">Inputs!$F$186*Y85</f>
        <v>0</v>
      </c>
      <c r="Z90" s="11" t="n">
        <f aca="false">Inputs!$F$186*Z85</f>
        <v>0</v>
      </c>
      <c r="AA90" s="11" t="n">
        <f aca="false">Inputs!$F$186*AA85</f>
        <v>0</v>
      </c>
      <c r="AB90" s="11" t="n">
        <f aca="false">Inputs!$F$186*AB85</f>
        <v>0</v>
      </c>
      <c r="AC90" s="11" t="n">
        <f aca="false">Inputs!$F$186*AC85</f>
        <v>0</v>
      </c>
      <c r="AD90" s="11" t="n">
        <f aca="false">Inputs!$F$186*AD85</f>
        <v>0</v>
      </c>
      <c r="AE90" s="11" t="n">
        <f aca="false">Inputs!$F$186*AE85</f>
        <v>0</v>
      </c>
      <c r="AF90" s="11" t="n">
        <f aca="false">Inputs!$F$186*AF85</f>
        <v>0</v>
      </c>
      <c r="AG90" s="11" t="n">
        <f aca="false">Inputs!$F$186*AG85</f>
        <v>0</v>
      </c>
      <c r="AH90" s="11" t="n">
        <f aca="false">Inputs!$F$186*AH85</f>
        <v>0</v>
      </c>
      <c r="AI90" s="11" t="n">
        <f aca="false">Inputs!$F$186*AI85</f>
        <v>0</v>
      </c>
      <c r="AJ90" s="11" t="n">
        <f aca="false">Inputs!$F$186*AJ85</f>
        <v>0</v>
      </c>
      <c r="AK90" s="11" t="n">
        <f aca="false">Inputs!$F$186*AK85</f>
        <v>0</v>
      </c>
      <c r="AL90" s="11" t="n">
        <f aca="false">Inputs!$F$186*AL85</f>
        <v>0</v>
      </c>
      <c r="AM90" s="11" t="n">
        <f aca="false">Inputs!$F$186*AM85</f>
        <v>0</v>
      </c>
      <c r="AN90" s="11" t="n">
        <f aca="false">Inputs!$F$186*AN85</f>
        <v>0</v>
      </c>
      <c r="AO90" s="11" t="n">
        <f aca="false">Inputs!$F$186*AO85</f>
        <v>0</v>
      </c>
      <c r="AP90" s="11" t="n">
        <f aca="false">Inputs!$F$186*AP85</f>
        <v>0</v>
      </c>
      <c r="AQ90" s="11" t="n">
        <f aca="false">Inputs!$F$186*AQ85</f>
        <v>0</v>
      </c>
      <c r="AR90" s="11" t="n">
        <f aca="false">Inputs!$F$186*AR85</f>
        <v>0</v>
      </c>
      <c r="AS90" s="11" t="n">
        <f aca="false">Inputs!$F$186*AS85</f>
        <v>0</v>
      </c>
      <c r="AT90" s="11" t="n">
        <f aca="false">Inputs!$F$186*AT85</f>
        <v>0</v>
      </c>
      <c r="AU90" s="11" t="n">
        <f aca="false">Inputs!$F$186*AU85</f>
        <v>0</v>
      </c>
      <c r="AV90" s="11" t="n">
        <f aca="false">Inputs!$F$186*AV85</f>
        <v>0</v>
      </c>
      <c r="AW90" s="11" t="n">
        <f aca="false">Inputs!$F$186*AW85</f>
        <v>0</v>
      </c>
      <c r="AX90" s="11" t="n">
        <f aca="false">Inputs!$F$186*AX85</f>
        <v>0</v>
      </c>
      <c r="AY90" s="11" t="n">
        <f aca="false">Inputs!$F$186*AY85</f>
        <v>0</v>
      </c>
      <c r="AZ90" s="11" t="n">
        <f aca="false">Inputs!$F$186*AZ85</f>
        <v>0</v>
      </c>
      <c r="BA90" s="11" t="n">
        <f aca="false">Inputs!$F$186*BA85</f>
        <v>0</v>
      </c>
      <c r="BB90" s="11" t="n">
        <f aca="false">Inputs!$F$186*BB85</f>
        <v>0</v>
      </c>
      <c r="BC90" s="11" t="n">
        <f aca="false">Inputs!$F$186*BC85</f>
        <v>0</v>
      </c>
      <c r="BD90" s="11" t="n">
        <f aca="false">Inputs!$F$186*BD85</f>
        <v>0</v>
      </c>
      <c r="BE90" s="11" t="n">
        <f aca="false">Inputs!$F$186*BE85</f>
        <v>0</v>
      </c>
      <c r="BF90" s="11" t="n">
        <f aca="false">Inputs!$F$186*BF85</f>
        <v>0</v>
      </c>
      <c r="BG90" s="11" t="n">
        <f aca="false">Inputs!$F$186*BG85</f>
        <v>0</v>
      </c>
      <c r="BH90" s="11" t="n">
        <f aca="false">Inputs!$F$186*BH85</f>
        <v>0</v>
      </c>
      <c r="BI90" s="11" t="n">
        <f aca="false">Inputs!$F$186*BI85</f>
        <v>0</v>
      </c>
      <c r="BJ90" s="11" t="n">
        <f aca="false">Inputs!$F$186*BJ85</f>
        <v>0</v>
      </c>
      <c r="BK90" s="11" t="n">
        <f aca="false">Inputs!$F$186*BK85</f>
        <v>0</v>
      </c>
      <c r="BL90" s="11" t="n">
        <f aca="false">Inputs!$F$186*BL85</f>
        <v>0</v>
      </c>
      <c r="BM90" s="11" t="n">
        <f aca="false">Inputs!$F$186*BM85</f>
        <v>0</v>
      </c>
      <c r="BN90" s="11" t="n">
        <f aca="false">Inputs!$F$186*BN85</f>
        <v>0</v>
      </c>
    </row>
    <row r="91" customFormat="false" ht="15" hidden="false" customHeight="false" outlineLevel="0" collapsed="false">
      <c r="D91" s="0" t="s">
        <v>539</v>
      </c>
      <c r="E91" s="0" t="s">
        <v>149</v>
      </c>
      <c r="J91" s="11" t="n">
        <f aca="false">J84+J85-J86-J87-J88-J89-J90</f>
        <v>0</v>
      </c>
      <c r="K91" s="11" t="n">
        <f aca="false">K84+K85-K86-K87-K88-K89-K90</f>
        <v>0</v>
      </c>
      <c r="L91" s="11" t="n">
        <f aca="false">L84+L85-L86-L87-L88-L89-L90</f>
        <v>0</v>
      </c>
      <c r="M91" s="11" t="n">
        <f aca="false">M84+M85-M86-M87-M88-M89-M90</f>
        <v>0</v>
      </c>
      <c r="N91" s="11" t="n">
        <f aca="false">N84+N85-N86-N87-N88-N89-N90</f>
        <v>0</v>
      </c>
      <c r="O91" s="11" t="n">
        <f aca="false">O84+O85-O86-O87-O88-O89-O90</f>
        <v>15.0309203029298</v>
      </c>
      <c r="P91" s="11" t="n">
        <f aca="false">P84+P85-P86-P87-P88-P89-P90</f>
        <v>14.995576558101</v>
      </c>
      <c r="Q91" s="11" t="n">
        <f aca="false">Q84+Q85-Q86-Q87-Q88-Q89-Q90</f>
        <v>15.2873586759211</v>
      </c>
      <c r="R91" s="11" t="n">
        <f aca="false">R84+R85-R86-R87-R88-R89-R90</f>
        <v>15.0777949183171</v>
      </c>
      <c r="S91" s="11" t="n">
        <f aca="false">S84+S85-S86-S87-S88-S89-S90</f>
        <v>15.3890890705064</v>
      </c>
      <c r="T91" s="11" t="n">
        <f aca="false">T84+T85-T86-T87-T88-T89-T90</f>
        <v>15.1964633378298</v>
      </c>
      <c r="U91" s="11" t="n">
        <f aca="false">U84+U85-U86-U87-U88-U89-U90</f>
        <v>15.3680739721026</v>
      </c>
      <c r="V91" s="11" t="n">
        <f aca="false">V84+V85-V86-V87-V88-V89-V90</f>
        <v>14.8699600981467</v>
      </c>
      <c r="W91" s="11" t="n">
        <f aca="false">W84+W85-W86-W87-W88-W89-W90</f>
        <v>15.3640815857387</v>
      </c>
      <c r="X91" s="11" t="n">
        <f aca="false">X84+X85-X86-X87-X88-X89-X90</f>
        <v>15.4053540311777</v>
      </c>
      <c r="Y91" s="11" t="n">
        <f aca="false">Y84+Y85-Y86-Y87-Y88-Y89-Y90</f>
        <v>15.7075268435981</v>
      </c>
      <c r="Z91" s="11" t="n">
        <f aca="false">Z84+Z85-Z86-Z87-Z88-Z89-Z90</f>
        <v>15.4954073577513</v>
      </c>
      <c r="AA91" s="11" t="n">
        <f aca="false">AA84+AA85-AA86-AA87-AA88-AA89-AA90</f>
        <v>15.8176373055396</v>
      </c>
      <c r="AB91" s="11" t="n">
        <f aca="false">AB84+AB85-AB86-AB87-AB88-AB89-AB90</f>
        <v>15.6225741708275</v>
      </c>
      <c r="AC91" s="11" t="n">
        <f aca="false">AC84+AC85-AC86-AC87-AC88-AC89-AC90</f>
        <v>15.6914304401924</v>
      </c>
      <c r="AD91" s="11" t="n">
        <f aca="false">AD84+AD85-AD86-AD87-AD88-AD89-AD90</f>
        <v>14.9232684598993</v>
      </c>
      <c r="AE91" s="11" t="n">
        <f aca="false">AE84+AE85-AE86-AE87-AE88-AE89-AE90</f>
        <v>15.5524146674091</v>
      </c>
      <c r="AF91" s="11" t="n">
        <f aca="false">AF84+AF85-AF86-AF87-AF88-AF89-AF90</f>
        <v>15.8484627656338</v>
      </c>
      <c r="AG91" s="11" t="n">
        <f aca="false">AG84+AG85-AG86-AG87-AG88-AG89-AG90</f>
        <v>16.1618839922009</v>
      </c>
      <c r="AH91" s="11" t="n">
        <f aca="false">AH84+AH85-AH86-AH87-AH88-AH89-AH90</f>
        <v>15.9470222275195</v>
      </c>
      <c r="AI91" s="11" t="n">
        <f aca="false">AI84+AI85-AI86-AI87-AI88-AI89-AI90</f>
        <v>16.2810790851929</v>
      </c>
      <c r="AJ91" s="11" t="n">
        <f aca="false">AJ84+AJ85-AJ86-AJ87-AJ88-AJ89-AJ90</f>
        <v>16.0833728667121</v>
      </c>
      <c r="AK91" s="11" t="n">
        <f aca="false">AK84+AK85-AK86-AK87-AK88-AK89-AK90</f>
        <v>16.2707691016554</v>
      </c>
      <c r="AL91" s="11" t="n">
        <f aca="false">AL84+AL85-AL86-AL87-AL88-AL89-AL90</f>
        <v>15.7452941815039</v>
      </c>
      <c r="AM91" s="11" t="n">
        <f aca="false">AM84+AM85-AM86-AM87-AM88-AM89-AM90</f>
        <v>16.2765425555811</v>
      </c>
      <c r="AN91" s="11" t="n">
        <f aca="false">AN84+AN85-AN86-AN87-AN88-AN89-AN90</f>
        <v>16.3276721575849</v>
      </c>
      <c r="AO91" s="11" t="n">
        <f aca="false">AO84+AO85-AO86-AO87-AO88-AO89-AO90</f>
        <v>16.6532717738715</v>
      </c>
      <c r="AP91" s="11" t="n">
        <f aca="false">AP84+AP85-AP86-AP87-AP88-AP89-AP90</f>
        <v>16.4354672716989</v>
      </c>
      <c r="AQ91" s="11" t="n">
        <f aca="false">AQ84+AQ85-AQ86-AQ87-AQ88-AQ89-AQ90</f>
        <v>16.7823163122861</v>
      </c>
      <c r="AR91" s="11" t="n">
        <f aca="false">AR84+AR85-AR86-AR87-AR88-AR89-AR90</f>
        <v>16.5817435694179</v>
      </c>
      <c r="AS91" s="11" t="n">
        <f aca="false">AS84+AS85-AS86-AS87-AS88-AS89-AS90</f>
        <v>16.6606350551811</v>
      </c>
      <c r="AT91" s="11" t="n">
        <f aca="false">AT84+AT85-AT86-AT87-AT88-AT89-AT90</f>
        <v>15.8412933121243</v>
      </c>
      <c r="AU91" s="11" t="n">
        <f aca="false">AU84+AU85-AU86-AU87-AU88-AU89-AU90</f>
        <v>16.5196824179798</v>
      </c>
      <c r="AV91" s="11" t="n">
        <f aca="false">AV84+AV85-AV86-AV87-AV88-AV89-AV90</f>
        <v>16.8459859224216</v>
      </c>
      <c r="AW91" s="11" t="n">
        <f aca="false">AW84+AW85-AW86-AW87-AW88-AW89-AW90</f>
        <v>17.1847723545356</v>
      </c>
      <c r="AX91" s="11" t="n">
        <f aca="false">AX84+AX85-AX86-AX87-AX88-AX89-AX90</f>
        <v>16.9638096831099</v>
      </c>
      <c r="AY91" s="11" t="n">
        <f aca="false">AY84+AY85-AY86-AY87-AY88-AY89-AY90</f>
        <v>17.3244966261582</v>
      </c>
      <c r="AZ91" s="11" t="n">
        <f aca="false">AZ84+AZ85-AZ86-AZ87-AZ88-AZ89-AZ90</f>
        <v>17.1208145945415</v>
      </c>
      <c r="BA91" s="11" t="n">
        <f aca="false">BA84+BA85-BA86-BA87-BA88-BA89-BA90</f>
        <v>17.3267446820361</v>
      </c>
      <c r="BB91" s="11" t="n">
        <f aca="false">BB84+BB85-BB86-BB87-BB88-BB89-BB90</f>
        <v>16.7690354293428</v>
      </c>
      <c r="BC91" s="11" t="n">
        <f aca="false">BC84+BC85-BC86-BC87-BC88-BC89-BC90</f>
        <v>17.3439112194821</v>
      </c>
      <c r="BD91" s="11" t="n">
        <f aca="false">BD84+BD85-BD86-BD87-BD88-BD89-BD90</f>
        <v>17.406662218608</v>
      </c>
      <c r="BE91" s="11" t="n">
        <f aca="false">BE84+BE85-BE86-BE87-BE88-BE89-BE90</f>
        <v>17.7597290764874</v>
      </c>
      <c r="BF91" s="11" t="n">
        <f aca="false">BF84+BF85-BF86-BF87-BF88-BF89-BF90</f>
        <v>17.5353766817838</v>
      </c>
      <c r="BG91" s="11" t="n">
        <f aca="false">BG84+BG85-BG86-BG87-BG88-BG89-BG90</f>
        <v>17.9110345227525</v>
      </c>
      <c r="BH91" s="11" t="n">
        <f aca="false">BH84+BH85-BH86-BH87-BH88-BH89-BH90</f>
        <v>17.7039794091664</v>
      </c>
      <c r="BI91" s="11" t="n">
        <f aca="false">BI84+BI85-BI86-BI87-BI88-BI89-BI90</f>
        <v>17.7946239736269</v>
      </c>
      <c r="BJ91" s="11" t="n">
        <f aca="false">BJ84+BJ85-BJ86-BJ87-BJ88-BJ89-BJ90</f>
        <v>16.9148785773835</v>
      </c>
      <c r="BK91" s="11" t="n">
        <f aca="false">BK84+BK85-BK86-BK87-BK88-BK89-BK90</f>
        <v>17.6512038778139</v>
      </c>
      <c r="BL91" s="11" t="n">
        <f aca="false">BL84+BL85-BL86-BL87-BL88-BL89-BL90</f>
        <v>18.0132355202641</v>
      </c>
      <c r="BM91" s="11" t="n">
        <f aca="false">BM84+BM85-BM86-BM87-BM88-BM89-BM90</f>
        <v>0</v>
      </c>
      <c r="BN91" s="11" t="n">
        <f aca="false">BN84+BN85-BN86-BN87-BN88-BN89-BN90</f>
        <v>0</v>
      </c>
    </row>
    <row r="92" customFormat="false" ht="15" hidden="false" customHeight="false" outlineLevel="0" collapsed="false">
      <c r="D92" s="0" t="s">
        <v>540</v>
      </c>
      <c r="E92" s="0" t="s">
        <v>149</v>
      </c>
      <c r="G92" s="11" t="n">
        <f aca="false">SUM(J92:BN92)</f>
        <v>0</v>
      </c>
      <c r="J92" s="11" t="n">
        <f aca="false">J91-0</f>
        <v>0</v>
      </c>
      <c r="K92" s="11" t="n">
        <f aca="false">K91-J91</f>
        <v>0</v>
      </c>
      <c r="L92" s="11" t="n">
        <f aca="false">L91-K91</f>
        <v>0</v>
      </c>
      <c r="M92" s="11" t="n">
        <f aca="false">M91-L91</f>
        <v>0</v>
      </c>
      <c r="N92" s="11" t="n">
        <f aca="false">N91-M91</f>
        <v>0</v>
      </c>
      <c r="O92" s="11" t="n">
        <f aca="false">O91-N91</f>
        <v>15.0309203029298</v>
      </c>
      <c r="P92" s="11" t="n">
        <f aca="false">P91-O91</f>
        <v>-0.0353437448288112</v>
      </c>
      <c r="Q92" s="11" t="n">
        <f aca="false">Q91-P91</f>
        <v>0.291782117820111</v>
      </c>
      <c r="R92" s="11" t="n">
        <f aca="false">R91-Q91</f>
        <v>-0.209563757603965</v>
      </c>
      <c r="S92" s="11" t="n">
        <f aca="false">S91-R91</f>
        <v>0.311294152189305</v>
      </c>
      <c r="T92" s="11" t="n">
        <f aca="false">T91-S91</f>
        <v>-0.192625732676673</v>
      </c>
      <c r="U92" s="11" t="n">
        <f aca="false">U91-T91</f>
        <v>0.171610634272831</v>
      </c>
      <c r="V92" s="11" t="n">
        <f aca="false">V91-U91</f>
        <v>-0.498113873955845</v>
      </c>
      <c r="W92" s="11" t="n">
        <f aca="false">W91-V91</f>
        <v>0.494121487591972</v>
      </c>
      <c r="X92" s="11" t="n">
        <f aca="false">X91-W91</f>
        <v>0.0412724454389863</v>
      </c>
      <c r="Y92" s="11" t="n">
        <f aca="false">Y91-X91</f>
        <v>0.30217281242037</v>
      </c>
      <c r="Z92" s="11" t="n">
        <f aca="false">Z91-Y91</f>
        <v>-0.212119485846758</v>
      </c>
      <c r="AA92" s="11" t="n">
        <f aca="false">AA91-Z91</f>
        <v>0.322229947788335</v>
      </c>
      <c r="AB92" s="11" t="n">
        <f aca="false">AB91-AA91</f>
        <v>-0.19506313471218</v>
      </c>
      <c r="AC92" s="11" t="n">
        <f aca="false">AC91-AB91</f>
        <v>0.0688562693649608</v>
      </c>
      <c r="AD92" s="11" t="n">
        <f aca="false">AD91-AC91</f>
        <v>-0.768161980293163</v>
      </c>
      <c r="AE92" s="11" t="n">
        <f aca="false">AE91-AD91</f>
        <v>0.629146207509884</v>
      </c>
      <c r="AF92" s="11" t="n">
        <f aca="false">AF91-AE91</f>
        <v>0.296048098224633</v>
      </c>
      <c r="AG92" s="11" t="n">
        <f aca="false">AG91-AF91</f>
        <v>0.313421226567128</v>
      </c>
      <c r="AH92" s="11" t="n">
        <f aca="false">AH91-AG91</f>
        <v>-0.21486176468138</v>
      </c>
      <c r="AI92" s="11" t="n">
        <f aca="false">AI91-AH91</f>
        <v>0.334056857673378</v>
      </c>
      <c r="AJ92" s="11" t="n">
        <f aca="false">AJ91-AI91</f>
        <v>-0.197706218480807</v>
      </c>
      <c r="AK92" s="11" t="n">
        <f aca="false">AK91-AJ91</f>
        <v>0.187396234943293</v>
      </c>
      <c r="AL92" s="11" t="n">
        <f aca="false">AL91-AK91</f>
        <v>-0.525474920151487</v>
      </c>
      <c r="AM92" s="11" t="n">
        <f aca="false">AM91-AL91</f>
        <v>0.531248374077231</v>
      </c>
      <c r="AN92" s="11" t="n">
        <f aca="false">AN91-AM91</f>
        <v>0.0511296020037833</v>
      </c>
      <c r="AO92" s="11" t="n">
        <f aca="false">AO91-AN91</f>
        <v>0.32559961628662</v>
      </c>
      <c r="AP92" s="11" t="n">
        <f aca="false">AP91-AO91</f>
        <v>-0.217804502172619</v>
      </c>
      <c r="AQ92" s="11" t="n">
        <f aca="false">AQ91-AP91</f>
        <v>0.346849040587152</v>
      </c>
      <c r="AR92" s="11" t="n">
        <f aca="false">AR91-AQ91</f>
        <v>-0.200572742868168</v>
      </c>
      <c r="AS92" s="11" t="n">
        <f aca="false">AS91-AR91</f>
        <v>0.0788914857632435</v>
      </c>
      <c r="AT92" s="11" t="n">
        <f aca="false">AT91-AS91</f>
        <v>-0.819341743056882</v>
      </c>
      <c r="AU92" s="11" t="n">
        <f aca="false">AU91-AT91</f>
        <v>0.678389105855576</v>
      </c>
      <c r="AV92" s="11" t="n">
        <f aca="false">AV91-AU91</f>
        <v>0.326303504441725</v>
      </c>
      <c r="AW92" s="11" t="n">
        <f aca="false">AW91-AV91</f>
        <v>0.338786432114016</v>
      </c>
      <c r="AX92" s="11" t="n">
        <f aca="false">AX91-AW91</f>
        <v>-0.220962671425688</v>
      </c>
      <c r="AY92" s="11" t="n">
        <f aca="false">AY91-AX91</f>
        <v>0.360686943048314</v>
      </c>
      <c r="AZ92" s="11" t="n">
        <f aca="false">AZ91-AY91</f>
        <v>-0.203682031616687</v>
      </c>
      <c r="BA92" s="11" t="n">
        <f aca="false">BA91-AZ91</f>
        <v>0.205930087494625</v>
      </c>
      <c r="BB92" s="11" t="n">
        <f aca="false">BB91-BA91</f>
        <v>-0.557709252693396</v>
      </c>
      <c r="BC92" s="11" t="n">
        <f aca="false">BC91-BB91</f>
        <v>0.574875790139355</v>
      </c>
      <c r="BD92" s="11" t="n">
        <f aca="false">BD91-BC91</f>
        <v>0.0627509991258641</v>
      </c>
      <c r="BE92" s="11" t="n">
        <f aca="false">BE91-BD91</f>
        <v>0.353066857879409</v>
      </c>
      <c r="BF92" s="11" t="n">
        <f aca="false">BF91-BE91</f>
        <v>-0.224352394703626</v>
      </c>
      <c r="BG92" s="11" t="n">
        <f aca="false">BG91-BF91</f>
        <v>0.375657840968696</v>
      </c>
      <c r="BH92" s="11" t="n">
        <f aca="false">BH91-BG91</f>
        <v>-0.207055113586016</v>
      </c>
      <c r="BI92" s="11" t="n">
        <f aca="false">BI91-BH91</f>
        <v>0.0906445644605007</v>
      </c>
      <c r="BJ92" s="11" t="n">
        <f aca="false">BJ91-BI91</f>
        <v>-0.879745396243443</v>
      </c>
      <c r="BK92" s="11" t="n">
        <f aca="false">BK91-BJ91</f>
        <v>0.73632530043043</v>
      </c>
      <c r="BL92" s="11" t="n">
        <f aca="false">BL91-BK91</f>
        <v>0.362031642450219</v>
      </c>
      <c r="BM92" s="11" t="n">
        <f aca="false">BM91-BL91</f>
        <v>-18.0132355202641</v>
      </c>
      <c r="BN92" s="11" t="n">
        <f aca="false">BN91-BM91</f>
        <v>0</v>
      </c>
    </row>
    <row r="93" customFormat="false" ht="15" hidden="false" customHeight="false" outlineLevel="0" collapsed="false">
      <c r="D93" s="0" t="s">
        <v>541</v>
      </c>
      <c r="E93" s="0" t="s">
        <v>149</v>
      </c>
      <c r="G93" s="11" t="n">
        <f aca="false">SUM(J93:BN93)</f>
        <v>5.35</v>
      </c>
      <c r="J93" s="11" t="n">
        <f aca="false">Time!J32*Inputs!$F$67*Inputs!$F$36</f>
        <v>0</v>
      </c>
      <c r="K93" s="11" t="n">
        <f aca="false">Time!K32*Inputs!$F$67*Inputs!$F$36</f>
        <v>0</v>
      </c>
      <c r="L93" s="11" t="n">
        <f aca="false">Time!L32*Inputs!$F$67*Inputs!$F$36</f>
        <v>0</v>
      </c>
      <c r="M93" s="11" t="n">
        <f aca="false">Time!M32*Inputs!$F$67*Inputs!$F$36</f>
        <v>0</v>
      </c>
      <c r="N93" s="11" t="n">
        <f aca="false">Time!N32*Inputs!$F$67*Inputs!$F$36</f>
        <v>0</v>
      </c>
      <c r="O93" s="11" t="n">
        <f aca="false">Time!O32*Inputs!$F$67*Inputs!$F$36</f>
        <v>0</v>
      </c>
      <c r="P93" s="11" t="n">
        <f aca="false">Time!P32*Inputs!$F$67*Inputs!$F$36</f>
        <v>0</v>
      </c>
      <c r="Q93" s="11" t="n">
        <f aca="false">Time!Q32*Inputs!$F$67*Inputs!$F$36</f>
        <v>0</v>
      </c>
      <c r="R93" s="11" t="n">
        <f aca="false">Time!R32*Inputs!$F$67*Inputs!$F$36</f>
        <v>0</v>
      </c>
      <c r="S93" s="11" t="n">
        <f aca="false">Time!S32*Inputs!$F$67*Inputs!$F$36</f>
        <v>0</v>
      </c>
      <c r="T93" s="11" t="n">
        <f aca="false">Time!T32*Inputs!$F$67*Inputs!$F$36</f>
        <v>0</v>
      </c>
      <c r="U93" s="11" t="n">
        <f aca="false">Time!U32*Inputs!$F$67*Inputs!$F$36</f>
        <v>0</v>
      </c>
      <c r="V93" s="11" t="n">
        <f aca="false">Time!V32*Inputs!$F$67*Inputs!$F$36</f>
        <v>0</v>
      </c>
      <c r="W93" s="11" t="n">
        <f aca="false">Time!W32*Inputs!$F$67*Inputs!$F$36</f>
        <v>0</v>
      </c>
      <c r="X93" s="11" t="n">
        <f aca="false">Time!X32*Inputs!$F$67*Inputs!$F$36</f>
        <v>0</v>
      </c>
      <c r="Y93" s="11" t="n">
        <f aca="false">Time!Y32*Inputs!$F$67*Inputs!$F$36</f>
        <v>0</v>
      </c>
      <c r="Z93" s="11" t="n">
        <f aca="false">Time!Z32*Inputs!$F$67*Inputs!$F$36</f>
        <v>0</v>
      </c>
      <c r="AA93" s="11" t="n">
        <f aca="false">Time!AA32*Inputs!$F$67*Inputs!$F$36</f>
        <v>0</v>
      </c>
      <c r="AB93" s="11" t="n">
        <f aca="false">Time!AB32*Inputs!$F$67*Inputs!$F$36</f>
        <v>0</v>
      </c>
      <c r="AC93" s="11" t="n">
        <f aca="false">Time!AC32*Inputs!$F$67*Inputs!$F$36</f>
        <v>0</v>
      </c>
      <c r="AD93" s="11" t="n">
        <f aca="false">Time!AD32*Inputs!$F$67*Inputs!$F$36</f>
        <v>0</v>
      </c>
      <c r="AE93" s="11" t="n">
        <f aca="false">Time!AE32*Inputs!$F$67*Inputs!$F$36</f>
        <v>0</v>
      </c>
      <c r="AF93" s="11" t="n">
        <f aca="false">Time!AF32*Inputs!$F$67*Inputs!$F$36</f>
        <v>0</v>
      </c>
      <c r="AG93" s="11" t="n">
        <f aca="false">Time!AG32*Inputs!$F$67*Inputs!$F$36</f>
        <v>0</v>
      </c>
      <c r="AH93" s="11" t="n">
        <f aca="false">Time!AH32*Inputs!$F$67*Inputs!$F$36</f>
        <v>0</v>
      </c>
      <c r="AI93" s="11" t="n">
        <f aca="false">Time!AI32*Inputs!$F$67*Inputs!$F$36</f>
        <v>0</v>
      </c>
      <c r="AJ93" s="11" t="n">
        <f aca="false">Time!AJ32*Inputs!$F$67*Inputs!$F$36</f>
        <v>0</v>
      </c>
      <c r="AK93" s="11" t="n">
        <f aca="false">Time!AK32*Inputs!$F$67*Inputs!$F$36</f>
        <v>0</v>
      </c>
      <c r="AL93" s="11" t="n">
        <f aca="false">Time!AL32*Inputs!$F$67*Inputs!$F$36</f>
        <v>0</v>
      </c>
      <c r="AM93" s="11" t="n">
        <f aca="false">Time!AM32*Inputs!$F$67*Inputs!$F$36</f>
        <v>0</v>
      </c>
      <c r="AN93" s="11" t="n">
        <f aca="false">Time!AN32*Inputs!$F$67*Inputs!$F$36</f>
        <v>0</v>
      </c>
      <c r="AO93" s="11" t="n">
        <f aca="false">Time!AO32*Inputs!$F$67*Inputs!$F$36</f>
        <v>0</v>
      </c>
      <c r="AP93" s="11" t="n">
        <f aca="false">Time!AP32*Inputs!$F$67*Inputs!$F$36</f>
        <v>0</v>
      </c>
      <c r="AQ93" s="11" t="n">
        <f aca="false">Time!AQ32*Inputs!$F$67*Inputs!$F$36</f>
        <v>0</v>
      </c>
      <c r="AR93" s="11" t="n">
        <f aca="false">Time!AR32*Inputs!$F$67*Inputs!$F$36</f>
        <v>0</v>
      </c>
      <c r="AS93" s="11" t="n">
        <f aca="false">Time!AS32*Inputs!$F$67*Inputs!$F$36</f>
        <v>0</v>
      </c>
      <c r="AT93" s="11" t="n">
        <f aca="false">Time!AT32*Inputs!$F$67*Inputs!$F$36</f>
        <v>0</v>
      </c>
      <c r="AU93" s="11" t="n">
        <f aca="false">Time!AU32*Inputs!$F$67*Inputs!$F$36</f>
        <v>0</v>
      </c>
      <c r="AV93" s="11" t="n">
        <f aca="false">Time!AV32*Inputs!$F$67*Inputs!$F$36</f>
        <v>0</v>
      </c>
      <c r="AW93" s="11" t="n">
        <f aca="false">Time!AW32*Inputs!$F$67*Inputs!$F$36</f>
        <v>0</v>
      </c>
      <c r="AX93" s="11" t="n">
        <f aca="false">Time!AX32*Inputs!$F$67*Inputs!$F$36</f>
        <v>0</v>
      </c>
      <c r="AY93" s="11" t="n">
        <f aca="false">Time!AY32*Inputs!$F$67*Inputs!$F$36</f>
        <v>0</v>
      </c>
      <c r="AZ93" s="11" t="n">
        <f aca="false">Time!AZ32*Inputs!$F$67*Inputs!$F$36</f>
        <v>0</v>
      </c>
      <c r="BA93" s="11" t="n">
        <f aca="false">Time!BA32*Inputs!$F$67*Inputs!$F$36</f>
        <v>0</v>
      </c>
      <c r="BB93" s="11" t="n">
        <f aca="false">Time!BB32*Inputs!$F$67*Inputs!$F$36</f>
        <v>0</v>
      </c>
      <c r="BC93" s="11" t="n">
        <f aca="false">Time!BC32*Inputs!$F$67*Inputs!$F$36</f>
        <v>0</v>
      </c>
      <c r="BD93" s="11" t="n">
        <f aca="false">Time!BD32*Inputs!$F$67*Inputs!$F$36</f>
        <v>0</v>
      </c>
      <c r="BE93" s="11" t="n">
        <f aca="false">Time!BE32*Inputs!$F$67*Inputs!$F$36</f>
        <v>0</v>
      </c>
      <c r="BF93" s="11" t="n">
        <f aca="false">Time!BF32*Inputs!$F$67*Inputs!$F$36</f>
        <v>0</v>
      </c>
      <c r="BG93" s="11" t="n">
        <f aca="false">Time!BG32*Inputs!$F$67*Inputs!$F$36</f>
        <v>0</v>
      </c>
      <c r="BH93" s="11" t="n">
        <f aca="false">Time!BH32*Inputs!$F$67*Inputs!$F$36</f>
        <v>0</v>
      </c>
      <c r="BI93" s="11" t="n">
        <f aca="false">Time!BI32*Inputs!$F$67*Inputs!$F$36</f>
        <v>0</v>
      </c>
      <c r="BJ93" s="11" t="n">
        <f aca="false">Time!BJ32*Inputs!$F$67*Inputs!$F$36</f>
        <v>0</v>
      </c>
      <c r="BK93" s="11" t="n">
        <f aca="false">Time!BK32*Inputs!$F$67*Inputs!$F$36</f>
        <v>0</v>
      </c>
      <c r="BL93" s="11" t="n">
        <f aca="false">Time!BL32*Inputs!$F$67*Inputs!$F$36</f>
        <v>0</v>
      </c>
      <c r="BM93" s="11" t="n">
        <f aca="false">Time!BM32*Inputs!$F$67*Inputs!$F$36</f>
        <v>5.35</v>
      </c>
      <c r="BN93" s="11" t="n">
        <f aca="false">Time!BN32*Inputs!$F$67*Inputs!$F$36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542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346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543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2</v>
      </c>
      <c r="P7" s="9" t="n">
        <f aca="false">MAX(0,MIN(Time!P28,60)-MIN(Time!P27,60))</f>
        <v>6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4</v>
      </c>
      <c r="Z7" s="9" t="n">
        <f aca="false">MAX(0,MIN(Time!Z28,60)-MIN(Time!Z27,60))</f>
        <v>0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544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2</v>
      </c>
      <c r="Z8" s="9" t="n">
        <f aca="false">MAX(0,MIN(Time!Z28,96)-MIN(MAX(Time!Z27,60),96))</f>
        <v>6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4</v>
      </c>
      <c r="AF8" s="9" t="n">
        <f aca="false">MAX(0,MIN(Time!AF28,96)-MIN(MAX(Time!AF27,60),96))</f>
        <v>0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545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2</v>
      </c>
      <c r="AF9" s="9" t="n">
        <f aca="false">Time!AF25-AF7-AF8</f>
        <v>6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4</v>
      </c>
      <c r="BN9" s="9" t="n">
        <f aca="false">Time!BN25-BN7-BN8</f>
        <v>0</v>
      </c>
    </row>
    <row r="10" customFormat="false" ht="15" hidden="false" customHeight="false" outlineLevel="0" collapsed="false">
      <c r="D10" s="0" t="s">
        <v>546</v>
      </c>
      <c r="E10" s="0" t="s">
        <v>149</v>
      </c>
      <c r="G10" s="11" t="n">
        <f aca="false">SUM(J10:BN10)</f>
        <v>836.686552347281</v>
      </c>
      <c r="J10" s="11" t="n">
        <f aca="false">Inputs!$F$177*Funding!$F$76/Inputs!$F$178*MAX(0,MIN(Time!J28,Inputs!$F$178)-MIN(Time!J27,Inputs!$F$178))+Inputs!$F$179*Funding!$F$76/Inputs!$F$180*MAX(0,MIN(Time!J28,Inputs!$F$180)-MIN(Time!J27,Inputs!$F$180))+Inputs!$F$181*Funding!$F$76/Inputs!$F$182*MAX(0,MIN(Time!J28,Inputs!$F$182)-MIN(Time!J27,Inputs!$F$182))</f>
        <v>0</v>
      </c>
      <c r="K10" s="11" t="n">
        <f aca="false">Inputs!$F$177*Funding!$F$76/Inputs!$F$178*MAX(0,MIN(Time!K28,Inputs!$F$178)-MIN(Time!K27,Inputs!$F$178))+Inputs!$F$179*Funding!$F$76/Inputs!$F$180*MAX(0,MIN(Time!K28,Inputs!$F$180)-MIN(Time!K27,Inputs!$F$180))+Inputs!$F$181*Funding!$F$76/Inputs!$F$182*MAX(0,MIN(Time!K28,Inputs!$F$182)-MIN(Time!K27,Inputs!$F$182))</f>
        <v>0</v>
      </c>
      <c r="L10" s="11" t="n">
        <f aca="false">Inputs!$F$177*Funding!$F$76/Inputs!$F$178*MAX(0,MIN(Time!L28,Inputs!$F$178)-MIN(Time!L27,Inputs!$F$178))+Inputs!$F$179*Funding!$F$76/Inputs!$F$180*MAX(0,MIN(Time!L28,Inputs!$F$180)-MIN(Time!L27,Inputs!$F$180))+Inputs!$F$181*Funding!$F$76/Inputs!$F$182*MAX(0,MIN(Time!L28,Inputs!$F$182)-MIN(Time!L27,Inputs!$F$182))</f>
        <v>0</v>
      </c>
      <c r="M10" s="11" t="n">
        <f aca="false">Inputs!$F$177*Funding!$F$76/Inputs!$F$178*MAX(0,MIN(Time!M28,Inputs!$F$178)-MIN(Time!M27,Inputs!$F$178))+Inputs!$F$179*Funding!$F$76/Inputs!$F$180*MAX(0,MIN(Time!M28,Inputs!$F$180)-MIN(Time!M27,Inputs!$F$180))+Inputs!$F$181*Funding!$F$76/Inputs!$F$182*MAX(0,MIN(Time!M28,Inputs!$F$182)-MIN(Time!M27,Inputs!$F$182))</f>
        <v>0</v>
      </c>
      <c r="N10" s="11" t="n">
        <f aca="false">Inputs!$F$177*Funding!$F$76/Inputs!$F$178*MAX(0,MIN(Time!N28,Inputs!$F$178)-MIN(Time!N27,Inputs!$F$178))+Inputs!$F$179*Funding!$F$76/Inputs!$F$180*MAX(0,MIN(Time!N28,Inputs!$F$180)-MIN(Time!N27,Inputs!$F$180))+Inputs!$F$181*Funding!$F$76/Inputs!$F$182*MAX(0,MIN(Time!N28,Inputs!$F$182)-MIN(Time!N27,Inputs!$F$182))</f>
        <v>0</v>
      </c>
      <c r="O10" s="11" t="n">
        <f aca="false">Inputs!$F$177*Funding!$F$76/Inputs!$F$178*MAX(0,MIN(Time!O28,Inputs!$F$178)-MIN(Time!O27,Inputs!$F$178))+Inputs!$F$179*Funding!$F$76/Inputs!$F$180*MAX(0,MIN(Time!O28,Inputs!$F$180)-MIN(Time!O27,Inputs!$F$180))+Inputs!$F$181*Funding!$F$76/Inputs!$F$182*MAX(0,MIN(Time!O28,Inputs!$F$182)-MIN(Time!O27,Inputs!$F$182))</f>
        <v>7.53017897112553</v>
      </c>
      <c r="P10" s="11" t="n">
        <f aca="false">Inputs!$F$177*Funding!$F$76/Inputs!$F$178*MAX(0,MIN(Time!P28,Inputs!$F$178)-MIN(Time!P27,Inputs!$F$178))+Inputs!$F$179*Funding!$F$76/Inputs!$F$180*MAX(0,MIN(Time!P28,Inputs!$F$180)-MIN(Time!P27,Inputs!$F$180))+Inputs!$F$181*Funding!$F$76/Inputs!$F$182*MAX(0,MIN(Time!P28,Inputs!$F$182)-MIN(Time!P27,Inputs!$F$182))</f>
        <v>22.5905369133766</v>
      </c>
      <c r="Q10" s="11" t="n">
        <f aca="false">Inputs!$F$177*Funding!$F$76/Inputs!$F$178*MAX(0,MIN(Time!Q28,Inputs!$F$178)-MIN(Time!Q27,Inputs!$F$178))+Inputs!$F$179*Funding!$F$76/Inputs!$F$180*MAX(0,MIN(Time!Q28,Inputs!$F$180)-MIN(Time!Q27,Inputs!$F$180))+Inputs!$F$181*Funding!$F$76/Inputs!$F$182*MAX(0,MIN(Time!Q28,Inputs!$F$182)-MIN(Time!Q27,Inputs!$F$182))</f>
        <v>22.5905369133766</v>
      </c>
      <c r="R10" s="11" t="n">
        <f aca="false">Inputs!$F$177*Funding!$F$76/Inputs!$F$178*MAX(0,MIN(Time!R28,Inputs!$F$178)-MIN(Time!R27,Inputs!$F$178))+Inputs!$F$179*Funding!$F$76/Inputs!$F$180*MAX(0,MIN(Time!R28,Inputs!$F$180)-MIN(Time!R27,Inputs!$F$180))+Inputs!$F$181*Funding!$F$76/Inputs!$F$182*MAX(0,MIN(Time!R28,Inputs!$F$182)-MIN(Time!R27,Inputs!$F$182))</f>
        <v>22.5905369133766</v>
      </c>
      <c r="S10" s="11" t="n">
        <f aca="false">Inputs!$F$177*Funding!$F$76/Inputs!$F$178*MAX(0,MIN(Time!S28,Inputs!$F$178)-MIN(Time!S27,Inputs!$F$178))+Inputs!$F$179*Funding!$F$76/Inputs!$F$180*MAX(0,MIN(Time!S28,Inputs!$F$180)-MIN(Time!S27,Inputs!$F$180))+Inputs!$F$181*Funding!$F$76/Inputs!$F$182*MAX(0,MIN(Time!S28,Inputs!$F$182)-MIN(Time!S27,Inputs!$F$182))</f>
        <v>22.5905369133766</v>
      </c>
      <c r="T10" s="11" t="n">
        <f aca="false">Inputs!$F$177*Funding!$F$76/Inputs!$F$178*MAX(0,MIN(Time!T28,Inputs!$F$178)-MIN(Time!T27,Inputs!$F$178))+Inputs!$F$179*Funding!$F$76/Inputs!$F$180*MAX(0,MIN(Time!T28,Inputs!$F$180)-MIN(Time!T27,Inputs!$F$180))+Inputs!$F$181*Funding!$F$76/Inputs!$F$182*MAX(0,MIN(Time!T28,Inputs!$F$182)-MIN(Time!T27,Inputs!$F$182))</f>
        <v>22.5905369133766</v>
      </c>
      <c r="U10" s="11" t="n">
        <f aca="false">Inputs!$F$177*Funding!$F$76/Inputs!$F$178*MAX(0,MIN(Time!U28,Inputs!$F$178)-MIN(Time!U27,Inputs!$F$178))+Inputs!$F$179*Funding!$F$76/Inputs!$F$180*MAX(0,MIN(Time!U28,Inputs!$F$180)-MIN(Time!U27,Inputs!$F$180))+Inputs!$F$181*Funding!$F$76/Inputs!$F$182*MAX(0,MIN(Time!U28,Inputs!$F$182)-MIN(Time!U27,Inputs!$F$182))</f>
        <v>22.5905369133766</v>
      </c>
      <c r="V10" s="11" t="n">
        <f aca="false">Inputs!$F$177*Funding!$F$76/Inputs!$F$178*MAX(0,MIN(Time!V28,Inputs!$F$178)-MIN(Time!V27,Inputs!$F$178))+Inputs!$F$179*Funding!$F$76/Inputs!$F$180*MAX(0,MIN(Time!V28,Inputs!$F$180)-MIN(Time!V27,Inputs!$F$180))+Inputs!$F$181*Funding!$F$76/Inputs!$F$182*MAX(0,MIN(Time!V28,Inputs!$F$182)-MIN(Time!V27,Inputs!$F$182))</f>
        <v>22.5905369133766</v>
      </c>
      <c r="W10" s="11" t="n">
        <f aca="false">Inputs!$F$177*Funding!$F$76/Inputs!$F$178*MAX(0,MIN(Time!W28,Inputs!$F$178)-MIN(Time!W27,Inputs!$F$178))+Inputs!$F$179*Funding!$F$76/Inputs!$F$180*MAX(0,MIN(Time!W28,Inputs!$F$180)-MIN(Time!W27,Inputs!$F$180))+Inputs!$F$181*Funding!$F$76/Inputs!$F$182*MAX(0,MIN(Time!W28,Inputs!$F$182)-MIN(Time!W27,Inputs!$F$182))</f>
        <v>22.5905369133766</v>
      </c>
      <c r="X10" s="11" t="n">
        <f aca="false">Inputs!$F$177*Funding!$F$76/Inputs!$F$178*MAX(0,MIN(Time!X28,Inputs!$F$178)-MIN(Time!X27,Inputs!$F$178))+Inputs!$F$179*Funding!$F$76/Inputs!$F$180*MAX(0,MIN(Time!X28,Inputs!$F$180)-MIN(Time!X27,Inputs!$F$180))+Inputs!$F$181*Funding!$F$76/Inputs!$F$182*MAX(0,MIN(Time!X28,Inputs!$F$182)-MIN(Time!X27,Inputs!$F$182))</f>
        <v>22.5905369133766</v>
      </c>
      <c r="Y10" s="11" t="n">
        <f aca="false">Inputs!$F$177*Funding!$F$76/Inputs!$F$178*MAX(0,MIN(Time!Y28,Inputs!$F$178)-MIN(Time!Y27,Inputs!$F$178))+Inputs!$F$179*Funding!$F$76/Inputs!$F$180*MAX(0,MIN(Time!Y28,Inputs!$F$180)-MIN(Time!Y27,Inputs!$F$180))+Inputs!$F$181*Funding!$F$76/Inputs!$F$182*MAX(0,MIN(Time!Y28,Inputs!$F$182)-MIN(Time!Y27,Inputs!$F$182))</f>
        <v>21.7538503610293</v>
      </c>
      <c r="Z10" s="11" t="n">
        <f aca="false">Inputs!$F$177*Funding!$F$76/Inputs!$F$178*MAX(0,MIN(Time!Z28,Inputs!$F$178)-MIN(Time!Z27,Inputs!$F$178))+Inputs!$F$179*Funding!$F$76/Inputs!$F$180*MAX(0,MIN(Time!Z28,Inputs!$F$180)-MIN(Time!Z27,Inputs!$F$180))+Inputs!$F$181*Funding!$F$76/Inputs!$F$182*MAX(0,MIN(Time!Z28,Inputs!$F$182)-MIN(Time!Z27,Inputs!$F$182))</f>
        <v>20.0804772563347</v>
      </c>
      <c r="AA10" s="11" t="n">
        <f aca="false">Inputs!$F$177*Funding!$F$76/Inputs!$F$178*MAX(0,MIN(Time!AA28,Inputs!$F$178)-MIN(Time!AA27,Inputs!$F$178))+Inputs!$F$179*Funding!$F$76/Inputs!$F$180*MAX(0,MIN(Time!AA28,Inputs!$F$180)-MIN(Time!AA27,Inputs!$F$180))+Inputs!$F$181*Funding!$F$76/Inputs!$F$182*MAX(0,MIN(Time!AA28,Inputs!$F$182)-MIN(Time!AA27,Inputs!$F$182))</f>
        <v>20.0804772563347</v>
      </c>
      <c r="AB10" s="11" t="n">
        <f aca="false">Inputs!$F$177*Funding!$F$76/Inputs!$F$178*MAX(0,MIN(Time!AB28,Inputs!$F$178)-MIN(Time!AB27,Inputs!$F$178))+Inputs!$F$179*Funding!$F$76/Inputs!$F$180*MAX(0,MIN(Time!AB28,Inputs!$F$180)-MIN(Time!AB27,Inputs!$F$180))+Inputs!$F$181*Funding!$F$76/Inputs!$F$182*MAX(0,MIN(Time!AB28,Inputs!$F$182)-MIN(Time!AB27,Inputs!$F$182))</f>
        <v>20.0804772563347</v>
      </c>
      <c r="AC10" s="11" t="n">
        <f aca="false">Inputs!$F$177*Funding!$F$76/Inputs!$F$178*MAX(0,MIN(Time!AC28,Inputs!$F$178)-MIN(Time!AC27,Inputs!$F$178))+Inputs!$F$179*Funding!$F$76/Inputs!$F$180*MAX(0,MIN(Time!AC28,Inputs!$F$180)-MIN(Time!AC27,Inputs!$F$180))+Inputs!$F$181*Funding!$F$76/Inputs!$F$182*MAX(0,MIN(Time!AC28,Inputs!$F$182)-MIN(Time!AC27,Inputs!$F$182))</f>
        <v>20.0804772563347</v>
      </c>
      <c r="AD10" s="11" t="n">
        <f aca="false">Inputs!$F$177*Funding!$F$76/Inputs!$F$178*MAX(0,MIN(Time!AD28,Inputs!$F$178)-MIN(Time!AD27,Inputs!$F$178))+Inputs!$F$179*Funding!$F$76/Inputs!$F$180*MAX(0,MIN(Time!AD28,Inputs!$F$180)-MIN(Time!AD27,Inputs!$F$180))+Inputs!$F$181*Funding!$F$76/Inputs!$F$182*MAX(0,MIN(Time!AD28,Inputs!$F$182)-MIN(Time!AD27,Inputs!$F$182))</f>
        <v>20.0804772563347</v>
      </c>
      <c r="AE10" s="11" t="n">
        <f aca="false">Inputs!$F$177*Funding!$F$76/Inputs!$F$178*MAX(0,MIN(Time!AE28,Inputs!$F$178)-MIN(Time!AE27,Inputs!$F$178))+Inputs!$F$179*Funding!$F$76/Inputs!$F$180*MAX(0,MIN(Time!AE28,Inputs!$F$180)-MIN(Time!AE27,Inputs!$F$180))+Inputs!$F$181*Funding!$F$76/Inputs!$F$182*MAX(0,MIN(Time!AE28,Inputs!$F$182)-MIN(Time!AE27,Inputs!$F$182))</f>
        <v>20.0804772563347</v>
      </c>
      <c r="AF10" s="11" t="n">
        <f aca="false">Inputs!$F$177*Funding!$F$76/Inputs!$F$178*MAX(0,MIN(Time!AF28,Inputs!$F$178)-MIN(Time!AF27,Inputs!$F$178))+Inputs!$F$179*Funding!$F$76/Inputs!$F$180*MAX(0,MIN(Time!AF28,Inputs!$F$180)-MIN(Time!AF27,Inputs!$F$180))+Inputs!$F$181*Funding!$F$76/Inputs!$F$182*MAX(0,MIN(Time!AF28,Inputs!$F$182)-MIN(Time!AF27,Inputs!$F$182))</f>
        <v>20.0804772563347</v>
      </c>
      <c r="AG10" s="11" t="n">
        <f aca="false">Inputs!$F$177*Funding!$F$76/Inputs!$F$178*MAX(0,MIN(Time!AG28,Inputs!$F$178)-MIN(Time!AG27,Inputs!$F$178))+Inputs!$F$179*Funding!$F$76/Inputs!$F$180*MAX(0,MIN(Time!AG28,Inputs!$F$180)-MIN(Time!AG27,Inputs!$F$180))+Inputs!$F$181*Funding!$F$76/Inputs!$F$182*MAX(0,MIN(Time!AG28,Inputs!$F$182)-MIN(Time!AG27,Inputs!$F$182))</f>
        <v>20.0804772563347</v>
      </c>
      <c r="AH10" s="11" t="n">
        <f aca="false">Inputs!$F$177*Funding!$F$76/Inputs!$F$178*MAX(0,MIN(Time!AH28,Inputs!$F$178)-MIN(Time!AH27,Inputs!$F$178))+Inputs!$F$179*Funding!$F$76/Inputs!$F$180*MAX(0,MIN(Time!AH28,Inputs!$F$180)-MIN(Time!AH27,Inputs!$F$180))+Inputs!$F$181*Funding!$F$76/Inputs!$F$182*MAX(0,MIN(Time!AH28,Inputs!$F$182)-MIN(Time!AH27,Inputs!$F$182))</f>
        <v>20.0804772563347</v>
      </c>
      <c r="AI10" s="11" t="n">
        <f aca="false">Inputs!$F$177*Funding!$F$76/Inputs!$F$178*MAX(0,MIN(Time!AI28,Inputs!$F$178)-MIN(Time!AI27,Inputs!$F$178))+Inputs!$F$179*Funding!$F$76/Inputs!$F$180*MAX(0,MIN(Time!AI28,Inputs!$F$180)-MIN(Time!AI27,Inputs!$F$180))+Inputs!$F$181*Funding!$F$76/Inputs!$F$182*MAX(0,MIN(Time!AI28,Inputs!$F$182)-MIN(Time!AI27,Inputs!$F$182))</f>
        <v>20.0804772563347</v>
      </c>
      <c r="AJ10" s="11" t="n">
        <f aca="false">Inputs!$F$177*Funding!$F$76/Inputs!$F$178*MAX(0,MIN(Time!AJ28,Inputs!$F$178)-MIN(Time!AJ27,Inputs!$F$178))+Inputs!$F$179*Funding!$F$76/Inputs!$F$180*MAX(0,MIN(Time!AJ28,Inputs!$F$180)-MIN(Time!AJ27,Inputs!$F$180))+Inputs!$F$181*Funding!$F$76/Inputs!$F$182*MAX(0,MIN(Time!AJ28,Inputs!$F$182)-MIN(Time!AJ27,Inputs!$F$182))</f>
        <v>20.0804772563347</v>
      </c>
      <c r="AK10" s="11" t="n">
        <f aca="false">Inputs!$F$177*Funding!$F$76/Inputs!$F$178*MAX(0,MIN(Time!AK28,Inputs!$F$178)-MIN(Time!AK27,Inputs!$F$178))+Inputs!$F$179*Funding!$F$76/Inputs!$F$180*MAX(0,MIN(Time!AK28,Inputs!$F$180)-MIN(Time!AK27,Inputs!$F$180))+Inputs!$F$181*Funding!$F$76/Inputs!$F$182*MAX(0,MIN(Time!AK28,Inputs!$F$182)-MIN(Time!AK27,Inputs!$F$182))</f>
        <v>20.0804772563347</v>
      </c>
      <c r="AL10" s="11" t="n">
        <f aca="false">Inputs!$F$177*Funding!$F$76/Inputs!$F$178*MAX(0,MIN(Time!AL28,Inputs!$F$178)-MIN(Time!AL27,Inputs!$F$178))+Inputs!$F$179*Funding!$F$76/Inputs!$F$180*MAX(0,MIN(Time!AL28,Inputs!$F$180)-MIN(Time!AL27,Inputs!$F$180))+Inputs!$F$181*Funding!$F$76/Inputs!$F$182*MAX(0,MIN(Time!AL28,Inputs!$F$182)-MIN(Time!AL27,Inputs!$F$182))</f>
        <v>20.0804772563347</v>
      </c>
      <c r="AM10" s="11" t="n">
        <f aca="false">Inputs!$F$177*Funding!$F$76/Inputs!$F$178*MAX(0,MIN(Time!AM28,Inputs!$F$178)-MIN(Time!AM27,Inputs!$F$178))+Inputs!$F$179*Funding!$F$76/Inputs!$F$180*MAX(0,MIN(Time!AM28,Inputs!$F$180)-MIN(Time!AM27,Inputs!$F$180))+Inputs!$F$181*Funding!$F$76/Inputs!$F$182*MAX(0,MIN(Time!AM28,Inputs!$F$182)-MIN(Time!AM27,Inputs!$F$182))</f>
        <v>20.0804772563347</v>
      </c>
      <c r="AN10" s="11" t="n">
        <f aca="false">Inputs!$F$177*Funding!$F$76/Inputs!$F$178*MAX(0,MIN(Time!AN28,Inputs!$F$178)-MIN(Time!AN27,Inputs!$F$178))+Inputs!$F$179*Funding!$F$76/Inputs!$F$180*MAX(0,MIN(Time!AN28,Inputs!$F$180)-MIN(Time!AN27,Inputs!$F$180))+Inputs!$F$181*Funding!$F$76/Inputs!$F$182*MAX(0,MIN(Time!AN28,Inputs!$F$182)-MIN(Time!AN27,Inputs!$F$182))</f>
        <v>20.0804772563347</v>
      </c>
      <c r="AO10" s="11" t="n">
        <f aca="false">Inputs!$F$177*Funding!$F$76/Inputs!$F$178*MAX(0,MIN(Time!AO28,Inputs!$F$178)-MIN(Time!AO27,Inputs!$F$178))+Inputs!$F$179*Funding!$F$76/Inputs!$F$180*MAX(0,MIN(Time!AO28,Inputs!$F$180)-MIN(Time!AO27,Inputs!$F$180))+Inputs!$F$181*Funding!$F$76/Inputs!$F$182*MAX(0,MIN(Time!AO28,Inputs!$F$182)-MIN(Time!AO27,Inputs!$F$182))</f>
        <v>20.0804772563347</v>
      </c>
      <c r="AP10" s="11" t="n">
        <f aca="false">Inputs!$F$177*Funding!$F$76/Inputs!$F$178*MAX(0,MIN(Time!AP28,Inputs!$F$178)-MIN(Time!AP27,Inputs!$F$178))+Inputs!$F$179*Funding!$F$76/Inputs!$F$180*MAX(0,MIN(Time!AP28,Inputs!$F$180)-MIN(Time!AP27,Inputs!$F$180))+Inputs!$F$181*Funding!$F$76/Inputs!$F$182*MAX(0,MIN(Time!AP28,Inputs!$F$182)-MIN(Time!AP27,Inputs!$F$182))</f>
        <v>20.0804772563347</v>
      </c>
      <c r="AQ10" s="11" t="n">
        <f aca="false">Inputs!$F$177*Funding!$F$76/Inputs!$F$178*MAX(0,MIN(Time!AQ28,Inputs!$F$178)-MIN(Time!AQ27,Inputs!$F$178))+Inputs!$F$179*Funding!$F$76/Inputs!$F$180*MAX(0,MIN(Time!AQ28,Inputs!$F$180)-MIN(Time!AQ27,Inputs!$F$180))+Inputs!$F$181*Funding!$F$76/Inputs!$F$182*MAX(0,MIN(Time!AQ28,Inputs!$F$182)-MIN(Time!AQ27,Inputs!$F$182))</f>
        <v>20.0804772563347</v>
      </c>
      <c r="AR10" s="11" t="n">
        <f aca="false">Inputs!$F$177*Funding!$F$76/Inputs!$F$178*MAX(0,MIN(Time!AR28,Inputs!$F$178)-MIN(Time!AR27,Inputs!$F$178))+Inputs!$F$179*Funding!$F$76/Inputs!$F$180*MAX(0,MIN(Time!AR28,Inputs!$F$180)-MIN(Time!AR27,Inputs!$F$180))+Inputs!$F$181*Funding!$F$76/Inputs!$F$182*MAX(0,MIN(Time!AR28,Inputs!$F$182)-MIN(Time!AR27,Inputs!$F$182))</f>
        <v>20.0804772563347</v>
      </c>
      <c r="AS10" s="11" t="n">
        <f aca="false">Inputs!$F$177*Funding!$F$76/Inputs!$F$178*MAX(0,MIN(Time!AS28,Inputs!$F$178)-MIN(Time!AS27,Inputs!$F$178))+Inputs!$F$179*Funding!$F$76/Inputs!$F$180*MAX(0,MIN(Time!AS28,Inputs!$F$180)-MIN(Time!AS27,Inputs!$F$180))+Inputs!$F$181*Funding!$F$76/Inputs!$F$182*MAX(0,MIN(Time!AS28,Inputs!$F$182)-MIN(Time!AS27,Inputs!$F$182))</f>
        <v>20.0804772563347</v>
      </c>
      <c r="AT10" s="11" t="n">
        <f aca="false">Inputs!$F$177*Funding!$F$76/Inputs!$F$178*MAX(0,MIN(Time!AT28,Inputs!$F$178)-MIN(Time!AT27,Inputs!$F$178))+Inputs!$F$179*Funding!$F$76/Inputs!$F$180*MAX(0,MIN(Time!AT28,Inputs!$F$180)-MIN(Time!AT27,Inputs!$F$180))+Inputs!$F$181*Funding!$F$76/Inputs!$F$182*MAX(0,MIN(Time!AT28,Inputs!$F$182)-MIN(Time!AT27,Inputs!$F$182))</f>
        <v>20.0804772563347</v>
      </c>
      <c r="AU10" s="11" t="n">
        <f aca="false">Inputs!$F$177*Funding!$F$76/Inputs!$F$178*MAX(0,MIN(Time!AU28,Inputs!$F$178)-MIN(Time!AU27,Inputs!$F$178))+Inputs!$F$179*Funding!$F$76/Inputs!$F$180*MAX(0,MIN(Time!AU28,Inputs!$F$180)-MIN(Time!AU27,Inputs!$F$180))+Inputs!$F$181*Funding!$F$76/Inputs!$F$182*MAX(0,MIN(Time!AU28,Inputs!$F$182)-MIN(Time!AU27,Inputs!$F$182))</f>
        <v>20.0804772563347</v>
      </c>
      <c r="AV10" s="11" t="n">
        <f aca="false">Inputs!$F$177*Funding!$F$76/Inputs!$F$178*MAX(0,MIN(Time!AV28,Inputs!$F$178)-MIN(Time!AV27,Inputs!$F$178))+Inputs!$F$179*Funding!$F$76/Inputs!$F$180*MAX(0,MIN(Time!AV28,Inputs!$F$180)-MIN(Time!AV27,Inputs!$F$180))+Inputs!$F$181*Funding!$F$76/Inputs!$F$182*MAX(0,MIN(Time!AV28,Inputs!$F$182)-MIN(Time!AV27,Inputs!$F$182))</f>
        <v>20.0804772563347</v>
      </c>
      <c r="AW10" s="11" t="n">
        <f aca="false">Inputs!$F$177*Funding!$F$76/Inputs!$F$178*MAX(0,MIN(Time!AW28,Inputs!$F$178)-MIN(Time!AW27,Inputs!$F$178))+Inputs!$F$179*Funding!$F$76/Inputs!$F$180*MAX(0,MIN(Time!AW28,Inputs!$F$180)-MIN(Time!AW27,Inputs!$F$180))+Inputs!$F$181*Funding!$F$76/Inputs!$F$182*MAX(0,MIN(Time!AW28,Inputs!$F$182)-MIN(Time!AW27,Inputs!$F$182))</f>
        <v>20.0804772563347</v>
      </c>
      <c r="AX10" s="11" t="n">
        <f aca="false">Inputs!$F$177*Funding!$F$76/Inputs!$F$178*MAX(0,MIN(Time!AX28,Inputs!$F$178)-MIN(Time!AX27,Inputs!$F$178))+Inputs!$F$179*Funding!$F$76/Inputs!$F$180*MAX(0,MIN(Time!AX28,Inputs!$F$180)-MIN(Time!AX27,Inputs!$F$180))+Inputs!$F$181*Funding!$F$76/Inputs!$F$182*MAX(0,MIN(Time!AX28,Inputs!$F$182)-MIN(Time!AX27,Inputs!$F$182))</f>
        <v>20.0804772563347</v>
      </c>
      <c r="AY10" s="11" t="n">
        <f aca="false">Inputs!$F$177*Funding!$F$76/Inputs!$F$178*MAX(0,MIN(Time!AY28,Inputs!$F$178)-MIN(Time!AY27,Inputs!$F$178))+Inputs!$F$179*Funding!$F$76/Inputs!$F$180*MAX(0,MIN(Time!AY28,Inputs!$F$180)-MIN(Time!AY27,Inputs!$F$180))+Inputs!$F$181*Funding!$F$76/Inputs!$F$182*MAX(0,MIN(Time!AY28,Inputs!$F$182)-MIN(Time!AY27,Inputs!$F$182))</f>
        <v>20.0804772563347</v>
      </c>
      <c r="AZ10" s="11" t="n">
        <f aca="false">Inputs!$F$177*Funding!$F$76/Inputs!$F$178*MAX(0,MIN(Time!AZ28,Inputs!$F$178)-MIN(Time!AZ27,Inputs!$F$178))+Inputs!$F$179*Funding!$F$76/Inputs!$F$180*MAX(0,MIN(Time!AZ28,Inputs!$F$180)-MIN(Time!AZ27,Inputs!$F$180))+Inputs!$F$181*Funding!$F$76/Inputs!$F$182*MAX(0,MIN(Time!AZ28,Inputs!$F$182)-MIN(Time!AZ27,Inputs!$F$182))</f>
        <v>20.0804772563347</v>
      </c>
      <c r="BA10" s="11" t="n">
        <f aca="false">Inputs!$F$177*Funding!$F$76/Inputs!$F$178*MAX(0,MIN(Time!BA28,Inputs!$F$178)-MIN(Time!BA27,Inputs!$F$178))+Inputs!$F$179*Funding!$F$76/Inputs!$F$180*MAX(0,MIN(Time!BA28,Inputs!$F$180)-MIN(Time!BA27,Inputs!$F$180))+Inputs!$F$181*Funding!$F$76/Inputs!$F$182*MAX(0,MIN(Time!BA28,Inputs!$F$182)-MIN(Time!BA27,Inputs!$F$182))</f>
        <v>20.0804772563347</v>
      </c>
      <c r="BB10" s="11" t="n">
        <f aca="false">Inputs!$F$177*Funding!$F$76/Inputs!$F$178*MAX(0,MIN(Time!BB28,Inputs!$F$178)-MIN(Time!BB27,Inputs!$F$178))+Inputs!$F$179*Funding!$F$76/Inputs!$F$180*MAX(0,MIN(Time!BB28,Inputs!$F$180)-MIN(Time!BB27,Inputs!$F$180))+Inputs!$F$181*Funding!$F$76/Inputs!$F$182*MAX(0,MIN(Time!BB28,Inputs!$F$182)-MIN(Time!BB27,Inputs!$F$182))</f>
        <v>20.0804772563347</v>
      </c>
      <c r="BC10" s="11" t="n">
        <f aca="false">Inputs!$F$177*Funding!$F$76/Inputs!$F$178*MAX(0,MIN(Time!BC28,Inputs!$F$178)-MIN(Time!BC27,Inputs!$F$178))+Inputs!$F$179*Funding!$F$76/Inputs!$F$180*MAX(0,MIN(Time!BC28,Inputs!$F$180)-MIN(Time!BC27,Inputs!$F$180))+Inputs!$F$181*Funding!$F$76/Inputs!$F$182*MAX(0,MIN(Time!BC28,Inputs!$F$182)-MIN(Time!BC27,Inputs!$F$182))</f>
        <v>13.6658803550056</v>
      </c>
      <c r="BD10" s="11" t="n">
        <f aca="false">Inputs!$F$177*Funding!$F$76/Inputs!$F$178*MAX(0,MIN(Time!BD28,Inputs!$F$178)-MIN(Time!BD27,Inputs!$F$178))+Inputs!$F$179*Funding!$F$76/Inputs!$F$180*MAX(0,MIN(Time!BD28,Inputs!$F$180)-MIN(Time!BD27,Inputs!$F$180))+Inputs!$F$181*Funding!$F$76/Inputs!$F$182*MAX(0,MIN(Time!BD28,Inputs!$F$182)-MIN(Time!BD27,Inputs!$F$182))</f>
        <v>0.836686552347281</v>
      </c>
      <c r="BE10" s="11" t="n">
        <f aca="false">Inputs!$F$177*Funding!$F$76/Inputs!$F$178*MAX(0,MIN(Time!BE28,Inputs!$F$178)-MIN(Time!BE27,Inputs!$F$178))+Inputs!$F$179*Funding!$F$76/Inputs!$F$180*MAX(0,MIN(Time!BE28,Inputs!$F$180)-MIN(Time!BE27,Inputs!$F$180))+Inputs!$F$181*Funding!$F$76/Inputs!$F$182*MAX(0,MIN(Time!BE28,Inputs!$F$182)-MIN(Time!BE27,Inputs!$F$182))</f>
        <v>0.836686552347281</v>
      </c>
      <c r="BF10" s="11" t="n">
        <f aca="false">Inputs!$F$177*Funding!$F$76/Inputs!$F$178*MAX(0,MIN(Time!BF28,Inputs!$F$178)-MIN(Time!BF27,Inputs!$F$178))+Inputs!$F$179*Funding!$F$76/Inputs!$F$180*MAX(0,MIN(Time!BF28,Inputs!$F$180)-MIN(Time!BF27,Inputs!$F$180))+Inputs!$F$181*Funding!$F$76/Inputs!$F$182*MAX(0,MIN(Time!BF28,Inputs!$F$182)-MIN(Time!BF27,Inputs!$F$182))</f>
        <v>0.836686552347281</v>
      </c>
      <c r="BG10" s="11" t="n">
        <f aca="false">Inputs!$F$177*Funding!$F$76/Inputs!$F$178*MAX(0,MIN(Time!BG28,Inputs!$F$178)-MIN(Time!BG27,Inputs!$F$178))+Inputs!$F$179*Funding!$F$76/Inputs!$F$180*MAX(0,MIN(Time!BG28,Inputs!$F$180)-MIN(Time!BG27,Inputs!$F$180))+Inputs!$F$181*Funding!$F$76/Inputs!$F$182*MAX(0,MIN(Time!BG28,Inputs!$F$182)-MIN(Time!BG27,Inputs!$F$182))</f>
        <v>0.836686552347281</v>
      </c>
      <c r="BH10" s="11" t="n">
        <f aca="false">Inputs!$F$177*Funding!$F$76/Inputs!$F$178*MAX(0,MIN(Time!BH28,Inputs!$F$178)-MIN(Time!BH27,Inputs!$F$178))+Inputs!$F$179*Funding!$F$76/Inputs!$F$180*MAX(0,MIN(Time!BH28,Inputs!$F$180)-MIN(Time!BH27,Inputs!$F$180))+Inputs!$F$181*Funding!$F$76/Inputs!$F$182*MAX(0,MIN(Time!BH28,Inputs!$F$182)-MIN(Time!BH27,Inputs!$F$182))</f>
        <v>0.836686552347281</v>
      </c>
      <c r="BI10" s="11" t="n">
        <f aca="false">Inputs!$F$177*Funding!$F$76/Inputs!$F$178*MAX(0,MIN(Time!BI28,Inputs!$F$178)-MIN(Time!BI27,Inputs!$F$178))+Inputs!$F$179*Funding!$F$76/Inputs!$F$180*MAX(0,MIN(Time!BI28,Inputs!$F$180)-MIN(Time!BI27,Inputs!$F$180))+Inputs!$F$181*Funding!$F$76/Inputs!$F$182*MAX(0,MIN(Time!BI28,Inputs!$F$182)-MIN(Time!BI27,Inputs!$F$182))</f>
        <v>0.836686552347281</v>
      </c>
      <c r="BJ10" s="11" t="n">
        <f aca="false">Inputs!$F$177*Funding!$F$76/Inputs!$F$178*MAX(0,MIN(Time!BJ28,Inputs!$F$178)-MIN(Time!BJ27,Inputs!$F$178))+Inputs!$F$179*Funding!$F$76/Inputs!$F$180*MAX(0,MIN(Time!BJ28,Inputs!$F$180)-MIN(Time!BJ27,Inputs!$F$180))+Inputs!$F$181*Funding!$F$76/Inputs!$F$182*MAX(0,MIN(Time!BJ28,Inputs!$F$182)-MIN(Time!BJ27,Inputs!$F$182))</f>
        <v>0.836686552347281</v>
      </c>
      <c r="BK10" s="11" t="n">
        <f aca="false">Inputs!$F$177*Funding!$F$76/Inputs!$F$178*MAX(0,MIN(Time!BK28,Inputs!$F$178)-MIN(Time!BK27,Inputs!$F$178))+Inputs!$F$179*Funding!$F$76/Inputs!$F$180*MAX(0,MIN(Time!BK28,Inputs!$F$180)-MIN(Time!BK27,Inputs!$F$180))+Inputs!$F$181*Funding!$F$76/Inputs!$F$182*MAX(0,MIN(Time!BK28,Inputs!$F$182)-MIN(Time!BK27,Inputs!$F$182))</f>
        <v>0.836686552347281</v>
      </c>
      <c r="BL10" s="11" t="n">
        <f aca="false">Inputs!$F$177*Funding!$F$76/Inputs!$F$178*MAX(0,MIN(Time!BL28,Inputs!$F$178)-MIN(Time!BL27,Inputs!$F$178))+Inputs!$F$179*Funding!$F$76/Inputs!$F$180*MAX(0,MIN(Time!BL28,Inputs!$F$180)-MIN(Time!BL27,Inputs!$F$180))+Inputs!$F$181*Funding!$F$76/Inputs!$F$182*MAX(0,MIN(Time!BL28,Inputs!$F$182)-MIN(Time!BL27,Inputs!$F$182))</f>
        <v>0.836686552347281</v>
      </c>
      <c r="BM10" s="11" t="n">
        <f aca="false">Inputs!$F$177*Funding!$F$76/Inputs!$F$178*MAX(0,MIN(Time!BM28,Inputs!$F$178)-MIN(Time!BM27,Inputs!$F$178))+Inputs!$F$179*Funding!$F$76/Inputs!$F$180*MAX(0,MIN(Time!BM28,Inputs!$F$180)-MIN(Time!BM27,Inputs!$F$180))+Inputs!$F$181*Funding!$F$76/Inputs!$F$182*MAX(0,MIN(Time!BM28,Inputs!$F$182)-MIN(Time!BM27,Inputs!$F$182))</f>
        <v>0.557791034898187</v>
      </c>
      <c r="BN10" s="11" t="n">
        <f aca="false">Inputs!$F$177*Funding!$F$76/Inputs!$F$178*MAX(0,MIN(Time!BN28,Inputs!$F$178)-MIN(Time!BN27,Inputs!$F$178))+Inputs!$F$179*Funding!$F$76/Inputs!$F$180*MAX(0,MIN(Time!BN28,Inputs!$F$180)-MIN(Time!BN27,Inputs!$F$180))+Inputs!$F$181*Funding!$F$76/Inputs!$F$182*MAX(0,MIN(Time!BN28,Inputs!$F$182)-MIN(Time!BN27,Inputs!$F$182))</f>
        <v>0</v>
      </c>
    </row>
    <row r="11" customFormat="false" ht="15" hidden="false" customHeight="false" outlineLevel="0" collapsed="false">
      <c r="D11" s="0" t="s">
        <v>547</v>
      </c>
      <c r="E11" s="0" t="s">
        <v>149</v>
      </c>
      <c r="G11" s="11" t="n">
        <f aca="false">SUM(J11:BN11)</f>
        <v>225.905369133766</v>
      </c>
      <c r="J11" s="11" t="n">
        <f aca="false">(Inputs!$F$177*Funding!$F$76/Inputs!$F$178+Inputs!$F$179*Funding!$F$76/Inputs!$F$180)*J7+Inputs!$F$181*Funding!$F$76/Inputs!$F$182*MAX(0,MIN(Time!J28,60)-MIN(Time!J27,60))</f>
        <v>0</v>
      </c>
      <c r="K11" s="11" t="n">
        <f aca="false">(Inputs!$F$177*Funding!$F$76/Inputs!$F$178+Inputs!$F$179*Funding!$F$76/Inputs!$F$180)*K7+Inputs!$F$181*Funding!$F$76/Inputs!$F$182*MAX(0,MIN(Time!K28,60)-MIN(Time!K27,60))</f>
        <v>0</v>
      </c>
      <c r="L11" s="11" t="n">
        <f aca="false">(Inputs!$F$177*Funding!$F$76/Inputs!$F$178+Inputs!$F$179*Funding!$F$76/Inputs!$F$180)*L7+Inputs!$F$181*Funding!$F$76/Inputs!$F$182*MAX(0,MIN(Time!L28,60)-MIN(Time!L27,60))</f>
        <v>0</v>
      </c>
      <c r="M11" s="11" t="n">
        <f aca="false">(Inputs!$F$177*Funding!$F$76/Inputs!$F$178+Inputs!$F$179*Funding!$F$76/Inputs!$F$180)*M7+Inputs!$F$181*Funding!$F$76/Inputs!$F$182*MAX(0,MIN(Time!M28,60)-MIN(Time!M27,60))</f>
        <v>0</v>
      </c>
      <c r="N11" s="11" t="n">
        <f aca="false">(Inputs!$F$177*Funding!$F$76/Inputs!$F$178+Inputs!$F$179*Funding!$F$76/Inputs!$F$180)*N7+Inputs!$F$181*Funding!$F$76/Inputs!$F$182*MAX(0,MIN(Time!N28,60)-MIN(Time!N27,60))</f>
        <v>0</v>
      </c>
      <c r="O11" s="11" t="n">
        <f aca="false">(Inputs!$F$177*Funding!$F$76/Inputs!$F$178+Inputs!$F$179*Funding!$F$76/Inputs!$F$180)*O7+Inputs!$F$181*Funding!$F$76/Inputs!$F$182*MAX(0,MIN(Time!O28,60)-MIN(Time!O27,60))</f>
        <v>7.53017897112553</v>
      </c>
      <c r="P11" s="11" t="n">
        <f aca="false">(Inputs!$F$177*Funding!$F$76/Inputs!$F$178+Inputs!$F$179*Funding!$F$76/Inputs!$F$180)*P7+Inputs!$F$181*Funding!$F$76/Inputs!$F$182*MAX(0,MIN(Time!P28,60)-MIN(Time!P27,60))</f>
        <v>22.5905369133766</v>
      </c>
      <c r="Q11" s="11" t="n">
        <f aca="false">(Inputs!$F$177*Funding!$F$76/Inputs!$F$178+Inputs!$F$179*Funding!$F$76/Inputs!$F$180)*Q7+Inputs!$F$181*Funding!$F$76/Inputs!$F$182*MAX(0,MIN(Time!Q28,60)-MIN(Time!Q27,60))</f>
        <v>22.5905369133766</v>
      </c>
      <c r="R11" s="11" t="n">
        <f aca="false">(Inputs!$F$177*Funding!$F$76/Inputs!$F$178+Inputs!$F$179*Funding!$F$76/Inputs!$F$180)*R7+Inputs!$F$181*Funding!$F$76/Inputs!$F$182*MAX(0,MIN(Time!R28,60)-MIN(Time!R27,60))</f>
        <v>22.5905369133766</v>
      </c>
      <c r="S11" s="11" t="n">
        <f aca="false">(Inputs!$F$177*Funding!$F$76/Inputs!$F$178+Inputs!$F$179*Funding!$F$76/Inputs!$F$180)*S7+Inputs!$F$181*Funding!$F$76/Inputs!$F$182*MAX(0,MIN(Time!S28,60)-MIN(Time!S27,60))</f>
        <v>22.5905369133766</v>
      </c>
      <c r="T11" s="11" t="n">
        <f aca="false">(Inputs!$F$177*Funding!$F$76/Inputs!$F$178+Inputs!$F$179*Funding!$F$76/Inputs!$F$180)*T7+Inputs!$F$181*Funding!$F$76/Inputs!$F$182*MAX(0,MIN(Time!T28,60)-MIN(Time!T27,60))</f>
        <v>22.5905369133766</v>
      </c>
      <c r="U11" s="11" t="n">
        <f aca="false">(Inputs!$F$177*Funding!$F$76/Inputs!$F$178+Inputs!$F$179*Funding!$F$76/Inputs!$F$180)*U7+Inputs!$F$181*Funding!$F$76/Inputs!$F$182*MAX(0,MIN(Time!U28,60)-MIN(Time!U27,60))</f>
        <v>22.5905369133766</v>
      </c>
      <c r="V11" s="11" t="n">
        <f aca="false">(Inputs!$F$177*Funding!$F$76/Inputs!$F$178+Inputs!$F$179*Funding!$F$76/Inputs!$F$180)*V7+Inputs!$F$181*Funding!$F$76/Inputs!$F$182*MAX(0,MIN(Time!V28,60)-MIN(Time!V27,60))</f>
        <v>22.5905369133766</v>
      </c>
      <c r="W11" s="11" t="n">
        <f aca="false">(Inputs!$F$177*Funding!$F$76/Inputs!$F$178+Inputs!$F$179*Funding!$F$76/Inputs!$F$180)*W7+Inputs!$F$181*Funding!$F$76/Inputs!$F$182*MAX(0,MIN(Time!W28,60)-MIN(Time!W27,60))</f>
        <v>22.5905369133766</v>
      </c>
      <c r="X11" s="11" t="n">
        <f aca="false">(Inputs!$F$177*Funding!$F$76/Inputs!$F$178+Inputs!$F$179*Funding!$F$76/Inputs!$F$180)*X7+Inputs!$F$181*Funding!$F$76/Inputs!$F$182*MAX(0,MIN(Time!X28,60)-MIN(Time!X27,60))</f>
        <v>22.5905369133766</v>
      </c>
      <c r="Y11" s="11" t="n">
        <f aca="false">(Inputs!$F$177*Funding!$F$76/Inputs!$F$178+Inputs!$F$179*Funding!$F$76/Inputs!$F$180)*Y7+Inputs!$F$181*Funding!$F$76/Inputs!$F$182*MAX(0,MIN(Time!Y28,60)-MIN(Time!Y27,60))</f>
        <v>15.0603579422511</v>
      </c>
      <c r="Z11" s="11" t="n">
        <f aca="false">(Inputs!$F$177*Funding!$F$76/Inputs!$F$178+Inputs!$F$179*Funding!$F$76/Inputs!$F$180)*Z7+Inputs!$F$181*Funding!$F$76/Inputs!$F$182*MAX(0,MIN(Time!Z28,60)-MIN(Time!Z27,60))</f>
        <v>0</v>
      </c>
      <c r="AA11" s="11" t="n">
        <f aca="false">(Inputs!$F$177*Funding!$F$76/Inputs!$F$178+Inputs!$F$179*Funding!$F$76/Inputs!$F$180)*AA7+Inputs!$F$181*Funding!$F$76/Inputs!$F$182*MAX(0,MIN(Time!AA28,60)-MIN(Time!AA27,60))</f>
        <v>0</v>
      </c>
      <c r="AB11" s="11" t="n">
        <f aca="false">(Inputs!$F$177*Funding!$F$76/Inputs!$F$178+Inputs!$F$179*Funding!$F$76/Inputs!$F$180)*AB7+Inputs!$F$181*Funding!$F$76/Inputs!$F$182*MAX(0,MIN(Time!AB28,60)-MIN(Time!AB27,60))</f>
        <v>0</v>
      </c>
      <c r="AC11" s="11" t="n">
        <f aca="false">(Inputs!$F$177*Funding!$F$76/Inputs!$F$178+Inputs!$F$179*Funding!$F$76/Inputs!$F$180)*AC7+Inputs!$F$181*Funding!$F$76/Inputs!$F$182*MAX(0,MIN(Time!AC28,60)-MIN(Time!AC27,60))</f>
        <v>0</v>
      </c>
      <c r="AD11" s="11" t="n">
        <f aca="false">(Inputs!$F$177*Funding!$F$76/Inputs!$F$178+Inputs!$F$179*Funding!$F$76/Inputs!$F$180)*AD7+Inputs!$F$181*Funding!$F$76/Inputs!$F$182*MAX(0,MIN(Time!AD28,60)-MIN(Time!AD27,60))</f>
        <v>0</v>
      </c>
      <c r="AE11" s="11" t="n">
        <f aca="false">(Inputs!$F$177*Funding!$F$76/Inputs!$F$178+Inputs!$F$179*Funding!$F$76/Inputs!$F$180)*AE7+Inputs!$F$181*Funding!$F$76/Inputs!$F$182*MAX(0,MIN(Time!AE28,60)-MIN(Time!AE27,60))</f>
        <v>0</v>
      </c>
      <c r="AF11" s="11" t="n">
        <f aca="false">(Inputs!$F$177*Funding!$F$76/Inputs!$F$178+Inputs!$F$179*Funding!$F$76/Inputs!$F$180)*AF7+Inputs!$F$181*Funding!$F$76/Inputs!$F$182*MAX(0,MIN(Time!AF28,60)-MIN(Time!AF27,60))</f>
        <v>0</v>
      </c>
      <c r="AG11" s="11" t="n">
        <f aca="false">(Inputs!$F$177*Funding!$F$76/Inputs!$F$178+Inputs!$F$179*Funding!$F$76/Inputs!$F$180)*AG7+Inputs!$F$181*Funding!$F$76/Inputs!$F$182*MAX(0,MIN(Time!AG28,60)-MIN(Time!AG27,60))</f>
        <v>0</v>
      </c>
      <c r="AH11" s="11" t="n">
        <f aca="false">(Inputs!$F$177*Funding!$F$76/Inputs!$F$178+Inputs!$F$179*Funding!$F$76/Inputs!$F$180)*AH7+Inputs!$F$181*Funding!$F$76/Inputs!$F$182*MAX(0,MIN(Time!AH28,60)-MIN(Time!AH27,60))</f>
        <v>0</v>
      </c>
      <c r="AI11" s="11" t="n">
        <f aca="false">(Inputs!$F$177*Funding!$F$76/Inputs!$F$178+Inputs!$F$179*Funding!$F$76/Inputs!$F$180)*AI7+Inputs!$F$181*Funding!$F$76/Inputs!$F$182*MAX(0,MIN(Time!AI28,60)-MIN(Time!AI27,60))</f>
        <v>0</v>
      </c>
      <c r="AJ11" s="11" t="n">
        <f aca="false">(Inputs!$F$177*Funding!$F$76/Inputs!$F$178+Inputs!$F$179*Funding!$F$76/Inputs!$F$180)*AJ7+Inputs!$F$181*Funding!$F$76/Inputs!$F$182*MAX(0,MIN(Time!AJ28,60)-MIN(Time!AJ27,60))</f>
        <v>0</v>
      </c>
      <c r="AK11" s="11" t="n">
        <f aca="false">(Inputs!$F$177*Funding!$F$76/Inputs!$F$178+Inputs!$F$179*Funding!$F$76/Inputs!$F$180)*AK7+Inputs!$F$181*Funding!$F$76/Inputs!$F$182*MAX(0,MIN(Time!AK28,60)-MIN(Time!AK27,60))</f>
        <v>0</v>
      </c>
      <c r="AL11" s="11" t="n">
        <f aca="false">(Inputs!$F$177*Funding!$F$76/Inputs!$F$178+Inputs!$F$179*Funding!$F$76/Inputs!$F$180)*AL7+Inputs!$F$181*Funding!$F$76/Inputs!$F$182*MAX(0,MIN(Time!AL28,60)-MIN(Time!AL27,60))</f>
        <v>0</v>
      </c>
      <c r="AM11" s="11" t="n">
        <f aca="false">(Inputs!$F$177*Funding!$F$76/Inputs!$F$178+Inputs!$F$179*Funding!$F$76/Inputs!$F$180)*AM7+Inputs!$F$181*Funding!$F$76/Inputs!$F$182*MAX(0,MIN(Time!AM28,60)-MIN(Time!AM27,60))</f>
        <v>0</v>
      </c>
      <c r="AN11" s="11" t="n">
        <f aca="false">(Inputs!$F$177*Funding!$F$76/Inputs!$F$178+Inputs!$F$179*Funding!$F$76/Inputs!$F$180)*AN7+Inputs!$F$181*Funding!$F$76/Inputs!$F$182*MAX(0,MIN(Time!AN28,60)-MIN(Time!AN27,60))</f>
        <v>0</v>
      </c>
      <c r="AO11" s="11" t="n">
        <f aca="false">(Inputs!$F$177*Funding!$F$76/Inputs!$F$178+Inputs!$F$179*Funding!$F$76/Inputs!$F$180)*AO7+Inputs!$F$181*Funding!$F$76/Inputs!$F$182*MAX(0,MIN(Time!AO28,60)-MIN(Time!AO27,60))</f>
        <v>0</v>
      </c>
      <c r="AP11" s="11" t="n">
        <f aca="false">(Inputs!$F$177*Funding!$F$76/Inputs!$F$178+Inputs!$F$179*Funding!$F$76/Inputs!$F$180)*AP7+Inputs!$F$181*Funding!$F$76/Inputs!$F$182*MAX(0,MIN(Time!AP28,60)-MIN(Time!AP27,60))</f>
        <v>0</v>
      </c>
      <c r="AQ11" s="11" t="n">
        <f aca="false">(Inputs!$F$177*Funding!$F$76/Inputs!$F$178+Inputs!$F$179*Funding!$F$76/Inputs!$F$180)*AQ7+Inputs!$F$181*Funding!$F$76/Inputs!$F$182*MAX(0,MIN(Time!AQ28,60)-MIN(Time!AQ27,60))</f>
        <v>0</v>
      </c>
      <c r="AR11" s="11" t="n">
        <f aca="false">(Inputs!$F$177*Funding!$F$76/Inputs!$F$178+Inputs!$F$179*Funding!$F$76/Inputs!$F$180)*AR7+Inputs!$F$181*Funding!$F$76/Inputs!$F$182*MAX(0,MIN(Time!AR28,60)-MIN(Time!AR27,60))</f>
        <v>0</v>
      </c>
      <c r="AS11" s="11" t="n">
        <f aca="false">(Inputs!$F$177*Funding!$F$76/Inputs!$F$178+Inputs!$F$179*Funding!$F$76/Inputs!$F$180)*AS7+Inputs!$F$181*Funding!$F$76/Inputs!$F$182*MAX(0,MIN(Time!AS28,60)-MIN(Time!AS27,60))</f>
        <v>0</v>
      </c>
      <c r="AT11" s="11" t="n">
        <f aca="false">(Inputs!$F$177*Funding!$F$76/Inputs!$F$178+Inputs!$F$179*Funding!$F$76/Inputs!$F$180)*AT7+Inputs!$F$181*Funding!$F$76/Inputs!$F$182*MAX(0,MIN(Time!AT28,60)-MIN(Time!AT27,60))</f>
        <v>0</v>
      </c>
      <c r="AU11" s="11" t="n">
        <f aca="false">(Inputs!$F$177*Funding!$F$76/Inputs!$F$178+Inputs!$F$179*Funding!$F$76/Inputs!$F$180)*AU7+Inputs!$F$181*Funding!$F$76/Inputs!$F$182*MAX(0,MIN(Time!AU28,60)-MIN(Time!AU27,60))</f>
        <v>0</v>
      </c>
      <c r="AV11" s="11" t="n">
        <f aca="false">(Inputs!$F$177*Funding!$F$76/Inputs!$F$178+Inputs!$F$179*Funding!$F$76/Inputs!$F$180)*AV7+Inputs!$F$181*Funding!$F$76/Inputs!$F$182*MAX(0,MIN(Time!AV28,60)-MIN(Time!AV27,60))</f>
        <v>0</v>
      </c>
      <c r="AW11" s="11" t="n">
        <f aca="false">(Inputs!$F$177*Funding!$F$76/Inputs!$F$178+Inputs!$F$179*Funding!$F$76/Inputs!$F$180)*AW7+Inputs!$F$181*Funding!$F$76/Inputs!$F$182*MAX(0,MIN(Time!AW28,60)-MIN(Time!AW27,60))</f>
        <v>0</v>
      </c>
      <c r="AX11" s="11" t="n">
        <f aca="false">(Inputs!$F$177*Funding!$F$76/Inputs!$F$178+Inputs!$F$179*Funding!$F$76/Inputs!$F$180)*AX7+Inputs!$F$181*Funding!$F$76/Inputs!$F$182*MAX(0,MIN(Time!AX28,60)-MIN(Time!AX27,60))</f>
        <v>0</v>
      </c>
      <c r="AY11" s="11" t="n">
        <f aca="false">(Inputs!$F$177*Funding!$F$76/Inputs!$F$178+Inputs!$F$179*Funding!$F$76/Inputs!$F$180)*AY7+Inputs!$F$181*Funding!$F$76/Inputs!$F$182*MAX(0,MIN(Time!AY28,60)-MIN(Time!AY27,60))</f>
        <v>0</v>
      </c>
      <c r="AZ11" s="11" t="n">
        <f aca="false">(Inputs!$F$177*Funding!$F$76/Inputs!$F$178+Inputs!$F$179*Funding!$F$76/Inputs!$F$180)*AZ7+Inputs!$F$181*Funding!$F$76/Inputs!$F$182*MAX(0,MIN(Time!AZ28,60)-MIN(Time!AZ27,60))</f>
        <v>0</v>
      </c>
      <c r="BA11" s="11" t="n">
        <f aca="false">(Inputs!$F$177*Funding!$F$76/Inputs!$F$178+Inputs!$F$179*Funding!$F$76/Inputs!$F$180)*BA7+Inputs!$F$181*Funding!$F$76/Inputs!$F$182*MAX(0,MIN(Time!BA28,60)-MIN(Time!BA27,60))</f>
        <v>0</v>
      </c>
      <c r="BB11" s="11" t="n">
        <f aca="false">(Inputs!$F$177*Funding!$F$76/Inputs!$F$178+Inputs!$F$179*Funding!$F$76/Inputs!$F$180)*BB7+Inputs!$F$181*Funding!$F$76/Inputs!$F$182*MAX(0,MIN(Time!BB28,60)-MIN(Time!BB27,60))</f>
        <v>0</v>
      </c>
      <c r="BC11" s="11" t="n">
        <f aca="false">(Inputs!$F$177*Funding!$F$76/Inputs!$F$178+Inputs!$F$179*Funding!$F$76/Inputs!$F$180)*BC7+Inputs!$F$181*Funding!$F$76/Inputs!$F$182*MAX(0,MIN(Time!BC28,60)-MIN(Time!BC27,60))</f>
        <v>0</v>
      </c>
      <c r="BD11" s="11" t="n">
        <f aca="false">(Inputs!$F$177*Funding!$F$76/Inputs!$F$178+Inputs!$F$179*Funding!$F$76/Inputs!$F$180)*BD7+Inputs!$F$181*Funding!$F$76/Inputs!$F$182*MAX(0,MIN(Time!BD28,60)-MIN(Time!BD27,60))</f>
        <v>0</v>
      </c>
      <c r="BE11" s="11" t="n">
        <f aca="false">(Inputs!$F$177*Funding!$F$76/Inputs!$F$178+Inputs!$F$179*Funding!$F$76/Inputs!$F$180)*BE7+Inputs!$F$181*Funding!$F$76/Inputs!$F$182*MAX(0,MIN(Time!BE28,60)-MIN(Time!BE27,60))</f>
        <v>0</v>
      </c>
      <c r="BF11" s="11" t="n">
        <f aca="false">(Inputs!$F$177*Funding!$F$76/Inputs!$F$178+Inputs!$F$179*Funding!$F$76/Inputs!$F$180)*BF7+Inputs!$F$181*Funding!$F$76/Inputs!$F$182*MAX(0,MIN(Time!BF28,60)-MIN(Time!BF27,60))</f>
        <v>0</v>
      </c>
      <c r="BG11" s="11" t="n">
        <f aca="false">(Inputs!$F$177*Funding!$F$76/Inputs!$F$178+Inputs!$F$179*Funding!$F$76/Inputs!$F$180)*BG7+Inputs!$F$181*Funding!$F$76/Inputs!$F$182*MAX(0,MIN(Time!BG28,60)-MIN(Time!BG27,60))</f>
        <v>0</v>
      </c>
      <c r="BH11" s="11" t="n">
        <f aca="false">(Inputs!$F$177*Funding!$F$76/Inputs!$F$178+Inputs!$F$179*Funding!$F$76/Inputs!$F$180)*BH7+Inputs!$F$181*Funding!$F$76/Inputs!$F$182*MAX(0,MIN(Time!BH28,60)-MIN(Time!BH27,60))</f>
        <v>0</v>
      </c>
      <c r="BI11" s="11" t="n">
        <f aca="false">(Inputs!$F$177*Funding!$F$76/Inputs!$F$178+Inputs!$F$179*Funding!$F$76/Inputs!$F$180)*BI7+Inputs!$F$181*Funding!$F$76/Inputs!$F$182*MAX(0,MIN(Time!BI28,60)-MIN(Time!BI27,60))</f>
        <v>0</v>
      </c>
      <c r="BJ11" s="11" t="n">
        <f aca="false">(Inputs!$F$177*Funding!$F$76/Inputs!$F$178+Inputs!$F$179*Funding!$F$76/Inputs!$F$180)*BJ7+Inputs!$F$181*Funding!$F$76/Inputs!$F$182*MAX(0,MIN(Time!BJ28,60)-MIN(Time!BJ27,60))</f>
        <v>0</v>
      </c>
      <c r="BK11" s="11" t="n">
        <f aca="false">(Inputs!$F$177*Funding!$F$76/Inputs!$F$178+Inputs!$F$179*Funding!$F$76/Inputs!$F$180)*BK7+Inputs!$F$181*Funding!$F$76/Inputs!$F$182*MAX(0,MIN(Time!BK28,60)-MIN(Time!BK27,60))</f>
        <v>0</v>
      </c>
      <c r="BL11" s="11" t="n">
        <f aca="false">(Inputs!$F$177*Funding!$F$76/Inputs!$F$178+Inputs!$F$179*Funding!$F$76/Inputs!$F$180)*BL7+Inputs!$F$181*Funding!$F$76/Inputs!$F$182*MAX(0,MIN(Time!BL28,60)-MIN(Time!BL27,60))</f>
        <v>0</v>
      </c>
      <c r="BM11" s="11" t="n">
        <f aca="false">(Inputs!$F$177*Funding!$F$76/Inputs!$F$178+Inputs!$F$179*Funding!$F$76/Inputs!$F$180)*BM7+Inputs!$F$181*Funding!$F$76/Inputs!$F$182*MAX(0,MIN(Time!BM28,60)-MIN(Time!BM27,60))</f>
        <v>0</v>
      </c>
      <c r="BN11" s="11" t="n">
        <f aca="false">(Inputs!$F$177*Funding!$F$76/Inputs!$F$178+Inputs!$F$179*Funding!$F$76/Inputs!$F$180)*BN7+Inputs!$F$181*Funding!$F$76/Inputs!$F$182*MAX(0,MIN(Time!BN28,60)-MIN(Time!BN27,60))</f>
        <v>0</v>
      </c>
    </row>
    <row r="12" customFormat="false" ht="15" hidden="false" customHeight="false" outlineLevel="0" collapsed="false">
      <c r="D12" s="0" t="s">
        <v>548</v>
      </c>
      <c r="E12" s="0" t="s">
        <v>149</v>
      </c>
      <c r="G12" s="11" t="n">
        <f aca="false">SUM(J12:BN12)</f>
        <v>610.781183213515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6.69349241877825</v>
      </c>
      <c r="Z12" s="11" t="n">
        <f aca="false">Z10-Z11</f>
        <v>20.0804772563347</v>
      </c>
      <c r="AA12" s="11" t="n">
        <f aca="false">AA10-AA11</f>
        <v>20.0804772563347</v>
      </c>
      <c r="AB12" s="11" t="n">
        <f aca="false">AB10-AB11</f>
        <v>20.0804772563347</v>
      </c>
      <c r="AC12" s="11" t="n">
        <f aca="false">AC10-AC11</f>
        <v>20.0804772563347</v>
      </c>
      <c r="AD12" s="11" t="n">
        <f aca="false">AD10-AD11</f>
        <v>20.0804772563347</v>
      </c>
      <c r="AE12" s="11" t="n">
        <f aca="false">AE10-AE11</f>
        <v>20.0804772563347</v>
      </c>
      <c r="AF12" s="11" t="n">
        <f aca="false">AF10-AF11</f>
        <v>20.0804772563347</v>
      </c>
      <c r="AG12" s="11" t="n">
        <f aca="false">AG10-AG11</f>
        <v>20.0804772563347</v>
      </c>
      <c r="AH12" s="11" t="n">
        <f aca="false">AH10-AH11</f>
        <v>20.0804772563347</v>
      </c>
      <c r="AI12" s="11" t="n">
        <f aca="false">AI10-AI11</f>
        <v>20.0804772563347</v>
      </c>
      <c r="AJ12" s="11" t="n">
        <f aca="false">AJ10-AJ11</f>
        <v>20.0804772563347</v>
      </c>
      <c r="AK12" s="11" t="n">
        <f aca="false">AK10-AK11</f>
        <v>20.0804772563347</v>
      </c>
      <c r="AL12" s="11" t="n">
        <f aca="false">AL10-AL11</f>
        <v>20.0804772563347</v>
      </c>
      <c r="AM12" s="11" t="n">
        <f aca="false">AM10-AM11</f>
        <v>20.0804772563347</v>
      </c>
      <c r="AN12" s="11" t="n">
        <f aca="false">AN10-AN11</f>
        <v>20.0804772563347</v>
      </c>
      <c r="AO12" s="11" t="n">
        <f aca="false">AO10-AO11</f>
        <v>20.0804772563347</v>
      </c>
      <c r="AP12" s="11" t="n">
        <f aca="false">AP10-AP11</f>
        <v>20.0804772563347</v>
      </c>
      <c r="AQ12" s="11" t="n">
        <f aca="false">AQ10-AQ11</f>
        <v>20.0804772563347</v>
      </c>
      <c r="AR12" s="11" t="n">
        <f aca="false">AR10-AR11</f>
        <v>20.0804772563347</v>
      </c>
      <c r="AS12" s="11" t="n">
        <f aca="false">AS10-AS11</f>
        <v>20.0804772563347</v>
      </c>
      <c r="AT12" s="11" t="n">
        <f aca="false">AT10-AT11</f>
        <v>20.0804772563347</v>
      </c>
      <c r="AU12" s="11" t="n">
        <f aca="false">AU10-AU11</f>
        <v>20.0804772563347</v>
      </c>
      <c r="AV12" s="11" t="n">
        <f aca="false">AV10-AV11</f>
        <v>20.0804772563347</v>
      </c>
      <c r="AW12" s="11" t="n">
        <f aca="false">AW10-AW11</f>
        <v>20.0804772563347</v>
      </c>
      <c r="AX12" s="11" t="n">
        <f aca="false">AX10-AX11</f>
        <v>20.0804772563347</v>
      </c>
      <c r="AY12" s="11" t="n">
        <f aca="false">AY10-AY11</f>
        <v>20.0804772563347</v>
      </c>
      <c r="AZ12" s="11" t="n">
        <f aca="false">AZ10-AZ11</f>
        <v>20.0804772563347</v>
      </c>
      <c r="BA12" s="11" t="n">
        <f aca="false">BA10-BA11</f>
        <v>20.0804772563347</v>
      </c>
      <c r="BB12" s="11" t="n">
        <f aca="false">BB10-BB11</f>
        <v>20.0804772563347</v>
      </c>
      <c r="BC12" s="11" t="n">
        <f aca="false">BC10-BC11</f>
        <v>13.6658803550056</v>
      </c>
      <c r="BD12" s="11" t="n">
        <f aca="false">BD10-BD11</f>
        <v>0.836686552347281</v>
      </c>
      <c r="BE12" s="11" t="n">
        <f aca="false">BE10-BE11</f>
        <v>0.836686552347281</v>
      </c>
      <c r="BF12" s="11" t="n">
        <f aca="false">BF10-BF11</f>
        <v>0.836686552347281</v>
      </c>
      <c r="BG12" s="11" t="n">
        <f aca="false">BG10-BG11</f>
        <v>0.836686552347281</v>
      </c>
      <c r="BH12" s="11" t="n">
        <f aca="false">BH10-BH11</f>
        <v>0.836686552347281</v>
      </c>
      <c r="BI12" s="11" t="n">
        <f aca="false">BI10-BI11</f>
        <v>0.836686552347281</v>
      </c>
      <c r="BJ12" s="11" t="n">
        <f aca="false">BJ10-BJ11</f>
        <v>0.836686552347281</v>
      </c>
      <c r="BK12" s="11" t="n">
        <f aca="false">BK10-BK11</f>
        <v>0.836686552347281</v>
      </c>
      <c r="BL12" s="11" t="n">
        <f aca="false">BL10-BL11</f>
        <v>0.836686552347281</v>
      </c>
      <c r="BM12" s="11" t="n">
        <f aca="false">BM10-BM11</f>
        <v>0.557791034898187</v>
      </c>
      <c r="BN12" s="11" t="n">
        <f aca="false">BN10-BN11</f>
        <v>0</v>
      </c>
    </row>
    <row r="13" customFormat="false" ht="15" hidden="false" customHeight="false" outlineLevel="0" collapsed="false">
      <c r="D13" s="0" t="s">
        <v>549</v>
      </c>
      <c r="E13" s="0" t="s">
        <v>149</v>
      </c>
      <c r="G13" s="11" t="n">
        <f aca="false">SUM(J13:BN13)</f>
        <v>190.045944348257</v>
      </c>
      <c r="J13" s="11" t="n">
        <f aca="false">IF(Time!J17&gt;=Time!$F$11,Waterfall!J33*Inputs!$F$104/100*Time!J26/365,0)</f>
        <v>0</v>
      </c>
      <c r="K13" s="11" t="n">
        <f aca="false">IF(Time!K17&gt;=Time!$F$11,Waterfall!K33*Inputs!$F$104/100*Time!K26/365,0)</f>
        <v>0</v>
      </c>
      <c r="L13" s="11" t="n">
        <f aca="false">IF(Time!L17&gt;=Time!$F$11,Waterfall!L33*Inputs!$F$104/100*Time!L26/365,0)</f>
        <v>0</v>
      </c>
      <c r="M13" s="11" t="n">
        <f aca="false">IF(Time!M17&gt;=Time!$F$11,Waterfall!M33*Inputs!$F$104/100*Time!M26/365,0)</f>
        <v>0</v>
      </c>
      <c r="N13" s="11" t="n">
        <f aca="false">IF(Time!N17&gt;=Time!$F$11,Waterfall!N33*Inputs!$F$104/100*Time!N26/365,0)</f>
        <v>0</v>
      </c>
      <c r="O13" s="11" t="n">
        <f aca="false">IF(Time!O17&gt;=Time!$F$11,Waterfall!O33*Inputs!$F$104/100*Time!O26/365,0)</f>
        <v>3.20169334249331</v>
      </c>
      <c r="P13" s="11" t="n">
        <f aca="false">IF(Time!P17&gt;=Time!$F$11,Waterfall!P33*Inputs!$F$104/100*Time!P26/365,0)</f>
        <v>9.81089721352277</v>
      </c>
      <c r="Q13" s="11" t="n">
        <f aca="false">IF(Time!Q17&gt;=Time!$F$11,Waterfall!Q33*Inputs!$F$104/100*Time!Q26/365,0)</f>
        <v>9.39013153589836</v>
      </c>
      <c r="R13" s="11" t="n">
        <f aca="false">IF(Time!R17&gt;=Time!$F$11,Waterfall!R33*Inputs!$F$104/100*Time!R26/365,0)</f>
        <v>9.38163414273479</v>
      </c>
      <c r="S13" s="11" t="n">
        <f aca="false">IF(Time!S17&gt;=Time!$F$11,Waterfall!S33*Inputs!$F$104/100*Time!S26/365,0)</f>
        <v>9.02549909170097</v>
      </c>
      <c r="T13" s="11" t="n">
        <f aca="false">IF(Time!T17&gt;=Time!$F$11,Waterfall!T33*Inputs!$F$104/100*Time!T26/365,0)</f>
        <v>8.98858095099052</v>
      </c>
      <c r="U13" s="11" t="n">
        <f aca="false">IF(Time!U17&gt;=Time!$F$11,Waterfall!U33*Inputs!$F$104/100*Time!U26/365,0)</f>
        <v>8.66843258428282</v>
      </c>
      <c r="V13" s="11" t="n">
        <f aca="false">IF(Time!V17&gt;=Time!$F$11,Waterfall!V33*Inputs!$F$104/100*Time!V26/365,0)</f>
        <v>8.57581488905131</v>
      </c>
      <c r="W13" s="11" t="n">
        <f aca="false">IF(Time!W17&gt;=Time!$F$11,Waterfall!W33*Inputs!$F$104/100*Time!W26/365,0)</f>
        <v>8.24869499058845</v>
      </c>
      <c r="X13" s="11" t="n">
        <f aca="false">IF(Time!X17&gt;=Time!$F$11,Waterfall!X33*Inputs!$F$104/100*Time!X26/365,0)</f>
        <v>8.13089468883992</v>
      </c>
      <c r="Y13" s="11" t="n">
        <f aca="false">IF(Time!Y17&gt;=Time!$F$11,Waterfall!Y33*Inputs!$F$104/100*Time!Y26/365,0)</f>
        <v>7.75232147812321</v>
      </c>
      <c r="Z13" s="11" t="n">
        <f aca="false">IF(Time!Z17&gt;=Time!$F$11,Waterfall!Z33*Inputs!$F$104/100*Time!Z26/365,0)</f>
        <v>7.63868587509295</v>
      </c>
      <c r="AA13" s="11" t="n">
        <f aca="false">IF(Time!AA17&gt;=Time!$F$11,Waterfall!AA33*Inputs!$F$104/100*Time!AA26/365,0)</f>
        <v>7.23962922345597</v>
      </c>
      <c r="AB13" s="11" t="n">
        <f aca="false">IF(Time!AB17&gt;=Time!$F$11,Waterfall!AB33*Inputs!$F$104/100*Time!AB26/365,0)</f>
        <v>7.40289174977131</v>
      </c>
      <c r="AC13" s="11" t="n">
        <f aca="false">IF(Time!AC17&gt;=Time!$F$11,Waterfall!AC33*Inputs!$F$104/100*Time!AC26/365,0)</f>
        <v>7.32393515423634</v>
      </c>
      <c r="AD13" s="11" t="n">
        <f aca="false">IF(Time!AD17&gt;=Time!$F$11,Waterfall!AD33*Inputs!$F$104/100*Time!AD26/365,0)</f>
        <v>7.42842957331098</v>
      </c>
      <c r="AE13" s="11" t="n">
        <f aca="false">IF(Time!AE17&gt;=Time!$F$11,Waterfall!AE33*Inputs!$F$104/100*Time!AE26/365,0)</f>
        <v>7.31039018841831</v>
      </c>
      <c r="AF13" s="11" t="n">
        <f aca="false">IF(Time!AF17&gt;=Time!$F$11,Waterfall!AF33*Inputs!$F$104/100*Time!AF26/365,0)</f>
        <v>7.40616284287115</v>
      </c>
      <c r="AG13" s="11" t="n">
        <f aca="false">IF(Time!AG17&gt;=Time!$F$11,Waterfall!AG33*Inputs!$F$104/100*Time!AG26/365,0)</f>
        <v>7.18818931589191</v>
      </c>
      <c r="AH13" s="11" t="n">
        <f aca="false">IF(Time!AH17&gt;=Time!$F$11,Waterfall!AH33*Inputs!$F$104/100*Time!AH26/365,0)</f>
        <v>7.16390912789056</v>
      </c>
      <c r="AI13" s="11" t="n">
        <f aca="false">IF(Time!AI17&gt;=Time!$F$11,Waterfall!AI33*Inputs!$F$104/100*Time!AI26/365,0)</f>
        <v>6.83963839395241</v>
      </c>
      <c r="AJ13" s="11" t="n">
        <f aca="false">IF(Time!AJ17&gt;=Time!$F$11,Waterfall!AJ33*Inputs!$F$104/100*Time!AJ26/365,0)</f>
        <v>6.68339458388598</v>
      </c>
      <c r="AK13" s="11" t="n">
        <f aca="false">IF(Time!AK17&gt;=Time!$F$11,Waterfall!AK33*Inputs!$F$104/100*Time!AK26/365,0)</f>
        <v>6.24621231484122</v>
      </c>
      <c r="AL13" s="11" t="n">
        <f aca="false">IF(Time!AL17&gt;=Time!$F$11,Waterfall!AL33*Inputs!$F$104/100*Time!AL26/365,0)</f>
        <v>5.06885736799551</v>
      </c>
      <c r="AM13" s="11" t="n">
        <f aca="false">IF(Time!AM17&gt;=Time!$F$11,Waterfall!AM33*Inputs!$F$104/100*Time!AM26/365,0)</f>
        <v>3.87904546555495</v>
      </c>
      <c r="AN13" s="11" t="n">
        <f aca="false">IF(Time!AN17&gt;=Time!$F$11,Waterfall!AN33*Inputs!$F$104/100*Time!AN26/365,0)</f>
        <v>2.5527507588016</v>
      </c>
      <c r="AO13" s="11" t="n">
        <f aca="false">IF(Time!AO17&gt;=Time!$F$11,Waterfall!AO33*Inputs!$F$104/100*Time!AO26/365,0)</f>
        <v>1.49922750405991</v>
      </c>
      <c r="AP13" s="11" t="n">
        <f aca="false">IF(Time!AP17&gt;=Time!$F$11,Waterfall!AP33*Inputs!$F$104/100*Time!AP26/365,0)</f>
        <v>0</v>
      </c>
      <c r="AQ13" s="11" t="n">
        <f aca="false">IF(Time!AQ17&gt;=Time!$F$11,Waterfall!AQ33*Inputs!$F$104/100*Time!AQ26/365,0)</f>
        <v>0</v>
      </c>
      <c r="AR13" s="11" t="n">
        <f aca="false">IF(Time!AR17&gt;=Time!$F$11,Waterfall!AR33*Inputs!$F$104/100*Time!AR26/365,0)</f>
        <v>0</v>
      </c>
      <c r="AS13" s="11" t="n">
        <f aca="false">IF(Time!AS17&gt;=Time!$F$11,Waterfall!AS33*Inputs!$F$104/100*Time!AS26/365,0)</f>
        <v>0</v>
      </c>
      <c r="AT13" s="11" t="n">
        <f aca="false">IF(Time!AT17&gt;=Time!$F$11,Waterfall!AT33*Inputs!$F$104/100*Time!AT26/365,0)</f>
        <v>0</v>
      </c>
      <c r="AU13" s="11" t="n">
        <f aca="false">IF(Time!AU17&gt;=Time!$F$11,Waterfall!AU33*Inputs!$F$104/100*Time!AU26/365,0)</f>
        <v>0</v>
      </c>
      <c r="AV13" s="11" t="n">
        <f aca="false">IF(Time!AV17&gt;=Time!$F$11,Waterfall!AV33*Inputs!$F$104/100*Time!AV26/365,0)</f>
        <v>0</v>
      </c>
      <c r="AW13" s="11" t="n">
        <f aca="false">IF(Time!AW17&gt;=Time!$F$11,Waterfall!AW33*Inputs!$F$104/100*Time!AW26/365,0)</f>
        <v>0</v>
      </c>
      <c r="AX13" s="11" t="n">
        <f aca="false">IF(Time!AX17&gt;=Time!$F$11,Waterfall!AX33*Inputs!$F$104/100*Time!AX26/365,0)</f>
        <v>0</v>
      </c>
      <c r="AY13" s="11" t="n">
        <f aca="false">IF(Time!AY17&gt;=Time!$F$11,Waterfall!AY33*Inputs!$F$104/100*Time!AY26/365,0)</f>
        <v>0</v>
      </c>
      <c r="AZ13" s="11" t="n">
        <f aca="false">IF(Time!AZ17&gt;=Time!$F$11,Waterfall!AZ33*Inputs!$F$104/100*Time!AZ26/365,0)</f>
        <v>0</v>
      </c>
      <c r="BA13" s="11" t="n">
        <f aca="false">IF(Time!BA17&gt;=Time!$F$11,Waterfall!BA33*Inputs!$F$104/100*Time!BA26/365,0)</f>
        <v>0</v>
      </c>
      <c r="BB13" s="11" t="n">
        <f aca="false">IF(Time!BB17&gt;=Time!$F$11,Waterfall!BB33*Inputs!$F$104/100*Time!BB26/365,0)</f>
        <v>0</v>
      </c>
      <c r="BC13" s="11" t="n">
        <f aca="false">IF(Time!BC17&gt;=Time!$F$11,Waterfall!BC33*Inputs!$F$104/100*Time!BC26/365,0)</f>
        <v>0</v>
      </c>
      <c r="BD13" s="11" t="n">
        <f aca="false">IF(Time!BD17&gt;=Time!$F$11,Waterfall!BD33*Inputs!$F$104/100*Time!BD26/365,0)</f>
        <v>0</v>
      </c>
      <c r="BE13" s="11" t="n">
        <f aca="false">IF(Time!BE17&gt;=Time!$F$11,Waterfall!BE33*Inputs!$F$104/100*Time!BE26/365,0)</f>
        <v>0</v>
      </c>
      <c r="BF13" s="11" t="n">
        <f aca="false">IF(Time!BF17&gt;=Time!$F$11,Waterfall!BF33*Inputs!$F$104/100*Time!BF26/365,0)</f>
        <v>0</v>
      </c>
      <c r="BG13" s="11" t="n">
        <f aca="false">IF(Time!BG17&gt;=Time!$F$11,Waterfall!BG33*Inputs!$F$104/100*Time!BG26/365,0)</f>
        <v>0</v>
      </c>
      <c r="BH13" s="11" t="n">
        <f aca="false">IF(Time!BH17&gt;=Time!$F$11,Waterfall!BH33*Inputs!$F$104/100*Time!BH26/365,0)</f>
        <v>0</v>
      </c>
      <c r="BI13" s="11" t="n">
        <f aca="false">IF(Time!BI17&gt;=Time!$F$11,Waterfall!BI33*Inputs!$F$104/100*Time!BI26/365,0)</f>
        <v>0</v>
      </c>
      <c r="BJ13" s="11" t="n">
        <f aca="false">IF(Time!BJ17&gt;=Time!$F$11,Waterfall!BJ33*Inputs!$F$104/100*Time!BJ26/365,0)</f>
        <v>0</v>
      </c>
      <c r="BK13" s="11" t="n">
        <f aca="false">IF(Time!BK17&gt;=Time!$F$11,Waterfall!BK33*Inputs!$F$104/100*Time!BK26/365,0)</f>
        <v>0</v>
      </c>
      <c r="BL13" s="11" t="n">
        <f aca="false">IF(Time!BL17&gt;=Time!$F$11,Waterfall!BL33*Inputs!$F$104/100*Time!BL26/365,0)</f>
        <v>0</v>
      </c>
      <c r="BM13" s="11" t="n">
        <f aca="false">IF(Time!BM17&gt;=Time!$F$11,Waterfall!BM33*Inputs!$F$104/100*Time!BM26/365,0)</f>
        <v>0</v>
      </c>
      <c r="BN13" s="11" t="n">
        <f aca="false">IF(Time!BN17&gt;=Time!$F$11,Waterfall!BN33*Inputs!$F$104/100*Time!BN26/365,0)</f>
        <v>0</v>
      </c>
    </row>
    <row r="14" customFormat="false" ht="15" hidden="false" customHeight="false" outlineLevel="0" collapsed="false">
      <c r="D14" s="0" t="s">
        <v>550</v>
      </c>
      <c r="E14" s="0" t="s">
        <v>109</v>
      </c>
      <c r="J14" s="6" t="n">
        <f aca="false">IF(Waterfall!J33&gt;0,MIN(1,Inputs!$F$183*(Waterfall!$F$32+MAX(0,0))/Waterfall!J33),1)</f>
        <v>1</v>
      </c>
      <c r="K14" s="6" t="n">
        <f aca="false">IF(Waterfall!K33&gt;0,MIN(1,Inputs!$F$183*(Waterfall!$F$32+MAX(0,Waterfall!J43))/Waterfall!K33),1)</f>
        <v>1</v>
      </c>
      <c r="L14" s="6" t="n">
        <f aca="false">IF(Waterfall!L33&gt;0,MIN(1,Inputs!$F$183*(Waterfall!$F$32+MAX(0,Waterfall!K43))/Waterfall!L33),1)</f>
        <v>1</v>
      </c>
      <c r="M14" s="6" t="n">
        <f aca="false">IF(Waterfall!M33&gt;0,MIN(1,Inputs!$F$183*(Waterfall!$F$32+MAX(0,Waterfall!L43))/Waterfall!M33),1)</f>
        <v>1</v>
      </c>
      <c r="N14" s="6" t="n">
        <f aca="false">IF(Waterfall!N33&gt;0,MIN(1,Inputs!$F$183*(Waterfall!$F$32+MAX(0,Waterfall!M43))/Waterfall!N33),1)</f>
        <v>1</v>
      </c>
      <c r="O14" s="6" t="n">
        <f aca="false">IF(Waterfall!O33&gt;0,MIN(1,Inputs!$F$183*(Waterfall!$F$32+MAX(0,Waterfall!N43))/Waterfall!O33),1)</f>
        <v>0.660024031532499</v>
      </c>
      <c r="P14" s="6" t="n">
        <f aca="false">IF(Waterfall!P33&gt;0,MIN(1,Inputs!$F$183*(Waterfall!$F$32+MAX(0,Waterfall!O43))/Waterfall!P33),1)</f>
        <v>0.794244804442734</v>
      </c>
      <c r="Q14" s="6" t="n">
        <f aca="false">IF(Waterfall!Q33&gt;0,MIN(1,Inputs!$F$183*(Waterfall!$F$32+MAX(0,Waterfall!P43))/Waterfall!Q33),1)</f>
        <v>0.931578838160624</v>
      </c>
      <c r="R14" s="6" t="n">
        <f aca="false">IF(Waterfall!R33&gt;0,MIN(1,Inputs!$F$183*(Waterfall!$F$32+MAX(0,Waterfall!Q43))/Waterfall!R33),1)</f>
        <v>1</v>
      </c>
      <c r="S14" s="6" t="n">
        <f aca="false">IF(Waterfall!S33&gt;0,MIN(1,Inputs!$F$183*(Waterfall!$F$32+MAX(0,Waterfall!R43))/Waterfall!S33),1)</f>
        <v>1</v>
      </c>
      <c r="T14" s="6" t="n">
        <f aca="false">IF(Waterfall!T33&gt;0,MIN(1,Inputs!$F$183*(Waterfall!$F$32+MAX(0,Waterfall!S43))/Waterfall!T33),1)</f>
        <v>1</v>
      </c>
      <c r="U14" s="6" t="n">
        <f aca="false">IF(Waterfall!U33&gt;0,MIN(1,Inputs!$F$183*(Waterfall!$F$32+MAX(0,Waterfall!T43))/Waterfall!U33),1)</f>
        <v>1</v>
      </c>
      <c r="V14" s="6" t="n">
        <f aca="false">IF(Waterfall!V33&gt;0,MIN(1,Inputs!$F$183*(Waterfall!$F$32+MAX(0,Waterfall!U43))/Waterfall!V33),1)</f>
        <v>1</v>
      </c>
      <c r="W14" s="6" t="n">
        <f aca="false">IF(Waterfall!W33&gt;0,MIN(1,Inputs!$F$183*(Waterfall!$F$32+MAX(0,Waterfall!V43))/Waterfall!W33),1)</f>
        <v>1</v>
      </c>
      <c r="X14" s="6" t="n">
        <f aca="false">IF(Waterfall!X33&gt;0,MIN(1,Inputs!$F$183*(Waterfall!$F$32+MAX(0,Waterfall!W43))/Waterfall!X33),1)</f>
        <v>1</v>
      </c>
      <c r="Y14" s="6" t="n">
        <f aca="false">IF(Waterfall!Y33&gt;0,MIN(1,Inputs!$F$183*(Waterfall!$F$32+MAX(0,Waterfall!X43))/Waterfall!Y33),1)</f>
        <v>1</v>
      </c>
      <c r="Z14" s="6" t="n">
        <f aca="false">IF(Waterfall!Z33&gt;0,MIN(1,Inputs!$F$183*(Waterfall!$F$32+MAX(0,Waterfall!Y43))/Waterfall!Z33),1)</f>
        <v>1</v>
      </c>
      <c r="AA14" s="6" t="n">
        <f aca="false">IF(Waterfall!AA33&gt;0,MIN(1,Inputs!$F$183*(Waterfall!$F$32+MAX(0,Waterfall!Z43))/Waterfall!AA33),1)</f>
        <v>1</v>
      </c>
      <c r="AB14" s="6" t="n">
        <f aca="false">IF(Waterfall!AB33&gt;0,MIN(1,Inputs!$F$183*(Waterfall!$F$32+MAX(0,Waterfall!AA43))/Waterfall!AB33),1)</f>
        <v>1</v>
      </c>
      <c r="AC14" s="6" t="n">
        <f aca="false">IF(Waterfall!AC33&gt;0,MIN(1,Inputs!$F$183*(Waterfall!$F$32+MAX(0,Waterfall!AB43))/Waterfall!AC33),1)</f>
        <v>1</v>
      </c>
      <c r="AD14" s="6" t="n">
        <f aca="false">IF(Waterfall!AD33&gt;0,MIN(1,Inputs!$F$183*(Waterfall!$F$32+MAX(0,Waterfall!AC43))/Waterfall!AD33),1)</f>
        <v>1</v>
      </c>
      <c r="AE14" s="6" t="n">
        <f aca="false">IF(Waterfall!AE33&gt;0,MIN(1,Inputs!$F$183*(Waterfall!$F$32+MAX(0,Waterfall!AD43))/Waterfall!AE33),1)</f>
        <v>1</v>
      </c>
      <c r="AF14" s="6" t="n">
        <f aca="false">IF(Waterfall!AF33&gt;0,MIN(1,Inputs!$F$183*(Waterfall!$F$32+MAX(0,Waterfall!AE43))/Waterfall!AF33),1)</f>
        <v>1</v>
      </c>
      <c r="AG14" s="6" t="n">
        <f aca="false">IF(Waterfall!AG33&gt;0,MIN(1,Inputs!$F$183*(Waterfall!$F$32+MAX(0,Waterfall!AF43))/Waterfall!AG33),1)</f>
        <v>1</v>
      </c>
      <c r="AH14" s="6" t="n">
        <f aca="false">IF(Waterfall!AH33&gt;0,MIN(1,Inputs!$F$183*(Waterfall!$F$32+MAX(0,Waterfall!AG43))/Waterfall!AH33),1)</f>
        <v>1</v>
      </c>
      <c r="AI14" s="6" t="n">
        <f aca="false">IF(Waterfall!AI33&gt;0,MIN(1,Inputs!$F$183*(Waterfall!$F$32+MAX(0,Waterfall!AH43))/Waterfall!AI33),1)</f>
        <v>1</v>
      </c>
      <c r="AJ14" s="6" t="n">
        <f aca="false">IF(Waterfall!AJ33&gt;0,MIN(1,Inputs!$F$183*(Waterfall!$F$32+MAX(0,Waterfall!AI43))/Waterfall!AJ33),1)</f>
        <v>1</v>
      </c>
      <c r="AK14" s="6" t="n">
        <f aca="false">IF(Waterfall!AK33&gt;0,MIN(1,Inputs!$F$183*(Waterfall!$F$32+MAX(0,Waterfall!AJ43))/Waterfall!AK33),1)</f>
        <v>1</v>
      </c>
      <c r="AL14" s="6" t="n">
        <f aca="false">IF(Waterfall!AL33&gt;0,MIN(1,Inputs!$F$183*(Waterfall!$F$32+MAX(0,Waterfall!AK43))/Waterfall!AL33),1)</f>
        <v>1</v>
      </c>
      <c r="AM14" s="6" t="n">
        <f aca="false">IF(Waterfall!AM33&gt;0,MIN(1,Inputs!$F$183*(Waterfall!$F$32+MAX(0,Waterfall!AL43))/Waterfall!AM33),1)</f>
        <v>1</v>
      </c>
      <c r="AN14" s="6" t="n">
        <f aca="false">IF(Waterfall!AN33&gt;0,MIN(1,Inputs!$F$183*(Waterfall!$F$32+MAX(0,Waterfall!AM43))/Waterfall!AN33),1)</f>
        <v>1</v>
      </c>
      <c r="AO14" s="6" t="n">
        <f aca="false">IF(Waterfall!AO33&gt;0,MIN(1,Inputs!$F$183*(Waterfall!$F$32+MAX(0,Waterfall!AN43))/Waterfall!AO33),1)</f>
        <v>1</v>
      </c>
      <c r="AP14" s="6" t="n">
        <f aca="false">IF(Waterfall!AP33&gt;0,MIN(1,Inputs!$F$183*(Waterfall!$F$32+MAX(0,Waterfall!AO43))/Waterfall!AP33),1)</f>
        <v>1</v>
      </c>
      <c r="AQ14" s="6" t="n">
        <f aca="false">IF(Waterfall!AQ33&gt;0,MIN(1,Inputs!$F$183*(Waterfall!$F$32+MAX(0,Waterfall!AP43))/Waterfall!AQ33),1)</f>
        <v>1</v>
      </c>
      <c r="AR14" s="6" t="n">
        <f aca="false">IF(Waterfall!AR33&gt;0,MIN(1,Inputs!$F$183*(Waterfall!$F$32+MAX(0,Waterfall!AQ43))/Waterfall!AR33),1)</f>
        <v>1</v>
      </c>
      <c r="AS14" s="6" t="n">
        <f aca="false">IF(Waterfall!AS33&gt;0,MIN(1,Inputs!$F$183*(Waterfall!$F$32+MAX(0,Waterfall!AR43))/Waterfall!AS33),1)</f>
        <v>1</v>
      </c>
      <c r="AT14" s="6" t="n">
        <f aca="false">IF(Waterfall!AT33&gt;0,MIN(1,Inputs!$F$183*(Waterfall!$F$32+MAX(0,Waterfall!AS43))/Waterfall!AT33),1)</f>
        <v>1</v>
      </c>
      <c r="AU14" s="6" t="n">
        <f aca="false">IF(Waterfall!AU33&gt;0,MIN(1,Inputs!$F$183*(Waterfall!$F$32+MAX(0,Waterfall!AT43))/Waterfall!AU33),1)</f>
        <v>1</v>
      </c>
      <c r="AV14" s="6" t="n">
        <f aca="false">IF(Waterfall!AV33&gt;0,MIN(1,Inputs!$F$183*(Waterfall!$F$32+MAX(0,Waterfall!AU43))/Waterfall!AV33),1)</f>
        <v>1</v>
      </c>
      <c r="AW14" s="6" t="n">
        <f aca="false">IF(Waterfall!AW33&gt;0,MIN(1,Inputs!$F$183*(Waterfall!$F$32+MAX(0,Waterfall!AV43))/Waterfall!AW33),1)</f>
        <v>1</v>
      </c>
      <c r="AX14" s="6" t="n">
        <f aca="false">IF(Waterfall!AX33&gt;0,MIN(1,Inputs!$F$183*(Waterfall!$F$32+MAX(0,Waterfall!AW43))/Waterfall!AX33),1)</f>
        <v>1</v>
      </c>
      <c r="AY14" s="6" t="n">
        <f aca="false">IF(Waterfall!AY33&gt;0,MIN(1,Inputs!$F$183*(Waterfall!$F$32+MAX(0,Waterfall!AX43))/Waterfall!AY33),1)</f>
        <v>1</v>
      </c>
      <c r="AZ14" s="6" t="n">
        <f aca="false">IF(Waterfall!AZ33&gt;0,MIN(1,Inputs!$F$183*(Waterfall!$F$32+MAX(0,Waterfall!AY43))/Waterfall!AZ33),1)</f>
        <v>1</v>
      </c>
      <c r="BA14" s="6" t="n">
        <f aca="false">IF(Waterfall!BA33&gt;0,MIN(1,Inputs!$F$183*(Waterfall!$F$32+MAX(0,Waterfall!AZ43))/Waterfall!BA33),1)</f>
        <v>1</v>
      </c>
      <c r="BB14" s="6" t="n">
        <f aca="false">IF(Waterfall!BB33&gt;0,MIN(1,Inputs!$F$183*(Waterfall!$F$32+MAX(0,Waterfall!BA43))/Waterfall!BB33),1)</f>
        <v>1</v>
      </c>
      <c r="BC14" s="6" t="n">
        <f aca="false">IF(Waterfall!BC33&gt;0,MIN(1,Inputs!$F$183*(Waterfall!$F$32+MAX(0,Waterfall!BB43))/Waterfall!BC33),1)</f>
        <v>1</v>
      </c>
      <c r="BD14" s="6" t="n">
        <f aca="false">IF(Waterfall!BD33&gt;0,MIN(1,Inputs!$F$183*(Waterfall!$F$32+MAX(0,Waterfall!BC43))/Waterfall!BD33),1)</f>
        <v>1</v>
      </c>
      <c r="BE14" s="6" t="n">
        <f aca="false">IF(Waterfall!BE33&gt;0,MIN(1,Inputs!$F$183*(Waterfall!$F$32+MAX(0,Waterfall!BD43))/Waterfall!BE33),1)</f>
        <v>1</v>
      </c>
      <c r="BF14" s="6" t="n">
        <f aca="false">IF(Waterfall!BF33&gt;0,MIN(1,Inputs!$F$183*(Waterfall!$F$32+MAX(0,Waterfall!BE43))/Waterfall!BF33),1)</f>
        <v>1</v>
      </c>
      <c r="BG14" s="6" t="n">
        <f aca="false">IF(Waterfall!BG33&gt;0,MIN(1,Inputs!$F$183*(Waterfall!$F$32+MAX(0,Waterfall!BF43))/Waterfall!BG33),1)</f>
        <v>1</v>
      </c>
      <c r="BH14" s="6" t="n">
        <f aca="false">IF(Waterfall!BH33&gt;0,MIN(1,Inputs!$F$183*(Waterfall!$F$32+MAX(0,Waterfall!BG43))/Waterfall!BH33),1)</f>
        <v>1</v>
      </c>
      <c r="BI14" s="6" t="n">
        <f aca="false">IF(Waterfall!BI33&gt;0,MIN(1,Inputs!$F$183*(Waterfall!$F$32+MAX(0,Waterfall!BH43))/Waterfall!BI33),1)</f>
        <v>1</v>
      </c>
      <c r="BJ14" s="6" t="n">
        <f aca="false">IF(Waterfall!BJ33&gt;0,MIN(1,Inputs!$F$183*(Waterfall!$F$32+MAX(0,Waterfall!BI43))/Waterfall!BJ33),1)</f>
        <v>1</v>
      </c>
      <c r="BK14" s="6" t="n">
        <f aca="false">IF(Waterfall!BK33&gt;0,MIN(1,Inputs!$F$183*(Waterfall!$F$32+MAX(0,Waterfall!BJ43))/Waterfall!BK33),1)</f>
        <v>1</v>
      </c>
      <c r="BL14" s="6" t="n">
        <f aca="false">IF(Waterfall!BL33&gt;0,MIN(1,Inputs!$F$183*(Waterfall!$F$32+MAX(0,Waterfall!BK43))/Waterfall!BL33),1)</f>
        <v>1</v>
      </c>
      <c r="BM14" s="6" t="n">
        <f aca="false">IF(Waterfall!BM33&gt;0,MIN(1,Inputs!$F$183*(Waterfall!$F$32+MAX(0,Waterfall!BL43))/Waterfall!BM33),1)</f>
        <v>1</v>
      </c>
      <c r="BN14" s="6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551</v>
      </c>
      <c r="E15" s="0" t="s">
        <v>149</v>
      </c>
      <c r="G15" s="11" t="n">
        <f aca="false">SUM(J15:BN15)</f>
        <v>186.296318769136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2.1131945476432</v>
      </c>
      <c r="P15" s="11" t="n">
        <f aca="false">P13*P14</f>
        <v>7.79225413876216</v>
      </c>
      <c r="Q15" s="11" t="n">
        <f aca="false">Q13*Q14</f>
        <v>8.74764782638762</v>
      </c>
      <c r="R15" s="11" t="n">
        <f aca="false">R13*R14</f>
        <v>9.38163414273479</v>
      </c>
      <c r="S15" s="11" t="n">
        <f aca="false">S13*S14</f>
        <v>9.02549909170097</v>
      </c>
      <c r="T15" s="11" t="n">
        <f aca="false">T13*T14</f>
        <v>8.98858095099052</v>
      </c>
      <c r="U15" s="11" t="n">
        <f aca="false">U13*U14</f>
        <v>8.66843258428282</v>
      </c>
      <c r="V15" s="11" t="n">
        <f aca="false">V13*V14</f>
        <v>8.57581488905131</v>
      </c>
      <c r="W15" s="11" t="n">
        <f aca="false">W13*W14</f>
        <v>8.24869499058845</v>
      </c>
      <c r="X15" s="11" t="n">
        <f aca="false">X13*X14</f>
        <v>8.13089468883992</v>
      </c>
      <c r="Y15" s="11" t="n">
        <f aca="false">Y13*Y14</f>
        <v>7.75232147812321</v>
      </c>
      <c r="Z15" s="11" t="n">
        <f aca="false">Z13*Z14</f>
        <v>7.63868587509295</v>
      </c>
      <c r="AA15" s="11" t="n">
        <f aca="false">AA13*AA14</f>
        <v>7.23962922345597</v>
      </c>
      <c r="AB15" s="11" t="n">
        <f aca="false">AB13*AB14</f>
        <v>7.40289174977131</v>
      </c>
      <c r="AC15" s="11" t="n">
        <f aca="false">AC13*AC14</f>
        <v>7.32393515423634</v>
      </c>
      <c r="AD15" s="11" t="n">
        <f aca="false">AD13*AD14</f>
        <v>7.42842957331098</v>
      </c>
      <c r="AE15" s="11" t="n">
        <f aca="false">AE13*AE14</f>
        <v>7.31039018841831</v>
      </c>
      <c r="AF15" s="11" t="n">
        <f aca="false">AF13*AF14</f>
        <v>7.40616284287115</v>
      </c>
      <c r="AG15" s="11" t="n">
        <f aca="false">AG13*AG14</f>
        <v>7.18818931589191</v>
      </c>
      <c r="AH15" s="11" t="n">
        <f aca="false">AH13*AH14</f>
        <v>7.16390912789056</v>
      </c>
      <c r="AI15" s="11" t="n">
        <f aca="false">AI13*AI14</f>
        <v>6.83963839395241</v>
      </c>
      <c r="AJ15" s="11" t="n">
        <f aca="false">AJ13*AJ14</f>
        <v>6.68339458388598</v>
      </c>
      <c r="AK15" s="11" t="n">
        <f aca="false">AK13*AK14</f>
        <v>6.24621231484122</v>
      </c>
      <c r="AL15" s="11" t="n">
        <f aca="false">AL13*AL14</f>
        <v>5.06885736799551</v>
      </c>
      <c r="AM15" s="11" t="n">
        <f aca="false">AM13*AM14</f>
        <v>3.87904546555495</v>
      </c>
      <c r="AN15" s="11" t="n">
        <f aca="false">AN13*AN14</f>
        <v>2.5527507588016</v>
      </c>
      <c r="AO15" s="11" t="n">
        <f aca="false">AO13*AO14</f>
        <v>1.49922750405991</v>
      </c>
      <c r="AP15" s="11" t="n">
        <f aca="false">AP13*AP14</f>
        <v>0</v>
      </c>
      <c r="AQ15" s="11" t="n">
        <f aca="false">AQ13*AQ14</f>
        <v>0</v>
      </c>
      <c r="AR15" s="11" t="n">
        <f aca="false">AR13*AR14</f>
        <v>0</v>
      </c>
      <c r="AS15" s="11" t="n">
        <f aca="false">AS13*AS14</f>
        <v>0</v>
      </c>
      <c r="AT15" s="11" t="n">
        <f aca="false">AT13*AT14</f>
        <v>0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552</v>
      </c>
      <c r="E16" s="0" t="s">
        <v>149</v>
      </c>
      <c r="G16" s="11" t="n">
        <f aca="false">SUM(J16:BN16)</f>
        <v>313.099712545292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21.7561806363521</v>
      </c>
      <c r="Q16" s="11" t="n">
        <f aca="false">Debt!Q119+Debt!Q117+Debt!Q111-Debt!Q110</f>
        <v>21.0117501255587</v>
      </c>
      <c r="R16" s="11" t="n">
        <f aca="false">Debt!R119+Debt!R117+Debt!R111-Debt!R110</f>
        <v>20.6842237422474</v>
      </c>
      <c r="S16" s="11" t="n">
        <f aca="false">Debt!S119+Debt!S117+Debt!S111-Debt!S110</f>
        <v>19.8935402102571</v>
      </c>
      <c r="T16" s="11" t="n">
        <f aca="false">Debt!T119+Debt!T117+Debt!T111-Debt!T110</f>
        <v>19.5092222239857</v>
      </c>
      <c r="U16" s="11" t="n">
        <f aca="false">Debt!U119+Debt!U117+Debt!U111-Debt!U110</f>
        <v>18.7469278452348</v>
      </c>
      <c r="V16" s="11" t="n">
        <f aca="false">Debt!V119+Debt!V117+Debt!V111-Debt!V110</f>
        <v>18.2344120634116</v>
      </c>
      <c r="W16" s="11" t="n">
        <f aca="false">Debt!W119+Debt!W117+Debt!W111-Debt!W110</f>
        <v>17.3566958167685</v>
      </c>
      <c r="X16" s="11" t="n">
        <f aca="false">Debt!X119+Debt!X117+Debt!X111-Debt!X110</f>
        <v>16.8339195388541</v>
      </c>
      <c r="Y16" s="11" t="n">
        <f aca="false">Debt!Y119+Debt!Y117+Debt!Y111-Debt!Y110</f>
        <v>16.4680618167729</v>
      </c>
      <c r="Z16" s="11" t="n">
        <f aca="false">Debt!Z119+Debt!Z117+Debt!Z111-Debt!Z110</f>
        <v>15.9362344502122</v>
      </c>
      <c r="AA16" s="11" t="n">
        <f aca="false">Debt!AA119+Debt!AA117+Debt!AA111-Debt!AA110</f>
        <v>15.0282191551691</v>
      </c>
      <c r="AB16" s="11" t="n">
        <f aca="false">Debt!AB119+Debt!AB117+Debt!AB111-Debt!AB110</f>
        <v>14.1184846455576</v>
      </c>
      <c r="AC16" s="11" t="n">
        <f aca="false">Debt!AC119+Debt!AC117+Debt!AC111-Debt!AC110</f>
        <v>12.8815311140874</v>
      </c>
      <c r="AD16" s="11" t="n">
        <f aca="false">Debt!AD119+Debt!AD117+Debt!AD111-Debt!AD110</f>
        <v>11.8510524642265</v>
      </c>
      <c r="AE16" s="11" t="n">
        <f aca="false">Debt!AE119+Debt!AE117+Debt!AE111-Debt!AE110</f>
        <v>10.5442567197199</v>
      </c>
      <c r="AF16" s="11" t="n">
        <f aca="false">Debt!AF119+Debt!AF117+Debt!AF111-Debt!AF110</f>
        <v>9.42516179924128</v>
      </c>
      <c r="AG16" s="11" t="n">
        <f aca="false">Debt!AG119+Debt!AG117+Debt!AG111-Debt!AG110</f>
        <v>8.23601436787504</v>
      </c>
      <c r="AH16" s="11" t="n">
        <f aca="false">Debt!AH119+Debt!AH117+Debt!AH111-Debt!AH110</f>
        <v>6.96111597064102</v>
      </c>
      <c r="AI16" s="11" t="n">
        <f aca="false">Debt!AI119+Debt!AI117+Debt!AI111-Debt!AI110</f>
        <v>5.50510615984538</v>
      </c>
      <c r="AJ16" s="11" t="n">
        <f aca="false">Debt!AJ119+Debt!AJ117+Debt!AJ111-Debt!AJ110</f>
        <v>4.15473420002294</v>
      </c>
      <c r="AK16" s="11" t="n">
        <f aca="false">Debt!AK119+Debt!AK117+Debt!AK111-Debt!AK110</f>
        <v>2.71867832528688</v>
      </c>
      <c r="AL16" s="11" t="n">
        <f aca="false">Debt!AL119+Debt!AL117+Debt!AL111-Debt!AL110</f>
        <v>2.17365325142159</v>
      </c>
      <c r="AM16" s="11" t="n">
        <f aca="false">Debt!AM119+Debt!AM117+Debt!AM111-Debt!AM110</f>
        <v>1.58118904940136</v>
      </c>
      <c r="AN16" s="11" t="n">
        <f aca="false">Debt!AN119+Debt!AN117+Debt!AN111-Debt!AN110</f>
        <v>0.992093469110137</v>
      </c>
      <c r="AO16" s="11" t="n">
        <f aca="false">Debt!AO119+Debt!AO117+Debt!AO111-Debt!AO110</f>
        <v>0.497253384030616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553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0.333333333333333</v>
      </c>
      <c r="Z17" s="11" t="n">
        <f aca="false">IF(Time!Z25&gt;0,(Time!Z25-Z7)/Time!Z25,0)</f>
        <v>1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0</v>
      </c>
    </row>
    <row r="18" customFormat="false" ht="15" hidden="false" customHeight="false" outlineLevel="0" collapsed="false">
      <c r="D18" s="0" t="s">
        <v>554</v>
      </c>
      <c r="E18" s="0" t="s">
        <v>149</v>
      </c>
      <c r="G18" s="11" t="n">
        <f aca="false">SUM(J18:BN18)</f>
        <v>1259.90117687685</v>
      </c>
      <c r="J18" s="11" t="n">
        <f aca="false">(Operations!J80-J16-J15)*J17-J12</f>
        <v>0</v>
      </c>
      <c r="K18" s="11" t="n">
        <f aca="false">(Operations!K80-K16-K15)*K17-K12</f>
        <v>0</v>
      </c>
      <c r="L18" s="11" t="n">
        <f aca="false">(Operations!L80-L16-L15)*L17-L12</f>
        <v>0</v>
      </c>
      <c r="M18" s="11" t="n">
        <f aca="false">(Operations!M80-M16-M15)*M17-M12</f>
        <v>0</v>
      </c>
      <c r="N18" s="11" t="n">
        <f aca="false">(Operations!N80-N16-N15)*N17-N12</f>
        <v>0</v>
      </c>
      <c r="O18" s="11" t="n">
        <f aca="false">(Operations!O80-O16-O15)*O17-O12</f>
        <v>0</v>
      </c>
      <c r="P18" s="11" t="n">
        <f aca="false">(Operations!P80-P16-P15)*P17-P12</f>
        <v>0</v>
      </c>
      <c r="Q18" s="11" t="n">
        <f aca="false">(Operations!Q80-Q16-Q15)*Q17-Q12</f>
        <v>0</v>
      </c>
      <c r="R18" s="11" t="n">
        <f aca="false">(Operations!R80-R16-R15)*R17-R12</f>
        <v>0</v>
      </c>
      <c r="S18" s="11" t="n">
        <f aca="false">(Operations!S80-S16-S15)*S17-S12</f>
        <v>0</v>
      </c>
      <c r="T18" s="11" t="n">
        <f aca="false">(Operations!T80-T16-T15)*T17-T12</f>
        <v>0</v>
      </c>
      <c r="U18" s="11" t="n">
        <f aca="false">(Operations!U80-U16-U15)*U17-U12</f>
        <v>0</v>
      </c>
      <c r="V18" s="11" t="n">
        <f aca="false">(Operations!V80-V16-V15)*V17-V12</f>
        <v>0</v>
      </c>
      <c r="W18" s="11" t="n">
        <f aca="false">(Operations!W80-W16-W15)*W17-W12</f>
        <v>0</v>
      </c>
      <c r="X18" s="11" t="n">
        <f aca="false">(Operations!X80-X16-X15)*X17-X12</f>
        <v>0</v>
      </c>
      <c r="Y18" s="11" t="n">
        <f aca="false">(Operations!Y80-Y16-Y15)*Y17-Y12</f>
        <v>2.59039928348911</v>
      </c>
      <c r="Z18" s="11" t="n">
        <f aca="false">(Operations!Z80-Z16-Z15)*Z17-Z12</f>
        <v>8.49910403086616</v>
      </c>
      <c r="AA18" s="11" t="n">
        <f aca="false">(Operations!AA80-AA16-AA15)*AA17-AA12</f>
        <v>9.97957004907993</v>
      </c>
      <c r="AB18" s="11" t="n">
        <f aca="false">(Operations!AB80-AB16-AB15)*AB17-AB12</f>
        <v>10.812434528161</v>
      </c>
      <c r="AC18" s="11" t="n">
        <f aca="false">(Operations!AC80-AC16-AC15)*AC17-AC12</f>
        <v>11.7189497822644</v>
      </c>
      <c r="AD18" s="11" t="n">
        <f aca="false">(Operations!AD80-AD16-AD15)*AD17-AD12</f>
        <v>-1.67489583162794</v>
      </c>
      <c r="AE18" s="11" t="n">
        <f aca="false">(Operations!AE80-AE16-AE15)*AE17-AE12</f>
        <v>13.013428594229</v>
      </c>
      <c r="AF18" s="11" t="n">
        <f aca="false">(Operations!AF80-AF16-AF15)*AF17-AF12</f>
        <v>15.9989160321471</v>
      </c>
      <c r="AG18" s="11" t="n">
        <f aca="false">(Operations!AG80-AG16-AG15)*AG17-AG12</f>
        <v>17.5518237400369</v>
      </c>
      <c r="AH18" s="11" t="n">
        <f aca="false">(Operations!AH80-AH16-AH15)*AH17-AH12</f>
        <v>18.9455005653373</v>
      </c>
      <c r="AI18" s="11" t="n">
        <f aca="false">(Operations!AI80-AI16-AI15)*AI17-AI12</f>
        <v>20.9088590667213</v>
      </c>
      <c r="AJ18" s="11" t="n">
        <f aca="false">(Operations!AJ80-AJ16-AJ15)*AJ17-AJ12</f>
        <v>22.5087418040509</v>
      </c>
      <c r="AK18" s="11" t="n">
        <f aca="false">(Operations!AK80-AK16-AK15)*AK17-AK12</f>
        <v>24.3901585593006</v>
      </c>
      <c r="AL18" s="11" t="n">
        <f aca="false">(Operations!AL80-AL16-AL15)*AL17-AL12</f>
        <v>21.6716585020917</v>
      </c>
      <c r="AM18" s="11" t="n">
        <f aca="false">(Operations!AM80-AM16-AM15)*AM17-AM12</f>
        <v>27.4096337994791</v>
      </c>
      <c r="AN18" s="11" t="n">
        <f aca="false">(Operations!AN80-AN16-AN15)*AN17-AN12</f>
        <v>30.3396890535458</v>
      </c>
      <c r="AO18" s="11" t="n">
        <f aca="false">(Operations!AO80-AO16-AO15)*AO17-AO12</f>
        <v>32.045742653554</v>
      </c>
      <c r="AP18" s="11" t="n">
        <f aca="false">(Operations!AP80-AP16-AP15)*AP17-AP12</f>
        <v>34.1499005461107</v>
      </c>
      <c r="AQ18" s="11" t="n">
        <f aca="false">(Operations!AQ80-AQ16-AQ15)*AQ17-AQ12</f>
        <v>34.3434069971683</v>
      </c>
      <c r="AR18" s="11" t="n">
        <f aca="false">(Operations!AR80-AR16-AR15)*AR17-AR12</f>
        <v>34.4440961032243</v>
      </c>
      <c r="AS18" s="11" t="n">
        <f aca="false">(Operations!AS80-AS16-AS15)*AS17-AS12</f>
        <v>34.0344871691713</v>
      </c>
      <c r="AT18" s="11" t="n">
        <f aca="false">(Operations!AT80-AT16-AT15)*AT17-AT12</f>
        <v>17.2899134824326</v>
      </c>
      <c r="AU18" s="11" t="n">
        <f aca="false">(Operations!AU80-AU16-AU15)*AU17-AU12</f>
        <v>32.922627222883</v>
      </c>
      <c r="AV18" s="11" t="n">
        <f aca="false">(Operations!AV80-AV16-AV15)*AV17-AV12</f>
        <v>35.026462597572</v>
      </c>
      <c r="AW18" s="11" t="n">
        <f aca="false">(Operations!AW80-AW16-AW15)*AW17-AW12</f>
        <v>35.1970502629322</v>
      </c>
      <c r="AX18" s="11" t="n">
        <f aca="false">(Operations!AX80-AX16-AX15)*AX17-AX12</f>
        <v>35.3191332491921</v>
      </c>
      <c r="AY18" s="11" t="n">
        <f aca="false">(Operations!AY80-AY16-AY15)*AY17-AY12</f>
        <v>35.5238715205759</v>
      </c>
      <c r="AZ18" s="11" t="n">
        <f aca="false">(Operations!AZ80-AZ16-AZ15)*AZ17-AZ12</f>
        <v>35.6325740311754</v>
      </c>
      <c r="BA18" s="11" t="n">
        <f aca="false">(Operations!BA80-BA16-BA15)*BA17-BA12</f>
        <v>35.6642288114941</v>
      </c>
      <c r="BB18" s="11" t="n">
        <f aca="false">(Operations!BB80-BB16-BB15)*BB17-BB12</f>
        <v>30.5662200811794</v>
      </c>
      <c r="BC18" s="11" t="n">
        <f aca="false">(Operations!BC80-BC16-BC15)*BC17-BC12</f>
        <v>41.5909101034617</v>
      </c>
      <c r="BD18" s="11" t="n">
        <f aca="false">(Operations!BD80-BD16-BD15)*BD17-BD12</f>
        <v>55.5072016885391</v>
      </c>
      <c r="BE18" s="11" t="n">
        <f aca="false">(Operations!BE80-BE16-BE15)*BE17-BE12</f>
        <v>55.6917654717069</v>
      </c>
      <c r="BF18" s="11" t="n">
        <f aca="false">(Operations!BF80-BF16-BF15)*BF17-BF12</f>
        <v>55.8295945793846</v>
      </c>
      <c r="BG18" s="11" t="n">
        <f aca="false">(Operations!BG80-BG16-BG15)*BG17-BG12</f>
        <v>56.0464314757316</v>
      </c>
      <c r="BH18" s="11" t="n">
        <f aca="false">(Operations!BH80-BH16-BH15)*BH17-BH12</f>
        <v>56.1637857152666</v>
      </c>
      <c r="BI18" s="11" t="n">
        <f aca="false">(Operations!BI80-BI16-BI15)*BI17-BI12</f>
        <v>55.7540977997378</v>
      </c>
      <c r="BJ18" s="11" t="n">
        <f aca="false">(Operations!BJ80-BJ16-BJ15)*BJ17-BJ12</f>
        <v>36.1249228165309</v>
      </c>
      <c r="BK18" s="11" t="n">
        <f aca="false">(Operations!BK80-BK16-BK15)*BK17-BK12</f>
        <v>54.5762340953782</v>
      </c>
      <c r="BL18" s="11" t="n">
        <f aca="false">(Operations!BL80-BL16-BL15)*BL17-BL12</f>
        <v>56.8471810718508</v>
      </c>
      <c r="BM18" s="11" t="n">
        <f aca="false">(Operations!BM80-BM16-BM15)*BM17-BM12</f>
        <v>18.9453657714235</v>
      </c>
      <c r="BN18" s="11" t="n">
        <f aca="false">(Operations!BN80-BN16-BN15)*BN17-BN12</f>
        <v>0</v>
      </c>
    </row>
    <row r="19" customFormat="false" ht="15" hidden="false" customHeight="false" outlineLevel="0" collapsed="false">
      <c r="D19" s="0" t="s">
        <v>555</v>
      </c>
      <c r="E19" s="0" t="s">
        <v>149</v>
      </c>
      <c r="G19" s="11" t="n">
        <f aca="false">SUM(J19:BN19)</f>
        <v>1.67489583162794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1.67489583162794</v>
      </c>
      <c r="AF19" s="11" t="n">
        <f aca="false">MIN(AE22,MAX(0,AF18))</f>
        <v>0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556</v>
      </c>
      <c r="E20" s="0" t="s">
        <v>149</v>
      </c>
      <c r="G20" s="11" t="n">
        <f aca="false">SUM(J20:BN20)</f>
        <v>225.905369133766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2.59039928348911</v>
      </c>
      <c r="Z20" s="11" t="n">
        <f aca="false">MIN(Y21,MAX(0,Z18-Z19))</f>
        <v>8.49910403086616</v>
      </c>
      <c r="AA20" s="11" t="n">
        <f aca="false">MIN(Z21,MAX(0,AA18-AA19))</f>
        <v>9.97957004907993</v>
      </c>
      <c r="AB20" s="11" t="n">
        <f aca="false">MIN(AA21,MAX(0,AB18-AB19))</f>
        <v>10.812434528161</v>
      </c>
      <c r="AC20" s="11" t="n">
        <f aca="false">MIN(AB21,MAX(0,AC18-AC19))</f>
        <v>11.7189497822644</v>
      </c>
      <c r="AD20" s="11" t="n">
        <f aca="false">MIN(AC21,MAX(0,AD18-AD19))</f>
        <v>0</v>
      </c>
      <c r="AE20" s="11" t="n">
        <f aca="false">MIN(AD21,MAX(0,AE18-AE19))</f>
        <v>11.3385327626011</v>
      </c>
      <c r="AF20" s="11" t="n">
        <f aca="false">MIN(AE21,MAX(0,AF18-AF19))</f>
        <v>15.9989160321471</v>
      </c>
      <c r="AG20" s="11" t="n">
        <f aca="false">MIN(AF21,MAX(0,AG18-AG19))</f>
        <v>17.5518237400369</v>
      </c>
      <c r="AH20" s="11" t="n">
        <f aca="false">MIN(AG21,MAX(0,AH18-AH19))</f>
        <v>18.9455005653373</v>
      </c>
      <c r="AI20" s="11" t="n">
        <f aca="false">MIN(AH21,MAX(0,AI18-AI19))</f>
        <v>20.9088590667213</v>
      </c>
      <c r="AJ20" s="11" t="n">
        <f aca="false">MIN(AI21,MAX(0,AJ18-AJ19))</f>
        <v>22.5087418040509</v>
      </c>
      <c r="AK20" s="11" t="n">
        <f aca="false">MIN(AJ21,MAX(0,AK18-AK19))</f>
        <v>24.3901585593006</v>
      </c>
      <c r="AL20" s="11" t="n">
        <f aca="false">MIN(AK21,MAX(0,AL18-AL19))</f>
        <v>21.6716585020917</v>
      </c>
      <c r="AM20" s="11" t="n">
        <f aca="false">MIN(AL21,MAX(0,AM18-AM19))</f>
        <v>27.4096337994791</v>
      </c>
      <c r="AN20" s="11" t="n">
        <f aca="false">MIN(AM21,MAX(0,AN18-AN19))</f>
        <v>1.58108662813919</v>
      </c>
      <c r="AO20" s="11" t="n">
        <f aca="false">MIN(AN21,MAX(0,AO18-AO19))</f>
        <v>0</v>
      </c>
      <c r="AP20" s="11" t="n">
        <f aca="false">MIN(AO21,MAX(0,AP18-AP19))</f>
        <v>0</v>
      </c>
      <c r="AQ20" s="11" t="n">
        <f aca="false">MIN(AP21,MAX(0,AQ18-AQ19))</f>
        <v>0</v>
      </c>
      <c r="AR20" s="11" t="n">
        <f aca="false">MIN(AQ21,MAX(0,AR18-AR19))</f>
        <v>0</v>
      </c>
      <c r="AS20" s="11" t="n">
        <f aca="false">MIN(AR21,MAX(0,AS18-AS19))</f>
        <v>0</v>
      </c>
      <c r="AT20" s="11" t="n">
        <f aca="false">MIN(AS21,MAX(0,AT18-AT19))</f>
        <v>0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557</v>
      </c>
      <c r="E21" s="0" t="s">
        <v>149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7.53017897112553</v>
      </c>
      <c r="P21" s="11" t="n">
        <f aca="false">O21+P11-P20</f>
        <v>30.1207158845021</v>
      </c>
      <c r="Q21" s="11" t="n">
        <f aca="false">P21+Q11-Q20</f>
        <v>52.7112527978787</v>
      </c>
      <c r="R21" s="11" t="n">
        <f aca="false">Q21+R11-R20</f>
        <v>75.3017897112553</v>
      </c>
      <c r="S21" s="11" t="n">
        <f aca="false">R21+S11-S20</f>
        <v>97.8923266246319</v>
      </c>
      <c r="T21" s="11" t="n">
        <f aca="false">S21+T11-T20</f>
        <v>120.482863538008</v>
      </c>
      <c r="U21" s="11" t="n">
        <f aca="false">T21+U11-U20</f>
        <v>143.073400451385</v>
      </c>
      <c r="V21" s="11" t="n">
        <f aca="false">U21+V11-V20</f>
        <v>165.663937364762</v>
      </c>
      <c r="W21" s="11" t="n">
        <f aca="false">V21+W11-W20</f>
        <v>188.254474278138</v>
      </c>
      <c r="X21" s="11" t="n">
        <f aca="false">W21+X11-X20</f>
        <v>210.845011191515</v>
      </c>
      <c r="Y21" s="11" t="n">
        <f aca="false">X21+Y11-Y20</f>
        <v>223.314969850277</v>
      </c>
      <c r="Z21" s="11" t="n">
        <f aca="false">Y21+Z11-Z20</f>
        <v>214.815865819411</v>
      </c>
      <c r="AA21" s="11" t="n">
        <f aca="false">Z21+AA11-AA20</f>
        <v>204.836295770331</v>
      </c>
      <c r="AB21" s="11" t="n">
        <f aca="false">AA21+AB11-AB20</f>
        <v>194.02386124217</v>
      </c>
      <c r="AC21" s="11" t="n">
        <f aca="false">AB21+AC11-AC20</f>
        <v>182.304911459905</v>
      </c>
      <c r="AD21" s="11" t="n">
        <f aca="false">AC21+AD11-AD20</f>
        <v>182.304911459905</v>
      </c>
      <c r="AE21" s="11" t="n">
        <f aca="false">AD21+AE11-AE20</f>
        <v>170.966378697304</v>
      </c>
      <c r="AF21" s="11" t="n">
        <f aca="false">AE21+AF11-AF20</f>
        <v>154.967462665157</v>
      </c>
      <c r="AG21" s="11" t="n">
        <f aca="false">AF21+AG11-AG20</f>
        <v>137.41563892512</v>
      </c>
      <c r="AH21" s="11" t="n">
        <f aca="false">AG21+AH11-AH20</f>
        <v>118.470138359783</v>
      </c>
      <c r="AI21" s="11" t="n">
        <f aca="false">AH21+AI11-AI20</f>
        <v>97.5612792930615</v>
      </c>
      <c r="AJ21" s="11" t="n">
        <f aca="false">AI21+AJ11-AJ20</f>
        <v>75.0525374890106</v>
      </c>
      <c r="AK21" s="11" t="n">
        <f aca="false">AJ21+AK11-AK20</f>
        <v>50.66237892971</v>
      </c>
      <c r="AL21" s="11" t="n">
        <f aca="false">AK21+AL11-AL20</f>
        <v>28.9907204276183</v>
      </c>
      <c r="AM21" s="11" t="n">
        <f aca="false">AL21+AM11-AM20</f>
        <v>1.58108662813919</v>
      </c>
      <c r="AN21" s="11" t="n">
        <f aca="false">AM21+AN11-AN20</f>
        <v>0</v>
      </c>
      <c r="AO21" s="11" t="n">
        <f aca="false">AN21+AO11-AO20</f>
        <v>0</v>
      </c>
      <c r="AP21" s="11" t="n">
        <f aca="false">AO21+AP11-AP20</f>
        <v>0</v>
      </c>
      <c r="AQ21" s="11" t="n">
        <f aca="false">AP21+AQ11-AQ20</f>
        <v>0</v>
      </c>
      <c r="AR21" s="11" t="n">
        <f aca="false">AQ21+AR11-AR20</f>
        <v>0</v>
      </c>
      <c r="AS21" s="11" t="n">
        <f aca="false">AR21+AS11-AS20</f>
        <v>0</v>
      </c>
      <c r="AT21" s="11" t="n">
        <f aca="false">AS21+AT11-AT20</f>
        <v>0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558</v>
      </c>
      <c r="E22" s="0" t="s">
        <v>149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1.67489583162794</v>
      </c>
      <c r="AE22" s="11" t="n">
        <f aca="false">AD22-AE19+MAX(0,-AE18)</f>
        <v>0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559</v>
      </c>
      <c r="E23" s="0" t="s">
        <v>149</v>
      </c>
      <c r="G23" s="11" t="n">
        <f aca="false">SUM(J23:BN23)</f>
        <v>1033.99580774308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0</v>
      </c>
      <c r="AN23" s="11" t="n">
        <f aca="false">MAX(0,AN18-AN19-AN20)</f>
        <v>28.7586024254066</v>
      </c>
      <c r="AO23" s="11" t="n">
        <f aca="false">MAX(0,AO18-AO19-AO20)</f>
        <v>32.045742653554</v>
      </c>
      <c r="AP23" s="11" t="n">
        <f aca="false">MAX(0,AP18-AP19-AP20)</f>
        <v>34.1499005461107</v>
      </c>
      <c r="AQ23" s="11" t="n">
        <f aca="false">MAX(0,AQ18-AQ19-AQ20)</f>
        <v>34.3434069971683</v>
      </c>
      <c r="AR23" s="11" t="n">
        <f aca="false">MAX(0,AR18-AR19-AR20)</f>
        <v>34.4440961032243</v>
      </c>
      <c r="AS23" s="11" t="n">
        <f aca="false">MAX(0,AS18-AS19-AS20)</f>
        <v>34.0344871691713</v>
      </c>
      <c r="AT23" s="11" t="n">
        <f aca="false">MAX(0,AT18-AT19-AT20)</f>
        <v>17.2899134824326</v>
      </c>
      <c r="AU23" s="11" t="n">
        <f aca="false">MAX(0,AU18-AU19-AU20)</f>
        <v>32.922627222883</v>
      </c>
      <c r="AV23" s="11" t="n">
        <f aca="false">MAX(0,AV18-AV19-AV20)</f>
        <v>35.026462597572</v>
      </c>
      <c r="AW23" s="11" t="n">
        <f aca="false">MAX(0,AW18-AW19-AW20)</f>
        <v>35.1970502629322</v>
      </c>
      <c r="AX23" s="11" t="n">
        <f aca="false">MAX(0,AX18-AX19-AX20)</f>
        <v>35.3191332491921</v>
      </c>
      <c r="AY23" s="11" t="n">
        <f aca="false">MAX(0,AY18-AY19-AY20)</f>
        <v>35.5238715205759</v>
      </c>
      <c r="AZ23" s="11" t="n">
        <f aca="false">MAX(0,AZ18-AZ19-AZ20)</f>
        <v>35.6325740311754</v>
      </c>
      <c r="BA23" s="11" t="n">
        <f aca="false">MAX(0,BA18-BA19-BA20)</f>
        <v>35.6642288114941</v>
      </c>
      <c r="BB23" s="11" t="n">
        <f aca="false">MAX(0,BB18-BB19-BB20)</f>
        <v>30.5662200811794</v>
      </c>
      <c r="BC23" s="11" t="n">
        <f aca="false">MAX(0,BC18-BC19-BC20)</f>
        <v>41.5909101034617</v>
      </c>
      <c r="BD23" s="11" t="n">
        <f aca="false">MAX(0,BD18-BD19-BD20)</f>
        <v>55.5072016885391</v>
      </c>
      <c r="BE23" s="11" t="n">
        <f aca="false">MAX(0,BE18-BE19-BE20)</f>
        <v>55.6917654717069</v>
      </c>
      <c r="BF23" s="11" t="n">
        <f aca="false">MAX(0,BF18-BF19-BF20)</f>
        <v>55.8295945793846</v>
      </c>
      <c r="BG23" s="11" t="n">
        <f aca="false">MAX(0,BG18-BG19-BG20)</f>
        <v>56.0464314757316</v>
      </c>
      <c r="BH23" s="11" t="n">
        <f aca="false">MAX(0,BH18-BH19-BH20)</f>
        <v>56.1637857152666</v>
      </c>
      <c r="BI23" s="11" t="n">
        <f aca="false">MAX(0,BI18-BI19-BI20)</f>
        <v>55.7540977997378</v>
      </c>
      <c r="BJ23" s="11" t="n">
        <f aca="false">MAX(0,BJ18-BJ19-BJ20)</f>
        <v>36.1249228165309</v>
      </c>
      <c r="BK23" s="11" t="n">
        <f aca="false">MAX(0,BK18-BK19-BK20)</f>
        <v>54.5762340953782</v>
      </c>
      <c r="BL23" s="11" t="n">
        <f aca="false">MAX(0,BL18-BL19-BL20)</f>
        <v>56.8471810718508</v>
      </c>
      <c r="BM23" s="11" t="n">
        <f aca="false">MAX(0,BM18-BM19-BM20)</f>
        <v>18.9453657714235</v>
      </c>
      <c r="BN23" s="11" t="n">
        <f aca="false">MAX(0,BN18-BN19-BN20)</f>
        <v>0</v>
      </c>
    </row>
    <row r="24" customFormat="false" ht="15" hidden="false" customHeight="false" outlineLevel="0" collapsed="false">
      <c r="D24" s="0" t="s">
        <v>560</v>
      </c>
      <c r="E24" s="0" t="s">
        <v>103</v>
      </c>
      <c r="J24" s="6" t="n">
        <f aca="false">IF(J8+J9&gt;0,(J8*Inputs!$F$175+J9*Inputs!$F$174)/(J8+J9)/100,0)</f>
        <v>0</v>
      </c>
      <c r="K24" s="6" t="n">
        <f aca="false">IF(K8+K9&gt;0,(K8*Inputs!$F$175+K9*Inputs!$F$174)/(K8+K9)/100,0)</f>
        <v>0</v>
      </c>
      <c r="L24" s="6" t="n">
        <f aca="false">IF(L8+L9&gt;0,(L8*Inputs!$F$175+L9*Inputs!$F$174)/(L8+L9)/100,0)</f>
        <v>0</v>
      </c>
      <c r="M24" s="6" t="n">
        <f aca="false">IF(M8+M9&gt;0,(M8*Inputs!$F$175+M9*Inputs!$F$174)/(M8+M9)/100,0)</f>
        <v>0</v>
      </c>
      <c r="N24" s="6" t="n">
        <f aca="false">IF(N8+N9&gt;0,(N8*Inputs!$F$175+N9*Inputs!$F$174)/(N8+N9)/100,0)</f>
        <v>0</v>
      </c>
      <c r="O24" s="6" t="n">
        <f aca="false">IF(O8+O9&gt;0,(O8*Inputs!$F$175+O9*Inputs!$F$174)/(O8+O9)/100,0)</f>
        <v>0</v>
      </c>
      <c r="P24" s="6" t="n">
        <f aca="false">IF(P8+P9&gt;0,(P8*Inputs!$F$175+P9*Inputs!$F$174)/(P8+P9)/100,0)</f>
        <v>0</v>
      </c>
      <c r="Q24" s="6" t="n">
        <f aca="false">IF(Q8+Q9&gt;0,(Q8*Inputs!$F$175+Q9*Inputs!$F$174)/(Q8+Q9)/100,0)</f>
        <v>0</v>
      </c>
      <c r="R24" s="6" t="n">
        <f aca="false">IF(R8+R9&gt;0,(R8*Inputs!$F$175+R9*Inputs!$F$174)/(R8+R9)/100,0)</f>
        <v>0</v>
      </c>
      <c r="S24" s="6" t="n">
        <f aca="false">IF(S8+S9&gt;0,(S8*Inputs!$F$175+S9*Inputs!$F$174)/(S8+S9)/100,0)</f>
        <v>0</v>
      </c>
      <c r="T24" s="6" t="n">
        <f aca="false">IF(T8+T9&gt;0,(T8*Inputs!$F$175+T9*Inputs!$F$174)/(T8+T9)/100,0)</f>
        <v>0</v>
      </c>
      <c r="U24" s="6" t="n">
        <f aca="false">IF(U8+U9&gt;0,(U8*Inputs!$F$175+U9*Inputs!$F$174)/(U8+U9)/100,0)</f>
        <v>0</v>
      </c>
      <c r="V24" s="6" t="n">
        <f aca="false">IF(V8+V9&gt;0,(V8*Inputs!$F$175+V9*Inputs!$F$174)/(V8+V9)/100,0)</f>
        <v>0</v>
      </c>
      <c r="W24" s="6" t="n">
        <f aca="false">IF(W8+W9&gt;0,(W8*Inputs!$F$175+W9*Inputs!$F$174)/(W8+W9)/100,0)</f>
        <v>0</v>
      </c>
      <c r="X24" s="6" t="n">
        <f aca="false">IF(X8+X9&gt;0,(X8*Inputs!$F$175+X9*Inputs!$F$174)/(X8+X9)/100,0)</f>
        <v>0</v>
      </c>
      <c r="Y24" s="6" t="n">
        <f aca="false">IF(Y8+Y9&gt;0,(Y8*Inputs!$F$175+Y9*Inputs!$F$174)/(Y8+Y9)/100,0)</f>
        <v>0.15</v>
      </c>
      <c r="Z24" s="6" t="n">
        <f aca="false">IF(Z8+Z9&gt;0,(Z8*Inputs!$F$175+Z9*Inputs!$F$174)/(Z8+Z9)/100,0)</f>
        <v>0.15</v>
      </c>
      <c r="AA24" s="6" t="n">
        <f aca="false">IF(AA8+AA9&gt;0,(AA8*Inputs!$F$175+AA9*Inputs!$F$174)/(AA8+AA9)/100,0)</f>
        <v>0.15</v>
      </c>
      <c r="AB24" s="6" t="n">
        <f aca="false">IF(AB8+AB9&gt;0,(AB8*Inputs!$F$175+AB9*Inputs!$F$174)/(AB8+AB9)/100,0)</f>
        <v>0.15</v>
      </c>
      <c r="AC24" s="6" t="n">
        <f aca="false">IF(AC8+AC9&gt;0,(AC8*Inputs!$F$175+AC9*Inputs!$F$174)/(AC8+AC9)/100,0)</f>
        <v>0.15</v>
      </c>
      <c r="AD24" s="6" t="n">
        <f aca="false">IF(AD8+AD9&gt;0,(AD8*Inputs!$F$175+AD9*Inputs!$F$174)/(AD8+AD9)/100,0)</f>
        <v>0.15</v>
      </c>
      <c r="AE24" s="6" t="n">
        <f aca="false">IF(AE8+AE9&gt;0,(AE8*Inputs!$F$175+AE9*Inputs!$F$174)/(AE8+AE9)/100,0)</f>
        <v>0.2</v>
      </c>
      <c r="AF24" s="6" t="n">
        <f aca="false">IF(AF8+AF9&gt;0,(AF8*Inputs!$F$175+AF9*Inputs!$F$174)/(AF8+AF9)/100,0)</f>
        <v>0.3</v>
      </c>
      <c r="AG24" s="6" t="n">
        <f aca="false">IF(AG8+AG9&gt;0,(AG8*Inputs!$F$175+AG9*Inputs!$F$174)/(AG8+AG9)/100,0)</f>
        <v>0.3</v>
      </c>
      <c r="AH24" s="6" t="n">
        <f aca="false">IF(AH8+AH9&gt;0,(AH8*Inputs!$F$175+AH9*Inputs!$F$174)/(AH8+AH9)/100,0)</f>
        <v>0.3</v>
      </c>
      <c r="AI24" s="6" t="n">
        <f aca="false">IF(AI8+AI9&gt;0,(AI8*Inputs!$F$175+AI9*Inputs!$F$174)/(AI8+AI9)/100,0)</f>
        <v>0.3</v>
      </c>
      <c r="AJ24" s="6" t="n">
        <f aca="false">IF(AJ8+AJ9&gt;0,(AJ8*Inputs!$F$175+AJ9*Inputs!$F$174)/(AJ8+AJ9)/100,0)</f>
        <v>0.3</v>
      </c>
      <c r="AK24" s="6" t="n">
        <f aca="false">IF(AK8+AK9&gt;0,(AK8*Inputs!$F$175+AK9*Inputs!$F$174)/(AK8+AK9)/100,0)</f>
        <v>0.3</v>
      </c>
      <c r="AL24" s="6" t="n">
        <f aca="false">IF(AL8+AL9&gt;0,(AL8*Inputs!$F$175+AL9*Inputs!$F$174)/(AL8+AL9)/100,0)</f>
        <v>0.3</v>
      </c>
      <c r="AM24" s="6" t="n">
        <f aca="false">IF(AM8+AM9&gt;0,(AM8*Inputs!$F$175+AM9*Inputs!$F$174)/(AM8+AM9)/100,0)</f>
        <v>0.3</v>
      </c>
      <c r="AN24" s="6" t="n">
        <f aca="false">IF(AN8+AN9&gt;0,(AN8*Inputs!$F$175+AN9*Inputs!$F$174)/(AN8+AN9)/100,0)</f>
        <v>0.3</v>
      </c>
      <c r="AO24" s="6" t="n">
        <f aca="false">IF(AO8+AO9&gt;0,(AO8*Inputs!$F$175+AO9*Inputs!$F$174)/(AO8+AO9)/100,0)</f>
        <v>0.3</v>
      </c>
      <c r="AP24" s="6" t="n">
        <f aca="false">IF(AP8+AP9&gt;0,(AP8*Inputs!$F$175+AP9*Inputs!$F$174)/(AP8+AP9)/100,0)</f>
        <v>0.3</v>
      </c>
      <c r="AQ24" s="6" t="n">
        <f aca="false">IF(AQ8+AQ9&gt;0,(AQ8*Inputs!$F$175+AQ9*Inputs!$F$174)/(AQ8+AQ9)/100,0)</f>
        <v>0.3</v>
      </c>
      <c r="AR24" s="6" t="n">
        <f aca="false">IF(AR8+AR9&gt;0,(AR8*Inputs!$F$175+AR9*Inputs!$F$174)/(AR8+AR9)/100,0)</f>
        <v>0.3</v>
      </c>
      <c r="AS24" s="6" t="n">
        <f aca="false">IF(AS8+AS9&gt;0,(AS8*Inputs!$F$175+AS9*Inputs!$F$174)/(AS8+AS9)/100,0)</f>
        <v>0.3</v>
      </c>
      <c r="AT24" s="6" t="n">
        <f aca="false">IF(AT8+AT9&gt;0,(AT8*Inputs!$F$175+AT9*Inputs!$F$174)/(AT8+AT9)/100,0)</f>
        <v>0.3</v>
      </c>
      <c r="AU24" s="6" t="n">
        <f aca="false">IF(AU8+AU9&gt;0,(AU8*Inputs!$F$175+AU9*Inputs!$F$174)/(AU8+AU9)/100,0)</f>
        <v>0.3</v>
      </c>
      <c r="AV24" s="6" t="n">
        <f aca="false">IF(AV8+AV9&gt;0,(AV8*Inputs!$F$175+AV9*Inputs!$F$174)/(AV8+AV9)/100,0)</f>
        <v>0.3</v>
      </c>
      <c r="AW24" s="6" t="n">
        <f aca="false">IF(AW8+AW9&gt;0,(AW8*Inputs!$F$175+AW9*Inputs!$F$174)/(AW8+AW9)/100,0)</f>
        <v>0.3</v>
      </c>
      <c r="AX24" s="6" t="n">
        <f aca="false">IF(AX8+AX9&gt;0,(AX8*Inputs!$F$175+AX9*Inputs!$F$174)/(AX8+AX9)/100,0)</f>
        <v>0.3</v>
      </c>
      <c r="AY24" s="6" t="n">
        <f aca="false">IF(AY8+AY9&gt;0,(AY8*Inputs!$F$175+AY9*Inputs!$F$174)/(AY8+AY9)/100,0)</f>
        <v>0.3</v>
      </c>
      <c r="AZ24" s="6" t="n">
        <f aca="false">IF(AZ8+AZ9&gt;0,(AZ8*Inputs!$F$175+AZ9*Inputs!$F$174)/(AZ8+AZ9)/100,0)</f>
        <v>0.3</v>
      </c>
      <c r="BA24" s="6" t="n">
        <f aca="false">IF(BA8+BA9&gt;0,(BA8*Inputs!$F$175+BA9*Inputs!$F$174)/(BA8+BA9)/100,0)</f>
        <v>0.3</v>
      </c>
      <c r="BB24" s="6" t="n">
        <f aca="false">IF(BB8+BB9&gt;0,(BB8*Inputs!$F$175+BB9*Inputs!$F$174)/(BB8+BB9)/100,0)</f>
        <v>0.3</v>
      </c>
      <c r="BC24" s="6" t="n">
        <f aca="false">IF(BC8+BC9&gt;0,(BC8*Inputs!$F$175+BC9*Inputs!$F$174)/(BC8+BC9)/100,0)</f>
        <v>0.3</v>
      </c>
      <c r="BD24" s="6" t="n">
        <f aca="false">IF(BD8+BD9&gt;0,(BD8*Inputs!$F$175+BD9*Inputs!$F$174)/(BD8+BD9)/100,0)</f>
        <v>0.3</v>
      </c>
      <c r="BE24" s="6" t="n">
        <f aca="false">IF(BE8+BE9&gt;0,(BE8*Inputs!$F$175+BE9*Inputs!$F$174)/(BE8+BE9)/100,0)</f>
        <v>0.3</v>
      </c>
      <c r="BF24" s="6" t="n">
        <f aca="false">IF(BF8+BF9&gt;0,(BF8*Inputs!$F$175+BF9*Inputs!$F$174)/(BF8+BF9)/100,0)</f>
        <v>0.3</v>
      </c>
      <c r="BG24" s="6" t="n">
        <f aca="false">IF(BG8+BG9&gt;0,(BG8*Inputs!$F$175+BG9*Inputs!$F$174)/(BG8+BG9)/100,0)</f>
        <v>0.3</v>
      </c>
      <c r="BH24" s="6" t="n">
        <f aca="false">IF(BH8+BH9&gt;0,(BH8*Inputs!$F$175+BH9*Inputs!$F$174)/(BH8+BH9)/100,0)</f>
        <v>0.3</v>
      </c>
      <c r="BI24" s="6" t="n">
        <f aca="false">IF(BI8+BI9&gt;0,(BI8*Inputs!$F$175+BI9*Inputs!$F$174)/(BI8+BI9)/100,0)</f>
        <v>0.3</v>
      </c>
      <c r="BJ24" s="6" t="n">
        <f aca="false">IF(BJ8+BJ9&gt;0,(BJ8*Inputs!$F$175+BJ9*Inputs!$F$174)/(BJ8+BJ9)/100,0)</f>
        <v>0.3</v>
      </c>
      <c r="BK24" s="6" t="n">
        <f aca="false">IF(BK8+BK9&gt;0,(BK8*Inputs!$F$175+BK9*Inputs!$F$174)/(BK8+BK9)/100,0)</f>
        <v>0.3</v>
      </c>
      <c r="BL24" s="6" t="n">
        <f aca="false">IF(BL8+BL9&gt;0,(BL8*Inputs!$F$175+BL9*Inputs!$F$174)/(BL8+BL9)/100,0)</f>
        <v>0.3</v>
      </c>
      <c r="BM24" s="6" t="n">
        <f aca="false">IF(BM8+BM9&gt;0,(BM8*Inputs!$F$175+BM9*Inputs!$F$174)/(BM8+BM9)/100,0)</f>
        <v>0.3</v>
      </c>
      <c r="BN24" s="6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283</v>
      </c>
      <c r="E25" s="0" t="s">
        <v>149</v>
      </c>
      <c r="G25" s="11" t="n">
        <f aca="false">SUM(J25:BN25)</f>
        <v>310.198742322925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0</v>
      </c>
      <c r="AN25" s="11" t="n">
        <f aca="false">AN23*AN24</f>
        <v>8.62758072762197</v>
      </c>
      <c r="AO25" s="11" t="n">
        <f aca="false">AO23*AO24</f>
        <v>9.6137227960662</v>
      </c>
      <c r="AP25" s="11" t="n">
        <f aca="false">AP23*AP24</f>
        <v>10.2449701638332</v>
      </c>
      <c r="AQ25" s="11" t="n">
        <f aca="false">AQ23*AQ24</f>
        <v>10.3030220991505</v>
      </c>
      <c r="AR25" s="11" t="n">
        <f aca="false">AR23*AR24</f>
        <v>10.3332288309673</v>
      </c>
      <c r="AS25" s="11" t="n">
        <f aca="false">AS23*AS24</f>
        <v>10.2103461507514</v>
      </c>
      <c r="AT25" s="11" t="n">
        <f aca="false">AT23*AT24</f>
        <v>5.18697404472979</v>
      </c>
      <c r="AU25" s="11" t="n">
        <f aca="false">AU23*AU24</f>
        <v>9.8767881668649</v>
      </c>
      <c r="AV25" s="11" t="n">
        <f aca="false">AV23*AV24</f>
        <v>10.5079387792716</v>
      </c>
      <c r="AW25" s="11" t="n">
        <f aca="false">AW23*AW24</f>
        <v>10.5591150788797</v>
      </c>
      <c r="AX25" s="11" t="n">
        <f aca="false">AX23*AX24</f>
        <v>10.5957399747576</v>
      </c>
      <c r="AY25" s="11" t="n">
        <f aca="false">AY23*AY24</f>
        <v>10.6571614561728</v>
      </c>
      <c r="AZ25" s="11" t="n">
        <f aca="false">AZ23*AZ24</f>
        <v>10.6897722093526</v>
      </c>
      <c r="BA25" s="11" t="n">
        <f aca="false">BA23*BA24</f>
        <v>10.6992686434482</v>
      </c>
      <c r="BB25" s="11" t="n">
        <f aca="false">BB23*BB24</f>
        <v>9.16986602435382</v>
      </c>
      <c r="BC25" s="11" t="n">
        <f aca="false">BC23*BC24</f>
        <v>12.4772730310385</v>
      </c>
      <c r="BD25" s="11" t="n">
        <f aca="false">BD23*BD24</f>
        <v>16.6521605065617</v>
      </c>
      <c r="BE25" s="11" t="n">
        <f aca="false">BE23*BE24</f>
        <v>16.7075296415121</v>
      </c>
      <c r="BF25" s="11" t="n">
        <f aca="false">BF23*BF24</f>
        <v>16.7488783738154</v>
      </c>
      <c r="BG25" s="11" t="n">
        <f aca="false">BG23*BG24</f>
        <v>16.8139294427195</v>
      </c>
      <c r="BH25" s="11" t="n">
        <f aca="false">BH23*BH24</f>
        <v>16.84913571458</v>
      </c>
      <c r="BI25" s="11" t="n">
        <f aca="false">BI23*BI24</f>
        <v>16.7262293399213</v>
      </c>
      <c r="BJ25" s="11" t="n">
        <f aca="false">BJ23*BJ24</f>
        <v>10.8374768449593</v>
      </c>
      <c r="BK25" s="11" t="n">
        <f aca="false">BK23*BK24</f>
        <v>16.3728702286135</v>
      </c>
      <c r="BL25" s="11" t="n">
        <f aca="false">BL23*BL24</f>
        <v>17.0541543215552</v>
      </c>
      <c r="BM25" s="11" t="n">
        <f aca="false">BM23*BM24</f>
        <v>5.68360973142705</v>
      </c>
      <c r="BN25" s="11" t="n">
        <f aca="false">BN23*BN24</f>
        <v>0</v>
      </c>
    </row>
    <row r="26" customFormat="false" ht="15" hidden="false" customHeight="false" outlineLevel="0" collapsed="false">
      <c r="D26" s="0" t="s">
        <v>561</v>
      </c>
      <c r="E26" s="0" t="s">
        <v>149</v>
      </c>
      <c r="G26" s="11" t="n">
        <f aca="false">SUM(J26:BN26)</f>
        <v>15.46704299747</v>
      </c>
      <c r="J26" s="11" t="n">
        <f aca="false">IF(Time!J25&gt;0,Inputs!$F$176/100*Operations!J51*(J8+J9)/Time!J25,0)</f>
        <v>0</v>
      </c>
      <c r="K26" s="11" t="n">
        <f aca="false">IF(Time!K25&gt;0,Inputs!$F$176/100*Operations!K51*(K8+K9)/Time!K25,0)</f>
        <v>0</v>
      </c>
      <c r="L26" s="11" t="n">
        <f aca="false">IF(Time!L25&gt;0,Inputs!$F$176/100*Operations!L51*(L8+L9)/Time!L25,0)</f>
        <v>0</v>
      </c>
      <c r="M26" s="11" t="n">
        <f aca="false">IF(Time!M25&gt;0,Inputs!$F$176/100*Operations!M51*(M8+M9)/Time!M25,0)</f>
        <v>0</v>
      </c>
      <c r="N26" s="11" t="n">
        <f aca="false">IF(Time!N25&gt;0,Inputs!$F$176/100*Operations!N51*(N8+N9)/Time!N25,0)</f>
        <v>0</v>
      </c>
      <c r="O26" s="11" t="n">
        <f aca="false">IF(Time!O25&gt;0,Inputs!$F$176/100*Operations!O51*(O8+O9)/Time!O25,0)</f>
        <v>0</v>
      </c>
      <c r="P26" s="11" t="n">
        <f aca="false">IF(Time!P25&gt;0,Inputs!$F$176/100*Operations!P51*(P8+P9)/Time!P25,0)</f>
        <v>0</v>
      </c>
      <c r="Q26" s="11" t="n">
        <f aca="false">IF(Time!Q25&gt;0,Inputs!$F$176/100*Operations!Q51*(Q8+Q9)/Time!Q25,0)</f>
        <v>0</v>
      </c>
      <c r="R26" s="11" t="n">
        <f aca="false">IF(Time!R25&gt;0,Inputs!$F$176/100*Operations!R51*(R8+R9)/Time!R25,0)</f>
        <v>0</v>
      </c>
      <c r="S26" s="11" t="n">
        <f aca="false">IF(Time!S25&gt;0,Inputs!$F$176/100*Operations!S51*(S8+S9)/Time!S25,0)</f>
        <v>0</v>
      </c>
      <c r="T26" s="11" t="n">
        <f aca="false">IF(Time!T25&gt;0,Inputs!$F$176/100*Operations!T51*(T8+T9)/Time!T25,0)</f>
        <v>0</v>
      </c>
      <c r="U26" s="11" t="n">
        <f aca="false">IF(Time!U25&gt;0,Inputs!$F$176/100*Operations!U51*(U8+U9)/Time!U25,0)</f>
        <v>0</v>
      </c>
      <c r="V26" s="11" t="n">
        <f aca="false">IF(Time!V25&gt;0,Inputs!$F$176/100*Operations!V51*(V8+V9)/Time!V25,0)</f>
        <v>0</v>
      </c>
      <c r="W26" s="11" t="n">
        <f aca="false">IF(Time!W25&gt;0,Inputs!$F$176/100*Operations!W51*(W8+W9)/Time!W25,0)</f>
        <v>0</v>
      </c>
      <c r="X26" s="11" t="n">
        <f aca="false">IF(Time!X25&gt;0,Inputs!$F$176/100*Operations!X51*(X8+X9)/Time!X25,0)</f>
        <v>0</v>
      </c>
      <c r="Y26" s="11" t="n">
        <f aca="false">IF(Time!Y25&gt;0,Inputs!$F$176/100*Operations!Y51*(Y8+Y9)/Time!Y25,0)</f>
        <v>0.117600419909946</v>
      </c>
      <c r="Z26" s="11" t="n">
        <f aca="false">IF(Time!Z25&gt;0,Inputs!$F$176/100*Operations!Z51*(Z8+Z9)/Time!Z25,0)</f>
        <v>0.353793142668634</v>
      </c>
      <c r="AA26" s="11" t="n">
        <f aca="false">IF(Time!AA25&gt;0,Inputs!$F$176/100*Operations!AA51*(AA8+AA9)/Time!AA25,0)</f>
        <v>0.355902978806001</v>
      </c>
      <c r="AB26" s="11" t="n">
        <f aca="false">IF(Time!AB25&gt;0,Inputs!$F$176/100*Operations!AB51*(AB8+AB9)/Time!AB25,0)</f>
        <v>0.357822228365636</v>
      </c>
      <c r="AC26" s="11" t="n">
        <f aca="false">IF(Time!AC25&gt;0,Inputs!$F$176/100*Operations!AC51*(AC8+AC9)/Time!AC25,0)</f>
        <v>0.35552421671826</v>
      </c>
      <c r="AD26" s="11" t="n">
        <f aca="false">IF(Time!AD25&gt;0,Inputs!$F$176/100*Operations!AD51*(AD8+AD9)/Time!AD25,0)</f>
        <v>0.343555734814318</v>
      </c>
      <c r="AE26" s="11" t="n">
        <f aca="false">IF(Time!AE25&gt;0,Inputs!$F$176/100*Operations!AE51*(AE8+AE9)/Time!AE25,0)</f>
        <v>0.352018016197102</v>
      </c>
      <c r="AF26" s="11" t="n">
        <f aca="false">IF(Time!AF25&gt;0,Inputs!$F$176/100*Operations!AF51*(AF8+AF9)/Time!AF25,0)</f>
        <v>0.364586945723495</v>
      </c>
      <c r="AG26" s="11" t="n">
        <f aca="false">IF(Time!AG25&gt;0,Inputs!$F$176/100*Operations!AG51*(AG8+AG9)/Time!AG25,0)</f>
        <v>0.366178837705143</v>
      </c>
      <c r="AH26" s="11" t="n">
        <f aca="false">IF(Time!AH25&gt;0,Inputs!$F$176/100*Operations!AH51*(AH8+AH9)/Time!AH25,0)</f>
        <v>0.367280294723665</v>
      </c>
      <c r="AI26" s="11" t="n">
        <f aca="false">IF(Time!AI25&gt;0,Inputs!$F$176/100*Operations!AI51*(AI8+AI9)/Time!AI25,0)</f>
        <v>0.369557700845569</v>
      </c>
      <c r="AJ26" s="11" t="n">
        <f aca="false">IF(Time!AJ25&gt;0,Inputs!$F$176/100*Operations!AJ51*(AJ8+AJ9)/Time!AJ25,0)</f>
        <v>0.3716467170442</v>
      </c>
      <c r="AK26" s="11" t="n">
        <f aca="false">IF(Time!AK25&gt;0,Inputs!$F$176/100*Operations!AK51*(AK8+AK9)/Time!AK25,0)</f>
        <v>0.371951552228156</v>
      </c>
      <c r="AL26" s="11" t="n">
        <f aca="false">IF(Time!AL25&gt;0,Inputs!$F$176/100*Operations!AL51*(AL8+AL9)/Time!AL25,0)</f>
        <v>0.364887875223189</v>
      </c>
      <c r="AM26" s="11" t="n">
        <f aca="false">IF(Time!AM25&gt;0,Inputs!$F$176/100*Operations!AM51*(AM8+AM9)/Time!AM25,0)</f>
        <v>0.371151096865272</v>
      </c>
      <c r="AN26" s="11" t="n">
        <f aca="false">IF(Time!AN25&gt;0,Inputs!$F$176/100*Operations!AN51*(AN8+AN9)/Time!AN25,0)</f>
        <v>0.379014406488397</v>
      </c>
      <c r="AO26" s="11" t="n">
        <f aca="false">IF(Time!AO25&gt;0,Inputs!$F$176/100*Operations!AO51*(AO8+AO9)/Time!AO25,0)</f>
        <v>0.380748888656799</v>
      </c>
      <c r="AP26" s="11" t="n">
        <f aca="false">IF(Time!AP25&gt;0,Inputs!$F$176/100*Operations!AP51*(AP8+AP9)/Time!AP25,0)</f>
        <v>0.381969782720044</v>
      </c>
      <c r="AQ26" s="11" t="n">
        <f aca="false">IF(Time!AQ25&gt;0,Inputs!$F$176/100*Operations!AQ51*(AQ8+AQ9)/Time!AQ25,0)</f>
        <v>0.384429651280432</v>
      </c>
      <c r="AR26" s="11" t="n">
        <f aca="false">IF(Time!AR25&gt;0,Inputs!$F$176/100*Operations!AR51*(AR8+AR9)/Time!AR25,0)</f>
        <v>0.386703438854844</v>
      </c>
      <c r="AS26" s="11" t="n">
        <f aca="false">IF(Time!AS25&gt;0,Inputs!$F$176/100*Operations!AS51*(AS8+AS9)/Time!AS25,0)</f>
        <v>0.38435885616245</v>
      </c>
      <c r="AT26" s="11" t="n">
        <f aca="false">IF(Time!AT25&gt;0,Inputs!$F$176/100*Operations!AT51*(AT8+AT9)/Time!AT25,0)</f>
        <v>0.371587689066655</v>
      </c>
      <c r="AU26" s="11" t="n">
        <f aca="false">IF(Time!AU25&gt;0,Inputs!$F$176/100*Operations!AU51*(AU8+AU9)/Time!AU25,0)</f>
        <v>0.380912816710676</v>
      </c>
      <c r="AV26" s="11" t="n">
        <f aca="false">IF(Time!AV25&gt;0,Inputs!$F$176/100*Operations!AV51*(AV8+AV9)/Time!AV25,0)</f>
        <v>0.394727824003329</v>
      </c>
      <c r="AW26" s="11" t="n">
        <f aca="false">IF(Time!AW25&gt;0,Inputs!$F$176/100*Operations!AW51*(AW8+AW9)/Time!AW25,0)</f>
        <v>0.396617665552094</v>
      </c>
      <c r="AX26" s="11" t="n">
        <f aca="false">IF(Time!AX25&gt;0,Inputs!$F$176/100*Operations!AX51*(AX8+AX9)/Time!AX25,0)</f>
        <v>0.39796874731294</v>
      </c>
      <c r="AY26" s="11" t="n">
        <f aca="false">IF(Time!AY25&gt;0,Inputs!$F$176/100*Operations!AY51*(AY8+AY9)/Time!AY25,0)</f>
        <v>0.400627293582766</v>
      </c>
      <c r="AZ26" s="11" t="n">
        <f aca="false">IF(Time!AZ25&gt;0,Inputs!$F$176/100*Operations!AZ51*(AZ8+AZ9)/Time!AZ25,0)</f>
        <v>0.403102182341037</v>
      </c>
      <c r="BA26" s="11" t="n">
        <f aca="false">IF(Time!BA25&gt;0,Inputs!$F$176/100*Operations!BA51*(BA8+BA9)/Time!BA25,0)</f>
        <v>0.403579860516262</v>
      </c>
      <c r="BB26" s="11" t="n">
        <f aca="false">IF(Time!BB25&gt;0,Inputs!$F$176/100*Operations!BB51*(BB8+BB9)/Time!BB25,0)</f>
        <v>0.396095581710646</v>
      </c>
      <c r="BC26" s="11" t="n">
        <f aca="false">IF(Time!BC25&gt;0,Inputs!$F$176/100*Operations!BC51*(BC8+BC9)/Time!BC25,0)</f>
        <v>0.403077772057009</v>
      </c>
      <c r="BD26" s="11" t="n">
        <f aca="false">IF(Time!BD25&gt;0,Inputs!$F$176/100*Operations!BD51*(BD8+BD9)/Time!BD25,0)</f>
        <v>0.411841771418645</v>
      </c>
      <c r="BE26" s="11" t="n">
        <f aca="false">IF(Time!BE25&gt;0,Inputs!$F$176/100*Operations!BE51*(BE8+BE9)/Time!BE25,0)</f>
        <v>0.413900884766838</v>
      </c>
      <c r="BF26" s="11" t="n">
        <f aca="false">IF(Time!BF25&gt;0,Inputs!$F$176/100*Operations!BF51*(BF8+BF9)/Time!BF25,0)</f>
        <v>0.415393872451042</v>
      </c>
      <c r="BG26" s="11" t="n">
        <f aca="false">IF(Time!BG25&gt;0,Inputs!$F$176/100*Operations!BG51*(BG8+BG9)/Time!BG25,0)</f>
        <v>0.418268751949954</v>
      </c>
      <c r="BH26" s="11" t="n">
        <f aca="false">IF(Time!BH25&gt;0,Inputs!$F$176/100*Operations!BH51*(BH8+BH9)/Time!BH25,0)</f>
        <v>0.420962513684465</v>
      </c>
      <c r="BI26" s="11" t="n">
        <f aca="false">IF(Time!BI25&gt;0,Inputs!$F$176/100*Operations!BI51*(BI8+BI9)/Time!BI25,0)</f>
        <v>0.418563416937976</v>
      </c>
      <c r="BJ26" s="11" t="n">
        <f aca="false">IF(Time!BJ25&gt;0,Inputs!$F$176/100*Operations!BJ51*(BJ8+BJ9)/Time!BJ25,0)</f>
        <v>0.404840056515075</v>
      </c>
      <c r="BK26" s="11" t="n">
        <f aca="false">IF(Time!BK25&gt;0,Inputs!$F$176/100*Operations!BK51*(BK8+BK9)/Time!BK25,0)</f>
        <v>0.415188695477268</v>
      </c>
      <c r="BL26" s="11" t="n">
        <f aca="false">IF(Time!BL25&gt;0,Inputs!$F$176/100*Operations!BL51*(BL8+BL9)/Time!BL25,0)</f>
        <v>0.430481025447013</v>
      </c>
      <c r="BM26" s="11" t="n">
        <f aca="false">IF(Time!BM25&gt;0,Inputs!$F$176/100*Operations!BM51*(BM8+BM9)/Time!BM25,0)</f>
        <v>0.288621793966755</v>
      </c>
      <c r="BN26" s="11" t="n">
        <f aca="false">IF(Time!BN25&gt;0,Inputs!$F$176/100*Operations!BN51*(BN8+BN9)/Time!BN25,0)</f>
        <v>0</v>
      </c>
    </row>
    <row r="27" customFormat="false" ht="15" hidden="false" customHeight="false" outlineLevel="0" collapsed="false">
      <c r="D27" s="0" t="s">
        <v>562</v>
      </c>
      <c r="E27" s="0" t="s">
        <v>149</v>
      </c>
      <c r="G27" s="11" t="n">
        <f aca="false">SUM(J27:BN27)</f>
        <v>315.382200080764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0.117600419909946</v>
      </c>
      <c r="Z27" s="11" t="n">
        <f aca="false">MAX(Z25,Z26)</f>
        <v>0.353793142668634</v>
      </c>
      <c r="AA27" s="11" t="n">
        <f aca="false">MAX(AA25,AA26)</f>
        <v>0.355902978806001</v>
      </c>
      <c r="AB27" s="11" t="n">
        <f aca="false">MAX(AB25,AB26)</f>
        <v>0.357822228365636</v>
      </c>
      <c r="AC27" s="11" t="n">
        <f aca="false">MAX(AC25,AC26)</f>
        <v>0.35552421671826</v>
      </c>
      <c r="AD27" s="11" t="n">
        <f aca="false">MAX(AD25,AD26)</f>
        <v>0.343555734814318</v>
      </c>
      <c r="AE27" s="11" t="n">
        <f aca="false">MAX(AE25,AE26)</f>
        <v>0.352018016197102</v>
      </c>
      <c r="AF27" s="11" t="n">
        <f aca="false">MAX(AF25,AF26)</f>
        <v>0.364586945723495</v>
      </c>
      <c r="AG27" s="11" t="n">
        <f aca="false">MAX(AG25,AG26)</f>
        <v>0.366178837705143</v>
      </c>
      <c r="AH27" s="11" t="n">
        <f aca="false">MAX(AH25,AH26)</f>
        <v>0.367280294723665</v>
      </c>
      <c r="AI27" s="11" t="n">
        <f aca="false">MAX(AI25,AI26)</f>
        <v>0.369557700845569</v>
      </c>
      <c r="AJ27" s="11" t="n">
        <f aca="false">MAX(AJ25,AJ26)</f>
        <v>0.3716467170442</v>
      </c>
      <c r="AK27" s="11" t="n">
        <f aca="false">MAX(AK25,AK26)</f>
        <v>0.371951552228156</v>
      </c>
      <c r="AL27" s="11" t="n">
        <f aca="false">MAX(AL25,AL26)</f>
        <v>0.364887875223189</v>
      </c>
      <c r="AM27" s="11" t="n">
        <f aca="false">MAX(AM25,AM26)</f>
        <v>0.371151096865272</v>
      </c>
      <c r="AN27" s="11" t="n">
        <f aca="false">MAX(AN25,AN26)</f>
        <v>8.62758072762197</v>
      </c>
      <c r="AO27" s="11" t="n">
        <f aca="false">MAX(AO25,AO26)</f>
        <v>9.6137227960662</v>
      </c>
      <c r="AP27" s="11" t="n">
        <f aca="false">MAX(AP25,AP26)</f>
        <v>10.2449701638332</v>
      </c>
      <c r="AQ27" s="11" t="n">
        <f aca="false">MAX(AQ25,AQ26)</f>
        <v>10.3030220991505</v>
      </c>
      <c r="AR27" s="11" t="n">
        <f aca="false">MAX(AR25,AR26)</f>
        <v>10.3332288309673</v>
      </c>
      <c r="AS27" s="11" t="n">
        <f aca="false">MAX(AS25,AS26)</f>
        <v>10.2103461507514</v>
      </c>
      <c r="AT27" s="11" t="n">
        <f aca="false">MAX(AT25,AT26)</f>
        <v>5.18697404472979</v>
      </c>
      <c r="AU27" s="11" t="n">
        <f aca="false">MAX(AU25,AU26)</f>
        <v>9.8767881668649</v>
      </c>
      <c r="AV27" s="11" t="n">
        <f aca="false">MAX(AV25,AV26)</f>
        <v>10.5079387792716</v>
      </c>
      <c r="AW27" s="11" t="n">
        <f aca="false">MAX(AW25,AW26)</f>
        <v>10.5591150788797</v>
      </c>
      <c r="AX27" s="11" t="n">
        <f aca="false">MAX(AX25,AX26)</f>
        <v>10.5957399747576</v>
      </c>
      <c r="AY27" s="11" t="n">
        <f aca="false">MAX(AY25,AY26)</f>
        <v>10.6571614561728</v>
      </c>
      <c r="AZ27" s="11" t="n">
        <f aca="false">MAX(AZ25,AZ26)</f>
        <v>10.6897722093526</v>
      </c>
      <c r="BA27" s="11" t="n">
        <f aca="false">MAX(BA25,BA26)</f>
        <v>10.6992686434482</v>
      </c>
      <c r="BB27" s="11" t="n">
        <f aca="false">MAX(BB25,BB26)</f>
        <v>9.16986602435382</v>
      </c>
      <c r="BC27" s="11" t="n">
        <f aca="false">MAX(BC25,BC26)</f>
        <v>12.4772730310385</v>
      </c>
      <c r="BD27" s="11" t="n">
        <f aca="false">MAX(BD25,BD26)</f>
        <v>16.6521605065617</v>
      </c>
      <c r="BE27" s="11" t="n">
        <f aca="false">MAX(BE25,BE26)</f>
        <v>16.7075296415121</v>
      </c>
      <c r="BF27" s="11" t="n">
        <f aca="false">MAX(BF25,BF26)</f>
        <v>16.7488783738154</v>
      </c>
      <c r="BG27" s="11" t="n">
        <f aca="false">MAX(BG25,BG26)</f>
        <v>16.8139294427195</v>
      </c>
      <c r="BH27" s="11" t="n">
        <f aca="false">MAX(BH25,BH26)</f>
        <v>16.84913571458</v>
      </c>
      <c r="BI27" s="11" t="n">
        <f aca="false">MAX(BI25,BI26)</f>
        <v>16.7262293399213</v>
      </c>
      <c r="BJ27" s="11" t="n">
        <f aca="false">MAX(BJ25,BJ26)</f>
        <v>10.8374768449593</v>
      </c>
      <c r="BK27" s="11" t="n">
        <f aca="false">MAX(BK25,BK26)</f>
        <v>16.3728702286135</v>
      </c>
      <c r="BL27" s="11" t="n">
        <f aca="false">MAX(BL25,BL26)</f>
        <v>17.0541543215552</v>
      </c>
      <c r="BM27" s="11" t="n">
        <f aca="false">MAX(BM25,BM26)</f>
        <v>5.68360973142705</v>
      </c>
      <c r="BN27" s="11" t="n">
        <f aca="false">MAX(BN25,BN26)</f>
        <v>0</v>
      </c>
    </row>
    <row r="28" customFormat="false" ht="15" hidden="false" customHeight="false" outlineLevel="0" collapsed="false">
      <c r="D28" s="0" t="s">
        <v>563</v>
      </c>
      <c r="E28" s="0" t="s">
        <v>149</v>
      </c>
      <c r="G28" s="11" t="n">
        <f aca="false">SUM(J28:BN28)</f>
        <v>3.74962557912146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1.08849879485012</v>
      </c>
      <c r="P28" s="11" t="n">
        <f aca="false">P13-P15</f>
        <v>2.01864307476061</v>
      </c>
      <c r="Q28" s="11" t="n">
        <f aca="false">Q13-Q15</f>
        <v>0.642483709510733</v>
      </c>
      <c r="R28" s="11" t="n">
        <f aca="false">R13-R15</f>
        <v>0</v>
      </c>
      <c r="S28" s="11" t="n">
        <f aca="false">S13-S15</f>
        <v>0</v>
      </c>
      <c r="T28" s="11" t="n">
        <f aca="false">T13-T15</f>
        <v>0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376</v>
      </c>
      <c r="J5" s="3" t="s">
        <v>377</v>
      </c>
      <c r="K5" s="3" t="s">
        <v>378</v>
      </c>
      <c r="L5" s="3" t="s">
        <v>379</v>
      </c>
      <c r="M5" s="3" t="s">
        <v>380</v>
      </c>
      <c r="N5" s="3" t="s">
        <v>381</v>
      </c>
      <c r="O5" s="3" t="s">
        <v>382</v>
      </c>
      <c r="P5" s="3" t="s">
        <v>383</v>
      </c>
      <c r="Q5" s="3" t="s">
        <v>384</v>
      </c>
      <c r="R5" s="3" t="s">
        <v>385</v>
      </c>
      <c r="S5" s="3" t="s">
        <v>386</v>
      </c>
      <c r="T5" s="3" t="s">
        <v>387</v>
      </c>
      <c r="U5" s="3" t="s">
        <v>388</v>
      </c>
      <c r="V5" s="3" t="s">
        <v>389</v>
      </c>
      <c r="W5" s="3" t="s">
        <v>390</v>
      </c>
      <c r="X5" s="3" t="s">
        <v>391</v>
      </c>
      <c r="Y5" s="3" t="s">
        <v>392</v>
      </c>
      <c r="Z5" s="3" t="s">
        <v>393</v>
      </c>
      <c r="AA5" s="3" t="s">
        <v>394</v>
      </c>
      <c r="AB5" s="3" t="s">
        <v>395</v>
      </c>
      <c r="AC5" s="3" t="s">
        <v>396</v>
      </c>
      <c r="AD5" s="3" t="s">
        <v>397</v>
      </c>
      <c r="AE5" s="3" t="s">
        <v>398</v>
      </c>
      <c r="AF5" s="3" t="s">
        <v>399</v>
      </c>
      <c r="AG5" s="3" t="s">
        <v>400</v>
      </c>
      <c r="AH5" s="3" t="s">
        <v>401</v>
      </c>
      <c r="AI5" s="3" t="s">
        <v>402</v>
      </c>
      <c r="AJ5" s="3" t="s">
        <v>403</v>
      </c>
      <c r="AK5" s="3" t="s">
        <v>404</v>
      </c>
      <c r="AL5" s="3" t="s">
        <v>405</v>
      </c>
      <c r="AM5" s="3" t="s">
        <v>406</v>
      </c>
      <c r="AN5" s="3" t="s">
        <v>407</v>
      </c>
      <c r="AO5" s="3" t="s">
        <v>408</v>
      </c>
      <c r="AP5" s="3" t="s">
        <v>409</v>
      </c>
      <c r="AQ5" s="3" t="s">
        <v>410</v>
      </c>
      <c r="AR5" s="3" t="s">
        <v>411</v>
      </c>
      <c r="AS5" s="3" t="s">
        <v>412</v>
      </c>
      <c r="AT5" s="3" t="s">
        <v>413</v>
      </c>
      <c r="AU5" s="3" t="s">
        <v>414</v>
      </c>
      <c r="AV5" s="3" t="s">
        <v>415</v>
      </c>
      <c r="AW5" s="3" t="s">
        <v>416</v>
      </c>
      <c r="AX5" s="3" t="s">
        <v>417</v>
      </c>
      <c r="AY5" s="3" t="s">
        <v>418</v>
      </c>
      <c r="AZ5" s="3" t="s">
        <v>419</v>
      </c>
      <c r="BA5" s="3" t="s">
        <v>420</v>
      </c>
      <c r="BB5" s="3" t="s">
        <v>421</v>
      </c>
      <c r="BC5" s="3" t="s">
        <v>422</v>
      </c>
      <c r="BD5" s="3" t="s">
        <v>423</v>
      </c>
      <c r="BE5" s="3" t="s">
        <v>424</v>
      </c>
      <c r="BF5" s="3" t="s">
        <v>425</v>
      </c>
      <c r="BG5" s="3" t="s">
        <v>426</v>
      </c>
      <c r="BH5" s="3" t="s">
        <v>427</v>
      </c>
      <c r="BI5" s="3" t="s">
        <v>428</v>
      </c>
      <c r="BJ5" s="3" t="s">
        <v>429</v>
      </c>
    </row>
    <row r="7" customFormat="false" ht="15" hidden="false" customHeight="false" outlineLevel="0" collapsed="false">
      <c r="B7" s="2" t="s">
        <v>565</v>
      </c>
    </row>
    <row r="8" customFormat="false" ht="15" hidden="false" customHeight="false" outlineLevel="0" collapsed="false">
      <c r="D8" s="0" t="s">
        <v>566</v>
      </c>
      <c r="E8" s="0" t="s">
        <v>109</v>
      </c>
      <c r="F8" s="10" t="n">
        <f aca="false">Inputs!$F$113/(Inputs!$F$113+Inputs!$F$114)</f>
        <v>0.740572531284416</v>
      </c>
    </row>
    <row r="9" customFormat="false" ht="15" hidden="false" customHeight="false" outlineLevel="0" collapsed="false">
      <c r="D9" s="0" t="s">
        <v>567</v>
      </c>
      <c r="E9" s="0" t="s">
        <v>109</v>
      </c>
      <c r="F9" s="10" t="n">
        <f aca="false">IF(Inputs!$F$51=2,Funding!$F$8,Inputs!$F$105)</f>
        <v>0.75</v>
      </c>
    </row>
    <row r="10" customFormat="false" ht="15" hidden="false" customHeight="false" outlineLevel="0" collapsed="false">
      <c r="D10" s="0" t="s">
        <v>568</v>
      </c>
      <c r="E10" s="0" t="s">
        <v>99</v>
      </c>
      <c r="F10" s="10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569</v>
      </c>
      <c r="E11" s="0" t="s">
        <v>109</v>
      </c>
      <c r="F11" s="10" t="n">
        <f aca="false">INDEX(Debt!$J$17:$BN$17,1,Time!$F$12)/INDEX(Debt!$J$18:$BN$18,1,Time!$F$12)</f>
        <v>0.024460432114308</v>
      </c>
    </row>
    <row r="12" customFormat="false" ht="15" hidden="false" customHeight="false" outlineLevel="0" collapsed="false">
      <c r="D12" s="0" t="s">
        <v>570</v>
      </c>
      <c r="E12" s="0" t="s">
        <v>99</v>
      </c>
      <c r="F12" s="10" t="n">
        <f aca="false">$F$11+(INDEX(Operations!$J$9:$BN$9,1,Time!$F$12)+Inputs!$F$79)/100*INDEX(Time!$J$20:$BN$20,1,Time!$F$12)/360*1</f>
        <v>0.0471537654476414</v>
      </c>
    </row>
    <row r="13" customFormat="false" ht="15" hidden="false" customHeight="false" outlineLevel="0" collapsed="false">
      <c r="D13" s="0" t="s">
        <v>571</v>
      </c>
      <c r="E13" s="0" t="s">
        <v>99</v>
      </c>
      <c r="F13" s="10" t="n">
        <f aca="false">$F$11+(INDEX(Operations!$J$9:$BN$9,1,Time!$F$12)+Inputs!$F$80)/100*INDEX(Time!$J$20:$BN$20,1,Time!$F$12)/360*1</f>
        <v>0.0589093210031969</v>
      </c>
    </row>
    <row r="14" customFormat="false" ht="15" hidden="false" customHeight="false" outlineLevel="0" collapsed="false">
      <c r="D14" s="0" t="s">
        <v>572</v>
      </c>
      <c r="E14" s="0" t="s">
        <v>99</v>
      </c>
      <c r="F14" s="10" t="n">
        <f aca="false">$F$11+(INDEX(Operations!$J$9:$BN$9,1,Time!$F$12)+Inputs!$F$81)/100*INDEX(Time!$J$20:$BN$20,1,Time!$F$12)/360*1</f>
        <v>0.0576315432254191</v>
      </c>
    </row>
    <row r="15" customFormat="false" ht="15" hidden="false" customHeight="false" outlineLevel="0" collapsed="false">
      <c r="D15" s="0" t="s">
        <v>573</v>
      </c>
      <c r="E15" s="0" t="s">
        <v>99</v>
      </c>
      <c r="F15" s="10" t="n">
        <f aca="false">$F$11+(INDEX(Operations!$J$9:$BN$9,1,Time!$F$12)+INDEX(Debt!$J$8:$BN$8,1,Time!$F$12))/100*INDEX(Time!$J$20:$BN$20,1,Time!$F$12)/360*(1/(1-Inputs!$F$93/100))+(Inputs!$F$95/100*Inputs!$F$96/100)*INDEX(Time!$J$20:$BN$20,1,Time!$F$12)/365</f>
        <v>0.0705100651263155</v>
      </c>
    </row>
    <row r="16" customFormat="false" ht="15" hidden="false" customHeight="false" outlineLevel="0" collapsed="false">
      <c r="D16" s="0" t="s">
        <v>574</v>
      </c>
      <c r="E16" s="0" t="s">
        <v>99</v>
      </c>
      <c r="F16" s="10" t="n">
        <f aca="false">$F$11+INDEX(Debt!$J$14:$BN$14,1,Time!$F$12)</f>
        <v>0.0641022098920858</v>
      </c>
    </row>
    <row r="17" customFormat="false" ht="15" hidden="false" customHeight="false" outlineLevel="0" collapsed="false">
      <c r="D17" s="0" t="s">
        <v>575</v>
      </c>
      <c r="E17" s="0" t="s">
        <v>149</v>
      </c>
      <c r="F17" s="10" t="n">
        <f aca="false">INDEX(Inputs!$J$225:$BN$225,1,Time!$F$12)*(Inputs!$F$97/100*0.5-INDEX(Operations!$J$9:$BN$9,1,Time!$F$12)/100*INDEX(Time!$J$20:$BN$20,1,Time!$F$12)/360)</f>
        <v>-0.536156725561862</v>
      </c>
    </row>
    <row r="18" customFormat="false" ht="15" hidden="false" customHeight="false" outlineLevel="0" collapsed="false">
      <c r="B18" s="2" t="s">
        <v>576</v>
      </c>
    </row>
    <row r="19" customFormat="false" ht="15" hidden="false" customHeight="false" outlineLevel="0" collapsed="false">
      <c r="D19" s="0" t="s">
        <v>577</v>
      </c>
      <c r="E19" s="0" t="s">
        <v>99</v>
      </c>
      <c r="J19" s="14" t="n">
        <f aca="false">Inputs!$F$75*(Construction!J17+Inputs!$F$79)/100*Construction!J11/360*1+Inputs!$F$76*(Construction!J17+Inputs!$F$80)/100*Construction!J11/360*1+Inputs!$F$77*(Construction!J17+Inputs!$F$81)/100*Construction!J11/360*1+Inputs!$F$78*(Construction!J17+Inputs!$F$82)/100*Construction!J11/360*(1/(1-Inputs!$F$93/100))+Inputs!$F$78*(Inputs!$F$95/100*Inputs!$F$96/100)*Construction!J11/365</f>
        <v>0.00541933685100626</v>
      </c>
      <c r="K19" s="14" t="n">
        <f aca="false">Inputs!$F$75*(Construction!K17+Inputs!$F$79)/100*Construction!K11/360*1+Inputs!$F$76*(Construction!K17+Inputs!$F$80)/100*Construction!K11/360*1+Inputs!$F$77*(Construction!K17+Inputs!$F$81)/100*Construction!K11/360*1+Inputs!$F$78*(Construction!K17+Inputs!$F$82)/100*Construction!K11/360*(1/(1-Inputs!$F$93/100))+Inputs!$F$78*(Inputs!$F$95/100*Inputs!$F$96/100)*Construction!K11/365</f>
        <v>0.00524451953323186</v>
      </c>
      <c r="L19" s="14" t="n">
        <f aca="false">Inputs!$F$75*(Construction!L17+Inputs!$F$79)/100*Construction!L11/360*1+Inputs!$F$76*(Construction!L17+Inputs!$F$80)/100*Construction!L11/360*1+Inputs!$F$77*(Construction!L17+Inputs!$F$81)/100*Construction!L11/360*1+Inputs!$F$78*(Construction!L17+Inputs!$F$82)/100*Construction!L11/360*(1/(1-Inputs!$F$93/100))+Inputs!$F$78*(Inputs!$F$95/100*Inputs!$F$96/100)*Construction!L11/365</f>
        <v>0.00541933685100626</v>
      </c>
      <c r="M19" s="14" t="n">
        <f aca="false">Inputs!$F$75*(Construction!M17+Inputs!$F$79)/100*Construction!M11/360*1+Inputs!$F$76*(Construction!M17+Inputs!$F$80)/100*Construction!M11/360*1+Inputs!$F$77*(Construction!M17+Inputs!$F$81)/100*Construction!M11/360*1+Inputs!$F$78*(Construction!M17+Inputs!$F$82)/100*Construction!M11/360*(1/(1-Inputs!$F$93/100))+Inputs!$F$78*(Inputs!$F$95/100*Inputs!$F$96/100)*Construction!M11/365</f>
        <v>0.00524451953323186</v>
      </c>
      <c r="N19" s="14" t="n">
        <f aca="false">Inputs!$F$75*(Construction!N17+Inputs!$F$79)/100*Construction!N11/360*1+Inputs!$F$76*(Construction!N17+Inputs!$F$80)/100*Construction!N11/360*1+Inputs!$F$77*(Construction!N17+Inputs!$F$81)/100*Construction!N11/360*1+Inputs!$F$78*(Construction!N17+Inputs!$F$82)/100*Construction!N11/360*(1/(1-Inputs!$F$93/100))+Inputs!$F$78*(Inputs!$F$95/100*Inputs!$F$96/100)*Construction!N11/365</f>
        <v>0.00541933685100626</v>
      </c>
      <c r="O19" s="14" t="n">
        <f aca="false">Inputs!$F$75*(Construction!O17+Inputs!$F$79)/100*Construction!O11/360*1+Inputs!$F$76*(Construction!O17+Inputs!$F$80)/100*Construction!O11/360*1+Inputs!$F$77*(Construction!O17+Inputs!$F$81)/100*Construction!O11/360*1+Inputs!$F$78*(Construction!O17+Inputs!$F$82)/100*Construction!O11/360*(1/(1-Inputs!$F$93/100))+Inputs!$F$78*(Inputs!$F$95/100*Inputs!$F$96/100)*Construction!O11/365</f>
        <v>0.00566165351767292</v>
      </c>
      <c r="P19" s="14" t="n">
        <f aca="false">Inputs!$F$75*(Construction!P17+Inputs!$F$79)/100*Construction!P11/360*1+Inputs!$F$76*(Construction!P17+Inputs!$F$80)/100*Construction!P11/360*1+Inputs!$F$77*(Construction!P17+Inputs!$F$81)/100*Construction!P11/360*1+Inputs!$F$78*(Construction!P17+Inputs!$F$82)/100*Construction!P11/360*(1/(1-Inputs!$F$93/100))+Inputs!$F$78*(Inputs!$F$95/100*Inputs!$F$96/100)*Construction!P11/365</f>
        <v>0.00511375156434974</v>
      </c>
      <c r="Q19" s="14" t="n">
        <f aca="false">Inputs!$F$75*(Construction!Q17+Inputs!$F$79)/100*Construction!Q11/360*1+Inputs!$F$76*(Construction!Q17+Inputs!$F$80)/100*Construction!Q11/360*1+Inputs!$F$77*(Construction!Q17+Inputs!$F$81)/100*Construction!Q11/360*1+Inputs!$F$78*(Construction!Q17+Inputs!$F$82)/100*Construction!Q11/360*(1/(1-Inputs!$F$93/100))+Inputs!$F$78*(Inputs!$F$95/100*Inputs!$F$96/100)*Construction!Q11/365</f>
        <v>0.00566165351767292</v>
      </c>
      <c r="R19" s="14" t="n">
        <f aca="false">Inputs!$F$75*(Construction!R17+Inputs!$F$79)/100*Construction!R11/360*1+Inputs!$F$76*(Construction!R17+Inputs!$F$80)/100*Construction!R11/360*1+Inputs!$F$77*(Construction!R17+Inputs!$F$81)/100*Construction!R11/360*1+Inputs!$F$78*(Construction!R17+Inputs!$F$82)/100*Construction!R11/360*(1/(1-Inputs!$F$93/100))+Inputs!$F$78*(Inputs!$F$95/100*Inputs!$F$96/100)*Construction!R11/365</f>
        <v>0.00547901953323186</v>
      </c>
      <c r="S19" s="14" t="n">
        <f aca="false">Inputs!$F$75*(Construction!S17+Inputs!$F$79)/100*Construction!S11/360*1+Inputs!$F$76*(Construction!S17+Inputs!$F$80)/100*Construction!S11/360*1+Inputs!$F$77*(Construction!S17+Inputs!$F$81)/100*Construction!S11/360*1+Inputs!$F$78*(Construction!S17+Inputs!$F$82)/100*Construction!S11/360*(1/(1-Inputs!$F$93/100))+Inputs!$F$78*(Inputs!$F$95/100*Inputs!$F$96/100)*Construction!S11/365</f>
        <v>0.00566165351767292</v>
      </c>
      <c r="T19" s="14" t="n">
        <f aca="false">Inputs!$F$75*(Construction!T17+Inputs!$F$79)/100*Construction!T11/360*1+Inputs!$F$76*(Construction!T17+Inputs!$F$80)/100*Construction!T11/360*1+Inputs!$F$77*(Construction!T17+Inputs!$F$81)/100*Construction!T11/360*1+Inputs!$F$78*(Construction!T17+Inputs!$F$82)/100*Construction!T11/360*(1/(1-Inputs!$F$93/100))+Inputs!$F$78*(Inputs!$F$95/100*Inputs!$F$96/100)*Construction!T11/365</f>
        <v>0.00547901953323186</v>
      </c>
      <c r="U19" s="14" t="n">
        <f aca="false">Inputs!$F$75*(Construction!U17+Inputs!$F$79)/100*Construction!U11/360*1+Inputs!$F$76*(Construction!U17+Inputs!$F$80)/100*Construction!U11/360*1+Inputs!$F$77*(Construction!U17+Inputs!$F$81)/100*Construction!U11/360*1+Inputs!$F$78*(Construction!U17+Inputs!$F$82)/100*Construction!U11/360*(1/(1-Inputs!$F$93/100))+Inputs!$F$78*(Inputs!$F$95/100*Inputs!$F$96/100)*Construction!U11/365</f>
        <v>0.00579627388804329</v>
      </c>
      <c r="V19" s="14" t="n">
        <f aca="false">Inputs!$F$75*(Construction!V17+Inputs!$F$79)/100*Construction!V11/360*1+Inputs!$F$76*(Construction!V17+Inputs!$F$80)/100*Construction!V11/360*1+Inputs!$F$77*(Construction!V17+Inputs!$F$81)/100*Construction!V11/360*1+Inputs!$F$78*(Construction!V17+Inputs!$F$82)/100*Construction!V11/360*(1/(1-Inputs!$F$93/100))+Inputs!$F$78*(Inputs!$F$95/100*Inputs!$F$96/100)*Construction!V11/365</f>
        <v>0.00579627388804329</v>
      </c>
      <c r="W19" s="14" t="n">
        <f aca="false">Inputs!$F$75*(Construction!W17+Inputs!$F$79)/100*Construction!W11/360*1+Inputs!$F$76*(Construction!W17+Inputs!$F$80)/100*Construction!W11/360*1+Inputs!$F$77*(Construction!W17+Inputs!$F$81)/100*Construction!W11/360*1+Inputs!$F$78*(Construction!W17+Inputs!$F$82)/100*Construction!W11/360*(1/(1-Inputs!$F$93/100))+Inputs!$F$78*(Inputs!$F$95/100*Inputs!$F$96/100)*Construction!W11/365</f>
        <v>0.00560929731100964</v>
      </c>
      <c r="X19" s="14" t="n">
        <f aca="false">Inputs!$F$75*(Construction!X17+Inputs!$F$79)/100*Construction!X11/360*1+Inputs!$F$76*(Construction!X17+Inputs!$F$80)/100*Construction!X11/360*1+Inputs!$F$77*(Construction!X17+Inputs!$F$81)/100*Construction!X11/360*1+Inputs!$F$78*(Construction!X17+Inputs!$F$82)/100*Construction!X11/360*(1/(1-Inputs!$F$93/100))+Inputs!$F$78*(Inputs!$F$95/100*Inputs!$F$96/100)*Construction!X11/365</f>
        <v>0.00579627388804329</v>
      </c>
      <c r="Y19" s="14" t="n">
        <f aca="false">Inputs!$F$75*(Construction!Y17+Inputs!$F$79)/100*Construction!Y11/360*1+Inputs!$F$76*(Construction!Y17+Inputs!$F$80)/100*Construction!Y11/360*1+Inputs!$F$77*(Construction!Y17+Inputs!$F$81)/100*Construction!Y11/360*1+Inputs!$F$78*(Construction!Y17+Inputs!$F$82)/100*Construction!Y11/360*(1/(1-Inputs!$F$93/100))+Inputs!$F$78*(Inputs!$F$95/100*Inputs!$F$96/100)*Construction!Y11/365</f>
        <v>0.00560929731100964</v>
      </c>
      <c r="Z19" s="14" t="n">
        <f aca="false">Inputs!$F$75*(Construction!Z17+Inputs!$F$79)/100*Construction!Z11/360*1+Inputs!$F$76*(Construction!Z17+Inputs!$F$80)/100*Construction!Z11/360*1+Inputs!$F$77*(Construction!Z17+Inputs!$F$81)/100*Construction!Z11/360*1+Inputs!$F$78*(Construction!Z17+Inputs!$F$82)/100*Construction!Z11/360*(1/(1-Inputs!$F$93/100))+Inputs!$F$78*(Inputs!$F$95/100*Inputs!$F$96/100)*Construction!Z11/365</f>
        <v>0.00579627388804329</v>
      </c>
      <c r="AA19" s="14" t="n">
        <f aca="false">Inputs!$F$75*(Construction!AA17+Inputs!$F$79)/100*Construction!AA11/360*1+Inputs!$F$76*(Construction!AA17+Inputs!$F$80)/100*Construction!AA11/360*1+Inputs!$F$77*(Construction!AA17+Inputs!$F$81)/100*Construction!AA11/360*1+Inputs!$F$78*(Construction!AA17+Inputs!$F$82)/100*Construction!AA11/360*(1/(1-Inputs!$F$93/100))+Inputs!$F$78*(Inputs!$F$95/100*Inputs!$F$96/100)*Construction!AA11/365</f>
        <v>0.00586807141890749</v>
      </c>
      <c r="AB19" s="14" t="n">
        <f aca="false">Inputs!$F$75*(Construction!AB17+Inputs!$F$79)/100*Construction!AB11/360*1+Inputs!$F$76*(Construction!AB17+Inputs!$F$80)/100*Construction!AB11/360*1+Inputs!$F$77*(Construction!AB17+Inputs!$F$81)/100*Construction!AB11/360*1+Inputs!$F$78*(Construction!AB17+Inputs!$F$82)/100*Construction!AB11/360*(1/(1-Inputs!$F$93/100))+Inputs!$F$78*(Inputs!$F$95/100*Inputs!$F$96/100)*Construction!AB11/365</f>
        <v>0.00548948616607475</v>
      </c>
      <c r="AC19" s="14" t="n">
        <f aca="false">Inputs!$F$75*(Construction!AC17+Inputs!$F$79)/100*Construction!AC11/360*1+Inputs!$F$76*(Construction!AC17+Inputs!$F$80)/100*Construction!AC11/360*1+Inputs!$F$77*(Construction!AC17+Inputs!$F$81)/100*Construction!AC11/360*1+Inputs!$F$78*(Construction!AC17+Inputs!$F$82)/100*Construction!AC11/360*(1/(1-Inputs!$F$93/100))+Inputs!$F$78*(Inputs!$F$95/100*Inputs!$F$96/100)*Construction!AC11/365</f>
        <v>0.00586807141890749</v>
      </c>
      <c r="AD19" s="14" t="n">
        <f aca="false">Inputs!$F$75*(Construction!AD17+Inputs!$F$79)/100*Construction!AD11/360*1+Inputs!$F$76*(Construction!AD17+Inputs!$F$80)/100*Construction!AD11/360*1+Inputs!$F$77*(Construction!AD17+Inputs!$F$81)/100*Construction!AD11/360*1+Inputs!$F$78*(Construction!AD17+Inputs!$F$82)/100*Construction!AD11/360*(1/(1-Inputs!$F$93/100))+Inputs!$F$78*(Inputs!$F$95/100*Inputs!$F$96/100)*Construction!AD11/365</f>
        <v>0.00567877879249112</v>
      </c>
      <c r="AE19" s="14" t="n">
        <f aca="false">Inputs!$F$75*(Construction!AE17+Inputs!$F$79)/100*Construction!AE11/360*1+Inputs!$F$76*(Construction!AE17+Inputs!$F$80)/100*Construction!AE11/360*1+Inputs!$F$77*(Construction!AE17+Inputs!$F$81)/100*Construction!AE11/360*1+Inputs!$F$78*(Construction!AE17+Inputs!$F$82)/100*Construction!AE11/360*(1/(1-Inputs!$F$93/100))+Inputs!$F$78*(Inputs!$F$95/100*Inputs!$F$96/100)*Construction!AE11/365</f>
        <v>0.00586807141890749</v>
      </c>
      <c r="AF19" s="14" t="n">
        <f aca="false">Inputs!$F$75*(Construction!AF17+Inputs!$F$79)/100*Construction!AF11/360*1+Inputs!$F$76*(Construction!AF17+Inputs!$F$80)/100*Construction!AF11/360*1+Inputs!$F$77*(Construction!AF17+Inputs!$F$81)/100*Construction!AF11/360*1+Inputs!$F$78*(Construction!AF17+Inputs!$F$82)/100*Construction!AF11/360*(1/(1-Inputs!$F$93/100))+Inputs!$F$78*(Inputs!$F$95/100*Inputs!$F$96/100)*Construction!AF11/365</f>
        <v>0.00567877879249112</v>
      </c>
      <c r="AG19" s="14" t="n">
        <f aca="false">Inputs!$F$75*(Construction!AG17+Inputs!$F$79)/100*Construction!AG11/360*1+Inputs!$F$76*(Construction!AG17+Inputs!$F$80)/100*Construction!AG11/360*1+Inputs!$F$77*(Construction!AG17+Inputs!$F$81)/100*Construction!AG11/360*1+Inputs!$F$78*(Construction!AG17+Inputs!$F$82)/100*Construction!AG11/360*(1/(1-Inputs!$F$93/100))+Inputs!$F$78*(Inputs!$F$95/100*Inputs!$F$96/100)*Construction!AG11/365</f>
        <v>0.00590397018433959</v>
      </c>
      <c r="AH19" s="14" t="n">
        <f aca="false">Inputs!$F$75*(Construction!AH17+Inputs!$F$79)/100*Construction!AH11/360*1+Inputs!$F$76*(Construction!AH17+Inputs!$F$80)/100*Construction!AH11/360*1+Inputs!$F$77*(Construction!AH17+Inputs!$F$81)/100*Construction!AH11/360*1+Inputs!$F$78*(Construction!AH17+Inputs!$F$82)/100*Construction!AH11/360*(1/(1-Inputs!$F$93/100))+Inputs!$F$78*(Inputs!$F$95/100*Inputs!$F$96/100)*Construction!AH11/365</f>
        <v>0.00590397018433959</v>
      </c>
      <c r="AI19" s="14" t="n">
        <f aca="false">Inputs!$F$75*(Construction!AI17+Inputs!$F$79)/100*Construction!AI11/360*1+Inputs!$F$76*(Construction!AI17+Inputs!$F$80)/100*Construction!AI11/360*1+Inputs!$F$77*(Construction!AI17+Inputs!$F$81)/100*Construction!AI11/360*1+Inputs!$F$78*(Construction!AI17+Inputs!$F$82)/100*Construction!AI11/360*(1/(1-Inputs!$F$93/100))+Inputs!$F$78*(Inputs!$F$95/100*Inputs!$F$96/100)*Construction!AI11/365</f>
        <v>0.00571351953323186</v>
      </c>
      <c r="AJ19" s="14" t="n">
        <f aca="false">Inputs!$F$75*(Construction!AJ17+Inputs!$F$79)/100*Construction!AJ11/360*1+Inputs!$F$76*(Construction!AJ17+Inputs!$F$80)/100*Construction!AJ11/360*1+Inputs!$F$77*(Construction!AJ17+Inputs!$F$81)/100*Construction!AJ11/360*1+Inputs!$F$78*(Construction!AJ17+Inputs!$F$82)/100*Construction!AJ11/360*(1/(1-Inputs!$F$93/100))+Inputs!$F$78*(Inputs!$F$95/100*Inputs!$F$96/100)*Construction!AJ11/365</f>
        <v>0.00590397018433959</v>
      </c>
      <c r="AK19" s="14" t="n">
        <f aca="false">Inputs!$F$75*(Construction!AK17+Inputs!$F$79)/100*Construction!AK11/360*1+Inputs!$F$76*(Construction!AK17+Inputs!$F$80)/100*Construction!AK11/360*1+Inputs!$F$77*(Construction!AK17+Inputs!$F$81)/100*Construction!AK11/360*1+Inputs!$F$78*(Construction!AK17+Inputs!$F$82)/100*Construction!AK11/360*(1/(1-Inputs!$F$93/100))+Inputs!$F$78*(Inputs!$F$95/100*Inputs!$F$96/100)*Construction!AK11/365</f>
        <v>0.00571351953323186</v>
      </c>
      <c r="AL19" s="14" t="n">
        <f aca="false">Inputs!$F$75*(Construction!AL17+Inputs!$F$79)/100*Construction!AL11/360*1+Inputs!$F$76*(Construction!AL17+Inputs!$F$80)/100*Construction!AL11/360*1+Inputs!$F$77*(Construction!AL17+Inputs!$F$81)/100*Construction!AL11/360*1+Inputs!$F$78*(Construction!AL17+Inputs!$F$82)/100*Construction!AL11/360*(1/(1-Inputs!$F$93/100))+Inputs!$F$78*(Inputs!$F$95/100*Inputs!$F$96/100)*Construction!AL11/365</f>
        <v>0.00590397018433959</v>
      </c>
      <c r="AM19" s="14" t="n">
        <f aca="false">Inputs!$F$75*(Construction!AM17+Inputs!$F$79)/100*Construction!AM11/360*1+Inputs!$F$76*(Construction!AM17+Inputs!$F$80)/100*Construction!AM11/360*1+Inputs!$F$77*(Construction!AM17+Inputs!$F$81)/100*Construction!AM11/360*1+Inputs!$F$78*(Construction!AM17+Inputs!$F$82)/100*Construction!AM11/360*(1/(1-Inputs!$F$93/100))+Inputs!$F$78*(Inputs!$F$95/100*Inputs!$F$96/100)*Construction!AM11/365</f>
        <v>0.00593089425841366</v>
      </c>
      <c r="AN19" s="14" t="n">
        <f aca="false">Inputs!$F$75*(Construction!AN17+Inputs!$F$79)/100*Construction!AN11/360*1+Inputs!$F$76*(Construction!AN17+Inputs!$F$80)/100*Construction!AN11/360*1+Inputs!$F$77*(Construction!AN17+Inputs!$F$81)/100*Construction!AN11/360*1+Inputs!$F$78*(Construction!AN17+Inputs!$F$82)/100*Construction!AN11/360*(1/(1-Inputs!$F$93/100))+Inputs!$F$78*(Inputs!$F$95/100*Inputs!$F$96/100)*Construction!AN11/365</f>
        <v>0.00535693674953492</v>
      </c>
      <c r="AO19" s="14" t="n">
        <f aca="false">Inputs!$F$75*(Construction!AO17+Inputs!$F$79)/100*Construction!AO11/360*1+Inputs!$F$76*(Construction!AO17+Inputs!$F$80)/100*Construction!AO11/360*1+Inputs!$F$77*(Construction!AO17+Inputs!$F$81)/100*Construction!AO11/360*1+Inputs!$F$78*(Construction!AO17+Inputs!$F$82)/100*Construction!AO11/360*(1/(1-Inputs!$F$93/100))+Inputs!$F$78*(Inputs!$F$95/100*Inputs!$F$96/100)*Construction!AO11/365</f>
        <v>0.00593089425841366</v>
      </c>
      <c r="AP19" s="14" t="n">
        <f aca="false">Inputs!$F$75*(Construction!AP17+Inputs!$F$79)/100*Construction!AP11/360*1+Inputs!$F$76*(Construction!AP17+Inputs!$F$80)/100*Construction!AP11/360*1+Inputs!$F$77*(Construction!AP17+Inputs!$F$81)/100*Construction!AP11/360*1+Inputs!$F$78*(Construction!AP17+Inputs!$F$82)/100*Construction!AP11/360*(1/(1-Inputs!$F$93/100))+Inputs!$F$78*(Inputs!$F$95/100*Inputs!$F$96/100)*Construction!AP11/365</f>
        <v>0.00573957508878742</v>
      </c>
      <c r="AQ19" s="14" t="n">
        <f aca="false">Inputs!$F$75*(Construction!AQ17+Inputs!$F$79)/100*Construction!AQ11/360*1+Inputs!$F$76*(Construction!AQ17+Inputs!$F$80)/100*Construction!AQ11/360*1+Inputs!$F$77*(Construction!AQ17+Inputs!$F$81)/100*Construction!AQ11/360*1+Inputs!$F$78*(Construction!AQ17+Inputs!$F$82)/100*Construction!AQ11/360*(1/(1-Inputs!$F$93/100))+Inputs!$F$78*(Inputs!$F$95/100*Inputs!$F$96/100)*Construction!AQ11/365</f>
        <v>0.00593089425841366</v>
      </c>
      <c r="AR19" s="14" t="n">
        <f aca="false">Inputs!$F$75*(Construction!AR17+Inputs!$F$79)/100*Construction!AR11/360*1+Inputs!$F$76*(Construction!AR17+Inputs!$F$80)/100*Construction!AR11/360*1+Inputs!$F$77*(Construction!AR17+Inputs!$F$81)/100*Construction!AR11/360*1+Inputs!$F$78*(Construction!AR17+Inputs!$F$82)/100*Construction!AR11/360*(1/(1-Inputs!$F$93/100))+Inputs!$F$78*(Inputs!$F$95/100*Inputs!$F$96/100)*Construction!AR11/365</f>
        <v>0.00573957508878742</v>
      </c>
      <c r="AS19" s="14" t="n">
        <f aca="false">Inputs!$F$75*(Construction!AS17+Inputs!$F$79)/100*Construction!AS11/360*1+Inputs!$F$76*(Construction!AS17+Inputs!$F$80)/100*Construction!AS11/360*1+Inputs!$F$77*(Construction!AS17+Inputs!$F$81)/100*Construction!AS11/360*1+Inputs!$F$78*(Construction!AS17+Inputs!$F$82)/100*Construction!AS11/360*(1/(1-Inputs!$F$93/100))+Inputs!$F$78*(Inputs!$F$95/100*Inputs!$F$96/100)*Construction!AS11/365</f>
        <v>0.00593089425841366</v>
      </c>
      <c r="AT19" s="14" t="n">
        <f aca="false">Inputs!$F$75*(Construction!AT17+Inputs!$F$79)/100*Construction!AT11/360*1+Inputs!$F$76*(Construction!AT17+Inputs!$F$80)/100*Construction!AT11/360*1+Inputs!$F$77*(Construction!AT17+Inputs!$F$81)/100*Construction!AT11/360*1+Inputs!$F$78*(Construction!AT17+Inputs!$F$82)/100*Construction!AT11/360*(1/(1-Inputs!$F$93/100))+Inputs!$F$78*(Inputs!$F$95/100*Inputs!$F$96/100)*Construction!AT11/365</f>
        <v>0.00593089425841366</v>
      </c>
      <c r="AU19" s="14" t="n">
        <f aca="false">Inputs!$F$75*(Construction!AU17+Inputs!$F$79)/100*Construction!AU11/360*1+Inputs!$F$76*(Construction!AU17+Inputs!$F$80)/100*Construction!AU11/360*1+Inputs!$F$77*(Construction!AU17+Inputs!$F$81)/100*Construction!AU11/360*1+Inputs!$F$78*(Construction!AU17+Inputs!$F$82)/100*Construction!AU11/360*(1/(1-Inputs!$F$93/100))+Inputs!$F$78*(Inputs!$F$95/100*Inputs!$F$96/100)*Construction!AU11/365</f>
        <v>0.00573957508878742</v>
      </c>
      <c r="AV19" s="14" t="n">
        <f aca="false">Inputs!$F$75*(Construction!AV17+Inputs!$F$79)/100*Construction!AV11/360*1+Inputs!$F$76*(Construction!AV17+Inputs!$F$80)/100*Construction!AV11/360*1+Inputs!$F$77*(Construction!AV17+Inputs!$F$81)/100*Construction!AV11/360*1+Inputs!$F$78*(Construction!AV17+Inputs!$F$82)/100*Construction!AV11/360*(1/(1-Inputs!$F$93/100))+Inputs!$F$78*(Inputs!$F$95/100*Inputs!$F$96/100)*Construction!AV11/365</f>
        <v>0.00593089425841366</v>
      </c>
      <c r="AW19" s="14" t="n">
        <f aca="false">Inputs!$F$75*(Construction!AW17+Inputs!$F$79)/100*Construction!AW11/360*1+Inputs!$F$76*(Construction!AW17+Inputs!$F$80)/100*Construction!AW11/360*1+Inputs!$F$77*(Construction!AW17+Inputs!$F$81)/100*Construction!AW11/360*1+Inputs!$F$78*(Construction!AW17+Inputs!$F$82)/100*Construction!AW11/360*(1/(1-Inputs!$F$93/100))+Inputs!$F$78*(Inputs!$F$95/100*Inputs!$F$96/100)*Construction!AW11/365</f>
        <v>0.00573957508878742</v>
      </c>
      <c r="AX19" s="14" t="n">
        <f aca="false">Inputs!$F$75*(Construction!AX17+Inputs!$F$79)/100*Construction!AX11/360*1+Inputs!$F$76*(Construction!AX17+Inputs!$F$80)/100*Construction!AX11/360*1+Inputs!$F$77*(Construction!AX17+Inputs!$F$81)/100*Construction!AX11/360*1+Inputs!$F$78*(Construction!AX17+Inputs!$F$82)/100*Construction!AX11/360*(1/(1-Inputs!$F$93/100))+Inputs!$F$78*(Inputs!$F$95/100*Inputs!$F$96/100)*Construction!AX11/365</f>
        <v>0.00593089425841366</v>
      </c>
      <c r="AY19" s="14" t="n">
        <f aca="false">Inputs!$F$75*(Construction!AY17+Inputs!$F$79)/100*Construction!AY11/360*1+Inputs!$F$76*(Construction!AY17+Inputs!$F$80)/100*Construction!AY11/360*1+Inputs!$F$77*(Construction!AY17+Inputs!$F$81)/100*Construction!AY11/360*1+Inputs!$F$78*(Construction!AY17+Inputs!$F$82)/100*Construction!AY11/360*(1/(1-Inputs!$F$93/100))+Inputs!$F$78*(Inputs!$F$95/100*Inputs!$F$96/100)*Construction!AY11/365</f>
        <v>0.00594884364112971</v>
      </c>
      <c r="AZ19" s="14" t="n">
        <f aca="false">Inputs!$F$75*(Construction!AZ17+Inputs!$F$79)/100*Construction!AZ11/360*1+Inputs!$F$76*(Construction!AZ17+Inputs!$F$80)/100*Construction!AZ11/360*1+Inputs!$F$77*(Construction!AZ17+Inputs!$F$81)/100*Construction!AZ11/360*1+Inputs!$F$78*(Construction!AZ17+Inputs!$F$82)/100*Construction!AZ11/360*(1/(1-Inputs!$F$93/100))+Inputs!$F$78*(Inputs!$F$95/100*Inputs!$F$96/100)*Construction!AZ11/365</f>
        <v>0.00537314909521394</v>
      </c>
      <c r="BA19" s="14" t="n">
        <f aca="false">Inputs!$F$75*(Construction!BA17+Inputs!$F$79)/100*Construction!BA11/360*1+Inputs!$F$76*(Construction!BA17+Inputs!$F$80)/100*Construction!BA11/360*1+Inputs!$F$77*(Construction!BA17+Inputs!$F$81)/100*Construction!BA11/360*1+Inputs!$F$78*(Construction!BA17+Inputs!$F$82)/100*Construction!BA11/360*(1/(1-Inputs!$F$93/100))+Inputs!$F$78*(Inputs!$F$95/100*Inputs!$F$96/100)*Construction!BA11/365</f>
        <v>0.00594884364112971</v>
      </c>
      <c r="BB19" s="14" t="n">
        <f aca="false">Inputs!$F$75*(Construction!BB17+Inputs!$F$79)/100*Construction!BB11/360*1+Inputs!$F$76*(Construction!BB17+Inputs!$F$80)/100*Construction!BB11/360*1+Inputs!$F$77*(Construction!BB17+Inputs!$F$81)/100*Construction!BB11/360*1+Inputs!$F$78*(Construction!BB17+Inputs!$F$82)/100*Construction!BB11/360*(1/(1-Inputs!$F$93/100))+Inputs!$F$78*(Inputs!$F$95/100*Inputs!$F$96/100)*Construction!BB11/365</f>
        <v>0.00575694545915779</v>
      </c>
      <c r="BC19" s="14" t="n">
        <f aca="false">Inputs!$F$75*(Construction!BC17+Inputs!$F$79)/100*Construction!BC11/360*1+Inputs!$F$76*(Construction!BC17+Inputs!$F$80)/100*Construction!BC11/360*1+Inputs!$F$77*(Construction!BC17+Inputs!$F$81)/100*Construction!BC11/360*1+Inputs!$F$78*(Construction!BC17+Inputs!$F$82)/100*Construction!BC11/360*(1/(1-Inputs!$F$93/100))+Inputs!$F$78*(Inputs!$F$95/100*Inputs!$F$96/100)*Construction!BC11/365</f>
        <v>0.00594884364112971</v>
      </c>
      <c r="BD19" s="14" t="n">
        <f aca="false">Inputs!$F$75*(Construction!BD17+Inputs!$F$79)/100*Construction!BD11/360*1+Inputs!$F$76*(Construction!BD17+Inputs!$F$80)/100*Construction!BD11/360*1+Inputs!$F$77*(Construction!BD17+Inputs!$F$81)/100*Construction!BD11/360*1+Inputs!$F$78*(Construction!BD17+Inputs!$F$82)/100*Construction!BD11/360*(1/(1-Inputs!$F$93/100))+Inputs!$F$78*(Inputs!$F$95/100*Inputs!$F$96/100)*Construction!BD11/365</f>
        <v>0.00575694545915779</v>
      </c>
      <c r="BE19" s="14" t="n">
        <f aca="false">Inputs!$F$75*(Construction!BE17+Inputs!$F$79)/100*Construction!BE11/360*1+Inputs!$F$76*(Construction!BE17+Inputs!$F$80)/100*Construction!BE11/360*1+Inputs!$F$77*(Construction!BE17+Inputs!$F$81)/100*Construction!BE11/360*1+Inputs!$F$78*(Construction!BE17+Inputs!$F$82)/100*Construction!BE11/360*(1/(1-Inputs!$F$93/100))+Inputs!$F$78*(Inputs!$F$95/100*Inputs!$F$96/100)*Construction!BE11/365</f>
        <v>0.00594884364112971</v>
      </c>
      <c r="BF19" s="14" t="n">
        <f aca="false">Inputs!$F$75*(Construction!BF17+Inputs!$F$79)/100*Construction!BF11/360*1+Inputs!$F$76*(Construction!BF17+Inputs!$F$80)/100*Construction!BF11/360*1+Inputs!$F$77*(Construction!BF17+Inputs!$F$81)/100*Construction!BF11/360*1+Inputs!$F$78*(Construction!BF17+Inputs!$F$82)/100*Construction!BF11/360*(1/(1-Inputs!$F$93/100))+Inputs!$F$78*(Inputs!$F$95/100*Inputs!$F$96/100)*Construction!BF11/365</f>
        <v>0.00594884364112971</v>
      </c>
      <c r="BG19" s="14" t="n">
        <f aca="false">Inputs!$F$75*(Construction!BG17+Inputs!$F$79)/100*Construction!BG11/360*1+Inputs!$F$76*(Construction!BG17+Inputs!$F$80)/100*Construction!BG11/360*1+Inputs!$F$77*(Construction!BG17+Inputs!$F$81)/100*Construction!BG11/360*1+Inputs!$F$78*(Construction!BG17+Inputs!$F$82)/100*Construction!BG11/360*(1/(1-Inputs!$F$93/100))+Inputs!$F$78*(Inputs!$F$95/100*Inputs!$F$96/100)*Construction!BG11/365</f>
        <v>0.00575694545915779</v>
      </c>
      <c r="BH19" s="14" t="n">
        <f aca="false">Inputs!$F$75*(Construction!BH17+Inputs!$F$79)/100*Construction!BH11/360*1+Inputs!$F$76*(Construction!BH17+Inputs!$F$80)/100*Construction!BH11/360*1+Inputs!$F$77*(Construction!BH17+Inputs!$F$81)/100*Construction!BH11/360*1+Inputs!$F$78*(Construction!BH17+Inputs!$F$82)/100*Construction!BH11/360*(1/(1-Inputs!$F$93/100))+Inputs!$F$78*(Inputs!$F$95/100*Inputs!$F$96/100)*Construction!BH11/365</f>
        <v>0.00594884364112971</v>
      </c>
      <c r="BI19" s="14" t="n">
        <f aca="false">Inputs!$F$75*(Construction!BI17+Inputs!$F$79)/100*Construction!BI11/360*1+Inputs!$F$76*(Construction!BI17+Inputs!$F$80)/100*Construction!BI11/360*1+Inputs!$F$77*(Construction!BI17+Inputs!$F$81)/100*Construction!BI11/360*1+Inputs!$F$78*(Construction!BI17+Inputs!$F$82)/100*Construction!BI11/360*(1/(1-Inputs!$F$93/100))+Inputs!$F$78*(Inputs!$F$95/100*Inputs!$F$96/100)*Construction!BI11/365</f>
        <v>0.00575694545915779</v>
      </c>
      <c r="BJ19" s="14" t="n">
        <f aca="false">Inputs!$F$75*(Construction!BJ17+Inputs!$F$79)/100*Construction!BJ11/360*1+Inputs!$F$76*(Construction!BJ17+Inputs!$F$80)/100*Construction!BJ11/360*1+Inputs!$F$77*(Construction!BJ17+Inputs!$F$81)/100*Construction!BJ11/360*1+Inputs!$F$78*(Construction!BJ17+Inputs!$F$82)/100*Construction!BJ11/360*(1/(1-Inputs!$F$93/100))+Inputs!$F$78*(Inputs!$F$95/100*Inputs!$F$96/100)*Construction!BJ11/365</f>
        <v>0.00594884364112971</v>
      </c>
    </row>
    <row r="20" customFormat="false" ht="15" hidden="false" customHeight="false" outlineLevel="0" collapsed="false">
      <c r="D20" s="0" t="s">
        <v>578</v>
      </c>
      <c r="E20" s="0" t="s">
        <v>99</v>
      </c>
      <c r="J20" s="14" t="n">
        <f aca="false">Inputs!$F$75*Inputs!$F$85/100*Construction!J11/360+Inputs!$F$76*Inputs!$F$86/100*Construction!J11/360+Inputs!$F$77*Inputs!$F$87/100*Construction!J11/360+Inputs!$F$78*(Inputs!$F$88/100*Inputs!$F$82)/100*Construction!J11/360</f>
        <v>0.000868172222222222</v>
      </c>
      <c r="K20" s="14" t="n">
        <f aca="false">Inputs!$F$75*Inputs!$F$85/100*Construction!K11/360+Inputs!$F$76*Inputs!$F$86/100*Construction!K11/360+Inputs!$F$77*Inputs!$F$87/100*Construction!K11/360+Inputs!$F$78*(Inputs!$F$88/100*Inputs!$F$82)/100*Construction!K11/360</f>
        <v>0.000840166666666667</v>
      </c>
      <c r="L20" s="14" t="n">
        <f aca="false">Inputs!$F$75*Inputs!$F$85/100*Construction!L11/360+Inputs!$F$76*Inputs!$F$86/100*Construction!L11/360+Inputs!$F$77*Inputs!$F$87/100*Construction!L11/360+Inputs!$F$78*(Inputs!$F$88/100*Inputs!$F$82)/100*Construction!L11/360</f>
        <v>0.000868172222222222</v>
      </c>
      <c r="M20" s="14" t="n">
        <f aca="false">Inputs!$F$75*Inputs!$F$85/100*Construction!M11/360+Inputs!$F$76*Inputs!$F$86/100*Construction!M11/360+Inputs!$F$77*Inputs!$F$87/100*Construction!M11/360+Inputs!$F$78*(Inputs!$F$88/100*Inputs!$F$82)/100*Construction!M11/360</f>
        <v>0.000840166666666667</v>
      </c>
      <c r="N20" s="14" t="n">
        <f aca="false">Inputs!$F$75*Inputs!$F$85/100*Construction!N11/360+Inputs!$F$76*Inputs!$F$86/100*Construction!N11/360+Inputs!$F$77*Inputs!$F$87/100*Construction!N11/360+Inputs!$F$78*(Inputs!$F$88/100*Inputs!$F$82)/100*Construction!N11/360</f>
        <v>0.000868172222222222</v>
      </c>
      <c r="O20" s="14" t="n">
        <f aca="false">Inputs!$F$75*Inputs!$F$85/100*Construction!O11/360+Inputs!$F$76*Inputs!$F$86/100*Construction!O11/360+Inputs!$F$77*Inputs!$F$87/100*Construction!O11/360+Inputs!$F$78*(Inputs!$F$88/100*Inputs!$F$82)/100*Construction!O11/360</f>
        <v>0.000868172222222222</v>
      </c>
      <c r="P20" s="14" t="n">
        <f aca="false">Inputs!$F$75*Inputs!$F$85/100*Construction!P11/360+Inputs!$F$76*Inputs!$F$86/100*Construction!P11/360+Inputs!$F$77*Inputs!$F$87/100*Construction!P11/360+Inputs!$F$78*(Inputs!$F$88/100*Inputs!$F$82)/100*Construction!P11/360</f>
        <v>0.000784155555555556</v>
      </c>
      <c r="Q20" s="14" t="n">
        <f aca="false">Inputs!$F$75*Inputs!$F$85/100*Construction!Q11/360+Inputs!$F$76*Inputs!$F$86/100*Construction!Q11/360+Inputs!$F$77*Inputs!$F$87/100*Construction!Q11/360+Inputs!$F$78*(Inputs!$F$88/100*Inputs!$F$82)/100*Construction!Q11/360</f>
        <v>0.000868172222222222</v>
      </c>
      <c r="R20" s="14" t="n">
        <f aca="false">Inputs!$F$75*Inputs!$F$85/100*Construction!R11/360+Inputs!$F$76*Inputs!$F$86/100*Construction!R11/360+Inputs!$F$77*Inputs!$F$87/100*Construction!R11/360+Inputs!$F$78*(Inputs!$F$88/100*Inputs!$F$82)/100*Construction!R11/360</f>
        <v>0.000840166666666667</v>
      </c>
      <c r="S20" s="14" t="n">
        <f aca="false">Inputs!$F$75*Inputs!$F$85/100*Construction!S11/360+Inputs!$F$76*Inputs!$F$86/100*Construction!S11/360+Inputs!$F$77*Inputs!$F$87/100*Construction!S11/360+Inputs!$F$78*(Inputs!$F$88/100*Inputs!$F$82)/100*Construction!S11/360</f>
        <v>0.000868172222222222</v>
      </c>
      <c r="T20" s="14" t="n">
        <f aca="false">Inputs!$F$75*Inputs!$F$85/100*Construction!T11/360+Inputs!$F$76*Inputs!$F$86/100*Construction!T11/360+Inputs!$F$77*Inputs!$F$87/100*Construction!T11/360+Inputs!$F$78*(Inputs!$F$88/100*Inputs!$F$82)/100*Construction!T11/360</f>
        <v>0.000840166666666667</v>
      </c>
      <c r="U20" s="14" t="n">
        <f aca="false">Inputs!$F$75*Inputs!$F$85/100*Construction!U11/360+Inputs!$F$76*Inputs!$F$86/100*Construction!U11/360+Inputs!$F$77*Inputs!$F$87/100*Construction!U11/360+Inputs!$F$78*(Inputs!$F$88/100*Inputs!$F$82)/100*Construction!U11/360</f>
        <v>0.000868172222222222</v>
      </c>
      <c r="V20" s="14" t="n">
        <f aca="false">Inputs!$F$75*Inputs!$F$85/100*Construction!V11/360+Inputs!$F$76*Inputs!$F$86/100*Construction!V11/360+Inputs!$F$77*Inputs!$F$87/100*Construction!V11/360+Inputs!$F$78*(Inputs!$F$88/100*Inputs!$F$82)/100*Construction!V11/360</f>
        <v>0.000868172222222222</v>
      </c>
      <c r="W20" s="14" t="n">
        <f aca="false">Inputs!$F$75*Inputs!$F$85/100*Construction!W11/360+Inputs!$F$76*Inputs!$F$86/100*Construction!W11/360+Inputs!$F$77*Inputs!$F$87/100*Construction!W11/360+Inputs!$F$78*(Inputs!$F$88/100*Inputs!$F$82)/100*Construction!W11/360</f>
        <v>0.000840166666666667</v>
      </c>
      <c r="X20" s="14" t="n">
        <f aca="false">Inputs!$F$75*Inputs!$F$85/100*Construction!X11/360+Inputs!$F$76*Inputs!$F$86/100*Construction!X11/360+Inputs!$F$77*Inputs!$F$87/100*Construction!X11/360+Inputs!$F$78*(Inputs!$F$88/100*Inputs!$F$82)/100*Construction!X11/360</f>
        <v>0.000868172222222222</v>
      </c>
      <c r="Y20" s="14" t="n">
        <f aca="false">Inputs!$F$75*Inputs!$F$85/100*Construction!Y11/360+Inputs!$F$76*Inputs!$F$86/100*Construction!Y11/360+Inputs!$F$77*Inputs!$F$87/100*Construction!Y11/360+Inputs!$F$78*(Inputs!$F$88/100*Inputs!$F$82)/100*Construction!Y11/360</f>
        <v>0.000840166666666667</v>
      </c>
      <c r="Z20" s="14" t="n">
        <f aca="false">Inputs!$F$75*Inputs!$F$85/100*Construction!Z11/360+Inputs!$F$76*Inputs!$F$86/100*Construction!Z11/360+Inputs!$F$77*Inputs!$F$87/100*Construction!Z11/360+Inputs!$F$78*(Inputs!$F$88/100*Inputs!$F$82)/100*Construction!Z11/360</f>
        <v>0.000868172222222222</v>
      </c>
      <c r="AA20" s="14" t="n">
        <f aca="false">Inputs!$F$75*Inputs!$F$85/100*Construction!AA11/360+Inputs!$F$76*Inputs!$F$86/100*Construction!AA11/360+Inputs!$F$77*Inputs!$F$87/100*Construction!AA11/360+Inputs!$F$78*(Inputs!$F$88/100*Inputs!$F$82)/100*Construction!AA11/360</f>
        <v>0.000868172222222222</v>
      </c>
      <c r="AB20" s="14" t="n">
        <f aca="false">Inputs!$F$75*Inputs!$F$85/100*Construction!AB11/360+Inputs!$F$76*Inputs!$F$86/100*Construction!AB11/360+Inputs!$F$77*Inputs!$F$87/100*Construction!AB11/360+Inputs!$F$78*(Inputs!$F$88/100*Inputs!$F$82)/100*Construction!AB11/360</f>
        <v>0.000812161111111111</v>
      </c>
      <c r="AC20" s="14" t="n">
        <f aca="false">Inputs!$F$75*Inputs!$F$85/100*Construction!AC11/360+Inputs!$F$76*Inputs!$F$86/100*Construction!AC11/360+Inputs!$F$77*Inputs!$F$87/100*Construction!AC11/360+Inputs!$F$78*(Inputs!$F$88/100*Inputs!$F$82)/100*Construction!AC11/360</f>
        <v>0.000868172222222222</v>
      </c>
      <c r="AD20" s="14" t="n">
        <f aca="false">Inputs!$F$75*Inputs!$F$85/100*Construction!AD11/360+Inputs!$F$76*Inputs!$F$86/100*Construction!AD11/360+Inputs!$F$77*Inputs!$F$87/100*Construction!AD11/360+Inputs!$F$78*(Inputs!$F$88/100*Inputs!$F$82)/100*Construction!AD11/360</f>
        <v>0.000840166666666667</v>
      </c>
      <c r="AE20" s="14" t="n">
        <f aca="false">Inputs!$F$75*Inputs!$F$85/100*Construction!AE11/360+Inputs!$F$76*Inputs!$F$86/100*Construction!AE11/360+Inputs!$F$77*Inputs!$F$87/100*Construction!AE11/360+Inputs!$F$78*(Inputs!$F$88/100*Inputs!$F$82)/100*Construction!AE11/360</f>
        <v>0.000868172222222222</v>
      </c>
      <c r="AF20" s="14" t="n">
        <f aca="false">Inputs!$F$75*Inputs!$F$85/100*Construction!AF11/360+Inputs!$F$76*Inputs!$F$86/100*Construction!AF11/360+Inputs!$F$77*Inputs!$F$87/100*Construction!AF11/360+Inputs!$F$78*(Inputs!$F$88/100*Inputs!$F$82)/100*Construction!AF11/360</f>
        <v>0.000840166666666667</v>
      </c>
      <c r="AG20" s="14" t="n">
        <f aca="false">Inputs!$F$75*Inputs!$F$85/100*Construction!AG11/360+Inputs!$F$76*Inputs!$F$86/100*Construction!AG11/360+Inputs!$F$77*Inputs!$F$87/100*Construction!AG11/360+Inputs!$F$78*(Inputs!$F$88/100*Inputs!$F$82)/100*Construction!AG11/360</f>
        <v>0.000868172222222222</v>
      </c>
      <c r="AH20" s="14" t="n">
        <f aca="false">Inputs!$F$75*Inputs!$F$85/100*Construction!AH11/360+Inputs!$F$76*Inputs!$F$86/100*Construction!AH11/360+Inputs!$F$77*Inputs!$F$87/100*Construction!AH11/360+Inputs!$F$78*(Inputs!$F$88/100*Inputs!$F$82)/100*Construction!AH11/360</f>
        <v>0.000868172222222222</v>
      </c>
      <c r="AI20" s="14" t="n">
        <f aca="false">Inputs!$F$75*Inputs!$F$85/100*Construction!AI11/360+Inputs!$F$76*Inputs!$F$86/100*Construction!AI11/360+Inputs!$F$77*Inputs!$F$87/100*Construction!AI11/360+Inputs!$F$78*(Inputs!$F$88/100*Inputs!$F$82)/100*Construction!AI11/360</f>
        <v>0.000840166666666667</v>
      </c>
      <c r="AJ20" s="14" t="n">
        <f aca="false">Inputs!$F$75*Inputs!$F$85/100*Construction!AJ11/360+Inputs!$F$76*Inputs!$F$86/100*Construction!AJ11/360+Inputs!$F$77*Inputs!$F$87/100*Construction!AJ11/360+Inputs!$F$78*(Inputs!$F$88/100*Inputs!$F$82)/100*Construction!AJ11/360</f>
        <v>0.000868172222222222</v>
      </c>
      <c r="AK20" s="14" t="n">
        <f aca="false">Inputs!$F$75*Inputs!$F$85/100*Construction!AK11/360+Inputs!$F$76*Inputs!$F$86/100*Construction!AK11/360+Inputs!$F$77*Inputs!$F$87/100*Construction!AK11/360+Inputs!$F$78*(Inputs!$F$88/100*Inputs!$F$82)/100*Construction!AK11/360</f>
        <v>0.000840166666666667</v>
      </c>
      <c r="AL20" s="14" t="n">
        <f aca="false">Inputs!$F$75*Inputs!$F$85/100*Construction!AL11/360+Inputs!$F$76*Inputs!$F$86/100*Construction!AL11/360+Inputs!$F$77*Inputs!$F$87/100*Construction!AL11/360+Inputs!$F$78*(Inputs!$F$88/100*Inputs!$F$82)/100*Construction!AL11/360</f>
        <v>0.000868172222222222</v>
      </c>
      <c r="AM20" s="14" t="n">
        <f aca="false">Inputs!$F$75*Inputs!$F$85/100*Construction!AM11/360+Inputs!$F$76*Inputs!$F$86/100*Construction!AM11/360+Inputs!$F$77*Inputs!$F$87/100*Construction!AM11/360+Inputs!$F$78*(Inputs!$F$88/100*Inputs!$F$82)/100*Construction!AM11/360</f>
        <v>0.000868172222222222</v>
      </c>
      <c r="AN20" s="14" t="n">
        <f aca="false">Inputs!$F$75*Inputs!$F$85/100*Construction!AN11/360+Inputs!$F$76*Inputs!$F$86/100*Construction!AN11/360+Inputs!$F$77*Inputs!$F$87/100*Construction!AN11/360+Inputs!$F$78*(Inputs!$F$88/100*Inputs!$F$82)/100*Construction!AN11/360</f>
        <v>0.000784155555555556</v>
      </c>
      <c r="AO20" s="14" t="n">
        <f aca="false">Inputs!$F$75*Inputs!$F$85/100*Construction!AO11/360+Inputs!$F$76*Inputs!$F$86/100*Construction!AO11/360+Inputs!$F$77*Inputs!$F$87/100*Construction!AO11/360+Inputs!$F$78*(Inputs!$F$88/100*Inputs!$F$82)/100*Construction!AO11/360</f>
        <v>0.000868172222222222</v>
      </c>
      <c r="AP20" s="14" t="n">
        <f aca="false">Inputs!$F$75*Inputs!$F$85/100*Construction!AP11/360+Inputs!$F$76*Inputs!$F$86/100*Construction!AP11/360+Inputs!$F$77*Inputs!$F$87/100*Construction!AP11/360+Inputs!$F$78*(Inputs!$F$88/100*Inputs!$F$82)/100*Construction!AP11/360</f>
        <v>0.000840166666666667</v>
      </c>
      <c r="AQ20" s="14" t="n">
        <f aca="false">Inputs!$F$75*Inputs!$F$85/100*Construction!AQ11/360+Inputs!$F$76*Inputs!$F$86/100*Construction!AQ11/360+Inputs!$F$77*Inputs!$F$87/100*Construction!AQ11/360+Inputs!$F$78*(Inputs!$F$88/100*Inputs!$F$82)/100*Construction!AQ11/360</f>
        <v>0.000868172222222222</v>
      </c>
      <c r="AR20" s="14" t="n">
        <f aca="false">Inputs!$F$75*Inputs!$F$85/100*Construction!AR11/360+Inputs!$F$76*Inputs!$F$86/100*Construction!AR11/360+Inputs!$F$77*Inputs!$F$87/100*Construction!AR11/360+Inputs!$F$78*(Inputs!$F$88/100*Inputs!$F$82)/100*Construction!AR11/360</f>
        <v>0.000840166666666667</v>
      </c>
      <c r="AS20" s="14" t="n">
        <f aca="false">Inputs!$F$75*Inputs!$F$85/100*Construction!AS11/360+Inputs!$F$76*Inputs!$F$86/100*Construction!AS11/360+Inputs!$F$77*Inputs!$F$87/100*Construction!AS11/360+Inputs!$F$78*(Inputs!$F$88/100*Inputs!$F$82)/100*Construction!AS11/360</f>
        <v>0.000868172222222222</v>
      </c>
      <c r="AT20" s="14" t="n">
        <f aca="false">Inputs!$F$75*Inputs!$F$85/100*Construction!AT11/360+Inputs!$F$76*Inputs!$F$86/100*Construction!AT11/360+Inputs!$F$77*Inputs!$F$87/100*Construction!AT11/360+Inputs!$F$78*(Inputs!$F$88/100*Inputs!$F$82)/100*Construction!AT11/360</f>
        <v>0.000868172222222222</v>
      </c>
      <c r="AU20" s="14" t="n">
        <f aca="false">Inputs!$F$75*Inputs!$F$85/100*Construction!AU11/360+Inputs!$F$76*Inputs!$F$86/100*Construction!AU11/360+Inputs!$F$77*Inputs!$F$87/100*Construction!AU11/360+Inputs!$F$78*(Inputs!$F$88/100*Inputs!$F$82)/100*Construction!AU11/360</f>
        <v>0.000840166666666667</v>
      </c>
      <c r="AV20" s="14" t="n">
        <f aca="false">Inputs!$F$75*Inputs!$F$85/100*Construction!AV11/360+Inputs!$F$76*Inputs!$F$86/100*Construction!AV11/360+Inputs!$F$77*Inputs!$F$87/100*Construction!AV11/360+Inputs!$F$78*(Inputs!$F$88/100*Inputs!$F$82)/100*Construction!AV11/360</f>
        <v>0.000868172222222222</v>
      </c>
      <c r="AW20" s="14" t="n">
        <f aca="false">Inputs!$F$75*Inputs!$F$85/100*Construction!AW11/360+Inputs!$F$76*Inputs!$F$86/100*Construction!AW11/360+Inputs!$F$77*Inputs!$F$87/100*Construction!AW11/360+Inputs!$F$78*(Inputs!$F$88/100*Inputs!$F$82)/100*Construction!AW11/360</f>
        <v>0.000840166666666667</v>
      </c>
      <c r="AX20" s="14" t="n">
        <f aca="false">Inputs!$F$75*Inputs!$F$85/100*Construction!AX11/360+Inputs!$F$76*Inputs!$F$86/100*Construction!AX11/360+Inputs!$F$77*Inputs!$F$87/100*Construction!AX11/360+Inputs!$F$78*(Inputs!$F$88/100*Inputs!$F$82)/100*Construction!AX11/360</f>
        <v>0.000868172222222222</v>
      </c>
      <c r="AY20" s="14" t="n">
        <f aca="false">Inputs!$F$75*Inputs!$F$85/100*Construction!AY11/360+Inputs!$F$76*Inputs!$F$86/100*Construction!AY11/360+Inputs!$F$77*Inputs!$F$87/100*Construction!AY11/360+Inputs!$F$78*(Inputs!$F$88/100*Inputs!$F$82)/100*Construction!AY11/360</f>
        <v>0.000868172222222222</v>
      </c>
      <c r="AZ20" s="14" t="n">
        <f aca="false">Inputs!$F$75*Inputs!$F$85/100*Construction!AZ11/360+Inputs!$F$76*Inputs!$F$86/100*Construction!AZ11/360+Inputs!$F$77*Inputs!$F$87/100*Construction!AZ11/360+Inputs!$F$78*(Inputs!$F$88/100*Inputs!$F$82)/100*Construction!AZ11/360</f>
        <v>0.000784155555555556</v>
      </c>
      <c r="BA20" s="14" t="n">
        <f aca="false">Inputs!$F$75*Inputs!$F$85/100*Construction!BA11/360+Inputs!$F$76*Inputs!$F$86/100*Construction!BA11/360+Inputs!$F$77*Inputs!$F$87/100*Construction!BA11/360+Inputs!$F$78*(Inputs!$F$88/100*Inputs!$F$82)/100*Construction!BA11/360</f>
        <v>0.000868172222222222</v>
      </c>
      <c r="BB20" s="14" t="n">
        <f aca="false">Inputs!$F$75*Inputs!$F$85/100*Construction!BB11/360+Inputs!$F$76*Inputs!$F$86/100*Construction!BB11/360+Inputs!$F$77*Inputs!$F$87/100*Construction!BB11/360+Inputs!$F$78*(Inputs!$F$88/100*Inputs!$F$82)/100*Construction!BB11/360</f>
        <v>0.000840166666666667</v>
      </c>
      <c r="BC20" s="14" t="n">
        <f aca="false">Inputs!$F$75*Inputs!$F$85/100*Construction!BC11/360+Inputs!$F$76*Inputs!$F$86/100*Construction!BC11/360+Inputs!$F$77*Inputs!$F$87/100*Construction!BC11/360+Inputs!$F$78*(Inputs!$F$88/100*Inputs!$F$82)/100*Construction!BC11/360</f>
        <v>0.000868172222222222</v>
      </c>
      <c r="BD20" s="14" t="n">
        <f aca="false">Inputs!$F$75*Inputs!$F$85/100*Construction!BD11/360+Inputs!$F$76*Inputs!$F$86/100*Construction!BD11/360+Inputs!$F$77*Inputs!$F$87/100*Construction!BD11/360+Inputs!$F$78*(Inputs!$F$88/100*Inputs!$F$82)/100*Construction!BD11/360</f>
        <v>0.000840166666666667</v>
      </c>
      <c r="BE20" s="14" t="n">
        <f aca="false">Inputs!$F$75*Inputs!$F$85/100*Construction!BE11/360+Inputs!$F$76*Inputs!$F$86/100*Construction!BE11/360+Inputs!$F$77*Inputs!$F$87/100*Construction!BE11/360+Inputs!$F$78*(Inputs!$F$88/100*Inputs!$F$82)/100*Construction!BE11/360</f>
        <v>0.000868172222222222</v>
      </c>
      <c r="BF20" s="14" t="n">
        <f aca="false">Inputs!$F$75*Inputs!$F$85/100*Construction!BF11/360+Inputs!$F$76*Inputs!$F$86/100*Construction!BF11/360+Inputs!$F$77*Inputs!$F$87/100*Construction!BF11/360+Inputs!$F$78*(Inputs!$F$88/100*Inputs!$F$82)/100*Construction!BF11/360</f>
        <v>0.000868172222222222</v>
      </c>
      <c r="BG20" s="14" t="n">
        <f aca="false">Inputs!$F$75*Inputs!$F$85/100*Construction!BG11/360+Inputs!$F$76*Inputs!$F$86/100*Construction!BG11/360+Inputs!$F$77*Inputs!$F$87/100*Construction!BG11/360+Inputs!$F$78*(Inputs!$F$88/100*Inputs!$F$82)/100*Construction!BG11/360</f>
        <v>0.000840166666666667</v>
      </c>
      <c r="BH20" s="14" t="n">
        <f aca="false">Inputs!$F$75*Inputs!$F$85/100*Construction!BH11/360+Inputs!$F$76*Inputs!$F$86/100*Construction!BH11/360+Inputs!$F$77*Inputs!$F$87/100*Construction!BH11/360+Inputs!$F$78*(Inputs!$F$88/100*Inputs!$F$82)/100*Construction!BH11/360</f>
        <v>0.000868172222222222</v>
      </c>
      <c r="BI20" s="14" t="n">
        <f aca="false">Inputs!$F$75*Inputs!$F$85/100*Construction!BI11/360+Inputs!$F$76*Inputs!$F$86/100*Construction!BI11/360+Inputs!$F$77*Inputs!$F$87/100*Construction!BI11/360+Inputs!$F$78*(Inputs!$F$88/100*Inputs!$F$82)/100*Construction!BI11/360</f>
        <v>0.000840166666666667</v>
      </c>
      <c r="BJ20" s="14" t="n">
        <f aca="false">Inputs!$F$75*Inputs!$F$85/100*Construction!BJ11/360+Inputs!$F$76*Inputs!$F$86/100*Construction!BJ11/360+Inputs!$F$77*Inputs!$F$87/100*Construction!BJ11/360+Inputs!$F$78*(Inputs!$F$88/100*Inputs!$F$82)/100*Construction!BJ11/360</f>
        <v>0.000868172222222222</v>
      </c>
    </row>
    <row r="21" customFormat="false" ht="15" hidden="false" customHeight="false" outlineLevel="0" collapsed="false">
      <c r="D21" s="0" t="s">
        <v>579</v>
      </c>
      <c r="E21" s="0" t="s">
        <v>149</v>
      </c>
      <c r="J21" s="11" t="n">
        <f aca="false">Construction!J14*(Construction!J30+Construction!J36+Inputs!$F$107/12+Inputs!J233*(Inputs!$F$97/100/12-Construction!J17/100*Construction!J11/360)+Inputs!$F$99*Inputs!$F$100/100*Construction!J11/360+Construction!J15*$F$17)</f>
        <v>108.156616666667</v>
      </c>
      <c r="K21" s="11" t="n">
        <f aca="false">Construction!K14*(Construction!K30+Construction!K36+Inputs!$F$107/12+Inputs!K233*(Inputs!$F$97/100/12-Construction!K17/100*Construction!K11/360)+Inputs!$F$99*Inputs!$F$100/100*Construction!K11/360+Construction!K15*$F$17)</f>
        <v>1.51015872973752</v>
      </c>
      <c r="L21" s="11" t="n">
        <f aca="false">Construction!L14*(Construction!L30+Construction!L36+Inputs!$F$107/12+Inputs!L233*(Inputs!$F$97/100/12-Construction!L17/100*Construction!L11/360)+Inputs!$F$99*Inputs!$F$100/100*Construction!L11/360+Construction!L15*$F$17)</f>
        <v>2.14073632334925</v>
      </c>
      <c r="M21" s="11" t="n">
        <f aca="false">Construction!M14*(Construction!M30+Construction!M36+Inputs!$F$107/12+Inputs!M233*(Inputs!$F$97/100/12-Construction!M17/100*Construction!M11/360)+Inputs!$F$99*Inputs!$F$100/100*Construction!M11/360+Construction!M15*$F$17)</f>
        <v>3.447598117152</v>
      </c>
      <c r="N21" s="11" t="n">
        <f aca="false">Construction!N14*(Construction!N30+Construction!N36+Inputs!$F$107/12+Inputs!N233*(Inputs!$F$97/100/12-Construction!N17/100*Construction!N11/360)+Inputs!$F$99*Inputs!$F$100/100*Construction!N11/360+Construction!N15*$F$17)</f>
        <v>5.33422511157639</v>
      </c>
      <c r="O21" s="11" t="n">
        <f aca="false">Construction!O14*(Construction!O30+Construction!O36+Inputs!$F$107/12+Inputs!O233*(Inputs!$F$97/100/12-Construction!O17/100*Construction!O11/360)+Inputs!$F$99*Inputs!$F$100/100*Construction!O11/360+Construction!O15*$F$17)</f>
        <v>7.67966660417626</v>
      </c>
      <c r="P21" s="11" t="n">
        <f aca="false">Construction!P14*(Construction!P30+Construction!P36+Inputs!$F$107/12+Inputs!P233*(Inputs!$F$97/100/12-Construction!P17/100*Construction!P11/360)+Inputs!$F$99*Inputs!$F$100/100*Construction!P11/360+Construction!P15*$F$17)</f>
        <v>10.4072865001054</v>
      </c>
      <c r="Q21" s="11" t="n">
        <f aca="false">Construction!Q14*(Construction!Q30+Construction!Q36+Inputs!$F$107/12+Inputs!Q233*(Inputs!$F$97/100/12-Construction!Q17/100*Construction!Q11/360)+Inputs!$F$99*Inputs!$F$100/100*Construction!Q11/360+Construction!Q15*$F$17)</f>
        <v>13.3258674112293</v>
      </c>
      <c r="R21" s="11" t="n">
        <f aca="false">Construction!R14*(Construction!R30+Construction!R36+Inputs!$F$107/12+Inputs!R233*(Inputs!$F$97/100/12-Construction!R17/100*Construction!R11/360)+Inputs!$F$99*Inputs!$F$100/100*Construction!R11/360+Construction!R15*$F$17)</f>
        <v>16.3644435309182</v>
      </c>
      <c r="S21" s="11" t="n">
        <f aca="false">Construction!S14*(Construction!S30+Construction!S36+Inputs!$F$107/12+Inputs!S233*(Inputs!$F$97/100/12-Construction!S17/100*Construction!S11/360)+Inputs!$F$99*Inputs!$F$100/100*Construction!S11/360+Construction!S15*$F$17)</f>
        <v>19.3724016456049</v>
      </c>
      <c r="T21" s="11" t="n">
        <f aca="false">Construction!T14*(Construction!T30+Construction!T36+Inputs!$F$107/12+Inputs!T233*(Inputs!$F$97/100/12-Construction!T17/100*Construction!T11/360)+Inputs!$F$99*Inputs!$F$100/100*Construction!T11/360+Construction!T15*$F$17)</f>
        <v>22.2491895376056</v>
      </c>
      <c r="U21" s="11" t="n">
        <f aca="false">Construction!U14*(Construction!U30+Construction!U36+Inputs!$F$107/12+Inputs!U233*(Inputs!$F$97/100/12-Construction!U17/100*Construction!U11/360)+Inputs!$F$99*Inputs!$F$100/100*Construction!U11/360+Construction!U15*$F$17)</f>
        <v>24.8877008112056</v>
      </c>
      <c r="V21" s="11" t="n">
        <f aca="false">Construction!V14*(Construction!V30+Construction!V36+Inputs!$F$107/12+Inputs!V233*(Inputs!$F$97/100/12-Construction!V17/100*Construction!V11/360)+Inputs!$F$99*Inputs!$F$100/100*Construction!V11/360+Construction!V15*$F$17)</f>
        <v>27.2420677226985</v>
      </c>
      <c r="W21" s="11" t="n">
        <f aca="false">Construction!W14*(Construction!W30+Construction!W36+Inputs!$F$107/12+Inputs!W233*(Inputs!$F$97/100/12-Construction!W17/100*Construction!W11/360)+Inputs!$F$99*Inputs!$F$100/100*Construction!W11/360+Construction!W15*$F$17)</f>
        <v>29.2265082464778</v>
      </c>
      <c r="X21" s="11" t="n">
        <f aca="false">Construction!X14*(Construction!X30+Construction!X36+Inputs!$F$107/12+Inputs!X233*(Inputs!$F$97/100/12-Construction!X17/100*Construction!X11/360)+Inputs!$F$99*Inputs!$F$100/100*Construction!X11/360+Construction!X15*$F$17)</f>
        <v>30.7475948342201</v>
      </c>
      <c r="Y21" s="11" t="n">
        <f aca="false">Construction!Y14*(Construction!Y30+Construction!Y36+Inputs!$F$107/12+Inputs!Y233*(Inputs!$F$97/100/12-Construction!Y17/100*Construction!Y11/360)+Inputs!$F$99*Inputs!$F$100/100*Construction!Y11/360+Construction!Y15*$F$17)</f>
        <v>31.8103259721398</v>
      </c>
      <c r="Z21" s="11" t="n">
        <f aca="false">Construction!Z14*(Construction!Z30+Construction!Z36+Inputs!$F$107/12+Inputs!Z233*(Inputs!$F$97/100/12-Construction!Z17/100*Construction!Z11/360)+Inputs!$F$99*Inputs!$F$100/100*Construction!Z11/360+Construction!Z15*$F$17)</f>
        <v>32.3290222317982</v>
      </c>
      <c r="AA21" s="11" t="n">
        <f aca="false">Construction!AA14*(Construction!AA30+Construction!AA36+Inputs!$F$107/12+Inputs!AA233*(Inputs!$F$97/100/12-Construction!AA17/100*Construction!AA11/360)+Inputs!$F$99*Inputs!$F$100/100*Construction!AA11/360+Construction!AA15*$F$17)</f>
        <v>33.4584983588564</v>
      </c>
      <c r="AB21" s="11" t="n">
        <f aca="false">Construction!AB14*(Construction!AB30+Construction!AB36+Inputs!$F$107/12+Inputs!AB233*(Inputs!$F$97/100/12-Construction!AB17/100*Construction!AB11/360)+Inputs!$F$99*Inputs!$F$100/100*Construction!AB11/360+Construction!AB15*$F$17)</f>
        <v>31.828166358387</v>
      </c>
      <c r="AC21" s="11" t="n">
        <f aca="false">Construction!AC14*(Construction!AC30+Construction!AC36+Inputs!$F$107/12+Inputs!AC233*(Inputs!$F$97/100/12-Construction!AC17/100*Construction!AC11/360)+Inputs!$F$99*Inputs!$F$100/100*Construction!AC11/360+Construction!AC15*$F$17)</f>
        <v>30.74605734235</v>
      </c>
      <c r="AD21" s="11" t="n">
        <f aca="false">Construction!AD14*(Construction!AD30+Construction!AD36+Inputs!$F$107/12+Inputs!AD233*(Inputs!$F$97/100/12-Construction!AD17/100*Construction!AD11/360)+Inputs!$F$99*Inputs!$F$100/100*Construction!AD11/360+Construction!AD15*$F$17)</f>
        <v>29.2411851097714</v>
      </c>
      <c r="AE21" s="11" t="n">
        <f aca="false">Construction!AE14*(Construction!AE30+Construction!AE36+Inputs!$F$107/12+Inputs!AE233*(Inputs!$F$97/100/12-Construction!AE17/100*Construction!AE11/360)+Inputs!$F$99*Inputs!$F$100/100*Construction!AE11/360+Construction!AE15*$F$17)</f>
        <v>27.2496805862512</v>
      </c>
      <c r="AF21" s="11" t="n">
        <f aca="false">Construction!AF14*(Construction!AF30+Construction!AF36+Inputs!$F$107/12+Inputs!AF233*(Inputs!$F$97/100/12-Construction!AF17/100*Construction!AF11/360)+Inputs!$F$99*Inputs!$F$100/100*Construction!AF11/360+Construction!AF15*$F$17)</f>
        <v>24.924430484466</v>
      </c>
      <c r="AG21" s="11" t="n">
        <f aca="false">Construction!AG14*(Construction!AG30+Construction!AG36+Inputs!$F$107/12+Inputs!AG233*(Inputs!$F$97/100/12-Construction!AG17/100*Construction!AG11/360)+Inputs!$F$99*Inputs!$F$100/100*Construction!AG11/360+Construction!AG15*$F$17)</f>
        <v>22.2235069163292</v>
      </c>
      <c r="AH21" s="11" t="n">
        <f aca="false">Construction!AH14*(Construction!AH30+Construction!AH36+Inputs!$F$107/12+Inputs!AH233*(Inputs!$F$97/100/12-Construction!AH17/100*Construction!AH11/360)+Inputs!$F$99*Inputs!$F$100/100*Construction!AH11/360+Construction!AH15*$F$17)</f>
        <v>19.3362718946411</v>
      </c>
      <c r="AI21" s="11" t="n">
        <f aca="false">Construction!AI14*(Construction!AI30+Construction!AI36+Inputs!$F$107/12+Inputs!AI233*(Inputs!$F$97/100/12-Construction!AI17/100*Construction!AI11/360)+Inputs!$F$99*Inputs!$F$100/100*Construction!AI11/360+Construction!AI15*$F$17)</f>
        <v>16.351690308253</v>
      </c>
      <c r="AJ21" s="11" t="n">
        <f aca="false">Construction!AJ14*(Construction!AJ30+Construction!AJ36+Inputs!$F$107/12+Inputs!AJ233*(Inputs!$F$97/100/12-Construction!AJ17/100*Construction!AJ11/360)+Inputs!$F$99*Inputs!$F$100/100*Construction!AJ11/360+Construction!AJ15*$F$17)</f>
        <v>13.2855275750901</v>
      </c>
      <c r="AK21" s="11" t="n">
        <f aca="false">Construction!AK14*(Construction!AK30+Construction!AK36+Inputs!$F$107/12+Inputs!AK233*(Inputs!$F$97/100/12-Construction!AK17/100*Construction!AK11/360)+Inputs!$F$99*Inputs!$F$100/100*Construction!AK11/360+Construction!AK15*$F$17)</f>
        <v>10.3798503285824</v>
      </c>
      <c r="AL21" s="11" t="n">
        <f aca="false">Construction!AL14*(Construction!AL30+Construction!AL36+Inputs!$F$107/12+Inputs!AL233*(Inputs!$F$97/100/12-Construction!AL17/100*Construction!AL11/360)+Inputs!$F$99*Inputs!$F$100/100*Construction!AL11/360+Construction!AL15*$F$17)</f>
        <v>7.62910981519539</v>
      </c>
      <c r="AM21" s="11" t="n">
        <f aca="false">Construction!AM14*(Construction!AM30+Construction!AM36+Inputs!$F$107/12+Inputs!AM233*(Inputs!$F$97/100/12-Construction!AM17/100*Construction!AM11/360)+Inputs!$F$99*Inputs!$F$100/100*Construction!AM11/360+Construction!AM15*$F$17)</f>
        <v>5.24757474614267</v>
      </c>
      <c r="AN21" s="11" t="n">
        <f aca="false">Construction!AN14*(Construction!AN30+Construction!AN36+Inputs!$F$107/12+Inputs!AN233*(Inputs!$F$97/100/12-Construction!AN17/100*Construction!AN11/360)+Inputs!$F$99*Inputs!$F$100/100*Construction!AN11/360+Construction!AN15*$F$17)</f>
        <v>3.45762227696786</v>
      </c>
      <c r="AO21" s="11" t="n">
        <f aca="false">Construction!AO14*(Construction!AO30+Construction!AO36+Inputs!$F$107/12+Inputs!AO233*(Inputs!$F$97/100/12-Construction!AO17/100*Construction!AO11/360)+Inputs!$F$99*Inputs!$F$100/100*Construction!AO11/360+Construction!AO15*$F$17)</f>
        <v>2.04017239312868</v>
      </c>
      <c r="AP21" s="11" t="n">
        <f aca="false">Construction!AP14*(Construction!AP30+Construction!AP36+Inputs!$F$107/12+Inputs!AP233*(Inputs!$F$97/100/12-Construction!AP17/100*Construction!AP11/360)+Inputs!$F$99*Inputs!$F$100/100*Construction!AP11/360+Construction!AP15*$F$17)</f>
        <v>49.6738675140834</v>
      </c>
      <c r="AQ21" s="11" t="n">
        <f aca="false">Construction!AQ14*(Construction!AQ30+Construction!AQ36+Inputs!$F$107/12+Inputs!AQ233*(Inputs!$F$97/100/12-Construction!AQ17/100*Construction!AQ11/360)+Inputs!$F$99*Inputs!$F$100/100*Construction!AQ11/360+Construction!AQ15*$F$17)</f>
        <v>-0.557372926276622</v>
      </c>
      <c r="AR21" s="11" t="n">
        <f aca="false">Construction!AR14*(Construction!AR30+Construction!AR36+Inputs!$F$107/12+Inputs!AR233*(Inputs!$F$97/100/12-Construction!AR17/100*Construction!AR11/360)+Inputs!$F$99*Inputs!$F$100/100*Construction!AR11/360+Construction!AR15*$F$17)</f>
        <v>0.0101597331456643</v>
      </c>
      <c r="AS21" s="11" t="n">
        <f aca="false">Construction!AS14*(Construction!AS30+Construction!AS36+Inputs!$F$107/12+Inputs!AS233*(Inputs!$F$97/100/12-Construction!AS17/100*Construction!AS11/360)+Inputs!$F$99*Inputs!$F$100/100*Construction!AS11/360+Construction!AS15*$F$17)</f>
        <v>0</v>
      </c>
      <c r="AT21" s="11" t="n">
        <f aca="false">Construction!AT14*(Construction!AT30+Construction!AT36+Inputs!$F$107/12+Inputs!AT233*(Inputs!$F$97/100/12-Construction!AT17/100*Construction!AT11/360)+Inputs!$F$99*Inputs!$F$100/100*Construction!AT11/360+Construction!AT15*$F$17)</f>
        <v>0</v>
      </c>
      <c r="AU21" s="11" t="n">
        <f aca="false">Construction!AU14*(Construction!AU30+Construction!AU36+Inputs!$F$107/12+Inputs!AU233*(Inputs!$F$97/100/12-Construction!AU17/100*Construction!AU11/360)+Inputs!$F$99*Inputs!$F$100/100*Construction!AU11/360+Construction!AU15*$F$17)</f>
        <v>0</v>
      </c>
      <c r="AV21" s="11" t="n">
        <f aca="false">Construction!AV14*(Construction!AV30+Construction!AV36+Inputs!$F$107/12+Inputs!AV233*(Inputs!$F$97/100/12-Construction!AV17/100*Construction!AV11/360)+Inputs!$F$99*Inputs!$F$100/100*Construction!AV11/360+Construction!AV15*$F$17)</f>
        <v>0</v>
      </c>
      <c r="AW21" s="11" t="n">
        <f aca="false">Construction!AW14*(Construction!AW30+Construction!AW36+Inputs!$F$107/12+Inputs!AW233*(Inputs!$F$97/100/12-Construction!AW17/100*Construction!AW11/360)+Inputs!$F$99*Inputs!$F$100/100*Construction!AW11/360+Construction!AW15*$F$17)</f>
        <v>0</v>
      </c>
      <c r="AX21" s="11" t="n">
        <f aca="false">Construction!AX14*(Construction!AX30+Construction!AX36+Inputs!$F$107/12+Inputs!AX233*(Inputs!$F$97/100/12-Construction!AX17/100*Construction!AX11/360)+Inputs!$F$99*Inputs!$F$100/100*Construction!AX11/360+Construction!AX15*$F$17)</f>
        <v>0</v>
      </c>
      <c r="AY21" s="11" t="n">
        <f aca="false">Construction!AY14*(Construction!AY30+Construction!AY36+Inputs!$F$107/12+Inputs!AY233*(Inputs!$F$97/100/12-Construction!AY17/100*Construction!AY11/360)+Inputs!$F$99*Inputs!$F$100/100*Construction!AY11/360+Construction!AY15*$F$17)</f>
        <v>0</v>
      </c>
      <c r="AZ21" s="11" t="n">
        <f aca="false">Construction!AZ14*(Construction!AZ30+Construction!AZ36+Inputs!$F$107/12+Inputs!AZ233*(Inputs!$F$97/100/12-Construction!AZ17/100*Construction!AZ11/360)+Inputs!$F$99*Inputs!$F$100/100*Construction!AZ11/360+Construction!AZ15*$F$17)</f>
        <v>0</v>
      </c>
      <c r="BA21" s="11" t="n">
        <f aca="false">Construction!BA14*(Construction!BA30+Construction!BA36+Inputs!$F$107/12+Inputs!BA233*(Inputs!$F$97/100/12-Construction!BA17/100*Construction!BA11/360)+Inputs!$F$99*Inputs!$F$100/100*Construction!BA11/360+Construction!BA15*$F$17)</f>
        <v>0</v>
      </c>
      <c r="BB21" s="11" t="n">
        <f aca="false">Construction!BB14*(Construction!BB30+Construction!BB36+Inputs!$F$107/12+Inputs!BB233*(Inputs!$F$97/100/12-Construction!BB17/100*Construction!BB11/360)+Inputs!$F$99*Inputs!$F$100/100*Construction!BB11/360+Construction!BB15*$F$17)</f>
        <v>0</v>
      </c>
      <c r="BC21" s="11" t="n">
        <f aca="false">Construction!BC14*(Construction!BC30+Construction!BC36+Inputs!$F$107/12+Inputs!BC233*(Inputs!$F$97/100/12-Construction!BC17/100*Construction!BC11/360)+Inputs!$F$99*Inputs!$F$100/100*Construction!BC11/360+Construction!BC15*$F$17)</f>
        <v>0</v>
      </c>
      <c r="BD21" s="11" t="n">
        <f aca="false">Construction!BD14*(Construction!BD30+Construction!BD36+Inputs!$F$107/12+Inputs!BD233*(Inputs!$F$97/100/12-Construction!BD17/100*Construction!BD11/360)+Inputs!$F$99*Inputs!$F$100/100*Construction!BD11/360+Construction!BD15*$F$17)</f>
        <v>0</v>
      </c>
      <c r="BE21" s="11" t="n">
        <f aca="false">Construction!BE14*(Construction!BE30+Construction!BE36+Inputs!$F$107/12+Inputs!BE233*(Inputs!$F$97/100/12-Construction!BE17/100*Construction!BE11/360)+Inputs!$F$99*Inputs!$F$100/100*Construction!BE11/360+Construction!BE15*$F$17)</f>
        <v>0</v>
      </c>
      <c r="BF21" s="11" t="n">
        <f aca="false">Construction!BF14*(Construction!BF30+Construction!BF36+Inputs!$F$107/12+Inputs!BF233*(Inputs!$F$97/100/12-Construction!BF17/100*Construction!BF11/360)+Inputs!$F$99*Inputs!$F$100/100*Construction!BF11/360+Construction!BF15*$F$17)</f>
        <v>0</v>
      </c>
      <c r="BG21" s="11" t="n">
        <f aca="false">Construction!BG14*(Construction!BG30+Construction!BG36+Inputs!$F$107/12+Inputs!BG233*(Inputs!$F$97/100/12-Construction!BG17/100*Construction!BG11/360)+Inputs!$F$99*Inputs!$F$100/100*Construction!BG11/360+Construction!BG15*$F$17)</f>
        <v>0</v>
      </c>
      <c r="BH21" s="11" t="n">
        <f aca="false">Construction!BH14*(Construction!BH30+Construction!BH36+Inputs!$F$107/12+Inputs!BH233*(Inputs!$F$97/100/12-Construction!BH17/100*Construction!BH11/360)+Inputs!$F$99*Inputs!$F$100/100*Construction!BH11/360+Construction!BH15*$F$17)</f>
        <v>0</v>
      </c>
      <c r="BI21" s="11" t="n">
        <f aca="false">Construction!BI14*(Construction!BI30+Construction!BI36+Inputs!$F$107/12+Inputs!BI233*(Inputs!$F$97/100/12-Construction!BI17/100*Construction!BI11/360)+Inputs!$F$99*Inputs!$F$100/100*Construction!BI11/360+Construction!BI15*$F$17)</f>
        <v>0</v>
      </c>
      <c r="BJ21" s="11" t="n">
        <f aca="false">Construction!BJ14*(Construction!BJ30+Construction!BJ36+Inputs!$F$107/12+Inputs!BJ233*(Inputs!$F$97/100/12-Construction!BJ17/100*Construction!BJ11/360)+Inputs!$F$99*Inputs!$F$100/100*Construction!BJ11/360+Construction!BJ15*$F$17)</f>
        <v>0</v>
      </c>
    </row>
    <row r="22" customFormat="false" ht="15" hidden="false" customHeight="false" outlineLevel="0" collapsed="false">
      <c r="D22" s="0" t="s">
        <v>580</v>
      </c>
      <c r="E22" s="0" t="s">
        <v>149</v>
      </c>
      <c r="J22" s="11" t="n">
        <f aca="false">0+Construction!J14*$F$9/$F$10*(J21+(J19-J20)*0)</f>
        <v>83.1472958601868</v>
      </c>
      <c r="K22" s="11" t="n">
        <f aca="false">J22+Construction!K14*$F$9/$F$10*(K21+(K19-K20)*J22)</f>
        <v>84.5897872517379</v>
      </c>
      <c r="L22" s="11" t="n">
        <f aca="false">K22+Construction!L14*$F$9/$F$10*(L21+(L19-L20)*K22)</f>
        <v>86.5314775442891</v>
      </c>
      <c r="M22" s="11" t="n">
        <f aca="false">L22+Construction!M14*$F$9/$F$10*(M21+(M19-M20)*L22)</f>
        <v>89.4748680230947</v>
      </c>
      <c r="N22" s="11" t="n">
        <f aca="false">M22+Construction!N14*$F$9/$F$10*(N21+(N19-N20)*M22)</f>
        <v>93.8887006875826</v>
      </c>
      <c r="O22" s="11" t="n">
        <f aca="false">N22+Construction!O14*$F$9/$F$10*(O21+(O19-O20)*N22)</f>
        <v>100.138565769989</v>
      </c>
      <c r="P22" s="11" t="n">
        <f aca="false">O22+Construction!P14*$F$9/$F$10*(P21+(P19-P20)*O22)</f>
        <v>108.472656280673</v>
      </c>
      <c r="Q22" s="11" t="n">
        <f aca="false">P22+Construction!Q14*$F$9/$F$10*(Q21+(Q19-Q20)*P22)</f>
        <v>119.116880192044</v>
      </c>
      <c r="R22" s="11" t="n">
        <f aca="false">Q22+Construction!R14*$F$9/$F$10*(R21+(R19-R20)*Q22)</f>
        <v>132.122127706019</v>
      </c>
      <c r="S22" s="11" t="n">
        <f aca="false">R22+Construction!S14*$F$9/$F$10*(S21+(S19-S20)*R22)</f>
        <v>147.501880875375</v>
      </c>
      <c r="T22" s="11" t="n">
        <f aca="false">S22+Construction!T14*$F$9/$F$10*(T21+(T19-T20)*S22)</f>
        <v>165.132356660884</v>
      </c>
      <c r="U22" s="11" t="n">
        <f aca="false">T22+Construction!U14*$F$9/$F$10*(U21+(U19-U20)*T22)</f>
        <v>184.890827725612</v>
      </c>
      <c r="V22" s="11" t="n">
        <f aca="false">U22+Construction!V14*$F$9/$F$10*(V21+(V19-V20)*U22)</f>
        <v>206.534115886957</v>
      </c>
      <c r="W22" s="11" t="n">
        <f aca="false">V22+Construction!W14*$F$9/$F$10*(W21+(W19-W20)*V22)</f>
        <v>229.759733600122</v>
      </c>
      <c r="X22" s="11" t="n">
        <f aca="false">W22+Construction!X14*$F$9/$F$10*(X21+(X19-X20)*W22)</f>
        <v>254.267945954304</v>
      </c>
      <c r="Y22" s="11" t="n">
        <f aca="false">X22+Construction!Y14*$F$9/$F$10*(Y21+(Y19-Y20)*X22)</f>
        <v>279.654927920348</v>
      </c>
      <c r="Z22" s="11" t="n">
        <f aca="false">Y22+Construction!Z14*$F$9/$F$10*(Z21+(Z19-Z20)*Y22)</f>
        <v>305.567921486741</v>
      </c>
      <c r="AA22" s="11" t="n">
        <f aca="false">Z22+Construction!AA14*$F$9/$F$10*(AA21+(AA19-AA20)*Z22)</f>
        <v>332.464258691782</v>
      </c>
      <c r="AB22" s="11" t="n">
        <f aca="false">AA22+Construction!AB14*$F$9/$F$10*(AB21+(AB19-AB20)*AA22)</f>
        <v>358.128186657326</v>
      </c>
      <c r="AC22" s="11" t="n">
        <f aca="false">AB22+Construction!AC14*$F$9/$F$10*(AC21+(AC19-AC20)*AB22)</f>
        <v>383.141316316476</v>
      </c>
      <c r="AD22" s="11" t="n">
        <f aca="false">AC22+Construction!AD14*$F$9/$F$10*(AD21+(AD19-AD20)*AC22)</f>
        <v>407.046186967856</v>
      </c>
      <c r="AE22" s="11" t="n">
        <f aca="false">AD22+Construction!AE14*$F$9/$F$10*(AE21+(AE19-AE20)*AD22)</f>
        <v>429.559444740341</v>
      </c>
      <c r="AF22" s="11" t="n">
        <f aca="false">AE22+Construction!AF14*$F$9/$F$10*(AF21+(AF19-AF20)*AE22)</f>
        <v>450.318399233825</v>
      </c>
      <c r="AG22" s="11" t="n">
        <f aca="false">AF22+Construction!AG14*$F$9/$F$10*(AG21+(AG19-AG20)*AF22)</f>
        <v>469.146453657566</v>
      </c>
      <c r="AH22" s="11" t="n">
        <f aca="false">AG22+Construction!AH14*$F$9/$F$10*(AH21+(AH19-AH20)*AG22)</f>
        <v>485.827785662566</v>
      </c>
      <c r="AI22" s="11" t="n">
        <f aca="false">AH22+Construction!AI14*$F$9/$F$10*(AI21+(AI19-AI20)*AH22)</f>
        <v>500.218576242731</v>
      </c>
      <c r="AJ22" s="11" t="n">
        <f aca="false">AI22+Construction!AJ14*$F$9/$F$10*(AJ21+(AJ19-AJ20)*AI22)</f>
        <v>512.368583747398</v>
      </c>
      <c r="AK22" s="11" t="n">
        <f aca="false">AJ22+Construction!AK14*$F$9/$F$10*(AK21+(AK19-AK20)*AJ22)</f>
        <v>522.267852061306</v>
      </c>
      <c r="AL22" s="11" t="n">
        <f aca="false">AK22+Construction!AL14*$F$9/$F$10*(AL21+(AL19-AL20)*AK22)</f>
        <v>530.154749853881</v>
      </c>
      <c r="AM22" s="11" t="n">
        <f aca="false">AL22+Construction!AM14*$F$9/$F$10*(AM21+(AM19-AM20)*AL22)</f>
        <v>536.252307131536</v>
      </c>
      <c r="AN22" s="11" t="n">
        <f aca="false">AM22+Construction!AN14*$F$9/$F$10*(AN21+(AN19-AN20)*AM22)</f>
        <v>540.79555933258</v>
      </c>
      <c r="AO22" s="11" t="n">
        <f aca="false">AN22+Construction!AO14*$F$9/$F$10*(AO21+(AO19-AO20)*AN22)</f>
        <v>544.468784431638</v>
      </c>
      <c r="AP22" s="11" t="n">
        <f aca="false">AO22+Construction!AP14*$F$9/$F$10*(AP21+(AP19-AP20)*AO22)</f>
        <v>584.707186262926</v>
      </c>
      <c r="AQ22" s="11" t="n">
        <f aca="false">AP22+Construction!AQ14*$F$9/$F$10*(AQ21+(AQ19-AQ20)*AP22)</f>
        <v>586.554409369774</v>
      </c>
      <c r="AR22" s="11" t="n">
        <f aca="false">AQ22+Construction!AR14*$F$9/$F$10*(AR21+(AR19-AR20)*AQ22)</f>
        <v>588.771480631791</v>
      </c>
      <c r="AS22" s="11" t="n">
        <f aca="false">AR22+Construction!AS14*$F$9/$F$10*(AS21+(AS19-AS20)*AR22)</f>
        <v>588.771480631791</v>
      </c>
      <c r="AT22" s="11" t="n">
        <f aca="false">AS22+Construction!AT14*$F$9/$F$10*(AT21+(AT19-AT20)*AS22)</f>
        <v>588.771480631791</v>
      </c>
      <c r="AU22" s="11" t="n">
        <f aca="false">AT22+Construction!AU14*$F$9/$F$10*(AU21+(AU19-AU20)*AT22)</f>
        <v>588.771480631791</v>
      </c>
      <c r="AV22" s="11" t="n">
        <f aca="false">AU22+Construction!AV14*$F$9/$F$10*(AV21+(AV19-AV20)*AU22)</f>
        <v>588.771480631791</v>
      </c>
      <c r="AW22" s="11" t="n">
        <f aca="false">AV22+Construction!AW14*$F$9/$F$10*(AW21+(AW19-AW20)*AV22)</f>
        <v>588.771480631791</v>
      </c>
      <c r="AX22" s="11" t="n">
        <f aca="false">AW22+Construction!AX14*$F$9/$F$10*(AX21+(AX19-AX20)*AW22)</f>
        <v>588.771480631791</v>
      </c>
      <c r="AY22" s="11" t="n">
        <f aca="false">AX22+Construction!AY14*$F$9/$F$10*(AY21+(AY19-AY20)*AX22)</f>
        <v>588.771480631791</v>
      </c>
      <c r="AZ22" s="11" t="n">
        <f aca="false">AY22+Construction!AZ14*$F$9/$F$10*(AZ21+(AZ19-AZ20)*AY22)</f>
        <v>588.771480631791</v>
      </c>
      <c r="BA22" s="11" t="n">
        <f aca="false">AZ22+Construction!BA14*$F$9/$F$10*(BA21+(BA19-BA20)*AZ22)</f>
        <v>588.771480631791</v>
      </c>
      <c r="BB22" s="11" t="n">
        <f aca="false">BA22+Construction!BB14*$F$9/$F$10*(BB21+(BB19-BB20)*BA22)</f>
        <v>588.771480631791</v>
      </c>
      <c r="BC22" s="11" t="n">
        <f aca="false">BB22+Construction!BC14*$F$9/$F$10*(BC21+(BC19-BC20)*BB22)</f>
        <v>588.771480631791</v>
      </c>
      <c r="BD22" s="11" t="n">
        <f aca="false">BC22+Construction!BD14*$F$9/$F$10*(BD21+(BD19-BD20)*BC22)</f>
        <v>588.771480631791</v>
      </c>
      <c r="BE22" s="11" t="n">
        <f aca="false">BD22+Construction!BE14*$F$9/$F$10*(BE21+(BE19-BE20)*BD22)</f>
        <v>588.771480631791</v>
      </c>
      <c r="BF22" s="11" t="n">
        <f aca="false">BE22+Construction!BF14*$F$9/$F$10*(BF21+(BF19-BF20)*BE22)</f>
        <v>588.771480631791</v>
      </c>
      <c r="BG22" s="11" t="n">
        <f aca="false">BF22+Construction!BG14*$F$9/$F$10*(BG21+(BG19-BG20)*BF22)</f>
        <v>588.771480631791</v>
      </c>
      <c r="BH22" s="11" t="n">
        <f aca="false">BG22+Construction!BH14*$F$9/$F$10*(BH21+(BH19-BH20)*BG22)</f>
        <v>588.771480631791</v>
      </c>
      <c r="BI22" s="11" t="n">
        <f aca="false">BH22+Construction!BI14*$F$9/$F$10*(BI21+(BI19-BI20)*BH22)</f>
        <v>588.771480631791</v>
      </c>
      <c r="BJ22" s="11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581</v>
      </c>
      <c r="E23" s="0" t="s">
        <v>99</v>
      </c>
      <c r="J23" s="14" t="n">
        <f aca="false">0+Construction!J14*$F$9/$F$10*(J19*0+J20*($F$9-0)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4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4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4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4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4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4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4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4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4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4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4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4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4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4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4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4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4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4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4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4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4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4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4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4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4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4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4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4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4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4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4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4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4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0.0624350564105539</v>
      </c>
      <c r="AR23" s="14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0.0631546380789436</v>
      </c>
      <c r="AS23" s="14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0.0631546380789436</v>
      </c>
      <c r="AT23" s="14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0.0631546380789436</v>
      </c>
      <c r="AU23" s="14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0.0631546380789436</v>
      </c>
      <c r="AV23" s="14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0.0631546380789436</v>
      </c>
      <c r="AW23" s="14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0.0631546380789436</v>
      </c>
      <c r="AX23" s="14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0.0631546380789436</v>
      </c>
      <c r="AY23" s="14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0.0631546380789436</v>
      </c>
      <c r="AZ23" s="14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0.0631546380789436</v>
      </c>
      <c r="BA23" s="14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0.0631546380789436</v>
      </c>
      <c r="BB23" s="14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0.0631546380789436</v>
      </c>
      <c r="BC23" s="14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0.0631546380789436</v>
      </c>
      <c r="BD23" s="14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0.0631546380789436</v>
      </c>
      <c r="BE23" s="14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0.0631546380789436</v>
      </c>
      <c r="BF23" s="14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0.0631546380789436</v>
      </c>
      <c r="BG23" s="14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0.0631546380789436</v>
      </c>
      <c r="BH23" s="14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0.0631546380789436</v>
      </c>
      <c r="BI23" s="14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0.0631546380789436</v>
      </c>
      <c r="BJ23" s="14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0.0631546380789436</v>
      </c>
    </row>
    <row r="24" customFormat="false" ht="15" hidden="false" customHeight="false" outlineLevel="0" collapsed="false">
      <c r="D24" s="0" t="s">
        <v>582</v>
      </c>
      <c r="E24" s="0" t="s">
        <v>149</v>
      </c>
      <c r="F24" s="15" t="n">
        <f aca="false">INDEX(Funding!$J$22:$BJ$22,1,Time!$F$13)/(Funding!$F$9-INDEX(Funding!$J$23:$BJ$23,1,Time!$F$13))</f>
        <v>857.21111806745</v>
      </c>
    </row>
    <row r="25" customFormat="false" ht="15" hidden="false" customHeight="false" outlineLevel="0" collapsed="false">
      <c r="D25" s="0" t="s">
        <v>583</v>
      </c>
      <c r="E25" s="0" t="s">
        <v>149</v>
      </c>
      <c r="F25" s="15" t="n">
        <f aca="false">IF(Inputs!$F$51=2,Funding!$F$8*Funding!$F$24,Inputs!$F$113)</f>
        <v>633.255975542774</v>
      </c>
    </row>
    <row r="26" customFormat="false" ht="15" hidden="false" customHeight="false" outlineLevel="0" collapsed="false">
      <c r="D26" s="0" t="s">
        <v>584</v>
      </c>
      <c r="E26" s="0" t="s">
        <v>109</v>
      </c>
      <c r="F26" s="10" t="n">
        <f aca="false">$F$8</f>
        <v>0.740572531284416</v>
      </c>
    </row>
    <row r="27" customFormat="false" ht="15" hidden="false" customHeight="false" outlineLevel="0" collapsed="false">
      <c r="B27" s="2" t="s">
        <v>585</v>
      </c>
    </row>
    <row r="28" customFormat="false" ht="15" hidden="false" customHeight="false" outlineLevel="0" collapsed="false">
      <c r="D28" s="0" t="s">
        <v>586</v>
      </c>
      <c r="E28" s="0" t="s">
        <v>149</v>
      </c>
      <c r="J28" s="11" t="n">
        <f aca="false">0</f>
        <v>0</v>
      </c>
      <c r="K28" s="11" t="n">
        <f aca="false">J61</f>
        <v>27.0143605485376</v>
      </c>
      <c r="L28" s="11" t="n">
        <f aca="false">K61</f>
        <v>27.5695773059137</v>
      </c>
      <c r="M28" s="11" t="n">
        <f aca="false">L61</f>
        <v>28.2773158474081</v>
      </c>
      <c r="N28" s="11" t="n">
        <f aca="false">M61</f>
        <v>29.2778305475518</v>
      </c>
      <c r="O28" s="11" t="n">
        <f aca="false">N61</f>
        <v>30.7184974274133</v>
      </c>
      <c r="P28" s="11" t="n">
        <f aca="false">O61</f>
        <v>32.7037510289397</v>
      </c>
      <c r="Q28" s="11" t="n">
        <f aca="false">P61</f>
        <v>35.2935701625513</v>
      </c>
      <c r="R28" s="11" t="n">
        <f aca="false">Q61</f>
        <v>38.5808781243885</v>
      </c>
      <c r="S28" s="11" t="n">
        <f aca="false">R61</f>
        <v>42.5633405306353</v>
      </c>
      <c r="T28" s="11" t="n">
        <f aca="false">S61</f>
        <v>47.25364486873</v>
      </c>
      <c r="U28" s="11" t="n">
        <f aca="false">T61</f>
        <v>52.606356870313</v>
      </c>
      <c r="V28" s="11" t="n">
        <f aca="false">U61</f>
        <v>58.5941789800537</v>
      </c>
      <c r="W28" s="11" t="n">
        <f aca="false">V61</f>
        <v>65.1403884672871</v>
      </c>
      <c r="X28" s="11" t="n">
        <f aca="false">W61</f>
        <v>72.1509604086586</v>
      </c>
      <c r="Y28" s="11" t="n">
        <f aca="false">X61</f>
        <v>79.5459361278171</v>
      </c>
      <c r="Z28" s="11" t="n">
        <f aca="false">Y61</f>
        <v>87.1968746106349</v>
      </c>
      <c r="AA28" s="11" t="n">
        <f aca="false">Z61</f>
        <v>95.0081457223257</v>
      </c>
      <c r="AB28" s="11" t="n">
        <f aca="false">AA61</f>
        <v>103.110941776807</v>
      </c>
      <c r="AC28" s="11" t="n">
        <f aca="false">AB61</f>
        <v>110.840005565615</v>
      </c>
      <c r="AD28" s="11" t="n">
        <f aca="false">AC61</f>
        <v>118.385358322786</v>
      </c>
      <c r="AE28" s="11" t="n">
        <f aca="false">AD61</f>
        <v>125.598214100278</v>
      </c>
      <c r="AF28" s="11" t="n">
        <f aca="false">AE61</f>
        <v>132.40357932969</v>
      </c>
      <c r="AG28" s="11" t="n">
        <f aca="false">AF61</f>
        <v>138.685157188152</v>
      </c>
      <c r="AH28" s="11" t="n">
        <f aca="false">AG61</f>
        <v>144.399698782452</v>
      </c>
      <c r="AI28" s="11" t="n">
        <f aca="false">AH61</f>
        <v>149.478771573439</v>
      </c>
      <c r="AJ28" s="11" t="n">
        <f aca="false">AI61</f>
        <v>153.875320923412</v>
      </c>
      <c r="AK28" s="11" t="n">
        <f aca="false">AJ61</f>
        <v>157.613094467536</v>
      </c>
      <c r="AL28" s="11" t="n">
        <f aca="false">AK61</f>
        <v>160.680179388032</v>
      </c>
      <c r="AM28" s="11" t="n">
        <f aca="false">AL61</f>
        <v>163.156219622677</v>
      </c>
      <c r="AN28" s="11" t="n">
        <f aca="false">AM61</f>
        <v>165.102876179334</v>
      </c>
      <c r="AO28" s="11" t="n">
        <f aca="false">AN61</f>
        <v>166.576014178828</v>
      </c>
      <c r="AP28" s="11" t="n">
        <f aca="false">AO61</f>
        <v>167.805613265118</v>
      </c>
      <c r="AQ28" s="11" t="n">
        <f aca="false">AP61</f>
        <v>179.859372115354</v>
      </c>
      <c r="AR28" s="11" t="n">
        <f aca="false">AQ61</f>
        <v>189.15009701887</v>
      </c>
      <c r="AS28" s="11" t="n">
        <f aca="false">AR61</f>
        <v>189.976792662832</v>
      </c>
      <c r="AT28" s="11" t="n">
        <f aca="false">AS61</f>
        <v>189.976792662832</v>
      </c>
      <c r="AU28" s="11" t="n">
        <f aca="false">AT61</f>
        <v>189.976792662832</v>
      </c>
      <c r="AV28" s="11" t="n">
        <f aca="false">AU61</f>
        <v>189.976792662832</v>
      </c>
      <c r="AW28" s="11" t="n">
        <f aca="false">AV61</f>
        <v>189.976792662832</v>
      </c>
      <c r="AX28" s="11" t="n">
        <f aca="false">AW61</f>
        <v>189.976792662832</v>
      </c>
      <c r="AY28" s="11" t="n">
        <f aca="false">AX61</f>
        <v>189.976792662832</v>
      </c>
      <c r="AZ28" s="11" t="n">
        <f aca="false">AY61</f>
        <v>189.976792662832</v>
      </c>
      <c r="BA28" s="11" t="n">
        <f aca="false">AZ61</f>
        <v>189.976792662832</v>
      </c>
      <c r="BB28" s="11" t="n">
        <f aca="false">BA61</f>
        <v>189.976792662832</v>
      </c>
      <c r="BC28" s="11" t="n">
        <f aca="false">BB61</f>
        <v>189.976792662832</v>
      </c>
      <c r="BD28" s="11" t="n">
        <f aca="false">BC61</f>
        <v>189.976792662832</v>
      </c>
      <c r="BE28" s="11" t="n">
        <f aca="false">BD61</f>
        <v>189.976792662832</v>
      </c>
      <c r="BF28" s="11" t="n">
        <f aca="false">BE61</f>
        <v>189.976792662832</v>
      </c>
      <c r="BG28" s="11" t="n">
        <f aca="false">BF61</f>
        <v>189.976792662832</v>
      </c>
      <c r="BH28" s="11" t="n">
        <f aca="false">BG61</f>
        <v>189.976792662832</v>
      </c>
      <c r="BI28" s="11" t="n">
        <f aca="false">BH61</f>
        <v>189.976792662832</v>
      </c>
      <c r="BJ28" s="11" t="n">
        <f aca="false">BI61</f>
        <v>189.976792662832</v>
      </c>
    </row>
    <row r="29" customFormat="false" ht="15" hidden="false" customHeight="false" outlineLevel="0" collapsed="false">
      <c r="D29" s="0" t="s">
        <v>587</v>
      </c>
      <c r="E29" s="0" t="s">
        <v>149</v>
      </c>
      <c r="J29" s="11" t="n">
        <f aca="false">0</f>
        <v>0</v>
      </c>
      <c r="K29" s="11" t="n">
        <f aca="false">J62</f>
        <v>19.8105310689276</v>
      </c>
      <c r="L29" s="11" t="n">
        <f aca="false">K62</f>
        <v>20.2176900243367</v>
      </c>
      <c r="M29" s="11" t="n">
        <f aca="false">L62</f>
        <v>20.7366982880993</v>
      </c>
      <c r="N29" s="11" t="n">
        <f aca="false">M62</f>
        <v>21.4704090682047</v>
      </c>
      <c r="O29" s="11" t="n">
        <f aca="false">N62</f>
        <v>22.5268981134365</v>
      </c>
      <c r="P29" s="11" t="n">
        <f aca="false">O62</f>
        <v>23.9827507545558</v>
      </c>
      <c r="Q29" s="11" t="n">
        <f aca="false">P62</f>
        <v>25.8819514525376</v>
      </c>
      <c r="R29" s="11" t="n">
        <f aca="false">Q62</f>
        <v>28.2926439578849</v>
      </c>
      <c r="S29" s="11" t="n">
        <f aca="false">R62</f>
        <v>31.2131163891325</v>
      </c>
      <c r="T29" s="11" t="n">
        <f aca="false">S62</f>
        <v>34.6526729037354</v>
      </c>
      <c r="U29" s="11" t="n">
        <f aca="false">T62</f>
        <v>38.5779950382296</v>
      </c>
      <c r="V29" s="11" t="n">
        <f aca="false">U62</f>
        <v>42.9690645853727</v>
      </c>
      <c r="W29" s="11" t="n">
        <f aca="false">V62</f>
        <v>47.7696182093439</v>
      </c>
      <c r="X29" s="11" t="n">
        <f aca="false">W62</f>
        <v>52.910704299683</v>
      </c>
      <c r="Y29" s="11" t="n">
        <f aca="false">X62</f>
        <v>58.3336864937326</v>
      </c>
      <c r="Z29" s="11" t="n">
        <f aca="false">Y62</f>
        <v>63.9443747144656</v>
      </c>
      <c r="AA29" s="11" t="n">
        <f aca="false">Z62</f>
        <v>69.6726401963722</v>
      </c>
      <c r="AB29" s="11" t="n">
        <f aca="false">AA62</f>
        <v>75.6146906363249</v>
      </c>
      <c r="AC29" s="11" t="n">
        <f aca="false">AB62</f>
        <v>81.2826707481177</v>
      </c>
      <c r="AD29" s="11" t="n">
        <f aca="false">AC62</f>
        <v>86.8159294367101</v>
      </c>
      <c r="AE29" s="11" t="n">
        <f aca="false">AD62</f>
        <v>92.1053570068706</v>
      </c>
      <c r="AF29" s="11" t="n">
        <f aca="false">AE62</f>
        <v>97.0959581751059</v>
      </c>
      <c r="AG29" s="11" t="n">
        <f aca="false">AF62</f>
        <v>101.702448604644</v>
      </c>
      <c r="AH29" s="11" t="n">
        <f aca="false">AG62</f>
        <v>105.893112440465</v>
      </c>
      <c r="AI29" s="11" t="n">
        <f aca="false">AH62</f>
        <v>109.617765820522</v>
      </c>
      <c r="AJ29" s="11" t="n">
        <f aca="false">AI62</f>
        <v>112.841902010502</v>
      </c>
      <c r="AK29" s="11" t="n">
        <f aca="false">AJ62</f>
        <v>115.58293594286</v>
      </c>
      <c r="AL29" s="11" t="n">
        <f aca="false">AK62</f>
        <v>117.832131551223</v>
      </c>
      <c r="AM29" s="11" t="n">
        <f aca="false">AL62</f>
        <v>119.647894389963</v>
      </c>
      <c r="AN29" s="11" t="n">
        <f aca="false">AM62</f>
        <v>121.075442531512</v>
      </c>
      <c r="AO29" s="11" t="n">
        <f aca="false">AN62</f>
        <v>122.155743731141</v>
      </c>
      <c r="AP29" s="11" t="n">
        <f aca="false">AO62</f>
        <v>123.057449727754</v>
      </c>
      <c r="AQ29" s="11" t="n">
        <f aca="false">AP62</f>
        <v>131.896872884593</v>
      </c>
      <c r="AR29" s="11" t="n">
        <f aca="false">AQ62</f>
        <v>138.710071147171</v>
      </c>
      <c r="AS29" s="11" t="n">
        <f aca="false">AR62</f>
        <v>139.31631461941</v>
      </c>
      <c r="AT29" s="11" t="n">
        <f aca="false">AS62</f>
        <v>139.31631461941</v>
      </c>
      <c r="AU29" s="11" t="n">
        <f aca="false">AT62</f>
        <v>139.31631461941</v>
      </c>
      <c r="AV29" s="11" t="n">
        <f aca="false">AU62</f>
        <v>139.31631461941</v>
      </c>
      <c r="AW29" s="11" t="n">
        <f aca="false">AV62</f>
        <v>139.31631461941</v>
      </c>
      <c r="AX29" s="11" t="n">
        <f aca="false">AW62</f>
        <v>139.31631461941</v>
      </c>
      <c r="AY29" s="11" t="n">
        <f aca="false">AX62</f>
        <v>139.31631461941</v>
      </c>
      <c r="AZ29" s="11" t="n">
        <f aca="false">AY62</f>
        <v>139.31631461941</v>
      </c>
      <c r="BA29" s="11" t="n">
        <f aca="false">AZ62</f>
        <v>139.31631461941</v>
      </c>
      <c r="BB29" s="11" t="n">
        <f aca="false">BA62</f>
        <v>139.31631461941</v>
      </c>
      <c r="BC29" s="11" t="n">
        <f aca="false">BB62</f>
        <v>139.31631461941</v>
      </c>
      <c r="BD29" s="11" t="n">
        <f aca="false">BC62</f>
        <v>139.31631461941</v>
      </c>
      <c r="BE29" s="11" t="n">
        <f aca="false">BD62</f>
        <v>139.31631461941</v>
      </c>
      <c r="BF29" s="11" t="n">
        <f aca="false">BE62</f>
        <v>139.31631461941</v>
      </c>
      <c r="BG29" s="11" t="n">
        <f aca="false">BF62</f>
        <v>139.31631461941</v>
      </c>
      <c r="BH29" s="11" t="n">
        <f aca="false">BG62</f>
        <v>139.31631461941</v>
      </c>
      <c r="BI29" s="11" t="n">
        <f aca="false">BH62</f>
        <v>139.31631461941</v>
      </c>
      <c r="BJ29" s="11" t="n">
        <f aca="false">BI62</f>
        <v>139.31631461941</v>
      </c>
    </row>
    <row r="30" customFormat="false" ht="15" hidden="false" customHeight="false" outlineLevel="0" collapsed="false">
      <c r="D30" s="0" t="s">
        <v>588</v>
      </c>
      <c r="E30" s="0" t="s">
        <v>149</v>
      </c>
      <c r="J30" s="11" t="n">
        <f aca="false">0</f>
        <v>0</v>
      </c>
      <c r="K30" s="11" t="n">
        <f aca="false">J63</f>
        <v>9.00478684951255</v>
      </c>
      <c r="L30" s="11" t="n">
        <f aca="false">K63</f>
        <v>9.18985910197123</v>
      </c>
      <c r="M30" s="11" t="n">
        <f aca="false">L63</f>
        <v>9.42577194913603</v>
      </c>
      <c r="N30" s="11" t="n">
        <f aca="false">M63</f>
        <v>9.75927684918395</v>
      </c>
      <c r="O30" s="11" t="n">
        <f aca="false">N63</f>
        <v>10.2394991424711</v>
      </c>
      <c r="P30" s="11" t="n">
        <f aca="false">O63</f>
        <v>10.9012503429799</v>
      </c>
      <c r="Q30" s="11" t="n">
        <f aca="false">P63</f>
        <v>11.7645233875171</v>
      </c>
      <c r="R30" s="11" t="n">
        <f aca="false">Q63</f>
        <v>12.8602927081295</v>
      </c>
      <c r="S30" s="11" t="n">
        <f aca="false">R63</f>
        <v>14.1877801768784</v>
      </c>
      <c r="T30" s="11" t="n">
        <f aca="false">S63</f>
        <v>15.7512149562433</v>
      </c>
      <c r="U30" s="11" t="n">
        <f aca="false">T63</f>
        <v>17.5354522901043</v>
      </c>
      <c r="V30" s="11" t="n">
        <f aca="false">U63</f>
        <v>19.5313929933512</v>
      </c>
      <c r="W30" s="11" t="n">
        <f aca="false">V63</f>
        <v>21.713462822429</v>
      </c>
      <c r="X30" s="11" t="n">
        <f aca="false">W63</f>
        <v>24.0503201362195</v>
      </c>
      <c r="Y30" s="11" t="n">
        <f aca="false">X63</f>
        <v>26.5153120426057</v>
      </c>
      <c r="Z30" s="11" t="n">
        <f aca="false">Y63</f>
        <v>29.0656248702116</v>
      </c>
      <c r="AA30" s="11" t="n">
        <f aca="false">Z63</f>
        <v>31.6693819074419</v>
      </c>
      <c r="AB30" s="11" t="n">
        <f aca="false">AA63</f>
        <v>34.3703139256022</v>
      </c>
      <c r="AC30" s="11" t="n">
        <f aca="false">AB63</f>
        <v>36.9466685218717</v>
      </c>
      <c r="AD30" s="11" t="n">
        <f aca="false">AC63</f>
        <v>39.4617861075955</v>
      </c>
      <c r="AE30" s="11" t="n">
        <f aca="false">AD63</f>
        <v>41.8660713667593</v>
      </c>
      <c r="AF30" s="11" t="n">
        <f aca="false">AE63</f>
        <v>44.1345264432299</v>
      </c>
      <c r="AG30" s="11" t="n">
        <f aca="false">AF63</f>
        <v>46.2283857293838</v>
      </c>
      <c r="AH30" s="11" t="n">
        <f aca="false">AG63</f>
        <v>48.1332329274839</v>
      </c>
      <c r="AI30" s="11" t="n">
        <f aca="false">AH63</f>
        <v>49.8262571911463</v>
      </c>
      <c r="AJ30" s="11" t="n">
        <f aca="false">AI63</f>
        <v>51.2917736411373</v>
      </c>
      <c r="AK30" s="11" t="n">
        <f aca="false">AJ63</f>
        <v>52.5376981558454</v>
      </c>
      <c r="AL30" s="11" t="n">
        <f aca="false">AK63</f>
        <v>53.5600597960105</v>
      </c>
      <c r="AM30" s="11" t="n">
        <f aca="false">AL63</f>
        <v>54.3854065408923</v>
      </c>
      <c r="AN30" s="11" t="n">
        <f aca="false">AM63</f>
        <v>55.0342920597781</v>
      </c>
      <c r="AO30" s="11" t="n">
        <f aca="false">AN63</f>
        <v>55.5253380596093</v>
      </c>
      <c r="AP30" s="11" t="n">
        <f aca="false">AO63</f>
        <v>55.9352044217061</v>
      </c>
      <c r="AQ30" s="11" t="n">
        <f aca="false">AP63</f>
        <v>59.9531240384514</v>
      </c>
      <c r="AR30" s="11" t="n">
        <f aca="false">AQ63</f>
        <v>63.0500323396234</v>
      </c>
      <c r="AS30" s="11" t="n">
        <f aca="false">AR63</f>
        <v>63.3255975542774</v>
      </c>
      <c r="AT30" s="11" t="n">
        <f aca="false">AS63</f>
        <v>63.3255975542774</v>
      </c>
      <c r="AU30" s="11" t="n">
        <f aca="false">AT63</f>
        <v>63.3255975542774</v>
      </c>
      <c r="AV30" s="11" t="n">
        <f aca="false">AU63</f>
        <v>63.3255975542774</v>
      </c>
      <c r="AW30" s="11" t="n">
        <f aca="false">AV63</f>
        <v>63.3255975542774</v>
      </c>
      <c r="AX30" s="11" t="n">
        <f aca="false">AW63</f>
        <v>63.3255975542774</v>
      </c>
      <c r="AY30" s="11" t="n">
        <f aca="false">AX63</f>
        <v>63.3255975542774</v>
      </c>
      <c r="AZ30" s="11" t="n">
        <f aca="false">AY63</f>
        <v>63.3255975542774</v>
      </c>
      <c r="BA30" s="11" t="n">
        <f aca="false">AZ63</f>
        <v>63.3255975542774</v>
      </c>
      <c r="BB30" s="11" t="n">
        <f aca="false">BA63</f>
        <v>63.3255975542774</v>
      </c>
      <c r="BC30" s="11" t="n">
        <f aca="false">BB63</f>
        <v>63.3255975542774</v>
      </c>
      <c r="BD30" s="11" t="n">
        <f aca="false">BC63</f>
        <v>63.3255975542774</v>
      </c>
      <c r="BE30" s="11" t="n">
        <f aca="false">BD63</f>
        <v>63.3255975542774</v>
      </c>
      <c r="BF30" s="11" t="n">
        <f aca="false">BE63</f>
        <v>63.3255975542774</v>
      </c>
      <c r="BG30" s="11" t="n">
        <f aca="false">BF63</f>
        <v>63.3255975542774</v>
      </c>
      <c r="BH30" s="11" t="n">
        <f aca="false">BG63</f>
        <v>63.3255975542774</v>
      </c>
      <c r="BI30" s="11" t="n">
        <f aca="false">BH63</f>
        <v>63.3255975542774</v>
      </c>
      <c r="BJ30" s="11" t="n">
        <f aca="false">BI63</f>
        <v>63.3255975542774</v>
      </c>
    </row>
    <row r="31" customFormat="false" ht="15" hidden="false" customHeight="false" outlineLevel="0" collapsed="false">
      <c r="D31" s="0" t="s">
        <v>589</v>
      </c>
      <c r="E31" s="0" t="s">
        <v>149</v>
      </c>
      <c r="J31" s="11" t="n">
        <f aca="false">0</f>
        <v>0</v>
      </c>
      <c r="K31" s="11" t="n">
        <f aca="false">J64</f>
        <v>34.2181900281477</v>
      </c>
      <c r="L31" s="11" t="n">
        <f aca="false">K64</f>
        <v>34.9214645874907</v>
      </c>
      <c r="M31" s="11" t="n">
        <f aca="false">L64</f>
        <v>35.8179334067169</v>
      </c>
      <c r="N31" s="11" t="n">
        <f aca="false">M64</f>
        <v>37.085252026899</v>
      </c>
      <c r="O31" s="11" t="n">
        <f aca="false">N64</f>
        <v>38.9100967413902</v>
      </c>
      <c r="P31" s="11" t="n">
        <f aca="false">O64</f>
        <v>41.4247513033236</v>
      </c>
      <c r="Q31" s="11" t="n">
        <f aca="false">P64</f>
        <v>44.705188872565</v>
      </c>
      <c r="R31" s="11" t="n">
        <f aca="false">Q64</f>
        <v>48.8691122908921</v>
      </c>
      <c r="S31" s="11" t="n">
        <f aca="false">R64</f>
        <v>53.913564672138</v>
      </c>
      <c r="T31" s="11" t="n">
        <f aca="false">S64</f>
        <v>59.8546168337247</v>
      </c>
      <c r="U31" s="11" t="n">
        <f aca="false">T64</f>
        <v>66.6347187023965</v>
      </c>
      <c r="V31" s="11" t="n">
        <f aca="false">U64</f>
        <v>74.2192933747346</v>
      </c>
      <c r="W31" s="11" t="n">
        <f aca="false">V64</f>
        <v>82.5111587252303</v>
      </c>
      <c r="X31" s="11" t="n">
        <f aca="false">W64</f>
        <v>91.3912165176342</v>
      </c>
      <c r="Y31" s="11" t="n">
        <f aca="false">X64</f>
        <v>100.758185761902</v>
      </c>
      <c r="Z31" s="11" t="n">
        <f aca="false">Y64</f>
        <v>110.449374506804</v>
      </c>
      <c r="AA31" s="11" t="n">
        <f aca="false">Z64</f>
        <v>120.343651248279</v>
      </c>
      <c r="AB31" s="11" t="n">
        <f aca="false">AA64</f>
        <v>130.607192917288</v>
      </c>
      <c r="AC31" s="11" t="n">
        <f aca="false">AB64</f>
        <v>140.397340383112</v>
      </c>
      <c r="AD31" s="11" t="n">
        <f aca="false">AC64</f>
        <v>149.954787208863</v>
      </c>
      <c r="AE31" s="11" t="n">
        <f aca="false">AD64</f>
        <v>159.091071193685</v>
      </c>
      <c r="AF31" s="11" t="n">
        <f aca="false">AE64</f>
        <v>167.711200484274</v>
      </c>
      <c r="AG31" s="11" t="n">
        <f aca="false">AF64</f>
        <v>175.667865771659</v>
      </c>
      <c r="AH31" s="11" t="n">
        <f aca="false">AG64</f>
        <v>182.906285124439</v>
      </c>
      <c r="AI31" s="11" t="n">
        <f aca="false">AH64</f>
        <v>189.339777326356</v>
      </c>
      <c r="AJ31" s="11" t="n">
        <f aca="false">AI64</f>
        <v>194.908739836322</v>
      </c>
      <c r="AK31" s="11" t="n">
        <f aca="false">AJ64</f>
        <v>199.643252992213</v>
      </c>
      <c r="AL31" s="11" t="n">
        <f aca="false">AK64</f>
        <v>203.52822722484</v>
      </c>
      <c r="AM31" s="11" t="n">
        <f aca="false">AL64</f>
        <v>206.664544855391</v>
      </c>
      <c r="AN31" s="11" t="n">
        <f aca="false">AM64</f>
        <v>209.130309827157</v>
      </c>
      <c r="AO31" s="11" t="n">
        <f aca="false">AN64</f>
        <v>210.996284626515</v>
      </c>
      <c r="AP31" s="11" t="n">
        <f aca="false">AO64</f>
        <v>212.553776802483</v>
      </c>
      <c r="AQ31" s="11" t="n">
        <f aca="false">AP64</f>
        <v>227.821871346115</v>
      </c>
      <c r="AR31" s="11" t="n">
        <f aca="false">AQ64</f>
        <v>239.590122890569</v>
      </c>
      <c r="AS31" s="11" t="n">
        <f aca="false">AR64</f>
        <v>240.637270706254</v>
      </c>
      <c r="AT31" s="11" t="n">
        <f aca="false">AS64</f>
        <v>240.637270706254</v>
      </c>
      <c r="AU31" s="11" t="n">
        <f aca="false">AT64</f>
        <v>240.637270706254</v>
      </c>
      <c r="AV31" s="11" t="n">
        <f aca="false">AU64</f>
        <v>240.637270706254</v>
      </c>
      <c r="AW31" s="11" t="n">
        <f aca="false">AV64</f>
        <v>240.637270706254</v>
      </c>
      <c r="AX31" s="11" t="n">
        <f aca="false">AW64</f>
        <v>240.637270706254</v>
      </c>
      <c r="AY31" s="11" t="n">
        <f aca="false">AX64</f>
        <v>240.637270706254</v>
      </c>
      <c r="AZ31" s="11" t="n">
        <f aca="false">AY64</f>
        <v>240.637270706254</v>
      </c>
      <c r="BA31" s="11" t="n">
        <f aca="false">AZ64</f>
        <v>240.637270706254</v>
      </c>
      <c r="BB31" s="11" t="n">
        <f aca="false">BA64</f>
        <v>240.637270706254</v>
      </c>
      <c r="BC31" s="11" t="n">
        <f aca="false">BB64</f>
        <v>240.637270706254</v>
      </c>
      <c r="BD31" s="11" t="n">
        <f aca="false">BC64</f>
        <v>240.637270706254</v>
      </c>
      <c r="BE31" s="11" t="n">
        <f aca="false">BD64</f>
        <v>240.637270706254</v>
      </c>
      <c r="BF31" s="11" t="n">
        <f aca="false">BE64</f>
        <v>240.637270706254</v>
      </c>
      <c r="BG31" s="11" t="n">
        <f aca="false">BF64</f>
        <v>240.637270706254</v>
      </c>
      <c r="BH31" s="11" t="n">
        <f aca="false">BG64</f>
        <v>240.637270706254</v>
      </c>
      <c r="BI31" s="11" t="n">
        <f aca="false">BH64</f>
        <v>240.637270706254</v>
      </c>
      <c r="BJ31" s="11" t="n">
        <f aca="false">BI64</f>
        <v>240.637270706254</v>
      </c>
    </row>
    <row r="32" customFormat="false" ht="15" hidden="false" customHeight="false" outlineLevel="0" collapsed="false">
      <c r="D32" s="0" t="s">
        <v>590</v>
      </c>
      <c r="E32" s="0" t="s">
        <v>149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1.74223968585352E-011</v>
      </c>
      <c r="AT32" s="11" t="n">
        <f aca="false">AS65</f>
        <v>1.74223968585352E-011</v>
      </c>
      <c r="AU32" s="11" t="n">
        <f aca="false">AT65</f>
        <v>1.74223968585352E-011</v>
      </c>
      <c r="AV32" s="11" t="n">
        <f aca="false">AU65</f>
        <v>1.74223968585352E-011</v>
      </c>
      <c r="AW32" s="11" t="n">
        <f aca="false">AV65</f>
        <v>1.74223968585352E-011</v>
      </c>
      <c r="AX32" s="11" t="n">
        <f aca="false">AW65</f>
        <v>1.74223968585352E-011</v>
      </c>
      <c r="AY32" s="11" t="n">
        <f aca="false">AX65</f>
        <v>1.74223968585352E-011</v>
      </c>
      <c r="AZ32" s="11" t="n">
        <f aca="false">AY65</f>
        <v>1.74223968585352E-011</v>
      </c>
      <c r="BA32" s="11" t="n">
        <f aca="false">AZ65</f>
        <v>1.74223968585352E-011</v>
      </c>
      <c r="BB32" s="11" t="n">
        <f aca="false">BA65</f>
        <v>1.74223968585352E-011</v>
      </c>
      <c r="BC32" s="11" t="n">
        <f aca="false">BB65</f>
        <v>1.74223968585352E-011</v>
      </c>
      <c r="BD32" s="11" t="n">
        <f aca="false">BC65</f>
        <v>1.74223968585352E-011</v>
      </c>
      <c r="BE32" s="11" t="n">
        <f aca="false">BD65</f>
        <v>1.74223968585352E-011</v>
      </c>
      <c r="BF32" s="11" t="n">
        <f aca="false">BE65</f>
        <v>1.74223968585352E-011</v>
      </c>
      <c r="BG32" s="11" t="n">
        <f aca="false">BF65</f>
        <v>1.74223968585352E-011</v>
      </c>
      <c r="BH32" s="11" t="n">
        <f aca="false">BG65</f>
        <v>1.74223968585352E-011</v>
      </c>
      <c r="BI32" s="11" t="n">
        <f aca="false">BH65</f>
        <v>1.74223968585352E-011</v>
      </c>
      <c r="BJ32" s="11" t="n">
        <f aca="false">BI65</f>
        <v>1.74223968585352E-011</v>
      </c>
    </row>
    <row r="33" customFormat="false" ht="15" hidden="false" customHeight="false" outlineLevel="0" collapsed="false">
      <c r="D33" s="0" t="s">
        <v>591</v>
      </c>
      <c r="E33" s="0" t="s">
        <v>149</v>
      </c>
      <c r="G33" s="11" t="n">
        <f aca="false">SUM(J33:BJ33)</f>
        <v>12.4338223254569</v>
      </c>
      <c r="J33" s="11" t="n">
        <f aca="false">Construction!J14*J28*(Construction!J17+Inputs!$F$79)/100*Construction!J11/360*1</f>
        <v>0</v>
      </c>
      <c r="K33" s="11" t="n">
        <f aca="false">Construction!K14*K28*(Construction!K17+Inputs!$F$79)/100*Construction!K11/360*1</f>
        <v>0.0871213127690339</v>
      </c>
      <c r="L33" s="11" t="n">
        <f aca="false">Construction!L14*L28*(Construction!L17+Inputs!$F$79)/100*Construction!L11/360*1</f>
        <v>0.0918756163719574</v>
      </c>
      <c r="M33" s="11" t="n">
        <f aca="false">Construction!M14*M28*(Construction!M17+Inputs!$F$79)/100*Construction!M11/360*1</f>
        <v>0.0911943436078911</v>
      </c>
      <c r="N33" s="11" t="n">
        <f aca="false">Construction!N14*N28*(Construction!N17+Inputs!$F$79)/100*Construction!N11/360*1</f>
        <v>0.0975683702997165</v>
      </c>
      <c r="O33" s="11" t="n">
        <f aca="false">Construction!O14*O28*(Construction!O17+Inputs!$F$79)/100*Construction!O11/360*1</f>
        <v>0.109511443328729</v>
      </c>
      <c r="P33" s="11" t="n">
        <f aca="false">Construction!P14*P28*(Construction!P17+Inputs!$F$79)/100*Construction!P11/360*1</f>
        <v>0.105306078313186</v>
      </c>
      <c r="Q33" s="11" t="n">
        <f aca="false">Construction!Q14*Q28*(Construction!Q17+Inputs!$F$79)/100*Construction!Q11/360*1</f>
        <v>0.125821577629495</v>
      </c>
      <c r="R33" s="11" t="n">
        <f aca="false">Construction!R14*R28*(Construction!R17+Inputs!$F$79)/100*Construction!R11/360*1</f>
        <v>0.13310402952914</v>
      </c>
      <c r="S33" s="11" t="n">
        <f aca="false">Construction!S14*S28*(Construction!S17+Inputs!$F$79)/100*Construction!S11/360*1</f>
        <v>0.151738308991715</v>
      </c>
      <c r="T33" s="11" t="n">
        <f aca="false">Construction!T14*T28*(Construction!T17+Inputs!$F$79)/100*Construction!T11/360*1</f>
        <v>0.163025074797119</v>
      </c>
      <c r="U33" s="11" t="n">
        <f aca="false">Construction!U14*U28*(Construction!U17+Inputs!$F$79)/100*Construction!U11/360*1</f>
        <v>0.194336650005081</v>
      </c>
      <c r="V33" s="11" t="n">
        <f aca="false">Construction!V14*V28*(Construction!V17+Inputs!$F$79)/100*Construction!V11/360*1</f>
        <v>0.216456662848815</v>
      </c>
      <c r="W33" s="11" t="n">
        <f aca="false">Construction!W14*W28*(Construction!W17+Inputs!$F$79)/100*Construction!W11/360*1</f>
        <v>0.232876888770551</v>
      </c>
      <c r="X33" s="11" t="n">
        <f aca="false">Construction!X14*X28*(Construction!X17+Inputs!$F$79)/100*Construction!X11/360*1</f>
        <v>0.266537672909653</v>
      </c>
      <c r="Y33" s="11" t="n">
        <f aca="false">Construction!Y14*Y28*(Construction!Y17+Inputs!$F$79)/100*Construction!Y11/360*1</f>
        <v>0.284376721656946</v>
      </c>
      <c r="Z33" s="11" t="n">
        <f aca="false">Construction!Z14*Z28*(Construction!Z17+Inputs!$F$79)/100*Construction!Z11/360*1</f>
        <v>0.32211978762412</v>
      </c>
      <c r="AA33" s="11" t="n">
        <f aca="false">Construction!AA14*AA28*(Construction!AA17+Inputs!$F$79)/100*Construction!AA11/360*1</f>
        <v>0.35752093058343</v>
      </c>
      <c r="AB33" s="11" t="n">
        <f aca="false">Construction!AB14*AB28*(Construction!AB17+Inputs!$F$79)/100*Construction!AB11/360*1</f>
        <v>0.362979156982631</v>
      </c>
      <c r="AC33" s="11" t="n">
        <f aca="false">Construction!AC14*AC28*(Construction!AC17+Inputs!$F$79)/100*Construction!AC11/360*1</f>
        <v>0.417097098721496</v>
      </c>
      <c r="AD33" s="11" t="n">
        <f aca="false">Construction!AD14*AD28*(Construction!AD17+Inputs!$F$79)/100*Construction!AD11/360*1</f>
        <v>0.431120013225481</v>
      </c>
      <c r="AE33" s="11" t="n">
        <f aca="false">Construction!AE14*AE28*(Construction!AE17+Inputs!$F$79)/100*Construction!AE11/360*1</f>
        <v>0.472633057337907</v>
      </c>
      <c r="AF33" s="11" t="n">
        <f aca="false">Construction!AF14*AF28*(Construction!AF17+Inputs!$F$79)/100*Construction!AF11/360*1</f>
        <v>0.482169701392287</v>
      </c>
      <c r="AG33" s="11" t="n">
        <f aca="false">Construction!AG14*AG28*(Construction!AG17+Inputs!$F$79)/100*Construction!AG11/360*1</f>
        <v>0.526656884422005</v>
      </c>
      <c r="AH33" s="11" t="n">
        <f aca="false">Construction!AH14*AH28*(Construction!AH17+Inputs!$F$79)/100*Construction!AH11/360*1</f>
        <v>0.548357856126361</v>
      </c>
      <c r="AI33" s="11" t="n">
        <f aca="false">Construction!AI14*AI28*(Construction!AI17+Inputs!$F$79)/100*Construction!AI11/360*1</f>
        <v>0.549334485532388</v>
      </c>
      <c r="AJ33" s="11" t="n">
        <f aca="false">Construction!AJ14*AJ28*(Construction!AJ17+Inputs!$F$79)/100*Construction!AJ11/360*1</f>
        <v>0.584341531206656</v>
      </c>
      <c r="AK33" s="11" t="n">
        <f aca="false">Construction!AK14*AK28*(Construction!AK17+Inputs!$F$79)/100*Construction!AK11/360*1</f>
        <v>0.579228122168195</v>
      </c>
      <c r="AL33" s="11" t="n">
        <f aca="false">Construction!AL14*AL28*(Construction!AL17+Inputs!$F$79)/100*Construction!AL11/360*1</f>
        <v>0.61018298122605</v>
      </c>
      <c r="AM33" s="11" t="n">
        <f aca="false">Construction!AM14*AM28*(Construction!AM17+Inputs!$F$79)/100*Construction!AM11/360*1</f>
        <v>0.623800613024035</v>
      </c>
      <c r="AN33" s="11" t="n">
        <f aca="false">Construction!AN14*AN28*(Construction!AN17+Inputs!$F$79)/100*Construction!AN11/360*1</f>
        <v>0.570155265739301</v>
      </c>
      <c r="AO33" s="11" t="n">
        <f aca="false">Construction!AO14*AO28*(Construction!AO17+Inputs!$F$79)/100*Construction!AO11/360*1</f>
        <v>0.636875627543719</v>
      </c>
      <c r="AP33" s="11" t="n">
        <f aca="false">Construction!AP14*AP28*(Construction!AP17+Inputs!$F$79)/100*Construction!AP11/360*1</f>
        <v>0.620880769080938</v>
      </c>
      <c r="AQ33" s="11" t="n">
        <f aca="false">Construction!AQ14*AQ28*(Construction!AQ17+Inputs!$F$79)/100*Construction!AQ11/360*1</f>
        <v>0.687662332721037</v>
      </c>
      <c r="AR33" s="11" t="n">
        <f aca="false">Construction!AR14*AR28*(Construction!AR17+Inputs!$F$79)/100*Construction!AR11/360*1</f>
        <v>0.699855358969819</v>
      </c>
      <c r="AS33" s="11" t="n">
        <f aca="false">Construction!AS14*AS28*(Construction!AS17+Inputs!$F$79)/100*Construction!AS11/360*1</f>
        <v>0</v>
      </c>
      <c r="AT33" s="11" t="n">
        <f aca="false">Construction!AT14*AT28*(Construction!AT17+Inputs!$F$79)/100*Construction!AT11/360*1</f>
        <v>0</v>
      </c>
      <c r="AU33" s="11" t="n">
        <f aca="false">Construction!AU14*AU28*(Construction!AU17+Inputs!$F$79)/100*Construction!AU11/360*1</f>
        <v>0</v>
      </c>
      <c r="AV33" s="11" t="n">
        <f aca="false">Construction!AV14*AV28*(Construction!AV17+Inputs!$F$79)/100*Construction!AV11/360*1</f>
        <v>0</v>
      </c>
      <c r="AW33" s="11" t="n">
        <f aca="false">Construction!AW14*AW28*(Construction!AW17+Inputs!$F$79)/100*Construction!AW11/360*1</f>
        <v>0</v>
      </c>
      <c r="AX33" s="11" t="n">
        <f aca="false">Construction!AX14*AX28*(Construction!AX17+Inputs!$F$79)/100*Construction!AX11/360*1</f>
        <v>0</v>
      </c>
      <c r="AY33" s="11" t="n">
        <f aca="false">Construction!AY14*AY28*(Construction!AY17+Inputs!$F$79)/100*Construction!AY11/360*1</f>
        <v>0</v>
      </c>
      <c r="AZ33" s="11" t="n">
        <f aca="false">Construction!AZ14*AZ28*(Construction!AZ17+Inputs!$F$79)/100*Construction!AZ11/360*1</f>
        <v>0</v>
      </c>
      <c r="BA33" s="11" t="n">
        <f aca="false">Construction!BA14*BA28*(Construction!BA17+Inputs!$F$79)/100*Construction!BA11/360*1</f>
        <v>0</v>
      </c>
      <c r="BB33" s="11" t="n">
        <f aca="false">Construction!BB14*BB28*(Construction!BB17+Inputs!$F$79)/100*Construction!BB11/360*1</f>
        <v>0</v>
      </c>
      <c r="BC33" s="11" t="n">
        <f aca="false">Construction!BC14*BC28*(Construction!BC17+Inputs!$F$79)/100*Construction!BC11/360*1</f>
        <v>0</v>
      </c>
      <c r="BD33" s="11" t="n">
        <f aca="false">Construction!BD14*BD28*(Construction!BD17+Inputs!$F$79)/100*Construction!BD11/360*1</f>
        <v>0</v>
      </c>
      <c r="BE33" s="11" t="n">
        <f aca="false">Construction!BE14*BE28*(Construction!BE17+Inputs!$F$79)/100*Construction!BE11/360*1</f>
        <v>0</v>
      </c>
      <c r="BF33" s="11" t="n">
        <f aca="false">Construction!BF14*BF28*(Construction!BF17+Inputs!$F$79)/100*Construction!BF11/360*1</f>
        <v>0</v>
      </c>
      <c r="BG33" s="11" t="n">
        <f aca="false">Construction!BG14*BG28*(Construction!BG17+Inputs!$F$79)/100*Construction!BG11/360*1</f>
        <v>0</v>
      </c>
      <c r="BH33" s="11" t="n">
        <f aca="false">Construction!BH14*BH28*(Construction!BH17+Inputs!$F$79)/100*Construction!BH11/360*1</f>
        <v>0</v>
      </c>
      <c r="BI33" s="11" t="n">
        <f aca="false">Construction!BI14*BI28*(Construction!BI17+Inputs!$F$79)/100*Construction!BI11/360*1</f>
        <v>0</v>
      </c>
      <c r="BJ33" s="11" t="n">
        <f aca="false">Construction!BJ14*BJ28*(Construction!BJ17+Inputs!$F$79)/100*Construction!BJ11/360*1</f>
        <v>0</v>
      </c>
    </row>
    <row r="34" customFormat="false" ht="15" hidden="false" customHeight="false" outlineLevel="0" collapsed="false">
      <c r="D34" s="0" t="s">
        <v>592</v>
      </c>
      <c r="E34" s="0" t="s">
        <v>149</v>
      </c>
      <c r="G34" s="11" t="n">
        <f aca="false">SUM(J34:BJ34)</f>
        <v>13.9280603473294</v>
      </c>
      <c r="J34" s="11" t="n">
        <f aca="false">Construction!J14*J29*(Construction!J17+Inputs!$F$80)/100*Construction!J11/360*1</f>
        <v>0</v>
      </c>
      <c r="K34" s="11" t="n">
        <f aca="false">Construction!K14*K29*(Construction!K17+Inputs!$F$80)/100*Construction!K11/360*1</f>
        <v>0.101859147246069</v>
      </c>
      <c r="L34" s="11" t="n">
        <f aca="false">Construction!L14*L29*(Construction!L17+Inputs!$F$80)/100*Construction!L11/360*1</f>
        <v>0.107417710304302</v>
      </c>
      <c r="M34" s="11" t="n">
        <f aca="false">Construction!M14*M29*(Construction!M17+Inputs!$F$80)/100*Construction!M11/360*1</f>
        <v>0.106621190364644</v>
      </c>
      <c r="N34" s="11" t="n">
        <f aca="false">Construction!N14*N29*(Construction!N17+Inputs!$F$80)/100*Construction!N11/360*1</f>
        <v>0.114073476179875</v>
      </c>
      <c r="O34" s="11" t="n">
        <f aca="false">Construction!O14*O29*(Construction!O17+Inputs!$F$80)/100*Construction!O11/360*1</f>
        <v>0.124924164982401</v>
      </c>
      <c r="P34" s="11" t="n">
        <f aca="false">Construction!P14*P29*(Construction!P17+Inputs!$F$80)/100*Construction!P11/360*1</f>
        <v>0.120126933779486</v>
      </c>
      <c r="Q34" s="11" t="n">
        <f aca="false">Construction!Q14*Q29*(Construction!Q17+Inputs!$F$80)/100*Construction!Q11/360*1</f>
        <v>0.143529799666239</v>
      </c>
      <c r="R34" s="11" t="n">
        <f aca="false">Construction!R14*R29*(Construction!R17+Inputs!$F$80)/100*Construction!R11/360*1</f>
        <v>0.151837189240649</v>
      </c>
      <c r="S34" s="11" t="n">
        <f aca="false">Construction!S14*S29*(Construction!S17+Inputs!$F$80)/100*Construction!S11/360*1</f>
        <v>0.173094070997956</v>
      </c>
      <c r="T34" s="11" t="n">
        <f aca="false">Construction!T14*T29*(Construction!T17+Inputs!$F$80)/100*Construction!T11/360*1</f>
        <v>0.18596934458338</v>
      </c>
      <c r="U34" s="11" t="n">
        <f aca="false">Construction!U14*U29*(Construction!U17+Inputs!$F$80)/100*Construction!U11/360*1</f>
        <v>0.21891940573222</v>
      </c>
      <c r="V34" s="11" t="n">
        <f aca="false">Construction!V14*V29*(Construction!V17+Inputs!$F$80)/100*Construction!V11/360*1</f>
        <v>0.243837505670716</v>
      </c>
      <c r="W34" s="11" t="n">
        <f aca="false">Construction!W14*W29*(Construction!W17+Inputs!$F$80)/100*Construction!W11/360*1</f>
        <v>0.262334819999647</v>
      </c>
      <c r="X34" s="11" t="n">
        <f aca="false">Construction!X14*X29*(Construction!X17+Inputs!$F$80)/100*Construction!X11/360*1</f>
        <v>0.30025354948284</v>
      </c>
      <c r="Y34" s="11" t="n">
        <f aca="false">Construction!Y14*Y29*(Construction!Y17+Inputs!$F$80)/100*Construction!Y11/360*1</f>
        <v>0.320349161661415</v>
      </c>
      <c r="Z34" s="11" t="n">
        <f aca="false">Construction!Z14*Z29*(Construction!Z17+Inputs!$F$80)/100*Construction!Z11/360*1</f>
        <v>0.362866564178283</v>
      </c>
      <c r="AA34" s="11" t="n">
        <f aca="false">Construction!AA14*AA29*(Construction!AA17+Inputs!$F$80)/100*Construction!AA11/360*1</f>
        <v>0.40017255037233</v>
      </c>
      <c r="AB34" s="11" t="n">
        <f aca="false">Construction!AB14*AB29*(Construction!AB17+Inputs!$F$80)/100*Construction!AB11/360*1</f>
        <v>0.40628193360512</v>
      </c>
      <c r="AC34" s="11" t="n">
        <f aca="false">Construction!AC14*AC29*(Construction!AC17+Inputs!$F$80)/100*Construction!AC11/360*1</f>
        <v>0.466856050849675</v>
      </c>
      <c r="AD34" s="11" t="n">
        <f aca="false">Construction!AD14*AD29*(Construction!AD17+Inputs!$F$80)/100*Construction!AD11/360*1</f>
        <v>0.48255187445238</v>
      </c>
      <c r="AE34" s="11" t="n">
        <f aca="false">Construction!AE14*AE29*(Construction!AE17+Inputs!$F$80)/100*Construction!AE11/360*1</f>
        <v>0.529017351897517</v>
      </c>
      <c r="AF34" s="11" t="n">
        <f aca="false">Construction!AF14*AF29*(Construction!AF17+Inputs!$F$80)/100*Construction!AF11/360*1</f>
        <v>0.53969170085663</v>
      </c>
      <c r="AG34" s="11" t="n">
        <f aca="false">Construction!AG14*AG29*(Construction!AG17+Inputs!$F$80)/100*Construction!AG11/360*1</f>
        <v>0.587642398173669</v>
      </c>
      <c r="AH34" s="11" t="n">
        <f aca="false">Construction!AH14*AH29*(Construction!AH17+Inputs!$F$80)/100*Construction!AH11/360*1</f>
        <v>0.611856286631696</v>
      </c>
      <c r="AI34" s="11" t="n">
        <f aca="false">Construction!AI14*AI29*(Construction!AI17+Inputs!$F$80)/100*Construction!AI11/360*1</f>
        <v>0.612946007213085</v>
      </c>
      <c r="AJ34" s="11" t="n">
        <f aca="false">Construction!AJ14*AJ29*(Construction!AJ17+Inputs!$F$80)/100*Construction!AJ11/360*1</f>
        <v>0.652006778811237</v>
      </c>
      <c r="AK34" s="11" t="n">
        <f aca="false">Construction!AK14*AK29*(Construction!AK17+Inputs!$F$80)/100*Construction!AK11/360*1</f>
        <v>0.646301250147158</v>
      </c>
      <c r="AL34" s="11" t="n">
        <f aca="false">Construction!AL14*AL29*(Construction!AL17+Inputs!$F$80)/100*Construction!AL11/360*1</f>
        <v>0.680840602332498</v>
      </c>
      <c r="AM34" s="11" t="n">
        <f aca="false">Construction!AM14*AM29*(Construction!AM17+Inputs!$F$80)/100*Construction!AM11/360*1</f>
        <v>0.694423084828858</v>
      </c>
      <c r="AN34" s="11" t="n">
        <f aca="false">Construction!AN14*AN29*(Construction!AN17+Inputs!$F$80)/100*Construction!AN11/360*1</f>
        <v>0.634704375404081</v>
      </c>
      <c r="AO34" s="11" t="n">
        <f aca="false">Construction!AO14*AO29*(Construction!AO17+Inputs!$F$80)/100*Construction!AO11/360*1</f>
        <v>0.708978363755125</v>
      </c>
      <c r="AP34" s="11" t="n">
        <f aca="false">Construction!AP14*AP29*(Construction!AP17+Inputs!$F$80)/100*Construction!AP11/360*1</f>
        <v>0.691172675970882</v>
      </c>
      <c r="AQ34" s="11" t="n">
        <f aca="false">Construction!AQ14*AQ29*(Construction!AQ17+Inputs!$F$80)/100*Construction!AQ11/360*1</f>
        <v>0.76551479501408</v>
      </c>
      <c r="AR34" s="11" t="n">
        <f aca="false">Construction!AR14*AR29*(Construction!AR17+Inputs!$F$80)/100*Construction!AR11/360*1</f>
        <v>0.77908823294328</v>
      </c>
      <c r="AS34" s="11" t="n">
        <f aca="false">Construction!AS14*AS29*(Construction!AS17+Inputs!$F$80)/100*Construction!AS11/360*1</f>
        <v>0</v>
      </c>
      <c r="AT34" s="11" t="n">
        <f aca="false">Construction!AT14*AT29*(Construction!AT17+Inputs!$F$80)/100*Construction!AT11/360*1</f>
        <v>0</v>
      </c>
      <c r="AU34" s="11" t="n">
        <f aca="false">Construction!AU14*AU29*(Construction!AU17+Inputs!$F$80)/100*Construction!AU11/360*1</f>
        <v>0</v>
      </c>
      <c r="AV34" s="11" t="n">
        <f aca="false">Construction!AV14*AV29*(Construction!AV17+Inputs!$F$80)/100*Construction!AV11/360*1</f>
        <v>0</v>
      </c>
      <c r="AW34" s="11" t="n">
        <f aca="false">Construction!AW14*AW29*(Construction!AW17+Inputs!$F$80)/100*Construction!AW11/360*1</f>
        <v>0</v>
      </c>
      <c r="AX34" s="11" t="n">
        <f aca="false">Construction!AX14*AX29*(Construction!AX17+Inputs!$F$80)/100*Construction!AX11/360*1</f>
        <v>0</v>
      </c>
      <c r="AY34" s="11" t="n">
        <f aca="false">Construction!AY14*AY29*(Construction!AY17+Inputs!$F$80)/100*Construction!AY11/360*1</f>
        <v>0</v>
      </c>
      <c r="AZ34" s="11" t="n">
        <f aca="false">Construction!AZ14*AZ29*(Construction!AZ17+Inputs!$F$80)/100*Construction!AZ11/360*1</f>
        <v>0</v>
      </c>
      <c r="BA34" s="11" t="n">
        <f aca="false">Construction!BA14*BA29*(Construction!BA17+Inputs!$F$80)/100*Construction!BA11/360*1</f>
        <v>0</v>
      </c>
      <c r="BB34" s="11" t="n">
        <f aca="false">Construction!BB14*BB29*(Construction!BB17+Inputs!$F$80)/100*Construction!BB11/360*1</f>
        <v>0</v>
      </c>
      <c r="BC34" s="11" t="n">
        <f aca="false">Construction!BC14*BC29*(Construction!BC17+Inputs!$F$80)/100*Construction!BC11/360*1</f>
        <v>0</v>
      </c>
      <c r="BD34" s="11" t="n">
        <f aca="false">Construction!BD14*BD29*(Construction!BD17+Inputs!$F$80)/100*Construction!BD11/360*1</f>
        <v>0</v>
      </c>
      <c r="BE34" s="11" t="n">
        <f aca="false">Construction!BE14*BE29*(Construction!BE17+Inputs!$F$80)/100*Construction!BE11/360*1</f>
        <v>0</v>
      </c>
      <c r="BF34" s="11" t="n">
        <f aca="false">Construction!BF14*BF29*(Construction!BF17+Inputs!$F$80)/100*Construction!BF11/360*1</f>
        <v>0</v>
      </c>
      <c r="BG34" s="11" t="n">
        <f aca="false">Construction!BG14*BG29*(Construction!BG17+Inputs!$F$80)/100*Construction!BG11/360*1</f>
        <v>0</v>
      </c>
      <c r="BH34" s="11" t="n">
        <f aca="false">Construction!BH14*BH29*(Construction!BH17+Inputs!$F$80)/100*Construction!BH11/360*1</f>
        <v>0</v>
      </c>
      <c r="BI34" s="11" t="n">
        <f aca="false">Construction!BI14*BI29*(Construction!BI17+Inputs!$F$80)/100*Construction!BI11/360*1</f>
        <v>0</v>
      </c>
      <c r="BJ34" s="11" t="n">
        <f aca="false">Construction!BJ14*BJ29*(Construction!BJ17+Inputs!$F$80)/100*Construction!BJ11/360*1</f>
        <v>0</v>
      </c>
    </row>
    <row r="35" customFormat="false" ht="15" hidden="false" customHeight="false" outlineLevel="0" collapsed="false">
      <c r="D35" s="0" t="s">
        <v>593</v>
      </c>
      <c r="E35" s="0" t="s">
        <v>149</v>
      </c>
      <c r="G35" s="11" t="n">
        <f aca="false">SUM(J35:BJ35)</f>
        <v>6.0932920563292</v>
      </c>
      <c r="J35" s="11" t="n">
        <f aca="false">Construction!J14*J30*(Construction!J17+Inputs!$F$81)/100*Construction!J11/360*1</f>
        <v>0</v>
      </c>
      <c r="K35" s="11" t="n">
        <f aca="false">Construction!K14*K30*(Construction!K17+Inputs!$F$81)/100*Construction!K11/360*1</f>
        <v>0.0444236151242619</v>
      </c>
      <c r="L35" s="11" t="n">
        <f aca="false">Construction!L14*L30*(Construction!L17+Inputs!$F$81)/100*Construction!L11/360*1</f>
        <v>0.0468478595109378</v>
      </c>
      <c r="M35" s="11" t="n">
        <f aca="false">Construction!M14*M30*(Construction!M17+Inputs!$F$81)/100*Construction!M11/360*1</f>
        <v>0.0465004749490711</v>
      </c>
      <c r="N35" s="11" t="n">
        <f aca="false">Construction!N14*N30*(Construction!N17+Inputs!$F$81)/100*Construction!N11/360*1</f>
        <v>0.0497506246489511</v>
      </c>
      <c r="O35" s="11" t="n">
        <f aca="false">Construction!O14*O30*(Construction!O17+Inputs!$F$81)/100*Construction!O11/360*1</f>
        <v>0.0545793747346884</v>
      </c>
      <c r="P35" s="11" t="n">
        <f aca="false">Construction!P14*P30*(Construction!P17+Inputs!$F$81)/100*Construction!P11/360*1</f>
        <v>0.0524834641512576</v>
      </c>
      <c r="Q35" s="11" t="n">
        <f aca="false">Construction!Q14*Q30*(Construction!Q17+Inputs!$F$81)/100*Construction!Q11/360*1</f>
        <v>0.0627081775786294</v>
      </c>
      <c r="R35" s="11" t="n">
        <f aca="false">Construction!R14*R30*(Construction!R17+Inputs!$F$81)/100*Construction!R11/360*1</f>
        <v>0.066337676552768</v>
      </c>
      <c r="S35" s="11" t="n">
        <f aca="false">Construction!S14*S30*(Construction!S17+Inputs!$F$81)/100*Construction!S11/360*1</f>
        <v>0.0756248093928112</v>
      </c>
      <c r="T35" s="11" t="n">
        <f aca="false">Construction!T14*T30*(Construction!T17+Inputs!$F$81)/100*Construction!T11/360*1</f>
        <v>0.0812500171492886</v>
      </c>
      <c r="U35" s="11" t="n">
        <f aca="false">Construction!U14*U30*(Construction!U17+Inputs!$F$81)/100*Construction!U11/360*1</f>
        <v>0.0957338275860308</v>
      </c>
      <c r="V35" s="11" t="n">
        <f aca="false">Construction!V14*V30*(Construction!V17+Inputs!$F$81)/100*Construction!V11/360*1</f>
        <v>0.106630554969812</v>
      </c>
      <c r="W35" s="11" t="n">
        <f aca="false">Construction!W14*W30*(Construction!W17+Inputs!$F$81)/100*Construction!W11/360*1</f>
        <v>0.114719461911833</v>
      </c>
      <c r="X35" s="11" t="n">
        <f aca="false">Construction!X14*X30*(Construction!X17+Inputs!$F$81)/100*Construction!X11/360*1</f>
        <v>0.131301386654794</v>
      </c>
      <c r="Y35" s="11" t="n">
        <f aca="false">Construction!Y14*Y30*(Construction!Y17+Inputs!$F$81)/100*Construction!Y11/360*1</f>
        <v>0.140089231958434</v>
      </c>
      <c r="Z35" s="11" t="n">
        <f aca="false">Construction!Z14*Z30*(Construction!Z17+Inputs!$F$81)/100*Construction!Z11/360*1</f>
        <v>0.158682164221983</v>
      </c>
      <c r="AA35" s="11" t="n">
        <f aca="false">Construction!AA14*AA30*(Construction!AA17+Inputs!$F$81)/100*Construction!AA11/360*1</f>
        <v>0.175078899644975</v>
      </c>
      <c r="AB35" s="11" t="n">
        <f aca="false">Construction!AB14*AB30*(Construction!AB17+Inputs!$F$81)/100*Construction!AB11/360*1</f>
        <v>0.177751806851906</v>
      </c>
      <c r="AC35" s="11" t="n">
        <f aca="false">Construction!AC14*AC30*(Construction!AC17+Inputs!$F$81)/100*Construction!AC11/360*1</f>
        <v>0.20425349914508</v>
      </c>
      <c r="AD35" s="11" t="n">
        <f aca="false">Construction!AD14*AD30*(Construction!AD17+Inputs!$F$81)/100*Construction!AD11/360*1</f>
        <v>0.211120555675636</v>
      </c>
      <c r="AE35" s="11" t="n">
        <f aca="false">Construction!AE14*AE30*(Construction!AE17+Inputs!$F$81)/100*Construction!AE11/360*1</f>
        <v>0.231449597872568</v>
      </c>
      <c r="AF35" s="11" t="n">
        <f aca="false">Construction!AF14*AF30*(Construction!AF17+Inputs!$F$81)/100*Construction!AF11/360*1</f>
        <v>0.23611971647128</v>
      </c>
      <c r="AG35" s="11" t="n">
        <f aca="false">Construction!AG14*AG30*(Construction!AG17+Inputs!$F$81)/100*Construction!AG11/360*1</f>
        <v>0.257158236837956</v>
      </c>
      <c r="AH35" s="11" t="n">
        <f aca="false">Construction!AH14*AH30*(Construction!AH17+Inputs!$F$81)/100*Construction!AH11/360*1</f>
        <v>0.267754478501609</v>
      </c>
      <c r="AI35" s="11" t="n">
        <f aca="false">Construction!AI14*AI30*(Construction!AI17+Inputs!$F$81)/100*Construction!AI11/360*1</f>
        <v>0.268231351212338</v>
      </c>
      <c r="AJ35" s="11" t="n">
        <f aca="false">Construction!AJ14*AJ30*(Construction!AJ17+Inputs!$F$81)/100*Construction!AJ11/360*1</f>
        <v>0.285324738593726</v>
      </c>
      <c r="AK35" s="11" t="n">
        <f aca="false">Construction!AK14*AK30*(Construction!AK17+Inputs!$F$81)/100*Construction!AK11/360*1</f>
        <v>0.282827941738968</v>
      </c>
      <c r="AL35" s="11" t="n">
        <f aca="false">Construction!AL14*AL30*(Construction!AL17+Inputs!$F$81)/100*Construction!AL11/360*1</f>
        <v>0.297942710409696</v>
      </c>
      <c r="AM35" s="11" t="n">
        <f aca="false">Construction!AM14*AM30*(Construction!AM17+Inputs!$F$81)/100*Construction!AM11/360*1</f>
        <v>0.303938887276726</v>
      </c>
      <c r="AN35" s="11" t="n">
        <f aca="false">Construction!AN14*AN30*(Construction!AN17+Inputs!$F$81)/100*Construction!AN11/360*1</f>
        <v>0.27780087647508</v>
      </c>
      <c r="AO35" s="11" t="n">
        <f aca="false">Construction!AO14*AO30*(Construction!AO17+Inputs!$F$81)/100*Construction!AO11/360*1</f>
        <v>0.310309521228133</v>
      </c>
      <c r="AP35" s="11" t="n">
        <f aca="false">Construction!AP14*AP30*(Construction!AP17+Inputs!$F$81)/100*Construction!AP11/360*1</f>
        <v>0.302516230580727</v>
      </c>
      <c r="AQ35" s="11" t="n">
        <f aca="false">Construction!AQ14*AQ30*(Construction!AQ17+Inputs!$F$81)/100*Construction!AQ11/360*1</f>
        <v>0.335054695147112</v>
      </c>
      <c r="AR35" s="11" t="n">
        <f aca="false">Construction!AR14*AR30*(Construction!AR17+Inputs!$F$81)/100*Construction!AR11/360*1</f>
        <v>0.34099559157013</v>
      </c>
      <c r="AS35" s="11" t="n">
        <f aca="false">Construction!AS14*AS30*(Construction!AS17+Inputs!$F$81)/100*Construction!AS11/360*1</f>
        <v>0</v>
      </c>
      <c r="AT35" s="11" t="n">
        <f aca="false">Construction!AT14*AT30*(Construction!AT17+Inputs!$F$81)/100*Construction!AT11/360*1</f>
        <v>0</v>
      </c>
      <c r="AU35" s="11" t="n">
        <f aca="false">Construction!AU14*AU30*(Construction!AU17+Inputs!$F$81)/100*Construction!AU11/360*1</f>
        <v>0</v>
      </c>
      <c r="AV35" s="11" t="n">
        <f aca="false">Construction!AV14*AV30*(Construction!AV17+Inputs!$F$81)/100*Construction!AV11/360*1</f>
        <v>0</v>
      </c>
      <c r="AW35" s="11" t="n">
        <f aca="false">Construction!AW14*AW30*(Construction!AW17+Inputs!$F$81)/100*Construction!AW11/360*1</f>
        <v>0</v>
      </c>
      <c r="AX35" s="11" t="n">
        <f aca="false">Construction!AX14*AX30*(Construction!AX17+Inputs!$F$81)/100*Construction!AX11/360*1</f>
        <v>0</v>
      </c>
      <c r="AY35" s="11" t="n">
        <f aca="false">Construction!AY14*AY30*(Construction!AY17+Inputs!$F$81)/100*Construction!AY11/360*1</f>
        <v>0</v>
      </c>
      <c r="AZ35" s="11" t="n">
        <f aca="false">Construction!AZ14*AZ30*(Construction!AZ17+Inputs!$F$81)/100*Construction!AZ11/360*1</f>
        <v>0</v>
      </c>
      <c r="BA35" s="11" t="n">
        <f aca="false">Construction!BA14*BA30*(Construction!BA17+Inputs!$F$81)/100*Construction!BA11/360*1</f>
        <v>0</v>
      </c>
      <c r="BB35" s="11" t="n">
        <f aca="false">Construction!BB14*BB30*(Construction!BB17+Inputs!$F$81)/100*Construction!BB11/360*1</f>
        <v>0</v>
      </c>
      <c r="BC35" s="11" t="n">
        <f aca="false">Construction!BC14*BC30*(Construction!BC17+Inputs!$F$81)/100*Construction!BC11/360*1</f>
        <v>0</v>
      </c>
      <c r="BD35" s="11" t="n">
        <f aca="false">Construction!BD14*BD30*(Construction!BD17+Inputs!$F$81)/100*Construction!BD11/360*1</f>
        <v>0</v>
      </c>
      <c r="BE35" s="11" t="n">
        <f aca="false">Construction!BE14*BE30*(Construction!BE17+Inputs!$F$81)/100*Construction!BE11/360*1</f>
        <v>0</v>
      </c>
      <c r="BF35" s="11" t="n">
        <f aca="false">Construction!BF14*BF30*(Construction!BF17+Inputs!$F$81)/100*Construction!BF11/360*1</f>
        <v>0</v>
      </c>
      <c r="BG35" s="11" t="n">
        <f aca="false">Construction!BG14*BG30*(Construction!BG17+Inputs!$F$81)/100*Construction!BG11/360*1</f>
        <v>0</v>
      </c>
      <c r="BH35" s="11" t="n">
        <f aca="false">Construction!BH14*BH30*(Construction!BH17+Inputs!$F$81)/100*Construction!BH11/360*1</f>
        <v>0</v>
      </c>
      <c r="BI35" s="11" t="n">
        <f aca="false">Construction!BI14*BI30*(Construction!BI17+Inputs!$F$81)/100*Construction!BI11/360*1</f>
        <v>0</v>
      </c>
      <c r="BJ35" s="11" t="n">
        <f aca="false">Construction!BJ14*BJ30*(Construction!BJ17+Inputs!$F$81)/100*Construction!BJ11/360*1</f>
        <v>0</v>
      </c>
    </row>
    <row r="36" customFormat="false" ht="15" hidden="false" customHeight="false" outlineLevel="0" collapsed="false">
      <c r="D36" s="0" t="s">
        <v>594</v>
      </c>
      <c r="E36" s="0" t="s">
        <v>149</v>
      </c>
      <c r="G36" s="11" t="n">
        <f aca="false">SUM(J36:BJ36)</f>
        <v>28.5367188040118</v>
      </c>
      <c r="J36" s="11" t="n">
        <f aca="false">Construction!J14*J31*(Construction!J17+Inputs!$F$82)/100*Construction!J11/360*(1/(1-Inputs!$F$93/100))</f>
        <v>0</v>
      </c>
      <c r="K36" s="11" t="n">
        <f aca="false">Construction!K14*K31*(Construction!K17+Inputs!$F$82)/100*Construction!K11/360*(1/(1-Inputs!$F$93/100))</f>
        <v>0.209744831468831</v>
      </c>
      <c r="L36" s="11" t="n">
        <f aca="false">Construction!L14*L31*(Construction!L17+Inputs!$F$82)/100*Construction!L11/360*(1/(1-Inputs!$F$93/100))</f>
        <v>0.221190832180396</v>
      </c>
      <c r="M36" s="11" t="n">
        <f aca="false">Construction!M14*M31*(Construction!M17+Inputs!$F$82)/100*Construction!M11/360*(1/(1-Inputs!$F$93/100))</f>
        <v>0.219550665881913</v>
      </c>
      <c r="N36" s="11" t="n">
        <f aca="false">Construction!N14*N31*(Construction!N17+Inputs!$F$82)/100*Construction!N11/360*(1/(1-Inputs!$F$93/100))</f>
        <v>0.234896154967908</v>
      </c>
      <c r="O36" s="11" t="n">
        <f aca="false">Construction!O14*O31*(Construction!O17+Inputs!$F$82)/100*Construction!O11/360*(1/(1-Inputs!$F$93/100))</f>
        <v>0.256506406265233</v>
      </c>
      <c r="P36" s="11" t="n">
        <f aca="false">Construction!P14*P31*(Construction!P17+Inputs!$F$82)/100*Construction!P11/360*(1/(1-Inputs!$F$93/100))</f>
        <v>0.24665626609374</v>
      </c>
      <c r="Q36" s="11" t="n">
        <f aca="false">Construction!Q14*Q31*(Construction!Q17+Inputs!$F$82)/100*Construction!Q11/360*(1/(1-Inputs!$F$93/100))</f>
        <v>0.294709299113925</v>
      </c>
      <c r="R36" s="11" t="n">
        <f aca="false">Construction!R14*R31*(Construction!R17+Inputs!$F$82)/100*Construction!R11/360*(1/(1-Inputs!$F$93/100))</f>
        <v>0.311766836744673</v>
      </c>
      <c r="S36" s="11" t="n">
        <f aca="false">Construction!S14*S31*(Construction!S17+Inputs!$F$82)/100*Construction!S11/360*(1/(1-Inputs!$F$93/100))</f>
        <v>0.355413527108703</v>
      </c>
      <c r="T36" s="11" t="n">
        <f aca="false">Construction!T14*T31*(Construction!T17+Inputs!$F$82)/100*Construction!T11/360*(1/(1-Inputs!$F$93/100))</f>
        <v>0.381850287022559</v>
      </c>
      <c r="U36" s="11" t="n">
        <f aca="false">Construction!U14*U31*(Construction!U17+Inputs!$F$82)/100*Construction!U11/360*(1/(1-Inputs!$F$93/100))</f>
        <v>0.448838302765772</v>
      </c>
      <c r="V36" s="11" t="n">
        <f aca="false">Construction!V14*V31*(Construction!V17+Inputs!$F$82)/100*Construction!V11/360*(1/(1-Inputs!$F$93/100))</f>
        <v>0.499926499571052</v>
      </c>
      <c r="W36" s="11" t="n">
        <f aca="false">Construction!W14*W31*(Construction!W17+Inputs!$F$82)/100*Construction!W11/360*(1/(1-Inputs!$F$93/100))</f>
        <v>0.537850516134835</v>
      </c>
      <c r="X36" s="11" t="n">
        <f aca="false">Construction!X14*X31*(Construction!X17+Inputs!$F$82)/100*Construction!X11/360*(1/(1-Inputs!$F$93/100))</f>
        <v>0.615593181876805</v>
      </c>
      <c r="Y36" s="11" t="n">
        <f aca="false">Construction!Y14*Y31*(Construction!Y17+Inputs!$F$82)/100*Construction!Y11/360*(1/(1-Inputs!$F$93/100))</f>
        <v>0.656794099781285</v>
      </c>
      <c r="Z36" s="11" t="n">
        <f aca="false">Construction!Z14*Z31*(Construction!Z17+Inputs!$F$82)/100*Construction!Z11/360*(1/(1-Inputs!$F$93/100))</f>
        <v>0.743965169517437</v>
      </c>
      <c r="AA36" s="11" t="n">
        <f aca="false">Construction!AA14*AA31*(Construction!AA17+Inputs!$F$82)/100*Construction!AA11/360*(1/(1-Inputs!$F$93/100))</f>
        <v>0.819822552577784</v>
      </c>
      <c r="AB36" s="11" t="n">
        <f aca="false">Construction!AB14*AB31*(Construction!AB17+Inputs!$F$82)/100*Construction!AB11/360*(1/(1-Inputs!$F$93/100))</f>
        <v>0.832338678813633</v>
      </c>
      <c r="AC36" s="11" t="n">
        <f aca="false">Construction!AC14*AC31*(Construction!AC17+Inputs!$F$82)/100*Construction!AC11/360*(1/(1-Inputs!$F$93/100))</f>
        <v>0.95643521510372</v>
      </c>
      <c r="AD36" s="11" t="n">
        <f aca="false">Construction!AD14*AD31*(Construction!AD17+Inputs!$F$82)/100*Construction!AD11/360*(1/(1-Inputs!$F$93/100))</f>
        <v>0.988590819376948</v>
      </c>
      <c r="AE36" s="11" t="n">
        <f aca="false">Construction!AE14*AE31*(Construction!AE17+Inputs!$F$82)/100*Construction!AE11/360*(1/(1-Inputs!$F$93/100))</f>
        <v>1.08378337141575</v>
      </c>
      <c r="AF36" s="11" t="n">
        <f aca="false">Construction!AF14*AF31*(Construction!AF17+Inputs!$F$82)/100*Construction!AF11/360*(1/(1-Inputs!$F$93/100))</f>
        <v>1.10565161800743</v>
      </c>
      <c r="AG36" s="11" t="n">
        <f aca="false">Construction!AG14*AG31*(Construction!AG17+Inputs!$F$82)/100*Construction!AG11/360*(1/(1-Inputs!$F$93/100))</f>
        <v>1.20343331749004</v>
      </c>
      <c r="AH36" s="11" t="n">
        <f aca="false">Construction!AH14*AH31*(Construction!AH17+Inputs!$F$82)/100*Construction!AH11/360*(1/(1-Inputs!$F$93/100))</f>
        <v>1.25302095821668</v>
      </c>
      <c r="AI36" s="11" t="n">
        <f aca="false">Construction!AI14*AI31*(Construction!AI17+Inputs!$F$82)/100*Construction!AI11/360*(1/(1-Inputs!$F$93/100))</f>
        <v>1.25525259783029</v>
      </c>
      <c r="AJ36" s="11" t="n">
        <f aca="false">Construction!AJ14*AJ31*(Construction!AJ17+Inputs!$F$82)/100*Construction!AJ11/360*(1/(1-Inputs!$F$93/100))</f>
        <v>1.33524518191574</v>
      </c>
      <c r="AK36" s="11" t="n">
        <f aca="false">Construction!AK14*AK31*(Construction!AK17+Inputs!$F$82)/100*Construction!AK11/360*(1/(1-Inputs!$F$93/100))</f>
        <v>1.32356082539282</v>
      </c>
      <c r="AL36" s="11" t="n">
        <f aca="false">Construction!AL14*AL31*(Construction!AL17+Inputs!$F$82)/100*Construction!AL11/360*(1/(1-Inputs!$F$93/100))</f>
        <v>1.39429399119832</v>
      </c>
      <c r="AM36" s="11" t="n">
        <f aca="false">Construction!AM14*AM31*(Construction!AM17+Inputs!$F$82)/100*Construction!AM11/360*(1/(1-Inputs!$F$93/100))</f>
        <v>1.42171174082772</v>
      </c>
      <c r="AN36" s="11" t="n">
        <f aca="false">Construction!AN14*AN31*(Construction!AN17+Inputs!$F$82)/100*Construction!AN11/360*(1/(1-Inputs!$F$93/100))</f>
        <v>1.29944796217294</v>
      </c>
      <c r="AO36" s="11" t="n">
        <f aca="false">Construction!AO14*AO31*(Construction!AO17+Inputs!$F$82)/100*Construction!AO11/360*(1/(1-Inputs!$F$93/100))</f>
        <v>1.45151116914827</v>
      </c>
      <c r="AP36" s="11" t="n">
        <f aca="false">Construction!AP14*AP31*(Construction!AP17+Inputs!$F$82)/100*Construction!AP11/360*(1/(1-Inputs!$F$93/100))</f>
        <v>1.41505708815727</v>
      </c>
      <c r="AQ36" s="11" t="n">
        <f aca="false">Construction!AQ14*AQ31*(Construction!AQ17+Inputs!$F$82)/100*Construction!AQ11/360*(1/(1-Inputs!$F$93/100))</f>
        <v>1.56725978099801</v>
      </c>
      <c r="AR36" s="11" t="n">
        <f aca="false">Construction!AR14*AR31*(Construction!AR17+Inputs!$F$82)/100*Construction!AR11/360*(1/(1-Inputs!$F$93/100))</f>
        <v>1.59504905887332</v>
      </c>
      <c r="AS36" s="11" t="n">
        <f aca="false">Construction!AS14*AS31*(Construction!AS17+Inputs!$F$82)/100*Construction!AS11/360*(1/(1-Inputs!$F$93/100))</f>
        <v>0</v>
      </c>
      <c r="AT36" s="11" t="n">
        <f aca="false">Construction!AT14*AT31*(Construction!AT17+Inputs!$F$82)/100*Construction!AT11/360*(1/(1-Inputs!$F$93/100))</f>
        <v>0</v>
      </c>
      <c r="AU36" s="11" t="n">
        <f aca="false">Construction!AU14*AU31*(Construction!AU17+Inputs!$F$82)/100*Construction!AU11/360*(1/(1-Inputs!$F$93/100))</f>
        <v>0</v>
      </c>
      <c r="AV36" s="11" t="n">
        <f aca="false">Construction!AV14*AV31*(Construction!AV17+Inputs!$F$82)/100*Construction!AV11/360*(1/(1-Inputs!$F$93/100))</f>
        <v>0</v>
      </c>
      <c r="AW36" s="11" t="n">
        <f aca="false">Construction!AW14*AW31*(Construction!AW17+Inputs!$F$82)/100*Construction!AW11/360*(1/(1-Inputs!$F$93/100))</f>
        <v>0</v>
      </c>
      <c r="AX36" s="11" t="n">
        <f aca="false">Construction!AX14*AX31*(Construction!AX17+Inputs!$F$82)/100*Construction!AX11/360*(1/(1-Inputs!$F$93/100))</f>
        <v>0</v>
      </c>
      <c r="AY36" s="11" t="n">
        <f aca="false">Construction!AY14*AY31*(Construction!AY17+Inputs!$F$82)/100*Construction!AY11/360*(1/(1-Inputs!$F$93/100))</f>
        <v>0</v>
      </c>
      <c r="AZ36" s="11" t="n">
        <f aca="false">Construction!AZ14*AZ31*(Construction!AZ17+Inputs!$F$82)/100*Construction!AZ11/360*(1/(1-Inputs!$F$93/100))</f>
        <v>0</v>
      </c>
      <c r="BA36" s="11" t="n">
        <f aca="false">Construction!BA14*BA31*(Construction!BA17+Inputs!$F$82)/100*Construction!BA11/360*(1/(1-Inputs!$F$93/100))</f>
        <v>0</v>
      </c>
      <c r="BB36" s="11" t="n">
        <f aca="false">Construction!BB14*BB31*(Construction!BB17+Inputs!$F$82)/100*Construction!BB11/360*(1/(1-Inputs!$F$93/100))</f>
        <v>0</v>
      </c>
      <c r="BC36" s="11" t="n">
        <f aca="false">Construction!BC14*BC31*(Construction!BC17+Inputs!$F$82)/100*Construction!BC11/360*(1/(1-Inputs!$F$93/100))</f>
        <v>0</v>
      </c>
      <c r="BD36" s="11" t="n">
        <f aca="false">Construction!BD14*BD31*(Construction!BD17+Inputs!$F$82)/100*Construction!BD11/360*(1/(1-Inputs!$F$93/100))</f>
        <v>0</v>
      </c>
      <c r="BE36" s="11" t="n">
        <f aca="false">Construction!BE14*BE31*(Construction!BE17+Inputs!$F$82)/100*Construction!BE11/360*(1/(1-Inputs!$F$93/100))</f>
        <v>0</v>
      </c>
      <c r="BF36" s="11" t="n">
        <f aca="false">Construction!BF14*BF31*(Construction!BF17+Inputs!$F$82)/100*Construction!BF11/360*(1/(1-Inputs!$F$93/100))</f>
        <v>0</v>
      </c>
      <c r="BG36" s="11" t="n">
        <f aca="false">Construction!BG14*BG31*(Construction!BG17+Inputs!$F$82)/100*Construction!BG11/360*(1/(1-Inputs!$F$93/100))</f>
        <v>0</v>
      </c>
      <c r="BH36" s="11" t="n">
        <f aca="false">Construction!BH14*BH31*(Construction!BH17+Inputs!$F$82)/100*Construction!BH11/360*(1/(1-Inputs!$F$93/100))</f>
        <v>0</v>
      </c>
      <c r="BI36" s="11" t="n">
        <f aca="false">Construction!BI14*BI31*(Construction!BI17+Inputs!$F$82)/100*Construction!BI11/360*(1/(1-Inputs!$F$93/100))</f>
        <v>0</v>
      </c>
      <c r="BJ36" s="11" t="n">
        <f aca="false">Construction!BJ14*BJ31*(Construction!BJ17+Inputs!$F$82)/100*Construction!BJ11/360*(1/(1-Inputs!$F$93/100))</f>
        <v>0</v>
      </c>
    </row>
    <row r="37" customFormat="false" ht="15" hidden="false" customHeight="false" outlineLevel="0" collapsed="false">
      <c r="D37" s="0" t="s">
        <v>595</v>
      </c>
      <c r="E37" s="0" t="s">
        <v>149</v>
      </c>
      <c r="G37" s="11" t="n">
        <f aca="false">SUM(J37:BJ37)</f>
        <v>0</v>
      </c>
      <c r="J37" s="11" t="n">
        <f aca="false">Construction!J14*J32*(Inputs!$F$102*(Construction!J17+Inputs!$F$82+Inputs!$F$101)/(1-Inputs!$F$93/100)+(1-Inputs!$F$102)*(Construction!J17+Inputs!$F$80+Inputs!$F$101))/100*Construction!J11/360</f>
        <v>0</v>
      </c>
      <c r="K37" s="11" t="n">
        <f aca="false">Construction!K14*K32*(Inputs!$F$102*(Construction!K17+Inputs!$F$82+Inputs!$F$101)/(1-Inputs!$F$93/100)+(1-Inputs!$F$102)*(Construction!K17+Inputs!$F$80+Inputs!$F$101))/100*Construction!K11/360</f>
        <v>0</v>
      </c>
      <c r="L37" s="11" t="n">
        <f aca="false">Construction!L14*L32*(Inputs!$F$102*(Construction!L17+Inputs!$F$82+Inputs!$F$101)/(1-Inputs!$F$93/100)+(1-Inputs!$F$102)*(Construction!L17+Inputs!$F$80+Inputs!$F$101))/100*Construction!L11/360</f>
        <v>0</v>
      </c>
      <c r="M37" s="11" t="n">
        <f aca="false">Construction!M14*M32*(Inputs!$F$102*(Construction!M17+Inputs!$F$82+Inputs!$F$101)/(1-Inputs!$F$93/100)+(1-Inputs!$F$102)*(Construction!M17+Inputs!$F$80+Inputs!$F$101))/100*Construction!M11/360</f>
        <v>0</v>
      </c>
      <c r="N37" s="11" t="n">
        <f aca="false">Construction!N14*N32*(Inputs!$F$102*(Construction!N17+Inputs!$F$82+Inputs!$F$101)/(1-Inputs!$F$93/100)+(1-Inputs!$F$102)*(Construction!N17+Inputs!$F$80+Inputs!$F$101))/100*Construction!N11/360</f>
        <v>0</v>
      </c>
      <c r="O37" s="11" t="n">
        <f aca="false">Construction!O14*O32*(Inputs!$F$102*(Construction!O17+Inputs!$F$82+Inputs!$F$101)/(1-Inputs!$F$93/100)+(1-Inputs!$F$102)*(Construction!O17+Inputs!$F$80+Inputs!$F$101))/100*Construction!O11/360</f>
        <v>0</v>
      </c>
      <c r="P37" s="11" t="n">
        <f aca="false">Construction!P14*P32*(Inputs!$F$102*(Construction!P17+Inputs!$F$82+Inputs!$F$101)/(1-Inputs!$F$93/100)+(1-Inputs!$F$102)*(Construction!P17+Inputs!$F$80+Inputs!$F$101))/100*Construction!P11/360</f>
        <v>0</v>
      </c>
      <c r="Q37" s="11" t="n">
        <f aca="false">Construction!Q14*Q32*(Inputs!$F$102*(Construction!Q17+Inputs!$F$82+Inputs!$F$101)/(1-Inputs!$F$93/100)+(1-Inputs!$F$102)*(Construction!Q17+Inputs!$F$80+Inputs!$F$101))/100*Construction!Q11/360</f>
        <v>0</v>
      </c>
      <c r="R37" s="11" t="n">
        <f aca="false">Construction!R14*R32*(Inputs!$F$102*(Construction!R17+Inputs!$F$82+Inputs!$F$101)/(1-Inputs!$F$93/100)+(1-Inputs!$F$102)*(Construction!R17+Inputs!$F$80+Inputs!$F$101))/100*Construction!R11/360</f>
        <v>0</v>
      </c>
      <c r="S37" s="11" t="n">
        <f aca="false">Construction!S14*S32*(Inputs!$F$102*(Construction!S17+Inputs!$F$82+Inputs!$F$101)/(1-Inputs!$F$93/100)+(1-Inputs!$F$102)*(Construction!S17+Inputs!$F$80+Inputs!$F$101))/100*Construction!S11/360</f>
        <v>0</v>
      </c>
      <c r="T37" s="11" t="n">
        <f aca="false">Construction!T14*T32*(Inputs!$F$102*(Construction!T17+Inputs!$F$82+Inputs!$F$101)/(1-Inputs!$F$93/100)+(1-Inputs!$F$102)*(Construction!T17+Inputs!$F$80+Inputs!$F$101))/100*Construction!T11/360</f>
        <v>0</v>
      </c>
      <c r="U37" s="11" t="n">
        <f aca="false">Construction!U14*U32*(Inputs!$F$102*(Construction!U17+Inputs!$F$82+Inputs!$F$101)/(1-Inputs!$F$93/100)+(1-Inputs!$F$102)*(Construction!U17+Inputs!$F$80+Inputs!$F$101))/100*Construction!U11/360</f>
        <v>0</v>
      </c>
      <c r="V37" s="11" t="n">
        <f aca="false">Construction!V14*V32*(Inputs!$F$102*(Construction!V17+Inputs!$F$82+Inputs!$F$101)/(1-Inputs!$F$93/100)+(1-Inputs!$F$102)*(Construction!V17+Inputs!$F$80+Inputs!$F$101))/100*Construction!V11/360</f>
        <v>0</v>
      </c>
      <c r="W37" s="11" t="n">
        <f aca="false">Construction!W14*W32*(Inputs!$F$102*(Construction!W17+Inputs!$F$82+Inputs!$F$101)/(1-Inputs!$F$93/100)+(1-Inputs!$F$102)*(Construction!W17+Inputs!$F$80+Inputs!$F$101))/100*Construction!W11/360</f>
        <v>0</v>
      </c>
      <c r="X37" s="11" t="n">
        <f aca="false">Construction!X14*X32*(Inputs!$F$102*(Construction!X17+Inputs!$F$82+Inputs!$F$101)/(1-Inputs!$F$93/100)+(1-Inputs!$F$102)*(Construction!X17+Inputs!$F$80+Inputs!$F$101))/100*Construction!X11/360</f>
        <v>0</v>
      </c>
      <c r="Y37" s="11" t="n">
        <f aca="false">Construction!Y14*Y32*(Inputs!$F$102*(Construction!Y17+Inputs!$F$82+Inputs!$F$101)/(1-Inputs!$F$93/100)+(1-Inputs!$F$102)*(Construction!Y17+Inputs!$F$80+Inputs!$F$101))/100*Construction!Y11/360</f>
        <v>0</v>
      </c>
      <c r="Z37" s="11" t="n">
        <f aca="false">Construction!Z14*Z32*(Inputs!$F$102*(Construction!Z17+Inputs!$F$82+Inputs!$F$101)/(1-Inputs!$F$93/100)+(1-Inputs!$F$102)*(Construction!Z17+Inputs!$F$80+Inputs!$F$101))/100*Construction!Z11/360</f>
        <v>0</v>
      </c>
      <c r="AA37" s="11" t="n">
        <f aca="false">Construction!AA14*AA32*(Inputs!$F$102*(Construction!AA17+Inputs!$F$82+Inputs!$F$101)/(1-Inputs!$F$93/100)+(1-Inputs!$F$102)*(Construction!AA17+Inputs!$F$80+Inputs!$F$101))/100*Construction!AA11/360</f>
        <v>0</v>
      </c>
      <c r="AB37" s="11" t="n">
        <f aca="false">Construction!AB14*AB32*(Inputs!$F$102*(Construction!AB17+Inputs!$F$82+Inputs!$F$101)/(1-Inputs!$F$93/100)+(1-Inputs!$F$102)*(Construction!AB17+Inputs!$F$80+Inputs!$F$101))/100*Construction!AB11/360</f>
        <v>0</v>
      </c>
      <c r="AC37" s="11" t="n">
        <f aca="false">Construction!AC14*AC32*(Inputs!$F$102*(Construction!AC17+Inputs!$F$82+Inputs!$F$101)/(1-Inputs!$F$93/100)+(1-Inputs!$F$102)*(Construction!AC17+Inputs!$F$80+Inputs!$F$101))/100*Construction!AC11/360</f>
        <v>0</v>
      </c>
      <c r="AD37" s="11" t="n">
        <f aca="false">Construction!AD14*AD32*(Inputs!$F$102*(Construction!AD17+Inputs!$F$82+Inputs!$F$101)/(1-Inputs!$F$93/100)+(1-Inputs!$F$102)*(Construction!AD17+Inputs!$F$80+Inputs!$F$101))/100*Construction!AD11/360</f>
        <v>0</v>
      </c>
      <c r="AE37" s="11" t="n">
        <f aca="false">Construction!AE14*AE32*(Inputs!$F$102*(Construction!AE17+Inputs!$F$82+Inputs!$F$101)/(1-Inputs!$F$93/100)+(1-Inputs!$F$102)*(Construction!AE17+Inputs!$F$80+Inputs!$F$101))/100*Construction!AE11/360</f>
        <v>0</v>
      </c>
      <c r="AF37" s="11" t="n">
        <f aca="false">Construction!AF14*AF32*(Inputs!$F$102*(Construction!AF17+Inputs!$F$82+Inputs!$F$101)/(1-Inputs!$F$93/100)+(1-Inputs!$F$102)*(Construction!AF17+Inputs!$F$80+Inputs!$F$101))/100*Construction!AF11/360</f>
        <v>0</v>
      </c>
      <c r="AG37" s="11" t="n">
        <f aca="false">Construction!AG14*AG32*(Inputs!$F$102*(Construction!AG17+Inputs!$F$82+Inputs!$F$101)/(1-Inputs!$F$93/100)+(1-Inputs!$F$102)*(Construction!AG17+Inputs!$F$80+Inputs!$F$101))/100*Construction!AG11/360</f>
        <v>0</v>
      </c>
      <c r="AH37" s="11" t="n">
        <f aca="false">Construction!AH14*AH32*(Inputs!$F$102*(Construction!AH17+Inputs!$F$82+Inputs!$F$101)/(1-Inputs!$F$93/100)+(1-Inputs!$F$102)*(Construction!AH17+Inputs!$F$80+Inputs!$F$101))/100*Construction!AH11/360</f>
        <v>0</v>
      </c>
      <c r="AI37" s="11" t="n">
        <f aca="false">Construction!AI14*AI32*(Inputs!$F$102*(Construction!AI17+Inputs!$F$82+Inputs!$F$101)/(1-Inputs!$F$93/100)+(1-Inputs!$F$102)*(Construction!AI17+Inputs!$F$80+Inputs!$F$101))/100*Construction!AI11/360</f>
        <v>0</v>
      </c>
      <c r="AJ37" s="11" t="n">
        <f aca="false">Construction!AJ14*AJ32*(Inputs!$F$102*(Construction!AJ17+Inputs!$F$82+Inputs!$F$101)/(1-Inputs!$F$93/100)+(1-Inputs!$F$102)*(Construction!AJ17+Inputs!$F$80+Inputs!$F$101))/100*Construction!AJ11/360</f>
        <v>0</v>
      </c>
      <c r="AK37" s="11" t="n">
        <f aca="false">Construction!AK14*AK32*(Inputs!$F$102*(Construction!AK17+Inputs!$F$82+Inputs!$F$101)/(1-Inputs!$F$93/100)+(1-Inputs!$F$102)*(Construction!AK17+Inputs!$F$80+Inputs!$F$101))/100*Construction!AK11/360</f>
        <v>0</v>
      </c>
      <c r="AL37" s="11" t="n">
        <f aca="false">Construction!AL14*AL32*(Inputs!$F$102*(Construction!AL17+Inputs!$F$82+Inputs!$F$101)/(1-Inputs!$F$93/100)+(1-Inputs!$F$102)*(Construction!AL17+Inputs!$F$80+Inputs!$F$101))/100*Construction!AL11/360</f>
        <v>0</v>
      </c>
      <c r="AM37" s="11" t="n">
        <f aca="false">Construction!AM14*AM32*(Inputs!$F$102*(Construction!AM17+Inputs!$F$82+Inputs!$F$101)/(1-Inputs!$F$93/100)+(1-Inputs!$F$102)*(Construction!AM17+Inputs!$F$80+Inputs!$F$101))/100*Construction!AM11/360</f>
        <v>0</v>
      </c>
      <c r="AN37" s="11" t="n">
        <f aca="false">Construction!AN14*AN32*(Inputs!$F$102*(Construction!AN17+Inputs!$F$82+Inputs!$F$101)/(1-Inputs!$F$93/100)+(1-Inputs!$F$102)*(Construction!AN17+Inputs!$F$80+Inputs!$F$101))/100*Construction!AN11/360</f>
        <v>0</v>
      </c>
      <c r="AO37" s="11" t="n">
        <f aca="false">Construction!AO14*AO32*(Inputs!$F$102*(Construction!AO17+Inputs!$F$82+Inputs!$F$101)/(1-Inputs!$F$93/100)+(1-Inputs!$F$102)*(Construction!AO17+Inputs!$F$80+Inputs!$F$101))/100*Construction!AO11/360</f>
        <v>0</v>
      </c>
      <c r="AP37" s="11" t="n">
        <f aca="false">Construction!AP14*AP32*(Inputs!$F$102*(Construction!AP17+Inputs!$F$82+Inputs!$F$101)/(1-Inputs!$F$93/100)+(1-Inputs!$F$102)*(Construction!AP17+Inputs!$F$80+Inputs!$F$101))/100*Construction!AP11/360</f>
        <v>0</v>
      </c>
      <c r="AQ37" s="11" t="n">
        <f aca="false">Construction!AQ14*AQ32*(Inputs!$F$102*(Construction!AQ17+Inputs!$F$82+Inputs!$F$101)/(1-Inputs!$F$93/100)+(1-Inputs!$F$102)*(Construction!AQ17+Inputs!$F$80+Inputs!$F$101))/100*Construction!AQ11/360</f>
        <v>0</v>
      </c>
      <c r="AR37" s="11" t="n">
        <f aca="false">Construction!AR14*AR32*(Inputs!$F$102*(Construction!AR17+Inputs!$F$82+Inputs!$F$101)/(1-Inputs!$F$93/100)+(1-Inputs!$F$102)*(Construction!AR17+Inputs!$F$80+Inputs!$F$101))/100*Construction!AR11/360</f>
        <v>0</v>
      </c>
      <c r="AS37" s="11" t="n">
        <f aca="false">Construction!AS14*AS32*(Inputs!$F$102*(Construction!AS17+Inputs!$F$82+Inputs!$F$101)/(1-Inputs!$F$93/100)+(1-Inputs!$F$102)*(Construction!AS17+Inputs!$F$80+Inputs!$F$101))/100*Construction!AS11/360</f>
        <v>0</v>
      </c>
      <c r="AT37" s="11" t="n">
        <f aca="false">Construction!AT14*AT32*(Inputs!$F$102*(Construction!AT17+Inputs!$F$82+Inputs!$F$101)/(1-Inputs!$F$93/100)+(1-Inputs!$F$102)*(Construction!AT17+Inputs!$F$80+Inputs!$F$101))/100*Construction!AT11/360</f>
        <v>0</v>
      </c>
      <c r="AU37" s="11" t="n">
        <f aca="false">Construction!AU14*AU32*(Inputs!$F$102*(Construction!AU17+Inputs!$F$82+Inputs!$F$101)/(1-Inputs!$F$93/100)+(1-Inputs!$F$102)*(Construction!AU17+Inputs!$F$80+Inputs!$F$101))/100*Construction!AU11/360</f>
        <v>0</v>
      </c>
      <c r="AV37" s="11" t="n">
        <f aca="false">Construction!AV14*AV32*(Inputs!$F$102*(Construction!AV17+Inputs!$F$82+Inputs!$F$101)/(1-Inputs!$F$93/100)+(1-Inputs!$F$102)*(Construction!AV17+Inputs!$F$80+Inputs!$F$101))/100*Construction!AV11/360</f>
        <v>0</v>
      </c>
      <c r="AW37" s="11" t="n">
        <f aca="false">Construction!AW14*AW32*(Inputs!$F$102*(Construction!AW17+Inputs!$F$82+Inputs!$F$101)/(1-Inputs!$F$93/100)+(1-Inputs!$F$102)*(Construction!AW17+Inputs!$F$80+Inputs!$F$101))/100*Construction!AW11/360</f>
        <v>0</v>
      </c>
      <c r="AX37" s="11" t="n">
        <f aca="false">Construction!AX14*AX32*(Inputs!$F$102*(Construction!AX17+Inputs!$F$82+Inputs!$F$101)/(1-Inputs!$F$93/100)+(1-Inputs!$F$102)*(Construction!AX17+Inputs!$F$80+Inputs!$F$101))/100*Construction!AX11/360</f>
        <v>0</v>
      </c>
      <c r="AY37" s="11" t="n">
        <f aca="false">Construction!AY14*AY32*(Inputs!$F$102*(Construction!AY17+Inputs!$F$82+Inputs!$F$101)/(1-Inputs!$F$93/100)+(1-Inputs!$F$102)*(Construction!AY17+Inputs!$F$80+Inputs!$F$101))/100*Construction!AY11/360</f>
        <v>0</v>
      </c>
      <c r="AZ37" s="11" t="n">
        <f aca="false">Construction!AZ14*AZ32*(Inputs!$F$102*(Construction!AZ17+Inputs!$F$82+Inputs!$F$101)/(1-Inputs!$F$93/100)+(1-Inputs!$F$102)*(Construction!AZ17+Inputs!$F$80+Inputs!$F$101))/100*Construction!AZ11/360</f>
        <v>0</v>
      </c>
      <c r="BA37" s="11" t="n">
        <f aca="false">Construction!BA14*BA32*(Inputs!$F$102*(Construction!BA17+Inputs!$F$82+Inputs!$F$101)/(1-Inputs!$F$93/100)+(1-Inputs!$F$102)*(Construction!BA17+Inputs!$F$80+Inputs!$F$101))/100*Construction!BA11/360</f>
        <v>0</v>
      </c>
      <c r="BB37" s="11" t="n">
        <f aca="false">Construction!BB14*BB32*(Inputs!$F$102*(Construction!BB17+Inputs!$F$82+Inputs!$F$101)/(1-Inputs!$F$93/100)+(1-Inputs!$F$102)*(Construction!BB17+Inputs!$F$80+Inputs!$F$101))/100*Construction!BB11/360</f>
        <v>0</v>
      </c>
      <c r="BC37" s="11" t="n">
        <f aca="false">Construction!BC14*BC32*(Inputs!$F$102*(Construction!BC17+Inputs!$F$82+Inputs!$F$101)/(1-Inputs!$F$93/100)+(1-Inputs!$F$102)*(Construction!BC17+Inputs!$F$80+Inputs!$F$101))/100*Construction!BC11/360</f>
        <v>0</v>
      </c>
      <c r="BD37" s="11" t="n">
        <f aca="false">Construction!BD14*BD32*(Inputs!$F$102*(Construction!BD17+Inputs!$F$82+Inputs!$F$101)/(1-Inputs!$F$93/100)+(1-Inputs!$F$102)*(Construction!BD17+Inputs!$F$80+Inputs!$F$101))/100*Construction!BD11/360</f>
        <v>0</v>
      </c>
      <c r="BE37" s="11" t="n">
        <f aca="false">Construction!BE14*BE32*(Inputs!$F$102*(Construction!BE17+Inputs!$F$82+Inputs!$F$101)/(1-Inputs!$F$93/100)+(1-Inputs!$F$102)*(Construction!BE17+Inputs!$F$80+Inputs!$F$101))/100*Construction!BE11/360</f>
        <v>0</v>
      </c>
      <c r="BF37" s="11" t="n">
        <f aca="false">Construction!BF14*BF32*(Inputs!$F$102*(Construction!BF17+Inputs!$F$82+Inputs!$F$101)/(1-Inputs!$F$93/100)+(1-Inputs!$F$102)*(Construction!BF17+Inputs!$F$80+Inputs!$F$101))/100*Construction!BF11/360</f>
        <v>0</v>
      </c>
      <c r="BG37" s="11" t="n">
        <f aca="false">Construction!BG14*BG32*(Inputs!$F$102*(Construction!BG17+Inputs!$F$82+Inputs!$F$101)/(1-Inputs!$F$93/100)+(1-Inputs!$F$102)*(Construction!BG17+Inputs!$F$80+Inputs!$F$101))/100*Construction!BG11/360</f>
        <v>0</v>
      </c>
      <c r="BH37" s="11" t="n">
        <f aca="false">Construction!BH14*BH32*(Inputs!$F$102*(Construction!BH17+Inputs!$F$82+Inputs!$F$101)/(1-Inputs!$F$93/100)+(1-Inputs!$F$102)*(Construction!BH17+Inputs!$F$80+Inputs!$F$101))/100*Construction!BH11/360</f>
        <v>0</v>
      </c>
      <c r="BI37" s="11" t="n">
        <f aca="false">Construction!BI14*BI32*(Inputs!$F$102*(Construction!BI17+Inputs!$F$82+Inputs!$F$101)/(1-Inputs!$F$93/100)+(1-Inputs!$F$102)*(Construction!BI17+Inputs!$F$80+Inputs!$F$101))/100*Construction!BI11/360</f>
        <v>0</v>
      </c>
      <c r="BJ37" s="11" t="n">
        <f aca="false">Construction!BJ14*BJ32*(Inputs!$F$102*(Construction!BJ17+Inputs!$F$82+Inputs!$F$101)/(1-Inputs!$F$93/100)+(1-Inputs!$F$102)*(Construction!BJ17+Inputs!$F$80+Inputs!$F$101))/100*Construction!BJ11/360</f>
        <v>0</v>
      </c>
    </row>
    <row r="38" customFormat="false" ht="15" hidden="false" customHeight="false" outlineLevel="0" collapsed="false">
      <c r="D38" s="0" t="s">
        <v>596</v>
      </c>
      <c r="E38" s="0" t="s">
        <v>149</v>
      </c>
      <c r="G38" s="11" t="n">
        <f aca="false">SUM(J38:BJ38)</f>
        <v>3.68740871632844</v>
      </c>
      <c r="J38" s="11" t="n">
        <f aca="false">Construction!J14*(Inputs!$F$95/100*Inputs!$F$96/100)*J31*Construction!J11/365</f>
        <v>0</v>
      </c>
      <c r="K38" s="11" t="n">
        <f aca="false">Construction!K14*(Inputs!$F$95/100*Inputs!$F$96/100)*K31*Construction!K11/365</f>
        <v>0.0291088986403832</v>
      </c>
      <c r="L38" s="11" t="n">
        <f aca="false">Construction!L14*(Inputs!$F$95/100*Inputs!$F$96/100)*L31*Construction!L11/365</f>
        <v>0.030697402501086</v>
      </c>
      <c r="M38" s="11" t="n">
        <f aca="false">Construction!M14*(Inputs!$F$95/100*Inputs!$F$96/100)*M31*Construction!M11/365</f>
        <v>0.0304697762268099</v>
      </c>
      <c r="N38" s="11" t="n">
        <f aca="false">Construction!N14*(Inputs!$F$95/100*Inputs!$F$96/100)*N31*Construction!N11/365</f>
        <v>0.0325994605830974</v>
      </c>
      <c r="O38" s="11" t="n">
        <f aca="false">Construction!O14*(Inputs!$F$95/100*Inputs!$F$96/100)*O31*Construction!O11/365</f>
        <v>0.0342035740807536</v>
      </c>
      <c r="P38" s="11" t="n">
        <f aca="false">Construction!P14*(Inputs!$F$95/100*Inputs!$F$96/100)*P31*Construction!P11/365</f>
        <v>0.0328901176101457</v>
      </c>
      <c r="Q38" s="11" t="n">
        <f aca="false">Construction!Q14*(Inputs!$F$95/100*Inputs!$F$96/100)*Q31*Construction!Q11/365</f>
        <v>0.0392976982185274</v>
      </c>
      <c r="R38" s="11" t="n">
        <f aca="false">Construction!R14*(Inputs!$F$95/100*Inputs!$F$96/100)*R31*Construction!R11/365</f>
        <v>0.0415722174419781</v>
      </c>
      <c r="S38" s="11" t="n">
        <f aca="false">Construction!S14*(Inputs!$F$95/100*Inputs!$F$96/100)*S31*Construction!S11/365</f>
        <v>0.0473922389727548</v>
      </c>
      <c r="T38" s="11" t="n">
        <f aca="false">Construction!T14*(Inputs!$F$95/100*Inputs!$F$96/100)*T31*Construction!T11/365</f>
        <v>0.0509174206215658</v>
      </c>
      <c r="U38" s="11" t="n">
        <f aca="false">Construction!U14*(Inputs!$F$95/100*Inputs!$F$96/100)*U31*Construction!U11/365</f>
        <v>0.0585746561525039</v>
      </c>
      <c r="V38" s="11" t="n">
        <f aca="false">Construction!V14*(Inputs!$F$95/100*Inputs!$F$96/100)*V31*Construction!V11/365</f>
        <v>0.0652418089843387</v>
      </c>
      <c r="W38" s="11" t="n">
        <f aca="false">Construction!W14*(Inputs!$F$95/100*Inputs!$F$96/100)*W31*Construction!W11/365</f>
        <v>0.0701909994087233</v>
      </c>
      <c r="X38" s="11" t="n">
        <f aca="false">Construction!X14*(Inputs!$F$95/100*Inputs!$F$96/100)*X31*Construction!X11/365</f>
        <v>0.080336635122419</v>
      </c>
      <c r="Y38" s="11" t="n">
        <f aca="false">Construction!Y14*(Inputs!$F$95/100*Inputs!$F$96/100)*Y31*Construction!Y11/365</f>
        <v>0.0857134703536178</v>
      </c>
      <c r="Z38" s="11" t="n">
        <f aca="false">Construction!Z14*(Inputs!$F$95/100*Inputs!$F$96/100)*Z31*Construction!Z11/365</f>
        <v>0.0970895392068716</v>
      </c>
      <c r="AA38" s="11" t="n">
        <f aca="false">Construction!AA14*(Inputs!$F$95/100*Inputs!$F$96/100)*AA31*Construction!AA11/365</f>
        <v>0.105787015076741</v>
      </c>
      <c r="AB38" s="11" t="n">
        <f aca="false">Construction!AB14*(Inputs!$F$95/100*Inputs!$F$96/100)*AB31*Construction!AB11/365</f>
        <v>0.107402051929107</v>
      </c>
      <c r="AC38" s="11" t="n">
        <f aca="false">Construction!AC14*(Inputs!$F$95/100*Inputs!$F$96/100)*AC31*Construction!AC11/365</f>
        <v>0.12341503195047</v>
      </c>
      <c r="AD38" s="11" t="n">
        <f aca="false">Construction!AD14*(Inputs!$F$95/100*Inputs!$F$96/100)*AD31*Construction!AD11/365</f>
        <v>0.127564277885896</v>
      </c>
      <c r="AE38" s="11" t="n">
        <f aca="false">Construction!AE14*(Inputs!$F$95/100*Inputs!$F$96/100)*AE31*Construction!AE11/365</f>
        <v>0.139847589568477</v>
      </c>
      <c r="AF38" s="11" t="n">
        <f aca="false">Construction!AF14*(Inputs!$F$95/100*Inputs!$F$96/100)*AF31*Construction!AF11/365</f>
        <v>0.142669391096896</v>
      </c>
      <c r="AG38" s="11" t="n">
        <f aca="false">Construction!AG14*(Inputs!$F$95/100*Inputs!$F$96/100)*AG31*Construction!AG11/365</f>
        <v>0.154419273240648</v>
      </c>
      <c r="AH38" s="11" t="n">
        <f aca="false">Construction!AH14*(Inputs!$F$95/100*Inputs!$F$96/100)*AH31*Construction!AH11/365</f>
        <v>0.160782141321031</v>
      </c>
      <c r="AI38" s="11" t="n">
        <f aca="false">Construction!AI14*(Inputs!$F$95/100*Inputs!$F$96/100)*AI31*Construction!AI11/365</f>
        <v>0.161068495506393</v>
      </c>
      <c r="AJ38" s="11" t="n">
        <f aca="false">Construction!AJ14*(Inputs!$F$95/100*Inputs!$F$96/100)*AJ31*Construction!AJ11/365</f>
        <v>0.171332792264339</v>
      </c>
      <c r="AK38" s="11" t="n">
        <f aca="false">Construction!AK14*(Inputs!$F$95/100*Inputs!$F$96/100)*AK31*Construction!AK11/365</f>
        <v>0.169833506997485</v>
      </c>
      <c r="AL38" s="11" t="n">
        <f aca="false">Construction!AL14*(Inputs!$F$95/100*Inputs!$F$96/100)*AL31*Construction!AL11/365</f>
        <v>0.178909675904356</v>
      </c>
      <c r="AM38" s="11" t="n">
        <f aca="false">Construction!AM14*(Inputs!$F$95/100*Inputs!$F$96/100)*AM31*Construction!AM11/365</f>
        <v>0.181666627991376</v>
      </c>
      <c r="AN38" s="11" t="n">
        <f aca="false">Construction!AN14*(Inputs!$F$95/100*Inputs!$F$96/100)*AN31*Construction!AN11/365</f>
        <v>0.166043736405233</v>
      </c>
      <c r="AO38" s="11" t="n">
        <f aca="false">Construction!AO14*(Inputs!$F$95/100*Inputs!$F$96/100)*AO31*Construction!AO11/365</f>
        <v>0.185474405266897</v>
      </c>
      <c r="AP38" s="11" t="n">
        <f aca="false">Construction!AP14*(Inputs!$F$95/100*Inputs!$F$96/100)*AP31*Construction!AP11/365</f>
        <v>0.180816295060743</v>
      </c>
      <c r="AQ38" s="11" t="n">
        <f aca="false">Construction!AQ14*(Inputs!$F$95/100*Inputs!$F$96/100)*AQ31*Construction!AQ11/365</f>
        <v>0.200264787455893</v>
      </c>
      <c r="AR38" s="11" t="n">
        <f aca="false">Construction!AR14*(Inputs!$F$95/100*Inputs!$F$96/100)*AR31*Construction!AR11/365</f>
        <v>0.203815707280881</v>
      </c>
      <c r="AS38" s="11" t="n">
        <f aca="false">Construction!AS14*(Inputs!$F$95/100*Inputs!$F$96/100)*AS31*Construction!AS11/365</f>
        <v>0</v>
      </c>
      <c r="AT38" s="11" t="n">
        <f aca="false">Construction!AT14*(Inputs!$F$95/100*Inputs!$F$96/100)*AT31*Construction!AT11/365</f>
        <v>0</v>
      </c>
      <c r="AU38" s="11" t="n">
        <f aca="false">Construction!AU14*(Inputs!$F$95/100*Inputs!$F$96/100)*AU31*Construction!AU11/365</f>
        <v>0</v>
      </c>
      <c r="AV38" s="11" t="n">
        <f aca="false">Construction!AV14*(Inputs!$F$95/100*Inputs!$F$96/100)*AV31*Construction!AV11/365</f>
        <v>0</v>
      </c>
      <c r="AW38" s="11" t="n">
        <f aca="false">Construction!AW14*(Inputs!$F$95/100*Inputs!$F$96/100)*AW31*Construction!AW11/365</f>
        <v>0</v>
      </c>
      <c r="AX38" s="11" t="n">
        <f aca="false">Construction!AX14*(Inputs!$F$95/100*Inputs!$F$96/100)*AX31*Construction!AX11/365</f>
        <v>0</v>
      </c>
      <c r="AY38" s="11" t="n">
        <f aca="false">Construction!AY14*(Inputs!$F$95/100*Inputs!$F$96/100)*AY31*Construction!AY11/365</f>
        <v>0</v>
      </c>
      <c r="AZ38" s="11" t="n">
        <f aca="false">Construction!AZ14*(Inputs!$F$95/100*Inputs!$F$96/100)*AZ31*Construction!AZ11/365</f>
        <v>0</v>
      </c>
      <c r="BA38" s="11" t="n">
        <f aca="false">Construction!BA14*(Inputs!$F$95/100*Inputs!$F$96/100)*BA31*Construction!BA11/365</f>
        <v>0</v>
      </c>
      <c r="BB38" s="11" t="n">
        <f aca="false">Construction!BB14*(Inputs!$F$95/100*Inputs!$F$96/100)*BB31*Construction!BB11/365</f>
        <v>0</v>
      </c>
      <c r="BC38" s="11" t="n">
        <f aca="false">Construction!BC14*(Inputs!$F$95/100*Inputs!$F$96/100)*BC31*Construction!BC11/365</f>
        <v>0</v>
      </c>
      <c r="BD38" s="11" t="n">
        <f aca="false">Construction!BD14*(Inputs!$F$95/100*Inputs!$F$96/100)*BD31*Construction!BD11/365</f>
        <v>0</v>
      </c>
      <c r="BE38" s="11" t="n">
        <f aca="false">Construction!BE14*(Inputs!$F$95/100*Inputs!$F$96/100)*BE31*Construction!BE11/365</f>
        <v>0</v>
      </c>
      <c r="BF38" s="11" t="n">
        <f aca="false">Construction!BF14*(Inputs!$F$95/100*Inputs!$F$96/100)*BF31*Construction!BF11/365</f>
        <v>0</v>
      </c>
      <c r="BG38" s="11" t="n">
        <f aca="false">Construction!BG14*(Inputs!$F$95/100*Inputs!$F$96/100)*BG31*Construction!BG11/365</f>
        <v>0</v>
      </c>
      <c r="BH38" s="11" t="n">
        <f aca="false">Construction!BH14*(Inputs!$F$95/100*Inputs!$F$96/100)*BH31*Construction!BH11/365</f>
        <v>0</v>
      </c>
      <c r="BI38" s="11" t="n">
        <f aca="false">Construction!BI14*(Inputs!$F$95/100*Inputs!$F$96/100)*BI31*Construction!BI11/365</f>
        <v>0</v>
      </c>
      <c r="BJ38" s="11" t="n">
        <f aca="false">Construction!BJ14*(Inputs!$F$95/100*Inputs!$F$96/100)*BJ31*Construction!BJ11/365</f>
        <v>0</v>
      </c>
    </row>
    <row r="39" customFormat="false" ht="15" hidden="false" customHeight="false" outlineLevel="0" collapsed="false">
      <c r="D39" s="0" t="s">
        <v>597</v>
      </c>
      <c r="E39" s="0" t="s">
        <v>149</v>
      </c>
      <c r="G39" s="11" t="n">
        <f aca="false">SUM(J39:BJ39)</f>
        <v>-0.780154394273374</v>
      </c>
      <c r="J39" s="11" t="n">
        <f aca="false">Construction!J14*Inputs!J233*(Inputs!$F$97/100/12-Construction!J17/100*Construction!J11/360)</f>
        <v>0</v>
      </c>
      <c r="K39" s="11" t="n">
        <f aca="false">Construction!K14*Inputs!K233*(Inputs!$F$97/100/12-Construction!K17/100*Construction!K11/360)</f>
        <v>0.0256336265468404</v>
      </c>
      <c r="L39" s="11" t="n">
        <f aca="false">Construction!L14*Inputs!L233*(Inputs!$F$97/100/12-Construction!L17/100*Construction!L11/360)</f>
        <v>0.0210141444648804</v>
      </c>
      <c r="M39" s="11" t="n">
        <f aca="false">Construction!M14*Inputs!M233*(Inputs!$F$97/100/12-Construction!M17/100*Construction!M11/360)</f>
        <v>0.0268320307959709</v>
      </c>
      <c r="N39" s="11" t="n">
        <f aca="false">Construction!N14*Inputs!N233*(Inputs!$F$97/100/12-Construction!N17/100*Construction!N11/360)</f>
        <v>0.0223162130457094</v>
      </c>
      <c r="O39" s="11" t="n">
        <f aca="false">Construction!O14*Inputs!O233*(Inputs!$F$97/100/12-Construction!O17/100*Construction!O11/360)</f>
        <v>0.00436885296429229</v>
      </c>
      <c r="P39" s="11" t="n">
        <f aca="false">Construction!P14*Inputs!P233*(Inputs!$F$97/100/12-Construction!P17/100*Construction!P11/360)</f>
        <v>0.0249275257662273</v>
      </c>
      <c r="Q39" s="11" t="n">
        <f aca="false">Construction!Q14*Inputs!Q233*(Inputs!$F$97/100/12-Construction!Q17/100*Construction!Q11/360)</f>
        <v>0.00501952997504109</v>
      </c>
      <c r="R39" s="11" t="n">
        <f aca="false">Construction!R14*Inputs!R233*(Inputs!$F$97/100/12-Construction!R17/100*Construction!R11/360)</f>
        <v>0.0134604396914615</v>
      </c>
      <c r="S39" s="11" t="n">
        <f aca="false">Construction!S14*Inputs!S233*(Inputs!$F$97/100/12-Construction!S17/100*Construction!S11/360)</f>
        <v>0.0060534528711158</v>
      </c>
      <c r="T39" s="11" t="n">
        <f aca="false">Construction!T14*Inputs!T233*(Inputs!$F$97/100/12-Construction!T17/100*Construction!T11/360)</f>
        <v>0.0164862716424018</v>
      </c>
      <c r="U39" s="11" t="n">
        <f aca="false">Construction!U14*Inputs!U233*(Inputs!$F$97/100/12-Construction!U17/100*Construction!U11/360)</f>
        <v>-0.0106381743817501</v>
      </c>
      <c r="V39" s="11" t="n">
        <f aca="false">Construction!V14*Inputs!V233*(Inputs!$F$97/100/12-Construction!V17/100*Construction!V11/360)</f>
        <v>-0.0118490450742335</v>
      </c>
      <c r="W39" s="11" t="n">
        <f aca="false">Construction!W14*Inputs!W233*(Inputs!$F$97/100/12-Construction!W17/100*Construction!W11/360)</f>
        <v>0.00101329493099842</v>
      </c>
      <c r="X39" s="11" t="n">
        <f aca="false">Construction!X14*Inputs!X233*(Inputs!$F$97/100/12-Construction!X17/100*Construction!X11/360)</f>
        <v>-0.0145905275390518</v>
      </c>
      <c r="Y39" s="11" t="n">
        <f aca="false">Construction!Y14*Inputs!Y233*(Inputs!$F$97/100/12-Construction!Y17/100*Construction!Y11/360)</f>
        <v>0.00123738122778837</v>
      </c>
      <c r="Z39" s="11" t="n">
        <f aca="false">Construction!Z14*Inputs!Z233*(Inputs!$F$97/100/12-Construction!Z17/100*Construction!Z11/360)</f>
        <v>-0.017633145742279</v>
      </c>
      <c r="AA39" s="11" t="n">
        <f aca="false">Construction!AA14*Inputs!AA233*(Inputs!$F$97/100/12-Construction!AA17/100*Construction!AA11/360)</f>
        <v>-0.0366661065828445</v>
      </c>
      <c r="AB39" s="11" t="n">
        <f aca="false">Construction!AB14*Inputs!AB233*(Inputs!$F$97/100/12-Construction!AB17/100*Construction!AB11/360)</f>
        <v>0.0063394134529816</v>
      </c>
      <c r="AC39" s="11" t="n">
        <f aca="false">Construction!AC14*Inputs!AC233*(Inputs!$F$97/100/12-Construction!AC17/100*Construction!AC11/360)</f>
        <v>-0.0427760317478335</v>
      </c>
      <c r="AD39" s="11" t="n">
        <f aca="false">Construction!AD14*Inputs!AD233*(Inputs!$F$97/100/12-Construction!AD17/100*Construction!AD11/360)</f>
        <v>-0.0192047358923709</v>
      </c>
      <c r="AE39" s="11" t="n">
        <f aca="false">Construction!AE14*Inputs!AE233*(Inputs!$F$97/100/12-Construction!AE17/100*Construction!AE11/360)</f>
        <v>-0.0484716070376672</v>
      </c>
      <c r="AF39" s="11" t="n">
        <f aca="false">Construction!AF14*Inputs!AF233*(Inputs!$F$97/100/12-Construction!AF17/100*Construction!AF11/360)</f>
        <v>-0.0214788028541397</v>
      </c>
      <c r="AG39" s="11" t="n">
        <f aca="false">Construction!AG14*Inputs!AG233*(Inputs!$F$97/100/12-Construction!AG17/100*Construction!AG11/360)</f>
        <v>-0.0662606861661246</v>
      </c>
      <c r="AH39" s="11" t="n">
        <f aca="false">Construction!AH14*Inputs!AH233*(Inputs!$F$97/100/12-Construction!AH17/100*Construction!AH11/360)</f>
        <v>-0.0689909671481443</v>
      </c>
      <c r="AI39" s="11" t="n">
        <f aca="false">Construction!AI14*Inputs!AI233*(Inputs!$F$97/100/12-Construction!AI17/100*Construction!AI11/360)</f>
        <v>-0.0375357803912348</v>
      </c>
      <c r="AJ39" s="11" t="n">
        <f aca="false">Construction!AJ14*Inputs!AJ233*(Inputs!$F$97/100/12-Construction!AJ17/100*Construction!AJ11/360)</f>
        <v>-0.0735182088344329</v>
      </c>
      <c r="AK39" s="11" t="n">
        <f aca="false">Construction!AK14*Inputs!AK233*(Inputs!$F$97/100/12-Construction!AK17/100*Construction!AK11/360)</f>
        <v>-0.0395783992497945</v>
      </c>
      <c r="AL39" s="11" t="n">
        <f aca="false">Construction!AL14*Inputs!AL233*(Inputs!$F$97/100/12-Construction!AL17/100*Construction!AL11/360)</f>
        <v>-0.0767694189872691</v>
      </c>
      <c r="AM39" s="11" t="n">
        <f aca="false">Construction!AM14*Inputs!AM233*(Inputs!$F$97/100/12-Construction!AM17/100*Construction!AM11/360)</f>
        <v>-0.089192066664552</v>
      </c>
      <c r="AN39" s="11" t="n">
        <f aca="false">Construction!AN14*Inputs!AN233*(Inputs!$F$97/100/12-Construction!AN17/100*Construction!AN11/360)</f>
        <v>0.0231144026488669</v>
      </c>
      <c r="AO39" s="11" t="n">
        <f aca="false">Construction!AO14*Inputs!AO233*(Inputs!$F$97/100/12-Construction!AO17/100*Construction!AO11/360)</f>
        <v>-0.0910615543535457</v>
      </c>
      <c r="AP39" s="11" t="n">
        <f aca="false">Construction!AP14*Inputs!AP233*(Inputs!$F$97/100/12-Construction!AP17/100*Construction!AP11/360)</f>
        <v>-0.0533248948443183</v>
      </c>
      <c r="AQ39" s="11" t="n">
        <f aca="false">Construction!AQ14*Inputs!AQ233*(Inputs!$F$97/100/12-Construction!AQ17/100*Construction!AQ11/360)</f>
        <v>-0.0983231233537221</v>
      </c>
      <c r="AR39" s="11" t="n">
        <f aca="false">Construction!AR14*Inputs!AR233*(Inputs!$F$97/100/12-Construction!AR17/100*Construction!AR11/360)</f>
        <v>-0.0601076974526416</v>
      </c>
      <c r="AS39" s="11" t="n">
        <f aca="false">Construction!AS14*Inputs!AS233*(Inputs!$F$97/100/12-Construction!AS17/100*Construction!AS11/360)</f>
        <v>-0</v>
      </c>
      <c r="AT39" s="11" t="n">
        <f aca="false">Construction!AT14*Inputs!AT233*(Inputs!$F$97/100/12-Construction!AT17/100*Construction!AT11/360)</f>
        <v>-0</v>
      </c>
      <c r="AU39" s="11" t="n">
        <f aca="false">Construction!AU14*Inputs!AU233*(Inputs!$F$97/100/12-Construction!AU17/100*Construction!AU11/360)</f>
        <v>-0</v>
      </c>
      <c r="AV39" s="11" t="n">
        <f aca="false">Construction!AV14*Inputs!AV233*(Inputs!$F$97/100/12-Construction!AV17/100*Construction!AV11/360)</f>
        <v>-0</v>
      </c>
      <c r="AW39" s="11" t="n">
        <f aca="false">Construction!AW14*Inputs!AW233*(Inputs!$F$97/100/12-Construction!AW17/100*Construction!AW11/360)</f>
        <v>-0</v>
      </c>
      <c r="AX39" s="11" t="n">
        <f aca="false">Construction!AX14*Inputs!AX233*(Inputs!$F$97/100/12-Construction!AX17/100*Construction!AX11/360)</f>
        <v>-0</v>
      </c>
      <c r="AY39" s="11" t="n">
        <f aca="false">Construction!AY14*Inputs!AY233*(Inputs!$F$97/100/12-Construction!AY17/100*Construction!AY11/360)</f>
        <v>-0</v>
      </c>
      <c r="AZ39" s="11" t="n">
        <f aca="false">Construction!AZ14*Inputs!AZ233*(Inputs!$F$97/100/12-Construction!AZ17/100*Construction!AZ11/360)</f>
        <v>0</v>
      </c>
      <c r="BA39" s="11" t="n">
        <f aca="false">Construction!BA14*Inputs!BA233*(Inputs!$F$97/100/12-Construction!BA17/100*Construction!BA11/360)</f>
        <v>-0</v>
      </c>
      <c r="BB39" s="11" t="n">
        <f aca="false">Construction!BB14*Inputs!BB233*(Inputs!$F$97/100/12-Construction!BB17/100*Construction!BB11/360)</f>
        <v>-0</v>
      </c>
      <c r="BC39" s="11" t="n">
        <f aca="false">Construction!BC14*Inputs!BC233*(Inputs!$F$97/100/12-Construction!BC17/100*Construction!BC11/360)</f>
        <v>-0</v>
      </c>
      <c r="BD39" s="11" t="n">
        <f aca="false">Construction!BD14*Inputs!BD233*(Inputs!$F$97/100/12-Construction!BD17/100*Construction!BD11/360)</f>
        <v>-0</v>
      </c>
      <c r="BE39" s="11" t="n">
        <f aca="false">Construction!BE14*Inputs!BE233*(Inputs!$F$97/100/12-Construction!BE17/100*Construction!BE11/360)</f>
        <v>-0</v>
      </c>
      <c r="BF39" s="11" t="n">
        <f aca="false">Construction!BF14*Inputs!BF233*(Inputs!$F$97/100/12-Construction!BF17/100*Construction!BF11/360)</f>
        <v>-0</v>
      </c>
      <c r="BG39" s="11" t="n">
        <f aca="false">Construction!BG14*Inputs!BG233*(Inputs!$F$97/100/12-Construction!BG17/100*Construction!BG11/360)</f>
        <v>-0</v>
      </c>
      <c r="BH39" s="11" t="n">
        <f aca="false">Construction!BH14*Inputs!BH233*(Inputs!$F$97/100/12-Construction!BH17/100*Construction!BH11/360)</f>
        <v>-0</v>
      </c>
      <c r="BI39" s="11" t="n">
        <f aca="false">Construction!BI14*Inputs!BI233*(Inputs!$F$97/100/12-Construction!BI17/100*Construction!BI11/360)</f>
        <v>-0</v>
      </c>
      <c r="BJ39" s="11" t="n">
        <f aca="false">Construction!BJ14*Inputs!BJ233*(Inputs!$F$97/100/12-Construction!BJ17/100*Construction!BJ11/360)</f>
        <v>-0</v>
      </c>
    </row>
    <row r="40" customFormat="false" ht="15" hidden="false" customHeight="false" outlineLevel="0" collapsed="false">
      <c r="D40" s="0" t="s">
        <v>598</v>
      </c>
      <c r="E40" s="0" t="s">
        <v>149</v>
      </c>
      <c r="G40" s="11" t="n">
        <f aca="false">SUM(J40:BJ40)</f>
        <v>9.30371396326007</v>
      </c>
      <c r="J40" s="11" t="n">
        <f aca="false">Construction!J14*((Inputs!$F$75*$F$25-J28)*Inputs!$F$85/100+(Inputs!$F$76*$F$25-J29)*Inputs!$F$86/100+(Inputs!$F$77*$F$25-J30)*Inputs!$F$87/100+(Inputs!$F$78*$F$25-J31)*(Inputs!$F$88/100*Inputs!$F$82)/100)*Construction!J11/360</f>
        <v>0.549775247522472</v>
      </c>
      <c r="K40" s="11" t="n">
        <f aca="false">Construction!K14*((Inputs!$F$75*$F$25-K28)*Inputs!$F$85/100+(Inputs!$F$76*$F$25-K29)*Inputs!$F$86/100+(Inputs!$F$77*$F$25-K30)*Inputs!$F$87/100+(Inputs!$F$78*$F$25-K31)*(Inputs!$F$88/100*Inputs!$F$82)/100)*Construction!K11/360</f>
        <v>0.456385344604533</v>
      </c>
      <c r="L40" s="11" t="n">
        <f aca="false">Construction!L14*((Inputs!$F$75*$F$25-L28)*Inputs!$F$85/100+(Inputs!$F$76*$F$25-L29)*Inputs!$F$86/100+(Inputs!$F$77*$F$25-L30)*Inputs!$F$87/100+(Inputs!$F$78*$F$25-L31)*(Inputs!$F$88/100*Inputs!$F$82)/100)*Construction!L11/360</f>
        <v>0.469991443537797</v>
      </c>
      <c r="M40" s="11" t="n">
        <f aca="false">Construction!M14*((Inputs!$F$75*$F$25-M28)*Inputs!$F$85/100+(Inputs!$F$76*$F$25-M29)*Inputs!$F$86/100+(Inputs!$F$77*$F$25-M30)*Inputs!$F$87/100+(Inputs!$F$78*$F$25-M31)*(Inputs!$F$88/100*Inputs!$F$82)/100)*Construction!M11/360</f>
        <v>0.452848368125863</v>
      </c>
      <c r="N40" s="11" t="n">
        <f aca="false">Construction!N14*((Inputs!$F$75*$F$25-N28)*Inputs!$F$85/100+(Inputs!$F$76*$F$25-N29)*Inputs!$F$86/100+(Inputs!$F$77*$F$25-N30)*Inputs!$F$87/100+(Inputs!$F$78*$F$25-N31)*(Inputs!$F$88/100*Inputs!$F$82)/100)*Construction!N11/360</f>
        <v>0.465047916828092</v>
      </c>
      <c r="O40" s="11" t="n">
        <f aca="false">Construction!O14*((Inputs!$F$75*$F$25-O28)*Inputs!$F$85/100+(Inputs!$F$76*$F$25-O29)*Inputs!$F$86/100+(Inputs!$F$77*$F$25-O30)*Inputs!$F$87/100+(Inputs!$F$78*$F$25-O31)*(Inputs!$F$88/100*Inputs!$F$82)/100)*Construction!O11/360</f>
        <v>0.460878760272855</v>
      </c>
      <c r="P40" s="11" t="n">
        <f aca="false">Construction!P14*((Inputs!$F$75*$F$25-P28)*Inputs!$F$85/100+(Inputs!$F$76*$F$25-P29)*Inputs!$F$86/100+(Inputs!$F$77*$F$25-P30)*Inputs!$F$87/100+(Inputs!$F$78*$F$25-P31)*(Inputs!$F$88/100*Inputs!$F$82)/100)*Construction!P11/360</f>
        <v>0.411088431121123</v>
      </c>
      <c r="Q40" s="11" t="n">
        <f aca="false">Construction!Q14*((Inputs!$F$75*$F$25-Q28)*Inputs!$F$85/100+(Inputs!$F$76*$F$25-Q29)*Inputs!$F$86/100+(Inputs!$F$77*$F$25-Q30)*Inputs!$F$87/100+(Inputs!$F$78*$F$25-Q31)*(Inputs!$F$88/100*Inputs!$F$82)/100)*Construction!Q11/360</f>
        <v>0.447638923395211</v>
      </c>
      <c r="R40" s="11" t="n">
        <f aca="false">Construction!R14*((Inputs!$F$75*$F$25-R28)*Inputs!$F$85/100+(Inputs!$F$76*$F$25-R29)*Inputs!$F$86/100+(Inputs!$F$77*$F$25-R30)*Inputs!$F$87/100+(Inputs!$F$78*$F$25-R31)*(Inputs!$F$88/100*Inputs!$F$82)/100)*Construction!R11/360</f>
        <v>0.423992669549053</v>
      </c>
      <c r="S40" s="11" t="n">
        <f aca="false">Construction!S14*((Inputs!$F$75*$F$25-S28)*Inputs!$F$85/100+(Inputs!$F$76*$F$25-S29)*Inputs!$F$86/100+(Inputs!$F$77*$F$25-S30)*Inputs!$F$87/100+(Inputs!$F$78*$F$25-S31)*(Inputs!$F$88/100*Inputs!$F$82)/100)*Construction!S11/360</f>
        <v>0.426600881076862</v>
      </c>
      <c r="T40" s="11" t="n">
        <f aca="false">Construction!T14*((Inputs!$F$75*$F$25-T28)*Inputs!$F$85/100+(Inputs!$F$76*$F$25-T29)*Inputs!$F$86/100+(Inputs!$F$77*$F$25-T30)*Inputs!$F$87/100+(Inputs!$F$78*$F$25-T31)*(Inputs!$F$88/100*Inputs!$F$82)/100)*Construction!T11/360</f>
        <v>0.39970410446115</v>
      </c>
      <c r="U40" s="11" t="n">
        <f aca="false">Construction!U14*((Inputs!$F$75*$F$25-U28)*Inputs!$F$85/100+(Inputs!$F$76*$F$25-U29)*Inputs!$F$86/100+(Inputs!$F$77*$F$25-U30)*Inputs!$F$87/100+(Inputs!$F$78*$F$25-U31)*(Inputs!$F$88/100*Inputs!$F$82)/100)*Construction!U11/360</f>
        <v>0.397537321698755</v>
      </c>
      <c r="V40" s="11" t="n">
        <f aca="false">Construction!V14*((Inputs!$F$75*$F$25-V28)*Inputs!$F$85/100+(Inputs!$F$76*$F$25-V29)*Inputs!$F$86/100+(Inputs!$F$77*$F$25-V30)*Inputs!$F$87/100+(Inputs!$F$78*$F$25-V31)*(Inputs!$F$88/100*Inputs!$F$82)/100)*Construction!V11/360</f>
        <v>0.380209118941139</v>
      </c>
      <c r="W40" s="11" t="n">
        <f aca="false">Construction!W14*((Inputs!$F$75*$F$25-W28)*Inputs!$F$85/100+(Inputs!$F$76*$F$25-W29)*Inputs!$F$86/100+(Inputs!$F$77*$F$25-W30)*Inputs!$F$87/100+(Inputs!$F$78*$F$25-W31)*(Inputs!$F$88/100*Inputs!$F$82)/100)*Construction!W11/360</f>
        <v>0.349611285305413</v>
      </c>
      <c r="X40" s="11" t="n">
        <f aca="false">Construction!X14*((Inputs!$F$75*$F$25-X28)*Inputs!$F$85/100+(Inputs!$F$76*$F$25-X29)*Inputs!$F$86/100+(Inputs!$F$77*$F$25-X30)*Inputs!$F$87/100+(Inputs!$F$78*$F$25-X31)*(Inputs!$F$88/100*Inputs!$F$82)/100)*Construction!X11/360</f>
        <v>0.340977048744296</v>
      </c>
      <c r="Y40" s="11" t="n">
        <f aca="false">Construction!Y14*((Inputs!$F$75*$F$25-Y28)*Inputs!$F$85/100+(Inputs!$F$76*$F$25-Y29)*Inputs!$F$86/100+(Inputs!$F$77*$F$25-Y30)*Inputs!$F$87/100+(Inputs!$F$78*$F$25-Y31)*(Inputs!$F$88/100*Inputs!$F$82)/100)*Construction!Y11/360</f>
        <v>0.309267748773895</v>
      </c>
      <c r="Z40" s="11" t="n">
        <f aca="false">Construction!Z14*((Inputs!$F$75*$F$25-Z28)*Inputs!$F$85/100+(Inputs!$F$76*$F$25-Z29)*Inputs!$F$86/100+(Inputs!$F$77*$F$25-Z30)*Inputs!$F$87/100+(Inputs!$F$78*$F$25-Z31)*(Inputs!$F$88/100*Inputs!$F$82)/100)*Construction!Z11/360</f>
        <v>0.29743556618398</v>
      </c>
      <c r="AA40" s="11" t="n">
        <f aca="false">Construction!AA14*((Inputs!$F$75*$F$25-AA28)*Inputs!$F$85/100+(Inputs!$F$76*$F$25-AA29)*Inputs!$F$86/100+(Inputs!$F$77*$F$25-AA30)*Inputs!$F$87/100+(Inputs!$F$78*$F$25-AA31)*(Inputs!$F$88/100*Inputs!$F$82)/100)*Construction!AA11/360</f>
        <v>0.274830470852591</v>
      </c>
      <c r="AB40" s="11" t="n">
        <f aca="false">Construction!AB14*((Inputs!$F$75*$F$25-AB28)*Inputs!$F$85/100+(Inputs!$F$76*$F$25-AB29)*Inputs!$F$86/100+(Inputs!$F$77*$F$25-AB30)*Inputs!$F$87/100+(Inputs!$F$78*$F$25-AB31)*(Inputs!$F$88/100*Inputs!$F$82)/100)*Construction!AB11/360</f>
        <v>0.235163553244022</v>
      </c>
      <c r="AC40" s="11" t="n">
        <f aca="false">Construction!AC14*((Inputs!$F$75*$F$25-AC28)*Inputs!$F$85/100+(Inputs!$F$76*$F$25-AC29)*Inputs!$F$86/100+(Inputs!$F$77*$F$25-AC30)*Inputs!$F$87/100+(Inputs!$F$78*$F$25-AC31)*(Inputs!$F$88/100*Inputs!$F$82)/100)*Construction!AC11/360</f>
        <v>0.22901453437906</v>
      </c>
      <c r="AD40" s="11" t="n">
        <f aca="false">Construction!AD14*((Inputs!$F$75*$F$25-AD28)*Inputs!$F$85/100+(Inputs!$F$76*$F$25-AD29)*Inputs!$F$86/100+(Inputs!$F$77*$F$25-AD30)*Inputs!$F$87/100+(Inputs!$F$78*$F$25-AD31)*(Inputs!$F$88/100*Inputs!$F$82)/100)*Construction!AD11/360</f>
        <v>0.200495789171206</v>
      </c>
      <c r="AE40" s="11" t="n">
        <f aca="false">Construction!AE14*((Inputs!$F$75*$F$25-AE28)*Inputs!$F$85/100+(Inputs!$F$76*$F$25-AE29)*Inputs!$F$86/100+(Inputs!$F$77*$F$25-AE30)*Inputs!$F$87/100+(Inputs!$F$78*$F$25-AE31)*(Inputs!$F$88/100*Inputs!$F$82)/100)*Construction!AE11/360</f>
        <v>0.186305645380535</v>
      </c>
      <c r="AF40" s="11" t="n">
        <f aca="false">Construction!AF14*((Inputs!$F$75*$F$25-AF28)*Inputs!$F$85/100+(Inputs!$F$76*$F$25-AF29)*Inputs!$F$86/100+(Inputs!$F$77*$F$25-AF30)*Inputs!$F$87/100+(Inputs!$F$78*$F$25-AF31)*(Inputs!$F$88/100*Inputs!$F$82)/100)*Construction!AF11/360</f>
        <v>0.161236982451317</v>
      </c>
      <c r="AG40" s="11" t="n">
        <f aca="false">Construction!AG14*((Inputs!$F$75*$F$25-AG28)*Inputs!$F$85/100+(Inputs!$F$76*$F$25-AG29)*Inputs!$F$86/100+(Inputs!$F$77*$F$25-AG30)*Inputs!$F$87/100+(Inputs!$F$78*$F$25-AG31)*(Inputs!$F$88/100*Inputs!$F$82)/100)*Construction!AG11/360</f>
        <v>0.148433243838219</v>
      </c>
      <c r="AH40" s="11" t="n">
        <f aca="false">Construction!AH14*((Inputs!$F$75*$F$25-AH28)*Inputs!$F$85/100+(Inputs!$F$76*$F$25-AH29)*Inputs!$F$86/100+(Inputs!$F$77*$F$25-AH30)*Inputs!$F$87/100+(Inputs!$F$78*$F$25-AH31)*(Inputs!$F$88/100*Inputs!$F$82)/100)*Construction!AH11/360</f>
        <v>0.131895889588536</v>
      </c>
      <c r="AI40" s="11" t="n">
        <f aca="false">Construction!AI14*((Inputs!$F$75*$F$25-AI28)*Inputs!$F$85/100+(Inputs!$F$76*$F$25-AI29)*Inputs!$F$86/100+(Inputs!$F$77*$F$25-AI30)*Inputs!$F$87/100+(Inputs!$F$78*$F$25-AI31)*(Inputs!$F$88/100*Inputs!$F$82)/100)*Construction!AI11/360</f>
        <v>0.113416957950906</v>
      </c>
      <c r="AJ40" s="11" t="n">
        <f aca="false">Construction!AJ14*((Inputs!$F$75*$F$25-AJ28)*Inputs!$F$85/100+(Inputs!$F$76*$F$25-AJ29)*Inputs!$F$86/100+(Inputs!$F$77*$F$25-AJ30)*Inputs!$F$87/100+(Inputs!$F$78*$F$25-AJ31)*(Inputs!$F$88/100*Inputs!$F$82)/100)*Construction!AJ11/360</f>
        <v>0.104474316485018</v>
      </c>
      <c r="AK40" s="11" t="n">
        <f aca="false">Construction!AK14*((Inputs!$F$75*$F$25-AK28)*Inputs!$F$85/100+(Inputs!$F$76*$F$25-AK29)*Inputs!$F$86/100+(Inputs!$F$77*$F$25-AK30)*Inputs!$F$87/100+(Inputs!$F$78*$F$25-AK31)*(Inputs!$F$88/100*Inputs!$F$82)/100)*Construction!AK11/360</f>
        <v>0.0906363347791596</v>
      </c>
      <c r="AL40" s="11" t="n">
        <f aca="false">Construction!AL14*((Inputs!$F$75*$F$25-AL28)*Inputs!$F$85/100+(Inputs!$F$76*$F$25-AL29)*Inputs!$F$86/100+(Inputs!$F$77*$F$25-AL30)*Inputs!$F$87/100+(Inputs!$F$78*$F$25-AL31)*(Inputs!$F$88/100*Inputs!$F$82)/100)*Construction!AL11/360</f>
        <v>0.084781686167896</v>
      </c>
      <c r="AM40" s="11" t="n">
        <f aca="false">Construction!AM14*((Inputs!$F$75*$F$25-AM28)*Inputs!$F$85/100+(Inputs!$F$76*$F$25-AM29)*Inputs!$F$86/100+(Inputs!$F$77*$F$25-AM30)*Inputs!$F$87/100+(Inputs!$F$78*$F$25-AM31)*(Inputs!$F$88/100*Inputs!$F$82)/100)*Construction!AM11/360</f>
        <v>0.0776162549918166</v>
      </c>
      <c r="AN40" s="11" t="n">
        <f aca="false">Construction!AN14*((Inputs!$F$75*$F$25-AN28)*Inputs!$F$85/100+(Inputs!$F$76*$F$25-AN29)*Inputs!$F$86/100+(Inputs!$F$77*$F$25-AN30)*Inputs!$F$87/100+(Inputs!$F$78*$F$25-AN31)*(Inputs!$F$88/100*Inputs!$F$82)/100)*Construction!AN11/360</f>
        <v>0.0650167326631995</v>
      </c>
      <c r="AO40" s="11" t="n">
        <f aca="false">Construction!AO14*((Inputs!$F$75*$F$25-AO28)*Inputs!$F$85/100+(Inputs!$F$76*$F$25-AO29)*Inputs!$F$86/100+(Inputs!$F$77*$F$25-AO30)*Inputs!$F$87/100+(Inputs!$F$78*$F$25-AO31)*(Inputs!$F$88/100*Inputs!$F$82)/100)*Construction!AO11/360</f>
        <v>0.06771968619396</v>
      </c>
      <c r="AP40" s="11" t="n">
        <f aca="false">Construction!AP14*((Inputs!$F$75*$F$25-AP28)*Inputs!$F$85/100+(Inputs!$F$76*$F$25-AP29)*Inputs!$F$86/100+(Inputs!$F$77*$F$25-AP30)*Inputs!$F$87/100+(Inputs!$F$78*$F$25-AP31)*(Inputs!$F$88/100*Inputs!$F$82)/100)*Construction!AP11/360</f>
        <v>0.0620916196354864</v>
      </c>
      <c r="AQ40" s="11" t="n">
        <f aca="false">Construction!AQ14*((Inputs!$F$75*$F$25-AQ28)*Inputs!$F$85/100+(Inputs!$F$76*$F$25-AQ29)*Inputs!$F$86/100+(Inputs!$F$77*$F$25-AQ30)*Inputs!$F$87/100+(Inputs!$F$78*$F$25-AQ31)*(Inputs!$F$88/100*Inputs!$F$82)/100)*Construction!AQ11/360</f>
        <v>0.029278878266203</v>
      </c>
      <c r="AR40" s="11" t="n">
        <f aca="false">Construction!AR14*((Inputs!$F$75*$F$25-AR28)*Inputs!$F$85/100+(Inputs!$F$76*$F$25-AR29)*Inputs!$F$86/100+(Inputs!$F$77*$F$25-AR30)*Inputs!$F$87/100+(Inputs!$F$78*$F$25-AR31)*(Inputs!$F$88/100*Inputs!$F$82)/100)*Construction!AR11/360</f>
        <v>0.00231520707845162</v>
      </c>
      <c r="AS40" s="11" t="n">
        <f aca="false">Construction!AS14*((Inputs!$F$75*$F$25-AS28)*Inputs!$F$85/100+(Inputs!$F$76*$F$25-AS29)*Inputs!$F$86/100+(Inputs!$F$77*$F$25-AS30)*Inputs!$F$87/100+(Inputs!$F$78*$F$25-AS31)*(Inputs!$F$88/100*Inputs!$F$82)/100)*Construction!AS11/360</f>
        <v>0</v>
      </c>
      <c r="AT40" s="11" t="n">
        <f aca="false">Construction!AT14*((Inputs!$F$75*$F$25-AT28)*Inputs!$F$85/100+(Inputs!$F$76*$F$25-AT29)*Inputs!$F$86/100+(Inputs!$F$77*$F$25-AT30)*Inputs!$F$87/100+(Inputs!$F$78*$F$25-AT31)*(Inputs!$F$88/100*Inputs!$F$82)/100)*Construction!AT11/360</f>
        <v>0</v>
      </c>
      <c r="AU40" s="11" t="n">
        <f aca="false">Construction!AU14*((Inputs!$F$75*$F$25-AU28)*Inputs!$F$85/100+(Inputs!$F$76*$F$25-AU29)*Inputs!$F$86/100+(Inputs!$F$77*$F$25-AU30)*Inputs!$F$87/100+(Inputs!$F$78*$F$25-AU31)*(Inputs!$F$88/100*Inputs!$F$82)/100)*Construction!AU11/360</f>
        <v>0</v>
      </c>
      <c r="AV40" s="11" t="n">
        <f aca="false">Construction!AV14*((Inputs!$F$75*$F$25-AV28)*Inputs!$F$85/100+(Inputs!$F$76*$F$25-AV29)*Inputs!$F$86/100+(Inputs!$F$77*$F$25-AV30)*Inputs!$F$87/100+(Inputs!$F$78*$F$25-AV31)*(Inputs!$F$88/100*Inputs!$F$82)/100)*Construction!AV11/360</f>
        <v>0</v>
      </c>
      <c r="AW40" s="11" t="n">
        <f aca="false">Construction!AW14*((Inputs!$F$75*$F$25-AW28)*Inputs!$F$85/100+(Inputs!$F$76*$F$25-AW29)*Inputs!$F$86/100+(Inputs!$F$77*$F$25-AW30)*Inputs!$F$87/100+(Inputs!$F$78*$F$25-AW31)*(Inputs!$F$88/100*Inputs!$F$82)/100)*Construction!AW11/360</f>
        <v>0</v>
      </c>
      <c r="AX40" s="11" t="n">
        <f aca="false">Construction!AX14*((Inputs!$F$75*$F$25-AX28)*Inputs!$F$85/100+(Inputs!$F$76*$F$25-AX29)*Inputs!$F$86/100+(Inputs!$F$77*$F$25-AX30)*Inputs!$F$87/100+(Inputs!$F$78*$F$25-AX31)*(Inputs!$F$88/100*Inputs!$F$82)/100)*Construction!AX11/360</f>
        <v>0</v>
      </c>
      <c r="AY40" s="11" t="n">
        <f aca="false">Construction!AY14*((Inputs!$F$75*$F$25-AY28)*Inputs!$F$85/100+(Inputs!$F$76*$F$25-AY29)*Inputs!$F$86/100+(Inputs!$F$77*$F$25-AY30)*Inputs!$F$87/100+(Inputs!$F$78*$F$25-AY31)*(Inputs!$F$88/100*Inputs!$F$82)/100)*Construction!AY11/360</f>
        <v>0</v>
      </c>
      <c r="AZ40" s="11" t="n">
        <f aca="false">Construction!AZ14*((Inputs!$F$75*$F$25-AZ28)*Inputs!$F$85/100+(Inputs!$F$76*$F$25-AZ29)*Inputs!$F$86/100+(Inputs!$F$77*$F$25-AZ30)*Inputs!$F$87/100+(Inputs!$F$78*$F$25-AZ31)*(Inputs!$F$88/100*Inputs!$F$82)/100)*Construction!AZ11/360</f>
        <v>0</v>
      </c>
      <c r="BA40" s="11" t="n">
        <f aca="false">Construction!BA14*((Inputs!$F$75*$F$25-BA28)*Inputs!$F$85/100+(Inputs!$F$76*$F$25-BA29)*Inputs!$F$86/100+(Inputs!$F$77*$F$25-BA30)*Inputs!$F$87/100+(Inputs!$F$78*$F$25-BA31)*(Inputs!$F$88/100*Inputs!$F$82)/100)*Construction!BA11/360</f>
        <v>0</v>
      </c>
      <c r="BB40" s="11" t="n">
        <f aca="false">Construction!BB14*((Inputs!$F$75*$F$25-BB28)*Inputs!$F$85/100+(Inputs!$F$76*$F$25-BB29)*Inputs!$F$86/100+(Inputs!$F$77*$F$25-BB30)*Inputs!$F$87/100+(Inputs!$F$78*$F$25-BB31)*(Inputs!$F$88/100*Inputs!$F$82)/100)*Construction!BB11/360</f>
        <v>0</v>
      </c>
      <c r="BC40" s="11" t="n">
        <f aca="false">Construction!BC14*((Inputs!$F$75*$F$25-BC28)*Inputs!$F$85/100+(Inputs!$F$76*$F$25-BC29)*Inputs!$F$86/100+(Inputs!$F$77*$F$25-BC30)*Inputs!$F$87/100+(Inputs!$F$78*$F$25-BC31)*(Inputs!$F$88/100*Inputs!$F$82)/100)*Construction!BC11/360</f>
        <v>0</v>
      </c>
      <c r="BD40" s="11" t="n">
        <f aca="false">Construction!BD14*((Inputs!$F$75*$F$25-BD28)*Inputs!$F$85/100+(Inputs!$F$76*$F$25-BD29)*Inputs!$F$86/100+(Inputs!$F$77*$F$25-BD30)*Inputs!$F$87/100+(Inputs!$F$78*$F$25-BD31)*(Inputs!$F$88/100*Inputs!$F$82)/100)*Construction!BD11/360</f>
        <v>0</v>
      </c>
      <c r="BE40" s="11" t="n">
        <f aca="false">Construction!BE14*((Inputs!$F$75*$F$25-BE28)*Inputs!$F$85/100+(Inputs!$F$76*$F$25-BE29)*Inputs!$F$86/100+(Inputs!$F$77*$F$25-BE30)*Inputs!$F$87/100+(Inputs!$F$78*$F$25-BE31)*(Inputs!$F$88/100*Inputs!$F$82)/100)*Construction!BE11/360</f>
        <v>0</v>
      </c>
      <c r="BF40" s="11" t="n">
        <f aca="false">Construction!BF14*((Inputs!$F$75*$F$25-BF28)*Inputs!$F$85/100+(Inputs!$F$76*$F$25-BF29)*Inputs!$F$86/100+(Inputs!$F$77*$F$25-BF30)*Inputs!$F$87/100+(Inputs!$F$78*$F$25-BF31)*(Inputs!$F$88/100*Inputs!$F$82)/100)*Construction!BF11/360</f>
        <v>0</v>
      </c>
      <c r="BG40" s="11" t="n">
        <f aca="false">Construction!BG14*((Inputs!$F$75*$F$25-BG28)*Inputs!$F$85/100+(Inputs!$F$76*$F$25-BG29)*Inputs!$F$86/100+(Inputs!$F$77*$F$25-BG30)*Inputs!$F$87/100+(Inputs!$F$78*$F$25-BG31)*(Inputs!$F$88/100*Inputs!$F$82)/100)*Construction!BG11/360</f>
        <v>0</v>
      </c>
      <c r="BH40" s="11" t="n">
        <f aca="false">Construction!BH14*((Inputs!$F$75*$F$25-BH28)*Inputs!$F$85/100+(Inputs!$F$76*$F$25-BH29)*Inputs!$F$86/100+(Inputs!$F$77*$F$25-BH30)*Inputs!$F$87/100+(Inputs!$F$78*$F$25-BH31)*(Inputs!$F$88/100*Inputs!$F$82)/100)*Construction!BH11/360</f>
        <v>0</v>
      </c>
      <c r="BI40" s="11" t="n">
        <f aca="false">Construction!BI14*((Inputs!$F$75*$F$25-BI28)*Inputs!$F$85/100+(Inputs!$F$76*$F$25-BI29)*Inputs!$F$86/100+(Inputs!$F$77*$F$25-BI30)*Inputs!$F$87/100+(Inputs!$F$78*$F$25-BI31)*(Inputs!$F$88/100*Inputs!$F$82)/100)*Construction!BI11/360</f>
        <v>0</v>
      </c>
      <c r="BJ40" s="11" t="n">
        <f aca="false">Construction!BJ14*((Inputs!$F$75*$F$25-BJ28)*Inputs!$F$85/100+(Inputs!$F$76*$F$25-BJ29)*Inputs!$F$86/100+(Inputs!$F$77*$F$25-BJ30)*Inputs!$F$87/100+(Inputs!$F$78*$F$25-BJ31)*(Inputs!$F$88/100*Inputs!$F$82)/100)*Construction!BJ11/360</f>
        <v>0</v>
      </c>
    </row>
    <row r="41" customFormat="false" ht="15" hidden="false" customHeight="false" outlineLevel="0" collapsed="false">
      <c r="D41" s="0" t="s">
        <v>599</v>
      </c>
      <c r="E41" s="0" t="s">
        <v>149</v>
      </c>
      <c r="G41" s="11" t="n">
        <f aca="false">SUM(J41:BJ41)</f>
        <v>0.8165</v>
      </c>
      <c r="J41" s="11" t="n">
        <f aca="false">Construction!J14*(Inputs!$F$99-J32)*Inputs!$F$100/100*Construction!J11/360</f>
        <v>0.0237666666666667</v>
      </c>
      <c r="K41" s="11" t="n">
        <f aca="false">Construction!K14*(Inputs!$F$99-K32)*Inputs!$F$100/100*Construction!K11/360</f>
        <v>0.023</v>
      </c>
      <c r="L41" s="11" t="n">
        <f aca="false">Construction!L14*(Inputs!$F$99-L32)*Inputs!$F$100/100*Construction!L11/360</f>
        <v>0.0237666666666667</v>
      </c>
      <c r="M41" s="11" t="n">
        <f aca="false">Construction!M14*(Inputs!$F$99-M32)*Inputs!$F$100/100*Construction!M11/360</f>
        <v>0.023</v>
      </c>
      <c r="N41" s="11" t="n">
        <f aca="false">Construction!N14*(Inputs!$F$99-N32)*Inputs!$F$100/100*Construction!N11/360</f>
        <v>0.0237666666666667</v>
      </c>
      <c r="O41" s="11" t="n">
        <f aca="false">Construction!O14*(Inputs!$F$99-O32)*Inputs!$F$100/100*Construction!O11/360</f>
        <v>0.0237666666666667</v>
      </c>
      <c r="P41" s="11" t="n">
        <f aca="false">Construction!P14*(Inputs!$F$99-P32)*Inputs!$F$100/100*Construction!P11/360</f>
        <v>0.0214666666666667</v>
      </c>
      <c r="Q41" s="11" t="n">
        <f aca="false">Construction!Q14*(Inputs!$F$99-Q32)*Inputs!$F$100/100*Construction!Q11/360</f>
        <v>0.0237666666666667</v>
      </c>
      <c r="R41" s="11" t="n">
        <f aca="false">Construction!R14*(Inputs!$F$99-R32)*Inputs!$F$100/100*Construction!R11/360</f>
        <v>0.023</v>
      </c>
      <c r="S41" s="11" t="n">
        <f aca="false">Construction!S14*(Inputs!$F$99-S32)*Inputs!$F$100/100*Construction!S11/360</f>
        <v>0.0237666666666667</v>
      </c>
      <c r="T41" s="11" t="n">
        <f aca="false">Construction!T14*(Inputs!$F$99-T32)*Inputs!$F$100/100*Construction!T11/360</f>
        <v>0.023</v>
      </c>
      <c r="U41" s="11" t="n">
        <f aca="false">Construction!U14*(Inputs!$F$99-U32)*Inputs!$F$100/100*Construction!U11/360</f>
        <v>0.0237666666666667</v>
      </c>
      <c r="V41" s="11" t="n">
        <f aca="false">Construction!V14*(Inputs!$F$99-V32)*Inputs!$F$100/100*Construction!V11/360</f>
        <v>0.0237666666666667</v>
      </c>
      <c r="W41" s="11" t="n">
        <f aca="false">Construction!W14*(Inputs!$F$99-W32)*Inputs!$F$100/100*Construction!W11/360</f>
        <v>0.023</v>
      </c>
      <c r="X41" s="11" t="n">
        <f aca="false">Construction!X14*(Inputs!$F$99-X32)*Inputs!$F$100/100*Construction!X11/360</f>
        <v>0.0237666666666667</v>
      </c>
      <c r="Y41" s="11" t="n">
        <f aca="false">Construction!Y14*(Inputs!$F$99-Y32)*Inputs!$F$100/100*Construction!Y11/360</f>
        <v>0.023</v>
      </c>
      <c r="Z41" s="11" t="n">
        <f aca="false">Construction!Z14*(Inputs!$F$99-Z32)*Inputs!$F$100/100*Construction!Z11/360</f>
        <v>0.0237666666666667</v>
      </c>
      <c r="AA41" s="11" t="n">
        <f aca="false">Construction!AA14*(Inputs!$F$99-AA32)*Inputs!$F$100/100*Construction!AA11/360</f>
        <v>0.0237666666666667</v>
      </c>
      <c r="AB41" s="11" t="n">
        <f aca="false">Construction!AB14*(Inputs!$F$99-AB32)*Inputs!$F$100/100*Construction!AB11/360</f>
        <v>0.0222333333333333</v>
      </c>
      <c r="AC41" s="11" t="n">
        <f aca="false">Construction!AC14*(Inputs!$F$99-AC32)*Inputs!$F$100/100*Construction!AC11/360</f>
        <v>0.0237666666666667</v>
      </c>
      <c r="AD41" s="11" t="n">
        <f aca="false">Construction!AD14*(Inputs!$F$99-AD32)*Inputs!$F$100/100*Construction!AD11/360</f>
        <v>0.023</v>
      </c>
      <c r="AE41" s="11" t="n">
        <f aca="false">Construction!AE14*(Inputs!$F$99-AE32)*Inputs!$F$100/100*Construction!AE11/360</f>
        <v>0.0237666666666667</v>
      </c>
      <c r="AF41" s="11" t="n">
        <f aca="false">Construction!AF14*(Inputs!$F$99-AF32)*Inputs!$F$100/100*Construction!AF11/360</f>
        <v>0.023</v>
      </c>
      <c r="AG41" s="11" t="n">
        <f aca="false">Construction!AG14*(Inputs!$F$99-AG32)*Inputs!$F$100/100*Construction!AG11/360</f>
        <v>0.0237666666666667</v>
      </c>
      <c r="AH41" s="11" t="n">
        <f aca="false">Construction!AH14*(Inputs!$F$99-AH32)*Inputs!$F$100/100*Construction!AH11/360</f>
        <v>0.0237666666666667</v>
      </c>
      <c r="AI41" s="11" t="n">
        <f aca="false">Construction!AI14*(Inputs!$F$99-AI32)*Inputs!$F$100/100*Construction!AI11/360</f>
        <v>0.023</v>
      </c>
      <c r="AJ41" s="11" t="n">
        <f aca="false">Construction!AJ14*(Inputs!$F$99-AJ32)*Inputs!$F$100/100*Construction!AJ11/360</f>
        <v>0.0237666666666667</v>
      </c>
      <c r="AK41" s="11" t="n">
        <f aca="false">Construction!AK14*(Inputs!$F$99-AK32)*Inputs!$F$100/100*Construction!AK11/360</f>
        <v>0.023</v>
      </c>
      <c r="AL41" s="11" t="n">
        <f aca="false">Construction!AL14*(Inputs!$F$99-AL32)*Inputs!$F$100/100*Construction!AL11/360</f>
        <v>0.0237666666666667</v>
      </c>
      <c r="AM41" s="11" t="n">
        <f aca="false">Construction!AM14*(Inputs!$F$99-AM32)*Inputs!$F$100/100*Construction!AM11/360</f>
        <v>0.0237666666666667</v>
      </c>
      <c r="AN41" s="11" t="n">
        <f aca="false">Construction!AN14*(Inputs!$F$99-AN32)*Inputs!$F$100/100*Construction!AN11/360</f>
        <v>0.0214666666666667</v>
      </c>
      <c r="AO41" s="11" t="n">
        <f aca="false">Construction!AO14*(Inputs!$F$99-AO32)*Inputs!$F$100/100*Construction!AO11/360</f>
        <v>0.0237666666666667</v>
      </c>
      <c r="AP41" s="11" t="n">
        <f aca="false">Construction!AP14*(Inputs!$F$99-AP32)*Inputs!$F$100/100*Construction!AP11/360</f>
        <v>0.023</v>
      </c>
      <c r="AQ41" s="11" t="n">
        <f aca="false">Construction!AQ14*(Inputs!$F$99-AQ32)*Inputs!$F$100/100*Construction!AQ11/360</f>
        <v>0.0237666666666667</v>
      </c>
      <c r="AR41" s="11" t="n">
        <f aca="false">Construction!AR14*(Inputs!$F$99-AR32)*Inputs!$F$100/100*Construction!AR11/360</f>
        <v>0.023</v>
      </c>
      <c r="AS41" s="11" t="n">
        <f aca="false">Construction!AS14*(Inputs!$F$99-AS32)*Inputs!$F$100/100*Construction!AS11/360</f>
        <v>0</v>
      </c>
      <c r="AT41" s="11" t="n">
        <f aca="false">Construction!AT14*(Inputs!$F$99-AT32)*Inputs!$F$100/100*Construction!AT11/360</f>
        <v>0</v>
      </c>
      <c r="AU41" s="11" t="n">
        <f aca="false">Construction!AU14*(Inputs!$F$99-AU32)*Inputs!$F$100/100*Construction!AU11/360</f>
        <v>0</v>
      </c>
      <c r="AV41" s="11" t="n">
        <f aca="false">Construction!AV14*(Inputs!$F$99-AV32)*Inputs!$F$100/100*Construction!AV11/360</f>
        <v>0</v>
      </c>
      <c r="AW41" s="11" t="n">
        <f aca="false">Construction!AW14*(Inputs!$F$99-AW32)*Inputs!$F$100/100*Construction!AW11/360</f>
        <v>0</v>
      </c>
      <c r="AX41" s="11" t="n">
        <f aca="false">Construction!AX14*(Inputs!$F$99-AX32)*Inputs!$F$100/100*Construction!AX11/360</f>
        <v>0</v>
      </c>
      <c r="AY41" s="11" t="n">
        <f aca="false">Construction!AY14*(Inputs!$F$99-AY32)*Inputs!$F$100/100*Construction!AY11/360</f>
        <v>0</v>
      </c>
      <c r="AZ41" s="11" t="n">
        <f aca="false">Construction!AZ14*(Inputs!$F$99-AZ32)*Inputs!$F$100/100*Construction!AZ11/360</f>
        <v>0</v>
      </c>
      <c r="BA41" s="11" t="n">
        <f aca="false">Construction!BA14*(Inputs!$F$99-BA32)*Inputs!$F$100/100*Construction!BA11/360</f>
        <v>0</v>
      </c>
      <c r="BB41" s="11" t="n">
        <f aca="false">Construction!BB14*(Inputs!$F$99-BB32)*Inputs!$F$100/100*Construction!BB11/360</f>
        <v>0</v>
      </c>
      <c r="BC41" s="11" t="n">
        <f aca="false">Construction!BC14*(Inputs!$F$99-BC32)*Inputs!$F$100/100*Construction!BC11/360</f>
        <v>0</v>
      </c>
      <c r="BD41" s="11" t="n">
        <f aca="false">Construction!BD14*(Inputs!$F$99-BD32)*Inputs!$F$100/100*Construction!BD11/360</f>
        <v>0</v>
      </c>
      <c r="BE41" s="11" t="n">
        <f aca="false">Construction!BE14*(Inputs!$F$99-BE32)*Inputs!$F$100/100*Construction!BE11/360</f>
        <v>0</v>
      </c>
      <c r="BF41" s="11" t="n">
        <f aca="false">Construction!BF14*(Inputs!$F$99-BF32)*Inputs!$F$100/100*Construction!BF11/360</f>
        <v>0</v>
      </c>
      <c r="BG41" s="11" t="n">
        <f aca="false">Construction!BG14*(Inputs!$F$99-BG32)*Inputs!$F$100/100*Construction!BG11/360</f>
        <v>0</v>
      </c>
      <c r="BH41" s="11" t="n">
        <f aca="false">Construction!BH14*(Inputs!$F$99-BH32)*Inputs!$F$100/100*Construction!BH11/360</f>
        <v>0</v>
      </c>
      <c r="BI41" s="11" t="n">
        <f aca="false">Construction!BI14*(Inputs!$F$99-BI32)*Inputs!$F$100/100*Construction!BI11/360</f>
        <v>0</v>
      </c>
      <c r="BJ41" s="11" t="n">
        <f aca="false">Construction!BJ14*(Inputs!$F$99-BJ32)*Inputs!$F$100/100*Construction!BJ11/360</f>
        <v>0</v>
      </c>
    </row>
    <row r="42" customFormat="false" ht="15" hidden="false" customHeight="false" outlineLevel="0" collapsed="false">
      <c r="D42" s="0" t="s">
        <v>600</v>
      </c>
      <c r="E42" s="0" t="s">
        <v>149</v>
      </c>
      <c r="G42" s="11" t="n">
        <f aca="false">SUM(J42:BJ42)</f>
        <v>9.95478393553241</v>
      </c>
      <c r="J42" s="11" t="n">
        <f aca="false">IF(Construction!J8=1,Inputs!$F$75*$F$25*Inputs!$F$89/100+Inputs!$F$76*$F$25*Inputs!$F$90/100+Inputs!$F$77*$F$25*Inputs!$F$91/100+Inputs!$F$78*$F$25*Inputs!$F$92/100,0)</f>
        <v>9.95478393553241</v>
      </c>
      <c r="K42" s="11" t="n">
        <f aca="false">IF(Construction!K8=1,Inputs!$F$75*$F$25*Inputs!$F$89/100+Inputs!$F$76*$F$25*Inputs!$F$90/100+Inputs!$F$77*$F$25*Inputs!$F$91/100+Inputs!$F$78*$F$25*Inputs!$F$92/100,0)</f>
        <v>0</v>
      </c>
      <c r="L42" s="11" t="n">
        <f aca="false">IF(Construction!L8=1,Inputs!$F$75*$F$25*Inputs!$F$89/100+Inputs!$F$76*$F$25*Inputs!$F$90/100+Inputs!$F$77*$F$25*Inputs!$F$91/100+Inputs!$F$78*$F$25*Inputs!$F$92/100,0)</f>
        <v>0</v>
      </c>
      <c r="M42" s="11" t="n">
        <f aca="false">IF(Construction!M8=1,Inputs!$F$75*$F$25*Inputs!$F$89/100+Inputs!$F$76*$F$25*Inputs!$F$90/100+Inputs!$F$77*$F$25*Inputs!$F$91/100+Inputs!$F$78*$F$25*Inputs!$F$92/100,0)</f>
        <v>0</v>
      </c>
      <c r="N42" s="11" t="n">
        <f aca="false">IF(Construction!N8=1,Inputs!$F$75*$F$25*Inputs!$F$89/100+Inputs!$F$76*$F$25*Inputs!$F$90/100+Inputs!$F$77*$F$25*Inputs!$F$91/100+Inputs!$F$78*$F$25*Inputs!$F$92/100,0)</f>
        <v>0</v>
      </c>
      <c r="O42" s="11" t="n">
        <f aca="false">IF(Construction!O8=1,Inputs!$F$75*$F$25*Inputs!$F$89/100+Inputs!$F$76*$F$25*Inputs!$F$90/100+Inputs!$F$77*$F$25*Inputs!$F$91/100+Inputs!$F$78*$F$25*Inputs!$F$92/100,0)</f>
        <v>0</v>
      </c>
      <c r="P42" s="11" t="n">
        <f aca="false">IF(Construction!P8=1,Inputs!$F$75*$F$25*Inputs!$F$89/100+Inputs!$F$76*$F$25*Inputs!$F$90/100+Inputs!$F$77*$F$25*Inputs!$F$91/100+Inputs!$F$78*$F$25*Inputs!$F$92/100,0)</f>
        <v>0</v>
      </c>
      <c r="Q42" s="11" t="n">
        <f aca="false">IF(Construction!Q8=1,Inputs!$F$75*$F$25*Inputs!$F$89/100+Inputs!$F$76*$F$25*Inputs!$F$90/100+Inputs!$F$77*$F$25*Inputs!$F$91/100+Inputs!$F$78*$F$25*Inputs!$F$92/100,0)</f>
        <v>0</v>
      </c>
      <c r="R42" s="11" t="n">
        <f aca="false">IF(Construction!R8=1,Inputs!$F$75*$F$25*Inputs!$F$89/100+Inputs!$F$76*$F$25*Inputs!$F$90/100+Inputs!$F$77*$F$25*Inputs!$F$91/100+Inputs!$F$78*$F$25*Inputs!$F$92/100,0)</f>
        <v>0</v>
      </c>
      <c r="S42" s="11" t="n">
        <f aca="false">IF(Construction!S8=1,Inputs!$F$75*$F$25*Inputs!$F$89/100+Inputs!$F$76*$F$25*Inputs!$F$90/100+Inputs!$F$77*$F$25*Inputs!$F$91/100+Inputs!$F$78*$F$25*Inputs!$F$92/100,0)</f>
        <v>0</v>
      </c>
      <c r="T42" s="11" t="n">
        <f aca="false">IF(Construction!T8=1,Inputs!$F$75*$F$25*Inputs!$F$89/100+Inputs!$F$76*$F$25*Inputs!$F$90/100+Inputs!$F$77*$F$25*Inputs!$F$91/100+Inputs!$F$78*$F$25*Inputs!$F$92/100,0)</f>
        <v>0</v>
      </c>
      <c r="U42" s="11" t="n">
        <f aca="false">IF(Construction!U8=1,Inputs!$F$75*$F$25*Inputs!$F$89/100+Inputs!$F$76*$F$25*Inputs!$F$90/100+Inputs!$F$77*$F$25*Inputs!$F$91/100+Inputs!$F$78*$F$25*Inputs!$F$92/100,0)</f>
        <v>0</v>
      </c>
      <c r="V42" s="11" t="n">
        <f aca="false">IF(Construction!V8=1,Inputs!$F$75*$F$25*Inputs!$F$89/100+Inputs!$F$76*$F$25*Inputs!$F$90/100+Inputs!$F$77*$F$25*Inputs!$F$91/100+Inputs!$F$78*$F$25*Inputs!$F$92/100,0)</f>
        <v>0</v>
      </c>
      <c r="W42" s="11" t="n">
        <f aca="false">IF(Construction!W8=1,Inputs!$F$75*$F$25*Inputs!$F$89/100+Inputs!$F$76*$F$25*Inputs!$F$90/100+Inputs!$F$77*$F$25*Inputs!$F$91/100+Inputs!$F$78*$F$25*Inputs!$F$92/100,0)</f>
        <v>0</v>
      </c>
      <c r="X42" s="11" t="n">
        <f aca="false">IF(Construction!X8=1,Inputs!$F$75*$F$25*Inputs!$F$89/100+Inputs!$F$76*$F$25*Inputs!$F$90/100+Inputs!$F$77*$F$25*Inputs!$F$91/100+Inputs!$F$78*$F$25*Inputs!$F$92/100,0)</f>
        <v>0</v>
      </c>
      <c r="Y42" s="11" t="n">
        <f aca="false">IF(Construction!Y8=1,Inputs!$F$75*$F$25*Inputs!$F$89/100+Inputs!$F$76*$F$25*Inputs!$F$90/100+Inputs!$F$77*$F$25*Inputs!$F$91/100+Inputs!$F$78*$F$25*Inputs!$F$92/100,0)</f>
        <v>0</v>
      </c>
      <c r="Z42" s="11" t="n">
        <f aca="false">IF(Construction!Z8=1,Inputs!$F$75*$F$25*Inputs!$F$89/100+Inputs!$F$76*$F$25*Inputs!$F$90/100+Inputs!$F$77*$F$25*Inputs!$F$91/100+Inputs!$F$78*$F$25*Inputs!$F$92/100,0)</f>
        <v>0</v>
      </c>
      <c r="AA42" s="11" t="n">
        <f aca="false">IF(Construction!AA8=1,Inputs!$F$75*$F$25*Inputs!$F$89/100+Inputs!$F$76*$F$25*Inputs!$F$90/100+Inputs!$F$77*$F$25*Inputs!$F$91/100+Inputs!$F$78*$F$25*Inputs!$F$92/100,0)</f>
        <v>0</v>
      </c>
      <c r="AB42" s="11" t="n">
        <f aca="false">IF(Construction!AB8=1,Inputs!$F$75*$F$25*Inputs!$F$89/100+Inputs!$F$76*$F$25*Inputs!$F$90/100+Inputs!$F$77*$F$25*Inputs!$F$91/100+Inputs!$F$78*$F$25*Inputs!$F$92/100,0)</f>
        <v>0</v>
      </c>
      <c r="AC42" s="11" t="n">
        <f aca="false">IF(Construction!AC8=1,Inputs!$F$75*$F$25*Inputs!$F$89/100+Inputs!$F$76*$F$25*Inputs!$F$90/100+Inputs!$F$77*$F$25*Inputs!$F$91/100+Inputs!$F$78*$F$25*Inputs!$F$92/100,0)</f>
        <v>0</v>
      </c>
      <c r="AD42" s="11" t="n">
        <f aca="false">IF(Construction!AD8=1,Inputs!$F$75*$F$25*Inputs!$F$89/100+Inputs!$F$76*$F$25*Inputs!$F$90/100+Inputs!$F$77*$F$25*Inputs!$F$91/100+Inputs!$F$78*$F$25*Inputs!$F$92/100,0)</f>
        <v>0</v>
      </c>
      <c r="AE42" s="11" t="n">
        <f aca="false">IF(Construction!AE8=1,Inputs!$F$75*$F$25*Inputs!$F$89/100+Inputs!$F$76*$F$25*Inputs!$F$90/100+Inputs!$F$77*$F$25*Inputs!$F$91/100+Inputs!$F$78*$F$25*Inputs!$F$92/100,0)</f>
        <v>0</v>
      </c>
      <c r="AF42" s="11" t="n">
        <f aca="false">IF(Construction!AF8=1,Inputs!$F$75*$F$25*Inputs!$F$89/100+Inputs!$F$76*$F$25*Inputs!$F$90/100+Inputs!$F$77*$F$25*Inputs!$F$91/100+Inputs!$F$78*$F$25*Inputs!$F$92/100,0)</f>
        <v>0</v>
      </c>
      <c r="AG42" s="11" t="n">
        <f aca="false">IF(Construction!AG8=1,Inputs!$F$75*$F$25*Inputs!$F$89/100+Inputs!$F$76*$F$25*Inputs!$F$90/100+Inputs!$F$77*$F$25*Inputs!$F$91/100+Inputs!$F$78*$F$25*Inputs!$F$92/100,0)</f>
        <v>0</v>
      </c>
      <c r="AH42" s="11" t="n">
        <f aca="false">IF(Construction!AH8=1,Inputs!$F$75*$F$25*Inputs!$F$89/100+Inputs!$F$76*$F$25*Inputs!$F$90/100+Inputs!$F$77*$F$25*Inputs!$F$91/100+Inputs!$F$78*$F$25*Inputs!$F$92/100,0)</f>
        <v>0</v>
      </c>
      <c r="AI42" s="11" t="n">
        <f aca="false">IF(Construction!AI8=1,Inputs!$F$75*$F$25*Inputs!$F$89/100+Inputs!$F$76*$F$25*Inputs!$F$90/100+Inputs!$F$77*$F$25*Inputs!$F$91/100+Inputs!$F$78*$F$25*Inputs!$F$92/100,0)</f>
        <v>0</v>
      </c>
      <c r="AJ42" s="11" t="n">
        <f aca="false">IF(Construction!AJ8=1,Inputs!$F$75*$F$25*Inputs!$F$89/100+Inputs!$F$76*$F$25*Inputs!$F$90/100+Inputs!$F$77*$F$25*Inputs!$F$91/100+Inputs!$F$78*$F$25*Inputs!$F$92/100,0)</f>
        <v>0</v>
      </c>
      <c r="AK42" s="11" t="n">
        <f aca="false">IF(Construction!AK8=1,Inputs!$F$75*$F$25*Inputs!$F$89/100+Inputs!$F$76*$F$25*Inputs!$F$90/100+Inputs!$F$77*$F$25*Inputs!$F$91/100+Inputs!$F$78*$F$25*Inputs!$F$92/100,0)</f>
        <v>0</v>
      </c>
      <c r="AL42" s="11" t="n">
        <f aca="false">IF(Construction!AL8=1,Inputs!$F$75*$F$25*Inputs!$F$89/100+Inputs!$F$76*$F$25*Inputs!$F$90/100+Inputs!$F$77*$F$25*Inputs!$F$91/100+Inputs!$F$78*$F$25*Inputs!$F$92/100,0)</f>
        <v>0</v>
      </c>
      <c r="AM42" s="11" t="n">
        <f aca="false">IF(Construction!AM8=1,Inputs!$F$75*$F$25*Inputs!$F$89/100+Inputs!$F$76*$F$25*Inputs!$F$90/100+Inputs!$F$77*$F$25*Inputs!$F$91/100+Inputs!$F$78*$F$25*Inputs!$F$92/100,0)</f>
        <v>0</v>
      </c>
      <c r="AN42" s="11" t="n">
        <f aca="false">IF(Construction!AN8=1,Inputs!$F$75*$F$25*Inputs!$F$89/100+Inputs!$F$76*$F$25*Inputs!$F$90/100+Inputs!$F$77*$F$25*Inputs!$F$91/100+Inputs!$F$78*$F$25*Inputs!$F$92/100,0)</f>
        <v>0</v>
      </c>
      <c r="AO42" s="11" t="n">
        <f aca="false">IF(Construction!AO8=1,Inputs!$F$75*$F$25*Inputs!$F$89/100+Inputs!$F$76*$F$25*Inputs!$F$90/100+Inputs!$F$77*$F$25*Inputs!$F$91/100+Inputs!$F$78*$F$25*Inputs!$F$92/100,0)</f>
        <v>0</v>
      </c>
      <c r="AP42" s="11" t="n">
        <f aca="false">IF(Construction!AP8=1,Inputs!$F$75*$F$25*Inputs!$F$89/100+Inputs!$F$76*$F$25*Inputs!$F$90/100+Inputs!$F$77*$F$25*Inputs!$F$91/100+Inputs!$F$78*$F$25*Inputs!$F$92/100,0)</f>
        <v>0</v>
      </c>
      <c r="AQ42" s="11" t="n">
        <f aca="false">IF(Construction!AQ8=1,Inputs!$F$75*$F$25*Inputs!$F$89/100+Inputs!$F$76*$F$25*Inputs!$F$90/100+Inputs!$F$77*$F$25*Inputs!$F$91/100+Inputs!$F$78*$F$25*Inputs!$F$92/100,0)</f>
        <v>0</v>
      </c>
      <c r="AR42" s="11" t="n">
        <f aca="false">IF(Construction!AR8=1,Inputs!$F$75*$F$25*Inputs!$F$89/100+Inputs!$F$76*$F$25*Inputs!$F$90/100+Inputs!$F$77*$F$25*Inputs!$F$91/100+Inputs!$F$78*$F$25*Inputs!$F$92/100,0)</f>
        <v>0</v>
      </c>
      <c r="AS42" s="11" t="n">
        <f aca="false">IF(Construction!AS8=1,Inputs!$F$75*$F$25*Inputs!$F$89/100+Inputs!$F$76*$F$25*Inputs!$F$90/100+Inputs!$F$77*$F$25*Inputs!$F$91/100+Inputs!$F$78*$F$25*Inputs!$F$92/100,0)</f>
        <v>0</v>
      </c>
      <c r="AT42" s="11" t="n">
        <f aca="false">IF(Construction!AT8=1,Inputs!$F$75*$F$25*Inputs!$F$89/100+Inputs!$F$76*$F$25*Inputs!$F$90/100+Inputs!$F$77*$F$25*Inputs!$F$91/100+Inputs!$F$78*$F$25*Inputs!$F$92/100,0)</f>
        <v>0</v>
      </c>
      <c r="AU42" s="11" t="n">
        <f aca="false">IF(Construction!AU8=1,Inputs!$F$75*$F$25*Inputs!$F$89/100+Inputs!$F$76*$F$25*Inputs!$F$90/100+Inputs!$F$77*$F$25*Inputs!$F$91/100+Inputs!$F$78*$F$25*Inputs!$F$92/100,0)</f>
        <v>0</v>
      </c>
      <c r="AV42" s="11" t="n">
        <f aca="false">IF(Construction!AV8=1,Inputs!$F$75*$F$25*Inputs!$F$89/100+Inputs!$F$76*$F$25*Inputs!$F$90/100+Inputs!$F$77*$F$25*Inputs!$F$91/100+Inputs!$F$78*$F$25*Inputs!$F$92/100,0)</f>
        <v>0</v>
      </c>
      <c r="AW42" s="11" t="n">
        <f aca="false">IF(Construction!AW8=1,Inputs!$F$75*$F$25*Inputs!$F$89/100+Inputs!$F$76*$F$25*Inputs!$F$90/100+Inputs!$F$77*$F$25*Inputs!$F$91/100+Inputs!$F$78*$F$25*Inputs!$F$92/100,0)</f>
        <v>0</v>
      </c>
      <c r="AX42" s="11" t="n">
        <f aca="false">IF(Construction!AX8=1,Inputs!$F$75*$F$25*Inputs!$F$89/100+Inputs!$F$76*$F$25*Inputs!$F$90/100+Inputs!$F$77*$F$25*Inputs!$F$91/100+Inputs!$F$78*$F$25*Inputs!$F$92/100,0)</f>
        <v>0</v>
      </c>
      <c r="AY42" s="11" t="n">
        <f aca="false">IF(Construction!AY8=1,Inputs!$F$75*$F$25*Inputs!$F$89/100+Inputs!$F$76*$F$25*Inputs!$F$90/100+Inputs!$F$77*$F$25*Inputs!$F$91/100+Inputs!$F$78*$F$25*Inputs!$F$92/100,0)</f>
        <v>0</v>
      </c>
      <c r="AZ42" s="11" t="n">
        <f aca="false">IF(Construction!AZ8=1,Inputs!$F$75*$F$25*Inputs!$F$89/100+Inputs!$F$76*$F$25*Inputs!$F$90/100+Inputs!$F$77*$F$25*Inputs!$F$91/100+Inputs!$F$78*$F$25*Inputs!$F$92/100,0)</f>
        <v>0</v>
      </c>
      <c r="BA42" s="11" t="n">
        <f aca="false">IF(Construction!BA8=1,Inputs!$F$75*$F$25*Inputs!$F$89/100+Inputs!$F$76*$F$25*Inputs!$F$90/100+Inputs!$F$77*$F$25*Inputs!$F$91/100+Inputs!$F$78*$F$25*Inputs!$F$92/100,0)</f>
        <v>0</v>
      </c>
      <c r="BB42" s="11" t="n">
        <f aca="false">IF(Construction!BB8=1,Inputs!$F$75*$F$25*Inputs!$F$89/100+Inputs!$F$76*$F$25*Inputs!$F$90/100+Inputs!$F$77*$F$25*Inputs!$F$91/100+Inputs!$F$78*$F$25*Inputs!$F$92/100,0)</f>
        <v>0</v>
      </c>
      <c r="BC42" s="11" t="n">
        <f aca="false">IF(Construction!BC8=1,Inputs!$F$75*$F$25*Inputs!$F$89/100+Inputs!$F$76*$F$25*Inputs!$F$90/100+Inputs!$F$77*$F$25*Inputs!$F$91/100+Inputs!$F$78*$F$25*Inputs!$F$92/100,0)</f>
        <v>0</v>
      </c>
      <c r="BD42" s="11" t="n">
        <f aca="false">IF(Construction!BD8=1,Inputs!$F$75*$F$25*Inputs!$F$89/100+Inputs!$F$76*$F$25*Inputs!$F$90/100+Inputs!$F$77*$F$25*Inputs!$F$91/100+Inputs!$F$78*$F$25*Inputs!$F$92/100,0)</f>
        <v>0</v>
      </c>
      <c r="BE42" s="11" t="n">
        <f aca="false">IF(Construction!BE8=1,Inputs!$F$75*$F$25*Inputs!$F$89/100+Inputs!$F$76*$F$25*Inputs!$F$90/100+Inputs!$F$77*$F$25*Inputs!$F$91/100+Inputs!$F$78*$F$25*Inputs!$F$92/100,0)</f>
        <v>0</v>
      </c>
      <c r="BF42" s="11" t="n">
        <f aca="false">IF(Construction!BF8=1,Inputs!$F$75*$F$25*Inputs!$F$89/100+Inputs!$F$76*$F$25*Inputs!$F$90/100+Inputs!$F$77*$F$25*Inputs!$F$91/100+Inputs!$F$78*$F$25*Inputs!$F$92/100,0)</f>
        <v>0</v>
      </c>
      <c r="BG42" s="11" t="n">
        <f aca="false">IF(Construction!BG8=1,Inputs!$F$75*$F$25*Inputs!$F$89/100+Inputs!$F$76*$F$25*Inputs!$F$90/100+Inputs!$F$77*$F$25*Inputs!$F$91/100+Inputs!$F$78*$F$25*Inputs!$F$92/100,0)</f>
        <v>0</v>
      </c>
      <c r="BH42" s="11" t="n">
        <f aca="false">IF(Construction!BH8=1,Inputs!$F$75*$F$25*Inputs!$F$89/100+Inputs!$F$76*$F$25*Inputs!$F$90/100+Inputs!$F$77*$F$25*Inputs!$F$91/100+Inputs!$F$78*$F$25*Inputs!$F$92/100,0)</f>
        <v>0</v>
      </c>
      <c r="BI42" s="11" t="n">
        <f aca="false">IF(Construction!BI8=1,Inputs!$F$75*$F$25*Inputs!$F$89/100+Inputs!$F$76*$F$25*Inputs!$F$90/100+Inputs!$F$77*$F$25*Inputs!$F$91/100+Inputs!$F$78*$F$25*Inputs!$F$92/100,0)</f>
        <v>0</v>
      </c>
      <c r="BJ42" s="11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601</v>
      </c>
      <c r="E43" s="0" t="s">
        <v>149</v>
      </c>
      <c r="G43" s="11" t="n">
        <f aca="false">SUM(J43:BJ43)</f>
        <v>0.74375</v>
      </c>
      <c r="J43" s="11" t="n">
        <f aca="false">Construction!J14*Inputs!$F$107/12</f>
        <v>0.02125</v>
      </c>
      <c r="K43" s="11" t="n">
        <f aca="false">Construction!K14*Inputs!$F$107/12</f>
        <v>0.02125</v>
      </c>
      <c r="L43" s="11" t="n">
        <f aca="false">Construction!L14*Inputs!$F$107/12</f>
        <v>0.02125</v>
      </c>
      <c r="M43" s="11" t="n">
        <f aca="false">Construction!M14*Inputs!$F$107/12</f>
        <v>0.02125</v>
      </c>
      <c r="N43" s="11" t="n">
        <f aca="false">Construction!N14*Inputs!$F$107/12</f>
        <v>0.02125</v>
      </c>
      <c r="O43" s="11" t="n">
        <f aca="false">Construction!O14*Inputs!$F$107/12</f>
        <v>0.02125</v>
      </c>
      <c r="P43" s="11" t="n">
        <f aca="false">Construction!P14*Inputs!$F$107/12</f>
        <v>0.02125</v>
      </c>
      <c r="Q43" s="11" t="n">
        <f aca="false">Construction!Q14*Inputs!$F$107/12</f>
        <v>0.02125</v>
      </c>
      <c r="R43" s="11" t="n">
        <f aca="false">Construction!R14*Inputs!$F$107/12</f>
        <v>0.02125</v>
      </c>
      <c r="S43" s="11" t="n">
        <f aca="false">Construction!S14*Inputs!$F$107/12</f>
        <v>0.02125</v>
      </c>
      <c r="T43" s="11" t="n">
        <f aca="false">Construction!T14*Inputs!$F$107/12</f>
        <v>0.02125</v>
      </c>
      <c r="U43" s="11" t="n">
        <f aca="false">Construction!U14*Inputs!$F$107/12</f>
        <v>0.02125</v>
      </c>
      <c r="V43" s="11" t="n">
        <f aca="false">Construction!V14*Inputs!$F$107/12</f>
        <v>0.02125</v>
      </c>
      <c r="W43" s="11" t="n">
        <f aca="false">Construction!W14*Inputs!$F$107/12</f>
        <v>0.02125</v>
      </c>
      <c r="X43" s="11" t="n">
        <f aca="false">Construction!X14*Inputs!$F$107/12</f>
        <v>0.02125</v>
      </c>
      <c r="Y43" s="11" t="n">
        <f aca="false">Construction!Y14*Inputs!$F$107/12</f>
        <v>0.02125</v>
      </c>
      <c r="Z43" s="11" t="n">
        <f aca="false">Construction!Z14*Inputs!$F$107/12</f>
        <v>0.02125</v>
      </c>
      <c r="AA43" s="11" t="n">
        <f aca="false">Construction!AA14*Inputs!$F$107/12</f>
        <v>0.02125</v>
      </c>
      <c r="AB43" s="11" t="n">
        <f aca="false">Construction!AB14*Inputs!$F$107/12</f>
        <v>0.02125</v>
      </c>
      <c r="AC43" s="11" t="n">
        <f aca="false">Construction!AC14*Inputs!$F$107/12</f>
        <v>0.02125</v>
      </c>
      <c r="AD43" s="11" t="n">
        <f aca="false">Construction!AD14*Inputs!$F$107/12</f>
        <v>0.02125</v>
      </c>
      <c r="AE43" s="11" t="n">
        <f aca="false">Construction!AE14*Inputs!$F$107/12</f>
        <v>0.02125</v>
      </c>
      <c r="AF43" s="11" t="n">
        <f aca="false">Construction!AF14*Inputs!$F$107/12</f>
        <v>0.02125</v>
      </c>
      <c r="AG43" s="11" t="n">
        <f aca="false">Construction!AG14*Inputs!$F$107/12</f>
        <v>0.02125</v>
      </c>
      <c r="AH43" s="11" t="n">
        <f aca="false">Construction!AH14*Inputs!$F$107/12</f>
        <v>0.02125</v>
      </c>
      <c r="AI43" s="11" t="n">
        <f aca="false">Construction!AI14*Inputs!$F$107/12</f>
        <v>0.02125</v>
      </c>
      <c r="AJ43" s="11" t="n">
        <f aca="false">Construction!AJ14*Inputs!$F$107/12</f>
        <v>0.02125</v>
      </c>
      <c r="AK43" s="11" t="n">
        <f aca="false">Construction!AK14*Inputs!$F$107/12</f>
        <v>0.02125</v>
      </c>
      <c r="AL43" s="11" t="n">
        <f aca="false">Construction!AL14*Inputs!$F$107/12</f>
        <v>0.02125</v>
      </c>
      <c r="AM43" s="11" t="n">
        <f aca="false">Construction!AM14*Inputs!$F$107/12</f>
        <v>0.02125</v>
      </c>
      <c r="AN43" s="11" t="n">
        <f aca="false">Construction!AN14*Inputs!$F$107/12</f>
        <v>0.02125</v>
      </c>
      <c r="AO43" s="11" t="n">
        <f aca="false">Construction!AO14*Inputs!$F$107/12</f>
        <v>0.02125</v>
      </c>
      <c r="AP43" s="11" t="n">
        <f aca="false">Construction!AP14*Inputs!$F$107/12</f>
        <v>0.02125</v>
      </c>
      <c r="AQ43" s="11" t="n">
        <f aca="false">Construction!AQ14*Inputs!$F$107/12</f>
        <v>0.02125</v>
      </c>
      <c r="AR43" s="11" t="n">
        <f aca="false">Construction!AR14*Inputs!$F$107/12</f>
        <v>0.02125</v>
      </c>
      <c r="AS43" s="11" t="n">
        <f aca="false">Construction!AS14*Inputs!$F$107/12</f>
        <v>0</v>
      </c>
      <c r="AT43" s="11" t="n">
        <f aca="false">Construction!AT14*Inputs!$F$107/12</f>
        <v>0</v>
      </c>
      <c r="AU43" s="11" t="n">
        <f aca="false">Construction!AU14*Inputs!$F$107/12</f>
        <v>0</v>
      </c>
      <c r="AV43" s="11" t="n">
        <f aca="false">Construction!AV14*Inputs!$F$107/12</f>
        <v>0</v>
      </c>
      <c r="AW43" s="11" t="n">
        <f aca="false">Construction!AW14*Inputs!$F$107/12</f>
        <v>0</v>
      </c>
      <c r="AX43" s="11" t="n">
        <f aca="false">Construction!AX14*Inputs!$F$107/12</f>
        <v>0</v>
      </c>
      <c r="AY43" s="11" t="n">
        <f aca="false">Construction!AY14*Inputs!$F$107/12</f>
        <v>0</v>
      </c>
      <c r="AZ43" s="11" t="n">
        <f aca="false">Construction!AZ14*Inputs!$F$107/12</f>
        <v>0</v>
      </c>
      <c r="BA43" s="11" t="n">
        <f aca="false">Construction!BA14*Inputs!$F$107/12</f>
        <v>0</v>
      </c>
      <c r="BB43" s="11" t="n">
        <f aca="false">Construction!BB14*Inputs!$F$107/12</f>
        <v>0</v>
      </c>
      <c r="BC43" s="11" t="n">
        <f aca="false">Construction!BC14*Inputs!$F$107/12</f>
        <v>0</v>
      </c>
      <c r="BD43" s="11" t="n">
        <f aca="false">Construction!BD14*Inputs!$F$107/12</f>
        <v>0</v>
      </c>
      <c r="BE43" s="11" t="n">
        <f aca="false">Construction!BE14*Inputs!$F$107/12</f>
        <v>0</v>
      </c>
      <c r="BF43" s="11" t="n">
        <f aca="false">Construction!BF14*Inputs!$F$107/12</f>
        <v>0</v>
      </c>
      <c r="BG43" s="11" t="n">
        <f aca="false">Construction!BG14*Inputs!$F$107/12</f>
        <v>0</v>
      </c>
      <c r="BH43" s="11" t="n">
        <f aca="false">Construction!BH14*Inputs!$F$107/12</f>
        <v>0</v>
      </c>
      <c r="BI43" s="11" t="n">
        <f aca="false">Construction!BI14*Inputs!$F$107/12</f>
        <v>0</v>
      </c>
      <c r="BJ43" s="11" t="n">
        <f aca="false">Construction!BJ14*Inputs!$F$107/12</f>
        <v>0</v>
      </c>
    </row>
    <row r="44" customFormat="false" ht="15" hidden="false" customHeight="false" outlineLevel="0" collapsed="false">
      <c r="D44" s="0" t="s">
        <v>602</v>
      </c>
      <c r="E44" s="0" t="s">
        <v>149</v>
      </c>
      <c r="G44" s="11" t="n">
        <f aca="false">SUM(J44:BJ44)</f>
        <v>37.2458954370954</v>
      </c>
      <c r="J44" s="11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1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1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1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1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1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1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1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1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1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1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1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1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1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1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1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1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1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1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1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1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1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1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1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1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1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1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1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1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1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1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1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1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1" t="n">
        <f aca="false">Construction!AQ15*IF(Inputs!$F$34=1,$F$12*Inputs!$F$75*$F$25+$F$13*Inputs!$F$76*$F$25+$F$14*Inputs!$F$77*$F$25+$F$15*Inputs!$F$78*$F$25+$F$17,$F$12*AQ28+$F$13*AQ29+$F$14*AQ30+$F$15*AQ31+$F$16*AQ32+$F$17)</f>
        <v>37.2458954370954</v>
      </c>
      <c r="AR44" s="11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1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1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1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1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1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1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1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1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1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1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1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1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1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1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1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1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1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1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603</v>
      </c>
      <c r="E45" s="0" t="s">
        <v>149</v>
      </c>
      <c r="J45" s="11" t="n">
        <f aca="false">Construction!J14*(Construction!J30+Construction!J36)+J33+J34+J35+J36+J37+J38+J39+J40+J41+J42+J43+J44</f>
        <v>118.661175849722</v>
      </c>
      <c r="K45" s="11" t="n">
        <f aca="false">Construction!K14*(Construction!K30+Construction!K36)+K33+K34+K35+K36+K37+K38+K39+K40+K41+K42+K43+K44</f>
        <v>2.43880187959064</v>
      </c>
      <c r="L45" s="11" t="n">
        <f aca="false">Construction!L14*(Construction!L30+Construction!L36)+L33+L34+L35+L36+L37+L38+L39+L40+L41+L42+L43+L44</f>
        <v>3.10875718775573</v>
      </c>
      <c r="M45" s="11" t="n">
        <f aca="false">Construction!M14*(Construction!M30+Construction!M36)+M33+M34+M35+M36+M37+M38+M39+M40+M41+M42+M43+M44</f>
        <v>4.39478293630819</v>
      </c>
      <c r="N45" s="11" t="n">
        <f aca="false">Construction!N14*(Construction!N30+Construction!N36)+N33+N34+N35+N36+N37+N38+N39+N40+N41+N42+N43+N44</f>
        <v>6.32816111508403</v>
      </c>
      <c r="O45" s="11" t="n">
        <f aca="false">Construction!O14*(Construction!O30+Construction!O36)+O33+O34+O35+O36+O37+O38+O39+O40+O41+O42+O43+O44</f>
        <v>8.72027032784092</v>
      </c>
      <c r="P45" s="11" t="n">
        <f aca="false">Construction!P14*(Construction!P30+Construction!P36)+P33+P34+P35+P36+P37+P38+P39+P40+P41+P42+P43+P44</f>
        <v>11.3758377911744</v>
      </c>
      <c r="Q45" s="11" t="n">
        <f aca="false">Construction!Q14*(Construction!Q30+Construction!Q36)+Q33+Q34+Q35+Q36+Q37+Q38+Q39+Q40+Q41+Q42+Q43+Q44</f>
        <v>14.4395728868313</v>
      </c>
      <c r="R45" s="11" t="n">
        <f aca="false">Construction!R14*(Construction!R30+Construction!R36)+R33+R34+R35+R36+R37+R38+R39+R40+R41+R42+R43+R44</f>
        <v>17.4930541499764</v>
      </c>
      <c r="S45" s="11" t="n">
        <f aca="false">Construction!S14*(Construction!S30+Construction!S36)+S33+S34+S35+S36+S37+S38+S39+S40+S41+S42+S43+S44</f>
        <v>20.6022654821457</v>
      </c>
      <c r="T45" s="11" t="n">
        <f aca="false">Construction!T14*(Construction!T30+Construction!T36)+T33+T34+T35+T36+T37+T38+T39+T40+T41+T42+T43+T44</f>
        <v>23.5119057862407</v>
      </c>
      <c r="U45" s="11" t="n">
        <f aca="false">Construction!U14*(Construction!U30+Construction!U36)+U33+U34+U35+U36+U37+U38+U39+U40+U41+U42+U43+U44</f>
        <v>26.301640975146</v>
      </c>
      <c r="V45" s="11" t="n">
        <f aca="false">Construction!V14*(Construction!V30+Construction!V36)+V33+V34+V35+V36+V37+V38+V39+V40+V41+V42+V43+V44</f>
        <v>28.7543698736844</v>
      </c>
      <c r="W45" s="11" t="n">
        <f aca="false">Construction!W14*(Construction!W30+Construction!W36)+W33+W34+W35+W36+W37+W38+W39+W40+W41+W42+W43+W44</f>
        <v>30.7940922180088</v>
      </c>
      <c r="X45" s="11" t="n">
        <f aca="false">Construction!X14*(Construction!X30+Construction!X36)+X33+X34+X35+X36+X37+X38+X39+X40+X41+X42+X43+X44</f>
        <v>32.4825943090109</v>
      </c>
      <c r="Y45" s="11" t="n">
        <f aca="false">Construction!Y14*(Construction!Y30+Construction!Y36)+Y33+Y34+Y35+Y36+Y37+Y38+Y39+Y40+Y41+Y42+Y43+Y44</f>
        <v>33.6069164063254</v>
      </c>
      <c r="Z45" s="11" t="n">
        <f aca="false">Construction!Z14*(Construction!Z30+Construction!Z36)+Z33+Z34+Z35+Z36+Z37+Z38+Z39+Z40+Z41+Z42+Z43+Z44</f>
        <v>34.3111810227308</v>
      </c>
      <c r="AA45" s="11" t="n">
        <f aca="false">Construction!AA14*(Construction!AA30+Construction!AA36)+AA33+AA34+AA35+AA36+AA37+AA38+AA39+AA40+AA41+AA42+AA43+AA44</f>
        <v>35.5917107779642</v>
      </c>
      <c r="AB45" s="11" t="n">
        <f aca="false">Construction!AB14*(Construction!AB30+Construction!AB36)+AB33+AB34+AB35+AB36+AB37+AB38+AB39+AB40+AB41+AB42+AB43+AB44</f>
        <v>33.9500835398134</v>
      </c>
      <c r="AC45" s="11" t="n">
        <f aca="false">Construction!AC14*(Construction!AC30+Construction!AC36)+AC33+AC34+AC35+AC36+AC37+AC38+AC39+AC40+AC41+AC42+AC43+AC44</f>
        <v>33.1431287724995</v>
      </c>
      <c r="AD45" s="11" t="n">
        <f aca="false">Construction!AD14*(Construction!AD30+Construction!AD36)+AD33+AD34+AD35+AD36+AD37+AD38+AD39+AD40+AD41+AD42+AD43+AD44</f>
        <v>31.682628439559</v>
      </c>
      <c r="AE45" s="11" t="n">
        <f aca="false">Construction!AE14*(Construction!AE30+Construction!AE36)+AE33+AE34+AE35+AE36+AE37+AE38+AE39+AE40+AE41+AE42+AE43+AE44</f>
        <v>29.8927171997239</v>
      </c>
      <c r="AF45" s="11" t="n">
        <f aca="false">Construction!AF14*(Construction!AF30+Construction!AF36)+AF33+AF34+AF35+AF36+AF37+AF38+AF39+AF40+AF41+AF42+AF43+AF44</f>
        <v>27.5919695947418</v>
      </c>
      <c r="AG45" s="11" t="n">
        <f aca="false">Construction!AG14*(Construction!AG30+Construction!AG36)+AG33+AG34+AG35+AG36+AG37+AG38+AG39+AG40+AG41+AG42+AG43+AG44</f>
        <v>25.1012502703318</v>
      </c>
      <c r="AH45" s="11" t="n">
        <f aca="false">Construction!AH14*(Construction!AH30+Construction!AH36)+AH33+AH34+AH35+AH36+AH37+AH38+AH39+AH40+AH41+AH42+AH43+AH44</f>
        <v>22.309939505027</v>
      </c>
      <c r="AI45" s="11" t="n">
        <f aca="false">Construction!AI14*(Construction!AI30+Construction!AI36)+AI33+AI34+AI35+AI36+AI37+AI38+AI39+AI40+AI41+AI42+AI43+AI44</f>
        <v>19.3119402034984</v>
      </c>
      <c r="AJ45" s="11" t="n">
        <f aca="false">Construction!AJ14*(Construction!AJ30+Construction!AJ36)+AJ33+AJ34+AJ35+AJ36+AJ37+AJ38+AJ39+AJ40+AJ41+AJ42+AJ43+AJ44</f>
        <v>16.4182529143668</v>
      </c>
      <c r="AK45" s="11" t="n">
        <f aca="false">Construction!AK14*(Construction!AK30+Construction!AK36)+AK33+AK34+AK35+AK36+AK37+AK38+AK39+AK40+AK41+AK42+AK43+AK44</f>
        <v>13.4722383098062</v>
      </c>
      <c r="AL45" s="11" t="n">
        <f aca="false">Construction!AL14*(Construction!AL30+Construction!AL36)+AL33+AL34+AL35+AL36+AL37+AL38+AL39+AL40+AL41+AL42+AL43+AL44</f>
        <v>10.8760614624342</v>
      </c>
      <c r="AM45" s="11" t="n">
        <f aca="false">Construction!AM14*(Construction!AM30+Construction!AM36)+AM33+AM34+AM35+AM36+AM37+AM38+AM39+AM40+AM41+AM42+AM43+AM44</f>
        <v>8.5507319550832</v>
      </c>
      <c r="AN45" s="11" t="n">
        <f aca="false">Construction!AN14*(Construction!AN30+Construction!AN36)+AN33+AN34+AN35+AN36+AN37+AN38+AN39+AN40+AN41+AN42+AN43+AN44</f>
        <v>6.47079122582769</v>
      </c>
      <c r="AO45" s="11" t="n">
        <f aca="false">Construction!AO14*(Construction!AO30+Construction!AO36)+AO33+AO34+AO35+AO36+AO37+AO38+AO39+AO40+AO41+AO42+AO43+AO44</f>
        <v>5.40104116626479</v>
      </c>
      <c r="AP45" s="11" t="n">
        <f aca="false">Construction!AP14*(Construction!AP30+Construction!AP36)+AP33+AP34+AP35+AP36+AP37+AP38+AP39+AP40+AP41+AP42+AP43+AP44</f>
        <v>52.9464021925694</v>
      </c>
      <c r="AQ45" s="11" t="n">
        <f aca="false">Construction!AQ14*(Construction!AQ30+Construction!AQ36)+AQ33+AQ34+AQ35+AQ36+AQ37+AQ38+AQ39+AQ40+AQ41+AQ42+AQ43+AQ44</f>
        <v>40.8097145059829</v>
      </c>
      <c r="AR45" s="11" t="n">
        <f aca="false">Construction!AR14*(Construction!AR30+Construction!AR36)+AR33+AR34+AR35+AR36+AR37+AR38+AR39+AR40+AR41+AR42+AR43+AR44</f>
        <v>3.63127888986155</v>
      </c>
      <c r="AS45" s="11" t="n">
        <f aca="false">Construction!AS14*(Construction!AS30+Construction!AS36)+AS33+AS34+AS35+AS36+AS37+AS38+AS39+AS40+AS41+AS42+AS43+AS44</f>
        <v>0</v>
      </c>
      <c r="AT45" s="11" t="n">
        <f aca="false">Construction!AT14*(Construction!AT30+Construction!AT36)+AT33+AT34+AT35+AT36+AT37+AT38+AT39+AT40+AT41+AT42+AT43+AT44</f>
        <v>0</v>
      </c>
      <c r="AU45" s="11" t="n">
        <f aca="false">Construction!AU14*(Construction!AU30+Construction!AU36)+AU33+AU34+AU35+AU36+AU37+AU38+AU39+AU40+AU41+AU42+AU43+AU44</f>
        <v>0</v>
      </c>
      <c r="AV45" s="11" t="n">
        <f aca="false">Construction!AV14*(Construction!AV30+Construction!AV36)+AV33+AV34+AV35+AV36+AV37+AV38+AV39+AV40+AV41+AV42+AV43+AV44</f>
        <v>0</v>
      </c>
      <c r="AW45" s="11" t="n">
        <f aca="false">Construction!AW14*(Construction!AW30+Construction!AW36)+AW33+AW34+AW35+AW36+AW37+AW38+AW39+AW40+AW41+AW42+AW43+AW44</f>
        <v>0</v>
      </c>
      <c r="AX45" s="11" t="n">
        <f aca="false">Construction!AX14*(Construction!AX30+Construction!AX36)+AX33+AX34+AX35+AX36+AX37+AX38+AX39+AX40+AX41+AX42+AX43+AX44</f>
        <v>0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604</v>
      </c>
      <c r="E46" s="0" t="s">
        <v>149</v>
      </c>
      <c r="J46" s="11" t="n">
        <f aca="false">$F$25-J28-J29-J30-J31</f>
        <v>633.255975542774</v>
      </c>
      <c r="K46" s="11" t="n">
        <f aca="false">$F$25-K28-K29-K30-K31</f>
        <v>543.208107047649</v>
      </c>
      <c r="L46" s="11" t="n">
        <f aca="false">$F$25-L28-L29-L30-L31</f>
        <v>541.357384523062</v>
      </c>
      <c r="M46" s="11" t="n">
        <f aca="false">$F$25-M28-M29-M30-M31</f>
        <v>538.998256051414</v>
      </c>
      <c r="N46" s="11" t="n">
        <f aca="false">$F$25-N28-N29-N30-N31</f>
        <v>535.663207050935</v>
      </c>
      <c r="O46" s="11" t="n">
        <f aca="false">$F$25-O28-O29-O30-O31</f>
        <v>530.860984118063</v>
      </c>
      <c r="P46" s="11" t="n">
        <f aca="false">$F$25-P28-P29-P30-P31</f>
        <v>524.243472112975</v>
      </c>
      <c r="Q46" s="11" t="n">
        <f aca="false">$F$25-Q28-Q29-Q30-Q31</f>
        <v>515.610741667603</v>
      </c>
      <c r="R46" s="11" t="n">
        <f aca="false">$F$25-R28-R29-R30-R31</f>
        <v>504.653048461479</v>
      </c>
      <c r="S46" s="11" t="n">
        <f aca="false">$F$25-S28-S29-S30-S31</f>
        <v>491.37817377399</v>
      </c>
      <c r="T46" s="11" t="n">
        <f aca="false">$F$25-T28-T29-T30-T31</f>
        <v>475.743825980341</v>
      </c>
      <c r="U46" s="11" t="n">
        <f aca="false">$F$25-U28-U29-U30-U31</f>
        <v>457.901452641731</v>
      </c>
      <c r="V46" s="11" t="n">
        <f aca="false">$F$25-V28-V29-V30-V31</f>
        <v>437.942045609262</v>
      </c>
      <c r="W46" s="11" t="n">
        <f aca="false">$F$25-W28-W29-W30-W31</f>
        <v>416.121347318484</v>
      </c>
      <c r="X46" s="11" t="n">
        <f aca="false">$F$25-X28-X29-X30-X31</f>
        <v>392.752774180579</v>
      </c>
      <c r="Y46" s="11" t="n">
        <f aca="false">$F$25-Y28-Y29-Y30-Y31</f>
        <v>368.102855116717</v>
      </c>
      <c r="Z46" s="11" t="n">
        <f aca="false">$F$25-Z28-Z29-Z30-Z31</f>
        <v>342.599726840658</v>
      </c>
      <c r="AA46" s="11" t="n">
        <f aca="false">$F$25-AA28-AA29-AA30-AA31</f>
        <v>316.562156468355</v>
      </c>
      <c r="AB46" s="11" t="n">
        <f aca="false">$F$25-AB28-AB29-AB30-AB31</f>
        <v>289.552836286752</v>
      </c>
      <c r="AC46" s="11" t="n">
        <f aca="false">$F$25-AC28-AC29-AC30-AC31</f>
        <v>263.789290324058</v>
      </c>
      <c r="AD46" s="11" t="n">
        <f aca="false">$F$25-AD28-AD29-AD30-AD31</f>
        <v>238.638114466819</v>
      </c>
      <c r="AE46" s="11" t="n">
        <f aca="false">$F$25-AE28-AE29-AE30-AE31</f>
        <v>214.595261875181</v>
      </c>
      <c r="AF46" s="11" t="n">
        <f aca="false">$F$25-AF28-AF29-AF30-AF31</f>
        <v>191.910711110475</v>
      </c>
      <c r="AG46" s="11" t="n">
        <f aca="false">$F$25-AG28-AG29-AG30-AG31</f>
        <v>170.972118248936</v>
      </c>
      <c r="AH46" s="11" t="n">
        <f aca="false">$F$25-AH28-AH29-AH30-AH31</f>
        <v>151.923646267935</v>
      </c>
      <c r="AI46" s="11" t="n">
        <f aca="false">$F$25-AI28-AI29-AI30-AI31</f>
        <v>134.993403631311</v>
      </c>
      <c r="AJ46" s="11" t="n">
        <f aca="false">$F$25-AJ28-AJ29-AJ30-AJ31</f>
        <v>120.338239131401</v>
      </c>
      <c r="AK46" s="11" t="n">
        <f aca="false">$F$25-AK28-AK29-AK30-AK31</f>
        <v>107.87899398432</v>
      </c>
      <c r="AL46" s="11" t="n">
        <f aca="false">$F$25-AL28-AL29-AL30-AL31</f>
        <v>97.655377582669</v>
      </c>
      <c r="AM46" s="11" t="n">
        <f aca="false">$F$25-AM28-AM29-AM30-AM31</f>
        <v>89.4019101338508</v>
      </c>
      <c r="AN46" s="11" t="n">
        <f aca="false">$F$25-AN28-AN29-AN30-AN31</f>
        <v>82.9130549449934</v>
      </c>
      <c r="AO46" s="11" t="n">
        <f aca="false">$F$25-AO28-AO29-AO30-AO31</f>
        <v>78.0025949466812</v>
      </c>
      <c r="AP46" s="11" t="n">
        <f aca="false">$F$25-AP28-AP29-AP30-AP31</f>
        <v>73.9039313257129</v>
      </c>
      <c r="AQ46" s="11" t="n">
        <f aca="false">$F$25-AQ28-AQ29-AQ30-AQ31</f>
        <v>33.7247351582606</v>
      </c>
      <c r="AR46" s="11" t="n">
        <f aca="false">$F$25-AR28-AR29-AR30-AR31</f>
        <v>2.75565214654034</v>
      </c>
      <c r="AS46" s="11" t="n">
        <f aca="false">$F$25-AS28-AS29-AS30-AS31</f>
        <v>0</v>
      </c>
      <c r="AT46" s="11" t="n">
        <f aca="false">$F$25-AT28-AT29-AT30-AT31</f>
        <v>0</v>
      </c>
      <c r="AU46" s="11" t="n">
        <f aca="false">$F$25-AU28-AU29-AU30-AU31</f>
        <v>0</v>
      </c>
      <c r="AV46" s="11" t="n">
        <f aca="false">$F$25-AV28-AV29-AV30-AV31</f>
        <v>0</v>
      </c>
      <c r="AW46" s="11" t="n">
        <f aca="false">$F$25-AW28-AW29-AW30-AW31</f>
        <v>0</v>
      </c>
      <c r="AX46" s="11" t="n">
        <f aca="false">$F$25-AX28-AX29-AX30-AX31</f>
        <v>0</v>
      </c>
      <c r="AY46" s="11" t="n">
        <f aca="false">$F$25-AY28-AY29-AY30-AY31</f>
        <v>0</v>
      </c>
      <c r="AZ46" s="11" t="n">
        <f aca="false">$F$25-AZ28-AZ29-AZ30-AZ31</f>
        <v>0</v>
      </c>
      <c r="BA46" s="11" t="n">
        <f aca="false">$F$25-BA28-BA29-BA30-BA31</f>
        <v>0</v>
      </c>
      <c r="BB46" s="11" t="n">
        <f aca="false">$F$25-BB28-BB29-BB30-BB31</f>
        <v>0</v>
      </c>
      <c r="BC46" s="11" t="n">
        <f aca="false">$F$25-BC28-BC29-BC30-BC31</f>
        <v>0</v>
      </c>
      <c r="BD46" s="11" t="n">
        <f aca="false">$F$25-BD28-BD29-BD30-BD31</f>
        <v>0</v>
      </c>
      <c r="BE46" s="11" t="n">
        <f aca="false">$F$25-BE28-BE29-BE30-BE31</f>
        <v>0</v>
      </c>
      <c r="BF46" s="11" t="n">
        <f aca="false">$F$25-BF28-BF29-BF30-BF31</f>
        <v>0</v>
      </c>
      <c r="BG46" s="11" t="n">
        <f aca="false">$F$25-BG28-BG29-BG30-BG31</f>
        <v>0</v>
      </c>
      <c r="BH46" s="11" t="n">
        <f aca="false">$F$25-BH28-BH29-BH30-BH31</f>
        <v>0</v>
      </c>
      <c r="BI46" s="11" t="n">
        <f aca="false">$F$25-BI28-BI29-BI30-BI31</f>
        <v>0</v>
      </c>
      <c r="BJ46" s="11" t="n">
        <f aca="false">$F$25-BJ28-BJ29-BJ30-BJ31</f>
        <v>0</v>
      </c>
    </row>
    <row r="47" customFormat="false" ht="15" hidden="false" customHeight="false" outlineLevel="0" collapsed="false">
      <c r="D47" s="0" t="s">
        <v>605</v>
      </c>
      <c r="E47" s="0" t="s">
        <v>149</v>
      </c>
      <c r="G47" s="11" t="n">
        <f aca="false">SUM(J47:BJ47)</f>
        <v>633.255975542774</v>
      </c>
      <c r="J47" s="11" t="n">
        <f aca="false">MIN($F$26*J45/(1-Inputs!$F$94/100*Inputs!$F$75*$F$26),J46)</f>
        <v>90.0478684951254</v>
      </c>
      <c r="K47" s="11" t="n">
        <f aca="false">MIN($F$26*K45/(1-Inputs!$F$94/100*Inputs!$F$75*$F$26),K46)</f>
        <v>1.85072252458686</v>
      </c>
      <c r="L47" s="11" t="n">
        <f aca="false">MIN($F$26*L45/(1-Inputs!$F$94/100*Inputs!$F$75*$F$26),L46)</f>
        <v>2.35912847164796</v>
      </c>
      <c r="M47" s="11" t="n">
        <f aca="false">MIN($F$26*M45/(1-Inputs!$F$94/100*Inputs!$F$75*$F$26),M46)</f>
        <v>3.3350490004792</v>
      </c>
      <c r="N47" s="11" t="n">
        <f aca="false">MIN($F$26*N45/(1-Inputs!$F$94/100*Inputs!$F$75*$F$26),N46)</f>
        <v>4.80222293287169</v>
      </c>
      <c r="O47" s="11" t="n">
        <f aca="false">MIN($F$26*O45/(1-Inputs!$F$94/100*Inputs!$F$75*$F$26),O46)</f>
        <v>6.61751200508777</v>
      </c>
      <c r="P47" s="11" t="n">
        <f aca="false">MIN($F$26*P45/(1-Inputs!$F$94/100*Inputs!$F$75*$F$26),P46)</f>
        <v>8.63273044537214</v>
      </c>
      <c r="Q47" s="11" t="n">
        <f aca="false">MIN($F$26*Q45/(1-Inputs!$F$94/100*Inputs!$F$75*$F$26),Q46)</f>
        <v>10.9576932061239</v>
      </c>
      <c r="R47" s="11" t="n">
        <f aca="false">MIN($F$26*R45/(1-Inputs!$F$94/100*Inputs!$F$75*$F$26),R46)</f>
        <v>13.2748746874893</v>
      </c>
      <c r="S47" s="11" t="n">
        <f aca="false">MIN($F$26*S45/(1-Inputs!$F$94/100*Inputs!$F$75*$F$26),S46)</f>
        <v>15.6343477936492</v>
      </c>
      <c r="T47" s="11" t="n">
        <f aca="false">MIN($F$26*T45/(1-Inputs!$F$94/100*Inputs!$F$75*$F$26),T46)</f>
        <v>17.84237333861</v>
      </c>
      <c r="U47" s="11" t="n">
        <f aca="false">MIN($F$26*U45/(1-Inputs!$F$94/100*Inputs!$F$75*$F$26),U46)</f>
        <v>19.9594070324688</v>
      </c>
      <c r="V47" s="11" t="n">
        <f aca="false">MIN($F$26*V45/(1-Inputs!$F$94/100*Inputs!$F$75*$F$26),V46)</f>
        <v>21.820698290778</v>
      </c>
      <c r="W47" s="11" t="n">
        <f aca="false">MIN($F$26*W45/(1-Inputs!$F$94/100*Inputs!$F$75*$F$26),W46)</f>
        <v>23.368573137905</v>
      </c>
      <c r="X47" s="11" t="n">
        <f aca="false">MIN($F$26*X45/(1-Inputs!$F$94/100*Inputs!$F$75*$F$26),X46)</f>
        <v>24.6499190638619</v>
      </c>
      <c r="Y47" s="11" t="n">
        <f aca="false">MIN($F$26*Y45/(1-Inputs!$F$94/100*Inputs!$F$75*$F$26),Y46)</f>
        <v>25.5031282760592</v>
      </c>
      <c r="Z47" s="11" t="n">
        <f aca="false">MIN($F$26*Z45/(1-Inputs!$F$94/100*Inputs!$F$75*$F$26),Z46)</f>
        <v>26.0375703723027</v>
      </c>
      <c r="AA47" s="11" t="n">
        <f aca="false">MIN($F$26*AA45/(1-Inputs!$F$94/100*Inputs!$F$75*$F$26),AA46)</f>
        <v>27.0093201816033</v>
      </c>
      <c r="AB47" s="11" t="n">
        <f aca="false">MIN($F$26*AB45/(1-Inputs!$F$94/100*Inputs!$F$75*$F$26),AB46)</f>
        <v>25.7635459626942</v>
      </c>
      <c r="AC47" s="11" t="n">
        <f aca="false">MIN($F$26*AC45/(1-Inputs!$F$94/100*Inputs!$F$75*$F$26),AC46)</f>
        <v>25.1511758572385</v>
      </c>
      <c r="AD47" s="11" t="n">
        <f aca="false">MIN($F$26*AD45/(1-Inputs!$F$94/100*Inputs!$F$75*$F$26),AD46)</f>
        <v>24.0428525916383</v>
      </c>
      <c r="AE47" s="11" t="n">
        <f aca="false">MIN($F$26*AE45/(1-Inputs!$F$94/100*Inputs!$F$75*$F$26),AE46)</f>
        <v>22.684550764706</v>
      </c>
      <c r="AF47" s="11" t="n">
        <f aca="false">MIN($F$26*AF45/(1-Inputs!$F$94/100*Inputs!$F$75*$F$26),AF46)</f>
        <v>20.938592861539</v>
      </c>
      <c r="AG47" s="11" t="n">
        <f aca="false">MIN($F$26*AG45/(1-Inputs!$F$94/100*Inputs!$F$75*$F$26),AG46)</f>
        <v>19.0484719810011</v>
      </c>
      <c r="AH47" s="11" t="n">
        <f aca="false">MIN($F$26*AH45/(1-Inputs!$F$94/100*Inputs!$F$75*$F$26),AH46)</f>
        <v>16.9302426366239</v>
      </c>
      <c r="AI47" s="11" t="n">
        <f aca="false">MIN($F$26*AI45/(1-Inputs!$F$94/100*Inputs!$F$75*$F$26),AI46)</f>
        <v>14.6551644999094</v>
      </c>
      <c r="AJ47" s="11" t="n">
        <f aca="false">MIN($F$26*AJ45/(1-Inputs!$F$94/100*Inputs!$F$75*$F$26),AJ46)</f>
        <v>12.4592451470814</v>
      </c>
      <c r="AK47" s="11" t="n">
        <f aca="false">MIN($F$26*AK45/(1-Inputs!$F$94/100*Inputs!$F$75*$F$26),AK46)</f>
        <v>10.2236164016511</v>
      </c>
      <c r="AL47" s="11" t="n">
        <f aca="false">MIN($F$26*AL45/(1-Inputs!$F$94/100*Inputs!$F$75*$F$26),AL46)</f>
        <v>8.25346744881826</v>
      </c>
      <c r="AM47" s="11" t="n">
        <f aca="false">MIN($F$26*AM45/(1-Inputs!$F$94/100*Inputs!$F$75*$F$26),AM46)</f>
        <v>6.48885518885751</v>
      </c>
      <c r="AN47" s="11" t="n">
        <f aca="false">MIN($F$26*AN45/(1-Inputs!$F$94/100*Inputs!$F$75*$F$26),AN46)</f>
        <v>4.91045999831217</v>
      </c>
      <c r="AO47" s="11" t="n">
        <f aca="false">MIN($F$26*AO45/(1-Inputs!$F$94/100*Inputs!$F$75*$F$26),AO46)</f>
        <v>4.09866362096826</v>
      </c>
      <c r="AP47" s="11" t="n">
        <f aca="false">MIN($F$26*AP45/(1-Inputs!$F$94/100*Inputs!$F$75*$F$26),AP46)</f>
        <v>40.1791961674523</v>
      </c>
      <c r="AQ47" s="11" t="n">
        <f aca="false">MIN($F$26*AQ45/(1-Inputs!$F$94/100*Inputs!$F$75*$F$26),AQ46)</f>
        <v>30.9690830117203</v>
      </c>
      <c r="AR47" s="11" t="n">
        <f aca="false">MIN($F$26*AR45/(1-Inputs!$F$94/100*Inputs!$F$75*$F$26),AR46)</f>
        <v>2.75565214654034</v>
      </c>
      <c r="AS47" s="11" t="n">
        <f aca="false">MIN($F$26*AS45/(1-Inputs!$F$94/100*Inputs!$F$75*$F$26),AS46)</f>
        <v>0</v>
      </c>
      <c r="AT47" s="11" t="n">
        <f aca="false">MIN($F$26*AT45/(1-Inputs!$F$94/100*Inputs!$F$75*$F$26),AT46)</f>
        <v>0</v>
      </c>
      <c r="AU47" s="11" t="n">
        <f aca="false">MIN($F$26*AU45/(1-Inputs!$F$94/100*Inputs!$F$75*$F$26),AU46)</f>
        <v>0</v>
      </c>
      <c r="AV47" s="11" t="n">
        <f aca="false">MIN($F$26*AV45/(1-Inputs!$F$94/100*Inputs!$F$75*$F$26),AV46)</f>
        <v>0</v>
      </c>
      <c r="AW47" s="11" t="n">
        <f aca="false">MIN($F$26*AW45/(1-Inputs!$F$94/100*Inputs!$F$75*$F$26),AW46)</f>
        <v>0</v>
      </c>
      <c r="AX47" s="11" t="n">
        <f aca="false">MIN($F$26*AX45/(1-Inputs!$F$94/100*Inputs!$F$75*$F$26),AX46)</f>
        <v>0</v>
      </c>
      <c r="AY47" s="11" t="n">
        <f aca="false">MIN($F$26*AY45/(1-Inputs!$F$94/100*Inputs!$F$75*$F$26),AY46)</f>
        <v>0</v>
      </c>
      <c r="AZ47" s="11" t="n">
        <f aca="false">MIN($F$26*AZ45/(1-Inputs!$F$94/100*Inputs!$F$75*$F$26),AZ46)</f>
        <v>0</v>
      </c>
      <c r="BA47" s="11" t="n">
        <f aca="false">MIN($F$26*BA45/(1-Inputs!$F$94/100*Inputs!$F$75*$F$26),BA46)</f>
        <v>0</v>
      </c>
      <c r="BB47" s="11" t="n">
        <f aca="false">MIN($F$26*BB45/(1-Inputs!$F$94/100*Inputs!$F$75*$F$26),BB46)</f>
        <v>0</v>
      </c>
      <c r="BC47" s="11" t="n">
        <f aca="false">MIN($F$26*BC45/(1-Inputs!$F$94/100*Inputs!$F$75*$F$26),BC46)</f>
        <v>0</v>
      </c>
      <c r="BD47" s="11" t="n">
        <f aca="false">MIN($F$26*BD45/(1-Inputs!$F$94/100*Inputs!$F$75*$F$26),BD46)</f>
        <v>0</v>
      </c>
      <c r="BE47" s="11" t="n">
        <f aca="false">MIN($F$26*BE45/(1-Inputs!$F$94/100*Inputs!$F$75*$F$26),BE46)</f>
        <v>0</v>
      </c>
      <c r="BF47" s="11" t="n">
        <f aca="false">MIN($F$26*BF45/(1-Inputs!$F$94/100*Inputs!$F$75*$F$26),BF46)</f>
        <v>0</v>
      </c>
      <c r="BG47" s="11" t="n">
        <f aca="false">MIN($F$26*BG45/(1-Inputs!$F$94/100*Inputs!$F$75*$F$26),BG46)</f>
        <v>0</v>
      </c>
      <c r="BH47" s="11" t="n">
        <f aca="false">MIN($F$26*BH45/(1-Inputs!$F$94/100*Inputs!$F$75*$F$26),BH46)</f>
        <v>0</v>
      </c>
      <c r="BI47" s="11" t="n">
        <f aca="false">MIN($F$26*BI45/(1-Inputs!$F$94/100*Inputs!$F$75*$F$26),BI46)</f>
        <v>0</v>
      </c>
      <c r="BJ47" s="11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606</v>
      </c>
      <c r="E48" s="0" t="s">
        <v>149</v>
      </c>
      <c r="G48" s="11" t="n">
        <f aca="false">SUM(J48:BJ48)</f>
        <v>20.6124820039173</v>
      </c>
      <c r="J48" s="11" t="n">
        <f aca="false">Inputs!$F$94/100*Inputs!$F$75*J47</f>
        <v>2.93105811951633</v>
      </c>
      <c r="K48" s="11" t="n">
        <f aca="false">Inputs!$F$94/100*Inputs!$F$75*K47</f>
        <v>0.0602410181753024</v>
      </c>
      <c r="L48" s="11" t="n">
        <f aca="false">Inputs!$F$94/100*Inputs!$F$75*L47</f>
        <v>0.0767896317521412</v>
      </c>
      <c r="M48" s="11" t="n">
        <f aca="false">Inputs!$F$94/100*Inputs!$F$75*M47</f>
        <v>0.108555844965598</v>
      </c>
      <c r="N48" s="11" t="n">
        <f aca="false">Inputs!$F$94/100*Inputs!$F$75*N47</f>
        <v>0.156312356464973</v>
      </c>
      <c r="O48" s="11" t="n">
        <f aca="false">Inputs!$F$94/100*Inputs!$F$75*O47</f>
        <v>0.215400015765607</v>
      </c>
      <c r="P48" s="11" t="n">
        <f aca="false">Inputs!$F$94/100*Inputs!$F$75*P47</f>
        <v>0.280995375996863</v>
      </c>
      <c r="Q48" s="11" t="n">
        <f aca="false">Inputs!$F$94/100*Inputs!$F$75*Q47</f>
        <v>0.356672913859333</v>
      </c>
      <c r="R48" s="11" t="n">
        <f aca="false">Inputs!$F$94/100*Inputs!$F$75*R47</f>
        <v>0.432097171077777</v>
      </c>
      <c r="S48" s="11" t="n">
        <f aca="false">Inputs!$F$94/100*Inputs!$F$75*S47</f>
        <v>0.508898020683282</v>
      </c>
      <c r="T48" s="11" t="n">
        <f aca="false">Inputs!$F$94/100*Inputs!$F$75*T47</f>
        <v>0.580769252171754</v>
      </c>
      <c r="U48" s="11" t="n">
        <f aca="false">Inputs!$F$94/100*Inputs!$F$75*U47</f>
        <v>0.649678698906859</v>
      </c>
      <c r="V48" s="11" t="n">
        <f aca="false">Inputs!$F$94/100*Inputs!$F$75*V47</f>
        <v>0.710263729364825</v>
      </c>
      <c r="W48" s="11" t="n">
        <f aca="false">Inputs!$F$94/100*Inputs!$F$75*W47</f>
        <v>0.760647055638807</v>
      </c>
      <c r="X48" s="11" t="n">
        <f aca="false">Inputs!$F$94/100*Inputs!$F$75*X47</f>
        <v>0.802354865528705</v>
      </c>
      <c r="Y48" s="11" t="n">
        <f aca="false">Inputs!$F$94/100*Inputs!$F$75*Y47</f>
        <v>0.830126825385727</v>
      </c>
      <c r="Z48" s="11" t="n">
        <f aca="false">Inputs!$F$94/100*Inputs!$F$75*Z47</f>
        <v>0.847522915618453</v>
      </c>
      <c r="AA48" s="11" t="n">
        <f aca="false">Inputs!$F$94/100*Inputs!$F$75*AA47</f>
        <v>0.879153371911187</v>
      </c>
      <c r="AB48" s="11" t="n">
        <f aca="false">Inputs!$F$94/100*Inputs!$F$75*AB47</f>
        <v>0.838603421085696</v>
      </c>
      <c r="AC48" s="11" t="n">
        <f aca="false">Inputs!$F$94/100*Inputs!$F$75*AC47</f>
        <v>0.818670774153112</v>
      </c>
      <c r="AD48" s="11" t="n">
        <f aca="false">Inputs!$F$94/100*Inputs!$F$75*AD47</f>
        <v>0.782594851857827</v>
      </c>
      <c r="AE48" s="11" t="n">
        <f aca="false">Inputs!$F$94/100*Inputs!$F$75*AE47</f>
        <v>0.73838212739118</v>
      </c>
      <c r="AF48" s="11" t="n">
        <f aca="false">Inputs!$F$94/100*Inputs!$F$75*AF47</f>
        <v>0.681551197643096</v>
      </c>
      <c r="AG48" s="11" t="n">
        <f aca="false">Inputs!$F$94/100*Inputs!$F$75*AG47</f>
        <v>0.620027762981586</v>
      </c>
      <c r="AH48" s="11" t="n">
        <f aca="false">Inputs!$F$94/100*Inputs!$F$75*AH47</f>
        <v>0.551079397822106</v>
      </c>
      <c r="AI48" s="11" t="n">
        <f aca="false">Inputs!$F$94/100*Inputs!$F$75*AI47</f>
        <v>0.477025604472051</v>
      </c>
      <c r="AJ48" s="11" t="n">
        <f aca="false">Inputs!$F$94/100*Inputs!$F$75*AJ47</f>
        <v>0.405548429537498</v>
      </c>
      <c r="AK48" s="11" t="n">
        <f aca="false">Inputs!$F$94/100*Inputs!$F$75*AK47</f>
        <v>0.332778713873743</v>
      </c>
      <c r="AL48" s="11" t="n">
        <f aca="false">Inputs!$F$94/100*Inputs!$F$75*AL47</f>
        <v>0.268650365459034</v>
      </c>
      <c r="AM48" s="11" t="n">
        <f aca="false">Inputs!$F$94/100*Inputs!$F$75*AM47</f>
        <v>0.211212236397312</v>
      </c>
      <c r="AN48" s="11" t="n">
        <f aca="false">Inputs!$F$94/100*Inputs!$F$75*AN47</f>
        <v>0.159835472945061</v>
      </c>
      <c r="AO48" s="11" t="n">
        <f aca="false">Inputs!$F$94/100*Inputs!$F$75*AO47</f>
        <v>0.133411500862517</v>
      </c>
      <c r="AP48" s="11" t="n">
        <f aca="false">Inputs!$F$94/100*Inputs!$F$75*AP47</f>
        <v>1.30783283525057</v>
      </c>
      <c r="AQ48" s="11" t="n">
        <f aca="false">Inputs!$F$94/100*Inputs!$F$75*AQ47</f>
        <v>1.0080436520315</v>
      </c>
      <c r="AR48" s="11" t="n">
        <f aca="false">Inputs!$F$94/100*Inputs!$F$75*AR47</f>
        <v>0.0896964773698881</v>
      </c>
      <c r="AS48" s="11" t="n">
        <f aca="false">Inputs!$F$94/100*Inputs!$F$75*AS47</f>
        <v>0</v>
      </c>
      <c r="AT48" s="11" t="n">
        <f aca="false">Inputs!$F$94/100*Inputs!$F$75*AT47</f>
        <v>0</v>
      </c>
      <c r="AU48" s="11" t="n">
        <f aca="false">Inputs!$F$94/100*Inputs!$F$75*AU47</f>
        <v>0</v>
      </c>
      <c r="AV48" s="11" t="n">
        <f aca="false">Inputs!$F$94/100*Inputs!$F$75*AV47</f>
        <v>0</v>
      </c>
      <c r="AW48" s="11" t="n">
        <f aca="false">Inputs!$F$94/100*Inputs!$F$75*AW47</f>
        <v>0</v>
      </c>
      <c r="AX48" s="11" t="n">
        <f aca="false">Inputs!$F$94/100*Inputs!$F$75*AX47</f>
        <v>0</v>
      </c>
      <c r="AY48" s="11" t="n">
        <f aca="false">Inputs!$F$94/100*Inputs!$F$75*AY47</f>
        <v>0</v>
      </c>
      <c r="AZ48" s="11" t="n">
        <f aca="false">Inputs!$F$94/100*Inputs!$F$75*AZ47</f>
        <v>0</v>
      </c>
      <c r="BA48" s="11" t="n">
        <f aca="false">Inputs!$F$94/100*Inputs!$F$75*BA47</f>
        <v>0</v>
      </c>
      <c r="BB48" s="11" t="n">
        <f aca="false">Inputs!$F$94/100*Inputs!$F$75*BB47</f>
        <v>0</v>
      </c>
      <c r="BC48" s="11" t="n">
        <f aca="false">Inputs!$F$94/100*Inputs!$F$75*BC47</f>
        <v>0</v>
      </c>
      <c r="BD48" s="11" t="n">
        <f aca="false">Inputs!$F$94/100*Inputs!$F$75*BD47</f>
        <v>0</v>
      </c>
      <c r="BE48" s="11" t="n">
        <f aca="false">Inputs!$F$94/100*Inputs!$F$75*BE47</f>
        <v>0</v>
      </c>
      <c r="BF48" s="11" t="n">
        <f aca="false">Inputs!$F$94/100*Inputs!$F$75*BF47</f>
        <v>0</v>
      </c>
      <c r="BG48" s="11" t="n">
        <f aca="false">Inputs!$F$94/100*Inputs!$F$75*BG47</f>
        <v>0</v>
      </c>
      <c r="BH48" s="11" t="n">
        <f aca="false">Inputs!$F$94/100*Inputs!$F$75*BH47</f>
        <v>0</v>
      </c>
      <c r="BI48" s="11" t="n">
        <f aca="false">Inputs!$F$94/100*Inputs!$F$75*BI47</f>
        <v>0</v>
      </c>
      <c r="BJ48" s="11" t="n">
        <f aca="false">Inputs!$F$94/100*Inputs!$F$75*BJ47</f>
        <v>0</v>
      </c>
    </row>
    <row r="49" customFormat="false" ht="15" hidden="false" customHeight="false" outlineLevel="0" collapsed="false">
      <c r="D49" s="0" t="s">
        <v>607</v>
      </c>
      <c r="E49" s="0" t="s">
        <v>149</v>
      </c>
      <c r="G49" s="11" t="n">
        <f aca="false">SUM(J49:BJ49)</f>
        <v>855.089743126849</v>
      </c>
      <c r="J49" s="11" t="n">
        <f aca="false">J45+J48</f>
        <v>121.592233969238</v>
      </c>
      <c r="K49" s="11" t="n">
        <f aca="false">K45+K48</f>
        <v>2.49904289776594</v>
      </c>
      <c r="L49" s="11" t="n">
        <f aca="false">L45+L48</f>
        <v>3.18554681950787</v>
      </c>
      <c r="M49" s="11" t="n">
        <f aca="false">M45+M48</f>
        <v>4.50333878127379</v>
      </c>
      <c r="N49" s="11" t="n">
        <f aca="false">N45+N48</f>
        <v>6.484473471549</v>
      </c>
      <c r="O49" s="11" t="n">
        <f aca="false">O45+O48</f>
        <v>8.93567034360652</v>
      </c>
      <c r="P49" s="11" t="n">
        <f aca="false">P45+P48</f>
        <v>11.6568331671712</v>
      </c>
      <c r="Q49" s="11" t="n">
        <f aca="false">Q45+Q48</f>
        <v>14.7962458006907</v>
      </c>
      <c r="R49" s="11" t="n">
        <f aca="false">R45+R48</f>
        <v>17.9251513210542</v>
      </c>
      <c r="S49" s="11" t="n">
        <f aca="false">S45+S48</f>
        <v>21.1111635028289</v>
      </c>
      <c r="T49" s="11" t="n">
        <f aca="false">T45+T48</f>
        <v>24.0926750384124</v>
      </c>
      <c r="U49" s="11" t="n">
        <f aca="false">U45+U48</f>
        <v>26.9513196740528</v>
      </c>
      <c r="V49" s="11" t="n">
        <f aca="false">V45+V48</f>
        <v>29.4646336030492</v>
      </c>
      <c r="W49" s="11" t="n">
        <f aca="false">W45+W48</f>
        <v>31.5547392736476</v>
      </c>
      <c r="X49" s="11" t="n">
        <f aca="false">X45+X48</f>
        <v>33.2849491745396</v>
      </c>
      <c r="Y49" s="11" t="n">
        <f aca="false">Y45+Y48</f>
        <v>34.4370432317112</v>
      </c>
      <c r="Z49" s="11" t="n">
        <f aca="false">Z45+Z48</f>
        <v>35.1587039383493</v>
      </c>
      <c r="AA49" s="11" t="n">
        <f aca="false">AA45+AA48</f>
        <v>36.4708641498754</v>
      </c>
      <c r="AB49" s="11" t="n">
        <f aca="false">AB45+AB48</f>
        <v>34.7886869608991</v>
      </c>
      <c r="AC49" s="11" t="n">
        <f aca="false">AC45+AC48</f>
        <v>33.9617995466526</v>
      </c>
      <c r="AD49" s="11" t="n">
        <f aca="false">AD45+AD48</f>
        <v>32.4652232914168</v>
      </c>
      <c r="AE49" s="11" t="n">
        <f aca="false">AE45+AE48</f>
        <v>30.6310993271151</v>
      </c>
      <c r="AF49" s="11" t="n">
        <f aca="false">AF45+AF48</f>
        <v>28.2735207923849</v>
      </c>
      <c r="AG49" s="11" t="n">
        <f aca="false">AG45+AG48</f>
        <v>25.7212780333133</v>
      </c>
      <c r="AH49" s="11" t="n">
        <f aca="false">AH45+AH48</f>
        <v>22.8610189028491</v>
      </c>
      <c r="AI49" s="11" t="n">
        <f aca="false">AI45+AI48</f>
        <v>19.7889658079704</v>
      </c>
      <c r="AJ49" s="11" t="n">
        <f aca="false">AJ45+AJ48</f>
        <v>16.8238013439043</v>
      </c>
      <c r="AK49" s="11" t="n">
        <f aca="false">AK45+AK48</f>
        <v>13.8050170236799</v>
      </c>
      <c r="AL49" s="11" t="n">
        <f aca="false">AL45+AL48</f>
        <v>11.1447118278932</v>
      </c>
      <c r="AM49" s="11" t="n">
        <f aca="false">AM45+AM48</f>
        <v>8.76194419148052</v>
      </c>
      <c r="AN49" s="11" t="n">
        <f aca="false">AN45+AN48</f>
        <v>6.63062669877275</v>
      </c>
      <c r="AO49" s="11" t="n">
        <f aca="false">AO45+AO48</f>
        <v>5.53445266712731</v>
      </c>
      <c r="AP49" s="11" t="n">
        <f aca="false">AP45+AP48</f>
        <v>54.25423502782</v>
      </c>
      <c r="AQ49" s="11" t="n">
        <f aca="false">AQ45+AQ48</f>
        <v>41.8177581580144</v>
      </c>
      <c r="AR49" s="11" t="n">
        <f aca="false">AR45+AR48</f>
        <v>3.72097536723144</v>
      </c>
      <c r="AS49" s="11" t="n">
        <f aca="false">AS45+AS48</f>
        <v>0</v>
      </c>
      <c r="AT49" s="11" t="n">
        <f aca="false">AT45+AT48</f>
        <v>0</v>
      </c>
      <c r="AU49" s="11" t="n">
        <f aca="false">AU45+AU48</f>
        <v>0</v>
      </c>
      <c r="AV49" s="11" t="n">
        <f aca="false">AV45+AV48</f>
        <v>0</v>
      </c>
      <c r="AW49" s="11" t="n">
        <f aca="false">AW45+AW48</f>
        <v>0</v>
      </c>
      <c r="AX49" s="11" t="n">
        <f aca="false">AX45+AX48</f>
        <v>0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608</v>
      </c>
      <c r="E50" s="0" t="s">
        <v>149</v>
      </c>
      <c r="G50" s="11" t="n">
        <f aca="false">SUM(J50:BJ50)</f>
        <v>855.089743126826</v>
      </c>
      <c r="J50" s="11" t="n">
        <f aca="false">J47/$F$26</f>
        <v>121.592233969238</v>
      </c>
      <c r="K50" s="11" t="n">
        <f aca="false">K47/$F$26</f>
        <v>2.49904289776594</v>
      </c>
      <c r="L50" s="11" t="n">
        <f aca="false">L47/$F$26</f>
        <v>3.18554681950787</v>
      </c>
      <c r="M50" s="11" t="n">
        <f aca="false">M47/$F$26</f>
        <v>4.50333878127379</v>
      </c>
      <c r="N50" s="11" t="n">
        <f aca="false">N47/$F$26</f>
        <v>6.484473471549</v>
      </c>
      <c r="O50" s="11" t="n">
        <f aca="false">O47/$F$26</f>
        <v>8.93567034360652</v>
      </c>
      <c r="P50" s="11" t="n">
        <f aca="false">P47/$F$26</f>
        <v>11.6568331671712</v>
      </c>
      <c r="Q50" s="11" t="n">
        <f aca="false">Q47/$F$26</f>
        <v>14.7962458006907</v>
      </c>
      <c r="R50" s="11" t="n">
        <f aca="false">R47/$F$26</f>
        <v>17.9251513210542</v>
      </c>
      <c r="S50" s="11" t="n">
        <f aca="false">S47/$F$26</f>
        <v>21.1111635028289</v>
      </c>
      <c r="T50" s="11" t="n">
        <f aca="false">T47/$F$26</f>
        <v>24.0926750384124</v>
      </c>
      <c r="U50" s="11" t="n">
        <f aca="false">U47/$F$26</f>
        <v>26.9513196740528</v>
      </c>
      <c r="V50" s="11" t="n">
        <f aca="false">V47/$F$26</f>
        <v>29.4646336030492</v>
      </c>
      <c r="W50" s="11" t="n">
        <f aca="false">W47/$F$26</f>
        <v>31.5547392736476</v>
      </c>
      <c r="X50" s="11" t="n">
        <f aca="false">X47/$F$26</f>
        <v>33.2849491745396</v>
      </c>
      <c r="Y50" s="11" t="n">
        <f aca="false">Y47/$F$26</f>
        <v>34.4370432317112</v>
      </c>
      <c r="Z50" s="11" t="n">
        <f aca="false">Z47/$F$26</f>
        <v>35.1587039383493</v>
      </c>
      <c r="AA50" s="11" t="n">
        <f aca="false">AA47/$F$26</f>
        <v>36.4708641498754</v>
      </c>
      <c r="AB50" s="11" t="n">
        <f aca="false">AB47/$F$26</f>
        <v>34.7886869608991</v>
      </c>
      <c r="AC50" s="11" t="n">
        <f aca="false">AC47/$F$26</f>
        <v>33.9617995466526</v>
      </c>
      <c r="AD50" s="11" t="n">
        <f aca="false">AD47/$F$26</f>
        <v>32.4652232914168</v>
      </c>
      <c r="AE50" s="11" t="n">
        <f aca="false">AE47/$F$26</f>
        <v>30.6310993271151</v>
      </c>
      <c r="AF50" s="11" t="n">
        <f aca="false">AF47/$F$26</f>
        <v>28.2735207923849</v>
      </c>
      <c r="AG50" s="11" t="n">
        <f aca="false">AG47/$F$26</f>
        <v>25.7212780333133</v>
      </c>
      <c r="AH50" s="11" t="n">
        <f aca="false">AH47/$F$26</f>
        <v>22.8610189028491</v>
      </c>
      <c r="AI50" s="11" t="n">
        <f aca="false">AI47/$F$26</f>
        <v>19.7889658079704</v>
      </c>
      <c r="AJ50" s="11" t="n">
        <f aca="false">AJ47/$F$26</f>
        <v>16.8238013439043</v>
      </c>
      <c r="AK50" s="11" t="n">
        <f aca="false">AK47/$F$26</f>
        <v>13.8050170236799</v>
      </c>
      <c r="AL50" s="11" t="n">
        <f aca="false">AL47/$F$26</f>
        <v>11.1447118278932</v>
      </c>
      <c r="AM50" s="11" t="n">
        <f aca="false">AM47/$F$26</f>
        <v>8.76194419148052</v>
      </c>
      <c r="AN50" s="11" t="n">
        <f aca="false">AN47/$F$26</f>
        <v>6.63062669877275</v>
      </c>
      <c r="AO50" s="11" t="n">
        <f aca="false">AO47/$F$26</f>
        <v>5.53445266712731</v>
      </c>
      <c r="AP50" s="11" t="n">
        <f aca="false">AP47/$F$26</f>
        <v>54.25423502782</v>
      </c>
      <c r="AQ50" s="11" t="n">
        <f aca="false">AQ47/$F$26</f>
        <v>41.8177581580144</v>
      </c>
      <c r="AR50" s="11" t="n">
        <f aca="false">AR47/$F$26</f>
        <v>3.72097536720821</v>
      </c>
      <c r="AS50" s="11" t="n">
        <f aca="false">AS47/$F$26</f>
        <v>0</v>
      </c>
      <c r="AT50" s="11" t="n">
        <f aca="false">AT47/$F$26</f>
        <v>0</v>
      </c>
      <c r="AU50" s="11" t="n">
        <f aca="false">AU47/$F$26</f>
        <v>0</v>
      </c>
      <c r="AV50" s="11" t="n">
        <f aca="false">AV47/$F$26</f>
        <v>0</v>
      </c>
      <c r="AW50" s="11" t="n">
        <f aca="false">AW47/$F$26</f>
        <v>0</v>
      </c>
      <c r="AX50" s="11" t="n">
        <f aca="false">AX47/$F$26</f>
        <v>0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609</v>
      </c>
      <c r="E51" s="0" t="s">
        <v>149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2.32298624780469E-011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610</v>
      </c>
      <c r="E52" s="0" t="s">
        <v>149</v>
      </c>
      <c r="G52" s="11" t="n">
        <f aca="false">SUM(J52:BJ52)</f>
        <v>0</v>
      </c>
      <c r="J52" s="11" t="n">
        <f aca="false">IF(AND(Inputs!$F$34=2,Construction!J8=40),Inputs!$F$189+Inputs!$F$190,0)</f>
        <v>0</v>
      </c>
      <c r="K52" s="11" t="n">
        <f aca="false">IF(AND(Inputs!$F$34=2,Construction!K8=40),Inputs!$F$189+Inputs!$F$190,0)</f>
        <v>0</v>
      </c>
      <c r="L52" s="11" t="n">
        <f aca="false">IF(AND(Inputs!$F$34=2,Construction!L8=40),Inputs!$F$189+Inputs!$F$190,0)</f>
        <v>0</v>
      </c>
      <c r="M52" s="11" t="n">
        <f aca="false">IF(AND(Inputs!$F$34=2,Construction!M8=40),Inputs!$F$189+Inputs!$F$190,0)</f>
        <v>0</v>
      </c>
      <c r="N52" s="11" t="n">
        <f aca="false">IF(AND(Inputs!$F$34=2,Construction!N8=40),Inputs!$F$189+Inputs!$F$190,0)</f>
        <v>0</v>
      </c>
      <c r="O52" s="11" t="n">
        <f aca="false">IF(AND(Inputs!$F$34=2,Construction!O8=40),Inputs!$F$189+Inputs!$F$190,0)</f>
        <v>0</v>
      </c>
      <c r="P52" s="11" t="n">
        <f aca="false">IF(AND(Inputs!$F$34=2,Construction!P8=40),Inputs!$F$189+Inputs!$F$190,0)</f>
        <v>0</v>
      </c>
      <c r="Q52" s="11" t="n">
        <f aca="false">IF(AND(Inputs!$F$34=2,Construction!Q8=40),Inputs!$F$189+Inputs!$F$190,0)</f>
        <v>0</v>
      </c>
      <c r="R52" s="11" t="n">
        <f aca="false">IF(AND(Inputs!$F$34=2,Construction!R8=40),Inputs!$F$189+Inputs!$F$190,0)</f>
        <v>0</v>
      </c>
      <c r="S52" s="11" t="n">
        <f aca="false">IF(AND(Inputs!$F$34=2,Construction!S8=40),Inputs!$F$189+Inputs!$F$190,0)</f>
        <v>0</v>
      </c>
      <c r="T52" s="11" t="n">
        <f aca="false">IF(AND(Inputs!$F$34=2,Construction!T8=40),Inputs!$F$189+Inputs!$F$190,0)</f>
        <v>0</v>
      </c>
      <c r="U52" s="11" t="n">
        <f aca="false">IF(AND(Inputs!$F$34=2,Construction!U8=40),Inputs!$F$189+Inputs!$F$190,0)</f>
        <v>0</v>
      </c>
      <c r="V52" s="11" t="n">
        <f aca="false">IF(AND(Inputs!$F$34=2,Construction!V8=40),Inputs!$F$189+Inputs!$F$190,0)</f>
        <v>0</v>
      </c>
      <c r="W52" s="11" t="n">
        <f aca="false">IF(AND(Inputs!$F$34=2,Construction!W8=40),Inputs!$F$189+Inputs!$F$190,0)</f>
        <v>0</v>
      </c>
      <c r="X52" s="11" t="n">
        <f aca="false">IF(AND(Inputs!$F$34=2,Construction!X8=40),Inputs!$F$189+Inputs!$F$190,0)</f>
        <v>0</v>
      </c>
      <c r="Y52" s="11" t="n">
        <f aca="false">IF(AND(Inputs!$F$34=2,Construction!Y8=40),Inputs!$F$189+Inputs!$F$190,0)</f>
        <v>0</v>
      </c>
      <c r="Z52" s="11" t="n">
        <f aca="false">IF(AND(Inputs!$F$34=2,Construction!Z8=40),Inputs!$F$189+Inputs!$F$190,0)</f>
        <v>0</v>
      </c>
      <c r="AA52" s="11" t="n">
        <f aca="false">IF(AND(Inputs!$F$34=2,Construction!AA8=40),Inputs!$F$189+Inputs!$F$190,0)</f>
        <v>0</v>
      </c>
      <c r="AB52" s="11" t="n">
        <f aca="false">IF(AND(Inputs!$F$34=2,Construction!AB8=40),Inputs!$F$189+Inputs!$F$190,0)</f>
        <v>0</v>
      </c>
      <c r="AC52" s="11" t="n">
        <f aca="false">IF(AND(Inputs!$F$34=2,Construction!AC8=40),Inputs!$F$189+Inputs!$F$190,0)</f>
        <v>0</v>
      </c>
      <c r="AD52" s="11" t="n">
        <f aca="false">IF(AND(Inputs!$F$34=2,Construction!AD8=40),Inputs!$F$189+Inputs!$F$190,0)</f>
        <v>0</v>
      </c>
      <c r="AE52" s="11" t="n">
        <f aca="false">IF(AND(Inputs!$F$34=2,Construction!AE8=40),Inputs!$F$189+Inputs!$F$190,0)</f>
        <v>0</v>
      </c>
      <c r="AF52" s="11" t="n">
        <f aca="false">IF(AND(Inputs!$F$34=2,Construction!AF8=40),Inputs!$F$189+Inputs!$F$190,0)</f>
        <v>0</v>
      </c>
      <c r="AG52" s="11" t="n">
        <f aca="false">IF(AND(Inputs!$F$34=2,Construction!AG8=40),Inputs!$F$189+Inputs!$F$190,0)</f>
        <v>0</v>
      </c>
      <c r="AH52" s="11" t="n">
        <f aca="false">IF(AND(Inputs!$F$34=2,Construction!AH8=40),Inputs!$F$189+Inputs!$F$190,0)</f>
        <v>0</v>
      </c>
      <c r="AI52" s="11" t="n">
        <f aca="false">IF(AND(Inputs!$F$34=2,Construction!AI8=40),Inputs!$F$189+Inputs!$F$190,0)</f>
        <v>0</v>
      </c>
      <c r="AJ52" s="11" t="n">
        <f aca="false">IF(AND(Inputs!$F$34=2,Construction!AJ8=40),Inputs!$F$189+Inputs!$F$190,0)</f>
        <v>0</v>
      </c>
      <c r="AK52" s="11" t="n">
        <f aca="false">IF(AND(Inputs!$F$34=2,Construction!AK8=40),Inputs!$F$189+Inputs!$F$190,0)</f>
        <v>0</v>
      </c>
      <c r="AL52" s="11" t="n">
        <f aca="false">IF(AND(Inputs!$F$34=2,Construction!AL8=40),Inputs!$F$189+Inputs!$F$190,0)</f>
        <v>0</v>
      </c>
      <c r="AM52" s="11" t="n">
        <f aca="false">IF(AND(Inputs!$F$34=2,Construction!AM8=40),Inputs!$F$189+Inputs!$F$190,0)</f>
        <v>0</v>
      </c>
      <c r="AN52" s="11" t="n">
        <f aca="false">IF(AND(Inputs!$F$34=2,Construction!AN8=40),Inputs!$F$189+Inputs!$F$190,0)</f>
        <v>0</v>
      </c>
      <c r="AO52" s="11" t="n">
        <f aca="false">IF(AND(Inputs!$F$34=2,Construction!AO8=40),Inputs!$F$189+Inputs!$F$190,0)</f>
        <v>0</v>
      </c>
      <c r="AP52" s="11" t="n">
        <f aca="false">IF(AND(Inputs!$F$34=2,Construction!AP8=40),Inputs!$F$189+Inputs!$F$190,0)</f>
        <v>0</v>
      </c>
      <c r="AQ52" s="11" t="n">
        <f aca="false">IF(AND(Inputs!$F$34=2,Construction!AQ8=40),Inputs!$F$189+Inputs!$F$190,0)</f>
        <v>0</v>
      </c>
      <c r="AR52" s="11" t="n">
        <f aca="false">IF(AND(Inputs!$F$34=2,Construction!AR8=40),Inputs!$F$189+Inputs!$F$190,0)</f>
        <v>0</v>
      </c>
      <c r="AS52" s="11" t="n">
        <f aca="false">IF(AND(Inputs!$F$34=2,Construction!AS8=40),Inputs!$F$189+Inputs!$F$190,0)</f>
        <v>0</v>
      </c>
      <c r="AT52" s="11" t="n">
        <f aca="false">IF(AND(Inputs!$F$34=2,Construction!AT8=40),Inputs!$F$189+Inputs!$F$190,0)</f>
        <v>0</v>
      </c>
      <c r="AU52" s="11" t="n">
        <f aca="false">IF(AND(Inputs!$F$34=2,Construction!AU8=40),Inputs!$F$189+Inputs!$F$190,0)</f>
        <v>0</v>
      </c>
      <c r="AV52" s="11" t="n">
        <f aca="false">IF(AND(Inputs!$F$34=2,Construction!AV8=40),Inputs!$F$189+Inputs!$F$190,0)</f>
        <v>0</v>
      </c>
      <c r="AW52" s="11" t="n">
        <f aca="false">IF(AND(Inputs!$F$34=2,Construction!AW8=40),Inputs!$F$189+Inputs!$F$190,0)</f>
        <v>0</v>
      </c>
      <c r="AX52" s="11" t="n">
        <f aca="false">IF(AND(Inputs!$F$34=2,Construction!AX8=40),Inputs!$F$189+Inputs!$F$190,0)</f>
        <v>0</v>
      </c>
      <c r="AY52" s="11" t="n">
        <f aca="false">IF(AND(Inputs!$F$34=2,Construction!AY8=40),Inputs!$F$189+Inputs!$F$190,0)</f>
        <v>0</v>
      </c>
      <c r="AZ52" s="11" t="n">
        <f aca="false">IF(AND(Inputs!$F$34=2,Construction!AZ8=40),Inputs!$F$189+Inputs!$F$190,0)</f>
        <v>0</v>
      </c>
      <c r="BA52" s="11" t="n">
        <f aca="false">IF(AND(Inputs!$F$34=2,Construction!BA8=40),Inputs!$F$189+Inputs!$F$190,0)</f>
        <v>0</v>
      </c>
      <c r="BB52" s="11" t="n">
        <f aca="false">IF(AND(Inputs!$F$34=2,Construction!BB8=40),Inputs!$F$189+Inputs!$F$190,0)</f>
        <v>0</v>
      </c>
      <c r="BC52" s="11" t="n">
        <f aca="false">IF(AND(Inputs!$F$34=2,Construction!BC8=40),Inputs!$F$189+Inputs!$F$190,0)</f>
        <v>0</v>
      </c>
      <c r="BD52" s="11" t="n">
        <f aca="false">IF(AND(Inputs!$F$34=2,Construction!BD8=40),Inputs!$F$189+Inputs!$F$190,0)</f>
        <v>0</v>
      </c>
      <c r="BE52" s="11" t="n">
        <f aca="false">IF(AND(Inputs!$F$34=2,Construction!BE8=40),Inputs!$F$189+Inputs!$F$190,0)</f>
        <v>0</v>
      </c>
      <c r="BF52" s="11" t="n">
        <f aca="false">IF(AND(Inputs!$F$34=2,Construction!BF8=40),Inputs!$F$189+Inputs!$F$190,0)</f>
        <v>0</v>
      </c>
      <c r="BG52" s="11" t="n">
        <f aca="false">IF(AND(Inputs!$F$34=2,Construction!BG8=40),Inputs!$F$189+Inputs!$F$190,0)</f>
        <v>0</v>
      </c>
      <c r="BH52" s="11" t="n">
        <f aca="false">IF(AND(Inputs!$F$34=2,Construction!BH8=40),Inputs!$F$189+Inputs!$F$190,0)</f>
        <v>0</v>
      </c>
      <c r="BI52" s="11" t="n">
        <f aca="false">IF(AND(Inputs!$F$34=2,Construction!BI8=40),Inputs!$F$189+Inputs!$F$190,0)</f>
        <v>0</v>
      </c>
      <c r="BJ52" s="11" t="n">
        <f aca="false">IF(AND(Inputs!$F$34=2,Construction!BJ8=40),Inputs!$F$189+Inputs!$F$190,0)</f>
        <v>0</v>
      </c>
    </row>
    <row r="53" customFormat="false" ht="15" hidden="false" customHeight="false" outlineLevel="0" collapsed="false">
      <c r="D53" s="0" t="s">
        <v>611</v>
      </c>
      <c r="E53" s="0" t="s">
        <v>149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612</v>
      </c>
      <c r="E54" s="0" t="s">
        <v>149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0</v>
      </c>
      <c r="AX54" s="11" t="n">
        <f aca="false">AW54+AX52-AX53</f>
        <v>0</v>
      </c>
      <c r="AY54" s="11" t="n">
        <f aca="false">AX54+AY52-AY53</f>
        <v>0</v>
      </c>
      <c r="AZ54" s="11" t="n">
        <f aca="false">AY54+AZ52-AZ53</f>
        <v>0</v>
      </c>
      <c r="BA54" s="11" t="n">
        <f aca="false">AZ54+BA52-BA53</f>
        <v>0</v>
      </c>
      <c r="BB54" s="11" t="n">
        <f aca="false">BA54+BB52-BB53</f>
        <v>0</v>
      </c>
      <c r="BC54" s="11" t="n">
        <f aca="false">BB54+BC52-BC53</f>
        <v>0</v>
      </c>
      <c r="BD54" s="11" t="n">
        <f aca="false">BC54+BD52-BD53</f>
        <v>0</v>
      </c>
      <c r="BE54" s="11" t="n">
        <f aca="false">BD54+BE52-BE53</f>
        <v>0</v>
      </c>
      <c r="BF54" s="11" t="n">
        <f aca="false">BE54+BF52-BF53</f>
        <v>0</v>
      </c>
      <c r="BG54" s="11" t="n">
        <f aca="false">BF54+BG52-BG53</f>
        <v>0</v>
      </c>
      <c r="BH54" s="11" t="n">
        <f aca="false">BG54+BH52-BH53</f>
        <v>0</v>
      </c>
      <c r="BI54" s="11" t="n">
        <f aca="false">BH54+BI52-BI53</f>
        <v>0</v>
      </c>
      <c r="BJ54" s="11" t="n">
        <f aca="false">BI54+BJ52-BJ53</f>
        <v>0</v>
      </c>
    </row>
    <row r="55" customFormat="false" ht="15" hidden="false" customHeight="false" outlineLevel="0" collapsed="false">
      <c r="D55" s="0" t="s">
        <v>613</v>
      </c>
      <c r="E55" s="0" t="s">
        <v>149</v>
      </c>
      <c r="G55" s="11" t="n">
        <f aca="false">SUM(J55:BJ55)</f>
        <v>1.74223968585352E-011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1.74223968585352E-011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614</v>
      </c>
      <c r="E56" s="0" t="s">
        <v>149</v>
      </c>
      <c r="G56" s="11" t="n">
        <f aca="false">SUM(J56:BJ56)</f>
        <v>5.80746561951173E-012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5.80746561951173E-012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615</v>
      </c>
      <c r="E57" s="0" t="s">
        <v>149</v>
      </c>
      <c r="G57" s="11" t="n">
        <f aca="false">SUM(J57:BJ57)</f>
        <v>189.976792662832</v>
      </c>
      <c r="J57" s="11" t="n">
        <f aca="false">Inputs!$F$75*J47</f>
        <v>27.0143605485376</v>
      </c>
      <c r="K57" s="11" t="n">
        <f aca="false">Inputs!$F$75*K47</f>
        <v>0.555216757376059</v>
      </c>
      <c r="L57" s="11" t="n">
        <f aca="false">Inputs!$F$75*L47</f>
        <v>0.707738541494389</v>
      </c>
      <c r="M57" s="11" t="n">
        <f aca="false">Inputs!$F$75*M47</f>
        <v>1.00051470014376</v>
      </c>
      <c r="N57" s="11" t="n">
        <f aca="false">Inputs!$F$75*N47</f>
        <v>1.44066687986151</v>
      </c>
      <c r="O57" s="11" t="n">
        <f aca="false">Inputs!$F$75*O47</f>
        <v>1.98525360152633</v>
      </c>
      <c r="P57" s="11" t="n">
        <f aca="false">Inputs!$F$75*P47</f>
        <v>2.58981913361164</v>
      </c>
      <c r="Q57" s="11" t="n">
        <f aca="false">Inputs!$F$75*Q47</f>
        <v>3.28730796183717</v>
      </c>
      <c r="R57" s="11" t="n">
        <f aca="false">Inputs!$F$75*R47</f>
        <v>3.98246240624679</v>
      </c>
      <c r="S57" s="11" t="n">
        <f aca="false">Inputs!$F$75*S47</f>
        <v>4.69030433809476</v>
      </c>
      <c r="T57" s="11" t="n">
        <f aca="false">Inputs!$F$75*T47</f>
        <v>5.35271200158299</v>
      </c>
      <c r="U57" s="11" t="n">
        <f aca="false">Inputs!$F$75*U47</f>
        <v>5.98782210974063</v>
      </c>
      <c r="V57" s="11" t="n">
        <f aca="false">Inputs!$F$75*V47</f>
        <v>6.54620948723341</v>
      </c>
      <c r="W57" s="11" t="n">
        <f aca="false">Inputs!$F$75*W47</f>
        <v>7.0105719413715</v>
      </c>
      <c r="X57" s="11" t="n">
        <f aca="false">Inputs!$F$75*X47</f>
        <v>7.39497571915857</v>
      </c>
      <c r="Y57" s="11" t="n">
        <f aca="false">Inputs!$F$75*Y47</f>
        <v>7.65093848281776</v>
      </c>
      <c r="Z57" s="11" t="n">
        <f aca="false">Inputs!$F$75*Z47</f>
        <v>7.81127111169081</v>
      </c>
      <c r="AA57" s="11" t="n">
        <f aca="false">Inputs!$F$75*AA47</f>
        <v>8.10279605448099</v>
      </c>
      <c r="AB57" s="11" t="n">
        <f aca="false">Inputs!$F$75*AB47</f>
        <v>7.72906378880826</v>
      </c>
      <c r="AC57" s="11" t="n">
        <f aca="false">Inputs!$F$75*AC47</f>
        <v>7.54535275717154</v>
      </c>
      <c r="AD57" s="11" t="n">
        <f aca="false">Inputs!$F$75*AD47</f>
        <v>7.21285577749149</v>
      </c>
      <c r="AE57" s="11" t="n">
        <f aca="false">Inputs!$F$75*AE47</f>
        <v>6.8053652294118</v>
      </c>
      <c r="AF57" s="11" t="n">
        <f aca="false">Inputs!$F$75*AF47</f>
        <v>6.28157785846171</v>
      </c>
      <c r="AG57" s="11" t="n">
        <f aca="false">Inputs!$F$75*AG47</f>
        <v>5.71454159430033</v>
      </c>
      <c r="AH57" s="11" t="n">
        <f aca="false">Inputs!$F$75*AH47</f>
        <v>5.07907279098716</v>
      </c>
      <c r="AI57" s="11" t="n">
        <f aca="false">Inputs!$F$75*AI47</f>
        <v>4.39654934997282</v>
      </c>
      <c r="AJ57" s="11" t="n">
        <f aca="false">Inputs!$F$75*AJ47</f>
        <v>3.73777354412441</v>
      </c>
      <c r="AK57" s="11" t="n">
        <f aca="false">Inputs!$F$75*AK47</f>
        <v>3.06708492049533</v>
      </c>
      <c r="AL57" s="11" t="n">
        <f aca="false">Inputs!$F$75*AL47</f>
        <v>2.47604023464548</v>
      </c>
      <c r="AM57" s="11" t="n">
        <f aca="false">Inputs!$F$75*AM47</f>
        <v>1.94665655665725</v>
      </c>
      <c r="AN57" s="11" t="n">
        <f aca="false">Inputs!$F$75*AN47</f>
        <v>1.47313799949365</v>
      </c>
      <c r="AO57" s="11" t="n">
        <f aca="false">Inputs!$F$75*AO47</f>
        <v>1.22959908629048</v>
      </c>
      <c r="AP57" s="11" t="n">
        <f aca="false">Inputs!$F$75*AP47</f>
        <v>12.0537588502357</v>
      </c>
      <c r="AQ57" s="11" t="n">
        <f aca="false">Inputs!$F$75*AQ47</f>
        <v>9.29072490351609</v>
      </c>
      <c r="AR57" s="11" t="n">
        <f aca="false">Inputs!$F$75*AR47</f>
        <v>0.826695643962103</v>
      </c>
      <c r="AS57" s="11" t="n">
        <f aca="false">Inputs!$F$75*AS47</f>
        <v>0</v>
      </c>
      <c r="AT57" s="11" t="n">
        <f aca="false">Inputs!$F$75*AT47</f>
        <v>0</v>
      </c>
      <c r="AU57" s="11" t="n">
        <f aca="false">Inputs!$F$75*AU47</f>
        <v>0</v>
      </c>
      <c r="AV57" s="11" t="n">
        <f aca="false">Inputs!$F$75*AV47</f>
        <v>0</v>
      </c>
      <c r="AW57" s="11" t="n">
        <f aca="false">Inputs!$F$75*AW47</f>
        <v>0</v>
      </c>
      <c r="AX57" s="11" t="n">
        <f aca="false">Inputs!$F$75*AX47</f>
        <v>0</v>
      </c>
      <c r="AY57" s="11" t="n">
        <f aca="false">Inputs!$F$75*AY47</f>
        <v>0</v>
      </c>
      <c r="AZ57" s="11" t="n">
        <f aca="false">Inputs!$F$75*AZ47</f>
        <v>0</v>
      </c>
      <c r="BA57" s="11" t="n">
        <f aca="false">Inputs!$F$75*BA47</f>
        <v>0</v>
      </c>
      <c r="BB57" s="11" t="n">
        <f aca="false">Inputs!$F$75*BB47</f>
        <v>0</v>
      </c>
      <c r="BC57" s="11" t="n">
        <f aca="false">Inputs!$F$75*BC47</f>
        <v>0</v>
      </c>
      <c r="BD57" s="11" t="n">
        <f aca="false">Inputs!$F$75*BD47</f>
        <v>0</v>
      </c>
      <c r="BE57" s="11" t="n">
        <f aca="false">Inputs!$F$75*BE47</f>
        <v>0</v>
      </c>
      <c r="BF57" s="11" t="n">
        <f aca="false">Inputs!$F$75*BF47</f>
        <v>0</v>
      </c>
      <c r="BG57" s="11" t="n">
        <f aca="false">Inputs!$F$75*BG47</f>
        <v>0</v>
      </c>
      <c r="BH57" s="11" t="n">
        <f aca="false">Inputs!$F$75*BH47</f>
        <v>0</v>
      </c>
      <c r="BI57" s="11" t="n">
        <f aca="false">Inputs!$F$75*BI47</f>
        <v>0</v>
      </c>
      <c r="BJ57" s="11" t="n">
        <f aca="false">Inputs!$F$75*BJ47</f>
        <v>0</v>
      </c>
    </row>
    <row r="58" customFormat="false" ht="15" hidden="false" customHeight="false" outlineLevel="0" collapsed="false">
      <c r="D58" s="0" t="s">
        <v>616</v>
      </c>
      <c r="E58" s="0" t="s">
        <v>149</v>
      </c>
      <c r="G58" s="11" t="n">
        <f aca="false">SUM(J58:BJ58)</f>
        <v>139.31631461941</v>
      </c>
      <c r="J58" s="11" t="n">
        <f aca="false">Inputs!$F$76*J47</f>
        <v>19.8105310689276</v>
      </c>
      <c r="K58" s="11" t="n">
        <f aca="false">Inputs!$F$76*K47</f>
        <v>0.40715895540911</v>
      </c>
      <c r="L58" s="11" t="n">
        <f aca="false">Inputs!$F$76*L47</f>
        <v>0.519008263762552</v>
      </c>
      <c r="M58" s="11" t="n">
        <f aca="false">Inputs!$F$76*M47</f>
        <v>0.733710780105425</v>
      </c>
      <c r="N58" s="11" t="n">
        <f aca="false">Inputs!$F$76*N47</f>
        <v>1.05648904523177</v>
      </c>
      <c r="O58" s="11" t="n">
        <f aca="false">Inputs!$F$76*O47</f>
        <v>1.45585264111931</v>
      </c>
      <c r="P58" s="11" t="n">
        <f aca="false">Inputs!$F$76*P47</f>
        <v>1.89920069798187</v>
      </c>
      <c r="Q58" s="11" t="n">
        <f aca="false">Inputs!$F$76*Q47</f>
        <v>2.41069250534726</v>
      </c>
      <c r="R58" s="11" t="n">
        <f aca="false">Inputs!$F$76*R47</f>
        <v>2.92047243124765</v>
      </c>
      <c r="S58" s="11" t="n">
        <f aca="false">Inputs!$F$76*S47</f>
        <v>3.43955651460283</v>
      </c>
      <c r="T58" s="11" t="n">
        <f aca="false">Inputs!$F$76*T47</f>
        <v>3.92532213449419</v>
      </c>
      <c r="U58" s="11" t="n">
        <f aca="false">Inputs!$F$76*U47</f>
        <v>4.39106954714313</v>
      </c>
      <c r="V58" s="11" t="n">
        <f aca="false">Inputs!$F$76*V47</f>
        <v>4.80055362397117</v>
      </c>
      <c r="W58" s="11" t="n">
        <f aca="false">Inputs!$F$76*W47</f>
        <v>5.1410860903391</v>
      </c>
      <c r="X58" s="11" t="n">
        <f aca="false">Inputs!$F$76*X47</f>
        <v>5.42298219404962</v>
      </c>
      <c r="Y58" s="11" t="n">
        <f aca="false">Inputs!$F$76*Y47</f>
        <v>5.61068822073302</v>
      </c>
      <c r="Z58" s="11" t="n">
        <f aca="false">Inputs!$F$76*Z47</f>
        <v>5.72826548190659</v>
      </c>
      <c r="AA58" s="11" t="n">
        <f aca="false">Inputs!$F$76*AA47</f>
        <v>5.94205043995272</v>
      </c>
      <c r="AB58" s="11" t="n">
        <f aca="false">Inputs!$F$76*AB47</f>
        <v>5.66798011179272</v>
      </c>
      <c r="AC58" s="11" t="n">
        <f aca="false">Inputs!$F$76*AC47</f>
        <v>5.53325868859246</v>
      </c>
      <c r="AD58" s="11" t="n">
        <f aca="false">Inputs!$F$76*AD47</f>
        <v>5.28942757016043</v>
      </c>
      <c r="AE58" s="11" t="n">
        <f aca="false">Inputs!$F$76*AE47</f>
        <v>4.99060116823532</v>
      </c>
      <c r="AF58" s="11" t="n">
        <f aca="false">Inputs!$F$76*AF47</f>
        <v>4.60649042953859</v>
      </c>
      <c r="AG58" s="11" t="n">
        <f aca="false">Inputs!$F$76*AG47</f>
        <v>4.19066383582024</v>
      </c>
      <c r="AH58" s="11" t="n">
        <f aca="false">Inputs!$F$76*AH47</f>
        <v>3.72465338005725</v>
      </c>
      <c r="AI58" s="11" t="n">
        <f aca="false">Inputs!$F$76*AI47</f>
        <v>3.22413618998007</v>
      </c>
      <c r="AJ58" s="11" t="n">
        <f aca="false">Inputs!$F$76*AJ47</f>
        <v>2.7410339323579</v>
      </c>
      <c r="AK58" s="11" t="n">
        <f aca="false">Inputs!$F$76*AK47</f>
        <v>2.24919560836324</v>
      </c>
      <c r="AL58" s="11" t="n">
        <f aca="false">Inputs!$F$76*AL47</f>
        <v>1.81576283874002</v>
      </c>
      <c r="AM58" s="11" t="n">
        <f aca="false">Inputs!$F$76*AM47</f>
        <v>1.42754814154865</v>
      </c>
      <c r="AN58" s="11" t="n">
        <f aca="false">Inputs!$F$76*AN47</f>
        <v>1.08030119962868</v>
      </c>
      <c r="AO58" s="11" t="n">
        <f aca="false">Inputs!$F$76*AO47</f>
        <v>0.901705996613016</v>
      </c>
      <c r="AP58" s="11" t="n">
        <f aca="false">Inputs!$F$76*AP47</f>
        <v>8.8394231568395</v>
      </c>
      <c r="AQ58" s="11" t="n">
        <f aca="false">Inputs!$F$76*AQ47</f>
        <v>6.81319826257846</v>
      </c>
      <c r="AR58" s="11" t="n">
        <f aca="false">Inputs!$F$76*AR47</f>
        <v>0.606243472238875</v>
      </c>
      <c r="AS58" s="11" t="n">
        <f aca="false">Inputs!$F$76*AS47</f>
        <v>0</v>
      </c>
      <c r="AT58" s="11" t="n">
        <f aca="false">Inputs!$F$76*AT47</f>
        <v>0</v>
      </c>
      <c r="AU58" s="11" t="n">
        <f aca="false">Inputs!$F$76*AU47</f>
        <v>0</v>
      </c>
      <c r="AV58" s="11" t="n">
        <f aca="false">Inputs!$F$76*AV47</f>
        <v>0</v>
      </c>
      <c r="AW58" s="11" t="n">
        <f aca="false">Inputs!$F$76*AW47</f>
        <v>0</v>
      </c>
      <c r="AX58" s="11" t="n">
        <f aca="false">Inputs!$F$76*AX47</f>
        <v>0</v>
      </c>
      <c r="AY58" s="11" t="n">
        <f aca="false">Inputs!$F$76*AY47</f>
        <v>0</v>
      </c>
      <c r="AZ58" s="11" t="n">
        <f aca="false">Inputs!$F$76*AZ47</f>
        <v>0</v>
      </c>
      <c r="BA58" s="11" t="n">
        <f aca="false">Inputs!$F$76*BA47</f>
        <v>0</v>
      </c>
      <c r="BB58" s="11" t="n">
        <f aca="false">Inputs!$F$76*BB47</f>
        <v>0</v>
      </c>
      <c r="BC58" s="11" t="n">
        <f aca="false">Inputs!$F$76*BC47</f>
        <v>0</v>
      </c>
      <c r="BD58" s="11" t="n">
        <f aca="false">Inputs!$F$76*BD47</f>
        <v>0</v>
      </c>
      <c r="BE58" s="11" t="n">
        <f aca="false">Inputs!$F$76*BE47</f>
        <v>0</v>
      </c>
      <c r="BF58" s="11" t="n">
        <f aca="false">Inputs!$F$76*BF47</f>
        <v>0</v>
      </c>
      <c r="BG58" s="11" t="n">
        <f aca="false">Inputs!$F$76*BG47</f>
        <v>0</v>
      </c>
      <c r="BH58" s="11" t="n">
        <f aca="false">Inputs!$F$76*BH47</f>
        <v>0</v>
      </c>
      <c r="BI58" s="11" t="n">
        <f aca="false">Inputs!$F$76*BI47</f>
        <v>0</v>
      </c>
      <c r="BJ58" s="11" t="n">
        <f aca="false">Inputs!$F$76*BJ47</f>
        <v>0</v>
      </c>
    </row>
    <row r="59" customFormat="false" ht="15" hidden="false" customHeight="false" outlineLevel="0" collapsed="false">
      <c r="D59" s="0" t="s">
        <v>617</v>
      </c>
      <c r="E59" s="0" t="s">
        <v>149</v>
      </c>
      <c r="G59" s="11" t="n">
        <f aca="false">SUM(J59:BJ59)</f>
        <v>63.3255975542774</v>
      </c>
      <c r="J59" s="11" t="n">
        <f aca="false">Inputs!$F$77*J47</f>
        <v>9.00478684951255</v>
      </c>
      <c r="K59" s="11" t="n">
        <f aca="false">Inputs!$F$77*K47</f>
        <v>0.185072252458686</v>
      </c>
      <c r="L59" s="11" t="n">
        <f aca="false">Inputs!$F$77*L47</f>
        <v>0.235912847164796</v>
      </c>
      <c r="M59" s="11" t="n">
        <f aca="false">Inputs!$F$77*M47</f>
        <v>0.33350490004792</v>
      </c>
      <c r="N59" s="11" t="n">
        <f aca="false">Inputs!$F$77*N47</f>
        <v>0.480222293287169</v>
      </c>
      <c r="O59" s="11" t="n">
        <f aca="false">Inputs!$F$77*O47</f>
        <v>0.661751200508777</v>
      </c>
      <c r="P59" s="11" t="n">
        <f aca="false">Inputs!$F$77*P47</f>
        <v>0.863273044537214</v>
      </c>
      <c r="Q59" s="11" t="n">
        <f aca="false">Inputs!$F$77*Q47</f>
        <v>1.09576932061239</v>
      </c>
      <c r="R59" s="11" t="n">
        <f aca="false">Inputs!$F$77*R47</f>
        <v>1.32748746874893</v>
      </c>
      <c r="S59" s="11" t="n">
        <f aca="false">Inputs!$F$77*S47</f>
        <v>1.56343477936492</v>
      </c>
      <c r="T59" s="11" t="n">
        <f aca="false">Inputs!$F$77*T47</f>
        <v>1.784237333861</v>
      </c>
      <c r="U59" s="11" t="n">
        <f aca="false">Inputs!$F$77*U47</f>
        <v>1.99594070324688</v>
      </c>
      <c r="V59" s="11" t="n">
        <f aca="false">Inputs!$F$77*V47</f>
        <v>2.1820698290778</v>
      </c>
      <c r="W59" s="11" t="n">
        <f aca="false">Inputs!$F$77*W47</f>
        <v>2.3368573137905</v>
      </c>
      <c r="X59" s="11" t="n">
        <f aca="false">Inputs!$F$77*X47</f>
        <v>2.46499190638619</v>
      </c>
      <c r="Y59" s="11" t="n">
        <f aca="false">Inputs!$F$77*Y47</f>
        <v>2.55031282760592</v>
      </c>
      <c r="Z59" s="11" t="n">
        <f aca="false">Inputs!$F$77*Z47</f>
        <v>2.60375703723027</v>
      </c>
      <c r="AA59" s="11" t="n">
        <f aca="false">Inputs!$F$77*AA47</f>
        <v>2.70093201816033</v>
      </c>
      <c r="AB59" s="11" t="n">
        <f aca="false">Inputs!$F$77*AB47</f>
        <v>2.57635459626942</v>
      </c>
      <c r="AC59" s="11" t="n">
        <f aca="false">Inputs!$F$77*AC47</f>
        <v>2.51511758572385</v>
      </c>
      <c r="AD59" s="11" t="n">
        <f aca="false">Inputs!$F$77*AD47</f>
        <v>2.40428525916383</v>
      </c>
      <c r="AE59" s="11" t="n">
        <f aca="false">Inputs!$F$77*AE47</f>
        <v>2.2684550764706</v>
      </c>
      <c r="AF59" s="11" t="n">
        <f aca="false">Inputs!$F$77*AF47</f>
        <v>2.0938592861539</v>
      </c>
      <c r="AG59" s="11" t="n">
        <f aca="false">Inputs!$F$77*AG47</f>
        <v>1.90484719810011</v>
      </c>
      <c r="AH59" s="11" t="n">
        <f aca="false">Inputs!$F$77*AH47</f>
        <v>1.69302426366239</v>
      </c>
      <c r="AI59" s="11" t="n">
        <f aca="false">Inputs!$F$77*AI47</f>
        <v>1.46551644999094</v>
      </c>
      <c r="AJ59" s="11" t="n">
        <f aca="false">Inputs!$F$77*AJ47</f>
        <v>1.24592451470814</v>
      </c>
      <c r="AK59" s="11" t="n">
        <f aca="false">Inputs!$F$77*AK47</f>
        <v>1.02236164016511</v>
      </c>
      <c r="AL59" s="11" t="n">
        <f aca="false">Inputs!$F$77*AL47</f>
        <v>0.825346744881826</v>
      </c>
      <c r="AM59" s="11" t="n">
        <f aca="false">Inputs!$F$77*AM47</f>
        <v>0.648885518885751</v>
      </c>
      <c r="AN59" s="11" t="n">
        <f aca="false">Inputs!$F$77*AN47</f>
        <v>0.491045999831217</v>
      </c>
      <c r="AO59" s="11" t="n">
        <f aca="false">Inputs!$F$77*AO47</f>
        <v>0.409866362096826</v>
      </c>
      <c r="AP59" s="11" t="n">
        <f aca="false">Inputs!$F$77*AP47</f>
        <v>4.01791961674523</v>
      </c>
      <c r="AQ59" s="11" t="n">
        <f aca="false">Inputs!$F$77*AQ47</f>
        <v>3.09690830117203</v>
      </c>
      <c r="AR59" s="11" t="n">
        <f aca="false">Inputs!$F$77*AR47</f>
        <v>0.275565214654034</v>
      </c>
      <c r="AS59" s="11" t="n">
        <f aca="false">Inputs!$F$77*AS47</f>
        <v>0</v>
      </c>
      <c r="AT59" s="11" t="n">
        <f aca="false">Inputs!$F$77*AT47</f>
        <v>0</v>
      </c>
      <c r="AU59" s="11" t="n">
        <f aca="false">Inputs!$F$77*AU47</f>
        <v>0</v>
      </c>
      <c r="AV59" s="11" t="n">
        <f aca="false">Inputs!$F$77*AV47</f>
        <v>0</v>
      </c>
      <c r="AW59" s="11" t="n">
        <f aca="false">Inputs!$F$77*AW47</f>
        <v>0</v>
      </c>
      <c r="AX59" s="11" t="n">
        <f aca="false">Inputs!$F$77*AX47</f>
        <v>0</v>
      </c>
      <c r="AY59" s="11" t="n">
        <f aca="false">Inputs!$F$77*AY47</f>
        <v>0</v>
      </c>
      <c r="AZ59" s="11" t="n">
        <f aca="false">Inputs!$F$77*AZ47</f>
        <v>0</v>
      </c>
      <c r="BA59" s="11" t="n">
        <f aca="false">Inputs!$F$77*BA47</f>
        <v>0</v>
      </c>
      <c r="BB59" s="11" t="n">
        <f aca="false">Inputs!$F$77*BB47</f>
        <v>0</v>
      </c>
      <c r="BC59" s="11" t="n">
        <f aca="false">Inputs!$F$77*BC47</f>
        <v>0</v>
      </c>
      <c r="BD59" s="11" t="n">
        <f aca="false">Inputs!$F$77*BD47</f>
        <v>0</v>
      </c>
      <c r="BE59" s="11" t="n">
        <f aca="false">Inputs!$F$77*BE47</f>
        <v>0</v>
      </c>
      <c r="BF59" s="11" t="n">
        <f aca="false">Inputs!$F$77*BF47</f>
        <v>0</v>
      </c>
      <c r="BG59" s="11" t="n">
        <f aca="false">Inputs!$F$77*BG47</f>
        <v>0</v>
      </c>
      <c r="BH59" s="11" t="n">
        <f aca="false">Inputs!$F$77*BH47</f>
        <v>0</v>
      </c>
      <c r="BI59" s="11" t="n">
        <f aca="false">Inputs!$F$77*BI47</f>
        <v>0</v>
      </c>
      <c r="BJ59" s="11" t="n">
        <f aca="false">Inputs!$F$77*BJ47</f>
        <v>0</v>
      </c>
    </row>
    <row r="60" customFormat="false" ht="15" hidden="false" customHeight="false" outlineLevel="0" collapsed="false">
      <c r="D60" s="0" t="s">
        <v>618</v>
      </c>
      <c r="E60" s="0" t="s">
        <v>149</v>
      </c>
      <c r="G60" s="11" t="n">
        <f aca="false">SUM(J60:BJ60)</f>
        <v>240.637270706254</v>
      </c>
      <c r="J60" s="11" t="n">
        <f aca="false">Inputs!$F$78*J47</f>
        <v>34.2181900281477</v>
      </c>
      <c r="K60" s="11" t="n">
        <f aca="false">Inputs!$F$78*K47</f>
        <v>0.703274559343008</v>
      </c>
      <c r="L60" s="11" t="n">
        <f aca="false">Inputs!$F$78*L47</f>
        <v>0.896468819226226</v>
      </c>
      <c r="M60" s="11" t="n">
        <f aca="false">Inputs!$F$78*M47</f>
        <v>1.2673186201821</v>
      </c>
      <c r="N60" s="11" t="n">
        <f aca="false">Inputs!$F$78*N47</f>
        <v>1.82484471449124</v>
      </c>
      <c r="O60" s="11" t="n">
        <f aca="false">Inputs!$F$78*O47</f>
        <v>2.51465456193335</v>
      </c>
      <c r="P60" s="11" t="n">
        <f aca="false">Inputs!$F$78*P47</f>
        <v>3.28043756924141</v>
      </c>
      <c r="Q60" s="11" t="n">
        <f aca="false">Inputs!$F$78*Q47</f>
        <v>4.16392341832708</v>
      </c>
      <c r="R60" s="11" t="n">
        <f aca="false">Inputs!$F$78*R47</f>
        <v>5.04445238124594</v>
      </c>
      <c r="S60" s="11" t="n">
        <f aca="false">Inputs!$F$78*S47</f>
        <v>5.9410521615867</v>
      </c>
      <c r="T60" s="11" t="n">
        <f aca="false">Inputs!$F$78*T47</f>
        <v>6.78010186867178</v>
      </c>
      <c r="U60" s="11" t="n">
        <f aca="false">Inputs!$F$78*U47</f>
        <v>7.58457467233813</v>
      </c>
      <c r="V60" s="11" t="n">
        <f aca="false">Inputs!$F$78*V47</f>
        <v>8.29186535049565</v>
      </c>
      <c r="W60" s="11" t="n">
        <f aca="false">Inputs!$F$78*W47</f>
        <v>8.8800577924039</v>
      </c>
      <c r="X60" s="11" t="n">
        <f aca="false">Inputs!$F$78*X47</f>
        <v>9.36696924426753</v>
      </c>
      <c r="Y60" s="11" t="n">
        <f aca="false">Inputs!$F$78*Y47</f>
        <v>9.69118874490249</v>
      </c>
      <c r="Z60" s="11" t="n">
        <f aca="false">Inputs!$F$78*Z47</f>
        <v>9.89427674147503</v>
      </c>
      <c r="AA60" s="11" t="n">
        <f aca="false">Inputs!$F$78*AA47</f>
        <v>10.2635416690092</v>
      </c>
      <c r="AB60" s="11" t="n">
        <f aca="false">Inputs!$F$78*AB47</f>
        <v>9.7901474658238</v>
      </c>
      <c r="AC60" s="11" t="n">
        <f aca="false">Inputs!$F$78*AC47</f>
        <v>9.55744682575062</v>
      </c>
      <c r="AD60" s="11" t="n">
        <f aca="false">Inputs!$F$78*AD47</f>
        <v>9.13628398482256</v>
      </c>
      <c r="AE60" s="11" t="n">
        <f aca="false">Inputs!$F$78*AE47</f>
        <v>8.62012929058828</v>
      </c>
      <c r="AF60" s="11" t="n">
        <f aca="false">Inputs!$F$78*AF47</f>
        <v>7.95666528738484</v>
      </c>
      <c r="AG60" s="11" t="n">
        <f aca="false">Inputs!$F$78*AG47</f>
        <v>7.23841935278042</v>
      </c>
      <c r="AH60" s="11" t="n">
        <f aca="false">Inputs!$F$78*AH47</f>
        <v>6.43349220191706</v>
      </c>
      <c r="AI60" s="11" t="n">
        <f aca="false">Inputs!$F$78*AI47</f>
        <v>5.56896250996557</v>
      </c>
      <c r="AJ60" s="11" t="n">
        <f aca="false">Inputs!$F$78*AJ47</f>
        <v>4.73451315589091</v>
      </c>
      <c r="AK60" s="11" t="n">
        <f aca="false">Inputs!$F$78*AK47</f>
        <v>3.88497423262741</v>
      </c>
      <c r="AL60" s="11" t="n">
        <f aca="false">Inputs!$F$78*AL47</f>
        <v>3.13631763055094</v>
      </c>
      <c r="AM60" s="11" t="n">
        <f aca="false">Inputs!$F$78*AM47</f>
        <v>2.46576497176585</v>
      </c>
      <c r="AN60" s="11" t="n">
        <f aca="false">Inputs!$F$78*AN47</f>
        <v>1.86597479935862</v>
      </c>
      <c r="AO60" s="11" t="n">
        <f aca="false">Inputs!$F$78*AO47</f>
        <v>1.55749217596794</v>
      </c>
      <c r="AP60" s="11" t="n">
        <f aca="false">Inputs!$F$78*AP47</f>
        <v>15.2680945436319</v>
      </c>
      <c r="AQ60" s="11" t="n">
        <f aca="false">Inputs!$F$78*AQ47</f>
        <v>11.7682515444537</v>
      </c>
      <c r="AR60" s="11" t="n">
        <f aca="false">Inputs!$F$78*AR47</f>
        <v>1.04714781568533</v>
      </c>
      <c r="AS60" s="11" t="n">
        <f aca="false">Inputs!$F$78*AS47</f>
        <v>0</v>
      </c>
      <c r="AT60" s="11" t="n">
        <f aca="false">Inputs!$F$78*AT47</f>
        <v>0</v>
      </c>
      <c r="AU60" s="11" t="n">
        <f aca="false">Inputs!$F$78*AU47</f>
        <v>0</v>
      </c>
      <c r="AV60" s="11" t="n">
        <f aca="false">Inputs!$F$78*AV47</f>
        <v>0</v>
      </c>
      <c r="AW60" s="11" t="n">
        <f aca="false">Inputs!$F$78*AW47</f>
        <v>0</v>
      </c>
      <c r="AX60" s="11" t="n">
        <f aca="false">Inputs!$F$78*AX47</f>
        <v>0</v>
      </c>
      <c r="AY60" s="11" t="n">
        <f aca="false">Inputs!$F$78*AY47</f>
        <v>0</v>
      </c>
      <c r="AZ60" s="11" t="n">
        <f aca="false">Inputs!$F$78*AZ47</f>
        <v>0</v>
      </c>
      <c r="BA60" s="11" t="n">
        <f aca="false">Inputs!$F$78*BA47</f>
        <v>0</v>
      </c>
      <c r="BB60" s="11" t="n">
        <f aca="false">Inputs!$F$78*BB47</f>
        <v>0</v>
      </c>
      <c r="BC60" s="11" t="n">
        <f aca="false">Inputs!$F$78*BC47</f>
        <v>0</v>
      </c>
      <c r="BD60" s="11" t="n">
        <f aca="false">Inputs!$F$78*BD47</f>
        <v>0</v>
      </c>
      <c r="BE60" s="11" t="n">
        <f aca="false">Inputs!$F$78*BE47</f>
        <v>0</v>
      </c>
      <c r="BF60" s="11" t="n">
        <f aca="false">Inputs!$F$78*BF47</f>
        <v>0</v>
      </c>
      <c r="BG60" s="11" t="n">
        <f aca="false">Inputs!$F$78*BG47</f>
        <v>0</v>
      </c>
      <c r="BH60" s="11" t="n">
        <f aca="false">Inputs!$F$78*BH47</f>
        <v>0</v>
      </c>
      <c r="BI60" s="11" t="n">
        <f aca="false">Inputs!$F$78*BI47</f>
        <v>0</v>
      </c>
      <c r="BJ60" s="11" t="n">
        <f aca="false">Inputs!$F$78*BJ47</f>
        <v>0</v>
      </c>
    </row>
    <row r="61" customFormat="false" ht="15" hidden="false" customHeight="false" outlineLevel="0" collapsed="false">
      <c r="D61" s="0" t="s">
        <v>619</v>
      </c>
      <c r="E61" s="0" t="s">
        <v>149</v>
      </c>
      <c r="J61" s="11" t="n">
        <f aca="false">J28+J57</f>
        <v>27.0143605485376</v>
      </c>
      <c r="K61" s="11" t="n">
        <f aca="false">K28+K57</f>
        <v>27.5695773059137</v>
      </c>
      <c r="L61" s="11" t="n">
        <f aca="false">L28+L57</f>
        <v>28.2773158474081</v>
      </c>
      <c r="M61" s="11" t="n">
        <f aca="false">M28+M57</f>
        <v>29.2778305475518</v>
      </c>
      <c r="N61" s="11" t="n">
        <f aca="false">N28+N57</f>
        <v>30.7184974274133</v>
      </c>
      <c r="O61" s="11" t="n">
        <f aca="false">O28+O57</f>
        <v>32.7037510289397</v>
      </c>
      <c r="P61" s="11" t="n">
        <f aca="false">P28+P57</f>
        <v>35.2935701625513</v>
      </c>
      <c r="Q61" s="11" t="n">
        <f aca="false">Q28+Q57</f>
        <v>38.5808781243885</v>
      </c>
      <c r="R61" s="11" t="n">
        <f aca="false">R28+R57</f>
        <v>42.5633405306353</v>
      </c>
      <c r="S61" s="11" t="n">
        <f aca="false">S28+S57</f>
        <v>47.25364486873</v>
      </c>
      <c r="T61" s="11" t="n">
        <f aca="false">T28+T57</f>
        <v>52.606356870313</v>
      </c>
      <c r="U61" s="11" t="n">
        <f aca="false">U28+U57</f>
        <v>58.5941789800537</v>
      </c>
      <c r="V61" s="11" t="n">
        <f aca="false">V28+V57</f>
        <v>65.1403884672871</v>
      </c>
      <c r="W61" s="11" t="n">
        <f aca="false">W28+W57</f>
        <v>72.1509604086586</v>
      </c>
      <c r="X61" s="11" t="n">
        <f aca="false">X28+X57</f>
        <v>79.5459361278171</v>
      </c>
      <c r="Y61" s="11" t="n">
        <f aca="false">Y28+Y57</f>
        <v>87.1968746106349</v>
      </c>
      <c r="Z61" s="11" t="n">
        <f aca="false">Z28+Z57</f>
        <v>95.0081457223257</v>
      </c>
      <c r="AA61" s="11" t="n">
        <f aca="false">AA28+AA57</f>
        <v>103.110941776807</v>
      </c>
      <c r="AB61" s="11" t="n">
        <f aca="false">AB28+AB57</f>
        <v>110.840005565615</v>
      </c>
      <c r="AC61" s="11" t="n">
        <f aca="false">AC28+AC57</f>
        <v>118.385358322786</v>
      </c>
      <c r="AD61" s="11" t="n">
        <f aca="false">AD28+AD57</f>
        <v>125.598214100278</v>
      </c>
      <c r="AE61" s="11" t="n">
        <f aca="false">AE28+AE57</f>
        <v>132.40357932969</v>
      </c>
      <c r="AF61" s="11" t="n">
        <f aca="false">AF28+AF57</f>
        <v>138.685157188152</v>
      </c>
      <c r="AG61" s="11" t="n">
        <f aca="false">AG28+AG57</f>
        <v>144.399698782452</v>
      </c>
      <c r="AH61" s="11" t="n">
        <f aca="false">AH28+AH57</f>
        <v>149.478771573439</v>
      </c>
      <c r="AI61" s="11" t="n">
        <f aca="false">AI28+AI57</f>
        <v>153.875320923412</v>
      </c>
      <c r="AJ61" s="11" t="n">
        <f aca="false">AJ28+AJ57</f>
        <v>157.613094467536</v>
      </c>
      <c r="AK61" s="11" t="n">
        <f aca="false">AK28+AK57</f>
        <v>160.680179388032</v>
      </c>
      <c r="AL61" s="11" t="n">
        <f aca="false">AL28+AL57</f>
        <v>163.156219622677</v>
      </c>
      <c r="AM61" s="11" t="n">
        <f aca="false">AM28+AM57</f>
        <v>165.102876179334</v>
      </c>
      <c r="AN61" s="11" t="n">
        <f aca="false">AN28+AN57</f>
        <v>166.576014178828</v>
      </c>
      <c r="AO61" s="11" t="n">
        <f aca="false">AO28+AO57</f>
        <v>167.805613265118</v>
      </c>
      <c r="AP61" s="11" t="n">
        <f aca="false">AP28+AP57</f>
        <v>179.859372115354</v>
      </c>
      <c r="AQ61" s="11" t="n">
        <f aca="false">AQ28+AQ57</f>
        <v>189.15009701887</v>
      </c>
      <c r="AR61" s="11" t="n">
        <f aca="false">AR28+AR57</f>
        <v>189.976792662832</v>
      </c>
      <c r="AS61" s="11" t="n">
        <f aca="false">AS28+AS57</f>
        <v>189.976792662832</v>
      </c>
      <c r="AT61" s="11" t="n">
        <f aca="false">AT28+AT57</f>
        <v>189.976792662832</v>
      </c>
      <c r="AU61" s="11" t="n">
        <f aca="false">AU28+AU57</f>
        <v>189.976792662832</v>
      </c>
      <c r="AV61" s="11" t="n">
        <f aca="false">AV28+AV57</f>
        <v>189.976792662832</v>
      </c>
      <c r="AW61" s="11" t="n">
        <f aca="false">AW28+AW57</f>
        <v>189.976792662832</v>
      </c>
      <c r="AX61" s="11" t="n">
        <f aca="false">AX28+AX57</f>
        <v>189.976792662832</v>
      </c>
      <c r="AY61" s="11" t="n">
        <f aca="false">AY28+AY57</f>
        <v>189.976792662832</v>
      </c>
      <c r="AZ61" s="11" t="n">
        <f aca="false">AZ28+AZ57</f>
        <v>189.976792662832</v>
      </c>
      <c r="BA61" s="11" t="n">
        <f aca="false">BA28+BA57</f>
        <v>189.976792662832</v>
      </c>
      <c r="BB61" s="11" t="n">
        <f aca="false">BB28+BB57</f>
        <v>189.976792662832</v>
      </c>
      <c r="BC61" s="11" t="n">
        <f aca="false">BC28+BC57</f>
        <v>189.976792662832</v>
      </c>
      <c r="BD61" s="11" t="n">
        <f aca="false">BD28+BD57</f>
        <v>189.976792662832</v>
      </c>
      <c r="BE61" s="11" t="n">
        <f aca="false">BE28+BE57</f>
        <v>189.976792662832</v>
      </c>
      <c r="BF61" s="11" t="n">
        <f aca="false">BF28+BF57</f>
        <v>189.976792662832</v>
      </c>
      <c r="BG61" s="11" t="n">
        <f aca="false">BG28+BG57</f>
        <v>189.976792662832</v>
      </c>
      <c r="BH61" s="11" t="n">
        <f aca="false">BH28+BH57</f>
        <v>189.976792662832</v>
      </c>
      <c r="BI61" s="11" t="n">
        <f aca="false">BI28+BI57</f>
        <v>189.976792662832</v>
      </c>
      <c r="BJ61" s="11" t="n">
        <f aca="false">BJ28+BJ57</f>
        <v>189.976792662832</v>
      </c>
    </row>
    <row r="62" customFormat="false" ht="15" hidden="false" customHeight="false" outlineLevel="0" collapsed="false">
      <c r="D62" s="0" t="s">
        <v>620</v>
      </c>
      <c r="E62" s="0" t="s">
        <v>149</v>
      </c>
      <c r="J62" s="11" t="n">
        <f aca="false">J29+J58</f>
        <v>19.8105310689276</v>
      </c>
      <c r="K62" s="11" t="n">
        <f aca="false">K29+K58</f>
        <v>20.2176900243367</v>
      </c>
      <c r="L62" s="11" t="n">
        <f aca="false">L29+L58</f>
        <v>20.7366982880993</v>
      </c>
      <c r="M62" s="11" t="n">
        <f aca="false">M29+M58</f>
        <v>21.4704090682047</v>
      </c>
      <c r="N62" s="11" t="n">
        <f aca="false">N29+N58</f>
        <v>22.5268981134365</v>
      </c>
      <c r="O62" s="11" t="n">
        <f aca="false">O29+O58</f>
        <v>23.9827507545558</v>
      </c>
      <c r="P62" s="11" t="n">
        <f aca="false">P29+P58</f>
        <v>25.8819514525376</v>
      </c>
      <c r="Q62" s="11" t="n">
        <f aca="false">Q29+Q58</f>
        <v>28.2926439578849</v>
      </c>
      <c r="R62" s="11" t="n">
        <f aca="false">R29+R58</f>
        <v>31.2131163891325</v>
      </c>
      <c r="S62" s="11" t="n">
        <f aca="false">S29+S58</f>
        <v>34.6526729037354</v>
      </c>
      <c r="T62" s="11" t="n">
        <f aca="false">T29+T58</f>
        <v>38.5779950382296</v>
      </c>
      <c r="U62" s="11" t="n">
        <f aca="false">U29+U58</f>
        <v>42.9690645853727</v>
      </c>
      <c r="V62" s="11" t="n">
        <f aca="false">V29+V58</f>
        <v>47.7696182093439</v>
      </c>
      <c r="W62" s="11" t="n">
        <f aca="false">W29+W58</f>
        <v>52.910704299683</v>
      </c>
      <c r="X62" s="11" t="n">
        <f aca="false">X29+X58</f>
        <v>58.3336864937326</v>
      </c>
      <c r="Y62" s="11" t="n">
        <f aca="false">Y29+Y58</f>
        <v>63.9443747144656</v>
      </c>
      <c r="Z62" s="11" t="n">
        <f aca="false">Z29+Z58</f>
        <v>69.6726401963722</v>
      </c>
      <c r="AA62" s="11" t="n">
        <f aca="false">AA29+AA58</f>
        <v>75.6146906363249</v>
      </c>
      <c r="AB62" s="11" t="n">
        <f aca="false">AB29+AB58</f>
        <v>81.2826707481177</v>
      </c>
      <c r="AC62" s="11" t="n">
        <f aca="false">AC29+AC58</f>
        <v>86.8159294367101</v>
      </c>
      <c r="AD62" s="11" t="n">
        <f aca="false">AD29+AD58</f>
        <v>92.1053570068706</v>
      </c>
      <c r="AE62" s="11" t="n">
        <f aca="false">AE29+AE58</f>
        <v>97.0959581751059</v>
      </c>
      <c r="AF62" s="11" t="n">
        <f aca="false">AF29+AF58</f>
        <v>101.702448604644</v>
      </c>
      <c r="AG62" s="11" t="n">
        <f aca="false">AG29+AG58</f>
        <v>105.893112440465</v>
      </c>
      <c r="AH62" s="11" t="n">
        <f aca="false">AH29+AH58</f>
        <v>109.617765820522</v>
      </c>
      <c r="AI62" s="11" t="n">
        <f aca="false">AI29+AI58</f>
        <v>112.841902010502</v>
      </c>
      <c r="AJ62" s="11" t="n">
        <f aca="false">AJ29+AJ58</f>
        <v>115.58293594286</v>
      </c>
      <c r="AK62" s="11" t="n">
        <f aca="false">AK29+AK58</f>
        <v>117.832131551223</v>
      </c>
      <c r="AL62" s="11" t="n">
        <f aca="false">AL29+AL58</f>
        <v>119.647894389963</v>
      </c>
      <c r="AM62" s="11" t="n">
        <f aca="false">AM29+AM58</f>
        <v>121.075442531512</v>
      </c>
      <c r="AN62" s="11" t="n">
        <f aca="false">AN29+AN58</f>
        <v>122.155743731141</v>
      </c>
      <c r="AO62" s="11" t="n">
        <f aca="false">AO29+AO58</f>
        <v>123.057449727754</v>
      </c>
      <c r="AP62" s="11" t="n">
        <f aca="false">AP29+AP58</f>
        <v>131.896872884593</v>
      </c>
      <c r="AQ62" s="11" t="n">
        <f aca="false">AQ29+AQ58</f>
        <v>138.710071147171</v>
      </c>
      <c r="AR62" s="11" t="n">
        <f aca="false">AR29+AR58</f>
        <v>139.31631461941</v>
      </c>
      <c r="AS62" s="11" t="n">
        <f aca="false">AS29+AS58</f>
        <v>139.31631461941</v>
      </c>
      <c r="AT62" s="11" t="n">
        <f aca="false">AT29+AT58</f>
        <v>139.31631461941</v>
      </c>
      <c r="AU62" s="11" t="n">
        <f aca="false">AU29+AU58</f>
        <v>139.31631461941</v>
      </c>
      <c r="AV62" s="11" t="n">
        <f aca="false">AV29+AV58</f>
        <v>139.31631461941</v>
      </c>
      <c r="AW62" s="11" t="n">
        <f aca="false">AW29+AW58</f>
        <v>139.31631461941</v>
      </c>
      <c r="AX62" s="11" t="n">
        <f aca="false">AX29+AX58</f>
        <v>139.31631461941</v>
      </c>
      <c r="AY62" s="11" t="n">
        <f aca="false">AY29+AY58</f>
        <v>139.31631461941</v>
      </c>
      <c r="AZ62" s="11" t="n">
        <f aca="false">AZ29+AZ58</f>
        <v>139.31631461941</v>
      </c>
      <c r="BA62" s="11" t="n">
        <f aca="false">BA29+BA58</f>
        <v>139.31631461941</v>
      </c>
      <c r="BB62" s="11" t="n">
        <f aca="false">BB29+BB58</f>
        <v>139.31631461941</v>
      </c>
      <c r="BC62" s="11" t="n">
        <f aca="false">BC29+BC58</f>
        <v>139.31631461941</v>
      </c>
      <c r="BD62" s="11" t="n">
        <f aca="false">BD29+BD58</f>
        <v>139.31631461941</v>
      </c>
      <c r="BE62" s="11" t="n">
        <f aca="false">BE29+BE58</f>
        <v>139.31631461941</v>
      </c>
      <c r="BF62" s="11" t="n">
        <f aca="false">BF29+BF58</f>
        <v>139.31631461941</v>
      </c>
      <c r="BG62" s="11" t="n">
        <f aca="false">BG29+BG58</f>
        <v>139.31631461941</v>
      </c>
      <c r="BH62" s="11" t="n">
        <f aca="false">BH29+BH58</f>
        <v>139.31631461941</v>
      </c>
      <c r="BI62" s="11" t="n">
        <f aca="false">BI29+BI58</f>
        <v>139.31631461941</v>
      </c>
      <c r="BJ62" s="11" t="n">
        <f aca="false">BJ29+BJ58</f>
        <v>139.31631461941</v>
      </c>
    </row>
    <row r="63" customFormat="false" ht="15" hidden="false" customHeight="false" outlineLevel="0" collapsed="false">
      <c r="D63" s="0" t="s">
        <v>621</v>
      </c>
      <c r="E63" s="0" t="s">
        <v>149</v>
      </c>
      <c r="J63" s="11" t="n">
        <f aca="false">J30+J59</f>
        <v>9.00478684951255</v>
      </c>
      <c r="K63" s="11" t="n">
        <f aca="false">K30+K59</f>
        <v>9.18985910197123</v>
      </c>
      <c r="L63" s="11" t="n">
        <f aca="false">L30+L59</f>
        <v>9.42577194913603</v>
      </c>
      <c r="M63" s="11" t="n">
        <f aca="false">M30+M59</f>
        <v>9.75927684918395</v>
      </c>
      <c r="N63" s="11" t="n">
        <f aca="false">N30+N59</f>
        <v>10.2394991424711</v>
      </c>
      <c r="O63" s="11" t="n">
        <f aca="false">O30+O59</f>
        <v>10.9012503429799</v>
      </c>
      <c r="P63" s="11" t="n">
        <f aca="false">P30+P59</f>
        <v>11.7645233875171</v>
      </c>
      <c r="Q63" s="11" t="n">
        <f aca="false">Q30+Q59</f>
        <v>12.8602927081295</v>
      </c>
      <c r="R63" s="11" t="n">
        <f aca="false">R30+R59</f>
        <v>14.1877801768784</v>
      </c>
      <c r="S63" s="11" t="n">
        <f aca="false">S30+S59</f>
        <v>15.7512149562433</v>
      </c>
      <c r="T63" s="11" t="n">
        <f aca="false">T30+T59</f>
        <v>17.5354522901043</v>
      </c>
      <c r="U63" s="11" t="n">
        <f aca="false">U30+U59</f>
        <v>19.5313929933512</v>
      </c>
      <c r="V63" s="11" t="n">
        <f aca="false">V30+V59</f>
        <v>21.713462822429</v>
      </c>
      <c r="W63" s="11" t="n">
        <f aca="false">W30+W59</f>
        <v>24.0503201362195</v>
      </c>
      <c r="X63" s="11" t="n">
        <f aca="false">X30+X59</f>
        <v>26.5153120426057</v>
      </c>
      <c r="Y63" s="11" t="n">
        <f aca="false">Y30+Y59</f>
        <v>29.0656248702116</v>
      </c>
      <c r="Z63" s="11" t="n">
        <f aca="false">Z30+Z59</f>
        <v>31.6693819074419</v>
      </c>
      <c r="AA63" s="11" t="n">
        <f aca="false">AA30+AA59</f>
        <v>34.3703139256022</v>
      </c>
      <c r="AB63" s="11" t="n">
        <f aca="false">AB30+AB59</f>
        <v>36.9466685218717</v>
      </c>
      <c r="AC63" s="11" t="n">
        <f aca="false">AC30+AC59</f>
        <v>39.4617861075955</v>
      </c>
      <c r="AD63" s="11" t="n">
        <f aca="false">AD30+AD59</f>
        <v>41.8660713667593</v>
      </c>
      <c r="AE63" s="11" t="n">
        <f aca="false">AE30+AE59</f>
        <v>44.1345264432299</v>
      </c>
      <c r="AF63" s="11" t="n">
        <f aca="false">AF30+AF59</f>
        <v>46.2283857293838</v>
      </c>
      <c r="AG63" s="11" t="n">
        <f aca="false">AG30+AG59</f>
        <v>48.1332329274839</v>
      </c>
      <c r="AH63" s="11" t="n">
        <f aca="false">AH30+AH59</f>
        <v>49.8262571911463</v>
      </c>
      <c r="AI63" s="11" t="n">
        <f aca="false">AI30+AI59</f>
        <v>51.2917736411373</v>
      </c>
      <c r="AJ63" s="11" t="n">
        <f aca="false">AJ30+AJ59</f>
        <v>52.5376981558454</v>
      </c>
      <c r="AK63" s="11" t="n">
        <f aca="false">AK30+AK59</f>
        <v>53.5600597960105</v>
      </c>
      <c r="AL63" s="11" t="n">
        <f aca="false">AL30+AL59</f>
        <v>54.3854065408923</v>
      </c>
      <c r="AM63" s="11" t="n">
        <f aca="false">AM30+AM59</f>
        <v>55.0342920597781</v>
      </c>
      <c r="AN63" s="11" t="n">
        <f aca="false">AN30+AN59</f>
        <v>55.5253380596093</v>
      </c>
      <c r="AO63" s="11" t="n">
        <f aca="false">AO30+AO59</f>
        <v>55.9352044217061</v>
      </c>
      <c r="AP63" s="11" t="n">
        <f aca="false">AP30+AP59</f>
        <v>59.9531240384514</v>
      </c>
      <c r="AQ63" s="11" t="n">
        <f aca="false">AQ30+AQ59</f>
        <v>63.0500323396234</v>
      </c>
      <c r="AR63" s="11" t="n">
        <f aca="false">AR30+AR59</f>
        <v>63.3255975542774</v>
      </c>
      <c r="AS63" s="11" t="n">
        <f aca="false">AS30+AS59</f>
        <v>63.3255975542774</v>
      </c>
      <c r="AT63" s="11" t="n">
        <f aca="false">AT30+AT59</f>
        <v>63.3255975542774</v>
      </c>
      <c r="AU63" s="11" t="n">
        <f aca="false">AU30+AU59</f>
        <v>63.3255975542774</v>
      </c>
      <c r="AV63" s="11" t="n">
        <f aca="false">AV30+AV59</f>
        <v>63.3255975542774</v>
      </c>
      <c r="AW63" s="11" t="n">
        <f aca="false">AW30+AW59</f>
        <v>63.3255975542774</v>
      </c>
      <c r="AX63" s="11" t="n">
        <f aca="false">AX30+AX59</f>
        <v>63.3255975542774</v>
      </c>
      <c r="AY63" s="11" t="n">
        <f aca="false">AY30+AY59</f>
        <v>63.3255975542774</v>
      </c>
      <c r="AZ63" s="11" t="n">
        <f aca="false">AZ30+AZ59</f>
        <v>63.3255975542774</v>
      </c>
      <c r="BA63" s="11" t="n">
        <f aca="false">BA30+BA59</f>
        <v>63.3255975542774</v>
      </c>
      <c r="BB63" s="11" t="n">
        <f aca="false">BB30+BB59</f>
        <v>63.3255975542774</v>
      </c>
      <c r="BC63" s="11" t="n">
        <f aca="false">BC30+BC59</f>
        <v>63.3255975542774</v>
      </c>
      <c r="BD63" s="11" t="n">
        <f aca="false">BD30+BD59</f>
        <v>63.3255975542774</v>
      </c>
      <c r="BE63" s="11" t="n">
        <f aca="false">BE30+BE59</f>
        <v>63.3255975542774</v>
      </c>
      <c r="BF63" s="11" t="n">
        <f aca="false">BF30+BF59</f>
        <v>63.3255975542774</v>
      </c>
      <c r="BG63" s="11" t="n">
        <f aca="false">BG30+BG59</f>
        <v>63.3255975542774</v>
      </c>
      <c r="BH63" s="11" t="n">
        <f aca="false">BH30+BH59</f>
        <v>63.3255975542774</v>
      </c>
      <c r="BI63" s="11" t="n">
        <f aca="false">BI30+BI59</f>
        <v>63.3255975542774</v>
      </c>
      <c r="BJ63" s="11" t="n">
        <f aca="false">BJ30+BJ59</f>
        <v>63.3255975542774</v>
      </c>
    </row>
    <row r="64" customFormat="false" ht="15" hidden="false" customHeight="false" outlineLevel="0" collapsed="false">
      <c r="D64" s="0" t="s">
        <v>622</v>
      </c>
      <c r="E64" s="0" t="s">
        <v>149</v>
      </c>
      <c r="J64" s="11" t="n">
        <f aca="false">J31+J60</f>
        <v>34.2181900281477</v>
      </c>
      <c r="K64" s="11" t="n">
        <f aca="false">K31+K60</f>
        <v>34.9214645874907</v>
      </c>
      <c r="L64" s="11" t="n">
        <f aca="false">L31+L60</f>
        <v>35.8179334067169</v>
      </c>
      <c r="M64" s="11" t="n">
        <f aca="false">M31+M60</f>
        <v>37.085252026899</v>
      </c>
      <c r="N64" s="11" t="n">
        <f aca="false">N31+N60</f>
        <v>38.9100967413902</v>
      </c>
      <c r="O64" s="11" t="n">
        <f aca="false">O31+O60</f>
        <v>41.4247513033236</v>
      </c>
      <c r="P64" s="11" t="n">
        <f aca="false">P31+P60</f>
        <v>44.705188872565</v>
      </c>
      <c r="Q64" s="11" t="n">
        <f aca="false">Q31+Q60</f>
        <v>48.8691122908921</v>
      </c>
      <c r="R64" s="11" t="n">
        <f aca="false">R31+R60</f>
        <v>53.913564672138</v>
      </c>
      <c r="S64" s="11" t="n">
        <f aca="false">S31+S60</f>
        <v>59.8546168337247</v>
      </c>
      <c r="T64" s="11" t="n">
        <f aca="false">T31+T60</f>
        <v>66.6347187023965</v>
      </c>
      <c r="U64" s="11" t="n">
        <f aca="false">U31+U60</f>
        <v>74.2192933747346</v>
      </c>
      <c r="V64" s="11" t="n">
        <f aca="false">V31+V60</f>
        <v>82.5111587252303</v>
      </c>
      <c r="W64" s="11" t="n">
        <f aca="false">W31+W60</f>
        <v>91.3912165176342</v>
      </c>
      <c r="X64" s="11" t="n">
        <f aca="false">X31+X60</f>
        <v>100.758185761902</v>
      </c>
      <c r="Y64" s="11" t="n">
        <f aca="false">Y31+Y60</f>
        <v>110.449374506804</v>
      </c>
      <c r="Z64" s="11" t="n">
        <f aca="false">Z31+Z60</f>
        <v>120.343651248279</v>
      </c>
      <c r="AA64" s="11" t="n">
        <f aca="false">AA31+AA60</f>
        <v>130.607192917288</v>
      </c>
      <c r="AB64" s="11" t="n">
        <f aca="false">AB31+AB60</f>
        <v>140.397340383112</v>
      </c>
      <c r="AC64" s="11" t="n">
        <f aca="false">AC31+AC60</f>
        <v>149.954787208863</v>
      </c>
      <c r="AD64" s="11" t="n">
        <f aca="false">AD31+AD60</f>
        <v>159.091071193685</v>
      </c>
      <c r="AE64" s="11" t="n">
        <f aca="false">AE31+AE60</f>
        <v>167.711200484274</v>
      </c>
      <c r="AF64" s="11" t="n">
        <f aca="false">AF31+AF60</f>
        <v>175.667865771659</v>
      </c>
      <c r="AG64" s="11" t="n">
        <f aca="false">AG31+AG60</f>
        <v>182.906285124439</v>
      </c>
      <c r="AH64" s="11" t="n">
        <f aca="false">AH31+AH60</f>
        <v>189.339777326356</v>
      </c>
      <c r="AI64" s="11" t="n">
        <f aca="false">AI31+AI60</f>
        <v>194.908739836322</v>
      </c>
      <c r="AJ64" s="11" t="n">
        <f aca="false">AJ31+AJ60</f>
        <v>199.643252992213</v>
      </c>
      <c r="AK64" s="11" t="n">
        <f aca="false">AK31+AK60</f>
        <v>203.52822722484</v>
      </c>
      <c r="AL64" s="11" t="n">
        <f aca="false">AL31+AL60</f>
        <v>206.664544855391</v>
      </c>
      <c r="AM64" s="11" t="n">
        <f aca="false">AM31+AM60</f>
        <v>209.130309827157</v>
      </c>
      <c r="AN64" s="11" t="n">
        <f aca="false">AN31+AN60</f>
        <v>210.996284626515</v>
      </c>
      <c r="AO64" s="11" t="n">
        <f aca="false">AO31+AO60</f>
        <v>212.553776802483</v>
      </c>
      <c r="AP64" s="11" t="n">
        <f aca="false">AP31+AP60</f>
        <v>227.821871346115</v>
      </c>
      <c r="AQ64" s="11" t="n">
        <f aca="false">AQ31+AQ60</f>
        <v>239.590122890569</v>
      </c>
      <c r="AR64" s="11" t="n">
        <f aca="false">AR31+AR60</f>
        <v>240.637270706254</v>
      </c>
      <c r="AS64" s="11" t="n">
        <f aca="false">AS31+AS60</f>
        <v>240.637270706254</v>
      </c>
      <c r="AT64" s="11" t="n">
        <f aca="false">AT31+AT60</f>
        <v>240.637270706254</v>
      </c>
      <c r="AU64" s="11" t="n">
        <f aca="false">AU31+AU60</f>
        <v>240.637270706254</v>
      </c>
      <c r="AV64" s="11" t="n">
        <f aca="false">AV31+AV60</f>
        <v>240.637270706254</v>
      </c>
      <c r="AW64" s="11" t="n">
        <f aca="false">AW31+AW60</f>
        <v>240.637270706254</v>
      </c>
      <c r="AX64" s="11" t="n">
        <f aca="false">AX31+AX60</f>
        <v>240.637270706254</v>
      </c>
      <c r="AY64" s="11" t="n">
        <f aca="false">AY31+AY60</f>
        <v>240.637270706254</v>
      </c>
      <c r="AZ64" s="11" t="n">
        <f aca="false">AZ31+AZ60</f>
        <v>240.637270706254</v>
      </c>
      <c r="BA64" s="11" t="n">
        <f aca="false">BA31+BA60</f>
        <v>240.637270706254</v>
      </c>
      <c r="BB64" s="11" t="n">
        <f aca="false">BB31+BB60</f>
        <v>240.637270706254</v>
      </c>
      <c r="BC64" s="11" t="n">
        <f aca="false">BC31+BC60</f>
        <v>240.637270706254</v>
      </c>
      <c r="BD64" s="11" t="n">
        <f aca="false">BD31+BD60</f>
        <v>240.637270706254</v>
      </c>
      <c r="BE64" s="11" t="n">
        <f aca="false">BE31+BE60</f>
        <v>240.637270706254</v>
      </c>
      <c r="BF64" s="11" t="n">
        <f aca="false">BF31+BF60</f>
        <v>240.637270706254</v>
      </c>
      <c r="BG64" s="11" t="n">
        <f aca="false">BG31+BG60</f>
        <v>240.637270706254</v>
      </c>
      <c r="BH64" s="11" t="n">
        <f aca="false">BH31+BH60</f>
        <v>240.637270706254</v>
      </c>
      <c r="BI64" s="11" t="n">
        <f aca="false">BI31+BI60</f>
        <v>240.637270706254</v>
      </c>
      <c r="BJ64" s="11" t="n">
        <f aca="false">BJ31+BJ60</f>
        <v>240.637270706254</v>
      </c>
    </row>
    <row r="65" customFormat="false" ht="15" hidden="false" customHeight="false" outlineLevel="0" collapsed="false">
      <c r="D65" s="0" t="s">
        <v>623</v>
      </c>
      <c r="E65" s="0" t="s">
        <v>149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1.74223968585352E-011</v>
      </c>
      <c r="AS65" s="11" t="n">
        <f aca="false">AS32+AS55</f>
        <v>1.74223968585352E-011</v>
      </c>
      <c r="AT65" s="11" t="n">
        <f aca="false">AT32+AT55</f>
        <v>1.74223968585352E-011</v>
      </c>
      <c r="AU65" s="11" t="n">
        <f aca="false">AU32+AU55</f>
        <v>1.74223968585352E-011</v>
      </c>
      <c r="AV65" s="11" t="n">
        <f aca="false">AV32+AV55</f>
        <v>1.74223968585352E-011</v>
      </c>
      <c r="AW65" s="11" t="n">
        <f aca="false">AW32+AW55</f>
        <v>1.74223968585352E-011</v>
      </c>
      <c r="AX65" s="11" t="n">
        <f aca="false">AX32+AX55</f>
        <v>1.74223968585352E-011</v>
      </c>
      <c r="AY65" s="11" t="n">
        <f aca="false">AY32+AY55</f>
        <v>1.74223968585352E-011</v>
      </c>
      <c r="AZ65" s="11" t="n">
        <f aca="false">AZ32+AZ55</f>
        <v>1.74223968585352E-011</v>
      </c>
      <c r="BA65" s="11" t="n">
        <f aca="false">BA32+BA55</f>
        <v>1.74223968585352E-011</v>
      </c>
      <c r="BB65" s="11" t="n">
        <f aca="false">BB32+BB55</f>
        <v>1.74223968585352E-011</v>
      </c>
      <c r="BC65" s="11" t="n">
        <f aca="false">BC32+BC55</f>
        <v>1.74223968585352E-011</v>
      </c>
      <c r="BD65" s="11" t="n">
        <f aca="false">BD32+BD55</f>
        <v>1.74223968585352E-011</v>
      </c>
      <c r="BE65" s="11" t="n">
        <f aca="false">BE32+BE55</f>
        <v>1.74223968585352E-011</v>
      </c>
      <c r="BF65" s="11" t="n">
        <f aca="false">BF32+BF55</f>
        <v>1.74223968585352E-011</v>
      </c>
      <c r="BG65" s="11" t="n">
        <f aca="false">BG32+BG55</f>
        <v>1.74223968585352E-011</v>
      </c>
      <c r="BH65" s="11" t="n">
        <f aca="false">BH32+BH55</f>
        <v>1.74223968585352E-011</v>
      </c>
      <c r="BI65" s="11" t="n">
        <f aca="false">BI32+BI55</f>
        <v>1.74223968585352E-011</v>
      </c>
      <c r="BJ65" s="11" t="n">
        <f aca="false">BJ32+BJ55</f>
        <v>1.74223968585352E-011</v>
      </c>
    </row>
    <row r="66" customFormat="false" ht="15" hidden="false" customHeight="false" outlineLevel="0" collapsed="false">
      <c r="B66" s="2" t="s">
        <v>624</v>
      </c>
    </row>
    <row r="67" customFormat="false" ht="15" hidden="false" customHeight="false" outlineLevel="0" collapsed="false">
      <c r="D67" s="0" t="s">
        <v>625</v>
      </c>
      <c r="E67" s="0" t="s">
        <v>149</v>
      </c>
      <c r="G67" s="11" t="n">
        <f aca="false">SUM(J67:BJ67)</f>
        <v>221.833767584057</v>
      </c>
      <c r="J67" s="11" t="n">
        <f aca="false">J50-J47+J56</f>
        <v>31.5443654741124</v>
      </c>
      <c r="K67" s="11" t="n">
        <f aca="false">K50-K47+K56</f>
        <v>0.648320373179076</v>
      </c>
      <c r="L67" s="11" t="n">
        <f aca="false">L50-L47+L56</f>
        <v>0.826418347859906</v>
      </c>
      <c r="M67" s="11" t="n">
        <f aca="false">M50-M47+M56</f>
        <v>1.16828978079458</v>
      </c>
      <c r="N67" s="11" t="n">
        <f aca="false">N50-N47+N56</f>
        <v>1.68225053867731</v>
      </c>
      <c r="O67" s="11" t="n">
        <f aca="false">O50-O47+O56</f>
        <v>2.31815833851875</v>
      </c>
      <c r="P67" s="11" t="n">
        <f aca="false">P50-P47+P56</f>
        <v>3.0241027217991</v>
      </c>
      <c r="Q67" s="11" t="n">
        <f aca="false">Q50-Q47+Q56</f>
        <v>3.83855259456677</v>
      </c>
      <c r="R67" s="11" t="n">
        <f aca="false">R50-R47+R56</f>
        <v>4.6502766335649</v>
      </c>
      <c r="S67" s="11" t="n">
        <f aca="false">S50-S47+S56</f>
        <v>5.47681570917974</v>
      </c>
      <c r="T67" s="11" t="n">
        <f aca="false">T50-T47+T56</f>
        <v>6.25030169980247</v>
      </c>
      <c r="U67" s="11" t="n">
        <f aca="false">U50-U47+U56</f>
        <v>6.99191264158404</v>
      </c>
      <c r="V67" s="11" t="n">
        <f aca="false">V50-V47+V56</f>
        <v>7.6439353122712</v>
      </c>
      <c r="W67" s="11" t="n">
        <f aca="false">W50-W47+W56</f>
        <v>8.18616613574263</v>
      </c>
      <c r="X67" s="11" t="n">
        <f aca="false">X50-X47+X56</f>
        <v>8.63503011067768</v>
      </c>
      <c r="Y67" s="11" t="n">
        <f aca="false">Y50-Y47+Y56</f>
        <v>8.93391495565196</v>
      </c>
      <c r="Z67" s="11" t="n">
        <f aca="false">Z50-Z47+Z56</f>
        <v>9.1211335660466</v>
      </c>
      <c r="AA67" s="11" t="n">
        <f aca="false">AA50-AA47+AA56</f>
        <v>9.46154396827212</v>
      </c>
      <c r="AB67" s="11" t="n">
        <f aca="false">AB50-AB47+AB56</f>
        <v>9.0251409982049</v>
      </c>
      <c r="AC67" s="11" t="n">
        <f aca="false">AC50-AC47+AC56</f>
        <v>8.81062368941417</v>
      </c>
      <c r="AD67" s="11" t="n">
        <f aca="false">AD50-AD47+AD56</f>
        <v>8.42237069977848</v>
      </c>
      <c r="AE67" s="11" t="n">
        <f aca="false">AE50-AE47+AE56</f>
        <v>7.9465485624091</v>
      </c>
      <c r="AF67" s="11" t="n">
        <f aca="false">AF50-AF47+AF56</f>
        <v>7.33492793084585</v>
      </c>
      <c r="AG67" s="11" t="n">
        <f aca="false">AG50-AG47+AG56</f>
        <v>6.67280605231224</v>
      </c>
      <c r="AH67" s="11" t="n">
        <f aca="false">AH50-AH47+AH56</f>
        <v>5.93077626622527</v>
      </c>
      <c r="AI67" s="11" t="n">
        <f aca="false">AI50-AI47+AI56</f>
        <v>5.13380130806101</v>
      </c>
      <c r="AJ67" s="11" t="n">
        <f aca="false">AJ50-AJ47+AJ56</f>
        <v>4.36455619682293</v>
      </c>
      <c r="AK67" s="11" t="n">
        <f aca="false">AK50-AK47+AK56</f>
        <v>3.58140062202883</v>
      </c>
      <c r="AL67" s="11" t="n">
        <f aca="false">AL50-AL47+AL56</f>
        <v>2.89124437907497</v>
      </c>
      <c r="AM67" s="11" t="n">
        <f aca="false">AM50-AM47+AM56</f>
        <v>2.27308900262301</v>
      </c>
      <c r="AN67" s="11" t="n">
        <f aca="false">AN50-AN47+AN56</f>
        <v>1.72016670046058</v>
      </c>
      <c r="AO67" s="11" t="n">
        <f aca="false">AO50-AO47+AO56</f>
        <v>1.43578904615905</v>
      </c>
      <c r="AP67" s="11" t="n">
        <f aca="false">AP50-AP47+AP56</f>
        <v>14.0750388603677</v>
      </c>
      <c r="AQ67" s="11" t="n">
        <f aca="false">AQ50-AQ47+AQ56</f>
        <v>10.8486751462942</v>
      </c>
      <c r="AR67" s="11" t="n">
        <f aca="false">AR50-AR47+AR56</f>
        <v>0.965323220673674</v>
      </c>
      <c r="AS67" s="11" t="n">
        <f aca="false">AS50-AS47+AS56</f>
        <v>0</v>
      </c>
      <c r="AT67" s="11" t="n">
        <f aca="false">AT50-AT47+AT56</f>
        <v>0</v>
      </c>
      <c r="AU67" s="11" t="n">
        <f aca="false">AU50-AU47+AU56</f>
        <v>0</v>
      </c>
      <c r="AV67" s="11" t="n">
        <f aca="false">AV50-AV47+AV56</f>
        <v>0</v>
      </c>
      <c r="AW67" s="11" t="n">
        <f aca="false">AW50-AW47+AW56</f>
        <v>0</v>
      </c>
      <c r="AX67" s="11" t="n">
        <f aca="false">AX50-AX47+AX56</f>
        <v>0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626</v>
      </c>
      <c r="E68" s="0" t="s">
        <v>149</v>
      </c>
      <c r="G68" s="11" t="n">
        <f aca="false">SUM(J68:BJ68)</f>
        <v>207.633767584057</v>
      </c>
      <c r="J68" s="11" t="n">
        <f aca="false">J67-IF(Construction!J8=1,Inputs!$F$68,0)</f>
        <v>17.3443654741124</v>
      </c>
      <c r="K68" s="11" t="n">
        <f aca="false">K67-IF(Construction!K8=1,Inputs!$F$68,0)</f>
        <v>0.648320373179076</v>
      </c>
      <c r="L68" s="11" t="n">
        <f aca="false">L67-IF(Construction!L8=1,Inputs!$F$68,0)</f>
        <v>0.826418347859906</v>
      </c>
      <c r="M68" s="11" t="n">
        <f aca="false">M67-IF(Construction!M8=1,Inputs!$F$68,0)</f>
        <v>1.16828978079458</v>
      </c>
      <c r="N68" s="11" t="n">
        <f aca="false">N67-IF(Construction!N8=1,Inputs!$F$68,0)</f>
        <v>1.68225053867731</v>
      </c>
      <c r="O68" s="11" t="n">
        <f aca="false">O67-IF(Construction!O8=1,Inputs!$F$68,0)</f>
        <v>2.31815833851875</v>
      </c>
      <c r="P68" s="11" t="n">
        <f aca="false">P67-IF(Construction!P8=1,Inputs!$F$68,0)</f>
        <v>3.0241027217991</v>
      </c>
      <c r="Q68" s="11" t="n">
        <f aca="false">Q67-IF(Construction!Q8=1,Inputs!$F$68,0)</f>
        <v>3.83855259456677</v>
      </c>
      <c r="R68" s="11" t="n">
        <f aca="false">R67-IF(Construction!R8=1,Inputs!$F$68,0)</f>
        <v>4.6502766335649</v>
      </c>
      <c r="S68" s="11" t="n">
        <f aca="false">S67-IF(Construction!S8=1,Inputs!$F$68,0)</f>
        <v>5.47681570917974</v>
      </c>
      <c r="T68" s="11" t="n">
        <f aca="false">T67-IF(Construction!T8=1,Inputs!$F$68,0)</f>
        <v>6.25030169980247</v>
      </c>
      <c r="U68" s="11" t="n">
        <f aca="false">U67-IF(Construction!U8=1,Inputs!$F$68,0)</f>
        <v>6.99191264158404</v>
      </c>
      <c r="V68" s="11" t="n">
        <f aca="false">V67-IF(Construction!V8=1,Inputs!$F$68,0)</f>
        <v>7.6439353122712</v>
      </c>
      <c r="W68" s="11" t="n">
        <f aca="false">W67-IF(Construction!W8=1,Inputs!$F$68,0)</f>
        <v>8.18616613574263</v>
      </c>
      <c r="X68" s="11" t="n">
        <f aca="false">X67-IF(Construction!X8=1,Inputs!$F$68,0)</f>
        <v>8.63503011067768</v>
      </c>
      <c r="Y68" s="11" t="n">
        <f aca="false">Y67-IF(Construction!Y8=1,Inputs!$F$68,0)</f>
        <v>8.93391495565196</v>
      </c>
      <c r="Z68" s="11" t="n">
        <f aca="false">Z67-IF(Construction!Z8=1,Inputs!$F$68,0)</f>
        <v>9.1211335660466</v>
      </c>
      <c r="AA68" s="11" t="n">
        <f aca="false">AA67-IF(Construction!AA8=1,Inputs!$F$68,0)</f>
        <v>9.46154396827212</v>
      </c>
      <c r="AB68" s="11" t="n">
        <f aca="false">AB67-IF(Construction!AB8=1,Inputs!$F$68,0)</f>
        <v>9.0251409982049</v>
      </c>
      <c r="AC68" s="11" t="n">
        <f aca="false">AC67-IF(Construction!AC8=1,Inputs!$F$68,0)</f>
        <v>8.81062368941417</v>
      </c>
      <c r="AD68" s="11" t="n">
        <f aca="false">AD67-IF(Construction!AD8=1,Inputs!$F$68,0)</f>
        <v>8.42237069977848</v>
      </c>
      <c r="AE68" s="11" t="n">
        <f aca="false">AE67-IF(Construction!AE8=1,Inputs!$F$68,0)</f>
        <v>7.9465485624091</v>
      </c>
      <c r="AF68" s="11" t="n">
        <f aca="false">AF67-IF(Construction!AF8=1,Inputs!$F$68,0)</f>
        <v>7.33492793084585</v>
      </c>
      <c r="AG68" s="11" t="n">
        <f aca="false">AG67-IF(Construction!AG8=1,Inputs!$F$68,0)</f>
        <v>6.67280605231224</v>
      </c>
      <c r="AH68" s="11" t="n">
        <f aca="false">AH67-IF(Construction!AH8=1,Inputs!$F$68,0)</f>
        <v>5.93077626622527</v>
      </c>
      <c r="AI68" s="11" t="n">
        <f aca="false">AI67-IF(Construction!AI8=1,Inputs!$F$68,0)</f>
        <v>5.13380130806101</v>
      </c>
      <c r="AJ68" s="11" t="n">
        <f aca="false">AJ67-IF(Construction!AJ8=1,Inputs!$F$68,0)</f>
        <v>4.36455619682293</v>
      </c>
      <c r="AK68" s="11" t="n">
        <f aca="false">AK67-IF(Construction!AK8=1,Inputs!$F$68,0)</f>
        <v>3.58140062202883</v>
      </c>
      <c r="AL68" s="11" t="n">
        <f aca="false">AL67-IF(Construction!AL8=1,Inputs!$F$68,0)</f>
        <v>2.89124437907497</v>
      </c>
      <c r="AM68" s="11" t="n">
        <f aca="false">AM67-IF(Construction!AM8=1,Inputs!$F$68,0)</f>
        <v>2.27308900262301</v>
      </c>
      <c r="AN68" s="11" t="n">
        <f aca="false">AN67-IF(Construction!AN8=1,Inputs!$F$68,0)</f>
        <v>1.72016670046058</v>
      </c>
      <c r="AO68" s="11" t="n">
        <f aca="false">AO67-IF(Construction!AO8=1,Inputs!$F$68,0)</f>
        <v>1.43578904615905</v>
      </c>
      <c r="AP68" s="11" t="n">
        <f aca="false">AP67-IF(Construction!AP8=1,Inputs!$F$68,0)</f>
        <v>14.0750388603677</v>
      </c>
      <c r="AQ68" s="11" t="n">
        <f aca="false">AQ67-IF(Construction!AQ8=1,Inputs!$F$68,0)</f>
        <v>10.8486751462942</v>
      </c>
      <c r="AR68" s="11" t="n">
        <f aca="false">AR67-IF(Construction!AR8=1,Inputs!$F$68,0)</f>
        <v>0.965323220673674</v>
      </c>
      <c r="AS68" s="11" t="n">
        <f aca="false">AS67-IF(Construction!AS8=1,Inputs!$F$68,0)</f>
        <v>0</v>
      </c>
      <c r="AT68" s="11" t="n">
        <f aca="false">AT67-IF(Construction!AT8=1,Inputs!$F$68,0)</f>
        <v>0</v>
      </c>
      <c r="AU68" s="11" t="n">
        <f aca="false">AU67-IF(Construction!AU8=1,Inputs!$F$68,0)</f>
        <v>0</v>
      </c>
      <c r="AV68" s="11" t="n">
        <f aca="false">AV67-IF(Construction!AV8=1,Inputs!$F$68,0)</f>
        <v>0</v>
      </c>
      <c r="AW68" s="11" t="n">
        <f aca="false">AW67-IF(Construction!AW8=1,Inputs!$F$68,0)</f>
        <v>0</v>
      </c>
      <c r="AX68" s="11" t="n">
        <f aca="false">AX67-IF(Construction!AX8=1,Inputs!$F$68,0)</f>
        <v>0</v>
      </c>
      <c r="AY68" s="11" t="n">
        <f aca="false">AY67-IF(Construction!AY8=1,Inputs!$F$68,0)</f>
        <v>0</v>
      </c>
      <c r="AZ68" s="11" t="n">
        <f aca="false">AZ67-IF(Construction!AZ8=1,Inputs!$F$68,0)</f>
        <v>0</v>
      </c>
      <c r="BA68" s="11" t="n">
        <f aca="false">BA67-IF(Construction!BA8=1,Inputs!$F$68,0)</f>
        <v>0</v>
      </c>
      <c r="BB68" s="11" t="n">
        <f aca="false">BB67-IF(Construction!BB8=1,Inputs!$F$68,0)</f>
        <v>0</v>
      </c>
      <c r="BC68" s="11" t="n">
        <f aca="false">BC67-IF(Construction!BC8=1,Inputs!$F$68,0)</f>
        <v>0</v>
      </c>
      <c r="BD68" s="11" t="n">
        <f aca="false">BD67-IF(Construction!BD8=1,Inputs!$F$68,0)</f>
        <v>0</v>
      </c>
      <c r="BE68" s="11" t="n">
        <f aca="false">BE67-IF(Construction!BE8=1,Inputs!$F$68,0)</f>
        <v>0</v>
      </c>
      <c r="BF68" s="11" t="n">
        <f aca="false">BF67-IF(Construction!BF8=1,Inputs!$F$68,0)</f>
        <v>0</v>
      </c>
      <c r="BG68" s="11" t="n">
        <f aca="false">BG67-IF(Construction!BG8=1,Inputs!$F$68,0)</f>
        <v>0</v>
      </c>
      <c r="BH68" s="11" t="n">
        <f aca="false">BH67-IF(Construction!BH8=1,Inputs!$F$68,0)</f>
        <v>0</v>
      </c>
      <c r="BI68" s="11" t="n">
        <f aca="false">BI67-IF(Construction!BI8=1,Inputs!$F$68,0)</f>
        <v>0</v>
      </c>
      <c r="BJ68" s="11" t="n">
        <f aca="false">BJ67-IF(Construction!BJ8=1,Inputs!$F$68,0)</f>
        <v>0</v>
      </c>
    </row>
    <row r="69" customFormat="false" ht="15" hidden="false" customHeight="false" outlineLevel="0" collapsed="false">
      <c r="D69" s="0" t="s">
        <v>627</v>
      </c>
      <c r="E69" s="0" t="s">
        <v>149</v>
      </c>
      <c r="G69" s="11" t="n">
        <f aca="false">SUM(J69:BJ69)</f>
        <v>44.3667535168114</v>
      </c>
      <c r="J69" s="11" t="n">
        <f aca="false">(1-Inputs!$F$53)*J67</f>
        <v>6.30887309482249</v>
      </c>
      <c r="K69" s="11" t="n">
        <f aca="false">(1-Inputs!$F$53)*K67</f>
        <v>0.129664074635815</v>
      </c>
      <c r="L69" s="11" t="n">
        <f aca="false">(1-Inputs!$F$53)*L67</f>
        <v>0.165283669571981</v>
      </c>
      <c r="M69" s="11" t="n">
        <f aca="false">(1-Inputs!$F$53)*M67</f>
        <v>0.233657956158916</v>
      </c>
      <c r="N69" s="11" t="n">
        <f aca="false">(1-Inputs!$F$53)*N67</f>
        <v>0.336450107735463</v>
      </c>
      <c r="O69" s="11" t="n">
        <f aca="false">(1-Inputs!$F$53)*O67</f>
        <v>0.463631667703751</v>
      </c>
      <c r="P69" s="11" t="n">
        <f aca="false">(1-Inputs!$F$53)*P67</f>
        <v>0.60482054435982</v>
      </c>
      <c r="Q69" s="11" t="n">
        <f aca="false">(1-Inputs!$F$53)*Q67</f>
        <v>0.767710518913354</v>
      </c>
      <c r="R69" s="11" t="n">
        <f aca="false">(1-Inputs!$F$53)*R67</f>
        <v>0.93005532671298</v>
      </c>
      <c r="S69" s="11" t="n">
        <f aca="false">(1-Inputs!$F$53)*S67</f>
        <v>1.09536314183595</v>
      </c>
      <c r="T69" s="11" t="n">
        <f aca="false">(1-Inputs!$F$53)*T67</f>
        <v>1.25006033996049</v>
      </c>
      <c r="U69" s="11" t="n">
        <f aca="false">(1-Inputs!$F$53)*U67</f>
        <v>1.39838252831681</v>
      </c>
      <c r="V69" s="11" t="n">
        <f aca="false">(1-Inputs!$F$53)*V67</f>
        <v>1.52878706245424</v>
      </c>
      <c r="W69" s="11" t="n">
        <f aca="false">(1-Inputs!$F$53)*W67</f>
        <v>1.63723322714853</v>
      </c>
      <c r="X69" s="11" t="n">
        <f aca="false">(1-Inputs!$F$53)*X67</f>
        <v>1.72700602213553</v>
      </c>
      <c r="Y69" s="11" t="n">
        <f aca="false">(1-Inputs!$F$53)*Y67</f>
        <v>1.78678299113039</v>
      </c>
      <c r="Z69" s="11" t="n">
        <f aca="false">(1-Inputs!$F$53)*Z67</f>
        <v>1.82422671320932</v>
      </c>
      <c r="AA69" s="11" t="n">
        <f aca="false">(1-Inputs!$F$53)*AA67</f>
        <v>1.89230879365442</v>
      </c>
      <c r="AB69" s="11" t="n">
        <f aca="false">(1-Inputs!$F$53)*AB67</f>
        <v>1.80502819964098</v>
      </c>
      <c r="AC69" s="11" t="n">
        <f aca="false">(1-Inputs!$F$53)*AC67</f>
        <v>1.76212473788283</v>
      </c>
      <c r="AD69" s="11" t="n">
        <f aca="false">(1-Inputs!$F$53)*AD67</f>
        <v>1.6844741399557</v>
      </c>
      <c r="AE69" s="11" t="n">
        <f aca="false">(1-Inputs!$F$53)*AE67</f>
        <v>1.58930971248182</v>
      </c>
      <c r="AF69" s="11" t="n">
        <f aca="false">(1-Inputs!$F$53)*AF67</f>
        <v>1.46698558616917</v>
      </c>
      <c r="AG69" s="11" t="n">
        <f aca="false">(1-Inputs!$F$53)*AG67</f>
        <v>1.33456121046245</v>
      </c>
      <c r="AH69" s="11" t="n">
        <f aca="false">(1-Inputs!$F$53)*AH67</f>
        <v>1.18615525324505</v>
      </c>
      <c r="AI69" s="11" t="n">
        <f aca="false">(1-Inputs!$F$53)*AI67</f>
        <v>1.0267602616122</v>
      </c>
      <c r="AJ69" s="11" t="n">
        <f aca="false">(1-Inputs!$F$53)*AJ67</f>
        <v>0.872911239364585</v>
      </c>
      <c r="AK69" s="11" t="n">
        <f aca="false">(1-Inputs!$F$53)*AK67</f>
        <v>0.716280124405765</v>
      </c>
      <c r="AL69" s="11" t="n">
        <f aca="false">(1-Inputs!$F$53)*AL67</f>
        <v>0.578248875814994</v>
      </c>
      <c r="AM69" s="11" t="n">
        <f aca="false">(1-Inputs!$F$53)*AM67</f>
        <v>0.454617800524601</v>
      </c>
      <c r="AN69" s="11" t="n">
        <f aca="false">(1-Inputs!$F$53)*AN67</f>
        <v>0.344033340092117</v>
      </c>
      <c r="AO69" s="11" t="n">
        <f aca="false">(1-Inputs!$F$53)*AO67</f>
        <v>0.28715780923181</v>
      </c>
      <c r="AP69" s="11" t="n">
        <f aca="false">(1-Inputs!$F$53)*AP67</f>
        <v>2.81500777207354</v>
      </c>
      <c r="AQ69" s="11" t="n">
        <f aca="false">(1-Inputs!$F$53)*AQ67</f>
        <v>2.16973502925883</v>
      </c>
      <c r="AR69" s="11" t="n">
        <f aca="false">(1-Inputs!$F$53)*AR67</f>
        <v>0.193064644134735</v>
      </c>
      <c r="AS69" s="11" t="n">
        <f aca="false">(1-Inputs!$F$53)*AS67</f>
        <v>0</v>
      </c>
      <c r="AT69" s="11" t="n">
        <f aca="false">(1-Inputs!$F$53)*AT67</f>
        <v>0</v>
      </c>
      <c r="AU69" s="11" t="n">
        <f aca="false">(1-Inputs!$F$53)*AU67</f>
        <v>0</v>
      </c>
      <c r="AV69" s="11" t="n">
        <f aca="false">(1-Inputs!$F$53)*AV67</f>
        <v>0</v>
      </c>
      <c r="AW69" s="11" t="n">
        <f aca="false">(1-Inputs!$F$53)*AW67</f>
        <v>0</v>
      </c>
      <c r="AX69" s="11" t="n">
        <f aca="false">(1-Inputs!$F$53)*AX67</f>
        <v>0</v>
      </c>
      <c r="AY69" s="11" t="n">
        <f aca="false">(1-Inputs!$F$53)*AY67</f>
        <v>0</v>
      </c>
      <c r="AZ69" s="11" t="n">
        <f aca="false">(1-Inputs!$F$53)*AZ67</f>
        <v>0</v>
      </c>
      <c r="BA69" s="11" t="n">
        <f aca="false">(1-Inputs!$F$53)*BA67</f>
        <v>0</v>
      </c>
      <c r="BB69" s="11" t="n">
        <f aca="false">(1-Inputs!$F$53)*BB67</f>
        <v>0</v>
      </c>
      <c r="BC69" s="11" t="n">
        <f aca="false">(1-Inputs!$F$53)*BC67</f>
        <v>0</v>
      </c>
      <c r="BD69" s="11" t="n">
        <f aca="false">(1-Inputs!$F$53)*BD67</f>
        <v>0</v>
      </c>
      <c r="BE69" s="11" t="n">
        <f aca="false">(1-Inputs!$F$53)*BE67</f>
        <v>0</v>
      </c>
      <c r="BF69" s="11" t="n">
        <f aca="false">(1-Inputs!$F$53)*BF67</f>
        <v>0</v>
      </c>
      <c r="BG69" s="11" t="n">
        <f aca="false">(1-Inputs!$F$53)*BG67</f>
        <v>0</v>
      </c>
      <c r="BH69" s="11" t="n">
        <f aca="false">(1-Inputs!$F$53)*BH67</f>
        <v>0</v>
      </c>
      <c r="BI69" s="11" t="n">
        <f aca="false">(1-Inputs!$F$53)*BI67</f>
        <v>0</v>
      </c>
      <c r="BJ69" s="11" t="n">
        <f aca="false">(1-Inputs!$F$53)*BJ67</f>
        <v>0</v>
      </c>
    </row>
    <row r="70" customFormat="false" ht="15" hidden="false" customHeight="false" outlineLevel="0" collapsed="false">
      <c r="D70" s="0" t="s">
        <v>628</v>
      </c>
      <c r="E70" s="0" t="s">
        <v>149</v>
      </c>
      <c r="G70" s="11" t="n">
        <f aca="false">SUM(J70:BJ70)</f>
        <v>177.467014067246</v>
      </c>
      <c r="J70" s="11" t="n">
        <f aca="false">Inputs!$F$53*J67</f>
        <v>25.23549237929</v>
      </c>
      <c r="K70" s="11" t="n">
        <f aca="false">Inputs!$F$53*K67</f>
        <v>0.518656298543261</v>
      </c>
      <c r="L70" s="11" t="n">
        <f aca="false">Inputs!$F$53*L67</f>
        <v>0.661134678287925</v>
      </c>
      <c r="M70" s="11" t="n">
        <f aca="false">Inputs!$F$53*M67</f>
        <v>0.934631824635666</v>
      </c>
      <c r="N70" s="11" t="n">
        <f aca="false">Inputs!$F$53*N67</f>
        <v>1.34580043094185</v>
      </c>
      <c r="O70" s="11" t="n">
        <f aca="false">Inputs!$F$53*O67</f>
        <v>1.854526670815</v>
      </c>
      <c r="P70" s="11" t="n">
        <f aca="false">Inputs!$F$53*P67</f>
        <v>2.41928217743928</v>
      </c>
      <c r="Q70" s="11" t="n">
        <f aca="false">Inputs!$F$53*Q67</f>
        <v>3.07084207565342</v>
      </c>
      <c r="R70" s="11" t="n">
        <f aca="false">Inputs!$F$53*R67</f>
        <v>3.72022130685192</v>
      </c>
      <c r="S70" s="11" t="n">
        <f aca="false">Inputs!$F$53*S67</f>
        <v>4.38145256734379</v>
      </c>
      <c r="T70" s="11" t="n">
        <f aca="false">Inputs!$F$53*T67</f>
        <v>5.00024135984198</v>
      </c>
      <c r="U70" s="11" t="n">
        <f aca="false">Inputs!$F$53*U67</f>
        <v>5.59353011326724</v>
      </c>
      <c r="V70" s="11" t="n">
        <f aca="false">Inputs!$F$53*V67</f>
        <v>6.11514824981696</v>
      </c>
      <c r="W70" s="11" t="n">
        <f aca="false">Inputs!$F$53*W67</f>
        <v>6.54893290859411</v>
      </c>
      <c r="X70" s="11" t="n">
        <f aca="false">Inputs!$F$53*X67</f>
        <v>6.90802408854214</v>
      </c>
      <c r="Y70" s="11" t="n">
        <f aca="false">Inputs!$F$53*Y67</f>
        <v>7.14713196452157</v>
      </c>
      <c r="Z70" s="11" t="n">
        <f aca="false">Inputs!$F$53*Z67</f>
        <v>7.29690685283728</v>
      </c>
      <c r="AA70" s="11" t="n">
        <f aca="false">Inputs!$F$53*AA67</f>
        <v>7.5692351746177</v>
      </c>
      <c r="AB70" s="11" t="n">
        <f aca="false">Inputs!$F$53*AB67</f>
        <v>7.22011279856392</v>
      </c>
      <c r="AC70" s="11" t="n">
        <f aca="false">Inputs!$F$53*AC67</f>
        <v>7.04849895153134</v>
      </c>
      <c r="AD70" s="11" t="n">
        <f aca="false">Inputs!$F$53*AD67</f>
        <v>6.73789655982279</v>
      </c>
      <c r="AE70" s="11" t="n">
        <f aca="false">Inputs!$F$53*AE67</f>
        <v>6.35723884992728</v>
      </c>
      <c r="AF70" s="11" t="n">
        <f aca="false">Inputs!$F$53*AF67</f>
        <v>5.86794234467668</v>
      </c>
      <c r="AG70" s="11" t="n">
        <f aca="false">Inputs!$F$53*AG67</f>
        <v>5.33824484184979</v>
      </c>
      <c r="AH70" s="11" t="n">
        <f aca="false">Inputs!$F$53*AH67</f>
        <v>4.74462101298021</v>
      </c>
      <c r="AI70" s="11" t="n">
        <f aca="false">Inputs!$F$53*AI67</f>
        <v>4.10704104644881</v>
      </c>
      <c r="AJ70" s="11" t="n">
        <f aca="false">Inputs!$F$53*AJ67</f>
        <v>3.49164495745834</v>
      </c>
      <c r="AK70" s="11" t="n">
        <f aca="false">Inputs!$F$53*AK67</f>
        <v>2.86512049762306</v>
      </c>
      <c r="AL70" s="11" t="n">
        <f aca="false">Inputs!$F$53*AL67</f>
        <v>2.31299550325998</v>
      </c>
      <c r="AM70" s="11" t="n">
        <f aca="false">Inputs!$F$53*AM67</f>
        <v>1.8184712020984</v>
      </c>
      <c r="AN70" s="11" t="n">
        <f aca="false">Inputs!$F$53*AN67</f>
        <v>1.37613336036847</v>
      </c>
      <c r="AO70" s="11" t="n">
        <f aca="false">Inputs!$F$53*AO67</f>
        <v>1.14863123692724</v>
      </c>
      <c r="AP70" s="11" t="n">
        <f aca="false">Inputs!$F$53*AP67</f>
        <v>11.2600310882942</v>
      </c>
      <c r="AQ70" s="11" t="n">
        <f aca="false">Inputs!$F$53*AQ67</f>
        <v>8.67894011703532</v>
      </c>
      <c r="AR70" s="11" t="n">
        <f aca="false">Inputs!$F$53*AR67</f>
        <v>0.772258576538939</v>
      </c>
      <c r="AS70" s="11" t="n">
        <f aca="false">Inputs!$F$53*AS67</f>
        <v>0</v>
      </c>
      <c r="AT70" s="11" t="n">
        <f aca="false">Inputs!$F$53*AT67</f>
        <v>0</v>
      </c>
      <c r="AU70" s="11" t="n">
        <f aca="false">Inputs!$F$53*AU67</f>
        <v>0</v>
      </c>
      <c r="AV70" s="11" t="n">
        <f aca="false">Inputs!$F$53*AV67</f>
        <v>0</v>
      </c>
      <c r="AW70" s="11" t="n">
        <f aca="false">Inputs!$F$53*AW67</f>
        <v>0</v>
      </c>
      <c r="AX70" s="11" t="n">
        <f aca="false">Inputs!$F$53*AX67</f>
        <v>0</v>
      </c>
      <c r="AY70" s="11" t="n">
        <f aca="false">Inputs!$F$53*AY67</f>
        <v>0</v>
      </c>
      <c r="AZ70" s="11" t="n">
        <f aca="false">Inputs!$F$53*AZ67</f>
        <v>0</v>
      </c>
      <c r="BA70" s="11" t="n">
        <f aca="false">Inputs!$F$53*BA67</f>
        <v>0</v>
      </c>
      <c r="BB70" s="11" t="n">
        <f aca="false">Inputs!$F$53*BB67</f>
        <v>0</v>
      </c>
      <c r="BC70" s="11" t="n">
        <f aca="false">Inputs!$F$53*BC67</f>
        <v>0</v>
      </c>
      <c r="BD70" s="11" t="n">
        <f aca="false">Inputs!$F$53*BD67</f>
        <v>0</v>
      </c>
      <c r="BE70" s="11" t="n">
        <f aca="false">Inputs!$F$53*BE67</f>
        <v>0</v>
      </c>
      <c r="BF70" s="11" t="n">
        <f aca="false">Inputs!$F$53*BF67</f>
        <v>0</v>
      </c>
      <c r="BG70" s="11" t="n">
        <f aca="false">Inputs!$F$53*BG67</f>
        <v>0</v>
      </c>
      <c r="BH70" s="11" t="n">
        <f aca="false">Inputs!$F$53*BH67</f>
        <v>0</v>
      </c>
      <c r="BI70" s="11" t="n">
        <f aca="false">Inputs!$F$53*BI67</f>
        <v>0</v>
      </c>
      <c r="BJ70" s="11" t="n">
        <f aca="false">Inputs!$F$53*BJ67</f>
        <v>0</v>
      </c>
    </row>
    <row r="71" customFormat="false" ht="15" hidden="false" customHeight="false" outlineLevel="0" collapsed="false">
      <c r="D71" s="0" t="s">
        <v>629</v>
      </c>
      <c r="E71" s="0" t="s">
        <v>149</v>
      </c>
      <c r="G71" s="11" t="n">
        <f aca="false">SUM(J71:BJ71)</f>
        <v>24.1927046575272</v>
      </c>
      <c r="J71" s="11" t="n">
        <f aca="false">IF(Construction!J8&lt;=Time!$F$10,0*Inputs!$F$104/100*Construction!J11/365,0)</f>
        <v>0</v>
      </c>
      <c r="K71" s="11" t="n">
        <f aca="false">IF(Construction!K8&lt;=Time!$F$10,J72*Inputs!$F$104/100*Construction!K11/365,0)</f>
        <v>0.197044255564319</v>
      </c>
      <c r="L71" s="11" t="n">
        <f aca="false">IF(Construction!L8&lt;=Time!$F$10,K72*Inputs!$F$104/100*Construction!L11/365,0)</f>
        <v>0.209387022435221</v>
      </c>
      <c r="M71" s="11" t="n">
        <f aca="false">IF(Construction!M8&lt;=Time!$F$10,L72*Inputs!$F$104/100*Construction!M11/365,0)</f>
        <v>0.209429826595189</v>
      </c>
      <c r="N71" s="11" t="n">
        <f aca="false">IF(Construction!N8&lt;=Time!$F$10,M72*Inputs!$F$104/100*Construction!N11/365,0)</f>
        <v>0.225641674411946</v>
      </c>
      <c r="O71" s="11" t="n">
        <f aca="false">IF(Construction!O8&lt;=Time!$F$10,N72*Inputs!$F$104/100*Construction!O11/365,0)</f>
        <v>0.238320844275691</v>
      </c>
      <c r="P71" s="11" t="n">
        <f aca="false">IF(Construction!P8&lt;=Time!$F$10,O72*Inputs!$F$104/100*Construction!P11/365,0)</f>
        <v>0.230509521395664</v>
      </c>
      <c r="Q71" s="11" t="n">
        <f aca="false">IF(Construction!Q8&lt;=Time!$F$10,P72*Inputs!$F$104/100*Construction!Q11/365,0)</f>
        <v>0.27658679628942</v>
      </c>
      <c r="R71" s="11" t="n">
        <f aca="false">IF(Construction!R8&lt;=Time!$F$10,Q72*Inputs!$F$104/100*Construction!R11/365,0)</f>
        <v>0.293802099885576</v>
      </c>
      <c r="S71" s="11" t="n">
        <f aca="false">IF(Construction!S8&lt;=Time!$F$10,R72*Inputs!$F$104/100*Construction!S11/365,0)</f>
        <v>0.335982623579046</v>
      </c>
      <c r="T71" s="11" t="n">
        <f aca="false">IF(Construction!T8&lt;=Time!$F$10,S72*Inputs!$F$104/100*Construction!T11/365,0)</f>
        <v>0.361979242360458</v>
      </c>
      <c r="U71" s="11" t="n">
        <f aca="false">IF(Construction!U8&lt;=Time!$F$10,T72*Inputs!$F$104/100*Construction!U11/365,0)</f>
        <v>0.417310257307139</v>
      </c>
      <c r="V71" s="11" t="n">
        <f aca="false">IF(Construction!V8&lt;=Time!$F$10,U72*Inputs!$F$104/100*Construction!V11/365,0)</f>
        <v>0.465808681666979</v>
      </c>
      <c r="W71" s="11" t="n">
        <f aca="false">IF(Construction!W8&lt;=Time!$F$10,V72*Inputs!$F$104/100*Construction!W11/365,0)</f>
        <v>0.502168149284138</v>
      </c>
      <c r="X71" s="11" t="n">
        <f aca="false">IF(Construction!X8&lt;=Time!$F$10,W72*Inputs!$F$104/100*Construction!X11/365,0)</f>
        <v>0.575798848183887</v>
      </c>
      <c r="Y71" s="11" t="n">
        <f aca="false">IF(Construction!Y8&lt;=Time!$F$10,X72*Inputs!$F$104/100*Construction!Y11/365,0)</f>
        <v>0.615660021570774</v>
      </c>
      <c r="Z71" s="11" t="n">
        <f aca="false">IF(Construction!Z8&lt;=Time!$F$10,Y72*Inputs!$F$104/100*Construction!Z11/365,0)</f>
        <v>0.698816056259778</v>
      </c>
      <c r="AA71" s="11" t="n">
        <f aca="false">IF(Construction!AA8&lt;=Time!$F$10,Z72*Inputs!$F$104/100*Construction!AA11/365,0)</f>
        <v>0.763329491786602</v>
      </c>
      <c r="AB71" s="11" t="n">
        <f aca="false">IF(Construction!AB8&lt;=Time!$F$10,AA72*Inputs!$F$104/100*Construction!AB11/365,0)</f>
        <v>0.776976169323503</v>
      </c>
      <c r="AC71" s="11" t="n">
        <f aca="false">IF(Construction!AC8&lt;=Time!$F$10,AB72*Inputs!$F$104/100*Construction!AC11/365,0)</f>
        <v>0.895085190287942</v>
      </c>
      <c r="AD71" s="11" t="n">
        <f aca="false">IF(Construction!AD8&lt;=Time!$F$10,AC72*Inputs!$F$104/100*Construction!AD11/365,0)</f>
        <v>0.928236720511065</v>
      </c>
      <c r="AE71" s="11" t="n">
        <f aca="false">IF(Construction!AE8&lt;=Time!$F$10,AD72*Inputs!$F$104/100*Construction!AE11/365,0)</f>
        <v>1.02103208839271</v>
      </c>
      <c r="AF71" s="11" t="n">
        <f aca="false">IF(Construction!AF8&lt;=Time!$F$10,AE72*Inputs!$F$104/100*Construction!AF11/365,0)</f>
        <v>1.04570672605398</v>
      </c>
      <c r="AG71" s="11" t="n">
        <f aca="false">IF(Construction!AG8&lt;=Time!$F$10,AF72*Inputs!$F$104/100*Construction!AG11/365,0)</f>
        <v>1.13634634709587</v>
      </c>
      <c r="AH71" s="11" t="n">
        <f aca="false">IF(Construction!AH8&lt;=Time!$F$10,AG72*Inputs!$F$104/100*Construction!AH11/365,0)</f>
        <v>1.18858654175737</v>
      </c>
      <c r="AI71" s="11" t="n">
        <f aca="false">IF(Construction!AI8&lt;=Time!$F$10,AH72*Inputs!$F$104/100*Construction!AI11/365,0)</f>
        <v>1.1965728254268</v>
      </c>
      <c r="AJ71" s="11" t="n">
        <f aca="false">IF(Construction!AJ8&lt;=Time!$F$10,AI72*Inputs!$F$104/100*Construction!AJ11/365,0)</f>
        <v>1.27925075847347</v>
      </c>
      <c r="AK71" s="11" t="n">
        <f aca="false">IF(Construction!AK8&lt;=Time!$F$10,AJ72*Inputs!$F$104/100*Construction!AK11/365,0)</f>
        <v>1.27523680440009</v>
      </c>
      <c r="AL71" s="11" t="n">
        <f aca="false">IF(Construction!AL8&lt;=Time!$F$10,AK72*Inputs!$F$104/100*Construction!AL11/365,0)</f>
        <v>1.35115114241285</v>
      </c>
      <c r="AM71" s="11" t="n">
        <f aca="false">IF(Construction!AM8&lt;=Time!$F$10,AL72*Inputs!$F$104/100*Construction!AM11/365,0)</f>
        <v>1.38071528452657</v>
      </c>
      <c r="AN71" s="11" t="n">
        <f aca="false">IF(Construction!AN8&lt;=Time!$F$10,AM72*Inputs!$F$104/100*Construction!AN11/365,0)</f>
        <v>1.27041229567377</v>
      </c>
      <c r="AO71" s="11" t="n">
        <f aca="false">IF(Construction!AO8&lt;=Time!$F$10,AN72*Inputs!$F$104/100*Construction!AO11/365,0)</f>
        <v>1.42788153428042</v>
      </c>
      <c r="AP71" s="11" t="n">
        <f aca="false">IF(Construction!AP8&lt;=Time!$F$10,AO72*Inputs!$F$104/100*Construction!AP11/365,0)</f>
        <v>1.40193881605893</v>
      </c>
      <c r="AQ71" s="11" t="n">
        <f aca="false">IF(Construction!AQ8&lt;=Time!$F$10,AP72*Inputs!$F$104/100*Construction!AQ11/365,0)</f>
        <v>0</v>
      </c>
      <c r="AR71" s="11" t="n">
        <f aca="false">IF(Construction!AR8&lt;=Time!$F$10,AQ72*Inputs!$F$104/100*Construction!AR11/365,0)</f>
        <v>0</v>
      </c>
      <c r="AS71" s="11" t="n">
        <f aca="false">IF(Construction!AS8&lt;=Time!$F$10,AR72*Inputs!$F$104/100*Construction!AS11/365,0)</f>
        <v>0</v>
      </c>
      <c r="AT71" s="11" t="n">
        <f aca="false">IF(Construction!AT8&lt;=Time!$F$10,AS72*Inputs!$F$104/100*Construction!AT11/365,0)</f>
        <v>0</v>
      </c>
      <c r="AU71" s="11" t="n">
        <f aca="false">IF(Construction!AU8&lt;=Time!$F$10,AT72*Inputs!$F$104/100*Construction!AU11/365,0)</f>
        <v>0</v>
      </c>
      <c r="AV71" s="11" t="n">
        <f aca="false">IF(Construction!AV8&lt;=Time!$F$10,AU72*Inputs!$F$104/100*Construction!AV11/365,0)</f>
        <v>0</v>
      </c>
      <c r="AW71" s="11" t="n">
        <f aca="false">IF(Construction!AW8&lt;=Time!$F$10,AV72*Inputs!$F$104/100*Construction!AW11/365,0)</f>
        <v>0</v>
      </c>
      <c r="AX71" s="11" t="n">
        <f aca="false">IF(Construction!AX8&lt;=Time!$F$10,AW72*Inputs!$F$104/100*Construction!AX11/365,0)</f>
        <v>0</v>
      </c>
      <c r="AY71" s="11" t="n">
        <f aca="false">IF(Construction!AY8&lt;=Time!$F$10,AX72*Inputs!$F$104/100*Construction!AY11/365,0)</f>
        <v>0</v>
      </c>
      <c r="AZ71" s="11" t="n">
        <f aca="false">IF(Construction!AZ8&lt;=Time!$F$10,AY72*Inputs!$F$104/100*Construction!AZ11/365,0)</f>
        <v>0</v>
      </c>
      <c r="BA71" s="11" t="n">
        <f aca="false">IF(Construction!BA8&lt;=Time!$F$10,AZ72*Inputs!$F$104/100*Construction!BA11/365,0)</f>
        <v>0</v>
      </c>
      <c r="BB71" s="11" t="n">
        <f aca="false">IF(Construction!BB8&lt;=Time!$F$10,BA72*Inputs!$F$104/100*Construction!BB11/365,0)</f>
        <v>0</v>
      </c>
      <c r="BC71" s="11" t="n">
        <f aca="false">IF(Construction!BC8&lt;=Time!$F$10,BB72*Inputs!$F$104/100*Construction!BC11/365,0)</f>
        <v>0</v>
      </c>
      <c r="BD71" s="11" t="n">
        <f aca="false">IF(Construction!BD8&lt;=Time!$F$10,BC72*Inputs!$F$104/100*Construction!BD11/365,0)</f>
        <v>0</v>
      </c>
      <c r="BE71" s="11" t="n">
        <f aca="false">IF(Construction!BE8&lt;=Time!$F$10,BD72*Inputs!$F$104/100*Construction!BE11/365,0)</f>
        <v>0</v>
      </c>
      <c r="BF71" s="11" t="n">
        <f aca="false">IF(Construction!BF8&lt;=Time!$F$10,BE72*Inputs!$F$104/100*Construction!BF11/365,0)</f>
        <v>0</v>
      </c>
      <c r="BG71" s="11" t="n">
        <f aca="false">IF(Construction!BG8&lt;=Time!$F$10,BF72*Inputs!$F$104/100*Construction!BG11/365,0)</f>
        <v>0</v>
      </c>
      <c r="BH71" s="11" t="n">
        <f aca="false">IF(Construction!BH8&lt;=Time!$F$10,BG72*Inputs!$F$104/100*Construction!BH11/365,0)</f>
        <v>0</v>
      </c>
      <c r="BI71" s="11" t="n">
        <f aca="false">IF(Construction!BI8&lt;=Time!$F$10,BH72*Inputs!$F$104/100*Construction!BI11/365,0)</f>
        <v>0</v>
      </c>
      <c r="BJ71" s="11" t="n">
        <f aca="false">IF(Construction!BJ8&lt;=Time!$F$10,BI72*Inputs!$F$104/100*Construction!BJ11/365,0)</f>
        <v>0</v>
      </c>
    </row>
    <row r="72" customFormat="false" ht="15" hidden="false" customHeight="false" outlineLevel="0" collapsed="false">
      <c r="D72" s="0" t="s">
        <v>630</v>
      </c>
      <c r="E72" s="0" t="s">
        <v>149</v>
      </c>
      <c r="J72" s="11" t="n">
        <f aca="false">0+J71+J70</f>
        <v>25.23549237929</v>
      </c>
      <c r="K72" s="11" t="n">
        <f aca="false">J72+K71+K70</f>
        <v>25.9511929333975</v>
      </c>
      <c r="L72" s="11" t="n">
        <f aca="false">K72+L71+L70</f>
        <v>26.8217146341207</v>
      </c>
      <c r="M72" s="11" t="n">
        <f aca="false">L72+M71+M70</f>
        <v>27.9657762853515</v>
      </c>
      <c r="N72" s="11" t="n">
        <f aca="false">M72+N71+N70</f>
        <v>29.5372183907053</v>
      </c>
      <c r="O72" s="11" t="n">
        <f aca="false">N72+O71+O70</f>
        <v>31.630065905796</v>
      </c>
      <c r="P72" s="11" t="n">
        <f aca="false">O72+P71+P70</f>
        <v>34.279857604631</v>
      </c>
      <c r="Q72" s="11" t="n">
        <f aca="false">P72+Q71+Q70</f>
        <v>37.6272864765738</v>
      </c>
      <c r="R72" s="11" t="n">
        <f aca="false">Q72+R71+R70</f>
        <v>41.6413098833113</v>
      </c>
      <c r="S72" s="11" t="n">
        <f aca="false">R72+S71+S70</f>
        <v>46.3587450742341</v>
      </c>
      <c r="T72" s="11" t="n">
        <f aca="false">S72+T71+T70</f>
        <v>51.7209656764366</v>
      </c>
      <c r="U72" s="11" t="n">
        <f aca="false">T72+U71+U70</f>
        <v>57.7318060470109</v>
      </c>
      <c r="V72" s="11" t="n">
        <f aca="false">U72+V71+V70</f>
        <v>64.3127629784949</v>
      </c>
      <c r="W72" s="11" t="n">
        <f aca="false">V72+W71+W70</f>
        <v>71.3638640363731</v>
      </c>
      <c r="X72" s="11" t="n">
        <f aca="false">W72+X71+X70</f>
        <v>78.8476869730991</v>
      </c>
      <c r="Y72" s="11" t="n">
        <f aca="false">X72+Y71+Y70</f>
        <v>86.6104789591915</v>
      </c>
      <c r="Z72" s="11" t="n">
        <f aca="false">Y72+Z71+Z70</f>
        <v>94.6062018682885</v>
      </c>
      <c r="AA72" s="11" t="n">
        <f aca="false">Z72+AA71+AA70</f>
        <v>102.938766534693</v>
      </c>
      <c r="AB72" s="11" t="n">
        <f aca="false">AA72+AB71+AB70</f>
        <v>110.93585550258</v>
      </c>
      <c r="AC72" s="11" t="n">
        <f aca="false">AB72+AC71+AC70</f>
        <v>118.8794396444</v>
      </c>
      <c r="AD72" s="11" t="n">
        <f aca="false">AC72+AD71+AD70</f>
        <v>126.545572924733</v>
      </c>
      <c r="AE72" s="11" t="n">
        <f aca="false">AD72+AE71+AE70</f>
        <v>133.923843863053</v>
      </c>
      <c r="AF72" s="11" t="n">
        <f aca="false">AE72+AF71+AF70</f>
        <v>140.837492933784</v>
      </c>
      <c r="AG72" s="11" t="n">
        <f aca="false">AF72+AG71+AG70</f>
        <v>147.31208412273</v>
      </c>
      <c r="AH72" s="11" t="n">
        <f aca="false">AG72+AH71+AH70</f>
        <v>153.245291677467</v>
      </c>
      <c r="AI72" s="11" t="n">
        <f aca="false">AH72+AI71+AI70</f>
        <v>158.548905549343</v>
      </c>
      <c r="AJ72" s="11" t="n">
        <f aca="false">AI72+AJ71+AJ70</f>
        <v>163.319801265275</v>
      </c>
      <c r="AK72" s="11" t="n">
        <f aca="false">AJ72+AK71+AK70</f>
        <v>167.460158567298</v>
      </c>
      <c r="AL72" s="11" t="n">
        <f aca="false">AK72+AL71+AL70</f>
        <v>171.124305212971</v>
      </c>
      <c r="AM72" s="11" t="n">
        <f aca="false">AL72+AM71+AM70</f>
        <v>174.323491699596</v>
      </c>
      <c r="AN72" s="11" t="n">
        <f aca="false">AM72+AN71+AN70</f>
        <v>176.970037355638</v>
      </c>
      <c r="AO72" s="11" t="n">
        <f aca="false">AN72+AO71+AO70</f>
        <v>179.546550126846</v>
      </c>
      <c r="AP72" s="11" t="n">
        <f aca="false">AO72+AP71+AP70</f>
        <v>192.208520031199</v>
      </c>
      <c r="AQ72" s="11" t="n">
        <f aca="false">AP72+AQ71+AQ70</f>
        <v>200.887460148234</v>
      </c>
      <c r="AR72" s="11" t="n">
        <f aca="false">AQ72+AR71+AR70</f>
        <v>201.659718724773</v>
      </c>
      <c r="AS72" s="11" t="n">
        <f aca="false">AR72+AS71+AS70</f>
        <v>201.659718724773</v>
      </c>
      <c r="AT72" s="11" t="n">
        <f aca="false">AS72+AT71+AT70</f>
        <v>201.659718724773</v>
      </c>
      <c r="AU72" s="11" t="n">
        <f aca="false">AT72+AU71+AU70</f>
        <v>201.659718724773</v>
      </c>
      <c r="AV72" s="11" t="n">
        <f aca="false">AU72+AV71+AV70</f>
        <v>201.659718724773</v>
      </c>
      <c r="AW72" s="11" t="n">
        <f aca="false">AV72+AW71+AW70</f>
        <v>201.659718724773</v>
      </c>
      <c r="AX72" s="11" t="n">
        <f aca="false">AW72+AX71+AX70</f>
        <v>201.659718724773</v>
      </c>
      <c r="AY72" s="11" t="n">
        <f aca="false">AX72+AY71+AY70</f>
        <v>201.659718724773</v>
      </c>
      <c r="AZ72" s="11" t="n">
        <f aca="false">AY72+AZ71+AZ70</f>
        <v>201.659718724773</v>
      </c>
      <c r="BA72" s="11" t="n">
        <f aca="false">AZ72+BA71+BA70</f>
        <v>201.659718724773</v>
      </c>
      <c r="BB72" s="11" t="n">
        <f aca="false">BA72+BB71+BB70</f>
        <v>201.659718724773</v>
      </c>
      <c r="BC72" s="11" t="n">
        <f aca="false">BB72+BC71+BC70</f>
        <v>201.659718724773</v>
      </c>
      <c r="BD72" s="11" t="n">
        <f aca="false">BC72+BD71+BD70</f>
        <v>201.659718724773</v>
      </c>
      <c r="BE72" s="11" t="n">
        <f aca="false">BD72+BE71+BE70</f>
        <v>201.659718724773</v>
      </c>
      <c r="BF72" s="11" t="n">
        <f aca="false">BE72+BF71+BF70</f>
        <v>201.659718724773</v>
      </c>
      <c r="BG72" s="11" t="n">
        <f aca="false">BF72+BG71+BG70</f>
        <v>201.659718724773</v>
      </c>
      <c r="BH72" s="11" t="n">
        <f aca="false">BG72+BH71+BH70</f>
        <v>201.659718724773</v>
      </c>
      <c r="BI72" s="11" t="n">
        <f aca="false">BH72+BI71+BI70</f>
        <v>201.659718724773</v>
      </c>
      <c r="BJ72" s="11" t="n">
        <f aca="false">BI72+BJ71+BJ70</f>
        <v>201.659718724773</v>
      </c>
    </row>
    <row r="73" customFormat="false" ht="15" hidden="false" customHeight="false" outlineLevel="0" collapsed="false">
      <c r="D73" s="0" t="s">
        <v>631</v>
      </c>
      <c r="E73" s="0" t="s">
        <v>149</v>
      </c>
      <c r="G73" s="11" t="n">
        <f aca="false">SUM(J73:BJ73)</f>
        <v>633.255975542792</v>
      </c>
      <c r="J73" s="11" t="n">
        <f aca="false">J47+J55</f>
        <v>90.0478684951254</v>
      </c>
      <c r="K73" s="11" t="n">
        <f aca="false">K47+K55</f>
        <v>1.85072252458686</v>
      </c>
      <c r="L73" s="11" t="n">
        <f aca="false">L47+L55</f>
        <v>2.35912847164796</v>
      </c>
      <c r="M73" s="11" t="n">
        <f aca="false">M47+M55</f>
        <v>3.3350490004792</v>
      </c>
      <c r="N73" s="11" t="n">
        <f aca="false">N47+N55</f>
        <v>4.80222293287169</v>
      </c>
      <c r="O73" s="11" t="n">
        <f aca="false">O47+O55</f>
        <v>6.61751200508777</v>
      </c>
      <c r="P73" s="11" t="n">
        <f aca="false">P47+P55</f>
        <v>8.63273044537214</v>
      </c>
      <c r="Q73" s="11" t="n">
        <f aca="false">Q47+Q55</f>
        <v>10.9576932061239</v>
      </c>
      <c r="R73" s="11" t="n">
        <f aca="false">R47+R55</f>
        <v>13.2748746874893</v>
      </c>
      <c r="S73" s="11" t="n">
        <f aca="false">S47+S55</f>
        <v>15.6343477936492</v>
      </c>
      <c r="T73" s="11" t="n">
        <f aca="false">T47+T55</f>
        <v>17.84237333861</v>
      </c>
      <c r="U73" s="11" t="n">
        <f aca="false">U47+U55</f>
        <v>19.9594070324688</v>
      </c>
      <c r="V73" s="11" t="n">
        <f aca="false">V47+V55</f>
        <v>21.820698290778</v>
      </c>
      <c r="W73" s="11" t="n">
        <f aca="false">W47+W55</f>
        <v>23.368573137905</v>
      </c>
      <c r="X73" s="11" t="n">
        <f aca="false">X47+X55</f>
        <v>24.6499190638619</v>
      </c>
      <c r="Y73" s="11" t="n">
        <f aca="false">Y47+Y55</f>
        <v>25.5031282760592</v>
      </c>
      <c r="Z73" s="11" t="n">
        <f aca="false">Z47+Z55</f>
        <v>26.0375703723027</v>
      </c>
      <c r="AA73" s="11" t="n">
        <f aca="false">AA47+AA55</f>
        <v>27.0093201816033</v>
      </c>
      <c r="AB73" s="11" t="n">
        <f aca="false">AB47+AB55</f>
        <v>25.7635459626942</v>
      </c>
      <c r="AC73" s="11" t="n">
        <f aca="false">AC47+AC55</f>
        <v>25.1511758572385</v>
      </c>
      <c r="AD73" s="11" t="n">
        <f aca="false">AD47+AD55</f>
        <v>24.0428525916383</v>
      </c>
      <c r="AE73" s="11" t="n">
        <f aca="false">AE47+AE55</f>
        <v>22.684550764706</v>
      </c>
      <c r="AF73" s="11" t="n">
        <f aca="false">AF47+AF55</f>
        <v>20.938592861539</v>
      </c>
      <c r="AG73" s="11" t="n">
        <f aca="false">AG47+AG55</f>
        <v>19.0484719810011</v>
      </c>
      <c r="AH73" s="11" t="n">
        <f aca="false">AH47+AH55</f>
        <v>16.9302426366239</v>
      </c>
      <c r="AI73" s="11" t="n">
        <f aca="false">AI47+AI55</f>
        <v>14.6551644999094</v>
      </c>
      <c r="AJ73" s="11" t="n">
        <f aca="false">AJ47+AJ55</f>
        <v>12.4592451470814</v>
      </c>
      <c r="AK73" s="11" t="n">
        <f aca="false">AK47+AK55</f>
        <v>10.2236164016511</v>
      </c>
      <c r="AL73" s="11" t="n">
        <f aca="false">AL47+AL55</f>
        <v>8.25346744881826</v>
      </c>
      <c r="AM73" s="11" t="n">
        <f aca="false">AM47+AM55</f>
        <v>6.48885518885751</v>
      </c>
      <c r="AN73" s="11" t="n">
        <f aca="false">AN47+AN55</f>
        <v>4.91045999831217</v>
      </c>
      <c r="AO73" s="11" t="n">
        <f aca="false">AO47+AO55</f>
        <v>4.09866362096826</v>
      </c>
      <c r="AP73" s="11" t="n">
        <f aca="false">AP47+AP55</f>
        <v>40.1791961674523</v>
      </c>
      <c r="AQ73" s="11" t="n">
        <f aca="false">AQ47+AQ55</f>
        <v>30.9690830117203</v>
      </c>
      <c r="AR73" s="11" t="n">
        <f aca="false">AR47+AR55</f>
        <v>2.75565214655776</v>
      </c>
      <c r="AS73" s="11" t="n">
        <f aca="false">AS47+AS55</f>
        <v>0</v>
      </c>
      <c r="AT73" s="11" t="n">
        <f aca="false">AT47+AT55</f>
        <v>0</v>
      </c>
      <c r="AU73" s="11" t="n">
        <f aca="false">AU47+AU55</f>
        <v>0</v>
      </c>
      <c r="AV73" s="11" t="n">
        <f aca="false">AV47+AV55</f>
        <v>0</v>
      </c>
      <c r="AW73" s="11" t="n">
        <f aca="false">AW47+AW55</f>
        <v>0</v>
      </c>
      <c r="AX73" s="11" t="n">
        <f aca="false">AX47+AX55</f>
        <v>0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632</v>
      </c>
      <c r="E74" s="0" t="s">
        <v>149</v>
      </c>
      <c r="G74" s="11" t="n">
        <f aca="false">SUM(J74:BJ74)</f>
        <v>106.853847689753</v>
      </c>
      <c r="J74" s="11" t="n">
        <f aca="false">J33+J34+J35+J36+J37+J38+J39+J40+J41+J42+J43+J48+Construction!J14*Construction!J36</f>
        <v>13.4806339692379</v>
      </c>
      <c r="K74" s="11" t="n">
        <f aca="false">K33+K34+K35+K36+K37+K38+K39+K40+K41+K42+K43+K48+Construction!K14*Construction!K36</f>
        <v>1.07821351867503</v>
      </c>
      <c r="L74" s="11" t="n">
        <f aca="false">L33+L34+L35+L36+L37+L38+L39+L40+L41+L42+L43+L48+Construction!L14*Construction!L36</f>
        <v>1.13087234950787</v>
      </c>
      <c r="M74" s="11" t="n">
        <f aca="false">M33+M34+M35+M36+M37+M38+M39+M40+M41+M42+M43+M48+Construction!M14*Construction!M36</f>
        <v>1.14634454400106</v>
      </c>
      <c r="N74" s="11" t="n">
        <f aca="false">N33+N34+N35+N36+N37+N38+N39+N40+N41+N42+N43+N48+Construction!N14*Construction!N36</f>
        <v>1.23831167063991</v>
      </c>
      <c r="O74" s="11" t="n">
        <f aca="false">O33+O34+O35+O36+O37+O38+O39+O40+O41+O42+O43+O48+Construction!O14*Construction!O36</f>
        <v>1.32727610633379</v>
      </c>
      <c r="P74" s="11" t="n">
        <f aca="false">P33+P34+P35+P36+P37+P38+P39+P40+P41+P42+P43+P48+Construction!P14*Construction!P36</f>
        <v>1.33867386808033</v>
      </c>
      <c r="Q74" s="11" t="n">
        <f aca="false">Q33+Q34+Q35+Q36+Q37+Q38+Q39+Q40+Q41+Q42+Q43+Q48+Construction!Q14*Construction!Q36</f>
        <v>1.54693944705431</v>
      </c>
      <c r="R74" s="11" t="n">
        <f aca="false">R33+R34+R35+R36+R37+R38+R39+R40+R41+R42+R43+R48+Construction!R14*Construction!R36</f>
        <v>1.64761139650876</v>
      </c>
      <c r="S74" s="11" t="n">
        <f aca="false">S33+S34+S35+S36+S37+S38+S39+S40+S41+S42+S43+S48+Construction!S14*Construction!S36</f>
        <v>1.82455995646531</v>
      </c>
      <c r="T74" s="11" t="n">
        <f aca="false">T33+T34+T35+T36+T37+T38+T39+T40+T41+T42+T43+T48+Construction!T14*Construction!T36</f>
        <v>1.92439527386696</v>
      </c>
      <c r="U74" s="11" t="n">
        <f aca="false">U33+U34+U35+U36+U37+U38+U39+U40+U41+U42+U43+U48+Construction!U14*Construction!U36</f>
        <v>2.125219225871</v>
      </c>
      <c r="V74" s="11" t="n">
        <f aca="false">V33+V34+V35+V36+V37+V38+V39+V40+V41+V42+V43+V48+Construction!V14*Construction!V36</f>
        <v>2.28990519850377</v>
      </c>
      <c r="W74" s="11" t="n">
        <f aca="false">W33+W34+W35+W36+W37+W38+W39+W40+W41+W42+W43+W48+Construction!W14*Construction!W36</f>
        <v>2.41354512364762</v>
      </c>
      <c r="X74" s="11" t="n">
        <f aca="false">X33+X34+X35+X36+X37+X38+X39+X40+X41+X42+X43+X48+Construction!X14*Construction!X36</f>
        <v>2.6163429518123</v>
      </c>
      <c r="Y74" s="11" t="n">
        <f aca="false">Y33+Y34+Y35+Y36+Y37+Y38+Y39+Y40+Y41+Y42+Y43+Y48+Construction!Y14*Construction!Y36</f>
        <v>2.72583913262024</v>
      </c>
      <c r="Z74" s="11" t="n">
        <f aca="false">Z33+Z34+Z35+Z36+Z37+Z38+Z39+Z40+Z41+Z42+Z43+Z48+Construction!Z14*Construction!Z36</f>
        <v>2.91878027562201</v>
      </c>
      <c r="AA74" s="11" t="n">
        <f aca="false">AA33+AA34+AA35+AA36+AA37+AA38+AA39+AA40+AA41+AA42+AA43+AA48+Construction!AA14*Construction!AA36</f>
        <v>3.08794048714812</v>
      </c>
      <c r="AB74" s="11" t="n">
        <f aca="false">AB33+AB34+AB35+AB36+AB37+AB38+AB39+AB40+AB41+AB42+AB43+AB48+Construction!AB14*Construction!AB36</f>
        <v>3.07748286180818</v>
      </c>
      <c r="AC74" s="11" t="n">
        <f aca="false">AC33+AC34+AC35+AC36+AC37+AC38+AC39+AC40+AC41+AC42+AC43+AC48+Construction!AC14*Construction!AC36</f>
        <v>3.29319332392536</v>
      </c>
      <c r="AD74" s="11" t="n">
        <f aca="false">AD33+AD34+AD35+AD36+AD37+AD38+AD39+AD40+AD41+AD42+AD43+AD48+Construction!AD14*Construction!AD36</f>
        <v>3.32402914141679</v>
      </c>
      <c r="AE74" s="11" t="n">
        <f aca="false">AE33+AE34+AE35+AE36+AE37+AE38+AE39+AE40+AE41+AE42+AE43+AE48+Construction!AE14*Construction!AE36</f>
        <v>3.45637092256963</v>
      </c>
      <c r="AF74" s="11" t="n">
        <f aca="false">AF33+AF34+AF35+AF36+AF37+AF38+AF39+AF40+AF41+AF42+AF43+AF48+Construction!AF14*Construction!AF36</f>
        <v>3.44742034420307</v>
      </c>
      <c r="AG74" s="11" t="n">
        <f aca="false">AG33+AG34+AG35+AG36+AG37+AG38+AG39+AG40+AG41+AG42+AG43+AG48+Construction!AG14*Construction!AG36</f>
        <v>3.55299826876788</v>
      </c>
      <c r="AH74" s="11" t="n">
        <f aca="false">AH33+AH34+AH35+AH36+AH37+AH38+AH39+AH40+AH41+AH42+AH43+AH48+Construction!AH14*Construction!AH36</f>
        <v>3.57441535648548</v>
      </c>
      <c r="AI74" s="11" t="n">
        <f aca="false">AI33+AI34+AI35+AI36+AI37+AI38+AI39+AI40+AI41+AI42+AI43+AI48+Construction!AI14*Construction!AI36</f>
        <v>3.51142588342495</v>
      </c>
      <c r="AJ74" s="11" t="n">
        <f aca="false">AJ33+AJ34+AJ35+AJ36+AJ37+AJ38+AJ39+AJ40+AJ41+AJ42+AJ43+AJ48+Construction!AJ14*Construction!AJ36</f>
        <v>3.57449499026792</v>
      </c>
      <c r="AK74" s="11" t="n">
        <f aca="false">AK33+AK34+AK35+AK36+AK37+AK38+AK39+AK40+AK41+AK42+AK43+AK48+Construction!AK14*Construction!AK36</f>
        <v>3.48685772458901</v>
      </c>
      <c r="AL74" s="11" t="n">
        <f aca="false">AL33+AL34+AL35+AL36+AL37+AL38+AL39+AL40+AL41+AL42+AL43+AL48+Construction!AL14*Construction!AL36</f>
        <v>3.5363175906205</v>
      </c>
      <c r="AM74" s="11" t="n">
        <f aca="false">AM33+AM34+AM35+AM36+AM37+AM38+AM39+AM40+AM41+AM42+AM43+AM48+Construction!AM14*Construction!AM36</f>
        <v>3.51578239057142</v>
      </c>
      <c r="AN74" s="11" t="n">
        <f aca="false">AN33+AN34+AN35+AN36+AN37+AN38+AN39+AN40+AN41+AN42+AN43+AN48+Construction!AN14*Construction!AN36</f>
        <v>3.27363246150002</v>
      </c>
      <c r="AO74" s="11" t="n">
        <f aca="false">AO33+AO34+AO35+AO36+AO37+AO38+AO39+AO40+AO41+AO42+AO43+AO48+Construction!AO14*Construction!AO36</f>
        <v>3.47977819712731</v>
      </c>
      <c r="AP74" s="11" t="n">
        <f aca="false">AP33+AP34+AP35+AP36+AP37+AP38+AP39+AP40+AP41+AP42+AP43+AP48+Construction!AP14*Construction!AP36</f>
        <v>4.59540564872908</v>
      </c>
      <c r="AQ74" s="11" t="n">
        <f aca="false">AQ33+AQ34+AQ35+AQ36+AQ37+AQ38+AQ39+AQ40+AQ41+AQ42+AQ43+AQ48+Construction!AQ14*Construction!AQ36</f>
        <v>4.57186272091907</v>
      </c>
      <c r="AR74" s="11" t="n">
        <f aca="false">AR33+AR34+AR35+AR36+AR37+AR38+AR39+AR40+AR41+AR42+AR43+AR48+Construction!AR14*Construction!AR36</f>
        <v>3.72097536723144</v>
      </c>
      <c r="AS74" s="11" t="n">
        <f aca="false">AS33+AS34+AS35+AS36+AS37+AS38+AS39+AS40+AS41+AS42+AS43+AS48+Construction!AS14*Construction!AS36</f>
        <v>0</v>
      </c>
      <c r="AT74" s="11" t="n">
        <f aca="false">AT33+AT34+AT35+AT36+AT37+AT38+AT39+AT40+AT41+AT42+AT43+AT48+Construction!AT14*Construction!AT36</f>
        <v>0</v>
      </c>
      <c r="AU74" s="11" t="n">
        <f aca="false">AU33+AU34+AU35+AU36+AU37+AU38+AU39+AU40+AU41+AU42+AU43+AU48+Construction!AU14*Construction!AU36</f>
        <v>0</v>
      </c>
      <c r="AV74" s="11" t="n">
        <f aca="false">AV33+AV34+AV35+AV36+AV37+AV38+AV39+AV40+AV41+AV42+AV43+AV48+Construction!AV14*Construction!AV36</f>
        <v>0</v>
      </c>
      <c r="AW74" s="11" t="n">
        <f aca="false">AW33+AW34+AW35+AW36+AW37+AW38+AW39+AW40+AW41+AW42+AW43+AW48+Construction!AW14*Construction!AW36</f>
        <v>0</v>
      </c>
      <c r="AX74" s="11" t="n">
        <f aca="false">AX33+AX34+AX35+AX36+AX37+AX38+AX39+AX40+AX41+AX42+AX43+AX48+Construction!AX14*Construction!AX36</f>
        <v>0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633</v>
      </c>
      <c r="E75" s="0" t="s">
        <v>149</v>
      </c>
      <c r="F75" s="15" t="n">
        <f aca="false">SUM(Funding!$J$49:$BJ$49)</f>
        <v>855.089743126849</v>
      </c>
    </row>
    <row r="76" customFormat="false" ht="15" hidden="false" customHeight="false" outlineLevel="0" collapsed="false">
      <c r="D76" s="0" t="s">
        <v>634</v>
      </c>
      <c r="E76" s="0" t="s">
        <v>149</v>
      </c>
      <c r="F76" s="15" t="n">
        <f aca="false">SUM(Funding!$J$49:$BJ$49)-SUM(Funding!$J$44:$BJ$44)-SUM(Construction!$J$28:$BJ$28)+SUM(Funding!$J$71:$BJ$71)-SUM(Funding!$J$52:$BJ$52)-Inputs!$F$48*Inputs!$F$191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346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636</v>
      </c>
    </row>
    <row r="8" customFormat="false" ht="15" hidden="false" customHeight="false" outlineLevel="0" collapsed="false">
      <c r="D8" s="0" t="s">
        <v>637</v>
      </c>
      <c r="E8" s="0" t="s">
        <v>103</v>
      </c>
      <c r="J8" s="11" t="n">
        <f aca="false">IF(Time!J21&lt;=2025,Inputs!$F$82,IF(Time!J21&lt;=2029,Inputs!$F$83,Inputs!$F$84))</f>
        <v>4.1</v>
      </c>
      <c r="K8" s="11" t="n">
        <f aca="false">IF(Time!K21&lt;=2025,Inputs!$F$82,IF(Time!K21&lt;=2029,Inputs!$F$83,Inputs!$F$84))</f>
        <v>4.1</v>
      </c>
      <c r="L8" s="11" t="n">
        <f aca="false">IF(Time!L21&lt;=2025,Inputs!$F$82,IF(Time!L21&lt;=2029,Inputs!$F$83,Inputs!$F$84))</f>
        <v>4.1</v>
      </c>
      <c r="M8" s="11" t="n">
        <f aca="false">IF(Time!M21&lt;=2025,Inputs!$F$82,IF(Time!M21&lt;=2029,Inputs!$F$83,Inputs!$F$84))</f>
        <v>4.1</v>
      </c>
      <c r="N8" s="11" t="n">
        <f aca="false">IF(Time!N21&lt;=2025,Inputs!$F$82,IF(Time!N21&lt;=2029,Inputs!$F$83,Inputs!$F$84))</f>
        <v>4.1</v>
      </c>
      <c r="O8" s="11" t="n">
        <f aca="false">IF(Time!O21&lt;=2025,Inputs!$F$82,IF(Time!O21&lt;=2029,Inputs!$F$83,Inputs!$F$84))</f>
        <v>4.1</v>
      </c>
      <c r="P8" s="11" t="n">
        <f aca="false">IF(Time!P21&lt;=2025,Inputs!$F$82,IF(Time!P21&lt;=2029,Inputs!$F$83,Inputs!$F$84))</f>
        <v>4.1</v>
      </c>
      <c r="Q8" s="11" t="n">
        <f aca="false">IF(Time!Q21&lt;=2025,Inputs!$F$82,IF(Time!Q21&lt;=2029,Inputs!$F$83,Inputs!$F$84))</f>
        <v>4.1</v>
      </c>
      <c r="R8" s="11" t="n">
        <f aca="false">IF(Time!R21&lt;=2025,Inputs!$F$82,IF(Time!R21&lt;=2029,Inputs!$F$83,Inputs!$F$84))</f>
        <v>4.1</v>
      </c>
      <c r="S8" s="11" t="n">
        <f aca="false">IF(Time!S21&lt;=2025,Inputs!$F$82,IF(Time!S21&lt;=2029,Inputs!$F$83,Inputs!$F$84))</f>
        <v>4.1</v>
      </c>
      <c r="T8" s="11" t="n">
        <f aca="false">IF(Time!T21&lt;=2025,Inputs!$F$82,IF(Time!T21&lt;=2029,Inputs!$F$83,Inputs!$F$84))</f>
        <v>4.1</v>
      </c>
      <c r="U8" s="11" t="n">
        <f aca="false">IF(Time!U21&lt;=2025,Inputs!$F$82,IF(Time!U21&lt;=2029,Inputs!$F$83,Inputs!$F$84))</f>
        <v>4.1</v>
      </c>
      <c r="V8" s="11" t="n">
        <f aca="false">IF(Time!V21&lt;=2025,Inputs!$F$82,IF(Time!V21&lt;=2029,Inputs!$F$83,Inputs!$F$84))</f>
        <v>4.1</v>
      </c>
      <c r="W8" s="11" t="n">
        <f aca="false">IF(Time!W21&lt;=2025,Inputs!$F$82,IF(Time!W21&lt;=2029,Inputs!$F$83,Inputs!$F$84))</f>
        <v>4.1</v>
      </c>
      <c r="X8" s="11" t="n">
        <f aca="false">IF(Time!X21&lt;=2025,Inputs!$F$82,IF(Time!X21&lt;=2029,Inputs!$F$83,Inputs!$F$84))</f>
        <v>4.1</v>
      </c>
      <c r="Y8" s="11" t="n">
        <f aca="false">IF(Time!Y21&lt;=2025,Inputs!$F$82,IF(Time!Y21&lt;=2029,Inputs!$F$83,Inputs!$F$84))</f>
        <v>4.6</v>
      </c>
      <c r="Z8" s="11" t="n">
        <f aca="false">IF(Time!Z21&lt;=2025,Inputs!$F$82,IF(Time!Z21&lt;=2029,Inputs!$F$83,Inputs!$F$84))</f>
        <v>4.6</v>
      </c>
      <c r="AA8" s="11" t="n">
        <f aca="false">IF(Time!AA21&lt;=2025,Inputs!$F$82,IF(Time!AA21&lt;=2029,Inputs!$F$83,Inputs!$F$84))</f>
        <v>4.6</v>
      </c>
      <c r="AB8" s="11" t="n">
        <f aca="false">IF(Time!AB21&lt;=2025,Inputs!$F$82,IF(Time!AB21&lt;=2029,Inputs!$F$83,Inputs!$F$84))</f>
        <v>4.6</v>
      </c>
      <c r="AC8" s="11" t="n">
        <f aca="false">IF(Time!AC21&lt;=2025,Inputs!$F$82,IF(Time!AC21&lt;=2029,Inputs!$F$83,Inputs!$F$84))</f>
        <v>4.6</v>
      </c>
      <c r="AD8" s="11" t="n">
        <f aca="false">IF(Time!AD21&lt;=2025,Inputs!$F$82,IF(Time!AD21&lt;=2029,Inputs!$F$83,Inputs!$F$84))</f>
        <v>4.6</v>
      </c>
      <c r="AE8" s="11" t="n">
        <f aca="false">IF(Time!AE21&lt;=2025,Inputs!$F$82,IF(Time!AE21&lt;=2029,Inputs!$F$83,Inputs!$F$84))</f>
        <v>4.6</v>
      </c>
      <c r="AF8" s="11" t="n">
        <f aca="false">IF(Time!AF21&lt;=2025,Inputs!$F$82,IF(Time!AF21&lt;=2029,Inputs!$F$83,Inputs!$F$84))</f>
        <v>4.6</v>
      </c>
      <c r="AG8" s="11" t="n">
        <f aca="false">IF(Time!AG21&lt;=2025,Inputs!$F$82,IF(Time!AG21&lt;=2029,Inputs!$F$83,Inputs!$F$84))</f>
        <v>5.1</v>
      </c>
      <c r="AH8" s="11" t="n">
        <f aca="false">IF(Time!AH21&lt;=2025,Inputs!$F$82,IF(Time!AH21&lt;=2029,Inputs!$F$83,Inputs!$F$84))</f>
        <v>5.1</v>
      </c>
      <c r="AI8" s="11" t="n">
        <f aca="false">IF(Time!AI21&lt;=2025,Inputs!$F$82,IF(Time!AI21&lt;=2029,Inputs!$F$83,Inputs!$F$84))</f>
        <v>5.1</v>
      </c>
      <c r="AJ8" s="11" t="n">
        <f aca="false">IF(Time!AJ21&lt;=2025,Inputs!$F$82,IF(Time!AJ21&lt;=2029,Inputs!$F$83,Inputs!$F$84))</f>
        <v>5.1</v>
      </c>
      <c r="AK8" s="11" t="n">
        <f aca="false">IF(Time!AK21&lt;=2025,Inputs!$F$82,IF(Time!AK21&lt;=2029,Inputs!$F$83,Inputs!$F$84))</f>
        <v>5.1</v>
      </c>
      <c r="AL8" s="11" t="n">
        <f aca="false">IF(Time!AL21&lt;=2025,Inputs!$F$82,IF(Time!AL21&lt;=2029,Inputs!$F$83,Inputs!$F$84))</f>
        <v>5.1</v>
      </c>
      <c r="AM8" s="11" t="n">
        <f aca="false">IF(Time!AM21&lt;=2025,Inputs!$F$82,IF(Time!AM21&lt;=2029,Inputs!$F$83,Inputs!$F$84))</f>
        <v>5.1</v>
      </c>
      <c r="AN8" s="11" t="n">
        <f aca="false">IF(Time!AN21&lt;=2025,Inputs!$F$82,IF(Time!AN21&lt;=2029,Inputs!$F$83,Inputs!$F$84))</f>
        <v>5.1</v>
      </c>
      <c r="AO8" s="11" t="n">
        <f aca="false">IF(Time!AO21&lt;=2025,Inputs!$F$82,IF(Time!AO21&lt;=2029,Inputs!$F$83,Inputs!$F$84))</f>
        <v>5.1</v>
      </c>
      <c r="AP8" s="11" t="n">
        <f aca="false">IF(Time!AP21&lt;=2025,Inputs!$F$82,IF(Time!AP21&lt;=2029,Inputs!$F$83,Inputs!$F$84))</f>
        <v>5.1</v>
      </c>
      <c r="AQ8" s="11" t="n">
        <f aca="false">IF(Time!AQ21&lt;=2025,Inputs!$F$82,IF(Time!AQ21&lt;=2029,Inputs!$F$83,Inputs!$F$84))</f>
        <v>5.1</v>
      </c>
      <c r="AR8" s="11" t="n">
        <f aca="false">IF(Time!AR21&lt;=2025,Inputs!$F$82,IF(Time!AR21&lt;=2029,Inputs!$F$83,Inputs!$F$84))</f>
        <v>5.1</v>
      </c>
      <c r="AS8" s="11" t="n">
        <f aca="false">IF(Time!AS21&lt;=2025,Inputs!$F$82,IF(Time!AS21&lt;=2029,Inputs!$F$83,Inputs!$F$84))</f>
        <v>5.1</v>
      </c>
      <c r="AT8" s="11" t="n">
        <f aca="false">IF(Time!AT21&lt;=2025,Inputs!$F$82,IF(Time!AT21&lt;=2029,Inputs!$F$83,Inputs!$F$84))</f>
        <v>5.1</v>
      </c>
      <c r="AU8" s="11" t="n">
        <f aca="false">IF(Time!AU21&lt;=2025,Inputs!$F$82,IF(Time!AU21&lt;=2029,Inputs!$F$83,Inputs!$F$84))</f>
        <v>5.1</v>
      </c>
      <c r="AV8" s="11" t="n">
        <f aca="false">IF(Time!AV21&lt;=2025,Inputs!$F$82,IF(Time!AV21&lt;=2029,Inputs!$F$83,Inputs!$F$84))</f>
        <v>5.1</v>
      </c>
      <c r="AW8" s="11" t="n">
        <f aca="false">IF(Time!AW21&lt;=2025,Inputs!$F$82,IF(Time!AW21&lt;=2029,Inputs!$F$83,Inputs!$F$84))</f>
        <v>5.1</v>
      </c>
      <c r="AX8" s="11" t="n">
        <f aca="false">IF(Time!AX21&lt;=2025,Inputs!$F$82,IF(Time!AX21&lt;=2029,Inputs!$F$83,Inputs!$F$84))</f>
        <v>5.1</v>
      </c>
      <c r="AY8" s="11" t="n">
        <f aca="false">IF(Time!AY21&lt;=2025,Inputs!$F$82,IF(Time!AY21&lt;=2029,Inputs!$F$83,Inputs!$F$84))</f>
        <v>5.1</v>
      </c>
      <c r="AZ8" s="11" t="n">
        <f aca="false">IF(Time!AZ21&lt;=2025,Inputs!$F$82,IF(Time!AZ21&lt;=2029,Inputs!$F$83,Inputs!$F$84))</f>
        <v>5.1</v>
      </c>
      <c r="BA8" s="11" t="n">
        <f aca="false">IF(Time!BA21&lt;=2025,Inputs!$F$82,IF(Time!BA21&lt;=2029,Inputs!$F$83,Inputs!$F$84))</f>
        <v>5.1</v>
      </c>
      <c r="BB8" s="11" t="n">
        <f aca="false">IF(Time!BB21&lt;=2025,Inputs!$F$82,IF(Time!BB21&lt;=2029,Inputs!$F$83,Inputs!$F$84))</f>
        <v>5.1</v>
      </c>
      <c r="BC8" s="11" t="n">
        <f aca="false">IF(Time!BC21&lt;=2025,Inputs!$F$82,IF(Time!BC21&lt;=2029,Inputs!$F$83,Inputs!$F$84))</f>
        <v>5.1</v>
      </c>
      <c r="BD8" s="11" t="n">
        <f aca="false">IF(Time!BD21&lt;=2025,Inputs!$F$82,IF(Time!BD21&lt;=2029,Inputs!$F$83,Inputs!$F$84))</f>
        <v>5.1</v>
      </c>
      <c r="BE8" s="11" t="n">
        <f aca="false">IF(Time!BE21&lt;=2025,Inputs!$F$82,IF(Time!BE21&lt;=2029,Inputs!$F$83,Inputs!$F$84))</f>
        <v>5.1</v>
      </c>
      <c r="BF8" s="11" t="n">
        <f aca="false">IF(Time!BF21&lt;=2025,Inputs!$F$82,IF(Time!BF21&lt;=2029,Inputs!$F$83,Inputs!$F$84))</f>
        <v>5.1</v>
      </c>
      <c r="BG8" s="11" t="n">
        <f aca="false">IF(Time!BG21&lt;=2025,Inputs!$F$82,IF(Time!BG21&lt;=2029,Inputs!$F$83,Inputs!$F$84))</f>
        <v>5.1</v>
      </c>
      <c r="BH8" s="11" t="n">
        <f aca="false">IF(Time!BH21&lt;=2025,Inputs!$F$82,IF(Time!BH21&lt;=2029,Inputs!$F$83,Inputs!$F$84))</f>
        <v>5.1</v>
      </c>
      <c r="BI8" s="11" t="n">
        <f aca="false">IF(Time!BI21&lt;=2025,Inputs!$F$82,IF(Time!BI21&lt;=2029,Inputs!$F$83,Inputs!$F$84))</f>
        <v>5.1</v>
      </c>
      <c r="BJ8" s="11" t="n">
        <f aca="false">IF(Time!BJ21&lt;=2025,Inputs!$F$82,IF(Time!BJ21&lt;=2029,Inputs!$F$83,Inputs!$F$84))</f>
        <v>5.1</v>
      </c>
      <c r="BK8" s="11" t="n">
        <f aca="false">IF(Time!BK21&lt;=2025,Inputs!$F$82,IF(Time!BK21&lt;=2029,Inputs!$F$83,Inputs!$F$84))</f>
        <v>5.1</v>
      </c>
      <c r="BL8" s="11" t="n">
        <f aca="false">IF(Time!BL21&lt;=2025,Inputs!$F$82,IF(Time!BL21&lt;=2029,Inputs!$F$83,Inputs!$F$84))</f>
        <v>5.1</v>
      </c>
      <c r="BM8" s="11" t="n">
        <f aca="false">IF(Time!BM21&lt;=2025,Inputs!$F$82,IF(Time!BM21&lt;=2029,Inputs!$F$83,Inputs!$F$84))</f>
        <v>5.1</v>
      </c>
      <c r="BN8" s="11" t="n">
        <f aca="false">IF(Time!BN21&lt;=2025,Inputs!$F$82,IF(Time!BN21&lt;=2029,Inputs!$F$83,Inputs!$F$84))</f>
        <v>5.1</v>
      </c>
    </row>
    <row r="9" customFormat="false" ht="15" hidden="false" customHeight="false" outlineLevel="0" collapsed="false">
      <c r="D9" s="0" t="s">
        <v>638</v>
      </c>
      <c r="E9" s="0" t="s">
        <v>103</v>
      </c>
      <c r="J9" s="11" t="n">
        <f aca="false">Inputs!$F$49*IF(AND(Time!J17&gt;=11,Time!J17&lt;=13),Inputs!$F$193,0)</f>
        <v>0</v>
      </c>
      <c r="K9" s="11" t="n">
        <f aca="false">Inputs!$F$49*IF(AND(Time!K17&gt;=11,Time!K17&lt;=13),Inputs!$F$193,0)</f>
        <v>0</v>
      </c>
      <c r="L9" s="11" t="n">
        <f aca="false">Inputs!$F$49*IF(AND(Time!L17&gt;=11,Time!L17&lt;=13),Inputs!$F$193,0)</f>
        <v>0</v>
      </c>
      <c r="M9" s="11" t="n">
        <f aca="false">Inputs!$F$49*IF(AND(Time!M17&gt;=11,Time!M17&lt;=13),Inputs!$F$193,0)</f>
        <v>0</v>
      </c>
      <c r="N9" s="11" t="n">
        <f aca="false">Inputs!$F$49*IF(AND(Time!N17&gt;=11,Time!N17&lt;=13),Inputs!$F$193,0)</f>
        <v>0</v>
      </c>
      <c r="O9" s="11" t="n">
        <f aca="false">Inputs!$F$49*IF(AND(Time!O17&gt;=11,Time!O17&lt;=13),Inputs!$F$193,0)</f>
        <v>0</v>
      </c>
      <c r="P9" s="11" t="n">
        <f aca="false">Inputs!$F$49*IF(AND(Time!P17&gt;=11,Time!P17&lt;=13),Inputs!$F$193,0)</f>
        <v>0</v>
      </c>
      <c r="Q9" s="11" t="n">
        <f aca="false">Inputs!$F$49*IF(AND(Time!Q17&gt;=11,Time!Q17&lt;=13),Inputs!$F$193,0)</f>
        <v>0</v>
      </c>
      <c r="R9" s="11" t="n">
        <f aca="false">Inputs!$F$49*IF(AND(Time!R17&gt;=11,Time!R17&lt;=13),Inputs!$F$193,0)</f>
        <v>0</v>
      </c>
      <c r="S9" s="11" t="n">
        <f aca="false">Inputs!$F$49*IF(AND(Time!S17&gt;=11,Time!S17&lt;=13),Inputs!$F$193,0)</f>
        <v>0</v>
      </c>
      <c r="T9" s="11" t="n">
        <f aca="false">Inputs!$F$49*IF(AND(Time!T17&gt;=11,Time!T17&lt;=13),Inputs!$F$193,0)</f>
        <v>0</v>
      </c>
      <c r="U9" s="11" t="n">
        <f aca="false">Inputs!$F$49*IF(AND(Time!U17&gt;=11,Time!U17&lt;=13),Inputs!$F$193,0)</f>
        <v>0</v>
      </c>
      <c r="V9" s="11" t="n">
        <f aca="false">Inputs!$F$49*IF(AND(Time!V17&gt;=11,Time!V17&lt;=13),Inputs!$F$193,0)</f>
        <v>0</v>
      </c>
      <c r="W9" s="11" t="n">
        <f aca="false">Inputs!$F$49*IF(AND(Time!W17&gt;=11,Time!W17&lt;=13),Inputs!$F$193,0)</f>
        <v>0</v>
      </c>
      <c r="X9" s="11" t="n">
        <f aca="false">Inputs!$F$49*IF(AND(Time!X17&gt;=11,Time!X17&lt;=13),Inputs!$F$193,0)</f>
        <v>0</v>
      </c>
      <c r="Y9" s="11" t="n">
        <f aca="false">Inputs!$F$49*IF(AND(Time!Y17&gt;=11,Time!Y17&lt;=13),Inputs!$F$193,0)</f>
        <v>0</v>
      </c>
      <c r="Z9" s="11" t="n">
        <f aca="false">Inputs!$F$49*IF(AND(Time!Z17&gt;=11,Time!Z17&lt;=13),Inputs!$F$193,0)</f>
        <v>0</v>
      </c>
      <c r="AA9" s="11" t="n">
        <f aca="false">Inputs!$F$49*IF(AND(Time!AA17&gt;=11,Time!AA17&lt;=13),Inputs!$F$193,0)</f>
        <v>0</v>
      </c>
      <c r="AB9" s="11" t="n">
        <f aca="false">Inputs!$F$49*IF(AND(Time!AB17&gt;=11,Time!AB17&lt;=13),Inputs!$F$193,0)</f>
        <v>0</v>
      </c>
      <c r="AC9" s="11" t="n">
        <f aca="false">Inputs!$F$49*IF(AND(Time!AC17&gt;=11,Time!AC17&lt;=13),Inputs!$F$193,0)</f>
        <v>0</v>
      </c>
      <c r="AD9" s="11" t="n">
        <f aca="false">Inputs!$F$49*IF(AND(Time!AD17&gt;=11,Time!AD17&lt;=13),Inputs!$F$193,0)</f>
        <v>0</v>
      </c>
      <c r="AE9" s="11" t="n">
        <f aca="false">Inputs!$F$49*IF(AND(Time!AE17&gt;=11,Time!AE17&lt;=13),Inputs!$F$193,0)</f>
        <v>0</v>
      </c>
      <c r="AF9" s="11" t="n">
        <f aca="false">Inputs!$F$49*IF(AND(Time!AF17&gt;=11,Time!AF17&lt;=13),Inputs!$F$193,0)</f>
        <v>0</v>
      </c>
      <c r="AG9" s="11" t="n">
        <f aca="false">Inputs!$F$49*IF(AND(Time!AG17&gt;=11,Time!AG17&lt;=13),Inputs!$F$193,0)</f>
        <v>0</v>
      </c>
      <c r="AH9" s="11" t="n">
        <f aca="false">Inputs!$F$49*IF(AND(Time!AH17&gt;=11,Time!AH17&lt;=13),Inputs!$F$193,0)</f>
        <v>0</v>
      </c>
      <c r="AI9" s="11" t="n">
        <f aca="false">Inputs!$F$49*IF(AND(Time!AI17&gt;=11,Time!AI17&lt;=13),Inputs!$F$193,0)</f>
        <v>0</v>
      </c>
      <c r="AJ9" s="11" t="n">
        <f aca="false">Inputs!$F$49*IF(AND(Time!AJ17&gt;=11,Time!AJ17&lt;=13),Inputs!$F$193,0)</f>
        <v>0</v>
      </c>
      <c r="AK9" s="11" t="n">
        <f aca="false">Inputs!$F$49*IF(AND(Time!AK17&gt;=11,Time!AK17&lt;=13),Inputs!$F$193,0)</f>
        <v>0</v>
      </c>
      <c r="AL9" s="11" t="n">
        <f aca="false">Inputs!$F$49*IF(AND(Time!AL17&gt;=11,Time!AL17&lt;=13),Inputs!$F$193,0)</f>
        <v>0</v>
      </c>
      <c r="AM9" s="11" t="n">
        <f aca="false">Inputs!$F$49*IF(AND(Time!AM17&gt;=11,Time!AM17&lt;=13),Inputs!$F$193,0)</f>
        <v>0</v>
      </c>
      <c r="AN9" s="11" t="n">
        <f aca="false">Inputs!$F$49*IF(AND(Time!AN17&gt;=11,Time!AN17&lt;=13),Inputs!$F$193,0)</f>
        <v>0</v>
      </c>
      <c r="AO9" s="11" t="n">
        <f aca="false">Inputs!$F$49*IF(AND(Time!AO17&gt;=11,Time!AO17&lt;=13),Inputs!$F$193,0)</f>
        <v>0</v>
      </c>
      <c r="AP9" s="11" t="n">
        <f aca="false">Inputs!$F$49*IF(AND(Time!AP17&gt;=11,Time!AP17&lt;=13),Inputs!$F$193,0)</f>
        <v>0</v>
      </c>
      <c r="AQ9" s="11" t="n">
        <f aca="false">Inputs!$F$49*IF(AND(Time!AQ17&gt;=11,Time!AQ17&lt;=13),Inputs!$F$193,0)</f>
        <v>0</v>
      </c>
      <c r="AR9" s="11" t="n">
        <f aca="false">Inputs!$F$49*IF(AND(Time!AR17&gt;=11,Time!AR17&lt;=13),Inputs!$F$193,0)</f>
        <v>0</v>
      </c>
      <c r="AS9" s="11" t="n">
        <f aca="false">Inputs!$F$49*IF(AND(Time!AS17&gt;=11,Time!AS17&lt;=13),Inputs!$F$193,0)</f>
        <v>0</v>
      </c>
      <c r="AT9" s="11" t="n">
        <f aca="false">Inputs!$F$49*IF(AND(Time!AT17&gt;=11,Time!AT17&lt;=13),Inputs!$F$193,0)</f>
        <v>0</v>
      </c>
      <c r="AU9" s="11" t="n">
        <f aca="false">Inputs!$F$49*IF(AND(Time!AU17&gt;=11,Time!AU17&lt;=13),Inputs!$F$193,0)</f>
        <v>0</v>
      </c>
      <c r="AV9" s="11" t="n">
        <f aca="false">Inputs!$F$49*IF(AND(Time!AV17&gt;=11,Time!AV17&lt;=13),Inputs!$F$193,0)</f>
        <v>0</v>
      </c>
      <c r="AW9" s="11" t="n">
        <f aca="false">Inputs!$F$49*IF(AND(Time!AW17&gt;=11,Time!AW17&lt;=13),Inputs!$F$193,0)</f>
        <v>0</v>
      </c>
      <c r="AX9" s="11" t="n">
        <f aca="false">Inputs!$F$49*IF(AND(Time!AX17&gt;=11,Time!AX17&lt;=13),Inputs!$F$193,0)</f>
        <v>0</v>
      </c>
      <c r="AY9" s="11" t="n">
        <f aca="false">Inputs!$F$49*IF(AND(Time!AY17&gt;=11,Time!AY17&lt;=13),Inputs!$F$193,0)</f>
        <v>0</v>
      </c>
      <c r="AZ9" s="11" t="n">
        <f aca="false">Inputs!$F$49*IF(AND(Time!AZ17&gt;=11,Time!AZ17&lt;=13),Inputs!$F$193,0)</f>
        <v>0</v>
      </c>
      <c r="BA9" s="11" t="n">
        <f aca="false">Inputs!$F$49*IF(AND(Time!BA17&gt;=11,Time!BA17&lt;=13),Inputs!$F$193,0)</f>
        <v>0</v>
      </c>
      <c r="BB9" s="11" t="n">
        <f aca="false">Inputs!$F$49*IF(AND(Time!BB17&gt;=11,Time!BB17&lt;=13),Inputs!$F$193,0)</f>
        <v>0</v>
      </c>
      <c r="BC9" s="11" t="n">
        <f aca="false">Inputs!$F$49*IF(AND(Time!BC17&gt;=11,Time!BC17&lt;=13),Inputs!$F$193,0)</f>
        <v>0</v>
      </c>
      <c r="BD9" s="11" t="n">
        <f aca="false">Inputs!$F$49*IF(AND(Time!BD17&gt;=11,Time!BD17&lt;=13),Inputs!$F$193,0)</f>
        <v>0</v>
      </c>
      <c r="BE9" s="11" t="n">
        <f aca="false">Inputs!$F$49*IF(AND(Time!BE17&gt;=11,Time!BE17&lt;=13),Inputs!$F$193,0)</f>
        <v>0</v>
      </c>
      <c r="BF9" s="11" t="n">
        <f aca="false">Inputs!$F$49*IF(AND(Time!BF17&gt;=11,Time!BF17&lt;=13),Inputs!$F$193,0)</f>
        <v>0</v>
      </c>
      <c r="BG9" s="11" t="n">
        <f aca="false">Inputs!$F$49*IF(AND(Time!BG17&gt;=11,Time!BG17&lt;=13),Inputs!$F$193,0)</f>
        <v>0</v>
      </c>
      <c r="BH9" s="11" t="n">
        <f aca="false">Inputs!$F$49*IF(AND(Time!BH17&gt;=11,Time!BH17&lt;=13),Inputs!$F$193,0)</f>
        <v>0</v>
      </c>
      <c r="BI9" s="11" t="n">
        <f aca="false">Inputs!$F$49*IF(AND(Time!BI17&gt;=11,Time!BI17&lt;=13),Inputs!$F$193,0)</f>
        <v>0</v>
      </c>
      <c r="BJ9" s="11" t="n">
        <f aca="false">Inputs!$F$49*IF(AND(Time!BJ17&gt;=11,Time!BJ17&lt;=13),Inputs!$F$193,0)</f>
        <v>0</v>
      </c>
      <c r="BK9" s="11" t="n">
        <f aca="false">Inputs!$F$49*IF(AND(Time!BK17&gt;=11,Time!BK17&lt;=13),Inputs!$F$193,0)</f>
        <v>0</v>
      </c>
      <c r="BL9" s="11" t="n">
        <f aca="false">Inputs!$F$49*IF(AND(Time!BL17&gt;=11,Time!BL17&lt;=13),Inputs!$F$193,0)</f>
        <v>0</v>
      </c>
      <c r="BM9" s="11" t="n">
        <f aca="false">Inputs!$F$49*IF(AND(Time!BM17&gt;=11,Time!BM17&lt;=13),Inputs!$F$193,0)</f>
        <v>0</v>
      </c>
      <c r="BN9" s="11" t="n">
        <f aca="false">Inputs!$F$49*IF(AND(Time!BN17&gt;=11,Time!BN17&lt;=13),Inputs!$F$193,0)</f>
        <v>0</v>
      </c>
    </row>
    <row r="10" customFormat="false" ht="15" hidden="false" customHeight="false" outlineLevel="0" collapsed="false">
      <c r="D10" s="0" t="s">
        <v>639</v>
      </c>
      <c r="E10" s="0" t="s">
        <v>99</v>
      </c>
      <c r="J10" s="14" t="n">
        <f aca="false">(Operations!J9+Inputs!$F$79+J9)/100*Time!J20/360</f>
        <v>0.01978</v>
      </c>
      <c r="K10" s="14" t="n">
        <f aca="false">(Operations!K9+Inputs!$F$79+K9)/100*Time!K20/360</f>
        <v>0.020815</v>
      </c>
      <c r="L10" s="14" t="n">
        <f aca="false">(Operations!L9+Inputs!$F$79+L9)/100*Time!L20/360</f>
        <v>0.0219266666666667</v>
      </c>
      <c r="M10" s="14" t="n">
        <f aca="false">(Operations!M9+Inputs!$F$79+M9)/100*Time!M20/360</f>
        <v>0.0220927777777778</v>
      </c>
      <c r="N10" s="14" t="n">
        <f aca="false">(Operations!N9+Inputs!$F$79+N9)/100*Time!N20/360</f>
        <v>0.02254</v>
      </c>
      <c r="O10" s="14" t="n">
        <f aca="false">(Operations!O9+Inputs!$F$79+O9)/100*Time!O20/360</f>
        <v>0.0223233333333333</v>
      </c>
      <c r="P10" s="14" t="n">
        <f aca="false">(Operations!P9+Inputs!$F$79+P9)/100*Time!P20/360</f>
        <v>0.0226933333333333</v>
      </c>
      <c r="Q10" s="14" t="n">
        <f aca="false">(Operations!Q9+Inputs!$F$79+Q9)/100*Time!Q20/360</f>
        <v>0.0224238888888889</v>
      </c>
      <c r="R10" s="14" t="n">
        <f aca="false">(Operations!R9+Inputs!$F$79+R9)/100*Time!R20/360</f>
        <v>0.0227955555555556</v>
      </c>
      <c r="S10" s="14" t="n">
        <f aca="false">(Operations!S9+Inputs!$F$79+S9)/100*Time!S20/360</f>
        <v>0.0224741666666667</v>
      </c>
      <c r="T10" s="14" t="n">
        <f aca="false">(Operations!T9+Inputs!$F$79+T9)/100*Time!T20/360</f>
        <v>0.0228466666666667</v>
      </c>
      <c r="U10" s="14" t="n">
        <f aca="false">(Operations!U9+Inputs!$F$79+U9)/100*Time!U20/360</f>
        <v>0.0225983333333333</v>
      </c>
      <c r="V10" s="14" t="n">
        <f aca="false">(Operations!V9+Inputs!$F$79+V9)/100*Time!V20/360</f>
        <v>0.0228466666666667</v>
      </c>
      <c r="W10" s="14" t="n">
        <f aca="false">(Operations!W9+Inputs!$F$79+W9)/100*Time!W20/360</f>
        <v>0.0224741666666667</v>
      </c>
      <c r="X10" s="14" t="n">
        <f aca="false">(Operations!X9+Inputs!$F$79+X9)/100*Time!X20/360</f>
        <v>0.0228466666666667</v>
      </c>
      <c r="Y10" s="14" t="n">
        <f aca="false">(Operations!Y9+Inputs!$F$79+Y9)/100*Time!Y20/360</f>
        <v>0.0224741666666667</v>
      </c>
      <c r="Z10" s="14" t="n">
        <f aca="false">(Operations!Z9+Inputs!$F$79+Z9)/100*Time!Z20/360</f>
        <v>0.0228466666666667</v>
      </c>
      <c r="AA10" s="14" t="n">
        <f aca="false">(Operations!AA9+Inputs!$F$79+AA9)/100*Time!AA20/360</f>
        <v>0.0224741666666667</v>
      </c>
      <c r="AB10" s="14" t="n">
        <f aca="false">(Operations!AB9+Inputs!$F$79+AB9)/100*Time!AB20/360</f>
        <v>0.0228466666666667</v>
      </c>
      <c r="AC10" s="14" t="n">
        <f aca="false">(Operations!AC9+Inputs!$F$79+AC9)/100*Time!AC20/360</f>
        <v>0.0225983333333333</v>
      </c>
      <c r="AD10" s="14" t="n">
        <f aca="false">(Operations!AD9+Inputs!$F$79+AD9)/100*Time!AD20/360</f>
        <v>0.0228466666666667</v>
      </c>
      <c r="AE10" s="14" t="n">
        <f aca="false">(Operations!AE9+Inputs!$F$79+AE9)/100*Time!AE20/360</f>
        <v>0.0224741666666667</v>
      </c>
      <c r="AF10" s="14" t="n">
        <f aca="false">(Operations!AF9+Inputs!$F$79+AF9)/100*Time!AF20/360</f>
        <v>0.0228466666666667</v>
      </c>
      <c r="AG10" s="14" t="n">
        <f aca="false">(Operations!AG9+Inputs!$F$79+AG9)/100*Time!AG20/360</f>
        <v>0.0224741666666667</v>
      </c>
      <c r="AH10" s="14" t="n">
        <f aca="false">(Operations!AH9+Inputs!$F$79+AH9)/100*Time!AH20/360</f>
        <v>0.0228466666666667</v>
      </c>
      <c r="AI10" s="14" t="n">
        <f aca="false">(Operations!AI9+Inputs!$F$79+AI9)/100*Time!AI20/360</f>
        <v>0.0224741666666667</v>
      </c>
      <c r="AJ10" s="14" t="n">
        <f aca="false">(Operations!AJ9+Inputs!$F$79+AJ9)/100*Time!AJ20/360</f>
        <v>0.0228466666666667</v>
      </c>
      <c r="AK10" s="14" t="n">
        <f aca="false">(Operations!AK9+Inputs!$F$79+AK9)/100*Time!AK20/360</f>
        <v>0.0225983333333333</v>
      </c>
      <c r="AL10" s="14" t="n">
        <f aca="false">(Operations!AL9+Inputs!$F$79+AL9)/100*Time!AL20/360</f>
        <v>0.0228466666666667</v>
      </c>
      <c r="AM10" s="14" t="n">
        <f aca="false">(Operations!AM9+Inputs!$F$79+AM9)/100*Time!AM20/360</f>
        <v>0.0224741666666667</v>
      </c>
      <c r="AN10" s="14" t="n">
        <f aca="false">(Operations!AN9+Inputs!$F$79+AN9)/100*Time!AN20/360</f>
        <v>0.0228466666666667</v>
      </c>
      <c r="AO10" s="14" t="n">
        <f aca="false">(Operations!AO9+Inputs!$F$79+AO9)/100*Time!AO20/360</f>
        <v>0.0224741666666667</v>
      </c>
      <c r="AP10" s="14" t="n">
        <f aca="false">(Operations!AP9+Inputs!$F$79+AP9)/100*Time!AP20/360</f>
        <v>0.0228466666666667</v>
      </c>
      <c r="AQ10" s="14" t="n">
        <f aca="false">(Operations!AQ9+Inputs!$F$79+AQ9)/100*Time!AQ20/360</f>
        <v>0.0224741666666667</v>
      </c>
      <c r="AR10" s="14" t="n">
        <f aca="false">(Operations!AR9+Inputs!$F$79+AR9)/100*Time!AR20/360</f>
        <v>0.0228466666666667</v>
      </c>
      <c r="AS10" s="14" t="n">
        <f aca="false">(Operations!AS9+Inputs!$F$79+AS9)/100*Time!AS20/360</f>
        <v>0.0225983333333333</v>
      </c>
      <c r="AT10" s="14" t="n">
        <f aca="false">(Operations!AT9+Inputs!$F$79+AT9)/100*Time!AT20/360</f>
        <v>0.0228466666666667</v>
      </c>
      <c r="AU10" s="14" t="n">
        <f aca="false">(Operations!AU9+Inputs!$F$79+AU9)/100*Time!AU20/360</f>
        <v>0.0224741666666667</v>
      </c>
      <c r="AV10" s="14" t="n">
        <f aca="false">(Operations!AV9+Inputs!$F$79+AV9)/100*Time!AV20/360</f>
        <v>0.0228466666666667</v>
      </c>
      <c r="AW10" s="14" t="n">
        <f aca="false">(Operations!AW9+Inputs!$F$79+AW9)/100*Time!AW20/360</f>
        <v>0.0224741666666667</v>
      </c>
      <c r="AX10" s="14" t="n">
        <f aca="false">(Operations!AX9+Inputs!$F$79+AX9)/100*Time!AX20/360</f>
        <v>0.0228466666666667</v>
      </c>
      <c r="AY10" s="14" t="n">
        <f aca="false">(Operations!AY9+Inputs!$F$79+AY9)/100*Time!AY20/360</f>
        <v>0.0224741666666667</v>
      </c>
      <c r="AZ10" s="14" t="n">
        <f aca="false">(Operations!AZ9+Inputs!$F$79+AZ9)/100*Time!AZ20/360</f>
        <v>0.0228466666666667</v>
      </c>
      <c r="BA10" s="14" t="n">
        <f aca="false">(Operations!BA9+Inputs!$F$79+BA9)/100*Time!BA20/360</f>
        <v>0.0225983333333333</v>
      </c>
      <c r="BB10" s="14" t="n">
        <f aca="false">(Operations!BB9+Inputs!$F$79+BB9)/100*Time!BB20/360</f>
        <v>0.0228466666666667</v>
      </c>
      <c r="BC10" s="14" t="n">
        <f aca="false">(Operations!BC9+Inputs!$F$79+BC9)/100*Time!BC20/360</f>
        <v>0.0224741666666667</v>
      </c>
      <c r="BD10" s="14" t="n">
        <f aca="false">(Operations!BD9+Inputs!$F$79+BD9)/100*Time!BD20/360</f>
        <v>0.0228466666666667</v>
      </c>
      <c r="BE10" s="14" t="n">
        <f aca="false">(Operations!BE9+Inputs!$F$79+BE9)/100*Time!BE20/360</f>
        <v>0.0224741666666667</v>
      </c>
      <c r="BF10" s="14" t="n">
        <f aca="false">(Operations!BF9+Inputs!$F$79+BF9)/100*Time!BF20/360</f>
        <v>0.0228466666666667</v>
      </c>
      <c r="BG10" s="14" t="n">
        <f aca="false">(Operations!BG9+Inputs!$F$79+BG9)/100*Time!BG20/360</f>
        <v>0.0224741666666667</v>
      </c>
      <c r="BH10" s="14" t="n">
        <f aca="false">(Operations!BH9+Inputs!$F$79+BH9)/100*Time!BH20/360</f>
        <v>0.0228466666666667</v>
      </c>
      <c r="BI10" s="14" t="n">
        <f aca="false">(Operations!BI9+Inputs!$F$79+BI9)/100*Time!BI20/360</f>
        <v>0.0225983333333333</v>
      </c>
      <c r="BJ10" s="14" t="n">
        <f aca="false">(Operations!BJ9+Inputs!$F$79+BJ9)/100*Time!BJ20/360</f>
        <v>0.0228466666666667</v>
      </c>
      <c r="BK10" s="14" t="n">
        <f aca="false">(Operations!BK9+Inputs!$F$79+BK9)/100*Time!BK20/360</f>
        <v>0.0224741666666667</v>
      </c>
      <c r="BL10" s="14" t="n">
        <f aca="false">(Operations!BL9+Inputs!$F$79+BL9)/100*Time!BL20/360</f>
        <v>0.0228466666666667</v>
      </c>
      <c r="BM10" s="14" t="n">
        <f aca="false">(Operations!BM9+Inputs!$F$79+BM9)/100*Time!BM20/360</f>
        <v>0.0224741666666667</v>
      </c>
      <c r="BN10" s="14" t="n">
        <f aca="false">(Operations!BN9+Inputs!$F$79+BN9)/100*Time!BN20/360</f>
        <v>0.0228466666666667</v>
      </c>
    </row>
    <row r="11" customFormat="false" ht="15" hidden="false" customHeight="false" outlineLevel="0" collapsed="false">
      <c r="D11" s="0" t="s">
        <v>640</v>
      </c>
      <c r="E11" s="0" t="s">
        <v>99</v>
      </c>
      <c r="J11" s="14" t="n">
        <f aca="false">(Operations!J9+Inputs!$F$80+J9)/100*Time!J20/360</f>
        <v>0.0315355555555556</v>
      </c>
      <c r="K11" s="14" t="n">
        <f aca="false">(Operations!K9+Inputs!$F$80+K9)/100*Time!K20/360</f>
        <v>0.0323788888888889</v>
      </c>
      <c r="L11" s="14" t="n">
        <f aca="false">(Operations!L9+Inputs!$F$80+L9)/100*Time!L20/360</f>
        <v>0.0336822222222222</v>
      </c>
      <c r="M11" s="14" t="n">
        <f aca="false">(Operations!M9+Inputs!$F$80+M9)/100*Time!M20/360</f>
        <v>0.0337205555555556</v>
      </c>
      <c r="N11" s="14" t="n">
        <f aca="false">(Operations!N9+Inputs!$F$80+N9)/100*Time!N20/360</f>
        <v>0.0342955555555556</v>
      </c>
      <c r="O11" s="14" t="n">
        <f aca="false">(Operations!O9+Inputs!$F$80+O9)/100*Time!O20/360</f>
        <v>0.0338872222222222</v>
      </c>
      <c r="P11" s="14" t="n">
        <f aca="false">(Operations!P9+Inputs!$F$80+P9)/100*Time!P20/360</f>
        <v>0.0344488888888889</v>
      </c>
      <c r="Q11" s="14" t="n">
        <f aca="false">(Operations!Q9+Inputs!$F$80+Q9)/100*Time!Q20/360</f>
        <v>0.0339877777777778</v>
      </c>
      <c r="R11" s="14" t="n">
        <f aca="false">(Operations!R9+Inputs!$F$80+R9)/100*Time!R20/360</f>
        <v>0.0345511111111111</v>
      </c>
      <c r="S11" s="14" t="n">
        <f aca="false">(Operations!S9+Inputs!$F$80+S9)/100*Time!S20/360</f>
        <v>0.0340380555555556</v>
      </c>
      <c r="T11" s="14" t="n">
        <f aca="false">(Operations!T9+Inputs!$F$80+T9)/100*Time!T20/360</f>
        <v>0.0346022222222222</v>
      </c>
      <c r="U11" s="14" t="n">
        <f aca="false">(Operations!U9+Inputs!$F$80+U9)/100*Time!U20/360</f>
        <v>0.0342261111111111</v>
      </c>
      <c r="V11" s="14" t="n">
        <f aca="false">(Operations!V9+Inputs!$F$80+V9)/100*Time!V20/360</f>
        <v>0.0346022222222222</v>
      </c>
      <c r="W11" s="14" t="n">
        <f aca="false">(Operations!W9+Inputs!$F$80+W9)/100*Time!W20/360</f>
        <v>0.0340380555555556</v>
      </c>
      <c r="X11" s="14" t="n">
        <f aca="false">(Operations!X9+Inputs!$F$80+X9)/100*Time!X20/360</f>
        <v>0.0346022222222222</v>
      </c>
      <c r="Y11" s="14" t="n">
        <f aca="false">(Operations!Y9+Inputs!$F$80+Y9)/100*Time!Y20/360</f>
        <v>0.0340380555555556</v>
      </c>
      <c r="Z11" s="14" t="n">
        <f aca="false">(Operations!Z9+Inputs!$F$80+Z9)/100*Time!Z20/360</f>
        <v>0.0346022222222222</v>
      </c>
      <c r="AA11" s="14" t="n">
        <f aca="false">(Operations!AA9+Inputs!$F$80+AA9)/100*Time!AA20/360</f>
        <v>0.0340380555555556</v>
      </c>
      <c r="AB11" s="14" t="n">
        <f aca="false">(Operations!AB9+Inputs!$F$80+AB9)/100*Time!AB20/360</f>
        <v>0.0346022222222222</v>
      </c>
      <c r="AC11" s="14" t="n">
        <f aca="false">(Operations!AC9+Inputs!$F$80+AC9)/100*Time!AC20/360</f>
        <v>0.0342261111111111</v>
      </c>
      <c r="AD11" s="14" t="n">
        <f aca="false">(Operations!AD9+Inputs!$F$80+AD9)/100*Time!AD20/360</f>
        <v>0.0346022222222222</v>
      </c>
      <c r="AE11" s="14" t="n">
        <f aca="false">(Operations!AE9+Inputs!$F$80+AE9)/100*Time!AE20/360</f>
        <v>0.0340380555555556</v>
      </c>
      <c r="AF11" s="14" t="n">
        <f aca="false">(Operations!AF9+Inputs!$F$80+AF9)/100*Time!AF20/360</f>
        <v>0.0346022222222222</v>
      </c>
      <c r="AG11" s="14" t="n">
        <f aca="false">(Operations!AG9+Inputs!$F$80+AG9)/100*Time!AG20/360</f>
        <v>0.0340380555555556</v>
      </c>
      <c r="AH11" s="14" t="n">
        <f aca="false">(Operations!AH9+Inputs!$F$80+AH9)/100*Time!AH20/360</f>
        <v>0.0346022222222222</v>
      </c>
      <c r="AI11" s="14" t="n">
        <f aca="false">(Operations!AI9+Inputs!$F$80+AI9)/100*Time!AI20/360</f>
        <v>0.0340380555555556</v>
      </c>
      <c r="AJ11" s="14" t="n">
        <f aca="false">(Operations!AJ9+Inputs!$F$80+AJ9)/100*Time!AJ20/360</f>
        <v>0.0346022222222222</v>
      </c>
      <c r="AK11" s="14" t="n">
        <f aca="false">(Operations!AK9+Inputs!$F$80+AK9)/100*Time!AK20/360</f>
        <v>0.0342261111111111</v>
      </c>
      <c r="AL11" s="14" t="n">
        <f aca="false">(Operations!AL9+Inputs!$F$80+AL9)/100*Time!AL20/360</f>
        <v>0.0346022222222222</v>
      </c>
      <c r="AM11" s="14" t="n">
        <f aca="false">(Operations!AM9+Inputs!$F$80+AM9)/100*Time!AM20/360</f>
        <v>0.0340380555555556</v>
      </c>
      <c r="AN11" s="14" t="n">
        <f aca="false">(Operations!AN9+Inputs!$F$80+AN9)/100*Time!AN20/360</f>
        <v>0.0346022222222222</v>
      </c>
      <c r="AO11" s="14" t="n">
        <f aca="false">(Operations!AO9+Inputs!$F$80+AO9)/100*Time!AO20/360</f>
        <v>0.0340380555555556</v>
      </c>
      <c r="AP11" s="14" t="n">
        <f aca="false">(Operations!AP9+Inputs!$F$80+AP9)/100*Time!AP20/360</f>
        <v>0.0346022222222222</v>
      </c>
      <c r="AQ11" s="14" t="n">
        <f aca="false">(Operations!AQ9+Inputs!$F$80+AQ9)/100*Time!AQ20/360</f>
        <v>0.0340380555555556</v>
      </c>
      <c r="AR11" s="14" t="n">
        <f aca="false">(Operations!AR9+Inputs!$F$80+AR9)/100*Time!AR20/360</f>
        <v>0.0346022222222222</v>
      </c>
      <c r="AS11" s="14" t="n">
        <f aca="false">(Operations!AS9+Inputs!$F$80+AS9)/100*Time!AS20/360</f>
        <v>0.0342261111111111</v>
      </c>
      <c r="AT11" s="14" t="n">
        <f aca="false">(Operations!AT9+Inputs!$F$80+AT9)/100*Time!AT20/360</f>
        <v>0.0346022222222222</v>
      </c>
      <c r="AU11" s="14" t="n">
        <f aca="false">(Operations!AU9+Inputs!$F$80+AU9)/100*Time!AU20/360</f>
        <v>0.0340380555555556</v>
      </c>
      <c r="AV11" s="14" t="n">
        <f aca="false">(Operations!AV9+Inputs!$F$80+AV9)/100*Time!AV20/360</f>
        <v>0.0346022222222222</v>
      </c>
      <c r="AW11" s="14" t="n">
        <f aca="false">(Operations!AW9+Inputs!$F$80+AW9)/100*Time!AW20/360</f>
        <v>0.0340380555555556</v>
      </c>
      <c r="AX11" s="14" t="n">
        <f aca="false">(Operations!AX9+Inputs!$F$80+AX9)/100*Time!AX20/360</f>
        <v>0.0346022222222222</v>
      </c>
      <c r="AY11" s="14" t="n">
        <f aca="false">(Operations!AY9+Inputs!$F$80+AY9)/100*Time!AY20/360</f>
        <v>0.0340380555555556</v>
      </c>
      <c r="AZ11" s="14" t="n">
        <f aca="false">(Operations!AZ9+Inputs!$F$80+AZ9)/100*Time!AZ20/360</f>
        <v>0.0346022222222222</v>
      </c>
      <c r="BA11" s="14" t="n">
        <f aca="false">(Operations!BA9+Inputs!$F$80+BA9)/100*Time!BA20/360</f>
        <v>0.0342261111111111</v>
      </c>
      <c r="BB11" s="14" t="n">
        <f aca="false">(Operations!BB9+Inputs!$F$80+BB9)/100*Time!BB20/360</f>
        <v>0.0346022222222222</v>
      </c>
      <c r="BC11" s="14" t="n">
        <f aca="false">(Operations!BC9+Inputs!$F$80+BC9)/100*Time!BC20/360</f>
        <v>0.0340380555555556</v>
      </c>
      <c r="BD11" s="14" t="n">
        <f aca="false">(Operations!BD9+Inputs!$F$80+BD9)/100*Time!BD20/360</f>
        <v>0.0346022222222222</v>
      </c>
      <c r="BE11" s="14" t="n">
        <f aca="false">(Operations!BE9+Inputs!$F$80+BE9)/100*Time!BE20/360</f>
        <v>0.0340380555555556</v>
      </c>
      <c r="BF11" s="14" t="n">
        <f aca="false">(Operations!BF9+Inputs!$F$80+BF9)/100*Time!BF20/360</f>
        <v>0.0346022222222222</v>
      </c>
      <c r="BG11" s="14" t="n">
        <f aca="false">(Operations!BG9+Inputs!$F$80+BG9)/100*Time!BG20/360</f>
        <v>0.0340380555555556</v>
      </c>
      <c r="BH11" s="14" t="n">
        <f aca="false">(Operations!BH9+Inputs!$F$80+BH9)/100*Time!BH20/360</f>
        <v>0.0346022222222222</v>
      </c>
      <c r="BI11" s="14" t="n">
        <f aca="false">(Operations!BI9+Inputs!$F$80+BI9)/100*Time!BI20/360</f>
        <v>0.0342261111111111</v>
      </c>
      <c r="BJ11" s="14" t="n">
        <f aca="false">(Operations!BJ9+Inputs!$F$80+BJ9)/100*Time!BJ20/360</f>
        <v>0.0346022222222222</v>
      </c>
      <c r="BK11" s="14" t="n">
        <f aca="false">(Operations!BK9+Inputs!$F$80+BK9)/100*Time!BK20/360</f>
        <v>0.0340380555555556</v>
      </c>
      <c r="BL11" s="14" t="n">
        <f aca="false">(Operations!BL9+Inputs!$F$80+BL9)/100*Time!BL20/360</f>
        <v>0.0346022222222222</v>
      </c>
      <c r="BM11" s="14" t="n">
        <f aca="false">(Operations!BM9+Inputs!$F$80+BM9)/100*Time!BM20/360</f>
        <v>0.0340380555555556</v>
      </c>
      <c r="BN11" s="14" t="n">
        <f aca="false">(Operations!BN9+Inputs!$F$80+BN9)/100*Time!BN20/360</f>
        <v>0.0346022222222222</v>
      </c>
    </row>
    <row r="12" customFormat="false" ht="15" hidden="false" customHeight="false" outlineLevel="0" collapsed="false">
      <c r="D12" s="0" t="s">
        <v>641</v>
      </c>
      <c r="E12" s="0" t="s">
        <v>99</v>
      </c>
      <c r="J12" s="14" t="n">
        <f aca="false">(Operations!J9+Inputs!$F$81+J9)/100*Time!J20/360</f>
        <v>0.0302577777777778</v>
      </c>
      <c r="K12" s="14" t="n">
        <f aca="false">(Operations!K9+Inputs!$F$81+K9)/100*Time!K20/360</f>
        <v>0.0311219444444444</v>
      </c>
      <c r="L12" s="14" t="n">
        <f aca="false">(Operations!L9+Inputs!$F$81+L9)/100*Time!L20/360</f>
        <v>0.0324044444444444</v>
      </c>
      <c r="M12" s="14" t="n">
        <f aca="false">(Operations!M9+Inputs!$F$81+M9)/100*Time!M20/360</f>
        <v>0.0324566666666667</v>
      </c>
      <c r="N12" s="14" t="n">
        <f aca="false">(Operations!N9+Inputs!$F$81+N9)/100*Time!N20/360</f>
        <v>0.0330177777777778</v>
      </c>
      <c r="O12" s="14" t="n">
        <f aca="false">(Operations!O9+Inputs!$F$81+O9)/100*Time!O20/360</f>
        <v>0.0326302777777778</v>
      </c>
      <c r="P12" s="14" t="n">
        <f aca="false">(Operations!P9+Inputs!$F$81+P9)/100*Time!P20/360</f>
        <v>0.0331711111111111</v>
      </c>
      <c r="Q12" s="14" t="n">
        <f aca="false">(Operations!Q9+Inputs!$F$81+Q9)/100*Time!Q20/360</f>
        <v>0.0327308333333333</v>
      </c>
      <c r="R12" s="14" t="n">
        <f aca="false">(Operations!R9+Inputs!$F$81+R9)/100*Time!R20/360</f>
        <v>0.0332733333333333</v>
      </c>
      <c r="S12" s="14" t="n">
        <f aca="false">(Operations!S9+Inputs!$F$81+S9)/100*Time!S20/360</f>
        <v>0.0327811111111111</v>
      </c>
      <c r="T12" s="14" t="n">
        <f aca="false">(Operations!T9+Inputs!$F$81+T9)/100*Time!T20/360</f>
        <v>0.0333244444444444</v>
      </c>
      <c r="U12" s="14" t="n">
        <f aca="false">(Operations!U9+Inputs!$F$81+U9)/100*Time!U20/360</f>
        <v>0.0329622222222222</v>
      </c>
      <c r="V12" s="14" t="n">
        <f aca="false">(Operations!V9+Inputs!$F$81+V9)/100*Time!V20/360</f>
        <v>0.0333244444444444</v>
      </c>
      <c r="W12" s="14" t="n">
        <f aca="false">(Operations!W9+Inputs!$F$81+W9)/100*Time!W20/360</f>
        <v>0.0327811111111111</v>
      </c>
      <c r="X12" s="14" t="n">
        <f aca="false">(Operations!X9+Inputs!$F$81+X9)/100*Time!X20/360</f>
        <v>0.0333244444444444</v>
      </c>
      <c r="Y12" s="14" t="n">
        <f aca="false">(Operations!Y9+Inputs!$F$81+Y9)/100*Time!Y20/360</f>
        <v>0.0327811111111111</v>
      </c>
      <c r="Z12" s="14" t="n">
        <f aca="false">(Operations!Z9+Inputs!$F$81+Z9)/100*Time!Z20/360</f>
        <v>0.0333244444444444</v>
      </c>
      <c r="AA12" s="14" t="n">
        <f aca="false">(Operations!AA9+Inputs!$F$81+AA9)/100*Time!AA20/360</f>
        <v>0.0327811111111111</v>
      </c>
      <c r="AB12" s="14" t="n">
        <f aca="false">(Operations!AB9+Inputs!$F$81+AB9)/100*Time!AB20/360</f>
        <v>0.0333244444444444</v>
      </c>
      <c r="AC12" s="14" t="n">
        <f aca="false">(Operations!AC9+Inputs!$F$81+AC9)/100*Time!AC20/360</f>
        <v>0.0329622222222222</v>
      </c>
      <c r="AD12" s="14" t="n">
        <f aca="false">(Operations!AD9+Inputs!$F$81+AD9)/100*Time!AD20/360</f>
        <v>0.0333244444444444</v>
      </c>
      <c r="AE12" s="14" t="n">
        <f aca="false">(Operations!AE9+Inputs!$F$81+AE9)/100*Time!AE20/360</f>
        <v>0.0327811111111111</v>
      </c>
      <c r="AF12" s="14" t="n">
        <f aca="false">(Operations!AF9+Inputs!$F$81+AF9)/100*Time!AF20/360</f>
        <v>0.0333244444444444</v>
      </c>
      <c r="AG12" s="14" t="n">
        <f aca="false">(Operations!AG9+Inputs!$F$81+AG9)/100*Time!AG20/360</f>
        <v>0.0327811111111111</v>
      </c>
      <c r="AH12" s="14" t="n">
        <f aca="false">(Operations!AH9+Inputs!$F$81+AH9)/100*Time!AH20/360</f>
        <v>0.0333244444444444</v>
      </c>
      <c r="AI12" s="14" t="n">
        <f aca="false">(Operations!AI9+Inputs!$F$81+AI9)/100*Time!AI20/360</f>
        <v>0.0327811111111111</v>
      </c>
      <c r="AJ12" s="14" t="n">
        <f aca="false">(Operations!AJ9+Inputs!$F$81+AJ9)/100*Time!AJ20/360</f>
        <v>0.0333244444444444</v>
      </c>
      <c r="AK12" s="14" t="n">
        <f aca="false">(Operations!AK9+Inputs!$F$81+AK9)/100*Time!AK20/360</f>
        <v>0.0329622222222222</v>
      </c>
      <c r="AL12" s="14" t="n">
        <f aca="false">(Operations!AL9+Inputs!$F$81+AL9)/100*Time!AL20/360</f>
        <v>0.0333244444444444</v>
      </c>
      <c r="AM12" s="14" t="n">
        <f aca="false">(Operations!AM9+Inputs!$F$81+AM9)/100*Time!AM20/360</f>
        <v>0.0327811111111111</v>
      </c>
      <c r="AN12" s="14" t="n">
        <f aca="false">(Operations!AN9+Inputs!$F$81+AN9)/100*Time!AN20/360</f>
        <v>0.0333244444444444</v>
      </c>
      <c r="AO12" s="14" t="n">
        <f aca="false">(Operations!AO9+Inputs!$F$81+AO9)/100*Time!AO20/360</f>
        <v>0.0327811111111111</v>
      </c>
      <c r="AP12" s="14" t="n">
        <f aca="false">(Operations!AP9+Inputs!$F$81+AP9)/100*Time!AP20/360</f>
        <v>0.0333244444444444</v>
      </c>
      <c r="AQ12" s="14" t="n">
        <f aca="false">(Operations!AQ9+Inputs!$F$81+AQ9)/100*Time!AQ20/360</f>
        <v>0.0327811111111111</v>
      </c>
      <c r="AR12" s="14" t="n">
        <f aca="false">(Operations!AR9+Inputs!$F$81+AR9)/100*Time!AR20/360</f>
        <v>0.0333244444444444</v>
      </c>
      <c r="AS12" s="14" t="n">
        <f aca="false">(Operations!AS9+Inputs!$F$81+AS9)/100*Time!AS20/360</f>
        <v>0.0329622222222222</v>
      </c>
      <c r="AT12" s="14" t="n">
        <f aca="false">(Operations!AT9+Inputs!$F$81+AT9)/100*Time!AT20/360</f>
        <v>0.0333244444444444</v>
      </c>
      <c r="AU12" s="14" t="n">
        <f aca="false">(Operations!AU9+Inputs!$F$81+AU9)/100*Time!AU20/360</f>
        <v>0.0327811111111111</v>
      </c>
      <c r="AV12" s="14" t="n">
        <f aca="false">(Operations!AV9+Inputs!$F$81+AV9)/100*Time!AV20/360</f>
        <v>0.0333244444444444</v>
      </c>
      <c r="AW12" s="14" t="n">
        <f aca="false">(Operations!AW9+Inputs!$F$81+AW9)/100*Time!AW20/360</f>
        <v>0.0327811111111111</v>
      </c>
      <c r="AX12" s="14" t="n">
        <f aca="false">(Operations!AX9+Inputs!$F$81+AX9)/100*Time!AX20/360</f>
        <v>0.0333244444444444</v>
      </c>
      <c r="AY12" s="14" t="n">
        <f aca="false">(Operations!AY9+Inputs!$F$81+AY9)/100*Time!AY20/360</f>
        <v>0.0327811111111111</v>
      </c>
      <c r="AZ12" s="14" t="n">
        <f aca="false">(Operations!AZ9+Inputs!$F$81+AZ9)/100*Time!AZ20/360</f>
        <v>0.0333244444444444</v>
      </c>
      <c r="BA12" s="14" t="n">
        <f aca="false">(Operations!BA9+Inputs!$F$81+BA9)/100*Time!BA20/360</f>
        <v>0.0329622222222222</v>
      </c>
      <c r="BB12" s="14" t="n">
        <f aca="false">(Operations!BB9+Inputs!$F$81+BB9)/100*Time!BB20/360</f>
        <v>0.0333244444444444</v>
      </c>
      <c r="BC12" s="14" t="n">
        <f aca="false">(Operations!BC9+Inputs!$F$81+BC9)/100*Time!BC20/360</f>
        <v>0.0327811111111111</v>
      </c>
      <c r="BD12" s="14" t="n">
        <f aca="false">(Operations!BD9+Inputs!$F$81+BD9)/100*Time!BD20/360</f>
        <v>0.0333244444444444</v>
      </c>
      <c r="BE12" s="14" t="n">
        <f aca="false">(Operations!BE9+Inputs!$F$81+BE9)/100*Time!BE20/360</f>
        <v>0.0327811111111111</v>
      </c>
      <c r="BF12" s="14" t="n">
        <f aca="false">(Operations!BF9+Inputs!$F$81+BF9)/100*Time!BF20/360</f>
        <v>0.0333244444444444</v>
      </c>
      <c r="BG12" s="14" t="n">
        <f aca="false">(Operations!BG9+Inputs!$F$81+BG9)/100*Time!BG20/360</f>
        <v>0.0327811111111111</v>
      </c>
      <c r="BH12" s="14" t="n">
        <f aca="false">(Operations!BH9+Inputs!$F$81+BH9)/100*Time!BH20/360</f>
        <v>0.0333244444444444</v>
      </c>
      <c r="BI12" s="14" t="n">
        <f aca="false">(Operations!BI9+Inputs!$F$81+BI9)/100*Time!BI20/360</f>
        <v>0.0329622222222222</v>
      </c>
      <c r="BJ12" s="14" t="n">
        <f aca="false">(Operations!BJ9+Inputs!$F$81+BJ9)/100*Time!BJ20/360</f>
        <v>0.0333244444444444</v>
      </c>
      <c r="BK12" s="14" t="n">
        <f aca="false">(Operations!BK9+Inputs!$F$81+BK9)/100*Time!BK20/360</f>
        <v>0.0327811111111111</v>
      </c>
      <c r="BL12" s="14" t="n">
        <f aca="false">(Operations!BL9+Inputs!$F$81+BL9)/100*Time!BL20/360</f>
        <v>0.0333244444444444</v>
      </c>
      <c r="BM12" s="14" t="n">
        <f aca="false">(Operations!BM9+Inputs!$F$81+BM9)/100*Time!BM20/360</f>
        <v>0.0327811111111111</v>
      </c>
      <c r="BN12" s="14" t="n">
        <f aca="false">(Operations!BN9+Inputs!$F$81+BN9)/100*Time!BN20/360</f>
        <v>0.0333244444444444</v>
      </c>
    </row>
    <row r="13" customFormat="false" ht="15" hidden="false" customHeight="false" outlineLevel="0" collapsed="false">
      <c r="D13" s="0" t="s">
        <v>642</v>
      </c>
      <c r="E13" s="0" t="s">
        <v>99</v>
      </c>
      <c r="J13" s="14" t="n">
        <f aca="false">(Operations!J9+J8+J9)/100*Time!J20/360/(1-Inputs!$F$93/100)</f>
        <v>0.0375950617283951</v>
      </c>
      <c r="K13" s="14" t="n">
        <f aca="false">(Operations!K9+K8+K9)/100*Time!K20/360/(1-Inputs!$F$93/100)</f>
        <v>0.0384904320987654</v>
      </c>
      <c r="L13" s="14" t="n">
        <f aca="false">(Operations!L9+L8+L9)/100*Time!L20/360/(1-Inputs!$F$93/100)</f>
        <v>0.0399802469135802</v>
      </c>
      <c r="M13" s="14" t="n">
        <f aca="false">(Operations!M9+M8+M9)/100*Time!M20/360/(1-Inputs!$F$93/100)</f>
        <v>0.0399950617283951</v>
      </c>
      <c r="N13" s="14" t="n">
        <f aca="false">(Operations!N9+N8+N9)/100*Time!N20/360/(1-Inputs!$F$93/100)</f>
        <v>0.0406617283950617</v>
      </c>
      <c r="O13" s="14" t="n">
        <f aca="false">(Operations!O9+O8+O9)/100*Time!O20/360/(1-Inputs!$F$93/100)</f>
        <v>0.0401663580246914</v>
      </c>
      <c r="P13" s="14" t="n">
        <f aca="false">(Operations!P9+P8+P9)/100*Time!P20/360/(1-Inputs!$F$93/100)</f>
        <v>0.0408320987654321</v>
      </c>
      <c r="Q13" s="14" t="n">
        <f aca="false">(Operations!Q9+Q8+Q9)/100*Time!Q20/360/(1-Inputs!$F$93/100)</f>
        <v>0.0402780864197531</v>
      </c>
      <c r="R13" s="14" t="n">
        <f aca="false">(Operations!R9+R8+R9)/100*Time!R20/360/(1-Inputs!$F$93/100)</f>
        <v>0.0409456790123457</v>
      </c>
      <c r="S13" s="14" t="n">
        <f aca="false">(Operations!S9+S8+S9)/100*Time!S20/360/(1-Inputs!$F$93/100)</f>
        <v>0.040333950617284</v>
      </c>
      <c r="T13" s="14" t="n">
        <f aca="false">(Operations!T9+T8+T9)/100*Time!T20/360/(1-Inputs!$F$93/100)</f>
        <v>0.0410024691358025</v>
      </c>
      <c r="U13" s="14" t="n">
        <f aca="false">(Operations!U9+U8+U9)/100*Time!U20/360/(1-Inputs!$F$93/100)</f>
        <v>0.0405567901234568</v>
      </c>
      <c r="V13" s="14" t="n">
        <f aca="false">(Operations!V9+V8+V9)/100*Time!V20/360/(1-Inputs!$F$93/100)</f>
        <v>0.0410024691358025</v>
      </c>
      <c r="W13" s="14" t="n">
        <f aca="false">(Operations!W9+W8+W9)/100*Time!W20/360/(1-Inputs!$F$93/100)</f>
        <v>0.040333950617284</v>
      </c>
      <c r="X13" s="14" t="n">
        <f aca="false">(Operations!X9+X8+X9)/100*Time!X20/360/(1-Inputs!$F$93/100)</f>
        <v>0.0410024691358025</v>
      </c>
      <c r="Y13" s="14" t="n">
        <f aca="false">(Operations!Y9+Y8+Y9)/100*Time!Y20/360/(1-Inputs!$F$93/100)</f>
        <v>0.0431271604938272</v>
      </c>
      <c r="Z13" s="14" t="n">
        <f aca="false">(Operations!Z9+Z8+Z9)/100*Time!Z20/360/(1-Inputs!$F$93/100)</f>
        <v>0.043841975308642</v>
      </c>
      <c r="AA13" s="14" t="n">
        <f aca="false">(Operations!AA9+AA8+AA9)/100*Time!AA20/360/(1-Inputs!$F$93/100)</f>
        <v>0.0431271604938272</v>
      </c>
      <c r="AB13" s="14" t="n">
        <f aca="false">(Operations!AB9+AB8+AB9)/100*Time!AB20/360/(1-Inputs!$F$93/100)</f>
        <v>0.043841975308642</v>
      </c>
      <c r="AC13" s="14" t="n">
        <f aca="false">(Operations!AC9+AC8+AC9)/100*Time!AC20/360/(1-Inputs!$F$93/100)</f>
        <v>0.0433654320987654</v>
      </c>
      <c r="AD13" s="14" t="n">
        <f aca="false">(Operations!AD9+AD8+AD9)/100*Time!AD20/360/(1-Inputs!$F$93/100)</f>
        <v>0.043841975308642</v>
      </c>
      <c r="AE13" s="14" t="n">
        <f aca="false">(Operations!AE9+AE8+AE9)/100*Time!AE20/360/(1-Inputs!$F$93/100)</f>
        <v>0.0431271604938272</v>
      </c>
      <c r="AF13" s="14" t="n">
        <f aca="false">(Operations!AF9+AF8+AF9)/100*Time!AF20/360/(1-Inputs!$F$93/100)</f>
        <v>0.043841975308642</v>
      </c>
      <c r="AG13" s="14" t="n">
        <f aca="false">(Operations!AG9+AG8+AG9)/100*Time!AG20/360/(1-Inputs!$F$93/100)</f>
        <v>0.0459203703703704</v>
      </c>
      <c r="AH13" s="14" t="n">
        <f aca="false">(Operations!AH9+AH8+AH9)/100*Time!AH20/360/(1-Inputs!$F$93/100)</f>
        <v>0.0466814814814815</v>
      </c>
      <c r="AI13" s="14" t="n">
        <f aca="false">(Operations!AI9+AI8+AI9)/100*Time!AI20/360/(1-Inputs!$F$93/100)</f>
        <v>0.0459203703703704</v>
      </c>
      <c r="AJ13" s="14" t="n">
        <f aca="false">(Operations!AJ9+AJ8+AJ9)/100*Time!AJ20/360/(1-Inputs!$F$93/100)</f>
        <v>0.0466814814814815</v>
      </c>
      <c r="AK13" s="14" t="n">
        <f aca="false">(Operations!AK9+AK8+AK9)/100*Time!AK20/360/(1-Inputs!$F$93/100)</f>
        <v>0.0461740740740741</v>
      </c>
      <c r="AL13" s="14" t="n">
        <f aca="false">(Operations!AL9+AL8+AL9)/100*Time!AL20/360/(1-Inputs!$F$93/100)</f>
        <v>0.0466814814814815</v>
      </c>
      <c r="AM13" s="14" t="n">
        <f aca="false">(Operations!AM9+AM8+AM9)/100*Time!AM20/360/(1-Inputs!$F$93/100)</f>
        <v>0.0459203703703704</v>
      </c>
      <c r="AN13" s="14" t="n">
        <f aca="false">(Operations!AN9+AN8+AN9)/100*Time!AN20/360/(1-Inputs!$F$93/100)</f>
        <v>0.0466814814814815</v>
      </c>
      <c r="AO13" s="14" t="n">
        <f aca="false">(Operations!AO9+AO8+AO9)/100*Time!AO20/360/(1-Inputs!$F$93/100)</f>
        <v>0.0459203703703704</v>
      </c>
      <c r="AP13" s="14" t="n">
        <f aca="false">(Operations!AP9+AP8+AP9)/100*Time!AP20/360/(1-Inputs!$F$93/100)</f>
        <v>0.0466814814814815</v>
      </c>
      <c r="AQ13" s="14" t="n">
        <f aca="false">(Operations!AQ9+AQ8+AQ9)/100*Time!AQ20/360/(1-Inputs!$F$93/100)</f>
        <v>0.0459203703703704</v>
      </c>
      <c r="AR13" s="14" t="n">
        <f aca="false">(Operations!AR9+AR8+AR9)/100*Time!AR20/360/(1-Inputs!$F$93/100)</f>
        <v>0.0466814814814815</v>
      </c>
      <c r="AS13" s="14" t="n">
        <f aca="false">(Operations!AS9+AS8+AS9)/100*Time!AS20/360/(1-Inputs!$F$93/100)</f>
        <v>0.0461740740740741</v>
      </c>
      <c r="AT13" s="14" t="n">
        <f aca="false">(Operations!AT9+AT8+AT9)/100*Time!AT20/360/(1-Inputs!$F$93/100)</f>
        <v>0.0466814814814815</v>
      </c>
      <c r="AU13" s="14" t="n">
        <f aca="false">(Operations!AU9+AU8+AU9)/100*Time!AU20/360/(1-Inputs!$F$93/100)</f>
        <v>0.0459203703703704</v>
      </c>
      <c r="AV13" s="14" t="n">
        <f aca="false">(Operations!AV9+AV8+AV9)/100*Time!AV20/360/(1-Inputs!$F$93/100)</f>
        <v>0.0466814814814815</v>
      </c>
      <c r="AW13" s="14" t="n">
        <f aca="false">(Operations!AW9+AW8+AW9)/100*Time!AW20/360/(1-Inputs!$F$93/100)</f>
        <v>0.0459203703703704</v>
      </c>
      <c r="AX13" s="14" t="n">
        <f aca="false">(Operations!AX9+AX8+AX9)/100*Time!AX20/360/(1-Inputs!$F$93/100)</f>
        <v>0.0466814814814815</v>
      </c>
      <c r="AY13" s="14" t="n">
        <f aca="false">(Operations!AY9+AY8+AY9)/100*Time!AY20/360/(1-Inputs!$F$93/100)</f>
        <v>0.0459203703703704</v>
      </c>
      <c r="AZ13" s="14" t="n">
        <f aca="false">(Operations!AZ9+AZ8+AZ9)/100*Time!AZ20/360/(1-Inputs!$F$93/100)</f>
        <v>0.0466814814814815</v>
      </c>
      <c r="BA13" s="14" t="n">
        <f aca="false">(Operations!BA9+BA8+BA9)/100*Time!BA20/360/(1-Inputs!$F$93/100)</f>
        <v>0.0461740740740741</v>
      </c>
      <c r="BB13" s="14" t="n">
        <f aca="false">(Operations!BB9+BB8+BB9)/100*Time!BB20/360/(1-Inputs!$F$93/100)</f>
        <v>0.0466814814814815</v>
      </c>
      <c r="BC13" s="14" t="n">
        <f aca="false">(Operations!BC9+BC8+BC9)/100*Time!BC20/360/(1-Inputs!$F$93/100)</f>
        <v>0.0459203703703704</v>
      </c>
      <c r="BD13" s="14" t="n">
        <f aca="false">(Operations!BD9+BD8+BD9)/100*Time!BD20/360/(1-Inputs!$F$93/100)</f>
        <v>0.0466814814814815</v>
      </c>
      <c r="BE13" s="14" t="n">
        <f aca="false">(Operations!BE9+BE8+BE9)/100*Time!BE20/360/(1-Inputs!$F$93/100)</f>
        <v>0.0459203703703704</v>
      </c>
      <c r="BF13" s="14" t="n">
        <f aca="false">(Operations!BF9+BF8+BF9)/100*Time!BF20/360/(1-Inputs!$F$93/100)</f>
        <v>0.0466814814814815</v>
      </c>
      <c r="BG13" s="14" t="n">
        <f aca="false">(Operations!BG9+BG8+BG9)/100*Time!BG20/360/(1-Inputs!$F$93/100)</f>
        <v>0.0459203703703704</v>
      </c>
      <c r="BH13" s="14" t="n">
        <f aca="false">(Operations!BH9+BH8+BH9)/100*Time!BH20/360/(1-Inputs!$F$93/100)</f>
        <v>0.0466814814814815</v>
      </c>
      <c r="BI13" s="14" t="n">
        <f aca="false">(Operations!BI9+BI8+BI9)/100*Time!BI20/360/(1-Inputs!$F$93/100)</f>
        <v>0.0461740740740741</v>
      </c>
      <c r="BJ13" s="14" t="n">
        <f aca="false">(Operations!BJ9+BJ8+BJ9)/100*Time!BJ20/360/(1-Inputs!$F$93/100)</f>
        <v>0.0466814814814815</v>
      </c>
      <c r="BK13" s="14" t="n">
        <f aca="false">(Operations!BK9+BK8+BK9)/100*Time!BK20/360/(1-Inputs!$F$93/100)</f>
        <v>0.0459203703703704</v>
      </c>
      <c r="BL13" s="14" t="n">
        <f aca="false">(Operations!BL9+BL8+BL9)/100*Time!BL20/360/(1-Inputs!$F$93/100)</f>
        <v>0.0466814814814815</v>
      </c>
      <c r="BM13" s="14" t="n">
        <f aca="false">(Operations!BM9+BM8+BM9)/100*Time!BM20/360/(1-Inputs!$F$93/100)</f>
        <v>0.0459203703703704</v>
      </c>
      <c r="BN13" s="14" t="n">
        <f aca="false">(Operations!BN9+BN8+BN9)/100*Time!BN20/360/(1-Inputs!$F$93/100)</f>
        <v>0.0466814814814815</v>
      </c>
    </row>
    <row r="14" customFormat="false" ht="15" hidden="false" customHeight="false" outlineLevel="0" collapsed="false">
      <c r="D14" s="0" t="s">
        <v>643</v>
      </c>
      <c r="E14" s="0" t="s">
        <v>99</v>
      </c>
      <c r="J14" s="14" t="n">
        <f aca="false">(Inputs!$F$102*(Operations!J9+J8+Inputs!$F$101+J9)/(1-Inputs!$F$93/100)+(1-Inputs!$F$102)*(Operations!J9+Inputs!$F$80+Inputs!$F$101+J9))/100*Time!J20/360</f>
        <v>0.0365342222222222</v>
      </c>
      <c r="K14" s="14" t="n">
        <f aca="false">(Inputs!$F$102*(Operations!K9+K8+Inputs!$F$101+K9)/(1-Inputs!$F$93/100)+(1-Inputs!$F$102)*(Operations!K9+Inputs!$F$80+Inputs!$F$101+K9))/100*Time!K20/360</f>
        <v>0.0373865555555556</v>
      </c>
      <c r="L14" s="14" t="n">
        <f aca="false">(Inputs!$F$102*(Operations!L9+L8+Inputs!$F$101+L9)/(1-Inputs!$F$93/100)+(1-Inputs!$F$102)*(Operations!L9+Inputs!$F$80+Inputs!$F$101+L9))/100*Time!L20/360</f>
        <v>0.038824</v>
      </c>
      <c r="M14" s="14" t="n">
        <f aca="false">(Inputs!$F$102*(Operations!M9+M8+Inputs!$F$101+M9)/(1-Inputs!$F$93/100)+(1-Inputs!$F$102)*(Operations!M9+Inputs!$F$80+Inputs!$F$101+M9))/100*Time!M20/360</f>
        <v>0.0388334074074074</v>
      </c>
      <c r="N14" s="14" t="n">
        <f aca="false">(Inputs!$F$102*(Operations!N9+N8+Inputs!$F$101+N9)/(1-Inputs!$F$93/100)+(1-Inputs!$F$102)*(Operations!N9+Inputs!$F$80+Inputs!$F$101+N9))/100*Time!N20/360</f>
        <v>0.0394782222222222</v>
      </c>
      <c r="O14" s="14" t="n">
        <f aca="false">(Inputs!$F$102*(Operations!O9+O8+Inputs!$F$101+O9)/(1-Inputs!$F$93/100)+(1-Inputs!$F$102)*(Operations!O9+Inputs!$F$80+Inputs!$F$101+O9))/100*Time!O20/360</f>
        <v>0.0389954444444444</v>
      </c>
      <c r="P14" s="14" t="n">
        <f aca="false">(Inputs!$F$102*(Operations!P9+P8+Inputs!$F$101+P9)/(1-Inputs!$F$93/100)+(1-Inputs!$F$102)*(Operations!P9+Inputs!$F$80+Inputs!$F$101+P9))/100*Time!P20/360</f>
        <v>0.0396417777777778</v>
      </c>
      <c r="Q14" s="14" t="n">
        <f aca="false">(Inputs!$F$102*(Operations!Q9+Q8+Inputs!$F$101+Q9)/(1-Inputs!$F$93/100)+(1-Inputs!$F$102)*(Operations!Q9+Inputs!$F$80+Inputs!$F$101+Q9))/100*Time!Q20/360</f>
        <v>0.0391027037037037</v>
      </c>
      <c r="R14" s="14" t="n">
        <f aca="false">(Inputs!$F$102*(Operations!R9+R8+Inputs!$F$101+R9)/(1-Inputs!$F$93/100)+(1-Inputs!$F$102)*(Operations!R9+Inputs!$F$80+Inputs!$F$101+R9))/100*Time!R20/360</f>
        <v>0.0397508148148148</v>
      </c>
      <c r="S14" s="14" t="n">
        <f aca="false">(Inputs!$F$102*(Operations!S9+S8+Inputs!$F$101+S9)/(1-Inputs!$F$93/100)+(1-Inputs!$F$102)*(Operations!S9+Inputs!$F$80+Inputs!$F$101+S9))/100*Time!S20/360</f>
        <v>0.0391563333333333</v>
      </c>
      <c r="T14" s="14" t="n">
        <f aca="false">(Inputs!$F$102*(Operations!T9+T8+Inputs!$F$101+T9)/(1-Inputs!$F$93/100)+(1-Inputs!$F$102)*(Operations!T9+Inputs!$F$80+Inputs!$F$101+T9))/100*Time!T20/360</f>
        <v>0.0398053333333333</v>
      </c>
      <c r="U14" s="14" t="n">
        <f aca="false">(Inputs!$F$102*(Operations!U9+U8+Inputs!$F$101+U9)/(1-Inputs!$F$93/100)+(1-Inputs!$F$102)*(Operations!U9+Inputs!$F$80+Inputs!$F$101+U9))/100*Time!U20/360</f>
        <v>0.0393726666666667</v>
      </c>
      <c r="V14" s="14" t="n">
        <f aca="false">(Inputs!$F$102*(Operations!V9+V8+Inputs!$F$101+V9)/(1-Inputs!$F$93/100)+(1-Inputs!$F$102)*(Operations!V9+Inputs!$F$80+Inputs!$F$101+V9))/100*Time!V20/360</f>
        <v>0.0398053333333333</v>
      </c>
      <c r="W14" s="14" t="n">
        <f aca="false">(Inputs!$F$102*(Operations!W9+W8+Inputs!$F$101+W9)/(1-Inputs!$F$93/100)+(1-Inputs!$F$102)*(Operations!W9+Inputs!$F$80+Inputs!$F$101+W9))/100*Time!W20/360</f>
        <v>0.0391563333333333</v>
      </c>
      <c r="X14" s="14" t="n">
        <f aca="false">(Inputs!$F$102*(Operations!X9+X8+Inputs!$F$101+X9)/(1-Inputs!$F$93/100)+(1-Inputs!$F$102)*(Operations!X9+Inputs!$F$80+Inputs!$F$101+X9))/100*Time!X20/360</f>
        <v>0.0398053333333333</v>
      </c>
      <c r="Y14" s="14" t="n">
        <f aca="false">(Inputs!$F$102*(Operations!Y9+Y8+Inputs!$F$101+Y9)/(1-Inputs!$F$93/100)+(1-Inputs!$F$102)*(Operations!Y9+Inputs!$F$80+Inputs!$F$101+Y9))/100*Time!Y20/360</f>
        <v>0.0408322592592593</v>
      </c>
      <c r="Z14" s="14" t="n">
        <f aca="false">(Inputs!$F$102*(Operations!Z9+Z8+Inputs!$F$101+Z9)/(1-Inputs!$F$93/100)+(1-Inputs!$F$102)*(Operations!Z9+Inputs!$F$80+Inputs!$F$101+Z9))/100*Time!Z20/360</f>
        <v>0.041509037037037</v>
      </c>
      <c r="AA14" s="14" t="n">
        <f aca="false">(Inputs!$F$102*(Operations!AA9+AA8+Inputs!$F$101+AA9)/(1-Inputs!$F$93/100)+(1-Inputs!$F$102)*(Operations!AA9+Inputs!$F$80+Inputs!$F$101+AA9))/100*Time!AA20/360</f>
        <v>0.0408322592592593</v>
      </c>
      <c r="AB14" s="14" t="n">
        <f aca="false">(Inputs!$F$102*(Operations!AB9+AB8+Inputs!$F$101+AB9)/(1-Inputs!$F$93/100)+(1-Inputs!$F$102)*(Operations!AB9+Inputs!$F$80+Inputs!$F$101+AB9))/100*Time!AB20/360</f>
        <v>0.041509037037037</v>
      </c>
      <c r="AC14" s="14" t="n">
        <f aca="false">(Inputs!$F$102*(Operations!AC9+AC8+Inputs!$F$101+AC9)/(1-Inputs!$F$93/100)+(1-Inputs!$F$102)*(Operations!AC9+Inputs!$F$80+Inputs!$F$101+AC9))/100*Time!AC20/360</f>
        <v>0.0410578518518518</v>
      </c>
      <c r="AD14" s="14" t="n">
        <f aca="false">(Inputs!$F$102*(Operations!AD9+AD8+Inputs!$F$101+AD9)/(1-Inputs!$F$93/100)+(1-Inputs!$F$102)*(Operations!AD9+Inputs!$F$80+Inputs!$F$101+AD9))/100*Time!AD20/360</f>
        <v>0.041509037037037</v>
      </c>
      <c r="AE14" s="14" t="n">
        <f aca="false">(Inputs!$F$102*(Operations!AE9+AE8+Inputs!$F$101+AE9)/(1-Inputs!$F$93/100)+(1-Inputs!$F$102)*(Operations!AE9+Inputs!$F$80+Inputs!$F$101+AE9))/100*Time!AE20/360</f>
        <v>0.0408322592592593</v>
      </c>
      <c r="AF14" s="14" t="n">
        <f aca="false">(Inputs!$F$102*(Operations!AF9+AF8+Inputs!$F$101+AF9)/(1-Inputs!$F$93/100)+(1-Inputs!$F$102)*(Operations!AF9+Inputs!$F$80+Inputs!$F$101+AF9))/100*Time!AF20/360</f>
        <v>0.041509037037037</v>
      </c>
      <c r="AG14" s="14" t="n">
        <f aca="false">(Inputs!$F$102*(Operations!AG9+AG8+Inputs!$F$101+AG9)/(1-Inputs!$F$93/100)+(1-Inputs!$F$102)*(Operations!AG9+Inputs!$F$80+Inputs!$F$101+AG9))/100*Time!AG20/360</f>
        <v>0.0425081851851852</v>
      </c>
      <c r="AH14" s="14" t="n">
        <f aca="false">(Inputs!$F$102*(Operations!AH9+AH8+Inputs!$F$101+AH9)/(1-Inputs!$F$93/100)+(1-Inputs!$F$102)*(Operations!AH9+Inputs!$F$80+Inputs!$F$101+AH9))/100*Time!AH20/360</f>
        <v>0.0432127407407407</v>
      </c>
      <c r="AI14" s="14" t="n">
        <f aca="false">(Inputs!$F$102*(Operations!AI9+AI8+Inputs!$F$101+AI9)/(1-Inputs!$F$93/100)+(1-Inputs!$F$102)*(Operations!AI9+Inputs!$F$80+Inputs!$F$101+AI9))/100*Time!AI20/360</f>
        <v>0.0425081851851852</v>
      </c>
      <c r="AJ14" s="14" t="n">
        <f aca="false">(Inputs!$F$102*(Operations!AJ9+AJ8+Inputs!$F$101+AJ9)/(1-Inputs!$F$93/100)+(1-Inputs!$F$102)*(Operations!AJ9+Inputs!$F$80+Inputs!$F$101+AJ9))/100*Time!AJ20/360</f>
        <v>0.0432127407407407</v>
      </c>
      <c r="AK14" s="14" t="n">
        <f aca="false">(Inputs!$F$102*(Operations!AK9+AK8+Inputs!$F$101+AK9)/(1-Inputs!$F$93/100)+(1-Inputs!$F$102)*(Operations!AK9+Inputs!$F$80+Inputs!$F$101+AK9))/100*Time!AK20/360</f>
        <v>0.042743037037037</v>
      </c>
      <c r="AL14" s="14" t="n">
        <f aca="false">(Inputs!$F$102*(Operations!AL9+AL8+Inputs!$F$101+AL9)/(1-Inputs!$F$93/100)+(1-Inputs!$F$102)*(Operations!AL9+Inputs!$F$80+Inputs!$F$101+AL9))/100*Time!AL20/360</f>
        <v>0.0432127407407407</v>
      </c>
      <c r="AM14" s="14" t="n">
        <f aca="false">(Inputs!$F$102*(Operations!AM9+AM8+Inputs!$F$101+AM9)/(1-Inputs!$F$93/100)+(1-Inputs!$F$102)*(Operations!AM9+Inputs!$F$80+Inputs!$F$101+AM9))/100*Time!AM20/360</f>
        <v>0.0425081851851852</v>
      </c>
      <c r="AN14" s="14" t="n">
        <f aca="false">(Inputs!$F$102*(Operations!AN9+AN8+Inputs!$F$101+AN9)/(1-Inputs!$F$93/100)+(1-Inputs!$F$102)*(Operations!AN9+Inputs!$F$80+Inputs!$F$101+AN9))/100*Time!AN20/360</f>
        <v>0.0432127407407407</v>
      </c>
      <c r="AO14" s="14" t="n">
        <f aca="false">(Inputs!$F$102*(Operations!AO9+AO8+Inputs!$F$101+AO9)/(1-Inputs!$F$93/100)+(1-Inputs!$F$102)*(Operations!AO9+Inputs!$F$80+Inputs!$F$101+AO9))/100*Time!AO20/360</f>
        <v>0.0425081851851852</v>
      </c>
      <c r="AP14" s="14" t="n">
        <f aca="false">(Inputs!$F$102*(Operations!AP9+AP8+Inputs!$F$101+AP9)/(1-Inputs!$F$93/100)+(1-Inputs!$F$102)*(Operations!AP9+Inputs!$F$80+Inputs!$F$101+AP9))/100*Time!AP20/360</f>
        <v>0.0432127407407407</v>
      </c>
      <c r="AQ14" s="14" t="n">
        <f aca="false">(Inputs!$F$102*(Operations!AQ9+AQ8+Inputs!$F$101+AQ9)/(1-Inputs!$F$93/100)+(1-Inputs!$F$102)*(Operations!AQ9+Inputs!$F$80+Inputs!$F$101+AQ9))/100*Time!AQ20/360</f>
        <v>0.0425081851851852</v>
      </c>
      <c r="AR14" s="14" t="n">
        <f aca="false">(Inputs!$F$102*(Operations!AR9+AR8+Inputs!$F$101+AR9)/(1-Inputs!$F$93/100)+(1-Inputs!$F$102)*(Operations!AR9+Inputs!$F$80+Inputs!$F$101+AR9))/100*Time!AR20/360</f>
        <v>0.0432127407407407</v>
      </c>
      <c r="AS14" s="14" t="n">
        <f aca="false">(Inputs!$F$102*(Operations!AS9+AS8+Inputs!$F$101+AS9)/(1-Inputs!$F$93/100)+(1-Inputs!$F$102)*(Operations!AS9+Inputs!$F$80+Inputs!$F$101+AS9))/100*Time!AS20/360</f>
        <v>0.042743037037037</v>
      </c>
      <c r="AT14" s="14" t="n">
        <f aca="false">(Inputs!$F$102*(Operations!AT9+AT8+Inputs!$F$101+AT9)/(1-Inputs!$F$93/100)+(1-Inputs!$F$102)*(Operations!AT9+Inputs!$F$80+Inputs!$F$101+AT9))/100*Time!AT20/360</f>
        <v>0.0432127407407407</v>
      </c>
      <c r="AU14" s="14" t="n">
        <f aca="false">(Inputs!$F$102*(Operations!AU9+AU8+Inputs!$F$101+AU9)/(1-Inputs!$F$93/100)+(1-Inputs!$F$102)*(Operations!AU9+Inputs!$F$80+Inputs!$F$101+AU9))/100*Time!AU20/360</f>
        <v>0.0425081851851852</v>
      </c>
      <c r="AV14" s="14" t="n">
        <f aca="false">(Inputs!$F$102*(Operations!AV9+AV8+Inputs!$F$101+AV9)/(1-Inputs!$F$93/100)+(1-Inputs!$F$102)*(Operations!AV9+Inputs!$F$80+Inputs!$F$101+AV9))/100*Time!AV20/360</f>
        <v>0.0432127407407407</v>
      </c>
      <c r="AW14" s="14" t="n">
        <f aca="false">(Inputs!$F$102*(Operations!AW9+AW8+Inputs!$F$101+AW9)/(1-Inputs!$F$93/100)+(1-Inputs!$F$102)*(Operations!AW9+Inputs!$F$80+Inputs!$F$101+AW9))/100*Time!AW20/360</f>
        <v>0.0425081851851852</v>
      </c>
      <c r="AX14" s="14" t="n">
        <f aca="false">(Inputs!$F$102*(Operations!AX9+AX8+Inputs!$F$101+AX9)/(1-Inputs!$F$93/100)+(1-Inputs!$F$102)*(Operations!AX9+Inputs!$F$80+Inputs!$F$101+AX9))/100*Time!AX20/360</f>
        <v>0.0432127407407407</v>
      </c>
      <c r="AY14" s="14" t="n">
        <f aca="false">(Inputs!$F$102*(Operations!AY9+AY8+Inputs!$F$101+AY9)/(1-Inputs!$F$93/100)+(1-Inputs!$F$102)*(Operations!AY9+Inputs!$F$80+Inputs!$F$101+AY9))/100*Time!AY20/360</f>
        <v>0.0425081851851852</v>
      </c>
      <c r="AZ14" s="14" t="n">
        <f aca="false">(Inputs!$F$102*(Operations!AZ9+AZ8+Inputs!$F$101+AZ9)/(1-Inputs!$F$93/100)+(1-Inputs!$F$102)*(Operations!AZ9+Inputs!$F$80+Inputs!$F$101+AZ9))/100*Time!AZ20/360</f>
        <v>0.0432127407407407</v>
      </c>
      <c r="BA14" s="14" t="n">
        <f aca="false">(Inputs!$F$102*(Operations!BA9+BA8+Inputs!$F$101+BA9)/(1-Inputs!$F$93/100)+(1-Inputs!$F$102)*(Operations!BA9+Inputs!$F$80+Inputs!$F$101+BA9))/100*Time!BA20/360</f>
        <v>0.042743037037037</v>
      </c>
      <c r="BB14" s="14" t="n">
        <f aca="false">(Inputs!$F$102*(Operations!BB9+BB8+Inputs!$F$101+BB9)/(1-Inputs!$F$93/100)+(1-Inputs!$F$102)*(Operations!BB9+Inputs!$F$80+Inputs!$F$101+BB9))/100*Time!BB20/360</f>
        <v>0.0432127407407407</v>
      </c>
      <c r="BC14" s="14" t="n">
        <f aca="false">(Inputs!$F$102*(Operations!BC9+BC8+Inputs!$F$101+BC9)/(1-Inputs!$F$93/100)+(1-Inputs!$F$102)*(Operations!BC9+Inputs!$F$80+Inputs!$F$101+BC9))/100*Time!BC20/360</f>
        <v>0.0425081851851852</v>
      </c>
      <c r="BD14" s="14" t="n">
        <f aca="false">(Inputs!$F$102*(Operations!BD9+BD8+Inputs!$F$101+BD9)/(1-Inputs!$F$93/100)+(1-Inputs!$F$102)*(Operations!BD9+Inputs!$F$80+Inputs!$F$101+BD9))/100*Time!BD20/360</f>
        <v>0.0432127407407407</v>
      </c>
      <c r="BE14" s="14" t="n">
        <f aca="false">(Inputs!$F$102*(Operations!BE9+BE8+Inputs!$F$101+BE9)/(1-Inputs!$F$93/100)+(1-Inputs!$F$102)*(Operations!BE9+Inputs!$F$80+Inputs!$F$101+BE9))/100*Time!BE20/360</f>
        <v>0.0425081851851852</v>
      </c>
      <c r="BF14" s="14" t="n">
        <f aca="false">(Inputs!$F$102*(Operations!BF9+BF8+Inputs!$F$101+BF9)/(1-Inputs!$F$93/100)+(1-Inputs!$F$102)*(Operations!BF9+Inputs!$F$80+Inputs!$F$101+BF9))/100*Time!BF20/360</f>
        <v>0.0432127407407407</v>
      </c>
      <c r="BG14" s="14" t="n">
        <f aca="false">(Inputs!$F$102*(Operations!BG9+BG8+Inputs!$F$101+BG9)/(1-Inputs!$F$93/100)+(1-Inputs!$F$102)*(Operations!BG9+Inputs!$F$80+Inputs!$F$101+BG9))/100*Time!BG20/360</f>
        <v>0.0425081851851852</v>
      </c>
      <c r="BH14" s="14" t="n">
        <f aca="false">(Inputs!$F$102*(Operations!BH9+BH8+Inputs!$F$101+BH9)/(1-Inputs!$F$93/100)+(1-Inputs!$F$102)*(Operations!BH9+Inputs!$F$80+Inputs!$F$101+BH9))/100*Time!BH20/360</f>
        <v>0.0432127407407407</v>
      </c>
      <c r="BI14" s="14" t="n">
        <f aca="false">(Inputs!$F$102*(Operations!BI9+BI8+Inputs!$F$101+BI9)/(1-Inputs!$F$93/100)+(1-Inputs!$F$102)*(Operations!BI9+Inputs!$F$80+Inputs!$F$101+BI9))/100*Time!BI20/360</f>
        <v>0.042743037037037</v>
      </c>
      <c r="BJ14" s="14" t="n">
        <f aca="false">(Inputs!$F$102*(Operations!BJ9+BJ8+Inputs!$F$101+BJ9)/(1-Inputs!$F$93/100)+(1-Inputs!$F$102)*(Operations!BJ9+Inputs!$F$80+Inputs!$F$101+BJ9))/100*Time!BJ20/360</f>
        <v>0.0432127407407407</v>
      </c>
      <c r="BK14" s="14" t="n">
        <f aca="false">(Inputs!$F$102*(Operations!BK9+BK8+Inputs!$F$101+BK9)/(1-Inputs!$F$93/100)+(1-Inputs!$F$102)*(Operations!BK9+Inputs!$F$80+Inputs!$F$101+BK9))/100*Time!BK20/360</f>
        <v>0.0425081851851852</v>
      </c>
      <c r="BL14" s="14" t="n">
        <f aca="false">(Inputs!$F$102*(Operations!BL9+BL8+Inputs!$F$101+BL9)/(1-Inputs!$F$93/100)+(1-Inputs!$F$102)*(Operations!BL9+Inputs!$F$80+Inputs!$F$101+BL9))/100*Time!BL20/360</f>
        <v>0.0432127407407407</v>
      </c>
      <c r="BM14" s="14" t="n">
        <f aca="false">(Inputs!$F$102*(Operations!BM9+BM8+Inputs!$F$101+BM9)/(1-Inputs!$F$93/100)+(1-Inputs!$F$102)*(Operations!BM9+Inputs!$F$80+Inputs!$F$101+BM9))/100*Time!BM20/360</f>
        <v>0.0425081851851852</v>
      </c>
      <c r="BN14" s="14" t="n">
        <f aca="false">(Inputs!$F$102*(Operations!BN9+BN8+Inputs!$F$101+BN9)/(1-Inputs!$F$93/100)+(1-Inputs!$F$102)*(Operations!BN9+Inputs!$F$80+Inputs!$F$101+BN9))/100*Time!BN20/360</f>
        <v>0.0432127407407407</v>
      </c>
    </row>
    <row r="15" customFormat="false" ht="15" hidden="false" customHeight="false" outlineLevel="0" collapsed="false">
      <c r="D15" s="0" t="s">
        <v>644</v>
      </c>
      <c r="E15" s="0" t="s">
        <v>99</v>
      </c>
      <c r="J15" s="14" t="n">
        <f aca="false">Inputs!$F$195/100*0.5</f>
        <v>0.039375</v>
      </c>
      <c r="K15" s="14" t="n">
        <f aca="false">Inputs!$F$195/100*0.5</f>
        <v>0.039375</v>
      </c>
      <c r="L15" s="14" t="n">
        <f aca="false">Inputs!$F$195/100*0.5</f>
        <v>0.039375</v>
      </c>
      <c r="M15" s="14" t="n">
        <f aca="false">Inputs!$F$195/100*0.5</f>
        <v>0.039375</v>
      </c>
      <c r="N15" s="14" t="n">
        <f aca="false">Inputs!$F$195/100*0.5</f>
        <v>0.039375</v>
      </c>
      <c r="O15" s="14" t="n">
        <f aca="false">Inputs!$F$195/100*0.5</f>
        <v>0.039375</v>
      </c>
      <c r="P15" s="14" t="n">
        <f aca="false">Inputs!$F$195/100*0.5</f>
        <v>0.039375</v>
      </c>
      <c r="Q15" s="14" t="n">
        <f aca="false">Inputs!$F$195/100*0.5</f>
        <v>0.039375</v>
      </c>
      <c r="R15" s="14" t="n">
        <f aca="false">Inputs!$F$195/100*0.5</f>
        <v>0.039375</v>
      </c>
      <c r="S15" s="14" t="n">
        <f aca="false">Inputs!$F$195/100*0.5</f>
        <v>0.039375</v>
      </c>
      <c r="T15" s="14" t="n">
        <f aca="false">Inputs!$F$195/100*0.5</f>
        <v>0.039375</v>
      </c>
      <c r="U15" s="14" t="n">
        <f aca="false">Inputs!$F$195/100*0.5</f>
        <v>0.039375</v>
      </c>
      <c r="V15" s="14" t="n">
        <f aca="false">Inputs!$F$195/100*0.5</f>
        <v>0.039375</v>
      </c>
      <c r="W15" s="14" t="n">
        <f aca="false">Inputs!$F$195/100*0.5</f>
        <v>0.039375</v>
      </c>
      <c r="X15" s="14" t="n">
        <f aca="false">Inputs!$F$195/100*0.5</f>
        <v>0.039375</v>
      </c>
      <c r="Y15" s="14" t="n">
        <f aca="false">Inputs!$F$195/100*0.5</f>
        <v>0.039375</v>
      </c>
      <c r="Z15" s="14" t="n">
        <f aca="false">Inputs!$F$195/100*0.5</f>
        <v>0.039375</v>
      </c>
      <c r="AA15" s="14" t="n">
        <f aca="false">Inputs!$F$195/100*0.5</f>
        <v>0.039375</v>
      </c>
      <c r="AB15" s="14" t="n">
        <f aca="false">Inputs!$F$195/100*0.5</f>
        <v>0.039375</v>
      </c>
      <c r="AC15" s="14" t="n">
        <f aca="false">Inputs!$F$195/100*0.5</f>
        <v>0.039375</v>
      </c>
      <c r="AD15" s="14" t="n">
        <f aca="false">Inputs!$F$195/100*0.5</f>
        <v>0.039375</v>
      </c>
      <c r="AE15" s="14" t="n">
        <f aca="false">Inputs!$F$195/100*0.5</f>
        <v>0.039375</v>
      </c>
      <c r="AF15" s="14" t="n">
        <f aca="false">Inputs!$F$195/100*0.5</f>
        <v>0.039375</v>
      </c>
      <c r="AG15" s="14" t="n">
        <f aca="false">Inputs!$F$195/100*0.5</f>
        <v>0.039375</v>
      </c>
      <c r="AH15" s="14" t="n">
        <f aca="false">Inputs!$F$195/100*0.5</f>
        <v>0.039375</v>
      </c>
      <c r="AI15" s="14" t="n">
        <f aca="false">Inputs!$F$195/100*0.5</f>
        <v>0.039375</v>
      </c>
      <c r="AJ15" s="14" t="n">
        <f aca="false">Inputs!$F$195/100*0.5</f>
        <v>0.039375</v>
      </c>
      <c r="AK15" s="14" t="n">
        <f aca="false">Inputs!$F$195/100*0.5</f>
        <v>0.039375</v>
      </c>
      <c r="AL15" s="14" t="n">
        <f aca="false">Inputs!$F$195/100*0.5</f>
        <v>0.039375</v>
      </c>
      <c r="AM15" s="14" t="n">
        <f aca="false">Inputs!$F$195/100*0.5</f>
        <v>0.039375</v>
      </c>
      <c r="AN15" s="14" t="n">
        <f aca="false">Inputs!$F$195/100*0.5</f>
        <v>0.039375</v>
      </c>
      <c r="AO15" s="14" t="n">
        <f aca="false">Inputs!$F$195/100*0.5</f>
        <v>0.039375</v>
      </c>
      <c r="AP15" s="14" t="n">
        <f aca="false">Inputs!$F$195/100*0.5</f>
        <v>0.039375</v>
      </c>
      <c r="AQ15" s="14" t="n">
        <f aca="false">Inputs!$F$195/100*0.5</f>
        <v>0.039375</v>
      </c>
      <c r="AR15" s="14" t="n">
        <f aca="false">Inputs!$F$195/100*0.5</f>
        <v>0.039375</v>
      </c>
      <c r="AS15" s="14" t="n">
        <f aca="false">Inputs!$F$195/100*0.5</f>
        <v>0.039375</v>
      </c>
      <c r="AT15" s="14" t="n">
        <f aca="false">Inputs!$F$195/100*0.5</f>
        <v>0.039375</v>
      </c>
      <c r="AU15" s="14" t="n">
        <f aca="false">Inputs!$F$195/100*0.5</f>
        <v>0.039375</v>
      </c>
      <c r="AV15" s="14" t="n">
        <f aca="false">Inputs!$F$195/100*0.5</f>
        <v>0.039375</v>
      </c>
      <c r="AW15" s="14" t="n">
        <f aca="false">Inputs!$F$195/100*0.5</f>
        <v>0.039375</v>
      </c>
      <c r="AX15" s="14" t="n">
        <f aca="false">Inputs!$F$195/100*0.5</f>
        <v>0.039375</v>
      </c>
      <c r="AY15" s="14" t="n">
        <f aca="false">Inputs!$F$195/100*0.5</f>
        <v>0.039375</v>
      </c>
      <c r="AZ15" s="14" t="n">
        <f aca="false">Inputs!$F$195/100*0.5</f>
        <v>0.039375</v>
      </c>
      <c r="BA15" s="14" t="n">
        <f aca="false">Inputs!$F$195/100*0.5</f>
        <v>0.039375</v>
      </c>
      <c r="BB15" s="14" t="n">
        <f aca="false">Inputs!$F$195/100*0.5</f>
        <v>0.039375</v>
      </c>
      <c r="BC15" s="14" t="n">
        <f aca="false">Inputs!$F$195/100*0.5</f>
        <v>0.039375</v>
      </c>
      <c r="BD15" s="14" t="n">
        <f aca="false">Inputs!$F$195/100*0.5</f>
        <v>0.039375</v>
      </c>
      <c r="BE15" s="14" t="n">
        <f aca="false">Inputs!$F$195/100*0.5</f>
        <v>0.039375</v>
      </c>
      <c r="BF15" s="14" t="n">
        <f aca="false">Inputs!$F$195/100*0.5</f>
        <v>0.039375</v>
      </c>
      <c r="BG15" s="14" t="n">
        <f aca="false">Inputs!$F$195/100*0.5</f>
        <v>0.039375</v>
      </c>
      <c r="BH15" s="14" t="n">
        <f aca="false">Inputs!$F$195/100*0.5</f>
        <v>0.039375</v>
      </c>
      <c r="BI15" s="14" t="n">
        <f aca="false">Inputs!$F$195/100*0.5</f>
        <v>0.039375</v>
      </c>
      <c r="BJ15" s="14" t="n">
        <f aca="false">Inputs!$F$195/100*0.5</f>
        <v>0.039375</v>
      </c>
      <c r="BK15" s="14" t="n">
        <f aca="false">Inputs!$F$195/100*0.5</f>
        <v>0.039375</v>
      </c>
      <c r="BL15" s="14" t="n">
        <f aca="false">Inputs!$F$195/100*0.5</f>
        <v>0.039375</v>
      </c>
      <c r="BM15" s="14" t="n">
        <f aca="false">Inputs!$F$195/100*0.5</f>
        <v>0.039375</v>
      </c>
      <c r="BN15" s="14" t="n">
        <f aca="false">Inputs!$F$195/100*0.5</f>
        <v>0.039375</v>
      </c>
    </row>
    <row r="16" customFormat="false" ht="15" hidden="false" customHeight="false" outlineLevel="0" collapsed="false">
      <c r="B16" s="2" t="s">
        <v>645</v>
      </c>
    </row>
    <row r="17" customFormat="false" ht="15" hidden="false" customHeight="false" outlineLevel="0" collapsed="false">
      <c r="D17" s="0" t="s">
        <v>646</v>
      </c>
      <c r="E17" s="0" t="s">
        <v>109</v>
      </c>
      <c r="J17" s="10" t="n">
        <f aca="false">IF(Inputs!$F$47=1,Inputs!J222,Inputs!J223)</f>
        <v>0</v>
      </c>
      <c r="K17" s="10" t="n">
        <f aca="false">IF(Inputs!$F$47=1,Inputs!K222,Inputs!K223)</f>
        <v>0</v>
      </c>
      <c r="L17" s="10" t="n">
        <f aca="false">IF(Inputs!$F$47=1,Inputs!L222,Inputs!L223)</f>
        <v>0</v>
      </c>
      <c r="M17" s="10" t="n">
        <f aca="false">IF(Inputs!$F$47=1,Inputs!M222,Inputs!M223)</f>
        <v>0</v>
      </c>
      <c r="N17" s="10" t="n">
        <f aca="false">IF(Inputs!$F$47=1,Inputs!N222,Inputs!N223)</f>
        <v>0</v>
      </c>
      <c r="O17" s="10" t="n">
        <f aca="false">IF(Inputs!$F$47=1,Inputs!O222,Inputs!O223)</f>
        <v>0</v>
      </c>
      <c r="P17" s="10" t="n">
        <f aca="false">IF(Inputs!$F$47=1,Inputs!P222,Inputs!P223)</f>
        <v>0.024460432114308</v>
      </c>
      <c r="Q17" s="10" t="n">
        <f aca="false">IF(Inputs!$F$47=1,Inputs!Q222,Inputs!Q223)</f>
        <v>0.0254956399199363</v>
      </c>
      <c r="R17" s="10" t="n">
        <f aca="false">IF(Inputs!$F$47=1,Inputs!R222,Inputs!R223)</f>
        <v>0.0267515222906662</v>
      </c>
      <c r="S17" s="10" t="n">
        <f aca="false">IF(Inputs!$F$47=1,Inputs!S222,Inputs!S223)</f>
        <v>0.0275398463746851</v>
      </c>
      <c r="T17" s="10" t="n">
        <f aca="false">IF(Inputs!$F$47=1,Inputs!T222,Inputs!T223)</f>
        <v>0.0288066694390464</v>
      </c>
      <c r="U17" s="10" t="n">
        <f aca="false">IF(Inputs!$F$47=1,Inputs!U222,Inputs!U223)</f>
        <v>0.0297253648392077</v>
      </c>
      <c r="V17" s="10" t="n">
        <f aca="false">IF(Inputs!$F$47=1,Inputs!V222,Inputs!V223)</f>
        <v>0.0316673019225092</v>
      </c>
      <c r="W17" s="10" t="n">
        <f aca="false">IF(Inputs!$F$47=1,Inputs!W222,Inputs!W223)</f>
        <v>0.0326353519070817</v>
      </c>
      <c r="X17" s="10" t="n">
        <f aca="false">IF(Inputs!$F$47=1,Inputs!X222,Inputs!X223)</f>
        <v>0.0317294685115491</v>
      </c>
      <c r="Y17" s="10" t="n">
        <f aca="false">IF(Inputs!$F$47=1,Inputs!Y222,Inputs!Y223)</f>
        <v>0.0317443987963029</v>
      </c>
      <c r="Z17" s="10" t="n">
        <f aca="false">IF(Inputs!$F$47=1,Inputs!Z222,Inputs!Z223)</f>
        <v>0.0330595043187038</v>
      </c>
      <c r="AA17" s="10" t="n">
        <f aca="false">IF(Inputs!$F$47=1,Inputs!AA222,Inputs!AA223)</f>
        <v>0.0340242635392698</v>
      </c>
      <c r="AB17" s="10" t="n">
        <f aca="false">IF(Inputs!$F$47=1,Inputs!AB222,Inputs!AB223)</f>
        <v>0.035649748512346</v>
      </c>
      <c r="AC17" s="10" t="n">
        <f aca="false">IF(Inputs!$F$47=1,Inputs!AC222,Inputs!AC223)</f>
        <v>0.036830769646369</v>
      </c>
      <c r="AD17" s="10" t="n">
        <f aca="false">IF(Inputs!$F$47=1,Inputs!AD222,Inputs!AD223)</f>
        <v>0.0402165127561107</v>
      </c>
      <c r="AE17" s="10" t="n">
        <f aca="false">IF(Inputs!$F$47=1,Inputs!AE222,Inputs!AE223)</f>
        <v>0.0419450401653678</v>
      </c>
      <c r="AF17" s="10" t="n">
        <f aca="false">IF(Inputs!$F$47=1,Inputs!AF222,Inputs!AF223)</f>
        <v>0.0434165471296656</v>
      </c>
      <c r="AG17" s="10" t="n">
        <f aca="false">IF(Inputs!$F$47=1,Inputs!AG222,Inputs!AG223)</f>
        <v>0.0442268395359645</v>
      </c>
      <c r="AH17" s="10" t="n">
        <f aca="false">IF(Inputs!$F$47=1,Inputs!AH222,Inputs!AH223)</f>
        <v>0.0464470950071792</v>
      </c>
      <c r="AI17" s="10" t="n">
        <f aca="false">IF(Inputs!$F$47=1,Inputs!AI222,Inputs!AI223)</f>
        <v>0.0478108988283702</v>
      </c>
      <c r="AJ17" s="10" t="n">
        <f aca="false">IF(Inputs!$F$47=1,Inputs!AJ222,Inputs!AJ223)</f>
        <v>0.0501190973065472</v>
      </c>
      <c r="AK17" s="10" t="n">
        <f aca="false">IF(Inputs!$F$47=1,Inputs!AK222,Inputs!AK223)</f>
        <v>0.0517413637371501</v>
      </c>
      <c r="AL17" s="10" t="n">
        <f aca="false">IF(Inputs!$F$47=1,Inputs!AL222,Inputs!AL223)</f>
        <v>0.0548633733406637</v>
      </c>
      <c r="AM17" s="10" t="n">
        <f aca="false">IF(Inputs!$F$47=1,Inputs!AM222,Inputs!AM223)</f>
        <v>0.0560037067338176</v>
      </c>
      <c r="AN17" s="10" t="n">
        <f aca="false">IF(Inputs!$F$47=1,Inputs!AN222,Inputs!AN223)</f>
        <v>0.0462023932183935</v>
      </c>
      <c r="AO17" s="10" t="n">
        <f aca="false">IF(Inputs!$F$47=1,Inputs!AO222,Inputs!AO223)</f>
        <v>0.0468868501087888</v>
      </c>
      <c r="AP17" s="10" t="n">
        <f aca="false">IF(Inputs!$F$47=1,Inputs!AP222,Inputs!AP223)</f>
        <v>0</v>
      </c>
      <c r="AQ17" s="10" t="n">
        <f aca="false">IF(Inputs!$F$47=1,Inputs!AQ222,Inputs!AQ223)</f>
        <v>0</v>
      </c>
      <c r="AR17" s="10" t="n">
        <f aca="false">IF(Inputs!$F$47=1,Inputs!AR222,Inputs!AR223)</f>
        <v>0</v>
      </c>
      <c r="AS17" s="10" t="n">
        <f aca="false">IF(Inputs!$F$47=1,Inputs!AS222,Inputs!AS223)</f>
        <v>0</v>
      </c>
      <c r="AT17" s="10" t="n">
        <f aca="false">IF(Inputs!$F$47=1,Inputs!AT222,Inputs!AT223)</f>
        <v>0</v>
      </c>
      <c r="AU17" s="10" t="n">
        <f aca="false">IF(Inputs!$F$47=1,Inputs!AU222,Inputs!AU223)</f>
        <v>0</v>
      </c>
      <c r="AV17" s="10" t="n">
        <f aca="false">IF(Inputs!$F$47=1,Inputs!AV222,Inputs!AV223)</f>
        <v>0</v>
      </c>
      <c r="AW17" s="10" t="n">
        <f aca="false">IF(Inputs!$F$47=1,Inputs!AW222,Inputs!AW223)</f>
        <v>0</v>
      </c>
      <c r="AX17" s="10" t="n">
        <f aca="false">IF(Inputs!$F$47=1,Inputs!AX222,Inputs!AX223)</f>
        <v>0</v>
      </c>
      <c r="AY17" s="10" t="n">
        <f aca="false">IF(Inputs!$F$47=1,Inputs!AY222,Inputs!AY223)</f>
        <v>0</v>
      </c>
      <c r="AZ17" s="10" t="n">
        <f aca="false">IF(Inputs!$F$47=1,Inputs!AZ222,Inputs!AZ223)</f>
        <v>0</v>
      </c>
      <c r="BA17" s="10" t="n">
        <f aca="false">IF(Inputs!$F$47=1,Inputs!BA222,Inputs!BA223)</f>
        <v>0</v>
      </c>
      <c r="BB17" s="10" t="n">
        <f aca="false">IF(Inputs!$F$47=1,Inputs!BB222,Inputs!BB223)</f>
        <v>0</v>
      </c>
      <c r="BC17" s="10" t="n">
        <f aca="false">IF(Inputs!$F$47=1,Inputs!BC222,Inputs!BC223)</f>
        <v>0</v>
      </c>
      <c r="BD17" s="10" t="n">
        <f aca="false">IF(Inputs!$F$47=1,Inputs!BD222,Inputs!BD223)</f>
        <v>0</v>
      </c>
      <c r="BE17" s="10" t="n">
        <f aca="false">IF(Inputs!$F$47=1,Inputs!BE222,Inputs!BE223)</f>
        <v>0</v>
      </c>
      <c r="BF17" s="10" t="n">
        <f aca="false">IF(Inputs!$F$47=1,Inputs!BF222,Inputs!BF223)</f>
        <v>0</v>
      </c>
      <c r="BG17" s="10" t="n">
        <f aca="false">IF(Inputs!$F$47=1,Inputs!BG222,Inputs!BG223)</f>
        <v>0</v>
      </c>
      <c r="BH17" s="10" t="n">
        <f aca="false">IF(Inputs!$F$47=1,Inputs!BH222,Inputs!BH223)</f>
        <v>0</v>
      </c>
      <c r="BI17" s="10" t="n">
        <f aca="false">IF(Inputs!$F$47=1,Inputs!BI222,Inputs!BI223)</f>
        <v>0</v>
      </c>
      <c r="BJ17" s="10" t="n">
        <f aca="false">IF(Inputs!$F$47=1,Inputs!BJ222,Inputs!BJ223)</f>
        <v>0</v>
      </c>
      <c r="BK17" s="10" t="n">
        <f aca="false">IF(Inputs!$F$47=1,Inputs!BK222,Inputs!BK223)</f>
        <v>0</v>
      </c>
      <c r="BL17" s="10" t="n">
        <f aca="false">IF(Inputs!$F$47=1,Inputs!BL222,Inputs!BL223)</f>
        <v>0</v>
      </c>
      <c r="BM17" s="10" t="n">
        <f aca="false">IF(Inputs!$F$47=1,Inputs!BM222,Inputs!BM223)</f>
        <v>0</v>
      </c>
      <c r="BN17" s="10" t="n">
        <f aca="false">IF(Inputs!$F$47=1,Inputs!BN222,Inputs!BN223)</f>
        <v>0</v>
      </c>
    </row>
    <row r="18" customFormat="false" ht="15" hidden="false" customHeight="false" outlineLevel="0" collapsed="false">
      <c r="D18" s="0" t="s">
        <v>647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0.975539567885692</v>
      </c>
      <c r="R18" s="10" t="n">
        <f aca="false">SUM(R17:BN17)</f>
        <v>0.950043927965756</v>
      </c>
      <c r="S18" s="10" t="n">
        <f aca="false">SUM(S17:BN17)</f>
        <v>0.92329240567509</v>
      </c>
      <c r="T18" s="10" t="n">
        <f aca="false">SUM(T17:BN17)</f>
        <v>0.895752559300404</v>
      </c>
      <c r="U18" s="10" t="n">
        <f aca="false">SUM(U17:BN17)</f>
        <v>0.866945889861358</v>
      </c>
      <c r="V18" s="10" t="n">
        <f aca="false">SUM(V17:BN17)</f>
        <v>0.83722052502215</v>
      </c>
      <c r="W18" s="10" t="n">
        <f aca="false">SUM(W17:BN17)</f>
        <v>0.805553223099641</v>
      </c>
      <c r="X18" s="10" t="n">
        <f aca="false">SUM(X17:BN17)</f>
        <v>0.772917871192559</v>
      </c>
      <c r="Y18" s="10" t="n">
        <f aca="false">SUM(Y17:BN17)</f>
        <v>0.74118840268101</v>
      </c>
      <c r="Z18" s="10" t="n">
        <f aca="false">SUM(Z17:BN17)</f>
        <v>0.709444003884707</v>
      </c>
      <c r="AA18" s="10" t="n">
        <f aca="false">SUM(AA17:BN17)</f>
        <v>0.676384499566004</v>
      </c>
      <c r="AB18" s="10" t="n">
        <f aca="false">SUM(AB17:BN17)</f>
        <v>0.642360236026734</v>
      </c>
      <c r="AC18" s="10" t="n">
        <f aca="false">SUM(AC17:BN17)</f>
        <v>0.606710487514388</v>
      </c>
      <c r="AD18" s="10" t="n">
        <f aca="false">SUM(AD17:BN17)</f>
        <v>0.569879717868019</v>
      </c>
      <c r="AE18" s="10" t="n">
        <f aca="false">SUM(AE17:BN17)</f>
        <v>0.529663205111908</v>
      </c>
      <c r="AF18" s="10" t="n">
        <f aca="false">SUM(AF17:BN17)</f>
        <v>0.48771816494654</v>
      </c>
      <c r="AG18" s="10" t="n">
        <f aca="false">SUM(AG17:BN17)</f>
        <v>0.444301617816875</v>
      </c>
      <c r="AH18" s="10" t="n">
        <f aca="false">SUM(AH17:BN17)</f>
        <v>0.40007477828091</v>
      </c>
      <c r="AI18" s="10" t="n">
        <f aca="false">SUM(AI17:BN17)</f>
        <v>0.353627683273731</v>
      </c>
      <c r="AJ18" s="10" t="n">
        <f aca="false">SUM(AJ17:BN17)</f>
        <v>0.305816784445361</v>
      </c>
      <c r="AK18" s="10" t="n">
        <f aca="false">SUM(AK17:BN17)</f>
        <v>0.255697687138814</v>
      </c>
      <c r="AL18" s="10" t="n">
        <f aca="false">SUM(AL17:BN17)</f>
        <v>0.203956323401664</v>
      </c>
      <c r="AM18" s="10" t="n">
        <f aca="false">SUM(AM17:BN17)</f>
        <v>0.149092950061</v>
      </c>
      <c r="AN18" s="10" t="n">
        <f aca="false">SUM(AN17:BN17)</f>
        <v>0.0930892433271823</v>
      </c>
      <c r="AO18" s="10" t="n">
        <f aca="false">SUM(AO17:BN17)</f>
        <v>0.0468868501087888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648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0.024460432114308</v>
      </c>
      <c r="Q19" s="10" t="n">
        <f aca="false">IF(Q18&gt;0.000000000001,Q17/Q18,0)</f>
        <v>0.026134911139682</v>
      </c>
      <c r="R19" s="10" t="n">
        <f aca="false">IF(R18&gt;0.000000000001,R17/R18,0)</f>
        <v>0.0281581951141426</v>
      </c>
      <c r="S19" s="10" t="n">
        <f aca="false">IF(S18&gt;0.000000000001,S17/S18,0)</f>
        <v>0.02982787056994</v>
      </c>
      <c r="T19" s="10" t="n">
        <f aca="false">IF(T18&gt;0.000000000001,T17/T18,0)</f>
        <v>0.0321591818409593</v>
      </c>
      <c r="U19" s="10" t="n">
        <f aca="false">IF(U18&gt;0.000000000001,U17/U18,0)</f>
        <v>0.0342874511394955</v>
      </c>
      <c r="V19" s="10" t="n">
        <f aca="false">IF(V18&gt;0.000000000001,V17/V18,0)</f>
        <v>0.0378243258210511</v>
      </c>
      <c r="W19" s="10" t="n">
        <f aca="false">IF(W18&gt;0.000000000001,W17/W18,0)</f>
        <v>0.0405129679470539</v>
      </c>
      <c r="X19" s="10" t="n">
        <f aca="false">IF(X18&gt;0.000000000001,X17/X18,0)</f>
        <v>0.0410515394896908</v>
      </c>
      <c r="Y19" s="10" t="n">
        <f aca="false">IF(Y18&gt;0.000000000001,Y17/Y18,0)</f>
        <v>0.0428290549089513</v>
      </c>
      <c r="Z19" s="10" t="n">
        <f aca="false">IF(Z18&gt;0.000000000001,Z17/Z18,0)</f>
        <v>0.0465991736312938</v>
      </c>
      <c r="AA19" s="10" t="n">
        <f aca="false">IF(AA18&gt;0.000000000001,AA17/AA18,0)</f>
        <v>0.0503031390593681</v>
      </c>
      <c r="AB19" s="10" t="n">
        <f aca="false">IF(AB18&gt;0.000000000001,AB17/AB18,0)</f>
        <v>0.0554980624779245</v>
      </c>
      <c r="AC19" s="10" t="n">
        <f aca="false">IF(AC18&gt;0.000000000001,AC17/AC18,0)</f>
        <v>0.0607056749542269</v>
      </c>
      <c r="AD19" s="10" t="n">
        <f aca="false">IF(AD18&gt;0.000000000001,AD17/AD18,0)</f>
        <v>0.0705701773464846</v>
      </c>
      <c r="AE19" s="10" t="n">
        <f aca="false">IF(AE18&gt;0.000000000001,AE17/AE18,0)</f>
        <v>0.0791919086705401</v>
      </c>
      <c r="AF19" s="10" t="n">
        <f aca="false">IF(AF18&gt;0.000000000001,AF17/AF18,0)</f>
        <v>0.0890197459313916</v>
      </c>
      <c r="AG19" s="10" t="n">
        <f aca="false">IF(AG18&gt;0.000000000001,AG17/AG18,0)</f>
        <v>0.0995423778857209</v>
      </c>
      <c r="AH19" s="10" t="n">
        <f aca="false">IF(AH18&gt;0.000000000001,AH17/AH18,0)</f>
        <v>0.116096033863366</v>
      </c>
      <c r="AI19" s="10" t="n">
        <f aca="false">IF(AI18&gt;0.000000000001,AI17/AI18,0)</f>
        <v>0.135201233075866</v>
      </c>
      <c r="AJ19" s="10" t="n">
        <f aca="false">IF(AJ18&gt;0.000000000001,AJ17/AJ18,0)</f>
        <v>0.163886025410426</v>
      </c>
      <c r="AK19" s="10" t="n">
        <f aca="false">IF(AK18&gt;0.000000000001,AK17/AK18,0)</f>
        <v>0.202353663484882</v>
      </c>
      <c r="AL19" s="10" t="n">
        <f aca="false">IF(AL18&gt;0.000000000001,AL17/AL18,0)</f>
        <v>0.26899569685132</v>
      </c>
      <c r="AM19" s="10" t="n">
        <f aca="false">IF(AM18&gt;0.000000000001,AM17/AM18,0)</f>
        <v>0.375629476181833</v>
      </c>
      <c r="AN19" s="10" t="n">
        <f aca="false">IF(AN18&gt;0.000000000001,AN17/AN18,0)</f>
        <v>0.496323652089481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649</v>
      </c>
      <c r="E20" s="0" t="s">
        <v>113</v>
      </c>
      <c r="J20" s="9" t="n">
        <f aca="false">Inputs!$F$50*IF(Time!J17=14,1,0)</f>
        <v>0</v>
      </c>
      <c r="K20" s="9" t="n">
        <f aca="false">Inputs!$F$50*IF(Time!K17=14,1,0)</f>
        <v>0</v>
      </c>
      <c r="L20" s="9" t="n">
        <f aca="false">Inputs!$F$50*IF(Time!L17=14,1,0)</f>
        <v>0</v>
      </c>
      <c r="M20" s="9" t="n">
        <f aca="false">Inputs!$F$50*IF(Time!M17=14,1,0)</f>
        <v>0</v>
      </c>
      <c r="N20" s="9" t="n">
        <f aca="false">Inputs!$F$50*IF(Time!N17=14,1,0)</f>
        <v>0</v>
      </c>
      <c r="O20" s="9" t="n">
        <f aca="false">Inputs!$F$50*IF(Time!O17=14,1,0)</f>
        <v>0</v>
      </c>
      <c r="P20" s="9" t="n">
        <f aca="false">Inputs!$F$50*IF(Time!P17=14,1,0)</f>
        <v>0</v>
      </c>
      <c r="Q20" s="9" t="n">
        <f aca="false">Inputs!$F$50*IF(Time!Q17=14,1,0)</f>
        <v>0</v>
      </c>
      <c r="R20" s="9" t="n">
        <f aca="false">Inputs!$F$50*IF(Time!R17=14,1,0)</f>
        <v>0</v>
      </c>
      <c r="S20" s="9" t="n">
        <f aca="false">Inputs!$F$50*IF(Time!S17=14,1,0)</f>
        <v>0</v>
      </c>
      <c r="T20" s="9" t="n">
        <f aca="false">Inputs!$F$50*IF(Time!T17=14,1,0)</f>
        <v>0</v>
      </c>
      <c r="U20" s="9" t="n">
        <f aca="false">Inputs!$F$50*IF(Time!U17=14,1,0)</f>
        <v>0</v>
      </c>
      <c r="V20" s="9" t="n">
        <f aca="false">Inputs!$F$50*IF(Time!V17=14,1,0)</f>
        <v>0</v>
      </c>
      <c r="W20" s="9" t="n">
        <f aca="false">Inputs!$F$50*IF(Time!W17=14,1,0)</f>
        <v>0</v>
      </c>
      <c r="X20" s="9" t="n">
        <f aca="false">Inputs!$F$50*IF(Time!X17=14,1,0)</f>
        <v>0</v>
      </c>
      <c r="Y20" s="9" t="n">
        <f aca="false">Inputs!$F$50*IF(Time!Y17=14,1,0)</f>
        <v>0</v>
      </c>
      <c r="Z20" s="9" t="n">
        <f aca="false">Inputs!$F$50*IF(Time!Z17=14,1,0)</f>
        <v>0</v>
      </c>
      <c r="AA20" s="9" t="n">
        <f aca="false">Inputs!$F$50*IF(Time!AA17=14,1,0)</f>
        <v>0</v>
      </c>
      <c r="AB20" s="9" t="n">
        <f aca="false">Inputs!$F$50*IF(Time!AB17=14,1,0)</f>
        <v>0</v>
      </c>
      <c r="AC20" s="9" t="n">
        <f aca="false">Inputs!$F$50*IF(Time!AC17=14,1,0)</f>
        <v>0</v>
      </c>
      <c r="AD20" s="9" t="n">
        <f aca="false">Inputs!$F$50*IF(Time!AD17=14,1,0)</f>
        <v>0</v>
      </c>
      <c r="AE20" s="9" t="n">
        <f aca="false">Inputs!$F$50*IF(Time!AE17=14,1,0)</f>
        <v>0</v>
      </c>
      <c r="AF20" s="9" t="n">
        <f aca="false">Inputs!$F$50*IF(Time!AF17=14,1,0)</f>
        <v>0</v>
      </c>
      <c r="AG20" s="9" t="n">
        <f aca="false">Inputs!$F$50*IF(Time!AG17=14,1,0)</f>
        <v>0</v>
      </c>
      <c r="AH20" s="9" t="n">
        <f aca="false">Inputs!$F$50*IF(Time!AH17=14,1,0)</f>
        <v>0</v>
      </c>
      <c r="AI20" s="9" t="n">
        <f aca="false">Inputs!$F$50*IF(Time!AI17=14,1,0)</f>
        <v>0</v>
      </c>
      <c r="AJ20" s="9" t="n">
        <f aca="false">Inputs!$F$50*IF(Time!AJ17=14,1,0)</f>
        <v>0</v>
      </c>
      <c r="AK20" s="9" t="n">
        <f aca="false">Inputs!$F$50*IF(Time!AK17=14,1,0)</f>
        <v>0</v>
      </c>
      <c r="AL20" s="9" t="n">
        <f aca="false">Inputs!$F$50*IF(Time!AL17=14,1,0)</f>
        <v>0</v>
      </c>
      <c r="AM20" s="9" t="n">
        <f aca="false">Inputs!$F$50*IF(Time!AM17=14,1,0)</f>
        <v>0</v>
      </c>
      <c r="AN20" s="9" t="n">
        <f aca="false">Inputs!$F$50*IF(Time!AN17=14,1,0)</f>
        <v>0</v>
      </c>
      <c r="AO20" s="9" t="n">
        <f aca="false">Inputs!$F$50*IF(Time!AO17=14,1,0)</f>
        <v>0</v>
      </c>
      <c r="AP20" s="9" t="n">
        <f aca="false">Inputs!$F$50*IF(Time!AP17=14,1,0)</f>
        <v>0</v>
      </c>
      <c r="AQ20" s="9" t="n">
        <f aca="false">Inputs!$F$50*IF(Time!AQ17=14,1,0)</f>
        <v>0</v>
      </c>
      <c r="AR20" s="9" t="n">
        <f aca="false">Inputs!$F$50*IF(Time!AR17=14,1,0)</f>
        <v>0</v>
      </c>
      <c r="AS20" s="9" t="n">
        <f aca="false">Inputs!$F$50*IF(Time!AS17=14,1,0)</f>
        <v>0</v>
      </c>
      <c r="AT20" s="9" t="n">
        <f aca="false">Inputs!$F$50*IF(Time!AT17=14,1,0)</f>
        <v>0</v>
      </c>
      <c r="AU20" s="9" t="n">
        <f aca="false">Inputs!$F$50*IF(Time!AU17=14,1,0)</f>
        <v>0</v>
      </c>
      <c r="AV20" s="9" t="n">
        <f aca="false">Inputs!$F$50*IF(Time!AV17=14,1,0)</f>
        <v>0</v>
      </c>
      <c r="AW20" s="9" t="n">
        <f aca="false">Inputs!$F$50*IF(Time!AW17=14,1,0)</f>
        <v>0</v>
      </c>
      <c r="AX20" s="9" t="n">
        <f aca="false">Inputs!$F$50*IF(Time!AX17=14,1,0)</f>
        <v>0</v>
      </c>
      <c r="AY20" s="9" t="n">
        <f aca="false">Inputs!$F$50*IF(Time!AY17=14,1,0)</f>
        <v>0</v>
      </c>
      <c r="AZ20" s="9" t="n">
        <f aca="false">Inputs!$F$50*IF(Time!AZ17=14,1,0)</f>
        <v>0</v>
      </c>
      <c r="BA20" s="9" t="n">
        <f aca="false">Inputs!$F$50*IF(Time!BA17=14,1,0)</f>
        <v>0</v>
      </c>
      <c r="BB20" s="9" t="n">
        <f aca="false">Inputs!$F$50*IF(Time!BB17=14,1,0)</f>
        <v>0</v>
      </c>
      <c r="BC20" s="9" t="n">
        <f aca="false">Inputs!$F$50*IF(Time!BC17=14,1,0)</f>
        <v>0</v>
      </c>
      <c r="BD20" s="9" t="n">
        <f aca="false">Inputs!$F$50*IF(Time!BD17=14,1,0)</f>
        <v>0</v>
      </c>
      <c r="BE20" s="9" t="n">
        <f aca="false">Inputs!$F$50*IF(Time!BE17=14,1,0)</f>
        <v>0</v>
      </c>
      <c r="BF20" s="9" t="n">
        <f aca="false">Inputs!$F$50*IF(Time!BF17=14,1,0)</f>
        <v>0</v>
      </c>
      <c r="BG20" s="9" t="n">
        <f aca="false">Inputs!$F$50*IF(Time!BG17=14,1,0)</f>
        <v>0</v>
      </c>
      <c r="BH20" s="9" t="n">
        <f aca="false">Inputs!$F$50*IF(Time!BH17=14,1,0)</f>
        <v>0</v>
      </c>
      <c r="BI20" s="9" t="n">
        <f aca="false">Inputs!$F$50*IF(Time!BI17=14,1,0)</f>
        <v>0</v>
      </c>
      <c r="BJ20" s="9" t="n">
        <f aca="false">Inputs!$F$50*IF(Time!BJ17=14,1,0)</f>
        <v>0</v>
      </c>
      <c r="BK20" s="9" t="n">
        <f aca="false">Inputs!$F$50*IF(Time!BK17=14,1,0)</f>
        <v>0</v>
      </c>
      <c r="BL20" s="9" t="n">
        <f aca="false">Inputs!$F$50*IF(Time!BL17=14,1,0)</f>
        <v>0</v>
      </c>
      <c r="BM20" s="9" t="n">
        <f aca="false">Inputs!$F$50*IF(Time!BM17=14,1,0)</f>
        <v>0</v>
      </c>
      <c r="BN20" s="9" t="n">
        <f aca="false">Inputs!$F$50*IF(Time!BN17=14,1,0)</f>
        <v>0</v>
      </c>
    </row>
    <row r="21" customFormat="false" ht="15" hidden="false" customHeight="false" outlineLevel="0" collapsed="false">
      <c r="D21" s="0" t="s">
        <v>650</v>
      </c>
      <c r="E21" s="0" t="s">
        <v>113</v>
      </c>
      <c r="J21" s="9" t="n">
        <f aca="false">Inputs!$F$49*IF(Time!J17=11,1,0)</f>
        <v>0</v>
      </c>
      <c r="K21" s="9" t="n">
        <f aca="false">Inputs!$F$49*IF(Time!K17=11,1,0)</f>
        <v>0</v>
      </c>
      <c r="L21" s="9" t="n">
        <f aca="false">Inputs!$F$49*IF(Time!L17=11,1,0)</f>
        <v>0</v>
      </c>
      <c r="M21" s="9" t="n">
        <f aca="false">Inputs!$F$49*IF(Time!M17=11,1,0)</f>
        <v>0</v>
      </c>
      <c r="N21" s="9" t="n">
        <f aca="false">Inputs!$F$49*IF(Time!N17=11,1,0)</f>
        <v>0</v>
      </c>
      <c r="O21" s="9" t="n">
        <f aca="false">Inputs!$F$49*IF(Time!O17=11,1,0)</f>
        <v>0</v>
      </c>
      <c r="P21" s="9" t="n">
        <f aca="false">Inputs!$F$49*IF(Time!P17=11,1,0)</f>
        <v>0</v>
      </c>
      <c r="Q21" s="9" t="n">
        <f aca="false">Inputs!$F$49*IF(Time!Q17=11,1,0)</f>
        <v>0</v>
      </c>
      <c r="R21" s="9" t="n">
        <f aca="false">Inputs!$F$49*IF(Time!R17=11,1,0)</f>
        <v>0</v>
      </c>
      <c r="S21" s="9" t="n">
        <f aca="false">Inputs!$F$49*IF(Time!S17=11,1,0)</f>
        <v>0</v>
      </c>
      <c r="T21" s="9" t="n">
        <f aca="false">Inputs!$F$49*IF(Time!T17=11,1,0)</f>
        <v>0</v>
      </c>
      <c r="U21" s="9" t="n">
        <f aca="false">Inputs!$F$49*IF(Time!U17=11,1,0)</f>
        <v>0</v>
      </c>
      <c r="V21" s="9" t="n">
        <f aca="false">Inputs!$F$49*IF(Time!V17=11,1,0)</f>
        <v>0</v>
      </c>
      <c r="W21" s="9" t="n">
        <f aca="false">Inputs!$F$49*IF(Time!W17=11,1,0)</f>
        <v>0</v>
      </c>
      <c r="X21" s="9" t="n">
        <f aca="false">Inputs!$F$49*IF(Time!X17=11,1,0)</f>
        <v>0</v>
      </c>
      <c r="Y21" s="9" t="n">
        <f aca="false">Inputs!$F$49*IF(Time!Y17=11,1,0)</f>
        <v>0</v>
      </c>
      <c r="Z21" s="9" t="n">
        <f aca="false">Inputs!$F$49*IF(Time!Z17=11,1,0)</f>
        <v>0</v>
      </c>
      <c r="AA21" s="9" t="n">
        <f aca="false">Inputs!$F$49*IF(Time!AA17=11,1,0)</f>
        <v>0</v>
      </c>
      <c r="AB21" s="9" t="n">
        <f aca="false">Inputs!$F$49*IF(Time!AB17=11,1,0)</f>
        <v>0</v>
      </c>
      <c r="AC21" s="9" t="n">
        <f aca="false">Inputs!$F$49*IF(Time!AC17=11,1,0)</f>
        <v>0</v>
      </c>
      <c r="AD21" s="9" t="n">
        <f aca="false">Inputs!$F$49*IF(Time!AD17=11,1,0)</f>
        <v>0</v>
      </c>
      <c r="AE21" s="9" t="n">
        <f aca="false">Inputs!$F$49*IF(Time!AE17=11,1,0)</f>
        <v>0</v>
      </c>
      <c r="AF21" s="9" t="n">
        <f aca="false">Inputs!$F$49*IF(Time!AF17=11,1,0)</f>
        <v>0</v>
      </c>
      <c r="AG21" s="9" t="n">
        <f aca="false">Inputs!$F$49*IF(Time!AG17=11,1,0)</f>
        <v>0</v>
      </c>
      <c r="AH21" s="9" t="n">
        <f aca="false">Inputs!$F$49*IF(Time!AH17=11,1,0)</f>
        <v>0</v>
      </c>
      <c r="AI21" s="9" t="n">
        <f aca="false">Inputs!$F$49*IF(Time!AI17=11,1,0)</f>
        <v>0</v>
      </c>
      <c r="AJ21" s="9" t="n">
        <f aca="false">Inputs!$F$49*IF(Time!AJ17=11,1,0)</f>
        <v>0</v>
      </c>
      <c r="AK21" s="9" t="n">
        <f aca="false">Inputs!$F$49*IF(Time!AK17=11,1,0)</f>
        <v>0</v>
      </c>
      <c r="AL21" s="9" t="n">
        <f aca="false">Inputs!$F$49*IF(Time!AL17=11,1,0)</f>
        <v>0</v>
      </c>
      <c r="AM21" s="9" t="n">
        <f aca="false">Inputs!$F$49*IF(Time!AM17=11,1,0)</f>
        <v>0</v>
      </c>
      <c r="AN21" s="9" t="n">
        <f aca="false">Inputs!$F$49*IF(Time!AN17=11,1,0)</f>
        <v>0</v>
      </c>
      <c r="AO21" s="9" t="n">
        <f aca="false">Inputs!$F$49*IF(Time!AO17=11,1,0)</f>
        <v>0</v>
      </c>
      <c r="AP21" s="9" t="n">
        <f aca="false">Inputs!$F$49*IF(Time!AP17=11,1,0)</f>
        <v>0</v>
      </c>
      <c r="AQ21" s="9" t="n">
        <f aca="false">Inputs!$F$49*IF(Time!AQ17=11,1,0)</f>
        <v>0</v>
      </c>
      <c r="AR21" s="9" t="n">
        <f aca="false">Inputs!$F$49*IF(Time!AR17=11,1,0)</f>
        <v>0</v>
      </c>
      <c r="AS21" s="9" t="n">
        <f aca="false">Inputs!$F$49*IF(Time!AS17=11,1,0)</f>
        <v>0</v>
      </c>
      <c r="AT21" s="9" t="n">
        <f aca="false">Inputs!$F$49*IF(Time!AT17=11,1,0)</f>
        <v>0</v>
      </c>
      <c r="AU21" s="9" t="n">
        <f aca="false">Inputs!$F$49*IF(Time!AU17=11,1,0)</f>
        <v>0</v>
      </c>
      <c r="AV21" s="9" t="n">
        <f aca="false">Inputs!$F$49*IF(Time!AV17=11,1,0)</f>
        <v>0</v>
      </c>
      <c r="AW21" s="9" t="n">
        <f aca="false">Inputs!$F$49*IF(Time!AW17=11,1,0)</f>
        <v>0</v>
      </c>
      <c r="AX21" s="9" t="n">
        <f aca="false">Inputs!$F$49*IF(Time!AX17=11,1,0)</f>
        <v>0</v>
      </c>
      <c r="AY21" s="9" t="n">
        <f aca="false">Inputs!$F$49*IF(Time!AY17=11,1,0)</f>
        <v>0</v>
      </c>
      <c r="AZ21" s="9" t="n">
        <f aca="false">Inputs!$F$49*IF(Time!AZ17=11,1,0)</f>
        <v>0</v>
      </c>
      <c r="BA21" s="9" t="n">
        <f aca="false">Inputs!$F$49*IF(Time!BA17=11,1,0)</f>
        <v>0</v>
      </c>
      <c r="BB21" s="9" t="n">
        <f aca="false">Inputs!$F$49*IF(Time!BB17=11,1,0)</f>
        <v>0</v>
      </c>
      <c r="BC21" s="9" t="n">
        <f aca="false">Inputs!$F$49*IF(Time!BC17=11,1,0)</f>
        <v>0</v>
      </c>
      <c r="BD21" s="9" t="n">
        <f aca="false">Inputs!$F$49*IF(Time!BD17=11,1,0)</f>
        <v>0</v>
      </c>
      <c r="BE21" s="9" t="n">
        <f aca="false">Inputs!$F$49*IF(Time!BE17=11,1,0)</f>
        <v>0</v>
      </c>
      <c r="BF21" s="9" t="n">
        <f aca="false">Inputs!$F$49*IF(Time!BF17=11,1,0)</f>
        <v>0</v>
      </c>
      <c r="BG21" s="9" t="n">
        <f aca="false">Inputs!$F$49*IF(Time!BG17=11,1,0)</f>
        <v>0</v>
      </c>
      <c r="BH21" s="9" t="n">
        <f aca="false">Inputs!$F$49*IF(Time!BH17=11,1,0)</f>
        <v>0</v>
      </c>
      <c r="BI21" s="9" t="n">
        <f aca="false">Inputs!$F$49*IF(Time!BI17=11,1,0)</f>
        <v>0</v>
      </c>
      <c r="BJ21" s="9" t="n">
        <f aca="false">Inputs!$F$49*IF(Time!BJ17=11,1,0)</f>
        <v>0</v>
      </c>
      <c r="BK21" s="9" t="n">
        <f aca="false">Inputs!$F$49*IF(Time!BK17=11,1,0)</f>
        <v>0</v>
      </c>
      <c r="BL21" s="9" t="n">
        <f aca="false">Inputs!$F$49*IF(Time!BL17=11,1,0)</f>
        <v>0</v>
      </c>
      <c r="BM21" s="9" t="n">
        <f aca="false">Inputs!$F$49*IF(Time!BM17=11,1,0)</f>
        <v>0</v>
      </c>
      <c r="BN21" s="9" t="n">
        <f aca="false">Inputs!$F$49*IF(Time!BN17=11,1,0)</f>
        <v>0</v>
      </c>
    </row>
    <row r="22" customFormat="false" ht="15" hidden="false" customHeight="false" outlineLevel="0" collapsed="false">
      <c r="D22" s="0" t="s">
        <v>651</v>
      </c>
      <c r="E22" s="0" t="s">
        <v>113</v>
      </c>
      <c r="J22" s="9" t="n">
        <f aca="false">Inputs!$F$49*IF(AND(Time!J17&gt;=12,Time!J17&lt;=15),1,0)</f>
        <v>0</v>
      </c>
      <c r="K22" s="9" t="n">
        <f aca="false">Inputs!$F$49*IF(AND(Time!K17&gt;=12,Time!K17&lt;=15),1,0)</f>
        <v>0</v>
      </c>
      <c r="L22" s="9" t="n">
        <f aca="false">Inputs!$F$49*IF(AND(Time!L17&gt;=12,Time!L17&lt;=15),1,0)</f>
        <v>0</v>
      </c>
      <c r="M22" s="9" t="n">
        <f aca="false">Inputs!$F$49*IF(AND(Time!M17&gt;=12,Time!M17&lt;=15),1,0)</f>
        <v>0</v>
      </c>
      <c r="N22" s="9" t="n">
        <f aca="false">Inputs!$F$49*IF(AND(Time!N17&gt;=12,Time!N17&lt;=15),1,0)</f>
        <v>0</v>
      </c>
      <c r="O22" s="9" t="n">
        <f aca="false">Inputs!$F$49*IF(AND(Time!O17&gt;=12,Time!O17&lt;=15),1,0)</f>
        <v>0</v>
      </c>
      <c r="P22" s="9" t="n">
        <f aca="false">Inputs!$F$49*IF(AND(Time!P17&gt;=12,Time!P17&lt;=15),1,0)</f>
        <v>0</v>
      </c>
      <c r="Q22" s="9" t="n">
        <f aca="false">Inputs!$F$49*IF(AND(Time!Q17&gt;=12,Time!Q17&lt;=15),1,0)</f>
        <v>0</v>
      </c>
      <c r="R22" s="9" t="n">
        <f aca="false">Inputs!$F$49*IF(AND(Time!R17&gt;=12,Time!R17&lt;=15),1,0)</f>
        <v>0</v>
      </c>
      <c r="S22" s="9" t="n">
        <f aca="false">Inputs!$F$49*IF(AND(Time!S17&gt;=12,Time!S17&lt;=15),1,0)</f>
        <v>0</v>
      </c>
      <c r="T22" s="9" t="n">
        <f aca="false">Inputs!$F$49*IF(AND(Time!T17&gt;=12,Time!T17&lt;=15),1,0)</f>
        <v>0</v>
      </c>
      <c r="U22" s="9" t="n">
        <f aca="false">Inputs!$F$49*IF(AND(Time!U17&gt;=12,Time!U17&lt;=15),1,0)</f>
        <v>0</v>
      </c>
      <c r="V22" s="9" t="n">
        <f aca="false">Inputs!$F$49*IF(AND(Time!V17&gt;=12,Time!V17&lt;=15),1,0)</f>
        <v>0</v>
      </c>
      <c r="W22" s="9" t="n">
        <f aca="false">Inputs!$F$49*IF(AND(Time!W17&gt;=12,Time!W17&lt;=15),1,0)</f>
        <v>0</v>
      </c>
      <c r="X22" s="9" t="n">
        <f aca="false">Inputs!$F$49*IF(AND(Time!X17&gt;=12,Time!X17&lt;=15),1,0)</f>
        <v>0</v>
      </c>
      <c r="Y22" s="9" t="n">
        <f aca="false">Inputs!$F$49*IF(AND(Time!Y17&gt;=12,Time!Y17&lt;=15),1,0)</f>
        <v>0</v>
      </c>
      <c r="Z22" s="9" t="n">
        <f aca="false">Inputs!$F$49*IF(AND(Time!Z17&gt;=12,Time!Z17&lt;=15),1,0)</f>
        <v>0</v>
      </c>
      <c r="AA22" s="9" t="n">
        <f aca="false">Inputs!$F$49*IF(AND(Time!AA17&gt;=12,Time!AA17&lt;=15),1,0)</f>
        <v>0</v>
      </c>
      <c r="AB22" s="9" t="n">
        <f aca="false">Inputs!$F$49*IF(AND(Time!AB17&gt;=12,Time!AB17&lt;=15),1,0)</f>
        <v>0</v>
      </c>
      <c r="AC22" s="9" t="n">
        <f aca="false">Inputs!$F$49*IF(AND(Time!AC17&gt;=12,Time!AC17&lt;=15),1,0)</f>
        <v>0</v>
      </c>
      <c r="AD22" s="9" t="n">
        <f aca="false">Inputs!$F$49*IF(AND(Time!AD17&gt;=12,Time!AD17&lt;=15),1,0)</f>
        <v>0</v>
      </c>
      <c r="AE22" s="9" t="n">
        <f aca="false">Inputs!$F$49*IF(AND(Time!AE17&gt;=12,Time!AE17&lt;=15),1,0)</f>
        <v>0</v>
      </c>
      <c r="AF22" s="9" t="n">
        <f aca="false">Inputs!$F$49*IF(AND(Time!AF17&gt;=12,Time!AF17&lt;=15),1,0)</f>
        <v>0</v>
      </c>
      <c r="AG22" s="9" t="n">
        <f aca="false">Inputs!$F$49*IF(AND(Time!AG17&gt;=12,Time!AG17&lt;=15),1,0)</f>
        <v>0</v>
      </c>
      <c r="AH22" s="9" t="n">
        <f aca="false">Inputs!$F$49*IF(AND(Time!AH17&gt;=12,Time!AH17&lt;=15),1,0)</f>
        <v>0</v>
      </c>
      <c r="AI22" s="9" t="n">
        <f aca="false">Inputs!$F$49*IF(AND(Time!AI17&gt;=12,Time!AI17&lt;=15),1,0)</f>
        <v>0</v>
      </c>
      <c r="AJ22" s="9" t="n">
        <f aca="false">Inputs!$F$49*IF(AND(Time!AJ17&gt;=12,Time!AJ17&lt;=15),1,0)</f>
        <v>0</v>
      </c>
      <c r="AK22" s="9" t="n">
        <f aca="false">Inputs!$F$49*IF(AND(Time!AK17&gt;=12,Time!AK17&lt;=15),1,0)</f>
        <v>0</v>
      </c>
      <c r="AL22" s="9" t="n">
        <f aca="false">Inputs!$F$49*IF(AND(Time!AL17&gt;=12,Time!AL17&lt;=15),1,0)</f>
        <v>0</v>
      </c>
      <c r="AM22" s="9" t="n">
        <f aca="false">Inputs!$F$49*IF(AND(Time!AM17&gt;=12,Time!AM17&lt;=15),1,0)</f>
        <v>0</v>
      </c>
      <c r="AN22" s="9" t="n">
        <f aca="false">Inputs!$F$49*IF(AND(Time!AN17&gt;=12,Time!AN17&lt;=15),1,0)</f>
        <v>0</v>
      </c>
      <c r="AO22" s="9" t="n">
        <f aca="false">Inputs!$F$49*IF(AND(Time!AO17&gt;=12,Time!AO17&lt;=15),1,0)</f>
        <v>0</v>
      </c>
      <c r="AP22" s="9" t="n">
        <f aca="false">Inputs!$F$49*IF(AND(Time!AP17&gt;=12,Time!AP17&lt;=15),1,0)</f>
        <v>0</v>
      </c>
      <c r="AQ22" s="9" t="n">
        <f aca="false">Inputs!$F$49*IF(AND(Time!AQ17&gt;=12,Time!AQ17&lt;=15),1,0)</f>
        <v>0</v>
      </c>
      <c r="AR22" s="9" t="n">
        <f aca="false">Inputs!$F$49*IF(AND(Time!AR17&gt;=12,Time!AR17&lt;=15),1,0)</f>
        <v>0</v>
      </c>
      <c r="AS22" s="9" t="n">
        <f aca="false">Inputs!$F$49*IF(AND(Time!AS17&gt;=12,Time!AS17&lt;=15),1,0)</f>
        <v>0</v>
      </c>
      <c r="AT22" s="9" t="n">
        <f aca="false">Inputs!$F$49*IF(AND(Time!AT17&gt;=12,Time!AT17&lt;=15),1,0)</f>
        <v>0</v>
      </c>
      <c r="AU22" s="9" t="n">
        <f aca="false">Inputs!$F$49*IF(AND(Time!AU17&gt;=12,Time!AU17&lt;=15),1,0)</f>
        <v>0</v>
      </c>
      <c r="AV22" s="9" t="n">
        <f aca="false">Inputs!$F$49*IF(AND(Time!AV17&gt;=12,Time!AV17&lt;=15),1,0)</f>
        <v>0</v>
      </c>
      <c r="AW22" s="9" t="n">
        <f aca="false">Inputs!$F$49*IF(AND(Time!AW17&gt;=12,Time!AW17&lt;=15),1,0)</f>
        <v>0</v>
      </c>
      <c r="AX22" s="9" t="n">
        <f aca="false">Inputs!$F$49*IF(AND(Time!AX17&gt;=12,Time!AX17&lt;=15),1,0)</f>
        <v>0</v>
      </c>
      <c r="AY22" s="9" t="n">
        <f aca="false">Inputs!$F$49*IF(AND(Time!AY17&gt;=12,Time!AY17&lt;=15),1,0)</f>
        <v>0</v>
      </c>
      <c r="AZ22" s="9" t="n">
        <f aca="false">Inputs!$F$49*IF(AND(Time!AZ17&gt;=12,Time!AZ17&lt;=15),1,0)</f>
        <v>0</v>
      </c>
      <c r="BA22" s="9" t="n">
        <f aca="false">Inputs!$F$49*IF(AND(Time!BA17&gt;=12,Time!BA17&lt;=15),1,0)</f>
        <v>0</v>
      </c>
      <c r="BB22" s="9" t="n">
        <f aca="false">Inputs!$F$49*IF(AND(Time!BB17&gt;=12,Time!BB17&lt;=15),1,0)</f>
        <v>0</v>
      </c>
      <c r="BC22" s="9" t="n">
        <f aca="false">Inputs!$F$49*IF(AND(Time!BC17&gt;=12,Time!BC17&lt;=15),1,0)</f>
        <v>0</v>
      </c>
      <c r="BD22" s="9" t="n">
        <f aca="false">Inputs!$F$49*IF(AND(Time!BD17&gt;=12,Time!BD17&lt;=15),1,0)</f>
        <v>0</v>
      </c>
      <c r="BE22" s="9" t="n">
        <f aca="false">Inputs!$F$49*IF(AND(Time!BE17&gt;=12,Time!BE17&lt;=15),1,0)</f>
        <v>0</v>
      </c>
      <c r="BF22" s="9" t="n">
        <f aca="false">Inputs!$F$49*IF(AND(Time!BF17&gt;=12,Time!BF17&lt;=15),1,0)</f>
        <v>0</v>
      </c>
      <c r="BG22" s="9" t="n">
        <f aca="false">Inputs!$F$49*IF(AND(Time!BG17&gt;=12,Time!BG17&lt;=15),1,0)</f>
        <v>0</v>
      </c>
      <c r="BH22" s="9" t="n">
        <f aca="false">Inputs!$F$49*IF(AND(Time!BH17&gt;=12,Time!BH17&lt;=15),1,0)</f>
        <v>0</v>
      </c>
      <c r="BI22" s="9" t="n">
        <f aca="false">Inputs!$F$49*IF(AND(Time!BI17&gt;=12,Time!BI17&lt;=15),1,0)</f>
        <v>0</v>
      </c>
      <c r="BJ22" s="9" t="n">
        <f aca="false">Inputs!$F$49*IF(AND(Time!BJ17&gt;=12,Time!BJ17&lt;=15),1,0)</f>
        <v>0</v>
      </c>
      <c r="BK22" s="9" t="n">
        <f aca="false">Inputs!$F$49*IF(AND(Time!BK17&gt;=12,Time!BK17&lt;=15),1,0)</f>
        <v>0</v>
      </c>
      <c r="BL22" s="9" t="n">
        <f aca="false">Inputs!$F$49*IF(AND(Time!BL17&gt;=12,Time!BL17&lt;=15),1,0)</f>
        <v>0</v>
      </c>
      <c r="BM22" s="9" t="n">
        <f aca="false">Inputs!$F$49*IF(AND(Time!BM17&gt;=12,Time!BM17&lt;=15),1,0)</f>
        <v>0</v>
      </c>
      <c r="BN22" s="9" t="n">
        <f aca="false">Inputs!$F$49*IF(AND(Time!BN17&gt;=12,Time!BN17&lt;=15),1,0)</f>
        <v>0</v>
      </c>
    </row>
    <row r="23" customFormat="false" ht="15" hidden="false" customHeight="false" outlineLevel="0" collapsed="false">
      <c r="D23" s="0" t="s">
        <v>652</v>
      </c>
      <c r="E23" s="0" t="s">
        <v>113</v>
      </c>
      <c r="J23" s="9" t="n">
        <f aca="false">Inputs!$F$48*IF(Time!J17=8,1,0)</f>
        <v>0</v>
      </c>
      <c r="K23" s="9" t="n">
        <f aca="false">Inputs!$F$48*IF(Time!K17=8,1,0)</f>
        <v>0</v>
      </c>
      <c r="L23" s="9" t="n">
        <f aca="false">Inputs!$F$48*IF(Time!L17=8,1,0)</f>
        <v>0</v>
      </c>
      <c r="M23" s="9" t="n">
        <f aca="false">Inputs!$F$48*IF(Time!M17=8,1,0)</f>
        <v>0</v>
      </c>
      <c r="N23" s="9" t="n">
        <f aca="false">Inputs!$F$48*IF(Time!N17=8,1,0)</f>
        <v>0</v>
      </c>
      <c r="O23" s="9" t="n">
        <f aca="false">Inputs!$F$48*IF(Time!O17=8,1,0)</f>
        <v>0</v>
      </c>
      <c r="P23" s="9" t="n">
        <f aca="false">Inputs!$F$48*IF(Time!P17=8,1,0)</f>
        <v>0</v>
      </c>
      <c r="Q23" s="9" t="n">
        <f aca="false">Inputs!$F$48*IF(Time!Q17=8,1,0)</f>
        <v>0</v>
      </c>
      <c r="R23" s="9" t="n">
        <f aca="false">Inputs!$F$48*IF(Time!R17=8,1,0)</f>
        <v>0</v>
      </c>
      <c r="S23" s="9" t="n">
        <f aca="false">Inputs!$F$48*IF(Time!S17=8,1,0)</f>
        <v>0</v>
      </c>
      <c r="T23" s="9" t="n">
        <f aca="false">Inputs!$F$48*IF(Time!T17=8,1,0)</f>
        <v>0</v>
      </c>
      <c r="U23" s="9" t="n">
        <f aca="false">Inputs!$F$48*IF(Time!U17=8,1,0)</f>
        <v>0</v>
      </c>
      <c r="V23" s="9" t="n">
        <f aca="false">Inputs!$F$48*IF(Time!V17=8,1,0)</f>
        <v>0</v>
      </c>
      <c r="W23" s="9" t="n">
        <f aca="false">Inputs!$F$48*IF(Time!W17=8,1,0)</f>
        <v>0</v>
      </c>
      <c r="X23" s="9" t="n">
        <f aca="false">Inputs!$F$48*IF(Time!X17=8,1,0)</f>
        <v>0</v>
      </c>
      <c r="Y23" s="9" t="n">
        <f aca="false">Inputs!$F$48*IF(Time!Y17=8,1,0)</f>
        <v>0</v>
      </c>
      <c r="Z23" s="9" t="n">
        <f aca="false">Inputs!$F$48*IF(Time!Z17=8,1,0)</f>
        <v>0</v>
      </c>
      <c r="AA23" s="9" t="n">
        <f aca="false">Inputs!$F$48*IF(Time!AA17=8,1,0)</f>
        <v>0</v>
      </c>
      <c r="AB23" s="9" t="n">
        <f aca="false">Inputs!$F$48*IF(Time!AB17=8,1,0)</f>
        <v>0</v>
      </c>
      <c r="AC23" s="9" t="n">
        <f aca="false">Inputs!$F$48*IF(Time!AC17=8,1,0)</f>
        <v>0</v>
      </c>
      <c r="AD23" s="9" t="n">
        <f aca="false">Inputs!$F$48*IF(Time!AD17=8,1,0)</f>
        <v>0</v>
      </c>
      <c r="AE23" s="9" t="n">
        <f aca="false">Inputs!$F$48*IF(Time!AE17=8,1,0)</f>
        <v>0</v>
      </c>
      <c r="AF23" s="9" t="n">
        <f aca="false">Inputs!$F$48*IF(Time!AF17=8,1,0)</f>
        <v>0</v>
      </c>
      <c r="AG23" s="9" t="n">
        <f aca="false">Inputs!$F$48*IF(Time!AG17=8,1,0)</f>
        <v>0</v>
      </c>
      <c r="AH23" s="9" t="n">
        <f aca="false">Inputs!$F$48*IF(Time!AH17=8,1,0)</f>
        <v>0</v>
      </c>
      <c r="AI23" s="9" t="n">
        <f aca="false">Inputs!$F$48*IF(Time!AI17=8,1,0)</f>
        <v>0</v>
      </c>
      <c r="AJ23" s="9" t="n">
        <f aca="false">Inputs!$F$48*IF(Time!AJ17=8,1,0)</f>
        <v>0</v>
      </c>
      <c r="AK23" s="9" t="n">
        <f aca="false">Inputs!$F$48*IF(Time!AK17=8,1,0)</f>
        <v>0</v>
      </c>
      <c r="AL23" s="9" t="n">
        <f aca="false">Inputs!$F$48*IF(Time!AL17=8,1,0)</f>
        <v>0</v>
      </c>
      <c r="AM23" s="9" t="n">
        <f aca="false">Inputs!$F$48*IF(Time!AM17=8,1,0)</f>
        <v>0</v>
      </c>
      <c r="AN23" s="9" t="n">
        <f aca="false">Inputs!$F$48*IF(Time!AN17=8,1,0)</f>
        <v>0</v>
      </c>
      <c r="AO23" s="9" t="n">
        <f aca="false">Inputs!$F$48*IF(Time!AO17=8,1,0)</f>
        <v>0</v>
      </c>
      <c r="AP23" s="9" t="n">
        <f aca="false">Inputs!$F$48*IF(Time!AP17=8,1,0)</f>
        <v>0</v>
      </c>
      <c r="AQ23" s="9" t="n">
        <f aca="false">Inputs!$F$48*IF(Time!AQ17=8,1,0)</f>
        <v>0</v>
      </c>
      <c r="AR23" s="9" t="n">
        <f aca="false">Inputs!$F$48*IF(Time!AR17=8,1,0)</f>
        <v>0</v>
      </c>
      <c r="AS23" s="9" t="n">
        <f aca="false">Inputs!$F$48*IF(Time!AS17=8,1,0)</f>
        <v>0</v>
      </c>
      <c r="AT23" s="9" t="n">
        <f aca="false">Inputs!$F$48*IF(Time!AT17=8,1,0)</f>
        <v>0</v>
      </c>
      <c r="AU23" s="9" t="n">
        <f aca="false">Inputs!$F$48*IF(Time!AU17=8,1,0)</f>
        <v>0</v>
      </c>
      <c r="AV23" s="9" t="n">
        <f aca="false">Inputs!$F$48*IF(Time!AV17=8,1,0)</f>
        <v>0</v>
      </c>
      <c r="AW23" s="9" t="n">
        <f aca="false">Inputs!$F$48*IF(Time!AW17=8,1,0)</f>
        <v>0</v>
      </c>
      <c r="AX23" s="9" t="n">
        <f aca="false">Inputs!$F$48*IF(Time!AX17=8,1,0)</f>
        <v>0</v>
      </c>
      <c r="AY23" s="9" t="n">
        <f aca="false">Inputs!$F$48*IF(Time!AY17=8,1,0)</f>
        <v>0</v>
      </c>
      <c r="AZ23" s="9" t="n">
        <f aca="false">Inputs!$F$48*IF(Time!AZ17=8,1,0)</f>
        <v>0</v>
      </c>
      <c r="BA23" s="9" t="n">
        <f aca="false">Inputs!$F$48*IF(Time!BA17=8,1,0)</f>
        <v>0</v>
      </c>
      <c r="BB23" s="9" t="n">
        <f aca="false">Inputs!$F$48*IF(Time!BB17=8,1,0)</f>
        <v>0</v>
      </c>
      <c r="BC23" s="9" t="n">
        <f aca="false">Inputs!$F$48*IF(Time!BC17=8,1,0)</f>
        <v>0</v>
      </c>
      <c r="BD23" s="9" t="n">
        <f aca="false">Inputs!$F$48*IF(Time!BD17=8,1,0)</f>
        <v>0</v>
      </c>
      <c r="BE23" s="9" t="n">
        <f aca="false">Inputs!$F$48*IF(Time!BE17=8,1,0)</f>
        <v>0</v>
      </c>
      <c r="BF23" s="9" t="n">
        <f aca="false">Inputs!$F$48*IF(Time!BF17=8,1,0)</f>
        <v>0</v>
      </c>
      <c r="BG23" s="9" t="n">
        <f aca="false">Inputs!$F$48*IF(Time!BG17=8,1,0)</f>
        <v>0</v>
      </c>
      <c r="BH23" s="9" t="n">
        <f aca="false">Inputs!$F$48*IF(Time!BH17=8,1,0)</f>
        <v>0</v>
      </c>
      <c r="BI23" s="9" t="n">
        <f aca="false">Inputs!$F$48*IF(Time!BI17=8,1,0)</f>
        <v>0</v>
      </c>
      <c r="BJ23" s="9" t="n">
        <f aca="false">Inputs!$F$48*IF(Time!BJ17=8,1,0)</f>
        <v>0</v>
      </c>
      <c r="BK23" s="9" t="n">
        <f aca="false">Inputs!$F$48*IF(Time!BK17=8,1,0)</f>
        <v>0</v>
      </c>
      <c r="BL23" s="9" t="n">
        <f aca="false">Inputs!$F$48*IF(Time!BL17=8,1,0)</f>
        <v>0</v>
      </c>
      <c r="BM23" s="9" t="n">
        <f aca="false">Inputs!$F$48*IF(Time!BM17=8,1,0)</f>
        <v>0</v>
      </c>
      <c r="BN23" s="9" t="n">
        <f aca="false">Inputs!$F$48*IF(Time!BN17=8,1,0)</f>
        <v>0</v>
      </c>
    </row>
    <row r="24" customFormat="false" ht="15" hidden="false" customHeight="false" outlineLevel="0" collapsed="false">
      <c r="B24" s="2" t="s">
        <v>653</v>
      </c>
    </row>
    <row r="25" customFormat="false" ht="15" hidden="false" customHeight="false" outlineLevel="0" collapsed="false">
      <c r="D25" s="0" t="s">
        <v>654</v>
      </c>
      <c r="E25" s="0" t="s">
        <v>149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189.976792662832</v>
      </c>
      <c r="Q25" s="11" t="n">
        <f aca="false">Time!Q30*P38</f>
        <v>185.329878222609</v>
      </c>
      <c r="R25" s="11" t="n">
        <f aca="false">Time!R30*Q38</f>
        <v>180.486298323733</v>
      </c>
      <c r="S25" s="11" t="n">
        <f aca="false">Time!S30*R38</f>
        <v>175.404129920104</v>
      </c>
      <c r="T25" s="11" t="n">
        <f aca="false">Time!T30*S38</f>
        <v>170.172198235414</v>
      </c>
      <c r="U25" s="11" t="n">
        <f aca="false">Time!U30*T38</f>
        <v>164.699599568086</v>
      </c>
      <c r="V25" s="11" t="n">
        <f aca="false">Time!V30*U38</f>
        <v>159.052470095201</v>
      </c>
      <c r="W25" s="11" t="n">
        <f aca="false">Time!W30*V38</f>
        <v>153.036417643677</v>
      </c>
      <c r="X25" s="11" t="n">
        <f aca="false">Time!X30*W38</f>
        <v>146.836458160947</v>
      </c>
      <c r="Y25" s="11" t="n">
        <f aca="false">Time!Y30*X38</f>
        <v>140.808595500226</v>
      </c>
      <c r="Z25" s="11" t="n">
        <f aca="false">Time!Z30*Y38</f>
        <v>134.777896431895</v>
      </c>
      <c r="AA25" s="11" t="n">
        <f aca="false">Time!AA30*Z38</f>
        <v>128.497357834404</v>
      </c>
      <c r="AB25" s="11" t="n">
        <f aca="false">Time!AB30*AA38</f>
        <v>122.033537374499</v>
      </c>
      <c r="AC25" s="11" t="n">
        <f aca="false">Time!AC30*AB38</f>
        <v>115.260912492887</v>
      </c>
      <c r="AD25" s="11" t="n">
        <f aca="false">Time!AD30*AC38</f>
        <v>108.263921004166</v>
      </c>
      <c r="AE25" s="11" t="n">
        <f aca="false">Time!AE30*AD38</f>
        <v>100.623716898676</v>
      </c>
      <c r="AF25" s="11" t="n">
        <f aca="false">Time!AF30*AE38</f>
        <v>92.6551326999459</v>
      </c>
      <c r="AG25" s="11" t="n">
        <f aca="false">Time!AG30*AF38</f>
        <v>84.4069963277574</v>
      </c>
      <c r="AH25" s="11" t="n">
        <f aca="false">Time!AH30*AG38</f>
        <v>76.0049232031011</v>
      </c>
      <c r="AI25" s="11" t="n">
        <f aca="false">Time!AI30*AH38</f>
        <v>67.1810530651313</v>
      </c>
      <c r="AJ25" s="11" t="n">
        <f aca="false">Time!AJ30*AI38</f>
        <v>58.0980918513904</v>
      </c>
      <c r="AK25" s="11" t="n">
        <f aca="false">Time!AK30*AJ38</f>
        <v>48.5766264939361</v>
      </c>
      <c r="AL25" s="11" t="n">
        <f aca="false">Time!AL30*AK38</f>
        <v>38.7469681631514</v>
      </c>
      <c r="AM25" s="11" t="n">
        <f aca="false">Time!AM30*AL38</f>
        <v>28.3242004612286</v>
      </c>
      <c r="AN25" s="11" t="n">
        <f aca="false">Time!AN30*AM38</f>
        <v>17.6847958787081</v>
      </c>
      <c r="AO25" s="11" t="n">
        <f aca="false">Time!AO30*AN38</f>
        <v>8.90741340173067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655</v>
      </c>
      <c r="E26" s="0" t="s">
        <v>149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656</v>
      </c>
      <c r="E27" s="0" t="s">
        <v>149</v>
      </c>
      <c r="G27" s="11" t="n">
        <f aca="false">SUM(J27:BN27)</f>
        <v>65.6316640678679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4.31120668149521</v>
      </c>
      <c r="Q27" s="11" t="n">
        <f aca="false">Q25*Q10</f>
        <v>4.15581659705509</v>
      </c>
      <c r="R27" s="11" t="n">
        <f aca="false">R25*R10</f>
        <v>4.11428544045523</v>
      </c>
      <c r="S27" s="11" t="n">
        <f aca="false">S25*S10</f>
        <v>3.94206164984607</v>
      </c>
      <c r="T27" s="11" t="n">
        <f aca="false">T25*T10</f>
        <v>3.88786748901843</v>
      </c>
      <c r="U27" s="11" t="n">
        <f aca="false">U25*U10</f>
        <v>3.72193645090613</v>
      </c>
      <c r="V27" s="11" t="n">
        <f aca="false">V25*V10</f>
        <v>3.63381876677502</v>
      </c>
      <c r="W27" s="11" t="n">
        <f aca="false">W25*W10</f>
        <v>3.4393659561936</v>
      </c>
      <c r="X27" s="11" t="n">
        <f aca="false">X25*X10</f>
        <v>3.35472361411709</v>
      </c>
      <c r="Y27" s="11" t="n">
        <f aca="false">Y25*Y10</f>
        <v>3.16455584337133</v>
      </c>
      <c r="Z27" s="11" t="n">
        <f aca="false">Z25*Z10</f>
        <v>3.07922567381402</v>
      </c>
      <c r="AA27" s="11" t="n">
        <f aca="false">AA25*AA10</f>
        <v>2.88787103619671</v>
      </c>
      <c r="AB27" s="11" t="n">
        <f aca="false">AB25*AB10</f>
        <v>2.78805955054938</v>
      </c>
      <c r="AC27" s="11" t="n">
        <f aca="false">AC25*AC10</f>
        <v>2.60470452081842</v>
      </c>
      <c r="AD27" s="11" t="n">
        <f aca="false">AD25*AD10</f>
        <v>2.47346971520851</v>
      </c>
      <c r="AE27" s="11" t="n">
        <f aca="false">AE25*AE10</f>
        <v>2.26143418420033</v>
      </c>
      <c r="AF27" s="11" t="n">
        <f aca="false">AF25*AF10</f>
        <v>2.11686093175143</v>
      </c>
      <c r="AG27" s="11" t="n">
        <f aca="false">AG25*AG10</f>
        <v>1.89697690330274</v>
      </c>
      <c r="AH27" s="11" t="n">
        <f aca="false">AH25*AH10</f>
        <v>1.73645914544685</v>
      </c>
      <c r="AI27" s="11" t="n">
        <f aca="false">AI25*AI10</f>
        <v>1.50983818342794</v>
      </c>
      <c r="AJ27" s="11" t="n">
        <f aca="false">AJ25*AJ10</f>
        <v>1.3273477384981</v>
      </c>
      <c r="AK27" s="11" t="n">
        <f aca="false">AK25*AK10</f>
        <v>1.0977507977188</v>
      </c>
      <c r="AL27" s="11" t="n">
        <f aca="false">AL25*AL10</f>
        <v>0.885239065967466</v>
      </c>
      <c r="AM27" s="11" t="n">
        <f aca="false">AM25*AM10</f>
        <v>0.636562801865728</v>
      </c>
      <c r="AN27" s="11" t="n">
        <f aca="false">AN25*AN10</f>
        <v>0.404038636508883</v>
      </c>
      <c r="AO27" s="11" t="n">
        <f aca="false">AO25*AO10</f>
        <v>0.200186693359395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657</v>
      </c>
      <c r="E28" s="0" t="s">
        <v>149</v>
      </c>
      <c r="G28" s="11" t="n">
        <f aca="false">SUM(J28:BN28)</f>
        <v>189.976792662832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4.64691444022318</v>
      </c>
      <c r="Q28" s="11" t="n">
        <f aca="false">Time!Q30*(Q25-Q26)*Q19</f>
        <v>4.84357989887597</v>
      </c>
      <c r="R28" s="11" t="n">
        <f aca="false">Time!R30*(R25-R26)*R19</f>
        <v>5.08216840362903</v>
      </c>
      <c r="S28" s="11" t="n">
        <f aca="false">Time!S30*(S25-S26)*S19</f>
        <v>5.23193168468981</v>
      </c>
      <c r="T28" s="11" t="n">
        <f aca="false">Time!T30*(T25-T26)*T19</f>
        <v>5.47259866732846</v>
      </c>
      <c r="U28" s="11" t="n">
        <f aca="false">Time!U30*(U25-U26)*U19</f>
        <v>5.64712947288521</v>
      </c>
      <c r="V28" s="11" t="n">
        <f aca="false">Time!V30*(V25-V26)*V19</f>
        <v>6.01605245152385</v>
      </c>
      <c r="W28" s="11" t="n">
        <f aca="false">Time!W30*(W25-W26)*W19</f>
        <v>6.19995948273022</v>
      </c>
      <c r="X28" s="11" t="n">
        <f aca="false">Time!X30*(X25-X26)*X19</f>
        <v>6.02786266072043</v>
      </c>
      <c r="Y28" s="11" t="n">
        <f aca="false">Time!Y30*(Y25-Y26)*Y19</f>
        <v>6.0306990683315</v>
      </c>
      <c r="Z28" s="11" t="n">
        <f aca="false">Time!Z30*(Z25-Z26)*Z19</f>
        <v>6.28053859749039</v>
      </c>
      <c r="AA28" s="11" t="n">
        <f aca="false">Time!AA30*(AA25-AA26)*AA19</f>
        <v>6.46382045990541</v>
      </c>
      <c r="AB28" s="11" t="n">
        <f aca="false">Time!AB30*(AB25-AB26)*AB19</f>
        <v>6.77262488161207</v>
      </c>
      <c r="AC28" s="11" t="n">
        <f aca="false">Time!AC30*(AC25-AC26)*AC19</f>
        <v>6.99699148872078</v>
      </c>
      <c r="AD28" s="11" t="n">
        <f aca="false">Time!AD30*(AD25-AD26)*AD19</f>
        <v>7.64020410548979</v>
      </c>
      <c r="AE28" s="11" t="n">
        <f aca="false">Time!AE30*(AE25-AE26)*AE19</f>
        <v>7.96858419873024</v>
      </c>
      <c r="AF28" s="11" t="n">
        <f aca="false">Time!AF30*(AF25-AF26)*AF19</f>
        <v>8.24813637218856</v>
      </c>
      <c r="AG28" s="11" t="n">
        <f aca="false">Time!AG30*(AG25-AG26)*AG19</f>
        <v>8.40207312465627</v>
      </c>
      <c r="AH28" s="11" t="n">
        <f aca="false">Time!AH30*(AH25-AH26)*AH19</f>
        <v>8.82387013796976</v>
      </c>
      <c r="AI28" s="11" t="n">
        <f aca="false">Time!AI30*(AI25-AI26)*AI19</f>
        <v>9.08296121374094</v>
      </c>
      <c r="AJ28" s="11" t="n">
        <f aca="false">Time!AJ30*(AJ25-AJ26)*AJ19</f>
        <v>9.52146535745423</v>
      </c>
      <c r="AK28" s="11" t="n">
        <f aca="false">Time!AK30*(AK25-AK26)*AK19</f>
        <v>9.82965833078475</v>
      </c>
      <c r="AL28" s="11" t="n">
        <f aca="false">Time!AL30*(AL25-AL26)*AL19</f>
        <v>10.4227677019228</v>
      </c>
      <c r="AM28" s="11" t="n">
        <f aca="false">Time!AM30*(AM25-AM26)*AM19</f>
        <v>10.6394045825205</v>
      </c>
      <c r="AN28" s="11" t="n">
        <f aca="false">Time!AN30*(AN25-AN26)*AN19</f>
        <v>8.77738247697738</v>
      </c>
      <c r="AO28" s="11" t="n">
        <f aca="false">Time!AO30*(AO25-AO26)*AO19</f>
        <v>8.90741340173067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658</v>
      </c>
      <c r="E29" s="0" t="s">
        <v>149</v>
      </c>
      <c r="G29" s="11" t="n">
        <f aca="false">SUM(J29:BN29)</f>
        <v>0</v>
      </c>
      <c r="J29" s="11" t="n">
        <f aca="false">J21*Inputs!$F$194*J28</f>
        <v>0</v>
      </c>
      <c r="K29" s="11" t="n">
        <f aca="false">K21*Inputs!$F$194*K28</f>
        <v>0</v>
      </c>
      <c r="L29" s="11" t="n">
        <f aca="false">L21*Inputs!$F$194*L28</f>
        <v>0</v>
      </c>
      <c r="M29" s="11" t="n">
        <f aca="false">M21*Inputs!$F$194*M28</f>
        <v>0</v>
      </c>
      <c r="N29" s="11" t="n">
        <f aca="false">N21*Inputs!$F$194*N28</f>
        <v>0</v>
      </c>
      <c r="O29" s="11" t="n">
        <f aca="false">O21*Inputs!$F$194*O28</f>
        <v>0</v>
      </c>
      <c r="P29" s="11" t="n">
        <f aca="false">P21*Inputs!$F$194*P28</f>
        <v>0</v>
      </c>
      <c r="Q29" s="11" t="n">
        <f aca="false">Q21*Inputs!$F$194*Q28</f>
        <v>0</v>
      </c>
      <c r="R29" s="11" t="n">
        <f aca="false">R21*Inputs!$F$194*R28</f>
        <v>0</v>
      </c>
      <c r="S29" s="11" t="n">
        <f aca="false">S21*Inputs!$F$194*S28</f>
        <v>0</v>
      </c>
      <c r="T29" s="11" t="n">
        <f aca="false">T21*Inputs!$F$194*T28</f>
        <v>0</v>
      </c>
      <c r="U29" s="11" t="n">
        <f aca="false">U21*Inputs!$F$194*U28</f>
        <v>0</v>
      </c>
      <c r="V29" s="11" t="n">
        <f aca="false">V21*Inputs!$F$194*V28</f>
        <v>0</v>
      </c>
      <c r="W29" s="11" t="n">
        <f aca="false">W21*Inputs!$F$194*W28</f>
        <v>0</v>
      </c>
      <c r="X29" s="11" t="n">
        <f aca="false">X21*Inputs!$F$194*X28</f>
        <v>0</v>
      </c>
      <c r="Y29" s="11" t="n">
        <f aca="false">Y21*Inputs!$F$194*Y28</f>
        <v>0</v>
      </c>
      <c r="Z29" s="11" t="n">
        <f aca="false">Z21*Inputs!$F$194*Z28</f>
        <v>0</v>
      </c>
      <c r="AA29" s="11" t="n">
        <f aca="false">AA21*Inputs!$F$194*AA28</f>
        <v>0</v>
      </c>
      <c r="AB29" s="11" t="n">
        <f aca="false">AB21*Inputs!$F$194*AB28</f>
        <v>0</v>
      </c>
      <c r="AC29" s="11" t="n">
        <f aca="false">AC21*Inputs!$F$194*AC28</f>
        <v>0</v>
      </c>
      <c r="AD29" s="11" t="n">
        <f aca="false">AD21*Inputs!$F$194*AD28</f>
        <v>0</v>
      </c>
      <c r="AE29" s="11" t="n">
        <f aca="false">AE21*Inputs!$F$194*AE28</f>
        <v>0</v>
      </c>
      <c r="AF29" s="11" t="n">
        <f aca="false">AF21*Inputs!$F$194*AF28</f>
        <v>0</v>
      </c>
      <c r="AG29" s="11" t="n">
        <f aca="false">AG21*Inputs!$F$194*AG28</f>
        <v>0</v>
      </c>
      <c r="AH29" s="11" t="n">
        <f aca="false">AH21*Inputs!$F$194*AH28</f>
        <v>0</v>
      </c>
      <c r="AI29" s="11" t="n">
        <f aca="false">AI21*Inputs!$F$194*AI28</f>
        <v>0</v>
      </c>
      <c r="AJ29" s="11" t="n">
        <f aca="false">AJ21*Inputs!$F$194*AJ28</f>
        <v>0</v>
      </c>
      <c r="AK29" s="11" t="n">
        <f aca="false">AK21*Inputs!$F$194*AK28</f>
        <v>0</v>
      </c>
      <c r="AL29" s="11" t="n">
        <f aca="false">AL21*Inputs!$F$194*AL28</f>
        <v>0</v>
      </c>
      <c r="AM29" s="11" t="n">
        <f aca="false">AM21*Inputs!$F$194*AM28</f>
        <v>0</v>
      </c>
      <c r="AN29" s="11" t="n">
        <f aca="false">AN21*Inputs!$F$194*AN28</f>
        <v>0</v>
      </c>
      <c r="AO29" s="11" t="n">
        <f aca="false">AO21*Inputs!$F$194*AO28</f>
        <v>0</v>
      </c>
      <c r="AP29" s="11" t="n">
        <f aca="false">AP21*Inputs!$F$194*AP28</f>
        <v>0</v>
      </c>
      <c r="AQ29" s="11" t="n">
        <f aca="false">AQ21*Inputs!$F$194*AQ28</f>
        <v>0</v>
      </c>
      <c r="AR29" s="11" t="n">
        <f aca="false">AR21*Inputs!$F$194*AR28</f>
        <v>0</v>
      </c>
      <c r="AS29" s="11" t="n">
        <f aca="false">AS21*Inputs!$F$194*AS28</f>
        <v>0</v>
      </c>
      <c r="AT29" s="11" t="n">
        <f aca="false">AT21*Inputs!$F$194*AT28</f>
        <v>0</v>
      </c>
      <c r="AU29" s="11" t="n">
        <f aca="false">AU21*Inputs!$F$194*AU28</f>
        <v>0</v>
      </c>
      <c r="AV29" s="11" t="n">
        <f aca="false">AV21*Inputs!$F$194*AV28</f>
        <v>0</v>
      </c>
      <c r="AW29" s="11" t="n">
        <f aca="false">AW21*Inputs!$F$194*AW28</f>
        <v>0</v>
      </c>
      <c r="AX29" s="11" t="n">
        <f aca="false">AX21*Inputs!$F$194*AX28</f>
        <v>0</v>
      </c>
      <c r="AY29" s="11" t="n">
        <f aca="false">AY21*Inputs!$F$194*AY28</f>
        <v>0</v>
      </c>
      <c r="AZ29" s="11" t="n">
        <f aca="false">AZ21*Inputs!$F$194*AZ28</f>
        <v>0</v>
      </c>
      <c r="BA29" s="11" t="n">
        <f aca="false">BA21*Inputs!$F$194*BA28</f>
        <v>0</v>
      </c>
      <c r="BB29" s="11" t="n">
        <f aca="false">BB21*Inputs!$F$194*BB28</f>
        <v>0</v>
      </c>
      <c r="BC29" s="11" t="n">
        <f aca="false">BC21*Inputs!$F$194*BC28</f>
        <v>0</v>
      </c>
      <c r="BD29" s="11" t="n">
        <f aca="false">BD21*Inputs!$F$194*BD28</f>
        <v>0</v>
      </c>
      <c r="BE29" s="11" t="n">
        <f aca="false">BE21*Inputs!$F$194*BE28</f>
        <v>0</v>
      </c>
      <c r="BF29" s="11" t="n">
        <f aca="false">BF21*Inputs!$F$194*BF28</f>
        <v>0</v>
      </c>
      <c r="BG29" s="11" t="n">
        <f aca="false">BG21*Inputs!$F$194*BG28</f>
        <v>0</v>
      </c>
      <c r="BH29" s="11" t="n">
        <f aca="false">BH21*Inputs!$F$194*BH28</f>
        <v>0</v>
      </c>
      <c r="BI29" s="11" t="n">
        <f aca="false">BI21*Inputs!$F$194*BI28</f>
        <v>0</v>
      </c>
      <c r="BJ29" s="11" t="n">
        <f aca="false">BJ21*Inputs!$F$194*BJ28</f>
        <v>0</v>
      </c>
      <c r="BK29" s="11" t="n">
        <f aca="false">BK21*Inputs!$F$194*BK28</f>
        <v>0</v>
      </c>
      <c r="BL29" s="11" t="n">
        <f aca="false">BL21*Inputs!$F$194*BL28</f>
        <v>0</v>
      </c>
      <c r="BM29" s="11" t="n">
        <f aca="false">BM21*Inputs!$F$194*BM28</f>
        <v>0</v>
      </c>
      <c r="BN29" s="11" t="n">
        <f aca="false">BN21*Inputs!$F$194*BN28</f>
        <v>0</v>
      </c>
    </row>
    <row r="30" customFormat="false" ht="15" hidden="false" customHeight="false" outlineLevel="0" collapsed="false">
      <c r="D30" s="0" t="s">
        <v>659</v>
      </c>
      <c r="E30" s="0" t="s">
        <v>149</v>
      </c>
      <c r="F30" s="15" t="n">
        <f aca="false">$T$29</f>
        <v>0</v>
      </c>
    </row>
    <row r="31" customFormat="false" ht="15" hidden="false" customHeight="false" outlineLevel="0" collapsed="false">
      <c r="D31" s="0" t="s">
        <v>660</v>
      </c>
      <c r="E31" s="0" t="s">
        <v>149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661</v>
      </c>
      <c r="E32" s="0" t="s">
        <v>149</v>
      </c>
      <c r="G32" s="11" t="n">
        <f aca="false">SUM(J32:BN32)</f>
        <v>189.976792662832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4.64691444022318</v>
      </c>
      <c r="Q32" s="11" t="n">
        <f aca="false">Q28-Q29+Q31</f>
        <v>4.84357989887597</v>
      </c>
      <c r="R32" s="11" t="n">
        <f aca="false">R28-R29+R31</f>
        <v>5.08216840362903</v>
      </c>
      <c r="S32" s="11" t="n">
        <f aca="false">S28-S29+S31</f>
        <v>5.23193168468981</v>
      </c>
      <c r="T32" s="11" t="n">
        <f aca="false">T28-T29+T31</f>
        <v>5.47259866732846</v>
      </c>
      <c r="U32" s="11" t="n">
        <f aca="false">U28-U29+U31</f>
        <v>5.64712947288521</v>
      </c>
      <c r="V32" s="11" t="n">
        <f aca="false">V28-V29+V31</f>
        <v>6.01605245152385</v>
      </c>
      <c r="W32" s="11" t="n">
        <f aca="false">W28-W29+W31</f>
        <v>6.19995948273022</v>
      </c>
      <c r="X32" s="11" t="n">
        <f aca="false">X28-X29+X31</f>
        <v>6.02786266072043</v>
      </c>
      <c r="Y32" s="11" t="n">
        <f aca="false">Y28-Y29+Y31</f>
        <v>6.0306990683315</v>
      </c>
      <c r="Z32" s="11" t="n">
        <f aca="false">Z28-Z29+Z31</f>
        <v>6.28053859749039</v>
      </c>
      <c r="AA32" s="11" t="n">
        <f aca="false">AA28-AA29+AA31</f>
        <v>6.46382045990541</v>
      </c>
      <c r="AB32" s="11" t="n">
        <f aca="false">AB28-AB29+AB31</f>
        <v>6.77262488161207</v>
      </c>
      <c r="AC32" s="11" t="n">
        <f aca="false">AC28-AC29+AC31</f>
        <v>6.99699148872078</v>
      </c>
      <c r="AD32" s="11" t="n">
        <f aca="false">AD28-AD29+AD31</f>
        <v>7.64020410548979</v>
      </c>
      <c r="AE32" s="11" t="n">
        <f aca="false">AE28-AE29+AE31</f>
        <v>7.96858419873024</v>
      </c>
      <c r="AF32" s="11" t="n">
        <f aca="false">AF28-AF29+AF31</f>
        <v>8.24813637218856</v>
      </c>
      <c r="AG32" s="11" t="n">
        <f aca="false">AG28-AG29+AG31</f>
        <v>8.40207312465627</v>
      </c>
      <c r="AH32" s="11" t="n">
        <f aca="false">AH28-AH29+AH31</f>
        <v>8.82387013796976</v>
      </c>
      <c r="AI32" s="11" t="n">
        <f aca="false">AI28-AI29+AI31</f>
        <v>9.08296121374094</v>
      </c>
      <c r="AJ32" s="11" t="n">
        <f aca="false">AJ28-AJ29+AJ31</f>
        <v>9.52146535745423</v>
      </c>
      <c r="AK32" s="11" t="n">
        <f aca="false">AK28-AK29+AK31</f>
        <v>9.82965833078475</v>
      </c>
      <c r="AL32" s="11" t="n">
        <f aca="false">AL28-AL29+AL31</f>
        <v>10.4227677019228</v>
      </c>
      <c r="AM32" s="11" t="n">
        <f aca="false">AM28-AM29+AM31</f>
        <v>10.6394045825205</v>
      </c>
      <c r="AN32" s="11" t="n">
        <f aca="false">AN28-AN29+AN31</f>
        <v>8.77738247697738</v>
      </c>
      <c r="AO32" s="11" t="n">
        <f aca="false">AO28-AO29+AO31</f>
        <v>8.90741340173067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662</v>
      </c>
      <c r="E33" s="0" t="s">
        <v>149</v>
      </c>
      <c r="G33" s="11" t="n">
        <f aca="false">SUM(J33:BN33)</f>
        <v>0</v>
      </c>
      <c r="J33" s="11" t="n">
        <f aca="false">J23*Inputs!$F$191*(J25-J32)/(J25-J32+J40-J47+J55-J62+J70-J77+J85-J92+0.000000001)</f>
        <v>0</v>
      </c>
      <c r="K33" s="11" t="n">
        <f aca="false">K23*Inputs!$F$191*(K25-K32)/(K25-K32+K40-K47+K55-K62+K70-K77+K85-K92+0.000000001)</f>
        <v>0</v>
      </c>
      <c r="L33" s="11" t="n">
        <f aca="false">L23*Inputs!$F$191*(L25-L32)/(L25-L32+L40-L47+L55-L62+L70-L77+L85-L92+0.000000001)</f>
        <v>0</v>
      </c>
      <c r="M33" s="11" t="n">
        <f aca="false">M23*Inputs!$F$191*(M25-M32)/(M25-M32+M40-M47+M55-M62+M70-M77+M85-M92+0.000000001)</f>
        <v>0</v>
      </c>
      <c r="N33" s="11" t="n">
        <f aca="false">N23*Inputs!$F$191*(N25-N32)/(N25-N32+N40-N47+N55-N62+N70-N77+N85-N92+0.000000001)</f>
        <v>0</v>
      </c>
      <c r="O33" s="11" t="n">
        <f aca="false">O23*Inputs!$F$191*(O25-O32)/(O25-O32+O40-O47+O55-O62+O70-O77+O85-O92+0.000000001)</f>
        <v>0</v>
      </c>
      <c r="P33" s="11" t="n">
        <f aca="false">P23*Inputs!$F$191*(P25-P32)/(P25-P32+P40-P47+P55-P62+P70-P77+P85-P92+0.000000001)</f>
        <v>0</v>
      </c>
      <c r="Q33" s="11" t="n">
        <f aca="false">Q23*Inputs!$F$191*(Q25-Q32)/(Q25-Q32+Q40-Q47+Q55-Q62+Q70-Q77+Q85-Q92+0.000000001)</f>
        <v>0</v>
      </c>
      <c r="R33" s="11" t="n">
        <f aca="false">R23*Inputs!$F$191*(R25-R32)/(R25-R32+R40-R47+R55-R62+R70-R77+R85-R92+0.000000001)</f>
        <v>0</v>
      </c>
      <c r="S33" s="11" t="n">
        <f aca="false">S23*Inputs!$F$191*(S25-S32)/(S25-S32+S40-S47+S55-S62+S70-S77+S85-S92+0.000000001)</f>
        <v>0</v>
      </c>
      <c r="T33" s="11" t="n">
        <f aca="false">T23*Inputs!$F$191*(T25-T32)/(T25-T32+T40-T47+T55-T62+T70-T77+T85-T92+0.000000001)</f>
        <v>0</v>
      </c>
      <c r="U33" s="11" t="n">
        <f aca="false">U23*Inputs!$F$191*(U25-U32)/(U25-U32+U40-U47+U55-U62+U70-U77+U85-U92+0.000000001)</f>
        <v>0</v>
      </c>
      <c r="V33" s="11" t="n">
        <f aca="false">V23*Inputs!$F$191*(V25-V32)/(V25-V32+V40-V47+V55-V62+V70-V77+V85-V92+0.000000001)</f>
        <v>0</v>
      </c>
      <c r="W33" s="11" t="n">
        <f aca="false">W23*Inputs!$F$191*(W25-W32)/(W25-W32+W40-W47+W55-W62+W70-W77+W85-W92+0.000000001)</f>
        <v>0</v>
      </c>
      <c r="X33" s="11" t="n">
        <f aca="false">X23*Inputs!$F$191*(X25-X32)/(X25-X32+X40-X47+X55-X62+X70-X77+X85-X92+0.000000001)</f>
        <v>0</v>
      </c>
      <c r="Y33" s="11" t="n">
        <f aca="false">Y23*Inputs!$F$191*(Y25-Y32)/(Y25-Y32+Y40-Y47+Y55-Y62+Y70-Y77+Y85-Y92+0.000000001)</f>
        <v>0</v>
      </c>
      <c r="Z33" s="11" t="n">
        <f aca="false">Z23*Inputs!$F$191*(Z25-Z32)/(Z25-Z32+Z40-Z47+Z55-Z62+Z70-Z77+Z85-Z92+0.000000001)</f>
        <v>0</v>
      </c>
      <c r="AA33" s="11" t="n">
        <f aca="false">AA23*Inputs!$F$191*(AA25-AA32)/(AA25-AA32+AA40-AA47+AA55-AA62+AA70-AA77+AA85-AA92+0.000000001)</f>
        <v>0</v>
      </c>
      <c r="AB33" s="11" t="n">
        <f aca="false">AB23*Inputs!$F$191*(AB25-AB32)/(AB25-AB32+AB40-AB47+AB55-AB62+AB70-AB77+AB85-AB92+0.000000001)</f>
        <v>0</v>
      </c>
      <c r="AC33" s="11" t="n">
        <f aca="false">AC23*Inputs!$F$191*(AC25-AC32)/(AC25-AC32+AC40-AC47+AC55-AC62+AC70-AC77+AC85-AC92+0.000000001)</f>
        <v>0</v>
      </c>
      <c r="AD33" s="11" t="n">
        <f aca="false">AD23*Inputs!$F$191*(AD25-AD32)/(AD25-AD32+AD40-AD47+AD55-AD62+AD70-AD77+AD85-AD92+0.000000001)</f>
        <v>0</v>
      </c>
      <c r="AE33" s="11" t="n">
        <f aca="false">AE23*Inputs!$F$191*(AE25-AE32)/(AE25-AE32+AE40-AE47+AE55-AE62+AE70-AE77+AE85-AE92+0.000000001)</f>
        <v>0</v>
      </c>
      <c r="AF33" s="11" t="n">
        <f aca="false">AF23*Inputs!$F$191*(AF25-AF32)/(AF25-AF32+AF40-AF47+AF55-AF62+AF70-AF77+AF85-AF92+0.000000001)</f>
        <v>0</v>
      </c>
      <c r="AG33" s="11" t="n">
        <f aca="false">AG23*Inputs!$F$191*(AG25-AG32)/(AG25-AG32+AG40-AG47+AG55-AG62+AG70-AG77+AG85-AG92+0.000000001)</f>
        <v>0</v>
      </c>
      <c r="AH33" s="11" t="n">
        <f aca="false">AH23*Inputs!$F$191*(AH25-AH32)/(AH25-AH32+AH40-AH47+AH55-AH62+AH70-AH77+AH85-AH92+0.000000001)</f>
        <v>0</v>
      </c>
      <c r="AI33" s="11" t="n">
        <f aca="false">AI23*Inputs!$F$191*(AI25-AI32)/(AI25-AI32+AI40-AI47+AI55-AI62+AI70-AI77+AI85-AI92+0.000000001)</f>
        <v>0</v>
      </c>
      <c r="AJ33" s="11" t="n">
        <f aca="false">AJ23*Inputs!$F$191*(AJ25-AJ32)/(AJ25-AJ32+AJ40-AJ47+AJ55-AJ62+AJ70-AJ77+AJ85-AJ92+0.000000001)</f>
        <v>0</v>
      </c>
      <c r="AK33" s="11" t="n">
        <f aca="false">AK23*Inputs!$F$191*(AK25-AK32)/(AK25-AK32+AK40-AK47+AK55-AK62+AK70-AK77+AK85-AK92+0.000000001)</f>
        <v>0</v>
      </c>
      <c r="AL33" s="11" t="n">
        <f aca="false">AL23*Inputs!$F$191*(AL25-AL32)/(AL25-AL32+AL40-AL47+AL55-AL62+AL70-AL77+AL85-AL92+0.000000001)</f>
        <v>0</v>
      </c>
      <c r="AM33" s="11" t="n">
        <f aca="false">AM23*Inputs!$F$191*(AM25-AM32)/(AM25-AM32+AM40-AM47+AM55-AM62+AM70-AM77+AM85-AM92+0.000000001)</f>
        <v>0</v>
      </c>
      <c r="AN33" s="11" t="n">
        <f aca="false">AN23*Inputs!$F$191*(AN25-AN32)/(AN25-AN32+AN40-AN47+AN55-AN62+AN70-AN77+AN85-AN92+0.000000001)</f>
        <v>0</v>
      </c>
      <c r="AO33" s="11" t="n">
        <f aca="false">AO23*Inputs!$F$191*(AO25-AO32)/(AO25-AO32+AO40-AO47+AO55-AO62+AO70-AO77+AO85-AO92+0.000000001)</f>
        <v>0</v>
      </c>
      <c r="AP33" s="11" t="n">
        <f aca="false">AP23*Inputs!$F$191*(AP25-AP32)/(AP25-AP32+AP40-AP47+AP55-AP62+AP70-AP77+AP85-AP92+0.000000001)</f>
        <v>0</v>
      </c>
      <c r="AQ33" s="11" t="n">
        <f aca="false">AQ23*Inputs!$F$191*(AQ25-AQ32)/(AQ25-AQ32+AQ40-AQ47+AQ55-AQ62+AQ70-AQ77+AQ85-AQ92+0.000000001)</f>
        <v>0</v>
      </c>
      <c r="AR33" s="11" t="n">
        <f aca="false">AR23*Inputs!$F$191*(AR25-AR32)/(AR25-AR32+AR40-AR47+AR55-AR62+AR70-AR77+AR85-AR92+0.000000001)</f>
        <v>0</v>
      </c>
      <c r="AS33" s="11" t="n">
        <f aca="false">AS23*Inputs!$F$191*(AS25-AS32)/(AS25-AS32+AS40-AS47+AS55-AS62+AS70-AS77+AS85-AS92+0.000000001)</f>
        <v>0</v>
      </c>
      <c r="AT33" s="11" t="n">
        <f aca="false">AT23*Inputs!$F$191*(AT25-AT32)/(AT25-AT32+AT40-AT47+AT55-AT62+AT70-AT77+AT85-AT92+0.000000001)</f>
        <v>0</v>
      </c>
      <c r="AU33" s="11" t="n">
        <f aca="false">AU23*Inputs!$F$191*(AU25-AU32)/(AU25-AU32+AU40-AU47+AU55-AU62+AU70-AU77+AU85-AU92+0.000000001)</f>
        <v>0</v>
      </c>
      <c r="AV33" s="11" t="n">
        <f aca="false">AV23*Inputs!$F$191*(AV25-AV32)/(AV25-AV32+AV40-AV47+AV55-AV62+AV70-AV77+AV85-AV92+0.000000001)</f>
        <v>0</v>
      </c>
      <c r="AW33" s="11" t="n">
        <f aca="false">AW23*Inputs!$F$191*(AW25-AW32)/(AW25-AW32+AW40-AW47+AW55-AW62+AW70-AW77+AW85-AW92+0.000000001)</f>
        <v>0</v>
      </c>
      <c r="AX33" s="11" t="n">
        <f aca="false">AX23*Inputs!$F$191*(AX25-AX32)/(AX25-AX32+AX40-AX47+AX55-AX62+AX70-AX77+AX85-AX92+0.000000001)</f>
        <v>0</v>
      </c>
      <c r="AY33" s="11" t="n">
        <f aca="false">AY23*Inputs!$F$191*(AY25-AY32)/(AY25-AY32+AY40-AY47+AY55-AY62+AY70-AY77+AY85-AY92+0.000000001)</f>
        <v>0</v>
      </c>
      <c r="AZ33" s="11" t="n">
        <f aca="false">AZ23*Inputs!$F$191*(AZ25-AZ32)/(AZ25-AZ32+AZ40-AZ47+AZ55-AZ62+AZ70-AZ77+AZ85-AZ92+0.000000001)</f>
        <v>0</v>
      </c>
      <c r="BA33" s="11" t="n">
        <f aca="false">BA23*Inputs!$F$191*(BA25-BA32)/(BA25-BA32+BA40-BA47+BA55-BA62+BA70-BA77+BA85-BA92+0.000000001)</f>
        <v>0</v>
      </c>
      <c r="BB33" s="11" t="n">
        <f aca="false">BB23*Inputs!$F$191*(BB25-BB32)/(BB25-BB32+BB40-BB47+BB55-BB62+BB70-BB77+BB85-BB92+0.000000001)</f>
        <v>0</v>
      </c>
      <c r="BC33" s="11" t="n">
        <f aca="false">BC23*Inputs!$F$191*(BC25-BC32)/(BC25-BC32+BC40-BC47+BC55-BC62+BC70-BC77+BC85-BC92+0.000000001)</f>
        <v>0</v>
      </c>
      <c r="BD33" s="11" t="n">
        <f aca="false">BD23*Inputs!$F$191*(BD25-BD32)/(BD25-BD32+BD40-BD47+BD55-BD62+BD70-BD77+BD85-BD92+0.000000001)</f>
        <v>0</v>
      </c>
      <c r="BE33" s="11" t="n">
        <f aca="false">BE23*Inputs!$F$191*(BE25-BE32)/(BE25-BE32+BE40-BE47+BE55-BE62+BE70-BE77+BE85-BE92+0.000000001)</f>
        <v>0</v>
      </c>
      <c r="BF33" s="11" t="n">
        <f aca="false">BF23*Inputs!$F$191*(BF25-BF32)/(BF25-BF32+BF40-BF47+BF55-BF62+BF70-BF77+BF85-BF92+0.000000001)</f>
        <v>0</v>
      </c>
      <c r="BG33" s="11" t="n">
        <f aca="false">BG23*Inputs!$F$191*(BG25-BG32)/(BG25-BG32+BG40-BG47+BG55-BG62+BG70-BG77+BG85-BG92+0.000000001)</f>
        <v>0</v>
      </c>
      <c r="BH33" s="11" t="n">
        <f aca="false">BH23*Inputs!$F$191*(BH25-BH32)/(BH25-BH32+BH40-BH47+BH55-BH62+BH70-BH77+BH85-BH92+0.000000001)</f>
        <v>0</v>
      </c>
      <c r="BI33" s="11" t="n">
        <f aca="false">BI23*Inputs!$F$191*(BI25-BI32)/(BI25-BI32+BI40-BI47+BI55-BI62+BI70-BI77+BI85-BI92+0.000000001)</f>
        <v>0</v>
      </c>
      <c r="BJ33" s="11" t="n">
        <f aca="false">BJ23*Inputs!$F$191*(BJ25-BJ32)/(BJ25-BJ32+BJ40-BJ47+BJ55-BJ62+BJ70-BJ77+BJ85-BJ92+0.000000001)</f>
        <v>0</v>
      </c>
      <c r="BK33" s="11" t="n">
        <f aca="false">BK23*Inputs!$F$191*(BK25-BK32)/(BK25-BK32+BK40-BK47+BK55-BK62+BK70-BK77+BK85-BK92+0.000000001)</f>
        <v>0</v>
      </c>
      <c r="BL33" s="11" t="n">
        <f aca="false">BL23*Inputs!$F$191*(BL25-BL32)/(BL25-BL32+BL40-BL47+BL55-BL62+BL70-BL77+BL85-BL92+0.000000001)</f>
        <v>0</v>
      </c>
      <c r="BM33" s="11" t="n">
        <f aca="false">BM23*Inputs!$F$191*(BM25-BM32)/(BM25-BM32+BM40-BM47+BM55-BM62+BM70-BM77+BM85-BM92+0.000000001)</f>
        <v>0</v>
      </c>
      <c r="BN33" s="11" t="n">
        <f aca="false">BN23*Inputs!$F$191*(BN25-BN32)/(BN25-BN32+BN40-BN47+BN55-BN62+BN70-BN77+BN85-BN92+0.000000001)</f>
        <v>0</v>
      </c>
    </row>
    <row r="34" customFormat="false" ht="15" hidden="false" customHeight="false" outlineLevel="0" collapsed="false">
      <c r="D34" s="0" t="s">
        <v>663</v>
      </c>
      <c r="E34" s="0" t="s">
        <v>149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664</v>
      </c>
      <c r="E35" s="0" t="s">
        <v>149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665</v>
      </c>
      <c r="E36" s="0" t="s">
        <v>149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185.329878222609</v>
      </c>
      <c r="Q36" s="11" t="n">
        <f aca="false">Q25-Q32-Q33-Q34</f>
        <v>180.486298323733</v>
      </c>
      <c r="R36" s="11" t="n">
        <f aca="false">R25-R32-R33-R34</f>
        <v>175.404129920104</v>
      </c>
      <c r="S36" s="11" t="n">
        <f aca="false">S25-S32-S33-S34</f>
        <v>170.172198235414</v>
      </c>
      <c r="T36" s="11" t="n">
        <f aca="false">T25-T32-T33-T34</f>
        <v>164.699599568086</v>
      </c>
      <c r="U36" s="11" t="n">
        <f aca="false">U25-U32-U33-U34</f>
        <v>159.052470095201</v>
      </c>
      <c r="V36" s="11" t="n">
        <f aca="false">V25-V32-V33-V34</f>
        <v>153.036417643677</v>
      </c>
      <c r="W36" s="11" t="n">
        <f aca="false">W25-W32-W33-W34</f>
        <v>146.836458160947</v>
      </c>
      <c r="X36" s="11" t="n">
        <f aca="false">X25-X32-X33-X34</f>
        <v>140.808595500226</v>
      </c>
      <c r="Y36" s="11" t="n">
        <f aca="false">Y25-Y32-Y33-Y34</f>
        <v>134.777896431895</v>
      </c>
      <c r="Z36" s="11" t="n">
        <f aca="false">Z25-Z32-Z33-Z34</f>
        <v>128.497357834404</v>
      </c>
      <c r="AA36" s="11" t="n">
        <f aca="false">AA25-AA32-AA33-AA34</f>
        <v>122.033537374499</v>
      </c>
      <c r="AB36" s="11" t="n">
        <f aca="false">AB25-AB32-AB33-AB34</f>
        <v>115.260912492887</v>
      </c>
      <c r="AC36" s="11" t="n">
        <f aca="false">AC25-AC32-AC33-AC34</f>
        <v>108.263921004166</v>
      </c>
      <c r="AD36" s="11" t="n">
        <f aca="false">AD25-AD32-AD33-AD34</f>
        <v>100.623716898676</v>
      </c>
      <c r="AE36" s="11" t="n">
        <f aca="false">AE25-AE32-AE33-AE34</f>
        <v>92.6551326999459</v>
      </c>
      <c r="AF36" s="11" t="n">
        <f aca="false">AF25-AF32-AF33-AF34</f>
        <v>84.4069963277574</v>
      </c>
      <c r="AG36" s="11" t="n">
        <f aca="false">AG25-AG32-AG33-AG34</f>
        <v>76.0049232031011</v>
      </c>
      <c r="AH36" s="11" t="n">
        <f aca="false">AH25-AH32-AH33-AH34</f>
        <v>67.1810530651313</v>
      </c>
      <c r="AI36" s="11" t="n">
        <f aca="false">AI25-AI32-AI33-AI34</f>
        <v>58.0980918513904</v>
      </c>
      <c r="AJ36" s="11" t="n">
        <f aca="false">AJ25-AJ32-AJ33-AJ34</f>
        <v>48.5766264939361</v>
      </c>
      <c r="AK36" s="11" t="n">
        <f aca="false">AK25-AK32-AK33-AK34</f>
        <v>38.7469681631514</v>
      </c>
      <c r="AL36" s="11" t="n">
        <f aca="false">AL25-AL32-AL33-AL34</f>
        <v>28.3242004612286</v>
      </c>
      <c r="AM36" s="11" t="n">
        <f aca="false">AM25-AM32-AM33-AM34</f>
        <v>17.6847958787081</v>
      </c>
      <c r="AN36" s="11" t="n">
        <f aca="false">AN25-AN32-AN33-AN34</f>
        <v>8.90741340173067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666</v>
      </c>
      <c r="E37" s="0" t="s">
        <v>149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667</v>
      </c>
      <c r="E38" s="0" t="s">
        <v>149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189.976792662832</v>
      </c>
      <c r="P38" s="11" t="n">
        <f aca="false">IF(Time!P29=1,INDEX(Funding!$J$61:$BJ$61,1,Time!$F$13),Time!P30*(P36-P37))</f>
        <v>185.329878222609</v>
      </c>
      <c r="Q38" s="11" t="n">
        <f aca="false">IF(Time!Q29=1,INDEX(Funding!$J$61:$BJ$61,1,Time!$F$13),Time!Q30*(Q36-Q37))</f>
        <v>180.486298323733</v>
      </c>
      <c r="R38" s="11" t="n">
        <f aca="false">IF(Time!R29=1,INDEX(Funding!$J$61:$BJ$61,1,Time!$F$13),Time!R30*(R36-R37))</f>
        <v>175.404129920104</v>
      </c>
      <c r="S38" s="11" t="n">
        <f aca="false">IF(Time!S29=1,INDEX(Funding!$J$61:$BJ$61,1,Time!$F$13),Time!S30*(S36-S37))</f>
        <v>170.172198235414</v>
      </c>
      <c r="T38" s="11" t="n">
        <f aca="false">IF(Time!T29=1,INDEX(Funding!$J$61:$BJ$61,1,Time!$F$13),Time!T30*(T36-T37))</f>
        <v>164.699599568086</v>
      </c>
      <c r="U38" s="11" t="n">
        <f aca="false">IF(Time!U29=1,INDEX(Funding!$J$61:$BJ$61,1,Time!$F$13),Time!U30*(U36-U37))</f>
        <v>159.052470095201</v>
      </c>
      <c r="V38" s="11" t="n">
        <f aca="false">IF(Time!V29=1,INDEX(Funding!$J$61:$BJ$61,1,Time!$F$13),Time!V30*(V36-V37))</f>
        <v>153.036417643677</v>
      </c>
      <c r="W38" s="11" t="n">
        <f aca="false">IF(Time!W29=1,INDEX(Funding!$J$61:$BJ$61,1,Time!$F$13),Time!W30*(W36-W37))</f>
        <v>146.836458160947</v>
      </c>
      <c r="X38" s="11" t="n">
        <f aca="false">IF(Time!X29=1,INDEX(Funding!$J$61:$BJ$61,1,Time!$F$13),Time!X30*(X36-X37))</f>
        <v>140.808595500226</v>
      </c>
      <c r="Y38" s="11" t="n">
        <f aca="false">IF(Time!Y29=1,INDEX(Funding!$J$61:$BJ$61,1,Time!$F$13),Time!Y30*(Y36-Y37))</f>
        <v>134.777896431895</v>
      </c>
      <c r="Z38" s="11" t="n">
        <f aca="false">IF(Time!Z29=1,INDEX(Funding!$J$61:$BJ$61,1,Time!$F$13),Time!Z30*(Z36-Z37))</f>
        <v>128.497357834404</v>
      </c>
      <c r="AA38" s="11" t="n">
        <f aca="false">IF(Time!AA29=1,INDEX(Funding!$J$61:$BJ$61,1,Time!$F$13),Time!AA30*(AA36-AA37))</f>
        <v>122.033537374499</v>
      </c>
      <c r="AB38" s="11" t="n">
        <f aca="false">IF(Time!AB29=1,INDEX(Funding!$J$61:$BJ$61,1,Time!$F$13),Time!AB30*(AB36-AB37))</f>
        <v>115.260912492887</v>
      </c>
      <c r="AC38" s="11" t="n">
        <f aca="false">IF(Time!AC29=1,INDEX(Funding!$J$61:$BJ$61,1,Time!$F$13),Time!AC30*(AC36-AC37))</f>
        <v>108.263921004166</v>
      </c>
      <c r="AD38" s="11" t="n">
        <f aca="false">IF(Time!AD29=1,INDEX(Funding!$J$61:$BJ$61,1,Time!$F$13),Time!AD30*(AD36-AD37))</f>
        <v>100.623716898676</v>
      </c>
      <c r="AE38" s="11" t="n">
        <f aca="false">IF(Time!AE29=1,INDEX(Funding!$J$61:$BJ$61,1,Time!$F$13),Time!AE30*(AE36-AE37))</f>
        <v>92.6551326999459</v>
      </c>
      <c r="AF38" s="11" t="n">
        <f aca="false">IF(Time!AF29=1,INDEX(Funding!$J$61:$BJ$61,1,Time!$F$13),Time!AF30*(AF36-AF37))</f>
        <v>84.4069963277574</v>
      </c>
      <c r="AG38" s="11" t="n">
        <f aca="false">IF(Time!AG29=1,INDEX(Funding!$J$61:$BJ$61,1,Time!$F$13),Time!AG30*(AG36-AG37))</f>
        <v>76.0049232031011</v>
      </c>
      <c r="AH38" s="11" t="n">
        <f aca="false">IF(Time!AH29=1,INDEX(Funding!$J$61:$BJ$61,1,Time!$F$13),Time!AH30*(AH36-AH37))</f>
        <v>67.1810530651313</v>
      </c>
      <c r="AI38" s="11" t="n">
        <f aca="false">IF(Time!AI29=1,INDEX(Funding!$J$61:$BJ$61,1,Time!$F$13),Time!AI30*(AI36-AI37))</f>
        <v>58.0980918513904</v>
      </c>
      <c r="AJ38" s="11" t="n">
        <f aca="false">IF(Time!AJ29=1,INDEX(Funding!$J$61:$BJ$61,1,Time!$F$13),Time!AJ30*(AJ36-AJ37))</f>
        <v>48.5766264939361</v>
      </c>
      <c r="AK38" s="11" t="n">
        <f aca="false">IF(Time!AK29=1,INDEX(Funding!$J$61:$BJ$61,1,Time!$F$13),Time!AK30*(AK36-AK37))</f>
        <v>38.7469681631514</v>
      </c>
      <c r="AL38" s="11" t="n">
        <f aca="false">IF(Time!AL29=1,INDEX(Funding!$J$61:$BJ$61,1,Time!$F$13),Time!AL30*(AL36-AL37))</f>
        <v>28.3242004612286</v>
      </c>
      <c r="AM38" s="11" t="n">
        <f aca="false">IF(Time!AM29=1,INDEX(Funding!$J$61:$BJ$61,1,Time!$F$13),Time!AM30*(AM36-AM37))</f>
        <v>17.6847958787081</v>
      </c>
      <c r="AN38" s="11" t="n">
        <f aca="false">IF(Time!AN29=1,INDEX(Funding!$J$61:$BJ$61,1,Time!$F$13),Time!AN30*(AN36-AN37))</f>
        <v>8.90741340173067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668</v>
      </c>
    </row>
    <row r="40" customFormat="false" ht="15" hidden="false" customHeight="false" outlineLevel="0" collapsed="false">
      <c r="D40" s="0" t="s">
        <v>654</v>
      </c>
      <c r="E40" s="0" t="s">
        <v>149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139.31631461941</v>
      </c>
      <c r="Q40" s="11" t="n">
        <f aca="false">Time!Q30*P53</f>
        <v>135.908577363247</v>
      </c>
      <c r="R40" s="11" t="n">
        <f aca="false">Time!R30*Q53</f>
        <v>132.356618770738</v>
      </c>
      <c r="S40" s="11" t="n">
        <f aca="false">Time!S30*R53</f>
        <v>128.629695274743</v>
      </c>
      <c r="T40" s="11" t="n">
        <f aca="false">Time!T30*S53</f>
        <v>124.792945372637</v>
      </c>
      <c r="U40" s="11" t="n">
        <f aca="false">Time!U30*T53</f>
        <v>120.77970634993</v>
      </c>
      <c r="V40" s="11" t="n">
        <f aca="false">Time!V30*U53</f>
        <v>116.638478069814</v>
      </c>
      <c r="W40" s="11" t="n">
        <f aca="false">Time!W30*V53</f>
        <v>112.22670627203</v>
      </c>
      <c r="X40" s="11" t="n">
        <f aca="false">Time!X30*W53</f>
        <v>107.680069318027</v>
      </c>
      <c r="Y40" s="11" t="n">
        <f aca="false">Time!Y30*X53</f>
        <v>103.259636700166</v>
      </c>
      <c r="Z40" s="11" t="n">
        <f aca="false">Time!Z30*Y53</f>
        <v>98.8371240500561</v>
      </c>
      <c r="AA40" s="11" t="n">
        <f aca="false">Time!AA30*Z53</f>
        <v>94.2313957452298</v>
      </c>
      <c r="AB40" s="11" t="n">
        <f aca="false">Time!AB30*AA53</f>
        <v>89.4912607412991</v>
      </c>
      <c r="AC40" s="11" t="n">
        <f aca="false">Time!AC30*AB53</f>
        <v>84.5246691614503</v>
      </c>
      <c r="AD40" s="11" t="n">
        <f aca="false">Time!AD30*AC53</f>
        <v>79.3935420697217</v>
      </c>
      <c r="AE40" s="11" t="n">
        <f aca="false">Time!AE30*AD53</f>
        <v>73.7907257256959</v>
      </c>
      <c r="AF40" s="11" t="n">
        <f aca="false">Time!AF30*AE53</f>
        <v>67.9470973132937</v>
      </c>
      <c r="AG40" s="11" t="n">
        <f aca="false">Time!AG30*AF53</f>
        <v>61.8984639736887</v>
      </c>
      <c r="AH40" s="11" t="n">
        <f aca="false">Time!AH30*AG53</f>
        <v>55.7369436822741</v>
      </c>
      <c r="AI40" s="11" t="n">
        <f aca="false">Time!AI30*AH53</f>
        <v>49.2661055810963</v>
      </c>
      <c r="AJ40" s="11" t="n">
        <f aca="false">Time!AJ30*AI53</f>
        <v>42.6052673576863</v>
      </c>
      <c r="AK40" s="11" t="n">
        <f aca="false">Time!AK30*AJ53</f>
        <v>35.6228594288865</v>
      </c>
      <c r="AL40" s="11" t="n">
        <f aca="false">Time!AL30*AK53</f>
        <v>28.4144433196444</v>
      </c>
      <c r="AM40" s="11" t="n">
        <f aca="false">Time!AM30*AL53</f>
        <v>20.7710803382343</v>
      </c>
      <c r="AN40" s="11" t="n">
        <f aca="false">Time!AN30*AM53</f>
        <v>12.9688503110526</v>
      </c>
      <c r="AO40" s="11" t="n">
        <f aca="false">Time!AO30*AN53</f>
        <v>6.53210316126916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655</v>
      </c>
      <c r="E41" s="0" t="s">
        <v>149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656</v>
      </c>
      <c r="E42" s="0" t="s">
        <v>149</v>
      </c>
      <c r="G42" s="11" t="n">
        <f aca="false">SUM(J42:BN42)</f>
        <v>72.9126941093121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4.79929224273355</v>
      </c>
      <c r="Q42" s="11" t="n">
        <f aca="false">Q40*Q11</f>
        <v>4.61923052551595</v>
      </c>
      <c r="R42" s="11" t="n">
        <f aca="false">R40*R11</f>
        <v>4.57306824143873</v>
      </c>
      <c r="S42" s="11" t="n">
        <f aca="false">S40*S11</f>
        <v>4.37830471385589</v>
      </c>
      <c r="T42" s="11" t="n">
        <f aca="false">T40*T11</f>
        <v>4.31811322754963</v>
      </c>
      <c r="U42" s="11" t="n">
        <f aca="false">U40*U11</f>
        <v>4.13381964950006</v>
      </c>
      <c r="V42" s="11" t="n">
        <f aca="false">V40*V11</f>
        <v>4.03595053783349</v>
      </c>
      <c r="W42" s="11" t="n">
        <f aca="false">W40*W11</f>
        <v>3.81997886290436</v>
      </c>
      <c r="X42" s="11" t="n">
        <f aca="false">X40*X11</f>
        <v>3.72596968744668</v>
      </c>
      <c r="Y42" s="11" t="n">
        <f aca="false">Y40*Y11</f>
        <v>3.51475725064673</v>
      </c>
      <c r="Z42" s="11" t="n">
        <f aca="false">Z40*Z11</f>
        <v>3.41998413018538</v>
      </c>
      <c r="AA42" s="11" t="n">
        <f aca="false">AA40*AA11</f>
        <v>3.20745348345367</v>
      </c>
      <c r="AB42" s="11" t="n">
        <f aca="false">AB40*AB11</f>
        <v>3.09659649111726</v>
      </c>
      <c r="AC42" s="11" t="n">
        <f aca="false">AC40*AC11</f>
        <v>2.8929507183497</v>
      </c>
      <c r="AD42" s="11" t="n">
        <f aca="false">AD40*AD11</f>
        <v>2.74719298570586</v>
      </c>
      <c r="AE42" s="11" t="n">
        <f aca="false">AE40*AE11</f>
        <v>2.511692821736</v>
      </c>
      <c r="AF42" s="11" t="n">
        <f aca="false">AF40*AF11</f>
        <v>2.35112056058955</v>
      </c>
      <c r="AG42" s="11" t="n">
        <f aca="false">AG40*AG11</f>
        <v>2.10690335553997</v>
      </c>
      <c r="AH42" s="11" t="n">
        <f aca="false">AH40*AH11</f>
        <v>1.92862211128153</v>
      </c>
      <c r="AI42" s="11" t="n">
        <f aca="false">AI40*AI11</f>
        <v>1.67692243877522</v>
      </c>
      <c r="AJ42" s="11" t="n">
        <f aca="false">AJ40*AJ11</f>
        <v>1.47423692894785</v>
      </c>
      <c r="AK42" s="11" t="n">
        <f aca="false">AK40*AK11</f>
        <v>1.21923194490856</v>
      </c>
      <c r="AL42" s="11" t="n">
        <f aca="false">AL40*AL11</f>
        <v>0.983202882067072</v>
      </c>
      <c r="AM42" s="11" t="n">
        <f aca="false">AM40*AM11</f>
        <v>0.707007186501726</v>
      </c>
      <c r="AN42" s="11" t="n">
        <f aca="false">AN40*AN11</f>
        <v>0.448751040429777</v>
      </c>
      <c r="AO42" s="11" t="n">
        <f aca="false">AO40*AO11</f>
        <v>0.2223400902979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657</v>
      </c>
      <c r="E43" s="0" t="s">
        <v>149</v>
      </c>
      <c r="G43" s="11" t="n">
        <f aca="false">SUM(J43:BN43)</f>
        <v>139.31631461941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3.40773725616367</v>
      </c>
      <c r="Q43" s="11" t="n">
        <f aca="false">Time!Q30*(Q40-Q41)*Q19</f>
        <v>3.55195859250905</v>
      </c>
      <c r="R43" s="11" t="n">
        <f aca="false">Time!R30*(R40-R41)*R19</f>
        <v>3.72692349599462</v>
      </c>
      <c r="S43" s="11" t="n">
        <f aca="false">Time!S30*(S40-S41)*S19</f>
        <v>3.83674990210586</v>
      </c>
      <c r="T43" s="11" t="n">
        <f aca="false">Time!T30*(T40-T41)*T19</f>
        <v>4.01323902270754</v>
      </c>
      <c r="U43" s="11" t="n">
        <f aca="false">Time!U30*(U40-U41)*U19</f>
        <v>4.14122828011582</v>
      </c>
      <c r="V43" s="11" t="n">
        <f aca="false">Time!V30*(V40-V41)*V19</f>
        <v>4.41177179778416</v>
      </c>
      <c r="W43" s="11" t="n">
        <f aca="false">Time!W30*(W40-W41)*W19</f>
        <v>4.54663695400217</v>
      </c>
      <c r="X43" s="11" t="n">
        <f aca="false">Time!X30*(X40-X41)*X19</f>
        <v>4.42043261786165</v>
      </c>
      <c r="Y43" s="11" t="n">
        <f aca="false">Time!Y30*(Y40-Y41)*Y19</f>
        <v>4.42251265010977</v>
      </c>
      <c r="Z43" s="11" t="n">
        <f aca="false">Time!Z30*(Z40-Z41)*Z19</f>
        <v>4.60572830482629</v>
      </c>
      <c r="AA43" s="11" t="n">
        <f aca="false">Time!AA30*(AA40-AA41)*AA19</f>
        <v>4.74013500393064</v>
      </c>
      <c r="AB43" s="11" t="n">
        <f aca="false">Time!AB30*(AB40-AB41)*AB19</f>
        <v>4.96659157984885</v>
      </c>
      <c r="AC43" s="11" t="n">
        <f aca="false">Time!AC30*(AC40-AC41)*AC19</f>
        <v>5.13112709172857</v>
      </c>
      <c r="AD43" s="11" t="n">
        <f aca="false">Time!AD30*(AD40-AD41)*AD19</f>
        <v>5.60281634402585</v>
      </c>
      <c r="AE43" s="11" t="n">
        <f aca="false">Time!AE30*(AE40-AE41)*AE19</f>
        <v>5.84362841240218</v>
      </c>
      <c r="AF43" s="11" t="n">
        <f aca="false">Time!AF30*(AF40-AF41)*AF19</f>
        <v>6.04863333960495</v>
      </c>
      <c r="AG43" s="11" t="n">
        <f aca="false">Time!AG30*(AG40-AG41)*AG19</f>
        <v>6.1615202914146</v>
      </c>
      <c r="AH43" s="11" t="n">
        <f aca="false">Time!AH30*(AH40-AH41)*AH19</f>
        <v>6.47083810117782</v>
      </c>
      <c r="AI43" s="11" t="n">
        <f aca="false">Time!AI30*(AI40-AI41)*AI19</f>
        <v>6.66083822341003</v>
      </c>
      <c r="AJ43" s="11" t="n">
        <f aca="false">Time!AJ30*(AJ40-AJ41)*AJ19</f>
        <v>6.98240792879977</v>
      </c>
      <c r="AK43" s="11" t="n">
        <f aca="false">Time!AK30*(AK40-AK41)*AK19</f>
        <v>7.20841610924215</v>
      </c>
      <c r="AL43" s="11" t="n">
        <f aca="false">Time!AL30*(AL40-AL41)*AL19</f>
        <v>7.64336298141007</v>
      </c>
      <c r="AM43" s="11" t="n">
        <f aca="false">Time!AM30*(AM40-AM41)*AM19</f>
        <v>7.80223002718172</v>
      </c>
      <c r="AN43" s="11" t="n">
        <f aca="false">Time!AN30*(AN40-AN41)*AN19</f>
        <v>6.43674714978342</v>
      </c>
      <c r="AO43" s="11" t="n">
        <f aca="false">Time!AO30*(AO40-AO41)*AO19</f>
        <v>6.53210316126916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658</v>
      </c>
      <c r="E44" s="0" t="s">
        <v>149</v>
      </c>
      <c r="G44" s="11" t="n">
        <f aca="false">SUM(J44:BN44)</f>
        <v>0</v>
      </c>
      <c r="J44" s="11" t="n">
        <f aca="false">J21*Inputs!$F$194*J43</f>
        <v>0</v>
      </c>
      <c r="K44" s="11" t="n">
        <f aca="false">K21*Inputs!$F$194*K43</f>
        <v>0</v>
      </c>
      <c r="L44" s="11" t="n">
        <f aca="false">L21*Inputs!$F$194*L43</f>
        <v>0</v>
      </c>
      <c r="M44" s="11" t="n">
        <f aca="false">M21*Inputs!$F$194*M43</f>
        <v>0</v>
      </c>
      <c r="N44" s="11" t="n">
        <f aca="false">N21*Inputs!$F$194*N43</f>
        <v>0</v>
      </c>
      <c r="O44" s="11" t="n">
        <f aca="false">O21*Inputs!$F$194*O43</f>
        <v>0</v>
      </c>
      <c r="P44" s="11" t="n">
        <f aca="false">P21*Inputs!$F$194*P43</f>
        <v>0</v>
      </c>
      <c r="Q44" s="11" t="n">
        <f aca="false">Q21*Inputs!$F$194*Q43</f>
        <v>0</v>
      </c>
      <c r="R44" s="11" t="n">
        <f aca="false">R21*Inputs!$F$194*R43</f>
        <v>0</v>
      </c>
      <c r="S44" s="11" t="n">
        <f aca="false">S21*Inputs!$F$194*S43</f>
        <v>0</v>
      </c>
      <c r="T44" s="11" t="n">
        <f aca="false">T21*Inputs!$F$194*T43</f>
        <v>0</v>
      </c>
      <c r="U44" s="11" t="n">
        <f aca="false">U21*Inputs!$F$194*U43</f>
        <v>0</v>
      </c>
      <c r="V44" s="11" t="n">
        <f aca="false">V21*Inputs!$F$194*V43</f>
        <v>0</v>
      </c>
      <c r="W44" s="11" t="n">
        <f aca="false">W21*Inputs!$F$194*W43</f>
        <v>0</v>
      </c>
      <c r="X44" s="11" t="n">
        <f aca="false">X21*Inputs!$F$194*X43</f>
        <v>0</v>
      </c>
      <c r="Y44" s="11" t="n">
        <f aca="false">Y21*Inputs!$F$194*Y43</f>
        <v>0</v>
      </c>
      <c r="Z44" s="11" t="n">
        <f aca="false">Z21*Inputs!$F$194*Z43</f>
        <v>0</v>
      </c>
      <c r="AA44" s="11" t="n">
        <f aca="false">AA21*Inputs!$F$194*AA43</f>
        <v>0</v>
      </c>
      <c r="AB44" s="11" t="n">
        <f aca="false">AB21*Inputs!$F$194*AB43</f>
        <v>0</v>
      </c>
      <c r="AC44" s="11" t="n">
        <f aca="false">AC21*Inputs!$F$194*AC43</f>
        <v>0</v>
      </c>
      <c r="AD44" s="11" t="n">
        <f aca="false">AD21*Inputs!$F$194*AD43</f>
        <v>0</v>
      </c>
      <c r="AE44" s="11" t="n">
        <f aca="false">AE21*Inputs!$F$194*AE43</f>
        <v>0</v>
      </c>
      <c r="AF44" s="11" t="n">
        <f aca="false">AF21*Inputs!$F$194*AF43</f>
        <v>0</v>
      </c>
      <c r="AG44" s="11" t="n">
        <f aca="false">AG21*Inputs!$F$194*AG43</f>
        <v>0</v>
      </c>
      <c r="AH44" s="11" t="n">
        <f aca="false">AH21*Inputs!$F$194*AH43</f>
        <v>0</v>
      </c>
      <c r="AI44" s="11" t="n">
        <f aca="false">AI21*Inputs!$F$194*AI43</f>
        <v>0</v>
      </c>
      <c r="AJ44" s="11" t="n">
        <f aca="false">AJ21*Inputs!$F$194*AJ43</f>
        <v>0</v>
      </c>
      <c r="AK44" s="11" t="n">
        <f aca="false">AK21*Inputs!$F$194*AK43</f>
        <v>0</v>
      </c>
      <c r="AL44" s="11" t="n">
        <f aca="false">AL21*Inputs!$F$194*AL43</f>
        <v>0</v>
      </c>
      <c r="AM44" s="11" t="n">
        <f aca="false">AM21*Inputs!$F$194*AM43</f>
        <v>0</v>
      </c>
      <c r="AN44" s="11" t="n">
        <f aca="false">AN21*Inputs!$F$194*AN43</f>
        <v>0</v>
      </c>
      <c r="AO44" s="11" t="n">
        <f aca="false">AO21*Inputs!$F$194*AO43</f>
        <v>0</v>
      </c>
      <c r="AP44" s="11" t="n">
        <f aca="false">AP21*Inputs!$F$194*AP43</f>
        <v>0</v>
      </c>
      <c r="AQ44" s="11" t="n">
        <f aca="false">AQ21*Inputs!$F$194*AQ43</f>
        <v>0</v>
      </c>
      <c r="AR44" s="11" t="n">
        <f aca="false">AR21*Inputs!$F$194*AR43</f>
        <v>0</v>
      </c>
      <c r="AS44" s="11" t="n">
        <f aca="false">AS21*Inputs!$F$194*AS43</f>
        <v>0</v>
      </c>
      <c r="AT44" s="11" t="n">
        <f aca="false">AT21*Inputs!$F$194*AT43</f>
        <v>0</v>
      </c>
      <c r="AU44" s="11" t="n">
        <f aca="false">AU21*Inputs!$F$194*AU43</f>
        <v>0</v>
      </c>
      <c r="AV44" s="11" t="n">
        <f aca="false">AV21*Inputs!$F$194*AV43</f>
        <v>0</v>
      </c>
      <c r="AW44" s="11" t="n">
        <f aca="false">AW21*Inputs!$F$194*AW43</f>
        <v>0</v>
      </c>
      <c r="AX44" s="11" t="n">
        <f aca="false">AX21*Inputs!$F$194*AX43</f>
        <v>0</v>
      </c>
      <c r="AY44" s="11" t="n">
        <f aca="false">AY21*Inputs!$F$194*AY43</f>
        <v>0</v>
      </c>
      <c r="AZ44" s="11" t="n">
        <f aca="false">AZ21*Inputs!$F$194*AZ43</f>
        <v>0</v>
      </c>
      <c r="BA44" s="11" t="n">
        <f aca="false">BA21*Inputs!$F$194*BA43</f>
        <v>0</v>
      </c>
      <c r="BB44" s="11" t="n">
        <f aca="false">BB21*Inputs!$F$194*BB43</f>
        <v>0</v>
      </c>
      <c r="BC44" s="11" t="n">
        <f aca="false">BC21*Inputs!$F$194*BC43</f>
        <v>0</v>
      </c>
      <c r="BD44" s="11" t="n">
        <f aca="false">BD21*Inputs!$F$194*BD43</f>
        <v>0</v>
      </c>
      <c r="BE44" s="11" t="n">
        <f aca="false">BE21*Inputs!$F$194*BE43</f>
        <v>0</v>
      </c>
      <c r="BF44" s="11" t="n">
        <f aca="false">BF21*Inputs!$F$194*BF43</f>
        <v>0</v>
      </c>
      <c r="BG44" s="11" t="n">
        <f aca="false">BG21*Inputs!$F$194*BG43</f>
        <v>0</v>
      </c>
      <c r="BH44" s="11" t="n">
        <f aca="false">BH21*Inputs!$F$194*BH43</f>
        <v>0</v>
      </c>
      <c r="BI44" s="11" t="n">
        <f aca="false">BI21*Inputs!$F$194*BI43</f>
        <v>0</v>
      </c>
      <c r="BJ44" s="11" t="n">
        <f aca="false">BJ21*Inputs!$F$194*BJ43</f>
        <v>0</v>
      </c>
      <c r="BK44" s="11" t="n">
        <f aca="false">BK21*Inputs!$F$194*BK43</f>
        <v>0</v>
      </c>
      <c r="BL44" s="11" t="n">
        <f aca="false">BL21*Inputs!$F$194*BL43</f>
        <v>0</v>
      </c>
      <c r="BM44" s="11" t="n">
        <f aca="false">BM21*Inputs!$F$194*BM43</f>
        <v>0</v>
      </c>
      <c r="BN44" s="11" t="n">
        <f aca="false">BN21*Inputs!$F$194*BN43</f>
        <v>0</v>
      </c>
    </row>
    <row r="45" customFormat="false" ht="15" hidden="false" customHeight="false" outlineLevel="0" collapsed="false">
      <c r="D45" s="0" t="s">
        <v>659</v>
      </c>
      <c r="E45" s="0" t="s">
        <v>149</v>
      </c>
      <c r="F45" s="15" t="n">
        <f aca="false">$T$44</f>
        <v>0</v>
      </c>
    </row>
    <row r="46" customFormat="false" ht="15" hidden="false" customHeight="false" outlineLevel="0" collapsed="false">
      <c r="D46" s="0" t="s">
        <v>660</v>
      </c>
      <c r="E46" s="0" t="s">
        <v>149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661</v>
      </c>
      <c r="E47" s="0" t="s">
        <v>149</v>
      </c>
      <c r="G47" s="11" t="n">
        <f aca="false">SUM(J47:BN47)</f>
        <v>139.31631461941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3.40773725616367</v>
      </c>
      <c r="Q47" s="11" t="n">
        <f aca="false">Q43-Q44+Q46</f>
        <v>3.55195859250905</v>
      </c>
      <c r="R47" s="11" t="n">
        <f aca="false">R43-R44+R46</f>
        <v>3.72692349599462</v>
      </c>
      <c r="S47" s="11" t="n">
        <f aca="false">S43-S44+S46</f>
        <v>3.83674990210586</v>
      </c>
      <c r="T47" s="11" t="n">
        <f aca="false">T43-T44+T46</f>
        <v>4.01323902270754</v>
      </c>
      <c r="U47" s="11" t="n">
        <f aca="false">U43-U44+U46</f>
        <v>4.14122828011582</v>
      </c>
      <c r="V47" s="11" t="n">
        <f aca="false">V43-V44+V46</f>
        <v>4.41177179778416</v>
      </c>
      <c r="W47" s="11" t="n">
        <f aca="false">W43-W44+W46</f>
        <v>4.54663695400217</v>
      </c>
      <c r="X47" s="11" t="n">
        <f aca="false">X43-X44+X46</f>
        <v>4.42043261786165</v>
      </c>
      <c r="Y47" s="11" t="n">
        <f aca="false">Y43-Y44+Y46</f>
        <v>4.42251265010977</v>
      </c>
      <c r="Z47" s="11" t="n">
        <f aca="false">Z43-Z44+Z46</f>
        <v>4.60572830482629</v>
      </c>
      <c r="AA47" s="11" t="n">
        <f aca="false">AA43-AA44+AA46</f>
        <v>4.74013500393064</v>
      </c>
      <c r="AB47" s="11" t="n">
        <f aca="false">AB43-AB44+AB46</f>
        <v>4.96659157984885</v>
      </c>
      <c r="AC47" s="11" t="n">
        <f aca="false">AC43-AC44+AC46</f>
        <v>5.13112709172857</v>
      </c>
      <c r="AD47" s="11" t="n">
        <f aca="false">AD43-AD44+AD46</f>
        <v>5.60281634402585</v>
      </c>
      <c r="AE47" s="11" t="n">
        <f aca="false">AE43-AE44+AE46</f>
        <v>5.84362841240218</v>
      </c>
      <c r="AF47" s="11" t="n">
        <f aca="false">AF43-AF44+AF46</f>
        <v>6.04863333960495</v>
      </c>
      <c r="AG47" s="11" t="n">
        <f aca="false">AG43-AG44+AG46</f>
        <v>6.1615202914146</v>
      </c>
      <c r="AH47" s="11" t="n">
        <f aca="false">AH43-AH44+AH46</f>
        <v>6.47083810117782</v>
      </c>
      <c r="AI47" s="11" t="n">
        <f aca="false">AI43-AI44+AI46</f>
        <v>6.66083822341003</v>
      </c>
      <c r="AJ47" s="11" t="n">
        <f aca="false">AJ43-AJ44+AJ46</f>
        <v>6.98240792879977</v>
      </c>
      <c r="AK47" s="11" t="n">
        <f aca="false">AK43-AK44+AK46</f>
        <v>7.20841610924215</v>
      </c>
      <c r="AL47" s="11" t="n">
        <f aca="false">AL43-AL44+AL46</f>
        <v>7.64336298141007</v>
      </c>
      <c r="AM47" s="11" t="n">
        <f aca="false">AM43-AM44+AM46</f>
        <v>7.80223002718172</v>
      </c>
      <c r="AN47" s="11" t="n">
        <f aca="false">AN43-AN44+AN46</f>
        <v>6.43674714978342</v>
      </c>
      <c r="AO47" s="11" t="n">
        <f aca="false">AO43-AO44+AO46</f>
        <v>6.53210316126916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662</v>
      </c>
      <c r="E48" s="0" t="s">
        <v>149</v>
      </c>
      <c r="G48" s="11" t="n">
        <f aca="false">SUM(J48:BN48)</f>
        <v>0</v>
      </c>
      <c r="J48" s="11" t="n">
        <f aca="false">J23*Inputs!$F$191*(J40-J47)/(J25-J32+J40-J47+J55-J62+J70-J77+J85-J92+0.000000001)</f>
        <v>0</v>
      </c>
      <c r="K48" s="11" t="n">
        <f aca="false">K23*Inputs!$F$191*(K40-K47)/(K25-K32+K40-K47+K55-K62+K70-K77+K85-K92+0.000000001)</f>
        <v>0</v>
      </c>
      <c r="L48" s="11" t="n">
        <f aca="false">L23*Inputs!$F$191*(L40-L47)/(L25-L32+L40-L47+L55-L62+L70-L77+L85-L92+0.000000001)</f>
        <v>0</v>
      </c>
      <c r="M48" s="11" t="n">
        <f aca="false">M23*Inputs!$F$191*(M40-M47)/(M25-M32+M40-M47+M55-M62+M70-M77+M85-M92+0.000000001)</f>
        <v>0</v>
      </c>
      <c r="N48" s="11" t="n">
        <f aca="false">N23*Inputs!$F$191*(N40-N47)/(N25-N32+N40-N47+N55-N62+N70-N77+N85-N92+0.000000001)</f>
        <v>0</v>
      </c>
      <c r="O48" s="11" t="n">
        <f aca="false">O23*Inputs!$F$191*(O40-O47)/(O25-O32+O40-O47+O55-O62+O70-O77+O85-O92+0.000000001)</f>
        <v>0</v>
      </c>
      <c r="P48" s="11" t="n">
        <f aca="false">P23*Inputs!$F$191*(P40-P47)/(P25-P32+P40-P47+P55-P62+P70-P77+P85-P92+0.000000001)</f>
        <v>0</v>
      </c>
      <c r="Q48" s="11" t="n">
        <f aca="false">Q23*Inputs!$F$191*(Q40-Q47)/(Q25-Q32+Q40-Q47+Q55-Q62+Q70-Q77+Q85-Q92+0.000000001)</f>
        <v>0</v>
      </c>
      <c r="R48" s="11" t="n">
        <f aca="false">R23*Inputs!$F$191*(R40-R47)/(R25-R32+R40-R47+R55-R62+R70-R77+R85-R92+0.000000001)</f>
        <v>0</v>
      </c>
      <c r="S48" s="11" t="n">
        <f aca="false">S23*Inputs!$F$191*(S40-S47)/(S25-S32+S40-S47+S55-S62+S70-S77+S85-S92+0.000000001)</f>
        <v>0</v>
      </c>
      <c r="T48" s="11" t="n">
        <f aca="false">T23*Inputs!$F$191*(T40-T47)/(T25-T32+T40-T47+T55-T62+T70-T77+T85-T92+0.000000001)</f>
        <v>0</v>
      </c>
      <c r="U48" s="11" t="n">
        <f aca="false">U23*Inputs!$F$191*(U40-U47)/(U25-U32+U40-U47+U55-U62+U70-U77+U85-U92+0.000000001)</f>
        <v>0</v>
      </c>
      <c r="V48" s="11" t="n">
        <f aca="false">V23*Inputs!$F$191*(V40-V47)/(V25-V32+V40-V47+V55-V62+V70-V77+V85-V92+0.000000001)</f>
        <v>0</v>
      </c>
      <c r="W48" s="11" t="n">
        <f aca="false">W23*Inputs!$F$191*(W40-W47)/(W25-W32+W40-W47+W55-W62+W70-W77+W85-W92+0.000000001)</f>
        <v>0</v>
      </c>
      <c r="X48" s="11" t="n">
        <f aca="false">X23*Inputs!$F$191*(X40-X47)/(X25-X32+X40-X47+X55-X62+X70-X77+X85-X92+0.000000001)</f>
        <v>0</v>
      </c>
      <c r="Y48" s="11" t="n">
        <f aca="false">Y23*Inputs!$F$191*(Y40-Y47)/(Y25-Y32+Y40-Y47+Y55-Y62+Y70-Y77+Y85-Y92+0.000000001)</f>
        <v>0</v>
      </c>
      <c r="Z48" s="11" t="n">
        <f aca="false">Z23*Inputs!$F$191*(Z40-Z47)/(Z25-Z32+Z40-Z47+Z55-Z62+Z70-Z77+Z85-Z92+0.000000001)</f>
        <v>0</v>
      </c>
      <c r="AA48" s="11" t="n">
        <f aca="false">AA23*Inputs!$F$191*(AA40-AA47)/(AA25-AA32+AA40-AA47+AA55-AA62+AA70-AA77+AA85-AA92+0.000000001)</f>
        <v>0</v>
      </c>
      <c r="AB48" s="11" t="n">
        <f aca="false">AB23*Inputs!$F$191*(AB40-AB47)/(AB25-AB32+AB40-AB47+AB55-AB62+AB70-AB77+AB85-AB92+0.000000001)</f>
        <v>0</v>
      </c>
      <c r="AC48" s="11" t="n">
        <f aca="false">AC23*Inputs!$F$191*(AC40-AC47)/(AC25-AC32+AC40-AC47+AC55-AC62+AC70-AC77+AC85-AC92+0.000000001)</f>
        <v>0</v>
      </c>
      <c r="AD48" s="11" t="n">
        <f aca="false">AD23*Inputs!$F$191*(AD40-AD47)/(AD25-AD32+AD40-AD47+AD55-AD62+AD70-AD77+AD85-AD92+0.000000001)</f>
        <v>0</v>
      </c>
      <c r="AE48" s="11" t="n">
        <f aca="false">AE23*Inputs!$F$191*(AE40-AE47)/(AE25-AE32+AE40-AE47+AE55-AE62+AE70-AE77+AE85-AE92+0.000000001)</f>
        <v>0</v>
      </c>
      <c r="AF48" s="11" t="n">
        <f aca="false">AF23*Inputs!$F$191*(AF40-AF47)/(AF25-AF32+AF40-AF47+AF55-AF62+AF70-AF77+AF85-AF92+0.000000001)</f>
        <v>0</v>
      </c>
      <c r="AG48" s="11" t="n">
        <f aca="false">AG23*Inputs!$F$191*(AG40-AG47)/(AG25-AG32+AG40-AG47+AG55-AG62+AG70-AG77+AG85-AG92+0.000000001)</f>
        <v>0</v>
      </c>
      <c r="AH48" s="11" t="n">
        <f aca="false">AH23*Inputs!$F$191*(AH40-AH47)/(AH25-AH32+AH40-AH47+AH55-AH62+AH70-AH77+AH85-AH92+0.000000001)</f>
        <v>0</v>
      </c>
      <c r="AI48" s="11" t="n">
        <f aca="false">AI23*Inputs!$F$191*(AI40-AI47)/(AI25-AI32+AI40-AI47+AI55-AI62+AI70-AI77+AI85-AI92+0.000000001)</f>
        <v>0</v>
      </c>
      <c r="AJ48" s="11" t="n">
        <f aca="false">AJ23*Inputs!$F$191*(AJ40-AJ47)/(AJ25-AJ32+AJ40-AJ47+AJ55-AJ62+AJ70-AJ77+AJ85-AJ92+0.000000001)</f>
        <v>0</v>
      </c>
      <c r="AK48" s="11" t="n">
        <f aca="false">AK23*Inputs!$F$191*(AK40-AK47)/(AK25-AK32+AK40-AK47+AK55-AK62+AK70-AK77+AK85-AK92+0.000000001)</f>
        <v>0</v>
      </c>
      <c r="AL48" s="11" t="n">
        <f aca="false">AL23*Inputs!$F$191*(AL40-AL47)/(AL25-AL32+AL40-AL47+AL55-AL62+AL70-AL77+AL85-AL92+0.000000001)</f>
        <v>0</v>
      </c>
      <c r="AM48" s="11" t="n">
        <f aca="false">AM23*Inputs!$F$191*(AM40-AM47)/(AM25-AM32+AM40-AM47+AM55-AM62+AM70-AM77+AM85-AM92+0.000000001)</f>
        <v>0</v>
      </c>
      <c r="AN48" s="11" t="n">
        <f aca="false">AN23*Inputs!$F$191*(AN40-AN47)/(AN25-AN32+AN40-AN47+AN55-AN62+AN70-AN77+AN85-AN92+0.000000001)</f>
        <v>0</v>
      </c>
      <c r="AO48" s="11" t="n">
        <f aca="false">AO23*Inputs!$F$191*(AO40-AO47)/(AO25-AO32+AO40-AO47+AO55-AO62+AO70-AO77+AO85-AO92+0.000000001)</f>
        <v>0</v>
      </c>
      <c r="AP48" s="11" t="n">
        <f aca="false">AP23*Inputs!$F$191*(AP40-AP47)/(AP25-AP32+AP40-AP47+AP55-AP62+AP70-AP77+AP85-AP92+0.000000001)</f>
        <v>0</v>
      </c>
      <c r="AQ48" s="11" t="n">
        <f aca="false">AQ23*Inputs!$F$191*(AQ40-AQ47)/(AQ25-AQ32+AQ40-AQ47+AQ55-AQ62+AQ70-AQ77+AQ85-AQ92+0.000000001)</f>
        <v>0</v>
      </c>
      <c r="AR48" s="11" t="n">
        <f aca="false">AR23*Inputs!$F$191*(AR40-AR47)/(AR25-AR32+AR40-AR47+AR55-AR62+AR70-AR77+AR85-AR92+0.000000001)</f>
        <v>0</v>
      </c>
      <c r="AS48" s="11" t="n">
        <f aca="false">AS23*Inputs!$F$191*(AS40-AS47)/(AS25-AS32+AS40-AS47+AS55-AS62+AS70-AS77+AS85-AS92+0.000000001)</f>
        <v>0</v>
      </c>
      <c r="AT48" s="11" t="n">
        <f aca="false">AT23*Inputs!$F$191*(AT40-AT47)/(AT25-AT32+AT40-AT47+AT55-AT62+AT70-AT77+AT85-AT92+0.000000001)</f>
        <v>0</v>
      </c>
      <c r="AU48" s="11" t="n">
        <f aca="false">AU23*Inputs!$F$191*(AU40-AU47)/(AU25-AU32+AU40-AU47+AU55-AU62+AU70-AU77+AU85-AU92+0.000000001)</f>
        <v>0</v>
      </c>
      <c r="AV48" s="11" t="n">
        <f aca="false">AV23*Inputs!$F$191*(AV40-AV47)/(AV25-AV32+AV40-AV47+AV55-AV62+AV70-AV77+AV85-AV92+0.000000001)</f>
        <v>0</v>
      </c>
      <c r="AW48" s="11" t="n">
        <f aca="false">AW23*Inputs!$F$191*(AW40-AW47)/(AW25-AW32+AW40-AW47+AW55-AW62+AW70-AW77+AW85-AW92+0.000000001)</f>
        <v>0</v>
      </c>
      <c r="AX48" s="11" t="n">
        <f aca="false">AX23*Inputs!$F$191*(AX40-AX47)/(AX25-AX32+AX40-AX47+AX55-AX62+AX70-AX77+AX85-AX92+0.000000001)</f>
        <v>0</v>
      </c>
      <c r="AY48" s="11" t="n">
        <f aca="false">AY23*Inputs!$F$191*(AY40-AY47)/(AY25-AY32+AY40-AY47+AY55-AY62+AY70-AY77+AY85-AY92+0.000000001)</f>
        <v>0</v>
      </c>
      <c r="AZ48" s="11" t="n">
        <f aca="false">AZ23*Inputs!$F$191*(AZ40-AZ47)/(AZ25-AZ32+AZ40-AZ47+AZ55-AZ62+AZ70-AZ77+AZ85-AZ92+0.000000001)</f>
        <v>0</v>
      </c>
      <c r="BA48" s="11" t="n">
        <f aca="false">BA23*Inputs!$F$191*(BA40-BA47)/(BA25-BA32+BA40-BA47+BA55-BA62+BA70-BA77+BA85-BA92+0.000000001)</f>
        <v>0</v>
      </c>
      <c r="BB48" s="11" t="n">
        <f aca="false">BB23*Inputs!$F$191*(BB40-BB47)/(BB25-BB32+BB40-BB47+BB55-BB62+BB70-BB77+BB85-BB92+0.000000001)</f>
        <v>0</v>
      </c>
      <c r="BC48" s="11" t="n">
        <f aca="false">BC23*Inputs!$F$191*(BC40-BC47)/(BC25-BC32+BC40-BC47+BC55-BC62+BC70-BC77+BC85-BC92+0.000000001)</f>
        <v>0</v>
      </c>
      <c r="BD48" s="11" t="n">
        <f aca="false">BD23*Inputs!$F$191*(BD40-BD47)/(BD25-BD32+BD40-BD47+BD55-BD62+BD70-BD77+BD85-BD92+0.000000001)</f>
        <v>0</v>
      </c>
      <c r="BE48" s="11" t="n">
        <f aca="false">BE23*Inputs!$F$191*(BE40-BE47)/(BE25-BE32+BE40-BE47+BE55-BE62+BE70-BE77+BE85-BE92+0.000000001)</f>
        <v>0</v>
      </c>
      <c r="BF48" s="11" t="n">
        <f aca="false">BF23*Inputs!$F$191*(BF40-BF47)/(BF25-BF32+BF40-BF47+BF55-BF62+BF70-BF77+BF85-BF92+0.000000001)</f>
        <v>0</v>
      </c>
      <c r="BG48" s="11" t="n">
        <f aca="false">BG23*Inputs!$F$191*(BG40-BG47)/(BG25-BG32+BG40-BG47+BG55-BG62+BG70-BG77+BG85-BG92+0.000000001)</f>
        <v>0</v>
      </c>
      <c r="BH48" s="11" t="n">
        <f aca="false">BH23*Inputs!$F$191*(BH40-BH47)/(BH25-BH32+BH40-BH47+BH55-BH62+BH70-BH77+BH85-BH92+0.000000001)</f>
        <v>0</v>
      </c>
      <c r="BI48" s="11" t="n">
        <f aca="false">BI23*Inputs!$F$191*(BI40-BI47)/(BI25-BI32+BI40-BI47+BI55-BI62+BI70-BI77+BI85-BI92+0.000000001)</f>
        <v>0</v>
      </c>
      <c r="BJ48" s="11" t="n">
        <f aca="false">BJ23*Inputs!$F$191*(BJ40-BJ47)/(BJ25-BJ32+BJ40-BJ47+BJ55-BJ62+BJ70-BJ77+BJ85-BJ92+0.000000001)</f>
        <v>0</v>
      </c>
      <c r="BK48" s="11" t="n">
        <f aca="false">BK23*Inputs!$F$191*(BK40-BK47)/(BK25-BK32+BK40-BK47+BK55-BK62+BK70-BK77+BK85-BK92+0.000000001)</f>
        <v>0</v>
      </c>
      <c r="BL48" s="11" t="n">
        <f aca="false">BL23*Inputs!$F$191*(BL40-BL47)/(BL25-BL32+BL40-BL47+BL55-BL62+BL70-BL77+BL85-BL92+0.000000001)</f>
        <v>0</v>
      </c>
      <c r="BM48" s="11" t="n">
        <f aca="false">BM23*Inputs!$F$191*(BM40-BM47)/(BM25-BM32+BM40-BM47+BM55-BM62+BM70-BM77+BM85-BM92+0.000000001)</f>
        <v>0</v>
      </c>
      <c r="BN48" s="11" t="n">
        <f aca="false">BN23*Inputs!$F$191*(BN40-BN47)/(BN25-BN32+BN40-BN47+BN55-BN62+BN70-BN77+BN85-BN92+0.000000001)</f>
        <v>0</v>
      </c>
    </row>
    <row r="49" customFormat="false" ht="15" hidden="false" customHeight="false" outlineLevel="0" collapsed="false">
      <c r="D49" s="0" t="s">
        <v>663</v>
      </c>
      <c r="E49" s="0" t="s">
        <v>149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664</v>
      </c>
      <c r="E50" s="0" t="s">
        <v>149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665</v>
      </c>
      <c r="E51" s="0" t="s">
        <v>149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135.908577363247</v>
      </c>
      <c r="Q51" s="11" t="n">
        <f aca="false">Q40-Q47-Q48-Q49</f>
        <v>132.356618770738</v>
      </c>
      <c r="R51" s="11" t="n">
        <f aca="false">R40-R47-R48-R49</f>
        <v>128.629695274743</v>
      </c>
      <c r="S51" s="11" t="n">
        <f aca="false">S40-S47-S48-S49</f>
        <v>124.792945372637</v>
      </c>
      <c r="T51" s="11" t="n">
        <f aca="false">T40-T47-T48-T49</f>
        <v>120.77970634993</v>
      </c>
      <c r="U51" s="11" t="n">
        <f aca="false">U40-U47-U48-U49</f>
        <v>116.638478069814</v>
      </c>
      <c r="V51" s="11" t="n">
        <f aca="false">V40-V47-V48-V49</f>
        <v>112.22670627203</v>
      </c>
      <c r="W51" s="11" t="n">
        <f aca="false">W40-W47-W48-W49</f>
        <v>107.680069318027</v>
      </c>
      <c r="X51" s="11" t="n">
        <f aca="false">X40-X47-X48-X49</f>
        <v>103.259636700166</v>
      </c>
      <c r="Y51" s="11" t="n">
        <f aca="false">Y40-Y47-Y48-Y49</f>
        <v>98.8371240500561</v>
      </c>
      <c r="Z51" s="11" t="n">
        <f aca="false">Z40-Z47-Z48-Z49</f>
        <v>94.2313957452298</v>
      </c>
      <c r="AA51" s="11" t="n">
        <f aca="false">AA40-AA47-AA48-AA49</f>
        <v>89.4912607412991</v>
      </c>
      <c r="AB51" s="11" t="n">
        <f aca="false">AB40-AB47-AB48-AB49</f>
        <v>84.5246691614503</v>
      </c>
      <c r="AC51" s="11" t="n">
        <f aca="false">AC40-AC47-AC48-AC49</f>
        <v>79.3935420697217</v>
      </c>
      <c r="AD51" s="11" t="n">
        <f aca="false">AD40-AD47-AD48-AD49</f>
        <v>73.7907257256959</v>
      </c>
      <c r="AE51" s="11" t="n">
        <f aca="false">AE40-AE47-AE48-AE49</f>
        <v>67.9470973132937</v>
      </c>
      <c r="AF51" s="11" t="n">
        <f aca="false">AF40-AF47-AF48-AF49</f>
        <v>61.8984639736887</v>
      </c>
      <c r="AG51" s="11" t="n">
        <f aca="false">AG40-AG47-AG48-AG49</f>
        <v>55.7369436822741</v>
      </c>
      <c r="AH51" s="11" t="n">
        <f aca="false">AH40-AH47-AH48-AH49</f>
        <v>49.2661055810963</v>
      </c>
      <c r="AI51" s="11" t="n">
        <f aca="false">AI40-AI47-AI48-AI49</f>
        <v>42.6052673576863</v>
      </c>
      <c r="AJ51" s="11" t="n">
        <f aca="false">AJ40-AJ47-AJ48-AJ49</f>
        <v>35.6228594288865</v>
      </c>
      <c r="AK51" s="11" t="n">
        <f aca="false">AK40-AK47-AK48-AK49</f>
        <v>28.4144433196444</v>
      </c>
      <c r="AL51" s="11" t="n">
        <f aca="false">AL40-AL47-AL48-AL49</f>
        <v>20.7710803382343</v>
      </c>
      <c r="AM51" s="11" t="n">
        <f aca="false">AM40-AM47-AM48-AM49</f>
        <v>12.9688503110526</v>
      </c>
      <c r="AN51" s="11" t="n">
        <f aca="false">AN40-AN47-AN48-AN49</f>
        <v>6.53210316126916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666</v>
      </c>
      <c r="E52" s="0" t="s">
        <v>149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667</v>
      </c>
      <c r="E53" s="0" t="s">
        <v>149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139.31631461941</v>
      </c>
      <c r="P53" s="11" t="n">
        <f aca="false">IF(Time!P29=1,INDEX(Funding!$J$62:$BJ$62,1,Time!$F$13),Time!P30*(P51-P52))</f>
        <v>135.908577363247</v>
      </c>
      <c r="Q53" s="11" t="n">
        <f aca="false">IF(Time!Q29=1,INDEX(Funding!$J$62:$BJ$62,1,Time!$F$13),Time!Q30*(Q51-Q52))</f>
        <v>132.356618770738</v>
      </c>
      <c r="R53" s="11" t="n">
        <f aca="false">IF(Time!R29=1,INDEX(Funding!$J$62:$BJ$62,1,Time!$F$13),Time!R30*(R51-R52))</f>
        <v>128.629695274743</v>
      </c>
      <c r="S53" s="11" t="n">
        <f aca="false">IF(Time!S29=1,INDEX(Funding!$J$62:$BJ$62,1,Time!$F$13),Time!S30*(S51-S52))</f>
        <v>124.792945372637</v>
      </c>
      <c r="T53" s="11" t="n">
        <f aca="false">IF(Time!T29=1,INDEX(Funding!$J$62:$BJ$62,1,Time!$F$13),Time!T30*(T51-T52))</f>
        <v>120.77970634993</v>
      </c>
      <c r="U53" s="11" t="n">
        <f aca="false">IF(Time!U29=1,INDEX(Funding!$J$62:$BJ$62,1,Time!$F$13),Time!U30*(U51-U52))</f>
        <v>116.638478069814</v>
      </c>
      <c r="V53" s="11" t="n">
        <f aca="false">IF(Time!V29=1,INDEX(Funding!$J$62:$BJ$62,1,Time!$F$13),Time!V30*(V51-V52))</f>
        <v>112.22670627203</v>
      </c>
      <c r="W53" s="11" t="n">
        <f aca="false">IF(Time!W29=1,INDEX(Funding!$J$62:$BJ$62,1,Time!$F$13),Time!W30*(W51-W52))</f>
        <v>107.680069318027</v>
      </c>
      <c r="X53" s="11" t="n">
        <f aca="false">IF(Time!X29=1,INDEX(Funding!$J$62:$BJ$62,1,Time!$F$13),Time!X30*(X51-X52))</f>
        <v>103.259636700166</v>
      </c>
      <c r="Y53" s="11" t="n">
        <f aca="false">IF(Time!Y29=1,INDEX(Funding!$J$62:$BJ$62,1,Time!$F$13),Time!Y30*(Y51-Y52))</f>
        <v>98.8371240500561</v>
      </c>
      <c r="Z53" s="11" t="n">
        <f aca="false">IF(Time!Z29=1,INDEX(Funding!$J$62:$BJ$62,1,Time!$F$13),Time!Z30*(Z51-Z52))</f>
        <v>94.2313957452298</v>
      </c>
      <c r="AA53" s="11" t="n">
        <f aca="false">IF(Time!AA29=1,INDEX(Funding!$J$62:$BJ$62,1,Time!$F$13),Time!AA30*(AA51-AA52))</f>
        <v>89.4912607412991</v>
      </c>
      <c r="AB53" s="11" t="n">
        <f aca="false">IF(Time!AB29=1,INDEX(Funding!$J$62:$BJ$62,1,Time!$F$13),Time!AB30*(AB51-AB52))</f>
        <v>84.5246691614503</v>
      </c>
      <c r="AC53" s="11" t="n">
        <f aca="false">IF(Time!AC29=1,INDEX(Funding!$J$62:$BJ$62,1,Time!$F$13),Time!AC30*(AC51-AC52))</f>
        <v>79.3935420697217</v>
      </c>
      <c r="AD53" s="11" t="n">
        <f aca="false">IF(Time!AD29=1,INDEX(Funding!$J$62:$BJ$62,1,Time!$F$13),Time!AD30*(AD51-AD52))</f>
        <v>73.7907257256959</v>
      </c>
      <c r="AE53" s="11" t="n">
        <f aca="false">IF(Time!AE29=1,INDEX(Funding!$J$62:$BJ$62,1,Time!$F$13),Time!AE30*(AE51-AE52))</f>
        <v>67.9470973132937</v>
      </c>
      <c r="AF53" s="11" t="n">
        <f aca="false">IF(Time!AF29=1,INDEX(Funding!$J$62:$BJ$62,1,Time!$F$13),Time!AF30*(AF51-AF52))</f>
        <v>61.8984639736887</v>
      </c>
      <c r="AG53" s="11" t="n">
        <f aca="false">IF(Time!AG29=1,INDEX(Funding!$J$62:$BJ$62,1,Time!$F$13),Time!AG30*(AG51-AG52))</f>
        <v>55.7369436822741</v>
      </c>
      <c r="AH53" s="11" t="n">
        <f aca="false">IF(Time!AH29=1,INDEX(Funding!$J$62:$BJ$62,1,Time!$F$13),Time!AH30*(AH51-AH52))</f>
        <v>49.2661055810963</v>
      </c>
      <c r="AI53" s="11" t="n">
        <f aca="false">IF(Time!AI29=1,INDEX(Funding!$J$62:$BJ$62,1,Time!$F$13),Time!AI30*(AI51-AI52))</f>
        <v>42.6052673576863</v>
      </c>
      <c r="AJ53" s="11" t="n">
        <f aca="false">IF(Time!AJ29=1,INDEX(Funding!$J$62:$BJ$62,1,Time!$F$13),Time!AJ30*(AJ51-AJ52))</f>
        <v>35.6228594288865</v>
      </c>
      <c r="AK53" s="11" t="n">
        <f aca="false">IF(Time!AK29=1,INDEX(Funding!$J$62:$BJ$62,1,Time!$F$13),Time!AK30*(AK51-AK52))</f>
        <v>28.4144433196444</v>
      </c>
      <c r="AL53" s="11" t="n">
        <f aca="false">IF(Time!AL29=1,INDEX(Funding!$J$62:$BJ$62,1,Time!$F$13),Time!AL30*(AL51-AL52))</f>
        <v>20.7710803382343</v>
      </c>
      <c r="AM53" s="11" t="n">
        <f aca="false">IF(Time!AM29=1,INDEX(Funding!$J$62:$BJ$62,1,Time!$F$13),Time!AM30*(AM51-AM52))</f>
        <v>12.9688503110526</v>
      </c>
      <c r="AN53" s="11" t="n">
        <f aca="false">IF(Time!AN29=1,INDEX(Funding!$J$62:$BJ$62,1,Time!$F$13),Time!AN30*(AN51-AN52))</f>
        <v>6.53210316126916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669</v>
      </c>
    </row>
    <row r="55" customFormat="false" ht="15" hidden="false" customHeight="false" outlineLevel="0" collapsed="false">
      <c r="D55" s="0" t="s">
        <v>654</v>
      </c>
      <c r="E55" s="0" t="s">
        <v>149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63.3255975542774</v>
      </c>
      <c r="Q55" s="11" t="n">
        <f aca="false">Time!Q30*P68</f>
        <v>61.776626074203</v>
      </c>
      <c r="R55" s="11" t="n">
        <f aca="false">Time!R30*Q68</f>
        <v>60.1620994412444</v>
      </c>
      <c r="S55" s="11" t="n">
        <f aca="false">Time!S30*R68</f>
        <v>58.4680433067014</v>
      </c>
      <c r="T55" s="11" t="n">
        <f aca="false">Time!T30*S68</f>
        <v>56.7240660784714</v>
      </c>
      <c r="U55" s="11" t="n">
        <f aca="false">Time!U30*T68</f>
        <v>54.8998665226953</v>
      </c>
      <c r="V55" s="11" t="n">
        <f aca="false">Time!V30*U68</f>
        <v>53.0174900317335</v>
      </c>
      <c r="W55" s="11" t="n">
        <f aca="false">Time!W30*V68</f>
        <v>51.0121392145589</v>
      </c>
      <c r="X55" s="11" t="n">
        <f aca="false">Time!X30*W68</f>
        <v>48.9454860536489</v>
      </c>
      <c r="Y55" s="11" t="n">
        <f aca="false">Time!Y30*X68</f>
        <v>46.9361985000754</v>
      </c>
      <c r="Z55" s="11" t="n">
        <f aca="false">Time!Z30*Y68</f>
        <v>44.9259654772982</v>
      </c>
      <c r="AA55" s="11" t="n">
        <f aca="false">Time!AA30*Z68</f>
        <v>42.8324526114681</v>
      </c>
      <c r="AB55" s="11" t="n">
        <f aca="false">Time!AB30*AA68</f>
        <v>40.6778457914996</v>
      </c>
      <c r="AC55" s="11" t="n">
        <f aca="false">Time!AC30*AB68</f>
        <v>38.4203041642956</v>
      </c>
      <c r="AD55" s="11" t="n">
        <f aca="false">Time!AD30*AC68</f>
        <v>36.0879736680553</v>
      </c>
      <c r="AE55" s="11" t="n">
        <f aca="false">Time!AE30*AD68</f>
        <v>33.5412389662254</v>
      </c>
      <c r="AF55" s="11" t="n">
        <f aca="false">Time!AF30*AE68</f>
        <v>30.8850442333153</v>
      </c>
      <c r="AG55" s="11" t="n">
        <f aca="false">Time!AG30*AF68</f>
        <v>28.1356654425858</v>
      </c>
      <c r="AH55" s="11" t="n">
        <f aca="false">Time!AH30*AG68</f>
        <v>25.3349744010337</v>
      </c>
      <c r="AI55" s="11" t="n">
        <f aca="false">Time!AI30*AH68</f>
        <v>22.3936843550438</v>
      </c>
      <c r="AJ55" s="11" t="n">
        <f aca="false">Time!AJ30*AI68</f>
        <v>19.3660306171301</v>
      </c>
      <c r="AK55" s="11" t="n">
        <f aca="false">Time!AK30*AJ68</f>
        <v>16.1922088313121</v>
      </c>
      <c r="AL55" s="11" t="n">
        <f aca="false">Time!AL30*AK68</f>
        <v>12.9156560543838</v>
      </c>
      <c r="AM55" s="11" t="n">
        <f aca="false">Time!AM30*AL68</f>
        <v>9.44140015374286</v>
      </c>
      <c r="AN55" s="11" t="n">
        <f aca="false">Time!AN30*AM68</f>
        <v>5.89493195956935</v>
      </c>
      <c r="AO55" s="11" t="n">
        <f aca="false">Time!AO30*AN68</f>
        <v>2.96913780057689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655</v>
      </c>
      <c r="E56" s="0" t="s">
        <v>149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656</v>
      </c>
      <c r="E57" s="0" t="s">
        <v>149</v>
      </c>
      <c r="G57" s="11" t="n">
        <f aca="false">SUM(J57:BN57)</f>
        <v>31.9176866936493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2.10058043265044</v>
      </c>
      <c r="Q57" s="11" t="n">
        <f aca="false">Q55*Q12</f>
        <v>2.02200045193039</v>
      </c>
      <c r="R57" s="11" t="n">
        <f aca="false">R55*R12</f>
        <v>2.00179358874167</v>
      </c>
      <c r="S57" s="11" t="n">
        <f aca="false">S55*S12</f>
        <v>1.91664742408623</v>
      </c>
      <c r="T57" s="11" t="n">
        <f aca="false">T55*T12</f>
        <v>1.89029798869502</v>
      </c>
      <c r="U57" s="11" t="n">
        <f aca="false">U55*U12</f>
        <v>1.80962160029142</v>
      </c>
      <c r="V57" s="11" t="n">
        <f aca="false">V55*V12</f>
        <v>1.76677840114639</v>
      </c>
      <c r="W57" s="11" t="n">
        <f aca="false">W55*W12</f>
        <v>1.67223460360792</v>
      </c>
      <c r="X57" s="11" t="n">
        <f aca="false">X55*X12</f>
        <v>1.63108113080115</v>
      </c>
      <c r="Y57" s="11" t="n">
        <f aca="false">Y55*Y12</f>
        <v>1.53862073816414</v>
      </c>
      <c r="Z57" s="11" t="n">
        <f aca="false">Z55*Z12</f>
        <v>1.49713284066125</v>
      </c>
      <c r="AA57" s="11" t="n">
        <f aca="false">AA55*AA12</f>
        <v>1.40409538821794</v>
      </c>
      <c r="AB57" s="11" t="n">
        <f aca="false">AB55*AB12</f>
        <v>1.35556661219851</v>
      </c>
      <c r="AC57" s="11" t="n">
        <f aca="false">AC55*AC12</f>
        <v>1.26641860370888</v>
      </c>
      <c r="AD57" s="11" t="n">
        <f aca="false">AD55*AD12</f>
        <v>1.20261167361368</v>
      </c>
      <c r="AE57" s="11" t="n">
        <f aca="false">AE55*AE12</f>
        <v>1.09951908135616</v>
      </c>
      <c r="AF57" s="11" t="n">
        <f aca="false">AF55*AF12</f>
        <v>1.02922694071733</v>
      </c>
      <c r="AG57" s="11" t="n">
        <f aca="false">AG55*AG12</f>
        <v>0.922318375058454</v>
      </c>
      <c r="AH57" s="11" t="n">
        <f aca="false">AH55*AH12</f>
        <v>0.84427394692867</v>
      </c>
      <c r="AI57" s="11" t="n">
        <f aca="false">AI55*AI12</f>
        <v>0.734089855029841</v>
      </c>
      <c r="AJ57" s="11" t="n">
        <f aca="false">AJ55*AJ12</f>
        <v>0.645362211409963</v>
      </c>
      <c r="AK57" s="11" t="n">
        <f aca="false">AK55*AK12</f>
        <v>0.533731185766337</v>
      </c>
      <c r="AL57" s="11" t="n">
        <f aca="false">AL55*AL12</f>
        <v>0.430407062647865</v>
      </c>
      <c r="AM57" s="11" t="n">
        <f aca="false">AM55*AM12</f>
        <v>0.309499587484306</v>
      </c>
      <c r="AN57" s="11" t="n">
        <f aca="false">AN55*AN12</f>
        <v>0.196445332590449</v>
      </c>
      <c r="AO57" s="11" t="n">
        <f aca="false">AO55*AO12</f>
        <v>0.0973316361449111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657</v>
      </c>
      <c r="E58" s="0" t="s">
        <v>149</v>
      </c>
      <c r="G58" s="11" t="n">
        <f aca="false">SUM(J58:BN58)</f>
        <v>63.3255975542774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1.54897148007439</v>
      </c>
      <c r="Q58" s="11" t="n">
        <f aca="false">Time!Q30*(Q55-Q56)*Q19</f>
        <v>1.61452663295866</v>
      </c>
      <c r="R58" s="11" t="n">
        <f aca="false">Time!R30*(R55-R56)*R19</f>
        <v>1.69405613454301</v>
      </c>
      <c r="S58" s="11" t="n">
        <f aca="false">Time!S30*(S55-S56)*S19</f>
        <v>1.74397722822994</v>
      </c>
      <c r="T58" s="11" t="n">
        <f aca="false">Time!T30*(T55-T56)*T19</f>
        <v>1.82419955577615</v>
      </c>
      <c r="U58" s="11" t="n">
        <f aca="false">Time!U30*(U55-U56)*U19</f>
        <v>1.88237649096174</v>
      </c>
      <c r="V58" s="11" t="n">
        <f aca="false">Time!V30*(V55-V56)*V19</f>
        <v>2.00535081717462</v>
      </c>
      <c r="W58" s="11" t="n">
        <f aca="false">Time!W30*(W55-W56)*W19</f>
        <v>2.06665316091007</v>
      </c>
      <c r="X58" s="11" t="n">
        <f aca="false">Time!X30*(X55-X56)*X19</f>
        <v>2.00928755357348</v>
      </c>
      <c r="Y58" s="11" t="n">
        <f aca="false">Time!Y30*(Y55-Y56)*Y19</f>
        <v>2.01023302277717</v>
      </c>
      <c r="Z58" s="11" t="n">
        <f aca="false">Time!Z30*(Z55-Z56)*Z19</f>
        <v>2.09351286583013</v>
      </c>
      <c r="AA58" s="11" t="n">
        <f aca="false">Time!AA30*(AA55-AA56)*AA19</f>
        <v>2.15460681996847</v>
      </c>
      <c r="AB58" s="11" t="n">
        <f aca="false">Time!AB30*(AB55-AB56)*AB19</f>
        <v>2.25754162720402</v>
      </c>
      <c r="AC58" s="11" t="n">
        <f aca="false">Time!AC30*(AC55-AC56)*AC19</f>
        <v>2.33233049624026</v>
      </c>
      <c r="AD58" s="11" t="n">
        <f aca="false">Time!AD30*(AD55-AD56)*AD19</f>
        <v>2.54673470182993</v>
      </c>
      <c r="AE58" s="11" t="n">
        <f aca="false">Time!AE30*(AE55-AE56)*AE19</f>
        <v>2.65619473291008</v>
      </c>
      <c r="AF58" s="11" t="n">
        <f aca="false">Time!AF30*(AF55-AF56)*AF19</f>
        <v>2.74937879072952</v>
      </c>
      <c r="AG58" s="11" t="n">
        <f aca="false">Time!AG30*(AG55-AG56)*AG19</f>
        <v>2.80069104155209</v>
      </c>
      <c r="AH58" s="11" t="n">
        <f aca="false">Time!AH30*(AH55-AH56)*AH19</f>
        <v>2.94129004598992</v>
      </c>
      <c r="AI58" s="11" t="n">
        <f aca="false">Time!AI30*(AI55-AI56)*AI19</f>
        <v>3.02765373791365</v>
      </c>
      <c r="AJ58" s="11" t="n">
        <f aca="false">Time!AJ30*(AJ55-AJ56)*AJ19</f>
        <v>3.17382178581808</v>
      </c>
      <c r="AK58" s="11" t="n">
        <f aca="false">Time!AK30*(AK55-AK56)*AK19</f>
        <v>3.27655277692825</v>
      </c>
      <c r="AL58" s="11" t="n">
        <f aca="false">Time!AL30*(AL55-AL56)*AL19</f>
        <v>3.47425590064094</v>
      </c>
      <c r="AM58" s="11" t="n">
        <f aca="false">Time!AM30*(AM55-AM56)*AM19</f>
        <v>3.54646819417351</v>
      </c>
      <c r="AN58" s="11" t="n">
        <f aca="false">Time!AN30*(AN55-AN56)*AN19</f>
        <v>2.92579415899246</v>
      </c>
      <c r="AO58" s="11" t="n">
        <f aca="false">Time!AO30*(AO55-AO56)*AO19</f>
        <v>2.96913780057689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658</v>
      </c>
      <c r="E59" s="0" t="s">
        <v>149</v>
      </c>
      <c r="G59" s="11" t="n">
        <f aca="false">SUM(J59:BN59)</f>
        <v>0</v>
      </c>
      <c r="J59" s="11" t="n">
        <f aca="false">J21*Inputs!$F$194*J58</f>
        <v>0</v>
      </c>
      <c r="K59" s="11" t="n">
        <f aca="false">K21*Inputs!$F$194*K58</f>
        <v>0</v>
      </c>
      <c r="L59" s="11" t="n">
        <f aca="false">L21*Inputs!$F$194*L58</f>
        <v>0</v>
      </c>
      <c r="M59" s="11" t="n">
        <f aca="false">M21*Inputs!$F$194*M58</f>
        <v>0</v>
      </c>
      <c r="N59" s="11" t="n">
        <f aca="false">N21*Inputs!$F$194*N58</f>
        <v>0</v>
      </c>
      <c r="O59" s="11" t="n">
        <f aca="false">O21*Inputs!$F$194*O58</f>
        <v>0</v>
      </c>
      <c r="P59" s="11" t="n">
        <f aca="false">P21*Inputs!$F$194*P58</f>
        <v>0</v>
      </c>
      <c r="Q59" s="11" t="n">
        <f aca="false">Q21*Inputs!$F$194*Q58</f>
        <v>0</v>
      </c>
      <c r="R59" s="11" t="n">
        <f aca="false">R21*Inputs!$F$194*R58</f>
        <v>0</v>
      </c>
      <c r="S59" s="11" t="n">
        <f aca="false">S21*Inputs!$F$194*S58</f>
        <v>0</v>
      </c>
      <c r="T59" s="11" t="n">
        <f aca="false">T21*Inputs!$F$194*T58</f>
        <v>0</v>
      </c>
      <c r="U59" s="11" t="n">
        <f aca="false">U21*Inputs!$F$194*U58</f>
        <v>0</v>
      </c>
      <c r="V59" s="11" t="n">
        <f aca="false">V21*Inputs!$F$194*V58</f>
        <v>0</v>
      </c>
      <c r="W59" s="11" t="n">
        <f aca="false">W21*Inputs!$F$194*W58</f>
        <v>0</v>
      </c>
      <c r="X59" s="11" t="n">
        <f aca="false">X21*Inputs!$F$194*X58</f>
        <v>0</v>
      </c>
      <c r="Y59" s="11" t="n">
        <f aca="false">Y21*Inputs!$F$194*Y58</f>
        <v>0</v>
      </c>
      <c r="Z59" s="11" t="n">
        <f aca="false">Z21*Inputs!$F$194*Z58</f>
        <v>0</v>
      </c>
      <c r="AA59" s="11" t="n">
        <f aca="false">AA21*Inputs!$F$194*AA58</f>
        <v>0</v>
      </c>
      <c r="AB59" s="11" t="n">
        <f aca="false">AB21*Inputs!$F$194*AB58</f>
        <v>0</v>
      </c>
      <c r="AC59" s="11" t="n">
        <f aca="false">AC21*Inputs!$F$194*AC58</f>
        <v>0</v>
      </c>
      <c r="AD59" s="11" t="n">
        <f aca="false">AD21*Inputs!$F$194*AD58</f>
        <v>0</v>
      </c>
      <c r="AE59" s="11" t="n">
        <f aca="false">AE21*Inputs!$F$194*AE58</f>
        <v>0</v>
      </c>
      <c r="AF59" s="11" t="n">
        <f aca="false">AF21*Inputs!$F$194*AF58</f>
        <v>0</v>
      </c>
      <c r="AG59" s="11" t="n">
        <f aca="false">AG21*Inputs!$F$194*AG58</f>
        <v>0</v>
      </c>
      <c r="AH59" s="11" t="n">
        <f aca="false">AH21*Inputs!$F$194*AH58</f>
        <v>0</v>
      </c>
      <c r="AI59" s="11" t="n">
        <f aca="false">AI21*Inputs!$F$194*AI58</f>
        <v>0</v>
      </c>
      <c r="AJ59" s="11" t="n">
        <f aca="false">AJ21*Inputs!$F$194*AJ58</f>
        <v>0</v>
      </c>
      <c r="AK59" s="11" t="n">
        <f aca="false">AK21*Inputs!$F$194*AK58</f>
        <v>0</v>
      </c>
      <c r="AL59" s="11" t="n">
        <f aca="false">AL21*Inputs!$F$194*AL58</f>
        <v>0</v>
      </c>
      <c r="AM59" s="11" t="n">
        <f aca="false">AM21*Inputs!$F$194*AM58</f>
        <v>0</v>
      </c>
      <c r="AN59" s="11" t="n">
        <f aca="false">AN21*Inputs!$F$194*AN58</f>
        <v>0</v>
      </c>
      <c r="AO59" s="11" t="n">
        <f aca="false">AO21*Inputs!$F$194*AO58</f>
        <v>0</v>
      </c>
      <c r="AP59" s="11" t="n">
        <f aca="false">AP21*Inputs!$F$194*AP58</f>
        <v>0</v>
      </c>
      <c r="AQ59" s="11" t="n">
        <f aca="false">AQ21*Inputs!$F$194*AQ58</f>
        <v>0</v>
      </c>
      <c r="AR59" s="11" t="n">
        <f aca="false">AR21*Inputs!$F$194*AR58</f>
        <v>0</v>
      </c>
      <c r="AS59" s="11" t="n">
        <f aca="false">AS21*Inputs!$F$194*AS58</f>
        <v>0</v>
      </c>
      <c r="AT59" s="11" t="n">
        <f aca="false">AT21*Inputs!$F$194*AT58</f>
        <v>0</v>
      </c>
      <c r="AU59" s="11" t="n">
        <f aca="false">AU21*Inputs!$F$194*AU58</f>
        <v>0</v>
      </c>
      <c r="AV59" s="11" t="n">
        <f aca="false">AV21*Inputs!$F$194*AV58</f>
        <v>0</v>
      </c>
      <c r="AW59" s="11" t="n">
        <f aca="false">AW21*Inputs!$F$194*AW58</f>
        <v>0</v>
      </c>
      <c r="AX59" s="11" t="n">
        <f aca="false">AX21*Inputs!$F$194*AX58</f>
        <v>0</v>
      </c>
      <c r="AY59" s="11" t="n">
        <f aca="false">AY21*Inputs!$F$194*AY58</f>
        <v>0</v>
      </c>
      <c r="AZ59" s="11" t="n">
        <f aca="false">AZ21*Inputs!$F$194*AZ58</f>
        <v>0</v>
      </c>
      <c r="BA59" s="11" t="n">
        <f aca="false">BA21*Inputs!$F$194*BA58</f>
        <v>0</v>
      </c>
      <c r="BB59" s="11" t="n">
        <f aca="false">BB21*Inputs!$F$194*BB58</f>
        <v>0</v>
      </c>
      <c r="BC59" s="11" t="n">
        <f aca="false">BC21*Inputs!$F$194*BC58</f>
        <v>0</v>
      </c>
      <c r="BD59" s="11" t="n">
        <f aca="false">BD21*Inputs!$F$194*BD58</f>
        <v>0</v>
      </c>
      <c r="BE59" s="11" t="n">
        <f aca="false">BE21*Inputs!$F$194*BE58</f>
        <v>0</v>
      </c>
      <c r="BF59" s="11" t="n">
        <f aca="false">BF21*Inputs!$F$194*BF58</f>
        <v>0</v>
      </c>
      <c r="BG59" s="11" t="n">
        <f aca="false">BG21*Inputs!$F$194*BG58</f>
        <v>0</v>
      </c>
      <c r="BH59" s="11" t="n">
        <f aca="false">BH21*Inputs!$F$194*BH58</f>
        <v>0</v>
      </c>
      <c r="BI59" s="11" t="n">
        <f aca="false">BI21*Inputs!$F$194*BI58</f>
        <v>0</v>
      </c>
      <c r="BJ59" s="11" t="n">
        <f aca="false">BJ21*Inputs!$F$194*BJ58</f>
        <v>0</v>
      </c>
      <c r="BK59" s="11" t="n">
        <f aca="false">BK21*Inputs!$F$194*BK58</f>
        <v>0</v>
      </c>
      <c r="BL59" s="11" t="n">
        <f aca="false">BL21*Inputs!$F$194*BL58</f>
        <v>0</v>
      </c>
      <c r="BM59" s="11" t="n">
        <f aca="false">BM21*Inputs!$F$194*BM58</f>
        <v>0</v>
      </c>
      <c r="BN59" s="11" t="n">
        <f aca="false">BN21*Inputs!$F$194*BN58</f>
        <v>0</v>
      </c>
    </row>
    <row r="60" customFormat="false" ht="15" hidden="false" customHeight="false" outlineLevel="0" collapsed="false">
      <c r="D60" s="0" t="s">
        <v>659</v>
      </c>
      <c r="E60" s="0" t="s">
        <v>149</v>
      </c>
      <c r="F60" s="15" t="n">
        <f aca="false">$T$59</f>
        <v>0</v>
      </c>
    </row>
    <row r="61" customFormat="false" ht="15" hidden="false" customHeight="false" outlineLevel="0" collapsed="false">
      <c r="D61" s="0" t="s">
        <v>660</v>
      </c>
      <c r="E61" s="0" t="s">
        <v>149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661</v>
      </c>
      <c r="E62" s="0" t="s">
        <v>149</v>
      </c>
      <c r="G62" s="11" t="n">
        <f aca="false">SUM(J62:BN62)</f>
        <v>63.3255975542774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1.54897148007439</v>
      </c>
      <c r="Q62" s="11" t="n">
        <f aca="false">Q58-Q59+Q61</f>
        <v>1.61452663295866</v>
      </c>
      <c r="R62" s="11" t="n">
        <f aca="false">R58-R59+R61</f>
        <v>1.69405613454301</v>
      </c>
      <c r="S62" s="11" t="n">
        <f aca="false">S58-S59+S61</f>
        <v>1.74397722822994</v>
      </c>
      <c r="T62" s="11" t="n">
        <f aca="false">T58-T59+T61</f>
        <v>1.82419955577615</v>
      </c>
      <c r="U62" s="11" t="n">
        <f aca="false">U58-U59+U61</f>
        <v>1.88237649096174</v>
      </c>
      <c r="V62" s="11" t="n">
        <f aca="false">V58-V59+V61</f>
        <v>2.00535081717462</v>
      </c>
      <c r="W62" s="11" t="n">
        <f aca="false">W58-W59+W61</f>
        <v>2.06665316091007</v>
      </c>
      <c r="X62" s="11" t="n">
        <f aca="false">X58-X59+X61</f>
        <v>2.00928755357348</v>
      </c>
      <c r="Y62" s="11" t="n">
        <f aca="false">Y58-Y59+Y61</f>
        <v>2.01023302277717</v>
      </c>
      <c r="Z62" s="11" t="n">
        <f aca="false">Z58-Z59+Z61</f>
        <v>2.09351286583013</v>
      </c>
      <c r="AA62" s="11" t="n">
        <f aca="false">AA58-AA59+AA61</f>
        <v>2.15460681996847</v>
      </c>
      <c r="AB62" s="11" t="n">
        <f aca="false">AB58-AB59+AB61</f>
        <v>2.25754162720402</v>
      </c>
      <c r="AC62" s="11" t="n">
        <f aca="false">AC58-AC59+AC61</f>
        <v>2.33233049624026</v>
      </c>
      <c r="AD62" s="11" t="n">
        <f aca="false">AD58-AD59+AD61</f>
        <v>2.54673470182993</v>
      </c>
      <c r="AE62" s="11" t="n">
        <f aca="false">AE58-AE59+AE61</f>
        <v>2.65619473291008</v>
      </c>
      <c r="AF62" s="11" t="n">
        <f aca="false">AF58-AF59+AF61</f>
        <v>2.74937879072952</v>
      </c>
      <c r="AG62" s="11" t="n">
        <f aca="false">AG58-AG59+AG61</f>
        <v>2.80069104155209</v>
      </c>
      <c r="AH62" s="11" t="n">
        <f aca="false">AH58-AH59+AH61</f>
        <v>2.94129004598992</v>
      </c>
      <c r="AI62" s="11" t="n">
        <f aca="false">AI58-AI59+AI61</f>
        <v>3.02765373791365</v>
      </c>
      <c r="AJ62" s="11" t="n">
        <f aca="false">AJ58-AJ59+AJ61</f>
        <v>3.17382178581808</v>
      </c>
      <c r="AK62" s="11" t="n">
        <f aca="false">AK58-AK59+AK61</f>
        <v>3.27655277692825</v>
      </c>
      <c r="AL62" s="11" t="n">
        <f aca="false">AL58-AL59+AL61</f>
        <v>3.47425590064094</v>
      </c>
      <c r="AM62" s="11" t="n">
        <f aca="false">AM58-AM59+AM61</f>
        <v>3.54646819417351</v>
      </c>
      <c r="AN62" s="11" t="n">
        <f aca="false">AN58-AN59+AN61</f>
        <v>2.92579415899246</v>
      </c>
      <c r="AO62" s="11" t="n">
        <f aca="false">AO58-AO59+AO61</f>
        <v>2.96913780057689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662</v>
      </c>
      <c r="E63" s="0" t="s">
        <v>149</v>
      </c>
      <c r="G63" s="11" t="n">
        <f aca="false">SUM(J63:BN63)</f>
        <v>0</v>
      </c>
      <c r="J63" s="11" t="n">
        <f aca="false">J23*Inputs!$F$191*(J55-J62)/(J25-J32+J40-J47+J55-J62+J70-J77+J85-J92+0.000000001)</f>
        <v>0</v>
      </c>
      <c r="K63" s="11" t="n">
        <f aca="false">K23*Inputs!$F$191*(K55-K62)/(K25-K32+K40-K47+K55-K62+K70-K77+K85-K92+0.000000001)</f>
        <v>0</v>
      </c>
      <c r="L63" s="11" t="n">
        <f aca="false">L23*Inputs!$F$191*(L55-L62)/(L25-L32+L40-L47+L55-L62+L70-L77+L85-L92+0.000000001)</f>
        <v>0</v>
      </c>
      <c r="M63" s="11" t="n">
        <f aca="false">M23*Inputs!$F$191*(M55-M62)/(M25-M32+M40-M47+M55-M62+M70-M77+M85-M92+0.000000001)</f>
        <v>0</v>
      </c>
      <c r="N63" s="11" t="n">
        <f aca="false">N23*Inputs!$F$191*(N55-N62)/(N25-N32+N40-N47+N55-N62+N70-N77+N85-N92+0.000000001)</f>
        <v>0</v>
      </c>
      <c r="O63" s="11" t="n">
        <f aca="false">O23*Inputs!$F$191*(O55-O62)/(O25-O32+O40-O47+O55-O62+O70-O77+O85-O92+0.000000001)</f>
        <v>0</v>
      </c>
      <c r="P63" s="11" t="n">
        <f aca="false">P23*Inputs!$F$191*(P55-P62)/(P25-P32+P40-P47+P55-P62+P70-P77+P85-P92+0.000000001)</f>
        <v>0</v>
      </c>
      <c r="Q63" s="11" t="n">
        <f aca="false">Q23*Inputs!$F$191*(Q55-Q62)/(Q25-Q32+Q40-Q47+Q55-Q62+Q70-Q77+Q85-Q92+0.000000001)</f>
        <v>0</v>
      </c>
      <c r="R63" s="11" t="n">
        <f aca="false">R23*Inputs!$F$191*(R55-R62)/(R25-R32+R40-R47+R55-R62+R70-R77+R85-R92+0.000000001)</f>
        <v>0</v>
      </c>
      <c r="S63" s="11" t="n">
        <f aca="false">S23*Inputs!$F$191*(S55-S62)/(S25-S32+S40-S47+S55-S62+S70-S77+S85-S92+0.000000001)</f>
        <v>0</v>
      </c>
      <c r="T63" s="11" t="n">
        <f aca="false">T23*Inputs!$F$191*(T55-T62)/(T25-T32+T40-T47+T55-T62+T70-T77+T85-T92+0.000000001)</f>
        <v>0</v>
      </c>
      <c r="U63" s="11" t="n">
        <f aca="false">U23*Inputs!$F$191*(U55-U62)/(U25-U32+U40-U47+U55-U62+U70-U77+U85-U92+0.000000001)</f>
        <v>0</v>
      </c>
      <c r="V63" s="11" t="n">
        <f aca="false">V23*Inputs!$F$191*(V55-V62)/(V25-V32+V40-V47+V55-V62+V70-V77+V85-V92+0.000000001)</f>
        <v>0</v>
      </c>
      <c r="W63" s="11" t="n">
        <f aca="false">W23*Inputs!$F$191*(W55-W62)/(W25-W32+W40-W47+W55-W62+W70-W77+W85-W92+0.000000001)</f>
        <v>0</v>
      </c>
      <c r="X63" s="11" t="n">
        <f aca="false">X23*Inputs!$F$191*(X55-X62)/(X25-X32+X40-X47+X55-X62+X70-X77+X85-X92+0.000000001)</f>
        <v>0</v>
      </c>
      <c r="Y63" s="11" t="n">
        <f aca="false">Y23*Inputs!$F$191*(Y55-Y62)/(Y25-Y32+Y40-Y47+Y55-Y62+Y70-Y77+Y85-Y92+0.000000001)</f>
        <v>0</v>
      </c>
      <c r="Z63" s="11" t="n">
        <f aca="false">Z23*Inputs!$F$191*(Z55-Z62)/(Z25-Z32+Z40-Z47+Z55-Z62+Z70-Z77+Z85-Z92+0.000000001)</f>
        <v>0</v>
      </c>
      <c r="AA63" s="11" t="n">
        <f aca="false">AA23*Inputs!$F$191*(AA55-AA62)/(AA25-AA32+AA40-AA47+AA55-AA62+AA70-AA77+AA85-AA92+0.000000001)</f>
        <v>0</v>
      </c>
      <c r="AB63" s="11" t="n">
        <f aca="false">AB23*Inputs!$F$191*(AB55-AB62)/(AB25-AB32+AB40-AB47+AB55-AB62+AB70-AB77+AB85-AB92+0.000000001)</f>
        <v>0</v>
      </c>
      <c r="AC63" s="11" t="n">
        <f aca="false">AC23*Inputs!$F$191*(AC55-AC62)/(AC25-AC32+AC40-AC47+AC55-AC62+AC70-AC77+AC85-AC92+0.000000001)</f>
        <v>0</v>
      </c>
      <c r="AD63" s="11" t="n">
        <f aca="false">AD23*Inputs!$F$191*(AD55-AD62)/(AD25-AD32+AD40-AD47+AD55-AD62+AD70-AD77+AD85-AD92+0.000000001)</f>
        <v>0</v>
      </c>
      <c r="AE63" s="11" t="n">
        <f aca="false">AE23*Inputs!$F$191*(AE55-AE62)/(AE25-AE32+AE40-AE47+AE55-AE62+AE70-AE77+AE85-AE92+0.000000001)</f>
        <v>0</v>
      </c>
      <c r="AF63" s="11" t="n">
        <f aca="false">AF23*Inputs!$F$191*(AF55-AF62)/(AF25-AF32+AF40-AF47+AF55-AF62+AF70-AF77+AF85-AF92+0.000000001)</f>
        <v>0</v>
      </c>
      <c r="AG63" s="11" t="n">
        <f aca="false">AG23*Inputs!$F$191*(AG55-AG62)/(AG25-AG32+AG40-AG47+AG55-AG62+AG70-AG77+AG85-AG92+0.000000001)</f>
        <v>0</v>
      </c>
      <c r="AH63" s="11" t="n">
        <f aca="false">AH23*Inputs!$F$191*(AH55-AH62)/(AH25-AH32+AH40-AH47+AH55-AH62+AH70-AH77+AH85-AH92+0.000000001)</f>
        <v>0</v>
      </c>
      <c r="AI63" s="11" t="n">
        <f aca="false">AI23*Inputs!$F$191*(AI55-AI62)/(AI25-AI32+AI40-AI47+AI55-AI62+AI70-AI77+AI85-AI92+0.000000001)</f>
        <v>0</v>
      </c>
      <c r="AJ63" s="11" t="n">
        <f aca="false">AJ23*Inputs!$F$191*(AJ55-AJ62)/(AJ25-AJ32+AJ40-AJ47+AJ55-AJ62+AJ70-AJ77+AJ85-AJ92+0.000000001)</f>
        <v>0</v>
      </c>
      <c r="AK63" s="11" t="n">
        <f aca="false">AK23*Inputs!$F$191*(AK55-AK62)/(AK25-AK32+AK40-AK47+AK55-AK62+AK70-AK77+AK85-AK92+0.000000001)</f>
        <v>0</v>
      </c>
      <c r="AL63" s="11" t="n">
        <f aca="false">AL23*Inputs!$F$191*(AL55-AL62)/(AL25-AL32+AL40-AL47+AL55-AL62+AL70-AL77+AL85-AL92+0.000000001)</f>
        <v>0</v>
      </c>
      <c r="AM63" s="11" t="n">
        <f aca="false">AM23*Inputs!$F$191*(AM55-AM62)/(AM25-AM32+AM40-AM47+AM55-AM62+AM70-AM77+AM85-AM92+0.000000001)</f>
        <v>0</v>
      </c>
      <c r="AN63" s="11" t="n">
        <f aca="false">AN23*Inputs!$F$191*(AN55-AN62)/(AN25-AN32+AN40-AN47+AN55-AN62+AN70-AN77+AN85-AN92+0.000000001)</f>
        <v>0</v>
      </c>
      <c r="AO63" s="11" t="n">
        <f aca="false">AO23*Inputs!$F$191*(AO55-AO62)/(AO25-AO32+AO40-AO47+AO55-AO62+AO70-AO77+AO85-AO92+0.000000001)</f>
        <v>0</v>
      </c>
      <c r="AP63" s="11" t="n">
        <f aca="false">AP23*Inputs!$F$191*(AP55-AP62)/(AP25-AP32+AP40-AP47+AP55-AP62+AP70-AP77+AP85-AP92+0.000000001)</f>
        <v>0</v>
      </c>
      <c r="AQ63" s="11" t="n">
        <f aca="false">AQ23*Inputs!$F$191*(AQ55-AQ62)/(AQ25-AQ32+AQ40-AQ47+AQ55-AQ62+AQ70-AQ77+AQ85-AQ92+0.000000001)</f>
        <v>0</v>
      </c>
      <c r="AR63" s="11" t="n">
        <f aca="false">AR23*Inputs!$F$191*(AR55-AR62)/(AR25-AR32+AR40-AR47+AR55-AR62+AR70-AR77+AR85-AR92+0.000000001)</f>
        <v>0</v>
      </c>
      <c r="AS63" s="11" t="n">
        <f aca="false">AS23*Inputs!$F$191*(AS55-AS62)/(AS25-AS32+AS40-AS47+AS55-AS62+AS70-AS77+AS85-AS92+0.000000001)</f>
        <v>0</v>
      </c>
      <c r="AT63" s="11" t="n">
        <f aca="false">AT23*Inputs!$F$191*(AT55-AT62)/(AT25-AT32+AT40-AT47+AT55-AT62+AT70-AT77+AT85-AT92+0.000000001)</f>
        <v>0</v>
      </c>
      <c r="AU63" s="11" t="n">
        <f aca="false">AU23*Inputs!$F$191*(AU55-AU62)/(AU25-AU32+AU40-AU47+AU55-AU62+AU70-AU77+AU85-AU92+0.000000001)</f>
        <v>0</v>
      </c>
      <c r="AV63" s="11" t="n">
        <f aca="false">AV23*Inputs!$F$191*(AV55-AV62)/(AV25-AV32+AV40-AV47+AV55-AV62+AV70-AV77+AV85-AV92+0.000000001)</f>
        <v>0</v>
      </c>
      <c r="AW63" s="11" t="n">
        <f aca="false">AW23*Inputs!$F$191*(AW55-AW62)/(AW25-AW32+AW40-AW47+AW55-AW62+AW70-AW77+AW85-AW92+0.000000001)</f>
        <v>0</v>
      </c>
      <c r="AX63" s="11" t="n">
        <f aca="false">AX23*Inputs!$F$191*(AX55-AX62)/(AX25-AX32+AX40-AX47+AX55-AX62+AX70-AX77+AX85-AX92+0.000000001)</f>
        <v>0</v>
      </c>
      <c r="AY63" s="11" t="n">
        <f aca="false">AY23*Inputs!$F$191*(AY55-AY62)/(AY25-AY32+AY40-AY47+AY55-AY62+AY70-AY77+AY85-AY92+0.000000001)</f>
        <v>0</v>
      </c>
      <c r="AZ63" s="11" t="n">
        <f aca="false">AZ23*Inputs!$F$191*(AZ55-AZ62)/(AZ25-AZ32+AZ40-AZ47+AZ55-AZ62+AZ70-AZ77+AZ85-AZ92+0.000000001)</f>
        <v>0</v>
      </c>
      <c r="BA63" s="11" t="n">
        <f aca="false">BA23*Inputs!$F$191*(BA55-BA62)/(BA25-BA32+BA40-BA47+BA55-BA62+BA70-BA77+BA85-BA92+0.000000001)</f>
        <v>0</v>
      </c>
      <c r="BB63" s="11" t="n">
        <f aca="false">BB23*Inputs!$F$191*(BB55-BB62)/(BB25-BB32+BB40-BB47+BB55-BB62+BB70-BB77+BB85-BB92+0.000000001)</f>
        <v>0</v>
      </c>
      <c r="BC63" s="11" t="n">
        <f aca="false">BC23*Inputs!$F$191*(BC55-BC62)/(BC25-BC32+BC40-BC47+BC55-BC62+BC70-BC77+BC85-BC92+0.000000001)</f>
        <v>0</v>
      </c>
      <c r="BD63" s="11" t="n">
        <f aca="false">BD23*Inputs!$F$191*(BD55-BD62)/(BD25-BD32+BD40-BD47+BD55-BD62+BD70-BD77+BD85-BD92+0.000000001)</f>
        <v>0</v>
      </c>
      <c r="BE63" s="11" t="n">
        <f aca="false">BE23*Inputs!$F$191*(BE55-BE62)/(BE25-BE32+BE40-BE47+BE55-BE62+BE70-BE77+BE85-BE92+0.000000001)</f>
        <v>0</v>
      </c>
      <c r="BF63" s="11" t="n">
        <f aca="false">BF23*Inputs!$F$191*(BF55-BF62)/(BF25-BF32+BF40-BF47+BF55-BF62+BF70-BF77+BF85-BF92+0.000000001)</f>
        <v>0</v>
      </c>
      <c r="BG63" s="11" t="n">
        <f aca="false">BG23*Inputs!$F$191*(BG55-BG62)/(BG25-BG32+BG40-BG47+BG55-BG62+BG70-BG77+BG85-BG92+0.000000001)</f>
        <v>0</v>
      </c>
      <c r="BH63" s="11" t="n">
        <f aca="false">BH23*Inputs!$F$191*(BH55-BH62)/(BH25-BH32+BH40-BH47+BH55-BH62+BH70-BH77+BH85-BH92+0.000000001)</f>
        <v>0</v>
      </c>
      <c r="BI63" s="11" t="n">
        <f aca="false">BI23*Inputs!$F$191*(BI55-BI62)/(BI25-BI32+BI40-BI47+BI55-BI62+BI70-BI77+BI85-BI92+0.000000001)</f>
        <v>0</v>
      </c>
      <c r="BJ63" s="11" t="n">
        <f aca="false">BJ23*Inputs!$F$191*(BJ55-BJ62)/(BJ25-BJ32+BJ40-BJ47+BJ55-BJ62+BJ70-BJ77+BJ85-BJ92+0.000000001)</f>
        <v>0</v>
      </c>
      <c r="BK63" s="11" t="n">
        <f aca="false">BK23*Inputs!$F$191*(BK55-BK62)/(BK25-BK32+BK40-BK47+BK55-BK62+BK70-BK77+BK85-BK92+0.000000001)</f>
        <v>0</v>
      </c>
      <c r="BL63" s="11" t="n">
        <f aca="false">BL23*Inputs!$F$191*(BL55-BL62)/(BL25-BL32+BL40-BL47+BL55-BL62+BL70-BL77+BL85-BL92+0.000000001)</f>
        <v>0</v>
      </c>
      <c r="BM63" s="11" t="n">
        <f aca="false">BM23*Inputs!$F$191*(BM55-BM62)/(BM25-BM32+BM40-BM47+BM55-BM62+BM70-BM77+BM85-BM92+0.000000001)</f>
        <v>0</v>
      </c>
      <c r="BN63" s="11" t="n">
        <f aca="false">BN23*Inputs!$F$191*(BN55-BN62)/(BN25-BN32+BN40-BN47+BN55-BN62+BN70-BN77+BN85-BN92+0.000000001)</f>
        <v>0</v>
      </c>
    </row>
    <row r="64" customFormat="false" ht="15" hidden="false" customHeight="false" outlineLevel="0" collapsed="false">
      <c r="D64" s="0" t="s">
        <v>663</v>
      </c>
      <c r="E64" s="0" t="s">
        <v>149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664</v>
      </c>
      <c r="E65" s="0" t="s">
        <v>149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665</v>
      </c>
      <c r="E66" s="0" t="s">
        <v>149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61.776626074203</v>
      </c>
      <c r="Q66" s="11" t="n">
        <f aca="false">Q55-Q62-Q63-Q64</f>
        <v>60.1620994412444</v>
      </c>
      <c r="R66" s="11" t="n">
        <f aca="false">R55-R62-R63-R64</f>
        <v>58.4680433067014</v>
      </c>
      <c r="S66" s="11" t="n">
        <f aca="false">S55-S62-S63-S64</f>
        <v>56.7240660784714</v>
      </c>
      <c r="T66" s="11" t="n">
        <f aca="false">T55-T62-T63-T64</f>
        <v>54.8998665226953</v>
      </c>
      <c r="U66" s="11" t="n">
        <f aca="false">U55-U62-U63-U64</f>
        <v>53.0174900317335</v>
      </c>
      <c r="V66" s="11" t="n">
        <f aca="false">V55-V62-V63-V64</f>
        <v>51.0121392145589</v>
      </c>
      <c r="W66" s="11" t="n">
        <f aca="false">W55-W62-W63-W64</f>
        <v>48.9454860536489</v>
      </c>
      <c r="X66" s="11" t="n">
        <f aca="false">X55-X62-X63-X64</f>
        <v>46.9361985000754</v>
      </c>
      <c r="Y66" s="11" t="n">
        <f aca="false">Y55-Y62-Y63-Y64</f>
        <v>44.9259654772982</v>
      </c>
      <c r="Z66" s="11" t="n">
        <f aca="false">Z55-Z62-Z63-Z64</f>
        <v>42.8324526114681</v>
      </c>
      <c r="AA66" s="11" t="n">
        <f aca="false">AA55-AA62-AA63-AA64</f>
        <v>40.6778457914996</v>
      </c>
      <c r="AB66" s="11" t="n">
        <f aca="false">AB55-AB62-AB63-AB64</f>
        <v>38.4203041642956</v>
      </c>
      <c r="AC66" s="11" t="n">
        <f aca="false">AC55-AC62-AC63-AC64</f>
        <v>36.0879736680553</v>
      </c>
      <c r="AD66" s="11" t="n">
        <f aca="false">AD55-AD62-AD63-AD64</f>
        <v>33.5412389662254</v>
      </c>
      <c r="AE66" s="11" t="n">
        <f aca="false">AE55-AE62-AE63-AE64</f>
        <v>30.8850442333153</v>
      </c>
      <c r="AF66" s="11" t="n">
        <f aca="false">AF55-AF62-AF63-AF64</f>
        <v>28.1356654425858</v>
      </c>
      <c r="AG66" s="11" t="n">
        <f aca="false">AG55-AG62-AG63-AG64</f>
        <v>25.3349744010337</v>
      </c>
      <c r="AH66" s="11" t="n">
        <f aca="false">AH55-AH62-AH63-AH64</f>
        <v>22.3936843550438</v>
      </c>
      <c r="AI66" s="11" t="n">
        <f aca="false">AI55-AI62-AI63-AI64</f>
        <v>19.3660306171301</v>
      </c>
      <c r="AJ66" s="11" t="n">
        <f aca="false">AJ55-AJ62-AJ63-AJ64</f>
        <v>16.1922088313121</v>
      </c>
      <c r="AK66" s="11" t="n">
        <f aca="false">AK55-AK62-AK63-AK64</f>
        <v>12.9156560543838</v>
      </c>
      <c r="AL66" s="11" t="n">
        <f aca="false">AL55-AL62-AL63-AL64</f>
        <v>9.44140015374286</v>
      </c>
      <c r="AM66" s="11" t="n">
        <f aca="false">AM55-AM62-AM63-AM64</f>
        <v>5.89493195956935</v>
      </c>
      <c r="AN66" s="11" t="n">
        <f aca="false">AN55-AN62-AN63-AN64</f>
        <v>2.96913780057689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666</v>
      </c>
      <c r="E67" s="0" t="s">
        <v>149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667</v>
      </c>
      <c r="E68" s="0" t="s">
        <v>149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63.3255975542774</v>
      </c>
      <c r="P68" s="11" t="n">
        <f aca="false">IF(Time!P29=1,INDEX(Funding!$J$63:$BJ$63,1,Time!$F$13),Time!P30*(P66-P67))</f>
        <v>61.776626074203</v>
      </c>
      <c r="Q68" s="11" t="n">
        <f aca="false">IF(Time!Q29=1,INDEX(Funding!$J$63:$BJ$63,1,Time!$F$13),Time!Q30*(Q66-Q67))</f>
        <v>60.1620994412444</v>
      </c>
      <c r="R68" s="11" t="n">
        <f aca="false">IF(Time!R29=1,INDEX(Funding!$J$63:$BJ$63,1,Time!$F$13),Time!R30*(R66-R67))</f>
        <v>58.4680433067014</v>
      </c>
      <c r="S68" s="11" t="n">
        <f aca="false">IF(Time!S29=1,INDEX(Funding!$J$63:$BJ$63,1,Time!$F$13),Time!S30*(S66-S67))</f>
        <v>56.7240660784714</v>
      </c>
      <c r="T68" s="11" t="n">
        <f aca="false">IF(Time!T29=1,INDEX(Funding!$J$63:$BJ$63,1,Time!$F$13),Time!T30*(T66-T67))</f>
        <v>54.8998665226953</v>
      </c>
      <c r="U68" s="11" t="n">
        <f aca="false">IF(Time!U29=1,INDEX(Funding!$J$63:$BJ$63,1,Time!$F$13),Time!U30*(U66-U67))</f>
        <v>53.0174900317335</v>
      </c>
      <c r="V68" s="11" t="n">
        <f aca="false">IF(Time!V29=1,INDEX(Funding!$J$63:$BJ$63,1,Time!$F$13),Time!V30*(V66-V67))</f>
        <v>51.0121392145589</v>
      </c>
      <c r="W68" s="11" t="n">
        <f aca="false">IF(Time!W29=1,INDEX(Funding!$J$63:$BJ$63,1,Time!$F$13),Time!W30*(W66-W67))</f>
        <v>48.9454860536489</v>
      </c>
      <c r="X68" s="11" t="n">
        <f aca="false">IF(Time!X29=1,INDEX(Funding!$J$63:$BJ$63,1,Time!$F$13),Time!X30*(X66-X67))</f>
        <v>46.9361985000754</v>
      </c>
      <c r="Y68" s="11" t="n">
        <f aca="false">IF(Time!Y29=1,INDEX(Funding!$J$63:$BJ$63,1,Time!$F$13),Time!Y30*(Y66-Y67))</f>
        <v>44.9259654772982</v>
      </c>
      <c r="Z68" s="11" t="n">
        <f aca="false">IF(Time!Z29=1,INDEX(Funding!$J$63:$BJ$63,1,Time!$F$13),Time!Z30*(Z66-Z67))</f>
        <v>42.8324526114681</v>
      </c>
      <c r="AA68" s="11" t="n">
        <f aca="false">IF(Time!AA29=1,INDEX(Funding!$J$63:$BJ$63,1,Time!$F$13),Time!AA30*(AA66-AA67))</f>
        <v>40.6778457914996</v>
      </c>
      <c r="AB68" s="11" t="n">
        <f aca="false">IF(Time!AB29=1,INDEX(Funding!$J$63:$BJ$63,1,Time!$F$13),Time!AB30*(AB66-AB67))</f>
        <v>38.4203041642956</v>
      </c>
      <c r="AC68" s="11" t="n">
        <f aca="false">IF(Time!AC29=1,INDEX(Funding!$J$63:$BJ$63,1,Time!$F$13),Time!AC30*(AC66-AC67))</f>
        <v>36.0879736680553</v>
      </c>
      <c r="AD68" s="11" t="n">
        <f aca="false">IF(Time!AD29=1,INDEX(Funding!$J$63:$BJ$63,1,Time!$F$13),Time!AD30*(AD66-AD67))</f>
        <v>33.5412389662254</v>
      </c>
      <c r="AE68" s="11" t="n">
        <f aca="false">IF(Time!AE29=1,INDEX(Funding!$J$63:$BJ$63,1,Time!$F$13),Time!AE30*(AE66-AE67))</f>
        <v>30.8850442333153</v>
      </c>
      <c r="AF68" s="11" t="n">
        <f aca="false">IF(Time!AF29=1,INDEX(Funding!$J$63:$BJ$63,1,Time!$F$13),Time!AF30*(AF66-AF67))</f>
        <v>28.1356654425858</v>
      </c>
      <c r="AG68" s="11" t="n">
        <f aca="false">IF(Time!AG29=1,INDEX(Funding!$J$63:$BJ$63,1,Time!$F$13),Time!AG30*(AG66-AG67))</f>
        <v>25.3349744010337</v>
      </c>
      <c r="AH68" s="11" t="n">
        <f aca="false">IF(Time!AH29=1,INDEX(Funding!$J$63:$BJ$63,1,Time!$F$13),Time!AH30*(AH66-AH67))</f>
        <v>22.3936843550438</v>
      </c>
      <c r="AI68" s="11" t="n">
        <f aca="false">IF(Time!AI29=1,INDEX(Funding!$J$63:$BJ$63,1,Time!$F$13),Time!AI30*(AI66-AI67))</f>
        <v>19.3660306171301</v>
      </c>
      <c r="AJ68" s="11" t="n">
        <f aca="false">IF(Time!AJ29=1,INDEX(Funding!$J$63:$BJ$63,1,Time!$F$13),Time!AJ30*(AJ66-AJ67))</f>
        <v>16.1922088313121</v>
      </c>
      <c r="AK68" s="11" t="n">
        <f aca="false">IF(Time!AK29=1,INDEX(Funding!$J$63:$BJ$63,1,Time!$F$13),Time!AK30*(AK66-AK67))</f>
        <v>12.9156560543838</v>
      </c>
      <c r="AL68" s="11" t="n">
        <f aca="false">IF(Time!AL29=1,INDEX(Funding!$J$63:$BJ$63,1,Time!$F$13),Time!AL30*(AL66-AL67))</f>
        <v>9.44140015374286</v>
      </c>
      <c r="AM68" s="11" t="n">
        <f aca="false">IF(Time!AM29=1,INDEX(Funding!$J$63:$BJ$63,1,Time!$F$13),Time!AM30*(AM66-AM67))</f>
        <v>5.89493195956935</v>
      </c>
      <c r="AN68" s="11" t="n">
        <f aca="false">IF(Time!AN29=1,INDEX(Funding!$J$63:$BJ$63,1,Time!$F$13),Time!AN30*(AN66-AN67))</f>
        <v>2.96913780057689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670</v>
      </c>
    </row>
    <row r="70" customFormat="false" ht="15" hidden="false" customHeight="false" outlineLevel="0" collapsed="false">
      <c r="D70" s="0" t="s">
        <v>654</v>
      </c>
      <c r="E70" s="0" t="s">
        <v>149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240.637270706254</v>
      </c>
      <c r="Q70" s="11" t="n">
        <f aca="false">Time!Q30*P83</f>
        <v>234.751179081972</v>
      </c>
      <c r="R70" s="11" t="n">
        <f aca="false">Time!R30*Q83</f>
        <v>228.615977876729</v>
      </c>
      <c r="S70" s="11" t="n">
        <f aca="false">Time!S30*R83</f>
        <v>222.178564565465</v>
      </c>
      <c r="T70" s="11" t="n">
        <f aca="false">Time!T30*S83</f>
        <v>215.551451098191</v>
      </c>
      <c r="U70" s="11" t="n">
        <f aca="false">Time!U30*T83</f>
        <v>208.619492786242</v>
      </c>
      <c r="V70" s="11" t="n">
        <f aca="false">Time!V30*U83</f>
        <v>201.466462120587</v>
      </c>
      <c r="W70" s="11" t="n">
        <f aca="false">Time!W30*V83</f>
        <v>193.846129015324</v>
      </c>
      <c r="X70" s="11" t="n">
        <f aca="false">Time!X30*W83</f>
        <v>185.992847003866</v>
      </c>
      <c r="Y70" s="11" t="n">
        <f aca="false">Time!Y30*X83</f>
        <v>178.357554300286</v>
      </c>
      <c r="Z70" s="11" t="n">
        <f aca="false">Time!Z30*Y83</f>
        <v>170.718668813733</v>
      </c>
      <c r="AA70" s="11" t="n">
        <f aca="false">Time!AA30*Z83</f>
        <v>162.763319923579</v>
      </c>
      <c r="AB70" s="11" t="n">
        <f aca="false">Time!AB30*AA83</f>
        <v>148.239678216781</v>
      </c>
      <c r="AC70" s="11" t="n">
        <f aca="false">Time!AC30*AB83</f>
        <v>132.641640310822</v>
      </c>
      <c r="AD70" s="11" t="n">
        <f aca="false">Time!AD30*AC83</f>
        <v>117.766991555935</v>
      </c>
      <c r="AE70" s="11" t="n">
        <f aca="false">Time!AE30*AD83</f>
        <v>102.093025744911</v>
      </c>
      <c r="AF70" s="11" t="n">
        <f aca="false">Time!AF30*AE83</f>
        <v>86.1674409926765</v>
      </c>
      <c r="AG70" s="11" t="n">
        <f aca="false">Time!AG30*AF83</f>
        <v>69.0269571868451</v>
      </c>
      <c r="AH70" s="11" t="n">
        <f aca="false">Time!AH30*AG83</f>
        <v>51.9728761870141</v>
      </c>
      <c r="AI70" s="11" t="n">
        <f aca="false">Time!AI30*AH83</f>
        <v>34.3711809033896</v>
      </c>
      <c r="AJ70" s="11" t="n">
        <f aca="false">Time!AJ30*AI83</f>
        <v>17.2548303388887</v>
      </c>
      <c r="AK70" s="11" t="n">
        <f aca="false">Time!AK30*AJ83</f>
        <v>0.0480701889877135</v>
      </c>
      <c r="AL70" s="11" t="n">
        <f aca="false">Time!AL30*AK83</f>
        <v>0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655</v>
      </c>
      <c r="E71" s="0" t="s">
        <v>149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656</v>
      </c>
      <c r="E72" s="0" t="s">
        <v>149</v>
      </c>
      <c r="G72" s="11" t="n">
        <f aca="false">SUM(J72:BN72)</f>
        <v>134.380899713359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9.82572480412179</v>
      </c>
      <c r="Q72" s="11" t="n">
        <f aca="false">Q70*Q13</f>
        <v>9.45532827820258</v>
      </c>
      <c r="R72" s="11" t="n">
        <f aca="false">R70*R13</f>
        <v>9.36083644723405</v>
      </c>
      <c r="S72" s="11" t="n">
        <f aca="false">S70*S13</f>
        <v>8.96133925140251</v>
      </c>
      <c r="T72" s="11" t="n">
        <f aca="false">T70*T13</f>
        <v>8.83814172083103</v>
      </c>
      <c r="U72" s="11" t="n">
        <f aca="false">U70*U13</f>
        <v>8.46093698459363</v>
      </c>
      <c r="V72" s="11" t="n">
        <f aca="false">V70*V13</f>
        <v>8.2606223949987</v>
      </c>
      <c r="W72" s="11" t="n">
        <f aca="false">W70*W13</f>
        <v>7.81858019505573</v>
      </c>
      <c r="X72" s="11" t="n">
        <f aca="false">X70*X13</f>
        <v>7.62616596875603</v>
      </c>
      <c r="Y72" s="11" t="n">
        <f aca="false">Y70*Y13</f>
        <v>7.69205486959494</v>
      </c>
      <c r="Z72" s="11" t="n">
        <f aca="false">Z70*Z13</f>
        <v>7.48464366285592</v>
      </c>
      <c r="AA72" s="11" t="n">
        <f aca="false">AA70*AA13</f>
        <v>7.01951982085231</v>
      </c>
      <c r="AB72" s="11" t="n">
        <f aca="false">AB70*AB13</f>
        <v>6.49912031214112</v>
      </c>
      <c r="AC72" s="11" t="n">
        <f aca="false">AC70*AC13</f>
        <v>5.75206204636784</v>
      </c>
      <c r="AD72" s="11" t="n">
        <f aca="false">AD70*AD13</f>
        <v>5.16313753596836</v>
      </c>
      <c r="AE72" s="11" t="n">
        <f aca="false">AE70*AE13</f>
        <v>4.40298230660119</v>
      </c>
      <c r="AF72" s="11" t="n">
        <f aca="false">AF70*AF13</f>
        <v>3.77775082040979</v>
      </c>
      <c r="AG72" s="11" t="n">
        <f aca="false">AG70*AG13</f>
        <v>3.16974343955962</v>
      </c>
      <c r="AH72" s="11" t="n">
        <f aca="false">AH70*AH13</f>
        <v>2.42617085726343</v>
      </c>
      <c r="AI72" s="11" t="n">
        <f aca="false">AI70*AI13</f>
        <v>1.57833735715065</v>
      </c>
      <c r="AJ72" s="11" t="n">
        <f aca="false">AJ70*AJ13</f>
        <v>0.80548104293094</v>
      </c>
      <c r="AK72" s="11" t="n">
        <f aca="false">AK70*AK13</f>
        <v>0.00221959646707342</v>
      </c>
      <c r="AL72" s="11" t="n">
        <f aca="false">AL70*AL13</f>
        <v>0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657</v>
      </c>
      <c r="E73" s="0" t="s">
        <v>149</v>
      </c>
      <c r="G73" s="11" t="n">
        <f aca="false">SUM(J73:BN73)</f>
        <v>146.796485712131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5.8860916242827</v>
      </c>
      <c r="Q73" s="11" t="n">
        <f aca="false">Time!Q30*(Q70-Q71)*Q19</f>
        <v>6.1352012052429</v>
      </c>
      <c r="R73" s="11" t="n">
        <f aca="false">Time!R30*(R70-R71)*R19</f>
        <v>6.43741331126344</v>
      </c>
      <c r="S73" s="11" t="n">
        <f aca="false">Time!S30*(S70-S71)*S19</f>
        <v>6.62711346727376</v>
      </c>
      <c r="T73" s="11" t="n">
        <f aca="false">Time!T30*(T70-T71)*T19</f>
        <v>6.93195831194939</v>
      </c>
      <c r="U73" s="11" t="n">
        <f aca="false">Time!U30*(U70-U71)*U19</f>
        <v>7.1530306656546</v>
      </c>
      <c r="V73" s="11" t="n">
        <f aca="false">Time!V30*(V70-V71)*V19</f>
        <v>7.62033310526354</v>
      </c>
      <c r="W73" s="11" t="n">
        <f aca="false">Time!W30*(W70-W71)*W19</f>
        <v>7.85328201145828</v>
      </c>
      <c r="X73" s="11" t="n">
        <f aca="false">Time!X30*(X70-X71)*X19</f>
        <v>7.63529270357921</v>
      </c>
      <c r="Y73" s="11" t="n">
        <f aca="false">Time!Y30*(Y70-Y71)*Y19</f>
        <v>7.63888548655323</v>
      </c>
      <c r="Z73" s="11" t="n">
        <f aca="false">Time!Z30*(Z70-Z71)*Z19</f>
        <v>7.9553488901545</v>
      </c>
      <c r="AA73" s="11" t="n">
        <f aca="false">Time!AA30*(AA70-AA71)*AA19</f>
        <v>8.18750591588019</v>
      </c>
      <c r="AB73" s="11" t="n">
        <f aca="false">Time!AB30*(AB70-AB71)*AB19</f>
        <v>8.22701492338231</v>
      </c>
      <c r="AC73" s="11" t="n">
        <f aca="false">Time!AC30*(AC70-AC71)*AC19</f>
        <v>8.05210030210427</v>
      </c>
      <c r="AD73" s="11" t="n">
        <f aca="false">Time!AD30*(AD70-AD71)*AD19</f>
        <v>8.3108374796643</v>
      </c>
      <c r="AE73" s="11" t="n">
        <f aca="false">Time!AE30*(AE70-AE71)*AE19</f>
        <v>8.08494157069007</v>
      </c>
      <c r="AF73" s="11" t="n">
        <f aca="false">Time!AF30*(AF70-AF71)*AF19</f>
        <v>7.67060370472624</v>
      </c>
      <c r="AG73" s="11" t="n">
        <f aca="false">Time!AG30*(AG70-AG71)*AG19</f>
        <v>6.8711074565944</v>
      </c>
      <c r="AH73" s="11" t="n">
        <f aca="false">Time!AH30*(AH70-AH71)*AH19</f>
        <v>6.03384479378411</v>
      </c>
      <c r="AI73" s="11" t="n">
        <f aca="false">Time!AI30*(AI70-AI71)*AI19</f>
        <v>4.64702604041193</v>
      </c>
      <c r="AJ73" s="11" t="n">
        <f aca="false">Time!AJ30*(AJ70-AJ71)*AJ19</f>
        <v>2.82782556337171</v>
      </c>
      <c r="AK73" s="11" t="n">
        <f aca="false">Time!AK30*(AK70-AK71)*AK19</f>
        <v>0.00972717884607446</v>
      </c>
      <c r="AL73" s="11" t="n">
        <f aca="false">Time!AL30*(AL70-AL71)*AL19</f>
        <v>0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658</v>
      </c>
      <c r="E74" s="0" t="s">
        <v>149</v>
      </c>
      <c r="G74" s="11" t="n">
        <f aca="false">SUM(J74:BN74)</f>
        <v>0</v>
      </c>
      <c r="J74" s="11" t="n">
        <f aca="false">J21*Inputs!$F$194*J73</f>
        <v>0</v>
      </c>
      <c r="K74" s="11" t="n">
        <f aca="false">K21*Inputs!$F$194*K73</f>
        <v>0</v>
      </c>
      <c r="L74" s="11" t="n">
        <f aca="false">L21*Inputs!$F$194*L73</f>
        <v>0</v>
      </c>
      <c r="M74" s="11" t="n">
        <f aca="false">M21*Inputs!$F$194*M73</f>
        <v>0</v>
      </c>
      <c r="N74" s="11" t="n">
        <f aca="false">N21*Inputs!$F$194*N73</f>
        <v>0</v>
      </c>
      <c r="O74" s="11" t="n">
        <f aca="false">O21*Inputs!$F$194*O73</f>
        <v>0</v>
      </c>
      <c r="P74" s="11" t="n">
        <f aca="false">P21*Inputs!$F$194*P73</f>
        <v>0</v>
      </c>
      <c r="Q74" s="11" t="n">
        <f aca="false">Q21*Inputs!$F$194*Q73</f>
        <v>0</v>
      </c>
      <c r="R74" s="11" t="n">
        <f aca="false">R21*Inputs!$F$194*R73</f>
        <v>0</v>
      </c>
      <c r="S74" s="11" t="n">
        <f aca="false">S21*Inputs!$F$194*S73</f>
        <v>0</v>
      </c>
      <c r="T74" s="11" t="n">
        <f aca="false">T21*Inputs!$F$194*T73</f>
        <v>0</v>
      </c>
      <c r="U74" s="11" t="n">
        <f aca="false">U21*Inputs!$F$194*U73</f>
        <v>0</v>
      </c>
      <c r="V74" s="11" t="n">
        <f aca="false">V21*Inputs!$F$194*V73</f>
        <v>0</v>
      </c>
      <c r="W74" s="11" t="n">
        <f aca="false">W21*Inputs!$F$194*W73</f>
        <v>0</v>
      </c>
      <c r="X74" s="11" t="n">
        <f aca="false">X21*Inputs!$F$194*X73</f>
        <v>0</v>
      </c>
      <c r="Y74" s="11" t="n">
        <f aca="false">Y21*Inputs!$F$194*Y73</f>
        <v>0</v>
      </c>
      <c r="Z74" s="11" t="n">
        <f aca="false">Z21*Inputs!$F$194*Z73</f>
        <v>0</v>
      </c>
      <c r="AA74" s="11" t="n">
        <f aca="false">AA21*Inputs!$F$194*AA73</f>
        <v>0</v>
      </c>
      <c r="AB74" s="11" t="n">
        <f aca="false">AB21*Inputs!$F$194*AB73</f>
        <v>0</v>
      </c>
      <c r="AC74" s="11" t="n">
        <f aca="false">AC21*Inputs!$F$194*AC73</f>
        <v>0</v>
      </c>
      <c r="AD74" s="11" t="n">
        <f aca="false">AD21*Inputs!$F$194*AD73</f>
        <v>0</v>
      </c>
      <c r="AE74" s="11" t="n">
        <f aca="false">AE21*Inputs!$F$194*AE73</f>
        <v>0</v>
      </c>
      <c r="AF74" s="11" t="n">
        <f aca="false">AF21*Inputs!$F$194*AF73</f>
        <v>0</v>
      </c>
      <c r="AG74" s="11" t="n">
        <f aca="false">AG21*Inputs!$F$194*AG73</f>
        <v>0</v>
      </c>
      <c r="AH74" s="11" t="n">
        <f aca="false">AH21*Inputs!$F$194*AH73</f>
        <v>0</v>
      </c>
      <c r="AI74" s="11" t="n">
        <f aca="false">AI21*Inputs!$F$194*AI73</f>
        <v>0</v>
      </c>
      <c r="AJ74" s="11" t="n">
        <f aca="false">AJ21*Inputs!$F$194*AJ73</f>
        <v>0</v>
      </c>
      <c r="AK74" s="11" t="n">
        <f aca="false">AK21*Inputs!$F$194*AK73</f>
        <v>0</v>
      </c>
      <c r="AL74" s="11" t="n">
        <f aca="false">AL21*Inputs!$F$194*AL73</f>
        <v>0</v>
      </c>
      <c r="AM74" s="11" t="n">
        <f aca="false">AM21*Inputs!$F$194*AM73</f>
        <v>0</v>
      </c>
      <c r="AN74" s="11" t="n">
        <f aca="false">AN21*Inputs!$F$194*AN73</f>
        <v>0</v>
      </c>
      <c r="AO74" s="11" t="n">
        <f aca="false">AO21*Inputs!$F$194*AO73</f>
        <v>0</v>
      </c>
      <c r="AP74" s="11" t="n">
        <f aca="false">AP21*Inputs!$F$194*AP73</f>
        <v>0</v>
      </c>
      <c r="AQ74" s="11" t="n">
        <f aca="false">AQ21*Inputs!$F$194*AQ73</f>
        <v>0</v>
      </c>
      <c r="AR74" s="11" t="n">
        <f aca="false">AR21*Inputs!$F$194*AR73</f>
        <v>0</v>
      </c>
      <c r="AS74" s="11" t="n">
        <f aca="false">AS21*Inputs!$F$194*AS73</f>
        <v>0</v>
      </c>
      <c r="AT74" s="11" t="n">
        <f aca="false">AT21*Inputs!$F$194*AT73</f>
        <v>0</v>
      </c>
      <c r="AU74" s="11" t="n">
        <f aca="false">AU21*Inputs!$F$194*AU73</f>
        <v>0</v>
      </c>
      <c r="AV74" s="11" t="n">
        <f aca="false">AV21*Inputs!$F$194*AV73</f>
        <v>0</v>
      </c>
      <c r="AW74" s="11" t="n">
        <f aca="false">AW21*Inputs!$F$194*AW73</f>
        <v>0</v>
      </c>
      <c r="AX74" s="11" t="n">
        <f aca="false">AX21*Inputs!$F$194*AX73</f>
        <v>0</v>
      </c>
      <c r="AY74" s="11" t="n">
        <f aca="false">AY21*Inputs!$F$194*AY73</f>
        <v>0</v>
      </c>
      <c r="AZ74" s="11" t="n">
        <f aca="false">AZ21*Inputs!$F$194*AZ73</f>
        <v>0</v>
      </c>
      <c r="BA74" s="11" t="n">
        <f aca="false">BA21*Inputs!$F$194*BA73</f>
        <v>0</v>
      </c>
      <c r="BB74" s="11" t="n">
        <f aca="false">BB21*Inputs!$F$194*BB73</f>
        <v>0</v>
      </c>
      <c r="BC74" s="11" t="n">
        <f aca="false">BC21*Inputs!$F$194*BC73</f>
        <v>0</v>
      </c>
      <c r="BD74" s="11" t="n">
        <f aca="false">BD21*Inputs!$F$194*BD73</f>
        <v>0</v>
      </c>
      <c r="BE74" s="11" t="n">
        <f aca="false">BE21*Inputs!$F$194*BE73</f>
        <v>0</v>
      </c>
      <c r="BF74" s="11" t="n">
        <f aca="false">BF21*Inputs!$F$194*BF73</f>
        <v>0</v>
      </c>
      <c r="BG74" s="11" t="n">
        <f aca="false">BG21*Inputs!$F$194*BG73</f>
        <v>0</v>
      </c>
      <c r="BH74" s="11" t="n">
        <f aca="false">BH21*Inputs!$F$194*BH73</f>
        <v>0</v>
      </c>
      <c r="BI74" s="11" t="n">
        <f aca="false">BI21*Inputs!$F$194*BI73</f>
        <v>0</v>
      </c>
      <c r="BJ74" s="11" t="n">
        <f aca="false">BJ21*Inputs!$F$194*BJ73</f>
        <v>0</v>
      </c>
      <c r="BK74" s="11" t="n">
        <f aca="false">BK21*Inputs!$F$194*BK73</f>
        <v>0</v>
      </c>
      <c r="BL74" s="11" t="n">
        <f aca="false">BL21*Inputs!$F$194*BL73</f>
        <v>0</v>
      </c>
      <c r="BM74" s="11" t="n">
        <f aca="false">BM21*Inputs!$F$194*BM73</f>
        <v>0</v>
      </c>
      <c r="BN74" s="11" t="n">
        <f aca="false">BN21*Inputs!$F$194*BN73</f>
        <v>0</v>
      </c>
    </row>
    <row r="75" customFormat="false" ht="15" hidden="false" customHeight="false" outlineLevel="0" collapsed="false">
      <c r="D75" s="0" t="s">
        <v>659</v>
      </c>
      <c r="E75" s="0" t="s">
        <v>149</v>
      </c>
      <c r="F75" s="15" t="n">
        <f aca="false">$T$74</f>
        <v>0</v>
      </c>
    </row>
    <row r="76" customFormat="false" ht="15" hidden="false" customHeight="false" outlineLevel="0" collapsed="false">
      <c r="D76" s="0" t="s">
        <v>660</v>
      </c>
      <c r="E76" s="0" t="s">
        <v>149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661</v>
      </c>
      <c r="E77" s="0" t="s">
        <v>149</v>
      </c>
      <c r="G77" s="11" t="n">
        <f aca="false">SUM(J77:BN77)</f>
        <v>146.796485712131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5.8860916242827</v>
      </c>
      <c r="Q77" s="11" t="n">
        <f aca="false">Q73-Q74+Q76</f>
        <v>6.1352012052429</v>
      </c>
      <c r="R77" s="11" t="n">
        <f aca="false">R73-R74+R76</f>
        <v>6.43741331126344</v>
      </c>
      <c r="S77" s="11" t="n">
        <f aca="false">S73-S74+S76</f>
        <v>6.62711346727376</v>
      </c>
      <c r="T77" s="11" t="n">
        <f aca="false">T73-T74+T76</f>
        <v>6.93195831194939</v>
      </c>
      <c r="U77" s="11" t="n">
        <f aca="false">U73-U74+U76</f>
        <v>7.1530306656546</v>
      </c>
      <c r="V77" s="11" t="n">
        <f aca="false">V73-V74+V76</f>
        <v>7.62033310526354</v>
      </c>
      <c r="W77" s="11" t="n">
        <f aca="false">W73-W74+W76</f>
        <v>7.85328201145828</v>
      </c>
      <c r="X77" s="11" t="n">
        <f aca="false">X73-X74+X76</f>
        <v>7.63529270357921</v>
      </c>
      <c r="Y77" s="11" t="n">
        <f aca="false">Y73-Y74+Y76</f>
        <v>7.63888548655323</v>
      </c>
      <c r="Z77" s="11" t="n">
        <f aca="false">Z73-Z74+Z76</f>
        <v>7.9553488901545</v>
      </c>
      <c r="AA77" s="11" t="n">
        <f aca="false">AA73-AA74+AA76</f>
        <v>8.18750591588019</v>
      </c>
      <c r="AB77" s="11" t="n">
        <f aca="false">AB73-AB74+AB76</f>
        <v>8.22701492338231</v>
      </c>
      <c r="AC77" s="11" t="n">
        <f aca="false">AC73-AC74+AC76</f>
        <v>8.05210030210427</v>
      </c>
      <c r="AD77" s="11" t="n">
        <f aca="false">AD73-AD74+AD76</f>
        <v>8.3108374796643</v>
      </c>
      <c r="AE77" s="11" t="n">
        <f aca="false">AE73-AE74+AE76</f>
        <v>8.08494157069007</v>
      </c>
      <c r="AF77" s="11" t="n">
        <f aca="false">AF73-AF74+AF76</f>
        <v>7.67060370472624</v>
      </c>
      <c r="AG77" s="11" t="n">
        <f aca="false">AG73-AG74+AG76</f>
        <v>6.8711074565944</v>
      </c>
      <c r="AH77" s="11" t="n">
        <f aca="false">AH73-AH74+AH76</f>
        <v>6.03384479378411</v>
      </c>
      <c r="AI77" s="11" t="n">
        <f aca="false">AI73-AI74+AI76</f>
        <v>4.64702604041193</v>
      </c>
      <c r="AJ77" s="11" t="n">
        <f aca="false">AJ73-AJ74+AJ76</f>
        <v>2.82782556337171</v>
      </c>
      <c r="AK77" s="11" t="n">
        <f aca="false">AK73-AK74+AK76</f>
        <v>0.00972717884607446</v>
      </c>
      <c r="AL77" s="11" t="n">
        <f aca="false">AL73-AL74+AL76</f>
        <v>0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662</v>
      </c>
      <c r="E78" s="0" t="s">
        <v>149</v>
      </c>
      <c r="G78" s="11" t="n">
        <f aca="false">SUM(J78:BN78)</f>
        <v>0</v>
      </c>
      <c r="J78" s="11" t="n">
        <f aca="false">J23*Inputs!$F$191*(J70-J77)/(J25-J32+J40-J47+J55-J62+J70-J77+J85-J92+0.000000001)</f>
        <v>0</v>
      </c>
      <c r="K78" s="11" t="n">
        <f aca="false">K23*Inputs!$F$191*(K70-K77)/(K25-K32+K40-K47+K55-K62+K70-K77+K85-K92+0.000000001)</f>
        <v>0</v>
      </c>
      <c r="L78" s="11" t="n">
        <f aca="false">L23*Inputs!$F$191*(L70-L77)/(L25-L32+L40-L47+L55-L62+L70-L77+L85-L92+0.000000001)</f>
        <v>0</v>
      </c>
      <c r="M78" s="11" t="n">
        <f aca="false">M23*Inputs!$F$191*(M70-M77)/(M25-M32+M40-M47+M55-M62+M70-M77+M85-M92+0.000000001)</f>
        <v>0</v>
      </c>
      <c r="N78" s="11" t="n">
        <f aca="false">N23*Inputs!$F$191*(N70-N77)/(N25-N32+N40-N47+N55-N62+N70-N77+N85-N92+0.000000001)</f>
        <v>0</v>
      </c>
      <c r="O78" s="11" t="n">
        <f aca="false">O23*Inputs!$F$191*(O70-O77)/(O25-O32+O40-O47+O55-O62+O70-O77+O85-O92+0.000000001)</f>
        <v>0</v>
      </c>
      <c r="P78" s="11" t="n">
        <f aca="false">P23*Inputs!$F$191*(P70-P77)/(P25-P32+P40-P47+P55-P62+P70-P77+P85-P92+0.000000001)</f>
        <v>0</v>
      </c>
      <c r="Q78" s="11" t="n">
        <f aca="false">Q23*Inputs!$F$191*(Q70-Q77)/(Q25-Q32+Q40-Q47+Q55-Q62+Q70-Q77+Q85-Q92+0.000000001)</f>
        <v>0</v>
      </c>
      <c r="R78" s="11" t="n">
        <f aca="false">R23*Inputs!$F$191*(R70-R77)/(R25-R32+R40-R47+R55-R62+R70-R77+R85-R92+0.000000001)</f>
        <v>0</v>
      </c>
      <c r="S78" s="11" t="n">
        <f aca="false">S23*Inputs!$F$191*(S70-S77)/(S25-S32+S40-S47+S55-S62+S70-S77+S85-S92+0.000000001)</f>
        <v>0</v>
      </c>
      <c r="T78" s="11" t="n">
        <f aca="false">T23*Inputs!$F$191*(T70-T77)/(T25-T32+T40-T47+T55-T62+T70-T77+T85-T92+0.000000001)</f>
        <v>0</v>
      </c>
      <c r="U78" s="11" t="n">
        <f aca="false">U23*Inputs!$F$191*(U70-U77)/(U25-U32+U40-U47+U55-U62+U70-U77+U85-U92+0.000000001)</f>
        <v>0</v>
      </c>
      <c r="V78" s="11" t="n">
        <f aca="false">V23*Inputs!$F$191*(V70-V77)/(V25-V32+V40-V47+V55-V62+V70-V77+V85-V92+0.000000001)</f>
        <v>0</v>
      </c>
      <c r="W78" s="11" t="n">
        <f aca="false">W23*Inputs!$F$191*(W70-W77)/(W25-W32+W40-W47+W55-W62+W70-W77+W85-W92+0.000000001)</f>
        <v>0</v>
      </c>
      <c r="X78" s="11" t="n">
        <f aca="false">X23*Inputs!$F$191*(X70-X77)/(X25-X32+X40-X47+X55-X62+X70-X77+X85-X92+0.000000001)</f>
        <v>0</v>
      </c>
      <c r="Y78" s="11" t="n">
        <f aca="false">Y23*Inputs!$F$191*(Y70-Y77)/(Y25-Y32+Y40-Y47+Y55-Y62+Y70-Y77+Y85-Y92+0.000000001)</f>
        <v>0</v>
      </c>
      <c r="Z78" s="11" t="n">
        <f aca="false">Z23*Inputs!$F$191*(Z70-Z77)/(Z25-Z32+Z40-Z47+Z55-Z62+Z70-Z77+Z85-Z92+0.000000001)</f>
        <v>0</v>
      </c>
      <c r="AA78" s="11" t="n">
        <f aca="false">AA23*Inputs!$F$191*(AA70-AA77)/(AA25-AA32+AA40-AA47+AA55-AA62+AA70-AA77+AA85-AA92+0.000000001)</f>
        <v>0</v>
      </c>
      <c r="AB78" s="11" t="n">
        <f aca="false">AB23*Inputs!$F$191*(AB70-AB77)/(AB25-AB32+AB40-AB47+AB55-AB62+AB70-AB77+AB85-AB92+0.000000001)</f>
        <v>0</v>
      </c>
      <c r="AC78" s="11" t="n">
        <f aca="false">AC23*Inputs!$F$191*(AC70-AC77)/(AC25-AC32+AC40-AC47+AC55-AC62+AC70-AC77+AC85-AC92+0.000000001)</f>
        <v>0</v>
      </c>
      <c r="AD78" s="11" t="n">
        <f aca="false">AD23*Inputs!$F$191*(AD70-AD77)/(AD25-AD32+AD40-AD47+AD55-AD62+AD70-AD77+AD85-AD92+0.000000001)</f>
        <v>0</v>
      </c>
      <c r="AE78" s="11" t="n">
        <f aca="false">AE23*Inputs!$F$191*(AE70-AE77)/(AE25-AE32+AE40-AE47+AE55-AE62+AE70-AE77+AE85-AE92+0.000000001)</f>
        <v>0</v>
      </c>
      <c r="AF78" s="11" t="n">
        <f aca="false">AF23*Inputs!$F$191*(AF70-AF77)/(AF25-AF32+AF40-AF47+AF55-AF62+AF70-AF77+AF85-AF92+0.000000001)</f>
        <v>0</v>
      </c>
      <c r="AG78" s="11" t="n">
        <f aca="false">AG23*Inputs!$F$191*(AG70-AG77)/(AG25-AG32+AG40-AG47+AG55-AG62+AG70-AG77+AG85-AG92+0.000000001)</f>
        <v>0</v>
      </c>
      <c r="AH78" s="11" t="n">
        <f aca="false">AH23*Inputs!$F$191*(AH70-AH77)/(AH25-AH32+AH40-AH47+AH55-AH62+AH70-AH77+AH85-AH92+0.000000001)</f>
        <v>0</v>
      </c>
      <c r="AI78" s="11" t="n">
        <f aca="false">AI23*Inputs!$F$191*(AI70-AI77)/(AI25-AI32+AI40-AI47+AI55-AI62+AI70-AI77+AI85-AI92+0.000000001)</f>
        <v>0</v>
      </c>
      <c r="AJ78" s="11" t="n">
        <f aca="false">AJ23*Inputs!$F$191*(AJ70-AJ77)/(AJ25-AJ32+AJ40-AJ47+AJ55-AJ62+AJ70-AJ77+AJ85-AJ92+0.000000001)</f>
        <v>0</v>
      </c>
      <c r="AK78" s="11" t="n">
        <f aca="false">AK23*Inputs!$F$191*(AK70-AK77)/(AK25-AK32+AK40-AK47+AK55-AK62+AK70-AK77+AK85-AK92+0.000000001)</f>
        <v>0</v>
      </c>
      <c r="AL78" s="11" t="n">
        <f aca="false">AL23*Inputs!$F$191*(AL70-AL77)/(AL25-AL32+AL40-AL47+AL55-AL62+AL70-AL77+AL85-AL92+0.000000001)</f>
        <v>0</v>
      </c>
      <c r="AM78" s="11" t="n">
        <f aca="false">AM23*Inputs!$F$191*(AM70-AM77)/(AM25-AM32+AM40-AM47+AM55-AM62+AM70-AM77+AM85-AM92+0.000000001)</f>
        <v>0</v>
      </c>
      <c r="AN78" s="11" t="n">
        <f aca="false">AN23*Inputs!$F$191*(AN70-AN77)/(AN25-AN32+AN40-AN47+AN55-AN62+AN70-AN77+AN85-AN92+0.000000001)</f>
        <v>0</v>
      </c>
      <c r="AO78" s="11" t="n">
        <f aca="false">AO23*Inputs!$F$191*(AO70-AO77)/(AO25-AO32+AO40-AO47+AO55-AO62+AO70-AO77+AO85-AO92+0.000000001)</f>
        <v>0</v>
      </c>
      <c r="AP78" s="11" t="n">
        <f aca="false">AP23*Inputs!$F$191*(AP70-AP77)/(AP25-AP32+AP40-AP47+AP55-AP62+AP70-AP77+AP85-AP92+0.000000001)</f>
        <v>0</v>
      </c>
      <c r="AQ78" s="11" t="n">
        <f aca="false">AQ23*Inputs!$F$191*(AQ70-AQ77)/(AQ25-AQ32+AQ40-AQ47+AQ55-AQ62+AQ70-AQ77+AQ85-AQ92+0.000000001)</f>
        <v>0</v>
      </c>
      <c r="AR78" s="11" t="n">
        <f aca="false">AR23*Inputs!$F$191*(AR70-AR77)/(AR25-AR32+AR40-AR47+AR55-AR62+AR70-AR77+AR85-AR92+0.000000001)</f>
        <v>0</v>
      </c>
      <c r="AS78" s="11" t="n">
        <f aca="false">AS23*Inputs!$F$191*(AS70-AS77)/(AS25-AS32+AS40-AS47+AS55-AS62+AS70-AS77+AS85-AS92+0.000000001)</f>
        <v>0</v>
      </c>
      <c r="AT78" s="11" t="n">
        <f aca="false">AT23*Inputs!$F$191*(AT70-AT77)/(AT25-AT32+AT40-AT47+AT55-AT62+AT70-AT77+AT85-AT92+0.000000001)</f>
        <v>0</v>
      </c>
      <c r="AU78" s="11" t="n">
        <f aca="false">AU23*Inputs!$F$191*(AU70-AU77)/(AU25-AU32+AU40-AU47+AU55-AU62+AU70-AU77+AU85-AU92+0.000000001)</f>
        <v>0</v>
      </c>
      <c r="AV78" s="11" t="n">
        <f aca="false">AV23*Inputs!$F$191*(AV70-AV77)/(AV25-AV32+AV40-AV47+AV55-AV62+AV70-AV77+AV85-AV92+0.000000001)</f>
        <v>0</v>
      </c>
      <c r="AW78" s="11" t="n">
        <f aca="false">AW23*Inputs!$F$191*(AW70-AW77)/(AW25-AW32+AW40-AW47+AW55-AW62+AW70-AW77+AW85-AW92+0.000000001)</f>
        <v>0</v>
      </c>
      <c r="AX78" s="11" t="n">
        <f aca="false">AX23*Inputs!$F$191*(AX70-AX77)/(AX25-AX32+AX40-AX47+AX55-AX62+AX70-AX77+AX85-AX92+0.000000001)</f>
        <v>0</v>
      </c>
      <c r="AY78" s="11" t="n">
        <f aca="false">AY23*Inputs!$F$191*(AY70-AY77)/(AY25-AY32+AY40-AY47+AY55-AY62+AY70-AY77+AY85-AY92+0.000000001)</f>
        <v>0</v>
      </c>
      <c r="AZ78" s="11" t="n">
        <f aca="false">AZ23*Inputs!$F$191*(AZ70-AZ77)/(AZ25-AZ32+AZ40-AZ47+AZ55-AZ62+AZ70-AZ77+AZ85-AZ92+0.000000001)</f>
        <v>0</v>
      </c>
      <c r="BA78" s="11" t="n">
        <f aca="false">BA23*Inputs!$F$191*(BA70-BA77)/(BA25-BA32+BA40-BA47+BA55-BA62+BA70-BA77+BA85-BA92+0.000000001)</f>
        <v>0</v>
      </c>
      <c r="BB78" s="11" t="n">
        <f aca="false">BB23*Inputs!$F$191*(BB70-BB77)/(BB25-BB32+BB40-BB47+BB55-BB62+BB70-BB77+BB85-BB92+0.000000001)</f>
        <v>0</v>
      </c>
      <c r="BC78" s="11" t="n">
        <f aca="false">BC23*Inputs!$F$191*(BC70-BC77)/(BC25-BC32+BC40-BC47+BC55-BC62+BC70-BC77+BC85-BC92+0.000000001)</f>
        <v>0</v>
      </c>
      <c r="BD78" s="11" t="n">
        <f aca="false">BD23*Inputs!$F$191*(BD70-BD77)/(BD25-BD32+BD40-BD47+BD55-BD62+BD70-BD77+BD85-BD92+0.000000001)</f>
        <v>0</v>
      </c>
      <c r="BE78" s="11" t="n">
        <f aca="false">BE23*Inputs!$F$191*(BE70-BE77)/(BE25-BE32+BE40-BE47+BE55-BE62+BE70-BE77+BE85-BE92+0.000000001)</f>
        <v>0</v>
      </c>
      <c r="BF78" s="11" t="n">
        <f aca="false">BF23*Inputs!$F$191*(BF70-BF77)/(BF25-BF32+BF40-BF47+BF55-BF62+BF70-BF77+BF85-BF92+0.000000001)</f>
        <v>0</v>
      </c>
      <c r="BG78" s="11" t="n">
        <f aca="false">BG23*Inputs!$F$191*(BG70-BG77)/(BG25-BG32+BG40-BG47+BG55-BG62+BG70-BG77+BG85-BG92+0.000000001)</f>
        <v>0</v>
      </c>
      <c r="BH78" s="11" t="n">
        <f aca="false">BH23*Inputs!$F$191*(BH70-BH77)/(BH25-BH32+BH40-BH47+BH55-BH62+BH70-BH77+BH85-BH92+0.000000001)</f>
        <v>0</v>
      </c>
      <c r="BI78" s="11" t="n">
        <f aca="false">BI23*Inputs!$F$191*(BI70-BI77)/(BI25-BI32+BI40-BI47+BI55-BI62+BI70-BI77+BI85-BI92+0.000000001)</f>
        <v>0</v>
      </c>
      <c r="BJ78" s="11" t="n">
        <f aca="false">BJ23*Inputs!$F$191*(BJ70-BJ77)/(BJ25-BJ32+BJ40-BJ47+BJ55-BJ62+BJ70-BJ77+BJ85-BJ92+0.000000001)</f>
        <v>0</v>
      </c>
      <c r="BK78" s="11" t="n">
        <f aca="false">BK23*Inputs!$F$191*(BK70-BK77)/(BK25-BK32+BK40-BK47+BK55-BK62+BK70-BK77+BK85-BK92+0.000000001)</f>
        <v>0</v>
      </c>
      <c r="BL78" s="11" t="n">
        <f aca="false">BL23*Inputs!$F$191*(BL70-BL77)/(BL25-BL32+BL40-BL47+BL55-BL62+BL70-BL77+BL85-BL92+0.000000001)</f>
        <v>0</v>
      </c>
      <c r="BM78" s="11" t="n">
        <f aca="false">BM23*Inputs!$F$191*(BM70-BM77)/(BM25-BM32+BM40-BM47+BM55-BM62+BM70-BM77+BM85-BM92+0.000000001)</f>
        <v>0</v>
      </c>
      <c r="BN78" s="11" t="n">
        <f aca="false">BN23*Inputs!$F$191*(BN70-BN77)/(BN25-BN32+BN40-BN47+BN55-BN62+BN70-BN77+BN85-BN92+0.000000001)</f>
        <v>0</v>
      </c>
    </row>
    <row r="79" customFormat="false" ht="15" hidden="false" customHeight="false" outlineLevel="0" collapsed="false">
      <c r="D79" s="0" t="s">
        <v>663</v>
      </c>
      <c r="E79" s="0" t="s">
        <v>149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664</v>
      </c>
      <c r="E80" s="0" t="s">
        <v>149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665</v>
      </c>
      <c r="E81" s="0" t="s">
        <v>149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234.751179081972</v>
      </c>
      <c r="Q81" s="11" t="n">
        <f aca="false">Q70-Q77-Q78-Q79</f>
        <v>228.615977876729</v>
      </c>
      <c r="R81" s="11" t="n">
        <f aca="false">R70-R77-R78-R79</f>
        <v>222.178564565465</v>
      </c>
      <c r="S81" s="11" t="n">
        <f aca="false">S70-S77-S78-S79</f>
        <v>215.551451098191</v>
      </c>
      <c r="T81" s="11" t="n">
        <f aca="false">T70-T77-T78-T79</f>
        <v>208.619492786242</v>
      </c>
      <c r="U81" s="11" t="n">
        <f aca="false">U70-U77-U78-U79</f>
        <v>201.466462120587</v>
      </c>
      <c r="V81" s="11" t="n">
        <f aca="false">V70-V77-V78-V79</f>
        <v>193.846129015324</v>
      </c>
      <c r="W81" s="11" t="n">
        <f aca="false">W70-W77-W78-W79</f>
        <v>185.992847003866</v>
      </c>
      <c r="X81" s="11" t="n">
        <f aca="false">X70-X77-X78-X79</f>
        <v>178.357554300286</v>
      </c>
      <c r="Y81" s="11" t="n">
        <f aca="false">Y70-Y77-Y78-Y79</f>
        <v>170.718668813733</v>
      </c>
      <c r="Z81" s="11" t="n">
        <f aca="false">Z70-Z77-Z78-Z79</f>
        <v>162.763319923579</v>
      </c>
      <c r="AA81" s="11" t="n">
        <f aca="false">AA70-AA77-AA78-AA79</f>
        <v>154.575814007698</v>
      </c>
      <c r="AB81" s="11" t="n">
        <f aca="false">AB70-AB77-AB78-AB79</f>
        <v>140.012663293398</v>
      </c>
      <c r="AC81" s="11" t="n">
        <f aca="false">AC70-AC77-AC78-AC79</f>
        <v>124.589540008718</v>
      </c>
      <c r="AD81" s="11" t="n">
        <f aca="false">AD70-AD77-AD78-AD79</f>
        <v>109.456154076271</v>
      </c>
      <c r="AE81" s="11" t="n">
        <f aca="false">AE70-AE77-AE78-AE79</f>
        <v>94.0080841742207</v>
      </c>
      <c r="AF81" s="11" t="n">
        <f aca="false">AF70-AF77-AF78-AF79</f>
        <v>78.4968372879502</v>
      </c>
      <c r="AG81" s="11" t="n">
        <f aca="false">AG70-AG77-AG78-AG79</f>
        <v>62.1558497302507</v>
      </c>
      <c r="AH81" s="11" t="n">
        <f aca="false">AH70-AH77-AH78-AH79</f>
        <v>45.93903139323</v>
      </c>
      <c r="AI81" s="11" t="n">
        <f aca="false">AI70-AI77-AI78-AI79</f>
        <v>29.7241548629776</v>
      </c>
      <c r="AJ81" s="11" t="n">
        <f aca="false">AJ70-AJ77-AJ78-AJ79</f>
        <v>14.427004775517</v>
      </c>
      <c r="AK81" s="11" t="n">
        <f aca="false">AK70-AK77-AK78-AK79</f>
        <v>0.0383430101416391</v>
      </c>
      <c r="AL81" s="11" t="n">
        <f aca="false">AL70-AL77-AL78-AL79</f>
        <v>0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666</v>
      </c>
      <c r="E82" s="0" t="s">
        <v>149</v>
      </c>
      <c r="G82" s="11" t="n">
        <f aca="false">SUM(J82:BN82)</f>
        <v>93.8407849941231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6.3361357909179</v>
      </c>
      <c r="AB82" s="11" t="n">
        <f aca="false">Waterfall!AB28*AB81/(AB36+AB51+AB66+AB81+AB96+0.000000001)+Waterfall!AB29</f>
        <v>7.37102298257586</v>
      </c>
      <c r="AC82" s="11" t="n">
        <f aca="false">Waterfall!AC28*AC81/(AC36+AC51+AC66+AC81+AC96+0.000000001)+Waterfall!AC29</f>
        <v>6.82254845278294</v>
      </c>
      <c r="AD82" s="11" t="n">
        <f aca="false">Waterfall!AD28*AD81/(AD36+AD51+AD66+AD81+AD96+0.000000001)+Waterfall!AD29</f>
        <v>7.36312833136017</v>
      </c>
      <c r="AE82" s="11" t="n">
        <f aca="false">Waterfall!AE28*AE81/(AE36+AE51+AE66+AE81+AE96+0.000000001)+Waterfall!AE29</f>
        <v>7.8406431815442</v>
      </c>
      <c r="AF82" s="11" t="n">
        <f aca="false">Waterfall!AF28*AF81/(AF36+AF51+AF66+AF81+AF96+0.000000001)+Waterfall!AF29</f>
        <v>9.46988010110519</v>
      </c>
      <c r="AG82" s="11" t="n">
        <f aca="false">Waterfall!AG28*AG81/(AG36+AG51+AG66+AG81+AG96+0.000000001)+Waterfall!AG29</f>
        <v>10.1829735432366</v>
      </c>
      <c r="AH82" s="11" t="n">
        <f aca="false">Waterfall!AH28*AH81/(AH36+AH51+AH66+AH81+AH96+0.000000001)+Waterfall!AH29</f>
        <v>11.5678504898404</v>
      </c>
      <c r="AI82" s="11" t="n">
        <f aca="false">Waterfall!AI28*AI81/(AI36+AI51+AI66+AI81+AI96+0.000000001)+Waterfall!AI29</f>
        <v>12.4693245240889</v>
      </c>
      <c r="AJ82" s="11" t="n">
        <f aca="false">Waterfall!AJ28*AJ81/(AJ36+AJ51+AJ66+AJ81+AJ96+0.000000001)+Waterfall!AJ29</f>
        <v>14.3789345865293</v>
      </c>
      <c r="AK82" s="11" t="n">
        <f aca="false">Waterfall!AK28*AK81/(AK36+AK51+AK66+AK81+AK96+0.000000001)+Waterfall!AK29</f>
        <v>0.0383430101416391</v>
      </c>
      <c r="AL82" s="11" t="n">
        <f aca="false">Waterfall!AL28*AL81/(AL36+AL51+AL66+AL81+AL96+0.000000001)+Waterfall!AL29</f>
        <v>0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667</v>
      </c>
      <c r="E83" s="0" t="s">
        <v>149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240.637270706254</v>
      </c>
      <c r="P83" s="11" t="n">
        <f aca="false">IF(Time!P29=1,INDEX(Funding!$J$64:$BJ$64,1,Time!$F$13),Time!P30*(P81-P82))</f>
        <v>234.751179081972</v>
      </c>
      <c r="Q83" s="11" t="n">
        <f aca="false">IF(Time!Q29=1,INDEX(Funding!$J$64:$BJ$64,1,Time!$F$13),Time!Q30*(Q81-Q82))</f>
        <v>228.615977876729</v>
      </c>
      <c r="R83" s="11" t="n">
        <f aca="false">IF(Time!R29=1,INDEX(Funding!$J$64:$BJ$64,1,Time!$F$13),Time!R30*(R81-R82))</f>
        <v>222.178564565465</v>
      </c>
      <c r="S83" s="11" t="n">
        <f aca="false">IF(Time!S29=1,INDEX(Funding!$J$64:$BJ$64,1,Time!$F$13),Time!S30*(S81-S82))</f>
        <v>215.551451098191</v>
      </c>
      <c r="T83" s="11" t="n">
        <f aca="false">IF(Time!T29=1,INDEX(Funding!$J$64:$BJ$64,1,Time!$F$13),Time!T30*(T81-T82))</f>
        <v>208.619492786242</v>
      </c>
      <c r="U83" s="11" t="n">
        <f aca="false">IF(Time!U29=1,INDEX(Funding!$J$64:$BJ$64,1,Time!$F$13),Time!U30*(U81-U82))</f>
        <v>201.466462120587</v>
      </c>
      <c r="V83" s="11" t="n">
        <f aca="false">IF(Time!V29=1,INDEX(Funding!$J$64:$BJ$64,1,Time!$F$13),Time!V30*(V81-V82))</f>
        <v>193.846129015324</v>
      </c>
      <c r="W83" s="11" t="n">
        <f aca="false">IF(Time!W29=1,INDEX(Funding!$J$64:$BJ$64,1,Time!$F$13),Time!W30*(W81-W82))</f>
        <v>185.992847003866</v>
      </c>
      <c r="X83" s="11" t="n">
        <f aca="false">IF(Time!X29=1,INDEX(Funding!$J$64:$BJ$64,1,Time!$F$13),Time!X30*(X81-X82))</f>
        <v>178.357554300286</v>
      </c>
      <c r="Y83" s="11" t="n">
        <f aca="false">IF(Time!Y29=1,INDEX(Funding!$J$64:$BJ$64,1,Time!$F$13),Time!Y30*(Y81-Y82))</f>
        <v>170.718668813733</v>
      </c>
      <c r="Z83" s="11" t="n">
        <f aca="false">IF(Time!Z29=1,INDEX(Funding!$J$64:$BJ$64,1,Time!$F$13),Time!Z30*(Z81-Z82))</f>
        <v>162.763319923579</v>
      </c>
      <c r="AA83" s="11" t="n">
        <f aca="false">IF(Time!AA29=1,INDEX(Funding!$J$64:$BJ$64,1,Time!$F$13),Time!AA30*(AA81-AA82))</f>
        <v>148.239678216781</v>
      </c>
      <c r="AB83" s="11" t="n">
        <f aca="false">IF(Time!AB29=1,INDEX(Funding!$J$64:$BJ$64,1,Time!$F$13),Time!AB30*(AB81-AB82))</f>
        <v>132.641640310822</v>
      </c>
      <c r="AC83" s="11" t="n">
        <f aca="false">IF(Time!AC29=1,INDEX(Funding!$J$64:$BJ$64,1,Time!$F$13),Time!AC30*(AC81-AC82))</f>
        <v>117.766991555935</v>
      </c>
      <c r="AD83" s="11" t="n">
        <f aca="false">IF(Time!AD29=1,INDEX(Funding!$J$64:$BJ$64,1,Time!$F$13),Time!AD30*(AD81-AD82))</f>
        <v>102.093025744911</v>
      </c>
      <c r="AE83" s="11" t="n">
        <f aca="false">IF(Time!AE29=1,INDEX(Funding!$J$64:$BJ$64,1,Time!$F$13),Time!AE30*(AE81-AE82))</f>
        <v>86.1674409926765</v>
      </c>
      <c r="AF83" s="11" t="n">
        <f aca="false">IF(Time!AF29=1,INDEX(Funding!$J$64:$BJ$64,1,Time!$F$13),Time!AF30*(AF81-AF82))</f>
        <v>69.0269571868451</v>
      </c>
      <c r="AG83" s="11" t="n">
        <f aca="false">IF(Time!AG29=1,INDEX(Funding!$J$64:$BJ$64,1,Time!$F$13),Time!AG30*(AG81-AG82))</f>
        <v>51.9728761870141</v>
      </c>
      <c r="AH83" s="11" t="n">
        <f aca="false">IF(Time!AH29=1,INDEX(Funding!$J$64:$BJ$64,1,Time!$F$13),Time!AH30*(AH81-AH82))</f>
        <v>34.3711809033896</v>
      </c>
      <c r="AI83" s="11" t="n">
        <f aca="false">IF(Time!AI29=1,INDEX(Funding!$J$64:$BJ$64,1,Time!$F$13),Time!AI30*(AI81-AI82))</f>
        <v>17.2548303388887</v>
      </c>
      <c r="AJ83" s="11" t="n">
        <f aca="false">IF(Time!AJ29=1,INDEX(Funding!$J$64:$BJ$64,1,Time!$F$13),Time!AJ30*(AJ81-AJ82))</f>
        <v>0.0480701889877135</v>
      </c>
      <c r="AK83" s="11" t="n">
        <f aca="false">IF(Time!AK29=1,INDEX(Funding!$J$64:$BJ$64,1,Time!$F$13),Time!AK30*(AK81-AK82))</f>
        <v>0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194</v>
      </c>
    </row>
    <row r="85" customFormat="false" ht="15" hidden="false" customHeight="false" outlineLevel="0" collapsed="false">
      <c r="D85" s="0" t="s">
        <v>654</v>
      </c>
      <c r="E85" s="0" t="s">
        <v>149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1.74223968585352E-011</v>
      </c>
      <c r="Q85" s="11" t="n">
        <f aca="false">Time!Q30*P98</f>
        <v>1.69962375029085E-011</v>
      </c>
      <c r="R85" s="11" t="n">
        <f aca="false">Time!R30*Q98</f>
        <v>1.6552042346061E-011</v>
      </c>
      <c r="S85" s="11" t="n">
        <f aca="false">Time!S30*R98</f>
        <v>1.60859667081431E-011</v>
      </c>
      <c r="T85" s="11" t="n">
        <f aca="false">Time!T30*S98</f>
        <v>1.56061565751802E-011</v>
      </c>
      <c r="U85" s="11" t="n">
        <f aca="false">Time!U30*T98</f>
        <v>1.51042753480405E-011</v>
      </c>
      <c r="V85" s="11" t="n">
        <f aca="false">Time!V30*U98</f>
        <v>1.45863882450471E-011</v>
      </c>
      <c r="W85" s="11" t="n">
        <f aca="false">Time!W30*V98</f>
        <v>1.40346679435141E-011</v>
      </c>
      <c r="X85" s="11" t="n">
        <f aca="false">Time!X30*W98</f>
        <v>1.3466081890971E-011</v>
      </c>
      <c r="Y85" s="11" t="n">
        <f aca="false">Time!Y30*X98</f>
        <v>1.29132784984524E-011</v>
      </c>
      <c r="Z85" s="11" t="n">
        <f aca="false">Time!Z30*Y98</f>
        <v>1.23602149845876E-011</v>
      </c>
      <c r="AA85" s="11" t="n">
        <f aca="false">Time!AA30*Z98</f>
        <v>1.17842391804006E-011</v>
      </c>
      <c r="AB85" s="11" t="n">
        <f aca="false">Time!AB30*AA98</f>
        <v>1.11914549582001E-011</v>
      </c>
      <c r="AC85" s="11" t="n">
        <f aca="false">Time!AC30*AB98</f>
        <v>1.0570350891711E-011</v>
      </c>
      <c r="AD85" s="11" t="n">
        <f aca="false">Time!AD30*AC98</f>
        <v>9.9286706063267E-012</v>
      </c>
      <c r="AE85" s="11" t="n">
        <f aca="false">Time!AE30*AD98</f>
        <v>9.22800256082339E-012</v>
      </c>
      <c r="AF85" s="11" t="n">
        <f aca="false">Time!AF30*AE98</f>
        <v>8.49721942481516E-012</v>
      </c>
      <c r="AG85" s="11" t="n">
        <f aca="false">Time!AG30*AF98</f>
        <v>7.74079911049483E-012</v>
      </c>
      <c r="AH85" s="11" t="n">
        <f aca="false">Time!AH30*AG98</f>
        <v>6.9702615603005E-012</v>
      </c>
      <c r="AI85" s="11" t="n">
        <f aca="false">Time!AI30*AH98</f>
        <v>6.16104183815933E-012</v>
      </c>
      <c r="AJ85" s="11" t="n">
        <f aca="false">Time!AJ30*AI98</f>
        <v>5.32806138460819E-012</v>
      </c>
      <c r="AK85" s="11" t="n">
        <f aca="false">Time!AK30*AJ98</f>
        <v>4.45486658114198E-012</v>
      </c>
      <c r="AL85" s="11" t="n">
        <f aca="false">Time!AL30*AK98</f>
        <v>3.55340800811153E-012</v>
      </c>
      <c r="AM85" s="11" t="n">
        <f aca="false">Time!AM30*AL98</f>
        <v>2.59755654477251E-012</v>
      </c>
      <c r="AN85" s="11" t="n">
        <f aca="false">Time!AN30*AM98</f>
        <v>1.62183774050692E-012</v>
      </c>
      <c r="AO85" s="11" t="n">
        <f aca="false">Time!AO30*AN98</f>
        <v>8.16881310041973E-013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655</v>
      </c>
      <c r="E86" s="0" t="s">
        <v>149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656</v>
      </c>
      <c r="E87" s="0" t="s">
        <v>149</v>
      </c>
      <c r="G87" s="11" t="n">
        <f aca="false">SUM(J87:BN87)</f>
        <v>1.0768444729834E-011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6.90654784622306E-013</v>
      </c>
      <c r="Q87" s="11" t="n">
        <f aca="false">Q85*Q14</f>
        <v>6.64598839154006E-013</v>
      </c>
      <c r="R87" s="11" t="n">
        <f aca="false">R85*R14</f>
        <v>6.57957170105244E-013</v>
      </c>
      <c r="S87" s="11" t="n">
        <f aca="false">S85*S14</f>
        <v>6.29867474412953E-013</v>
      </c>
      <c r="T87" s="11" t="n">
        <f aca="false">T85*T14</f>
        <v>6.21208264527241E-013</v>
      </c>
      <c r="U87" s="11" t="n">
        <f aca="false">U85*U14</f>
        <v>5.9469559851995E-013</v>
      </c>
      <c r="V87" s="11" t="n">
        <f aca="false">V85*V14</f>
        <v>5.80616046223515E-013</v>
      </c>
      <c r="W87" s="11" t="n">
        <f aca="false">W85*W14</f>
        <v>5.49546136218885E-013</v>
      </c>
      <c r="X87" s="11" t="n">
        <f aca="false">X85*X14</f>
        <v>5.36021878364063E-013</v>
      </c>
      <c r="Y87" s="11" t="n">
        <f aca="false">Y85*Y14</f>
        <v>5.27278335535825E-013</v>
      </c>
      <c r="Z87" s="11" t="n">
        <f aca="false">Z85*Z14</f>
        <v>5.13060621580985E-013</v>
      </c>
      <c r="AA87" s="11" t="n">
        <f aca="false">AA85*AA14</f>
        <v>4.8117710938724E-013</v>
      </c>
      <c r="AB87" s="11" t="n">
        <f aca="false">AB85*AB14</f>
        <v>4.6454651835826E-013</v>
      </c>
      <c r="AC87" s="11" t="n">
        <f aca="false">AC85*AC14</f>
        <v>4.33995900933962E-013</v>
      </c>
      <c r="AD87" s="11" t="n">
        <f aca="false">AD85*AD14</f>
        <v>4.12129555926556E-013</v>
      </c>
      <c r="AE87" s="11" t="n">
        <f aca="false">AE85*AE14</f>
        <v>3.76800193008649E-013</v>
      </c>
      <c r="AF87" s="11" t="n">
        <f aca="false">AF85*AF14</f>
        <v>3.52711395816483E-013</v>
      </c>
      <c r="AG87" s="11" t="n">
        <f aca="false">AG85*AG14</f>
        <v>3.29047322070231E-013</v>
      </c>
      <c r="AH87" s="11" t="n">
        <f aca="false">AH85*AH14</f>
        <v>3.01204105700416E-013</v>
      </c>
      <c r="AI87" s="11" t="n">
        <f aca="false">AI85*AI14</f>
        <v>2.61894707390151E-013</v>
      </c>
      <c r="AJ87" s="11" t="n">
        <f aca="false">AJ85*AJ14</f>
        <v>2.30240135263826E-013</v>
      </c>
      <c r="AK87" s="11" t="n">
        <f aca="false">AK85*AK14</f>
        <v>1.9041452727281E-013</v>
      </c>
      <c r="AL87" s="11" t="n">
        <f aca="false">AL85*AL14</f>
        <v>1.53552499000596E-013</v>
      </c>
      <c r="AM87" s="11" t="n">
        <f aca="false">AM85*AM14</f>
        <v>1.1041741463418E-013</v>
      </c>
      <c r="AN87" s="11" t="n">
        <f aca="false">AN85*AN14</f>
        <v>7.00840538040743E-014</v>
      </c>
      <c r="AO87" s="11" t="n">
        <f aca="false">AO85*AO14</f>
        <v>3.47241420015809E-014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657</v>
      </c>
      <c r="E88" s="0" t="s">
        <v>149</v>
      </c>
      <c r="G88" s="11" t="n">
        <f aca="false">SUM(J88:BN88)</f>
        <v>1.74223968585352E-011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4.26159355626734E-013</v>
      </c>
      <c r="Q88" s="11" t="n">
        <f aca="false">Time!Q30*(Q85-Q86)*Q19</f>
        <v>4.44195156847443E-013</v>
      </c>
      <c r="R88" s="11" t="n">
        <f aca="false">Time!R30*(R85-R86)*R19</f>
        <v>4.66075637917937E-013</v>
      </c>
      <c r="S88" s="11" t="n">
        <f aca="false">Time!S30*(S85-S86)*S19</f>
        <v>4.79810132962856E-013</v>
      </c>
      <c r="T88" s="11" t="n">
        <f aca="false">Time!T30*(T85-T86)*T19</f>
        <v>5.01881227139704E-013</v>
      </c>
      <c r="U88" s="11" t="n">
        <f aca="false">Time!U30*(U85-U86)*U19</f>
        <v>5.17887102993425E-013</v>
      </c>
      <c r="V88" s="11" t="n">
        <f aca="false">Time!V30*(V85-V86)*V19</f>
        <v>5.5172030153301E-013</v>
      </c>
      <c r="W88" s="11" t="n">
        <f aca="false">Time!W30*(W85-W86)*W19</f>
        <v>5.68586052543131E-013</v>
      </c>
      <c r="X88" s="11" t="n">
        <f aca="false">Time!X30*(X85-X86)*X19</f>
        <v>5.52803392518604E-013</v>
      </c>
      <c r="Y88" s="11" t="n">
        <f aca="false">Time!Y30*(Y85-Y86)*Y19</f>
        <v>5.53063513864796E-013</v>
      </c>
      <c r="Z88" s="11" t="n">
        <f aca="false">Time!Z30*(Z85-Z86)*Z19</f>
        <v>5.75975804186915E-013</v>
      </c>
      <c r="AA88" s="11" t="n">
        <f aca="false">Time!AA30*(AA85-AA86)*AA19</f>
        <v>5.92784222200547E-013</v>
      </c>
      <c r="AB88" s="11" t="n">
        <f aca="false">Time!AB30*(AB85-AB86)*AB19</f>
        <v>6.21104066489067E-013</v>
      </c>
      <c r="AC88" s="11" t="n">
        <f aca="false">Time!AC30*(AC85-AC86)*AC19</f>
        <v>6.41680285384333E-013</v>
      </c>
      <c r="AD88" s="11" t="n">
        <f aca="false">Time!AD30*(AD85-AD86)*AD19</f>
        <v>7.00668045503304E-013</v>
      </c>
      <c r="AE88" s="11" t="n">
        <f aca="false">Time!AE30*(AE85-AE86)*AE19</f>
        <v>7.30783136008236E-013</v>
      </c>
      <c r="AF88" s="11" t="n">
        <f aca="false">Time!AF30*(AF85-AF86)*AF19</f>
        <v>7.56420314320331E-013</v>
      </c>
      <c r="AG88" s="11" t="n">
        <f aca="false">Time!AG30*(AG85-AG86)*AG19</f>
        <v>7.70537550194328E-013</v>
      </c>
      <c r="AH88" s="11" t="n">
        <f aca="false">Time!AH30*(AH85-AH86)*AH19</f>
        <v>8.09219722141165E-013</v>
      </c>
      <c r="AI88" s="11" t="n">
        <f aca="false">Time!AI30*(AI85-AI86)*AI19</f>
        <v>8.32980453551142E-013</v>
      </c>
      <c r="AJ88" s="11" t="n">
        <f aca="false">Time!AJ30*(AJ85-AJ86)*AJ19</f>
        <v>8.73194803466208E-013</v>
      </c>
      <c r="AK88" s="11" t="n">
        <f aca="false">Time!AK30*(AK85-AK86)*AK19</f>
        <v>9.01458573030451E-013</v>
      </c>
      <c r="AL88" s="11" t="n">
        <f aca="false">Time!AL30*(AL85-AL86)*AL19</f>
        <v>9.55851463339023E-013</v>
      </c>
      <c r="AM88" s="11" t="n">
        <f aca="false">Time!AM30*(AM85-AM86)*AM19</f>
        <v>9.7571880426559E-013</v>
      </c>
      <c r="AN88" s="11" t="n">
        <f aca="false">Time!AN30*(AN85-AN86)*AN19</f>
        <v>8.04956430464946E-013</v>
      </c>
      <c r="AO88" s="11" t="n">
        <f aca="false">Time!AO30*(AO85-AO86)*AO19</f>
        <v>8.16881310041973E-013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658</v>
      </c>
      <c r="E89" s="0" t="s">
        <v>149</v>
      </c>
      <c r="G89" s="11" t="n">
        <f aca="false">SUM(J89:BN89)</f>
        <v>0</v>
      </c>
      <c r="J89" s="11" t="n">
        <f aca="false">J21*Inputs!$F$194*J88</f>
        <v>0</v>
      </c>
      <c r="K89" s="11" t="n">
        <f aca="false">K21*Inputs!$F$194*K88</f>
        <v>0</v>
      </c>
      <c r="L89" s="11" t="n">
        <f aca="false">L21*Inputs!$F$194*L88</f>
        <v>0</v>
      </c>
      <c r="M89" s="11" t="n">
        <f aca="false">M21*Inputs!$F$194*M88</f>
        <v>0</v>
      </c>
      <c r="N89" s="11" t="n">
        <f aca="false">N21*Inputs!$F$194*N88</f>
        <v>0</v>
      </c>
      <c r="O89" s="11" t="n">
        <f aca="false">O21*Inputs!$F$194*O88</f>
        <v>0</v>
      </c>
      <c r="P89" s="11" t="n">
        <f aca="false">P21*Inputs!$F$194*P88</f>
        <v>0</v>
      </c>
      <c r="Q89" s="11" t="n">
        <f aca="false">Q21*Inputs!$F$194*Q88</f>
        <v>0</v>
      </c>
      <c r="R89" s="11" t="n">
        <f aca="false">R21*Inputs!$F$194*R88</f>
        <v>0</v>
      </c>
      <c r="S89" s="11" t="n">
        <f aca="false">S21*Inputs!$F$194*S88</f>
        <v>0</v>
      </c>
      <c r="T89" s="11" t="n">
        <f aca="false">T21*Inputs!$F$194*T88</f>
        <v>0</v>
      </c>
      <c r="U89" s="11" t="n">
        <f aca="false">U21*Inputs!$F$194*U88</f>
        <v>0</v>
      </c>
      <c r="V89" s="11" t="n">
        <f aca="false">V21*Inputs!$F$194*V88</f>
        <v>0</v>
      </c>
      <c r="W89" s="11" t="n">
        <f aca="false">W21*Inputs!$F$194*W88</f>
        <v>0</v>
      </c>
      <c r="X89" s="11" t="n">
        <f aca="false">X21*Inputs!$F$194*X88</f>
        <v>0</v>
      </c>
      <c r="Y89" s="11" t="n">
        <f aca="false">Y21*Inputs!$F$194*Y88</f>
        <v>0</v>
      </c>
      <c r="Z89" s="11" t="n">
        <f aca="false">Z21*Inputs!$F$194*Z88</f>
        <v>0</v>
      </c>
      <c r="AA89" s="11" t="n">
        <f aca="false">AA21*Inputs!$F$194*AA88</f>
        <v>0</v>
      </c>
      <c r="AB89" s="11" t="n">
        <f aca="false">AB21*Inputs!$F$194*AB88</f>
        <v>0</v>
      </c>
      <c r="AC89" s="11" t="n">
        <f aca="false">AC21*Inputs!$F$194*AC88</f>
        <v>0</v>
      </c>
      <c r="AD89" s="11" t="n">
        <f aca="false">AD21*Inputs!$F$194*AD88</f>
        <v>0</v>
      </c>
      <c r="AE89" s="11" t="n">
        <f aca="false">AE21*Inputs!$F$194*AE88</f>
        <v>0</v>
      </c>
      <c r="AF89" s="11" t="n">
        <f aca="false">AF21*Inputs!$F$194*AF88</f>
        <v>0</v>
      </c>
      <c r="AG89" s="11" t="n">
        <f aca="false">AG21*Inputs!$F$194*AG88</f>
        <v>0</v>
      </c>
      <c r="AH89" s="11" t="n">
        <f aca="false">AH21*Inputs!$F$194*AH88</f>
        <v>0</v>
      </c>
      <c r="AI89" s="11" t="n">
        <f aca="false">AI21*Inputs!$F$194*AI88</f>
        <v>0</v>
      </c>
      <c r="AJ89" s="11" t="n">
        <f aca="false">AJ21*Inputs!$F$194*AJ88</f>
        <v>0</v>
      </c>
      <c r="AK89" s="11" t="n">
        <f aca="false">AK21*Inputs!$F$194*AK88</f>
        <v>0</v>
      </c>
      <c r="AL89" s="11" t="n">
        <f aca="false">AL21*Inputs!$F$194*AL88</f>
        <v>0</v>
      </c>
      <c r="AM89" s="11" t="n">
        <f aca="false">AM21*Inputs!$F$194*AM88</f>
        <v>0</v>
      </c>
      <c r="AN89" s="11" t="n">
        <f aca="false">AN21*Inputs!$F$194*AN88</f>
        <v>0</v>
      </c>
      <c r="AO89" s="11" t="n">
        <f aca="false">AO21*Inputs!$F$194*AO88</f>
        <v>0</v>
      </c>
      <c r="AP89" s="11" t="n">
        <f aca="false">AP21*Inputs!$F$194*AP88</f>
        <v>0</v>
      </c>
      <c r="AQ89" s="11" t="n">
        <f aca="false">AQ21*Inputs!$F$194*AQ88</f>
        <v>0</v>
      </c>
      <c r="AR89" s="11" t="n">
        <f aca="false">AR21*Inputs!$F$194*AR88</f>
        <v>0</v>
      </c>
      <c r="AS89" s="11" t="n">
        <f aca="false">AS21*Inputs!$F$194*AS88</f>
        <v>0</v>
      </c>
      <c r="AT89" s="11" t="n">
        <f aca="false">AT21*Inputs!$F$194*AT88</f>
        <v>0</v>
      </c>
      <c r="AU89" s="11" t="n">
        <f aca="false">AU21*Inputs!$F$194*AU88</f>
        <v>0</v>
      </c>
      <c r="AV89" s="11" t="n">
        <f aca="false">AV21*Inputs!$F$194*AV88</f>
        <v>0</v>
      </c>
      <c r="AW89" s="11" t="n">
        <f aca="false">AW21*Inputs!$F$194*AW88</f>
        <v>0</v>
      </c>
      <c r="AX89" s="11" t="n">
        <f aca="false">AX21*Inputs!$F$194*AX88</f>
        <v>0</v>
      </c>
      <c r="AY89" s="11" t="n">
        <f aca="false">AY21*Inputs!$F$194*AY88</f>
        <v>0</v>
      </c>
      <c r="AZ89" s="11" t="n">
        <f aca="false">AZ21*Inputs!$F$194*AZ88</f>
        <v>0</v>
      </c>
      <c r="BA89" s="11" t="n">
        <f aca="false">BA21*Inputs!$F$194*BA88</f>
        <v>0</v>
      </c>
      <c r="BB89" s="11" t="n">
        <f aca="false">BB21*Inputs!$F$194*BB88</f>
        <v>0</v>
      </c>
      <c r="BC89" s="11" t="n">
        <f aca="false">BC21*Inputs!$F$194*BC88</f>
        <v>0</v>
      </c>
      <c r="BD89" s="11" t="n">
        <f aca="false">BD21*Inputs!$F$194*BD88</f>
        <v>0</v>
      </c>
      <c r="BE89" s="11" t="n">
        <f aca="false">BE21*Inputs!$F$194*BE88</f>
        <v>0</v>
      </c>
      <c r="BF89" s="11" t="n">
        <f aca="false">BF21*Inputs!$F$194*BF88</f>
        <v>0</v>
      </c>
      <c r="BG89" s="11" t="n">
        <f aca="false">BG21*Inputs!$F$194*BG88</f>
        <v>0</v>
      </c>
      <c r="BH89" s="11" t="n">
        <f aca="false">BH21*Inputs!$F$194*BH88</f>
        <v>0</v>
      </c>
      <c r="BI89" s="11" t="n">
        <f aca="false">BI21*Inputs!$F$194*BI88</f>
        <v>0</v>
      </c>
      <c r="BJ89" s="11" t="n">
        <f aca="false">BJ21*Inputs!$F$194*BJ88</f>
        <v>0</v>
      </c>
      <c r="BK89" s="11" t="n">
        <f aca="false">BK21*Inputs!$F$194*BK88</f>
        <v>0</v>
      </c>
      <c r="BL89" s="11" t="n">
        <f aca="false">BL21*Inputs!$F$194*BL88</f>
        <v>0</v>
      </c>
      <c r="BM89" s="11" t="n">
        <f aca="false">BM21*Inputs!$F$194*BM88</f>
        <v>0</v>
      </c>
      <c r="BN89" s="11" t="n">
        <f aca="false">BN21*Inputs!$F$194*BN88</f>
        <v>0</v>
      </c>
    </row>
    <row r="90" customFormat="false" ht="15" hidden="false" customHeight="false" outlineLevel="0" collapsed="false">
      <c r="D90" s="0" t="s">
        <v>659</v>
      </c>
      <c r="E90" s="0" t="s">
        <v>149</v>
      </c>
      <c r="F90" s="15" t="n">
        <f aca="false">$T$89</f>
        <v>0</v>
      </c>
    </row>
    <row r="91" customFormat="false" ht="15" hidden="false" customHeight="false" outlineLevel="0" collapsed="false">
      <c r="D91" s="0" t="s">
        <v>660</v>
      </c>
      <c r="E91" s="0" t="s">
        <v>149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661</v>
      </c>
      <c r="E92" s="0" t="s">
        <v>149</v>
      </c>
      <c r="G92" s="11" t="n">
        <f aca="false">SUM(J92:BN92)</f>
        <v>1.74223968585352E-011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4.26159355626734E-013</v>
      </c>
      <c r="Q92" s="11" t="n">
        <f aca="false">Q88-Q89+Q91</f>
        <v>4.44195156847443E-013</v>
      </c>
      <c r="R92" s="11" t="n">
        <f aca="false">R88-R89+R91</f>
        <v>4.66075637917937E-013</v>
      </c>
      <c r="S92" s="11" t="n">
        <f aca="false">S88-S89+S91</f>
        <v>4.79810132962856E-013</v>
      </c>
      <c r="T92" s="11" t="n">
        <f aca="false">T88-T89+T91</f>
        <v>5.01881227139704E-013</v>
      </c>
      <c r="U92" s="11" t="n">
        <f aca="false">U88-U89+U91</f>
        <v>5.17887102993425E-013</v>
      </c>
      <c r="V92" s="11" t="n">
        <f aca="false">V88-V89+V91</f>
        <v>5.5172030153301E-013</v>
      </c>
      <c r="W92" s="11" t="n">
        <f aca="false">W88-W89+W91</f>
        <v>5.68586052543131E-013</v>
      </c>
      <c r="X92" s="11" t="n">
        <f aca="false">X88-X89+X91</f>
        <v>5.52803392518604E-013</v>
      </c>
      <c r="Y92" s="11" t="n">
        <f aca="false">Y88-Y89+Y91</f>
        <v>5.53063513864796E-013</v>
      </c>
      <c r="Z92" s="11" t="n">
        <f aca="false">Z88-Z89+Z91</f>
        <v>5.75975804186915E-013</v>
      </c>
      <c r="AA92" s="11" t="n">
        <f aca="false">AA88-AA89+AA91</f>
        <v>5.92784222200547E-013</v>
      </c>
      <c r="AB92" s="11" t="n">
        <f aca="false">AB88-AB89+AB91</f>
        <v>6.21104066489067E-013</v>
      </c>
      <c r="AC92" s="11" t="n">
        <f aca="false">AC88-AC89+AC91</f>
        <v>6.41680285384333E-013</v>
      </c>
      <c r="AD92" s="11" t="n">
        <f aca="false">AD88-AD89+AD91</f>
        <v>7.00668045503304E-013</v>
      </c>
      <c r="AE92" s="11" t="n">
        <f aca="false">AE88-AE89+AE91</f>
        <v>7.30783136008236E-013</v>
      </c>
      <c r="AF92" s="11" t="n">
        <f aca="false">AF88-AF89+AF91</f>
        <v>7.56420314320331E-013</v>
      </c>
      <c r="AG92" s="11" t="n">
        <f aca="false">AG88-AG89+AG91</f>
        <v>7.70537550194328E-013</v>
      </c>
      <c r="AH92" s="11" t="n">
        <f aca="false">AH88-AH89+AH91</f>
        <v>8.09219722141165E-013</v>
      </c>
      <c r="AI92" s="11" t="n">
        <f aca="false">AI88-AI89+AI91</f>
        <v>8.32980453551142E-013</v>
      </c>
      <c r="AJ92" s="11" t="n">
        <f aca="false">AJ88-AJ89+AJ91</f>
        <v>8.73194803466208E-013</v>
      </c>
      <c r="AK92" s="11" t="n">
        <f aca="false">AK88-AK89+AK91</f>
        <v>9.01458573030451E-013</v>
      </c>
      <c r="AL92" s="11" t="n">
        <f aca="false">AL88-AL89+AL91</f>
        <v>9.55851463339023E-013</v>
      </c>
      <c r="AM92" s="11" t="n">
        <f aca="false">AM88-AM89+AM91</f>
        <v>9.7571880426559E-013</v>
      </c>
      <c r="AN92" s="11" t="n">
        <f aca="false">AN88-AN89+AN91</f>
        <v>8.04956430464946E-013</v>
      </c>
      <c r="AO92" s="11" t="n">
        <f aca="false">AO88-AO89+AO91</f>
        <v>8.16881310041973E-013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662</v>
      </c>
      <c r="E93" s="0" t="s">
        <v>149</v>
      </c>
      <c r="G93" s="11" t="n">
        <f aca="false">SUM(J93:BN93)</f>
        <v>0</v>
      </c>
      <c r="J93" s="11" t="n">
        <f aca="false">J23*Inputs!$F$191*(J85-J92)/(J25-J32+J40-J47+J55-J62+J70-J77+J85-J92+0.000000001)</f>
        <v>0</v>
      </c>
      <c r="K93" s="11" t="n">
        <f aca="false">K23*Inputs!$F$191*(K85-K92)/(K25-K32+K40-K47+K55-K62+K70-K77+K85-K92+0.000000001)</f>
        <v>0</v>
      </c>
      <c r="L93" s="11" t="n">
        <f aca="false">L23*Inputs!$F$191*(L85-L92)/(L25-L32+L40-L47+L55-L62+L70-L77+L85-L92+0.000000001)</f>
        <v>0</v>
      </c>
      <c r="M93" s="11" t="n">
        <f aca="false">M23*Inputs!$F$191*(M85-M92)/(M25-M32+M40-M47+M55-M62+M70-M77+M85-M92+0.000000001)</f>
        <v>0</v>
      </c>
      <c r="N93" s="11" t="n">
        <f aca="false">N23*Inputs!$F$191*(N85-N92)/(N25-N32+N40-N47+N55-N62+N70-N77+N85-N92+0.000000001)</f>
        <v>0</v>
      </c>
      <c r="O93" s="11" t="n">
        <f aca="false">O23*Inputs!$F$191*(O85-O92)/(O25-O32+O40-O47+O55-O62+O70-O77+O85-O92+0.000000001)</f>
        <v>0</v>
      </c>
      <c r="P93" s="11" t="n">
        <f aca="false">P23*Inputs!$F$191*(P85-P92)/(P25-P32+P40-P47+P55-P62+P70-P77+P85-P92+0.000000001)</f>
        <v>0</v>
      </c>
      <c r="Q93" s="11" t="n">
        <f aca="false">Q23*Inputs!$F$191*(Q85-Q92)/(Q25-Q32+Q40-Q47+Q55-Q62+Q70-Q77+Q85-Q92+0.000000001)</f>
        <v>0</v>
      </c>
      <c r="R93" s="11" t="n">
        <f aca="false">R23*Inputs!$F$191*(R85-R92)/(R25-R32+R40-R47+R55-R62+R70-R77+R85-R92+0.000000001)</f>
        <v>0</v>
      </c>
      <c r="S93" s="11" t="n">
        <f aca="false">S23*Inputs!$F$191*(S85-S92)/(S25-S32+S40-S47+S55-S62+S70-S77+S85-S92+0.000000001)</f>
        <v>0</v>
      </c>
      <c r="T93" s="11" t="n">
        <f aca="false">T23*Inputs!$F$191*(T85-T92)/(T25-T32+T40-T47+T55-T62+T70-T77+T85-T92+0.000000001)</f>
        <v>0</v>
      </c>
      <c r="U93" s="11" t="n">
        <f aca="false">U23*Inputs!$F$191*(U85-U92)/(U25-U32+U40-U47+U55-U62+U70-U77+U85-U92+0.000000001)</f>
        <v>0</v>
      </c>
      <c r="V93" s="11" t="n">
        <f aca="false">V23*Inputs!$F$191*(V85-V92)/(V25-V32+V40-V47+V55-V62+V70-V77+V85-V92+0.000000001)</f>
        <v>0</v>
      </c>
      <c r="W93" s="11" t="n">
        <f aca="false">W23*Inputs!$F$191*(W85-W92)/(W25-W32+W40-W47+W55-W62+W70-W77+W85-W92+0.000000001)</f>
        <v>0</v>
      </c>
      <c r="X93" s="11" t="n">
        <f aca="false">X23*Inputs!$F$191*(X85-X92)/(X25-X32+X40-X47+X55-X62+X70-X77+X85-X92+0.000000001)</f>
        <v>0</v>
      </c>
      <c r="Y93" s="11" t="n">
        <f aca="false">Y23*Inputs!$F$191*(Y85-Y92)/(Y25-Y32+Y40-Y47+Y55-Y62+Y70-Y77+Y85-Y92+0.000000001)</f>
        <v>0</v>
      </c>
      <c r="Z93" s="11" t="n">
        <f aca="false">Z23*Inputs!$F$191*(Z85-Z92)/(Z25-Z32+Z40-Z47+Z55-Z62+Z70-Z77+Z85-Z92+0.000000001)</f>
        <v>0</v>
      </c>
      <c r="AA93" s="11" t="n">
        <f aca="false">AA23*Inputs!$F$191*(AA85-AA92)/(AA25-AA32+AA40-AA47+AA55-AA62+AA70-AA77+AA85-AA92+0.000000001)</f>
        <v>0</v>
      </c>
      <c r="AB93" s="11" t="n">
        <f aca="false">AB23*Inputs!$F$191*(AB85-AB92)/(AB25-AB32+AB40-AB47+AB55-AB62+AB70-AB77+AB85-AB92+0.000000001)</f>
        <v>0</v>
      </c>
      <c r="AC93" s="11" t="n">
        <f aca="false">AC23*Inputs!$F$191*(AC85-AC92)/(AC25-AC32+AC40-AC47+AC55-AC62+AC70-AC77+AC85-AC92+0.000000001)</f>
        <v>0</v>
      </c>
      <c r="AD93" s="11" t="n">
        <f aca="false">AD23*Inputs!$F$191*(AD85-AD92)/(AD25-AD32+AD40-AD47+AD55-AD62+AD70-AD77+AD85-AD92+0.000000001)</f>
        <v>0</v>
      </c>
      <c r="AE93" s="11" t="n">
        <f aca="false">AE23*Inputs!$F$191*(AE85-AE92)/(AE25-AE32+AE40-AE47+AE55-AE62+AE70-AE77+AE85-AE92+0.000000001)</f>
        <v>0</v>
      </c>
      <c r="AF93" s="11" t="n">
        <f aca="false">AF23*Inputs!$F$191*(AF85-AF92)/(AF25-AF32+AF40-AF47+AF55-AF62+AF70-AF77+AF85-AF92+0.000000001)</f>
        <v>0</v>
      </c>
      <c r="AG93" s="11" t="n">
        <f aca="false">AG23*Inputs!$F$191*(AG85-AG92)/(AG25-AG32+AG40-AG47+AG55-AG62+AG70-AG77+AG85-AG92+0.000000001)</f>
        <v>0</v>
      </c>
      <c r="AH93" s="11" t="n">
        <f aca="false">AH23*Inputs!$F$191*(AH85-AH92)/(AH25-AH32+AH40-AH47+AH55-AH62+AH70-AH77+AH85-AH92+0.000000001)</f>
        <v>0</v>
      </c>
      <c r="AI93" s="11" t="n">
        <f aca="false">AI23*Inputs!$F$191*(AI85-AI92)/(AI25-AI32+AI40-AI47+AI55-AI62+AI70-AI77+AI85-AI92+0.000000001)</f>
        <v>0</v>
      </c>
      <c r="AJ93" s="11" t="n">
        <f aca="false">AJ23*Inputs!$F$191*(AJ85-AJ92)/(AJ25-AJ32+AJ40-AJ47+AJ55-AJ62+AJ70-AJ77+AJ85-AJ92+0.000000001)</f>
        <v>0</v>
      </c>
      <c r="AK93" s="11" t="n">
        <f aca="false">AK23*Inputs!$F$191*(AK85-AK92)/(AK25-AK32+AK40-AK47+AK55-AK62+AK70-AK77+AK85-AK92+0.000000001)</f>
        <v>0</v>
      </c>
      <c r="AL93" s="11" t="n">
        <f aca="false">AL23*Inputs!$F$191*(AL85-AL92)/(AL25-AL32+AL40-AL47+AL55-AL62+AL70-AL77+AL85-AL92+0.000000001)</f>
        <v>0</v>
      </c>
      <c r="AM93" s="11" t="n">
        <f aca="false">AM23*Inputs!$F$191*(AM85-AM92)/(AM25-AM32+AM40-AM47+AM55-AM62+AM70-AM77+AM85-AM92+0.000000001)</f>
        <v>0</v>
      </c>
      <c r="AN93" s="11" t="n">
        <f aca="false">AN23*Inputs!$F$191*(AN85-AN92)/(AN25-AN32+AN40-AN47+AN55-AN62+AN70-AN77+AN85-AN92+0.000000001)</f>
        <v>0</v>
      </c>
      <c r="AO93" s="11" t="n">
        <f aca="false">AO23*Inputs!$F$191*(AO85-AO92)/(AO25-AO32+AO40-AO47+AO55-AO62+AO70-AO77+AO85-AO92+0.000000001)</f>
        <v>0</v>
      </c>
      <c r="AP93" s="11" t="n">
        <f aca="false">AP23*Inputs!$F$191*(AP85-AP92)/(AP25-AP32+AP40-AP47+AP55-AP62+AP70-AP77+AP85-AP92+0.000000001)</f>
        <v>0</v>
      </c>
      <c r="AQ93" s="11" t="n">
        <f aca="false">AQ23*Inputs!$F$191*(AQ85-AQ92)/(AQ25-AQ32+AQ40-AQ47+AQ55-AQ62+AQ70-AQ77+AQ85-AQ92+0.000000001)</f>
        <v>0</v>
      </c>
      <c r="AR93" s="11" t="n">
        <f aca="false">AR23*Inputs!$F$191*(AR85-AR92)/(AR25-AR32+AR40-AR47+AR55-AR62+AR70-AR77+AR85-AR92+0.000000001)</f>
        <v>0</v>
      </c>
      <c r="AS93" s="11" t="n">
        <f aca="false">AS23*Inputs!$F$191*(AS85-AS92)/(AS25-AS32+AS40-AS47+AS55-AS62+AS70-AS77+AS85-AS92+0.000000001)</f>
        <v>0</v>
      </c>
      <c r="AT93" s="11" t="n">
        <f aca="false">AT23*Inputs!$F$191*(AT85-AT92)/(AT25-AT32+AT40-AT47+AT55-AT62+AT70-AT77+AT85-AT92+0.000000001)</f>
        <v>0</v>
      </c>
      <c r="AU93" s="11" t="n">
        <f aca="false">AU23*Inputs!$F$191*(AU85-AU92)/(AU25-AU32+AU40-AU47+AU55-AU62+AU70-AU77+AU85-AU92+0.000000001)</f>
        <v>0</v>
      </c>
      <c r="AV93" s="11" t="n">
        <f aca="false">AV23*Inputs!$F$191*(AV85-AV92)/(AV25-AV32+AV40-AV47+AV55-AV62+AV70-AV77+AV85-AV92+0.000000001)</f>
        <v>0</v>
      </c>
      <c r="AW93" s="11" t="n">
        <f aca="false">AW23*Inputs!$F$191*(AW85-AW92)/(AW25-AW32+AW40-AW47+AW55-AW62+AW70-AW77+AW85-AW92+0.000000001)</f>
        <v>0</v>
      </c>
      <c r="AX93" s="11" t="n">
        <f aca="false">AX23*Inputs!$F$191*(AX85-AX92)/(AX25-AX32+AX40-AX47+AX55-AX62+AX70-AX77+AX85-AX92+0.000000001)</f>
        <v>0</v>
      </c>
      <c r="AY93" s="11" t="n">
        <f aca="false">AY23*Inputs!$F$191*(AY85-AY92)/(AY25-AY32+AY40-AY47+AY55-AY62+AY70-AY77+AY85-AY92+0.000000001)</f>
        <v>0</v>
      </c>
      <c r="AZ93" s="11" t="n">
        <f aca="false">AZ23*Inputs!$F$191*(AZ85-AZ92)/(AZ25-AZ32+AZ40-AZ47+AZ55-AZ62+AZ70-AZ77+AZ85-AZ92+0.000000001)</f>
        <v>0</v>
      </c>
      <c r="BA93" s="11" t="n">
        <f aca="false">BA23*Inputs!$F$191*(BA85-BA92)/(BA25-BA32+BA40-BA47+BA55-BA62+BA70-BA77+BA85-BA92+0.000000001)</f>
        <v>0</v>
      </c>
      <c r="BB93" s="11" t="n">
        <f aca="false">BB23*Inputs!$F$191*(BB85-BB92)/(BB25-BB32+BB40-BB47+BB55-BB62+BB70-BB77+BB85-BB92+0.000000001)</f>
        <v>0</v>
      </c>
      <c r="BC93" s="11" t="n">
        <f aca="false">BC23*Inputs!$F$191*(BC85-BC92)/(BC25-BC32+BC40-BC47+BC55-BC62+BC70-BC77+BC85-BC92+0.000000001)</f>
        <v>0</v>
      </c>
      <c r="BD93" s="11" t="n">
        <f aca="false">BD23*Inputs!$F$191*(BD85-BD92)/(BD25-BD32+BD40-BD47+BD55-BD62+BD70-BD77+BD85-BD92+0.000000001)</f>
        <v>0</v>
      </c>
      <c r="BE93" s="11" t="n">
        <f aca="false">BE23*Inputs!$F$191*(BE85-BE92)/(BE25-BE32+BE40-BE47+BE55-BE62+BE70-BE77+BE85-BE92+0.000000001)</f>
        <v>0</v>
      </c>
      <c r="BF93" s="11" t="n">
        <f aca="false">BF23*Inputs!$F$191*(BF85-BF92)/(BF25-BF32+BF40-BF47+BF55-BF62+BF70-BF77+BF85-BF92+0.000000001)</f>
        <v>0</v>
      </c>
      <c r="BG93" s="11" t="n">
        <f aca="false">BG23*Inputs!$F$191*(BG85-BG92)/(BG25-BG32+BG40-BG47+BG55-BG62+BG70-BG77+BG85-BG92+0.000000001)</f>
        <v>0</v>
      </c>
      <c r="BH93" s="11" t="n">
        <f aca="false">BH23*Inputs!$F$191*(BH85-BH92)/(BH25-BH32+BH40-BH47+BH55-BH62+BH70-BH77+BH85-BH92+0.000000001)</f>
        <v>0</v>
      </c>
      <c r="BI93" s="11" t="n">
        <f aca="false">BI23*Inputs!$F$191*(BI85-BI92)/(BI25-BI32+BI40-BI47+BI55-BI62+BI70-BI77+BI85-BI92+0.000000001)</f>
        <v>0</v>
      </c>
      <c r="BJ93" s="11" t="n">
        <f aca="false">BJ23*Inputs!$F$191*(BJ85-BJ92)/(BJ25-BJ32+BJ40-BJ47+BJ55-BJ62+BJ70-BJ77+BJ85-BJ92+0.000000001)</f>
        <v>0</v>
      </c>
      <c r="BK93" s="11" t="n">
        <f aca="false">BK23*Inputs!$F$191*(BK85-BK92)/(BK25-BK32+BK40-BK47+BK55-BK62+BK70-BK77+BK85-BK92+0.000000001)</f>
        <v>0</v>
      </c>
      <c r="BL93" s="11" t="n">
        <f aca="false">BL23*Inputs!$F$191*(BL85-BL92)/(BL25-BL32+BL40-BL47+BL55-BL62+BL70-BL77+BL85-BL92+0.000000001)</f>
        <v>0</v>
      </c>
      <c r="BM93" s="11" t="n">
        <f aca="false">BM23*Inputs!$F$191*(BM85-BM92)/(BM25-BM32+BM40-BM47+BM55-BM62+BM70-BM77+BM85-BM92+0.000000001)</f>
        <v>0</v>
      </c>
      <c r="BN93" s="11" t="n">
        <f aca="false">BN23*Inputs!$F$191*(BN85-BN92)/(BN25-BN32+BN40-BN47+BN55-BN62+BN70-BN77+BN85-BN92+0.000000001)</f>
        <v>0</v>
      </c>
    </row>
    <row r="94" customFormat="false" ht="15" hidden="false" customHeight="false" outlineLevel="0" collapsed="false">
      <c r="D94" s="0" t="s">
        <v>663</v>
      </c>
      <c r="E94" s="0" t="s">
        <v>149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664</v>
      </c>
      <c r="E95" s="0" t="s">
        <v>149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665</v>
      </c>
      <c r="E96" s="0" t="s">
        <v>149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1.69962375029085E-011</v>
      </c>
      <c r="Q96" s="11" t="n">
        <f aca="false">Q85-Q92-Q93-Q94</f>
        <v>1.6552042346061E-011</v>
      </c>
      <c r="R96" s="11" t="n">
        <f aca="false">R85-R92-R93-R94</f>
        <v>1.60859667081431E-011</v>
      </c>
      <c r="S96" s="11" t="n">
        <f aca="false">S85-S92-S93-S94</f>
        <v>1.56061565751802E-011</v>
      </c>
      <c r="T96" s="11" t="n">
        <f aca="false">T85-T92-T93-T94</f>
        <v>1.51042753480405E-011</v>
      </c>
      <c r="U96" s="11" t="n">
        <f aca="false">U85-U92-U93-U94</f>
        <v>1.45863882450471E-011</v>
      </c>
      <c r="V96" s="11" t="n">
        <f aca="false">V85-V92-V93-V94</f>
        <v>1.40346679435141E-011</v>
      </c>
      <c r="W96" s="11" t="n">
        <f aca="false">W85-W92-W93-W94</f>
        <v>1.3466081890971E-011</v>
      </c>
      <c r="X96" s="11" t="n">
        <f aca="false">X85-X92-X93-X94</f>
        <v>1.29132784984524E-011</v>
      </c>
      <c r="Y96" s="11" t="n">
        <f aca="false">Y85-Y92-Y93-Y94</f>
        <v>1.23602149845876E-011</v>
      </c>
      <c r="Z96" s="11" t="n">
        <f aca="false">Z85-Z92-Z93-Z94</f>
        <v>1.17842391804006E-011</v>
      </c>
      <c r="AA96" s="11" t="n">
        <f aca="false">AA85-AA92-AA93-AA94</f>
        <v>1.11914549582001E-011</v>
      </c>
      <c r="AB96" s="11" t="n">
        <f aca="false">AB85-AB92-AB93-AB94</f>
        <v>1.0570350891711E-011</v>
      </c>
      <c r="AC96" s="11" t="n">
        <f aca="false">AC85-AC92-AC93-AC94</f>
        <v>9.9286706063267E-012</v>
      </c>
      <c r="AD96" s="11" t="n">
        <f aca="false">AD85-AD92-AD93-AD94</f>
        <v>9.22800256082339E-012</v>
      </c>
      <c r="AE96" s="11" t="n">
        <f aca="false">AE85-AE92-AE93-AE94</f>
        <v>8.49721942481516E-012</v>
      </c>
      <c r="AF96" s="11" t="n">
        <f aca="false">AF85-AF92-AF93-AF94</f>
        <v>7.74079911049483E-012</v>
      </c>
      <c r="AG96" s="11" t="n">
        <f aca="false">AG85-AG92-AG93-AG94</f>
        <v>6.9702615603005E-012</v>
      </c>
      <c r="AH96" s="11" t="n">
        <f aca="false">AH85-AH92-AH93-AH94</f>
        <v>6.16104183815933E-012</v>
      </c>
      <c r="AI96" s="11" t="n">
        <f aca="false">AI85-AI92-AI93-AI94</f>
        <v>5.32806138460819E-012</v>
      </c>
      <c r="AJ96" s="11" t="n">
        <f aca="false">AJ85-AJ92-AJ93-AJ94</f>
        <v>4.45486658114198E-012</v>
      </c>
      <c r="AK96" s="11" t="n">
        <f aca="false">AK85-AK92-AK93-AK94</f>
        <v>3.55340800811153E-012</v>
      </c>
      <c r="AL96" s="11" t="n">
        <f aca="false">AL85-AL92-AL93-AL94</f>
        <v>2.59755654477251E-012</v>
      </c>
      <c r="AM96" s="11" t="n">
        <f aca="false">AM85-AM92-AM93-AM94</f>
        <v>1.62183774050692E-012</v>
      </c>
      <c r="AN96" s="11" t="n">
        <f aca="false">AN85-AN92-AN93-AN94</f>
        <v>8.16881310041973E-013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666</v>
      </c>
      <c r="E97" s="0" t="s">
        <v>149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667</v>
      </c>
      <c r="E98" s="0" t="s">
        <v>149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1.74223968585352E-011</v>
      </c>
      <c r="P98" s="11" t="n">
        <f aca="false">IF(Time!P29=1,INDEX(Funding!$J$65:$BJ$65,1,Time!$F$13),Time!P30*(P96-P97))</f>
        <v>1.69962375029085E-011</v>
      </c>
      <c r="Q98" s="11" t="n">
        <f aca="false">IF(Time!Q29=1,INDEX(Funding!$J$65:$BJ$65,1,Time!$F$13),Time!Q30*(Q96-Q97))</f>
        <v>1.6552042346061E-011</v>
      </c>
      <c r="R98" s="11" t="n">
        <f aca="false">IF(Time!R29=1,INDEX(Funding!$J$65:$BJ$65,1,Time!$F$13),Time!R30*(R96-R97))</f>
        <v>1.60859667081431E-011</v>
      </c>
      <c r="S98" s="11" t="n">
        <f aca="false">IF(Time!S29=1,INDEX(Funding!$J$65:$BJ$65,1,Time!$F$13),Time!S30*(S96-S97))</f>
        <v>1.56061565751802E-011</v>
      </c>
      <c r="T98" s="11" t="n">
        <f aca="false">IF(Time!T29=1,INDEX(Funding!$J$65:$BJ$65,1,Time!$F$13),Time!T30*(T96-T97))</f>
        <v>1.51042753480405E-011</v>
      </c>
      <c r="U98" s="11" t="n">
        <f aca="false">IF(Time!U29=1,INDEX(Funding!$J$65:$BJ$65,1,Time!$F$13),Time!U30*(U96-U97))</f>
        <v>1.45863882450471E-011</v>
      </c>
      <c r="V98" s="11" t="n">
        <f aca="false">IF(Time!V29=1,INDEX(Funding!$J$65:$BJ$65,1,Time!$F$13),Time!V30*(V96-V97))</f>
        <v>1.40346679435141E-011</v>
      </c>
      <c r="W98" s="11" t="n">
        <f aca="false">IF(Time!W29=1,INDEX(Funding!$J$65:$BJ$65,1,Time!$F$13),Time!W30*(W96-W97))</f>
        <v>1.3466081890971E-011</v>
      </c>
      <c r="X98" s="11" t="n">
        <f aca="false">IF(Time!X29=1,INDEX(Funding!$J$65:$BJ$65,1,Time!$F$13),Time!X30*(X96-X97))</f>
        <v>1.29132784984524E-011</v>
      </c>
      <c r="Y98" s="11" t="n">
        <f aca="false">IF(Time!Y29=1,INDEX(Funding!$J$65:$BJ$65,1,Time!$F$13),Time!Y30*(Y96-Y97))</f>
        <v>1.23602149845876E-011</v>
      </c>
      <c r="Z98" s="11" t="n">
        <f aca="false">IF(Time!Z29=1,INDEX(Funding!$J$65:$BJ$65,1,Time!$F$13),Time!Z30*(Z96-Z97))</f>
        <v>1.17842391804006E-011</v>
      </c>
      <c r="AA98" s="11" t="n">
        <f aca="false">IF(Time!AA29=1,INDEX(Funding!$J$65:$BJ$65,1,Time!$F$13),Time!AA30*(AA96-AA97))</f>
        <v>1.11914549582001E-011</v>
      </c>
      <c r="AB98" s="11" t="n">
        <f aca="false">IF(Time!AB29=1,INDEX(Funding!$J$65:$BJ$65,1,Time!$F$13),Time!AB30*(AB96-AB97))</f>
        <v>1.0570350891711E-011</v>
      </c>
      <c r="AC98" s="11" t="n">
        <f aca="false">IF(Time!AC29=1,INDEX(Funding!$J$65:$BJ$65,1,Time!$F$13),Time!AC30*(AC96-AC97))</f>
        <v>9.9286706063267E-012</v>
      </c>
      <c r="AD98" s="11" t="n">
        <f aca="false">IF(Time!AD29=1,INDEX(Funding!$J$65:$BJ$65,1,Time!$F$13),Time!AD30*(AD96-AD97))</f>
        <v>9.22800256082339E-012</v>
      </c>
      <c r="AE98" s="11" t="n">
        <f aca="false">IF(Time!AE29=1,INDEX(Funding!$J$65:$BJ$65,1,Time!$F$13),Time!AE30*(AE96-AE97))</f>
        <v>8.49721942481516E-012</v>
      </c>
      <c r="AF98" s="11" t="n">
        <f aca="false">IF(Time!AF29=1,INDEX(Funding!$J$65:$BJ$65,1,Time!$F$13),Time!AF30*(AF96-AF97))</f>
        <v>7.74079911049483E-012</v>
      </c>
      <c r="AG98" s="11" t="n">
        <f aca="false">IF(Time!AG29=1,INDEX(Funding!$J$65:$BJ$65,1,Time!$F$13),Time!AG30*(AG96-AG97))</f>
        <v>6.9702615603005E-012</v>
      </c>
      <c r="AH98" s="11" t="n">
        <f aca="false">IF(Time!AH29=1,INDEX(Funding!$J$65:$BJ$65,1,Time!$F$13),Time!AH30*(AH96-AH97))</f>
        <v>6.16104183815933E-012</v>
      </c>
      <c r="AI98" s="11" t="n">
        <f aca="false">IF(Time!AI29=1,INDEX(Funding!$J$65:$BJ$65,1,Time!$F$13),Time!AI30*(AI96-AI97))</f>
        <v>5.32806138460819E-012</v>
      </c>
      <c r="AJ98" s="11" t="n">
        <f aca="false">IF(Time!AJ29=1,INDEX(Funding!$J$65:$BJ$65,1,Time!$F$13),Time!AJ30*(AJ96-AJ97))</f>
        <v>4.45486658114198E-012</v>
      </c>
      <c r="AK98" s="11" t="n">
        <f aca="false">IF(Time!AK29=1,INDEX(Funding!$J$65:$BJ$65,1,Time!$F$13),Time!AK30*(AK96-AK97))</f>
        <v>3.55340800811153E-012</v>
      </c>
      <c r="AL98" s="11" t="n">
        <f aca="false">IF(Time!AL29=1,INDEX(Funding!$J$65:$BJ$65,1,Time!$F$13),Time!AL30*(AL96-AL97))</f>
        <v>2.59755654477251E-012</v>
      </c>
      <c r="AM98" s="11" t="n">
        <f aca="false">IF(Time!AM29=1,INDEX(Funding!$J$65:$BJ$65,1,Time!$F$13),Time!AM30*(AM96-AM97))</f>
        <v>1.62183774050692E-012</v>
      </c>
      <c r="AN98" s="11" t="n">
        <f aca="false">IF(Time!AN29=1,INDEX(Funding!$J$65:$BJ$65,1,Time!$F$13),Time!AN30*(AN96-AN97))</f>
        <v>8.16881310041973E-013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671</v>
      </c>
    </row>
    <row r="100" customFormat="false" ht="15" hidden="false" customHeight="false" outlineLevel="0" collapsed="false">
      <c r="D100" s="0" t="s">
        <v>654</v>
      </c>
      <c r="E100" s="0" t="s">
        <v>149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656</v>
      </c>
      <c r="E101" s="0" t="s">
        <v>149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661</v>
      </c>
      <c r="E102" s="0" t="s">
        <v>149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IF(W100&gt;0,MIN($F$109*Inputs!W224,W100),0)</f>
        <v>0</v>
      </c>
      <c r="X102" s="11" t="n">
        <f aca="false">IF(X100&gt;0,MIN($F$109*Inputs!X224,X100),0)</f>
        <v>0</v>
      </c>
      <c r="Y102" s="11" t="n">
        <f aca="false">IF(Y100&gt;0,MIN($F$109*Inputs!Y224,Y100),0)</f>
        <v>0</v>
      </c>
      <c r="Z102" s="11" t="n">
        <f aca="false">IF(Z100&gt;0,MIN($F$109*Inputs!Z224,Z100),0)</f>
        <v>0</v>
      </c>
      <c r="AA102" s="11" t="n">
        <f aca="false">IF(AA100&gt;0,MIN($F$109*Inputs!AA224,AA100),0)</f>
        <v>0</v>
      </c>
      <c r="AB102" s="11" t="n">
        <f aca="false">IF(AB100&gt;0,MIN($F$109*Inputs!AB224,AB100),0)</f>
        <v>0</v>
      </c>
      <c r="AC102" s="11" t="n">
        <f aca="false">IF(AC100&gt;0,MIN($F$109*Inputs!AC224,AC100),0)</f>
        <v>0</v>
      </c>
      <c r="AD102" s="11" t="n">
        <f aca="false">IF(AD100&gt;0,MIN($F$109*Inputs!AD224,AD100),0)</f>
        <v>0</v>
      </c>
      <c r="AE102" s="11" t="n">
        <f aca="false">IF(AE100&gt;0,MIN($F$109*Inputs!AE224,AE100),0)</f>
        <v>0</v>
      </c>
      <c r="AF102" s="11" t="n">
        <f aca="false">IF(AF100&gt;0,MIN($F$109*Inputs!AF224,AF100),0)</f>
        <v>0</v>
      </c>
      <c r="AG102" s="11" t="n">
        <f aca="false">IF(AG100&gt;0,MIN($F$109*Inputs!AG224,AG100),0)</f>
        <v>0</v>
      </c>
      <c r="AH102" s="11" t="n">
        <f aca="false">IF(AH100&gt;0,MIN($F$109*Inputs!AH224,AH100),0)</f>
        <v>0</v>
      </c>
      <c r="AI102" s="11" t="n">
        <f aca="false">IF(AI100&gt;0,MIN($F$109*Inputs!AI224,AI100),0)</f>
        <v>0</v>
      </c>
      <c r="AJ102" s="11" t="n">
        <f aca="false">IF(AJ100&gt;0,MIN($F$109*Inputs!AJ224,AJ100),0)</f>
        <v>0</v>
      </c>
      <c r="AK102" s="11" t="n">
        <f aca="false">IF(AK100&gt;0,MIN($F$109*Inputs!AK224,AK100),0)</f>
        <v>0</v>
      </c>
      <c r="AL102" s="11" t="n">
        <f aca="false">IF(AL100&gt;0,MIN($F$109*Inputs!AL224,AL100),0)</f>
        <v>0</v>
      </c>
      <c r="AM102" s="11" t="n">
        <f aca="false">IF(AM100&gt;0,MIN($F$109*Inputs!AM224,AM100),0)</f>
        <v>0</v>
      </c>
      <c r="AN102" s="11" t="n">
        <f aca="false">IF(AN100&gt;0,MIN($F$109*Inputs!AN224,AN100),0)</f>
        <v>0</v>
      </c>
      <c r="AO102" s="11" t="n">
        <f aca="false">IF(AO100&gt;0,MIN($F$109*Inputs!AO224,AO100),0)</f>
        <v>0</v>
      </c>
      <c r="AP102" s="11" t="n">
        <f aca="false">IF(AP100&gt;0,MIN($F$109*Inputs!AP224,AP100),0)</f>
        <v>0</v>
      </c>
      <c r="AQ102" s="11" t="n">
        <f aca="false">IF(AQ100&gt;0,MIN($F$109*Inputs!AQ224,AQ100),0)</f>
        <v>0</v>
      </c>
      <c r="AR102" s="11" t="n">
        <f aca="false">IF(AR100&gt;0,MIN($F$109*Inputs!AR224,AR100),0)</f>
        <v>0</v>
      </c>
      <c r="AS102" s="11" t="n">
        <f aca="false">IF(AS100&gt;0,MIN($F$109*Inputs!AS224,AS100),0)</f>
        <v>0</v>
      </c>
      <c r="AT102" s="11" t="n">
        <f aca="false">IF(AT100&gt;0,MIN($F$109*Inputs!AT224,AT100),0)</f>
        <v>0</v>
      </c>
      <c r="AU102" s="11" t="n">
        <f aca="false">IF(AU100&gt;0,MIN($F$109*Inputs!AU224,AU100),0)</f>
        <v>0</v>
      </c>
      <c r="AV102" s="11" t="n">
        <f aca="false">IF(AV100&gt;0,MIN($F$109*Inputs!AV224,AV100),0)</f>
        <v>0</v>
      </c>
      <c r="AW102" s="11" t="n">
        <f aca="false">IF(AW100&gt;0,MIN($F$109*Inputs!AW224,AW100),0)</f>
        <v>0</v>
      </c>
      <c r="AX102" s="11" t="n">
        <f aca="false">IF(AX100&gt;0,MIN($F$109*Inputs!AX224,AX100),0)</f>
        <v>0</v>
      </c>
      <c r="AY102" s="11" t="n">
        <f aca="false">IF(AY100&gt;0,MIN($F$109*Inputs!AY224,AY100),0)</f>
        <v>0</v>
      </c>
      <c r="AZ102" s="11" t="n">
        <f aca="false">IF(AZ100&gt;0,MIN($F$109*Inputs!AZ224,AZ100),0)</f>
        <v>0</v>
      </c>
      <c r="BA102" s="11" t="n">
        <f aca="false">IF(BA100&gt;0,MIN($F$109*Inputs!BA224,BA100),0)</f>
        <v>0</v>
      </c>
      <c r="BB102" s="11" t="n">
        <f aca="false">IF(BB100&gt;0,MIN($F$109*Inputs!BB224,BB100),0)</f>
        <v>0</v>
      </c>
      <c r="BC102" s="11" t="n">
        <f aca="false">IF(BC100&gt;0,MIN($F$109*Inputs!BC224,BC100),0)</f>
        <v>0</v>
      </c>
      <c r="BD102" s="11" t="n">
        <f aca="false">IF(BD100&gt;0,MIN($F$109*Inputs!BD224,BD100),0)</f>
        <v>0</v>
      </c>
      <c r="BE102" s="11" t="n">
        <f aca="false">IF(BE100&gt;0,MIN($F$109*Inputs!BE224,BE100),0)</f>
        <v>0</v>
      </c>
      <c r="BF102" s="11" t="n">
        <f aca="false">IF(BF100&gt;0,MIN($F$109*Inputs!BF224,BF100),0)</f>
        <v>0</v>
      </c>
      <c r="BG102" s="11" t="n">
        <f aca="false">IF(BG100&gt;0,MIN($F$109*Inputs!BG224,BG100),0)</f>
        <v>0</v>
      </c>
      <c r="BH102" s="11" t="n">
        <f aca="false">IF(BH100&gt;0,MIN($F$109*Inputs!BH224,BH100),0)</f>
        <v>0</v>
      </c>
      <c r="BI102" s="11" t="n">
        <f aca="false">IF(BI100&gt;0,MIN($F$109*Inputs!BI224,BI100),0)</f>
        <v>0</v>
      </c>
      <c r="BJ102" s="11" t="n">
        <f aca="false">IF(BJ100&gt;0,MIN($F$109*Inputs!BJ224,BJ100),0)</f>
        <v>0</v>
      </c>
      <c r="BK102" s="11" t="n">
        <f aca="false">IF(BK100&gt;0,MIN($F$109*Inputs!BK224,BK100),0)</f>
        <v>0</v>
      </c>
      <c r="BL102" s="11" t="n">
        <f aca="false">IF(BL100&gt;0,MIN($F$109*Inputs!BL224,BL100),0)</f>
        <v>0</v>
      </c>
      <c r="BM102" s="11" t="n">
        <f aca="false">IF(BM100&gt;0,MIN($F$109*Inputs!BM224,BM100),0)</f>
        <v>0</v>
      </c>
      <c r="BN102" s="11" t="n">
        <f aca="false">IF(BN100&gt;0,MIN($F$109*Inputs!BN224,BN100),0)</f>
        <v>0</v>
      </c>
    </row>
    <row r="103" customFormat="false" ht="15" hidden="false" customHeight="false" outlineLevel="0" collapsed="false">
      <c r="D103" s="0" t="s">
        <v>672</v>
      </c>
      <c r="E103" s="0" t="s">
        <v>149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667</v>
      </c>
      <c r="E104" s="0" t="s">
        <v>149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673</v>
      </c>
    </row>
    <row r="106" customFormat="false" ht="15" hidden="false" customHeight="false" outlineLevel="0" collapsed="false">
      <c r="D106" s="0" t="s">
        <v>674</v>
      </c>
      <c r="E106" s="0" t="s">
        <v>99</v>
      </c>
      <c r="J106" s="10" t="n">
        <f aca="false">IF(Time!J17&gt;14,(1+Inputs!$F$202/200)^-(Time!J17-14),0)</f>
        <v>0</v>
      </c>
      <c r="K106" s="10" t="n">
        <f aca="false">IF(Time!K17&gt;14,(1+Inputs!$F$202/200)^-(Time!K17-14),0)</f>
        <v>0</v>
      </c>
      <c r="L106" s="10" t="n">
        <f aca="false">IF(Time!L17&gt;14,(1+Inputs!$F$202/200)^-(Time!L17-14),0)</f>
        <v>0</v>
      </c>
      <c r="M106" s="10" t="n">
        <f aca="false">IF(Time!M17&gt;14,(1+Inputs!$F$202/200)^-(Time!M17-14),0)</f>
        <v>0</v>
      </c>
      <c r="N106" s="10" t="n">
        <f aca="false">IF(Time!N17&gt;14,(1+Inputs!$F$202/200)^-(Time!N17-14),0)</f>
        <v>0</v>
      </c>
      <c r="O106" s="10" t="n">
        <f aca="false">IF(Time!O17&gt;14,(1+Inputs!$F$202/200)^-(Time!O17-14),0)</f>
        <v>0</v>
      </c>
      <c r="P106" s="10" t="n">
        <f aca="false">IF(Time!P17&gt;14,(1+Inputs!$F$202/200)^-(Time!P17-14),0)</f>
        <v>0</v>
      </c>
      <c r="Q106" s="10" t="n">
        <f aca="false">IF(Time!Q17&gt;14,(1+Inputs!$F$202/200)^-(Time!Q17-14),0)</f>
        <v>0</v>
      </c>
      <c r="R106" s="10" t="n">
        <f aca="false">IF(Time!R17&gt;14,(1+Inputs!$F$202/200)^-(Time!R17-14),0)</f>
        <v>0</v>
      </c>
      <c r="S106" s="10" t="n">
        <f aca="false">IF(Time!S17&gt;14,(1+Inputs!$F$202/200)^-(Time!S17-14),0)</f>
        <v>0</v>
      </c>
      <c r="T106" s="10" t="n">
        <f aca="false">IF(Time!T17&gt;14,(1+Inputs!$F$202/200)^-(Time!T17-14),0)</f>
        <v>0</v>
      </c>
      <c r="U106" s="10" t="n">
        <f aca="false">IF(Time!U17&gt;14,(1+Inputs!$F$202/200)^-(Time!U17-14),0)</f>
        <v>0</v>
      </c>
      <c r="V106" s="10" t="n">
        <f aca="false">IF(Time!V17&gt;14,(1+Inputs!$F$202/200)^-(Time!V17-14),0)</f>
        <v>0</v>
      </c>
      <c r="W106" s="10" t="n">
        <f aca="false">IF(Time!W17&gt;14,(1+Inputs!$F$202/200)^-(Time!W17-14),0)</f>
        <v>0</v>
      </c>
      <c r="X106" s="10" t="n">
        <f aca="false">IF(Time!X17&gt;14,(1+Inputs!$F$202/200)^-(Time!X17-14),0)</f>
        <v>0.981932443047918</v>
      </c>
      <c r="Y106" s="10" t="n">
        <f aca="false">IF(Time!Y17&gt;14,(1+Inputs!$F$202/200)^-(Time!Y17-14),0)</f>
        <v>0.964191322710053</v>
      </c>
      <c r="Z106" s="10" t="n">
        <f aca="false">IF(Time!Z17&gt;14,(1+Inputs!$F$202/200)^-(Time!Z17-14),0)</f>
        <v>0.946770741074287</v>
      </c>
      <c r="AA106" s="10" t="n">
        <f aca="false">IF(Time!AA17&gt;14,(1+Inputs!$F$202/200)^-(Time!AA17-14),0)</f>
        <v>0.929664906789362</v>
      </c>
      <c r="AB106" s="10" t="n">
        <f aca="false">IF(Time!AB17&gt;14,(1+Inputs!$F$202/200)^-(Time!AB17-14),0)</f>
        <v>0.912868133139594</v>
      </c>
      <c r="AC106" s="10" t="n">
        <f aca="false">IF(Time!AC17&gt;14,(1+Inputs!$F$202/200)^-(Time!AC17-14),0)</f>
        <v>0.896374836154354</v>
      </c>
      <c r="AD106" s="10" t="n">
        <f aca="false">IF(Time!AD17&gt;14,(1+Inputs!$F$202/200)^-(Time!AD17-14),0)</f>
        <v>0.880179532751722</v>
      </c>
      <c r="AE106" s="10" t="n">
        <f aca="false">IF(Time!AE17&gt;14,(1+Inputs!$F$202/200)^-(Time!AE17-14),0)</f>
        <v>0.864276838915674</v>
      </c>
      <c r="AF106" s="10" t="n">
        <f aca="false">IF(Time!AF17&gt;14,(1+Inputs!$F$202/200)^-(Time!AF17-14),0)</f>
        <v>0.8486614679062</v>
      </c>
      <c r="AG106" s="10" t="n">
        <f aca="false">IF(Time!AG17&gt;14,(1+Inputs!$F$202/200)^-(Time!AG17-14),0)</f>
        <v>0.833328228501767</v>
      </c>
      <c r="AH106" s="10" t="n">
        <f aca="false">IF(Time!AH17&gt;14,(1+Inputs!$F$202/200)^-(Time!AH17-14),0)</f>
        <v>0.818272023273534</v>
      </c>
      <c r="AI106" s="10" t="n">
        <f aca="false">IF(Time!AI17&gt;14,(1+Inputs!$F$202/200)^-(Time!AI17-14),0)</f>
        <v>0.803487846890745</v>
      </c>
      <c r="AJ106" s="10" t="n">
        <f aca="false">IF(Time!AJ17&gt;14,(1+Inputs!$F$202/200)^-(Time!AJ17-14),0)</f>
        <v>0.78897078445674</v>
      </c>
      <c r="AK106" s="10" t="n">
        <f aca="false">IF(Time!AK17&gt;14,(1+Inputs!$F$202/200)^-(Time!AK17-14),0)</f>
        <v>0.77471600987504</v>
      </c>
      <c r="AL106" s="10" t="n">
        <f aca="false">IF(Time!AL17&gt;14,(1+Inputs!$F$202/200)^-(Time!AL17-14),0)</f>
        <v>0.760718784244933</v>
      </c>
      <c r="AM106" s="10" t="n">
        <f aca="false">IF(Time!AM17&gt;14,(1+Inputs!$F$202/200)^-(Time!AM17-14),0)</f>
        <v>0.746974454286069</v>
      </c>
      <c r="AN106" s="10" t="n">
        <f aca="false">IF(Time!AN17&gt;14,(1+Inputs!$F$202/200)^-(Time!AN17-14),0)</f>
        <v>0.733478450791506</v>
      </c>
      <c r="AO106" s="10" t="n">
        <f aca="false">IF(Time!AO17&gt;14,(1+Inputs!$F$202/200)^-(Time!AO17-14),0)</f>
        <v>0.720226287108706</v>
      </c>
      <c r="AP106" s="10" t="n">
        <f aca="false">IF(Time!AP17&gt;14,(1+Inputs!$F$202/200)^-(Time!AP17-14),0)</f>
        <v>0.707213557647983</v>
      </c>
      <c r="AQ106" s="10" t="n">
        <f aca="false">IF(Time!AQ17&gt;14,(1+Inputs!$F$202/200)^-(Time!AQ17-14),0)</f>
        <v>0.694435936417893</v>
      </c>
      <c r="AR106" s="10" t="n">
        <f aca="false">IF(Time!AR17&gt;14,(1+Inputs!$F$202/200)^-(Time!AR17-14),0)</f>
        <v>0.681889175587091</v>
      </c>
      <c r="AS106" s="10" t="n">
        <f aca="false">IF(Time!AS17&gt;14,(1+Inputs!$F$202/200)^-(Time!AS17-14),0)</f>
        <v>0.669569104072163</v>
      </c>
      <c r="AT106" s="10" t="n">
        <f aca="false">IF(Time!AT17&gt;14,(1+Inputs!$F$202/200)^-(Time!AT17-14),0)</f>
        <v>0.657471626150985</v>
      </c>
      <c r="AU106" s="10" t="n">
        <f aca="false">IF(Time!AU17&gt;14,(1+Inputs!$F$202/200)^-(Time!AU17-14),0)</f>
        <v>0.645592720101125</v>
      </c>
      <c r="AV106" s="10" t="n">
        <f aca="false">IF(Time!AV17&gt;14,(1+Inputs!$F$202/200)^-(Time!AV17-14),0)</f>
        <v>0.633928436862848</v>
      </c>
      <c r="AW106" s="10" t="n">
        <f aca="false">IF(Time!AW17&gt;14,(1+Inputs!$F$202/200)^-(Time!AW17-14),0)</f>
        <v>0.622474898726284</v>
      </c>
      <c r="AX106" s="10" t="n">
        <f aca="false">IF(Time!AX17&gt;14,(1+Inputs!$F$202/200)^-(Time!AX17-14),0)</f>
        <v>0.611228298042306</v>
      </c>
      <c r="AY106" s="10" t="n">
        <f aca="false">IF(Time!AY17&gt;14,(1+Inputs!$F$202/200)^-(Time!AY17-14),0)</f>
        <v>0.600184895956703</v>
      </c>
      <c r="AZ106" s="10" t="n">
        <f aca="false">IF(Time!AZ17&gt;14,(1+Inputs!$F$202/200)^-(Time!AZ17-14),0)</f>
        <v>0.589341021167226</v>
      </c>
      <c r="BA106" s="10" t="n">
        <f aca="false">IF(Time!BA17&gt;14,(1+Inputs!$F$202/200)^-(Time!BA17-14),0)</f>
        <v>0.578693068703089</v>
      </c>
      <c r="BB106" s="10" t="n">
        <f aca="false">IF(Time!BB17&gt;14,(1+Inputs!$F$202/200)^-(Time!BB17-14),0)</f>
        <v>0.568237498726521</v>
      </c>
      <c r="BC106" s="10" t="n">
        <f aca="false">IF(Time!BC17&gt;14,(1+Inputs!$F$202/200)^-(Time!BC17-14),0)</f>
        <v>0.557970835355971</v>
      </c>
      <c r="BD106" s="10" t="n">
        <f aca="false">IF(Time!BD17&gt;14,(1+Inputs!$F$202/200)^-(Time!BD17-14),0)</f>
        <v>0.547889665510577</v>
      </c>
      <c r="BE106" s="10" t="n">
        <f aca="false">IF(Time!BE17&gt;14,(1+Inputs!$F$202/200)^-(Time!BE17-14),0)</f>
        <v>0.537990637775507</v>
      </c>
      <c r="BF106" s="10" t="n">
        <f aca="false">IF(Time!BF17&gt;14,(1+Inputs!$F$202/200)^-(Time!BF17-14),0)</f>
        <v>0.528270461287812</v>
      </c>
      <c r="BG106" s="10" t="n">
        <f aca="false">IF(Time!BG17&gt;14,(1+Inputs!$F$202/200)^-(Time!BG17-14),0)</f>
        <v>0.518725904642391</v>
      </c>
      <c r="BH106" s="10" t="n">
        <f aca="false">IF(Time!BH17&gt;14,(1+Inputs!$F$202/200)^-(Time!BH17-14),0)</f>
        <v>0.509353794817745</v>
      </c>
      <c r="BI106" s="10" t="n">
        <f aca="false">IF(Time!BI17&gt;14,(1+Inputs!$F$202/200)^-(Time!BI17-14),0)</f>
        <v>0.500151016121117</v>
      </c>
      <c r="BJ106" s="10" t="n">
        <f aca="false">IF(Time!BJ17&gt;14,(1+Inputs!$F$202/200)^-(Time!BJ17-14),0)</f>
        <v>0.491114509152707</v>
      </c>
      <c r="BK106" s="10" t="n">
        <f aca="false">IF(Time!BK17&gt;14,(1+Inputs!$F$202/200)^-(Time!BK17-14),0)</f>
        <v>0.482241269788597</v>
      </c>
      <c r="BL106" s="10" t="n">
        <f aca="false">IF(Time!BL17&gt;14,(1+Inputs!$F$202/200)^-(Time!BL17-14),0)</f>
        <v>0.473528348182047</v>
      </c>
      <c r="BM106" s="10" t="n">
        <f aca="false">IF(Time!BM17&gt;14,(1+Inputs!$F$202/200)^-(Time!BM17-14),0)</f>
        <v>0.464972847782843</v>
      </c>
      <c r="BN106" s="10" t="n">
        <f aca="false">IF(Time!BN17&gt;14,(1+Inputs!$F$202/200)^-(Time!BN17-14),0)</f>
        <v>0.456571924374354</v>
      </c>
    </row>
    <row r="107" customFormat="false" ht="15" hidden="false" customHeight="false" outlineLevel="0" collapsed="false">
      <c r="D107" s="0" t="s">
        <v>675</v>
      </c>
      <c r="E107" s="0" t="s">
        <v>149</v>
      </c>
      <c r="F107" s="15" t="n">
        <f aca="false">Inputs!$F$50*Inputs!$F$203*(Inputs!$F$202-Inputs!$F$97)/100*0.5*SUMPRODUCT(Inputs!$J$225:$BN$225,Debt!$J$106:$BN$106)</f>
        <v>0</v>
      </c>
    </row>
    <row r="108" customFormat="false" ht="15" hidden="false" customHeight="false" outlineLevel="0" collapsed="false">
      <c r="D108" s="0" t="s">
        <v>676</v>
      </c>
      <c r="E108" s="0" t="s">
        <v>149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677</v>
      </c>
      <c r="E109" s="0" t="s">
        <v>149</v>
      </c>
      <c r="F109" s="15" t="n">
        <f aca="false">Inputs!$F$50*(Debt!$F$108+Inputs!$F$198+Inputs!$F$201/100*Inputs!$F$199-Debt!$F$107)/(Inputs!$F$196-Inputs!$F$197)</f>
        <v>0</v>
      </c>
    </row>
    <row r="110" customFormat="false" ht="15" hidden="false" customHeight="false" outlineLevel="0" collapsed="false">
      <c r="D110" s="0" t="s">
        <v>678</v>
      </c>
      <c r="E110" s="0" t="s">
        <v>149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679</v>
      </c>
      <c r="E111" s="0" t="s">
        <v>149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W20*($F$109*(1-Inputs!$F$196)+Inputs!$F$197*$F$109+Inputs!$F$198+Inputs!$F$201/100*Inputs!$F$199)</f>
        <v>0</v>
      </c>
      <c r="X111" s="11" t="n">
        <f aca="false">X20*($F$109*(1-Inputs!$F$196)+Inputs!$F$197*$F$109+Inputs!$F$198+Inputs!$F$201/100*Inputs!$F$199)</f>
        <v>0</v>
      </c>
      <c r="Y111" s="11" t="n">
        <f aca="false">Y20*($F$109*(1-Inputs!$F$196)+Inputs!$F$197*$F$109+Inputs!$F$198+Inputs!$F$201/100*Inputs!$F$199)</f>
        <v>0</v>
      </c>
      <c r="Z111" s="11" t="n">
        <f aca="false">Z20*($F$109*(1-Inputs!$F$196)+Inputs!$F$197*$F$109+Inputs!$F$198+Inputs!$F$201/100*Inputs!$F$199)</f>
        <v>0</v>
      </c>
      <c r="AA111" s="11" t="n">
        <f aca="false">AA20*($F$109*(1-Inputs!$F$196)+Inputs!$F$197*$F$109+Inputs!$F$198+Inputs!$F$201/100*Inputs!$F$199)</f>
        <v>0</v>
      </c>
      <c r="AB111" s="11" t="n">
        <f aca="false">AB20*($F$109*(1-Inputs!$F$196)+Inputs!$F$197*$F$109+Inputs!$F$198+Inputs!$F$201/100*Inputs!$F$199)</f>
        <v>0</v>
      </c>
      <c r="AC111" s="11" t="n">
        <f aca="false">AC20*($F$109*(1-Inputs!$F$196)+Inputs!$F$197*$F$109+Inputs!$F$198+Inputs!$F$201/100*Inputs!$F$199)</f>
        <v>0</v>
      </c>
      <c r="AD111" s="11" t="n">
        <f aca="false">AD20*($F$109*(1-Inputs!$F$196)+Inputs!$F$197*$F$109+Inputs!$F$198+Inputs!$F$201/100*Inputs!$F$199)</f>
        <v>0</v>
      </c>
      <c r="AE111" s="11" t="n">
        <f aca="false">AE20*($F$109*(1-Inputs!$F$196)+Inputs!$F$197*$F$109+Inputs!$F$198+Inputs!$F$201/100*Inputs!$F$199)</f>
        <v>0</v>
      </c>
      <c r="AF111" s="11" t="n">
        <f aca="false">AF20*($F$109*(1-Inputs!$F$196)+Inputs!$F$197*$F$109+Inputs!$F$198+Inputs!$F$201/100*Inputs!$F$199)</f>
        <v>0</v>
      </c>
      <c r="AG111" s="11" t="n">
        <f aca="false">AG20*($F$109*(1-Inputs!$F$196)+Inputs!$F$197*$F$109+Inputs!$F$198+Inputs!$F$201/100*Inputs!$F$199)</f>
        <v>0</v>
      </c>
      <c r="AH111" s="11" t="n">
        <f aca="false">AH20*($F$109*(1-Inputs!$F$196)+Inputs!$F$197*$F$109+Inputs!$F$198+Inputs!$F$201/100*Inputs!$F$199)</f>
        <v>0</v>
      </c>
      <c r="AI111" s="11" t="n">
        <f aca="false">AI20*($F$109*(1-Inputs!$F$196)+Inputs!$F$197*$F$109+Inputs!$F$198+Inputs!$F$201/100*Inputs!$F$199)</f>
        <v>0</v>
      </c>
      <c r="AJ111" s="11" t="n">
        <f aca="false">AJ20*($F$109*(1-Inputs!$F$196)+Inputs!$F$197*$F$109+Inputs!$F$198+Inputs!$F$201/100*Inputs!$F$199)</f>
        <v>0</v>
      </c>
      <c r="AK111" s="11" t="n">
        <f aca="false">AK20*($F$109*(1-Inputs!$F$196)+Inputs!$F$197*$F$109+Inputs!$F$198+Inputs!$F$201/100*Inputs!$F$199)</f>
        <v>0</v>
      </c>
      <c r="AL111" s="11" t="n">
        <f aca="false">AL20*($F$109*(1-Inputs!$F$196)+Inputs!$F$197*$F$109+Inputs!$F$198+Inputs!$F$201/100*Inputs!$F$199)</f>
        <v>0</v>
      </c>
      <c r="AM111" s="11" t="n">
        <f aca="false">AM20*($F$109*(1-Inputs!$F$196)+Inputs!$F$197*$F$109+Inputs!$F$198+Inputs!$F$201/100*Inputs!$F$199)</f>
        <v>0</v>
      </c>
      <c r="AN111" s="11" t="n">
        <f aca="false">AN20*($F$109*(1-Inputs!$F$196)+Inputs!$F$197*$F$109+Inputs!$F$198+Inputs!$F$201/100*Inputs!$F$199)</f>
        <v>0</v>
      </c>
      <c r="AO111" s="11" t="n">
        <f aca="false">AO20*($F$109*(1-Inputs!$F$196)+Inputs!$F$197*$F$109+Inputs!$F$198+Inputs!$F$201/100*Inputs!$F$199)</f>
        <v>0</v>
      </c>
      <c r="AP111" s="11" t="n">
        <f aca="false">AP20*($F$109*(1-Inputs!$F$196)+Inputs!$F$197*$F$109+Inputs!$F$198+Inputs!$F$201/100*Inputs!$F$199)</f>
        <v>0</v>
      </c>
      <c r="AQ111" s="11" t="n">
        <f aca="false">AQ20*($F$109*(1-Inputs!$F$196)+Inputs!$F$197*$F$109+Inputs!$F$198+Inputs!$F$201/100*Inputs!$F$199)</f>
        <v>0</v>
      </c>
      <c r="AR111" s="11" t="n">
        <f aca="false">AR20*($F$109*(1-Inputs!$F$196)+Inputs!$F$197*$F$109+Inputs!$F$198+Inputs!$F$201/100*Inputs!$F$199)</f>
        <v>0</v>
      </c>
      <c r="AS111" s="11" t="n">
        <f aca="false">AS20*($F$109*(1-Inputs!$F$196)+Inputs!$F$197*$F$109+Inputs!$F$198+Inputs!$F$201/100*Inputs!$F$199)</f>
        <v>0</v>
      </c>
      <c r="AT111" s="11" t="n">
        <f aca="false">AT20*($F$109*(1-Inputs!$F$196)+Inputs!$F$197*$F$109+Inputs!$F$198+Inputs!$F$201/100*Inputs!$F$199)</f>
        <v>0</v>
      </c>
      <c r="AU111" s="11" t="n">
        <f aca="false">AU20*($F$109*(1-Inputs!$F$196)+Inputs!$F$197*$F$109+Inputs!$F$198+Inputs!$F$201/100*Inputs!$F$199)</f>
        <v>0</v>
      </c>
      <c r="AV111" s="11" t="n">
        <f aca="false">AV20*($F$109*(1-Inputs!$F$196)+Inputs!$F$197*$F$109+Inputs!$F$198+Inputs!$F$201/100*Inputs!$F$199)</f>
        <v>0</v>
      </c>
      <c r="AW111" s="11" t="n">
        <f aca="false">AW20*($F$109*(1-Inputs!$F$196)+Inputs!$F$197*$F$109+Inputs!$F$198+Inputs!$F$201/100*Inputs!$F$199)</f>
        <v>0</v>
      </c>
      <c r="AX111" s="11" t="n">
        <f aca="false">AX20*($F$109*(1-Inputs!$F$196)+Inputs!$F$197*$F$109+Inputs!$F$198+Inputs!$F$201/100*Inputs!$F$199)</f>
        <v>0</v>
      </c>
      <c r="AY111" s="11" t="n">
        <f aca="false">AY20*($F$109*(1-Inputs!$F$196)+Inputs!$F$197*$F$109+Inputs!$F$198+Inputs!$F$201/100*Inputs!$F$199)</f>
        <v>0</v>
      </c>
      <c r="AZ111" s="11" t="n">
        <f aca="false">AZ20*($F$109*(1-Inputs!$F$196)+Inputs!$F$197*$F$109+Inputs!$F$198+Inputs!$F$201/100*Inputs!$F$199)</f>
        <v>0</v>
      </c>
      <c r="BA111" s="11" t="n">
        <f aca="false">BA20*($F$109*(1-Inputs!$F$196)+Inputs!$F$197*$F$109+Inputs!$F$198+Inputs!$F$201/100*Inputs!$F$199)</f>
        <v>0</v>
      </c>
      <c r="BB111" s="11" t="n">
        <f aca="false">BB20*($F$109*(1-Inputs!$F$196)+Inputs!$F$197*$F$109+Inputs!$F$198+Inputs!$F$201/100*Inputs!$F$199)</f>
        <v>0</v>
      </c>
      <c r="BC111" s="11" t="n">
        <f aca="false">BC20*($F$109*(1-Inputs!$F$196)+Inputs!$F$197*$F$109+Inputs!$F$198+Inputs!$F$201/100*Inputs!$F$199)</f>
        <v>0</v>
      </c>
      <c r="BD111" s="11" t="n">
        <f aca="false">BD20*($F$109*(1-Inputs!$F$196)+Inputs!$F$197*$F$109+Inputs!$F$198+Inputs!$F$201/100*Inputs!$F$199)</f>
        <v>0</v>
      </c>
      <c r="BE111" s="11" t="n">
        <f aca="false">BE20*($F$109*(1-Inputs!$F$196)+Inputs!$F$197*$F$109+Inputs!$F$198+Inputs!$F$201/100*Inputs!$F$199)</f>
        <v>0</v>
      </c>
      <c r="BF111" s="11" t="n">
        <f aca="false">BF20*($F$109*(1-Inputs!$F$196)+Inputs!$F$197*$F$109+Inputs!$F$198+Inputs!$F$201/100*Inputs!$F$199)</f>
        <v>0</v>
      </c>
      <c r="BG111" s="11" t="n">
        <f aca="false">BG20*($F$109*(1-Inputs!$F$196)+Inputs!$F$197*$F$109+Inputs!$F$198+Inputs!$F$201/100*Inputs!$F$199)</f>
        <v>0</v>
      </c>
      <c r="BH111" s="11" t="n">
        <f aca="false">BH20*($F$109*(1-Inputs!$F$196)+Inputs!$F$197*$F$109+Inputs!$F$198+Inputs!$F$201/100*Inputs!$F$199)</f>
        <v>0</v>
      </c>
      <c r="BI111" s="11" t="n">
        <f aca="false">BI20*($F$109*(1-Inputs!$F$196)+Inputs!$F$197*$F$109+Inputs!$F$198+Inputs!$F$201/100*Inputs!$F$199)</f>
        <v>0</v>
      </c>
      <c r="BJ111" s="11" t="n">
        <f aca="false">BJ20*($F$109*(1-Inputs!$F$196)+Inputs!$F$197*$F$109+Inputs!$F$198+Inputs!$F$201/100*Inputs!$F$199)</f>
        <v>0</v>
      </c>
      <c r="BK111" s="11" t="n">
        <f aca="false">BK20*($F$109*(1-Inputs!$F$196)+Inputs!$F$197*$F$109+Inputs!$F$198+Inputs!$F$201/100*Inputs!$F$199)</f>
        <v>0</v>
      </c>
      <c r="BL111" s="11" t="n">
        <f aca="false">BL20*($F$109*(1-Inputs!$F$196)+Inputs!$F$197*$F$109+Inputs!$F$198+Inputs!$F$201/100*Inputs!$F$199)</f>
        <v>0</v>
      </c>
      <c r="BM111" s="11" t="n">
        <f aca="false">BM20*($F$109*(1-Inputs!$F$196)+Inputs!$F$197*$F$109+Inputs!$F$198+Inputs!$F$201/100*Inputs!$F$199)</f>
        <v>0</v>
      </c>
      <c r="BN111" s="11" t="n">
        <f aca="false">BN20*($F$109*(1-Inputs!$F$196)+Inputs!$F$197*$F$109+Inputs!$F$198+Inputs!$F$201/100*Inputs!$F$199)</f>
        <v>0</v>
      </c>
    </row>
    <row r="112" customFormat="false" ht="15" hidden="false" customHeight="false" outlineLevel="0" collapsed="false">
      <c r="B112" s="2" t="s">
        <v>680</v>
      </c>
    </row>
    <row r="113" customFormat="false" ht="15" hidden="false" customHeight="false" outlineLevel="0" collapsed="false">
      <c r="D113" s="0" t="s">
        <v>681</v>
      </c>
      <c r="E113" s="0" t="s">
        <v>109</v>
      </c>
      <c r="J113" s="11" t="n">
        <f aca="false">IF(AND(Inputs!$F$50=1,Time!J17&gt;14),Inputs!$F$204,1)</f>
        <v>1</v>
      </c>
      <c r="K113" s="11" t="n">
        <f aca="false">IF(AND(Inputs!$F$50=1,Time!K17&gt;14),Inputs!$F$204,1)</f>
        <v>1</v>
      </c>
      <c r="L113" s="11" t="n">
        <f aca="false">IF(AND(Inputs!$F$50=1,Time!L17&gt;14),Inputs!$F$204,1)</f>
        <v>1</v>
      </c>
      <c r="M113" s="11" t="n">
        <f aca="false">IF(AND(Inputs!$F$50=1,Time!M17&gt;14),Inputs!$F$204,1)</f>
        <v>1</v>
      </c>
      <c r="N113" s="11" t="n">
        <f aca="false">IF(AND(Inputs!$F$50=1,Time!N17&gt;14),Inputs!$F$204,1)</f>
        <v>1</v>
      </c>
      <c r="O113" s="11" t="n">
        <f aca="false">IF(AND(Inputs!$F$50=1,Time!O17&gt;14),Inputs!$F$204,1)</f>
        <v>1</v>
      </c>
      <c r="P113" s="11" t="n">
        <f aca="false">IF(AND(Inputs!$F$50=1,Time!P17&gt;14),Inputs!$F$204,1)</f>
        <v>1</v>
      </c>
      <c r="Q113" s="11" t="n">
        <f aca="false">IF(AND(Inputs!$F$50=1,Time!Q17&gt;14),Inputs!$F$204,1)</f>
        <v>1</v>
      </c>
      <c r="R113" s="11" t="n">
        <f aca="false">IF(AND(Inputs!$F$50=1,Time!R17&gt;14),Inputs!$F$204,1)</f>
        <v>1</v>
      </c>
      <c r="S113" s="11" t="n">
        <f aca="false">IF(AND(Inputs!$F$50=1,Time!S17&gt;14),Inputs!$F$204,1)</f>
        <v>1</v>
      </c>
      <c r="T113" s="11" t="n">
        <f aca="false">IF(AND(Inputs!$F$50=1,Time!T17&gt;14),Inputs!$F$204,1)</f>
        <v>1</v>
      </c>
      <c r="U113" s="11" t="n">
        <f aca="false">IF(AND(Inputs!$F$50=1,Time!U17&gt;14),Inputs!$F$204,1)</f>
        <v>1</v>
      </c>
      <c r="V113" s="11" t="n">
        <f aca="false">IF(AND(Inputs!$F$50=1,Time!V17&gt;14),Inputs!$F$204,1)</f>
        <v>1</v>
      </c>
      <c r="W113" s="11" t="n">
        <f aca="false">IF(AND(Inputs!$F$50=1,Time!W17&gt;14),Inputs!$F$204,1)</f>
        <v>1</v>
      </c>
      <c r="X113" s="11" t="n">
        <f aca="false">IF(AND(Inputs!$F$50=1,Time!X17&gt;14),Inputs!$F$204,1)</f>
        <v>1</v>
      </c>
      <c r="Y113" s="11" t="n">
        <f aca="false">IF(AND(Inputs!$F$50=1,Time!Y17&gt;14),Inputs!$F$204,1)</f>
        <v>1</v>
      </c>
      <c r="Z113" s="11" t="n">
        <f aca="false">IF(AND(Inputs!$F$50=1,Time!Z17&gt;14),Inputs!$F$204,1)</f>
        <v>1</v>
      </c>
      <c r="AA113" s="11" t="n">
        <f aca="false">IF(AND(Inputs!$F$50=1,Time!AA17&gt;14),Inputs!$F$204,1)</f>
        <v>1</v>
      </c>
      <c r="AB113" s="11" t="n">
        <f aca="false">IF(AND(Inputs!$F$50=1,Time!AB17&gt;14),Inputs!$F$204,1)</f>
        <v>1</v>
      </c>
      <c r="AC113" s="11" t="n">
        <f aca="false">IF(AND(Inputs!$F$50=1,Time!AC17&gt;14),Inputs!$F$204,1)</f>
        <v>1</v>
      </c>
      <c r="AD113" s="11" t="n">
        <f aca="false">IF(AND(Inputs!$F$50=1,Time!AD17&gt;14),Inputs!$F$204,1)</f>
        <v>1</v>
      </c>
      <c r="AE113" s="11" t="n">
        <f aca="false">IF(AND(Inputs!$F$50=1,Time!AE17&gt;14),Inputs!$F$204,1)</f>
        <v>1</v>
      </c>
      <c r="AF113" s="11" t="n">
        <f aca="false">IF(AND(Inputs!$F$50=1,Time!AF17&gt;14),Inputs!$F$204,1)</f>
        <v>1</v>
      </c>
      <c r="AG113" s="11" t="n">
        <f aca="false">IF(AND(Inputs!$F$50=1,Time!AG17&gt;14),Inputs!$F$204,1)</f>
        <v>1</v>
      </c>
      <c r="AH113" s="11" t="n">
        <f aca="false">IF(AND(Inputs!$F$50=1,Time!AH17&gt;14),Inputs!$F$204,1)</f>
        <v>1</v>
      </c>
      <c r="AI113" s="11" t="n">
        <f aca="false">IF(AND(Inputs!$F$50=1,Time!AI17&gt;14),Inputs!$F$204,1)</f>
        <v>1</v>
      </c>
      <c r="AJ113" s="11" t="n">
        <f aca="false">IF(AND(Inputs!$F$50=1,Time!AJ17&gt;14),Inputs!$F$204,1)</f>
        <v>1</v>
      </c>
      <c r="AK113" s="11" t="n">
        <f aca="false">IF(AND(Inputs!$F$50=1,Time!AK17&gt;14),Inputs!$F$204,1)</f>
        <v>1</v>
      </c>
      <c r="AL113" s="11" t="n">
        <f aca="false">IF(AND(Inputs!$F$50=1,Time!AL17&gt;14),Inputs!$F$204,1)</f>
        <v>1</v>
      </c>
      <c r="AM113" s="11" t="n">
        <f aca="false">IF(AND(Inputs!$F$50=1,Time!AM17&gt;14),Inputs!$F$204,1)</f>
        <v>1</v>
      </c>
      <c r="AN113" s="11" t="n">
        <f aca="false">IF(AND(Inputs!$F$50=1,Time!AN17&gt;14),Inputs!$F$204,1)</f>
        <v>1</v>
      </c>
      <c r="AO113" s="11" t="n">
        <f aca="false">IF(AND(Inputs!$F$50=1,Time!AO17&gt;14),Inputs!$F$204,1)</f>
        <v>1</v>
      </c>
      <c r="AP113" s="11" t="n">
        <f aca="false">IF(AND(Inputs!$F$50=1,Time!AP17&gt;14),Inputs!$F$204,1)</f>
        <v>1</v>
      </c>
      <c r="AQ113" s="11" t="n">
        <f aca="false">IF(AND(Inputs!$F$50=1,Time!AQ17&gt;14),Inputs!$F$204,1)</f>
        <v>1</v>
      </c>
      <c r="AR113" s="11" t="n">
        <f aca="false">IF(AND(Inputs!$F$50=1,Time!AR17&gt;14),Inputs!$F$204,1)</f>
        <v>1</v>
      </c>
      <c r="AS113" s="11" t="n">
        <f aca="false">IF(AND(Inputs!$F$50=1,Time!AS17&gt;14),Inputs!$F$204,1)</f>
        <v>1</v>
      </c>
      <c r="AT113" s="11" t="n">
        <f aca="false">IF(AND(Inputs!$F$50=1,Time!AT17&gt;14),Inputs!$F$204,1)</f>
        <v>1</v>
      </c>
      <c r="AU113" s="11" t="n">
        <f aca="false">IF(AND(Inputs!$F$50=1,Time!AU17&gt;14),Inputs!$F$204,1)</f>
        <v>1</v>
      </c>
      <c r="AV113" s="11" t="n">
        <f aca="false">IF(AND(Inputs!$F$50=1,Time!AV17&gt;14),Inputs!$F$204,1)</f>
        <v>1</v>
      </c>
      <c r="AW113" s="11" t="n">
        <f aca="false">IF(AND(Inputs!$F$50=1,Time!AW17&gt;14),Inputs!$F$204,1)</f>
        <v>1</v>
      </c>
      <c r="AX113" s="11" t="n">
        <f aca="false">IF(AND(Inputs!$F$50=1,Time!AX17&gt;14),Inputs!$F$204,1)</f>
        <v>1</v>
      </c>
      <c r="AY113" s="11" t="n">
        <f aca="false">IF(AND(Inputs!$F$50=1,Time!AY17&gt;14),Inputs!$F$204,1)</f>
        <v>1</v>
      </c>
      <c r="AZ113" s="11" t="n">
        <f aca="false">IF(AND(Inputs!$F$50=1,Time!AZ17&gt;14),Inputs!$F$204,1)</f>
        <v>1</v>
      </c>
      <c r="BA113" s="11" t="n">
        <f aca="false">IF(AND(Inputs!$F$50=1,Time!BA17&gt;14),Inputs!$F$204,1)</f>
        <v>1</v>
      </c>
      <c r="BB113" s="11" t="n">
        <f aca="false">IF(AND(Inputs!$F$50=1,Time!BB17&gt;14),Inputs!$F$204,1)</f>
        <v>1</v>
      </c>
      <c r="BC113" s="11" t="n">
        <f aca="false">IF(AND(Inputs!$F$50=1,Time!BC17&gt;14),Inputs!$F$204,1)</f>
        <v>1</v>
      </c>
      <c r="BD113" s="11" t="n">
        <f aca="false">IF(AND(Inputs!$F$50=1,Time!BD17&gt;14),Inputs!$F$204,1)</f>
        <v>1</v>
      </c>
      <c r="BE113" s="11" t="n">
        <f aca="false">IF(AND(Inputs!$F$50=1,Time!BE17&gt;14),Inputs!$F$204,1)</f>
        <v>1</v>
      </c>
      <c r="BF113" s="11" t="n">
        <f aca="false">IF(AND(Inputs!$F$50=1,Time!BF17&gt;14),Inputs!$F$204,1)</f>
        <v>1</v>
      </c>
      <c r="BG113" s="11" t="n">
        <f aca="false">IF(AND(Inputs!$F$50=1,Time!BG17&gt;14),Inputs!$F$204,1)</f>
        <v>1</v>
      </c>
      <c r="BH113" s="11" t="n">
        <f aca="false">IF(AND(Inputs!$F$50=1,Time!BH17&gt;14),Inputs!$F$204,1)</f>
        <v>1</v>
      </c>
      <c r="BI113" s="11" t="n">
        <f aca="false">IF(AND(Inputs!$F$50=1,Time!BI17&gt;14),Inputs!$F$204,1)</f>
        <v>1</v>
      </c>
      <c r="BJ113" s="11" t="n">
        <f aca="false">IF(AND(Inputs!$F$50=1,Time!BJ17&gt;14),Inputs!$F$204,1)</f>
        <v>1</v>
      </c>
      <c r="BK113" s="11" t="n">
        <f aca="false">IF(AND(Inputs!$F$50=1,Time!BK17&gt;14),Inputs!$F$204,1)</f>
        <v>1</v>
      </c>
      <c r="BL113" s="11" t="n">
        <f aca="false">IF(AND(Inputs!$F$50=1,Time!BL17&gt;14),Inputs!$F$204,1)</f>
        <v>1</v>
      </c>
      <c r="BM113" s="11" t="n">
        <f aca="false">IF(AND(Inputs!$F$50=1,Time!BM17&gt;14),Inputs!$F$204,1)</f>
        <v>1</v>
      </c>
      <c r="BN113" s="11" t="n">
        <f aca="false">IF(AND(Inputs!$F$50=1,Time!BN17&gt;14),Inputs!$F$204,1)</f>
        <v>1</v>
      </c>
    </row>
    <row r="114" customFormat="false" ht="15" hidden="false" customHeight="false" outlineLevel="0" collapsed="false">
      <c r="D114" s="0" t="s">
        <v>682</v>
      </c>
      <c r="E114" s="0" t="s">
        <v>149</v>
      </c>
      <c r="G114" s="11" t="n">
        <f aca="false">SUM(J114:BN114)</f>
        <v>-8.33420360298509</v>
      </c>
      <c r="J114" s="11" t="n">
        <f aca="false">Time!J30*Inputs!J225*J113*(Inputs!$F$97/100*0.5-Operations!J9/100*Time!J20/360)</f>
        <v>0</v>
      </c>
      <c r="K114" s="11" t="n">
        <f aca="false">Time!K30*Inputs!K225*K113*(Inputs!$F$97/100*0.5-Operations!K9/100*Time!K20/360)</f>
        <v>0</v>
      </c>
      <c r="L114" s="11" t="n">
        <f aca="false">Time!L30*Inputs!L225*L113*(Inputs!$F$97/100*0.5-Operations!L9/100*Time!L20/360)</f>
        <v>-0</v>
      </c>
      <c r="M114" s="11" t="n">
        <f aca="false">Time!M30*Inputs!M225*M113*(Inputs!$F$97/100*0.5-Operations!M9/100*Time!M20/360)</f>
        <v>-0</v>
      </c>
      <c r="N114" s="11" t="n">
        <f aca="false">Time!N30*Inputs!N225*N113*(Inputs!$F$97/100*0.5-Operations!N9/100*Time!N20/360)</f>
        <v>-0</v>
      </c>
      <c r="O114" s="11" t="n">
        <f aca="false">Time!O30*Inputs!O225*O113*(Inputs!$F$97/100*0.5-Operations!O9/100*Time!O20/360)</f>
        <v>-0</v>
      </c>
      <c r="P114" s="11" t="n">
        <f aca="false">Time!P30*Inputs!P225*P113*(Inputs!$F$97/100*0.5-Operations!P9/100*Time!P20/360)</f>
        <v>-0.536156725561862</v>
      </c>
      <c r="Q114" s="11" t="n">
        <f aca="false">Time!Q30*Inputs!Q225*Q113*(Inputs!$F$97/100*0.5-Operations!Q9/100*Time!Q20/360)</f>
        <v>-0.445478114360217</v>
      </c>
      <c r="R114" s="11" t="n">
        <f aca="false">Time!R30*Inputs!R225*R113*(Inputs!$F$97/100*0.5-Operations!R9/100*Time!R20/360)</f>
        <v>-0.558571669509065</v>
      </c>
      <c r="S114" s="11" t="n">
        <f aca="false">Time!S30*Inputs!S225*S113*(Inputs!$F$97/100*0.5-Operations!S9/100*Time!S20/360)</f>
        <v>-0.445136702711515</v>
      </c>
      <c r="T114" s="11" t="n">
        <f aca="false">Time!T30*Inputs!T225*T113*(Inputs!$F$97/100*0.5-Operations!T9/100*Time!T20/360)</f>
        <v>-0.549845280112812</v>
      </c>
      <c r="U114" s="11" t="n">
        <f aca="false">Time!U30*Inputs!U225*U113*(Inputs!$F$97/100*0.5-Operations!U9/100*Time!U20/360)</f>
        <v>-0.456034890910268</v>
      </c>
      <c r="V114" s="11" t="n">
        <f aca="false">Time!V30*Inputs!V225*V113*(Inputs!$F$97/100*0.5-Operations!V9/100*Time!V20/360)</f>
        <v>-0.513916202993083</v>
      </c>
      <c r="W114" s="11" t="n">
        <f aca="false">Time!W30*Inputs!W225*W113*(Inputs!$F$97/100*0.5-Operations!W9/100*Time!W20/360)</f>
        <v>-0.388372419598774</v>
      </c>
      <c r="X114" s="11" t="n">
        <f aca="false">Time!X30*Inputs!X225*X113*(Inputs!$F$97/100*0.5-Operations!X9/100*Time!X20/360)</f>
        <v>-0.474444911128126</v>
      </c>
      <c r="Y114" s="11" t="n">
        <f aca="false">Time!Y30*Inputs!Y225*Y113*(Inputs!$F$97/100*0.5-Operations!Y9/100*Time!Y20/360)</f>
        <v>-0.357340924315523</v>
      </c>
      <c r="Z114" s="11" t="n">
        <f aca="false">Time!Z30*Inputs!Z225*Z113*(Inputs!$F$97/100*0.5-Operations!Z9/100*Time!Z20/360)</f>
        <v>-0.435482358370267</v>
      </c>
      <c r="AA114" s="11" t="n">
        <f aca="false">Time!AA30*Inputs!AA225*AA113*(Inputs!$F$97/100*0.5-Operations!AA9/100*Time!AA20/360)</f>
        <v>-0.326097738973434</v>
      </c>
      <c r="AB114" s="11" t="n">
        <f aca="false">Time!AB30*Inputs!AB225*AB113*(Inputs!$F$97/100*0.5-Operations!AB9/100*Time!AB20/360)</f>
        <v>-0.394303918246469</v>
      </c>
      <c r="AC114" s="11" t="n">
        <f aca="false">Time!AC30*Inputs!AC225*AC113*(Inputs!$F$97/100*0.5-Operations!AC9/100*Time!AC20/360)</f>
        <v>-0.31914465968803</v>
      </c>
      <c r="AD114" s="11" t="n">
        <f aca="false">Time!AD30*Inputs!AD225*AD113*(Inputs!$F$97/100*0.5-Operations!AD9/100*Time!AD20/360)</f>
        <v>-0.349812757829549</v>
      </c>
      <c r="AE114" s="11" t="n">
        <f aca="false">Time!AE30*Inputs!AE225*AE113*(Inputs!$F$97/100*0.5-Operations!AE9/100*Time!AE20/360)</f>
        <v>-0.255360632473454</v>
      </c>
      <c r="AF114" s="11" t="n">
        <f aca="false">Time!AF30*Inputs!AF225*AF113*(Inputs!$F$97/100*0.5-Operations!AF9/100*Time!AF20/360)</f>
        <v>-0.299379028546211</v>
      </c>
      <c r="AG114" s="11" t="n">
        <f aca="false">Time!AG30*Inputs!AG225*AG113*(Inputs!$F$97/100*0.5-Operations!AG9/100*Time!AG20/360)</f>
        <v>-0.21420619941067</v>
      </c>
      <c r="AH114" s="11" t="n">
        <f aca="false">Time!AH30*Inputs!AH225*AH113*(Inputs!$F$97/100*0.5-Operations!AH9/100*Time!AH20/360)</f>
        <v>-0.245580351678532</v>
      </c>
      <c r="AI114" s="11" t="n">
        <f aca="false">Time!AI30*Inputs!AI225*AI113*(Inputs!$F$97/100*0.5-Operations!AI9/100*Time!AI20/360)</f>
        <v>-0.170490583429942</v>
      </c>
      <c r="AJ114" s="11" t="n">
        <f aca="false">Time!AJ30*Inputs!AJ225*AJ113*(Inputs!$F$97/100*0.5-Operations!AJ9/100*Time!AJ20/360)</f>
        <v>-0.187721389976143</v>
      </c>
      <c r="AK114" s="11" t="n">
        <f aca="false">Time!AK30*Inputs!AK225*AK113*(Inputs!$F$97/100*0.5-Operations!AK9/100*Time!AK20/360)</f>
        <v>-0.134503281259001</v>
      </c>
      <c r="AL114" s="11" t="n">
        <f aca="false">Time!AL30*Inputs!AL225*AL113*(Inputs!$F$97/100*0.5-Operations!AL9/100*Time!AL20/360)</f>
        <v>-0.125195759260965</v>
      </c>
      <c r="AM114" s="11" t="n">
        <f aca="false">Time!AM30*Inputs!AM225*AM113*(Inputs!$F$97/100*0.5-Operations!AM9/100*Time!AM20/360)</f>
        <v>-0.071880526450513</v>
      </c>
      <c r="AN114" s="11" t="n">
        <f aca="false">Time!AN30*Inputs!AN225*AN113*(Inputs!$F$97/100*0.5-Operations!AN9/100*Time!AN20/360)</f>
        <v>-0.0571415404190419</v>
      </c>
      <c r="AO114" s="11" t="n">
        <f aca="false">Time!AO30*Inputs!AO225*AO113*(Inputs!$F$97/100*0.5-Operations!AO9/100*Time!AO20/360)</f>
        <v>-0.0226050357716252</v>
      </c>
      <c r="AP114" s="11" t="n">
        <f aca="false">Time!AP30*Inputs!AP225*AP113*(Inputs!$F$97/100*0.5-Operations!AP9/100*Time!AP20/360)</f>
        <v>-0</v>
      </c>
      <c r="AQ114" s="11" t="n">
        <f aca="false">Time!AQ30*Inputs!AQ225*AQ113*(Inputs!$F$97/100*0.5-Operations!AQ9/100*Time!AQ20/360)</f>
        <v>-0</v>
      </c>
      <c r="AR114" s="11" t="n">
        <f aca="false">Time!AR30*Inputs!AR225*AR113*(Inputs!$F$97/100*0.5-Operations!AR9/100*Time!AR20/360)</f>
        <v>-0</v>
      </c>
      <c r="AS114" s="11" t="n">
        <f aca="false">Time!AS30*Inputs!AS225*AS113*(Inputs!$F$97/100*0.5-Operations!AS9/100*Time!AS20/360)</f>
        <v>-0</v>
      </c>
      <c r="AT114" s="11" t="n">
        <f aca="false">Time!AT30*Inputs!AT225*AT113*(Inputs!$F$97/100*0.5-Operations!AT9/100*Time!AT20/360)</f>
        <v>-0</v>
      </c>
      <c r="AU114" s="11" t="n">
        <f aca="false">Time!AU30*Inputs!AU225*AU113*(Inputs!$F$97/100*0.5-Operations!AU9/100*Time!AU20/360)</f>
        <v>-0</v>
      </c>
      <c r="AV114" s="11" t="n">
        <f aca="false">Time!AV30*Inputs!AV225*AV113*(Inputs!$F$97/100*0.5-Operations!AV9/100*Time!AV20/360)</f>
        <v>-0</v>
      </c>
      <c r="AW114" s="11" t="n">
        <f aca="false">Time!AW30*Inputs!AW225*AW113*(Inputs!$F$97/100*0.5-Operations!AW9/100*Time!AW20/360)</f>
        <v>-0</v>
      </c>
      <c r="AX114" s="11" t="n">
        <f aca="false">Time!AX30*Inputs!AX225*AX113*(Inputs!$F$97/100*0.5-Operations!AX9/100*Time!AX20/360)</f>
        <v>-0</v>
      </c>
      <c r="AY114" s="11" t="n">
        <f aca="false">Time!AY30*Inputs!AY225*AY113*(Inputs!$F$97/100*0.5-Operations!AY9/100*Time!AY20/360)</f>
        <v>-0</v>
      </c>
      <c r="AZ114" s="11" t="n">
        <f aca="false">Time!AZ30*Inputs!AZ225*AZ113*(Inputs!$F$97/100*0.5-Operations!AZ9/100*Time!AZ20/360)</f>
        <v>-0</v>
      </c>
      <c r="BA114" s="11" t="n">
        <f aca="false">Time!BA30*Inputs!BA225*BA113*(Inputs!$F$97/100*0.5-Operations!BA9/100*Time!BA20/360)</f>
        <v>-0</v>
      </c>
      <c r="BB114" s="11" t="n">
        <f aca="false">Time!BB30*Inputs!BB225*BB113*(Inputs!$F$97/100*0.5-Operations!BB9/100*Time!BB20/360)</f>
        <v>-0</v>
      </c>
      <c r="BC114" s="11" t="n">
        <f aca="false">Time!BC30*Inputs!BC225*BC113*(Inputs!$F$97/100*0.5-Operations!BC9/100*Time!BC20/360)</f>
        <v>-0</v>
      </c>
      <c r="BD114" s="11" t="n">
        <f aca="false">Time!BD30*Inputs!BD225*BD113*(Inputs!$F$97/100*0.5-Operations!BD9/100*Time!BD20/360)</f>
        <v>-0</v>
      </c>
      <c r="BE114" s="11" t="n">
        <f aca="false">Time!BE30*Inputs!BE225*BE113*(Inputs!$F$97/100*0.5-Operations!BE9/100*Time!BE20/360)</f>
        <v>-0</v>
      </c>
      <c r="BF114" s="11" t="n">
        <f aca="false">Time!BF30*Inputs!BF225*BF113*(Inputs!$F$97/100*0.5-Operations!BF9/100*Time!BF20/360)</f>
        <v>-0</v>
      </c>
      <c r="BG114" s="11" t="n">
        <f aca="false">Time!BG30*Inputs!BG225*BG113*(Inputs!$F$97/100*0.5-Operations!BG9/100*Time!BG20/360)</f>
        <v>-0</v>
      </c>
      <c r="BH114" s="11" t="n">
        <f aca="false">Time!BH30*Inputs!BH225*BH113*(Inputs!$F$97/100*0.5-Operations!BH9/100*Time!BH20/360)</f>
        <v>-0</v>
      </c>
      <c r="BI114" s="11" t="n">
        <f aca="false">Time!BI30*Inputs!BI225*BI113*(Inputs!$F$97/100*0.5-Operations!BI9/100*Time!BI20/360)</f>
        <v>-0</v>
      </c>
      <c r="BJ114" s="11" t="n">
        <f aca="false">Time!BJ30*Inputs!BJ225*BJ113*(Inputs!$F$97/100*0.5-Operations!BJ9/100*Time!BJ20/360)</f>
        <v>-0</v>
      </c>
      <c r="BK114" s="11" t="n">
        <f aca="false">Time!BK30*Inputs!BK225*BK113*(Inputs!$F$97/100*0.5-Operations!BK9/100*Time!BK20/360)</f>
        <v>-0</v>
      </c>
      <c r="BL114" s="11" t="n">
        <f aca="false">Time!BL30*Inputs!BL225*BL113*(Inputs!$F$97/100*0.5-Operations!BL9/100*Time!BL20/360)</f>
        <v>-0</v>
      </c>
      <c r="BM114" s="11" t="n">
        <f aca="false">Time!BM30*Inputs!BM225*BM113*(Inputs!$F$97/100*0.5-Operations!BM9/100*Time!BM20/360)</f>
        <v>-0</v>
      </c>
      <c r="BN114" s="11" t="n">
        <f aca="false">Time!BN30*Inputs!BN225*BN113*(Inputs!$F$97/100*0.5-Operations!BN9/100*Time!BN20/360)</f>
        <v>-0</v>
      </c>
    </row>
    <row r="115" customFormat="false" ht="15" hidden="false" customHeight="false" outlineLevel="0" collapsed="false">
      <c r="D115" s="0" t="s">
        <v>683</v>
      </c>
      <c r="E115" s="0" t="s">
        <v>149</v>
      </c>
      <c r="G115" s="11" t="n">
        <f aca="false">SUM(J115:BN115)</f>
        <v>16.5909715640779</v>
      </c>
      <c r="J115" s="11" t="n">
        <f aca="false">(Inputs!$F$95/100*Inputs!$F$96/100)*J70*Time!J20/365</f>
        <v>0</v>
      </c>
      <c r="K115" s="11" t="n">
        <f aca="false">(Inputs!$F$95/100*Inputs!$F$96/100)*K70*Time!K20/365</f>
        <v>0</v>
      </c>
      <c r="L115" s="11" t="n">
        <f aca="false">(Inputs!$F$95/100*Inputs!$F$96/100)*L70*Time!L20/365</f>
        <v>0</v>
      </c>
      <c r="M115" s="11" t="n">
        <f aca="false">(Inputs!$F$95/100*Inputs!$F$96/100)*M70*Time!M20/365</f>
        <v>0</v>
      </c>
      <c r="N115" s="11" t="n">
        <f aca="false">(Inputs!$F$95/100*Inputs!$F$96/100)*N70*Time!N20/365</f>
        <v>0</v>
      </c>
      <c r="O115" s="11" t="n">
        <f aca="false">(Inputs!$F$95/100*Inputs!$F$96/100)*O70*Time!O20/365</f>
        <v>0</v>
      </c>
      <c r="P115" s="11" t="n">
        <f aca="false">(Inputs!$F$95/100*Inputs!$F$96/100)*P70*Time!P20/365</f>
        <v>1.2555332009123</v>
      </c>
      <c r="Q115" s="11" t="n">
        <f aca="false">(Inputs!$F$95/100*Inputs!$F$96/100)*Q70*Time!Q20/365</f>
        <v>1.20485238721428</v>
      </c>
      <c r="R115" s="11" t="n">
        <f aca="false">(Inputs!$F$95/100*Inputs!$F$96/100)*R70*Time!R20/365</f>
        <v>1.19281169388614</v>
      </c>
      <c r="S115" s="11" t="n">
        <f aca="false">(Inputs!$F$95/100*Inputs!$F$96/100)*S70*Time!S20/365</f>
        <v>1.1403238737773</v>
      </c>
      <c r="T115" s="11" t="n">
        <f aca="false">(Inputs!$F$95/100*Inputs!$F$96/100)*T70*Time!T20/365</f>
        <v>1.12464707800382</v>
      </c>
      <c r="U115" s="11" t="n">
        <f aca="false">(Inputs!$F$95/100*Inputs!$F$96/100)*U70*Time!U20/365</f>
        <v>1.07664805085327</v>
      </c>
      <c r="V115" s="11" t="n">
        <f aca="false">(Inputs!$F$95/100*Inputs!$F$96/100)*V70*Time!V20/365</f>
        <v>1.05115816565054</v>
      </c>
      <c r="W115" s="11" t="n">
        <f aca="false">(Inputs!$F$95/100*Inputs!$F$96/100)*W70*Time!W20/365</f>
        <v>0.994908618605088</v>
      </c>
      <c r="X115" s="11" t="n">
        <f aca="false">(Inputs!$F$95/100*Inputs!$F$96/100)*X70*Time!X20/365</f>
        <v>0.970424048860717</v>
      </c>
      <c r="Y115" s="11" t="n">
        <f aca="false">(Inputs!$F$95/100*Inputs!$F$96/100)*Y70*Time!Y20/365</f>
        <v>0.915414039310799</v>
      </c>
      <c r="Z115" s="11" t="n">
        <f aca="false">(Inputs!$F$95/100*Inputs!$F$96/100)*Z70*Time!Z20/365</f>
        <v>0.890730501065407</v>
      </c>
      <c r="AA115" s="11" t="n">
        <f aca="false">(Inputs!$F$95/100*Inputs!$F$96/100)*AA70*Time!AA20/365</f>
        <v>0.835377165421469</v>
      </c>
      <c r="AB115" s="11" t="n">
        <f aca="false">(Inputs!$F$95/100*Inputs!$F$96/100)*AB70*Time!AB20/365</f>
        <v>0.773445597797361</v>
      </c>
      <c r="AC115" s="11" t="n">
        <f aca="false">(Inputs!$F$95/100*Inputs!$F$96/100)*AC70*Time!AC20/365</f>
        <v>0.684539884530126</v>
      </c>
      <c r="AD115" s="11" t="n">
        <f aca="false">(Inputs!$F$95/100*Inputs!$F$96/100)*AD70*Time!AD20/365</f>
        <v>0.614453311559241</v>
      </c>
      <c r="AE115" s="11" t="n">
        <f aca="false">(Inputs!$F$95/100*Inputs!$F$96/100)*AE70*Time!AE20/365</f>
        <v>0.523988958299256</v>
      </c>
      <c r="AF115" s="11" t="n">
        <f aca="false">(Inputs!$F$95/100*Inputs!$F$96/100)*AF70*Time!AF20/365</f>
        <v>0.44958157431905</v>
      </c>
      <c r="AG115" s="11" t="n">
        <f aca="false">(Inputs!$F$95/100*Inputs!$F$96/100)*AG70*Time!AG20/365</f>
        <v>0.354278493824592</v>
      </c>
      <c r="AH115" s="11" t="n">
        <f aca="false">(Inputs!$F$95/100*Inputs!$F$96/100)*AH70*Time!AH20/365</f>
        <v>0.271170261398766</v>
      </c>
      <c r="AI115" s="11" t="n">
        <f aca="false">(Inputs!$F$95/100*Inputs!$F$96/100)*AI70*Time!AI20/365</f>
        <v>0.176408908891411</v>
      </c>
      <c r="AJ115" s="11" t="n">
        <f aca="false">(Inputs!$F$95/100*Inputs!$F$96/100)*AJ70*Time!AJ20/365</f>
        <v>0.0900276682119993</v>
      </c>
      <c r="AK115" s="11" t="n">
        <f aca="false">(Inputs!$F$95/100*Inputs!$F$96/100)*AK70*Time!AK20/365</f>
        <v>0.000248081684920975</v>
      </c>
      <c r="AL115" s="11" t="n">
        <f aca="false">(Inputs!$F$95/100*Inputs!$F$96/100)*AL70*Time!AL20/365</f>
        <v>0</v>
      </c>
      <c r="AM115" s="11" t="n">
        <f aca="false">(Inputs!$F$95/100*Inputs!$F$96/100)*AM70*Time!AM20/365</f>
        <v>0</v>
      </c>
      <c r="AN115" s="11" t="n">
        <f aca="false">(Inputs!$F$95/100*Inputs!$F$96/100)*AN70*Time!AN20/365</f>
        <v>0</v>
      </c>
      <c r="AO115" s="11" t="n">
        <f aca="false">(Inputs!$F$95/100*Inputs!$F$96/100)*AO70*Time!AO20/365</f>
        <v>0</v>
      </c>
      <c r="AP115" s="11" t="n">
        <f aca="false">(Inputs!$F$95/100*Inputs!$F$96/100)*AP70*Time!AP20/365</f>
        <v>0</v>
      </c>
      <c r="AQ115" s="11" t="n">
        <f aca="false">(Inputs!$F$95/100*Inputs!$F$96/100)*AQ70*Time!AQ20/365</f>
        <v>0</v>
      </c>
      <c r="AR115" s="11" t="n">
        <f aca="false">(Inputs!$F$95/100*Inputs!$F$96/100)*AR70*Time!AR20/365</f>
        <v>0</v>
      </c>
      <c r="AS115" s="11" t="n">
        <f aca="false">(Inputs!$F$95/100*Inputs!$F$96/100)*AS70*Time!AS20/365</f>
        <v>0</v>
      </c>
      <c r="AT115" s="11" t="n">
        <f aca="false">(Inputs!$F$95/100*Inputs!$F$96/100)*AT70*Time!AT20/365</f>
        <v>0</v>
      </c>
      <c r="AU115" s="11" t="n">
        <f aca="false">(Inputs!$F$95/100*Inputs!$F$96/100)*AU70*Time!AU20/365</f>
        <v>0</v>
      </c>
      <c r="AV115" s="11" t="n">
        <f aca="false">(Inputs!$F$95/100*Inputs!$F$96/100)*AV70*Time!AV20/365</f>
        <v>0</v>
      </c>
      <c r="AW115" s="11" t="n">
        <f aca="false">(Inputs!$F$95/100*Inputs!$F$96/100)*AW70*Time!AW20/365</f>
        <v>0</v>
      </c>
      <c r="AX115" s="11" t="n">
        <f aca="false">(Inputs!$F$95/100*Inputs!$F$96/100)*AX70*Time!AX20/365</f>
        <v>0</v>
      </c>
      <c r="AY115" s="11" t="n">
        <f aca="false">(Inputs!$F$95/100*Inputs!$F$96/100)*AY70*Time!AY20/365</f>
        <v>0</v>
      </c>
      <c r="AZ115" s="11" t="n">
        <f aca="false">(Inputs!$F$95/100*Inputs!$F$96/100)*AZ70*Time!AZ20/365</f>
        <v>0</v>
      </c>
      <c r="BA115" s="11" t="n">
        <f aca="false">(Inputs!$F$95/100*Inputs!$F$96/100)*BA70*Time!BA20/365</f>
        <v>0</v>
      </c>
      <c r="BB115" s="11" t="n">
        <f aca="false">(Inputs!$F$95/100*Inputs!$F$96/100)*BB70*Time!BB20/365</f>
        <v>0</v>
      </c>
      <c r="BC115" s="11" t="n">
        <f aca="false">(Inputs!$F$95/100*Inputs!$F$96/100)*BC70*Time!BC20/365</f>
        <v>0</v>
      </c>
      <c r="BD115" s="11" t="n">
        <f aca="false">(Inputs!$F$95/100*Inputs!$F$96/100)*BD70*Time!BD20/365</f>
        <v>0</v>
      </c>
      <c r="BE115" s="11" t="n">
        <f aca="false">(Inputs!$F$95/100*Inputs!$F$96/100)*BE70*Time!BE20/365</f>
        <v>0</v>
      </c>
      <c r="BF115" s="11" t="n">
        <f aca="false">(Inputs!$F$95/100*Inputs!$F$96/100)*BF70*Time!BF20/365</f>
        <v>0</v>
      </c>
      <c r="BG115" s="11" t="n">
        <f aca="false">(Inputs!$F$95/100*Inputs!$F$96/100)*BG70*Time!BG20/365</f>
        <v>0</v>
      </c>
      <c r="BH115" s="11" t="n">
        <f aca="false">(Inputs!$F$95/100*Inputs!$F$96/100)*BH70*Time!BH20/365</f>
        <v>0</v>
      </c>
      <c r="BI115" s="11" t="n">
        <f aca="false">(Inputs!$F$95/100*Inputs!$F$96/100)*BI70*Time!BI20/365</f>
        <v>0</v>
      </c>
      <c r="BJ115" s="11" t="n">
        <f aca="false">(Inputs!$F$95/100*Inputs!$F$96/100)*BJ70*Time!BJ20/365</f>
        <v>0</v>
      </c>
      <c r="BK115" s="11" t="n">
        <f aca="false">(Inputs!$F$95/100*Inputs!$F$96/100)*BK70*Time!BK20/365</f>
        <v>0</v>
      </c>
      <c r="BL115" s="11" t="n">
        <f aca="false">(Inputs!$F$95/100*Inputs!$F$96/100)*BL70*Time!BL20/365</f>
        <v>0</v>
      </c>
      <c r="BM115" s="11" t="n">
        <f aca="false">(Inputs!$F$95/100*Inputs!$F$96/100)*BM70*Time!BM20/365</f>
        <v>0</v>
      </c>
      <c r="BN115" s="11" t="n">
        <f aca="false">(Inputs!$F$95/100*Inputs!$F$96/100)*BN70*Time!BN20/365</f>
        <v>0</v>
      </c>
    </row>
    <row r="116" customFormat="false" ht="15" hidden="false" customHeight="false" outlineLevel="0" collapsed="false">
      <c r="D116" s="0" t="s">
        <v>684</v>
      </c>
      <c r="E116" s="0" t="s">
        <v>149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IF($F$109&gt;0,Inputs!$F$200/100*0.5*W100*Inputs!$F$199/$F$109,0)</f>
        <v>0</v>
      </c>
      <c r="X116" s="11" t="n">
        <f aca="false">IF($F$109&gt;0,Inputs!$F$200/100*0.5*X100*Inputs!$F$199/$F$109,0)</f>
        <v>0</v>
      </c>
      <c r="Y116" s="11" t="n">
        <f aca="false">IF($F$109&gt;0,Inputs!$F$200/100*0.5*Y100*Inputs!$F$199/$F$109,0)</f>
        <v>0</v>
      </c>
      <c r="Z116" s="11" t="n">
        <f aca="false">IF($F$109&gt;0,Inputs!$F$200/100*0.5*Z100*Inputs!$F$199/$F$109,0)</f>
        <v>0</v>
      </c>
      <c r="AA116" s="11" t="n">
        <f aca="false">IF($F$109&gt;0,Inputs!$F$200/100*0.5*AA100*Inputs!$F$199/$F$109,0)</f>
        <v>0</v>
      </c>
      <c r="AB116" s="11" t="n">
        <f aca="false">IF($F$109&gt;0,Inputs!$F$200/100*0.5*AB100*Inputs!$F$199/$F$109,0)</f>
        <v>0</v>
      </c>
      <c r="AC116" s="11" t="n">
        <f aca="false">IF($F$109&gt;0,Inputs!$F$200/100*0.5*AC100*Inputs!$F$199/$F$109,0)</f>
        <v>0</v>
      </c>
      <c r="AD116" s="11" t="n">
        <f aca="false">IF($F$109&gt;0,Inputs!$F$200/100*0.5*AD100*Inputs!$F$199/$F$109,0)</f>
        <v>0</v>
      </c>
      <c r="AE116" s="11" t="n">
        <f aca="false">IF($F$109&gt;0,Inputs!$F$200/100*0.5*AE100*Inputs!$F$199/$F$109,0)</f>
        <v>0</v>
      </c>
      <c r="AF116" s="11" t="n">
        <f aca="false">IF($F$109&gt;0,Inputs!$F$200/100*0.5*AF100*Inputs!$F$199/$F$109,0)</f>
        <v>0</v>
      </c>
      <c r="AG116" s="11" t="n">
        <f aca="false">IF($F$109&gt;0,Inputs!$F$200/100*0.5*AG100*Inputs!$F$199/$F$109,0)</f>
        <v>0</v>
      </c>
      <c r="AH116" s="11" t="n">
        <f aca="false">IF($F$109&gt;0,Inputs!$F$200/100*0.5*AH100*Inputs!$F$199/$F$109,0)</f>
        <v>0</v>
      </c>
      <c r="AI116" s="11" t="n">
        <f aca="false">IF($F$109&gt;0,Inputs!$F$200/100*0.5*AI100*Inputs!$F$199/$F$109,0)</f>
        <v>0</v>
      </c>
      <c r="AJ116" s="11" t="n">
        <f aca="false">IF($F$109&gt;0,Inputs!$F$200/100*0.5*AJ100*Inputs!$F$199/$F$109,0)</f>
        <v>0</v>
      </c>
      <c r="AK116" s="11" t="n">
        <f aca="false">IF($F$109&gt;0,Inputs!$F$200/100*0.5*AK100*Inputs!$F$199/$F$109,0)</f>
        <v>0</v>
      </c>
      <c r="AL116" s="11" t="n">
        <f aca="false">IF($F$109&gt;0,Inputs!$F$200/100*0.5*AL100*Inputs!$F$199/$F$109,0)</f>
        <v>0</v>
      </c>
      <c r="AM116" s="11" t="n">
        <f aca="false">IF($F$109&gt;0,Inputs!$F$200/100*0.5*AM100*Inputs!$F$199/$F$109,0)</f>
        <v>0</v>
      </c>
      <c r="AN116" s="11" t="n">
        <f aca="false">IF($F$109&gt;0,Inputs!$F$200/100*0.5*AN100*Inputs!$F$199/$F$109,0)</f>
        <v>0</v>
      </c>
      <c r="AO116" s="11" t="n">
        <f aca="false">IF($F$109&gt;0,Inputs!$F$200/100*0.5*AO100*Inputs!$F$199/$F$109,0)</f>
        <v>0</v>
      </c>
      <c r="AP116" s="11" t="n">
        <f aca="false">IF($F$109&gt;0,Inputs!$F$200/100*0.5*AP100*Inputs!$F$199/$F$109,0)</f>
        <v>0</v>
      </c>
      <c r="AQ116" s="11" t="n">
        <f aca="false">IF($F$109&gt;0,Inputs!$F$200/100*0.5*AQ100*Inputs!$F$199/$F$109,0)</f>
        <v>0</v>
      </c>
      <c r="AR116" s="11" t="n">
        <f aca="false">IF($F$109&gt;0,Inputs!$F$200/100*0.5*AR100*Inputs!$F$199/$F$109,0)</f>
        <v>0</v>
      </c>
      <c r="AS116" s="11" t="n">
        <f aca="false">IF($F$109&gt;0,Inputs!$F$200/100*0.5*AS100*Inputs!$F$199/$F$109,0)</f>
        <v>0</v>
      </c>
      <c r="AT116" s="11" t="n">
        <f aca="false">IF($F$109&gt;0,Inputs!$F$200/100*0.5*AT100*Inputs!$F$199/$F$109,0)</f>
        <v>0</v>
      </c>
      <c r="AU116" s="11" t="n">
        <f aca="false">IF($F$109&gt;0,Inputs!$F$200/100*0.5*AU100*Inputs!$F$199/$F$109,0)</f>
        <v>0</v>
      </c>
      <c r="AV116" s="11" t="n">
        <f aca="false">IF($F$109&gt;0,Inputs!$F$200/100*0.5*AV100*Inputs!$F$199/$F$109,0)</f>
        <v>0</v>
      </c>
      <c r="AW116" s="11" t="n">
        <f aca="false">IF($F$109&gt;0,Inputs!$F$200/100*0.5*AW100*Inputs!$F$199/$F$109,0)</f>
        <v>0</v>
      </c>
      <c r="AX116" s="11" t="n">
        <f aca="false">IF($F$109&gt;0,Inputs!$F$200/100*0.5*AX100*Inputs!$F$199/$F$109,0)</f>
        <v>0</v>
      </c>
      <c r="AY116" s="11" t="n">
        <f aca="false">IF($F$109&gt;0,Inputs!$F$200/100*0.5*AY100*Inputs!$F$199/$F$109,0)</f>
        <v>0</v>
      </c>
      <c r="AZ116" s="11" t="n">
        <f aca="false">IF($F$109&gt;0,Inputs!$F$200/100*0.5*AZ100*Inputs!$F$199/$F$109,0)</f>
        <v>0</v>
      </c>
      <c r="BA116" s="11" t="n">
        <f aca="false">IF($F$109&gt;0,Inputs!$F$200/100*0.5*BA100*Inputs!$F$199/$F$109,0)</f>
        <v>0</v>
      </c>
      <c r="BB116" s="11" t="n">
        <f aca="false">IF($F$109&gt;0,Inputs!$F$200/100*0.5*BB100*Inputs!$F$199/$F$109,0)</f>
        <v>0</v>
      </c>
      <c r="BC116" s="11" t="n">
        <f aca="false">IF($F$109&gt;0,Inputs!$F$200/100*0.5*BC100*Inputs!$F$199/$F$109,0)</f>
        <v>0</v>
      </c>
      <c r="BD116" s="11" t="n">
        <f aca="false">IF($F$109&gt;0,Inputs!$F$200/100*0.5*BD100*Inputs!$F$199/$F$109,0)</f>
        <v>0</v>
      </c>
      <c r="BE116" s="11" t="n">
        <f aca="false">IF($F$109&gt;0,Inputs!$F$200/100*0.5*BE100*Inputs!$F$199/$F$109,0)</f>
        <v>0</v>
      </c>
      <c r="BF116" s="11" t="n">
        <f aca="false">IF($F$109&gt;0,Inputs!$F$200/100*0.5*BF100*Inputs!$F$199/$F$109,0)</f>
        <v>0</v>
      </c>
      <c r="BG116" s="11" t="n">
        <f aca="false">IF($F$109&gt;0,Inputs!$F$200/100*0.5*BG100*Inputs!$F$199/$F$109,0)</f>
        <v>0</v>
      </c>
      <c r="BH116" s="11" t="n">
        <f aca="false">IF($F$109&gt;0,Inputs!$F$200/100*0.5*BH100*Inputs!$F$199/$F$109,0)</f>
        <v>0</v>
      </c>
      <c r="BI116" s="11" t="n">
        <f aca="false">IF($F$109&gt;0,Inputs!$F$200/100*0.5*BI100*Inputs!$F$199/$F$109,0)</f>
        <v>0</v>
      </c>
      <c r="BJ116" s="11" t="n">
        <f aca="false">IF($F$109&gt;0,Inputs!$F$200/100*0.5*BJ100*Inputs!$F$199/$F$109,0)</f>
        <v>0</v>
      </c>
      <c r="BK116" s="11" t="n">
        <f aca="false">IF($F$109&gt;0,Inputs!$F$200/100*0.5*BK100*Inputs!$F$199/$F$109,0)</f>
        <v>0</v>
      </c>
      <c r="BL116" s="11" t="n">
        <f aca="false">IF($F$109&gt;0,Inputs!$F$200/100*0.5*BL100*Inputs!$F$199/$F$109,0)</f>
        <v>0</v>
      </c>
      <c r="BM116" s="11" t="n">
        <f aca="false">IF($F$109&gt;0,Inputs!$F$200/100*0.5*BM100*Inputs!$F$199/$F$109,0)</f>
        <v>0</v>
      </c>
      <c r="BN116" s="11" t="n">
        <f aca="false">IF($F$109&gt;0,Inputs!$F$200/100*0.5*BN100*Inputs!$F$199/$F$109,0)</f>
        <v>0</v>
      </c>
    </row>
    <row r="117" customFormat="false" ht="15" hidden="false" customHeight="false" outlineLevel="0" collapsed="false">
      <c r="D117" s="0" t="s">
        <v>301</v>
      </c>
      <c r="E117" s="0" t="s">
        <v>149</v>
      </c>
      <c r="G117" s="11" t="n">
        <f aca="false">SUM(J117:BN117)</f>
        <v>0</v>
      </c>
      <c r="J117" s="11" t="n">
        <f aca="false">J21*Inputs!$F$192/100*(J25+J40+J55+J70+J85)</f>
        <v>0</v>
      </c>
      <c r="K117" s="11" t="n">
        <f aca="false">K21*Inputs!$F$192/100*(K25+K40+K55+K70+K85)</f>
        <v>0</v>
      </c>
      <c r="L117" s="11" t="n">
        <f aca="false">L21*Inputs!$F$192/100*(L25+L40+L55+L70+L85)</f>
        <v>0</v>
      </c>
      <c r="M117" s="11" t="n">
        <f aca="false">M21*Inputs!$F$192/100*(M25+M40+M55+M70+M85)</f>
        <v>0</v>
      </c>
      <c r="N117" s="11" t="n">
        <f aca="false">N21*Inputs!$F$192/100*(N25+N40+N55+N70+N85)</f>
        <v>0</v>
      </c>
      <c r="O117" s="11" t="n">
        <f aca="false">O21*Inputs!$F$192/100*(O25+O40+O55+O70+O85)</f>
        <v>0</v>
      </c>
      <c r="P117" s="11" t="n">
        <f aca="false">P21*Inputs!$F$192/100*(P25+P40+P55+P70+P85)</f>
        <v>0</v>
      </c>
      <c r="Q117" s="11" t="n">
        <f aca="false">Q21*Inputs!$F$192/100*(Q25+Q40+Q55+Q70+Q85)</f>
        <v>0</v>
      </c>
      <c r="R117" s="11" t="n">
        <f aca="false">R21*Inputs!$F$192/100*(R25+R40+R55+R70+R85)</f>
        <v>0</v>
      </c>
      <c r="S117" s="11" t="n">
        <f aca="false">S21*Inputs!$F$192/100*(S25+S40+S55+S70+S85)</f>
        <v>0</v>
      </c>
      <c r="T117" s="11" t="n">
        <f aca="false">T21*Inputs!$F$192/100*(T25+T40+T55+T70+T85)</f>
        <v>0</v>
      </c>
      <c r="U117" s="11" t="n">
        <f aca="false">U21*Inputs!$F$192/100*(U25+U40+U55+U70+U85)</f>
        <v>0</v>
      </c>
      <c r="V117" s="11" t="n">
        <f aca="false">V21*Inputs!$F$192/100*(V25+V40+V55+V70+V85)</f>
        <v>0</v>
      </c>
      <c r="W117" s="11" t="n">
        <f aca="false">W21*Inputs!$F$192/100*(W25+W40+W55+W70+W85)</f>
        <v>0</v>
      </c>
      <c r="X117" s="11" t="n">
        <f aca="false">X21*Inputs!$F$192/100*(X25+X40+X55+X70+X85)</f>
        <v>0</v>
      </c>
      <c r="Y117" s="11" t="n">
        <f aca="false">Y21*Inputs!$F$192/100*(Y25+Y40+Y55+Y70+Y85)</f>
        <v>0</v>
      </c>
      <c r="Z117" s="11" t="n">
        <f aca="false">Z21*Inputs!$F$192/100*(Z25+Z40+Z55+Z70+Z85)</f>
        <v>0</v>
      </c>
      <c r="AA117" s="11" t="n">
        <f aca="false">AA21*Inputs!$F$192/100*(AA25+AA40+AA55+AA70+AA85)</f>
        <v>0</v>
      </c>
      <c r="AB117" s="11" t="n">
        <f aca="false">AB21*Inputs!$F$192/100*(AB25+AB40+AB55+AB70+AB85)</f>
        <v>0</v>
      </c>
      <c r="AC117" s="11" t="n">
        <f aca="false">AC21*Inputs!$F$192/100*(AC25+AC40+AC55+AC70+AC85)</f>
        <v>0</v>
      </c>
      <c r="AD117" s="11" t="n">
        <f aca="false">AD21*Inputs!$F$192/100*(AD25+AD40+AD55+AD70+AD85)</f>
        <v>0</v>
      </c>
      <c r="AE117" s="11" t="n">
        <f aca="false">AE21*Inputs!$F$192/100*(AE25+AE40+AE55+AE70+AE85)</f>
        <v>0</v>
      </c>
      <c r="AF117" s="11" t="n">
        <f aca="false">AF21*Inputs!$F$192/100*(AF25+AF40+AF55+AF70+AF85)</f>
        <v>0</v>
      </c>
      <c r="AG117" s="11" t="n">
        <f aca="false">AG21*Inputs!$F$192/100*(AG25+AG40+AG55+AG70+AG85)</f>
        <v>0</v>
      </c>
      <c r="AH117" s="11" t="n">
        <f aca="false">AH21*Inputs!$F$192/100*(AH25+AH40+AH55+AH70+AH85)</f>
        <v>0</v>
      </c>
      <c r="AI117" s="11" t="n">
        <f aca="false">AI21*Inputs!$F$192/100*(AI25+AI40+AI55+AI70+AI85)</f>
        <v>0</v>
      </c>
      <c r="AJ117" s="11" t="n">
        <f aca="false">AJ21*Inputs!$F$192/100*(AJ25+AJ40+AJ55+AJ70+AJ85)</f>
        <v>0</v>
      </c>
      <c r="AK117" s="11" t="n">
        <f aca="false">AK21*Inputs!$F$192/100*(AK25+AK40+AK55+AK70+AK85)</f>
        <v>0</v>
      </c>
      <c r="AL117" s="11" t="n">
        <f aca="false">AL21*Inputs!$F$192/100*(AL25+AL40+AL55+AL70+AL85)</f>
        <v>0</v>
      </c>
      <c r="AM117" s="11" t="n">
        <f aca="false">AM21*Inputs!$F$192/100*(AM25+AM40+AM55+AM70+AM85)</f>
        <v>0</v>
      </c>
      <c r="AN117" s="11" t="n">
        <f aca="false">AN21*Inputs!$F$192/100*(AN25+AN40+AN55+AN70+AN85)</f>
        <v>0</v>
      </c>
      <c r="AO117" s="11" t="n">
        <f aca="false">AO21*Inputs!$F$192/100*(AO25+AO40+AO55+AO70+AO85)</f>
        <v>0</v>
      </c>
      <c r="AP117" s="11" t="n">
        <f aca="false">AP21*Inputs!$F$192/100*(AP25+AP40+AP55+AP70+AP85)</f>
        <v>0</v>
      </c>
      <c r="AQ117" s="11" t="n">
        <f aca="false">AQ21*Inputs!$F$192/100*(AQ25+AQ40+AQ55+AQ70+AQ85)</f>
        <v>0</v>
      </c>
      <c r="AR117" s="11" t="n">
        <f aca="false">AR21*Inputs!$F$192/100*(AR25+AR40+AR55+AR70+AR85)</f>
        <v>0</v>
      </c>
      <c r="AS117" s="11" t="n">
        <f aca="false">AS21*Inputs!$F$192/100*(AS25+AS40+AS55+AS70+AS85)</f>
        <v>0</v>
      </c>
      <c r="AT117" s="11" t="n">
        <f aca="false">AT21*Inputs!$F$192/100*(AT25+AT40+AT55+AT70+AT85)</f>
        <v>0</v>
      </c>
      <c r="AU117" s="11" t="n">
        <f aca="false">AU21*Inputs!$F$192/100*(AU25+AU40+AU55+AU70+AU85)</f>
        <v>0</v>
      </c>
      <c r="AV117" s="11" t="n">
        <f aca="false">AV21*Inputs!$F$192/100*(AV25+AV40+AV55+AV70+AV85)</f>
        <v>0</v>
      </c>
      <c r="AW117" s="11" t="n">
        <f aca="false">AW21*Inputs!$F$192/100*(AW25+AW40+AW55+AW70+AW85)</f>
        <v>0</v>
      </c>
      <c r="AX117" s="11" t="n">
        <f aca="false">AX21*Inputs!$F$192/100*(AX25+AX40+AX55+AX70+AX85)</f>
        <v>0</v>
      </c>
      <c r="AY117" s="11" t="n">
        <f aca="false">AY21*Inputs!$F$192/100*(AY25+AY40+AY55+AY70+AY85)</f>
        <v>0</v>
      </c>
      <c r="AZ117" s="11" t="n">
        <f aca="false">AZ21*Inputs!$F$192/100*(AZ25+AZ40+AZ55+AZ70+AZ85)</f>
        <v>0</v>
      </c>
      <c r="BA117" s="11" t="n">
        <f aca="false">BA21*Inputs!$F$192/100*(BA25+BA40+BA55+BA70+BA85)</f>
        <v>0</v>
      </c>
      <c r="BB117" s="11" t="n">
        <f aca="false">BB21*Inputs!$F$192/100*(BB25+BB40+BB55+BB70+BB85)</f>
        <v>0</v>
      </c>
      <c r="BC117" s="11" t="n">
        <f aca="false">BC21*Inputs!$F$192/100*(BC25+BC40+BC55+BC70+BC85)</f>
        <v>0</v>
      </c>
      <c r="BD117" s="11" t="n">
        <f aca="false">BD21*Inputs!$F$192/100*(BD25+BD40+BD55+BD70+BD85)</f>
        <v>0</v>
      </c>
      <c r="BE117" s="11" t="n">
        <f aca="false">BE21*Inputs!$F$192/100*(BE25+BE40+BE55+BE70+BE85)</f>
        <v>0</v>
      </c>
      <c r="BF117" s="11" t="n">
        <f aca="false">BF21*Inputs!$F$192/100*(BF25+BF40+BF55+BF70+BF85)</f>
        <v>0</v>
      </c>
      <c r="BG117" s="11" t="n">
        <f aca="false">BG21*Inputs!$F$192/100*(BG25+BG40+BG55+BG70+BG85)</f>
        <v>0</v>
      </c>
      <c r="BH117" s="11" t="n">
        <f aca="false">BH21*Inputs!$F$192/100*(BH25+BH40+BH55+BH70+BH85)</f>
        <v>0</v>
      </c>
      <c r="BI117" s="11" t="n">
        <f aca="false">BI21*Inputs!$F$192/100*(BI25+BI40+BI55+BI70+BI85)</f>
        <v>0</v>
      </c>
      <c r="BJ117" s="11" t="n">
        <f aca="false">BJ21*Inputs!$F$192/100*(BJ25+BJ40+BJ55+BJ70+BJ85)</f>
        <v>0</v>
      </c>
      <c r="BK117" s="11" t="n">
        <f aca="false">BK21*Inputs!$F$192/100*(BK25+BK40+BK55+BK70+BK85)</f>
        <v>0</v>
      </c>
      <c r="BL117" s="11" t="n">
        <f aca="false">BL21*Inputs!$F$192/100*(BL25+BL40+BL55+BL70+BL85)</f>
        <v>0</v>
      </c>
      <c r="BM117" s="11" t="n">
        <f aca="false">BM21*Inputs!$F$192/100*(BM25+BM40+BM55+BM70+BM85)</f>
        <v>0</v>
      </c>
      <c r="BN117" s="11" t="n">
        <f aca="false">BN21*Inputs!$F$192/100*(BN25+BN40+BN55+BN70+BN85)</f>
        <v>0</v>
      </c>
    </row>
    <row r="118" customFormat="false" ht="15" hidden="false" customHeight="false" outlineLevel="0" collapsed="false">
      <c r="D118" s="0" t="s">
        <v>685</v>
      </c>
      <c r="E118" s="0" t="s">
        <v>149</v>
      </c>
      <c r="G118" s="11" t="n">
        <f aca="false">SUM(J118:BN118)</f>
        <v>304.842944584199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21.0368041610017</v>
      </c>
      <c r="Q118" s="11" t="n">
        <f aca="false">Q27+Q42+Q57+Q72+Q87+Q101</f>
        <v>20.2523758527047</v>
      </c>
      <c r="R118" s="11" t="n">
        <f aca="false">R27+R42+R57+R72+R87+R101</f>
        <v>20.0499837178703</v>
      </c>
      <c r="S118" s="11" t="n">
        <f aca="false">S27+S42+S57+S72+S87+S101</f>
        <v>19.1983530391913</v>
      </c>
      <c r="T118" s="11" t="n">
        <f aca="false">T27+T42+T57+T72+T87+T101</f>
        <v>18.9344204260947</v>
      </c>
      <c r="U118" s="11" t="n">
        <f aca="false">U27+U42+U57+U72+U87+U101</f>
        <v>18.1263146852918</v>
      </c>
      <c r="V118" s="11" t="n">
        <f aca="false">V27+V42+V57+V72+V87+V101</f>
        <v>17.6971701007542</v>
      </c>
      <c r="W118" s="11" t="n">
        <f aca="false">W27+W42+W57+W72+W87+W101</f>
        <v>16.7501596177622</v>
      </c>
      <c r="X118" s="11" t="n">
        <f aca="false">X27+X42+X57+X72+X87+X101</f>
        <v>16.3379404011215</v>
      </c>
      <c r="Y118" s="11" t="n">
        <f aca="false">Y27+Y42+Y57+Y72+Y87+Y101</f>
        <v>15.9099887017777</v>
      </c>
      <c r="Z118" s="11" t="n">
        <f aca="false">Z27+Z42+Z57+Z72+Z87+Z101</f>
        <v>15.4809863075171</v>
      </c>
      <c r="AA118" s="11" t="n">
        <f aca="false">AA27+AA42+AA57+AA72+AA87+AA101</f>
        <v>14.5189397287211</v>
      </c>
      <c r="AB118" s="11" t="n">
        <f aca="false">AB27+AB42+AB57+AB72+AB87+AB101</f>
        <v>13.7393429660067</v>
      </c>
      <c r="AC118" s="11" t="n">
        <f aca="false">AC27+AC42+AC57+AC72+AC87+AC101</f>
        <v>12.5161358892453</v>
      </c>
      <c r="AD118" s="11" t="n">
        <f aca="false">AD27+AD42+AD57+AD72+AD87+AD101</f>
        <v>11.5864119104968</v>
      </c>
      <c r="AE118" s="11" t="n">
        <f aca="false">AE27+AE42+AE57+AE72+AE87+AE101</f>
        <v>10.2756283938941</v>
      </c>
      <c r="AF118" s="11" t="n">
        <f aca="false">AF27+AF42+AF57+AF72+AF87+AF101</f>
        <v>9.27495925346844</v>
      </c>
      <c r="AG118" s="11" t="n">
        <f aca="false">AG27+AG42+AG57+AG72+AG87+AG101</f>
        <v>8.09594207346112</v>
      </c>
      <c r="AH118" s="11" t="n">
        <f aca="false">AH27+AH42+AH57+AH72+AH87+AH101</f>
        <v>6.93552606092078</v>
      </c>
      <c r="AI118" s="11" t="n">
        <f aca="false">AI27+AI42+AI57+AI72+AI87+AI101</f>
        <v>5.49918783438391</v>
      </c>
      <c r="AJ118" s="11" t="n">
        <f aca="false">AJ27+AJ42+AJ57+AJ72+AJ87+AJ101</f>
        <v>4.25242792178708</v>
      </c>
      <c r="AK118" s="11" t="n">
        <f aca="false">AK27+AK42+AK57+AK72+AK87+AK101</f>
        <v>2.85293352486096</v>
      </c>
      <c r="AL118" s="11" t="n">
        <f aca="false">AL27+AL42+AL57+AL72+AL87+AL101</f>
        <v>2.29884901068256</v>
      </c>
      <c r="AM118" s="11" t="n">
        <f aca="false">AM27+AM42+AM57+AM72+AM87+AM101</f>
        <v>1.65306957585187</v>
      </c>
      <c r="AN118" s="11" t="n">
        <f aca="false">AN27+AN42+AN57+AN72+AN87+AN101</f>
        <v>1.04923500952918</v>
      </c>
      <c r="AO118" s="11" t="n">
        <f aca="false">AO27+AO42+AO57+AO72+AO87+AO101</f>
        <v>0.519858419802241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686</v>
      </c>
      <c r="E119" s="0" t="s">
        <v>149</v>
      </c>
      <c r="G119" s="11" t="n">
        <f aca="false">SUM(J119:BN119)</f>
        <v>313.099712545292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21.7561806363521</v>
      </c>
      <c r="Q119" s="11" t="n">
        <f aca="false">Q118+Q114+Q115+Q116</f>
        <v>21.0117501255587</v>
      </c>
      <c r="R119" s="11" t="n">
        <f aca="false">R118+R114+R115+R116</f>
        <v>20.6842237422474</v>
      </c>
      <c r="S119" s="11" t="n">
        <f aca="false">S118+S114+S115+S116</f>
        <v>19.8935402102571</v>
      </c>
      <c r="T119" s="11" t="n">
        <f aca="false">T118+T114+T115+T116</f>
        <v>19.5092222239857</v>
      </c>
      <c r="U119" s="11" t="n">
        <f aca="false">U118+U114+U115+U116</f>
        <v>18.7469278452348</v>
      </c>
      <c r="V119" s="11" t="n">
        <f aca="false">V118+V114+V115+V116</f>
        <v>18.2344120634116</v>
      </c>
      <c r="W119" s="11" t="n">
        <f aca="false">W118+W114+W115+W116</f>
        <v>17.3566958167685</v>
      </c>
      <c r="X119" s="11" t="n">
        <f aca="false">X118+X114+X115+X116</f>
        <v>16.8339195388541</v>
      </c>
      <c r="Y119" s="11" t="n">
        <f aca="false">Y118+Y114+Y115+Y116</f>
        <v>16.4680618167729</v>
      </c>
      <c r="Z119" s="11" t="n">
        <f aca="false">Z118+Z114+Z115+Z116</f>
        <v>15.9362344502122</v>
      </c>
      <c r="AA119" s="11" t="n">
        <f aca="false">AA118+AA114+AA115+AA116</f>
        <v>15.0282191551691</v>
      </c>
      <c r="AB119" s="11" t="n">
        <f aca="false">AB118+AB114+AB115+AB116</f>
        <v>14.1184846455576</v>
      </c>
      <c r="AC119" s="11" t="n">
        <f aca="false">AC118+AC114+AC115+AC116</f>
        <v>12.8815311140874</v>
      </c>
      <c r="AD119" s="11" t="n">
        <f aca="false">AD118+AD114+AD115+AD116</f>
        <v>11.8510524642265</v>
      </c>
      <c r="AE119" s="11" t="n">
        <f aca="false">AE118+AE114+AE115+AE116</f>
        <v>10.5442567197199</v>
      </c>
      <c r="AF119" s="11" t="n">
        <f aca="false">AF118+AF114+AF115+AF116</f>
        <v>9.42516179924128</v>
      </c>
      <c r="AG119" s="11" t="n">
        <f aca="false">AG118+AG114+AG115+AG116</f>
        <v>8.23601436787504</v>
      </c>
      <c r="AH119" s="11" t="n">
        <f aca="false">AH118+AH114+AH115+AH116</f>
        <v>6.96111597064102</v>
      </c>
      <c r="AI119" s="11" t="n">
        <f aca="false">AI118+AI114+AI115+AI116</f>
        <v>5.50510615984538</v>
      </c>
      <c r="AJ119" s="11" t="n">
        <f aca="false">AJ118+AJ114+AJ115+AJ116</f>
        <v>4.15473420002294</v>
      </c>
      <c r="AK119" s="11" t="n">
        <f aca="false">AK118+AK114+AK115+AK116</f>
        <v>2.71867832528688</v>
      </c>
      <c r="AL119" s="11" t="n">
        <f aca="false">AL118+AL114+AL115+AL116</f>
        <v>2.17365325142159</v>
      </c>
      <c r="AM119" s="11" t="n">
        <f aca="false">AM118+AM114+AM115+AM116</f>
        <v>1.58118904940136</v>
      </c>
      <c r="AN119" s="11" t="n">
        <f aca="false">AN118+AN114+AN115+AN116</f>
        <v>0.992093469110137</v>
      </c>
      <c r="AO119" s="11" t="n">
        <f aca="false">AO118+AO114+AO115+AO116</f>
        <v>0.497253384030616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687</v>
      </c>
      <c r="E120" s="0" t="s">
        <v>149</v>
      </c>
      <c r="G120" s="11" t="n">
        <f aca="false">SUM(J120:BN120)</f>
        <v>539.415190548669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15.4897148007444</v>
      </c>
      <c r="Q120" s="11" t="n">
        <f aca="false">Q32+Q47+Q62+Q77+Q92+Q102</f>
        <v>16.145266329587</v>
      </c>
      <c r="R120" s="11" t="n">
        <f aca="false">R32+R47+R62+R77+R92+R102</f>
        <v>16.9405613454306</v>
      </c>
      <c r="S120" s="11" t="n">
        <f aca="false">S32+S47+S62+S77+S92+S102</f>
        <v>17.4397722822998</v>
      </c>
      <c r="T120" s="11" t="n">
        <f aca="false">T32+T47+T62+T77+T92+T102</f>
        <v>18.241995557762</v>
      </c>
      <c r="U120" s="11" t="n">
        <f aca="false">U32+U47+U62+U77+U92+U102</f>
        <v>18.8237649096179</v>
      </c>
      <c r="V120" s="11" t="n">
        <f aca="false">V32+V47+V62+V77+V92+V102</f>
        <v>20.0535081717467</v>
      </c>
      <c r="W120" s="11" t="n">
        <f aca="false">W32+W47+W62+W77+W92+W102</f>
        <v>20.6665316091013</v>
      </c>
      <c r="X120" s="11" t="n">
        <f aca="false">X32+X47+X62+X77+X92+X102</f>
        <v>20.0928755357353</v>
      </c>
      <c r="Y120" s="11" t="n">
        <f aca="false">Y32+Y47+Y62+Y77+Y92+Y102</f>
        <v>20.1023302277722</v>
      </c>
      <c r="Z120" s="11" t="n">
        <f aca="false">Z32+Z47+Z62+Z77+Z92+Z102</f>
        <v>20.9351286583019</v>
      </c>
      <c r="AA120" s="11" t="n">
        <f aca="false">AA32+AA47+AA62+AA77+AA92+AA102</f>
        <v>21.5460681996853</v>
      </c>
      <c r="AB120" s="11" t="n">
        <f aca="false">AB32+AB47+AB62+AB77+AB92+AB102</f>
        <v>22.2237730120479</v>
      </c>
      <c r="AC120" s="11" t="n">
        <f aca="false">AC32+AC47+AC62+AC77+AC92+AC102</f>
        <v>22.5125493787945</v>
      </c>
      <c r="AD120" s="11" t="n">
        <f aca="false">AD32+AD47+AD62+AD77+AD92+AD102</f>
        <v>24.1005926310106</v>
      </c>
      <c r="AE120" s="11" t="n">
        <f aca="false">AE32+AE47+AE62+AE77+AE92+AE102</f>
        <v>24.5533489147333</v>
      </c>
      <c r="AF120" s="11" t="n">
        <f aca="false">AF32+AF47+AF62+AF77+AF92+AF102</f>
        <v>24.71675220725</v>
      </c>
      <c r="AG120" s="11" t="n">
        <f aca="false">AG32+AG47+AG62+AG77+AG92+AG102</f>
        <v>24.2353919142181</v>
      </c>
      <c r="AH120" s="11" t="n">
        <f aca="false">AH32+AH47+AH62+AH77+AH92+AH102</f>
        <v>24.2698430789224</v>
      </c>
      <c r="AI120" s="11" t="n">
        <f aca="false">AI32+AI47+AI62+AI77+AI92+AI102</f>
        <v>23.4184792154774</v>
      </c>
      <c r="AJ120" s="11" t="n">
        <f aca="false">AJ32+AJ47+AJ62+AJ77+AJ92+AJ102</f>
        <v>22.5055206354447</v>
      </c>
      <c r="AK120" s="11" t="n">
        <f aca="false">AK32+AK47+AK62+AK77+AK92+AK102</f>
        <v>20.3243543958021</v>
      </c>
      <c r="AL120" s="11" t="n">
        <f aca="false">AL32+AL47+AL62+AL77+AL92+AL102</f>
        <v>21.5403865839748</v>
      </c>
      <c r="AM120" s="11" t="n">
        <f aca="false">AM32+AM47+AM62+AM77+AM92+AM102</f>
        <v>21.9881028038767</v>
      </c>
      <c r="AN120" s="11" t="n">
        <f aca="false">AN32+AN47+AN62+AN77+AN92+AN102</f>
        <v>18.1399237857541</v>
      </c>
      <c r="AO120" s="11" t="n">
        <f aca="false">AO32+AO47+AO62+AO77+AO92+AO102</f>
        <v>18.4086543635775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688</v>
      </c>
      <c r="E121" s="0" t="s">
        <v>149</v>
      </c>
      <c r="G121" s="11" t="n">
        <f aca="false">SUM(J121:BN121)</f>
        <v>852.514903093961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37.2458954370965</v>
      </c>
      <c r="Q121" s="11" t="n">
        <f aca="false">Q119+Q120</f>
        <v>37.1570164551458</v>
      </c>
      <c r="R121" s="11" t="n">
        <f aca="false">R119+R120</f>
        <v>37.624785087678</v>
      </c>
      <c r="S121" s="11" t="n">
        <f aca="false">S119+S120</f>
        <v>37.333312492557</v>
      </c>
      <c r="T121" s="11" t="n">
        <f aca="false">T119+T120</f>
        <v>37.7512177817478</v>
      </c>
      <c r="U121" s="11" t="n">
        <f aca="false">U119+U120</f>
        <v>37.5706927548527</v>
      </c>
      <c r="V121" s="11" t="n">
        <f aca="false">V119+V120</f>
        <v>38.2879202351583</v>
      </c>
      <c r="W121" s="11" t="n">
        <f aca="false">W119+W120</f>
        <v>38.0232274258698</v>
      </c>
      <c r="X121" s="11" t="n">
        <f aca="false">X119+X120</f>
        <v>36.9267950745894</v>
      </c>
      <c r="Y121" s="11" t="n">
        <f aca="false">Y119+Y120</f>
        <v>36.5703920445452</v>
      </c>
      <c r="Z121" s="11" t="n">
        <f aca="false">Z119+Z120</f>
        <v>36.8713631085141</v>
      </c>
      <c r="AA121" s="11" t="n">
        <f aca="false">AA119+AA120</f>
        <v>36.5742873548545</v>
      </c>
      <c r="AB121" s="11" t="n">
        <f aca="false">AB119+AB120</f>
        <v>36.3422576576055</v>
      </c>
      <c r="AC121" s="11" t="n">
        <f aca="false">AC119+AC120</f>
        <v>35.3940804928819</v>
      </c>
      <c r="AD121" s="11" t="n">
        <f aca="false">AD119+AD120</f>
        <v>35.9516450952371</v>
      </c>
      <c r="AE121" s="11" t="n">
        <f aca="false">AE119+AE120</f>
        <v>35.0976056344532</v>
      </c>
      <c r="AF121" s="11" t="n">
        <f aca="false">AF119+AF120</f>
        <v>34.1419140064913</v>
      </c>
      <c r="AG121" s="11" t="n">
        <f aca="false">AG119+AG120</f>
        <v>32.4714062820932</v>
      </c>
      <c r="AH121" s="11" t="n">
        <f aca="false">AH119+AH120</f>
        <v>31.2309590495634</v>
      </c>
      <c r="AI121" s="11" t="n">
        <f aca="false">AI119+AI120</f>
        <v>28.9235853753228</v>
      </c>
      <c r="AJ121" s="11" t="n">
        <f aca="false">AJ119+AJ120</f>
        <v>26.6602548354676</v>
      </c>
      <c r="AK121" s="11" t="n">
        <f aca="false">AK119+AK120</f>
        <v>23.043032721089</v>
      </c>
      <c r="AL121" s="11" t="n">
        <f aca="false">AL119+AL120</f>
        <v>23.7140398353964</v>
      </c>
      <c r="AM121" s="11" t="n">
        <f aca="false">AM119+AM120</f>
        <v>23.5692918532781</v>
      </c>
      <c r="AN121" s="11" t="n">
        <f aca="false">AN119+AN120</f>
        <v>19.1320172548642</v>
      </c>
      <c r="AO121" s="11" t="n">
        <f aca="false">AO119+AO120</f>
        <v>18.9059077476081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689</v>
      </c>
      <c r="E122" s="0" t="s">
        <v>149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633.255975542792</v>
      </c>
      <c r="Q122" s="11" t="n">
        <f aca="false">Q25+Q40+Q55+Q70+Q85+Q100</f>
        <v>617.766260742047</v>
      </c>
      <c r="R122" s="11" t="n">
        <f aca="false">R25+R40+R55+R70+R85+R100</f>
        <v>601.62099441246</v>
      </c>
      <c r="S122" s="11" t="n">
        <f aca="false">S25+S40+S55+S70+S85+S100</f>
        <v>584.68043306703</v>
      </c>
      <c r="T122" s="11" t="n">
        <f aca="false">T25+T40+T55+T70+T85+T100</f>
        <v>567.24066078473</v>
      </c>
      <c r="U122" s="11" t="n">
        <f aca="false">U25+U40+U55+U70+U85+U100</f>
        <v>548.998665226968</v>
      </c>
      <c r="V122" s="11" t="n">
        <f aca="false">V25+V40+V55+V70+V85+V100</f>
        <v>530.17490031735</v>
      </c>
      <c r="W122" s="11" t="n">
        <f aca="false">W25+W40+W55+W70+W85+W100</f>
        <v>510.121392145603</v>
      </c>
      <c r="X122" s="11" t="n">
        <f aca="false">X25+X40+X55+X70+X85+X100</f>
        <v>489.454860536502</v>
      </c>
      <c r="Y122" s="11" t="n">
        <f aca="false">Y25+Y40+Y55+Y70+Y85+Y100</f>
        <v>469.361985000767</v>
      </c>
      <c r="Z122" s="11" t="n">
        <f aca="false">Z25+Z40+Z55+Z70+Z85+Z100</f>
        <v>449.259654772994</v>
      </c>
      <c r="AA122" s="11" t="n">
        <f aca="false">AA25+AA40+AA55+AA70+AA85+AA100</f>
        <v>428.324526114692</v>
      </c>
      <c r="AB122" s="11" t="n">
        <f aca="false">AB25+AB40+AB55+AB70+AB85+AB100</f>
        <v>400.442322124089</v>
      </c>
      <c r="AC122" s="11" t="n">
        <f aca="false">AC25+AC40+AC55+AC70+AC85+AC100</f>
        <v>370.847526129466</v>
      </c>
      <c r="AD122" s="11" t="n">
        <f aca="false">AD25+AD40+AD55+AD70+AD85+AD100</f>
        <v>341.512428297888</v>
      </c>
      <c r="AE122" s="11" t="n">
        <f aca="false">AE25+AE40+AE55+AE70+AE85+AE100</f>
        <v>310.048707335517</v>
      </c>
      <c r="AF122" s="11" t="n">
        <f aca="false">AF25+AF40+AF55+AF70+AF85+AF100</f>
        <v>277.65471523924</v>
      </c>
      <c r="AG122" s="11" t="n">
        <f aca="false">AG25+AG40+AG55+AG70+AG85+AG100</f>
        <v>243.468082930885</v>
      </c>
      <c r="AH122" s="11" t="n">
        <f aca="false">AH25+AH40+AH55+AH70+AH85+AH100</f>
        <v>209.04971747343</v>
      </c>
      <c r="AI122" s="11" t="n">
        <f aca="false">AI25+AI40+AI55+AI70+AI85+AI100</f>
        <v>173.212023904667</v>
      </c>
      <c r="AJ122" s="11" t="n">
        <f aca="false">AJ25+AJ40+AJ55+AJ70+AJ85+AJ100</f>
        <v>137.324220165101</v>
      </c>
      <c r="AK122" s="11" t="n">
        <f aca="false">AK25+AK40+AK55+AK70+AK85+AK100</f>
        <v>100.439764943127</v>
      </c>
      <c r="AL122" s="11" t="n">
        <f aca="false">AL25+AL40+AL55+AL70+AL85+AL100</f>
        <v>80.0770675371831</v>
      </c>
      <c r="AM122" s="11" t="n">
        <f aca="false">AM25+AM40+AM55+AM70+AM85+AM100</f>
        <v>58.5366809532083</v>
      </c>
      <c r="AN122" s="11" t="n">
        <f aca="false">AN25+AN40+AN55+AN70+AN85+AN100</f>
        <v>36.5485781493316</v>
      </c>
      <c r="AO122" s="11" t="n">
        <f aca="false">AO25+AO40+AO55+AO70+AO85+AO100</f>
        <v>18.4086543635775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690</v>
      </c>
      <c r="E123" s="0" t="s">
        <v>149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633.255975542792</v>
      </c>
      <c r="P123" s="11" t="n">
        <f aca="false">P38+P53+P68+P83+P98+P104</f>
        <v>617.766260742047</v>
      </c>
      <c r="Q123" s="11" t="n">
        <f aca="false">Q38+Q53+Q68+Q83+Q98+Q104</f>
        <v>601.62099441246</v>
      </c>
      <c r="R123" s="11" t="n">
        <f aca="false">R38+R53+R68+R83+R98+R104</f>
        <v>584.68043306703</v>
      </c>
      <c r="S123" s="11" t="n">
        <f aca="false">S38+S53+S68+S83+S98+S104</f>
        <v>567.24066078473</v>
      </c>
      <c r="T123" s="11" t="n">
        <f aca="false">T38+T53+T68+T83+T98+T104</f>
        <v>548.998665226968</v>
      </c>
      <c r="U123" s="11" t="n">
        <f aca="false">U38+U53+U68+U83+U98+U104</f>
        <v>530.17490031735</v>
      </c>
      <c r="V123" s="11" t="n">
        <f aca="false">V38+V53+V68+V83+V98+V104</f>
        <v>510.121392145603</v>
      </c>
      <c r="W123" s="11" t="n">
        <f aca="false">W38+W53+W68+W83+W98+W104</f>
        <v>489.454860536502</v>
      </c>
      <c r="X123" s="11" t="n">
        <f aca="false">X38+X53+X68+X83+X98+X104</f>
        <v>469.361985000767</v>
      </c>
      <c r="Y123" s="11" t="n">
        <f aca="false">Y38+Y53+Y68+Y83+Y98+Y104</f>
        <v>449.259654772994</v>
      </c>
      <c r="Z123" s="11" t="n">
        <f aca="false">Z38+Z53+Z68+Z83+Z98+Z104</f>
        <v>428.324526114692</v>
      </c>
      <c r="AA123" s="11" t="n">
        <f aca="false">AA38+AA53+AA68+AA83+AA98+AA104</f>
        <v>400.442322124089</v>
      </c>
      <c r="AB123" s="11" t="n">
        <f aca="false">AB38+AB53+AB68+AB83+AB98+AB104</f>
        <v>370.847526129466</v>
      </c>
      <c r="AC123" s="11" t="n">
        <f aca="false">AC38+AC53+AC68+AC83+AC98+AC104</f>
        <v>341.512428297888</v>
      </c>
      <c r="AD123" s="11" t="n">
        <f aca="false">AD38+AD53+AD68+AD83+AD98+AD104</f>
        <v>310.048707335517</v>
      </c>
      <c r="AE123" s="11" t="n">
        <f aca="false">AE38+AE53+AE68+AE83+AE98+AE104</f>
        <v>277.65471523924</v>
      </c>
      <c r="AF123" s="11" t="n">
        <f aca="false">AF38+AF53+AF68+AF83+AF98+AF104</f>
        <v>243.468082930885</v>
      </c>
      <c r="AG123" s="11" t="n">
        <f aca="false">AG38+AG53+AG68+AG83+AG98+AG104</f>
        <v>209.04971747343</v>
      </c>
      <c r="AH123" s="11" t="n">
        <f aca="false">AH38+AH53+AH68+AH83+AH98+AH104</f>
        <v>173.212023904667</v>
      </c>
      <c r="AI123" s="11" t="n">
        <f aca="false">AI38+AI53+AI68+AI83+AI98+AI104</f>
        <v>137.324220165101</v>
      </c>
      <c r="AJ123" s="11" t="n">
        <f aca="false">AJ38+AJ53+AJ68+AJ83+AJ98+AJ104</f>
        <v>100.439764943127</v>
      </c>
      <c r="AK123" s="11" t="n">
        <f aca="false">AK38+AK53+AK68+AK83+AK98+AK104</f>
        <v>80.0770675371831</v>
      </c>
      <c r="AL123" s="11" t="n">
        <f aca="false">AL38+AL53+AL68+AL83+AL98+AL104</f>
        <v>58.5366809532083</v>
      </c>
      <c r="AM123" s="11" t="n">
        <f aca="false">AM38+AM53+AM68+AM83+AM98+AM104</f>
        <v>36.5485781493316</v>
      </c>
      <c r="AN123" s="11" t="n">
        <f aca="false">AN38+AN53+AN68+AN83+AN98+AN104</f>
        <v>18.4086543635775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691</v>
      </c>
    </row>
    <row r="125" customFormat="false" ht="15" hidden="false" customHeight="false" outlineLevel="0" collapsed="false">
      <c r="D125" s="0" t="s">
        <v>692</v>
      </c>
      <c r="E125" s="0" t="s">
        <v>149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240.637270706254</v>
      </c>
      <c r="P125" s="11" t="n">
        <f aca="false">IF(Time!P29=1,P83,P81)</f>
        <v>234.751179081972</v>
      </c>
      <c r="Q125" s="11" t="n">
        <f aca="false">IF(Time!Q29=1,Q83,Q81)</f>
        <v>228.615977876729</v>
      </c>
      <c r="R125" s="11" t="n">
        <f aca="false">IF(Time!R29=1,R83,R81)</f>
        <v>222.178564565465</v>
      </c>
      <c r="S125" s="11" t="n">
        <f aca="false">IF(Time!S29=1,S83,S81)</f>
        <v>215.551451098191</v>
      </c>
      <c r="T125" s="11" t="n">
        <f aca="false">IF(Time!T29=1,T83,T81)</f>
        <v>208.619492786242</v>
      </c>
      <c r="U125" s="11" t="n">
        <f aca="false">IF(Time!U29=1,U83,U81)</f>
        <v>201.466462120587</v>
      </c>
      <c r="V125" s="11" t="n">
        <f aca="false">IF(Time!V29=1,V83,V81)</f>
        <v>193.846129015324</v>
      </c>
      <c r="W125" s="11" t="n">
        <f aca="false">IF(Time!W29=1,W83,W81)</f>
        <v>185.992847003866</v>
      </c>
      <c r="X125" s="11" t="n">
        <f aca="false">IF(Time!X29=1,X83,X81)</f>
        <v>178.357554300286</v>
      </c>
      <c r="Y125" s="11" t="n">
        <f aca="false">IF(Time!Y29=1,Y83,Y81)</f>
        <v>170.718668813733</v>
      </c>
      <c r="Z125" s="11" t="n">
        <f aca="false">IF(Time!Z29=1,Z83,Z81)</f>
        <v>162.763319923579</v>
      </c>
      <c r="AA125" s="11" t="n">
        <f aca="false">IF(Time!AA29=1,AA83,AA81)</f>
        <v>154.575814007698</v>
      </c>
      <c r="AB125" s="11" t="n">
        <f aca="false">IF(Time!AB29=1,AB83,AB81)</f>
        <v>140.012663293398</v>
      </c>
      <c r="AC125" s="11" t="n">
        <f aca="false">IF(Time!AC29=1,AC83,AC81)</f>
        <v>124.589540008718</v>
      </c>
      <c r="AD125" s="11" t="n">
        <f aca="false">IF(Time!AD29=1,AD83,AD81)</f>
        <v>109.456154076271</v>
      </c>
      <c r="AE125" s="11" t="n">
        <f aca="false">IF(Time!AE29=1,AE83,AE81)</f>
        <v>94.0080841742207</v>
      </c>
      <c r="AF125" s="11" t="n">
        <f aca="false">IF(Time!AF29=1,AF83,AF81)</f>
        <v>78.4968372879502</v>
      </c>
      <c r="AG125" s="11" t="n">
        <f aca="false">IF(Time!AG29=1,AG83,AG81)</f>
        <v>62.1558497302507</v>
      </c>
      <c r="AH125" s="11" t="n">
        <f aca="false">IF(Time!AH29=1,AH83,AH81)</f>
        <v>45.93903139323</v>
      </c>
      <c r="AI125" s="11" t="n">
        <f aca="false">IF(Time!AI29=1,AI83,AI81)</f>
        <v>29.7241548629776</v>
      </c>
      <c r="AJ125" s="11" t="n">
        <f aca="false">IF(Time!AJ29=1,AJ83,AJ81)</f>
        <v>14.427004775517</v>
      </c>
      <c r="AK125" s="11" t="n">
        <f aca="false">IF(Time!AK29=1,AK83,AK81)</f>
        <v>0.0383430101416391</v>
      </c>
      <c r="AL125" s="11" t="n">
        <f aca="false">IF(Time!AL29=1,AL83,AL81)</f>
        <v>0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693</v>
      </c>
      <c r="E126" s="0" t="s">
        <v>149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8.95812112171839</v>
      </c>
      <c r="P126" s="11" t="n">
        <f aca="false">IF(AND(Time!P17&gt;=Time!$F$11,Time!P17&lt;57),(IF(Time!P29=1,P38,P36)-P35)*Q19+IF(Time!P29=1,P38,P36)*Q10,0)</f>
        <v>8.99939649593107</v>
      </c>
      <c r="Q126" s="11" t="n">
        <f aca="false">IF(AND(Time!Q17&gt;=Time!$F$11,Time!Q17&lt;57),(IF(Time!Q29=1,Q38,Q36)-Q35)*R19+IF(Time!Q29=1,Q38,Q36)*R10,0)</f>
        <v>9.19645384408426</v>
      </c>
      <c r="R126" s="11" t="n">
        <f aca="false">IF(AND(Time!R17&gt;=Time!$F$11,Time!R17&lt;57),(IF(Time!R29=1,R38,R36)-R35)*S19+IF(Time!R29=1,R38,R36)*S10,0)</f>
        <v>9.17399333453588</v>
      </c>
      <c r="S126" s="11" t="n">
        <f aca="false">IF(AND(Time!S17&gt;=Time!$F$11,Time!S17&lt;57),(IF(Time!S29=1,S38,S36)-S35)*T19+IF(Time!S29=1,S38,S36)*T10,0)</f>
        <v>9.3604661563469</v>
      </c>
      <c r="T126" s="11" t="n">
        <f aca="false">IF(AND(Time!T17&gt;=Time!$F$11,Time!T17&lt;57),(IF(Time!T29=1,T38,T36)-T35)*U19+U22*MIN($F$30/4,T35)+IF(Time!T29=1,T38,T36)*U10,0)</f>
        <v>9.36906592379133</v>
      </c>
      <c r="U126" s="11" t="n">
        <f aca="false">IF(AND(Time!U17&gt;=Time!$F$11,Time!U17&lt;57),(IF(Time!U29=1,U38,U36)-U35)*V19+V22*MIN($F$30/4,U35)+IF(Time!U29=1,U38,U36)*V10,0)</f>
        <v>9.64987121829886</v>
      </c>
      <c r="V126" s="11" t="n">
        <f aca="false">IF(AND(Time!V17&gt;=Time!$F$11,Time!V17&lt;57),(IF(Time!V29=1,V38,V36)-V35)*W19+W22*MIN($F$30/4,V35)+IF(Time!V29=1,V38,V36)*W10,0)</f>
        <v>9.63932543892382</v>
      </c>
      <c r="W126" s="11" t="n">
        <f aca="false">IF(AND(Time!W17&gt;=Time!$F$11,Time!W17&lt;57),(IF(Time!W29=1,W38,W36)-W35)*X19+X22*MIN($F$30/4,W35)+IF(Time!W29=1,W38,W36)*X10,0)</f>
        <v>9.38258627483752</v>
      </c>
      <c r="X126" s="11" t="n">
        <f aca="false">IF(AND(Time!X17&gt;=Time!$F$11,Time!X17&lt;57),(IF(Time!X29=1,X38,X36)-X35)*Y19+IF(Time!X29=1,X38,X36)*Y10,0)</f>
        <v>9.19525491170283</v>
      </c>
      <c r="Y126" s="11" t="n">
        <f aca="false">IF(AND(Time!Y17&gt;=Time!$F$11,Time!Y17&lt;57),(IF(Time!Y29=1,Y38,Y36)-Y35)*Z19+IF(Time!Y29=1,Y38,Y36)*Z10,0)</f>
        <v>9.35976427130441</v>
      </c>
      <c r="Z126" s="11" t="n">
        <f aca="false">IF(AND(Time!Z17&gt;=Time!$F$11,Time!Z17&lt;57),(IF(Time!Z29=1,Z38,Z36)-Z35)*AA19+IF(Time!Z29=1,Z38,Z36)*AA10,0)</f>
        <v>9.35169149610212</v>
      </c>
      <c r="AA126" s="11" t="n">
        <f aca="false">IF(AND(Time!AA17&gt;=Time!$F$11,Time!AA17&lt;57),(IF(Time!AA29=1,AA38,AA36)-AA35)*AB19+IF(Time!AA29=1,AA38,AA36)*AB10,0)</f>
        <v>9.56068443216145</v>
      </c>
      <c r="AB126" s="11" t="n">
        <f aca="false">IF(AND(Time!AB17&gt;=Time!$F$11,Time!AB17&lt;57),(IF(Time!AB29=1,AB38,AB36)-AB35)*AC19+IF(Time!AB29=1,AB38,AB36)*AC10,0)</f>
        <v>9.6016960095392</v>
      </c>
      <c r="AC126" s="11" t="n">
        <f aca="false">IF(AND(Time!AC17&gt;=Time!$F$11,Time!AC17&lt;57),(IF(Time!AC29=1,AC38,AC36)-AC35)*AD19+IF(Time!AC29=1,AC38,AC36)*AD10,0)</f>
        <v>10.1136738206983</v>
      </c>
      <c r="AD126" s="11" t="n">
        <f aca="false">IF(AND(Time!AD17&gt;=Time!$F$11,Time!AD17&lt;57),(IF(Time!AD29=1,AD38,AD36)-AD35)*AE19+IF(Time!AD29=1,AD38,AD36)*AE10,0)</f>
        <v>10.2300183829306</v>
      </c>
      <c r="AE126" s="11" t="n">
        <f aca="false">IF(AND(Time!AE17&gt;=Time!$F$11,Time!AE17&lt;57),(IF(Time!AE29=1,AE38,AE36)-AE35)*AF19+IF(Time!AE29=1,AE38,AE36)*AF10,0)</f>
        <v>10.36499730394</v>
      </c>
      <c r="AF126" s="11" t="n">
        <f aca="false">IF(AND(Time!AF17&gt;=Time!$F$11,Time!AF17&lt;57),(IF(Time!AF29=1,AF38,AF36)-AF35)*AG19+IF(Time!AF29=1,AF38,AF36)*AG10,0)</f>
        <v>10.299050027959</v>
      </c>
      <c r="AG126" s="11" t="n">
        <f aca="false">IF(AND(Time!AG17&gt;=Time!$F$11,Time!AG17&lt;57),(IF(Time!AG29=1,AG38,AG36)-AG35)*AH19+IF(Time!AG29=1,AG38,AG36)*AH10,0)</f>
        <v>10.5603292834166</v>
      </c>
      <c r="AH126" s="11" t="n">
        <f aca="false">IF(AND(Time!AH17&gt;=Time!$F$11,Time!AH17&lt;57),(IF(Time!AH29=1,AH38,AH36)-AH35)*AI19+IF(Time!AH29=1,AH38,AH36)*AI10,0)</f>
        <v>10.5927993971689</v>
      </c>
      <c r="AI126" s="11" t="n">
        <f aca="false">IF(AND(Time!AI17&gt;=Time!$F$11,Time!AI17&lt;57),(IF(Time!AI29=1,AI38,AI36)-AI35)*AJ19+IF(Time!AI29=1,AI38,AI36)*AJ10,0)</f>
        <v>10.8488130959523</v>
      </c>
      <c r="AJ126" s="11" t="n">
        <f aca="false">IF(AND(Time!AJ17&gt;=Time!$F$11,Time!AJ17&lt;57),(IF(Time!AJ29=1,AJ38,AJ36)-AJ35)*AK19+IF(Time!AJ29=1,AJ38,AJ36)*AK10,0)</f>
        <v>10.9274091285036</v>
      </c>
      <c r="AK126" s="11" t="n">
        <f aca="false">IF(AND(Time!AK17&gt;=Time!$F$11,Time!AK17&lt;57),(IF(Time!AK29=1,AK38,AK36)-AK35)*AL19+IF(Time!AK29=1,AK38,AK36)*AL10,0)</f>
        <v>11.3080067678903</v>
      </c>
      <c r="AL126" s="11" t="n">
        <f aca="false">IF(AND(Time!AL17&gt;=Time!$F$11,Time!AL17&lt;57),(IF(Time!AL29=1,AL38,AL36)-AL35)*AM19+IF(Time!AL29=1,AL38,AL36)*AM10,0)</f>
        <v>11.2759673843862</v>
      </c>
      <c r="AM126" s="11" t="n">
        <f aca="false">IF(AND(Time!AM17&gt;=Time!$F$11,Time!AM17&lt;57),(IF(Time!AM29=1,AM38,AM36)-AM35)*AN19+IF(Time!AM29=1,AM38,AM36)*AN10,0)</f>
        <v>9.18142111348627</v>
      </c>
      <c r="AN126" s="11" t="n">
        <f aca="false">IF(AND(Time!AN17&gt;=Time!$F$11,Time!AN17&lt;57),(IF(Time!AN29=1,AN38,AN36)-AN35)*AO19+IF(Time!AN29=1,AN38,AN36)*AO10,0)</f>
        <v>9.10760009509006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694</v>
      </c>
      <c r="E127" s="0" t="s">
        <v>149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8.20702949889722</v>
      </c>
      <c r="P127" s="11" t="n">
        <f aca="false">IF(AND(Time!P17&gt;=Time!$F$11,Time!P17&lt;57),(IF(Time!P29=1,P53,P51)-P50)*Q19+IF(Time!P29=1,P53,P51)*Q11,0)</f>
        <v>8.17118911802499</v>
      </c>
      <c r="Q127" s="11" t="n">
        <f aca="false">IF(AND(Time!Q17&gt;=Time!$F$11,Time!Q17&lt;57),(IF(Time!Q29=1,Q53,Q51)-Q50)*R19+IF(Time!Q29=1,Q53,Q51)*R11,0)</f>
        <v>8.29999173743335</v>
      </c>
      <c r="R127" s="11" t="n">
        <f aca="false">IF(AND(Time!R17&gt;=Time!$F$11,Time!R17&lt;57),(IF(Time!R29=1,R53,R51)-R50)*S19+IF(Time!R29=1,R53,R51)*S11,0)</f>
        <v>8.21505461596175</v>
      </c>
      <c r="S127" s="11" t="n">
        <f aca="false">IF(AND(Time!S17&gt;=Time!$F$11,Time!S17&lt;57),(IF(Time!S29=1,S53,S51)-S50)*T19+IF(Time!S29=1,S53,S51)*T11,0)</f>
        <v>8.33135225025717</v>
      </c>
      <c r="T127" s="11" t="n">
        <f aca="false">IF(AND(Time!T17&gt;=Time!$F$11,Time!T17&lt;57),(IF(Time!T29=1,T53,T51)-T50)*U19+U22*MIN($F$45/4,T50)+IF(Time!T29=1,T53,T51)*U11,0)</f>
        <v>8.27504792961588</v>
      </c>
      <c r="U127" s="11" t="n">
        <f aca="false">IF(AND(Time!U17&gt;=Time!$F$11,Time!U17&lt;57),(IF(Time!U29=1,U53,U51)-U50)*V19+V22*MIN($F$45/4,U50)+IF(Time!U29=1,U53,U51)*V11,0)</f>
        <v>8.44772233561765</v>
      </c>
      <c r="V127" s="11" t="n">
        <f aca="false">IF(AND(Time!V17&gt;=Time!$F$11,Time!V17&lt;57),(IF(Time!V29=1,V53,V51)-V50)*W19+W22*MIN($F$45/4,V50)+IF(Time!V29=1,V53,V51)*W11,0)</f>
        <v>8.36661581690652</v>
      </c>
      <c r="W127" s="11" t="n">
        <f aca="false">IF(AND(Time!W17&gt;=Time!$F$11,Time!W17&lt;57),(IF(Time!W29=1,W53,W51)-W50)*X19+X22*MIN($F$45/4,W50)+IF(Time!W29=1,W53,W51)*X11,0)</f>
        <v>8.14640230530833</v>
      </c>
      <c r="X127" s="11" t="n">
        <f aca="false">IF(AND(Time!X17&gt;=Time!$F$11,Time!X17&lt;57),(IF(Time!X29=1,X53,X51)-X50)*Y19+IF(Time!X29=1,X53,X51)*Y11,0)</f>
        <v>7.93726990075649</v>
      </c>
      <c r="Y127" s="11" t="n">
        <f aca="false">IF(AND(Time!Y17&gt;=Time!$F$11,Time!Y17&lt;57),(IF(Time!Y29=1,Y53,Y51)-Y50)*Z19+IF(Time!Y29=1,Y53,Y51)*Z11,0)</f>
        <v>8.02571243501167</v>
      </c>
      <c r="Z127" s="11" t="n">
        <f aca="false">IF(AND(Time!Z17&gt;=Time!$F$11,Time!Z17&lt;57),(IF(Time!Z29=1,Z53,Z51)-Z50)*AA19+IF(Time!Z29=1,Z53,Z51)*AA11,0)</f>
        <v>7.94758848738431</v>
      </c>
      <c r="AA127" s="11" t="n">
        <f aca="false">IF(AND(Time!AA17&gt;=Time!$F$11,Time!AA17&lt;57),(IF(Time!AA29=1,AA53,AA51)-AA50)*AB19+IF(Time!AA29=1,AA53,AA51)*AB11,0)</f>
        <v>8.06318807096612</v>
      </c>
      <c r="AB127" s="11" t="n">
        <f aca="false">IF(AND(Time!AB17&gt;=Time!$F$11,Time!AB17&lt;57),(IF(Time!AB29=1,AB53,AB51)-AB50)*AC19+IF(Time!AB29=1,AB53,AB51)*AC11,0)</f>
        <v>8.02407781007828</v>
      </c>
      <c r="AC127" s="11" t="n">
        <f aca="false">IF(AND(Time!AC17&gt;=Time!$F$11,Time!AC17&lt;57),(IF(Time!AC29=1,AC53,AC51)-AC50)*AD19+IF(Time!AC29=1,AC53,AC51)*AD11,0)</f>
        <v>8.35000932973171</v>
      </c>
      <c r="AD127" s="11" t="n">
        <f aca="false">IF(AND(Time!AD17&gt;=Time!$F$11,Time!AD17&lt;57),(IF(Time!AD29=1,AD53,AD51)-AD50)*AE19+IF(Time!AD29=1,AD53,AD51)*AE11,0)</f>
        <v>8.35532123413818</v>
      </c>
      <c r="AE127" s="11" t="n">
        <f aca="false">IF(AND(Time!AE17&gt;=Time!$F$11,Time!AE17&lt;57),(IF(Time!AE29=1,AE53,AE51)-AE50)*AF19+IF(Time!AE29=1,AE53,AE51)*AF11,0)</f>
        <v>8.39975390019449</v>
      </c>
      <c r="AF127" s="11" t="n">
        <f aca="false">IF(AND(Time!AF17&gt;=Time!$F$11,Time!AF17&lt;57),(IF(Time!AF29=1,AF53,AF51)-AF50)*AG19+IF(Time!AF29=1,AF53,AF51)*AG11,0)</f>
        <v>8.26842364695457</v>
      </c>
      <c r="AG127" s="11" t="n">
        <f aca="false">IF(AND(Time!AG17&gt;=Time!$F$11,Time!AG17&lt;57),(IF(Time!AG29=1,AG53,AG51)-AG50)*AH19+IF(Time!AG29=1,AG53,AG51)*AH11,0)</f>
        <v>8.39946021245935</v>
      </c>
      <c r="AH127" s="11" t="n">
        <f aca="false">IF(AND(Time!AH17&gt;=Time!$F$11,Time!AH17&lt;57),(IF(Time!AH29=1,AH53,AH51)-AH50)*AI19+IF(Time!AH29=1,AH53,AH51)*AI11,0)</f>
        <v>8.33776066218525</v>
      </c>
      <c r="AI127" s="11" t="n">
        <f aca="false">IF(AND(Time!AI17&gt;=Time!$F$11,Time!AI17&lt;57),(IF(Time!AI29=1,AI53,AI51)-AI50)*AJ19+IF(Time!AI29=1,AI53,AI51)*AJ11,0)</f>
        <v>8.45664485774763</v>
      </c>
      <c r="AJ127" s="11" t="n">
        <f aca="false">IF(AND(Time!AJ17&gt;=Time!$F$11,Time!AJ17&lt;57),(IF(Time!AJ29=1,AJ53,AJ51)-AJ50)*AK19+IF(Time!AJ29=1,AJ53,AJ51)*AK11,0)</f>
        <v>8.42764805415072</v>
      </c>
      <c r="AK127" s="11" t="n">
        <f aca="false">IF(AND(Time!AK17&gt;=Time!$F$11,Time!AK17&lt;57),(IF(Time!AK29=1,AK53,AK51)-AK50)*AL19+IF(Time!AK29=1,AK53,AK51)*AL11,0)</f>
        <v>8.62656586347714</v>
      </c>
      <c r="AL127" s="11" t="n">
        <f aca="false">IF(AND(Time!AL17&gt;=Time!$F$11,Time!AL17&lt;57),(IF(Time!AL29=1,AL53,AL51)-AL50)*AM19+IF(Time!AL29=1,AL53,AL51)*AM11,0)</f>
        <v>8.50923721368344</v>
      </c>
      <c r="AM127" s="11" t="n">
        <f aca="false">IF(AND(Time!AM17&gt;=Time!$F$11,Time!AM17&lt;57),(IF(Time!AM29=1,AM53,AM51)-AM50)*AN19+IF(Time!AM29=1,AM53,AM51)*AN11,0)</f>
        <v>6.88549819021319</v>
      </c>
      <c r="AN127" s="11" t="n">
        <f aca="false">IF(AND(Time!AN17&gt;=Time!$F$11,Time!AN17&lt;57),(IF(Time!AN29=1,AN53,AN51)-AN50)*AO19+IF(Time!AN29=1,AN53,AN51)*AO11,0)</f>
        <v>6.75444325156706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695</v>
      </c>
      <c r="E128" s="0" t="s">
        <v>149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3.64955191272484</v>
      </c>
      <c r="P128" s="11" t="n">
        <f aca="false">IF(AND(Time!P17&gt;=Time!$F$11,Time!P17&lt;57),(IF(Time!P29=1,P68,P66)-P65)*Q19+IF(Time!P29=1,P68,P66)*Q12,0)</f>
        <v>3.63652708488905</v>
      </c>
      <c r="Q128" s="11" t="n">
        <f aca="false">IF(AND(Time!Q17&gt;=Time!$F$11,Time!Q17&lt;57),(IF(Time!Q29=1,Q68,Q66)-Q65)*R19+IF(Time!Q29=1,Q68,Q66)*R12,0)</f>
        <v>3.69584972328468</v>
      </c>
      <c r="R128" s="11" t="n">
        <f aca="false">IF(AND(Time!R17&gt;=Time!$F$11,Time!R17&lt;57),(IF(Time!R29=1,R68,R66)-R65)*S19+IF(Time!R29=1,R68,R66)*S12,0)</f>
        <v>3.66062465231617</v>
      </c>
      <c r="S128" s="11" t="n">
        <f aca="false">IF(AND(Time!S17&gt;=Time!$F$11,Time!S17&lt;57),(IF(Time!S29=1,S68,S66)-S65)*T19+IF(Time!S29=1,S68,S66)*T12,0)</f>
        <v>3.71449754447117</v>
      </c>
      <c r="T128" s="11" t="n">
        <f aca="false">IF(AND(Time!T17&gt;=Time!$F$11,Time!T17&lt;57),(IF(Time!T29=1,T68,T66)-T65)*U19+U22*MIN($F$60/4,T65)+IF(Time!T29=1,T68,T66)*U12,0)</f>
        <v>3.69199809125316</v>
      </c>
      <c r="U128" s="11" t="n">
        <f aca="false">IF(AND(Time!U17&gt;=Time!$F$11,Time!U17&lt;57),(IF(Time!U29=1,U68,U66)-U65)*V19+V22*MIN($F$60/4,U65)+IF(Time!U29=1,U68,U66)*V12,0)</f>
        <v>3.77212921832101</v>
      </c>
      <c r="V128" s="11" t="n">
        <f aca="false">IF(AND(Time!V17&gt;=Time!$F$11,Time!V17&lt;57),(IF(Time!V29=1,V68,V66)-V65)*W19+W22*MIN($F$60/4,V65)+IF(Time!V29=1,V68,V66)*W12,0)</f>
        <v>3.738887764518</v>
      </c>
      <c r="W128" s="11" t="n">
        <f aca="false">IF(AND(Time!W17&gt;=Time!$F$11,Time!W17&lt;57),(IF(Time!W29=1,W68,W66)-W65)*X19+X22*MIN($F$60/4,W65)+IF(Time!W29=1,W68,W66)*X12,0)</f>
        <v>3.64036868437463</v>
      </c>
      <c r="X128" s="11" t="n">
        <f aca="false">IF(AND(Time!X17&gt;=Time!$F$11,Time!X17&lt;57),(IF(Time!X29=1,X68,X66)-X65)*Y19+IF(Time!X29=1,X68,X66)*Y12,0)</f>
        <v>3.5488537609413</v>
      </c>
      <c r="Y128" s="11" t="n">
        <f aca="false">IF(AND(Time!Y17&gt;=Time!$F$11,Time!Y17&lt;57),(IF(Time!Y29=1,Y68,Y66)-Y65)*Z19+IF(Time!Y29=1,Y68,Y66)*Z12,0)</f>
        <v>3.59064570649138</v>
      </c>
      <c r="Z128" s="11" t="n">
        <f aca="false">IF(AND(Time!Z17&gt;=Time!$F$11,Time!Z17&lt;57),(IF(Time!Z29=1,Z68,Z66)-Z65)*AA19+IF(Time!Z29=1,Z68,Z66)*AA12,0)</f>
        <v>3.55870220818641</v>
      </c>
      <c r="AA128" s="11" t="n">
        <f aca="false">IF(AND(Time!AA17&gt;=Time!$F$11,Time!AA17&lt;57),(IF(Time!AA29=1,AA68,AA66)-AA65)*AB19+IF(Time!AA29=1,AA68,AA66)*AB12,0)</f>
        <v>3.61310823940253</v>
      </c>
      <c r="AB128" s="11" t="n">
        <f aca="false">IF(AND(Time!AB17&gt;=Time!$F$11,Time!AB17&lt;57),(IF(Time!AB29=1,AB68,AB66)-AB65)*AC19+IF(Time!AB29=1,AB68,AB66)*AC12,0)</f>
        <v>3.59874909994914</v>
      </c>
      <c r="AC128" s="11" t="n">
        <f aca="false">IF(AND(Time!AC17&gt;=Time!$F$11,Time!AC17&lt;57),(IF(Time!AC29=1,AC68,AC66)-AC65)*AD19+IF(Time!AC29=1,AC68,AC66)*AD12,0)</f>
        <v>3.74934637544361</v>
      </c>
      <c r="AD128" s="11" t="n">
        <f aca="false">IF(AND(Time!AD17&gt;=Time!$F$11,Time!AD17&lt;57),(IF(Time!AD29=1,AD68,AD66)-AD65)*AE19+IF(Time!AD29=1,AD68,AD66)*AE12,0)</f>
        <v>3.75571381426625</v>
      </c>
      <c r="AE128" s="11" t="n">
        <f aca="false">IF(AND(Time!AE17&gt;=Time!$F$11,Time!AE17&lt;57),(IF(Time!AE29=1,AE68,AE66)-AE65)*AF19+IF(Time!AE29=1,AE68,AE66)*AF12,0)</f>
        <v>3.77860573144685</v>
      </c>
      <c r="AF128" s="11" t="n">
        <f aca="false">IF(AND(Time!AF17&gt;=Time!$F$11,Time!AF17&lt;57),(IF(Time!AF29=1,AF68,AF66)-AF65)*AG19+IF(Time!AF29=1,AF68,AF66)*AG12,0)</f>
        <v>3.72300941661055</v>
      </c>
      <c r="AG128" s="11" t="n">
        <f aca="false">IF(AND(Time!AG17&gt;=Time!$F$11,Time!AG17&lt;57),(IF(Time!AG29=1,AG68,AG66)-AG65)*AH19+IF(Time!AG29=1,AG68,AG66)*AH12,0)</f>
        <v>3.78556399291859</v>
      </c>
      <c r="AH128" s="11" t="n">
        <f aca="false">IF(AND(Time!AH17&gt;=Time!$F$11,Time!AH17&lt;57),(IF(Time!AH29=1,AH68,AH66)-AH65)*AI19+IF(Time!AH29=1,AH68,AH66)*AI12,0)</f>
        <v>3.76174359294349</v>
      </c>
      <c r="AI128" s="11" t="n">
        <f aca="false">IF(AND(Time!AI17&gt;=Time!$F$11,Time!AI17&lt;57),(IF(Time!AI29=1,AI68,AI66)-AI65)*AJ19+IF(Time!AI29=1,AI68,AI66)*AJ12,0)</f>
        <v>3.81918399722804</v>
      </c>
      <c r="AJ128" s="11" t="n">
        <f aca="false">IF(AND(Time!AJ17&gt;=Time!$F$11,Time!AJ17&lt;57),(IF(Time!AJ29=1,AJ68,AJ66)-AJ65)*AK19+IF(Time!AJ29=1,AJ68,AJ66)*AK12,0)</f>
        <v>3.81028396269459</v>
      </c>
      <c r="AK128" s="11" t="n">
        <f aca="false">IF(AND(Time!AK17&gt;=Time!$F$11,Time!AK17&lt;57),(IF(Time!AK29=1,AK68,AK66)-AK65)*AL19+IF(Time!AK29=1,AK68,AK66)*AL12,0)</f>
        <v>3.90466296328881</v>
      </c>
      <c r="AL128" s="11" t="n">
        <f aca="false">IF(AND(Time!AL17&gt;=Time!$F$11,Time!AL17&lt;57),(IF(Time!AL29=1,AL68,AL66)-AL65)*AM19+IF(Time!AL29=1,AL68,AL66)*AM12,0)</f>
        <v>3.85596778165781</v>
      </c>
      <c r="AM128" s="11" t="n">
        <f aca="false">IF(AND(Time!AM17&gt;=Time!$F$11,Time!AM17&lt;57),(IF(Time!AM29=1,AM68,AM66)-AM65)*AN19+IF(Time!AM29=1,AM68,AM66)*AN12,0)</f>
        <v>3.12223949158291</v>
      </c>
      <c r="AN128" s="11" t="n">
        <f aca="false">IF(AND(Time!AN17&gt;=Time!$F$11,Time!AN17&lt;57),(IF(Time!AN29=1,AN68,AN66)-AN65)*AO19+IF(Time!AN29=1,AN68,AN66)*AO12,0)</f>
        <v>3.0664694367218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696</v>
      </c>
      <c r="E129" s="0" t="s">
        <v>149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15.7118164284045</v>
      </c>
      <c r="P129" s="11" t="n">
        <f aca="false">IF(AND(Time!P17&gt;=Time!$F$11,Time!P17&lt;57),(IF(Time!P29=1,P83,P81)-P80)*Q19+IF(Time!P29=1,P83,P81)*Q13,0)</f>
        <v>15.5905294834455</v>
      </c>
      <c r="Q129" s="11" t="n">
        <f aca="false">IF(AND(Time!Q17&gt;=Time!$F$11,Time!Q17&lt;57),(IF(Time!Q29=1,Q83,Q81)-Q80)*R19+IF(Time!Q29=1,Q83,Q81)*R13,0)</f>
        <v>15.7982497584975</v>
      </c>
      <c r="R129" s="11" t="n">
        <f aca="false">IF(AND(Time!R17&gt;=Time!$F$11,Time!R17&lt;57),(IF(Time!R29=1,R83,R81)-R80)*S19+IF(Time!R29=1,R83,R81)*S13,0)</f>
        <v>15.5884527186763</v>
      </c>
      <c r="S129" s="11" t="n">
        <f aca="false">IF(AND(Time!S17&gt;=Time!$F$11,Time!S17&lt;57),(IF(Time!S29=1,S83,S81)-S80)*T19+IF(Time!S29=1,S83,S81)*T13,0)</f>
        <v>15.7701000327804</v>
      </c>
      <c r="T129" s="11" t="n">
        <f aca="false">IF(AND(Time!T17&gt;=Time!$F$11,Time!T17&lt;57),(IF(Time!T29=1,T83,T81)-T80)*U19+U22*MIN($F$75/4,T80)+IF(Time!T29=1,T83,T81)*U13,0)</f>
        <v>15.6139676502482</v>
      </c>
      <c r="U129" s="11" t="n">
        <f aca="false">IF(AND(Time!U17&gt;=Time!$F$11,Time!U17&lt;57),(IF(Time!U29=1,U83,U81)-U80)*V19+V22*MIN($F$75/4,U80)+IF(Time!U29=1,U83,U81)*V13,0)</f>
        <v>15.8809555002622</v>
      </c>
      <c r="V129" s="11" t="n">
        <f aca="false">IF(AND(Time!V17&gt;=Time!$F$11,Time!V17&lt;57),(IF(Time!V29=1,V83,V81)-V80)*W19+W22*MIN($F$75/4,V80)+IF(Time!V29=1,V83,V81)*W13,0)</f>
        <v>15.671862206514</v>
      </c>
      <c r="W129" s="11" t="n">
        <f aca="false">IF(AND(Time!W17&gt;=Time!$F$11,Time!W17&lt;57),(IF(Time!W29=1,W83,W81)-W80)*X19+X22*MIN($F$75/4,W80)+IF(Time!W29=1,W83,W81)*X13,0)</f>
        <v>15.2614586723352</v>
      </c>
      <c r="X129" s="11" t="n">
        <f aca="false">IF(AND(Time!X17&gt;=Time!$F$11,Time!X17&lt;57),(IF(Time!X29=1,X83,X81)-X80)*Y19+IF(Time!X29=1,X83,X81)*Y13,0)</f>
        <v>15.3309403561482</v>
      </c>
      <c r="Y129" s="11" t="n">
        <f aca="false">IF(AND(Time!Y17&gt;=Time!$F$11,Time!Y17&lt;57),(IF(Time!Y29=1,Y83,Y81)-Y80)*Z19+IF(Time!Y29=1,Y83,Y81)*Z13,0)</f>
        <v>15.4399925530104</v>
      </c>
      <c r="Z129" s="11" t="n">
        <f aca="false">IF(AND(Time!Z17&gt;=Time!$F$11,Time!Z17&lt;57),(IF(Time!Z29=1,Z83,Z81)-Z80)*AA19+IF(Time!Z29=1,Z83,Z81)*AA13,0)</f>
        <v>15.2070257367325</v>
      </c>
      <c r="AA129" s="11" t="n">
        <f aca="false">IF(AND(Time!AA17&gt;=Time!$F$11,Time!AA17&lt;57),(IF(Time!AA29=1,AA83,AA81)-AA80)*AB19+IF(Time!AA29=1,AA83,AA81)*AB13,0)</f>
        <v>15.355567204414</v>
      </c>
      <c r="AB129" s="11" t="n">
        <f aca="false">IF(AND(Time!AB17&gt;=Time!$F$11,Time!AB17&lt;57),(IF(Time!AB29=1,AB83,AB81)-AB80)*AC19+IF(Time!AB29=1,AB83,AB81)*AC13,0)</f>
        <v>14.5712728703818</v>
      </c>
      <c r="AC129" s="11" t="n">
        <f aca="false">IF(AND(Time!AC17&gt;=Time!$F$11,Time!AC17&lt;57),(IF(Time!AC29=1,AC83,AC81)-AC80)*AD19+IF(Time!AC29=1,AC83,AC81)*AD13,0)</f>
        <v>14.2545574707095</v>
      </c>
      <c r="AD129" s="11" t="n">
        <f aca="false">IF(AND(Time!AD17&gt;=Time!$F$11,Time!AD17&lt;57),(IF(Time!AD29=1,AD83,AD81)-AD80)*AE19+IF(Time!AD29=1,AD83,AD81)*AE13,0)</f>
        <v>13.388574880921</v>
      </c>
      <c r="AE129" s="11" t="n">
        <f aca="false">IF(AND(Time!AE17&gt;=Time!$F$11,Time!AE17&lt;57),(IF(Time!AE29=1,AE83,AE81)-AE80)*AF19+IF(Time!AE29=1,AE83,AE81)*AF13,0)</f>
        <v>12.4900758738649</v>
      </c>
      <c r="AF129" s="11" t="n">
        <f aca="false">IF(AND(Time!AF17&gt;=Time!$F$11,Time!AF17&lt;57),(IF(Time!AF29=1,AF83,AF81)-AF80)*AG19+IF(Time!AF29=1,AF83,AF81)*AG13,0)</f>
        <v>11.4183656813165</v>
      </c>
      <c r="AG129" s="11" t="n">
        <f aca="false">IF(AND(Time!AG17&gt;=Time!$F$11,Time!AG17&lt;57),(IF(Time!AG29=1,AG83,AG81)-AG80)*AH19+IF(Time!AG29=1,AG83,AG81)*AH13,0)</f>
        <v>10.1175747832379</v>
      </c>
      <c r="AH129" s="11" t="n">
        <f aca="false">IF(AND(Time!AH17&gt;=Time!$F$11,Time!AH17&lt;57),(IF(Time!AH29=1,AH83,AH81)-AH80)*AI19+IF(Time!AH29=1,AH83,AH81)*AI13,0)</f>
        <v>8.3205510267088</v>
      </c>
      <c r="AI129" s="11" t="n">
        <f aca="false">IF(AND(Time!AI17&gt;=Time!$F$11,Time!AI17&lt;57),(IF(Time!AI29=1,AI83,AI81)-AI80)*AJ19+IF(Time!AI29=1,AI83,AI81)*AJ13,0)</f>
        <v>6.25894118396617</v>
      </c>
      <c r="AJ129" s="11" t="n">
        <f aca="false">IF(AND(Time!AJ17&gt;=Time!$F$11,Time!AJ17&lt;57),(IF(Time!AJ29=1,AJ83,AJ81)-AJ80)*AK19+IF(Time!AJ29=1,AJ83,AJ81)*AK13,0)</f>
        <v>3.5855108566115</v>
      </c>
      <c r="AK129" s="11" t="n">
        <f aca="false">IF(AND(Time!AK17&gt;=Time!$F$11,Time!AK17&lt;57),(IF(Time!AK29=1,AK83,AK81)-AK80)*AL19+IF(Time!AK29=1,AK83,AK81)*AL13,0)</f>
        <v>0.0121040132502986</v>
      </c>
      <c r="AL129" s="11" t="n">
        <f aca="false">IF(AND(Time!AL17&gt;=Time!$F$11,Time!AL17&lt;57),(IF(Time!AL29=1,AL83,AL81)-AL80)*AM19+IF(Time!AL29=1,AL83,AL81)*AM13,0)</f>
        <v>0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697</v>
      </c>
      <c r="E130" s="0" t="s">
        <v>149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1.11681414024904E-012</v>
      </c>
      <c r="P130" s="11" t="n">
        <f aca="false">IF(AND(Time!P17&gt;=Time!$F$11,Time!P17&lt;57),(IF(Time!P29=1,P98,P96)-P95)*Q19+IF(Time!P29=1,P98,P96)*Q14,0)</f>
        <v>1.10879399600145E-012</v>
      </c>
      <c r="Q130" s="11" t="n">
        <f aca="false">IF(AND(Time!Q17&gt;=Time!$F$11,Time!Q17&lt;57),(IF(Time!Q29=1,Q98,Q96)-Q95)*R19+IF(Time!Q29=1,Q98,Q96)*R14,0)</f>
        <v>1.12403280802318E-012</v>
      </c>
      <c r="R130" s="11" t="n">
        <f aca="false">IF(AND(Time!R17&gt;=Time!$F$11,Time!R17&lt;57),(IF(Time!R29=1,R98,R96)-R95)*S19+IF(Time!R29=1,R98,R96)*S14,0)</f>
        <v>1.10967760737581E-012</v>
      </c>
      <c r="S130" s="11" t="n">
        <f aca="false">IF(AND(Time!S17&gt;=Time!$F$11,Time!S17&lt;57),(IF(Time!S29=1,S98,S96)-S95)*T19+IF(Time!S29=1,S98,S96)*T14,0)</f>
        <v>1.12308949166694E-012</v>
      </c>
      <c r="T130" s="11" t="n">
        <f aca="false">IF(AND(Time!T17&gt;=Time!$F$11,Time!T17&lt;57),(IF(Time!T29=1,T98,T96)-T95)*U19+U22*MIN($F$90/4,T95)+IF(Time!T29=1,T98,T96)*U14,0)</f>
        <v>1.11258270151338E-012</v>
      </c>
      <c r="U130" s="11" t="n">
        <f aca="false">IF(AND(Time!U17&gt;=Time!$F$11,Time!U17&lt;57),(IF(Time!U29=1,U98,U96)-U95)*V19+V22*MIN($F$90/4,U95)+IF(Time!U29=1,U98,U96)*V14,0)</f>
        <v>1.13233634775653E-012</v>
      </c>
      <c r="V130" s="11" t="n">
        <f aca="false">IF(AND(Time!V17&gt;=Time!$F$11,Time!V17&lt;57),(IF(Time!V29=1,V98,V96)-V95)*W19+W22*MIN($F$90/4,V95)+IF(Time!V29=1,V98,V96)*W14,0)</f>
        <v>1.11813218876202E-012</v>
      </c>
      <c r="W130" s="11" t="n">
        <f aca="false">IF(AND(Time!W17&gt;=Time!$F$11,Time!W17&lt;57),(IF(Time!W29=1,W98,W96)-W95)*X19+X22*MIN($F$90/4,W95)+IF(Time!W29=1,W98,W96)*X14,0)</f>
        <v>1.08882527088267E-012</v>
      </c>
      <c r="X130" s="11" t="n">
        <f aca="false">IF(AND(Time!X17&gt;=Time!$F$11,Time!X17&lt;57),(IF(Time!X29=1,X98,X96)-X95)*Y19+IF(Time!X29=1,X98,X96)*Y14,0)</f>
        <v>1.08034184940062E-012</v>
      </c>
      <c r="Y130" s="11" t="n">
        <f aca="false">IF(AND(Time!Y17&gt;=Time!$F$11,Time!Y17&lt;57),(IF(Time!Y29=1,Y98,Y96)-Y95)*Z19+IF(Time!Y29=1,Y98,Y96)*Z14,0)</f>
        <v>1.0890364257679E-012</v>
      </c>
      <c r="Z130" s="11" t="n">
        <f aca="false">IF(AND(Time!Z17&gt;=Time!$F$11,Time!Z17&lt;57),(IF(Time!Z29=1,Z98,Z96)-Z95)*AA19+IF(Time!Z29=1,Z98,Z96)*AA14,0)</f>
        <v>1.07396133158779E-012</v>
      </c>
      <c r="AA130" s="11" t="n">
        <f aca="false">IF(AND(Time!AA17&gt;=Time!$F$11,Time!AA17&lt;57),(IF(Time!AA29=1,AA98,AA96)-AA95)*AB19+IF(Time!AA29=1,AA98,AA96)*AB14,0)</f>
        <v>1.08565058484733E-012</v>
      </c>
      <c r="AB130" s="11" t="n">
        <f aca="false">IF(AND(Time!AB17&gt;=Time!$F$11,Time!AB17&lt;57),(IF(Time!AB29=1,AB98,AB96)-AB95)*AC19+IF(Time!AB29=1,AB98,AB96)*AC14,0)</f>
        <v>1.07567618631829E-012</v>
      </c>
      <c r="AC130" s="11" t="n">
        <f aca="false">IF(AND(Time!AC17&gt;=Time!$F$11,Time!AC17&lt;57),(IF(Time!AC29=1,AC98,AC96)-AC95)*AD19+IF(Time!AC29=1,AC98,AC96)*AD14,0)</f>
        <v>1.11279760142986E-012</v>
      </c>
      <c r="AD130" s="11" t="n">
        <f aca="false">IF(AND(Time!AD17&gt;=Time!$F$11,Time!AD17&lt;57),(IF(Time!AD29=1,AD98,AD96)-AD95)*AE19+IF(Time!AD29=1,AD98,AD96)*AE14,0)</f>
        <v>1.10758332901689E-012</v>
      </c>
      <c r="AE130" s="11" t="n">
        <f aca="false">IF(AND(Time!AE17&gt;=Time!$F$11,Time!AE17&lt;57),(IF(Time!AE29=1,AE98,AE96)-AE95)*AF19+IF(Time!AE29=1,AE98,AE96)*AF14,0)</f>
        <v>1.10913171013681E-012</v>
      </c>
      <c r="AF130" s="11" t="n">
        <f aca="false">IF(AND(Time!AF17&gt;=Time!$F$11,Time!AF17&lt;57),(IF(Time!AF29=1,AF98,AF96)-AF95)*AG19+IF(Time!AF29=1,AF98,AF96)*AG14,0)</f>
        <v>1.09958487226456E-012</v>
      </c>
      <c r="AG130" s="11" t="n">
        <f aca="false">IF(AND(Time!AG17&gt;=Time!$F$11,Time!AG17&lt;57),(IF(Time!AG29=1,AG98,AG96)-AG95)*AH19+IF(Time!AG29=1,AG98,AG96)*AH14,0)</f>
        <v>1.11042382784158E-012</v>
      </c>
      <c r="AH130" s="11" t="n">
        <f aca="false">IF(AND(Time!AH17&gt;=Time!$F$11,Time!AH17&lt;57),(IF(Time!AH29=1,AH98,AH96)-AH95)*AI19+IF(Time!AH29=1,AH98,AH96)*AI14,0)</f>
        <v>1.09487516094129E-012</v>
      </c>
      <c r="AI130" s="11" t="n">
        <f aca="false">IF(AND(Time!AI17&gt;=Time!$F$11,Time!AI17&lt;57),(IF(Time!AI29=1,AI98,AI96)-AI95)*AJ19+IF(Time!AI29=1,AI98,AI96)*AJ14,0)</f>
        <v>1.10343493873003E-012</v>
      </c>
      <c r="AJ130" s="11" t="n">
        <f aca="false">IF(AND(Time!AJ17&gt;=Time!$F$11,Time!AJ17&lt;57),(IF(Time!AJ29=1,AJ98,AJ96)-AJ95)*AK19+IF(Time!AJ29=1,AJ98,AJ96)*AK14,0)</f>
        <v>1.09187310030326E-012</v>
      </c>
      <c r="AK130" s="11" t="n">
        <f aca="false">IF(AND(Time!AK17&gt;=Time!$F$11,Time!AK17&lt;57),(IF(Time!AK29=1,AK98,AK96)-AK95)*AL19+IF(Time!AK29=1,AK98,AK96)*AL14,0)</f>
        <v>1.10940396233962E-012</v>
      </c>
      <c r="AL130" s="11" t="n">
        <f aca="false">IF(AND(Time!AL17&gt;=Time!$F$11,Time!AL17&lt;57),(IF(Time!AL29=1,AL98,AL96)-AL95)*AM19+IF(Time!AL29=1,AL98,AL96)*AM14,0)</f>
        <v>1.08613621889977E-012</v>
      </c>
      <c r="AM130" s="11" t="n">
        <f aca="false">IF(AND(Time!AM17&gt;=Time!$F$11,Time!AM17&lt;57),(IF(Time!AM29=1,AM98,AM96)-AM95)*AN19+IF(Time!AM29=1,AM98,AM96)*AN14,0)</f>
        <v>8.75040484269021E-013</v>
      </c>
      <c r="AN130" s="11" t="n">
        <f aca="false">IF(AND(Time!AN17&gt;=Time!$F$11,Time!AN17&lt;57),(IF(Time!AN29=1,AN98,AN96)-AN95)*AO19+IF(Time!AN29=1,AN98,AN96)*AO14,0)</f>
        <v>8.51605452043554E-013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698</v>
      </c>
      <c r="E131" s="0" t="s">
        <v>149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IF(AND(Time!W17&gt;=Time!$F$11,Time!W17&lt;57,W103+W20*$F$109&gt;0.000000001),MIN($F$109*Inputs!X224,W103+W20*$F$109)+(W103+W20*$F$109)*(X15+Inputs!$F$200/100*0.5*Inputs!$F$199/$F$109),0)</f>
        <v>0</v>
      </c>
      <c r="X131" s="11" t="n">
        <f aca="false">IF(AND(Time!X17&gt;=Time!$F$11,Time!X17&lt;57,X103+X20*$F$109&gt;0.000000001),MIN($F$109*Inputs!Y224,X103+X20*$F$109)+(X103+X20*$F$109)*(Y15+Inputs!$F$200/100*0.5*Inputs!$F$199/$F$109),0)</f>
        <v>0</v>
      </c>
      <c r="Y131" s="11" t="n">
        <f aca="false">IF(AND(Time!Y17&gt;=Time!$F$11,Time!Y17&lt;57,Y103+Y20*$F$109&gt;0.000000001),MIN($F$109*Inputs!Z224,Y103+Y20*$F$109)+(Y103+Y20*$F$109)*(Z15+Inputs!$F$200/100*0.5*Inputs!$F$199/$F$109),0)</f>
        <v>0</v>
      </c>
      <c r="Z131" s="11" t="n">
        <f aca="false">IF(AND(Time!Z17&gt;=Time!$F$11,Time!Z17&lt;57,Z103+Z20*$F$109&gt;0.000000001),MIN($F$109*Inputs!AA224,Z103+Z20*$F$109)+(Z103+Z20*$F$109)*(AA15+Inputs!$F$200/100*0.5*Inputs!$F$199/$F$109),0)</f>
        <v>0</v>
      </c>
      <c r="AA131" s="11" t="n">
        <f aca="false">IF(AND(Time!AA17&gt;=Time!$F$11,Time!AA17&lt;57,AA103+AA20*$F$109&gt;0.000000001),MIN($F$109*Inputs!AB224,AA103+AA20*$F$109)+(AA103+AA20*$F$109)*(AB15+Inputs!$F$200/100*0.5*Inputs!$F$199/$F$109),0)</f>
        <v>0</v>
      </c>
      <c r="AB131" s="11" t="n">
        <f aca="false">IF(AND(Time!AB17&gt;=Time!$F$11,Time!AB17&lt;57,AB103+AB20*$F$109&gt;0.000000001),MIN($F$109*Inputs!AC224,AB103+AB20*$F$109)+(AB103+AB20*$F$109)*(AC15+Inputs!$F$200/100*0.5*Inputs!$F$199/$F$109),0)</f>
        <v>0</v>
      </c>
      <c r="AC131" s="11" t="n">
        <f aca="false">IF(AND(Time!AC17&gt;=Time!$F$11,Time!AC17&lt;57,AC103+AC20*$F$109&gt;0.000000001),MIN($F$109*Inputs!AD224,AC103+AC20*$F$109)+(AC103+AC20*$F$109)*(AD15+Inputs!$F$200/100*0.5*Inputs!$F$199/$F$109),0)</f>
        <v>0</v>
      </c>
      <c r="AD131" s="11" t="n">
        <f aca="false">IF(AND(Time!AD17&gt;=Time!$F$11,Time!AD17&lt;57,AD103+AD20*$F$109&gt;0.000000001),MIN($F$109*Inputs!AE224,AD103+AD20*$F$109)+(AD103+AD20*$F$109)*(AE15+Inputs!$F$200/100*0.5*Inputs!$F$199/$F$109),0)</f>
        <v>0</v>
      </c>
      <c r="AE131" s="11" t="n">
        <f aca="false">IF(AND(Time!AE17&gt;=Time!$F$11,Time!AE17&lt;57,AE103+AE20*$F$109&gt;0.000000001),MIN($F$109*Inputs!AF224,AE103+AE20*$F$109)+(AE103+AE20*$F$109)*(AF15+Inputs!$F$200/100*0.5*Inputs!$F$199/$F$109),0)</f>
        <v>0</v>
      </c>
      <c r="AF131" s="11" t="n">
        <f aca="false">IF(AND(Time!AF17&gt;=Time!$F$11,Time!AF17&lt;57,AF103+AF20*$F$109&gt;0.000000001),MIN($F$109*Inputs!AG224,AF103+AF20*$F$109)+(AF103+AF20*$F$109)*(AG15+Inputs!$F$200/100*0.5*Inputs!$F$199/$F$109),0)</f>
        <v>0</v>
      </c>
      <c r="AG131" s="11" t="n">
        <f aca="false">IF(AND(Time!AG17&gt;=Time!$F$11,Time!AG17&lt;57,AG103+AG20*$F$109&gt;0.000000001),MIN($F$109*Inputs!AH224,AG103+AG20*$F$109)+(AG103+AG20*$F$109)*(AH15+Inputs!$F$200/100*0.5*Inputs!$F$199/$F$109),0)</f>
        <v>0</v>
      </c>
      <c r="AH131" s="11" t="n">
        <f aca="false">IF(AND(Time!AH17&gt;=Time!$F$11,Time!AH17&lt;57,AH103+AH20*$F$109&gt;0.000000001),MIN($F$109*Inputs!AI224,AH103+AH20*$F$109)+(AH103+AH20*$F$109)*(AI15+Inputs!$F$200/100*0.5*Inputs!$F$199/$F$109),0)</f>
        <v>0</v>
      </c>
      <c r="AI131" s="11" t="n">
        <f aca="false">IF(AND(Time!AI17&gt;=Time!$F$11,Time!AI17&lt;57,AI103+AI20*$F$109&gt;0.000000001),MIN($F$109*Inputs!AJ224,AI103+AI20*$F$109)+(AI103+AI20*$F$109)*(AJ15+Inputs!$F$200/100*0.5*Inputs!$F$199/$F$109),0)</f>
        <v>0</v>
      </c>
      <c r="AJ131" s="11" t="n">
        <f aca="false">IF(AND(Time!AJ17&gt;=Time!$F$11,Time!AJ17&lt;57,AJ103+AJ20*$F$109&gt;0.000000001),MIN($F$109*Inputs!AK224,AJ103+AJ20*$F$109)+(AJ103+AJ20*$F$109)*(AK15+Inputs!$F$200/100*0.5*Inputs!$F$199/$F$109),0)</f>
        <v>0</v>
      </c>
      <c r="AK131" s="11" t="n">
        <f aca="false">IF(AND(Time!AK17&gt;=Time!$F$11,Time!AK17&lt;57,AK103+AK20*$F$109&gt;0.000000001),MIN($F$109*Inputs!AL224,AK103+AK20*$F$109)+(AK103+AK20*$F$109)*(AL15+Inputs!$F$200/100*0.5*Inputs!$F$199/$F$109),0)</f>
        <v>0</v>
      </c>
      <c r="AL131" s="11" t="n">
        <f aca="false">IF(AND(Time!AL17&gt;=Time!$F$11,Time!AL17&lt;57,AL103+AL20*$F$109&gt;0.000000001),MIN($F$109*Inputs!AM224,AL103+AL20*$F$109)+(AL103+AL20*$F$109)*(AM15+Inputs!$F$200/100*0.5*Inputs!$F$199/$F$109),0)</f>
        <v>0</v>
      </c>
      <c r="AM131" s="11" t="n">
        <f aca="false">IF(AND(Time!AM17&gt;=Time!$F$11,Time!AM17&lt;57,AM103+AM20*$F$109&gt;0.000000001),MIN($F$109*Inputs!AN224,AM103+AM20*$F$109)+(AM103+AM20*$F$109)*(AN15+Inputs!$F$200/100*0.5*Inputs!$F$199/$F$109),0)</f>
        <v>0</v>
      </c>
      <c r="AN131" s="11" t="n">
        <f aca="false">IF(AND(Time!AN17&gt;=Time!$F$11,Time!AN17&lt;57,AN103+AN20*$F$109&gt;0.000000001),MIN($F$109*Inputs!AO224,AN103+AN20*$F$109)+(AN103+AN20*$F$109)*(AO15+Inputs!$F$200/100*0.5*Inputs!$F$199/$F$109),0)</f>
        <v>0</v>
      </c>
      <c r="AO131" s="11" t="n">
        <f aca="false">IF(AND(Time!AO17&gt;=Time!$F$11,Time!AO17&lt;57,AO103+AO20*$F$109&gt;0.000000001),MIN($F$109*Inputs!AP224,AO103+AO20*$F$109)+(AO103+AO20*$F$109)*(AP15+Inputs!$F$200/100*0.5*Inputs!$F$199/$F$109),0)</f>
        <v>0</v>
      </c>
      <c r="AP131" s="11" t="n">
        <f aca="false">IF(AND(Time!AP17&gt;=Time!$F$11,Time!AP17&lt;57,AP103+AP20*$F$109&gt;0.000000001),MIN($F$109*Inputs!AQ224,AP103+AP20*$F$109)+(AP103+AP20*$F$109)*(AQ15+Inputs!$F$200/100*0.5*Inputs!$F$199/$F$109),0)</f>
        <v>0</v>
      </c>
      <c r="AQ131" s="11" t="n">
        <f aca="false">IF(AND(Time!AQ17&gt;=Time!$F$11,Time!AQ17&lt;57,AQ103+AQ20*$F$109&gt;0.000000001),MIN($F$109*Inputs!AR224,AQ103+AQ20*$F$109)+(AQ103+AQ20*$F$109)*(AR15+Inputs!$F$200/100*0.5*Inputs!$F$199/$F$109),0)</f>
        <v>0</v>
      </c>
      <c r="AR131" s="11" t="n">
        <f aca="false">IF(AND(Time!AR17&gt;=Time!$F$11,Time!AR17&lt;57,AR103+AR20*$F$109&gt;0.000000001),MIN($F$109*Inputs!AS224,AR103+AR20*$F$109)+(AR103+AR20*$F$109)*(AS15+Inputs!$F$200/100*0.5*Inputs!$F$199/$F$109),0)</f>
        <v>0</v>
      </c>
      <c r="AS131" s="11" t="n">
        <f aca="false">IF(AND(Time!AS17&gt;=Time!$F$11,Time!AS17&lt;57,AS103+AS20*$F$109&gt;0.000000001),MIN($F$109*Inputs!AT224,AS103+AS20*$F$109)+(AS103+AS20*$F$109)*(AT15+Inputs!$F$200/100*0.5*Inputs!$F$199/$F$109),0)</f>
        <v>0</v>
      </c>
      <c r="AT131" s="11" t="n">
        <f aca="false">IF(AND(Time!AT17&gt;=Time!$F$11,Time!AT17&lt;57,AT103+AT20*$F$109&gt;0.000000001),MIN($F$109*Inputs!AU224,AT103+AT20*$F$109)+(AT103+AT20*$F$109)*(AU15+Inputs!$F$200/100*0.5*Inputs!$F$199/$F$109),0)</f>
        <v>0</v>
      </c>
      <c r="AU131" s="11" t="n">
        <f aca="false">IF(AND(Time!AU17&gt;=Time!$F$11,Time!AU17&lt;57,AU103+AU20*$F$109&gt;0.000000001),MIN($F$109*Inputs!AV224,AU103+AU20*$F$109)+(AU103+AU20*$F$109)*(AV15+Inputs!$F$200/100*0.5*Inputs!$F$199/$F$109),0)</f>
        <v>0</v>
      </c>
      <c r="AV131" s="11" t="n">
        <f aca="false">IF(AND(Time!AV17&gt;=Time!$F$11,Time!AV17&lt;57,AV103+AV20*$F$109&gt;0.000000001),MIN($F$109*Inputs!AW224,AV103+AV20*$F$109)+(AV103+AV20*$F$109)*(AW15+Inputs!$F$200/100*0.5*Inputs!$F$199/$F$109),0)</f>
        <v>0</v>
      </c>
      <c r="AW131" s="11" t="n">
        <f aca="false">IF(AND(Time!AW17&gt;=Time!$F$11,Time!AW17&lt;57,AW103+AW20*$F$109&gt;0.000000001),MIN($F$109*Inputs!AX224,AW103+AW20*$F$109)+(AW103+AW20*$F$109)*(AX15+Inputs!$F$200/100*0.5*Inputs!$F$199/$F$109),0)</f>
        <v>0</v>
      </c>
      <c r="AX131" s="11" t="n">
        <f aca="false">IF(AND(Time!AX17&gt;=Time!$F$11,Time!AX17&lt;57,AX103+AX20*$F$109&gt;0.000000001),MIN($F$109*Inputs!AY224,AX103+AX20*$F$109)+(AX103+AX20*$F$109)*(AY15+Inputs!$F$200/100*0.5*Inputs!$F$199/$F$109),0)</f>
        <v>0</v>
      </c>
      <c r="AY131" s="11" t="n">
        <f aca="false">IF(AND(Time!AY17&gt;=Time!$F$11,Time!AY17&lt;57,AY103+AY20*$F$109&gt;0.000000001),MIN($F$109*Inputs!AZ224,AY103+AY20*$F$109)+(AY103+AY20*$F$109)*(AZ15+Inputs!$F$200/100*0.5*Inputs!$F$199/$F$109),0)</f>
        <v>0</v>
      </c>
      <c r="AZ131" s="11" t="n">
        <f aca="false">IF(AND(Time!AZ17&gt;=Time!$F$11,Time!AZ17&lt;57,AZ103+AZ20*$F$109&gt;0.000000001),MIN($F$109*Inputs!BA224,AZ103+AZ20*$F$109)+(AZ103+AZ20*$F$109)*(BA15+Inputs!$F$200/100*0.5*Inputs!$F$199/$F$109),0)</f>
        <v>0</v>
      </c>
      <c r="BA131" s="11" t="n">
        <f aca="false">IF(AND(Time!BA17&gt;=Time!$F$11,Time!BA17&lt;57,BA103+BA20*$F$109&gt;0.000000001),MIN($F$109*Inputs!BB224,BA103+BA20*$F$109)+(BA103+BA20*$F$109)*(BB15+Inputs!$F$200/100*0.5*Inputs!$F$199/$F$109),0)</f>
        <v>0</v>
      </c>
      <c r="BB131" s="11" t="n">
        <f aca="false">IF(AND(Time!BB17&gt;=Time!$F$11,Time!BB17&lt;57,BB103+BB20*$F$109&gt;0.000000001),MIN($F$109*Inputs!BC224,BB103+BB20*$F$109)+(BB103+BB20*$F$109)*(BC15+Inputs!$F$200/100*0.5*Inputs!$F$199/$F$109),0)</f>
        <v>0</v>
      </c>
      <c r="BC131" s="11" t="n">
        <f aca="false">IF(AND(Time!BC17&gt;=Time!$F$11,Time!BC17&lt;57,BC103+BC20*$F$109&gt;0.000000001),MIN($F$109*Inputs!BD224,BC103+BC20*$F$109)+(BC103+BC20*$F$109)*(BD15+Inputs!$F$200/100*0.5*Inputs!$F$199/$F$109),0)</f>
        <v>0</v>
      </c>
      <c r="BD131" s="11" t="n">
        <f aca="false">IF(AND(Time!BD17&gt;=Time!$F$11,Time!BD17&lt;57,BD103+BD20*$F$109&gt;0.000000001),MIN($F$109*Inputs!BE224,BD103+BD20*$F$109)+(BD103+BD20*$F$109)*(BE15+Inputs!$F$200/100*0.5*Inputs!$F$199/$F$109),0)</f>
        <v>0</v>
      </c>
      <c r="BE131" s="11" t="n">
        <f aca="false">IF(AND(Time!BE17&gt;=Time!$F$11,Time!BE17&lt;57,BE103+BE20*$F$109&gt;0.000000001),MIN($F$109*Inputs!BF224,BE103+BE20*$F$109)+(BE103+BE20*$F$109)*(BF15+Inputs!$F$200/100*0.5*Inputs!$F$199/$F$109),0)</f>
        <v>0</v>
      </c>
      <c r="BF131" s="11" t="n">
        <f aca="false">IF(AND(Time!BF17&gt;=Time!$F$11,Time!BF17&lt;57,BF103+BF20*$F$109&gt;0.000000001),MIN($F$109*Inputs!BG224,BF103+BF20*$F$109)+(BF103+BF20*$F$109)*(BG15+Inputs!$F$200/100*0.5*Inputs!$F$199/$F$109),0)</f>
        <v>0</v>
      </c>
      <c r="BG131" s="11" t="n">
        <f aca="false">IF(AND(Time!BG17&gt;=Time!$F$11,Time!BG17&lt;57,BG103+BG20*$F$109&gt;0.000000001),MIN($F$109*Inputs!BH224,BG103+BG20*$F$109)+(BG103+BG20*$F$109)*(BH15+Inputs!$F$200/100*0.5*Inputs!$F$199/$F$109),0)</f>
        <v>0</v>
      </c>
      <c r="BH131" s="11" t="n">
        <f aca="false">IF(AND(Time!BH17&gt;=Time!$F$11,Time!BH17&lt;57,BH103+BH20*$F$109&gt;0.000000001),MIN($F$109*Inputs!BI224,BH103+BH20*$F$109)+(BH103+BH20*$F$109)*(BI15+Inputs!$F$200/100*0.5*Inputs!$F$199/$F$109),0)</f>
        <v>0</v>
      </c>
      <c r="BI131" s="11" t="n">
        <f aca="false">IF(AND(Time!BI17&gt;=Time!$F$11,Time!BI17&lt;57,BI103+BI20*$F$109&gt;0.000000001),MIN($F$109*Inputs!BJ224,BI103+BI20*$F$109)+(BI103+BI20*$F$109)*(BJ15+Inputs!$F$200/100*0.5*Inputs!$F$199/$F$109),0)</f>
        <v>0</v>
      </c>
      <c r="BJ131" s="11" t="n">
        <f aca="false">IF(AND(Time!BJ17&gt;=Time!$F$11,Time!BJ17&lt;57,BJ103+BJ20*$F$109&gt;0.000000001),MIN($F$109*Inputs!BK224,BJ103+BJ20*$F$109)+(BJ103+BJ20*$F$109)*(BK15+Inputs!$F$200/100*0.5*Inputs!$F$199/$F$109),0)</f>
        <v>0</v>
      </c>
      <c r="BK131" s="11" t="n">
        <f aca="false">IF(AND(Time!BK17&gt;=Time!$F$11,Time!BK17&lt;57,BK103+BK20*$F$109&gt;0.000000001),MIN($F$109*Inputs!BL224,BK103+BK20*$F$109)+(BK103+BK20*$F$109)*(BL15+Inputs!$F$200/100*0.5*Inputs!$F$199/$F$109),0)</f>
        <v>0</v>
      </c>
      <c r="BL131" s="11" t="n">
        <f aca="false">IF(AND(Time!BL17&gt;=Time!$F$11,Time!BL17&lt;57,BL103+BL20*$F$109&gt;0.000000001),MIN($F$109*Inputs!BM224,BL103+BL20*$F$109)+(BL103+BL20*$F$109)*(BM15+Inputs!$F$200/100*0.5*Inputs!$F$199/$F$109),0)</f>
        <v>0</v>
      </c>
      <c r="BM131" s="11" t="n">
        <f aca="false">IF(AND(Time!BM17&gt;=Time!$F$11,Time!BM17&lt;57,BM103+BM20*$F$109&gt;0.000000001),MIN($F$109*Inputs!BN224,BM103+BM20*$F$109)+(BM103+BM20*$F$109)*(BN15+Inputs!$F$200/100*0.5*Inputs!$F$199/$F$109),0)</f>
        <v>0</v>
      </c>
      <c r="BN131" s="11" t="n">
        <f aca="false">IF(AND(Time!BN17&gt;=Time!$F$11,Time!BN17&lt;57,BN103+BN20*$F$109&gt;0.000000001),MIN($F$109*0,BN103+BN20*$F$109)+(BN103+BN20*$F$109)*(0+Inputs!$F$200/100*0.5*Inputs!$F$199/$F$109),0)</f>
        <v>0</v>
      </c>
    </row>
    <row r="132" customFormat="false" ht="15" hidden="false" customHeight="false" outlineLevel="0" collapsed="false">
      <c r="D132" s="0" t="s">
        <v>699</v>
      </c>
      <c r="E132" s="0" t="s">
        <v>149</v>
      </c>
      <c r="J132" s="11" t="n">
        <f aca="false">IF(AND(Time!J17&gt;=Time!$F$11,Time!J17&lt;57),J126+J127+J128+J129+J130+J131+Inputs!K225*K113*(Inputs!$F$97/100*0.5-Operations!K9/100*Time!K20/360)+(Inputs!$F$95/100*Inputs!$F$96/100)*J125*Time!K20/365,0)</f>
        <v>0</v>
      </c>
      <c r="K132" s="11" t="n">
        <f aca="false">IF(AND(Time!K17&gt;=Time!$F$11,Time!K17&lt;57),K126+K127+K128+K129+K130+K131+Inputs!L225*L113*(Inputs!$F$97/100*0.5-Operations!L9/100*Time!L20/360)+(Inputs!$F$95/100*Inputs!$F$96/100)*K125*Time!L20/365,0)</f>
        <v>0</v>
      </c>
      <c r="L132" s="11" t="n">
        <f aca="false">IF(AND(Time!L17&gt;=Time!$F$11,Time!L17&lt;57),L126+L127+L128+L129+L130+L131+Inputs!M225*M113*(Inputs!$F$97/100*0.5-Operations!M9/100*Time!M20/360)+(Inputs!$F$95/100*Inputs!$F$96/100)*L125*Time!M20/365,0)</f>
        <v>0</v>
      </c>
      <c r="M132" s="11" t="n">
        <f aca="false">IF(AND(Time!M17&gt;=Time!$F$11,Time!M17&lt;57),M126+M127+M128+M129+M130+M131+Inputs!N225*N113*(Inputs!$F$97/100*0.5-Operations!N9/100*Time!N20/360)+(Inputs!$F$95/100*Inputs!$F$96/100)*M125*Time!N20/365,0)</f>
        <v>0</v>
      </c>
      <c r="N132" s="11" t="n">
        <f aca="false">IF(AND(Time!N17&gt;=Time!$F$11,Time!N17&lt;57),N126+N127+N128+N129+N130+N131+Inputs!O225*O113*(Inputs!$F$97/100*0.5-Operations!O9/100*Time!O20/360)+(Inputs!$F$95/100*Inputs!$F$96/100)*N125*Time!O20/365,0)</f>
        <v>0</v>
      </c>
      <c r="O132" s="11" t="n">
        <f aca="false">IF(AND(Time!O17&gt;=Time!$F$11,Time!O17&lt;57),O126+O127+O128+O129+O130+O131+Inputs!P225*P113*(Inputs!$F$97/100*0.5-Operations!P9/100*Time!P20/360)+(Inputs!$F$95/100*Inputs!$F$96/100)*O125*Time!P20/365,0)</f>
        <v>37.2458954370965</v>
      </c>
      <c r="P132" s="11" t="n">
        <f aca="false">IF(AND(Time!P17&gt;=Time!$F$11,Time!P17&lt;57),P126+P127+P128+P129+P130+P131+Inputs!Q225*Q113*(Inputs!$F$97/100*0.5-Operations!Q9/100*Time!Q20/360)+(Inputs!$F$95/100*Inputs!$F$96/100)*P125*Time!Q20/365,0)</f>
        <v>37.1570164551458</v>
      </c>
      <c r="Q132" s="11" t="n">
        <f aca="false">IF(AND(Time!Q17&gt;=Time!$F$11,Time!Q17&lt;57),Q126+Q127+Q128+Q129+Q130+Q131+Inputs!R225*R113*(Inputs!$F$97/100*0.5-Operations!R9/100*Time!R20/360)+(Inputs!$F$95/100*Inputs!$F$96/100)*Q125*Time!R20/365,0)</f>
        <v>37.624785087678</v>
      </c>
      <c r="R132" s="11" t="n">
        <f aca="false">IF(AND(Time!R17&gt;=Time!$F$11,Time!R17&lt;57),R126+R127+R128+R129+R130+R131+Inputs!S225*S113*(Inputs!$F$97/100*0.5-Operations!S9/100*Time!S20/360)+(Inputs!$F$95/100*Inputs!$F$96/100)*R125*Time!S20/365,0)</f>
        <v>37.333312492557</v>
      </c>
      <c r="S132" s="11" t="n">
        <f aca="false">IF(AND(Time!S17&gt;=Time!$F$11,Time!S17&lt;57),S126+S127+S128+S129+S130+S131+Inputs!T225*T113*(Inputs!$F$97/100*0.5-Operations!T9/100*Time!T20/360)+(Inputs!$F$95/100*Inputs!$F$96/100)*S125*Time!T20/365,0)</f>
        <v>37.7512177817478</v>
      </c>
      <c r="T132" s="11" t="n">
        <f aca="false">IF(AND(Time!T17&gt;=Time!$F$11,Time!T17&lt;57),T126+T127+T128+T129+T130+T131+Inputs!U225*U113*(Inputs!$F$97/100*0.5-Operations!U9/100*Time!U20/360)+(Inputs!$F$95/100*Inputs!$F$96/100)*T125*Time!U20/365,0)</f>
        <v>37.5706927548527</v>
      </c>
      <c r="U132" s="11" t="n">
        <f aca="false">IF(AND(Time!U17&gt;=Time!$F$11,Time!U17&lt;57),U126+U127+U128+U129+U130+U131+Inputs!V225*V113*(Inputs!$F$97/100*0.5-Operations!V9/100*Time!V20/360)+(Inputs!$F$95/100*Inputs!$F$96/100)*U125*Time!V20/365,0)</f>
        <v>38.2879202351583</v>
      </c>
      <c r="V132" s="11" t="n">
        <f aca="false">IF(AND(Time!V17&gt;=Time!$F$11,Time!V17&lt;57),V126+V127+V128+V129+V130+V131+Inputs!W225*W113*(Inputs!$F$97/100*0.5-Operations!W9/100*Time!W20/360)+(Inputs!$F$95/100*Inputs!$F$96/100)*V125*Time!W20/365,0)</f>
        <v>38.0232274258698</v>
      </c>
      <c r="W132" s="11" t="n">
        <f aca="false">IF(AND(Time!W17&gt;=Time!$F$11,Time!W17&lt;57),W126+W127+W128+W129+W130+W131+Inputs!X225*X113*(Inputs!$F$97/100*0.5-Operations!X9/100*Time!X20/360)+(Inputs!$F$95/100*Inputs!$F$96/100)*W125*Time!X20/365,0)</f>
        <v>36.9267950745894</v>
      </c>
      <c r="X132" s="11" t="n">
        <f aca="false">IF(AND(Time!X17&gt;=Time!$F$11,Time!X17&lt;57),X126+X127+X128+X129+X130+X131+Inputs!Y225*Y113*(Inputs!$F$97/100*0.5-Operations!Y9/100*Time!Y20/360)+(Inputs!$F$95/100*Inputs!$F$96/100)*X125*Time!Y20/365,0)</f>
        <v>36.5703920445452</v>
      </c>
      <c r="Y132" s="11" t="n">
        <f aca="false">IF(AND(Time!Y17&gt;=Time!$F$11,Time!Y17&lt;57),Y126+Y127+Y128+Y129+Y130+Y131+Inputs!Z225*Z113*(Inputs!$F$97/100*0.5-Operations!Z9/100*Time!Z20/360)+(Inputs!$F$95/100*Inputs!$F$96/100)*Y125*Time!Z20/365,0)</f>
        <v>36.8713631085141</v>
      </c>
      <c r="Z132" s="11" t="n">
        <f aca="false">IF(AND(Time!Z17&gt;=Time!$F$11,Time!Z17&lt;57),Z126+Z127+Z128+Z129+Z130+Z131+Inputs!AA225*AA113*(Inputs!$F$97/100*0.5-Operations!AA9/100*Time!AA20/360)+(Inputs!$F$95/100*Inputs!$F$96/100)*Z125*Time!AA20/365,0)</f>
        <v>36.5742873548545</v>
      </c>
      <c r="AA132" s="11" t="n">
        <f aca="false">IF(AND(Time!AA17&gt;=Time!$F$11,Time!AA17&lt;57),AA126+AA127+AA128+AA129+AA130+AA131+Inputs!AB225*AB113*(Inputs!$F$97/100*0.5-Operations!AB9/100*Time!AB20/360)+(Inputs!$F$95/100*Inputs!$F$96/100)*AA125*Time!AB20/365,0)</f>
        <v>37.0047486319762</v>
      </c>
      <c r="AB132" s="11" t="n">
        <f aca="false">IF(AND(Time!AB17&gt;=Time!$F$11,Time!AB17&lt;57),AB126+AB127+AB128+AB129+AB130+AB131+Inputs!AC225*AC113*(Inputs!$F$97/100*0.5-Operations!AC9/100*Time!AC20/360)+(Inputs!$F$95/100*Inputs!$F$96/100)*AB125*Time!AC20/365,0)</f>
        <v>36.1992315517568</v>
      </c>
      <c r="AC132" s="11" t="n">
        <f aca="false">IF(AND(Time!AC17&gt;=Time!$F$11,Time!AC17&lt;57),AC126+AC127+AC128+AC129+AC130+AC131+Inputs!AD225*AD113*(Inputs!$F$97/100*0.5-Operations!AD9/100*Time!AD20/360)+(Inputs!$F$95/100*Inputs!$F$96/100)*AC125*Time!AD20/365,0)</f>
        <v>36.7678244305152</v>
      </c>
      <c r="AD132" s="11" t="n">
        <f aca="false">IF(AND(Time!AD17&gt;=Time!$F$11,Time!AD17&lt;57),AD126+AD127+AD128+AD129+AD130+AD131+Inputs!AE225*AE113*(Inputs!$F$97/100*0.5-Operations!AE9/100*Time!AE20/360)+(Inputs!$F$95/100*Inputs!$F$96/100)*AD125*Time!AE20/365,0)</f>
        <v>36.0360476420817</v>
      </c>
      <c r="AE132" s="11" t="n">
        <f aca="false">IF(AND(Time!AE17&gt;=Time!$F$11,Time!AE17&lt;57),AE126+AE127+AE128+AE129+AE130+AE131+Inputs!AF225*AF113*(Inputs!$F$97/100*0.5-Operations!AF9/100*Time!AF20/360)+(Inputs!$F$95/100*Inputs!$F$96/100)*AE125*Time!AF20/365,0)</f>
        <v>35.2245441795351</v>
      </c>
      <c r="AF132" s="11" t="n">
        <f aca="false">IF(AND(Time!AF17&gt;=Time!$F$11,Time!AF17&lt;57),AF126+AF127+AF128+AF129+AF130+AF131+Inputs!AG225*AG113*(Inputs!$F$97/100*0.5-Operations!AG9/100*Time!AG20/360)+(Inputs!$F$95/100*Inputs!$F$96/100)*AF125*Time!AG20/365,0)</f>
        <v>33.8975249025636</v>
      </c>
      <c r="AG132" s="11" t="n">
        <f aca="false">IF(AND(Time!AG17&gt;=Time!$F$11,Time!AG17&lt;57),AG126+AG127+AG128+AG129+AG130+AG131+Inputs!AH225*AH113*(Inputs!$F$97/100*0.5-Operations!AH9/100*Time!AH20/360)+(Inputs!$F$95/100*Inputs!$F$96/100)*AG125*Time!AH20/365,0)</f>
        <v>32.9416481949476</v>
      </c>
      <c r="AH132" s="11" t="n">
        <f aca="false">IF(AND(Time!AH17&gt;=Time!$F$11,Time!AH17&lt;57),AH126+AH127+AH128+AH129+AH130+AH131+Inputs!AI225*AI113*(Inputs!$F$97/100*0.5-Operations!AI9/100*Time!AI20/360)+(Inputs!$F$95/100*Inputs!$F$96/100)*AH125*Time!AI20/365,0)</f>
        <v>31.0781446009488</v>
      </c>
      <c r="AI132" s="11" t="n">
        <f aca="false">IF(AND(Time!AI17&gt;=Time!$F$11,Time!AI17&lt;57),AI126+AI127+AI128+AI129+AI130+AI131+Inputs!AJ225*AJ113*(Inputs!$F$97/100*0.5-Operations!AJ9/100*Time!AJ20/360)+(Inputs!$F$95/100*Inputs!$F$96/100)*AI125*Time!AJ20/365,0)</f>
        <v>29.3509485408672</v>
      </c>
      <c r="AJ132" s="11" t="n">
        <f aca="false">IF(AND(Time!AJ17&gt;=Time!$F$11,Time!AJ17&lt;57),AJ126+AJ127+AJ128+AJ129+AJ130+AJ131+Inputs!AK225*AK113*(Inputs!$F$97/100*0.5-Operations!AK9/100*Time!AK20/360)+(Inputs!$F$95/100*Inputs!$F$96/100)*AJ125*Time!AK20/365,0)</f>
        <v>26.6908039231563</v>
      </c>
      <c r="AK132" s="11" t="n">
        <f aca="false">IF(AND(Time!AK17&gt;=Time!$F$11,Time!AK17&lt;57),AK126+AK127+AK128+AK129+AK130+AK131+Inputs!AL225*AL113*(Inputs!$F$97/100*0.5-Operations!AL9/100*Time!AL20/360)+(Inputs!$F$95/100*Inputs!$F$96/100)*AK125*Time!AL20/365,0)</f>
        <v>23.7263439046152</v>
      </c>
      <c r="AL132" s="11" t="n">
        <f aca="false">IF(AND(Time!AL17&gt;=Time!$F$11,Time!AL17&lt;57),AL126+AL127+AL128+AL129+AL130+AL131+Inputs!AM225*AM113*(Inputs!$F$97/100*0.5-Operations!AM9/100*Time!AM20/360)+(Inputs!$F$95/100*Inputs!$F$96/100)*AL125*Time!AM20/365,0)</f>
        <v>23.5692918532781</v>
      </c>
      <c r="AM132" s="11" t="n">
        <f aca="false">IF(AND(Time!AM17&gt;=Time!$F$11,Time!AM17&lt;57),AM126+AM127+AM128+AM129+AM130+AM131+Inputs!AN225*AN113*(Inputs!$F$97/100*0.5-Operations!AN9/100*Time!AN20/360)+(Inputs!$F$95/100*Inputs!$F$96/100)*AM125*Time!AN20/365,0)</f>
        <v>19.1320172548642</v>
      </c>
      <c r="AN132" s="11" t="n">
        <f aca="false">IF(AND(Time!AN17&gt;=Time!$F$11,Time!AN17&lt;57),AN126+AN127+AN128+AN129+AN130+AN131+Inputs!AO225*AO113*(Inputs!$F$97/100*0.5-Operations!AO9/100*Time!AO20/360)+(Inputs!$F$95/100*Inputs!$F$96/100)*AN125*Time!AO20/365,0)</f>
        <v>18.9059077476081</v>
      </c>
      <c r="AO132" s="11" t="n">
        <f aca="false">IF(AND(Time!AO17&gt;=Time!$F$11,Time!AO17&lt;57),AO126+AO127+AO128+AO129+AO130+AO131+Inputs!AP225*AP113*(Inputs!$F$97/100*0.5-Operations!AP9/100*Time!AP20/360)+(Inputs!$F$95/100*Inputs!$F$96/100)*AO125*Time!AP20/365,0)</f>
        <v>0</v>
      </c>
      <c r="AP132" s="11" t="n">
        <f aca="false">IF(AND(Time!AP17&gt;=Time!$F$11,Time!AP17&lt;57),AP126+AP127+AP128+AP129+AP130+AP131+Inputs!AQ225*AQ113*(Inputs!$F$97/100*0.5-Operations!AQ9/100*Time!AQ20/360)+(Inputs!$F$95/100*Inputs!$F$96/100)*AP125*Time!AQ20/365,0)</f>
        <v>0</v>
      </c>
      <c r="AQ132" s="11" t="n">
        <f aca="false">IF(AND(Time!AQ17&gt;=Time!$F$11,Time!AQ17&lt;57),AQ126+AQ127+AQ128+AQ129+AQ130+AQ131+Inputs!AR225*AR113*(Inputs!$F$97/100*0.5-Operations!AR9/100*Time!AR20/360)+(Inputs!$F$95/100*Inputs!$F$96/100)*AQ125*Time!AR20/365,0)</f>
        <v>0</v>
      </c>
      <c r="AR132" s="11" t="n">
        <f aca="false">IF(AND(Time!AR17&gt;=Time!$F$11,Time!AR17&lt;57),AR126+AR127+AR128+AR129+AR130+AR131+Inputs!AS225*AS113*(Inputs!$F$97/100*0.5-Operations!AS9/100*Time!AS20/360)+(Inputs!$F$95/100*Inputs!$F$96/100)*AR125*Time!AS20/365,0)</f>
        <v>0</v>
      </c>
      <c r="AS132" s="11" t="n">
        <f aca="false">IF(AND(Time!AS17&gt;=Time!$F$11,Time!AS17&lt;57),AS126+AS127+AS128+AS129+AS130+AS131+Inputs!AT225*AT113*(Inputs!$F$97/100*0.5-Operations!AT9/100*Time!AT20/360)+(Inputs!$F$95/100*Inputs!$F$96/100)*AS125*Time!AT20/365,0)</f>
        <v>0</v>
      </c>
      <c r="AT132" s="11" t="n">
        <f aca="false">IF(AND(Time!AT17&gt;=Time!$F$11,Time!AT17&lt;57),AT126+AT127+AT128+AT129+AT130+AT131+Inputs!AU225*AU113*(Inputs!$F$97/100*0.5-Operations!AU9/100*Time!AU20/360)+(Inputs!$F$95/100*Inputs!$F$96/100)*AT125*Time!AU20/365,0)</f>
        <v>0</v>
      </c>
      <c r="AU132" s="11" t="n">
        <f aca="false">IF(AND(Time!AU17&gt;=Time!$F$11,Time!AU17&lt;57),AU126+AU127+AU128+AU129+AU130+AU131+Inputs!AV225*AV113*(Inputs!$F$97/100*0.5-Operations!AV9/100*Time!AV20/360)+(Inputs!$F$95/100*Inputs!$F$96/100)*AU125*Time!AV20/365,0)</f>
        <v>0</v>
      </c>
      <c r="AV132" s="11" t="n">
        <f aca="false">IF(AND(Time!AV17&gt;=Time!$F$11,Time!AV17&lt;57),AV126+AV127+AV128+AV129+AV130+AV131+Inputs!AW225*AW113*(Inputs!$F$97/100*0.5-Operations!AW9/100*Time!AW20/360)+(Inputs!$F$95/100*Inputs!$F$96/100)*AV125*Time!AW20/365,0)</f>
        <v>0</v>
      </c>
      <c r="AW132" s="11" t="n">
        <f aca="false">IF(AND(Time!AW17&gt;=Time!$F$11,Time!AW17&lt;57),AW126+AW127+AW128+AW129+AW130+AW131+Inputs!AX225*AX113*(Inputs!$F$97/100*0.5-Operations!AX9/100*Time!AX20/360)+(Inputs!$F$95/100*Inputs!$F$96/100)*AW125*Time!AX20/365,0)</f>
        <v>0</v>
      </c>
      <c r="AX132" s="11" t="n">
        <f aca="false">IF(AND(Time!AX17&gt;=Time!$F$11,Time!AX17&lt;57),AX126+AX127+AX128+AX129+AX130+AX131+Inputs!AY225*AY113*(Inputs!$F$97/100*0.5-Operations!AY9/100*Time!AY20/360)+(Inputs!$F$95/100*Inputs!$F$96/100)*AX125*Time!AY20/365,0)</f>
        <v>0</v>
      </c>
      <c r="AY132" s="11" t="n">
        <f aca="false">IF(AND(Time!AY17&gt;=Time!$F$11,Time!AY17&lt;57),AY126+AY127+AY128+AY129+AY130+AY131+Inputs!AZ225*AZ113*(Inputs!$F$97/100*0.5-Operations!AZ9/100*Time!AZ20/360)+(Inputs!$F$95/100*Inputs!$F$96/100)*AY125*Time!AZ20/365,0)</f>
        <v>0</v>
      </c>
      <c r="AZ132" s="11" t="n">
        <f aca="false">IF(AND(Time!AZ17&gt;=Time!$F$11,Time!AZ17&lt;57),AZ126+AZ127+AZ128+AZ129+AZ130+AZ131+Inputs!BA225*BA113*(Inputs!$F$97/100*0.5-Operations!BA9/100*Time!BA20/360)+(Inputs!$F$95/100*Inputs!$F$96/100)*AZ125*Time!BA20/365,0)</f>
        <v>0</v>
      </c>
      <c r="BA132" s="11" t="n">
        <f aca="false">IF(AND(Time!BA17&gt;=Time!$F$11,Time!BA17&lt;57),BA126+BA127+BA128+BA129+BA130+BA131+Inputs!BB225*BB113*(Inputs!$F$97/100*0.5-Operations!BB9/100*Time!BB20/360)+(Inputs!$F$95/100*Inputs!$F$96/100)*BA125*Time!BB20/365,0)</f>
        <v>0</v>
      </c>
      <c r="BB132" s="11" t="n">
        <f aca="false">IF(AND(Time!BB17&gt;=Time!$F$11,Time!BB17&lt;57),BB126+BB127+BB128+BB129+BB130+BB131+Inputs!BC225*BC113*(Inputs!$F$97/100*0.5-Operations!BC9/100*Time!BC20/360)+(Inputs!$F$95/100*Inputs!$F$96/100)*BB125*Time!BC20/365,0)</f>
        <v>0</v>
      </c>
      <c r="BC132" s="11" t="n">
        <f aca="false">IF(AND(Time!BC17&gt;=Time!$F$11,Time!BC17&lt;57),BC126+BC127+BC128+BC129+BC130+BC131+Inputs!BD225*BD113*(Inputs!$F$97/100*0.5-Operations!BD9/100*Time!BD20/360)+(Inputs!$F$95/100*Inputs!$F$96/100)*BC125*Time!BD20/365,0)</f>
        <v>0</v>
      </c>
      <c r="BD132" s="11" t="n">
        <f aca="false">IF(AND(Time!BD17&gt;=Time!$F$11,Time!BD17&lt;57),BD126+BD127+BD128+BD129+BD130+BD131+Inputs!BE225*BE113*(Inputs!$F$97/100*0.5-Operations!BE9/100*Time!BE20/360)+(Inputs!$F$95/100*Inputs!$F$96/100)*BD125*Time!BE20/365,0)</f>
        <v>0</v>
      </c>
      <c r="BE132" s="11" t="n">
        <f aca="false">IF(AND(Time!BE17&gt;=Time!$F$11,Time!BE17&lt;57),BE126+BE127+BE128+BE129+BE130+BE131+Inputs!BF225*BF113*(Inputs!$F$97/100*0.5-Operations!BF9/100*Time!BF20/360)+(Inputs!$F$95/100*Inputs!$F$96/100)*BE125*Time!BF20/365,0)</f>
        <v>0</v>
      </c>
      <c r="BF132" s="11" t="n">
        <f aca="false">IF(AND(Time!BF17&gt;=Time!$F$11,Time!BF17&lt;57),BF126+BF127+BF128+BF129+BF130+BF131+Inputs!BG225*BG113*(Inputs!$F$97/100*0.5-Operations!BG9/100*Time!BG20/360)+(Inputs!$F$95/100*Inputs!$F$96/100)*BF125*Time!BG20/365,0)</f>
        <v>0</v>
      </c>
      <c r="BG132" s="11" t="n">
        <f aca="false">IF(AND(Time!BG17&gt;=Time!$F$11,Time!BG17&lt;57),BG126+BG127+BG128+BG129+BG130+BG131+Inputs!BH225*BH113*(Inputs!$F$97/100*0.5-Operations!BH9/100*Time!BH20/360)+(Inputs!$F$95/100*Inputs!$F$96/100)*BG125*Time!BH20/365,0)</f>
        <v>0</v>
      </c>
      <c r="BH132" s="11" t="n">
        <f aca="false">IF(AND(Time!BH17&gt;=Time!$F$11,Time!BH17&lt;57),BH126+BH127+BH128+BH129+BH130+BH131+Inputs!BI225*BI113*(Inputs!$F$97/100*0.5-Operations!BI9/100*Time!BI20/360)+(Inputs!$F$95/100*Inputs!$F$96/100)*BH125*Time!BI20/365,0)</f>
        <v>0</v>
      </c>
      <c r="BI132" s="11" t="n">
        <f aca="false">IF(AND(Time!BI17&gt;=Time!$F$11,Time!BI17&lt;57),BI126+BI127+BI128+BI129+BI130+BI131+Inputs!BJ225*BJ113*(Inputs!$F$97/100*0.5-Operations!BJ9/100*Time!BJ20/360)+(Inputs!$F$95/100*Inputs!$F$96/100)*BI125*Time!BJ20/365,0)</f>
        <v>0</v>
      </c>
      <c r="BJ132" s="11" t="n">
        <f aca="false">IF(AND(Time!BJ17&gt;=Time!$F$11,Time!BJ17&lt;57),BJ126+BJ127+BJ128+BJ129+BJ130+BJ131+Inputs!BK225*BK113*(Inputs!$F$97/100*0.5-Operations!BK9/100*Time!BK20/360)+(Inputs!$F$95/100*Inputs!$F$96/100)*BJ125*Time!BK20/365,0)</f>
        <v>0</v>
      </c>
      <c r="BK132" s="11" t="n">
        <f aca="false">IF(AND(Time!BK17&gt;=Time!$F$11,Time!BK17&lt;57),BK126+BK127+BK128+BK129+BK130+BK131+Inputs!BL225*BL113*(Inputs!$F$97/100*0.5-Operations!BL9/100*Time!BL20/360)+(Inputs!$F$95/100*Inputs!$F$96/100)*BK125*Time!BL20/365,0)</f>
        <v>0</v>
      </c>
      <c r="BL132" s="11" t="n">
        <f aca="false">IF(AND(Time!BL17&gt;=Time!$F$11,Time!BL17&lt;57),BL126+BL127+BL128+BL129+BL130+BL131+Inputs!BM225*BM113*(Inputs!$F$97/100*0.5-Operations!BM9/100*Time!BM20/360)+(Inputs!$F$95/100*Inputs!$F$96/100)*BL125*Time!BM20/365,0)</f>
        <v>0</v>
      </c>
      <c r="BM132" s="11" t="n">
        <f aca="false">IF(AND(Time!BM17&gt;=Time!$F$11,Time!BM17&lt;57),BM126+BM127+BM128+BM129+BM130+BM131+Inputs!BN225*BN113*(Inputs!$F$97/100*0.5-Operations!BN9/100*Time!BN20/360)+(Inputs!$F$95/100*Inputs!$F$96/100)*BM125*Time!BN20/365,0)</f>
        <v>0</v>
      </c>
      <c r="BN132" s="11" t="n">
        <f aca="false">IF(AND(Time!BN17&gt;=Time!$F$11,Time!BN17&lt;57),BN126+BN127+BN128+BN129+BN130+BN131+0*0*(Inputs!$F$97/100*0.5-0/100*0/360)+(Inputs!$F$95/100*Inputs!$F$96/100)*BN125*0/365,0)</f>
        <v>0</v>
      </c>
    </row>
    <row r="133" customFormat="false" ht="15" hidden="false" customHeight="false" outlineLevel="0" collapsed="false">
      <c r="B133" s="2" t="s">
        <v>700</v>
      </c>
    </row>
    <row r="134" customFormat="false" ht="15" hidden="false" customHeight="false" outlineLevel="0" collapsed="false">
      <c r="D134" s="0" t="s">
        <v>701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1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702</v>
      </c>
      <c r="E135" s="0" t="s">
        <v>99</v>
      </c>
      <c r="J135" s="14" t="n">
        <f aca="false">IF(J134=1,Inputs!$F$75*J10+Inputs!$F$76*J11+Inputs!$F$77*J12+Inputs!$F$78*(J13+(Inputs!$F$95/100*Inputs!$F$96/100)*Time!J20/365)+Inputs!J225/(Funding!$F$25*J18)*(Inputs!$F$97/100*0.5-Operations!J9/100*Time!J20/360),0)</f>
        <v>0</v>
      </c>
      <c r="K135" s="14" t="n">
        <f aca="false">IF(K134=1,Inputs!$F$75*K10+Inputs!$F$76*K11+Inputs!$F$77*K12+Inputs!$F$78*(K13+(Inputs!$F$95/100*Inputs!$F$96/100)*Time!K20/365)+Inputs!K225/(Funding!$F$25*K18)*(Inputs!$F$97/100*0.5-Operations!K9/100*Time!K20/360),0)</f>
        <v>0</v>
      </c>
      <c r="L135" s="14" t="n">
        <f aca="false">IF(L134=1,Inputs!$F$75*L10+Inputs!$F$76*L11+Inputs!$F$77*L12+Inputs!$F$78*(L13+(Inputs!$F$95/100*Inputs!$F$96/100)*Time!L20/365)+Inputs!L225/(Funding!$F$25*L18)*(Inputs!$F$97/100*0.5-Operations!L9/100*Time!L20/360),0)</f>
        <v>0</v>
      </c>
      <c r="M135" s="14" t="n">
        <f aca="false">IF(M134=1,Inputs!$F$75*M10+Inputs!$F$76*M11+Inputs!$F$77*M12+Inputs!$F$78*(M13+(Inputs!$F$95/100*Inputs!$F$96/100)*Time!M20/365)+Inputs!M225/(Funding!$F$25*M18)*(Inputs!$F$97/100*0.5-Operations!M9/100*Time!M20/360),0)</f>
        <v>0</v>
      </c>
      <c r="N135" s="14" t="n">
        <f aca="false">IF(N134=1,Inputs!$F$75*N10+Inputs!$F$76*N11+Inputs!$F$77*N12+Inputs!$F$78*(N13+(Inputs!$F$95/100*Inputs!$F$96/100)*Time!N20/365)+Inputs!N225/(Funding!$F$25*N18)*(Inputs!$F$97/100*0.5-Operations!N9/100*Time!N20/360),0)</f>
        <v>0</v>
      </c>
      <c r="O135" s="14" t="n">
        <f aca="false">IF(O134=1,Inputs!$F$75*O10+Inputs!$F$76*O11+Inputs!$F$77*O12+Inputs!$F$78*(O13+(Inputs!$F$95/100*Inputs!$F$96/100)*Time!O20/365)+Inputs!O225/(Funding!$F$25*O18)*(Inputs!$F$97/100*0.5-Operations!O9/100*Time!O20/360),0)</f>
        <v>0</v>
      </c>
      <c r="P135" s="14" t="n">
        <f aca="false">IF(P134=1,Inputs!$F$75*P10+Inputs!$F$76*P11+Inputs!$F$77*P12+Inputs!$F$78*(P13+(Inputs!$F$95/100*Inputs!$F$96/100)*Time!P20/365)+Inputs!P225/(Funding!$F$25*P18)*(Inputs!$F$97/100*0.5-Operations!P9/100*Time!P20/360),0)</f>
        <v>0.0343560605451908</v>
      </c>
      <c r="Q135" s="14" t="n">
        <f aca="false">IF(Q134=1,Inputs!$F$75*Q10+Inputs!$F$76*Q11+Inputs!$F$77*Q12+Inputs!$F$78*(Q13+(Inputs!$F$95/100*Inputs!$F$96/100)*Time!Q20/365)+Inputs!Q225/(Funding!$F$25*Q18)*(Inputs!$F$97/100*0.5-Operations!Q9/100*Time!Q20/360),0)</f>
        <v>0.0340124598263424</v>
      </c>
      <c r="R135" s="14" t="n">
        <f aca="false">IF(R134=1,Inputs!$F$75*R10+Inputs!$F$76*R11+Inputs!$F$77*R12+Inputs!$F$78*(R13+(Inputs!$F$95/100*Inputs!$F$96/100)*Time!R20/365)+Inputs!R225/(Funding!$F$25*R18)*(Inputs!$F$97/100*0.5-Operations!R9/100*Time!R20/360),0)</f>
        <v>0.0343808210390786</v>
      </c>
      <c r="S135" s="14" t="n">
        <f aca="false">IF(S134=1,Inputs!$F$75*S10+Inputs!$F$76*S11+Inputs!$F$77*S12+Inputs!$F$78*(S13+(Inputs!$F$95/100*Inputs!$F$96/100)*Time!S20/365)+Inputs!S225/(Funding!$F$25*S18)*(Inputs!$F$97/100*0.5-Operations!S9/100*Time!S20/360),0)</f>
        <v>0.034024638221434</v>
      </c>
      <c r="T135" s="14" t="n">
        <f aca="false">IF(T134=1,Inputs!$F$75*T10+Inputs!$F$76*T11+Inputs!$F$77*T12+Inputs!$F$78*(T13+(Inputs!$F$95/100*Inputs!$F$96/100)*Time!T20/365)+Inputs!T225/(Funding!$F$25*T18)*(Inputs!$F$97/100*0.5-Operations!T9/100*Time!T20/360),0)</f>
        <v>0.0343932012860226</v>
      </c>
      <c r="U135" s="14" t="n">
        <f aca="false">IF(U134=1,Inputs!$F$75*U10+Inputs!$F$76*U11+Inputs!$F$77*U12+Inputs!$F$78*(U13+(Inputs!$F$95/100*Inputs!$F$96/100)*Time!U20/365)+Inputs!U225/(Funding!$F$25*U18)*(Inputs!$F$97/100*0.5-Operations!U9/100*Time!U20/360),0)</f>
        <v>0.0341474925762968</v>
      </c>
      <c r="V135" s="14" t="n">
        <f aca="false">IF(V134=1,Inputs!$F$75*V10+Inputs!$F$76*V11+Inputs!$F$77*V12+Inputs!$F$78*(V13+(Inputs!$F$95/100*Inputs!$F$96/100)*Time!V20/365)+Inputs!V225/(Funding!$F$25*V18)*(Inputs!$F$97/100*0.5-Operations!V9/100*Time!V20/360),0)</f>
        <v>0.0343932012860226</v>
      </c>
      <c r="W135" s="14" t="n">
        <f aca="false">IF(W134=1,Inputs!$F$75*W10+Inputs!$F$76*W11+Inputs!$F$77*W12+Inputs!$F$78*(W13+(Inputs!$F$95/100*Inputs!$F$96/100)*Time!W20/365)+Inputs!W225/(Funding!$F$25*W18)*(Inputs!$F$97/100*0.5-Operations!W9/100*Time!W20/360),0)</f>
        <v>0.034024638221434</v>
      </c>
      <c r="X135" s="14" t="n">
        <f aca="false">IF(X134=1,Inputs!$F$75*X10+Inputs!$F$76*X11+Inputs!$F$77*X12+Inputs!$F$78*(X13+(Inputs!$F$95/100*Inputs!$F$96/100)*Time!X20/365)+Inputs!X225/(Funding!$F$25*X18)*(Inputs!$F$97/100*0.5-Operations!X9/100*Time!X20/360),0)</f>
        <v>0.0343932012860226</v>
      </c>
      <c r="Y135" s="14" t="n">
        <f aca="false">IF(Y134=1,Inputs!$F$75*Y10+Inputs!$F$76*Y11+Inputs!$F$77*Y12+Inputs!$F$78*(Y13+(Inputs!$F$95/100*Inputs!$F$96/100)*Time!Y20/365)+Inputs!Y225/(Funding!$F$25*Y18)*(Inputs!$F$97/100*0.5-Operations!Y9/100*Time!Y20/360),0)</f>
        <v>0.0350860579745204</v>
      </c>
      <c r="Z135" s="14" t="n">
        <f aca="false">IF(Z134=1,Inputs!$F$75*Z10+Inputs!$F$76*Z11+Inputs!$F$77*Z12+Inputs!$F$78*(Z13+(Inputs!$F$95/100*Inputs!$F$96/100)*Time!Z20/365)+Inputs!Z225/(Funding!$F$25*Z18)*(Inputs!$F$97/100*0.5-Operations!Z9/100*Time!Z20/360),0)</f>
        <v>0.0354722136317016</v>
      </c>
      <c r="AA135" s="14" t="n">
        <f aca="false">IF(AA134=1,Inputs!$F$75*AA10+Inputs!$F$76*AA11+Inputs!$F$77*AA12+Inputs!$F$78*(AA13+(Inputs!$F$95/100*Inputs!$F$96/100)*Time!AA20/365)+Inputs!AA225/(Funding!$F$25*AA18)*(Inputs!$F$97/100*0.5-Operations!AA9/100*Time!AA20/360),0)</f>
        <v>0.0350860579745204</v>
      </c>
      <c r="AB135" s="14" t="n">
        <f aca="false">IF(AB134=1,Inputs!$F$75*AB10+Inputs!$F$76*AB11+Inputs!$F$77*AB12+Inputs!$F$78*(AB13+(Inputs!$F$95/100*Inputs!$F$96/100)*Time!AB20/365)+Inputs!AB225/(Funding!$F$25*AB18)*(Inputs!$F$97/100*0.5-Operations!AB9/100*Time!AB20/360),0)</f>
        <v>0.0354722136317016</v>
      </c>
      <c r="AC135" s="14" t="n">
        <f aca="false">IF(AC134=1,Inputs!$F$75*AC10+Inputs!$F$76*AC11+Inputs!$F$77*AC12+Inputs!$F$78*(AC13+(Inputs!$F$95/100*Inputs!$F$96/100)*Time!AC20/365)+Inputs!AC225/(Funding!$F$25*AC18)*(Inputs!$F$97/100*0.5-Operations!AC9/100*Time!AC20/360),0)</f>
        <v>0.0352147765269141</v>
      </c>
      <c r="AD135" s="14" t="n">
        <f aca="false">IF(AD134=1,Inputs!$F$75*AD10+Inputs!$F$76*AD11+Inputs!$F$77*AD12+Inputs!$F$78*(AD13+(Inputs!$F$95/100*Inputs!$F$96/100)*Time!AD20/365)+Inputs!AD225/(Funding!$F$25*AD18)*(Inputs!$F$97/100*0.5-Operations!AD9/100*Time!AD20/360),0)</f>
        <v>0.0354722136317016</v>
      </c>
      <c r="AE135" s="14" t="n">
        <f aca="false">IF(AE134=1,Inputs!$F$75*AE10+Inputs!$F$76*AE11+Inputs!$F$77*AE12+Inputs!$F$78*(AE13+(Inputs!$F$95/100*Inputs!$F$96/100)*Time!AE20/365)+Inputs!AE225/(Funding!$F$25*AE18)*(Inputs!$F$97/100*0.5-Operations!AE9/100*Time!AE20/360),0)</f>
        <v>0.0350860579745204</v>
      </c>
      <c r="AF135" s="14" t="n">
        <f aca="false">IF(AF134=1,Inputs!$F$75*AF10+Inputs!$F$76*AF11+Inputs!$F$77*AF12+Inputs!$F$78*(AF13+(Inputs!$F$95/100*Inputs!$F$96/100)*Time!AF20/365)+Inputs!AF225/(Funding!$F$25*AF18)*(Inputs!$F$97/100*0.5-Operations!AF9/100*Time!AF20/360),0)</f>
        <v>0.0354722136317016</v>
      </c>
      <c r="AG135" s="14" t="n">
        <f aca="false">IF(AG134=1,Inputs!$F$75*AG10+Inputs!$F$76*AG11+Inputs!$F$77*AG12+Inputs!$F$78*(AG13+(Inputs!$F$95/100*Inputs!$F$96/100)*Time!AG20/365)+Inputs!AG225/(Funding!$F$25*AG18)*(Inputs!$F$97/100*0.5-Operations!AG9/100*Time!AG20/360),0)</f>
        <v>0.0361474777276068</v>
      </c>
      <c r="AH135" s="14" t="n">
        <f aca="false">IF(AH134=1,Inputs!$F$75*AH10+Inputs!$F$76*AH11+Inputs!$F$77*AH12+Inputs!$F$78*(AH13+(Inputs!$F$95/100*Inputs!$F$96/100)*Time!AH20/365)+Inputs!AH225/(Funding!$F$25*AH18)*(Inputs!$F$97/100*0.5-Operations!AH9/100*Time!AH20/360),0)</f>
        <v>0.0365512259773806</v>
      </c>
      <c r="AI135" s="14" t="n">
        <f aca="false">IF(AI134=1,Inputs!$F$75*AI10+Inputs!$F$76*AI11+Inputs!$F$77*AI12+Inputs!$F$78*(AI13+(Inputs!$F$95/100*Inputs!$F$96/100)*Time!AI20/365)+Inputs!AI225/(Funding!$F$25*AI18)*(Inputs!$F$97/100*0.5-Operations!AI9/100*Time!AI20/360),0)</f>
        <v>0.0361474777276068</v>
      </c>
      <c r="AJ135" s="14" t="n">
        <f aca="false">IF(AJ134=1,Inputs!$F$75*AJ10+Inputs!$F$76*AJ11+Inputs!$F$77*AJ12+Inputs!$F$78*(AJ13+(Inputs!$F$95/100*Inputs!$F$96/100)*Time!AJ20/365)+Inputs!AJ225/(Funding!$F$25*AJ18)*(Inputs!$F$97/100*0.5-Operations!AJ9/100*Time!AJ20/360),0)</f>
        <v>0.0365512259773806</v>
      </c>
      <c r="AK135" s="14" t="n">
        <f aca="false">IF(AK134=1,Inputs!$F$75*AK10+Inputs!$F$76*AK11+Inputs!$F$77*AK12+Inputs!$F$78*(AK13+(Inputs!$F$95/100*Inputs!$F$96/100)*Time!AK20/365)+Inputs!AK225/(Funding!$F$25*AK18)*(Inputs!$F$97/100*0.5-Operations!AK9/100*Time!AK20/360),0)</f>
        <v>0.0362820604775314</v>
      </c>
      <c r="AL135" s="14" t="n">
        <f aca="false">IF(AL134=1,Inputs!$F$75*AL10+Inputs!$F$76*AL11+Inputs!$F$77*AL12+Inputs!$F$78*(AL13+(Inputs!$F$95/100*Inputs!$F$96/100)*Time!AL20/365)+Inputs!AL225/(Funding!$F$25*AL18)*(Inputs!$F$97/100*0.5-Operations!AL9/100*Time!AL20/360),0)</f>
        <v>0.0365512259773806</v>
      </c>
      <c r="AM135" s="14" t="n">
        <f aca="false">IF(AM134=1,Inputs!$F$75*AM10+Inputs!$F$76*AM11+Inputs!$F$77*AM12+Inputs!$F$78*(AM13+(Inputs!$F$95/100*Inputs!$F$96/100)*Time!AM20/365)+Inputs!AM225/(Funding!$F$25*AM18)*(Inputs!$F$97/100*0.5-Operations!AM9/100*Time!AM20/360),0)</f>
        <v>0.0361474777276068</v>
      </c>
      <c r="AN135" s="14" t="n">
        <f aca="false">IF(AN134=1,Inputs!$F$75*AN10+Inputs!$F$76*AN11+Inputs!$F$77*AN12+Inputs!$F$78*(AN13+(Inputs!$F$95/100*Inputs!$F$96/100)*Time!AN20/365)+Inputs!AN225/(Funding!$F$25*AN18)*(Inputs!$F$97/100*0.5-Operations!AN9/100*Time!AN20/360),0)</f>
        <v>0.0365512259773806</v>
      </c>
      <c r="AO135" s="14" t="n">
        <f aca="false">IF(AO134=1,Inputs!$F$75*AO10+Inputs!$F$76*AO11+Inputs!$F$77*AO12+Inputs!$F$78*(AO13+(Inputs!$F$95/100*Inputs!$F$96/100)*Time!AO20/365)+Inputs!AO225/(Funding!$F$25*AO18)*(Inputs!$F$97/100*0.5-Operations!AO9/100*Time!AO20/360),0)</f>
        <v>0.0361474777276068</v>
      </c>
      <c r="AP135" s="14" t="n">
        <f aca="false">IF(AP134=1,Inputs!$F$75*AP10+Inputs!$F$76*AP11+Inputs!$F$77*AP12+Inputs!$F$78*(AP13+(Inputs!$F$95/100*Inputs!$F$96/100)*Time!AP20/365)+Inputs!AP225/(Funding!$F$25*AP18)*(Inputs!$F$97/100*0.5-Operations!AP9/100*Time!AP20/360),0)</f>
        <v>0</v>
      </c>
      <c r="AQ135" s="14" t="n">
        <f aca="false">IF(AQ134=1,Inputs!$F$75*AQ10+Inputs!$F$76*AQ11+Inputs!$F$77*AQ12+Inputs!$F$78*(AQ13+(Inputs!$F$95/100*Inputs!$F$96/100)*Time!AQ20/365)+Inputs!AQ225/(Funding!$F$25*AQ18)*(Inputs!$F$97/100*0.5-Operations!AQ9/100*Time!AQ20/360),0)</f>
        <v>0</v>
      </c>
      <c r="AR135" s="14" t="n">
        <f aca="false">IF(AR134=1,Inputs!$F$75*AR10+Inputs!$F$76*AR11+Inputs!$F$77*AR12+Inputs!$F$78*(AR13+(Inputs!$F$95/100*Inputs!$F$96/100)*Time!AR20/365)+Inputs!AR225/(Funding!$F$25*AR18)*(Inputs!$F$97/100*0.5-Operations!AR9/100*Time!AR20/360),0)</f>
        <v>0</v>
      </c>
      <c r="AS135" s="14" t="n">
        <f aca="false">IF(AS134=1,Inputs!$F$75*AS10+Inputs!$F$76*AS11+Inputs!$F$77*AS12+Inputs!$F$78*(AS13+(Inputs!$F$95/100*Inputs!$F$96/100)*Time!AS20/365)+Inputs!AS225/(Funding!$F$25*AS18)*(Inputs!$F$97/100*0.5-Operations!AS9/100*Time!AS20/360),0)</f>
        <v>0</v>
      </c>
      <c r="AT135" s="14" t="n">
        <f aca="false">IF(AT134=1,Inputs!$F$75*AT10+Inputs!$F$76*AT11+Inputs!$F$77*AT12+Inputs!$F$78*(AT13+(Inputs!$F$95/100*Inputs!$F$96/100)*Time!AT20/365)+Inputs!AT225/(Funding!$F$25*AT18)*(Inputs!$F$97/100*0.5-Operations!AT9/100*Time!AT20/360),0)</f>
        <v>0</v>
      </c>
      <c r="AU135" s="14" t="n">
        <f aca="false">IF(AU134=1,Inputs!$F$75*AU10+Inputs!$F$76*AU11+Inputs!$F$77*AU12+Inputs!$F$78*(AU13+(Inputs!$F$95/100*Inputs!$F$96/100)*Time!AU20/365)+Inputs!AU225/(Funding!$F$25*AU18)*(Inputs!$F$97/100*0.5-Operations!AU9/100*Time!AU20/360),0)</f>
        <v>0</v>
      </c>
      <c r="AV135" s="14" t="n">
        <f aca="false">IF(AV134=1,Inputs!$F$75*AV10+Inputs!$F$76*AV11+Inputs!$F$77*AV12+Inputs!$F$78*(AV13+(Inputs!$F$95/100*Inputs!$F$96/100)*Time!AV20/365)+Inputs!AV225/(Funding!$F$25*AV18)*(Inputs!$F$97/100*0.5-Operations!AV9/100*Time!AV20/360),0)</f>
        <v>0</v>
      </c>
      <c r="AW135" s="14" t="n">
        <f aca="false">IF(AW134=1,Inputs!$F$75*AW10+Inputs!$F$76*AW11+Inputs!$F$77*AW12+Inputs!$F$78*(AW13+(Inputs!$F$95/100*Inputs!$F$96/100)*Time!AW20/365)+Inputs!AW225/(Funding!$F$25*AW18)*(Inputs!$F$97/100*0.5-Operations!AW9/100*Time!AW20/360),0)</f>
        <v>0</v>
      </c>
      <c r="AX135" s="14" t="n">
        <f aca="false">IF(AX134=1,Inputs!$F$75*AX10+Inputs!$F$76*AX11+Inputs!$F$77*AX12+Inputs!$F$78*(AX13+(Inputs!$F$95/100*Inputs!$F$96/100)*Time!AX20/365)+Inputs!AX225/(Funding!$F$25*AX18)*(Inputs!$F$97/100*0.5-Operations!AX9/100*Time!AX20/360),0)</f>
        <v>0</v>
      </c>
      <c r="AY135" s="14" t="n">
        <f aca="false">IF(AY134=1,Inputs!$F$75*AY10+Inputs!$F$76*AY11+Inputs!$F$77*AY12+Inputs!$F$78*(AY13+(Inputs!$F$95/100*Inputs!$F$96/100)*Time!AY20/365)+Inputs!AY225/(Funding!$F$25*AY18)*(Inputs!$F$97/100*0.5-Operations!AY9/100*Time!AY20/360),0)</f>
        <v>0</v>
      </c>
      <c r="AZ135" s="14" t="n">
        <f aca="false">IF(AZ134=1,Inputs!$F$75*AZ10+Inputs!$F$76*AZ11+Inputs!$F$77*AZ12+Inputs!$F$78*(AZ13+(Inputs!$F$95/100*Inputs!$F$96/100)*Time!AZ20/365)+Inputs!AZ225/(Funding!$F$25*AZ18)*(Inputs!$F$97/100*0.5-Operations!AZ9/100*Time!AZ20/360),0)</f>
        <v>0</v>
      </c>
      <c r="BA135" s="14" t="n">
        <f aca="false">IF(BA134=1,Inputs!$F$75*BA10+Inputs!$F$76*BA11+Inputs!$F$77*BA12+Inputs!$F$78*(BA13+(Inputs!$F$95/100*Inputs!$F$96/100)*Time!BA20/365)+Inputs!BA225/(Funding!$F$25*BA18)*(Inputs!$F$97/100*0.5-Operations!BA9/100*Time!BA20/360),0)</f>
        <v>0</v>
      </c>
      <c r="BB135" s="14" t="n">
        <f aca="false">IF(BB134=1,Inputs!$F$75*BB10+Inputs!$F$76*BB11+Inputs!$F$77*BB12+Inputs!$F$78*(BB13+(Inputs!$F$95/100*Inputs!$F$96/100)*Time!BB20/365)+Inputs!BB225/(Funding!$F$25*BB18)*(Inputs!$F$97/100*0.5-Operations!BB9/100*Time!BB20/360),0)</f>
        <v>0</v>
      </c>
      <c r="BC135" s="14" t="n">
        <f aca="false">IF(BC134=1,Inputs!$F$75*BC10+Inputs!$F$76*BC11+Inputs!$F$77*BC12+Inputs!$F$78*(BC13+(Inputs!$F$95/100*Inputs!$F$96/100)*Time!BC20/365)+Inputs!BC225/(Funding!$F$25*BC18)*(Inputs!$F$97/100*0.5-Operations!BC9/100*Time!BC20/360),0)</f>
        <v>0</v>
      </c>
      <c r="BD135" s="14" t="n">
        <f aca="false">IF(BD134=1,Inputs!$F$75*BD10+Inputs!$F$76*BD11+Inputs!$F$77*BD12+Inputs!$F$78*(BD13+(Inputs!$F$95/100*Inputs!$F$96/100)*Time!BD20/365)+Inputs!BD225/(Funding!$F$25*BD18)*(Inputs!$F$97/100*0.5-Operations!BD9/100*Time!BD20/360),0)</f>
        <v>0</v>
      </c>
      <c r="BE135" s="14" t="n">
        <f aca="false">IF(BE134=1,Inputs!$F$75*BE10+Inputs!$F$76*BE11+Inputs!$F$77*BE12+Inputs!$F$78*(BE13+(Inputs!$F$95/100*Inputs!$F$96/100)*Time!BE20/365)+Inputs!BE225/(Funding!$F$25*BE18)*(Inputs!$F$97/100*0.5-Operations!BE9/100*Time!BE20/360),0)</f>
        <v>0</v>
      </c>
      <c r="BF135" s="14" t="n">
        <f aca="false">IF(BF134=1,Inputs!$F$75*BF10+Inputs!$F$76*BF11+Inputs!$F$77*BF12+Inputs!$F$78*(BF13+(Inputs!$F$95/100*Inputs!$F$96/100)*Time!BF20/365)+Inputs!BF225/(Funding!$F$25*BF18)*(Inputs!$F$97/100*0.5-Operations!BF9/100*Time!BF20/360),0)</f>
        <v>0</v>
      </c>
      <c r="BG135" s="14" t="n">
        <f aca="false">IF(BG134=1,Inputs!$F$75*BG10+Inputs!$F$76*BG11+Inputs!$F$77*BG12+Inputs!$F$78*(BG13+(Inputs!$F$95/100*Inputs!$F$96/100)*Time!BG20/365)+Inputs!BG225/(Funding!$F$25*BG18)*(Inputs!$F$97/100*0.5-Operations!BG9/100*Time!BG20/360),0)</f>
        <v>0</v>
      </c>
      <c r="BH135" s="14" t="n">
        <f aca="false">IF(BH134=1,Inputs!$F$75*BH10+Inputs!$F$76*BH11+Inputs!$F$77*BH12+Inputs!$F$78*(BH13+(Inputs!$F$95/100*Inputs!$F$96/100)*Time!BH20/365)+Inputs!BH225/(Funding!$F$25*BH18)*(Inputs!$F$97/100*0.5-Operations!BH9/100*Time!BH20/360),0)</f>
        <v>0</v>
      </c>
      <c r="BI135" s="14" t="n">
        <f aca="false">IF(BI134=1,Inputs!$F$75*BI10+Inputs!$F$76*BI11+Inputs!$F$77*BI12+Inputs!$F$78*(BI13+(Inputs!$F$95/100*Inputs!$F$96/100)*Time!BI20/365)+Inputs!BI225/(Funding!$F$25*BI18)*(Inputs!$F$97/100*0.5-Operations!BI9/100*Time!BI20/360),0)</f>
        <v>0</v>
      </c>
      <c r="BJ135" s="14" t="n">
        <f aca="false">IF(BJ134=1,Inputs!$F$75*BJ10+Inputs!$F$76*BJ11+Inputs!$F$77*BJ12+Inputs!$F$78*(BJ13+(Inputs!$F$95/100*Inputs!$F$96/100)*Time!BJ20/365)+Inputs!BJ225/(Funding!$F$25*BJ18)*(Inputs!$F$97/100*0.5-Operations!BJ9/100*Time!BJ20/360),0)</f>
        <v>0</v>
      </c>
      <c r="BK135" s="14" t="n">
        <f aca="false">IF(BK134=1,Inputs!$F$75*BK10+Inputs!$F$76*BK11+Inputs!$F$77*BK12+Inputs!$F$78*(BK13+(Inputs!$F$95/100*Inputs!$F$96/100)*Time!BK20/365)+Inputs!BK225/(Funding!$F$25*BK18)*(Inputs!$F$97/100*0.5-Operations!BK9/100*Time!BK20/360),0)</f>
        <v>0</v>
      </c>
      <c r="BL135" s="14" t="n">
        <f aca="false">IF(BL134=1,Inputs!$F$75*BL10+Inputs!$F$76*BL11+Inputs!$F$77*BL12+Inputs!$F$78*(BL13+(Inputs!$F$95/100*Inputs!$F$96/100)*Time!BL20/365)+Inputs!BL225/(Funding!$F$25*BL18)*(Inputs!$F$97/100*0.5-Operations!BL9/100*Time!BL20/360),0)</f>
        <v>0</v>
      </c>
      <c r="BM135" s="14" t="n">
        <f aca="false">IF(BM134=1,Inputs!$F$75*BM10+Inputs!$F$76*BM11+Inputs!$F$77*BM12+Inputs!$F$78*(BM13+(Inputs!$F$95/100*Inputs!$F$96/100)*Time!BM20/365)+Inputs!BM225/(Funding!$F$25*BM18)*(Inputs!$F$97/100*0.5-Operations!BM9/100*Time!BM20/360),0)</f>
        <v>0</v>
      </c>
      <c r="BN135" s="14" t="n">
        <f aca="false">IF(BN134=1,Inputs!$F$75*BN10+Inputs!$F$76*BN11+Inputs!$F$77*BN12+Inputs!$F$78*(BN13+(Inputs!$F$95/100*Inputs!$F$96/100)*Time!BN20/365)+Inputs!BN225/(Funding!$F$25*BN18)*(Inputs!$F$97/100*0.5-Operations!BN9/100*Time!BN20/360),0)</f>
        <v>0</v>
      </c>
    </row>
    <row r="136" customFormat="false" ht="15" hidden="false" customHeight="false" outlineLevel="0" collapsed="false">
      <c r="D136" s="0" t="s">
        <v>703</v>
      </c>
      <c r="E136" s="0" t="s">
        <v>149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853.774369519247</v>
      </c>
      <c r="Q136" s="11" t="n">
        <f aca="false">IF(Q134=1,(Waterfall!Q7+R136)/(1+Q135),0)</f>
        <v>832.547898126728</v>
      </c>
      <c r="R136" s="11" t="n">
        <f aca="false">IF(R134=1,(Waterfall!R7+S136)/(1+R135),0)</f>
        <v>810.422680790783</v>
      </c>
      <c r="S136" s="11" t="n">
        <f aca="false">IF(S134=1,(Waterfall!S7+T136)/(1+S135),0)</f>
        <v>787.257944275769</v>
      </c>
      <c r="T136" s="11" t="n">
        <f aca="false">IF(T134=1,(Waterfall!T7+U136)/(1+T135),0)</f>
        <v>763.372834782136</v>
      </c>
      <c r="U136" s="11" t="n">
        <f aca="false">IF(U134=1,(Waterfall!U7+V136)/(1+U135),0)</f>
        <v>738.37244892698</v>
      </c>
      <c r="V136" s="11" t="n">
        <f aca="false">IF(V134=1,(Waterfall!V7+W136)/(1+V135),0)</f>
        <v>712.706640565085</v>
      </c>
      <c r="W136" s="11" t="n">
        <f aca="false">IF(W134=1,(Waterfall!W7+X136)/(1+W135),0)</f>
        <v>686.644092496151</v>
      </c>
      <c r="X136" s="11" t="n">
        <f aca="false">IF(X134=1,(Waterfall!X7+Y136)/(1+X135),0)</f>
        <v>659.516806210907</v>
      </c>
      <c r="Y136" s="11" t="n">
        <f aca="false">IF(Y134=1,(Waterfall!Y7+Z136)/(1+Y135),0)</f>
        <v>632.276456165287</v>
      </c>
      <c r="Z136" s="11" t="n">
        <f aca="false">IF(Z134=1,(Waterfall!Z7+AA136)/(1+Z135),0)</f>
        <v>604.781001936492</v>
      </c>
      <c r="AA136" s="11" t="n">
        <f aca="false">IF(AA134=1,(Waterfall!AA7+AB136)/(1+AA135),0)</f>
        <v>576.193837425527</v>
      </c>
      <c r="AB136" s="11" t="n">
        <f aca="false">IF(AB134=1,(Waterfall!AB7+AC136)/(1+AB135),0)</f>
        <v>546.733187596188</v>
      </c>
      <c r="AC136" s="11" t="n">
        <f aca="false">IF(AC134=1,(Waterfall!AC7+AD136)/(1+AC135),0)</f>
        <v>515.848237483604</v>
      </c>
      <c r="AD136" s="11" t="n">
        <f aca="false">IF(AD134=1,(Waterfall!AD7+AE136)/(1+AD135),0)</f>
        <v>484.405947611185</v>
      </c>
      <c r="AE136" s="11" t="n">
        <f aca="false">IF(AE134=1,(Waterfall!AE7+AF136)/(1+AE135),0)</f>
        <v>451.642773899792</v>
      </c>
      <c r="AF136" s="11" t="n">
        <f aca="false">IF(AF134=1,(Waterfall!AF7+AG136)/(1+AF135),0)</f>
        <v>417.521749913619</v>
      </c>
      <c r="AG136" s="11" t="n">
        <f aca="false">IF(AG134=1,(Waterfall!AG7+AH136)/(1+AG135),0)</f>
        <v>380.577515690706</v>
      </c>
      <c r="AH136" s="11" t="n">
        <f aca="false">IF(AH134=1,(Waterfall!AH7+AI136)/(1+AH135),0)</f>
        <v>342.452956301813</v>
      </c>
      <c r="AI136" s="11" t="n">
        <f aca="false">IF(AI134=1,(Waterfall!AI7+AJ136)/(1+AI135),0)</f>
        <v>302.466875258978</v>
      </c>
      <c r="AJ136" s="11" t="n">
        <f aca="false">IF(AJ134=1,(Waterfall!AJ7+AK136)/(1+AJ135),0)</f>
        <v>261.265251532321</v>
      </c>
      <c r="AK136" s="11" t="n">
        <f aca="false">IF(AK134=1,(Waterfall!AK7+AL136)/(1+AK135),0)</f>
        <v>218.056837390301</v>
      </c>
      <c r="AL136" s="11" t="n">
        <f aca="false">IF(AL134=1,(Waterfall!AL7+AM136)/(1+AL135),0)</f>
        <v>173.587638038359</v>
      </c>
      <c r="AM136" s="11" t="n">
        <f aca="false">IF(AM134=1,(Waterfall!AM7+AN136)/(1+AM135),0)</f>
        <v>127.804677870912</v>
      </c>
      <c r="AN136" s="11" t="n">
        <f aca="false">IF(AN134=1,(Waterfall!AN7+AO136)/(1+AN135),0)</f>
        <v>80.3765485179068</v>
      </c>
      <c r="AO136" s="11" t="n">
        <f aca="false">IF(AO134=1,(Waterfall!AO7+AP136)/(1+AO135),0)</f>
        <v>40.3759987833871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704</v>
      </c>
      <c r="E137" s="0" t="s">
        <v>202</v>
      </c>
      <c r="F137" s="10" t="n">
        <f aca="false">INDEX(Debt!$J$136:$BN$136,1,Time!$F$12)/Funding!$F$25</f>
        <v>1.34822947195637</v>
      </c>
    </row>
    <row r="138" customFormat="false" ht="15" hidden="false" customHeight="false" outlineLevel="0" collapsed="false">
      <c r="D138" s="0" t="s">
        <v>705</v>
      </c>
      <c r="E138" s="0" t="s">
        <v>149</v>
      </c>
      <c r="F138" s="15" t="n">
        <f aca="false">INDEX(Debt!$J$136:$BN$136,1,Time!$F$12)/Inputs!$F$106</f>
        <v>632.425458903146</v>
      </c>
    </row>
    <row r="139" customFormat="false" ht="15" hidden="false" customHeight="false" outlineLevel="0" collapsed="false">
      <c r="D139" s="0" t="s">
        <v>706</v>
      </c>
      <c r="E139" s="0" t="s">
        <v>149</v>
      </c>
      <c r="F139" s="15" t="n">
        <f aca="false">Inputs!$F$105*Funding!$F$24</f>
        <v>642.908338550588</v>
      </c>
    </row>
    <row r="140" customFormat="false" ht="15" hidden="false" customHeight="false" outlineLevel="0" collapsed="false">
      <c r="D140" s="0" t="s">
        <v>707</v>
      </c>
      <c r="E140" s="0" t="s">
        <v>149</v>
      </c>
      <c r="J140" s="11" t="n">
        <f aca="false">IF(J134=1,(Waterfall!J7)/$F$137,0)</f>
        <v>0</v>
      </c>
      <c r="K140" s="11" t="n">
        <f aca="false">IF(K134=1,(Waterfall!K7)/$F$137,0)</f>
        <v>0</v>
      </c>
      <c r="L140" s="11" t="n">
        <f aca="false">IF(L134=1,(Waterfall!L7)/$F$137,0)</f>
        <v>0</v>
      </c>
      <c r="M140" s="11" t="n">
        <f aca="false">IF(M134=1,(Waterfall!M7)/$F$137,0)</f>
        <v>0</v>
      </c>
      <c r="N140" s="11" t="n">
        <f aca="false">IF(N134=1,(Waterfall!N7)/$F$137,0)</f>
        <v>0</v>
      </c>
      <c r="O140" s="11" t="n">
        <f aca="false">IF(O134=1,(Waterfall!O7)/$F$137,0)</f>
        <v>0</v>
      </c>
      <c r="P140" s="11" t="n">
        <f aca="false">IF(P134=1,(Waterfall!P7)/$F$137,0)</f>
        <v>37.5001410184949</v>
      </c>
      <c r="Q140" s="11" t="n">
        <f aca="false">IF(Q134=1,(Waterfall!Q7)/$F$137,0)</f>
        <v>37.4136749890886</v>
      </c>
      <c r="R140" s="11" t="n">
        <f aca="false">IF(R134=1,(Waterfall!R7)/$F$137,0)</f>
        <v>37.8479589199669</v>
      </c>
      <c r="S140" s="11" t="n">
        <f aca="false">IF(S134=1,(Waterfall!S7)/$F$137,0)</f>
        <v>37.5835696285721</v>
      </c>
      <c r="T140" s="11" t="n">
        <f aca="false">IF(T134=1,(Waterfall!T7)/$F$137,0)</f>
        <v>38.0166896542661</v>
      </c>
      <c r="U140" s="11" t="n">
        <f aca="false">IF(U134=1,(Waterfall!U7)/$F$137,0)</f>
        <v>37.7379200933369</v>
      </c>
      <c r="V140" s="11" t="n">
        <f aca="false">IF(V134=1,(Waterfall!V7)/$F$137,0)</f>
        <v>37.5120200735463</v>
      </c>
      <c r="W140" s="11" t="n">
        <f aca="false">IF(W134=1,(Waterfall!W7)/$F$137,0)</f>
        <v>37.4491910832114</v>
      </c>
      <c r="X140" s="11" t="n">
        <f aca="false">IF(X134=1,(Waterfall!X7)/$F$137,0)</f>
        <v>37.0287442542734</v>
      </c>
      <c r="Y140" s="11" t="n">
        <f aca="false">IF(Y134=1,(Waterfall!Y7)/$F$137,0)</f>
        <v>36.8479874228282</v>
      </c>
      <c r="Z140" s="11" t="n">
        <f aca="false">IF(Z134=1,(Waterfall!Z7)/$F$137,0)</f>
        <v>37.1154068746468</v>
      </c>
      <c r="AA140" s="11" t="n">
        <f aca="false">IF(AA134=1,(Waterfall!AA7)/$F$137,0)</f>
        <v>36.8461165158536</v>
      </c>
      <c r="AB140" s="11" t="n">
        <f aca="false">IF(AB134=1,(Waterfall!AB7)/$F$137,0)</f>
        <v>37.2924547255151</v>
      </c>
      <c r="AC140" s="11" t="n">
        <f aca="false">IF(AC134=1,(Waterfall!AC7)/$F$137,0)</f>
        <v>36.7947529030219</v>
      </c>
      <c r="AD140" s="11" t="n">
        <f aca="false">IF(AD134=1,(Waterfall!AD7)/$F$137,0)</f>
        <v>37.0457151459899</v>
      </c>
      <c r="AE140" s="11" t="n">
        <f aca="false">IF(AE134=1,(Waterfall!AE7)/$F$137,0)</f>
        <v>37.0614866195509</v>
      </c>
      <c r="AF140" s="11" t="n">
        <f aca="false">IF(AF134=1,(Waterfall!AF7)/$F$137,0)</f>
        <v>38.387126233512</v>
      </c>
      <c r="AG140" s="11" t="n">
        <f aca="false">IF(AG134=1,(Waterfall!AG7)/$F$137,0)</f>
        <v>38.4811916221258</v>
      </c>
      <c r="AH140" s="11" t="n">
        <f aca="false">IF(AH134=1,(Waterfall!AH7)/$F$137,0)</f>
        <v>38.9422999031909</v>
      </c>
      <c r="AI140" s="11" t="n">
        <f aca="false">IF(AI134=1,(Waterfall!AI7)/$F$137,0)</f>
        <v>38.6692617598455</v>
      </c>
      <c r="AJ140" s="11" t="n">
        <f aca="false">IF(AJ134=1,(Waterfall!AJ7)/$F$137,0)</f>
        <v>39.1313055293623</v>
      </c>
      <c r="AK140" s="11" t="n">
        <f aca="false">IF(AK134=1,(Waterfall!AK7)/$F$137,0)</f>
        <v>38.8515099270663</v>
      </c>
      <c r="AL140" s="11" t="n">
        <f aca="false">IF(AL134=1,(Waterfall!AL7)/$F$137,0)</f>
        <v>38.6638938226344</v>
      </c>
      <c r="AM140" s="11" t="n">
        <f aca="false">IF(AM134=1,(Waterfall!AM7)/$F$137,0)</f>
        <v>38.6046642522232</v>
      </c>
      <c r="AN140" s="11" t="n">
        <f aca="false">IF(AN134=1,(Waterfall!AN7)/$F$137,0)</f>
        <v>31.8479991839766</v>
      </c>
      <c r="AO140" s="11" t="n">
        <f aca="false">IF(AO134=1,(Waterfall!AO7)/$F$137,0)</f>
        <v>31.0299471791205</v>
      </c>
      <c r="AP140" s="11" t="n">
        <f aca="false">IF(AP134=1,(Waterfall!AP7)/$F$137,0)</f>
        <v>0</v>
      </c>
      <c r="AQ140" s="11" t="n">
        <f aca="false">IF(AQ134=1,(Waterfall!AQ7)/$F$137,0)</f>
        <v>0</v>
      </c>
      <c r="AR140" s="11" t="n">
        <f aca="false">IF(AR134=1,(Waterfall!AR7)/$F$137,0)</f>
        <v>0</v>
      </c>
      <c r="AS140" s="11" t="n">
        <f aca="false">IF(AS134=1,(Waterfall!AS7)/$F$137,0)</f>
        <v>0</v>
      </c>
      <c r="AT140" s="11" t="n">
        <f aca="false">IF(AT134=1,(Waterfall!AT7)/$F$137,0)</f>
        <v>0</v>
      </c>
      <c r="AU140" s="11" t="n">
        <f aca="false">IF(AU134=1,(Waterfall!AU7)/$F$137,0)</f>
        <v>0</v>
      </c>
      <c r="AV140" s="11" t="n">
        <f aca="false">IF(AV134=1,(Waterfall!AV7)/$F$137,0)</f>
        <v>0</v>
      </c>
      <c r="AW140" s="11" t="n">
        <f aca="false">IF(AW134=1,(Waterfall!AW7)/$F$137,0)</f>
        <v>0</v>
      </c>
      <c r="AX140" s="11" t="n">
        <f aca="false">IF(AX134=1,(Waterfall!AX7)/$F$137,0)</f>
        <v>0</v>
      </c>
      <c r="AY140" s="11" t="n">
        <f aca="false">IF(AY134=1,(Waterfall!AY7)/$F$137,0)</f>
        <v>0</v>
      </c>
      <c r="AZ140" s="11" t="n">
        <f aca="false">IF(AZ134=1,(Waterfall!AZ7)/$F$137,0)</f>
        <v>0</v>
      </c>
      <c r="BA140" s="11" t="n">
        <f aca="false">IF(BA134=1,(Waterfall!BA7)/$F$137,0)</f>
        <v>0</v>
      </c>
      <c r="BB140" s="11" t="n">
        <f aca="false">IF(BB134=1,(Waterfall!BB7)/$F$137,0)</f>
        <v>0</v>
      </c>
      <c r="BC140" s="11" t="n">
        <f aca="false">IF(BC134=1,(Waterfall!BC7)/$F$137,0)</f>
        <v>0</v>
      </c>
      <c r="BD140" s="11" t="n">
        <f aca="false">IF(BD134=1,(Waterfall!BD7)/$F$137,0)</f>
        <v>0</v>
      </c>
      <c r="BE140" s="11" t="n">
        <f aca="false">IF(BE134=1,(Waterfall!BE7)/$F$137,0)</f>
        <v>0</v>
      </c>
      <c r="BF140" s="11" t="n">
        <f aca="false">IF(BF134=1,(Waterfall!BF7)/$F$137,0)</f>
        <v>0</v>
      </c>
      <c r="BG140" s="11" t="n">
        <f aca="false">IF(BG134=1,(Waterfall!BG7)/$F$137,0)</f>
        <v>0</v>
      </c>
      <c r="BH140" s="11" t="n">
        <f aca="false">IF(BH134=1,(Waterfall!BH7)/$F$137,0)</f>
        <v>0</v>
      </c>
      <c r="BI140" s="11" t="n">
        <f aca="false">IF(BI134=1,(Waterfall!BI7)/$F$137,0)</f>
        <v>0</v>
      </c>
      <c r="BJ140" s="11" t="n">
        <f aca="false">IF(BJ134=1,(Waterfall!BJ7)/$F$137,0)</f>
        <v>0</v>
      </c>
      <c r="BK140" s="11" t="n">
        <f aca="false">IF(BK134=1,(Waterfall!BK7)/$F$137,0)</f>
        <v>0</v>
      </c>
      <c r="BL140" s="11" t="n">
        <f aca="false">IF(BL134=1,(Waterfall!BL7)/$F$137,0)</f>
        <v>0</v>
      </c>
      <c r="BM140" s="11" t="n">
        <f aca="false">IF(BM134=1,(Waterfall!BM7)/$F$137,0)</f>
        <v>0</v>
      </c>
      <c r="BN140" s="11" t="n">
        <f aca="false">IF(BN134=1,(Waterfall!BN7)/$F$137,0)</f>
        <v>0</v>
      </c>
    </row>
    <row r="141" customFormat="false" ht="15" hidden="false" customHeight="false" outlineLevel="0" collapsed="false">
      <c r="D141" s="0" t="s">
        <v>708</v>
      </c>
      <c r="E141" s="0" t="s">
        <v>149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633.255975542774</v>
      </c>
      <c r="Q141" s="11" t="n">
        <f aca="false">IF(Q134=1,IF(Time!Q17=Time!$F$12,Funding!$F$25,P141-P142),0)</f>
        <v>617.512015160631</v>
      </c>
      <c r="R141" s="11" t="n">
        <f aca="false">IF(R134=1,IF(Time!R17=Time!$F$12,Funding!$F$25,Q141-Q142),0)</f>
        <v>601.101442779477</v>
      </c>
      <c r="S141" s="11" t="n">
        <f aca="false">IF(S134=1,IF(Time!S17=Time!$F$12,Funding!$F$25,R141-R142),0)</f>
        <v>583.919844990043</v>
      </c>
      <c r="T141" s="11" t="n">
        <f aca="false">IF(T134=1,IF(Time!T17=Time!$F$12,Funding!$F$25,S141-S142),0)</f>
        <v>566.203936837573</v>
      </c>
      <c r="U141" s="11" t="n">
        <f aca="false">IF(U134=1,IF(Time!U17=Time!$F$12,Funding!$F$25,T141-T142),0)</f>
        <v>547.6608131519</v>
      </c>
      <c r="V141" s="11" t="n">
        <f aca="false">IF(V134=1,IF(Time!V17=Time!$F$12,Funding!$F$25,U141-U142),0)</f>
        <v>528.624136609996</v>
      </c>
      <c r="W141" s="11" t="n">
        <f aca="false">IF(W134=1,IF(Time!W17=Time!$F$12,Funding!$F$25,V141-V142),0)</f>
        <v>509.293192871528</v>
      </c>
      <c r="X141" s="11" t="n">
        <f aca="false">IF(X134=1,IF(Time!X17=Time!$F$12,Funding!$F$25,W141-W142),0)</f>
        <v>489.172518424409</v>
      </c>
      <c r="Y141" s="11" t="n">
        <f aca="false">IF(Y134=1,IF(Time!Y17=Time!$F$12,Funding!$F$25,X141-X142),0)</f>
        <v>468.967983059897</v>
      </c>
      <c r="Z141" s="11" t="n">
        <f aca="false">IF(Z134=1,IF(Time!Z17=Time!$F$12,Funding!$F$25,Y141-Y142),0)</f>
        <v>448.574233478902</v>
      </c>
      <c r="AA141" s="11" t="n">
        <f aca="false">IF(AA134=1,IF(Time!AA17=Time!$F$12,Funding!$F$25,Z141-Z142),0)</f>
        <v>427.370747643895</v>
      </c>
      <c r="AB141" s="11" t="n">
        <f aca="false">IF(AB134=1,IF(Time!AB17=Time!$F$12,Funding!$F$25,AA141-AA142),0)</f>
        <v>405.51938595649</v>
      </c>
      <c r="AC141" s="11" t="n">
        <f aca="false">IF(AC134=1,IF(Time!AC17=Time!$F$12,Funding!$F$25,AB141-AB142),0)</f>
        <v>382.61160152142</v>
      </c>
      <c r="AD141" s="11" t="n">
        <f aca="false">IF(AD134=1,IF(Time!AD17=Time!$F$12,Funding!$F$25,AC141-AC142),0)</f>
        <v>359.290430662579</v>
      </c>
      <c r="AE141" s="11" t="n">
        <f aca="false">IF(AE134=1,IF(Time!AE17=Time!$F$12,Funding!$F$25,AD141-AD142),0)</f>
        <v>334.989542428878</v>
      </c>
      <c r="AF141" s="11" t="n">
        <f aca="false">IF(AF134=1,IF(Time!AF17=Time!$F$12,Funding!$F$25,AE141-AE142),0)</f>
        <v>309.681518315845</v>
      </c>
      <c r="AG141" s="11" t="n">
        <f aca="false">IF(AG134=1,IF(Time!AG17=Time!$F$12,Funding!$F$25,AF141-AF142),0)</f>
        <v>282.279481057823</v>
      </c>
      <c r="AH141" s="11" t="n">
        <f aca="false">IF(AH134=1,IF(Time!AH17=Time!$F$12,Funding!$F$25,AG141-AG142),0)</f>
        <v>254.001980690195</v>
      </c>
      <c r="AI141" s="11" t="n">
        <f aca="false">IF(AI134=1,IF(Time!AI17=Time!$F$12,Funding!$F$25,AH141-AH142),0)</f>
        <v>224.343764581914</v>
      </c>
      <c r="AJ141" s="11" t="n">
        <f aca="false">IF(AJ134=1,IF(Time!AJ17=Time!$F$12,Funding!$F$25,AI141-AI142),0)</f>
        <v>193.78396405562</v>
      </c>
      <c r="AK141" s="11" t="n">
        <f aca="false">IF(AK134=1,IF(Time!AK17=Time!$F$12,Funding!$F$25,AJ141-AJ142),0)</f>
        <v>161.735699987248</v>
      </c>
      <c r="AL141" s="11" t="n">
        <f aca="false">IF(AL134=1,IF(Time!AL17=Time!$F$12,Funding!$F$25,AK141-AK142),0)</f>
        <v>128.752294508494</v>
      </c>
      <c r="AM141" s="11" t="n">
        <f aca="false">IF(AM134=1,IF(Time!AM17=Time!$F$12,Funding!$F$25,AL141-AL142),0)</f>
        <v>94.7944548975463</v>
      </c>
      <c r="AN141" s="11" t="n">
        <f aca="false">IF(AN134=1,IF(Time!AN17=Time!$F$12,Funding!$F$25,AM141-AM142),0)</f>
        <v>59.6163710924328</v>
      </c>
      <c r="AO141" s="11" t="n">
        <f aca="false">IF(AO134=1,IF(Time!AO17=Time!$F$12,Funding!$F$25,AN141-AN142),0)</f>
        <v>29.947423360207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709</v>
      </c>
      <c r="E142" s="0" t="s">
        <v>149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15.7439603821435</v>
      </c>
      <c r="Q142" s="11" t="n">
        <f aca="false">Q140-Q141*Q135</f>
        <v>16.4105723811539</v>
      </c>
      <c r="R142" s="11" t="n">
        <f aca="false">R140-R141*R135</f>
        <v>17.1815977894337</v>
      </c>
      <c r="S142" s="11" t="n">
        <f aca="false">S140-S141*S135</f>
        <v>17.7159081524701</v>
      </c>
      <c r="T142" s="11" t="n">
        <f aca="false">T140-T141*T135</f>
        <v>18.5431236856731</v>
      </c>
      <c r="U142" s="11" t="n">
        <f aca="false">U140-U141*U135</f>
        <v>19.0366765419037</v>
      </c>
      <c r="V142" s="11" t="n">
        <f aca="false">V140-V141*V135</f>
        <v>19.3309437384688</v>
      </c>
      <c r="W142" s="11" t="n">
        <f aca="false">W140-W141*W135</f>
        <v>20.1206744471186</v>
      </c>
      <c r="X142" s="11" t="n">
        <f aca="false">X140-X141*X135</f>
        <v>20.2045353645121</v>
      </c>
      <c r="Y142" s="11" t="n">
        <f aca="false">Y140-Y141*Y135</f>
        <v>20.3937495809948</v>
      </c>
      <c r="Z142" s="11" t="n">
        <f aca="false">Z140-Z141*Z135</f>
        <v>21.2034858350064</v>
      </c>
      <c r="AA142" s="11" t="n">
        <f aca="false">AA140-AA141*AA135</f>
        <v>21.8513616874057</v>
      </c>
      <c r="AB142" s="11" t="n">
        <f aca="false">AB140-AB141*AB135</f>
        <v>22.90778443507</v>
      </c>
      <c r="AC142" s="11" t="n">
        <f aca="false">AC140-AC141*AC135</f>
        <v>23.3211708588404</v>
      </c>
      <c r="AD142" s="11" t="n">
        <f aca="false">AD140-AD141*AD135</f>
        <v>24.3008882337009</v>
      </c>
      <c r="AE142" s="11" t="n">
        <f aca="false">AE140-AE141*AE135</f>
        <v>25.3080241130332</v>
      </c>
      <c r="AF142" s="11" t="n">
        <f aca="false">AF140-AF141*AF135</f>
        <v>27.4020372580226</v>
      </c>
      <c r="AG142" s="11" t="n">
        <f aca="false">AG140-AG141*AG135</f>
        <v>28.2775003676278</v>
      </c>
      <c r="AH142" s="11" t="n">
        <f aca="false">AH140-AH141*AH135</f>
        <v>29.6582161082813</v>
      </c>
      <c r="AI142" s="11" t="n">
        <f aca="false">AI140-AI141*AI135</f>
        <v>30.5598005262933</v>
      </c>
      <c r="AJ142" s="11" t="n">
        <f aca="false">AJ140-AJ141*AJ135</f>
        <v>32.0482640683727</v>
      </c>
      <c r="AK142" s="11" t="n">
        <f aca="false">AK140-AK141*AK135</f>
        <v>32.9834054787531</v>
      </c>
      <c r="AL142" s="11" t="n">
        <f aca="false">AL140-AL141*AL135</f>
        <v>33.9578396109481</v>
      </c>
      <c r="AM142" s="11" t="n">
        <f aca="false">AM140-AM141*AM135</f>
        <v>35.1780838051135</v>
      </c>
      <c r="AN142" s="11" t="n">
        <f aca="false">AN140-AN141*AN135</f>
        <v>29.6689477322257</v>
      </c>
      <c r="AO142" s="11" t="n">
        <f aca="false">AO140-AO141*AO135</f>
        <v>29.9474233602082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710</v>
      </c>
      <c r="E143" s="0" t="s">
        <v>149</v>
      </c>
      <c r="J143" s="11" t="n">
        <f aca="false">IF(Inputs!$F$8=1,J142-J134*Inputs!J222*Funding!$F$25,0)</f>
        <v>0</v>
      </c>
      <c r="K143" s="11" t="n">
        <f aca="false">IF(Inputs!$F$8=1,K142-K134*Inputs!K222*Funding!$F$25,0)</f>
        <v>0</v>
      </c>
      <c r="L143" s="11" t="n">
        <f aca="false">IF(Inputs!$F$8=1,L142-L134*Inputs!L222*Funding!$F$25,0)</f>
        <v>0</v>
      </c>
      <c r="M143" s="11" t="n">
        <f aca="false">IF(Inputs!$F$8=1,M142-M134*Inputs!M222*Funding!$F$25,0)</f>
        <v>0</v>
      </c>
      <c r="N143" s="11" t="n">
        <f aca="false">IF(Inputs!$F$8=1,N142-N134*Inputs!N222*Funding!$F$25,0)</f>
        <v>0</v>
      </c>
      <c r="O143" s="11" t="n">
        <f aca="false">IF(Inputs!$F$8=1,O142-O134*Inputs!O222*Funding!$F$25,0)</f>
        <v>0</v>
      </c>
      <c r="P143" s="11" t="n">
        <f aca="false">IF(Inputs!$F$8=1,P142-P134*Inputs!P222*Funding!$F$25,0)</f>
        <v>0</v>
      </c>
      <c r="Q143" s="11" t="n">
        <f aca="false">IF(Inputs!$F$8=1,Q142-Q134*Inputs!Q222*Funding!$F$25,0)</f>
        <v>0</v>
      </c>
      <c r="R143" s="11" t="n">
        <f aca="false">IF(Inputs!$F$8=1,R142-R134*Inputs!R222*Funding!$F$25,0)</f>
        <v>0</v>
      </c>
      <c r="S143" s="11" t="n">
        <f aca="false">IF(Inputs!$F$8=1,S142-S134*Inputs!S222*Funding!$F$25,0)</f>
        <v>0</v>
      </c>
      <c r="T143" s="11" t="n">
        <f aca="false">IF(Inputs!$F$8=1,T142-T134*Inputs!T222*Funding!$F$25,0)</f>
        <v>0</v>
      </c>
      <c r="U143" s="11" t="n">
        <f aca="false">IF(Inputs!$F$8=1,U142-U134*Inputs!U222*Funding!$F$25,0)</f>
        <v>0</v>
      </c>
      <c r="V143" s="11" t="n">
        <f aca="false">IF(Inputs!$F$8=1,V142-V134*Inputs!V222*Funding!$F$25,0)</f>
        <v>0</v>
      </c>
      <c r="W143" s="11" t="n">
        <f aca="false">IF(Inputs!$F$8=1,W142-W134*Inputs!W222*Funding!$F$25,0)</f>
        <v>0</v>
      </c>
      <c r="X143" s="11" t="n">
        <f aca="false">IF(Inputs!$F$8=1,X142-X134*Inputs!X222*Funding!$F$25,0)</f>
        <v>0</v>
      </c>
      <c r="Y143" s="11" t="n">
        <f aca="false">IF(Inputs!$F$8=1,Y142-Y134*Inputs!Y222*Funding!$F$25,0)</f>
        <v>0</v>
      </c>
      <c r="Z143" s="11" t="n">
        <f aca="false">IF(Inputs!$F$8=1,Z142-Z134*Inputs!Z222*Funding!$F$25,0)</f>
        <v>0</v>
      </c>
      <c r="AA143" s="11" t="n">
        <f aca="false">IF(Inputs!$F$8=1,AA142-AA134*Inputs!AA222*Funding!$F$25,0)</f>
        <v>0</v>
      </c>
      <c r="AB143" s="11" t="n">
        <f aca="false">IF(Inputs!$F$8=1,AB142-AB134*Inputs!AB222*Funding!$F$25,0)</f>
        <v>0</v>
      </c>
      <c r="AC143" s="11" t="n">
        <f aca="false">IF(Inputs!$F$8=1,AC142-AC134*Inputs!AC222*Funding!$F$25,0)</f>
        <v>0</v>
      </c>
      <c r="AD143" s="11" t="n">
        <f aca="false">IF(Inputs!$F$8=1,AD142-AD134*Inputs!AD222*Funding!$F$25,0)</f>
        <v>0</v>
      </c>
      <c r="AE143" s="11" t="n">
        <f aca="false">IF(Inputs!$F$8=1,AE142-AE134*Inputs!AE222*Funding!$F$25,0)</f>
        <v>0</v>
      </c>
      <c r="AF143" s="11" t="n">
        <f aca="false">IF(Inputs!$F$8=1,AF142-AF134*Inputs!AF222*Funding!$F$25,0)</f>
        <v>0</v>
      </c>
      <c r="AG143" s="11" t="n">
        <f aca="false">IF(Inputs!$F$8=1,AG142-AG134*Inputs!AG222*Funding!$F$25,0)</f>
        <v>0</v>
      </c>
      <c r="AH143" s="11" t="n">
        <f aca="false">IF(Inputs!$F$8=1,AH142-AH134*Inputs!AH222*Funding!$F$25,0)</f>
        <v>0</v>
      </c>
      <c r="AI143" s="11" t="n">
        <f aca="false">IF(Inputs!$F$8=1,AI142-AI134*Inputs!AI222*Funding!$F$25,0)</f>
        <v>0</v>
      </c>
      <c r="AJ143" s="11" t="n">
        <f aca="false">IF(Inputs!$F$8=1,AJ142-AJ134*Inputs!AJ222*Funding!$F$25,0)</f>
        <v>0</v>
      </c>
      <c r="AK143" s="11" t="n">
        <f aca="false">IF(Inputs!$F$8=1,AK142-AK134*Inputs!AK222*Funding!$F$25,0)</f>
        <v>0</v>
      </c>
      <c r="AL143" s="11" t="n">
        <f aca="false">IF(Inputs!$F$8=1,AL142-AL134*Inputs!AL222*Funding!$F$25,0)</f>
        <v>0</v>
      </c>
      <c r="AM143" s="11" t="n">
        <f aca="false">IF(Inputs!$F$8=1,AM142-AM134*Inputs!AM222*Funding!$F$25,0)</f>
        <v>0</v>
      </c>
      <c r="AN143" s="11" t="n">
        <f aca="false">IF(Inputs!$F$8=1,AN142-AN134*Inputs!AN222*Funding!$F$25,0)</f>
        <v>0</v>
      </c>
      <c r="AO143" s="11" t="n">
        <f aca="false">IF(Inputs!$F$8=1,AO142-AO134*Inputs!AO222*Funding!$F$25,0)</f>
        <v>0</v>
      </c>
      <c r="AP143" s="11" t="n">
        <f aca="false">IF(Inputs!$F$8=1,AP142-AP134*Inputs!AP222*Funding!$F$25,0)</f>
        <v>0</v>
      </c>
      <c r="AQ143" s="11" t="n">
        <f aca="false">IF(Inputs!$F$8=1,AQ142-AQ134*Inputs!AQ222*Funding!$F$25,0)</f>
        <v>0</v>
      </c>
      <c r="AR143" s="11" t="n">
        <f aca="false">IF(Inputs!$F$8=1,AR142-AR134*Inputs!AR222*Funding!$F$25,0)</f>
        <v>0</v>
      </c>
      <c r="AS143" s="11" t="n">
        <f aca="false">IF(Inputs!$F$8=1,AS142-AS134*Inputs!AS222*Funding!$F$25,0)</f>
        <v>0</v>
      </c>
      <c r="AT143" s="11" t="n">
        <f aca="false">IF(Inputs!$F$8=1,AT142-AT134*Inputs!AT222*Funding!$F$25,0)</f>
        <v>0</v>
      </c>
      <c r="AU143" s="11" t="n">
        <f aca="false">IF(Inputs!$F$8=1,AU142-AU134*Inputs!AU222*Funding!$F$25,0)</f>
        <v>0</v>
      </c>
      <c r="AV143" s="11" t="n">
        <f aca="false">IF(Inputs!$F$8=1,AV142-AV134*Inputs!AV222*Funding!$F$25,0)</f>
        <v>0</v>
      </c>
      <c r="AW143" s="11" t="n">
        <f aca="false">IF(Inputs!$F$8=1,AW142-AW134*Inputs!AW222*Funding!$F$25,0)</f>
        <v>0</v>
      </c>
      <c r="AX143" s="11" t="n">
        <f aca="false">IF(Inputs!$F$8=1,AX142-AX134*Inputs!AX222*Funding!$F$25,0)</f>
        <v>0</v>
      </c>
      <c r="AY143" s="11" t="n">
        <f aca="false">IF(Inputs!$F$8=1,AY142-AY134*Inputs!AY222*Funding!$F$25,0)</f>
        <v>0</v>
      </c>
      <c r="AZ143" s="11" t="n">
        <f aca="false">IF(Inputs!$F$8=1,AZ142-AZ134*Inputs!AZ222*Funding!$F$25,0)</f>
        <v>0</v>
      </c>
      <c r="BA143" s="11" t="n">
        <f aca="false">IF(Inputs!$F$8=1,BA142-BA134*Inputs!BA222*Funding!$F$25,0)</f>
        <v>0</v>
      </c>
      <c r="BB143" s="11" t="n">
        <f aca="false">IF(Inputs!$F$8=1,BB142-BB134*Inputs!BB222*Funding!$F$25,0)</f>
        <v>0</v>
      </c>
      <c r="BC143" s="11" t="n">
        <f aca="false">IF(Inputs!$F$8=1,BC142-BC134*Inputs!BC222*Funding!$F$25,0)</f>
        <v>0</v>
      </c>
      <c r="BD143" s="11" t="n">
        <f aca="false">IF(Inputs!$F$8=1,BD142-BD134*Inputs!BD222*Funding!$F$25,0)</f>
        <v>0</v>
      </c>
      <c r="BE143" s="11" t="n">
        <f aca="false">IF(Inputs!$F$8=1,BE142-BE134*Inputs!BE222*Funding!$F$25,0)</f>
        <v>0</v>
      </c>
      <c r="BF143" s="11" t="n">
        <f aca="false">IF(Inputs!$F$8=1,BF142-BF134*Inputs!BF222*Funding!$F$25,0)</f>
        <v>0</v>
      </c>
      <c r="BG143" s="11" t="n">
        <f aca="false">IF(Inputs!$F$8=1,BG142-BG134*Inputs!BG222*Funding!$F$25,0)</f>
        <v>0</v>
      </c>
      <c r="BH143" s="11" t="n">
        <f aca="false">IF(Inputs!$F$8=1,BH142-BH134*Inputs!BH222*Funding!$F$25,0)</f>
        <v>0</v>
      </c>
      <c r="BI143" s="11" t="n">
        <f aca="false">IF(Inputs!$F$8=1,BI142-BI134*Inputs!BI222*Funding!$F$25,0)</f>
        <v>0</v>
      </c>
      <c r="BJ143" s="11" t="n">
        <f aca="false">IF(Inputs!$F$8=1,BJ142-BJ134*Inputs!BJ222*Funding!$F$25,0)</f>
        <v>0</v>
      </c>
      <c r="BK143" s="11" t="n">
        <f aca="false">IF(Inputs!$F$8=1,BK142-BK134*Inputs!BK222*Funding!$F$25,0)</f>
        <v>0</v>
      </c>
      <c r="BL143" s="11" t="n">
        <f aca="false">IF(Inputs!$F$8=1,BL142-BL134*Inputs!BL222*Funding!$F$25,0)</f>
        <v>0</v>
      </c>
      <c r="BM143" s="11" t="n">
        <f aca="false">IF(Inputs!$F$8=1,BM142-BM134*Inputs!BM222*Funding!$F$25,0)</f>
        <v>0</v>
      </c>
      <c r="BN143" s="11" t="n">
        <f aca="false">IF(Inputs!$F$8=1,BN142-BN134*Inputs!BN222*Funding!$F$25,0)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346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712</v>
      </c>
      <c r="E7" s="0" t="s">
        <v>149</v>
      </c>
      <c r="G7" s="11" t="n">
        <f aca="false">SUM(J7:BN7)</f>
        <v>51.6980654911653</v>
      </c>
      <c r="J7" s="11" t="n">
        <f aca="false">SUM(Operations!K75:P75)/6</f>
        <v>0</v>
      </c>
      <c r="K7" s="11" t="n">
        <f aca="false">SUM(Operations!L75:Q75)/6</f>
        <v>0</v>
      </c>
      <c r="L7" s="11" t="n">
        <f aca="false">SUM(Operations!M75:R75)/6</f>
        <v>0</v>
      </c>
      <c r="M7" s="11" t="n">
        <f aca="false">SUM(Operations!N75:S75)/6</f>
        <v>0</v>
      </c>
      <c r="N7" s="11" t="n">
        <f aca="false">SUM(Operations!O75:T75)/6</f>
        <v>0</v>
      </c>
      <c r="O7" s="11" t="n">
        <f aca="false">SUM(Operations!P75:U75)/6</f>
        <v>0</v>
      </c>
      <c r="P7" s="11" t="n">
        <f aca="false">SUM(Operations!Q75:V75)/6</f>
        <v>0.41626830245486</v>
      </c>
      <c r="Q7" s="11" t="n">
        <f aca="false">SUM(Operations!R75:W75)/6</f>
        <v>0.41626830245486</v>
      </c>
      <c r="R7" s="11" t="n">
        <f aca="false">SUM(Operations!S75:X75)/6</f>
        <v>0.41626830245486</v>
      </c>
      <c r="S7" s="11" t="n">
        <f aca="false">SUM(Operations!T75:Y75)/6</f>
        <v>0.41626830245486</v>
      </c>
      <c r="T7" s="11" t="n">
        <f aca="false">SUM(Operations!U75:Z75)/6</f>
        <v>0.41626830245486</v>
      </c>
      <c r="U7" s="11" t="n">
        <f aca="false">SUM(Operations!V75:AA75)/6</f>
        <v>0.41626830245486</v>
      </c>
      <c r="V7" s="11" t="n">
        <f aca="false">SUM(Operations!W75:AB75)/6</f>
        <v>0</v>
      </c>
      <c r="W7" s="11" t="n">
        <f aca="false">SUM(Operations!X75:AC75)/6</f>
        <v>0</v>
      </c>
      <c r="X7" s="11" t="n">
        <f aca="false">SUM(Operations!Y75:AD75)/6</f>
        <v>1.97274254363346</v>
      </c>
      <c r="Y7" s="11" t="n">
        <f aca="false">SUM(Operations!Z75:AE75)/6</f>
        <v>1.97274254363346</v>
      </c>
      <c r="Z7" s="11" t="n">
        <f aca="false">SUM(Operations!AA75:AF75)/6</f>
        <v>1.97274254363346</v>
      </c>
      <c r="AA7" s="11" t="n">
        <f aca="false">SUM(Operations!AB75:AG75)/6</f>
        <v>1.97274254363346</v>
      </c>
      <c r="AB7" s="11" t="n">
        <f aca="false">SUM(Operations!AC75:AH75)/6</f>
        <v>1.97274254363346</v>
      </c>
      <c r="AC7" s="11" t="n">
        <f aca="false">SUM(Operations!AD75:AI75)/6</f>
        <v>1.97274254363346</v>
      </c>
      <c r="AD7" s="11" t="n">
        <f aca="false">SUM(Operations!AE75:AJ75)/6</f>
        <v>0</v>
      </c>
      <c r="AE7" s="11" t="n">
        <f aca="false">SUM(Operations!AF75:AK75)/6</f>
        <v>0</v>
      </c>
      <c r="AF7" s="11" t="n">
        <f aca="false">SUM(Operations!AG75:AL75)/6</f>
        <v>0.495427954915913</v>
      </c>
      <c r="AG7" s="11" t="n">
        <f aca="false">SUM(Operations!AH75:AM75)/6</f>
        <v>0.495427954915913</v>
      </c>
      <c r="AH7" s="11" t="n">
        <f aca="false">SUM(Operations!AI75:AN75)/6</f>
        <v>0.495427954915913</v>
      </c>
      <c r="AI7" s="11" t="n">
        <f aca="false">SUM(Operations!AJ75:AO75)/6</f>
        <v>0.495427954915913</v>
      </c>
      <c r="AJ7" s="11" t="n">
        <f aca="false">SUM(Operations!AK75:AP75)/6</f>
        <v>0.495427954915913</v>
      </c>
      <c r="AK7" s="11" t="n">
        <f aca="false">SUM(Operations!AL75:AQ75)/6</f>
        <v>0.495427954915913</v>
      </c>
      <c r="AL7" s="11" t="n">
        <f aca="false">SUM(Operations!AM75:AR75)/6</f>
        <v>0</v>
      </c>
      <c r="AM7" s="11" t="n">
        <f aca="false">SUM(Operations!AN75:AS75)/6</f>
        <v>0</v>
      </c>
      <c r="AN7" s="11" t="n">
        <f aca="false">SUM(Operations!AO75:AT75)/6</f>
        <v>2.34788908548694</v>
      </c>
      <c r="AO7" s="11" t="n">
        <f aca="false">SUM(Operations!AP75:AU75)/6</f>
        <v>2.34788908548694</v>
      </c>
      <c r="AP7" s="11" t="n">
        <f aca="false">SUM(Operations!AQ75:AV75)/6</f>
        <v>2.34788908548694</v>
      </c>
      <c r="AQ7" s="11" t="n">
        <f aca="false">SUM(Operations!AR75:AW75)/6</f>
        <v>2.34788908548694</v>
      </c>
      <c r="AR7" s="11" t="n">
        <f aca="false">SUM(Operations!AS75:AX75)/6</f>
        <v>2.34788908548694</v>
      </c>
      <c r="AS7" s="11" t="n">
        <f aca="false">SUM(Operations!AT75:AY75)/6</f>
        <v>2.34788908548694</v>
      </c>
      <c r="AT7" s="11" t="n">
        <f aca="false">SUM(Operations!AU75:AZ75)/6</f>
        <v>0</v>
      </c>
      <c r="AU7" s="11" t="n">
        <f aca="false">SUM(Operations!AV75:BA75)/6</f>
        <v>0</v>
      </c>
      <c r="AV7" s="11" t="n">
        <f aca="false">SUM(Operations!AW75:BB75)/6</f>
        <v>0.589641000923391</v>
      </c>
      <c r="AW7" s="11" t="n">
        <f aca="false">SUM(Operations!AX75:BC75)/6</f>
        <v>0.589641000923391</v>
      </c>
      <c r="AX7" s="11" t="n">
        <f aca="false">SUM(Operations!AY75:BD75)/6</f>
        <v>0.589641000923391</v>
      </c>
      <c r="AY7" s="11" t="n">
        <f aca="false">SUM(Operations!AZ75:BE75)/6</f>
        <v>0.589641000923391</v>
      </c>
      <c r="AZ7" s="11" t="n">
        <f aca="false">SUM(Operations!BA75:BF75)/6</f>
        <v>0.589641000923391</v>
      </c>
      <c r="BA7" s="11" t="n">
        <f aca="false">SUM(Operations!BB75:BG75)/6</f>
        <v>0.589641000923391</v>
      </c>
      <c r="BB7" s="11" t="n">
        <f aca="false">SUM(Operations!BC75:BH75)/6</f>
        <v>0</v>
      </c>
      <c r="BC7" s="11" t="n">
        <f aca="false">SUM(Operations!BD75:BI75)/6</f>
        <v>0</v>
      </c>
      <c r="BD7" s="11" t="n">
        <f aca="false">SUM(Operations!BE75:BJ75)/6</f>
        <v>2.79437536111299</v>
      </c>
      <c r="BE7" s="11" t="n">
        <f aca="false">SUM(Operations!BF75:BK75)/6</f>
        <v>2.79437536111299</v>
      </c>
      <c r="BF7" s="11" t="n">
        <f aca="false">SUM(Operations!BG75:BL75)/6</f>
        <v>2.79437536111299</v>
      </c>
      <c r="BG7" s="11" t="n">
        <f aca="false">SUM(Operations!BH75:BM75)/6</f>
        <v>2.79437536111299</v>
      </c>
      <c r="BH7" s="11" t="n">
        <f aca="false">SUM(Operations!BI75:BN75)/6</f>
        <v>2.79437536111299</v>
      </c>
      <c r="BI7" s="11" t="n">
        <f aca="false">SUM(Operations!BJ75:BN75)/6</f>
        <v>2.79437536111299</v>
      </c>
      <c r="BJ7" s="11" t="n">
        <f aca="false">SUM(Operations!BK75:BN75)/6</f>
        <v>0</v>
      </c>
      <c r="BK7" s="11" t="n">
        <f aca="false">SUM(Operations!BL75:BN75)/6</f>
        <v>0</v>
      </c>
      <c r="BL7" s="11" t="n">
        <f aca="false">SUM(Operations!BM75:BN75)/6</f>
        <v>0</v>
      </c>
      <c r="BM7" s="11" t="n">
        <f aca="false">SUM(Operations!BN75:BN75)/6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713</v>
      </c>
      <c r="E8" s="0" t="s">
        <v>149</v>
      </c>
      <c r="J8" s="11" t="n">
        <f aca="false">0+J7-Operations!J75</f>
        <v>0</v>
      </c>
      <c r="K8" s="11" t="n">
        <f aca="false">J8+K7-Operations!K75</f>
        <v>0</v>
      </c>
      <c r="L8" s="11" t="n">
        <f aca="false">K8+L7-Operations!L75</f>
        <v>0</v>
      </c>
      <c r="M8" s="11" t="n">
        <f aca="false">L8+M7-Operations!M75</f>
        <v>0</v>
      </c>
      <c r="N8" s="11" t="n">
        <f aca="false">M8+N7-Operations!N75</f>
        <v>0</v>
      </c>
      <c r="O8" s="11" t="n">
        <f aca="false">N8+O7-Operations!O75</f>
        <v>0</v>
      </c>
      <c r="P8" s="11" t="n">
        <f aca="false">O8+P7-Operations!P75</f>
        <v>0.41626830245486</v>
      </c>
      <c r="Q8" s="11" t="n">
        <f aca="false">P8+Q7-Operations!Q75</f>
        <v>0.83253660490972</v>
      </c>
      <c r="R8" s="11" t="n">
        <f aca="false">Q8+R7-Operations!R75</f>
        <v>1.24880490736458</v>
      </c>
      <c r="S8" s="11" t="n">
        <f aca="false">R8+S7-Operations!S75</f>
        <v>1.66507320981944</v>
      </c>
      <c r="T8" s="11" t="n">
        <f aca="false">S8+T7-Operations!T75</f>
        <v>2.0813415122743</v>
      </c>
      <c r="U8" s="11" t="n">
        <f aca="false">T8+U7-Operations!U75</f>
        <v>2.49760981472916</v>
      </c>
      <c r="V8" s="11" t="n">
        <f aca="false">U8+V7-Operations!V75</f>
        <v>0</v>
      </c>
      <c r="W8" s="11" t="n">
        <f aca="false">V8+W7-Operations!W75</f>
        <v>0</v>
      </c>
      <c r="X8" s="11" t="n">
        <f aca="false">W8+X7-Operations!X75</f>
        <v>1.97274254363346</v>
      </c>
      <c r="Y8" s="11" t="n">
        <f aca="false">X8+Y7-Operations!Y75</f>
        <v>3.94548508726692</v>
      </c>
      <c r="Z8" s="11" t="n">
        <f aca="false">Y8+Z7-Operations!Z75</f>
        <v>5.91822763090038</v>
      </c>
      <c r="AA8" s="11" t="n">
        <f aca="false">Z8+AA7-Operations!AA75</f>
        <v>7.89097017453384</v>
      </c>
      <c r="AB8" s="11" t="n">
        <f aca="false">AA8+AB7-Operations!AB75</f>
        <v>9.8637127181673</v>
      </c>
      <c r="AC8" s="11" t="n">
        <f aca="false">AB8+AC7-Operations!AC75</f>
        <v>11.8364552618008</v>
      </c>
      <c r="AD8" s="11" t="n">
        <f aca="false">AC8+AD7-Operations!AD75</f>
        <v>0</v>
      </c>
      <c r="AE8" s="11" t="n">
        <f aca="false">AD8+AE7-Operations!AE75</f>
        <v>0</v>
      </c>
      <c r="AF8" s="11" t="n">
        <f aca="false">AE8+AF7-Operations!AF75</f>
        <v>0.495427954915913</v>
      </c>
      <c r="AG8" s="11" t="n">
        <f aca="false">AF8+AG7-Operations!AG75</f>
        <v>0.990855909831827</v>
      </c>
      <c r="AH8" s="11" t="n">
        <f aca="false">AG8+AH7-Operations!AH75</f>
        <v>1.48628386474774</v>
      </c>
      <c r="AI8" s="11" t="n">
        <f aca="false">AH8+AI7-Operations!AI75</f>
        <v>1.98171181966365</v>
      </c>
      <c r="AJ8" s="11" t="n">
        <f aca="false">AI8+AJ7-Operations!AJ75</f>
        <v>2.47713977457957</v>
      </c>
      <c r="AK8" s="11" t="n">
        <f aca="false">AJ8+AK7-Operations!AK75</f>
        <v>2.97256772949548</v>
      </c>
      <c r="AL8" s="11" t="n">
        <f aca="false">AK8+AL7-Operations!AL75</f>
        <v>0</v>
      </c>
      <c r="AM8" s="11" t="n">
        <f aca="false">AL8+AM7-Operations!AM75</f>
        <v>0</v>
      </c>
      <c r="AN8" s="11" t="n">
        <f aca="false">AM8+AN7-Operations!AN75</f>
        <v>2.34788908548694</v>
      </c>
      <c r="AO8" s="11" t="n">
        <f aca="false">AN8+AO7-Operations!AO75</f>
        <v>4.69577817097388</v>
      </c>
      <c r="AP8" s="11" t="n">
        <f aca="false">AO8+AP7-Operations!AP75</f>
        <v>7.04366725646083</v>
      </c>
      <c r="AQ8" s="11" t="n">
        <f aca="false">AP8+AQ7-Operations!AQ75</f>
        <v>9.39155634194777</v>
      </c>
      <c r="AR8" s="11" t="n">
        <f aca="false">AQ8+AR7-Operations!AR75</f>
        <v>11.7394454274347</v>
      </c>
      <c r="AS8" s="11" t="n">
        <f aca="false">AR8+AS7-Operations!AS75</f>
        <v>14.0873345129217</v>
      </c>
      <c r="AT8" s="11" t="n">
        <f aca="false">AS8+AT7-Operations!AT75</f>
        <v>0</v>
      </c>
      <c r="AU8" s="11" t="n">
        <f aca="false">AT8+AU7-Operations!AU75</f>
        <v>0</v>
      </c>
      <c r="AV8" s="11" t="n">
        <f aca="false">AU8+AV7-Operations!AV75</f>
        <v>0.589641000923391</v>
      </c>
      <c r="AW8" s="11" t="n">
        <f aca="false">AV8+AW7-Operations!AW75</f>
        <v>1.17928200184678</v>
      </c>
      <c r="AX8" s="11" t="n">
        <f aca="false">AW8+AX7-Operations!AX75</f>
        <v>1.76892300277017</v>
      </c>
      <c r="AY8" s="11" t="n">
        <f aca="false">AX8+AY7-Operations!AY75</f>
        <v>2.35856400369356</v>
      </c>
      <c r="AZ8" s="11" t="n">
        <f aca="false">AY8+AZ7-Operations!AZ75</f>
        <v>2.94820500461696</v>
      </c>
      <c r="BA8" s="11" t="n">
        <f aca="false">AZ8+BA7-Operations!BA75</f>
        <v>3.53784600554035</v>
      </c>
      <c r="BB8" s="11" t="n">
        <f aca="false">BA8+BB7-Operations!BB75</f>
        <v>0</v>
      </c>
      <c r="BC8" s="11" t="n">
        <f aca="false">BB8+BC7-Operations!BC75</f>
        <v>0</v>
      </c>
      <c r="BD8" s="11" t="n">
        <f aca="false">BC8+BD7-Operations!BD75</f>
        <v>2.79437536111299</v>
      </c>
      <c r="BE8" s="11" t="n">
        <f aca="false">BD8+BE7-Operations!BE75</f>
        <v>5.58875072222598</v>
      </c>
      <c r="BF8" s="11" t="n">
        <f aca="false">BE8+BF7-Operations!BF75</f>
        <v>8.38312608333897</v>
      </c>
      <c r="BG8" s="11" t="n">
        <f aca="false">BF8+BG7-Operations!BG75</f>
        <v>11.177501444452</v>
      </c>
      <c r="BH8" s="11" t="n">
        <f aca="false">BG8+BH7-Operations!BH75</f>
        <v>13.9718768055649</v>
      </c>
      <c r="BI8" s="11" t="n">
        <f aca="false">BH8+BI7-Operations!BI75</f>
        <v>16.7662521666779</v>
      </c>
      <c r="BJ8" s="11" t="n">
        <f aca="false">BI8+BJ7-Operations!BJ75</f>
        <v>0</v>
      </c>
      <c r="BK8" s="11" t="n">
        <f aca="false">BJ8+BK7-Operations!BK75</f>
        <v>0</v>
      </c>
      <c r="BL8" s="11" t="n">
        <f aca="false">BK8+BL7-Operations!BL75</f>
        <v>0</v>
      </c>
      <c r="BM8" s="11" t="n">
        <f aca="false">BL8+BM7-Operations!BM75</f>
        <v>0</v>
      </c>
      <c r="BN8" s="11" t="n">
        <f aca="false">BM8+BN7-Operations!BN75</f>
        <v>0</v>
      </c>
    </row>
    <row r="9" customFormat="false" ht="15" hidden="false" customHeight="false" outlineLevel="0" collapsed="false">
      <c r="D9" s="0" t="s">
        <v>714</v>
      </c>
      <c r="E9" s="0" t="s">
        <v>149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37.2458954370954</v>
      </c>
      <c r="P9" s="11" t="n">
        <f aca="false">IF(Time!P29=1,SUM(Funding!$J$44:$BJ$44),O13)</f>
        <v>37.2458954370965</v>
      </c>
      <c r="Q9" s="11" t="n">
        <f aca="false">IF(Time!Q29=1,SUM(Funding!$J$44:$BJ$44),P13)</f>
        <v>37.1570164551458</v>
      </c>
      <c r="R9" s="11" t="n">
        <f aca="false">IF(Time!R29=1,SUM(Funding!$J$44:$BJ$44),Q13)</f>
        <v>37.624785087678</v>
      </c>
      <c r="S9" s="11" t="n">
        <f aca="false">IF(Time!S29=1,SUM(Funding!$J$44:$BJ$44),R13)</f>
        <v>37.333312492557</v>
      </c>
      <c r="T9" s="11" t="n">
        <f aca="false">IF(Time!T29=1,SUM(Funding!$J$44:$BJ$44),S13)</f>
        <v>37.7512177817478</v>
      </c>
      <c r="U9" s="11" t="n">
        <f aca="false">IF(Time!U29=1,SUM(Funding!$J$44:$BJ$44),T13)</f>
        <v>37.5706927548527</v>
      </c>
      <c r="V9" s="11" t="n">
        <f aca="false">IF(Time!V29=1,SUM(Funding!$J$44:$BJ$44),U13)</f>
        <v>38.2879202351583</v>
      </c>
      <c r="W9" s="11" t="n">
        <f aca="false">IF(Time!W29=1,SUM(Funding!$J$44:$BJ$44),V13)</f>
        <v>38.0232274258698</v>
      </c>
      <c r="X9" s="11" t="n">
        <f aca="false">IF(Time!X29=1,SUM(Funding!$J$44:$BJ$44),W13)</f>
        <v>36.9267950745894</v>
      </c>
      <c r="Y9" s="11" t="n">
        <f aca="false">IF(Time!Y29=1,SUM(Funding!$J$44:$BJ$44),X13)</f>
        <v>36.5703920445452</v>
      </c>
      <c r="Z9" s="11" t="n">
        <f aca="false">IF(Time!Z29=1,SUM(Funding!$J$44:$BJ$44),Y13)</f>
        <v>36.8713631085141</v>
      </c>
      <c r="AA9" s="11" t="n">
        <f aca="false">IF(Time!AA29=1,SUM(Funding!$J$44:$BJ$44),Z13)</f>
        <v>36.5742873548545</v>
      </c>
      <c r="AB9" s="11" t="n">
        <f aca="false">IF(Time!AB29=1,SUM(Funding!$J$44:$BJ$44),AA13)</f>
        <v>37.0047486319762</v>
      </c>
      <c r="AC9" s="11" t="n">
        <f aca="false">IF(Time!AC29=1,SUM(Funding!$J$44:$BJ$44),AB13)</f>
        <v>36.1992315517568</v>
      </c>
      <c r="AD9" s="11" t="n">
        <f aca="false">IF(Time!AD29=1,SUM(Funding!$J$44:$BJ$44),AC13)</f>
        <v>36.7678244305152</v>
      </c>
      <c r="AE9" s="11" t="n">
        <f aca="false">IF(Time!AE29=1,SUM(Funding!$J$44:$BJ$44),AD13)</f>
        <v>36.0360476420817</v>
      </c>
      <c r="AF9" s="11" t="n">
        <f aca="false">IF(Time!AF29=1,SUM(Funding!$J$44:$BJ$44),AE13)</f>
        <v>35.2245441795351</v>
      </c>
      <c r="AG9" s="11" t="n">
        <f aca="false">IF(Time!AG29=1,SUM(Funding!$J$44:$BJ$44),AF13)</f>
        <v>33.8975249025636</v>
      </c>
      <c r="AH9" s="11" t="n">
        <f aca="false">IF(Time!AH29=1,SUM(Funding!$J$44:$BJ$44),AG13)</f>
        <v>32.9416481949476</v>
      </c>
      <c r="AI9" s="11" t="n">
        <f aca="false">IF(Time!AI29=1,SUM(Funding!$J$44:$BJ$44),AH13)</f>
        <v>31.0781446009488</v>
      </c>
      <c r="AJ9" s="11" t="n">
        <f aca="false">IF(Time!AJ29=1,SUM(Funding!$J$44:$BJ$44),AI13)</f>
        <v>29.3509485408672</v>
      </c>
      <c r="AK9" s="11" t="n">
        <f aca="false">IF(Time!AK29=1,SUM(Funding!$J$44:$BJ$44),AJ13)</f>
        <v>26.6908039231563</v>
      </c>
      <c r="AL9" s="11" t="n">
        <f aca="false">IF(Time!AL29=1,SUM(Funding!$J$44:$BJ$44),AK13)</f>
        <v>23.7263439046152</v>
      </c>
      <c r="AM9" s="11" t="n">
        <f aca="false">IF(Time!AM29=1,SUM(Funding!$J$44:$BJ$44),AL13)</f>
        <v>23.5692918532781</v>
      </c>
      <c r="AN9" s="11" t="n">
        <f aca="false">IF(Time!AN29=1,SUM(Funding!$J$44:$BJ$44),AM13)</f>
        <v>19.1320172548642</v>
      </c>
      <c r="AO9" s="11" t="n">
        <f aca="false">IF(Time!AO29=1,SUM(Funding!$J$44:$BJ$44),AN13)</f>
        <v>18.9059077476081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715</v>
      </c>
      <c r="E10" s="0" t="s">
        <v>149</v>
      </c>
      <c r="G10" s="11" t="n">
        <f aca="false">SUM(J10:BN10)</f>
        <v>0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0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716</v>
      </c>
      <c r="E11" s="0" t="s">
        <v>149</v>
      </c>
      <c r="G11" s="11" t="n">
        <f aca="false">SUM(J11:BN11)</f>
        <v>2.90292662187893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1.11555209514336E-012</v>
      </c>
      <c r="P11" s="11" t="n">
        <f aca="false">MIN(Waterfall!P13,MAX(0,Debt!P132-(P9-P10)))</f>
        <v>0</v>
      </c>
      <c r="Q11" s="11" t="n">
        <f aca="false">MIN(Waterfall!Q13,MAX(0,Debt!Q132-(Q9-Q10)))</f>
        <v>0.467768632532213</v>
      </c>
      <c r="R11" s="11" t="n">
        <f aca="false">MIN(Waterfall!R13,MAX(0,Debt!R132-(R9-R10)))</f>
        <v>0</v>
      </c>
      <c r="S11" s="11" t="n">
        <f aca="false">MIN(Waterfall!S13,MAX(0,Debt!S132-(S9-S10)))</f>
        <v>0.417905289190834</v>
      </c>
      <c r="T11" s="11" t="n">
        <f aca="false">MIN(Waterfall!T13,MAX(0,Debt!T132-(T9-T10)))</f>
        <v>0</v>
      </c>
      <c r="U11" s="11" t="n">
        <f aca="false">MIN(Waterfall!U13,MAX(0,Debt!U132-(U9-U10)))</f>
        <v>0.717227480305631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0.300971063968952</v>
      </c>
      <c r="Z11" s="11" t="n">
        <f aca="false">MIN(Waterfall!Z13,MAX(0,Debt!Z132-(Z9-Z10)))</f>
        <v>0</v>
      </c>
      <c r="AA11" s="11" t="n">
        <f aca="false">MIN(Waterfall!AA13,MAX(0,Debt!AA132-(AA9-AA10)))</f>
        <v>0.430461277121729</v>
      </c>
      <c r="AB11" s="11" t="n">
        <f aca="false">MIN(Waterfall!AB13,MAX(0,Debt!AB132-(AB9-AB10)))</f>
        <v>0</v>
      </c>
      <c r="AC11" s="11" t="n">
        <f aca="false">MIN(Waterfall!AC13,MAX(0,Debt!AC132-(AC9-AC10)))</f>
        <v>0.568592878758452</v>
      </c>
      <c r="AD11" s="11" t="n">
        <f aca="false">MIN(Waterfall!AD13,MAX(0,Debt!AD132-(AD9-AD10)))</f>
        <v>0</v>
      </c>
      <c r="AE11" s="11" t="n">
        <f aca="false">MIN(Waterfall!AE13,MAX(0,Debt!AE132-(AE9-AE10)))</f>
        <v>0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717</v>
      </c>
      <c r="E12" s="0" t="s">
        <v>149</v>
      </c>
      <c r="G12" s="11" t="n">
        <f aca="false">SUM(J12:BN12)</f>
        <v>40.1488220589743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0.088878981950721</v>
      </c>
      <c r="Q12" s="11" t="n">
        <f aca="false">MAX(0,Q9-Q10-Debt!Q132)</f>
        <v>0</v>
      </c>
      <c r="R12" s="11" t="n">
        <f aca="false">MAX(0,R9-R10-Debt!R132)</f>
        <v>0.291472595121029</v>
      </c>
      <c r="S12" s="11" t="n">
        <f aca="false">MAX(0,S9-S10-Debt!S132)</f>
        <v>0</v>
      </c>
      <c r="T12" s="11" t="n">
        <f aca="false">MAX(0,T9-T10-Debt!T132)</f>
        <v>0.180525026895069</v>
      </c>
      <c r="U12" s="11" t="n">
        <f aca="false">MAX(0,U9-U10-Debt!U132)</f>
        <v>0</v>
      </c>
      <c r="V12" s="11" t="n">
        <f aca="false">MAX(0,V9-V10-Debt!V132)</f>
        <v>0.264692809288562</v>
      </c>
      <c r="W12" s="11" t="n">
        <f aca="false">MAX(0,W9-W10-Debt!W132)</f>
        <v>1.0964323512804</v>
      </c>
      <c r="X12" s="11" t="n">
        <f aca="false">MAX(0,X9-X10-Debt!X132)</f>
        <v>0.356403030044227</v>
      </c>
      <c r="Y12" s="11" t="n">
        <f aca="false">MAX(0,Y9-Y10-Debt!Y132)</f>
        <v>0</v>
      </c>
      <c r="Z12" s="11" t="n">
        <f aca="false">MAX(0,Z9-Z10-Debt!Z132)</f>
        <v>0.297075753659662</v>
      </c>
      <c r="AA12" s="11" t="n">
        <f aca="false">MAX(0,AA9-AA10-Debt!AA132)</f>
        <v>0</v>
      </c>
      <c r="AB12" s="11" t="n">
        <f aca="false">MAX(0,AB9-AB10-Debt!AB132)</f>
        <v>0.805517080219424</v>
      </c>
      <c r="AC12" s="11" t="n">
        <f aca="false">MAX(0,AC9-AC10-Debt!AC132)</f>
        <v>0</v>
      </c>
      <c r="AD12" s="11" t="n">
        <f aca="false">MAX(0,AD9-AD10-Debt!AD132)</f>
        <v>0.731776788433507</v>
      </c>
      <c r="AE12" s="11" t="n">
        <f aca="false">MAX(0,AE9-AE10-Debt!AE132)</f>
        <v>0.811503462546625</v>
      </c>
      <c r="AF12" s="11" t="n">
        <f aca="false">MAX(0,AF9-AF10-Debt!AF132)</f>
        <v>1.3270192769715</v>
      </c>
      <c r="AG12" s="11" t="n">
        <f aca="false">MAX(0,AG9-AG10-Debt!AG132)</f>
        <v>0.955876707615964</v>
      </c>
      <c r="AH12" s="11" t="n">
        <f aca="false">MAX(0,AH9-AH10-Debt!AH132)</f>
        <v>1.86350359399879</v>
      </c>
      <c r="AI12" s="11" t="n">
        <f aca="false">MAX(0,AI9-AI10-Debt!AI132)</f>
        <v>1.72719606008159</v>
      </c>
      <c r="AJ12" s="11" t="n">
        <f aca="false">MAX(0,AJ9-AJ10-Debt!AJ132)</f>
        <v>2.66014461771097</v>
      </c>
      <c r="AK12" s="11" t="n">
        <f aca="false">MAX(0,AK9-AK10-Debt!AK132)</f>
        <v>2.96446001854105</v>
      </c>
      <c r="AL12" s="11" t="n">
        <f aca="false">MAX(0,AL9-AL10-Debt!AL132)</f>
        <v>0.157052051337132</v>
      </c>
      <c r="AM12" s="11" t="n">
        <f aca="false">MAX(0,AM9-AM10-Debt!AM132)</f>
        <v>4.43727459841388</v>
      </c>
      <c r="AN12" s="11" t="n">
        <f aca="false">MAX(0,AN9-AN10-Debt!AN132)</f>
        <v>0.226109507256052</v>
      </c>
      <c r="AO12" s="11" t="n">
        <f aca="false">MAX(0,AO9-AO10-Debt!AO132)</f>
        <v>18.9059077476081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718</v>
      </c>
      <c r="E13" s="0" t="s">
        <v>149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37.2458954370965</v>
      </c>
      <c r="P13" s="11" t="n">
        <f aca="false">(1-Time!P32)*(P9-P10+P11-P12)</f>
        <v>37.1570164551458</v>
      </c>
      <c r="Q13" s="11" t="n">
        <f aca="false">(1-Time!Q32)*(Q9-Q10+Q11-Q12)</f>
        <v>37.624785087678</v>
      </c>
      <c r="R13" s="11" t="n">
        <f aca="false">(1-Time!R32)*(R9-R10+R11-R12)</f>
        <v>37.333312492557</v>
      </c>
      <c r="S13" s="11" t="n">
        <f aca="false">(1-Time!S32)*(S9-S10+S11-S12)</f>
        <v>37.7512177817478</v>
      </c>
      <c r="T13" s="11" t="n">
        <f aca="false">(1-Time!T32)*(T9-T10+T11-T12)</f>
        <v>37.5706927548527</v>
      </c>
      <c r="U13" s="11" t="n">
        <f aca="false">(1-Time!U32)*(U9-U10+U11-U12)</f>
        <v>38.2879202351583</v>
      </c>
      <c r="V13" s="11" t="n">
        <f aca="false">(1-Time!V32)*(V9-V10+V11-V12)</f>
        <v>38.0232274258698</v>
      </c>
      <c r="W13" s="11" t="n">
        <f aca="false">(1-Time!W32)*(W9-W10+W11-W12)</f>
        <v>36.9267950745894</v>
      </c>
      <c r="X13" s="11" t="n">
        <f aca="false">(1-Time!X32)*(X9-X10+X11-X12)</f>
        <v>36.5703920445452</v>
      </c>
      <c r="Y13" s="11" t="n">
        <f aca="false">(1-Time!Y32)*(Y9-Y10+Y11-Y12)</f>
        <v>36.8713631085141</v>
      </c>
      <c r="Z13" s="11" t="n">
        <f aca="false">(1-Time!Z32)*(Z9-Z10+Z11-Z12)</f>
        <v>36.5742873548545</v>
      </c>
      <c r="AA13" s="11" t="n">
        <f aca="false">(1-Time!AA32)*(AA9-AA10+AA11-AA12)</f>
        <v>37.0047486319762</v>
      </c>
      <c r="AB13" s="11" t="n">
        <f aca="false">(1-Time!AB32)*(AB9-AB10+AB11-AB12)</f>
        <v>36.1992315517568</v>
      </c>
      <c r="AC13" s="11" t="n">
        <f aca="false">(1-Time!AC32)*(AC9-AC10+AC11-AC12)</f>
        <v>36.7678244305152</v>
      </c>
      <c r="AD13" s="11" t="n">
        <f aca="false">(1-Time!AD32)*(AD9-AD10+AD11-AD12)</f>
        <v>36.0360476420817</v>
      </c>
      <c r="AE13" s="11" t="n">
        <f aca="false">(1-Time!AE32)*(AE9-AE10+AE11-AE12)</f>
        <v>35.2245441795351</v>
      </c>
      <c r="AF13" s="11" t="n">
        <f aca="false">(1-Time!AF32)*(AF9-AF10+AF11-AF12)</f>
        <v>33.8975249025636</v>
      </c>
      <c r="AG13" s="11" t="n">
        <f aca="false">(1-Time!AG32)*(AG9-AG10+AG11-AG12)</f>
        <v>32.9416481949476</v>
      </c>
      <c r="AH13" s="11" t="n">
        <f aca="false">(1-Time!AH32)*(AH9-AH10+AH11-AH12)</f>
        <v>31.0781446009488</v>
      </c>
      <c r="AI13" s="11" t="n">
        <f aca="false">(1-Time!AI32)*(AI9-AI10+AI11-AI12)</f>
        <v>29.3509485408672</v>
      </c>
      <c r="AJ13" s="11" t="n">
        <f aca="false">(1-Time!AJ32)*(AJ9-AJ10+AJ11-AJ12)</f>
        <v>26.6908039231563</v>
      </c>
      <c r="AK13" s="11" t="n">
        <f aca="false">(1-Time!AK32)*(AK9-AK10+AK11-AK12)</f>
        <v>23.7263439046152</v>
      </c>
      <c r="AL13" s="11" t="n">
        <f aca="false">(1-Time!AL32)*(AL9-AL10+AL11-AL12)</f>
        <v>23.5692918532781</v>
      </c>
      <c r="AM13" s="11" t="n">
        <f aca="false">(1-Time!AM32)*(AM9-AM10+AM11-AM12)</f>
        <v>19.1320172548642</v>
      </c>
      <c r="AN13" s="11" t="n">
        <f aca="false">(1-Time!AN32)*(AN9-AN10+AN11-AN12)</f>
        <v>18.9059077476081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719</v>
      </c>
      <c r="E14" s="0" t="s">
        <v>149</v>
      </c>
      <c r="G14" s="11" t="n">
        <f aca="false">SUM(J14:BN14)</f>
        <v>19.0691898563542</v>
      </c>
      <c r="J14" s="11" t="n">
        <f aca="false">MIN(Waterfall!J14,Operations!J77)</f>
        <v>0</v>
      </c>
      <c r="K14" s="11" t="n">
        <f aca="false">MIN(Waterfall!K14,Operations!K77)</f>
        <v>0</v>
      </c>
      <c r="L14" s="11" t="n">
        <f aca="false">MIN(Waterfall!L14,Operations!L77)</f>
        <v>0</v>
      </c>
      <c r="M14" s="11" t="n">
        <f aca="false">MIN(Waterfall!M14,Operations!M77)</f>
        <v>0</v>
      </c>
      <c r="N14" s="11" t="n">
        <f aca="false">MIN(Waterfall!N14,Operations!N77)</f>
        <v>0</v>
      </c>
      <c r="O14" s="11" t="n">
        <f aca="false">MIN(Waterfall!O14,Operations!O77)</f>
        <v>0</v>
      </c>
      <c r="P14" s="11" t="n">
        <f aca="false">MIN(Waterfall!P14,Operations!P77)</f>
        <v>0</v>
      </c>
      <c r="Q14" s="11" t="n">
        <f aca="false">MIN(Waterfall!Q14,Operations!Q77)</f>
        <v>0</v>
      </c>
      <c r="R14" s="11" t="n">
        <f aca="false">MIN(Waterfall!R14,Operations!R77)</f>
        <v>0</v>
      </c>
      <c r="S14" s="11" t="n">
        <f aca="false">MIN(Waterfall!S14,Operations!S77)</f>
        <v>0</v>
      </c>
      <c r="T14" s="11" t="n">
        <f aca="false">MIN(Waterfall!T14,Operations!T77)</f>
        <v>0</v>
      </c>
      <c r="U14" s="11" t="n">
        <f aca="false">MIN(Waterfall!U14,Operations!U77)</f>
        <v>0</v>
      </c>
      <c r="V14" s="11" t="n">
        <f aca="false">MIN(Waterfall!V14,Operations!V77)</f>
        <v>0</v>
      </c>
      <c r="W14" s="11" t="n">
        <f aca="false">MIN(Waterfall!W14,Operations!W77)</f>
        <v>0</v>
      </c>
      <c r="X14" s="11" t="n">
        <f aca="false">MIN(Waterfall!X14,Operations!X77)</f>
        <v>0</v>
      </c>
      <c r="Y14" s="11" t="n">
        <f aca="false">MIN(Waterfall!Y14,Operations!Y77)</f>
        <v>0</v>
      </c>
      <c r="Z14" s="11" t="n">
        <f aca="false">MIN(Waterfall!Z14,Operations!Z77)</f>
        <v>0</v>
      </c>
      <c r="AA14" s="11" t="n">
        <f aca="false">MIN(Waterfall!AA14,Operations!AA77)</f>
        <v>0</v>
      </c>
      <c r="AB14" s="11" t="n">
        <f aca="false">MIN(Waterfall!AB14,Operations!AB77)</f>
        <v>0</v>
      </c>
      <c r="AC14" s="11" t="n">
        <f aca="false">MIN(Waterfall!AC14,Operations!AC77)</f>
        <v>0</v>
      </c>
      <c r="AD14" s="11" t="n">
        <f aca="false">MIN(Waterfall!AD14,Operations!AD77)</f>
        <v>0</v>
      </c>
      <c r="AE14" s="11" t="n">
        <f aca="false">MIN(Waterfall!AE14,Operations!AE77)</f>
        <v>0</v>
      </c>
      <c r="AF14" s="11" t="n">
        <f aca="false">MIN(Waterfall!AF14,Operations!AF77)</f>
        <v>0</v>
      </c>
      <c r="AG14" s="11" t="n">
        <f aca="false">MIN(Waterfall!AG14,Operations!AG77)</f>
        <v>0</v>
      </c>
      <c r="AH14" s="11" t="n">
        <f aca="false">MIN(Waterfall!AH14,Operations!AH77)</f>
        <v>0</v>
      </c>
      <c r="AI14" s="11" t="n">
        <f aca="false">MIN(Waterfall!AI14,Operations!AI77)</f>
        <v>0</v>
      </c>
      <c r="AJ14" s="11" t="n">
        <f aca="false">MIN(Waterfall!AJ14,Operations!AJ77)</f>
        <v>0</v>
      </c>
      <c r="AK14" s="11" t="n">
        <f aca="false">MIN(Waterfall!AK14,Operations!AK77)</f>
        <v>0</v>
      </c>
      <c r="AL14" s="11" t="n">
        <f aca="false">MIN(Waterfall!AL14,Operations!AL77)</f>
        <v>0</v>
      </c>
      <c r="AM14" s="11" t="n">
        <f aca="false">MIN(Waterfall!AM14,Operations!AM77)</f>
        <v>0</v>
      </c>
      <c r="AN14" s="11" t="n">
        <f aca="false">MIN(Waterfall!AN14,Operations!AN77)</f>
        <v>0</v>
      </c>
      <c r="AO14" s="11" t="n">
        <f aca="false">MIN(Waterfall!AO14,Operations!AO77)</f>
        <v>0</v>
      </c>
      <c r="AP14" s="11" t="n">
        <f aca="false">MIN(Waterfall!AP14,Operations!AP77)</f>
        <v>0</v>
      </c>
      <c r="AQ14" s="11" t="n">
        <f aca="false">MIN(Waterfall!AQ14,Operations!AQ77)</f>
        <v>0</v>
      </c>
      <c r="AR14" s="11" t="n">
        <f aca="false">MIN(Waterfall!AR14,Operations!AR77)</f>
        <v>0</v>
      </c>
      <c r="AS14" s="11" t="n">
        <f aca="false">MIN(Waterfall!AS14,Operations!AS77)</f>
        <v>0</v>
      </c>
      <c r="AT14" s="11" t="n">
        <f aca="false">MIN(Waterfall!AT14,Operations!AT77)</f>
        <v>0</v>
      </c>
      <c r="AU14" s="11" t="n">
        <f aca="false">MIN(Waterfall!AU14,Operations!AU77)</f>
        <v>0</v>
      </c>
      <c r="AV14" s="11" t="n">
        <f aca="false">MIN(Waterfall!AV14,Operations!AV77)</f>
        <v>0</v>
      </c>
      <c r="AW14" s="11" t="n">
        <f aca="false">MIN(Waterfall!AW14,Operations!AW77)</f>
        <v>0</v>
      </c>
      <c r="AX14" s="11" t="n">
        <f aca="false">MIN(Waterfall!AX14,Operations!AX77)</f>
        <v>0</v>
      </c>
      <c r="AY14" s="11" t="n">
        <f aca="false">MIN(Waterfall!AY14,Operations!AY77)</f>
        <v>0</v>
      </c>
      <c r="AZ14" s="11" t="n">
        <f aca="false">MIN(Waterfall!AZ14,Operations!AZ77)</f>
        <v>0</v>
      </c>
      <c r="BA14" s="11" t="n">
        <f aca="false">MIN(Waterfall!BA14,Operations!BA77)</f>
        <v>0.494968386608688</v>
      </c>
      <c r="BB14" s="11" t="n">
        <f aca="false">MIN(Waterfall!BB14,Operations!BB77)</f>
        <v>1.50115025464441</v>
      </c>
      <c r="BC14" s="11" t="n">
        <f aca="false">MIN(Waterfall!BC14,Operations!BC77)</f>
        <v>1.51757307334224</v>
      </c>
      <c r="BD14" s="11" t="n">
        <f aca="false">MIN(Waterfall!BD14,Operations!BD77)</f>
        <v>1.53417556024659</v>
      </c>
      <c r="BE14" s="11" t="n">
        <f aca="false">MIN(Waterfall!BE14,Operations!BE77)</f>
        <v>1.55095968095577</v>
      </c>
      <c r="BF14" s="11" t="n">
        <f aca="false">MIN(Waterfall!BF14,Operations!BF77)</f>
        <v>1.56792742257201</v>
      </c>
      <c r="BG14" s="11" t="n">
        <f aca="false">MIN(Waterfall!BG14,Operations!BG77)</f>
        <v>1.58508079393679</v>
      </c>
      <c r="BH14" s="11" t="n">
        <f aca="false">MIN(Waterfall!BH14,Operations!BH77)</f>
        <v>1.6024218258686</v>
      </c>
      <c r="BI14" s="11" t="n">
        <f aca="false">MIN(Waterfall!BI14,Operations!BI77)</f>
        <v>1.6199525714034</v>
      </c>
      <c r="BJ14" s="11" t="n">
        <f aca="false">MIN(Waterfall!BJ14,Operations!BJ77)</f>
        <v>1.63767510603771</v>
      </c>
      <c r="BK14" s="11" t="n">
        <f aca="false">MIN(Waterfall!BK14,Operations!BK77)</f>
        <v>1.65559152797428</v>
      </c>
      <c r="BL14" s="11" t="n">
        <f aca="false">MIN(Waterfall!BL14,Operations!BL77)</f>
        <v>1.67370395837054</v>
      </c>
      <c r="BM14" s="11" t="n">
        <f aca="false">MIN(Waterfall!BM14,Operations!BM77)</f>
        <v>1.12800969439314</v>
      </c>
      <c r="BN14" s="11" t="n">
        <f aca="false">MIN(Waterfall!BN14,Operations!BN77)</f>
        <v>0</v>
      </c>
    </row>
    <row r="15" customFormat="false" ht="15" hidden="false" customHeight="false" outlineLevel="0" collapsed="false">
      <c r="D15" s="0" t="s">
        <v>720</v>
      </c>
      <c r="E15" s="0" t="s">
        <v>149</v>
      </c>
      <c r="G15" s="11" t="n">
        <f aca="false">SUM(J15:BN15)</f>
        <v>19.0691898563542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19.0691898563542</v>
      </c>
      <c r="BN15" s="11" t="n">
        <f aca="false">Time!BN32*(BM16+BN14)</f>
        <v>0</v>
      </c>
    </row>
    <row r="16" customFormat="false" ht="15" hidden="false" customHeight="false" outlineLevel="0" collapsed="false">
      <c r="D16" s="0" t="s">
        <v>721</v>
      </c>
      <c r="E16" s="0" t="s">
        <v>149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0.494968386608688</v>
      </c>
      <c r="BB16" s="11" t="n">
        <f aca="false">BA16+BB14-BB15</f>
        <v>1.9961186412531</v>
      </c>
      <c r="BC16" s="11" t="n">
        <f aca="false">BB16+BC14-BC15</f>
        <v>3.51369171459534</v>
      </c>
      <c r="BD16" s="11" t="n">
        <f aca="false">BC16+BD14-BD15</f>
        <v>5.04786727484193</v>
      </c>
      <c r="BE16" s="11" t="n">
        <f aca="false">BD16+BE14-BE15</f>
        <v>6.59882695579769</v>
      </c>
      <c r="BF16" s="11" t="n">
        <f aca="false">BE16+BF14-BF15</f>
        <v>8.16675437836971</v>
      </c>
      <c r="BG16" s="11" t="n">
        <f aca="false">BF16+BG14-BG15</f>
        <v>9.7518351723065</v>
      </c>
      <c r="BH16" s="11" t="n">
        <f aca="false">BG16+BH14-BH15</f>
        <v>11.3542569981751</v>
      </c>
      <c r="BI16" s="11" t="n">
        <f aca="false">BH16+BI14-BI15</f>
        <v>12.9742095695785</v>
      </c>
      <c r="BJ16" s="11" t="n">
        <f aca="false">BI16+BJ14-BJ15</f>
        <v>14.6118846756162</v>
      </c>
      <c r="BK16" s="11" t="n">
        <f aca="false">BJ16+BK14-BK15</f>
        <v>16.2674762035905</v>
      </c>
      <c r="BL16" s="11" t="n">
        <f aca="false">BK16+BL14-BL15</f>
        <v>17.941180161961</v>
      </c>
      <c r="BM16" s="11" t="n">
        <f aca="false">BL16+BM14-BM15</f>
        <v>0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722</v>
      </c>
      <c r="E17" s="0" t="s">
        <v>149</v>
      </c>
      <c r="J17" s="11" t="n">
        <f aca="false">Inputs!$F$48*IF(AND(Time!J17&gt;=Time!$F$11,Time!J17&lt;8),Inputs!$F$191,0)</f>
        <v>0</v>
      </c>
      <c r="K17" s="11" t="n">
        <f aca="false">Inputs!$F$48*IF(AND(Time!K17&gt;=Time!$F$11,Time!K17&lt;8),Inputs!$F$191,0)</f>
        <v>0</v>
      </c>
      <c r="L17" s="11" t="n">
        <f aca="false">Inputs!$F$48*IF(AND(Time!L17&gt;=Time!$F$11,Time!L17&lt;8),Inputs!$F$191,0)</f>
        <v>0</v>
      </c>
      <c r="M17" s="11" t="n">
        <f aca="false">Inputs!$F$48*IF(AND(Time!M17&gt;=Time!$F$11,Time!M17&lt;8),Inputs!$F$191,0)</f>
        <v>0</v>
      </c>
      <c r="N17" s="11" t="n">
        <f aca="false">Inputs!$F$48*IF(AND(Time!N17&gt;=Time!$F$11,Time!N17&lt;8),Inputs!$F$191,0)</f>
        <v>0</v>
      </c>
      <c r="O17" s="11" t="n">
        <f aca="false">Inputs!$F$48*IF(AND(Time!O17&gt;=Time!$F$11,Time!O17&lt;8),Inputs!$F$191,0)</f>
        <v>0</v>
      </c>
      <c r="P17" s="11" t="n">
        <f aca="false">Inputs!$F$48*IF(AND(Time!P17&gt;=Time!$F$11,Time!P17&lt;8),Inputs!$F$191,0)</f>
        <v>0</v>
      </c>
      <c r="Q17" s="11" t="n">
        <f aca="false">Inputs!$F$48*IF(AND(Time!Q17&gt;=Time!$F$11,Time!Q17&lt;8),Inputs!$F$191,0)</f>
        <v>0</v>
      </c>
      <c r="R17" s="11" t="n">
        <f aca="false">Inputs!$F$48*IF(AND(Time!R17&gt;=Time!$F$11,Time!R17&lt;8),Inputs!$F$191,0)</f>
        <v>0</v>
      </c>
      <c r="S17" s="11" t="n">
        <f aca="false">Inputs!$F$48*IF(AND(Time!S17&gt;=Time!$F$11,Time!S17&lt;8),Inputs!$F$191,0)</f>
        <v>0</v>
      </c>
      <c r="T17" s="11" t="n">
        <f aca="false">Inputs!$F$48*IF(AND(Time!T17&gt;=Time!$F$11,Time!T17&lt;8),Inputs!$F$191,0)</f>
        <v>0</v>
      </c>
      <c r="U17" s="11" t="n">
        <f aca="false">Inputs!$F$48*IF(AND(Time!U17&gt;=Time!$F$11,Time!U17&lt;8),Inputs!$F$191,0)</f>
        <v>0</v>
      </c>
      <c r="V17" s="11" t="n">
        <f aca="false">Inputs!$F$48*IF(AND(Time!V17&gt;=Time!$F$11,Time!V17&lt;8),Inputs!$F$191,0)</f>
        <v>0</v>
      </c>
      <c r="W17" s="11" t="n">
        <f aca="false">Inputs!$F$48*IF(AND(Time!W17&gt;=Time!$F$11,Time!W17&lt;8),Inputs!$F$191,0)</f>
        <v>0</v>
      </c>
      <c r="X17" s="11" t="n">
        <f aca="false">Inputs!$F$48*IF(AND(Time!X17&gt;=Time!$F$11,Time!X17&lt;8),Inputs!$F$191,0)</f>
        <v>0</v>
      </c>
      <c r="Y17" s="11" t="n">
        <f aca="false">Inputs!$F$48*IF(AND(Time!Y17&gt;=Time!$F$11,Time!Y17&lt;8),Inputs!$F$191,0)</f>
        <v>0</v>
      </c>
      <c r="Z17" s="11" t="n">
        <f aca="false">Inputs!$F$48*IF(AND(Time!Z17&gt;=Time!$F$11,Time!Z17&lt;8),Inputs!$F$191,0)</f>
        <v>0</v>
      </c>
      <c r="AA17" s="11" t="n">
        <f aca="false">Inputs!$F$48*IF(AND(Time!AA17&gt;=Time!$F$11,Time!AA17&lt;8),Inputs!$F$191,0)</f>
        <v>0</v>
      </c>
      <c r="AB17" s="11" t="n">
        <f aca="false">Inputs!$F$48*IF(AND(Time!AB17&gt;=Time!$F$11,Time!AB17&lt;8),Inputs!$F$191,0)</f>
        <v>0</v>
      </c>
      <c r="AC17" s="11" t="n">
        <f aca="false">Inputs!$F$48*IF(AND(Time!AC17&gt;=Time!$F$11,Time!AC17&lt;8),Inputs!$F$191,0)</f>
        <v>0</v>
      </c>
      <c r="AD17" s="11" t="n">
        <f aca="false">Inputs!$F$48*IF(AND(Time!AD17&gt;=Time!$F$11,Time!AD17&lt;8),Inputs!$F$191,0)</f>
        <v>0</v>
      </c>
      <c r="AE17" s="11" t="n">
        <f aca="false">Inputs!$F$48*IF(AND(Time!AE17&gt;=Time!$F$11,Time!AE17&lt;8),Inputs!$F$191,0)</f>
        <v>0</v>
      </c>
      <c r="AF17" s="11" t="n">
        <f aca="false">Inputs!$F$48*IF(AND(Time!AF17&gt;=Time!$F$11,Time!AF17&lt;8),Inputs!$F$191,0)</f>
        <v>0</v>
      </c>
      <c r="AG17" s="11" t="n">
        <f aca="false">Inputs!$F$48*IF(AND(Time!AG17&gt;=Time!$F$11,Time!AG17&lt;8),Inputs!$F$191,0)</f>
        <v>0</v>
      </c>
      <c r="AH17" s="11" t="n">
        <f aca="false">Inputs!$F$48*IF(AND(Time!AH17&gt;=Time!$F$11,Time!AH17&lt;8),Inputs!$F$191,0)</f>
        <v>0</v>
      </c>
      <c r="AI17" s="11" t="n">
        <f aca="false">Inputs!$F$48*IF(AND(Time!AI17&gt;=Time!$F$11,Time!AI17&lt;8),Inputs!$F$191,0)</f>
        <v>0</v>
      </c>
      <c r="AJ17" s="11" t="n">
        <f aca="false">Inputs!$F$48*IF(AND(Time!AJ17&gt;=Time!$F$11,Time!AJ17&lt;8),Inputs!$F$191,0)</f>
        <v>0</v>
      </c>
      <c r="AK17" s="11" t="n">
        <f aca="false">Inputs!$F$48*IF(AND(Time!AK17&gt;=Time!$F$11,Time!AK17&lt;8),Inputs!$F$191,0)</f>
        <v>0</v>
      </c>
      <c r="AL17" s="11" t="n">
        <f aca="false">Inputs!$F$48*IF(AND(Time!AL17&gt;=Time!$F$11,Time!AL17&lt;8),Inputs!$F$191,0)</f>
        <v>0</v>
      </c>
      <c r="AM17" s="11" t="n">
        <f aca="false">Inputs!$F$48*IF(AND(Time!AM17&gt;=Time!$F$11,Time!AM17&lt;8),Inputs!$F$191,0)</f>
        <v>0</v>
      </c>
      <c r="AN17" s="11" t="n">
        <f aca="false">Inputs!$F$48*IF(AND(Time!AN17&gt;=Time!$F$11,Time!AN17&lt;8),Inputs!$F$191,0)</f>
        <v>0</v>
      </c>
      <c r="AO17" s="11" t="n">
        <f aca="false">Inputs!$F$48*IF(AND(Time!AO17&gt;=Time!$F$11,Time!AO17&lt;8),Inputs!$F$191,0)</f>
        <v>0</v>
      </c>
      <c r="AP17" s="11" t="n">
        <f aca="false">Inputs!$F$48*IF(AND(Time!AP17&gt;=Time!$F$11,Time!AP17&lt;8),Inputs!$F$191,0)</f>
        <v>0</v>
      </c>
      <c r="AQ17" s="11" t="n">
        <f aca="false">Inputs!$F$48*IF(AND(Time!AQ17&gt;=Time!$F$11,Time!AQ17&lt;8),Inputs!$F$191,0)</f>
        <v>0</v>
      </c>
      <c r="AR17" s="11" t="n">
        <f aca="false">Inputs!$F$48*IF(AND(Time!AR17&gt;=Time!$F$11,Time!AR17&lt;8),Inputs!$F$191,0)</f>
        <v>0</v>
      </c>
      <c r="AS17" s="11" t="n">
        <f aca="false">Inputs!$F$48*IF(AND(Time!AS17&gt;=Time!$F$11,Time!AS17&lt;8),Inputs!$F$191,0)</f>
        <v>0</v>
      </c>
      <c r="AT17" s="11" t="n">
        <f aca="false">Inputs!$F$48*IF(AND(Time!AT17&gt;=Time!$F$11,Time!AT17&lt;8),Inputs!$F$191,0)</f>
        <v>0</v>
      </c>
      <c r="AU17" s="11" t="n">
        <f aca="false">Inputs!$F$48*IF(AND(Time!AU17&gt;=Time!$F$11,Time!AU17&lt;8),Inputs!$F$191,0)</f>
        <v>0</v>
      </c>
      <c r="AV17" s="11" t="n">
        <f aca="false">Inputs!$F$48*IF(AND(Time!AV17&gt;=Time!$F$11,Time!AV17&lt;8),Inputs!$F$191,0)</f>
        <v>0</v>
      </c>
      <c r="AW17" s="11" t="n">
        <f aca="false">Inputs!$F$48*IF(AND(Time!AW17&gt;=Time!$F$11,Time!AW17&lt;8),Inputs!$F$191,0)</f>
        <v>0</v>
      </c>
      <c r="AX17" s="11" t="n">
        <f aca="false">Inputs!$F$48*IF(AND(Time!AX17&gt;=Time!$F$11,Time!AX17&lt;8),Inputs!$F$191,0)</f>
        <v>0</v>
      </c>
      <c r="AY17" s="11" t="n">
        <f aca="false">Inputs!$F$48*IF(AND(Time!AY17&gt;=Time!$F$11,Time!AY17&lt;8),Inputs!$F$191,0)</f>
        <v>0</v>
      </c>
      <c r="AZ17" s="11" t="n">
        <f aca="false">Inputs!$F$48*IF(AND(Time!AZ17&gt;=Time!$F$11,Time!AZ17&lt;8),Inputs!$F$191,0)</f>
        <v>0</v>
      </c>
      <c r="BA17" s="11" t="n">
        <f aca="false">Inputs!$F$48*IF(AND(Time!BA17&gt;=Time!$F$11,Time!BA17&lt;8),Inputs!$F$191,0)</f>
        <v>0</v>
      </c>
      <c r="BB17" s="11" t="n">
        <f aca="false">Inputs!$F$48*IF(AND(Time!BB17&gt;=Time!$F$11,Time!BB17&lt;8),Inputs!$F$191,0)</f>
        <v>0</v>
      </c>
      <c r="BC17" s="11" t="n">
        <f aca="false">Inputs!$F$48*IF(AND(Time!BC17&gt;=Time!$F$11,Time!BC17&lt;8),Inputs!$F$191,0)</f>
        <v>0</v>
      </c>
      <c r="BD17" s="11" t="n">
        <f aca="false">Inputs!$F$48*IF(AND(Time!BD17&gt;=Time!$F$11,Time!BD17&lt;8),Inputs!$F$191,0)</f>
        <v>0</v>
      </c>
      <c r="BE17" s="11" t="n">
        <f aca="false">Inputs!$F$48*IF(AND(Time!BE17&gt;=Time!$F$11,Time!BE17&lt;8),Inputs!$F$191,0)</f>
        <v>0</v>
      </c>
      <c r="BF17" s="11" t="n">
        <f aca="false">Inputs!$F$48*IF(AND(Time!BF17&gt;=Time!$F$11,Time!BF17&lt;8),Inputs!$F$191,0)</f>
        <v>0</v>
      </c>
      <c r="BG17" s="11" t="n">
        <f aca="false">Inputs!$F$48*IF(AND(Time!BG17&gt;=Time!$F$11,Time!BG17&lt;8),Inputs!$F$191,0)</f>
        <v>0</v>
      </c>
      <c r="BH17" s="11" t="n">
        <f aca="false">Inputs!$F$48*IF(AND(Time!BH17&gt;=Time!$F$11,Time!BH17&lt;8),Inputs!$F$191,0)</f>
        <v>0</v>
      </c>
      <c r="BI17" s="11" t="n">
        <f aca="false">Inputs!$F$48*IF(AND(Time!BI17&gt;=Time!$F$11,Time!BI17&lt;8),Inputs!$F$191,0)</f>
        <v>0</v>
      </c>
      <c r="BJ17" s="11" t="n">
        <f aca="false">Inputs!$F$48*IF(AND(Time!BJ17&gt;=Time!$F$11,Time!BJ17&lt;8),Inputs!$F$191,0)</f>
        <v>0</v>
      </c>
      <c r="BK17" s="11" t="n">
        <f aca="false">Inputs!$F$48*IF(AND(Time!BK17&gt;=Time!$F$11,Time!BK17&lt;8),Inputs!$F$191,0)</f>
        <v>0</v>
      </c>
      <c r="BL17" s="11" t="n">
        <f aca="false">Inputs!$F$48*IF(AND(Time!BL17&gt;=Time!$F$11,Time!BL17&lt;8),Inputs!$F$191,0)</f>
        <v>0</v>
      </c>
      <c r="BM17" s="11" t="n">
        <f aca="false">Inputs!$F$48*IF(AND(Time!BM17&gt;=Time!$F$11,Time!BM17&lt;8),Inputs!$F$191,0)</f>
        <v>0</v>
      </c>
      <c r="BN17" s="11" t="n">
        <f aca="false">Inputs!$F$48*IF(AND(Time!BN17&gt;=Time!$F$11,Time!BN17&lt;8),Inputs!$F$191,0)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346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724</v>
      </c>
      <c r="E7" s="0" t="s">
        <v>149</v>
      </c>
      <c r="G7" s="11" t="n">
        <f aca="false">SUM(J7:BN7)</f>
        <v>2300.06059252034</v>
      </c>
      <c r="J7" s="11" t="n">
        <f aca="false">Operations!J80-Tax!J27-Operations!J92-Reserves!J7+Operations!J75+Operations!J93</f>
        <v>0</v>
      </c>
      <c r="K7" s="11" t="n">
        <f aca="false">Operations!K80-Tax!K27-Operations!K92-Reserves!K7+Operations!K75+Operations!K93</f>
        <v>0</v>
      </c>
      <c r="L7" s="11" t="n">
        <f aca="false">Operations!L80-Tax!L27-Operations!L92-Reserves!L7+Operations!L75+Operations!L93</f>
        <v>0</v>
      </c>
      <c r="M7" s="11" t="n">
        <f aca="false">Operations!M80-Tax!M27-Operations!M92-Reserves!M7+Operations!M75+Operations!M93</f>
        <v>0</v>
      </c>
      <c r="N7" s="11" t="n">
        <f aca="false">Operations!N80-Tax!N27-Operations!N92-Reserves!N7+Operations!N75+Operations!N93</f>
        <v>0</v>
      </c>
      <c r="O7" s="11" t="n">
        <f aca="false">Operations!O80-Tax!O27-Operations!O92-Reserves!O7+Operations!O75+Operations!O93</f>
        <v>1.94526082211549</v>
      </c>
      <c r="P7" s="11" t="n">
        <f aca="false">Operations!P80-Tax!P27-Operations!P92-Reserves!P7+Operations!P75+Operations!P93</f>
        <v>50.5587953236546</v>
      </c>
      <c r="Q7" s="11" t="n">
        <f aca="false">Operations!Q80-Tax!Q27-Operations!Q92-Reserves!Q7+Operations!Q75+Operations!Q93</f>
        <v>50.442219274486</v>
      </c>
      <c r="R7" s="11" t="n">
        <f aca="false">Operations!R80-Tax!R27-Operations!R92-Reserves!R7+Operations!R75+Operations!R93</f>
        <v>51.0277336692931</v>
      </c>
      <c r="S7" s="11" t="n">
        <f aca="false">Operations!S80-Tax!S27-Operations!S92-Reserves!S7+Operations!S75+Operations!S93</f>
        <v>50.6712762345651</v>
      </c>
      <c r="T7" s="11" t="n">
        <f aca="false">Operations!T80-Tax!T27-Operations!T92-Reserves!T7+Operations!T75+Operations!T93</f>
        <v>51.2552214181002</v>
      </c>
      <c r="U7" s="11" t="n">
        <f aca="false">Operations!U80-Tax!U27-Operations!U92-Reserves!U7+Operations!U75+Operations!U93</f>
        <v>50.8793760801711</v>
      </c>
      <c r="V7" s="11" t="n">
        <f aca="false">Operations!V80-Tax!V27-Operations!V92-Reserves!V7+Operations!V75+Operations!V93</f>
        <v>50.5748110157739</v>
      </c>
      <c r="W7" s="11" t="n">
        <f aca="false">Operations!W80-Tax!W27-Operations!W92-Reserves!W7+Operations!W75+Operations!W93</f>
        <v>50.4901031193111</v>
      </c>
      <c r="X7" s="11" t="n">
        <f aca="false">Operations!X80-Tax!X27-Operations!X92-Reserves!X7+Operations!X75+Operations!X93</f>
        <v>49.9232443131463</v>
      </c>
      <c r="Y7" s="11" t="n">
        <f aca="false">Operations!Y80-Tax!Y27-Operations!Y92-Reserves!Y7+Operations!Y75+Operations!Y93</f>
        <v>49.6795426257345</v>
      </c>
      <c r="Z7" s="11" t="n">
        <f aca="false">Operations!Z80-Tax!Z27-Operations!Z92-Reserves!Z7+Operations!Z75+Operations!Z93</f>
        <v>50.0400854120507</v>
      </c>
      <c r="AA7" s="11" t="n">
        <f aca="false">Operations!AA80-Tax!AA27-Operations!AA92-Reserves!AA7+Operations!AA75+Operations!AA93</f>
        <v>49.677020213812</v>
      </c>
      <c r="AB7" s="11" t="n">
        <f aca="false">Operations!AB80-Tax!AB27-Operations!AB92-Reserves!AB7+Operations!AB75+Operations!AB93</f>
        <v>50.2787865425378</v>
      </c>
      <c r="AC7" s="11" t="n">
        <f aca="false">Operations!AC80-Tax!AC27-Operations!AC92-Reserves!AC7+Operations!AC75+Operations!AC93</f>
        <v>49.6077702772062</v>
      </c>
      <c r="AD7" s="11" t="n">
        <f aca="false">Operations!AD80-Tax!AD27-Operations!AD92-Reserves!AD7+Operations!AD75+Operations!AD93</f>
        <v>49.9461249695239</v>
      </c>
      <c r="AE7" s="11" t="n">
        <f aca="false">Operations!AE80-Tax!AE27-Operations!AE92-Reserves!AE7+Operations!AE75+Operations!AE93</f>
        <v>49.9673885349949</v>
      </c>
      <c r="AF7" s="11" t="n">
        <f aca="false">Operations!AF80-Tax!AF27-Operations!AF92-Reserves!AF7+Operations!AF75+Operations!AF93</f>
        <v>51.7546549317302</v>
      </c>
      <c r="AG7" s="11" t="n">
        <f aca="false">Operations!AG80-Tax!AG27-Operations!AG92-Reserves!AG7+Operations!AG75+Operations!AG93</f>
        <v>51.8814766609504</v>
      </c>
      <c r="AH7" s="11" t="n">
        <f aca="false">Operations!AH80-Tax!AH27-Operations!AH92-Reserves!AH7+Operations!AH75+Operations!AH93</f>
        <v>52.5031564352454</v>
      </c>
      <c r="AI7" s="11" t="n">
        <f aca="false">Operations!AI80-Tax!AI27-Operations!AI92-Reserves!AI7+Operations!AI75+Operations!AI93</f>
        <v>52.135038363419</v>
      </c>
      <c r="AJ7" s="11" t="n">
        <f aca="false">Operations!AJ80-Tax!AJ27-Operations!AJ92-Reserves!AJ7+Operations!AJ75+Operations!AJ93</f>
        <v>52.7579793908153</v>
      </c>
      <c r="AK7" s="11" t="n">
        <f aca="false">Operations!AK80-Tax!AK27-Operations!AK92-Reserves!AK7+Operations!AK75+Operations!AK93</f>
        <v>52.3807507136761</v>
      </c>
      <c r="AL7" s="11" t="n">
        <f aca="false">Operations!AL80-Tax!AL27-Operations!AL92-Reserves!AL7+Operations!AL75+Operations!AL93</f>
        <v>52.1278011522673</v>
      </c>
      <c r="AM7" s="11" t="n">
        <f aca="false">Operations!AM80-Tax!AM27-Operations!AM92-Reserves!AM7+Operations!AM75+Operations!AM93</f>
        <v>52.0479460998276</v>
      </c>
      <c r="AN7" s="11" t="n">
        <f aca="false">Operations!AN80-Tax!AN27-Operations!AN92-Reserves!AN7+Operations!AN75+Operations!AN93</f>
        <v>42.9384111226795</v>
      </c>
      <c r="AO7" s="11" t="n">
        <f aca="false">Operations!AO80-Tax!AO27-Operations!AO92-Reserves!AO7+Operations!AO75+Operations!AO93</f>
        <v>41.8354893001395</v>
      </c>
      <c r="AP7" s="11" t="n">
        <f aca="false">Operations!AP80-Tax!AP27-Operations!AP92-Reserves!AP7+Operations!AP75+Operations!AP93</f>
        <v>41.8553230552979</v>
      </c>
      <c r="AQ7" s="11" t="n">
        <f aca="false">Operations!AQ80-Tax!AQ27-Operations!AQ92-Reserves!AQ7+Operations!AQ75+Operations!AQ93</f>
        <v>41.4261240282784</v>
      </c>
      <c r="AR7" s="11" t="n">
        <f aca="false">Operations!AR80-Tax!AR27-Operations!AR92-Reserves!AR7+Operations!AR75+Operations!AR93</f>
        <v>42.0440281859729</v>
      </c>
      <c r="AS7" s="11" t="n">
        <f aca="false">Operations!AS80-Tax!AS27-Operations!AS92-Reserves!AS7+Operations!AS75+Operations!AS93</f>
        <v>41.4778377035045</v>
      </c>
      <c r="AT7" s="11" t="n">
        <f aca="false">Operations!AT80-Tax!AT27-Operations!AT92-Reserves!AT7+Operations!AT75+Operations!AT93</f>
        <v>47.0900929500161</v>
      </c>
      <c r="AU7" s="11" t="n">
        <f aca="false">Operations!AU80-Tax!AU27-Operations!AU92-Reserves!AU7+Operations!AU75+Operations!AU93</f>
        <v>42.4479272064973</v>
      </c>
      <c r="AV7" s="11" t="n">
        <f aca="false">Operations!AV80-Tax!AV27-Operations!AV92-Reserves!AV7+Operations!AV75+Operations!AV93</f>
        <v>43.68305656927</v>
      </c>
      <c r="AW7" s="11" t="n">
        <f aca="false">Operations!AW80-Tax!AW27-Operations!AW92-Reserves!AW7+Operations!AW75+Operations!AW93</f>
        <v>43.7899850073499</v>
      </c>
      <c r="AX7" s="11" t="n">
        <f aca="false">Operations!AX80-Tax!AX27-Operations!AX92-Reserves!AX7+Operations!AX75+Operations!AX93</f>
        <v>44.4351922012715</v>
      </c>
      <c r="AY7" s="11" t="n">
        <f aca="false">Operations!AY80-Tax!AY27-Operations!AY92-Reserves!AY7+Operations!AY75+Operations!AY93</f>
        <v>43.9968593767661</v>
      </c>
      <c r="AZ7" s="11" t="n">
        <f aca="false">Operations!AZ80-Tax!AZ27-Operations!AZ92-Reserves!AZ7+Operations!AZ75+Operations!AZ93</f>
        <v>44.6373201088508</v>
      </c>
      <c r="BA7" s="11" t="n">
        <f aca="false">Operations!BA80-Tax!BA27-Operations!BA92-Reserves!BA7+Operations!BA75+Operations!BA93</f>
        <v>44.2498663359626</v>
      </c>
      <c r="BB7" s="11" t="n">
        <f aca="false">Operations!BB80-Tax!BB27-Operations!BB92-Reserves!BB7+Operations!BB75+Operations!BB93</f>
        <v>45.5723865713941</v>
      </c>
      <c r="BC7" s="11" t="n">
        <f aca="false">Operations!BC80-Tax!BC27-Operations!BC92-Reserves!BC7+Operations!BC75+Operations!BC93</f>
        <v>42.2046416372894</v>
      </c>
      <c r="BD7" s="11" t="n">
        <f aca="false">Operations!BD80-Tax!BD27-Operations!BD92-Reserves!BD7+Operations!BD75+Operations!BD93</f>
        <v>36.8346013740858</v>
      </c>
      <c r="BE7" s="11" t="n">
        <f aca="false">Operations!BE80-Tax!BE27-Operations!BE92-Reserves!BE7+Operations!BE75+Operations!BE93</f>
        <v>36.6734801635497</v>
      </c>
      <c r="BF7" s="11" t="n">
        <f aca="false">Operations!BF80-Tax!BF27-Operations!BF92-Reserves!BF7+Operations!BF75+Operations!BF93</f>
        <v>37.3473797915072</v>
      </c>
      <c r="BG7" s="11" t="n">
        <f aca="false">Operations!BG80-Tax!BG27-Operations!BG92-Reserves!BG7+Operations!BG75+Operations!BG93</f>
        <v>36.8991553832777</v>
      </c>
      <c r="BH7" s="11" t="n">
        <f aca="false">Operations!BH80-Tax!BH27-Operations!BH92-Reserves!BH7+Operations!BH75+Operations!BH93</f>
        <v>37.5640163055069</v>
      </c>
      <c r="BI7" s="11" t="n">
        <f aca="false">Operations!BI80-Tax!BI27-Operations!BI92-Reserves!BI7+Operations!BI75+Operations!BI93</f>
        <v>36.9795350865903</v>
      </c>
      <c r="BJ7" s="11" t="n">
        <f aca="false">Operations!BJ80-Tax!BJ27-Operations!BJ92-Reserves!BJ7+Operations!BJ75+Operations!BJ93</f>
        <v>43.7701300868403</v>
      </c>
      <c r="BK7" s="11" t="n">
        <f aca="false">Operations!BK80-Tax!BK27-Operations!BK92-Reserves!BK7+Operations!BK75+Operations!BK93</f>
        <v>38.3037251186816</v>
      </c>
      <c r="BL7" s="11" t="n">
        <f aca="false">Operations!BL80-Tax!BL27-Operations!BL92-Reserves!BL7+Operations!BL75+Operations!BL93</f>
        <v>40.2676816601926</v>
      </c>
      <c r="BM7" s="11" t="n">
        <f aca="false">Operations!BM80-Tax!BM27-Operations!BM92-Reserves!BM7+Operations!BM75+Operations!BM93</f>
        <v>37.1827825951588</v>
      </c>
      <c r="BN7" s="11" t="n">
        <f aca="false">Operations!BN80-Tax!BN27-Operations!BN92-Reserves!BN7+Operations!BN75+Operations!BN93</f>
        <v>0</v>
      </c>
    </row>
    <row r="8" customFormat="false" ht="15" hidden="false" customHeight="false" outlineLevel="0" collapsed="false">
      <c r="D8" s="0" t="s">
        <v>725</v>
      </c>
      <c r="E8" s="0" t="s">
        <v>149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1.94526082211437</v>
      </c>
      <c r="Q8" s="11" t="n">
        <f aca="false">IF(Time!Q29=1,INDEX(Funding!$J$54:$BJ$54,1,Time!$F$13),0)+P30+P42</f>
        <v>0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726</v>
      </c>
      <c r="E9" s="0" t="s">
        <v>149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1.94526082211549</v>
      </c>
      <c r="P9" s="11" t="n">
        <f aca="false">P7+P8</f>
        <v>52.504056145769</v>
      </c>
      <c r="Q9" s="11" t="n">
        <f aca="false">Q7+Q8</f>
        <v>50.442219274486</v>
      </c>
      <c r="R9" s="11" t="n">
        <f aca="false">R7+R8</f>
        <v>51.0277336692931</v>
      </c>
      <c r="S9" s="11" t="n">
        <f aca="false">S7+S8</f>
        <v>50.6712762345651</v>
      </c>
      <c r="T9" s="11" t="n">
        <f aca="false">T7+T8</f>
        <v>51.2552214181002</v>
      </c>
      <c r="U9" s="11" t="n">
        <f aca="false">U7+U8</f>
        <v>50.8793760801711</v>
      </c>
      <c r="V9" s="11" t="n">
        <f aca="false">V7+V8</f>
        <v>50.5748110157739</v>
      </c>
      <c r="W9" s="11" t="n">
        <f aca="false">W7+W8</f>
        <v>50.4901031193111</v>
      </c>
      <c r="X9" s="11" t="n">
        <f aca="false">X7+X8</f>
        <v>49.9232443131463</v>
      </c>
      <c r="Y9" s="11" t="n">
        <f aca="false">Y7+Y8</f>
        <v>49.6795426257345</v>
      </c>
      <c r="Z9" s="11" t="n">
        <f aca="false">Z7+Z8</f>
        <v>50.0400854120507</v>
      </c>
      <c r="AA9" s="11" t="n">
        <f aca="false">AA7+AA8</f>
        <v>49.677020213812</v>
      </c>
      <c r="AB9" s="11" t="n">
        <f aca="false">AB7+AB8</f>
        <v>50.2787865425378</v>
      </c>
      <c r="AC9" s="11" t="n">
        <f aca="false">AC7+AC8</f>
        <v>49.6077702772062</v>
      </c>
      <c r="AD9" s="11" t="n">
        <f aca="false">AD7+AD8</f>
        <v>49.9461249695239</v>
      </c>
      <c r="AE9" s="11" t="n">
        <f aca="false">AE7+AE8</f>
        <v>49.9673885349949</v>
      </c>
      <c r="AF9" s="11" t="n">
        <f aca="false">AF7+AF8</f>
        <v>51.7546549317302</v>
      </c>
      <c r="AG9" s="11" t="n">
        <f aca="false">AG7+AG8</f>
        <v>51.8814766609504</v>
      </c>
      <c r="AH9" s="11" t="n">
        <f aca="false">AH7+AH8</f>
        <v>52.5031564352454</v>
      </c>
      <c r="AI9" s="11" t="n">
        <f aca="false">AI7+AI8</f>
        <v>52.135038363419</v>
      </c>
      <c r="AJ9" s="11" t="n">
        <f aca="false">AJ7+AJ8</f>
        <v>52.7579793908153</v>
      </c>
      <c r="AK9" s="11" t="n">
        <f aca="false">AK7+AK8</f>
        <v>52.3807507136761</v>
      </c>
      <c r="AL9" s="11" t="n">
        <f aca="false">AL7+AL8</f>
        <v>52.1278011522673</v>
      </c>
      <c r="AM9" s="11" t="n">
        <f aca="false">AM7+AM8</f>
        <v>52.0479460998276</v>
      </c>
      <c r="AN9" s="11" t="n">
        <f aca="false">AN7+AN8</f>
        <v>42.9384111226795</v>
      </c>
      <c r="AO9" s="11" t="n">
        <f aca="false">AO7+AO8</f>
        <v>41.8354893001395</v>
      </c>
      <c r="AP9" s="11" t="n">
        <f aca="false">AP7+AP8</f>
        <v>41.8553230552979</v>
      </c>
      <c r="AQ9" s="11" t="n">
        <f aca="false">AQ7+AQ8</f>
        <v>41.4261240282784</v>
      </c>
      <c r="AR9" s="11" t="n">
        <f aca="false">AR7+AR8</f>
        <v>42.0440281859729</v>
      </c>
      <c r="AS9" s="11" t="n">
        <f aca="false">AS7+AS8</f>
        <v>41.4778377035045</v>
      </c>
      <c r="AT9" s="11" t="n">
        <f aca="false">AT7+AT8</f>
        <v>47.0900929500161</v>
      </c>
      <c r="AU9" s="11" t="n">
        <f aca="false">AU7+AU8</f>
        <v>42.4479272064973</v>
      </c>
      <c r="AV9" s="11" t="n">
        <f aca="false">AV7+AV8</f>
        <v>43.68305656927</v>
      </c>
      <c r="AW9" s="11" t="n">
        <f aca="false">AW7+AW8</f>
        <v>43.7899850073499</v>
      </c>
      <c r="AX9" s="11" t="n">
        <f aca="false">AX7+AX8</f>
        <v>44.4351922012715</v>
      </c>
      <c r="AY9" s="11" t="n">
        <f aca="false">AY7+AY8</f>
        <v>43.9968593767661</v>
      </c>
      <c r="AZ9" s="11" t="n">
        <f aca="false">AZ7+AZ8</f>
        <v>44.6373201088508</v>
      </c>
      <c r="BA9" s="11" t="n">
        <f aca="false">BA7+BA8</f>
        <v>44.2498663359626</v>
      </c>
      <c r="BB9" s="11" t="n">
        <f aca="false">BB7+BB8</f>
        <v>45.5723865713941</v>
      </c>
      <c r="BC9" s="11" t="n">
        <f aca="false">BC7+BC8</f>
        <v>42.2046416372894</v>
      </c>
      <c r="BD9" s="11" t="n">
        <f aca="false">BD7+BD8</f>
        <v>36.8346013740858</v>
      </c>
      <c r="BE9" s="11" t="n">
        <f aca="false">BE7+BE8</f>
        <v>36.6734801635497</v>
      </c>
      <c r="BF9" s="11" t="n">
        <f aca="false">BF7+BF8</f>
        <v>37.3473797915072</v>
      </c>
      <c r="BG9" s="11" t="n">
        <f aca="false">BG7+BG8</f>
        <v>36.8991553832777</v>
      </c>
      <c r="BH9" s="11" t="n">
        <f aca="false">BH7+BH8</f>
        <v>37.5640163055069</v>
      </c>
      <c r="BI9" s="11" t="n">
        <f aca="false">BI7+BI8</f>
        <v>36.9795350865903</v>
      </c>
      <c r="BJ9" s="11" t="n">
        <f aca="false">BJ7+BJ8</f>
        <v>43.7701300868403</v>
      </c>
      <c r="BK9" s="11" t="n">
        <f aca="false">BK7+BK8</f>
        <v>38.3037251186816</v>
      </c>
      <c r="BL9" s="11" t="n">
        <f aca="false">BL7+BL8</f>
        <v>40.2676816601926</v>
      </c>
      <c r="BM9" s="11" t="n">
        <f aca="false">BM7+BM8</f>
        <v>37.1827825951588</v>
      </c>
      <c r="BN9" s="11" t="n">
        <f aca="false">BN7+BN8</f>
        <v>0</v>
      </c>
    </row>
    <row r="10" customFormat="false" ht="15" hidden="false" customHeight="false" outlineLevel="0" collapsed="false">
      <c r="D10" s="0" t="s">
        <v>727</v>
      </c>
      <c r="E10" s="0" t="s">
        <v>149</v>
      </c>
      <c r="G10" s="11" t="n">
        <f aca="false">SUM(J10:BN10)</f>
        <v>852.514903093961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37.2458954370965</v>
      </c>
      <c r="Q10" s="11" t="n">
        <f aca="false">Debt!Q121+Debt!Q117</f>
        <v>37.1570164551458</v>
      </c>
      <c r="R10" s="11" t="n">
        <f aca="false">Debt!R121+Debt!R117</f>
        <v>37.624785087678</v>
      </c>
      <c r="S10" s="11" t="n">
        <f aca="false">Debt!S121+Debt!S117</f>
        <v>37.333312492557</v>
      </c>
      <c r="T10" s="11" t="n">
        <f aca="false">Debt!T121+Debt!T117</f>
        <v>37.7512177817478</v>
      </c>
      <c r="U10" s="11" t="n">
        <f aca="false">Debt!U121+Debt!U117</f>
        <v>37.5706927548527</v>
      </c>
      <c r="V10" s="11" t="n">
        <f aca="false">Debt!V121+Debt!V117</f>
        <v>38.2879202351583</v>
      </c>
      <c r="W10" s="11" t="n">
        <f aca="false">Debt!W121+Debt!W117</f>
        <v>38.0232274258698</v>
      </c>
      <c r="X10" s="11" t="n">
        <f aca="false">Debt!X121+Debt!X117</f>
        <v>36.9267950745894</v>
      </c>
      <c r="Y10" s="11" t="n">
        <f aca="false">Debt!Y121+Debt!Y117</f>
        <v>36.5703920445452</v>
      </c>
      <c r="Z10" s="11" t="n">
        <f aca="false">Debt!Z121+Debt!Z117</f>
        <v>36.8713631085141</v>
      </c>
      <c r="AA10" s="11" t="n">
        <f aca="false">Debt!AA121+Debt!AA117</f>
        <v>36.5742873548545</v>
      </c>
      <c r="AB10" s="11" t="n">
        <f aca="false">Debt!AB121+Debt!AB117</f>
        <v>36.3422576576055</v>
      </c>
      <c r="AC10" s="11" t="n">
        <f aca="false">Debt!AC121+Debt!AC117</f>
        <v>35.3940804928819</v>
      </c>
      <c r="AD10" s="11" t="n">
        <f aca="false">Debt!AD121+Debt!AD117</f>
        <v>35.9516450952371</v>
      </c>
      <c r="AE10" s="11" t="n">
        <f aca="false">Debt!AE121+Debt!AE117</f>
        <v>35.0976056344532</v>
      </c>
      <c r="AF10" s="11" t="n">
        <f aca="false">Debt!AF121+Debt!AF117</f>
        <v>34.1419140064913</v>
      </c>
      <c r="AG10" s="11" t="n">
        <f aca="false">Debt!AG121+Debt!AG117</f>
        <v>32.4714062820932</v>
      </c>
      <c r="AH10" s="11" t="n">
        <f aca="false">Debt!AH121+Debt!AH117</f>
        <v>31.2309590495634</v>
      </c>
      <c r="AI10" s="11" t="n">
        <f aca="false">Debt!AI121+Debt!AI117</f>
        <v>28.9235853753228</v>
      </c>
      <c r="AJ10" s="11" t="n">
        <f aca="false">Debt!AJ121+Debt!AJ117</f>
        <v>26.6602548354676</v>
      </c>
      <c r="AK10" s="11" t="n">
        <f aca="false">Debt!AK121+Debt!AK117</f>
        <v>23.043032721089</v>
      </c>
      <c r="AL10" s="11" t="n">
        <f aca="false">Debt!AL121+Debt!AL117</f>
        <v>23.7140398353964</v>
      </c>
      <c r="AM10" s="11" t="n">
        <f aca="false">Debt!AM121+Debt!AM117</f>
        <v>23.5692918532781</v>
      </c>
      <c r="AN10" s="11" t="n">
        <f aca="false">Debt!AN121+Debt!AN117</f>
        <v>19.1320172548642</v>
      </c>
      <c r="AO10" s="11" t="n">
        <f aca="false">Debt!AO121+Debt!AO117</f>
        <v>18.9059077476081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728</v>
      </c>
      <c r="E11" s="0" t="s">
        <v>149</v>
      </c>
      <c r="G11" s="11" t="n">
        <f aca="false">SUM(J11:BN11)</f>
        <v>0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0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729</v>
      </c>
      <c r="E12" s="0" t="s">
        <v>149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730</v>
      </c>
      <c r="E13" s="0" t="s">
        <v>149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1.94526082211549</v>
      </c>
      <c r="P13" s="11" t="n">
        <f aca="false">MAX(0,P9-P10)</f>
        <v>15.2581607086725</v>
      </c>
      <c r="Q13" s="11" t="n">
        <f aca="false">MAX(0,Q9-Q10)</f>
        <v>13.2852028193402</v>
      </c>
      <c r="R13" s="11" t="n">
        <f aca="false">MAX(0,R9-R10)</f>
        <v>13.4029485816151</v>
      </c>
      <c r="S13" s="11" t="n">
        <f aca="false">MAX(0,S9-S10)</f>
        <v>13.3379637420081</v>
      </c>
      <c r="T13" s="11" t="n">
        <f aca="false">MAX(0,T9-T10)</f>
        <v>13.5040036363524</v>
      </c>
      <c r="U13" s="11" t="n">
        <f aca="false">MAX(0,U9-U10)</f>
        <v>13.3086833253184</v>
      </c>
      <c r="V13" s="11" t="n">
        <f aca="false">MAX(0,V9-V10)</f>
        <v>12.2868907806156</v>
      </c>
      <c r="W13" s="11" t="n">
        <f aca="false">MAX(0,W9-W10)</f>
        <v>12.4668756934413</v>
      </c>
      <c r="X13" s="11" t="n">
        <f aca="false">MAX(0,X9-X10)</f>
        <v>12.9964492385569</v>
      </c>
      <c r="Y13" s="11" t="n">
        <f aca="false">MAX(0,Y9-Y10)</f>
        <v>13.1091505811893</v>
      </c>
      <c r="Z13" s="11" t="n">
        <f aca="false">MAX(0,Z9-Z10)</f>
        <v>13.1687223035366</v>
      </c>
      <c r="AA13" s="11" t="n">
        <f aca="false">MAX(0,AA9-AA10)</f>
        <v>13.1027328589575</v>
      </c>
      <c r="AB13" s="11" t="n">
        <f aca="false">MAX(0,AB9-AB10)</f>
        <v>13.9365288849323</v>
      </c>
      <c r="AC13" s="11" t="n">
        <f aca="false">MAX(0,AC9-AC10)</f>
        <v>14.2136897843243</v>
      </c>
      <c r="AD13" s="11" t="n">
        <f aca="false">MAX(0,AD9-AD10)</f>
        <v>13.9944798742868</v>
      </c>
      <c r="AE13" s="11" t="n">
        <f aca="false">MAX(0,AE9-AE10)</f>
        <v>14.8697829005418</v>
      </c>
      <c r="AF13" s="11" t="n">
        <f aca="false">MAX(0,AF9-AF10)</f>
        <v>17.6127409252389</v>
      </c>
      <c r="AG13" s="11" t="n">
        <f aca="false">MAX(0,AG9-AG10)</f>
        <v>19.4100703788572</v>
      </c>
      <c r="AH13" s="11" t="n">
        <f aca="false">MAX(0,AH9-AH10)</f>
        <v>21.272197385682</v>
      </c>
      <c r="AI13" s="11" t="n">
        <f aca="false">MAX(0,AI9-AI10)</f>
        <v>23.2114529880962</v>
      </c>
      <c r="AJ13" s="11" t="n">
        <f aca="false">MAX(0,AJ9-AJ10)</f>
        <v>26.0977245553477</v>
      </c>
      <c r="AK13" s="11" t="n">
        <f aca="false">MAX(0,AK9-AK10)</f>
        <v>29.3377179925871</v>
      </c>
      <c r="AL13" s="11" t="n">
        <f aca="false">MAX(0,AL9-AL10)</f>
        <v>28.4137613168709</v>
      </c>
      <c r="AM13" s="11" t="n">
        <f aca="false">MAX(0,AM9-AM10)</f>
        <v>28.4786542465496</v>
      </c>
      <c r="AN13" s="11" t="n">
        <f aca="false">MAX(0,AN9-AN10)</f>
        <v>23.8063938678153</v>
      </c>
      <c r="AO13" s="11" t="n">
        <f aca="false">MAX(0,AO9-AO10)</f>
        <v>22.9295815525314</v>
      </c>
      <c r="AP13" s="11" t="n">
        <f aca="false">MAX(0,AP9-AP10)</f>
        <v>41.8553230552979</v>
      </c>
      <c r="AQ13" s="11" t="n">
        <f aca="false">MAX(0,AQ9-AQ10)</f>
        <v>41.4261240282784</v>
      </c>
      <c r="AR13" s="11" t="n">
        <f aca="false">MAX(0,AR9-AR10)</f>
        <v>42.0440281859729</v>
      </c>
      <c r="AS13" s="11" t="n">
        <f aca="false">MAX(0,AS9-AS10)</f>
        <v>41.4778377035045</v>
      </c>
      <c r="AT13" s="11" t="n">
        <f aca="false">MAX(0,AT9-AT10)</f>
        <v>47.0900929500161</v>
      </c>
      <c r="AU13" s="11" t="n">
        <f aca="false">MAX(0,AU9-AU10)</f>
        <v>42.4479272064973</v>
      </c>
      <c r="AV13" s="11" t="n">
        <f aca="false">MAX(0,AV9-AV10)</f>
        <v>43.68305656927</v>
      </c>
      <c r="AW13" s="11" t="n">
        <f aca="false">MAX(0,AW9-AW10)</f>
        <v>43.7899850073499</v>
      </c>
      <c r="AX13" s="11" t="n">
        <f aca="false">MAX(0,AX9-AX10)</f>
        <v>44.4351922012715</v>
      </c>
      <c r="AY13" s="11" t="n">
        <f aca="false">MAX(0,AY9-AY10)</f>
        <v>43.9968593767661</v>
      </c>
      <c r="AZ13" s="11" t="n">
        <f aca="false">MAX(0,AZ9-AZ10)</f>
        <v>44.6373201088508</v>
      </c>
      <c r="BA13" s="11" t="n">
        <f aca="false">MAX(0,BA9-BA10)</f>
        <v>44.2498663359626</v>
      </c>
      <c r="BB13" s="11" t="n">
        <f aca="false">MAX(0,BB9-BB10)</f>
        <v>45.5723865713941</v>
      </c>
      <c r="BC13" s="11" t="n">
        <f aca="false">MAX(0,BC9-BC10)</f>
        <v>42.2046416372894</v>
      </c>
      <c r="BD13" s="11" t="n">
        <f aca="false">MAX(0,BD9-BD10)</f>
        <v>36.8346013740858</v>
      </c>
      <c r="BE13" s="11" t="n">
        <f aca="false">MAX(0,BE9-BE10)</f>
        <v>36.6734801635497</v>
      </c>
      <c r="BF13" s="11" t="n">
        <f aca="false">MAX(0,BF9-BF10)</f>
        <v>37.3473797915072</v>
      </c>
      <c r="BG13" s="11" t="n">
        <f aca="false">MAX(0,BG9-BG10)</f>
        <v>36.8991553832777</v>
      </c>
      <c r="BH13" s="11" t="n">
        <f aca="false">MAX(0,BH9-BH10)</f>
        <v>37.5640163055069</v>
      </c>
      <c r="BI13" s="11" t="n">
        <f aca="false">MAX(0,BI9-BI10)</f>
        <v>36.9795350865903</v>
      </c>
      <c r="BJ13" s="11" t="n">
        <f aca="false">MAX(0,BJ9-BJ10)</f>
        <v>43.7701300868403</v>
      </c>
      <c r="BK13" s="11" t="n">
        <f aca="false">MAX(0,BK9-BK10)</f>
        <v>38.3037251186816</v>
      </c>
      <c r="BL13" s="11" t="n">
        <f aca="false">MAX(0,BL9-BL10)</f>
        <v>40.2676816601926</v>
      </c>
      <c r="BM13" s="11" t="n">
        <f aca="false">MAX(0,BM9-BM10)</f>
        <v>37.1827825951588</v>
      </c>
      <c r="BN13" s="11" t="n">
        <f aca="false">MAX(0,BN9-BN10)</f>
        <v>0</v>
      </c>
    </row>
    <row r="14" customFormat="false" ht="15" hidden="false" customHeight="false" outlineLevel="0" collapsed="false">
      <c r="D14" s="0" t="s">
        <v>731</v>
      </c>
      <c r="E14" s="0" t="s">
        <v>149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1.94526082211437</v>
      </c>
      <c r="P14" s="11" t="n">
        <f aca="false">P13-Reserves!P11+Reserves!P12</f>
        <v>15.3470396906232</v>
      </c>
      <c r="Q14" s="11" t="n">
        <f aca="false">Q13-Reserves!Q11+Reserves!Q12</f>
        <v>12.817434186808</v>
      </c>
      <c r="R14" s="11" t="n">
        <f aca="false">R13-Reserves!R11+Reserves!R12</f>
        <v>13.6944211767362</v>
      </c>
      <c r="S14" s="11" t="n">
        <f aca="false">S13-Reserves!S11+Reserves!S12</f>
        <v>12.9200584528173</v>
      </c>
      <c r="T14" s="11" t="n">
        <f aca="false">T13-Reserves!T11+Reserves!T12</f>
        <v>13.6845286632475</v>
      </c>
      <c r="U14" s="11" t="n">
        <f aca="false">U13-Reserves!U11+Reserves!U12</f>
        <v>12.5914558450127</v>
      </c>
      <c r="V14" s="11" t="n">
        <f aca="false">V13-Reserves!V11+Reserves!V12</f>
        <v>12.5515835899042</v>
      </c>
      <c r="W14" s="11" t="n">
        <f aca="false">W13-Reserves!W11+Reserves!W12</f>
        <v>13.5633080447217</v>
      </c>
      <c r="X14" s="11" t="n">
        <f aca="false">X13-Reserves!X11+Reserves!X12</f>
        <v>13.3528522686011</v>
      </c>
      <c r="Y14" s="11" t="n">
        <f aca="false">Y13-Reserves!Y11+Reserves!Y12</f>
        <v>12.8081795172204</v>
      </c>
      <c r="Z14" s="11" t="n">
        <f aca="false">Z13-Reserves!Z11+Reserves!Z12</f>
        <v>13.4657980571963</v>
      </c>
      <c r="AA14" s="11" t="n">
        <f aca="false">AA13-Reserves!AA11+Reserves!AA12</f>
        <v>12.6722715818358</v>
      </c>
      <c r="AB14" s="11" t="n">
        <f aca="false">AB13-Reserves!AB11+Reserves!AB12</f>
        <v>14.7420459651517</v>
      </c>
      <c r="AC14" s="11" t="n">
        <f aca="false">AC13-Reserves!AC11+Reserves!AC12</f>
        <v>13.6450969055659</v>
      </c>
      <c r="AD14" s="11" t="n">
        <f aca="false">AD13-Reserves!AD11+Reserves!AD12</f>
        <v>14.7262566627203</v>
      </c>
      <c r="AE14" s="11" t="n">
        <f aca="false">AE13-Reserves!AE11+Reserves!AE12</f>
        <v>15.6812863630884</v>
      </c>
      <c r="AF14" s="11" t="n">
        <f aca="false">AF13-Reserves!AF11+Reserves!AF12</f>
        <v>18.9397602022104</v>
      </c>
      <c r="AG14" s="11" t="n">
        <f aca="false">AG13-Reserves!AG11+Reserves!AG12</f>
        <v>20.3659470864732</v>
      </c>
      <c r="AH14" s="11" t="n">
        <f aca="false">AH13-Reserves!AH11+Reserves!AH12</f>
        <v>23.1357009796808</v>
      </c>
      <c r="AI14" s="11" t="n">
        <f aca="false">AI13-Reserves!AI11+Reserves!AI12</f>
        <v>24.9386490481778</v>
      </c>
      <c r="AJ14" s="11" t="n">
        <f aca="false">AJ13-Reserves!AJ11+Reserves!AJ12</f>
        <v>28.7578691730586</v>
      </c>
      <c r="AK14" s="11" t="n">
        <f aca="false">AK13-Reserves!AK11+Reserves!AK12</f>
        <v>32.3021780111281</v>
      </c>
      <c r="AL14" s="11" t="n">
        <f aca="false">AL13-Reserves!AL11+Reserves!AL12</f>
        <v>28.5708133682081</v>
      </c>
      <c r="AM14" s="11" t="n">
        <f aca="false">AM13-Reserves!AM11+Reserves!AM12</f>
        <v>32.9159288449634</v>
      </c>
      <c r="AN14" s="11" t="n">
        <f aca="false">AN13-Reserves!AN11+Reserves!AN12</f>
        <v>24.0325033750714</v>
      </c>
      <c r="AO14" s="11" t="n">
        <f aca="false">AO13-Reserves!AO11+Reserves!AO12</f>
        <v>41.8354893001395</v>
      </c>
      <c r="AP14" s="11" t="n">
        <f aca="false">AP13-Reserves!AP11+Reserves!AP12</f>
        <v>41.8553230552979</v>
      </c>
      <c r="AQ14" s="11" t="n">
        <f aca="false">AQ13-Reserves!AQ11+Reserves!AQ12</f>
        <v>41.4261240282784</v>
      </c>
      <c r="AR14" s="11" t="n">
        <f aca="false">AR13-Reserves!AR11+Reserves!AR12</f>
        <v>42.0440281859729</v>
      </c>
      <c r="AS14" s="11" t="n">
        <f aca="false">AS13-Reserves!AS11+Reserves!AS12</f>
        <v>41.4778377035045</v>
      </c>
      <c r="AT14" s="11" t="n">
        <f aca="false">AT13-Reserves!AT11+Reserves!AT12</f>
        <v>47.0900929500161</v>
      </c>
      <c r="AU14" s="11" t="n">
        <f aca="false">AU13-Reserves!AU11+Reserves!AU12</f>
        <v>42.4479272064973</v>
      </c>
      <c r="AV14" s="11" t="n">
        <f aca="false">AV13-Reserves!AV11+Reserves!AV12</f>
        <v>43.68305656927</v>
      </c>
      <c r="AW14" s="11" t="n">
        <f aca="false">AW13-Reserves!AW11+Reserves!AW12</f>
        <v>43.7899850073499</v>
      </c>
      <c r="AX14" s="11" t="n">
        <f aca="false">AX13-Reserves!AX11+Reserves!AX12</f>
        <v>44.4351922012715</v>
      </c>
      <c r="AY14" s="11" t="n">
        <f aca="false">AY13-Reserves!AY11+Reserves!AY12</f>
        <v>43.9968593767661</v>
      </c>
      <c r="AZ14" s="11" t="n">
        <f aca="false">AZ13-Reserves!AZ11+Reserves!AZ12</f>
        <v>44.6373201088508</v>
      </c>
      <c r="BA14" s="11" t="n">
        <f aca="false">BA13-Reserves!BA11+Reserves!BA12</f>
        <v>44.2498663359626</v>
      </c>
      <c r="BB14" s="11" t="n">
        <f aca="false">BB13-Reserves!BB11+Reserves!BB12</f>
        <v>45.5723865713941</v>
      </c>
      <c r="BC14" s="11" t="n">
        <f aca="false">BC13-Reserves!BC11+Reserves!BC12</f>
        <v>42.2046416372894</v>
      </c>
      <c r="BD14" s="11" t="n">
        <f aca="false">BD13-Reserves!BD11+Reserves!BD12</f>
        <v>36.8346013740858</v>
      </c>
      <c r="BE14" s="11" t="n">
        <f aca="false">BE13-Reserves!BE11+Reserves!BE12</f>
        <v>36.6734801635497</v>
      </c>
      <c r="BF14" s="11" t="n">
        <f aca="false">BF13-Reserves!BF11+Reserves!BF12</f>
        <v>37.3473797915072</v>
      </c>
      <c r="BG14" s="11" t="n">
        <f aca="false">BG13-Reserves!BG11+Reserves!BG12</f>
        <v>36.8991553832777</v>
      </c>
      <c r="BH14" s="11" t="n">
        <f aca="false">BH13-Reserves!BH11+Reserves!BH12</f>
        <v>37.5640163055069</v>
      </c>
      <c r="BI14" s="11" t="n">
        <f aca="false">BI13-Reserves!BI11+Reserves!BI12</f>
        <v>36.9795350865903</v>
      </c>
      <c r="BJ14" s="11" t="n">
        <f aca="false">BJ13-Reserves!BJ11+Reserves!BJ12</f>
        <v>43.7701300868403</v>
      </c>
      <c r="BK14" s="11" t="n">
        <f aca="false">BK13-Reserves!BK11+Reserves!BK12</f>
        <v>38.3037251186816</v>
      </c>
      <c r="BL14" s="11" t="n">
        <f aca="false">BL13-Reserves!BL11+Reserves!BL12</f>
        <v>40.2676816601926</v>
      </c>
      <c r="BM14" s="11" t="n">
        <f aca="false">BM13-Reserves!BM11+Reserves!BM12</f>
        <v>37.1827825951588</v>
      </c>
      <c r="BN14" s="11" t="n">
        <f aca="false">BN13-Reserves!BN11+Reserves!BN12</f>
        <v>0</v>
      </c>
    </row>
    <row r="15" customFormat="false" ht="15" hidden="false" customHeight="false" outlineLevel="0" collapsed="false">
      <c r="D15" s="0" t="s">
        <v>732</v>
      </c>
      <c r="E15" s="0" t="s">
        <v>149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1.94526082211437</v>
      </c>
      <c r="P15" s="11" t="n">
        <f aca="false">P14-Reserves!P14+Reserves!P15</f>
        <v>15.3470396906232</v>
      </c>
      <c r="Q15" s="11" t="n">
        <f aca="false">Q14-Reserves!Q14+Reserves!Q15</f>
        <v>12.817434186808</v>
      </c>
      <c r="R15" s="11" t="n">
        <f aca="false">R14-Reserves!R14+Reserves!R15</f>
        <v>13.6944211767362</v>
      </c>
      <c r="S15" s="11" t="n">
        <f aca="false">S14-Reserves!S14+Reserves!S15</f>
        <v>12.9200584528173</v>
      </c>
      <c r="T15" s="11" t="n">
        <f aca="false">T14-Reserves!T14+Reserves!T15</f>
        <v>13.6845286632475</v>
      </c>
      <c r="U15" s="11" t="n">
        <f aca="false">U14-Reserves!U14+Reserves!U15</f>
        <v>12.5914558450127</v>
      </c>
      <c r="V15" s="11" t="n">
        <f aca="false">V14-Reserves!V14+Reserves!V15</f>
        <v>12.5515835899042</v>
      </c>
      <c r="W15" s="11" t="n">
        <f aca="false">W14-Reserves!W14+Reserves!W15</f>
        <v>13.5633080447217</v>
      </c>
      <c r="X15" s="11" t="n">
        <f aca="false">X14-Reserves!X14+Reserves!X15</f>
        <v>13.3528522686011</v>
      </c>
      <c r="Y15" s="11" t="n">
        <f aca="false">Y14-Reserves!Y14+Reserves!Y15</f>
        <v>12.8081795172204</v>
      </c>
      <c r="Z15" s="11" t="n">
        <f aca="false">Z14-Reserves!Z14+Reserves!Z15</f>
        <v>13.4657980571963</v>
      </c>
      <c r="AA15" s="11" t="n">
        <f aca="false">AA14-Reserves!AA14+Reserves!AA15</f>
        <v>12.6722715818358</v>
      </c>
      <c r="AB15" s="11" t="n">
        <f aca="false">AB14-Reserves!AB14+Reserves!AB15</f>
        <v>14.7420459651517</v>
      </c>
      <c r="AC15" s="11" t="n">
        <f aca="false">AC14-Reserves!AC14+Reserves!AC15</f>
        <v>13.6450969055659</v>
      </c>
      <c r="AD15" s="11" t="n">
        <f aca="false">AD14-Reserves!AD14+Reserves!AD15</f>
        <v>14.7262566627203</v>
      </c>
      <c r="AE15" s="11" t="n">
        <f aca="false">AE14-Reserves!AE14+Reserves!AE15</f>
        <v>15.6812863630884</v>
      </c>
      <c r="AF15" s="11" t="n">
        <f aca="false">AF14-Reserves!AF14+Reserves!AF15</f>
        <v>18.9397602022104</v>
      </c>
      <c r="AG15" s="11" t="n">
        <f aca="false">AG14-Reserves!AG14+Reserves!AG15</f>
        <v>20.3659470864732</v>
      </c>
      <c r="AH15" s="11" t="n">
        <f aca="false">AH14-Reserves!AH14+Reserves!AH15</f>
        <v>23.1357009796808</v>
      </c>
      <c r="AI15" s="11" t="n">
        <f aca="false">AI14-Reserves!AI14+Reserves!AI15</f>
        <v>24.9386490481778</v>
      </c>
      <c r="AJ15" s="11" t="n">
        <f aca="false">AJ14-Reserves!AJ14+Reserves!AJ15</f>
        <v>28.7578691730586</v>
      </c>
      <c r="AK15" s="11" t="n">
        <f aca="false">AK14-Reserves!AK14+Reserves!AK15</f>
        <v>32.3021780111281</v>
      </c>
      <c r="AL15" s="11" t="n">
        <f aca="false">AL14-Reserves!AL14+Reserves!AL15</f>
        <v>28.5708133682081</v>
      </c>
      <c r="AM15" s="11" t="n">
        <f aca="false">AM14-Reserves!AM14+Reserves!AM15</f>
        <v>32.9159288449634</v>
      </c>
      <c r="AN15" s="11" t="n">
        <f aca="false">AN14-Reserves!AN14+Reserves!AN15</f>
        <v>24.0325033750714</v>
      </c>
      <c r="AO15" s="11" t="n">
        <f aca="false">AO14-Reserves!AO14+Reserves!AO15</f>
        <v>41.8354893001395</v>
      </c>
      <c r="AP15" s="11" t="n">
        <f aca="false">AP14-Reserves!AP14+Reserves!AP15</f>
        <v>41.8553230552979</v>
      </c>
      <c r="AQ15" s="11" t="n">
        <f aca="false">AQ14-Reserves!AQ14+Reserves!AQ15</f>
        <v>41.4261240282784</v>
      </c>
      <c r="AR15" s="11" t="n">
        <f aca="false">AR14-Reserves!AR14+Reserves!AR15</f>
        <v>42.0440281859729</v>
      </c>
      <c r="AS15" s="11" t="n">
        <f aca="false">AS14-Reserves!AS14+Reserves!AS15</f>
        <v>41.4778377035045</v>
      </c>
      <c r="AT15" s="11" t="n">
        <f aca="false">AT14-Reserves!AT14+Reserves!AT15</f>
        <v>47.0900929500161</v>
      </c>
      <c r="AU15" s="11" t="n">
        <f aca="false">AU14-Reserves!AU14+Reserves!AU15</f>
        <v>42.4479272064973</v>
      </c>
      <c r="AV15" s="11" t="n">
        <f aca="false">AV14-Reserves!AV14+Reserves!AV15</f>
        <v>43.68305656927</v>
      </c>
      <c r="AW15" s="11" t="n">
        <f aca="false">AW14-Reserves!AW14+Reserves!AW15</f>
        <v>43.7899850073499</v>
      </c>
      <c r="AX15" s="11" t="n">
        <f aca="false">AX14-Reserves!AX14+Reserves!AX15</f>
        <v>44.4351922012715</v>
      </c>
      <c r="AY15" s="11" t="n">
        <f aca="false">AY14-Reserves!AY14+Reserves!AY15</f>
        <v>43.9968593767661</v>
      </c>
      <c r="AZ15" s="11" t="n">
        <f aca="false">AZ14-Reserves!AZ14+Reserves!AZ15</f>
        <v>44.6373201088508</v>
      </c>
      <c r="BA15" s="11" t="n">
        <f aca="false">BA14-Reserves!BA14+Reserves!BA15</f>
        <v>43.7548979493539</v>
      </c>
      <c r="BB15" s="11" t="n">
        <f aca="false">BB14-Reserves!BB14+Reserves!BB15</f>
        <v>44.0712363167496</v>
      </c>
      <c r="BC15" s="11" t="n">
        <f aca="false">BC14-Reserves!BC14+Reserves!BC15</f>
        <v>40.6870685639472</v>
      </c>
      <c r="BD15" s="11" t="n">
        <f aca="false">BD14-Reserves!BD14+Reserves!BD15</f>
        <v>35.3004258138392</v>
      </c>
      <c r="BE15" s="11" t="n">
        <f aca="false">BE14-Reserves!BE14+Reserves!BE15</f>
        <v>35.122520482594</v>
      </c>
      <c r="BF15" s="11" t="n">
        <f aca="false">BF14-Reserves!BF14+Reserves!BF15</f>
        <v>35.7794523689352</v>
      </c>
      <c r="BG15" s="11" t="n">
        <f aca="false">BG14-Reserves!BG14+Reserves!BG15</f>
        <v>35.3140745893409</v>
      </c>
      <c r="BH15" s="11" t="n">
        <f aca="false">BH14-Reserves!BH14+Reserves!BH15</f>
        <v>35.9615944796383</v>
      </c>
      <c r="BI15" s="11" t="n">
        <f aca="false">BI14-Reserves!BI14+Reserves!BI15</f>
        <v>35.3595825151869</v>
      </c>
      <c r="BJ15" s="11" t="n">
        <f aca="false">BJ14-Reserves!BJ14+Reserves!BJ15</f>
        <v>42.1324549808026</v>
      </c>
      <c r="BK15" s="11" t="n">
        <f aca="false">BK14-Reserves!BK14+Reserves!BK15</f>
        <v>36.6481335907073</v>
      </c>
      <c r="BL15" s="11" t="n">
        <f aca="false">BL14-Reserves!BL14+Reserves!BL15</f>
        <v>38.5939777018221</v>
      </c>
      <c r="BM15" s="11" t="n">
        <f aca="false">BM14-Reserves!BM14+Reserves!BM15</f>
        <v>55.1239627571198</v>
      </c>
      <c r="BN15" s="11" t="n">
        <f aca="false">BN14-Reserves!BN14+Reserves!BN15</f>
        <v>0</v>
      </c>
    </row>
    <row r="16" customFormat="false" ht="15" hidden="false" customHeight="false" outlineLevel="0" collapsed="false">
      <c r="B16" s="2" t="s">
        <v>733</v>
      </c>
    </row>
    <row r="17" customFormat="false" ht="15" hidden="false" customHeight="false" outlineLevel="0" collapsed="false">
      <c r="D17" s="0" t="s">
        <v>734</v>
      </c>
      <c r="E17" s="0" t="s">
        <v>202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1.35743267091113</v>
      </c>
      <c r="Q17" s="6" t="n">
        <f aca="false">IF(Debt!Q121&gt;0.000000001,Q7/Debt!Q121,0)</f>
        <v>1.35754223796137</v>
      </c>
      <c r="R17" s="6" t="n">
        <f aca="false">IF(Debt!R121&gt;0.000000001,R7/Debt!R121,0)</f>
        <v>1.35622658177002</v>
      </c>
      <c r="S17" s="6" t="n">
        <f aca="false">IF(Debt!S121&gt;0.000000001,S7/Debt!S121,0)</f>
        <v>1.35726708538567</v>
      </c>
      <c r="T17" s="6" t="n">
        <f aca="false">IF(Debt!T121&gt;0.000000001,T7/Debt!T121,0)</f>
        <v>1.35771041120908</v>
      </c>
      <c r="U17" s="6" t="n">
        <f aca="false">IF(Debt!U121&gt;0.000000001,U7/Debt!U121,0)</f>
        <v>1.35423044797595</v>
      </c>
      <c r="V17" s="6" t="n">
        <f aca="false">IF(Debt!V121&gt;0.000000001,V7/Debt!V121,0)</f>
        <v>1.32090776164261</v>
      </c>
      <c r="W17" s="6" t="n">
        <f aca="false">IF(Debt!W121&gt;0.000000001,W7/Debt!W121,0)</f>
        <v>1.32787526302828</v>
      </c>
      <c r="X17" s="6" t="n">
        <f aca="false">IF(Debt!X121&gt;0.000000001,X7/Debt!X121,0)</f>
        <v>1.35195172536108</v>
      </c>
      <c r="Y17" s="6" t="n">
        <f aca="false">IF(Debt!Y121&gt;0.000000001,Y7/Debt!Y121,0)</f>
        <v>1.35846349596749</v>
      </c>
      <c r="Z17" s="6" t="n">
        <f aca="false">IF(Debt!Z121&gt;0.000000001,Z7/Debt!Z121,0)</f>
        <v>1.35715311811989</v>
      </c>
      <c r="AA17" s="6" t="n">
        <f aca="false">IF(Debt!AA121&gt;0.000000001,AA7/Debt!AA121,0)</f>
        <v>1.35824984727196</v>
      </c>
      <c r="AB17" s="6" t="n">
        <f aca="false">IF(Debt!AB121&gt;0.000000001,AB7/Debt!AB121,0)</f>
        <v>1.38347999775451</v>
      </c>
      <c r="AC17" s="6" t="n">
        <f aca="false">IF(Debt!AC121&gt;0.000000001,AC7/Debt!AC121,0)</f>
        <v>1.40158381250172</v>
      </c>
      <c r="AD17" s="6" t="n">
        <f aca="false">IF(Debt!AD121&gt;0.000000001,AD7/Debt!AD121,0)</f>
        <v>1.3892584007551</v>
      </c>
      <c r="AE17" s="6" t="n">
        <f aca="false">IF(Debt!AE121&gt;0.000000001,AE7/Debt!AE121,0)</f>
        <v>1.42366943931768</v>
      </c>
      <c r="AF17" s="6" t="n">
        <f aca="false">IF(Debt!AF121&gt;0.000000001,AF7/Debt!AF121,0)</f>
        <v>1.51586858668469</v>
      </c>
      <c r="AG17" s="6" t="n">
        <f aca="false">IF(Debt!AG121&gt;0.000000001,AG7/Debt!AG121,0)</f>
        <v>1.59775884697551</v>
      </c>
      <c r="AH17" s="6" t="n">
        <f aca="false">IF(Debt!AH121&gt;0.000000001,AH7/Debt!AH121,0)</f>
        <v>1.6811253331005</v>
      </c>
      <c r="AI17" s="6" t="n">
        <f aca="false">IF(Debt!AI121&gt;0.000000001,AI7/Debt!AI121,0)</f>
        <v>1.80250953285687</v>
      </c>
      <c r="AJ17" s="6" t="n">
        <f aca="false">IF(Debt!AJ121&gt;0.000000001,AJ7/Debt!AJ121,0)</f>
        <v>1.97890004114396</v>
      </c>
      <c r="AK17" s="6" t="n">
        <f aca="false">IF(Debt!AK121&gt;0.000000001,AK7/Debt!AK121,0)</f>
        <v>2.27317086894284</v>
      </c>
      <c r="AL17" s="6" t="n">
        <f aca="false">IF(Debt!AL121&gt;0.000000001,AL7/Debt!AL121,0)</f>
        <v>2.1981830811661</v>
      </c>
      <c r="AM17" s="6" t="n">
        <f aca="false">IF(Debt!AM121&gt;0.000000001,AM7/Debt!AM121,0)</f>
        <v>2.2082948619684</v>
      </c>
      <c r="AN17" s="6" t="n">
        <f aca="false">IF(Debt!AN121&gt;0.000000001,AN7/Debt!AN121,0)</f>
        <v>2.24432220349178</v>
      </c>
      <c r="AO17" s="6" t="n">
        <f aca="false">IF(Debt!AO121&gt;0.000000001,AO7/Debt!AO121,0)</f>
        <v>2.21282626883823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735</v>
      </c>
      <c r="E18" s="0" t="s">
        <v>202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1.35743267091113</v>
      </c>
      <c r="Q18" s="6" t="n">
        <f aca="false">IF(Debt!Q121&gt;0.000000001,IF(Debt!P121&gt;0.000000001,(Q7+P7)/(Debt!Q121+Debt!P121),Q17),0)</f>
        <v>1.35748738899387</v>
      </c>
      <c r="R18" s="6" t="n">
        <f aca="false">IF(Debt!R121&gt;0.000000001,IF(Debt!Q121&gt;0.000000001,(R7+Q7)/(Debt!R121+Debt!Q121),R17),0)</f>
        <v>1.3568802950765</v>
      </c>
      <c r="S18" s="6" t="n">
        <f aca="false">IF(Debt!S121&gt;0.000000001,IF(Debt!R121&gt;0.000000001,(S7+R7)/(Debt!S121+Debt!R121),S17),0)</f>
        <v>1.35674481059234</v>
      </c>
      <c r="T18" s="6" t="n">
        <f aca="false">IF(Debt!T121&gt;0.000000001,IF(Debt!S121&gt;0.000000001,(T7+S7)/(Debt!T121+Debt!S121),T17),0)</f>
        <v>1.35748998202825</v>
      </c>
      <c r="U18" s="6" t="n">
        <f aca="false">IF(Debt!U121&gt;0.000000001,IF(Debt!T121&gt;0.000000001,(U7+T7)/(Debt!U121+Debt!T121),U17),0)</f>
        <v>1.35597459982965</v>
      </c>
      <c r="V18" s="6" t="n">
        <f aca="false">IF(Debt!V121&gt;0.000000001,IF(Debt!U121&gt;0.000000001,(V7+U7)/(Debt!V121+Debt!U121),V17),0)</f>
        <v>1.33741157525915</v>
      </c>
      <c r="W18" s="6" t="n">
        <f aca="false">IF(Debt!W121&gt;0.000000001,IF(Debt!V121&gt;0.000000001,(W7+V7)/(Debt!W121+Debt!V121),W17),0)</f>
        <v>1.32437942859951</v>
      </c>
      <c r="X18" s="6" t="n">
        <f aca="false">IF(Debt!X121&gt;0.000000001,IF(Debt!W121&gt;0.000000001,(X7+W7)/(Debt!X121+Debt!W121),X17),0)</f>
        <v>1.33973738876252</v>
      </c>
      <c r="Y18" s="6" t="n">
        <f aca="false">IF(Debt!Y121&gt;0.000000001,IF(Debt!X121&gt;0.000000001,(Y7+X7)/(Debt!Y121+Debt!X121),Y17),0)</f>
        <v>1.35519182220444</v>
      </c>
      <c r="Z18" s="6" t="n">
        <f aca="false">IF(Debt!Z121&gt;0.000000001,IF(Debt!Y121&gt;0.000000001,(Z7+Y7)/(Debt!Z121+Debt!Y121),Z17),0)</f>
        <v>1.35780562201925</v>
      </c>
      <c r="AA18" s="6" t="n">
        <f aca="false">IF(Debt!AA121&gt;0.000000001,IF(Debt!Z121&gt;0.000000001,(AA7+Z7)/(Debt!AA121+Debt!Z121),AA17),0)</f>
        <v>1.35769926465009</v>
      </c>
      <c r="AB18" s="6" t="n">
        <f aca="false">IF(Debt!AB121&gt;0.000000001,IF(Debt!AA121&gt;0.000000001,(AB7+AA7)/(Debt!AB121+Debt!AA121),AB17),0)</f>
        <v>1.37082477974333</v>
      </c>
      <c r="AC18" s="6" t="n">
        <f aca="false">IF(Debt!AC121&gt;0.000000001,IF(Debt!AB121&gt;0.000000001,(AC7+AB7)/(Debt!AC121+Debt!AB121),AC17),0)</f>
        <v>1.3924122612755</v>
      </c>
      <c r="AD18" s="6" t="n">
        <f aca="false">IF(Debt!AD121&gt;0.000000001,IF(Debt!AC121&gt;0.000000001,(AD7+AC7)/(Debt!AD121+Debt!AC121),AD17),0)</f>
        <v>1.39537294527577</v>
      </c>
      <c r="AE18" s="6" t="n">
        <f aca="false">IF(Debt!AE121&gt;0.000000001,IF(Debt!AD121&gt;0.000000001,(AE7+AD7)/(Debt!AE121+Debt!AD121),AE17),0)</f>
        <v>1.40625710304312</v>
      </c>
      <c r="AF18" s="6" t="n">
        <f aca="false">IF(Debt!AF121&gt;0.000000001,IF(Debt!AE121&gt;0.000000001,(AF7+AE7)/(Debt!AF121+Debt!AE121),AF17),0)</f>
        <v>1.46913271487476</v>
      </c>
      <c r="AG18" s="6" t="n">
        <f aca="false">IF(Debt!AG121&gt;0.000000001,IF(Debt!AF121&gt;0.000000001,(AG7+AF7)/(Debt!AG121+Debt!AF121),AG17),0)</f>
        <v>1.55578690783922</v>
      </c>
      <c r="AH18" s="6" t="n">
        <f aca="false">IF(Debt!AH121&gt;0.000000001,IF(Debt!AG121&gt;0.000000001,(AH7+AG7)/(Debt!AH121+Debt!AG121),AH17),0)</f>
        <v>1.63863041117442</v>
      </c>
      <c r="AI18" s="6" t="n">
        <f aca="false">IF(Debt!AI121&gt;0.000000001,IF(Debt!AH121&gt;0.000000001,(AI7+AH7)/(Debt!AI121+Debt!AH121),AI17),0)</f>
        <v>1.73948944005925</v>
      </c>
      <c r="AJ18" s="6" t="n">
        <f aca="false">IF(Debt!AJ121&gt;0.000000001,IF(Debt!AI121&gt;0.000000001,(AJ7+AI7)/(Debt!AJ121+Debt!AI121),AJ17),0)</f>
        <v>1.88711354516796</v>
      </c>
      <c r="AK18" s="6" t="n">
        <f aca="false">IF(Debt!AK121&gt;0.000000001,IF(Debt!AJ121&gt;0.000000001,(AK7+AJ7)/(Debt!AK121+Debt!AJ121),AK17),0)</f>
        <v>2.11532748180602</v>
      </c>
      <c r="AL18" s="6" t="n">
        <f aca="false">IF(Debt!AL121&gt;0.000000001,IF(Debt!AK121&gt;0.000000001,(AL7+AK7)/(Debt!AL121+Debt!AK121),AL17),0)</f>
        <v>2.2351389030973</v>
      </c>
      <c r="AM18" s="6" t="n">
        <f aca="false">IF(Debt!AM121&gt;0.000000001,IF(Debt!AL121&gt;0.000000001,(AM7+AL7)/(Debt!AM121+Debt!AL121),AM17),0)</f>
        <v>2.20322349402142</v>
      </c>
      <c r="AN18" s="6" t="n">
        <f aca="false">IF(Debt!AN121&gt;0.000000001,IF(Debt!AM121&gt;0.000000001,(AN7+AM7)/(Debt!AN121+Debt!AM121),AN17),0)</f>
        <v>2.22443665560584</v>
      </c>
      <c r="AO18" s="6" t="n">
        <f aca="false">IF(Debt!AO121&gt;0.000000001,IF(Debt!AN121&gt;0.000000001,(AO7+AN7)/(Debt!AO121+Debt!AN121),AO17),0)</f>
        <v>2.22866784708443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736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1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737</v>
      </c>
      <c r="E20" s="0" t="s">
        <v>113</v>
      </c>
      <c r="J20" s="9" t="n">
        <f aca="false">IF(AND(Debt!J121&gt;0.000000001,J18&lt;Inputs!$F$109),1,0)</f>
        <v>0</v>
      </c>
      <c r="K20" s="9" t="n">
        <f aca="false">IF(AND(Debt!K121&gt;0.000000001,K18&lt;Inputs!$F$109),1,0)</f>
        <v>0</v>
      </c>
      <c r="L20" s="9" t="n">
        <f aca="false">IF(AND(Debt!L121&gt;0.000000001,L18&lt;Inputs!$F$109),1,0)</f>
        <v>0</v>
      </c>
      <c r="M20" s="9" t="n">
        <f aca="false">IF(AND(Debt!M121&gt;0.000000001,M18&lt;Inputs!$F$109),1,0)</f>
        <v>0</v>
      </c>
      <c r="N20" s="9" t="n">
        <f aca="false">IF(AND(Debt!N121&gt;0.000000001,N18&lt;Inputs!$F$109),1,0)</f>
        <v>0</v>
      </c>
      <c r="O20" s="9" t="n">
        <f aca="false">IF(AND(Debt!O121&gt;0.000000001,O18&lt;Inputs!$F$109),1,0)</f>
        <v>0</v>
      </c>
      <c r="P20" s="9" t="n">
        <f aca="false">IF(AND(Debt!P121&gt;0.000000001,P18&lt;Inputs!$F$109),1,0)</f>
        <v>0</v>
      </c>
      <c r="Q20" s="9" t="n">
        <f aca="false">IF(AND(Debt!Q121&gt;0.000000001,Q18&lt;Inputs!$F$109),1,0)</f>
        <v>0</v>
      </c>
      <c r="R20" s="9" t="n">
        <f aca="false">IF(AND(Debt!R121&gt;0.000000001,R18&lt;Inputs!$F$109),1,0)</f>
        <v>0</v>
      </c>
      <c r="S20" s="9" t="n">
        <f aca="false">IF(AND(Debt!S121&gt;0.000000001,S18&lt;Inputs!$F$109),1,0)</f>
        <v>0</v>
      </c>
      <c r="T20" s="9" t="n">
        <f aca="false">IF(AND(Debt!T121&gt;0.000000001,T18&lt;Inputs!$F$109),1,0)</f>
        <v>0</v>
      </c>
      <c r="U20" s="9" t="n">
        <f aca="false">IF(AND(Debt!U121&gt;0.000000001,U18&lt;Inputs!$F$109),1,0)</f>
        <v>0</v>
      </c>
      <c r="V20" s="9" t="n">
        <f aca="false">IF(AND(Debt!V121&gt;0.000000001,V18&lt;Inputs!$F$109),1,0)</f>
        <v>0</v>
      </c>
      <c r="W20" s="9" t="n">
        <f aca="false">IF(AND(Debt!W121&gt;0.000000001,W18&lt;Inputs!$F$109),1,0)</f>
        <v>0</v>
      </c>
      <c r="X20" s="9" t="n">
        <f aca="false">IF(AND(Debt!X121&gt;0.000000001,X18&lt;Inputs!$F$109),1,0)</f>
        <v>0</v>
      </c>
      <c r="Y20" s="9" t="n">
        <f aca="false">IF(AND(Debt!Y121&gt;0.000000001,Y18&lt;Inputs!$F$109),1,0)</f>
        <v>0</v>
      </c>
      <c r="Z20" s="9" t="n">
        <f aca="false">IF(AND(Debt!Z121&gt;0.000000001,Z18&lt;Inputs!$F$109),1,0)</f>
        <v>0</v>
      </c>
      <c r="AA20" s="9" t="n">
        <f aca="false">IF(AND(Debt!AA121&gt;0.000000001,AA18&lt;Inputs!$F$109),1,0)</f>
        <v>0</v>
      </c>
      <c r="AB20" s="9" t="n">
        <f aca="false">IF(AND(Debt!AB121&gt;0.000000001,AB18&lt;Inputs!$F$109),1,0)</f>
        <v>0</v>
      </c>
      <c r="AC20" s="9" t="n">
        <f aca="false">IF(AND(Debt!AC121&gt;0.000000001,AC18&lt;Inputs!$F$109),1,0)</f>
        <v>0</v>
      </c>
      <c r="AD20" s="9" t="n">
        <f aca="false">IF(AND(Debt!AD121&gt;0.000000001,AD18&lt;Inputs!$F$109),1,0)</f>
        <v>0</v>
      </c>
      <c r="AE20" s="9" t="n">
        <f aca="false">IF(AND(Debt!AE121&gt;0.000000001,AE18&lt;Inputs!$F$109),1,0)</f>
        <v>0</v>
      </c>
      <c r="AF20" s="9" t="n">
        <f aca="false">IF(AND(Debt!AF121&gt;0.000000001,AF18&lt;Inputs!$F$109),1,0)</f>
        <v>0</v>
      </c>
      <c r="AG20" s="9" t="n">
        <f aca="false">IF(AND(Debt!AG121&gt;0.000000001,AG18&lt;Inputs!$F$109),1,0)</f>
        <v>0</v>
      </c>
      <c r="AH20" s="9" t="n">
        <f aca="false">IF(AND(Debt!AH121&gt;0.000000001,AH18&lt;Inputs!$F$109),1,0)</f>
        <v>0</v>
      </c>
      <c r="AI20" s="9" t="n">
        <f aca="false">IF(AND(Debt!AI121&gt;0.000000001,AI18&lt;Inputs!$F$109),1,0)</f>
        <v>0</v>
      </c>
      <c r="AJ20" s="9" t="n">
        <f aca="false">IF(AND(Debt!AJ121&gt;0.000000001,AJ18&lt;Inputs!$F$109),1,0)</f>
        <v>0</v>
      </c>
      <c r="AK20" s="9" t="n">
        <f aca="false">IF(AND(Debt!AK121&gt;0.000000001,AK18&lt;Inputs!$F$109),1,0)</f>
        <v>0</v>
      </c>
      <c r="AL20" s="9" t="n">
        <f aca="false">IF(AND(Debt!AL121&gt;0.000000001,AL18&lt;Inputs!$F$109),1,0)</f>
        <v>0</v>
      </c>
      <c r="AM20" s="9" t="n">
        <f aca="false">IF(AND(Debt!AM121&gt;0.000000001,AM18&lt;Inputs!$F$109),1,0)</f>
        <v>0</v>
      </c>
      <c r="AN20" s="9" t="n">
        <f aca="false">IF(AND(Debt!AN121&gt;0.000000001,AN18&lt;Inputs!$F$109),1,0)</f>
        <v>0</v>
      </c>
      <c r="AO20" s="9" t="n">
        <f aca="false">IF(AND(Debt!AO121&gt;0.000000001,AO18&lt;Inputs!$F$109),1,0)</f>
        <v>0</v>
      </c>
      <c r="AP20" s="9" t="n">
        <f aca="false">IF(AND(Debt!AP121&gt;0.000000001,AP18&lt;Inputs!$F$109),1,0)</f>
        <v>0</v>
      </c>
      <c r="AQ20" s="9" t="n">
        <f aca="false">IF(AND(Debt!AQ121&gt;0.000000001,AQ18&lt;Inputs!$F$109),1,0)</f>
        <v>0</v>
      </c>
      <c r="AR20" s="9" t="n">
        <f aca="false">IF(AND(Debt!AR121&gt;0.000000001,AR18&lt;Inputs!$F$109),1,0)</f>
        <v>0</v>
      </c>
      <c r="AS20" s="9" t="n">
        <f aca="false">IF(AND(Debt!AS121&gt;0.000000001,AS18&lt;Inputs!$F$109),1,0)</f>
        <v>0</v>
      </c>
      <c r="AT20" s="9" t="n">
        <f aca="false">IF(AND(Debt!AT121&gt;0.000000001,AT18&lt;Inputs!$F$109),1,0)</f>
        <v>0</v>
      </c>
      <c r="AU20" s="9" t="n">
        <f aca="false">IF(AND(Debt!AU121&gt;0.000000001,AU18&lt;Inputs!$F$109),1,0)</f>
        <v>0</v>
      </c>
      <c r="AV20" s="9" t="n">
        <f aca="false">IF(AND(Debt!AV121&gt;0.000000001,AV18&lt;Inputs!$F$109),1,0)</f>
        <v>0</v>
      </c>
      <c r="AW20" s="9" t="n">
        <f aca="false">IF(AND(Debt!AW121&gt;0.000000001,AW18&lt;Inputs!$F$109),1,0)</f>
        <v>0</v>
      </c>
      <c r="AX20" s="9" t="n">
        <f aca="false">IF(AND(Debt!AX121&gt;0.000000001,AX18&lt;Inputs!$F$109),1,0)</f>
        <v>0</v>
      </c>
      <c r="AY20" s="9" t="n">
        <f aca="false">IF(AND(Debt!AY121&gt;0.000000001,AY18&lt;Inputs!$F$109),1,0)</f>
        <v>0</v>
      </c>
      <c r="AZ20" s="9" t="n">
        <f aca="false">IF(AND(Debt!AZ121&gt;0.000000001,AZ18&lt;Inputs!$F$109),1,0)</f>
        <v>0</v>
      </c>
      <c r="BA20" s="9" t="n">
        <f aca="false">IF(AND(Debt!BA121&gt;0.000000001,BA18&lt;Inputs!$F$109),1,0)</f>
        <v>0</v>
      </c>
      <c r="BB20" s="9" t="n">
        <f aca="false">IF(AND(Debt!BB121&gt;0.000000001,BB18&lt;Inputs!$F$109),1,0)</f>
        <v>0</v>
      </c>
      <c r="BC20" s="9" t="n">
        <f aca="false">IF(AND(Debt!BC121&gt;0.000000001,BC18&lt;Inputs!$F$109),1,0)</f>
        <v>0</v>
      </c>
      <c r="BD20" s="9" t="n">
        <f aca="false">IF(AND(Debt!BD121&gt;0.000000001,BD18&lt;Inputs!$F$109),1,0)</f>
        <v>0</v>
      </c>
      <c r="BE20" s="9" t="n">
        <f aca="false">IF(AND(Debt!BE121&gt;0.000000001,BE18&lt;Inputs!$F$109),1,0)</f>
        <v>0</v>
      </c>
      <c r="BF20" s="9" t="n">
        <f aca="false">IF(AND(Debt!BF121&gt;0.000000001,BF18&lt;Inputs!$F$109),1,0)</f>
        <v>0</v>
      </c>
      <c r="BG20" s="9" t="n">
        <f aca="false">IF(AND(Debt!BG121&gt;0.000000001,BG18&lt;Inputs!$F$109),1,0)</f>
        <v>0</v>
      </c>
      <c r="BH20" s="9" t="n">
        <f aca="false">IF(AND(Debt!BH121&gt;0.000000001,BH18&lt;Inputs!$F$109),1,0)</f>
        <v>0</v>
      </c>
      <c r="BI20" s="9" t="n">
        <f aca="false">IF(AND(Debt!BI121&gt;0.000000001,BI18&lt;Inputs!$F$109),1,0)</f>
        <v>0</v>
      </c>
      <c r="BJ20" s="9" t="n">
        <f aca="false">IF(AND(Debt!BJ121&gt;0.000000001,BJ18&lt;Inputs!$F$109),1,0)</f>
        <v>0</v>
      </c>
      <c r="BK20" s="9" t="n">
        <f aca="false">IF(AND(Debt!BK121&gt;0.000000001,BK18&lt;Inputs!$F$109),1,0)</f>
        <v>0</v>
      </c>
      <c r="BL20" s="9" t="n">
        <f aca="false">IF(AND(Debt!BL121&gt;0.000000001,BL18&lt;Inputs!$F$109),1,0)</f>
        <v>0</v>
      </c>
      <c r="BM20" s="9" t="n">
        <f aca="false">IF(AND(Debt!BM121&gt;0.000000001,BM18&lt;Inputs!$F$109),1,0)</f>
        <v>0</v>
      </c>
      <c r="BN20" s="9" t="n">
        <f aca="false">IF(AND(Debt!BN121&gt;0.000000001,BN18&lt;Inputs!$F$109),1,0)</f>
        <v>0</v>
      </c>
    </row>
    <row r="21" customFormat="false" ht="15" hidden="false" customHeight="false" outlineLevel="0" collapsed="false">
      <c r="D21" s="0" t="s">
        <v>738</v>
      </c>
      <c r="E21" s="0" t="s">
        <v>113</v>
      </c>
      <c r="J21" s="9" t="n">
        <f aca="false">Inputs!$F$49*IF(OR(Time!J17=10,Time!J17=11),1,0)</f>
        <v>0</v>
      </c>
      <c r="K21" s="9" t="n">
        <f aca="false">Inputs!$F$49*IF(OR(Time!K17=10,Time!K17=11),1,0)</f>
        <v>0</v>
      </c>
      <c r="L21" s="9" t="n">
        <f aca="false">Inputs!$F$49*IF(OR(Time!L17=10,Time!L17=11),1,0)</f>
        <v>0</v>
      </c>
      <c r="M21" s="9" t="n">
        <f aca="false">Inputs!$F$49*IF(OR(Time!M17=10,Time!M17=11),1,0)</f>
        <v>0</v>
      </c>
      <c r="N21" s="9" t="n">
        <f aca="false">Inputs!$F$49*IF(OR(Time!N17=10,Time!N17=11),1,0)</f>
        <v>0</v>
      </c>
      <c r="O21" s="9" t="n">
        <f aca="false">Inputs!$F$49*IF(OR(Time!O17=10,Time!O17=11),1,0)</f>
        <v>0</v>
      </c>
      <c r="P21" s="9" t="n">
        <f aca="false">Inputs!$F$49*IF(OR(Time!P17=10,Time!P17=11),1,0)</f>
        <v>0</v>
      </c>
      <c r="Q21" s="9" t="n">
        <f aca="false">Inputs!$F$49*IF(OR(Time!Q17=10,Time!Q17=11),1,0)</f>
        <v>0</v>
      </c>
      <c r="R21" s="9" t="n">
        <f aca="false">Inputs!$F$49*IF(OR(Time!R17=10,Time!R17=11),1,0)</f>
        <v>0</v>
      </c>
      <c r="S21" s="9" t="n">
        <f aca="false">Inputs!$F$49*IF(OR(Time!S17=10,Time!S17=11),1,0)</f>
        <v>0</v>
      </c>
      <c r="T21" s="9" t="n">
        <f aca="false">Inputs!$F$49*IF(OR(Time!T17=10,Time!T17=11),1,0)</f>
        <v>0</v>
      </c>
      <c r="U21" s="9" t="n">
        <f aca="false">Inputs!$F$49*IF(OR(Time!U17=10,Time!U17=11),1,0)</f>
        <v>0</v>
      </c>
      <c r="V21" s="9" t="n">
        <f aca="false">Inputs!$F$49*IF(OR(Time!V17=10,Time!V17=11),1,0)</f>
        <v>0</v>
      </c>
      <c r="W21" s="9" t="n">
        <f aca="false">Inputs!$F$49*IF(OR(Time!W17=10,Time!W17=11),1,0)</f>
        <v>0</v>
      </c>
      <c r="X21" s="9" t="n">
        <f aca="false">Inputs!$F$49*IF(OR(Time!X17=10,Time!X17=11),1,0)</f>
        <v>0</v>
      </c>
      <c r="Y21" s="9" t="n">
        <f aca="false">Inputs!$F$49*IF(OR(Time!Y17=10,Time!Y17=11),1,0)</f>
        <v>0</v>
      </c>
      <c r="Z21" s="9" t="n">
        <f aca="false">Inputs!$F$49*IF(OR(Time!Z17=10,Time!Z17=11),1,0)</f>
        <v>0</v>
      </c>
      <c r="AA21" s="9" t="n">
        <f aca="false">Inputs!$F$49*IF(OR(Time!AA17=10,Time!AA17=11),1,0)</f>
        <v>0</v>
      </c>
      <c r="AB21" s="9" t="n">
        <f aca="false">Inputs!$F$49*IF(OR(Time!AB17=10,Time!AB17=11),1,0)</f>
        <v>0</v>
      </c>
      <c r="AC21" s="9" t="n">
        <f aca="false">Inputs!$F$49*IF(OR(Time!AC17=10,Time!AC17=11),1,0)</f>
        <v>0</v>
      </c>
      <c r="AD21" s="9" t="n">
        <f aca="false">Inputs!$F$49*IF(OR(Time!AD17=10,Time!AD17=11),1,0)</f>
        <v>0</v>
      </c>
      <c r="AE21" s="9" t="n">
        <f aca="false">Inputs!$F$49*IF(OR(Time!AE17=10,Time!AE17=11),1,0)</f>
        <v>0</v>
      </c>
      <c r="AF21" s="9" t="n">
        <f aca="false">Inputs!$F$49*IF(OR(Time!AF17=10,Time!AF17=11),1,0)</f>
        <v>0</v>
      </c>
      <c r="AG21" s="9" t="n">
        <f aca="false">Inputs!$F$49*IF(OR(Time!AG17=10,Time!AG17=11),1,0)</f>
        <v>0</v>
      </c>
      <c r="AH21" s="9" t="n">
        <f aca="false">Inputs!$F$49*IF(OR(Time!AH17=10,Time!AH17=11),1,0)</f>
        <v>0</v>
      </c>
      <c r="AI21" s="9" t="n">
        <f aca="false">Inputs!$F$49*IF(OR(Time!AI17=10,Time!AI17=11),1,0)</f>
        <v>0</v>
      </c>
      <c r="AJ21" s="9" t="n">
        <f aca="false">Inputs!$F$49*IF(OR(Time!AJ17=10,Time!AJ17=11),1,0)</f>
        <v>0</v>
      </c>
      <c r="AK21" s="9" t="n">
        <f aca="false">Inputs!$F$49*IF(OR(Time!AK17=10,Time!AK17=11),1,0)</f>
        <v>0</v>
      </c>
      <c r="AL21" s="9" t="n">
        <f aca="false">Inputs!$F$49*IF(OR(Time!AL17=10,Time!AL17=11),1,0)</f>
        <v>0</v>
      </c>
      <c r="AM21" s="9" t="n">
        <f aca="false">Inputs!$F$49*IF(OR(Time!AM17=10,Time!AM17=11),1,0)</f>
        <v>0</v>
      </c>
      <c r="AN21" s="9" t="n">
        <f aca="false">Inputs!$F$49*IF(OR(Time!AN17=10,Time!AN17=11),1,0)</f>
        <v>0</v>
      </c>
      <c r="AO21" s="9" t="n">
        <f aca="false">Inputs!$F$49*IF(OR(Time!AO17=10,Time!AO17=11),1,0)</f>
        <v>0</v>
      </c>
      <c r="AP21" s="9" t="n">
        <f aca="false">Inputs!$F$49*IF(OR(Time!AP17=10,Time!AP17=11),1,0)</f>
        <v>0</v>
      </c>
      <c r="AQ21" s="9" t="n">
        <f aca="false">Inputs!$F$49*IF(OR(Time!AQ17=10,Time!AQ17=11),1,0)</f>
        <v>0</v>
      </c>
      <c r="AR21" s="9" t="n">
        <f aca="false">Inputs!$F$49*IF(OR(Time!AR17=10,Time!AR17=11),1,0)</f>
        <v>0</v>
      </c>
      <c r="AS21" s="9" t="n">
        <f aca="false">Inputs!$F$49*IF(OR(Time!AS17=10,Time!AS17=11),1,0)</f>
        <v>0</v>
      </c>
      <c r="AT21" s="9" t="n">
        <f aca="false">Inputs!$F$49*IF(OR(Time!AT17=10,Time!AT17=11),1,0)</f>
        <v>0</v>
      </c>
      <c r="AU21" s="9" t="n">
        <f aca="false">Inputs!$F$49*IF(OR(Time!AU17=10,Time!AU17=11),1,0)</f>
        <v>0</v>
      </c>
      <c r="AV21" s="9" t="n">
        <f aca="false">Inputs!$F$49*IF(OR(Time!AV17=10,Time!AV17=11),1,0)</f>
        <v>0</v>
      </c>
      <c r="AW21" s="9" t="n">
        <f aca="false">Inputs!$F$49*IF(OR(Time!AW17=10,Time!AW17=11),1,0)</f>
        <v>0</v>
      </c>
      <c r="AX21" s="9" t="n">
        <f aca="false">Inputs!$F$49*IF(OR(Time!AX17=10,Time!AX17=11),1,0)</f>
        <v>0</v>
      </c>
      <c r="AY21" s="9" t="n">
        <f aca="false">Inputs!$F$49*IF(OR(Time!AY17=10,Time!AY17=11),1,0)</f>
        <v>0</v>
      </c>
      <c r="AZ21" s="9" t="n">
        <f aca="false">Inputs!$F$49*IF(OR(Time!AZ17=10,Time!AZ17=11),1,0)</f>
        <v>0</v>
      </c>
      <c r="BA21" s="9" t="n">
        <f aca="false">Inputs!$F$49*IF(OR(Time!BA17=10,Time!BA17=11),1,0)</f>
        <v>0</v>
      </c>
      <c r="BB21" s="9" t="n">
        <f aca="false">Inputs!$F$49*IF(OR(Time!BB17=10,Time!BB17=11),1,0)</f>
        <v>0</v>
      </c>
      <c r="BC21" s="9" t="n">
        <f aca="false">Inputs!$F$49*IF(OR(Time!BC17=10,Time!BC17=11),1,0)</f>
        <v>0</v>
      </c>
      <c r="BD21" s="9" t="n">
        <f aca="false">Inputs!$F$49*IF(OR(Time!BD17=10,Time!BD17=11),1,0)</f>
        <v>0</v>
      </c>
      <c r="BE21" s="9" t="n">
        <f aca="false">Inputs!$F$49*IF(OR(Time!BE17=10,Time!BE17=11),1,0)</f>
        <v>0</v>
      </c>
      <c r="BF21" s="9" t="n">
        <f aca="false">Inputs!$F$49*IF(OR(Time!BF17=10,Time!BF17=11),1,0)</f>
        <v>0</v>
      </c>
      <c r="BG21" s="9" t="n">
        <f aca="false">Inputs!$F$49*IF(OR(Time!BG17=10,Time!BG17=11),1,0)</f>
        <v>0</v>
      </c>
      <c r="BH21" s="9" t="n">
        <f aca="false">Inputs!$F$49*IF(OR(Time!BH17=10,Time!BH17=11),1,0)</f>
        <v>0</v>
      </c>
      <c r="BI21" s="9" t="n">
        <f aca="false">Inputs!$F$49*IF(OR(Time!BI17=10,Time!BI17=11),1,0)</f>
        <v>0</v>
      </c>
      <c r="BJ21" s="9" t="n">
        <f aca="false">Inputs!$F$49*IF(OR(Time!BJ17=10,Time!BJ17=11),1,0)</f>
        <v>0</v>
      </c>
      <c r="BK21" s="9" t="n">
        <f aca="false">Inputs!$F$49*IF(OR(Time!BK17=10,Time!BK17=11),1,0)</f>
        <v>0</v>
      </c>
      <c r="BL21" s="9" t="n">
        <f aca="false">Inputs!$F$49*IF(OR(Time!BL17=10,Time!BL17=11),1,0)</f>
        <v>0</v>
      </c>
      <c r="BM21" s="9" t="n">
        <f aca="false">Inputs!$F$49*IF(OR(Time!BM17=10,Time!BM17=11),1,0)</f>
        <v>0</v>
      </c>
      <c r="BN21" s="9" t="n">
        <f aca="false">Inputs!$F$49*IF(OR(Time!BN17=10,Time!BN17=11),1,0)</f>
        <v>0</v>
      </c>
    </row>
    <row r="22" customFormat="false" ht="15" hidden="false" customHeight="false" outlineLevel="0" collapsed="false">
      <c r="D22" s="0" t="s">
        <v>739</v>
      </c>
      <c r="E22" s="0" t="s">
        <v>113</v>
      </c>
      <c r="J22" s="9" t="n">
        <f aca="false">Inputs!$F$49*IF(Time!J17&gt;=10,1,0)</f>
        <v>0</v>
      </c>
      <c r="K22" s="9" t="n">
        <f aca="false">Inputs!$F$49*IF(Time!K17&gt;=10,1,0)</f>
        <v>0</v>
      </c>
      <c r="L22" s="9" t="n">
        <f aca="false">Inputs!$F$49*IF(Time!L17&gt;=10,1,0)</f>
        <v>0</v>
      </c>
      <c r="M22" s="9" t="n">
        <f aca="false">Inputs!$F$49*IF(Time!M17&gt;=10,1,0)</f>
        <v>0</v>
      </c>
      <c r="N22" s="9" t="n">
        <f aca="false">Inputs!$F$49*IF(Time!N17&gt;=10,1,0)</f>
        <v>0</v>
      </c>
      <c r="O22" s="9" t="n">
        <f aca="false">Inputs!$F$49*IF(Time!O17&gt;=10,1,0)</f>
        <v>0</v>
      </c>
      <c r="P22" s="9" t="n">
        <f aca="false">Inputs!$F$49*IF(Time!P17&gt;=10,1,0)</f>
        <v>0</v>
      </c>
      <c r="Q22" s="9" t="n">
        <f aca="false">Inputs!$F$49*IF(Time!Q17&gt;=10,1,0)</f>
        <v>0</v>
      </c>
      <c r="R22" s="9" t="n">
        <f aca="false">Inputs!$F$49*IF(Time!R17&gt;=10,1,0)</f>
        <v>0</v>
      </c>
      <c r="S22" s="9" t="n">
        <f aca="false">Inputs!$F$49*IF(Time!S17&gt;=10,1,0)</f>
        <v>0</v>
      </c>
      <c r="T22" s="9" t="n">
        <f aca="false">Inputs!$F$49*IF(Time!T17&gt;=10,1,0)</f>
        <v>0</v>
      </c>
      <c r="U22" s="9" t="n">
        <f aca="false">Inputs!$F$49*IF(Time!U17&gt;=10,1,0)</f>
        <v>0</v>
      </c>
      <c r="V22" s="9" t="n">
        <f aca="false">Inputs!$F$49*IF(Time!V17&gt;=10,1,0)</f>
        <v>0</v>
      </c>
      <c r="W22" s="9" t="n">
        <f aca="false">Inputs!$F$49*IF(Time!W17&gt;=10,1,0)</f>
        <v>0</v>
      </c>
      <c r="X22" s="9" t="n">
        <f aca="false">Inputs!$F$49*IF(Time!X17&gt;=10,1,0)</f>
        <v>0</v>
      </c>
      <c r="Y22" s="9" t="n">
        <f aca="false">Inputs!$F$49*IF(Time!Y17&gt;=10,1,0)</f>
        <v>0</v>
      </c>
      <c r="Z22" s="9" t="n">
        <f aca="false">Inputs!$F$49*IF(Time!Z17&gt;=10,1,0)</f>
        <v>0</v>
      </c>
      <c r="AA22" s="9" t="n">
        <f aca="false">Inputs!$F$49*IF(Time!AA17&gt;=10,1,0)</f>
        <v>0</v>
      </c>
      <c r="AB22" s="9" t="n">
        <f aca="false">Inputs!$F$49*IF(Time!AB17&gt;=10,1,0)</f>
        <v>0</v>
      </c>
      <c r="AC22" s="9" t="n">
        <f aca="false">Inputs!$F$49*IF(Time!AC17&gt;=10,1,0)</f>
        <v>0</v>
      </c>
      <c r="AD22" s="9" t="n">
        <f aca="false">Inputs!$F$49*IF(Time!AD17&gt;=10,1,0)</f>
        <v>0</v>
      </c>
      <c r="AE22" s="9" t="n">
        <f aca="false">Inputs!$F$49*IF(Time!AE17&gt;=10,1,0)</f>
        <v>0</v>
      </c>
      <c r="AF22" s="9" t="n">
        <f aca="false">Inputs!$F$49*IF(Time!AF17&gt;=10,1,0)</f>
        <v>0</v>
      </c>
      <c r="AG22" s="9" t="n">
        <f aca="false">Inputs!$F$49*IF(Time!AG17&gt;=10,1,0)</f>
        <v>0</v>
      </c>
      <c r="AH22" s="9" t="n">
        <f aca="false">Inputs!$F$49*IF(Time!AH17&gt;=10,1,0)</f>
        <v>0</v>
      </c>
      <c r="AI22" s="9" t="n">
        <f aca="false">Inputs!$F$49*IF(Time!AI17&gt;=10,1,0)</f>
        <v>0</v>
      </c>
      <c r="AJ22" s="9" t="n">
        <f aca="false">Inputs!$F$49*IF(Time!AJ17&gt;=10,1,0)</f>
        <v>0</v>
      </c>
      <c r="AK22" s="9" t="n">
        <f aca="false">Inputs!$F$49*IF(Time!AK17&gt;=10,1,0)</f>
        <v>0</v>
      </c>
      <c r="AL22" s="9" t="n">
        <f aca="false">Inputs!$F$49*IF(Time!AL17&gt;=10,1,0)</f>
        <v>0</v>
      </c>
      <c r="AM22" s="9" t="n">
        <f aca="false">Inputs!$F$49*IF(Time!AM17&gt;=10,1,0)</f>
        <v>0</v>
      </c>
      <c r="AN22" s="9" t="n">
        <f aca="false">Inputs!$F$49*IF(Time!AN17&gt;=10,1,0)</f>
        <v>0</v>
      </c>
      <c r="AO22" s="9" t="n">
        <f aca="false">Inputs!$F$49*IF(Time!AO17&gt;=10,1,0)</f>
        <v>0</v>
      </c>
      <c r="AP22" s="9" t="n">
        <f aca="false">Inputs!$F$49*IF(Time!AP17&gt;=10,1,0)</f>
        <v>0</v>
      </c>
      <c r="AQ22" s="9" t="n">
        <f aca="false">Inputs!$F$49*IF(Time!AQ17&gt;=10,1,0)</f>
        <v>0</v>
      </c>
      <c r="AR22" s="9" t="n">
        <f aca="false">Inputs!$F$49*IF(Time!AR17&gt;=10,1,0)</f>
        <v>0</v>
      </c>
      <c r="AS22" s="9" t="n">
        <f aca="false">Inputs!$F$49*IF(Time!AS17&gt;=10,1,0)</f>
        <v>0</v>
      </c>
      <c r="AT22" s="9" t="n">
        <f aca="false">Inputs!$F$49*IF(Time!AT17&gt;=10,1,0)</f>
        <v>0</v>
      </c>
      <c r="AU22" s="9" t="n">
        <f aca="false">Inputs!$F$49*IF(Time!AU17&gt;=10,1,0)</f>
        <v>0</v>
      </c>
      <c r="AV22" s="9" t="n">
        <f aca="false">Inputs!$F$49*IF(Time!AV17&gt;=10,1,0)</f>
        <v>0</v>
      </c>
      <c r="AW22" s="9" t="n">
        <f aca="false">Inputs!$F$49*IF(Time!AW17&gt;=10,1,0)</f>
        <v>0</v>
      </c>
      <c r="AX22" s="9" t="n">
        <f aca="false">Inputs!$F$49*IF(Time!AX17&gt;=10,1,0)</f>
        <v>0</v>
      </c>
      <c r="AY22" s="9" t="n">
        <f aca="false">Inputs!$F$49*IF(Time!AY17&gt;=10,1,0)</f>
        <v>0</v>
      </c>
      <c r="AZ22" s="9" t="n">
        <f aca="false">Inputs!$F$49*IF(Time!AZ17&gt;=10,1,0)</f>
        <v>0</v>
      </c>
      <c r="BA22" s="9" t="n">
        <f aca="false">Inputs!$F$49*IF(Time!BA17&gt;=10,1,0)</f>
        <v>0</v>
      </c>
      <c r="BB22" s="9" t="n">
        <f aca="false">Inputs!$F$49*IF(Time!BB17&gt;=10,1,0)</f>
        <v>0</v>
      </c>
      <c r="BC22" s="9" t="n">
        <f aca="false">Inputs!$F$49*IF(Time!BC17&gt;=10,1,0)</f>
        <v>0</v>
      </c>
      <c r="BD22" s="9" t="n">
        <f aca="false">Inputs!$F$49*IF(Time!BD17&gt;=10,1,0)</f>
        <v>0</v>
      </c>
      <c r="BE22" s="9" t="n">
        <f aca="false">Inputs!$F$49*IF(Time!BE17&gt;=10,1,0)</f>
        <v>0</v>
      </c>
      <c r="BF22" s="9" t="n">
        <f aca="false">Inputs!$F$49*IF(Time!BF17&gt;=10,1,0)</f>
        <v>0</v>
      </c>
      <c r="BG22" s="9" t="n">
        <f aca="false">Inputs!$F$49*IF(Time!BG17&gt;=10,1,0)</f>
        <v>0</v>
      </c>
      <c r="BH22" s="9" t="n">
        <f aca="false">Inputs!$F$49*IF(Time!BH17&gt;=10,1,0)</f>
        <v>0</v>
      </c>
      <c r="BI22" s="9" t="n">
        <f aca="false">Inputs!$F$49*IF(Time!BI17&gt;=10,1,0)</f>
        <v>0</v>
      </c>
      <c r="BJ22" s="9" t="n">
        <f aca="false">Inputs!$F$49*IF(Time!BJ17&gt;=10,1,0)</f>
        <v>0</v>
      </c>
      <c r="BK22" s="9" t="n">
        <f aca="false">Inputs!$F$49*IF(Time!BK17&gt;=10,1,0)</f>
        <v>0</v>
      </c>
      <c r="BL22" s="9" t="n">
        <f aca="false">Inputs!$F$49*IF(Time!BL17&gt;=10,1,0)</f>
        <v>0</v>
      </c>
      <c r="BM22" s="9" t="n">
        <f aca="false">Inputs!$F$49*IF(Time!BM17&gt;=10,1,0)</f>
        <v>0</v>
      </c>
      <c r="BN22" s="9" t="n">
        <f aca="false">Inputs!$F$49*IF(Time!BN17&gt;=10,1,0)</f>
        <v>0</v>
      </c>
    </row>
    <row r="23" customFormat="false" ht="15" hidden="false" customHeight="false" outlineLevel="0" collapsed="false">
      <c r="D23" s="0" t="s">
        <v>740</v>
      </c>
      <c r="E23" s="0" t="s">
        <v>113</v>
      </c>
      <c r="J23" s="9" t="n">
        <f aca="false">MAX(0,IF(AND(J22=1,Time!J17&gt;11,J18&gt;=Inputs!$F$110,Time!J17-1&gt;11,0&gt;=Inputs!$F$110,Reserves!J13&gt;=Debt!J132-0.000001),1,0))</f>
        <v>0</v>
      </c>
      <c r="K23" s="9" t="n">
        <f aca="false">MAX(J23,IF(AND(K22=1,Time!K17&gt;11,K18&gt;=Inputs!$F$110,Time!K17-1&gt;11,J18&gt;=Inputs!$F$110,Reserves!K13&gt;=Debt!K132-0.000001),1,0))</f>
        <v>0</v>
      </c>
      <c r="L23" s="9" t="n">
        <f aca="false">MAX(K23,IF(AND(L22=1,Time!L17&gt;11,L18&gt;=Inputs!$F$110,Time!L17-1&gt;11,K18&gt;=Inputs!$F$110,Reserves!L13&gt;=Debt!L132-0.000001),1,0))</f>
        <v>0</v>
      </c>
      <c r="M23" s="9" t="n">
        <f aca="false">MAX(L23,IF(AND(M22=1,Time!M17&gt;11,M18&gt;=Inputs!$F$110,Time!M17-1&gt;11,L18&gt;=Inputs!$F$110,Reserves!M13&gt;=Debt!M132-0.000001),1,0))</f>
        <v>0</v>
      </c>
      <c r="N23" s="9" t="n">
        <f aca="false">MAX(M23,IF(AND(N22=1,Time!N17&gt;11,N18&gt;=Inputs!$F$110,Time!N17-1&gt;11,M18&gt;=Inputs!$F$110,Reserves!N13&gt;=Debt!N132-0.000001),1,0))</f>
        <v>0</v>
      </c>
      <c r="O23" s="9" t="n">
        <f aca="false">MAX(N23,IF(AND(O22=1,Time!O17&gt;11,O18&gt;=Inputs!$F$110,Time!O17-1&gt;11,N18&gt;=Inputs!$F$110,Reserves!O13&gt;=Debt!O132-0.000001),1,0))</f>
        <v>0</v>
      </c>
      <c r="P23" s="9" t="n">
        <f aca="false">MAX(O23,IF(AND(P22=1,Time!P17&gt;11,P18&gt;=Inputs!$F$110,Time!P17-1&gt;11,O18&gt;=Inputs!$F$110,Reserves!P13&gt;=Debt!P132-0.000001),1,0))</f>
        <v>0</v>
      </c>
      <c r="Q23" s="9" t="n">
        <f aca="false">MAX(P23,IF(AND(Q22=1,Time!Q17&gt;11,Q18&gt;=Inputs!$F$110,Time!Q17-1&gt;11,P18&gt;=Inputs!$F$110,Reserves!Q13&gt;=Debt!Q132-0.000001),1,0))</f>
        <v>0</v>
      </c>
      <c r="R23" s="9" t="n">
        <f aca="false">MAX(Q23,IF(AND(R22=1,Time!R17&gt;11,R18&gt;=Inputs!$F$110,Time!R17-1&gt;11,Q18&gt;=Inputs!$F$110,Reserves!R13&gt;=Debt!R132-0.000001),1,0))</f>
        <v>0</v>
      </c>
      <c r="S23" s="9" t="n">
        <f aca="false">MAX(R23,IF(AND(S22=1,Time!S17&gt;11,S18&gt;=Inputs!$F$110,Time!S17-1&gt;11,R18&gt;=Inputs!$F$110,Reserves!S13&gt;=Debt!S132-0.000001),1,0))</f>
        <v>0</v>
      </c>
      <c r="T23" s="9" t="n">
        <f aca="false">MAX(S23,IF(AND(T22=1,Time!T17&gt;11,T18&gt;=Inputs!$F$110,Time!T17-1&gt;11,S18&gt;=Inputs!$F$110,Reserves!T13&gt;=Debt!T132-0.000001),1,0))</f>
        <v>0</v>
      </c>
      <c r="U23" s="9" t="n">
        <f aca="false">MAX(T23,IF(AND(U22=1,Time!U17&gt;11,U18&gt;=Inputs!$F$110,Time!U17-1&gt;11,T18&gt;=Inputs!$F$110,Reserves!U13&gt;=Debt!U132-0.000001),1,0))</f>
        <v>0</v>
      </c>
      <c r="V23" s="9" t="n">
        <f aca="false">MAX(U23,IF(AND(V22=1,Time!V17&gt;11,V18&gt;=Inputs!$F$110,Time!V17-1&gt;11,U18&gt;=Inputs!$F$110,Reserves!V13&gt;=Debt!V132-0.000001),1,0))</f>
        <v>0</v>
      </c>
      <c r="W23" s="9" t="n">
        <f aca="false">MAX(V23,IF(AND(W22=1,Time!W17&gt;11,W18&gt;=Inputs!$F$110,Time!W17-1&gt;11,V18&gt;=Inputs!$F$110,Reserves!W13&gt;=Debt!W132-0.000001),1,0))</f>
        <v>0</v>
      </c>
      <c r="X23" s="9" t="n">
        <f aca="false">MAX(W23,IF(AND(X22=1,Time!X17&gt;11,X18&gt;=Inputs!$F$110,Time!X17-1&gt;11,W18&gt;=Inputs!$F$110,Reserves!X13&gt;=Debt!X132-0.000001),1,0))</f>
        <v>0</v>
      </c>
      <c r="Y23" s="9" t="n">
        <f aca="false">MAX(X23,IF(AND(Y22=1,Time!Y17&gt;11,Y18&gt;=Inputs!$F$110,Time!Y17-1&gt;11,X18&gt;=Inputs!$F$110,Reserves!Y13&gt;=Debt!Y132-0.000001),1,0))</f>
        <v>0</v>
      </c>
      <c r="Z23" s="9" t="n">
        <f aca="false">MAX(Y23,IF(AND(Z22=1,Time!Z17&gt;11,Z18&gt;=Inputs!$F$110,Time!Z17-1&gt;11,Y18&gt;=Inputs!$F$110,Reserves!Z13&gt;=Debt!Z132-0.000001),1,0))</f>
        <v>0</v>
      </c>
      <c r="AA23" s="9" t="n">
        <f aca="false">MAX(Z23,IF(AND(AA22=1,Time!AA17&gt;11,AA18&gt;=Inputs!$F$110,Time!AA17-1&gt;11,Z18&gt;=Inputs!$F$110,Reserves!AA13&gt;=Debt!AA132-0.000001),1,0))</f>
        <v>0</v>
      </c>
      <c r="AB23" s="9" t="n">
        <f aca="false">MAX(AA23,IF(AND(AB22=1,Time!AB17&gt;11,AB18&gt;=Inputs!$F$110,Time!AB17-1&gt;11,AA18&gt;=Inputs!$F$110,Reserves!AB13&gt;=Debt!AB132-0.000001),1,0))</f>
        <v>0</v>
      </c>
      <c r="AC23" s="9" t="n">
        <f aca="false">MAX(AB23,IF(AND(AC22=1,Time!AC17&gt;11,AC18&gt;=Inputs!$F$110,Time!AC17-1&gt;11,AB18&gt;=Inputs!$F$110,Reserves!AC13&gt;=Debt!AC132-0.000001),1,0))</f>
        <v>0</v>
      </c>
      <c r="AD23" s="9" t="n">
        <f aca="false">MAX(AC23,IF(AND(AD22=1,Time!AD17&gt;11,AD18&gt;=Inputs!$F$110,Time!AD17-1&gt;11,AC18&gt;=Inputs!$F$110,Reserves!AD13&gt;=Debt!AD132-0.000001),1,0))</f>
        <v>0</v>
      </c>
      <c r="AE23" s="9" t="n">
        <f aca="false">MAX(AD23,IF(AND(AE22=1,Time!AE17&gt;11,AE18&gt;=Inputs!$F$110,Time!AE17-1&gt;11,AD18&gt;=Inputs!$F$110,Reserves!AE13&gt;=Debt!AE132-0.000001),1,0))</f>
        <v>0</v>
      </c>
      <c r="AF23" s="9" t="n">
        <f aca="false">MAX(AE23,IF(AND(AF22=1,Time!AF17&gt;11,AF18&gt;=Inputs!$F$110,Time!AF17-1&gt;11,AE18&gt;=Inputs!$F$110,Reserves!AF13&gt;=Debt!AF132-0.000001),1,0))</f>
        <v>0</v>
      </c>
      <c r="AG23" s="9" t="n">
        <f aca="false">MAX(AF23,IF(AND(AG22=1,Time!AG17&gt;11,AG18&gt;=Inputs!$F$110,Time!AG17-1&gt;11,AF18&gt;=Inputs!$F$110,Reserves!AG13&gt;=Debt!AG132-0.000001),1,0))</f>
        <v>0</v>
      </c>
      <c r="AH23" s="9" t="n">
        <f aca="false">MAX(AG23,IF(AND(AH22=1,Time!AH17&gt;11,AH18&gt;=Inputs!$F$110,Time!AH17-1&gt;11,AG18&gt;=Inputs!$F$110,Reserves!AH13&gt;=Debt!AH132-0.000001),1,0))</f>
        <v>0</v>
      </c>
      <c r="AI23" s="9" t="n">
        <f aca="false">MAX(AH23,IF(AND(AI22=1,Time!AI17&gt;11,AI18&gt;=Inputs!$F$110,Time!AI17-1&gt;11,AH18&gt;=Inputs!$F$110,Reserves!AI13&gt;=Debt!AI132-0.000001),1,0))</f>
        <v>0</v>
      </c>
      <c r="AJ23" s="9" t="n">
        <f aca="false">MAX(AI23,IF(AND(AJ22=1,Time!AJ17&gt;11,AJ18&gt;=Inputs!$F$110,Time!AJ17-1&gt;11,AI18&gt;=Inputs!$F$110,Reserves!AJ13&gt;=Debt!AJ132-0.000001),1,0))</f>
        <v>0</v>
      </c>
      <c r="AK23" s="9" t="n">
        <f aca="false">MAX(AJ23,IF(AND(AK22=1,Time!AK17&gt;11,AK18&gt;=Inputs!$F$110,Time!AK17-1&gt;11,AJ18&gt;=Inputs!$F$110,Reserves!AK13&gt;=Debt!AK132-0.000001),1,0))</f>
        <v>0</v>
      </c>
      <c r="AL23" s="9" t="n">
        <f aca="false">MAX(AK23,IF(AND(AL22=1,Time!AL17&gt;11,AL18&gt;=Inputs!$F$110,Time!AL17-1&gt;11,AK18&gt;=Inputs!$F$110,Reserves!AL13&gt;=Debt!AL132-0.000001),1,0))</f>
        <v>0</v>
      </c>
      <c r="AM23" s="9" t="n">
        <f aca="false">MAX(AL23,IF(AND(AM22=1,Time!AM17&gt;11,AM18&gt;=Inputs!$F$110,Time!AM17-1&gt;11,AL18&gt;=Inputs!$F$110,Reserves!AM13&gt;=Debt!AM132-0.000001),1,0))</f>
        <v>0</v>
      </c>
      <c r="AN23" s="9" t="n">
        <f aca="false">MAX(AM23,IF(AND(AN22=1,Time!AN17&gt;11,AN18&gt;=Inputs!$F$110,Time!AN17-1&gt;11,AM18&gt;=Inputs!$F$110,Reserves!AN13&gt;=Debt!AN132-0.000001),1,0))</f>
        <v>0</v>
      </c>
      <c r="AO23" s="9" t="n">
        <f aca="false">MAX(AN23,IF(AND(AO22=1,Time!AO17&gt;11,AO18&gt;=Inputs!$F$110,Time!AO17-1&gt;11,AN18&gt;=Inputs!$F$110,Reserves!AO13&gt;=Debt!AO132-0.000001),1,0))</f>
        <v>0</v>
      </c>
      <c r="AP23" s="9" t="n">
        <f aca="false">MAX(AO23,IF(AND(AP22=1,Time!AP17&gt;11,AP18&gt;=Inputs!$F$110,Time!AP17-1&gt;11,AO18&gt;=Inputs!$F$110,Reserves!AP13&gt;=Debt!AP132-0.000001),1,0))</f>
        <v>0</v>
      </c>
      <c r="AQ23" s="9" t="n">
        <f aca="false">MAX(AP23,IF(AND(AQ22=1,Time!AQ17&gt;11,AQ18&gt;=Inputs!$F$110,Time!AQ17-1&gt;11,AP18&gt;=Inputs!$F$110,Reserves!AQ13&gt;=Debt!AQ132-0.000001),1,0))</f>
        <v>0</v>
      </c>
      <c r="AR23" s="9" t="n">
        <f aca="false">MAX(AQ23,IF(AND(AR22=1,Time!AR17&gt;11,AR18&gt;=Inputs!$F$110,Time!AR17-1&gt;11,AQ18&gt;=Inputs!$F$110,Reserves!AR13&gt;=Debt!AR132-0.000001),1,0))</f>
        <v>0</v>
      </c>
      <c r="AS23" s="9" t="n">
        <f aca="false">MAX(AR23,IF(AND(AS22=1,Time!AS17&gt;11,AS18&gt;=Inputs!$F$110,Time!AS17-1&gt;11,AR18&gt;=Inputs!$F$110,Reserves!AS13&gt;=Debt!AS132-0.000001),1,0))</f>
        <v>0</v>
      </c>
      <c r="AT23" s="9" t="n">
        <f aca="false">MAX(AS23,IF(AND(AT22=1,Time!AT17&gt;11,AT18&gt;=Inputs!$F$110,Time!AT17-1&gt;11,AS18&gt;=Inputs!$F$110,Reserves!AT13&gt;=Debt!AT132-0.000001),1,0))</f>
        <v>0</v>
      </c>
      <c r="AU23" s="9" t="n">
        <f aca="false">MAX(AT23,IF(AND(AU22=1,Time!AU17&gt;11,AU18&gt;=Inputs!$F$110,Time!AU17-1&gt;11,AT18&gt;=Inputs!$F$110,Reserves!AU13&gt;=Debt!AU132-0.000001),1,0))</f>
        <v>0</v>
      </c>
      <c r="AV23" s="9" t="n">
        <f aca="false">MAX(AU23,IF(AND(AV22=1,Time!AV17&gt;11,AV18&gt;=Inputs!$F$110,Time!AV17-1&gt;11,AU18&gt;=Inputs!$F$110,Reserves!AV13&gt;=Debt!AV132-0.000001),1,0))</f>
        <v>0</v>
      </c>
      <c r="AW23" s="9" t="n">
        <f aca="false">MAX(AV23,IF(AND(AW22=1,Time!AW17&gt;11,AW18&gt;=Inputs!$F$110,Time!AW17-1&gt;11,AV18&gt;=Inputs!$F$110,Reserves!AW13&gt;=Debt!AW132-0.000001),1,0))</f>
        <v>0</v>
      </c>
      <c r="AX23" s="9" t="n">
        <f aca="false">MAX(AW23,IF(AND(AX22=1,Time!AX17&gt;11,AX18&gt;=Inputs!$F$110,Time!AX17-1&gt;11,AW18&gt;=Inputs!$F$110,Reserves!AX13&gt;=Debt!AX132-0.000001),1,0))</f>
        <v>0</v>
      </c>
      <c r="AY23" s="9" t="n">
        <f aca="false">MAX(AX23,IF(AND(AY22=1,Time!AY17&gt;11,AY18&gt;=Inputs!$F$110,Time!AY17-1&gt;11,AX18&gt;=Inputs!$F$110,Reserves!AY13&gt;=Debt!AY132-0.000001),1,0))</f>
        <v>0</v>
      </c>
      <c r="AZ23" s="9" t="n">
        <f aca="false">MAX(AY23,IF(AND(AZ22=1,Time!AZ17&gt;11,AZ18&gt;=Inputs!$F$110,Time!AZ17-1&gt;11,AY18&gt;=Inputs!$F$110,Reserves!AZ13&gt;=Debt!AZ132-0.000001),1,0))</f>
        <v>0</v>
      </c>
      <c r="BA23" s="9" t="n">
        <f aca="false">MAX(AZ23,IF(AND(BA22=1,Time!BA17&gt;11,BA18&gt;=Inputs!$F$110,Time!BA17-1&gt;11,AZ18&gt;=Inputs!$F$110,Reserves!BA13&gt;=Debt!BA132-0.000001),1,0))</f>
        <v>0</v>
      </c>
      <c r="BB23" s="9" t="n">
        <f aca="false">MAX(BA23,IF(AND(BB22=1,Time!BB17&gt;11,BB18&gt;=Inputs!$F$110,Time!BB17-1&gt;11,BA18&gt;=Inputs!$F$110,Reserves!BB13&gt;=Debt!BB132-0.000001),1,0))</f>
        <v>0</v>
      </c>
      <c r="BC23" s="9" t="n">
        <f aca="false">MAX(BB23,IF(AND(BC22=1,Time!BC17&gt;11,BC18&gt;=Inputs!$F$110,Time!BC17-1&gt;11,BB18&gt;=Inputs!$F$110,Reserves!BC13&gt;=Debt!BC132-0.000001),1,0))</f>
        <v>0</v>
      </c>
      <c r="BD23" s="9" t="n">
        <f aca="false">MAX(BC23,IF(AND(BD22=1,Time!BD17&gt;11,BD18&gt;=Inputs!$F$110,Time!BD17-1&gt;11,BC18&gt;=Inputs!$F$110,Reserves!BD13&gt;=Debt!BD132-0.000001),1,0))</f>
        <v>0</v>
      </c>
      <c r="BE23" s="9" t="n">
        <f aca="false">MAX(BD23,IF(AND(BE22=1,Time!BE17&gt;11,BE18&gt;=Inputs!$F$110,Time!BE17-1&gt;11,BD18&gt;=Inputs!$F$110,Reserves!BE13&gt;=Debt!BE132-0.000001),1,0))</f>
        <v>0</v>
      </c>
      <c r="BF23" s="9" t="n">
        <f aca="false">MAX(BE23,IF(AND(BF22=1,Time!BF17&gt;11,BF18&gt;=Inputs!$F$110,Time!BF17-1&gt;11,BE18&gt;=Inputs!$F$110,Reserves!BF13&gt;=Debt!BF132-0.000001),1,0))</f>
        <v>0</v>
      </c>
      <c r="BG23" s="9" t="n">
        <f aca="false">MAX(BF23,IF(AND(BG22=1,Time!BG17&gt;11,BG18&gt;=Inputs!$F$110,Time!BG17-1&gt;11,BF18&gt;=Inputs!$F$110,Reserves!BG13&gt;=Debt!BG132-0.000001),1,0))</f>
        <v>0</v>
      </c>
      <c r="BH23" s="9" t="n">
        <f aca="false">MAX(BG23,IF(AND(BH22=1,Time!BH17&gt;11,BH18&gt;=Inputs!$F$110,Time!BH17-1&gt;11,BG18&gt;=Inputs!$F$110,Reserves!BH13&gt;=Debt!BH132-0.000001),1,0))</f>
        <v>0</v>
      </c>
      <c r="BI23" s="9" t="n">
        <f aca="false">MAX(BH23,IF(AND(BI22=1,Time!BI17&gt;11,BI18&gt;=Inputs!$F$110,Time!BI17-1&gt;11,BH18&gt;=Inputs!$F$110,Reserves!BI13&gt;=Debt!BI132-0.000001),1,0))</f>
        <v>0</v>
      </c>
      <c r="BJ23" s="9" t="n">
        <f aca="false">MAX(BI23,IF(AND(BJ22=1,Time!BJ17&gt;11,BJ18&gt;=Inputs!$F$110,Time!BJ17-1&gt;11,BI18&gt;=Inputs!$F$110,Reserves!BJ13&gt;=Debt!BJ132-0.000001),1,0))</f>
        <v>0</v>
      </c>
      <c r="BK23" s="9" t="n">
        <f aca="false">MAX(BJ23,IF(AND(BK22=1,Time!BK17&gt;11,BK18&gt;=Inputs!$F$110,Time!BK17-1&gt;11,BJ18&gt;=Inputs!$F$110,Reserves!BK13&gt;=Debt!BK132-0.000001),1,0))</f>
        <v>0</v>
      </c>
      <c r="BL23" s="9" t="n">
        <f aca="false">MAX(BK23,IF(AND(BL22=1,Time!BL17&gt;11,BL18&gt;=Inputs!$F$110,Time!BL17-1&gt;11,BK18&gt;=Inputs!$F$110,Reserves!BL13&gt;=Debt!BL132-0.000001),1,0))</f>
        <v>0</v>
      </c>
      <c r="BM23" s="9" t="n">
        <f aca="false">MAX(BL23,IF(AND(BM22=1,Time!BM17&gt;11,BM18&gt;=Inputs!$F$110,Time!BM17-1&gt;11,BL18&gt;=Inputs!$F$110,Reserves!BM13&gt;=Debt!BM132-0.000001),1,0))</f>
        <v>0</v>
      </c>
      <c r="BN23" s="9" t="n">
        <f aca="false">MAX(BM23,IF(AND(BN22=1,Time!BN17&gt;11,BN18&gt;=Inputs!$F$110,Time!BN17-1&gt;11,BM18&gt;=Inputs!$F$110,Reserves!BN13&gt;=Debt!BN132-0.000001),1,0))</f>
        <v>0</v>
      </c>
    </row>
    <row r="24" customFormat="false" ht="15" hidden="false" customHeight="false" outlineLevel="0" collapsed="false">
      <c r="D24" s="0" t="s">
        <v>741</v>
      </c>
      <c r="E24" s="0" t="s">
        <v>113</v>
      </c>
      <c r="J24" s="9" t="n">
        <f aca="false">IF(OR(AND(J19=1,J18&gt;=Inputs!$F$108,Reserves!J13&gt;=Debt!J132-0.000001,OR(J20=0,J21=1),Debt!J121&gt;0.000000001,OR(J22=0,J23=1)),AND(Time!J32=1,Debt!J121&lt;=0.000000001),AND(Debt!J121&lt;=0.000000001,Time!J30=1,Debt!J122&lt;0.000000001)),1,0)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IF(OR(AND(K19=1,K18&gt;=Inputs!$F$108,Reserves!K13&gt;=Debt!K132-0.000001,OR(K20=0,K21=1),Debt!K121&gt;0.000000001,OR(K22=0,K23=1)),AND(Time!K32=1,Debt!K121&lt;=0.000000001),AND(Debt!K121&lt;=0.000000001,Time!K30=1,Debt!K122&lt;0.000000001)),1,0)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IF(OR(AND(L19=1,L18&gt;=Inputs!$F$108,Reserves!L13&gt;=Debt!L132-0.000001,OR(L20=0,L21=1),Debt!L121&gt;0.000000001,OR(L22=0,L23=1)),AND(Time!L32=1,Debt!L121&lt;=0.000000001),AND(Debt!L121&lt;=0.000000001,Time!L30=1,Debt!L122&lt;0.000000001)),1,0)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IF(OR(AND(M19=1,M18&gt;=Inputs!$F$108,Reserves!M13&gt;=Debt!M132-0.000001,OR(M20=0,M21=1),Debt!M121&gt;0.000000001,OR(M22=0,M23=1)),AND(Time!M32=1,Debt!M121&lt;=0.000000001),AND(Debt!M121&lt;=0.000000001,Time!M30=1,Debt!M122&lt;0.000000001)),1,0)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IF(OR(AND(N19=1,N18&gt;=Inputs!$F$108,Reserves!N13&gt;=Debt!N132-0.000001,OR(N20=0,N21=1),Debt!N121&gt;0.000000001,OR(N22=0,N23=1)),AND(Time!N32=1,Debt!N121&lt;=0.000000001),AND(Debt!N121&lt;=0.000000001,Time!N30=1,Debt!N122&lt;0.000000001)),1,0)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IF(OR(AND(O19=1,O18&gt;=Inputs!$F$108,Reserves!O13&gt;=Debt!O132-0.000001,OR(O20=0,O21=1),Debt!O121&gt;0.000000001,OR(O22=0,O23=1)),AND(Time!O32=1,Debt!O121&lt;=0.000000001),AND(Debt!O121&lt;=0.000000001,Time!O30=1,Debt!O122&lt;0.000000001)),1,0)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IF(OR(AND(P19=1,P18&gt;=Inputs!$F$108,Reserves!P13&gt;=Debt!P132-0.000001,OR(P20=0,P21=1),Debt!P121&gt;0.000000001,OR(P22=0,P23=1)),AND(Time!P32=1,Debt!P121&lt;=0.000000001),AND(Debt!P121&lt;=0.000000001,Time!P30=1,Debt!P122&lt;0.000000001)),1,0)</f>
        <v>1</v>
      </c>
      <c r="Q24" s="9" t="n">
        <f aca="false">IF(OR(AND(Q19=1,Q18&gt;=Inputs!$F$108,Reserves!Q13&gt;=Debt!Q132-0.000001,OR(Q20=0,Q21=1),Debt!Q121&gt;0.000000001,OR(Q22=0,Q23=1)),AND(Time!Q32=1,Debt!Q121&lt;=0.000000001),AND(Debt!Q121&lt;=0.000000001,Time!Q30=1,Debt!Q122&lt;0.000000001)),1,0)</f>
        <v>1</v>
      </c>
      <c r="R24" s="9" t="n">
        <f aca="false">IF(OR(AND(R19=1,R18&gt;=Inputs!$F$108,Reserves!R13&gt;=Debt!R132-0.000001,OR(R20=0,R21=1),Debt!R121&gt;0.000000001,OR(R22=0,R23=1)),AND(Time!R32=1,Debt!R121&lt;=0.000000001),AND(Debt!R121&lt;=0.000000001,Time!R30=1,Debt!R122&lt;0.000000001)),1,0)</f>
        <v>1</v>
      </c>
      <c r="S24" s="9" t="n">
        <f aca="false">IF(OR(AND(S19=1,S18&gt;=Inputs!$F$108,Reserves!S13&gt;=Debt!S132-0.000001,OR(S20=0,S21=1),Debt!S121&gt;0.000000001,OR(S22=0,S23=1)),AND(Time!S32=1,Debt!S121&lt;=0.000000001),AND(Debt!S121&lt;=0.000000001,Time!S30=1,Debt!S122&lt;0.000000001)),1,0)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IF(OR(AND(T19=1,T18&gt;=Inputs!$F$108,Reserves!T13&gt;=Debt!T132-0.000001,OR(T20=0,T21=1),Debt!T121&gt;0.000000001,OR(T22=0,T23=1)),AND(Time!T32=1,Debt!T121&lt;=0.000000001),AND(Debt!T121&lt;=0.000000001,Time!T30=1,Debt!T122&lt;0.000000001)),1,0)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IF(OR(AND(U19=1,U18&gt;=Inputs!$F$108,Reserves!U13&gt;=Debt!U132-0.000001,OR(U20=0,U21=1),Debt!U121&gt;0.000000001,OR(U22=0,U23=1)),AND(Time!U32=1,Debt!U121&lt;=0.000000001),AND(Debt!U121&lt;=0.000000001,Time!U30=1,Debt!U122&lt;0.000000001)),1,0)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IF(OR(AND(V19=1,V18&gt;=Inputs!$F$108,Reserves!V13&gt;=Debt!V132-0.000001,OR(V20=0,V21=1),Debt!V121&gt;0.000000001,OR(V22=0,V23=1)),AND(Time!V32=1,Debt!V121&lt;=0.000000001),AND(Debt!V121&lt;=0.000000001,Time!V30=1,Debt!V122&lt;0.000000001)),1,0)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IF(OR(AND(W19=1,W18&gt;=Inputs!$F$108,Reserves!W13&gt;=Debt!W132-0.000001,OR(W20=0,W21=1),Debt!W121&gt;0.000000001,OR(W22=0,W23=1)),AND(Time!W32=1,Debt!W121&lt;=0.000000001),AND(Debt!W121&lt;=0.000000001,Time!W30=1,Debt!W122&lt;0.000000001)),1,0)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IF(OR(AND(X19=1,X18&gt;=Inputs!$F$108,Reserves!X13&gt;=Debt!X132-0.000001,OR(X20=0,X21=1),Debt!X121&gt;0.000000001,OR(X22=0,X23=1)),AND(Time!X32=1,Debt!X121&lt;=0.000000001),AND(Debt!X121&lt;=0.000000001,Time!X30=1,Debt!X122&lt;0.000000001)),1,0)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IF(OR(AND(Y19=1,Y18&gt;=Inputs!$F$108,Reserves!Y13&gt;=Debt!Y132-0.000001,OR(Y20=0,Y21=1),Debt!Y121&gt;0.000000001,OR(Y22=0,Y23=1)),AND(Time!Y32=1,Debt!Y121&lt;=0.000000001),AND(Debt!Y121&lt;=0.000000001,Time!Y30=1,Debt!Y122&lt;0.000000001)),1,0)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IF(OR(AND(Z19=1,Z18&gt;=Inputs!$F$108,Reserves!Z13&gt;=Debt!Z132-0.000001,OR(Z20=0,Z21=1),Debt!Z121&gt;0.000000001,OR(Z22=0,Z23=1)),AND(Time!Z32=1,Debt!Z121&lt;=0.000000001),AND(Debt!Z121&lt;=0.000000001,Time!Z30=1,Debt!Z122&lt;0.000000001)),1,0)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IF(OR(AND(AA19=1,AA18&gt;=Inputs!$F$108,Reserves!AA13&gt;=Debt!AA132-0.000001,OR(AA20=0,AA21=1),Debt!AA121&gt;0.000000001,OR(AA22=0,AA23=1)),AND(Time!AA32=1,Debt!AA121&lt;=0.000000001),AND(Debt!AA121&lt;=0.000000001,Time!AA30=1,Debt!AA122&lt;0.000000001)),1,0)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IF(OR(AND(AB19=1,AB18&gt;=Inputs!$F$108,Reserves!AB13&gt;=Debt!AB132-0.000001,OR(AB20=0,AB21=1),Debt!AB121&gt;0.000000001,OR(AB22=0,AB23=1)),AND(Time!AB32=1,Debt!AB121&lt;=0.000000001),AND(Debt!AB121&lt;=0.000000001,Time!AB30=1,Debt!AB122&lt;0.000000001)),1,0)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IF(OR(AND(AC19=1,AC18&gt;=Inputs!$F$108,Reserves!AC13&gt;=Debt!AC132-0.000001,OR(AC20=0,AC21=1),Debt!AC121&gt;0.000000001,OR(AC22=0,AC23=1)),AND(Time!AC32=1,Debt!AC121&lt;=0.000000001),AND(Debt!AC121&lt;=0.000000001,Time!AC30=1,Debt!AC122&lt;0.000000001)),1,0)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IF(OR(AND(AD19=1,AD18&gt;=Inputs!$F$108,Reserves!AD13&gt;=Debt!AD132-0.000001,OR(AD20=0,AD21=1),Debt!AD121&gt;0.000000001,OR(AD22=0,AD23=1)),AND(Time!AD32=1,Debt!AD121&lt;=0.000000001),AND(Debt!AD121&lt;=0.000000001,Time!AD30=1,Debt!AD122&lt;0.000000001)),1,0)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IF(OR(AND(AE19=1,AE18&gt;=Inputs!$F$108,Reserves!AE13&gt;=Debt!AE132-0.000001,OR(AE20=0,AE21=1),Debt!AE121&gt;0.000000001,OR(AE22=0,AE23=1)),AND(Time!AE32=1,Debt!AE121&lt;=0.000000001),AND(Debt!AE121&lt;=0.000000001,Time!AE30=1,Debt!AE122&lt;0.000000001)),1,0)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IF(OR(AND(AF19=1,AF18&gt;=Inputs!$F$108,Reserves!AF13&gt;=Debt!AF132-0.000001,OR(AF20=0,AF21=1),Debt!AF121&gt;0.000000001,OR(AF22=0,AF23=1)),AND(Time!AF32=1,Debt!AF121&lt;=0.000000001),AND(Debt!AF121&lt;=0.000000001,Time!AF30=1,Debt!AF122&lt;0.000000001)),1,0)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IF(OR(AND(AG19=1,AG18&gt;=Inputs!$F$108,Reserves!AG13&gt;=Debt!AG132-0.000001,OR(AG20=0,AG21=1),Debt!AG121&gt;0.000000001,OR(AG22=0,AG23=1)),AND(Time!AG32=1,Debt!AG121&lt;=0.000000001),AND(Debt!AG121&lt;=0.000000001,Time!AG30=1,Debt!AG122&lt;0.000000001)),1,0)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IF(OR(AND(AH19=1,AH18&gt;=Inputs!$F$108,Reserves!AH13&gt;=Debt!AH132-0.000001,OR(AH20=0,AH21=1),Debt!AH121&gt;0.000000001,OR(AH22=0,AH23=1)),AND(Time!AH32=1,Debt!AH121&lt;=0.000000001),AND(Debt!AH121&lt;=0.000000001,Time!AH30=1,Debt!AH122&lt;0.000000001)),1,0)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IF(OR(AND(AI19=1,AI18&gt;=Inputs!$F$108,Reserves!AI13&gt;=Debt!AI132-0.000001,OR(AI20=0,AI21=1),Debt!AI121&gt;0.000000001,OR(AI22=0,AI23=1)),AND(Time!AI32=1,Debt!AI121&lt;=0.000000001),AND(Debt!AI121&lt;=0.000000001,Time!AI30=1,Debt!AI122&lt;0.000000001)),1,0)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IF(OR(AND(AJ19=1,AJ18&gt;=Inputs!$F$108,Reserves!AJ13&gt;=Debt!AJ132-0.000001,OR(AJ20=0,AJ21=1),Debt!AJ121&gt;0.000000001,OR(AJ22=0,AJ23=1)),AND(Time!AJ32=1,Debt!AJ121&lt;=0.000000001),AND(Debt!AJ121&lt;=0.000000001,Time!AJ30=1,Debt!AJ122&lt;0.000000001)),1,0)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IF(OR(AND(AK19=1,AK18&gt;=Inputs!$F$108,Reserves!AK13&gt;=Debt!AK132-0.000001,OR(AK20=0,AK21=1),Debt!AK121&gt;0.000000001,OR(AK22=0,AK23=1)),AND(Time!AK32=1,Debt!AK121&lt;=0.000000001),AND(Debt!AK121&lt;=0.000000001,Time!AK30=1,Debt!AK122&lt;0.000000001)),1,0)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IF(OR(AND(AL19=1,AL18&gt;=Inputs!$F$108,Reserves!AL13&gt;=Debt!AL132-0.000001,OR(AL20=0,AL21=1),Debt!AL121&gt;0.000000001,OR(AL22=0,AL23=1)),AND(Time!AL32=1,Debt!AL121&lt;=0.000000001),AND(Debt!AL121&lt;=0.000000001,Time!AL30=1,Debt!AL122&lt;0.000000001)),1,0)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IF(OR(AND(AM19=1,AM18&gt;=Inputs!$F$108,Reserves!AM13&gt;=Debt!AM132-0.000001,OR(AM20=0,AM21=1),Debt!AM121&gt;0.000000001,OR(AM22=0,AM23=1)),AND(Time!AM32=1,Debt!AM121&lt;=0.000000001),AND(Debt!AM121&lt;=0.000000001,Time!AM30=1,Debt!AM122&lt;0.000000001)),1,0)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IF(OR(AND(AN19=1,AN18&gt;=Inputs!$F$108,Reserves!AN13&gt;=Debt!AN132-0.000001,OR(AN20=0,AN21=1),Debt!AN121&gt;0.000000001,OR(AN22=0,AN23=1)),AND(Time!AN32=1,Debt!AN121&lt;=0.000000001),AND(Debt!AN121&lt;=0.000000001,Time!AN30=1,Debt!AN122&lt;0.000000001)),1,0)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IF(OR(AND(AO19=1,AO18&gt;=Inputs!$F$108,Reserves!AO13&gt;=Debt!AO132-0.000001,OR(AO20=0,AO21=1),Debt!AO121&gt;0.000000001,OR(AO22=0,AO23=1)),AND(Time!AO32=1,Debt!AO121&lt;=0.000000001),AND(Debt!AO121&lt;=0.000000001,Time!AO30=1,Debt!AO122&lt;0.000000001)),1,0)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IF(OR(AND(AP19=1,AP18&gt;=Inputs!$F$108,Reserves!AP13&gt;=Debt!AP132-0.000001,OR(AP20=0,AP21=1),Debt!AP121&gt;0.000000001,OR(AP22=0,AP23=1)),AND(Time!AP32=1,Debt!AP121&lt;=0.000000001),AND(Debt!AP121&lt;=0.000000001,Time!AP30=1,Debt!AP122&lt;0.000000001)),1,0)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IF(OR(AND(AQ19=1,AQ18&gt;=Inputs!$F$108,Reserves!AQ13&gt;=Debt!AQ132-0.000001,OR(AQ20=0,AQ21=1),Debt!AQ121&gt;0.000000001,OR(AQ22=0,AQ23=1)),AND(Time!AQ32=1,Debt!AQ121&lt;=0.000000001),AND(Debt!AQ121&lt;=0.000000001,Time!AQ30=1,Debt!AQ122&lt;0.000000001)),1,0)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IF(OR(AND(AR19=1,AR18&gt;=Inputs!$F$108,Reserves!AR13&gt;=Debt!AR132-0.000001,OR(AR20=0,AR21=1),Debt!AR121&gt;0.000000001,OR(AR22=0,AR23=1)),AND(Time!AR32=1,Debt!AR121&lt;=0.000000001),AND(Debt!AR121&lt;=0.000000001,Time!AR30=1,Debt!AR122&lt;0.000000001)),1,0)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IF(OR(AND(AS19=1,AS18&gt;=Inputs!$F$108,Reserves!AS13&gt;=Debt!AS132-0.000001,OR(AS20=0,AS21=1),Debt!AS121&gt;0.000000001,OR(AS22=0,AS23=1)),AND(Time!AS32=1,Debt!AS121&lt;=0.000000001),AND(Debt!AS121&lt;=0.000000001,Time!AS30=1,Debt!AS122&lt;0.000000001)),1,0)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IF(OR(AND(AT19=1,AT18&gt;=Inputs!$F$108,Reserves!AT13&gt;=Debt!AT132-0.000001,OR(AT20=0,AT21=1),Debt!AT121&gt;0.000000001,OR(AT22=0,AT23=1)),AND(Time!AT32=1,Debt!AT121&lt;=0.000000001),AND(Debt!AT121&lt;=0.000000001,Time!AT30=1,Debt!AT122&lt;0.000000001)),1,0)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IF(OR(AND(AU19=1,AU18&gt;=Inputs!$F$108,Reserves!AU13&gt;=Debt!AU132-0.000001,OR(AU20=0,AU21=1),Debt!AU121&gt;0.000000001,OR(AU22=0,AU23=1)),AND(Time!AU32=1,Debt!AU121&lt;=0.000000001),AND(Debt!AU121&lt;=0.000000001,Time!AU30=1,Debt!AU122&lt;0.000000001)),1,0)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IF(OR(AND(AV19=1,AV18&gt;=Inputs!$F$108,Reserves!AV13&gt;=Debt!AV132-0.000001,OR(AV20=0,AV21=1),Debt!AV121&gt;0.000000001,OR(AV22=0,AV23=1)),AND(Time!AV32=1,Debt!AV121&lt;=0.000000001),AND(Debt!AV121&lt;=0.000000001,Time!AV30=1,Debt!AV122&lt;0.000000001)),1,0)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IF(OR(AND(AW19=1,AW18&gt;=Inputs!$F$108,Reserves!AW13&gt;=Debt!AW132-0.000001,OR(AW20=0,AW21=1),Debt!AW121&gt;0.000000001,OR(AW22=0,AW23=1)),AND(Time!AW32=1,Debt!AW121&lt;=0.000000001),AND(Debt!AW121&lt;=0.000000001,Time!AW30=1,Debt!AW122&lt;0.000000001)),1,0)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IF(OR(AND(AX19=1,AX18&gt;=Inputs!$F$108,Reserves!AX13&gt;=Debt!AX132-0.000001,OR(AX20=0,AX21=1),Debt!AX121&gt;0.000000001,OR(AX22=0,AX23=1)),AND(Time!AX32=1,Debt!AX121&lt;=0.000000001),AND(Debt!AX121&lt;=0.000000001,Time!AX30=1,Debt!AX122&lt;0.000000001)),1,0)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IF(OR(AND(AY19=1,AY18&gt;=Inputs!$F$108,Reserves!AY13&gt;=Debt!AY132-0.000001,OR(AY20=0,AY21=1),Debt!AY121&gt;0.000000001,OR(AY22=0,AY23=1)),AND(Time!AY32=1,Debt!AY121&lt;=0.000000001),AND(Debt!AY121&lt;=0.000000001,Time!AY30=1,Debt!AY122&lt;0.000000001)),1,0)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IF(OR(AND(AZ19=1,AZ18&gt;=Inputs!$F$108,Reserves!AZ13&gt;=Debt!AZ132-0.000001,OR(AZ20=0,AZ21=1),Debt!AZ121&gt;0.000000001,OR(AZ22=0,AZ23=1)),AND(Time!AZ32=1,Debt!AZ121&lt;=0.000000001),AND(Debt!AZ121&lt;=0.000000001,Time!AZ30=1,Debt!AZ122&lt;0.000000001)),1,0)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IF(OR(AND(BA19=1,BA18&gt;=Inputs!$F$108,Reserves!BA13&gt;=Debt!BA132-0.000001,OR(BA20=0,BA21=1),Debt!BA121&gt;0.000000001,OR(BA22=0,BA23=1)),AND(Time!BA32=1,Debt!BA121&lt;=0.000000001),AND(Debt!BA121&lt;=0.000000001,Time!BA30=1,Debt!BA122&lt;0.000000001)),1,0)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IF(OR(AND(BB19=1,BB18&gt;=Inputs!$F$108,Reserves!BB13&gt;=Debt!BB132-0.000001,OR(BB20=0,BB21=1),Debt!BB121&gt;0.000000001,OR(BB22=0,BB23=1)),AND(Time!BB32=1,Debt!BB121&lt;=0.000000001),AND(Debt!BB121&lt;=0.000000001,Time!BB30=1,Debt!BB122&lt;0.000000001)),1,0)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IF(OR(AND(BC19=1,BC18&gt;=Inputs!$F$108,Reserves!BC13&gt;=Debt!BC132-0.000001,OR(BC20=0,BC21=1),Debt!BC121&gt;0.000000001,OR(BC22=0,BC23=1)),AND(Time!BC32=1,Debt!BC121&lt;=0.000000001),AND(Debt!BC121&lt;=0.000000001,Time!BC30=1,Debt!BC122&lt;0.000000001)),1,0)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IF(OR(AND(BD19=1,BD18&gt;=Inputs!$F$108,Reserves!BD13&gt;=Debt!BD132-0.000001,OR(BD20=0,BD21=1),Debt!BD121&gt;0.000000001,OR(BD22=0,BD23=1)),AND(Time!BD32=1,Debt!BD121&lt;=0.000000001),AND(Debt!BD121&lt;=0.000000001,Time!BD30=1,Debt!BD122&lt;0.000000001)),1,0)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IF(OR(AND(BE19=1,BE18&gt;=Inputs!$F$108,Reserves!BE13&gt;=Debt!BE132-0.000001,OR(BE20=0,BE21=1),Debt!BE121&gt;0.000000001,OR(BE22=0,BE23=1)),AND(Time!BE32=1,Debt!BE121&lt;=0.000000001),AND(Debt!BE121&lt;=0.000000001,Time!BE30=1,Debt!BE122&lt;0.000000001)),1,0)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IF(OR(AND(BF19=1,BF18&gt;=Inputs!$F$108,Reserves!BF13&gt;=Debt!BF132-0.000001,OR(BF20=0,BF21=1),Debt!BF121&gt;0.000000001,OR(BF22=0,BF23=1)),AND(Time!BF32=1,Debt!BF121&lt;=0.000000001),AND(Debt!BF121&lt;=0.000000001,Time!BF30=1,Debt!BF122&lt;0.000000001)),1,0)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IF(OR(AND(BG19=1,BG18&gt;=Inputs!$F$108,Reserves!BG13&gt;=Debt!BG132-0.000001,OR(BG20=0,BG21=1),Debt!BG121&gt;0.000000001,OR(BG22=0,BG23=1)),AND(Time!BG32=1,Debt!BG121&lt;=0.000000001),AND(Debt!BG121&lt;=0.000000001,Time!BG30=1,Debt!BG122&lt;0.000000001)),1,0)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IF(OR(AND(BH19=1,BH18&gt;=Inputs!$F$108,Reserves!BH13&gt;=Debt!BH132-0.000001,OR(BH20=0,BH21=1),Debt!BH121&gt;0.000000001,OR(BH22=0,BH23=1)),AND(Time!BH32=1,Debt!BH121&lt;=0.000000001),AND(Debt!BH121&lt;=0.000000001,Time!BH30=1,Debt!BH122&lt;0.000000001)),1,0)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IF(OR(AND(BI19=1,BI18&gt;=Inputs!$F$108,Reserves!BI13&gt;=Debt!BI132-0.000001,OR(BI20=0,BI21=1),Debt!BI121&gt;0.000000001,OR(BI22=0,BI23=1)),AND(Time!BI32=1,Debt!BI121&lt;=0.000000001),AND(Debt!BI121&lt;=0.000000001,Time!BI30=1,Debt!BI122&lt;0.000000001)),1,0)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IF(OR(AND(BJ19=1,BJ18&gt;=Inputs!$F$108,Reserves!BJ13&gt;=Debt!BJ132-0.000001,OR(BJ20=0,BJ21=1),Debt!BJ121&gt;0.000000001,OR(BJ22=0,BJ23=1)),AND(Time!BJ32=1,Debt!BJ121&lt;=0.000000001),AND(Debt!BJ121&lt;=0.000000001,Time!BJ30=1,Debt!BJ122&lt;0.000000001)),1,0)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IF(OR(AND(BK19=1,BK18&gt;=Inputs!$F$108,Reserves!BK13&gt;=Debt!BK132-0.000001,OR(BK20=0,BK21=1),Debt!BK121&gt;0.000000001,OR(BK22=0,BK23=1)),AND(Time!BK32=1,Debt!BK121&lt;=0.000000001),AND(Debt!BK121&lt;=0.000000001,Time!BK30=1,Debt!BK122&lt;0.000000001)),1,0)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IF(OR(AND(BL19=1,BL18&gt;=Inputs!$F$108,Reserves!BL13&gt;=Debt!BL132-0.000001,OR(BL20=0,BL21=1),Debt!BL121&gt;0.000000001,OR(BL22=0,BL23=1)),AND(Time!BL32=1,Debt!BL121&lt;=0.000000001),AND(Debt!BL121&lt;=0.000000001,Time!BL30=1,Debt!BL122&lt;0.000000001)),1,0)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IF(OR(AND(BM19=1,BM18&gt;=Inputs!$F$108,Reserves!BM13&gt;=Debt!BM132-0.000001,OR(BM20=0,BM21=1),Debt!BM121&gt;0.000000001,OR(BM22=0,BM23=1)),AND(Time!BM32=1,Debt!BM121&lt;=0.000000001),AND(Debt!BM121&lt;=0.000000001,Time!BM30=1,Debt!BM122&lt;0.000000001)),1,0)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IF(OR(AND(BN19=1,BN18&gt;=Inputs!$F$108,Reserves!BN13&gt;=Debt!BN132-0.000001,OR(BN20=0,BN21=1),Debt!BN121&gt;0.000000001,OR(BN22=0,BN23=1)),AND(Time!BN32=1,Debt!BN121&lt;=0.000000001),AND(Debt!BN121&lt;=0.000000001,Time!BN30=1,Debt!BN122&lt;0.000000001)),1,0)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742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0</v>
      </c>
      <c r="R25" s="9" t="n">
        <f aca="false">IF(AND(R24=0,R19=1,Debt!R121&gt;0.000000001),1,0)</f>
        <v>0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743</v>
      </c>
      <c r="E26" s="0" t="s">
        <v>744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745</v>
      </c>
    </row>
    <row r="28" customFormat="false" ht="15" hidden="false" customHeight="false" outlineLevel="0" collapsed="false">
      <c r="D28" s="0" t="s">
        <v>746</v>
      </c>
      <c r="E28" s="0" t="s">
        <v>149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747</v>
      </c>
      <c r="E29" s="0" t="s">
        <v>149</v>
      </c>
      <c r="G29" s="11" t="n">
        <f aca="false">SUM(J29:BN29)</f>
        <v>93.8407849941231</v>
      </c>
      <c r="J29" s="11" t="n">
        <f aca="false">IF(AND(J24=1,Time!J21&gt;=2027,Inputs!$F$52=1),MIN(Inputs!$F$111*J15,Debt!J81),0)</f>
        <v>0</v>
      </c>
      <c r="K29" s="11" t="n">
        <f aca="false">IF(AND(K24=1,Time!K21&gt;=2027,Inputs!$F$52=1),MIN(Inputs!$F$111*K15,Debt!K81),0)</f>
        <v>0</v>
      </c>
      <c r="L29" s="11" t="n">
        <f aca="false">IF(AND(L24=1,Time!L21&gt;=2027,Inputs!$F$52=1),MIN(Inputs!$F$111*L15,Debt!L81),0)</f>
        <v>0</v>
      </c>
      <c r="M29" s="11" t="n">
        <f aca="false">IF(AND(M24=1,Time!M21&gt;=2027,Inputs!$F$52=1),MIN(Inputs!$F$111*M15,Debt!M81),0)</f>
        <v>0</v>
      </c>
      <c r="N29" s="11" t="n">
        <f aca="false">IF(AND(N24=1,Time!N21&gt;=2027,Inputs!$F$52=1),MIN(Inputs!$F$111*N15,Debt!N81),0)</f>
        <v>0</v>
      </c>
      <c r="O29" s="11" t="n">
        <f aca="false">IF(AND(O24=1,Time!O21&gt;=2027,Inputs!$F$52=1),MIN(Inputs!$F$111*O15,Debt!O81),0)</f>
        <v>0</v>
      </c>
      <c r="P29" s="11" t="n">
        <f aca="false">IF(AND(P24=1,Time!P21&gt;=2027,Inputs!$F$52=1),MIN(Inputs!$F$111*P15,Debt!P81),0)</f>
        <v>0</v>
      </c>
      <c r="Q29" s="11" t="n">
        <f aca="false">IF(AND(Q24=1,Time!Q21&gt;=2027,Inputs!$F$52=1),MIN(Inputs!$F$111*Q15,Debt!Q81),0)</f>
        <v>0</v>
      </c>
      <c r="R29" s="11" t="n">
        <f aca="false">IF(AND(R24=1,Time!R21&gt;=2027,Inputs!$F$52=1),MIN(Inputs!$F$111*R15,Debt!R81),0)</f>
        <v>0</v>
      </c>
      <c r="S29" s="11" t="n">
        <f aca="false">IF(AND(S24=1,Time!S21&gt;=2027,Inputs!$F$52=1),MIN(Inputs!$F$111*S15,Debt!S81),0)</f>
        <v>0</v>
      </c>
      <c r="T29" s="11" t="n">
        <f aca="false">IF(AND(T24=1,Time!T21&gt;=2027,Inputs!$F$52=1),MIN(Inputs!$F$111*T15,Debt!T81),0)</f>
        <v>0</v>
      </c>
      <c r="U29" s="11" t="n">
        <f aca="false">IF(AND(U24=1,Time!U21&gt;=2027,Inputs!$F$52=1),MIN(Inputs!$F$111*U15,Debt!U81),0)</f>
        <v>0</v>
      </c>
      <c r="V29" s="11" t="n">
        <f aca="false">IF(AND(V24=1,Time!V21&gt;=2027,Inputs!$F$52=1),MIN(Inputs!$F$111*V15,Debt!V81),0)</f>
        <v>0</v>
      </c>
      <c r="W29" s="11" t="n">
        <f aca="false">IF(AND(W24=1,Time!W21&gt;=2027,Inputs!$F$52=1),MIN(Inputs!$F$111*W15,Debt!W81),0)</f>
        <v>0</v>
      </c>
      <c r="X29" s="11" t="n">
        <f aca="false">IF(AND(X24=1,Time!X21&gt;=2027,Inputs!$F$52=1),MIN(Inputs!$F$111*X15,Debt!X81),0)</f>
        <v>0</v>
      </c>
      <c r="Y29" s="11" t="n">
        <f aca="false">IF(AND(Y24=1,Time!Y21&gt;=2027,Inputs!$F$52=1),MIN(Inputs!$F$111*Y15,Debt!Y81),0)</f>
        <v>0</v>
      </c>
      <c r="Z29" s="11" t="n">
        <f aca="false">IF(AND(Z24=1,Time!Z21&gt;=2027,Inputs!$F$52=1),MIN(Inputs!$F$111*Z15,Debt!Z81),0)</f>
        <v>0</v>
      </c>
      <c r="AA29" s="11" t="n">
        <f aca="false">IF(AND(AA24=1,Time!AA21&gt;=2027,Inputs!$F$52=1),MIN(Inputs!$F$111*AA15,Debt!AA81),0)</f>
        <v>6.3361357909179</v>
      </c>
      <c r="AB29" s="11" t="n">
        <f aca="false">IF(AND(AB24=1,Time!AB21&gt;=2027,Inputs!$F$52=1),MIN(Inputs!$F$111*AB15,Debt!AB81),0)</f>
        <v>7.37102298257586</v>
      </c>
      <c r="AC29" s="11" t="n">
        <f aca="false">IF(AND(AC24=1,Time!AC21&gt;=2027,Inputs!$F$52=1),MIN(Inputs!$F$111*AC15,Debt!AC81),0)</f>
        <v>6.82254845278294</v>
      </c>
      <c r="AD29" s="11" t="n">
        <f aca="false">IF(AND(AD24=1,Time!AD21&gt;=2027,Inputs!$F$52=1),MIN(Inputs!$F$111*AD15,Debt!AD81),0)</f>
        <v>7.36312833136017</v>
      </c>
      <c r="AE29" s="11" t="n">
        <f aca="false">IF(AND(AE24=1,Time!AE21&gt;=2027,Inputs!$F$52=1),MIN(Inputs!$F$111*AE15,Debt!AE81),0)</f>
        <v>7.8406431815442</v>
      </c>
      <c r="AF29" s="11" t="n">
        <f aca="false">IF(AND(AF24=1,Time!AF21&gt;=2027,Inputs!$F$52=1),MIN(Inputs!$F$111*AF15,Debt!AF81),0)</f>
        <v>9.46988010110519</v>
      </c>
      <c r="AG29" s="11" t="n">
        <f aca="false">IF(AND(AG24=1,Time!AG21&gt;=2027,Inputs!$F$52=1),MIN(Inputs!$F$111*AG15,Debt!AG81),0)</f>
        <v>10.1829735432366</v>
      </c>
      <c r="AH29" s="11" t="n">
        <f aca="false">IF(AND(AH24=1,Time!AH21&gt;=2027,Inputs!$F$52=1),MIN(Inputs!$F$111*AH15,Debt!AH81),0)</f>
        <v>11.5678504898404</v>
      </c>
      <c r="AI29" s="11" t="n">
        <f aca="false">IF(AND(AI24=1,Time!AI21&gt;=2027,Inputs!$F$52=1),MIN(Inputs!$F$111*AI15,Debt!AI81),0)</f>
        <v>12.4693245240889</v>
      </c>
      <c r="AJ29" s="11" t="n">
        <f aca="false">IF(AND(AJ24=1,Time!AJ21&gt;=2027,Inputs!$F$52=1),MIN(Inputs!$F$111*AJ15,Debt!AJ81),0)</f>
        <v>14.3789345865293</v>
      </c>
      <c r="AK29" s="11" t="n">
        <f aca="false">IF(AND(AK24=1,Time!AK21&gt;=2027,Inputs!$F$52=1),MIN(Inputs!$F$111*AK15,Debt!AK81),0)</f>
        <v>0.0383430101416391</v>
      </c>
      <c r="AL29" s="11" t="n">
        <f aca="false">IF(AND(AL24=1,Time!AL21&gt;=2027,Inputs!$F$52=1),MIN(Inputs!$F$111*AL15,Debt!AL81),0)</f>
        <v>0</v>
      </c>
      <c r="AM29" s="11" t="n">
        <f aca="false">IF(AND(AM24=1,Time!AM21&gt;=2027,Inputs!$F$52=1),MIN(Inputs!$F$111*AM15,Debt!AM81),0)</f>
        <v>0</v>
      </c>
      <c r="AN29" s="11" t="n">
        <f aca="false">IF(AND(AN24=1,Time!AN21&gt;=2027,Inputs!$F$52=1),MIN(Inputs!$F$111*AN15,Debt!AN81),0)</f>
        <v>0</v>
      </c>
      <c r="AO29" s="11" t="n">
        <f aca="false">IF(AND(AO24=1,Time!AO21&gt;=2027,Inputs!$F$52=1),MIN(Inputs!$F$111*AO15,Debt!AO81),0)</f>
        <v>0</v>
      </c>
      <c r="AP29" s="11" t="n">
        <f aca="false">IF(AND(AP24=1,Time!AP21&gt;=2027,Inputs!$F$52=1),MIN(Inputs!$F$111*AP15,Debt!AP81),0)</f>
        <v>0</v>
      </c>
      <c r="AQ29" s="11" t="n">
        <f aca="false">IF(AND(AQ24=1,Time!AQ21&gt;=2027,Inputs!$F$52=1),MIN(Inputs!$F$111*AQ15,Debt!AQ81),0)</f>
        <v>0</v>
      </c>
      <c r="AR29" s="11" t="n">
        <f aca="false">IF(AND(AR24=1,Time!AR21&gt;=2027,Inputs!$F$52=1),MIN(Inputs!$F$111*AR15,Debt!AR81),0)</f>
        <v>0</v>
      </c>
      <c r="AS29" s="11" t="n">
        <f aca="false">IF(AND(AS24=1,Time!AS21&gt;=2027,Inputs!$F$52=1),MIN(Inputs!$F$111*AS15,Debt!AS81),0)</f>
        <v>0</v>
      </c>
      <c r="AT29" s="11" t="n">
        <f aca="false">IF(AND(AT24=1,Time!AT21&gt;=2027,Inputs!$F$52=1),MIN(Inputs!$F$111*AT15,Debt!AT81),0)</f>
        <v>0</v>
      </c>
      <c r="AU29" s="11" t="n">
        <f aca="false">IF(AND(AU24=1,Time!AU21&gt;=2027,Inputs!$F$52=1),MIN(Inputs!$F$111*AU15,Debt!AU81),0)</f>
        <v>0</v>
      </c>
      <c r="AV29" s="11" t="n">
        <f aca="false">IF(AND(AV24=1,Time!AV21&gt;=2027,Inputs!$F$52=1),MIN(Inputs!$F$111*AV15,Debt!AV81),0)</f>
        <v>0</v>
      </c>
      <c r="AW29" s="11" t="n">
        <f aca="false">IF(AND(AW24=1,Time!AW21&gt;=2027,Inputs!$F$52=1),MIN(Inputs!$F$111*AW15,Debt!AW81),0)</f>
        <v>0</v>
      </c>
      <c r="AX29" s="11" t="n">
        <f aca="false">IF(AND(AX24=1,Time!AX21&gt;=2027,Inputs!$F$52=1),MIN(Inputs!$F$111*AX15,Debt!AX81),0)</f>
        <v>0</v>
      </c>
      <c r="AY29" s="11" t="n">
        <f aca="false">IF(AND(AY24=1,Time!AY21&gt;=2027,Inputs!$F$52=1),MIN(Inputs!$F$111*AY15,Debt!AY81),0)</f>
        <v>0</v>
      </c>
      <c r="AZ29" s="11" t="n">
        <f aca="false">IF(AND(AZ24=1,Time!AZ21&gt;=2027,Inputs!$F$52=1),MIN(Inputs!$F$111*AZ15,Debt!AZ81),0)</f>
        <v>0</v>
      </c>
      <c r="BA29" s="11" t="n">
        <f aca="false">IF(AND(BA24=1,Time!BA21&gt;=2027,Inputs!$F$52=1),MIN(Inputs!$F$111*BA15,Debt!BA81),0)</f>
        <v>0</v>
      </c>
      <c r="BB29" s="11" t="n">
        <f aca="false">IF(AND(BB24=1,Time!BB21&gt;=2027,Inputs!$F$52=1),MIN(Inputs!$F$111*BB15,Debt!BB81),0)</f>
        <v>0</v>
      </c>
      <c r="BC29" s="11" t="n">
        <f aca="false">IF(AND(BC24=1,Time!BC21&gt;=2027,Inputs!$F$52=1),MIN(Inputs!$F$111*BC15,Debt!BC81),0)</f>
        <v>0</v>
      </c>
      <c r="BD29" s="11" t="n">
        <f aca="false">IF(AND(BD24=1,Time!BD21&gt;=2027,Inputs!$F$52=1),MIN(Inputs!$F$111*BD15,Debt!BD81),0)</f>
        <v>0</v>
      </c>
      <c r="BE29" s="11" t="n">
        <f aca="false">IF(AND(BE24=1,Time!BE21&gt;=2027,Inputs!$F$52=1),MIN(Inputs!$F$111*BE15,Debt!BE81),0)</f>
        <v>0</v>
      </c>
      <c r="BF29" s="11" t="n">
        <f aca="false">IF(AND(BF24=1,Time!BF21&gt;=2027,Inputs!$F$52=1),MIN(Inputs!$F$111*BF15,Debt!BF81),0)</f>
        <v>0</v>
      </c>
      <c r="BG29" s="11" t="n">
        <f aca="false">IF(AND(BG24=1,Time!BG21&gt;=2027,Inputs!$F$52=1),MIN(Inputs!$F$111*BG15,Debt!BG81),0)</f>
        <v>0</v>
      </c>
      <c r="BH29" s="11" t="n">
        <f aca="false">IF(AND(BH24=1,Time!BH21&gt;=2027,Inputs!$F$52=1),MIN(Inputs!$F$111*BH15,Debt!BH81),0)</f>
        <v>0</v>
      </c>
      <c r="BI29" s="11" t="n">
        <f aca="false">IF(AND(BI24=1,Time!BI21&gt;=2027,Inputs!$F$52=1),MIN(Inputs!$F$111*BI15,Debt!BI81),0)</f>
        <v>0</v>
      </c>
      <c r="BJ29" s="11" t="n">
        <f aca="false">IF(AND(BJ24=1,Time!BJ21&gt;=2027,Inputs!$F$52=1),MIN(Inputs!$F$111*BJ15,Debt!BJ81),0)</f>
        <v>0</v>
      </c>
      <c r="BK29" s="11" t="n">
        <f aca="false">IF(AND(BK24=1,Time!BK21&gt;=2027,Inputs!$F$52=1),MIN(Inputs!$F$111*BK15,Debt!BK81),0)</f>
        <v>0</v>
      </c>
      <c r="BL29" s="11" t="n">
        <f aca="false">IF(AND(BL24=1,Time!BL21&gt;=2027,Inputs!$F$52=1),MIN(Inputs!$F$111*BL15,Debt!BL81),0)</f>
        <v>0</v>
      </c>
      <c r="BM29" s="11" t="n">
        <f aca="false">IF(AND(BM24=1,Time!BM21&gt;=2027,Inputs!$F$52=1),MIN(Inputs!$F$111*BM15,Debt!BM81),0)</f>
        <v>0</v>
      </c>
      <c r="BN29" s="11" t="n">
        <f aca="false">IF(AND(BN24=1,Time!BN21&gt;=2027,Inputs!$F$52=1),MIN(Inputs!$F$111*BN15,Debt!BN81),0)</f>
        <v>0</v>
      </c>
    </row>
    <row r="30" customFormat="false" ht="15" hidden="false" customHeight="false" outlineLevel="0" collapsed="false">
      <c r="D30" s="0" t="s">
        <v>748</v>
      </c>
      <c r="E30" s="0" t="s">
        <v>149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1.94526082211437</v>
      </c>
      <c r="P30" s="11" t="n">
        <f aca="false">IF(P24=0,P15-P28,0)</f>
        <v>0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749</v>
      </c>
      <c r="E31" s="0" t="s">
        <v>149</v>
      </c>
      <c r="G31" s="11" t="n">
        <f aca="false">SUM(J31:BN31)</f>
        <v>1390.95079986935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15.3470396906232</v>
      </c>
      <c r="Q31" s="11" t="n">
        <f aca="false">IF(Q24=1,Q15-Q29,0)</f>
        <v>12.817434186808</v>
      </c>
      <c r="R31" s="11" t="n">
        <f aca="false">IF(R24=1,R15-R29,0)</f>
        <v>13.6944211767362</v>
      </c>
      <c r="S31" s="11" t="n">
        <f aca="false">IF(S24=1,S15-S29,0)</f>
        <v>12.9200584528173</v>
      </c>
      <c r="T31" s="11" t="n">
        <f aca="false">IF(T24=1,T15-T29,0)</f>
        <v>13.6845286632475</v>
      </c>
      <c r="U31" s="11" t="n">
        <f aca="false">IF(U24=1,U15-U29,0)</f>
        <v>12.5914558450127</v>
      </c>
      <c r="V31" s="11" t="n">
        <f aca="false">IF(V24=1,V15-V29,0)</f>
        <v>12.5515835899042</v>
      </c>
      <c r="W31" s="11" t="n">
        <f aca="false">IF(W24=1,W15-W29,0)</f>
        <v>13.5633080447217</v>
      </c>
      <c r="X31" s="11" t="n">
        <f aca="false">IF(X24=1,X15-X29,0)</f>
        <v>13.3528522686011</v>
      </c>
      <c r="Y31" s="11" t="n">
        <f aca="false">IF(Y24=1,Y15-Y29,0)</f>
        <v>12.8081795172204</v>
      </c>
      <c r="Z31" s="11" t="n">
        <f aca="false">IF(Z24=1,Z15-Z29,0)</f>
        <v>13.4657980571963</v>
      </c>
      <c r="AA31" s="11" t="n">
        <f aca="false">IF(AA24=1,AA15-AA29,0)</f>
        <v>6.3361357909179</v>
      </c>
      <c r="AB31" s="11" t="n">
        <f aca="false">IF(AB24=1,AB15-AB29,0)</f>
        <v>7.37102298257586</v>
      </c>
      <c r="AC31" s="11" t="n">
        <f aca="false">IF(AC24=1,AC15-AC29,0)</f>
        <v>6.82254845278294</v>
      </c>
      <c r="AD31" s="11" t="n">
        <f aca="false">IF(AD24=1,AD15-AD29,0)</f>
        <v>7.36312833136017</v>
      </c>
      <c r="AE31" s="11" t="n">
        <f aca="false">IF(AE24=1,AE15-AE29,0)</f>
        <v>7.8406431815442</v>
      </c>
      <c r="AF31" s="11" t="n">
        <f aca="false">IF(AF24=1,AF15-AF29,0)</f>
        <v>9.46988010110519</v>
      </c>
      <c r="AG31" s="11" t="n">
        <f aca="false">IF(AG24=1,AG15-AG29,0)</f>
        <v>10.1829735432366</v>
      </c>
      <c r="AH31" s="11" t="n">
        <f aca="false">IF(AH24=1,AH15-AH29,0)</f>
        <v>11.5678504898404</v>
      </c>
      <c r="AI31" s="11" t="n">
        <f aca="false">IF(AI24=1,AI15-AI29,0)</f>
        <v>12.4693245240889</v>
      </c>
      <c r="AJ31" s="11" t="n">
        <f aca="false">IF(AJ24=1,AJ15-AJ29,0)</f>
        <v>14.3789345865293</v>
      </c>
      <c r="AK31" s="11" t="n">
        <f aca="false">IF(AK24=1,AK15-AK29,0)</f>
        <v>32.2638350009865</v>
      </c>
      <c r="AL31" s="11" t="n">
        <f aca="false">IF(AL24=1,AL15-AL29,0)</f>
        <v>28.5708133682081</v>
      </c>
      <c r="AM31" s="11" t="n">
        <f aca="false">IF(AM24=1,AM15-AM29,0)</f>
        <v>32.9159288449634</v>
      </c>
      <c r="AN31" s="11" t="n">
        <f aca="false">IF(AN24=1,AN15-AN29,0)</f>
        <v>24.0325033750714</v>
      </c>
      <c r="AO31" s="11" t="n">
        <f aca="false">IF(AO24=1,AO15-AO29,0)</f>
        <v>41.8354893001395</v>
      </c>
      <c r="AP31" s="11" t="n">
        <f aca="false">IF(AP24=1,AP15-AP29,0)</f>
        <v>41.8553230552979</v>
      </c>
      <c r="AQ31" s="11" t="n">
        <f aca="false">IF(AQ24=1,AQ15-AQ29,0)</f>
        <v>41.4261240282784</v>
      </c>
      <c r="AR31" s="11" t="n">
        <f aca="false">IF(AR24=1,AR15-AR29,0)</f>
        <v>42.0440281859729</v>
      </c>
      <c r="AS31" s="11" t="n">
        <f aca="false">IF(AS24=1,AS15-AS29,0)</f>
        <v>41.4778377035045</v>
      </c>
      <c r="AT31" s="11" t="n">
        <f aca="false">IF(AT24=1,AT15-AT29,0)</f>
        <v>47.0900929500161</v>
      </c>
      <c r="AU31" s="11" t="n">
        <f aca="false">IF(AU24=1,AU15-AU29,0)</f>
        <v>42.4479272064973</v>
      </c>
      <c r="AV31" s="11" t="n">
        <f aca="false">IF(AV24=1,AV15-AV29,0)</f>
        <v>43.68305656927</v>
      </c>
      <c r="AW31" s="11" t="n">
        <f aca="false">IF(AW24=1,AW15-AW29,0)</f>
        <v>43.7899850073499</v>
      </c>
      <c r="AX31" s="11" t="n">
        <f aca="false">IF(AX24=1,AX15-AX29,0)</f>
        <v>44.4351922012715</v>
      </c>
      <c r="AY31" s="11" t="n">
        <f aca="false">IF(AY24=1,AY15-AY29,0)</f>
        <v>43.9968593767661</v>
      </c>
      <c r="AZ31" s="11" t="n">
        <f aca="false">IF(AZ24=1,AZ15-AZ29,0)</f>
        <v>44.6373201088508</v>
      </c>
      <c r="BA31" s="11" t="n">
        <f aca="false">IF(BA24=1,BA15-BA29,0)</f>
        <v>43.7548979493539</v>
      </c>
      <c r="BB31" s="11" t="n">
        <f aca="false">IF(BB24=1,BB15-BB29,0)</f>
        <v>44.0712363167496</v>
      </c>
      <c r="BC31" s="11" t="n">
        <f aca="false">IF(BC24=1,BC15-BC29,0)</f>
        <v>40.6870685639472</v>
      </c>
      <c r="BD31" s="11" t="n">
        <f aca="false">IF(BD24=1,BD15-BD29,0)</f>
        <v>35.3004258138392</v>
      </c>
      <c r="BE31" s="11" t="n">
        <f aca="false">IF(BE24=1,BE15-BE29,0)</f>
        <v>35.122520482594</v>
      </c>
      <c r="BF31" s="11" t="n">
        <f aca="false">IF(BF24=1,BF15-BF29,0)</f>
        <v>35.7794523689352</v>
      </c>
      <c r="BG31" s="11" t="n">
        <f aca="false">IF(BG24=1,BG15-BG29,0)</f>
        <v>35.3140745893409</v>
      </c>
      <c r="BH31" s="11" t="n">
        <f aca="false">IF(BH24=1,BH15-BH29,0)</f>
        <v>35.9615944796383</v>
      </c>
      <c r="BI31" s="11" t="n">
        <f aca="false">IF(BI24=1,BI15-BI29,0)</f>
        <v>35.3595825151869</v>
      </c>
      <c r="BJ31" s="11" t="n">
        <f aca="false">IF(BJ24=1,BJ15-BJ29,0)</f>
        <v>42.1324549808026</v>
      </c>
      <c r="BK31" s="11" t="n">
        <f aca="false">IF(BK24=1,BK15-BK29,0)</f>
        <v>36.6481335907073</v>
      </c>
      <c r="BL31" s="11" t="n">
        <f aca="false">IF(BL24=1,BL15-BL29,0)</f>
        <v>38.5939777018221</v>
      </c>
      <c r="BM31" s="11" t="n">
        <f aca="false">IF(BM24=1,BM15-BM29,0)</f>
        <v>55.1239627571198</v>
      </c>
      <c r="BN31" s="11" t="n">
        <f aca="false">IF(BN24=1,BN15-BN29,0)</f>
        <v>0</v>
      </c>
    </row>
    <row r="32" customFormat="false" ht="15" hidden="false" customHeight="false" outlineLevel="0" collapsed="false">
      <c r="D32" s="0" t="s">
        <v>750</v>
      </c>
      <c r="E32" s="0" t="s">
        <v>149</v>
      </c>
      <c r="F32" s="15" t="n">
        <f aca="false">SUM(Funding!$J$69:$BJ$69)</f>
        <v>44.3667535168114</v>
      </c>
    </row>
    <row r="33" customFormat="false" ht="15" hidden="false" customHeight="false" outlineLevel="0" collapsed="false">
      <c r="D33" s="0" t="s">
        <v>751</v>
      </c>
      <c r="E33" s="0" t="s">
        <v>149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201.659718724773</v>
      </c>
      <c r="P33" s="11" t="n">
        <f aca="false">IF(Time!P17&lt;Time!$F$11,0,IF(Time!P29=1,INDEX(Funding!$J$72:$BJ$72,1,Time!$F$13),O36))</f>
        <v>204.861412067266</v>
      </c>
      <c r="Q33" s="11" t="n">
        <f aca="false">IF(Time!Q17&lt;Time!$F$11,0,IF(Time!Q29=1,INDEX(Funding!$J$72:$BJ$72,1,Time!$F$13),P36))</f>
        <v>199.325269590166</v>
      </c>
      <c r="R33" s="11" t="n">
        <f aca="false">IF(Time!R17&lt;Time!$F$11,0,IF(Time!R29=1,INDEX(Funding!$J$72:$BJ$72,1,Time!$F$13),Q36))</f>
        <v>195.897966939256</v>
      </c>
      <c r="S33" s="11" t="n">
        <f aca="false">IF(Time!S17&lt;Time!$F$11,0,IF(Time!S29=1,INDEX(Funding!$J$72:$BJ$72,1,Time!$F$13),R36))</f>
        <v>191.585179905255</v>
      </c>
      <c r="T33" s="11" t="n">
        <f aca="false">IF(Time!T17&lt;Time!$F$11,0,IF(Time!T29=1,INDEX(Funding!$J$72:$BJ$72,1,Time!$F$13),S36))</f>
        <v>187.690620544138</v>
      </c>
      <c r="U33" s="11" t="n">
        <f aca="false">IF(Time!U17&lt;Time!$F$11,0,IF(Time!U29=1,INDEX(Funding!$J$72:$BJ$72,1,Time!$F$13),T36))</f>
        <v>182.994672831881</v>
      </c>
      <c r="V33" s="11" t="n">
        <f aca="false">IF(Time!V17&lt;Time!$F$11,0,IF(Time!V29=1,INDEX(Funding!$J$72:$BJ$72,1,Time!$F$13),U36))</f>
        <v>179.071649571152</v>
      </c>
      <c r="W33" s="11" t="n">
        <f aca="false">IF(Time!W17&lt;Time!$F$11,0,IF(Time!W29=1,INDEX(Funding!$J$72:$BJ$72,1,Time!$F$13),V36))</f>
        <v>175.095880870299</v>
      </c>
      <c r="X33" s="11" t="n">
        <f aca="false">IF(Time!X17&lt;Time!$F$11,0,IF(Time!X29=1,INDEX(Funding!$J$72:$BJ$72,1,Time!$F$13),W36))</f>
        <v>169.781267816165</v>
      </c>
      <c r="Y33" s="11" t="n">
        <f aca="false">IF(Time!Y17&lt;Time!$F$11,0,IF(Time!Y29=1,INDEX(Funding!$J$72:$BJ$72,1,Time!$F$13),X36))</f>
        <v>164.559310236404</v>
      </c>
      <c r="Z33" s="11" t="n">
        <f aca="false">IF(Time!Z17&lt;Time!$F$11,0,IF(Time!Z29=1,INDEX(Funding!$J$72:$BJ$72,1,Time!$F$13),Y36))</f>
        <v>159.503452197307</v>
      </c>
      <c r="AA33" s="11" t="n">
        <f aca="false">IF(Time!AA17&lt;Time!$F$11,0,IF(Time!AA29=1,INDEX(Funding!$J$72:$BJ$72,1,Time!$F$13),Z36))</f>
        <v>153.676340015204</v>
      </c>
      <c r="AB33" s="11" t="n">
        <f aca="false">IF(Time!AB17&lt;Time!$F$11,0,IF(Time!AB29=1,INDEX(Funding!$J$72:$BJ$72,1,Time!$F$13),AA36))</f>
        <v>154.579833447742</v>
      </c>
      <c r="AC33" s="11" t="n">
        <f aca="false">IF(Time!AC17&lt;Time!$F$11,0,IF(Time!AC29=1,INDEX(Funding!$J$72:$BJ$72,1,Time!$F$13),AB36))</f>
        <v>154.611702214937</v>
      </c>
      <c r="AD33" s="11" t="n">
        <f aca="false">IF(Time!AD17&lt;Time!$F$11,0,IF(Time!AD29=1,INDEX(Funding!$J$72:$BJ$72,1,Time!$F$13),AC36))</f>
        <v>155.113088916391</v>
      </c>
      <c r="AE33" s="11" t="n">
        <f aca="false">IF(Time!AE17&lt;Time!$F$11,0,IF(Time!AE29=1,INDEX(Funding!$J$72:$BJ$72,1,Time!$F$13),AD36))</f>
        <v>155.178390158341</v>
      </c>
      <c r="AF33" s="11" t="n">
        <f aca="false">IF(Time!AF17&lt;Time!$F$11,0,IF(Time!AF29=1,INDEX(Funding!$J$72:$BJ$72,1,Time!$F$13),AE36))</f>
        <v>154.648137165216</v>
      </c>
      <c r="AG33" s="11" t="n">
        <f aca="false">IF(Time!AG17&lt;Time!$F$11,0,IF(Time!AG29=1,INDEX(Funding!$J$72:$BJ$72,1,Time!$F$13),AF36))</f>
        <v>152.584419906982</v>
      </c>
      <c r="AH33" s="11" t="n">
        <f aca="false">IF(Time!AH17&lt;Time!$F$11,0,IF(Time!AH29=1,INDEX(Funding!$J$72:$BJ$72,1,Time!$F$13),AG36))</f>
        <v>149.589635679637</v>
      </c>
      <c r="AI33" s="11" t="n">
        <f aca="false">IF(Time!AI17&lt;Time!$F$11,0,IF(Time!AI29=1,INDEX(Funding!$J$72:$BJ$72,1,Time!$F$13),AH36))</f>
        <v>145.185694317687</v>
      </c>
      <c r="AJ33" s="11" t="n">
        <f aca="false">IF(Time!AJ17&lt;Time!$F$11,0,IF(Time!AJ29=1,INDEX(Funding!$J$72:$BJ$72,1,Time!$F$13),AI36))</f>
        <v>139.556008187551</v>
      </c>
      <c r="AK33" s="11" t="n">
        <f aca="false">IF(Time!AK17&lt;Time!$F$11,0,IF(Time!AK29=1,INDEX(Funding!$J$72:$BJ$72,1,Time!$F$13),AJ36))</f>
        <v>131.860468184907</v>
      </c>
      <c r="AL33" s="11" t="n">
        <f aca="false">IF(Time!AL17&lt;Time!$F$11,0,IF(Time!AL29=1,INDEX(Funding!$J$72:$BJ$72,1,Time!$F$13),AK36))</f>
        <v>105.842845498762</v>
      </c>
      <c r="AM33" s="11" t="n">
        <f aca="false">IF(Time!AM17&lt;Time!$F$11,0,IF(Time!AM29=1,INDEX(Funding!$J$72:$BJ$72,1,Time!$F$13),AL36))</f>
        <v>82.3408894985494</v>
      </c>
      <c r="AN33" s="11" t="n">
        <f aca="false">IF(Time!AN17&lt;Time!$F$11,0,IF(Time!AN29=1,INDEX(Funding!$J$72:$BJ$72,1,Time!$F$13),AM36))</f>
        <v>53.3040061191409</v>
      </c>
      <c r="AO33" s="11" t="n">
        <f aca="false">IF(Time!AO17&lt;Time!$F$11,0,IF(Time!AO29=1,INDEX(Funding!$J$72:$BJ$72,1,Time!$F$13),AN36))</f>
        <v>31.8242535028711</v>
      </c>
      <c r="AP33" s="11" t="n">
        <f aca="false">IF(Time!AP17&lt;Time!$F$11,0,IF(Time!AP29=1,INDEX(Funding!$J$72:$BJ$72,1,Time!$F$13),AO36))</f>
        <v>0</v>
      </c>
      <c r="AQ33" s="11" t="n">
        <f aca="false">IF(Time!AQ17&lt;Time!$F$11,0,IF(Time!AQ29=1,INDEX(Funding!$J$72:$BJ$72,1,Time!$F$13),AP36))</f>
        <v>0</v>
      </c>
      <c r="AR33" s="11" t="n">
        <f aca="false">IF(Time!AR17&lt;Time!$F$11,0,IF(Time!AR29=1,INDEX(Funding!$J$72:$BJ$72,1,Time!$F$13),AQ36))</f>
        <v>0</v>
      </c>
      <c r="AS33" s="11" t="n">
        <f aca="false">IF(Time!AS17&lt;Time!$F$11,0,IF(Time!AS29=1,INDEX(Funding!$J$72:$BJ$72,1,Time!$F$13),AR36))</f>
        <v>0</v>
      </c>
      <c r="AT33" s="11" t="n">
        <f aca="false">IF(Time!AT17&lt;Time!$F$11,0,IF(Time!AT29=1,INDEX(Funding!$J$72:$BJ$72,1,Time!$F$13),AS36))</f>
        <v>0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752</v>
      </c>
      <c r="E34" s="0" t="s">
        <v>149</v>
      </c>
      <c r="G34" s="11" t="n">
        <f aca="false">SUM(J34:BN34)</f>
        <v>185.342200862626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9.81089721352277</v>
      </c>
      <c r="Q34" s="11" t="n">
        <f aca="false">Q24*MIN(Q31,Tax!Q13)</f>
        <v>9.39013153589836</v>
      </c>
      <c r="R34" s="11" t="n">
        <f aca="false">R24*MIN(R31,Tax!R13)</f>
        <v>9.38163414273479</v>
      </c>
      <c r="S34" s="11" t="n">
        <f aca="false">S24*MIN(S31,Tax!S13)</f>
        <v>9.02549909170097</v>
      </c>
      <c r="T34" s="11" t="n">
        <f aca="false">T24*MIN(T31,Tax!T13)</f>
        <v>8.98858095099052</v>
      </c>
      <c r="U34" s="11" t="n">
        <f aca="false">U24*MIN(U31,Tax!U13)</f>
        <v>8.66843258428282</v>
      </c>
      <c r="V34" s="11" t="n">
        <f aca="false">V24*MIN(V31,Tax!V13)</f>
        <v>8.57581488905131</v>
      </c>
      <c r="W34" s="11" t="n">
        <f aca="false">W24*MIN(W31,Tax!W13)</f>
        <v>8.24869499058845</v>
      </c>
      <c r="X34" s="11" t="n">
        <f aca="false">X24*MIN(X31,Tax!X13)</f>
        <v>8.13089468883992</v>
      </c>
      <c r="Y34" s="11" t="n">
        <f aca="false">Y24*MIN(Y31,Tax!Y13)</f>
        <v>7.75232147812321</v>
      </c>
      <c r="Z34" s="11" t="n">
        <f aca="false">Z24*MIN(Z31,Tax!Z13)</f>
        <v>7.63868587509295</v>
      </c>
      <c r="AA34" s="11" t="n">
        <f aca="false">AA24*MIN(AA31,Tax!AA13)</f>
        <v>6.3361357909179</v>
      </c>
      <c r="AB34" s="11" t="n">
        <f aca="false">AB24*MIN(AB31,Tax!AB13)</f>
        <v>7.37102298257586</v>
      </c>
      <c r="AC34" s="11" t="n">
        <f aca="false">AC24*MIN(AC31,Tax!AC13)</f>
        <v>6.82254845278294</v>
      </c>
      <c r="AD34" s="11" t="n">
        <f aca="false">AD24*MIN(AD31,Tax!AD13)</f>
        <v>7.36312833136017</v>
      </c>
      <c r="AE34" s="11" t="n">
        <f aca="false">AE24*MIN(AE31,Tax!AE13)</f>
        <v>7.31039018841831</v>
      </c>
      <c r="AF34" s="11" t="n">
        <f aca="false">AF24*MIN(AF31,Tax!AF13)</f>
        <v>7.40616284287115</v>
      </c>
      <c r="AG34" s="11" t="n">
        <f aca="false">AG24*MIN(AG31,Tax!AG13)</f>
        <v>7.18818931589191</v>
      </c>
      <c r="AH34" s="11" t="n">
        <f aca="false">AH24*MIN(AH31,Tax!AH13)</f>
        <v>7.16390912789056</v>
      </c>
      <c r="AI34" s="11" t="n">
        <f aca="false">AI24*MIN(AI31,Tax!AI13)</f>
        <v>6.83963839395241</v>
      </c>
      <c r="AJ34" s="11" t="n">
        <f aca="false">AJ24*MIN(AJ31,Tax!AJ13)</f>
        <v>6.68339458388598</v>
      </c>
      <c r="AK34" s="11" t="n">
        <f aca="false">AK24*MIN(AK31,Tax!AK13)</f>
        <v>6.24621231484122</v>
      </c>
      <c r="AL34" s="11" t="n">
        <f aca="false">AL24*MIN(AL31,Tax!AL13)</f>
        <v>5.06885736799551</v>
      </c>
      <c r="AM34" s="11" t="n">
        <f aca="false">AM24*MIN(AM31,Tax!AM13)</f>
        <v>3.87904546555495</v>
      </c>
      <c r="AN34" s="11" t="n">
        <f aca="false">AN24*MIN(AN31,Tax!AN13)</f>
        <v>2.5527507588016</v>
      </c>
      <c r="AO34" s="11" t="n">
        <f aca="false">AO24*MIN(AO31,Tax!AO13)</f>
        <v>1.49922750405991</v>
      </c>
      <c r="AP34" s="11" t="n">
        <f aca="false">AP24*MIN(AP31,Tax!AP13)</f>
        <v>0</v>
      </c>
      <c r="AQ34" s="11" t="n">
        <f aca="false">AQ24*MIN(AQ31,Tax!AQ13)</f>
        <v>0</v>
      </c>
      <c r="AR34" s="11" t="n">
        <f aca="false">AR24*MIN(AR31,Tax!AR13)</f>
        <v>0</v>
      </c>
      <c r="AS34" s="11" t="n">
        <f aca="false">AS24*MIN(AS31,Tax!AS13)</f>
        <v>0</v>
      </c>
      <c r="AT34" s="11" t="n">
        <f aca="false">AT24*MIN(AT31,Tax!AT13)</f>
        <v>0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753</v>
      </c>
      <c r="E35" s="0" t="s">
        <v>149</v>
      </c>
      <c r="G35" s="11" t="n">
        <f aca="false">SUM(J35:BN35)</f>
        <v>206.363462210404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5.53614247710044</v>
      </c>
      <c r="Q35" s="11" t="n">
        <f aca="false">Q24*MIN(Q31-Q34,Q33+Tax!Q13-Q34)</f>
        <v>3.42730265090964</v>
      </c>
      <c r="R35" s="11" t="n">
        <f aca="false">R24*MIN(R31-R34,R33+Tax!R13-R34)</f>
        <v>4.31278703400138</v>
      </c>
      <c r="S35" s="11" t="n">
        <f aca="false">S24*MIN(S31-S34,S33+Tax!S13-S34)</f>
        <v>3.8945593611163</v>
      </c>
      <c r="T35" s="11" t="n">
        <f aca="false">T24*MIN(T31-T34,T33+Tax!T13-T34)</f>
        <v>4.695947712257</v>
      </c>
      <c r="U35" s="11" t="n">
        <f aca="false">U24*MIN(U31-U34,U33+Tax!U13-U34)</f>
        <v>3.9230232607299</v>
      </c>
      <c r="V35" s="11" t="n">
        <f aca="false">V24*MIN(V31-V34,V33+Tax!V13-V34)</f>
        <v>3.97576870085284</v>
      </c>
      <c r="W35" s="11" t="n">
        <f aca="false">W24*MIN(W31-W34,W33+Tax!W13-W34)</f>
        <v>5.31461305413323</v>
      </c>
      <c r="X35" s="11" t="n">
        <f aca="false">X24*MIN(X31-X34,X33+Tax!X13-X34)</f>
        <v>5.22195757976122</v>
      </c>
      <c r="Y35" s="11" t="n">
        <f aca="false">Y24*MIN(Y31-Y34,Y33+Tax!Y13-Y34)</f>
        <v>5.05585803909715</v>
      </c>
      <c r="Z35" s="11" t="n">
        <f aca="false">Z24*MIN(Z31-Z34,Z33+Tax!Z13-Z34)</f>
        <v>5.82711218210334</v>
      </c>
      <c r="AA35" s="11" t="n">
        <f aca="false">AA24*MIN(AA31-AA34,AA33+Tax!AA13-AA34)</f>
        <v>0</v>
      </c>
      <c r="AB35" s="11" t="n">
        <f aca="false">AB24*MIN(AB31-AB34,AB33+Tax!AB13-AB34)</f>
        <v>0</v>
      </c>
      <c r="AC35" s="11" t="n">
        <f aca="false">AC24*MIN(AC31-AC34,AC33+Tax!AC13-AC34)</f>
        <v>0</v>
      </c>
      <c r="AD35" s="11" t="n">
        <f aca="false">AD24*MIN(AD31-AD34,AD33+Tax!AD13-AD34)</f>
        <v>0</v>
      </c>
      <c r="AE35" s="11" t="n">
        <f aca="false">AE24*MIN(AE31-AE34,AE33+Tax!AE13-AE34)</f>
        <v>0.530252993125889</v>
      </c>
      <c r="AF35" s="11" t="n">
        <f aca="false">AF24*MIN(AF31-AF34,AF33+Tax!AF13-AF34)</f>
        <v>2.06371725823404</v>
      </c>
      <c r="AG35" s="11" t="n">
        <f aca="false">AG24*MIN(AG31-AG34,AG33+Tax!AG13-AG34)</f>
        <v>2.99478422734467</v>
      </c>
      <c r="AH35" s="11" t="n">
        <f aca="false">AH24*MIN(AH31-AH34,AH33+Tax!AH13-AH34)</f>
        <v>4.40394136194983</v>
      </c>
      <c r="AI35" s="11" t="n">
        <f aca="false">AI24*MIN(AI31-AI34,AI33+Tax!AI13-AI34)</f>
        <v>5.62968613013649</v>
      </c>
      <c r="AJ35" s="11" t="n">
        <f aca="false">AJ24*MIN(AJ31-AJ34,AJ33+Tax!AJ13-AJ34)</f>
        <v>7.69554000264334</v>
      </c>
      <c r="AK35" s="11" t="n">
        <f aca="false">AK24*MIN(AK31-AK34,AK33+Tax!AK13-AK34)</f>
        <v>26.0176226861453</v>
      </c>
      <c r="AL35" s="11" t="n">
        <f aca="false">AL24*MIN(AL31-AL34,AL33+Tax!AL13-AL34)</f>
        <v>23.5019560002126</v>
      </c>
      <c r="AM35" s="11" t="n">
        <f aca="false">AM24*MIN(AM31-AM34,AM33+Tax!AM13-AM34)</f>
        <v>29.0368833794085</v>
      </c>
      <c r="AN35" s="11" t="n">
        <f aca="false">AN24*MIN(AN31-AN34,AN33+Tax!AN13-AN34)</f>
        <v>21.4797526162698</v>
      </c>
      <c r="AO35" s="11" t="n">
        <f aca="false">AO24*MIN(AO31-AO34,AO33+Tax!AO13-AO34)</f>
        <v>31.8242535028711</v>
      </c>
      <c r="AP35" s="11" t="n">
        <f aca="false">AP24*MIN(AP31-AP34,AP33+Tax!AP13-AP34)</f>
        <v>0</v>
      </c>
      <c r="AQ35" s="11" t="n">
        <f aca="false">AQ24*MIN(AQ31-AQ34,AQ33+Tax!AQ13-AQ34)</f>
        <v>0</v>
      </c>
      <c r="AR35" s="11" t="n">
        <f aca="false">AR24*MIN(AR31-AR34,AR33+Tax!AR13-AR34)</f>
        <v>0</v>
      </c>
      <c r="AS35" s="11" t="n">
        <f aca="false">AS24*MIN(AS31-AS34,AS33+Tax!AS13-AS34)</f>
        <v>0</v>
      </c>
      <c r="AT35" s="11" t="n">
        <f aca="false">AT24*MIN(AT31-AT34,AT33+Tax!AT13-AT34)</f>
        <v>0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754</v>
      </c>
      <c r="E36" s="0" t="s">
        <v>149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204.861412067266</v>
      </c>
      <c r="P36" s="11" t="n">
        <f aca="false">P33+Tax!P13-P34-P35</f>
        <v>199.325269590166</v>
      </c>
      <c r="Q36" s="11" t="n">
        <f aca="false">Q33+Tax!Q13-Q34-Q35</f>
        <v>195.897966939256</v>
      </c>
      <c r="R36" s="11" t="n">
        <f aca="false">R33+Tax!R13-R34-R35</f>
        <v>191.585179905255</v>
      </c>
      <c r="S36" s="11" t="n">
        <f aca="false">S33+Tax!S13-S34-S35</f>
        <v>187.690620544138</v>
      </c>
      <c r="T36" s="11" t="n">
        <f aca="false">T33+Tax!T13-T34-T35</f>
        <v>182.994672831881</v>
      </c>
      <c r="U36" s="11" t="n">
        <f aca="false">U33+Tax!U13-U34-U35</f>
        <v>179.071649571152</v>
      </c>
      <c r="V36" s="11" t="n">
        <f aca="false">V33+Tax!V13-V34-V35</f>
        <v>175.095880870299</v>
      </c>
      <c r="W36" s="11" t="n">
        <f aca="false">W33+Tax!W13-W34-W35</f>
        <v>169.781267816165</v>
      </c>
      <c r="X36" s="11" t="n">
        <f aca="false">X33+Tax!X13-X34-X35</f>
        <v>164.559310236404</v>
      </c>
      <c r="Y36" s="11" t="n">
        <f aca="false">Y33+Tax!Y13-Y34-Y35</f>
        <v>159.503452197307</v>
      </c>
      <c r="Z36" s="11" t="n">
        <f aca="false">Z33+Tax!Z13-Z34-Z35</f>
        <v>153.676340015204</v>
      </c>
      <c r="AA36" s="11" t="n">
        <f aca="false">AA33+Tax!AA13-AA34-AA35</f>
        <v>154.579833447742</v>
      </c>
      <c r="AB36" s="11" t="n">
        <f aca="false">AB33+Tax!AB13-AB34-AB35</f>
        <v>154.611702214937</v>
      </c>
      <c r="AC36" s="11" t="n">
        <f aca="false">AC33+Tax!AC13-AC34-AC35</f>
        <v>155.113088916391</v>
      </c>
      <c r="AD36" s="11" t="n">
        <f aca="false">AD33+Tax!AD13-AD34-AD35</f>
        <v>155.178390158341</v>
      </c>
      <c r="AE36" s="11" t="n">
        <f aca="false">AE33+Tax!AE13-AE34-AE35</f>
        <v>154.648137165216</v>
      </c>
      <c r="AF36" s="11" t="n">
        <f aca="false">AF33+Tax!AF13-AF34-AF35</f>
        <v>152.584419906982</v>
      </c>
      <c r="AG36" s="11" t="n">
        <f aca="false">AG33+Tax!AG13-AG34-AG35</f>
        <v>149.589635679637</v>
      </c>
      <c r="AH36" s="11" t="n">
        <f aca="false">AH33+Tax!AH13-AH34-AH35</f>
        <v>145.185694317687</v>
      </c>
      <c r="AI36" s="11" t="n">
        <f aca="false">AI33+Tax!AI13-AI34-AI35</f>
        <v>139.556008187551</v>
      </c>
      <c r="AJ36" s="11" t="n">
        <f aca="false">AJ33+Tax!AJ13-AJ34-AJ35</f>
        <v>131.860468184907</v>
      </c>
      <c r="AK36" s="11" t="n">
        <f aca="false">AK33+Tax!AK13-AK34-AK35</f>
        <v>105.842845498762</v>
      </c>
      <c r="AL36" s="11" t="n">
        <f aca="false">AL33+Tax!AL13-AL34-AL35</f>
        <v>82.3408894985494</v>
      </c>
      <c r="AM36" s="11" t="n">
        <f aca="false">AM33+Tax!AM13-AM34-AM35</f>
        <v>53.3040061191409</v>
      </c>
      <c r="AN36" s="11" t="n">
        <f aca="false">AN33+Tax!AN13-AN34-AN35</f>
        <v>31.8242535028711</v>
      </c>
      <c r="AO36" s="11" t="n">
        <f aca="false">AO33+Tax!AO13-AO34-AO35</f>
        <v>0</v>
      </c>
      <c r="AP36" s="11" t="n">
        <f aca="false">AP33+Tax!AP13-AP34-AP35</f>
        <v>0</v>
      </c>
      <c r="AQ36" s="11" t="n">
        <f aca="false">AQ33+Tax!AQ13-AQ34-AQ35</f>
        <v>0</v>
      </c>
      <c r="AR36" s="11" t="n">
        <f aca="false">AR33+Tax!AR13-AR34-AR35</f>
        <v>0</v>
      </c>
      <c r="AS36" s="11" t="n">
        <f aca="false">AS33+Tax!AS13-AS34-AS35</f>
        <v>0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755</v>
      </c>
      <c r="E37" s="0" t="s">
        <v>149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9.86995053826463</v>
      </c>
      <c r="P37" s="11" t="n">
        <f aca="false">MAX(0,O43+Financials!P14)</f>
        <v>17.5289808368085</v>
      </c>
      <c r="Q37" s="11" t="n">
        <f aca="false">MAX(0,P43+Financials!Q14)</f>
        <v>26.5637571372504</v>
      </c>
      <c r="R37" s="11" t="n">
        <f aca="false">MAX(0,Q43+Financials!R14)</f>
        <v>36.0187257335503</v>
      </c>
      <c r="S37" s="11" t="n">
        <f aca="false">MAX(0,R43+Financials!S14)</f>
        <v>46.7849133879395</v>
      </c>
      <c r="T37" s="11" t="n">
        <f aca="false">MAX(0,S43+Financials!T14)</f>
        <v>58.0523624679797</v>
      </c>
      <c r="U37" s="11" t="n">
        <f aca="false">MAX(0,T43+Financials!U14)</f>
        <v>70.3906453224989</v>
      </c>
      <c r="V37" s="11" t="n">
        <f aca="false">MAX(0,U43+Financials!V14)</f>
        <v>79.4458939642629</v>
      </c>
      <c r="W37" s="11" t="n">
        <f aca="false">MAX(0,V43+Financials!W14)</f>
        <v>93.1111160309471</v>
      </c>
      <c r="X37" s="11" t="n">
        <f aca="false">MAX(0,W43+Financials!X14)</f>
        <v>108.36994937261</v>
      </c>
      <c r="Y37" s="11" t="n">
        <f aca="false">MAX(0,X43+Financials!Y14)</f>
        <v>121.60524481596</v>
      </c>
      <c r="Z37" s="11" t="n">
        <f aca="false">MAX(0,Y43+Financials!Z14)</f>
        <v>129.54354684147</v>
      </c>
      <c r="AA37" s="11" t="n">
        <f aca="false">MAX(0,Z43+Financials!AA14)</f>
        <v>138.516065243592</v>
      </c>
      <c r="AB37" s="11" t="n">
        <f aca="false">MAX(0,AA43+Financials!AB14)</f>
        <v>148.069669531512</v>
      </c>
      <c r="AC37" s="11" t="n">
        <f aca="false">MAX(0,AB43+Financials!AC14)</f>
        <v>158.260132508951</v>
      </c>
      <c r="AD37" s="11" t="n">
        <f aca="false">MAX(0,AC43+Financials!AD14)</f>
        <v>158.584403289081</v>
      </c>
      <c r="AE37" s="11" t="n">
        <f aca="false">MAX(0,AD43+Financials!AE14)</f>
        <v>170.186976384905</v>
      </c>
      <c r="AF37" s="11" t="n">
        <f aca="false">MAX(0,AE43+Financials!AF14)</f>
        <v>183.364353008257</v>
      </c>
      <c r="AG37" s="11" t="n">
        <f aca="false">MAX(0,AF43+Financials!AG14)</f>
        <v>197.62717313515</v>
      </c>
      <c r="AH37" s="11" t="n">
        <f aca="false">MAX(0,AG43+Financials!AH14)</f>
        <v>212.864465582735</v>
      </c>
      <c r="AI37" s="11" t="n">
        <f aca="false">MAX(0,AH43+Financials!AI14)</f>
        <v>229.473831575167</v>
      </c>
      <c r="AJ37" s="11" t="n">
        <f aca="false">MAX(0,AI43+Financials!AJ14)</f>
        <v>247.20102646753</v>
      </c>
      <c r="AK37" s="11" t="n">
        <f aca="false">MAX(0,AJ43+Financials!AK14)</f>
        <v>266.244908253385</v>
      </c>
      <c r="AL37" s="11" t="n">
        <f aca="false">MAX(0,AK43+Financials!AL14)</f>
        <v>283.392903676199</v>
      </c>
      <c r="AM37" s="11" t="n">
        <f aca="false">MAX(0,AL43+Financials!AM14)</f>
        <v>304.551218585541</v>
      </c>
      <c r="AN37" s="11" t="n">
        <f aca="false">MAX(0,AM43+Financials!AN14)</f>
        <v>328.131723269595</v>
      </c>
      <c r="AO37" s="11" t="n">
        <f aca="false">MAX(0,AN43+Financials!AO14)</f>
        <v>352.906465473656</v>
      </c>
      <c r="AP37" s="11" t="n">
        <f aca="false">MAX(0,AO43+Financials!AP14)</f>
        <v>370.642109909297</v>
      </c>
      <c r="AQ37" s="11" t="n">
        <f aca="false">MAX(0,AP43+Financials!AQ14)</f>
        <v>355.169894098589</v>
      </c>
      <c r="AR37" s="11" t="n">
        <f aca="false">MAX(0,AQ43+Financials!AR14)</f>
        <v>340.19735968914</v>
      </c>
      <c r="AS37" s="11" t="n">
        <f aca="false">MAX(0,AR43+Financials!AS14)</f>
        <v>324.32019486816</v>
      </c>
      <c r="AT37" s="11" t="n">
        <f aca="false">MAX(0,AS43+Financials!AT14)</f>
        <v>297.28801894893</v>
      </c>
      <c r="AU37" s="11" t="n">
        <f aca="false">MAX(0,AT43+Financials!AU14)</f>
        <v>275.586487401505</v>
      </c>
      <c r="AV37" s="11" t="n">
        <f aca="false">MAX(0,AU43+Financials!AV14)</f>
        <v>259.99980635988</v>
      </c>
      <c r="AW37" s="11" t="n">
        <f aca="false">MAX(0,AV43+Financials!AW14)</f>
        <v>243.297407321235</v>
      </c>
      <c r="AX37" s="11" t="n">
        <f aca="false">MAX(0,AW43+Financials!AX14)</f>
        <v>226.573537934892</v>
      </c>
      <c r="AY37" s="11" t="n">
        <f aca="false">MAX(0,AX43+Financials!AY14)</f>
        <v>209.347778144596</v>
      </c>
      <c r="AZ37" s="11" t="n">
        <f aca="false">MAX(0,AY43+Financials!AZ14)</f>
        <v>192.636442936225</v>
      </c>
      <c r="BA37" s="11" t="n">
        <f aca="false">MAX(0,AZ43+Financials!BA14)</f>
        <v>175.306805341993</v>
      </c>
      <c r="BB37" s="11" t="n">
        <f aca="false">MAX(0,BA43+Financials!BB14)</f>
        <v>155.290983796037</v>
      </c>
      <c r="BC37" s="11" t="n">
        <f aca="false">MAX(0,BB43+Financials!BC14)</f>
        <v>138.185889067352</v>
      </c>
      <c r="BD37" s="11" t="n">
        <f aca="false">MAX(0,BC43+Financials!BD14)</f>
        <v>125.225930539164</v>
      </c>
      <c r="BE37" s="11" t="n">
        <f aca="false">MAX(0,BD43+Financials!BE14)</f>
        <v>117.7818094093</v>
      </c>
      <c r="BF37" s="11" t="n">
        <f aca="false">MAX(0,BE43+Financials!BF14)</f>
        <v>110.612073986057</v>
      </c>
      <c r="BG37" s="11" t="n">
        <f aca="false">MAX(0,BF43+Financials!BG14)</f>
        <v>102.937192503915</v>
      </c>
      <c r="BH37" s="11" t="n">
        <f aca="false">MAX(0,BG43+Financials!BH14)</f>
        <v>95.8098367690419</v>
      </c>
      <c r="BI37" s="11" t="n">
        <f aca="false">MAX(0,BH43+Financials!BI14)</f>
        <v>87.7481796030012</v>
      </c>
      <c r="BJ37" s="11" t="n">
        <f aca="false">MAX(0,BI43+Financials!BJ14)</f>
        <v>66.5481119131671</v>
      </c>
      <c r="BK37" s="11" t="n">
        <f aca="false">MAX(0,BJ43+Financials!BK14)</f>
        <v>51.4910896529105</v>
      </c>
      <c r="BL37" s="11" t="n">
        <f aca="false">MAX(0,BK43+Financials!BL14)</f>
        <v>43.5080516662798</v>
      </c>
      <c r="BM37" s="11" t="n">
        <f aca="false">MAX(0,BL43+Financials!BM14)</f>
        <v>10.7572092403083</v>
      </c>
      <c r="BN37" s="11" t="n">
        <f aca="false">MAX(0,BM43+Financials!BN14)</f>
        <v>0</v>
      </c>
    </row>
    <row r="38" customFormat="false" ht="15" hidden="false" customHeight="false" outlineLevel="0" collapsed="false">
      <c r="D38" s="0" t="s">
        <v>756</v>
      </c>
      <c r="E38" s="0" t="s">
        <v>149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0</v>
      </c>
      <c r="AL38" s="11" t="n">
        <f aca="false">AL24*MIN(AL31-AL34-AL35,AL37)</f>
        <v>0</v>
      </c>
      <c r="AM38" s="11" t="n">
        <f aca="false">AM24*MIN(AM31-AM34-AM35,AM37)</f>
        <v>0</v>
      </c>
      <c r="AN38" s="11" t="n">
        <f aca="false">AN24*MIN(AN31-AN34-AN35,AN37)</f>
        <v>0</v>
      </c>
      <c r="AO38" s="11" t="n">
        <f aca="false">AO24*MIN(AO31-AO34-AO35,AO37)</f>
        <v>8.51200829320846</v>
      </c>
      <c r="AP38" s="11" t="n">
        <f aca="false">AP24*MIN(AP31-AP34-AP35,AP37)</f>
        <v>41.8553230552979</v>
      </c>
      <c r="AQ38" s="11" t="n">
        <f aca="false">AQ24*MIN(AQ31-AQ34-AQ35,AQ37)</f>
        <v>41.4261240282784</v>
      </c>
      <c r="AR38" s="11" t="n">
        <f aca="false">AR24*MIN(AR31-AR34-AR35,AR37)</f>
        <v>42.0440281859729</v>
      </c>
      <c r="AS38" s="11" t="n">
        <f aca="false">AS24*MIN(AS31-AS34-AS35,AS37)</f>
        <v>41.4778377035045</v>
      </c>
      <c r="AT38" s="11" t="n">
        <f aca="false">AT24*MIN(AT31-AT34-AT35,AT37)</f>
        <v>47.0900929500161</v>
      </c>
      <c r="AU38" s="11" t="n">
        <f aca="false">AU24*MIN(AU31-AU34-AU35,AU37)</f>
        <v>42.4479272064973</v>
      </c>
      <c r="AV38" s="11" t="n">
        <f aca="false">AV24*MIN(AV31-AV34-AV35,AV37)</f>
        <v>43.68305656927</v>
      </c>
      <c r="AW38" s="11" t="n">
        <f aca="false">AW24*MIN(AW31-AW34-AW35,AW37)</f>
        <v>43.7899850073499</v>
      </c>
      <c r="AX38" s="11" t="n">
        <f aca="false">AX24*MIN(AX31-AX34-AX35,AX37)</f>
        <v>44.4351922012715</v>
      </c>
      <c r="AY38" s="11" t="n">
        <f aca="false">AY24*MIN(AY31-AY34-AY35,AY37)</f>
        <v>43.9968593767661</v>
      </c>
      <c r="AZ38" s="11" t="n">
        <f aca="false">AZ24*MIN(AZ31-AZ34-AZ35,AZ37)</f>
        <v>44.6373201088508</v>
      </c>
      <c r="BA38" s="11" t="n">
        <f aca="false">BA24*MIN(BA31-BA34-BA35,BA37)</f>
        <v>43.7548979493539</v>
      </c>
      <c r="BB38" s="11" t="n">
        <f aca="false">BB24*MIN(BB31-BB34-BB35,BB37)</f>
        <v>44.0712363167496</v>
      </c>
      <c r="BC38" s="11" t="n">
        <f aca="false">BC24*MIN(BC31-BC34-BC35,BC37)</f>
        <v>40.6870685639472</v>
      </c>
      <c r="BD38" s="11" t="n">
        <f aca="false">BD24*MIN(BD31-BD34-BD35,BD37)</f>
        <v>35.3004258138392</v>
      </c>
      <c r="BE38" s="11" t="n">
        <f aca="false">BE24*MIN(BE31-BE34-BE35,BE37)</f>
        <v>35.122520482594</v>
      </c>
      <c r="BF38" s="11" t="n">
        <f aca="false">BF24*MIN(BF31-BF34-BF35,BF37)</f>
        <v>35.7794523689352</v>
      </c>
      <c r="BG38" s="11" t="n">
        <f aca="false">BG24*MIN(BG31-BG34-BG35,BG37)</f>
        <v>35.3140745893409</v>
      </c>
      <c r="BH38" s="11" t="n">
        <f aca="false">BH24*MIN(BH31-BH34-BH35,BH37)</f>
        <v>35.9615944796383</v>
      </c>
      <c r="BI38" s="11" t="n">
        <f aca="false">BI24*MIN(BI31-BI34-BI35,BI37)</f>
        <v>35.3595825151869</v>
      </c>
      <c r="BJ38" s="11" t="n">
        <f aca="false">BJ24*MIN(BJ31-BJ34-BJ35,BJ37)</f>
        <v>42.1324549808026</v>
      </c>
      <c r="BK38" s="11" t="n">
        <f aca="false">BK24*MIN(BK31-BK34-BK35,BK37)</f>
        <v>36.6481335907073</v>
      </c>
      <c r="BL38" s="11" t="n">
        <f aca="false">BL24*MIN(BL31-BL34-BL35,BL37)</f>
        <v>38.5939777018221</v>
      </c>
      <c r="BM38" s="11" t="n">
        <f aca="false">BM24*MIN(BM31-BM34-BM35,BM37)</f>
        <v>10.7572092403083</v>
      </c>
      <c r="BN38" s="11" t="n">
        <f aca="false">BN24*MIN(BN31-BN34-BN35,BN37)</f>
        <v>0</v>
      </c>
    </row>
    <row r="39" customFormat="false" ht="15" hidden="false" customHeight="false" outlineLevel="0" collapsed="false">
      <c r="D39" s="0" t="s">
        <v>757</v>
      </c>
      <c r="E39" s="0" t="s">
        <v>149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44.3667535168115</v>
      </c>
      <c r="BN39" s="11" t="n">
        <f aca="false">BN24*(BN31-BN34-BN35-BN38)</f>
        <v>0</v>
      </c>
    </row>
    <row r="40" customFormat="false" ht="15" hidden="false" customHeight="false" outlineLevel="0" collapsed="false">
      <c r="D40" s="0" t="s">
        <v>758</v>
      </c>
      <c r="E40" s="0" t="s">
        <v>149</v>
      </c>
      <c r="G40" s="11" t="n">
        <f aca="false">SUM(J40:BN40)</f>
        <v>44.3667535168115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44.3667535168115</v>
      </c>
      <c r="BN40" s="11" t="n">
        <f aca="false">Time!BN32*(BN39+BN30+Reserves!BN9-Reserves!BN10+Reserves!BN11-Reserves!BN12)</f>
        <v>0</v>
      </c>
    </row>
    <row r="41" customFormat="false" ht="15" hidden="false" customHeight="false" outlineLevel="0" collapsed="false">
      <c r="D41" s="0" t="s">
        <v>759</v>
      </c>
      <c r="E41" s="0" t="s">
        <v>149</v>
      </c>
      <c r="G41" s="11" t="n">
        <f aca="false">SUM(J41:BN41)</f>
        <v>999.245136796321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0</v>
      </c>
      <c r="AL41" s="11" t="n">
        <f aca="false">AL38+AL40</f>
        <v>0</v>
      </c>
      <c r="AM41" s="11" t="n">
        <f aca="false">AM38+AM40</f>
        <v>0</v>
      </c>
      <c r="AN41" s="11" t="n">
        <f aca="false">AN38+AN40</f>
        <v>0</v>
      </c>
      <c r="AO41" s="11" t="n">
        <f aca="false">AO38+AO40</f>
        <v>8.51200829320846</v>
      </c>
      <c r="AP41" s="11" t="n">
        <f aca="false">AP38+AP40</f>
        <v>41.8553230552979</v>
      </c>
      <c r="AQ41" s="11" t="n">
        <f aca="false">AQ38+AQ40</f>
        <v>41.4261240282784</v>
      </c>
      <c r="AR41" s="11" t="n">
        <f aca="false">AR38+AR40</f>
        <v>42.0440281859729</v>
      </c>
      <c r="AS41" s="11" t="n">
        <f aca="false">AS38+AS40</f>
        <v>41.4778377035045</v>
      </c>
      <c r="AT41" s="11" t="n">
        <f aca="false">AT38+AT40</f>
        <v>47.0900929500161</v>
      </c>
      <c r="AU41" s="11" t="n">
        <f aca="false">AU38+AU40</f>
        <v>42.4479272064973</v>
      </c>
      <c r="AV41" s="11" t="n">
        <f aca="false">AV38+AV40</f>
        <v>43.68305656927</v>
      </c>
      <c r="AW41" s="11" t="n">
        <f aca="false">AW38+AW40</f>
        <v>43.7899850073499</v>
      </c>
      <c r="AX41" s="11" t="n">
        <f aca="false">AX38+AX40</f>
        <v>44.4351922012715</v>
      </c>
      <c r="AY41" s="11" t="n">
        <f aca="false">AY38+AY40</f>
        <v>43.9968593767661</v>
      </c>
      <c r="AZ41" s="11" t="n">
        <f aca="false">AZ38+AZ40</f>
        <v>44.6373201088508</v>
      </c>
      <c r="BA41" s="11" t="n">
        <f aca="false">BA38+BA40</f>
        <v>43.7548979493539</v>
      </c>
      <c r="BB41" s="11" t="n">
        <f aca="false">BB38+BB40</f>
        <v>44.0712363167496</v>
      </c>
      <c r="BC41" s="11" t="n">
        <f aca="false">BC38+BC40</f>
        <v>40.6870685639472</v>
      </c>
      <c r="BD41" s="11" t="n">
        <f aca="false">BD38+BD40</f>
        <v>35.3004258138392</v>
      </c>
      <c r="BE41" s="11" t="n">
        <f aca="false">BE38+BE40</f>
        <v>35.122520482594</v>
      </c>
      <c r="BF41" s="11" t="n">
        <f aca="false">BF38+BF40</f>
        <v>35.7794523689352</v>
      </c>
      <c r="BG41" s="11" t="n">
        <f aca="false">BG38+BG40</f>
        <v>35.3140745893409</v>
      </c>
      <c r="BH41" s="11" t="n">
        <f aca="false">BH38+BH40</f>
        <v>35.9615944796383</v>
      </c>
      <c r="BI41" s="11" t="n">
        <f aca="false">BI38+BI40</f>
        <v>35.3595825151869</v>
      </c>
      <c r="BJ41" s="11" t="n">
        <f aca="false">BJ38+BJ40</f>
        <v>42.1324549808026</v>
      </c>
      <c r="BK41" s="11" t="n">
        <f aca="false">BK38+BK40</f>
        <v>36.6481335907073</v>
      </c>
      <c r="BL41" s="11" t="n">
        <f aca="false">BL38+BL40</f>
        <v>38.5939777018221</v>
      </c>
      <c r="BM41" s="11" t="n">
        <f aca="false">BM38+BM40</f>
        <v>55.1239627571198</v>
      </c>
      <c r="BN41" s="11" t="n">
        <f aca="false">BN38+BN40</f>
        <v>0</v>
      </c>
    </row>
    <row r="42" customFormat="false" ht="15" hidden="false" customHeight="false" outlineLevel="0" collapsed="false">
      <c r="D42" s="0" t="s">
        <v>760</v>
      </c>
      <c r="E42" s="0" t="s">
        <v>149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761</v>
      </c>
      <c r="E43" s="0" t="s">
        <v>149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9.86995053826463</v>
      </c>
      <c r="P43" s="11" t="n">
        <f aca="false">IF(Time!P17&lt;Time!$F$11,0,O43+Financials!P14-P41)</f>
        <v>17.5289808368085</v>
      </c>
      <c r="Q43" s="11" t="n">
        <f aca="false">IF(Time!Q17&lt;Time!$F$11,0,P43+Financials!Q14-Q41)</f>
        <v>26.5637571372504</v>
      </c>
      <c r="R43" s="11" t="n">
        <f aca="false">IF(Time!R17&lt;Time!$F$11,0,Q43+Financials!R14-R41)</f>
        <v>36.0187257335503</v>
      </c>
      <c r="S43" s="11" t="n">
        <f aca="false">IF(Time!S17&lt;Time!$F$11,0,R43+Financials!S14-S41)</f>
        <v>46.7849133879395</v>
      </c>
      <c r="T43" s="11" t="n">
        <f aca="false">IF(Time!T17&lt;Time!$F$11,0,S43+Financials!T14-T41)</f>
        <v>58.0523624679797</v>
      </c>
      <c r="U43" s="11" t="n">
        <f aca="false">IF(Time!U17&lt;Time!$F$11,0,T43+Financials!U14-U41)</f>
        <v>70.3906453224989</v>
      </c>
      <c r="V43" s="11" t="n">
        <f aca="false">IF(Time!V17&lt;Time!$F$11,0,U43+Financials!V14-V41)</f>
        <v>79.4458939642629</v>
      </c>
      <c r="W43" s="11" t="n">
        <f aca="false">IF(Time!W17&lt;Time!$F$11,0,V43+Financials!W14-W41)</f>
        <v>93.1111160309471</v>
      </c>
      <c r="X43" s="11" t="n">
        <f aca="false">IF(Time!X17&lt;Time!$F$11,0,W43+Financials!X14-X41)</f>
        <v>108.36994937261</v>
      </c>
      <c r="Y43" s="11" t="n">
        <f aca="false">IF(Time!Y17&lt;Time!$F$11,0,X43+Financials!Y14-Y41)</f>
        <v>121.60524481596</v>
      </c>
      <c r="Z43" s="11" t="n">
        <f aca="false">IF(Time!Z17&lt;Time!$F$11,0,Y43+Financials!Z14-Z41)</f>
        <v>129.54354684147</v>
      </c>
      <c r="AA43" s="11" t="n">
        <f aca="false">IF(Time!AA17&lt;Time!$F$11,0,Z43+Financials!AA14-AA41)</f>
        <v>138.516065243592</v>
      </c>
      <c r="AB43" s="11" t="n">
        <f aca="false">IF(Time!AB17&lt;Time!$F$11,0,AA43+Financials!AB14-AB41)</f>
        <v>148.069669531512</v>
      </c>
      <c r="AC43" s="11" t="n">
        <f aca="false">IF(Time!AC17&lt;Time!$F$11,0,AB43+Financials!AC14-AC41)</f>
        <v>158.260132508951</v>
      </c>
      <c r="AD43" s="11" t="n">
        <f aca="false">IF(Time!AD17&lt;Time!$F$11,0,AC43+Financials!AD14-AD41)</f>
        <v>158.584403289081</v>
      </c>
      <c r="AE43" s="11" t="n">
        <f aca="false">IF(Time!AE17&lt;Time!$F$11,0,AD43+Financials!AE14-AE41)</f>
        <v>170.186976384905</v>
      </c>
      <c r="AF43" s="11" t="n">
        <f aca="false">IF(Time!AF17&lt;Time!$F$11,0,AE43+Financials!AF14-AF41)</f>
        <v>183.364353008257</v>
      </c>
      <c r="AG43" s="11" t="n">
        <f aca="false">IF(Time!AG17&lt;Time!$F$11,0,AF43+Financials!AG14-AG41)</f>
        <v>197.62717313515</v>
      </c>
      <c r="AH43" s="11" t="n">
        <f aca="false">IF(Time!AH17&lt;Time!$F$11,0,AG43+Financials!AH14-AH41)</f>
        <v>212.864465582735</v>
      </c>
      <c r="AI43" s="11" t="n">
        <f aca="false">IF(Time!AI17&lt;Time!$F$11,0,AH43+Financials!AI14-AI41)</f>
        <v>229.473831575167</v>
      </c>
      <c r="AJ43" s="11" t="n">
        <f aca="false">IF(Time!AJ17&lt;Time!$F$11,0,AI43+Financials!AJ14-AJ41)</f>
        <v>247.20102646753</v>
      </c>
      <c r="AK43" s="11" t="n">
        <f aca="false">IF(Time!AK17&lt;Time!$F$11,0,AJ43+Financials!AK14-AK41)</f>
        <v>266.244908253385</v>
      </c>
      <c r="AL43" s="11" t="n">
        <f aca="false">IF(Time!AL17&lt;Time!$F$11,0,AK43+Financials!AL14-AL41)</f>
        <v>283.392903676199</v>
      </c>
      <c r="AM43" s="11" t="n">
        <f aca="false">IF(Time!AM17&lt;Time!$F$11,0,AL43+Financials!AM14-AM41)</f>
        <v>304.551218585541</v>
      </c>
      <c r="AN43" s="11" t="n">
        <f aca="false">IF(Time!AN17&lt;Time!$F$11,0,AM43+Financials!AN14-AN41)</f>
        <v>328.131723269595</v>
      </c>
      <c r="AO43" s="11" t="n">
        <f aca="false">IF(Time!AO17&lt;Time!$F$11,0,AN43+Financials!AO14-AO41)</f>
        <v>344.394457180447</v>
      </c>
      <c r="AP43" s="11" t="n">
        <f aca="false">IF(Time!AP17&lt;Time!$F$11,0,AO43+Financials!AP14-AP41)</f>
        <v>328.786786853999</v>
      </c>
      <c r="AQ43" s="11" t="n">
        <f aca="false">IF(Time!AQ17&lt;Time!$F$11,0,AP43+Financials!AQ14-AQ41)</f>
        <v>313.743770070311</v>
      </c>
      <c r="AR43" s="11" t="n">
        <f aca="false">IF(Time!AR17&lt;Time!$F$11,0,AQ43+Financials!AR14-AR41)</f>
        <v>298.153331503167</v>
      </c>
      <c r="AS43" s="11" t="n">
        <f aca="false">IF(Time!AS17&lt;Time!$F$11,0,AR43+Financials!AS14-AS41)</f>
        <v>282.842357164655</v>
      </c>
      <c r="AT43" s="11" t="n">
        <f aca="false">IF(Time!AT17&lt;Time!$F$11,0,AS43+Financials!AT14-AT41)</f>
        <v>250.197925998914</v>
      </c>
      <c r="AU43" s="11" t="n">
        <f aca="false">IF(Time!AU17&lt;Time!$F$11,0,AT43+Financials!AU14-AU41)</f>
        <v>233.138560195008</v>
      </c>
      <c r="AV43" s="11" t="n">
        <f aca="false">IF(Time!AV17&lt;Time!$F$11,0,AU43+Financials!AV14-AV41)</f>
        <v>216.31674979061</v>
      </c>
      <c r="AW43" s="11" t="n">
        <f aca="false">IF(Time!AW17&lt;Time!$F$11,0,AV43+Financials!AW14-AW41)</f>
        <v>199.507422313885</v>
      </c>
      <c r="AX43" s="11" t="n">
        <f aca="false">IF(Time!AX17&lt;Time!$F$11,0,AW43+Financials!AX14-AX41)</f>
        <v>182.138345733621</v>
      </c>
      <c r="AY43" s="11" t="n">
        <f aca="false">IF(Time!AY17&lt;Time!$F$11,0,AX43+Financials!AY14-AY41)</f>
        <v>165.35091876783</v>
      </c>
      <c r="AZ43" s="11" t="n">
        <f aca="false">IF(Time!AZ17&lt;Time!$F$11,0,AY43+Financials!AZ14-AZ41)</f>
        <v>147.999122827374</v>
      </c>
      <c r="BA43" s="11" t="n">
        <f aca="false">IF(Time!BA17&lt;Time!$F$11,0,AZ43+Financials!BA14-BA41)</f>
        <v>131.551907392639</v>
      </c>
      <c r="BB43" s="11" t="n">
        <f aca="false">IF(Time!BB17&lt;Time!$F$11,0,BA43+Financials!BB14-BB41)</f>
        <v>111.219747479287</v>
      </c>
      <c r="BC43" s="11" t="n">
        <f aca="false">IF(Time!BC17&lt;Time!$F$11,0,BB43+Financials!BC14-BC41)</f>
        <v>97.4988205034051</v>
      </c>
      <c r="BD43" s="11" t="n">
        <f aca="false">IF(Time!BD17&lt;Time!$F$11,0,BC43+Financials!BD14-BD41)</f>
        <v>89.9255047253244</v>
      </c>
      <c r="BE43" s="11" t="n">
        <f aca="false">IF(Time!BE17&lt;Time!$F$11,0,BD43+Financials!BE14-BE41)</f>
        <v>82.6592889267065</v>
      </c>
      <c r="BF43" s="11" t="n">
        <f aca="false">IF(Time!BF17&lt;Time!$F$11,0,BE43+Financials!BF14-BF41)</f>
        <v>74.8326216171217</v>
      </c>
      <c r="BG43" s="11" t="n">
        <f aca="false">IF(Time!BG17&lt;Time!$F$11,0,BF43+Financials!BG14-BG41)</f>
        <v>67.6231179145741</v>
      </c>
      <c r="BH43" s="11" t="n">
        <f aca="false">IF(Time!BH17&lt;Time!$F$11,0,BG43+Financials!BH14-BH41)</f>
        <v>59.8482422894035</v>
      </c>
      <c r="BI43" s="11" t="n">
        <f aca="false">IF(Time!BI17&lt;Time!$F$11,0,BH43+Financials!BI14-BI41)</f>
        <v>52.3885970878143</v>
      </c>
      <c r="BJ43" s="11" t="n">
        <f aca="false">IF(Time!BJ17&lt;Time!$F$11,0,BI43+Financials!BJ14-BJ41)</f>
        <v>24.4156569323646</v>
      </c>
      <c r="BK43" s="11" t="n">
        <f aca="false">IF(Time!BK17&lt;Time!$F$11,0,BJ43+Financials!BK14-BK41)</f>
        <v>14.8429560622032</v>
      </c>
      <c r="BL43" s="11" t="n">
        <f aca="false">IF(Time!BL17&lt;Time!$F$11,0,BK43+Financials!BL14-BL41)</f>
        <v>4.91407396445776</v>
      </c>
      <c r="BM43" s="11" t="n">
        <f aca="false">IF(Time!BM17&lt;Time!$F$11,0,BL43+Financials!BM14-BM41)</f>
        <v>-44.3667535168115</v>
      </c>
      <c r="BN43" s="11" t="n">
        <f aca="false">IF(Time!BN17&lt;Time!$F$11,0,BM43+Financials!BN14-BN41)</f>
        <v>-44.3667535168115</v>
      </c>
    </row>
    <row r="44" customFormat="false" ht="15" hidden="false" customHeight="false" outlineLevel="0" collapsed="false">
      <c r="D44" s="0" t="s">
        <v>762</v>
      </c>
      <c r="E44" s="0" t="s">
        <v>149</v>
      </c>
      <c r="G44" s="11" t="n">
        <f aca="false">SUM(J44:BN44)</f>
        <v>1390.95079986935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15.3470396906232</v>
      </c>
      <c r="Q44" s="11" t="n">
        <f aca="false">Q34+Q35+Q41</f>
        <v>12.817434186808</v>
      </c>
      <c r="R44" s="11" t="n">
        <f aca="false">R34+R35+R41</f>
        <v>13.6944211767362</v>
      </c>
      <c r="S44" s="11" t="n">
        <f aca="false">S34+S35+S41</f>
        <v>12.9200584528173</v>
      </c>
      <c r="T44" s="11" t="n">
        <f aca="false">T34+T35+T41</f>
        <v>13.6845286632475</v>
      </c>
      <c r="U44" s="11" t="n">
        <f aca="false">U34+U35+U41</f>
        <v>12.5914558450127</v>
      </c>
      <c r="V44" s="11" t="n">
        <f aca="false">V34+V35+V41</f>
        <v>12.5515835899042</v>
      </c>
      <c r="W44" s="11" t="n">
        <f aca="false">W34+W35+W41</f>
        <v>13.5633080447217</v>
      </c>
      <c r="X44" s="11" t="n">
        <f aca="false">X34+X35+X41</f>
        <v>13.3528522686011</v>
      </c>
      <c r="Y44" s="11" t="n">
        <f aca="false">Y34+Y35+Y41</f>
        <v>12.8081795172204</v>
      </c>
      <c r="Z44" s="11" t="n">
        <f aca="false">Z34+Z35+Z41</f>
        <v>13.4657980571963</v>
      </c>
      <c r="AA44" s="11" t="n">
        <f aca="false">AA34+AA35+AA41</f>
        <v>6.3361357909179</v>
      </c>
      <c r="AB44" s="11" t="n">
        <f aca="false">AB34+AB35+AB41</f>
        <v>7.37102298257586</v>
      </c>
      <c r="AC44" s="11" t="n">
        <f aca="false">AC34+AC35+AC41</f>
        <v>6.82254845278294</v>
      </c>
      <c r="AD44" s="11" t="n">
        <f aca="false">AD34+AD35+AD41</f>
        <v>7.36312833136017</v>
      </c>
      <c r="AE44" s="11" t="n">
        <f aca="false">AE34+AE35+AE41</f>
        <v>7.8406431815442</v>
      </c>
      <c r="AF44" s="11" t="n">
        <f aca="false">AF34+AF35+AF41</f>
        <v>9.46988010110519</v>
      </c>
      <c r="AG44" s="11" t="n">
        <f aca="false">AG34+AG35+AG41</f>
        <v>10.1829735432366</v>
      </c>
      <c r="AH44" s="11" t="n">
        <f aca="false">AH34+AH35+AH41</f>
        <v>11.5678504898404</v>
      </c>
      <c r="AI44" s="11" t="n">
        <f aca="false">AI34+AI35+AI41</f>
        <v>12.4693245240889</v>
      </c>
      <c r="AJ44" s="11" t="n">
        <f aca="false">AJ34+AJ35+AJ41</f>
        <v>14.3789345865293</v>
      </c>
      <c r="AK44" s="11" t="n">
        <f aca="false">AK34+AK35+AK41</f>
        <v>32.2638350009865</v>
      </c>
      <c r="AL44" s="11" t="n">
        <f aca="false">AL34+AL35+AL41</f>
        <v>28.5708133682081</v>
      </c>
      <c r="AM44" s="11" t="n">
        <f aca="false">AM34+AM35+AM41</f>
        <v>32.9159288449634</v>
      </c>
      <c r="AN44" s="11" t="n">
        <f aca="false">AN34+AN35+AN41</f>
        <v>24.0325033750714</v>
      </c>
      <c r="AO44" s="11" t="n">
        <f aca="false">AO34+AO35+AO41</f>
        <v>41.8354893001395</v>
      </c>
      <c r="AP44" s="11" t="n">
        <f aca="false">AP34+AP35+AP41</f>
        <v>41.8553230552979</v>
      </c>
      <c r="AQ44" s="11" t="n">
        <f aca="false">AQ34+AQ35+AQ41</f>
        <v>41.4261240282784</v>
      </c>
      <c r="AR44" s="11" t="n">
        <f aca="false">AR34+AR35+AR41</f>
        <v>42.0440281859729</v>
      </c>
      <c r="AS44" s="11" t="n">
        <f aca="false">AS34+AS35+AS41</f>
        <v>41.4778377035045</v>
      </c>
      <c r="AT44" s="11" t="n">
        <f aca="false">AT34+AT35+AT41</f>
        <v>47.0900929500161</v>
      </c>
      <c r="AU44" s="11" t="n">
        <f aca="false">AU34+AU35+AU41</f>
        <v>42.4479272064973</v>
      </c>
      <c r="AV44" s="11" t="n">
        <f aca="false">AV34+AV35+AV41</f>
        <v>43.68305656927</v>
      </c>
      <c r="AW44" s="11" t="n">
        <f aca="false">AW34+AW35+AW41</f>
        <v>43.7899850073499</v>
      </c>
      <c r="AX44" s="11" t="n">
        <f aca="false">AX34+AX35+AX41</f>
        <v>44.4351922012715</v>
      </c>
      <c r="AY44" s="11" t="n">
        <f aca="false">AY34+AY35+AY41</f>
        <v>43.9968593767661</v>
      </c>
      <c r="AZ44" s="11" t="n">
        <f aca="false">AZ34+AZ35+AZ41</f>
        <v>44.6373201088508</v>
      </c>
      <c r="BA44" s="11" t="n">
        <f aca="false">BA34+BA35+BA41</f>
        <v>43.7548979493539</v>
      </c>
      <c r="BB44" s="11" t="n">
        <f aca="false">BB34+BB35+BB41</f>
        <v>44.0712363167496</v>
      </c>
      <c r="BC44" s="11" t="n">
        <f aca="false">BC34+BC35+BC41</f>
        <v>40.6870685639472</v>
      </c>
      <c r="BD44" s="11" t="n">
        <f aca="false">BD34+BD35+BD41</f>
        <v>35.3004258138392</v>
      </c>
      <c r="BE44" s="11" t="n">
        <f aca="false">BE34+BE35+BE41</f>
        <v>35.122520482594</v>
      </c>
      <c r="BF44" s="11" t="n">
        <f aca="false">BF34+BF35+BF41</f>
        <v>35.7794523689352</v>
      </c>
      <c r="BG44" s="11" t="n">
        <f aca="false">BG34+BG35+BG41</f>
        <v>35.3140745893409</v>
      </c>
      <c r="BH44" s="11" t="n">
        <f aca="false">BH34+BH35+BH41</f>
        <v>35.9615944796383</v>
      </c>
      <c r="BI44" s="11" t="n">
        <f aca="false">BI34+BI35+BI41</f>
        <v>35.3595825151869</v>
      </c>
      <c r="BJ44" s="11" t="n">
        <f aca="false">BJ34+BJ35+BJ41</f>
        <v>42.1324549808026</v>
      </c>
      <c r="BK44" s="11" t="n">
        <f aca="false">BK34+BK35+BK41</f>
        <v>36.6481335907073</v>
      </c>
      <c r="BL44" s="11" t="n">
        <f aca="false">BL34+BL35+BL41</f>
        <v>38.5939777018221</v>
      </c>
      <c r="BM44" s="11" t="n">
        <f aca="false">BM34+BM35+BM41</f>
        <v>55.1239627571198</v>
      </c>
      <c r="BN44" s="11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763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346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764</v>
      </c>
    </row>
    <row r="8" customFormat="false" ht="15" hidden="false" customHeight="false" outlineLevel="0" collapsed="false">
      <c r="D8" s="0" t="s">
        <v>765</v>
      </c>
      <c r="E8" s="0" t="s">
        <v>149</v>
      </c>
      <c r="G8" s="11" t="n">
        <f aca="false">SUM(J8:BN8)</f>
        <v>836.686552347281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5.57791034898187</v>
      </c>
      <c r="P8" s="11" t="n">
        <f aca="false">Funding!$F$76/300*Time!P25</f>
        <v>16.7337310469456</v>
      </c>
      <c r="Q8" s="11" t="n">
        <f aca="false">Funding!$F$76/300*Time!Q25</f>
        <v>16.7337310469456</v>
      </c>
      <c r="R8" s="11" t="n">
        <f aca="false">Funding!$F$76/300*Time!R25</f>
        <v>16.7337310469456</v>
      </c>
      <c r="S8" s="11" t="n">
        <f aca="false">Funding!$F$76/300*Time!S25</f>
        <v>16.7337310469456</v>
      </c>
      <c r="T8" s="11" t="n">
        <f aca="false">Funding!$F$76/300*Time!T25</f>
        <v>16.7337310469456</v>
      </c>
      <c r="U8" s="11" t="n">
        <f aca="false">Funding!$F$76/300*Time!U25</f>
        <v>16.7337310469456</v>
      </c>
      <c r="V8" s="11" t="n">
        <f aca="false">Funding!$F$76/300*Time!V25</f>
        <v>16.7337310469456</v>
      </c>
      <c r="W8" s="11" t="n">
        <f aca="false">Funding!$F$76/300*Time!W25</f>
        <v>16.7337310469456</v>
      </c>
      <c r="X8" s="11" t="n">
        <f aca="false">Funding!$F$76/300*Time!X25</f>
        <v>16.7337310469456</v>
      </c>
      <c r="Y8" s="11" t="n">
        <f aca="false">Funding!$F$76/300*Time!Y25</f>
        <v>16.7337310469456</v>
      </c>
      <c r="Z8" s="11" t="n">
        <f aca="false">Funding!$F$76/300*Time!Z25</f>
        <v>16.7337310469456</v>
      </c>
      <c r="AA8" s="11" t="n">
        <f aca="false">Funding!$F$76/300*Time!AA25</f>
        <v>16.7337310469456</v>
      </c>
      <c r="AB8" s="11" t="n">
        <f aca="false">Funding!$F$76/300*Time!AB25</f>
        <v>16.7337310469456</v>
      </c>
      <c r="AC8" s="11" t="n">
        <f aca="false">Funding!$F$76/300*Time!AC25</f>
        <v>16.7337310469456</v>
      </c>
      <c r="AD8" s="11" t="n">
        <f aca="false">Funding!$F$76/300*Time!AD25</f>
        <v>16.7337310469456</v>
      </c>
      <c r="AE8" s="11" t="n">
        <f aca="false">Funding!$F$76/300*Time!AE25</f>
        <v>16.7337310469456</v>
      </c>
      <c r="AF8" s="11" t="n">
        <f aca="false">Funding!$F$76/300*Time!AF25</f>
        <v>16.7337310469456</v>
      </c>
      <c r="AG8" s="11" t="n">
        <f aca="false">Funding!$F$76/300*Time!AG25</f>
        <v>16.7337310469456</v>
      </c>
      <c r="AH8" s="11" t="n">
        <f aca="false">Funding!$F$76/300*Time!AH25</f>
        <v>16.7337310469456</v>
      </c>
      <c r="AI8" s="11" t="n">
        <f aca="false">Funding!$F$76/300*Time!AI25</f>
        <v>16.7337310469456</v>
      </c>
      <c r="AJ8" s="11" t="n">
        <f aca="false">Funding!$F$76/300*Time!AJ25</f>
        <v>16.7337310469456</v>
      </c>
      <c r="AK8" s="11" t="n">
        <f aca="false">Funding!$F$76/300*Time!AK25</f>
        <v>16.7337310469456</v>
      </c>
      <c r="AL8" s="11" t="n">
        <f aca="false">Funding!$F$76/300*Time!AL25</f>
        <v>16.7337310469456</v>
      </c>
      <c r="AM8" s="11" t="n">
        <f aca="false">Funding!$F$76/300*Time!AM25</f>
        <v>16.7337310469456</v>
      </c>
      <c r="AN8" s="11" t="n">
        <f aca="false">Funding!$F$76/300*Time!AN25</f>
        <v>16.7337310469456</v>
      </c>
      <c r="AO8" s="11" t="n">
        <f aca="false">Funding!$F$76/300*Time!AO25</f>
        <v>16.7337310469456</v>
      </c>
      <c r="AP8" s="11" t="n">
        <f aca="false">Funding!$F$76/300*Time!AP25</f>
        <v>16.7337310469456</v>
      </c>
      <c r="AQ8" s="11" t="n">
        <f aca="false">Funding!$F$76/300*Time!AQ25</f>
        <v>16.7337310469456</v>
      </c>
      <c r="AR8" s="11" t="n">
        <f aca="false">Funding!$F$76/300*Time!AR25</f>
        <v>16.7337310469456</v>
      </c>
      <c r="AS8" s="11" t="n">
        <f aca="false">Funding!$F$76/300*Time!AS25</f>
        <v>16.7337310469456</v>
      </c>
      <c r="AT8" s="11" t="n">
        <f aca="false">Funding!$F$76/300*Time!AT25</f>
        <v>16.7337310469456</v>
      </c>
      <c r="AU8" s="11" t="n">
        <f aca="false">Funding!$F$76/300*Time!AU25</f>
        <v>16.7337310469456</v>
      </c>
      <c r="AV8" s="11" t="n">
        <f aca="false">Funding!$F$76/300*Time!AV25</f>
        <v>16.7337310469456</v>
      </c>
      <c r="AW8" s="11" t="n">
        <f aca="false">Funding!$F$76/300*Time!AW25</f>
        <v>16.7337310469456</v>
      </c>
      <c r="AX8" s="11" t="n">
        <f aca="false">Funding!$F$76/300*Time!AX25</f>
        <v>16.7337310469456</v>
      </c>
      <c r="AY8" s="11" t="n">
        <f aca="false">Funding!$F$76/300*Time!AY25</f>
        <v>16.7337310469456</v>
      </c>
      <c r="AZ8" s="11" t="n">
        <f aca="false">Funding!$F$76/300*Time!AZ25</f>
        <v>16.7337310469456</v>
      </c>
      <c r="BA8" s="11" t="n">
        <f aca="false">Funding!$F$76/300*Time!BA25</f>
        <v>16.7337310469456</v>
      </c>
      <c r="BB8" s="11" t="n">
        <f aca="false">Funding!$F$76/300*Time!BB25</f>
        <v>16.7337310469456</v>
      </c>
      <c r="BC8" s="11" t="n">
        <f aca="false">Funding!$F$76/300*Time!BC25</f>
        <v>16.7337310469456</v>
      </c>
      <c r="BD8" s="11" t="n">
        <f aca="false">Funding!$F$76/300*Time!BD25</f>
        <v>16.7337310469456</v>
      </c>
      <c r="BE8" s="11" t="n">
        <f aca="false">Funding!$F$76/300*Time!BE25</f>
        <v>16.7337310469456</v>
      </c>
      <c r="BF8" s="11" t="n">
        <f aca="false">Funding!$F$76/300*Time!BF25</f>
        <v>16.7337310469456</v>
      </c>
      <c r="BG8" s="11" t="n">
        <f aca="false">Funding!$F$76/300*Time!BG25</f>
        <v>16.7337310469456</v>
      </c>
      <c r="BH8" s="11" t="n">
        <f aca="false">Funding!$F$76/300*Time!BH25</f>
        <v>16.7337310469456</v>
      </c>
      <c r="BI8" s="11" t="n">
        <f aca="false">Funding!$F$76/300*Time!BI25</f>
        <v>16.7337310469456</v>
      </c>
      <c r="BJ8" s="11" t="n">
        <f aca="false">Funding!$F$76/300*Time!BJ25</f>
        <v>16.7337310469456</v>
      </c>
      <c r="BK8" s="11" t="n">
        <f aca="false">Funding!$F$76/300*Time!BK25</f>
        <v>16.7337310469456</v>
      </c>
      <c r="BL8" s="11" t="n">
        <f aca="false">Funding!$F$76/300*Time!BL25</f>
        <v>16.7337310469456</v>
      </c>
      <c r="BM8" s="11" t="n">
        <f aca="false">Funding!$F$76/300*Time!BM25</f>
        <v>11.1558206979637</v>
      </c>
      <c r="BN8" s="11" t="n">
        <f aca="false">Funding!$F$76/300*Time!BN25</f>
        <v>0</v>
      </c>
    </row>
    <row r="9" customFormat="false" ht="15" hidden="false" customHeight="false" outlineLevel="0" collapsed="false">
      <c r="D9" s="0" t="s">
        <v>766</v>
      </c>
      <c r="E9" s="0" t="s">
        <v>149</v>
      </c>
      <c r="G9" s="11" t="n">
        <f aca="false">SUM(J9:BN9)</f>
        <v>503.14565689355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3.20169334249331</v>
      </c>
      <c r="P9" s="11" t="n">
        <f aca="false">Debt!P119+Debt!P117+Debt!P111-Debt!P110+Tax!P13</f>
        <v>31.5670778498749</v>
      </c>
      <c r="Q9" s="11" t="n">
        <f aca="false">Debt!Q119+Debt!Q117+Debt!Q111-Debt!Q110+Tax!Q13</f>
        <v>30.4018816614571</v>
      </c>
      <c r="R9" s="11" t="n">
        <f aca="false">Debt!R119+Debt!R117+Debt!R111-Debt!R110+Tax!R13</f>
        <v>30.0658578849822</v>
      </c>
      <c r="S9" s="11" t="n">
        <f aca="false">Debt!S119+Debt!S117+Debt!S111-Debt!S110+Tax!S13</f>
        <v>28.9190393019581</v>
      </c>
      <c r="T9" s="11" t="n">
        <f aca="false">Debt!T119+Debt!T117+Debt!T111-Debt!T110+Tax!T13</f>
        <v>28.4978031749763</v>
      </c>
      <c r="U9" s="11" t="n">
        <f aca="false">Debt!U119+Debt!U117+Debt!U111-Debt!U110+Tax!U13</f>
        <v>27.4153604295177</v>
      </c>
      <c r="V9" s="11" t="n">
        <f aca="false">Debt!V119+Debt!V117+Debt!V111-Debt!V110+Tax!V13</f>
        <v>26.8102269524629</v>
      </c>
      <c r="W9" s="11" t="n">
        <f aca="false">Debt!W119+Debt!W117+Debt!W111-Debt!W110+Tax!W13</f>
        <v>25.6053908073569</v>
      </c>
      <c r="X9" s="11" t="n">
        <f aca="false">Debt!X119+Debt!X117+Debt!X111-Debt!X110+Tax!X13</f>
        <v>24.964814227694</v>
      </c>
      <c r="Y9" s="11" t="n">
        <f aca="false">Debt!Y119+Debt!Y117+Debt!Y111-Debt!Y110+Tax!Y13</f>
        <v>24.2203832948962</v>
      </c>
      <c r="Z9" s="11" t="n">
        <f aca="false">Debt!Z119+Debt!Z117+Debt!Z111-Debt!Z110+Tax!Z13</f>
        <v>23.5749203253052</v>
      </c>
      <c r="AA9" s="11" t="n">
        <f aca="false">Debt!AA119+Debt!AA117+Debt!AA111-Debt!AA110+Tax!AA13</f>
        <v>22.2678483786251</v>
      </c>
      <c r="AB9" s="11" t="n">
        <f aca="false">Debt!AB119+Debt!AB117+Debt!AB111-Debt!AB110+Tax!AB13</f>
        <v>21.5213763953289</v>
      </c>
      <c r="AC9" s="11" t="n">
        <f aca="false">Debt!AC119+Debt!AC117+Debt!AC111-Debt!AC110+Tax!AC13</f>
        <v>20.2054662683237</v>
      </c>
      <c r="AD9" s="11" t="n">
        <f aca="false">Debt!AD119+Debt!AD117+Debt!AD111-Debt!AD110+Tax!AD13</f>
        <v>19.2794820375375</v>
      </c>
      <c r="AE9" s="11" t="n">
        <f aca="false">Debt!AE119+Debt!AE117+Debt!AE111-Debt!AE110+Tax!AE13</f>
        <v>17.8546469081382</v>
      </c>
      <c r="AF9" s="11" t="n">
        <f aca="false">Debt!AF119+Debt!AF117+Debt!AF111-Debt!AF110+Tax!AF13</f>
        <v>16.8313246421124</v>
      </c>
      <c r="AG9" s="11" t="n">
        <f aca="false">Debt!AG119+Debt!AG117+Debt!AG111-Debt!AG110+Tax!AG13</f>
        <v>15.424203683767</v>
      </c>
      <c r="AH9" s="11" t="n">
        <f aca="false">Debt!AH119+Debt!AH117+Debt!AH111-Debt!AH110+Tax!AH13</f>
        <v>14.1250250985316</v>
      </c>
      <c r="AI9" s="11" t="n">
        <f aca="false">Debt!AI119+Debt!AI117+Debt!AI111-Debt!AI110+Tax!AI13</f>
        <v>12.3447445537978</v>
      </c>
      <c r="AJ9" s="11" t="n">
        <f aca="false">Debt!AJ119+Debt!AJ117+Debt!AJ111-Debt!AJ110+Tax!AJ13</f>
        <v>10.8381287839089</v>
      </c>
      <c r="AK9" s="11" t="n">
        <f aca="false">Debt!AK119+Debt!AK117+Debt!AK111-Debt!AK110+Tax!AK13</f>
        <v>8.96489064012811</v>
      </c>
      <c r="AL9" s="11" t="n">
        <f aca="false">Debt!AL119+Debt!AL117+Debt!AL111-Debt!AL110+Tax!AL13</f>
        <v>7.2425106194171</v>
      </c>
      <c r="AM9" s="11" t="n">
        <f aca="false">Debt!AM119+Debt!AM117+Debt!AM111-Debt!AM110+Tax!AM13</f>
        <v>5.46023451495631</v>
      </c>
      <c r="AN9" s="11" t="n">
        <f aca="false">Debt!AN119+Debt!AN117+Debt!AN111-Debt!AN110+Tax!AN13</f>
        <v>3.54484422791173</v>
      </c>
      <c r="AO9" s="11" t="n">
        <f aca="false">Debt!AO119+Debt!AO117+Debt!AO111-Debt!AO110+Tax!AO13</f>
        <v>1.99648088809053</v>
      </c>
      <c r="AP9" s="11" t="n">
        <f aca="false">Debt!AP119+Debt!AP117+Debt!AP111-Debt!AP110+Tax!AP13</f>
        <v>0</v>
      </c>
      <c r="AQ9" s="11" t="n">
        <f aca="false">Debt!AQ119+Debt!AQ117+Debt!AQ111-Debt!AQ110+Tax!AQ13</f>
        <v>0</v>
      </c>
      <c r="AR9" s="11" t="n">
        <f aca="false">Debt!AR119+Debt!AR117+Debt!AR111-Debt!AR110+Tax!AR13</f>
        <v>0</v>
      </c>
      <c r="AS9" s="11" t="n">
        <f aca="false">Debt!AS119+Debt!AS117+Debt!AS111-Debt!AS110+Tax!AS13</f>
        <v>0</v>
      </c>
      <c r="AT9" s="11" t="n">
        <f aca="false">Debt!AT119+Debt!AT117+Debt!AT111-Debt!AT110+Tax!AT13</f>
        <v>0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767</v>
      </c>
      <c r="E10" s="0" t="s">
        <v>149</v>
      </c>
      <c r="J10" s="11" t="n">
        <f aca="false">Funding!$F$76-SUM(Tax!J$10:J$10)</f>
        <v>836.686552347281</v>
      </c>
      <c r="K10" s="11" t="n">
        <f aca="false">Funding!$F$76-SUM(Tax!$J$10:K$10)</f>
        <v>836.686552347281</v>
      </c>
      <c r="L10" s="11" t="n">
        <f aca="false">Funding!$F$76-SUM(Tax!$J$10:L$10)</f>
        <v>836.686552347281</v>
      </c>
      <c r="M10" s="11" t="n">
        <f aca="false">Funding!$F$76-SUM(Tax!$J$10:M$10)</f>
        <v>836.686552347281</v>
      </c>
      <c r="N10" s="11" t="n">
        <f aca="false">Funding!$F$76-SUM(Tax!$J$10:N$10)</f>
        <v>836.686552347281</v>
      </c>
      <c r="O10" s="11" t="n">
        <f aca="false">Funding!$F$76-SUM(Tax!$J$10:O$10)</f>
        <v>829.156373376155</v>
      </c>
      <c r="P10" s="11" t="n">
        <f aca="false">Funding!$F$76-SUM(Tax!$J$10:P$10)</f>
        <v>806.565836462779</v>
      </c>
      <c r="Q10" s="11" t="n">
        <f aca="false">Funding!$F$76-SUM(Tax!$J$10:Q$10)</f>
        <v>783.975299549402</v>
      </c>
      <c r="R10" s="11" t="n">
        <f aca="false">Funding!$F$76-SUM(Tax!$J$10:R$10)</f>
        <v>761.384762636025</v>
      </c>
      <c r="S10" s="11" t="n">
        <f aca="false">Funding!$F$76-SUM(Tax!$J$10:S$10)</f>
        <v>738.794225722649</v>
      </c>
      <c r="T10" s="11" t="n">
        <f aca="false">Funding!$F$76-SUM(Tax!$J$10:T$10)</f>
        <v>716.203688809272</v>
      </c>
      <c r="U10" s="11" t="n">
        <f aca="false">Funding!$F$76-SUM(Tax!$J$10:U$10)</f>
        <v>693.613151895896</v>
      </c>
      <c r="V10" s="11" t="n">
        <f aca="false">Funding!$F$76-SUM(Tax!$J$10:V$10)</f>
        <v>671.022614982519</v>
      </c>
      <c r="W10" s="11" t="n">
        <f aca="false">Funding!$F$76-SUM(Tax!$J$10:W$10)</f>
        <v>648.432078069142</v>
      </c>
      <c r="X10" s="11" t="n">
        <f aca="false">Funding!$F$76-SUM(Tax!$J$10:X$10)</f>
        <v>625.841541155766</v>
      </c>
      <c r="Y10" s="11" t="n">
        <f aca="false">Funding!$F$76-SUM(Tax!$J$10:Y$10)</f>
        <v>604.087690794737</v>
      </c>
      <c r="Z10" s="11" t="n">
        <f aca="false">Funding!$F$76-SUM(Tax!$J$10:Z$10)</f>
        <v>584.007213538402</v>
      </c>
      <c r="AA10" s="11" t="n">
        <f aca="false">Funding!$F$76-SUM(Tax!$J$10:AA$10)</f>
        <v>563.926736282067</v>
      </c>
      <c r="AB10" s="11" t="n">
        <f aca="false">Funding!$F$76-SUM(Tax!$J$10:AB$10)</f>
        <v>543.846259025732</v>
      </c>
      <c r="AC10" s="11" t="n">
        <f aca="false">Funding!$F$76-SUM(Tax!$J$10:AC$10)</f>
        <v>523.765781769398</v>
      </c>
      <c r="AD10" s="11" t="n">
        <f aca="false">Funding!$F$76-SUM(Tax!$J$10:AD$10)</f>
        <v>503.685304513063</v>
      </c>
      <c r="AE10" s="11" t="n">
        <f aca="false">Funding!$F$76-SUM(Tax!$J$10:AE$10)</f>
        <v>483.604827256728</v>
      </c>
      <c r="AF10" s="11" t="n">
        <f aca="false">Funding!$F$76-SUM(Tax!$J$10:AF$10)</f>
        <v>463.524350000393</v>
      </c>
      <c r="AG10" s="11" t="n">
        <f aca="false">Funding!$F$76-SUM(Tax!$J$10:AG$10)</f>
        <v>443.443872744059</v>
      </c>
      <c r="AH10" s="11" t="n">
        <f aca="false">Funding!$F$76-SUM(Tax!$J$10:AH$10)</f>
        <v>423.363395487724</v>
      </c>
      <c r="AI10" s="11" t="n">
        <f aca="false">Funding!$F$76-SUM(Tax!$J$10:AI$10)</f>
        <v>403.282918231389</v>
      </c>
      <c r="AJ10" s="11" t="n">
        <f aca="false">Funding!$F$76-SUM(Tax!$J$10:AJ$10)</f>
        <v>383.202440975054</v>
      </c>
      <c r="AK10" s="11" t="n">
        <f aca="false">Funding!$F$76-SUM(Tax!$J$10:AK$10)</f>
        <v>363.12196371872</v>
      </c>
      <c r="AL10" s="11" t="n">
        <f aca="false">Funding!$F$76-SUM(Tax!$J$10:AL$10)</f>
        <v>343.041486462385</v>
      </c>
      <c r="AM10" s="11" t="n">
        <f aca="false">Funding!$F$76-SUM(Tax!$J$10:AM$10)</f>
        <v>322.96100920605</v>
      </c>
      <c r="AN10" s="11" t="n">
        <f aca="false">Funding!$F$76-SUM(Tax!$J$10:AN$10)</f>
        <v>302.880531949716</v>
      </c>
      <c r="AO10" s="11" t="n">
        <f aca="false">Funding!$F$76-SUM(Tax!$J$10:AO$10)</f>
        <v>282.800054693381</v>
      </c>
      <c r="AP10" s="11" t="n">
        <f aca="false">Funding!$F$76-SUM(Tax!$J$10:AP$10)</f>
        <v>262.719577437046</v>
      </c>
      <c r="AQ10" s="11" t="n">
        <f aca="false">Funding!$F$76-SUM(Tax!$J$10:AQ$10)</f>
        <v>242.639100180711</v>
      </c>
      <c r="AR10" s="11" t="n">
        <f aca="false">Funding!$F$76-SUM(Tax!$J$10:AR$10)</f>
        <v>222.558622924377</v>
      </c>
      <c r="AS10" s="11" t="n">
        <f aca="false">Funding!$F$76-SUM(Tax!$J$10:AS$10)</f>
        <v>202.478145668042</v>
      </c>
      <c r="AT10" s="11" t="n">
        <f aca="false">Funding!$F$76-SUM(Tax!$J$10:AT$10)</f>
        <v>182.397668411707</v>
      </c>
      <c r="AU10" s="11" t="n">
        <f aca="false">Funding!$F$76-SUM(Tax!$J$10:AU$10)</f>
        <v>162.317191155372</v>
      </c>
      <c r="AV10" s="11" t="n">
        <f aca="false">Funding!$F$76-SUM(Tax!$J$10:AV$10)</f>
        <v>142.236713899038</v>
      </c>
      <c r="AW10" s="11" t="n">
        <f aca="false">Funding!$F$76-SUM(Tax!$J$10:AW$10)</f>
        <v>122.156236642703</v>
      </c>
      <c r="AX10" s="11" t="n">
        <f aca="false">Funding!$F$76-SUM(Tax!$J$10:AX$10)</f>
        <v>102.075759386368</v>
      </c>
      <c r="AY10" s="11" t="n">
        <f aca="false">Funding!$F$76-SUM(Tax!$J$10:AY$10)</f>
        <v>81.9952821300335</v>
      </c>
      <c r="AZ10" s="11" t="n">
        <f aca="false">Funding!$F$76-SUM(Tax!$J$10:AZ$10)</f>
        <v>61.9148048736987</v>
      </c>
      <c r="BA10" s="11" t="n">
        <f aca="false">Funding!$F$76-SUM(Tax!$J$10:BA$10)</f>
        <v>41.834327617364</v>
      </c>
      <c r="BB10" s="11" t="n">
        <f aca="false">Funding!$F$76-SUM(Tax!$J$10:BB$10)</f>
        <v>21.7538503610292</v>
      </c>
      <c r="BC10" s="11" t="n">
        <f aca="false">Funding!$F$76-SUM(Tax!$J$10:BC$10)</f>
        <v>8.08797000602363</v>
      </c>
      <c r="BD10" s="11" t="n">
        <f aca="false">Funding!$F$76-SUM(Tax!$J$10:BD$10)</f>
        <v>7.25128345367637</v>
      </c>
      <c r="BE10" s="11" t="n">
        <f aca="false">Funding!$F$76-SUM(Tax!$J$10:BE$10)</f>
        <v>6.41459690132911</v>
      </c>
      <c r="BF10" s="11" t="n">
        <f aca="false">Funding!$F$76-SUM(Tax!$J$10:BF$10)</f>
        <v>5.57791034898173</v>
      </c>
      <c r="BG10" s="11" t="n">
        <f aca="false">Funding!$F$76-SUM(Tax!$J$10:BG$10)</f>
        <v>4.74122379663447</v>
      </c>
      <c r="BH10" s="11" t="n">
        <f aca="false">Funding!$F$76-SUM(Tax!$J$10:BH$10)</f>
        <v>3.90453724428721</v>
      </c>
      <c r="BI10" s="11" t="n">
        <f aca="false">Funding!$F$76-SUM(Tax!$J$10:BI$10)</f>
        <v>3.06785069193995</v>
      </c>
      <c r="BJ10" s="11" t="n">
        <f aca="false">Funding!$F$76-SUM(Tax!$J$10:BJ$10)</f>
        <v>2.23116413959269</v>
      </c>
      <c r="BK10" s="11" t="n">
        <f aca="false">Funding!$F$76-SUM(Tax!$J$10:BK$10)</f>
        <v>1.39447758724543</v>
      </c>
      <c r="BL10" s="11" t="n">
        <f aca="false">Funding!$F$76-SUM(Tax!$J$10:BL$10)</f>
        <v>0.55779103489806</v>
      </c>
      <c r="BM10" s="11" t="n">
        <f aca="false">Funding!$F$76-SUM(Tax!$J$10:BM$10)</f>
        <v>0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768</v>
      </c>
      <c r="E11" s="0" t="s">
        <v>149</v>
      </c>
      <c r="J11" s="11" t="n">
        <f aca="false">Funding!$F$76-SUM(J$8:J$8)</f>
        <v>836.686552347281</v>
      </c>
      <c r="K11" s="11" t="n">
        <f aca="false">Funding!$F$76-SUM($J$8:K$8)</f>
        <v>836.686552347281</v>
      </c>
      <c r="L11" s="11" t="n">
        <f aca="false">Funding!$F$76-SUM($J$8:L$8)</f>
        <v>836.686552347281</v>
      </c>
      <c r="M11" s="11" t="n">
        <f aca="false">Funding!$F$76-SUM($J$8:M$8)</f>
        <v>836.686552347281</v>
      </c>
      <c r="N11" s="11" t="n">
        <f aca="false">Funding!$F$76-SUM($J$8:N$8)</f>
        <v>836.686552347281</v>
      </c>
      <c r="O11" s="11" t="n">
        <f aca="false">Funding!$F$76-SUM($J$8:O$8)</f>
        <v>831.108641998299</v>
      </c>
      <c r="P11" s="11" t="n">
        <f aca="false">Funding!$F$76-SUM($J$8:P$8)</f>
        <v>814.374910951353</v>
      </c>
      <c r="Q11" s="11" t="n">
        <f aca="false">Funding!$F$76-SUM($J$8:Q$8)</f>
        <v>797.641179904408</v>
      </c>
      <c r="R11" s="11" t="n">
        <f aca="false">Funding!$F$76-SUM($J$8:R$8)</f>
        <v>780.907448857462</v>
      </c>
      <c r="S11" s="11" t="n">
        <f aca="false">Funding!$F$76-SUM($J$8:S$8)</f>
        <v>764.173717810516</v>
      </c>
      <c r="T11" s="11" t="n">
        <f aca="false">Funding!$F$76-SUM($J$8:T$8)</f>
        <v>747.439986763571</v>
      </c>
      <c r="U11" s="11" t="n">
        <f aca="false">Funding!$F$76-SUM($J$8:U$8)</f>
        <v>730.706255716625</v>
      </c>
      <c r="V11" s="11" t="n">
        <f aca="false">Funding!$F$76-SUM($J$8:V$8)</f>
        <v>713.97252466968</v>
      </c>
      <c r="W11" s="11" t="n">
        <f aca="false">Funding!$F$76-SUM($J$8:W$8)</f>
        <v>697.238793622734</v>
      </c>
      <c r="X11" s="11" t="n">
        <f aca="false">Funding!$F$76-SUM($J$8:X$8)</f>
        <v>680.505062575788</v>
      </c>
      <c r="Y11" s="11" t="n">
        <f aca="false">Funding!$F$76-SUM($J$8:Y$8)</f>
        <v>663.771331528843</v>
      </c>
      <c r="Z11" s="11" t="n">
        <f aca="false">Funding!$F$76-SUM($J$8:Z$8)</f>
        <v>647.037600481897</v>
      </c>
      <c r="AA11" s="11" t="n">
        <f aca="false">Funding!$F$76-SUM($J$8:AA$8)</f>
        <v>630.303869434951</v>
      </c>
      <c r="AB11" s="11" t="n">
        <f aca="false">Funding!$F$76-SUM($J$8:AB$8)</f>
        <v>613.570138388006</v>
      </c>
      <c r="AC11" s="11" t="n">
        <f aca="false">Funding!$F$76-SUM($J$8:AC$8)</f>
        <v>596.83640734106</v>
      </c>
      <c r="AD11" s="11" t="n">
        <f aca="false">Funding!$F$76-SUM($J$8:AD$8)</f>
        <v>580.102676294115</v>
      </c>
      <c r="AE11" s="11" t="n">
        <f aca="false">Funding!$F$76-SUM($J$8:AE$8)</f>
        <v>563.368945247169</v>
      </c>
      <c r="AF11" s="11" t="n">
        <f aca="false">Funding!$F$76-SUM($J$8:AF$8)</f>
        <v>546.635214200223</v>
      </c>
      <c r="AG11" s="11" t="n">
        <f aca="false">Funding!$F$76-SUM($J$8:AG$8)</f>
        <v>529.901483153278</v>
      </c>
      <c r="AH11" s="11" t="n">
        <f aca="false">Funding!$F$76-SUM($J$8:AH$8)</f>
        <v>513.167752106332</v>
      </c>
      <c r="AI11" s="11" t="n">
        <f aca="false">Funding!$F$76-SUM($J$8:AI$8)</f>
        <v>496.434021059387</v>
      </c>
      <c r="AJ11" s="11" t="n">
        <f aca="false">Funding!$F$76-SUM($J$8:AJ$8)</f>
        <v>479.700290012441</v>
      </c>
      <c r="AK11" s="11" t="n">
        <f aca="false">Funding!$F$76-SUM($J$8:AK$8)</f>
        <v>462.966558965495</v>
      </c>
      <c r="AL11" s="11" t="n">
        <f aca="false">Funding!$F$76-SUM($J$8:AL$8)</f>
        <v>446.23282791855</v>
      </c>
      <c r="AM11" s="11" t="n">
        <f aca="false">Funding!$F$76-SUM($J$8:AM$8)</f>
        <v>429.499096871604</v>
      </c>
      <c r="AN11" s="11" t="n">
        <f aca="false">Funding!$F$76-SUM($J$8:AN$8)</f>
        <v>412.765365824659</v>
      </c>
      <c r="AO11" s="11" t="n">
        <f aca="false">Funding!$F$76-SUM($J$8:AO$8)</f>
        <v>396.031634777713</v>
      </c>
      <c r="AP11" s="11" t="n">
        <f aca="false">Funding!$F$76-SUM($J$8:AP$8)</f>
        <v>379.297903730767</v>
      </c>
      <c r="AQ11" s="11" t="n">
        <f aca="false">Funding!$F$76-SUM($J$8:AQ$8)</f>
        <v>362.564172683822</v>
      </c>
      <c r="AR11" s="11" t="n">
        <f aca="false">Funding!$F$76-SUM($J$8:AR$8)</f>
        <v>345.830441636876</v>
      </c>
      <c r="AS11" s="11" t="n">
        <f aca="false">Funding!$F$76-SUM($J$8:AS$8)</f>
        <v>329.09671058993</v>
      </c>
      <c r="AT11" s="11" t="n">
        <f aca="false">Funding!$F$76-SUM($J$8:AT$8)</f>
        <v>312.362979542985</v>
      </c>
      <c r="AU11" s="11" t="n">
        <f aca="false">Funding!$F$76-SUM($J$8:AU$8)</f>
        <v>295.629248496039</v>
      </c>
      <c r="AV11" s="11" t="n">
        <f aca="false">Funding!$F$76-SUM($J$8:AV$8)</f>
        <v>278.895517449094</v>
      </c>
      <c r="AW11" s="11" t="n">
        <f aca="false">Funding!$F$76-SUM($J$8:AW$8)</f>
        <v>262.161786402148</v>
      </c>
      <c r="AX11" s="11" t="n">
        <f aca="false">Funding!$F$76-SUM($J$8:AX$8)</f>
        <v>245.428055355202</v>
      </c>
      <c r="AY11" s="11" t="n">
        <f aca="false">Funding!$F$76-SUM($J$8:AY$8)</f>
        <v>228.694324308257</v>
      </c>
      <c r="AZ11" s="11" t="n">
        <f aca="false">Funding!$F$76-SUM($J$8:AZ$8)</f>
        <v>211.960593261311</v>
      </c>
      <c r="BA11" s="11" t="n">
        <f aca="false">Funding!$F$76-SUM($J$8:BA$8)</f>
        <v>195.226862214365</v>
      </c>
      <c r="BB11" s="11" t="n">
        <f aca="false">Funding!$F$76-SUM($J$8:BB$8)</f>
        <v>178.49313116742</v>
      </c>
      <c r="BC11" s="11" t="n">
        <f aca="false">Funding!$F$76-SUM($J$8:BC$8)</f>
        <v>161.759400120474</v>
      </c>
      <c r="BD11" s="11" t="n">
        <f aca="false">Funding!$F$76-SUM($J$8:BD$8)</f>
        <v>145.025669073529</v>
      </c>
      <c r="BE11" s="11" t="n">
        <f aca="false">Funding!$F$76-SUM($J$8:BE$8)</f>
        <v>128.291938026583</v>
      </c>
      <c r="BF11" s="11" t="n">
        <f aca="false">Funding!$F$76-SUM($J$8:BF$8)</f>
        <v>111.558206979637</v>
      </c>
      <c r="BG11" s="11" t="n">
        <f aca="false">Funding!$F$76-SUM($J$8:BG$8)</f>
        <v>94.8244759326917</v>
      </c>
      <c r="BH11" s="11" t="n">
        <f aca="false">Funding!$F$76-SUM($J$8:BH$8)</f>
        <v>78.0907448857462</v>
      </c>
      <c r="BI11" s="11" t="n">
        <f aca="false">Funding!$F$76-SUM($J$8:BI$8)</f>
        <v>61.3570138388005</v>
      </c>
      <c r="BJ11" s="11" t="n">
        <f aca="false">Funding!$F$76-SUM($J$8:BJ$8)</f>
        <v>44.6232827918549</v>
      </c>
      <c r="BK11" s="11" t="n">
        <f aca="false">Funding!$F$76-SUM($J$8:BK$8)</f>
        <v>27.8895517449092</v>
      </c>
      <c r="BL11" s="11" t="n">
        <f aca="false">Funding!$F$76-SUM($J$8:BL$8)</f>
        <v>11.1558206979637</v>
      </c>
      <c r="BM11" s="11" t="n">
        <f aca="false">Funding!$F$76-SUM($J$8:BM$8)</f>
        <v>0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769</v>
      </c>
      <c r="E12" s="0" t="s">
        <v>149</v>
      </c>
      <c r="J12" s="11" t="n">
        <f aca="false">IF(Time!J17&gt;=Time!$F$11,Inputs!$F$184/100*(J11-J10-Tax!J21),0)</f>
        <v>0</v>
      </c>
      <c r="K12" s="11" t="n">
        <f aca="false">IF(Time!K17&gt;=Time!$F$11,Inputs!$F$184/100*(K11-K10-Tax!K21),0)</f>
        <v>0</v>
      </c>
      <c r="L12" s="11" t="n">
        <f aca="false">IF(Time!L17&gt;=Time!$F$11,Inputs!$F$184/100*(L11-L10-Tax!L21),0)</f>
        <v>0</v>
      </c>
      <c r="M12" s="11" t="n">
        <f aca="false">IF(Time!M17&gt;=Time!$F$11,Inputs!$F$184/100*(M11-M10-Tax!M21),0)</f>
        <v>0</v>
      </c>
      <c r="N12" s="11" t="n">
        <f aca="false">IF(Time!N17&gt;=Time!$F$11,Inputs!$F$184/100*(N11-N10-Tax!N21),0)</f>
        <v>0</v>
      </c>
      <c r="O12" s="11" t="n">
        <f aca="false">IF(Time!O17&gt;=Time!$F$11,Inputs!$F$184/100*(O11-O10-Tax!O21),0)</f>
        <v>-1.67337310469454</v>
      </c>
      <c r="P12" s="11" t="n">
        <f aca="false">IF(Time!P17&gt;=Time!$F$11,Inputs!$F$184/100*(P11-P10-Tax!P21),0)</f>
        <v>-6.69349241877824</v>
      </c>
      <c r="Q12" s="11" t="n">
        <f aca="false">IF(Time!Q17&gt;=Time!$F$11,Inputs!$F$184/100*(Q11-Q10-Tax!Q21),0)</f>
        <v>-11.7136117328619</v>
      </c>
      <c r="R12" s="11" t="n">
        <f aca="false">IF(Time!R17&gt;=Time!$F$11,Inputs!$F$184/100*(R11-R10-Tax!R21),0)</f>
        <v>-16.7337310469456</v>
      </c>
      <c r="S12" s="11" t="n">
        <f aca="false">IF(Time!S17&gt;=Time!$F$11,Inputs!$F$184/100*(S11-S10-Tax!S21),0)</f>
        <v>-21.7538503610293</v>
      </c>
      <c r="T12" s="11" t="n">
        <f aca="false">IF(Time!T17&gt;=Time!$F$11,Inputs!$F$184/100*(T11-T10-Tax!T21),0)</f>
        <v>-26.773969675113</v>
      </c>
      <c r="U12" s="11" t="n">
        <f aca="false">IF(Time!U17&gt;=Time!$F$11,Inputs!$F$184/100*(U11-U10-Tax!U21),0)</f>
        <v>-31.7940889891967</v>
      </c>
      <c r="V12" s="11" t="n">
        <f aca="false">IF(Time!V17&gt;=Time!$F$11,Inputs!$F$184/100*(V11-V10-Tax!V21),0)</f>
        <v>-36.8142083032803</v>
      </c>
      <c r="W12" s="11" t="n">
        <f aca="false">IF(Time!W17&gt;=Time!$F$11,Inputs!$F$184/100*(W11-W10-Tax!W21),0)</f>
        <v>-41.834327617364</v>
      </c>
      <c r="X12" s="11" t="n">
        <f aca="false">IF(Time!X17&gt;=Time!$F$11,Inputs!$F$184/100*(X11-X10-Tax!X21),0)</f>
        <v>-46.8544469314477</v>
      </c>
      <c r="Y12" s="11" t="n">
        <f aca="false">IF(Time!Y17&gt;=Time!$F$11,Inputs!$F$184/100*(Y11-Y10-Tax!Y21),0)</f>
        <v>-49.0893987348512</v>
      </c>
      <c r="Z12" s="11" t="n">
        <f aca="false">IF(Time!Z17&gt;=Time!$F$11,Inputs!$F$184/100*(Z11-Z10-Tax!Z21),0)</f>
        <v>-45.5356436627746</v>
      </c>
      <c r="AA12" s="11" t="n">
        <f aca="false">IF(Time!AA17&gt;=Time!$F$11,Inputs!$F$184/100*(AA11-AA10-Tax!AA21),0)</f>
        <v>-41.5377487852339</v>
      </c>
      <c r="AB12" s="11" t="n">
        <f aca="false">IF(Time!AB17&gt;=Time!$F$11,Inputs!$F$184/100*(AB11-AB10-Tax!AB21),0)</f>
        <v>-37.2899945639688</v>
      </c>
      <c r="AC12" s="11" t="n">
        <f aca="false">IF(Time!AC17&gt;=Time!$F$11,Inputs!$F$184/100*(AC11-AC10-Tax!AC21),0)</f>
        <v>-32.7702857664727</v>
      </c>
      <c r="AD12" s="11" t="n">
        <f aca="false">IF(Time!AD17&gt;=Time!$F$11,Inputs!$F$184/100*(AD11-AD10-Tax!AD21),0)</f>
        <v>-31.766261903656</v>
      </c>
      <c r="AE12" s="11" t="n">
        <f aca="false">IF(Time!AE17&gt;=Time!$F$11,Inputs!$F$184/100*(AE11-AE10-Tax!AE21),0)</f>
        <v>-27.360678212059</v>
      </c>
      <c r="AF12" s="11" t="n">
        <f aca="false">IF(Time!AF17&gt;=Time!$F$11,Inputs!$F$184/100*(AF11-AF10-Tax!AF21),0)</f>
        <v>-21.5569795395981</v>
      </c>
      <c r="AG12" s="11" t="n">
        <f aca="false">IF(Time!AG17&gt;=Time!$F$11,Inputs!$F$184/100*(AG11-AG10-Tax!AG21),0)</f>
        <v>-15.2874085547703</v>
      </c>
      <c r="AH12" s="11" t="n">
        <f aca="false">IF(Time!AH17&gt;=Time!$F$11,Inputs!$F$184/100*(AH11-AH10-Tax!AH21),0)</f>
        <v>-8.59973452235238</v>
      </c>
      <c r="AI12" s="11" t="n">
        <f aca="false">IF(Time!AI17&gt;=Time!$F$11,Inputs!$F$184/100*(AI11-AI10-Tax!AI21),0)</f>
        <v>-1.32305293951926</v>
      </c>
      <c r="AJ12" s="11" t="n">
        <f aca="false">IF(Time!AJ17&gt;=Time!$F$11,Inputs!$F$184/100*(AJ11-AJ10-Tax!AJ21),0)</f>
        <v>6.43359346451276</v>
      </c>
      <c r="AK12" s="11" t="n">
        <f aca="false">IF(Time!AK17&gt;=Time!$F$11,Inputs!$F$184/100*(AK11-AK10-Tax!AK21),0)</f>
        <v>14.7546648951197</v>
      </c>
      <c r="AL12" s="11" t="n">
        <f aca="false">IF(Time!AL17&gt;=Time!$F$11,Inputs!$F$184/100*(AL11-AL10-Tax!AL21),0)</f>
        <v>22.2601863085639</v>
      </c>
      <c r="AM12" s="11" t="n">
        <f aca="false">IF(Time!AM17&gt;=Time!$F$11,Inputs!$F$184/100*(AM11-AM10-Tax!AM21),0)</f>
        <v>31.4871003112244</v>
      </c>
      <c r="AN12" s="11" t="n">
        <f aca="false">IF(Time!AN17&gt;=Time!$F$11,Inputs!$F$184/100*(AN11-AN10-Tax!AN21),0)</f>
        <v>32.9654501624829</v>
      </c>
      <c r="AO12" s="11" t="n">
        <f aca="false">IF(Time!AO17&gt;=Time!$F$11,Inputs!$F$184/100*(AO11-AO10-Tax!AO21),0)</f>
        <v>33.9694740252996</v>
      </c>
      <c r="AP12" s="11" t="n">
        <f aca="false">IF(Time!AP17&gt;=Time!$F$11,Inputs!$F$184/100*(AP11-AP10-Tax!AP21),0)</f>
        <v>34.9734978881163</v>
      </c>
      <c r="AQ12" s="11" t="n">
        <f aca="false">IF(Time!AQ17&gt;=Time!$F$11,Inputs!$F$184/100*(AQ11-AQ10-Tax!AQ21),0)</f>
        <v>35.9775217509331</v>
      </c>
      <c r="AR12" s="11" t="n">
        <f aca="false">IF(Time!AR17&gt;=Time!$F$11,Inputs!$F$184/100*(AR11-AR10-Tax!AR21),0)</f>
        <v>36.9815456137498</v>
      </c>
      <c r="AS12" s="11" t="n">
        <f aca="false">IF(Time!AS17&gt;=Time!$F$11,Inputs!$F$184/100*(AS11-AS10-Tax!AS21),0)</f>
        <v>37.9855694765666</v>
      </c>
      <c r="AT12" s="11" t="n">
        <f aca="false">IF(Time!AT17&gt;=Time!$F$11,Inputs!$F$184/100*(AT11-AT10-Tax!AT21),0)</f>
        <v>38.9895933393833</v>
      </c>
      <c r="AU12" s="11" t="n">
        <f aca="false">IF(Time!AU17&gt;=Time!$F$11,Inputs!$F$184/100*(AU11-AU10-Tax!AU21),0)</f>
        <v>39.9936172022</v>
      </c>
      <c r="AV12" s="11" t="n">
        <f aca="false">IF(Time!AV17&gt;=Time!$F$11,Inputs!$F$184/100*(AV11-AV10-Tax!AV21),0)</f>
        <v>40.9976410650168</v>
      </c>
      <c r="AW12" s="11" t="n">
        <f aca="false">IF(Time!AW17&gt;=Time!$F$11,Inputs!$F$184/100*(AW11-AW10-Tax!AW21),0)</f>
        <v>42.0016649278335</v>
      </c>
      <c r="AX12" s="11" t="n">
        <f aca="false">IF(Time!AX17&gt;=Time!$F$11,Inputs!$F$184/100*(AX11-AX10-Tax!AX21),0)</f>
        <v>43.0056887906502</v>
      </c>
      <c r="AY12" s="11" t="n">
        <f aca="false">IF(Time!AY17&gt;=Time!$F$11,Inputs!$F$184/100*(AY11-AY10-Tax!AY21),0)</f>
        <v>44.009712653467</v>
      </c>
      <c r="AZ12" s="11" t="n">
        <f aca="false">IF(Time!AZ17&gt;=Time!$F$11,Inputs!$F$184/100*(AZ11-AZ10-Tax!AZ21),0)</f>
        <v>45.0137365162837</v>
      </c>
      <c r="BA12" s="11" t="n">
        <f aca="false">IF(Time!BA17&gt;=Time!$F$11,Inputs!$F$184/100*(BA11-BA10-Tax!BA21),0)</f>
        <v>46.0177603791004</v>
      </c>
      <c r="BB12" s="11" t="n">
        <f aca="false">IF(Time!BB17&gt;=Time!$F$11,Inputs!$F$184/100*(BB11-BB10-Tax!BB21),0)</f>
        <v>47.0217842419172</v>
      </c>
      <c r="BC12" s="11" t="n">
        <f aca="false">IF(Time!BC17&gt;=Time!$F$11,Inputs!$F$184/100*(BC11-BC10-Tax!BC21),0)</f>
        <v>46.1014290343352</v>
      </c>
      <c r="BD12" s="11" t="n">
        <f aca="false">IF(Time!BD17&gt;=Time!$F$11,Inputs!$F$184/100*(BD11-BD10-Tax!BD21),0)</f>
        <v>41.3323156859557</v>
      </c>
      <c r="BE12" s="11" t="n">
        <f aca="false">IF(Time!BE17&gt;=Time!$F$11,Inputs!$F$184/100*(BE11-BE10-Tax!BE21),0)</f>
        <v>36.5632023375762</v>
      </c>
      <c r="BF12" s="11" t="n">
        <f aca="false">IF(Time!BF17&gt;=Time!$F$11,Inputs!$F$184/100*(BF11-BF10-Tax!BF21),0)</f>
        <v>31.7940889891967</v>
      </c>
      <c r="BG12" s="11" t="n">
        <f aca="false">IF(Time!BG17&gt;=Time!$F$11,Inputs!$F$184/100*(BG11-BG10-Tax!BG21),0)</f>
        <v>27.0249756408172</v>
      </c>
      <c r="BH12" s="11" t="n">
        <f aca="false">IF(Time!BH17&gt;=Time!$F$11,Inputs!$F$184/100*(BH11-BH10-Tax!BH21),0)</f>
        <v>22.2558622924377</v>
      </c>
      <c r="BI12" s="11" t="n">
        <f aca="false">IF(Time!BI17&gt;=Time!$F$11,Inputs!$F$184/100*(BI11-BI10-Tax!BI21),0)</f>
        <v>17.4867489440582</v>
      </c>
      <c r="BJ12" s="11" t="n">
        <f aca="false">IF(Time!BJ17&gt;=Time!$F$11,Inputs!$F$184/100*(BJ11-BJ10-Tax!BJ21),0)</f>
        <v>12.7176355956787</v>
      </c>
      <c r="BK12" s="11" t="n">
        <f aca="false">IF(Time!BK17&gt;=Time!$F$11,Inputs!$F$184/100*(BK11-BK10-Tax!BK21),0)</f>
        <v>7.94852224729914</v>
      </c>
      <c r="BL12" s="11" t="n">
        <f aca="false">IF(Time!BL17&gt;=Time!$F$11,Inputs!$F$184/100*(BL11-BL10-Tax!BL21),0)</f>
        <v>3.17940889891969</v>
      </c>
      <c r="BM12" s="11" t="n">
        <f aca="false">IF(Time!BM17&gt;=Time!$F$11,Inputs!$F$184/100*(BM11-BM10-Tax!BM21),0)</f>
        <v>0</v>
      </c>
      <c r="BN12" s="11" t="n">
        <f aca="false">IF(Time!BN17&gt;=Time!$F$11,Inputs!$F$184/100*(BN11-BN10-Tax!BN21),0)</f>
        <v>0</v>
      </c>
    </row>
    <row r="13" customFormat="false" ht="15" hidden="false" customHeight="false" outlineLevel="0" collapsed="false">
      <c r="D13" s="0" t="s">
        <v>770</v>
      </c>
      <c r="E13" s="0" t="s">
        <v>149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-1.67337310469454</v>
      </c>
      <c r="P13" s="11" t="n">
        <f aca="false">P12-O12</f>
        <v>-5.0201193140837</v>
      </c>
      <c r="Q13" s="11" t="n">
        <f aca="false">Q12-P12</f>
        <v>-5.02011931408369</v>
      </c>
      <c r="R13" s="11" t="n">
        <f aca="false">R12-Q12</f>
        <v>-5.02011931408366</v>
      </c>
      <c r="S13" s="11" t="n">
        <f aca="false">S12-R12</f>
        <v>-5.0201193140837</v>
      </c>
      <c r="T13" s="11" t="n">
        <f aca="false">T12-S12</f>
        <v>-5.02011931408369</v>
      </c>
      <c r="U13" s="11" t="n">
        <f aca="false">U12-T12</f>
        <v>-5.02011931408369</v>
      </c>
      <c r="V13" s="11" t="n">
        <f aca="false">V12-U12</f>
        <v>-5.02011931408366</v>
      </c>
      <c r="W13" s="11" t="n">
        <f aca="false">W12-V12</f>
        <v>-5.02011931408369</v>
      </c>
      <c r="X13" s="11" t="n">
        <f aca="false">X12-W12</f>
        <v>-5.02011931408367</v>
      </c>
      <c r="Y13" s="11" t="n">
        <f aca="false">Y12-X12</f>
        <v>-2.23495180340348</v>
      </c>
      <c r="Z13" s="11" t="n">
        <f aca="false">Z12-Y12</f>
        <v>3.55375507207656</v>
      </c>
      <c r="AA13" s="11" t="n">
        <f aca="false">AA12-Z12</f>
        <v>3.9978948775407</v>
      </c>
      <c r="AB13" s="11" t="n">
        <f aca="false">AB12-AA12</f>
        <v>4.2477542212651</v>
      </c>
      <c r="AC13" s="11" t="n">
        <f aca="false">AC12-AB12</f>
        <v>4.51970879749608</v>
      </c>
      <c r="AD13" s="11" t="n">
        <f aca="false">AD12-AC12</f>
        <v>1.00402386281673</v>
      </c>
      <c r="AE13" s="11" t="n">
        <f aca="false">AE12-AD12</f>
        <v>4.40558369159704</v>
      </c>
      <c r="AF13" s="11" t="n">
        <f aca="false">AF12-AE12</f>
        <v>5.80369867246084</v>
      </c>
      <c r="AG13" s="11" t="n">
        <f aca="false">AG12-AF12</f>
        <v>6.26957098482779</v>
      </c>
      <c r="AH13" s="11" t="n">
        <f aca="false">AH12-AG12</f>
        <v>6.68767403241795</v>
      </c>
      <c r="AI13" s="11" t="n">
        <f aca="false">AI12-AH12</f>
        <v>7.27668158283312</v>
      </c>
      <c r="AJ13" s="11" t="n">
        <f aca="false">AJ12-AI12</f>
        <v>7.75664640403202</v>
      </c>
      <c r="AK13" s="11" t="n">
        <f aca="false">AK12-AJ12</f>
        <v>8.32107143060693</v>
      </c>
      <c r="AL13" s="11" t="n">
        <f aca="false">AL12-AK12</f>
        <v>7.50552141344422</v>
      </c>
      <c r="AM13" s="11" t="n">
        <f aca="false">AM12-AL12</f>
        <v>9.22691400266045</v>
      </c>
      <c r="AN13" s="11" t="n">
        <f aca="false">AN12-AM12</f>
        <v>1.47834985125852</v>
      </c>
      <c r="AO13" s="11" t="n">
        <f aca="false">AO12-AN12</f>
        <v>1.00402386281671</v>
      </c>
      <c r="AP13" s="11" t="n">
        <f aca="false">AP12-AO12</f>
        <v>1.00402386281673</v>
      </c>
      <c r="AQ13" s="11" t="n">
        <f aca="false">AQ12-AP12</f>
        <v>1.00402386281674</v>
      </c>
      <c r="AR13" s="11" t="n">
        <f aca="false">AR12-AQ12</f>
        <v>1.00402386281673</v>
      </c>
      <c r="AS13" s="11" t="n">
        <f aca="false">AS12-AR12</f>
        <v>1.00402386281676</v>
      </c>
      <c r="AT13" s="11" t="n">
        <f aca="false">AT12-AS12</f>
        <v>1.00402386281669</v>
      </c>
      <c r="AU13" s="11" t="n">
        <f aca="false">AU12-AT12</f>
        <v>1.00402386281675</v>
      </c>
      <c r="AV13" s="11" t="n">
        <f aca="false">AV12-AU12</f>
        <v>1.00402386281674</v>
      </c>
      <c r="AW13" s="11" t="n">
        <f aca="false">AW12-AV12</f>
        <v>1.00402386281674</v>
      </c>
      <c r="AX13" s="11" t="n">
        <f aca="false">AX12-AW12</f>
        <v>1.00402386281671</v>
      </c>
      <c r="AY13" s="11" t="n">
        <f aca="false">AY12-AX12</f>
        <v>1.00402386281675</v>
      </c>
      <c r="AZ13" s="11" t="n">
        <f aca="false">AZ12-AY12</f>
        <v>1.00402386281674</v>
      </c>
      <c r="BA13" s="11" t="n">
        <f aca="false">BA12-AZ12</f>
        <v>1.00402386281671</v>
      </c>
      <c r="BB13" s="11" t="n">
        <f aca="false">BB12-BA12</f>
        <v>1.00402386281678</v>
      </c>
      <c r="BC13" s="11" t="n">
        <f aca="false">BC12-BB12</f>
        <v>-0.92035520758202</v>
      </c>
      <c r="BD13" s="11" t="n">
        <f aca="false">BD12-BC12</f>
        <v>-4.76911334837951</v>
      </c>
      <c r="BE13" s="11" t="n">
        <f aca="false">BE12-BD12</f>
        <v>-4.76911334837948</v>
      </c>
      <c r="BF13" s="11" t="n">
        <f aca="false">BF12-BE12</f>
        <v>-4.76911334837948</v>
      </c>
      <c r="BG13" s="11" t="n">
        <f aca="false">BG12-BF12</f>
        <v>-4.76911334837952</v>
      </c>
      <c r="BH13" s="11" t="n">
        <f aca="false">BH12-BG12</f>
        <v>-4.76911334837948</v>
      </c>
      <c r="BI13" s="11" t="n">
        <f aca="false">BI12-BH12</f>
        <v>-4.76911334837952</v>
      </c>
      <c r="BJ13" s="11" t="n">
        <f aca="false">BJ12-BI12</f>
        <v>-4.76911334837952</v>
      </c>
      <c r="BK13" s="11" t="n">
        <f aca="false">BK12-BJ12</f>
        <v>-4.76911334837952</v>
      </c>
      <c r="BL13" s="11" t="n">
        <f aca="false">BL12-BK12</f>
        <v>-4.76911334837945</v>
      </c>
      <c r="BM13" s="11" t="n">
        <f aca="false">BM12-BL12</f>
        <v>-3.17940889891969</v>
      </c>
      <c r="BN13" s="11" t="n">
        <f aca="false">BN12-BM12</f>
        <v>0</v>
      </c>
    </row>
    <row r="14" customFormat="false" ht="15" hidden="false" customHeight="false" outlineLevel="0" collapsed="false">
      <c r="D14" s="0" t="s">
        <v>771</v>
      </c>
      <c r="E14" s="0" t="s">
        <v>149</v>
      </c>
      <c r="G14" s="11" t="n">
        <f aca="false">SUM(J14:BN14)</f>
        <v>954.878383279509</v>
      </c>
      <c r="J14" s="11" t="n">
        <f aca="false">Operations!J80-J8-J9-Tax!J27-J13</f>
        <v>0</v>
      </c>
      <c r="K14" s="11" t="n">
        <f aca="false">Operations!K80-K8-K9-Tax!K27-K13</f>
        <v>0</v>
      </c>
      <c r="L14" s="11" t="n">
        <f aca="false">Operations!L80-L8-L9-Tax!L27-L13</f>
        <v>0</v>
      </c>
      <c r="M14" s="11" t="n">
        <f aca="false">Operations!M80-M8-M9-Tax!M27-M13</f>
        <v>0</v>
      </c>
      <c r="N14" s="11" t="n">
        <f aca="false">Operations!N80-N8-N9-Tax!N27-N13</f>
        <v>0</v>
      </c>
      <c r="O14" s="11" t="n">
        <f aca="false">Operations!O80-O8-O9-Tax!O27-O13</f>
        <v>9.86995053826463</v>
      </c>
      <c r="P14" s="11" t="n">
        <f aca="false">Operations!P80-P8-P9-Tax!P27-P13</f>
        <v>7.65903029854384</v>
      </c>
      <c r="Q14" s="11" t="n">
        <f aca="false">Operations!Q80-Q8-Q9-Tax!Q27-Q13</f>
        <v>9.03477630044192</v>
      </c>
      <c r="R14" s="11" t="n">
        <f aca="false">Operations!R80-R8-R9-Tax!R27-R13</f>
        <v>9.45496859629985</v>
      </c>
      <c r="S14" s="11" t="n">
        <f aca="false">Operations!S80-S8-S9-Tax!S27-S13</f>
        <v>10.7661876543892</v>
      </c>
      <c r="T14" s="11" t="n">
        <f aca="false">Operations!T80-T8-T9-Tax!T27-T13</f>
        <v>11.2674490800402</v>
      </c>
      <c r="U14" s="11" t="n">
        <f aca="false">Operations!U80-U8-U9-Tax!U27-U13</f>
        <v>12.3382828545192</v>
      </c>
      <c r="V14" s="11" t="n">
        <f aca="false">Operations!V80-V8-V9-Tax!V27-V13</f>
        <v>9.05524864176403</v>
      </c>
      <c r="W14" s="11" t="n">
        <f aca="false">Operations!W80-W8-W9-Tax!W27-W13</f>
        <v>13.6652220666842</v>
      </c>
      <c r="X14" s="11" t="n">
        <f aca="false">Operations!X80-X8-X9-Tax!X27-X13</f>
        <v>15.2588333416628</v>
      </c>
      <c r="Y14" s="11" t="n">
        <f aca="false">Operations!Y80-Y8-Y9-Tax!Y27-Y13</f>
        <v>13.23529544335</v>
      </c>
      <c r="Z14" s="11" t="n">
        <f aca="false">Operations!Z80-Z8-Z9-Tax!Z27-Z13</f>
        <v>7.93830202551009</v>
      </c>
      <c r="AA14" s="11" t="n">
        <f aca="false">Operations!AA80-AA8-AA9-Tax!AA27-AA13</f>
        <v>8.97251840212236</v>
      </c>
      <c r="AB14" s="11" t="n">
        <f aca="false">Operations!AB80-AB8-AB9-Tax!AB27-AB13</f>
        <v>9.55360428791943</v>
      </c>
      <c r="AC14" s="11" t="n">
        <f aca="false">Operations!AC80-AC8-AC9-Tax!AC27-AC13</f>
        <v>10.1904629774392</v>
      </c>
      <c r="AD14" s="11" t="n">
        <f aca="false">Operations!AD80-AD8-AD9-Tax!AD27-AD13</f>
        <v>0.32427078013014</v>
      </c>
      <c r="AE14" s="11" t="n">
        <f aca="false">Operations!AE80-AE8-AE9-Tax!AE27-AE13</f>
        <v>11.602573095824</v>
      </c>
      <c r="AF14" s="11" t="n">
        <f aca="false">Operations!AF80-AF8-AF9-Tax!AF27-AF13</f>
        <v>13.1773766233518</v>
      </c>
      <c r="AG14" s="11" t="n">
        <f aca="false">Operations!AG80-AG8-AG9-Tax!AG27-AG13</f>
        <v>14.2628201268931</v>
      </c>
      <c r="AH14" s="11" t="n">
        <f aca="false">Operations!AH80-AH8-AH9-Tax!AH27-AH13</f>
        <v>15.2372924475848</v>
      </c>
      <c r="AI14" s="11" t="n">
        <f aca="false">Operations!AI80-AI8-AI9-Tax!AI27-AI13</f>
        <v>16.6093659924317</v>
      </c>
      <c r="AJ14" s="11" t="n">
        <f aca="false">Operations!AJ80-AJ8-AJ9-Tax!AJ27-AJ13</f>
        <v>17.7271948923638</v>
      </c>
      <c r="AK14" s="11" t="n">
        <f aca="false">Operations!AK80-AK8-AK9-Tax!AK27-AK13</f>
        <v>19.0438817858547</v>
      </c>
      <c r="AL14" s="11" t="n">
        <f aca="false">Operations!AL80-AL8-AL9-Tax!AL27-AL13</f>
        <v>17.1479954228134</v>
      </c>
      <c r="AM14" s="11" t="n">
        <f aca="false">Operations!AM80-AM8-AM9-Tax!AM27-AM13</f>
        <v>21.1583149093425</v>
      </c>
      <c r="AN14" s="11" t="n">
        <f aca="false">Operations!AN80-AN8-AN9-Tax!AN27-AN13</f>
        <v>23.5805046840544</v>
      </c>
      <c r="AO14" s="11" t="n">
        <f aca="false">Operations!AO80-AO8-AO9-Tax!AO27-AO13</f>
        <v>24.7747422040602</v>
      </c>
      <c r="AP14" s="11" t="n">
        <f aca="false">Operations!AP80-AP8-AP9-Tax!AP27-AP13</f>
        <v>26.2476527288499</v>
      </c>
      <c r="AQ14" s="11" t="n">
        <f aca="false">Operations!AQ80-AQ8-AQ9-Tax!AQ27-AQ13</f>
        <v>26.3831072445902</v>
      </c>
      <c r="AR14" s="11" t="n">
        <f aca="false">Operations!AR80-AR8-AR9-Tax!AR27-AR13</f>
        <v>26.4535896188294</v>
      </c>
      <c r="AS14" s="11" t="n">
        <f aca="false">Operations!AS80-AS8-AS9-Tax!AS27-AS13</f>
        <v>26.1668633649923</v>
      </c>
      <c r="AT14" s="11" t="n">
        <f aca="false">Operations!AT80-AT8-AT9-Tax!AT27-AT13</f>
        <v>14.4456617842753</v>
      </c>
      <c r="AU14" s="11" t="n">
        <f aca="false">Operations!AU80-AU8-AU9-Tax!AU27-AU13</f>
        <v>25.3885614025905</v>
      </c>
      <c r="AV14" s="11" t="n">
        <f aca="false">Operations!AV80-AV8-AV9-Tax!AV27-AV13</f>
        <v>26.8612461648728</v>
      </c>
      <c r="AW14" s="11" t="n">
        <f aca="false">Operations!AW80-AW8-AW9-Tax!AW27-AW13</f>
        <v>26.9806575306249</v>
      </c>
      <c r="AX14" s="11" t="n">
        <f aca="false">Operations!AX80-AX8-AX9-Tax!AX27-AX13</f>
        <v>27.0661156210069</v>
      </c>
      <c r="AY14" s="11" t="n">
        <f aca="false">Operations!AY80-AY8-AY9-Tax!AY27-AY13</f>
        <v>27.2094324109755</v>
      </c>
      <c r="AZ14" s="11" t="n">
        <f aca="false">Operations!AZ80-AZ8-AZ9-Tax!AZ27-AZ13</f>
        <v>27.2855241683952</v>
      </c>
      <c r="BA14" s="11" t="n">
        <f aca="false">Operations!BA80-BA8-BA9-Tax!BA27-BA13</f>
        <v>27.3076825146183</v>
      </c>
      <c r="BB14" s="11" t="n">
        <f aca="false">Operations!BB80-BB8-BB9-Tax!BB27-BB13</f>
        <v>23.7390764033979</v>
      </c>
      <c r="BC14" s="11" t="n">
        <f aca="false">Operations!BC80-BC8-BC9-Tax!BC27-BC13</f>
        <v>26.9661415880652</v>
      </c>
      <c r="BD14" s="11" t="n">
        <f aca="false">Operations!BD80-BD8-BD9-Tax!BD27-BD13</f>
        <v>27.7271100357585</v>
      </c>
      <c r="BE14" s="11" t="n">
        <f aca="false">Operations!BE80-BE8-BE9-Tax!BE27-BE13</f>
        <v>27.856304683976</v>
      </c>
      <c r="BF14" s="11" t="n">
        <f aca="false">Operations!BF80-BF8-BF9-Tax!BF27-BF13</f>
        <v>27.9527850593504</v>
      </c>
      <c r="BG14" s="11" t="n">
        <f aca="false">Operations!BG80-BG8-BG9-Tax!BG27-BG13</f>
        <v>28.1045708867933</v>
      </c>
      <c r="BH14" s="11" t="n">
        <f aca="false">Operations!BH80-BH8-BH9-Tax!BH27-BH13</f>
        <v>28.1867188544678</v>
      </c>
      <c r="BI14" s="11" t="n">
        <f aca="false">Operations!BI80-BI8-BI9-Tax!BI27-BI13</f>
        <v>27.8999373135977</v>
      </c>
      <c r="BJ14" s="11" t="n">
        <f aca="false">Operations!BJ80-BJ8-BJ9-Tax!BJ27-BJ13</f>
        <v>14.1595148253528</v>
      </c>
      <c r="BK14" s="11" t="n">
        <f aca="false">Operations!BK80-BK8-BK9-Tax!BK27-BK13</f>
        <v>27.0754327205459</v>
      </c>
      <c r="BL14" s="11" t="n">
        <f aca="false">Operations!BL80-BL8-BL9-Tax!BL27-BL13</f>
        <v>28.6650956040767</v>
      </c>
      <c r="BM14" s="11" t="n">
        <f aca="false">Operations!BM80-BM8-BM9-Tax!BM27-BM13</f>
        <v>5.84313527585059</v>
      </c>
      <c r="BN14" s="11" t="n">
        <f aca="false">Operations!BN80-BN8-BN9-Tax!BN27-BN13</f>
        <v>0</v>
      </c>
    </row>
    <row r="15" customFormat="false" ht="15" hidden="false" customHeight="false" outlineLevel="0" collapsed="false">
      <c r="B15" s="2" t="s">
        <v>772</v>
      </c>
    </row>
    <row r="16" customFormat="false" ht="15" hidden="false" customHeight="false" outlineLevel="0" collapsed="false">
      <c r="D16" s="0" t="s">
        <v>773</v>
      </c>
      <c r="E16" s="0" t="s">
        <v>149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139.106138718341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239.361059019891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433.488009929513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635.509570384213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753.08150774339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831.108641998299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814.374910951353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797.641179904408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780.907448857462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764.173717810516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747.439986763571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730.706255716625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713.97252466968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697.238793622734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680.505062575788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663.771331528843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647.037600481897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630.303869434951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613.570138388006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596.83640734106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580.102676294115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563.368945247169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546.635214200223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529.901483153278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513.167752106332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496.434021059387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479.700290012441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462.966558965495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446.23282791855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429.499096871604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412.765365824659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396.031634777713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379.297903730767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362.564172683822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345.830441636876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329.09671058993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312.362979542985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295.629248496039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278.895517449094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262.161786402148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245.428055355202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228.694324308257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211.960593261311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195.226862214365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178.49313116742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161.759400120474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145.025669073529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128.291938026583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111.558206979637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94.8244759326917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78.0907448857462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61.3570138388005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44.6232827918549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27.8895517449092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11.1558206979637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0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774</v>
      </c>
      <c r="E17" s="0" t="s">
        <v>149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39.1911562592109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37.5732847576006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38.4573216925877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38.5821173999215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39.4162909915672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39.652034267127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40.7855300498875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38.0232274258698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36.9267950745894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38.5431345881786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40.816848195781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42.4925149857548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44.89571880651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46.0629442699241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48.604279692316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36.0360476420817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35.2245441795351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34.3929528574795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33.9325041047794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32.5644284656966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31.3326603605309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29.1679436977358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26.6989116341107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23.5692918532781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19.1320172548642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21.2537968330951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4.69577817097388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7.04366725646083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9.39155634194777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11.7394454274347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14.0873345129217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0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0.589641000923391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1.17928200184678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1.76892300277017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2.35856400369356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2.94820500461696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4.03281439214903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1.9961186412531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3.51369171459534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7.84224263595491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12.1875776780237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16.5498804617087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20.9293366167585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25.32613380374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29.7404617362564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14.6118846756162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16.2674762035905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17.941180161961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0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775</v>
      </c>
      <c r="E18" s="0" t="s">
        <v>149</v>
      </c>
      <c r="J18" s="11" t="n">
        <f aca="false">Operations!J84+Operations!J85</f>
        <v>0</v>
      </c>
      <c r="K18" s="11" t="n">
        <f aca="false">Operations!K84+Operations!K85</f>
        <v>0</v>
      </c>
      <c r="L18" s="11" t="n">
        <f aca="false">Operations!L84+Operations!L85</f>
        <v>0</v>
      </c>
      <c r="M18" s="11" t="n">
        <f aca="false">Operations!M84+Operations!M85</f>
        <v>0</v>
      </c>
      <c r="N18" s="11" t="n">
        <f aca="false">Operations!N84+Operations!N85</f>
        <v>0</v>
      </c>
      <c r="O18" s="11" t="n">
        <f aca="false">Operations!O84+Operations!O85</f>
        <v>38.4207127281762</v>
      </c>
      <c r="P18" s="11" t="n">
        <f aca="false">Operations!P84+Operations!P85</f>
        <v>38.2953922057586</v>
      </c>
      <c r="Q18" s="11" t="n">
        <f aca="false">Operations!Q84+Operations!Q85</f>
        <v>39.3039104786019</v>
      </c>
      <c r="R18" s="11" t="n">
        <f aca="false">Operations!R84+Operations!R85</f>
        <v>38.6212628229736</v>
      </c>
      <c r="S18" s="11" t="n">
        <f aca="false">Operations!S84+Operations!S85</f>
        <v>39.799782116238</v>
      </c>
      <c r="T18" s="11" t="n">
        <f aca="false">Operations!T84+Operations!T85</f>
        <v>39.4092216789825</v>
      </c>
      <c r="U18" s="11" t="n">
        <f aca="false">Operations!U84+Operations!U85</f>
        <v>40.0128872883052</v>
      </c>
      <c r="V18" s="11" t="n">
        <f aca="false">Operations!V84+Operations!V85</f>
        <v>38.8067538518055</v>
      </c>
      <c r="W18" s="11" t="n">
        <f aca="false">Operations!W84+Operations!W85</f>
        <v>40.3546065229662</v>
      </c>
      <c r="X18" s="11" t="n">
        <f aca="false">Operations!X84+Operations!X85</f>
        <v>40.5669112327118</v>
      </c>
      <c r="Y18" s="11" t="n">
        <f aca="false">Operations!Y84+Operations!Y85</f>
        <v>41.6435007899242</v>
      </c>
      <c r="Z18" s="11" t="n">
        <f aca="false">Operations!Z84+Operations!Z85</f>
        <v>40.9198383176405</v>
      </c>
      <c r="AA18" s="11" t="n">
        <f aca="false">Operations!AA84+Operations!AA85</f>
        <v>42.1792207864513</v>
      </c>
      <c r="AB18" s="11" t="n">
        <f aca="false">Operations!AB84+Operations!AB85</f>
        <v>41.7701907394751</v>
      </c>
      <c r="AC18" s="11" t="n">
        <f aca="false">Operations!AC84+Operations!AC85</f>
        <v>42.1385699976597</v>
      </c>
      <c r="AD18" s="11" t="n">
        <f aca="false">Operations!AD84+Operations!AD85</f>
        <v>40.3148298175659</v>
      </c>
      <c r="AE18" s="11" t="n">
        <f aca="false">Operations!AE84+Operations!AE85</f>
        <v>42.2239175742502</v>
      </c>
      <c r="AF18" s="11" t="n">
        <f aca="false">Operations!AF84+Operations!AF85</f>
        <v>43.0208583188408</v>
      </c>
      <c r="AG18" s="11" t="n">
        <f aca="false">Operations!AG84+Operations!AG85</f>
        <v>44.1710054424924</v>
      </c>
      <c r="AH18" s="11" t="n">
        <f aca="false">Operations!AH84+Operations!AH85</f>
        <v>43.4030297550563</v>
      </c>
      <c r="AI18" s="11" t="n">
        <f aca="false">Operations!AI84+Operations!AI85</f>
        <v>44.7497850013882</v>
      </c>
      <c r="AJ18" s="11" t="n">
        <f aca="false">Operations!AJ84+Operations!AJ85</f>
        <v>44.320783027817</v>
      </c>
      <c r="AK18" s="11" t="n">
        <f aca="false">Operations!AK84+Operations!AK85</f>
        <v>45.0118828801579</v>
      </c>
      <c r="AL18" s="11" t="n">
        <f aca="false">Operations!AL84+Operations!AL85</f>
        <v>43.6592206395646</v>
      </c>
      <c r="AM18" s="11" t="n">
        <f aca="false">Operations!AM84+Operations!AM85</f>
        <v>45.4207589739277</v>
      </c>
      <c r="AN18" s="11" t="n">
        <f aca="false">Operations!AN84+Operations!AN85</f>
        <v>45.6719076571363</v>
      </c>
      <c r="AO18" s="11" t="n">
        <f aca="false">Operations!AO84+Operations!AO85</f>
        <v>46.9015400690611</v>
      </c>
      <c r="AP18" s="11" t="n">
        <f aca="false">Operations!AP84+Operations!AP85</f>
        <v>46.0856891549707</v>
      </c>
      <c r="AQ18" s="11" t="n">
        <f aca="false">Operations!AQ84+Operations!AQ85</f>
        <v>47.5268495283118</v>
      </c>
      <c r="AR18" s="11" t="n">
        <f aca="false">Operations!AR84+Operations!AR85</f>
        <v>47.0762516375828</v>
      </c>
      <c r="AS18" s="11" t="n">
        <f aca="false">Operations!AS84+Operations!AS85</f>
        <v>47.5037589696788</v>
      </c>
      <c r="AT18" s="11" t="n">
        <f aca="false">Operations!AT84+Operations!AT85</f>
        <v>45.4517763792731</v>
      </c>
      <c r="AU18" s="11" t="n">
        <f aca="false">Operations!AU84+Operations!AU85</f>
        <v>47.6244944951818</v>
      </c>
      <c r="AV18" s="11" t="n">
        <f aca="false">Operations!AV84+Operations!AV85</f>
        <v>48.5359140606831</v>
      </c>
      <c r="AW18" s="11" t="n">
        <f aca="false">Operations!AW84+Operations!AW85</f>
        <v>49.8514363502115</v>
      </c>
      <c r="AX18" s="11" t="n">
        <f aca="false">Operations!AX84+Operations!AX85</f>
        <v>48.9838636655846</v>
      </c>
      <c r="AY18" s="11" t="n">
        <f aca="false">Operations!AY84+Operations!AY85</f>
        <v>50.5270260993808</v>
      </c>
      <c r="AZ18" s="11" t="n">
        <f aca="false">Operations!AZ84+Operations!AZ85</f>
        <v>50.0530768182482</v>
      </c>
      <c r="BA18" s="11" t="n">
        <f aca="false">Operations!BA84+Operations!BA85</f>
        <v>50.8462165637435</v>
      </c>
      <c r="BB18" s="11" t="n">
        <f aca="false">Operations!BB84+Operations!BB85</f>
        <v>49.3222303009087</v>
      </c>
      <c r="BC18" s="11" t="n">
        <f aca="false">Operations!BC84+Operations!BC85</f>
        <v>51.3333965026773</v>
      </c>
      <c r="BD18" s="11" t="n">
        <f aca="false">Operations!BD84+Operations!BD85</f>
        <v>51.6300078654333</v>
      </c>
      <c r="BE18" s="11" t="n">
        <f aca="false">Operations!BE84+Operations!BE85</f>
        <v>53.0383397507632</v>
      </c>
      <c r="BF18" s="11" t="n">
        <f aca="false">Operations!BF84+Operations!BF85</f>
        <v>52.1148916533904</v>
      </c>
      <c r="BG18" s="11" t="n">
        <f aca="false">Operations!BG84+Operations!BG85</f>
        <v>53.7682628354808</v>
      </c>
      <c r="BH18" s="11" t="n">
        <f aca="false">Operations!BH84+Operations!BH85</f>
        <v>53.2690646121621</v>
      </c>
      <c r="BI18" s="11" t="n">
        <f aca="false">Operations!BI84+Operations!BI85</f>
        <v>53.7654617142916</v>
      </c>
      <c r="BJ18" s="11" t="n">
        <f aca="false">Operations!BJ84+Operations!BJ85</f>
        <v>51.4465414503758</v>
      </c>
      <c r="BK18" s="11" t="n">
        <f aca="false">Operations!BK84+Operations!BK85</f>
        <v>53.927299895042</v>
      </c>
      <c r="BL18" s="11" t="n">
        <f aca="false">Operations!BL84+Operations!BL85</f>
        <v>54.9726974479527</v>
      </c>
      <c r="BM18" s="11" t="n">
        <f aca="false">Operations!BM84+Operations!BM85</f>
        <v>0</v>
      </c>
      <c r="BN18" s="11" t="n">
        <f aca="false">Operations!BN84+Operations!BN85</f>
        <v>0</v>
      </c>
    </row>
    <row r="19" customFormat="false" ht="15" hidden="false" customHeight="false" outlineLevel="0" collapsed="false">
      <c r="D19" s="0" t="s">
        <v>776</v>
      </c>
      <c r="E19" s="0" t="s">
        <v>149</v>
      </c>
      <c r="J19" s="11" t="n">
        <f aca="false">IF(Time!J17&lt;Time!$F$11,SUMIFS(Construction!$J$28:$BJ$28,Construction!$J$12:$BJ$12,"&lt;="&amp;Time!J17),IF(Time!J17&lt;Time!$F$14,Inputs!$F$67*Inputs!$F$36,0))</f>
        <v>0</v>
      </c>
      <c r="K19" s="11" t="n">
        <f aca="false">IF(Time!K17&lt;Time!$F$11,SUMIFS(Construction!$J$28:$BJ$28,Construction!$J$12:$BJ$12,"&lt;="&amp;Time!K17),IF(Time!K17&lt;Time!$F$14,Inputs!$F$67*Inputs!$F$36,0))</f>
        <v>0</v>
      </c>
      <c r="L19" s="11" t="n">
        <f aca="false">IF(Time!L17&lt;Time!$F$11,SUMIFS(Construction!$J$28:$BJ$28,Construction!$J$12:$BJ$12,"&lt;="&amp;Time!L17),IF(Time!L17&lt;Time!$F$14,Inputs!$F$67*Inputs!$F$36,0))</f>
        <v>0</v>
      </c>
      <c r="M19" s="11" t="n">
        <f aca="false">IF(Time!M17&lt;Time!$F$11,SUMIFS(Construction!$J$28:$BJ$28,Construction!$J$12:$BJ$12,"&lt;="&amp;Time!M17),IF(Time!M17&lt;Time!$F$14,Inputs!$F$67*Inputs!$F$36,0))</f>
        <v>0</v>
      </c>
      <c r="N19" s="11" t="n">
        <f aca="false">IF(Time!N17&lt;Time!$F$11,SUMIFS(Construction!$J$28:$BJ$28,Construction!$J$12:$BJ$12,"&lt;="&amp;Time!N17),IF(Time!N17&lt;Time!$F$14,Inputs!$F$67*Inputs!$F$36,0))</f>
        <v>0</v>
      </c>
      <c r="O19" s="11" t="n">
        <f aca="false">IF(Time!O17&lt;Time!$F$11,SUMIFS(Construction!$J$28:$BJ$28,Construction!$J$12:$BJ$12,"&lt;="&amp;Time!O17),IF(Time!O17&lt;Time!$F$14,Inputs!$F$67*Inputs!$F$36,0))</f>
        <v>5.35</v>
      </c>
      <c r="P19" s="11" t="n">
        <f aca="false">IF(Time!P17&lt;Time!$F$11,SUMIFS(Construction!$J$28:$BJ$28,Construction!$J$12:$BJ$12,"&lt;="&amp;Time!P17),IF(Time!P17&lt;Time!$F$14,Inputs!$F$67*Inputs!$F$36,0))</f>
        <v>5.35</v>
      </c>
      <c r="Q19" s="11" t="n">
        <f aca="false">IF(Time!Q17&lt;Time!$F$11,SUMIFS(Construction!$J$28:$BJ$28,Construction!$J$12:$BJ$12,"&lt;="&amp;Time!Q17),IF(Time!Q17&lt;Time!$F$14,Inputs!$F$67*Inputs!$F$36,0))</f>
        <v>5.35</v>
      </c>
      <c r="R19" s="11" t="n">
        <f aca="false">IF(Time!R17&lt;Time!$F$11,SUMIFS(Construction!$J$28:$BJ$28,Construction!$J$12:$BJ$12,"&lt;="&amp;Time!R17),IF(Time!R17&lt;Time!$F$14,Inputs!$F$67*Inputs!$F$36,0))</f>
        <v>5.35</v>
      </c>
      <c r="S19" s="11" t="n">
        <f aca="false">IF(Time!S17&lt;Time!$F$11,SUMIFS(Construction!$J$28:$BJ$28,Construction!$J$12:$BJ$12,"&lt;="&amp;Time!S17),IF(Time!S17&lt;Time!$F$14,Inputs!$F$67*Inputs!$F$36,0))</f>
        <v>5.35</v>
      </c>
      <c r="T19" s="11" t="n">
        <f aca="false">IF(Time!T17&lt;Time!$F$11,SUMIFS(Construction!$J$28:$BJ$28,Construction!$J$12:$BJ$12,"&lt;="&amp;Time!T17),IF(Time!T17&lt;Time!$F$14,Inputs!$F$67*Inputs!$F$36,0))</f>
        <v>5.35</v>
      </c>
      <c r="U19" s="11" t="n">
        <f aca="false">IF(Time!U17&lt;Time!$F$11,SUMIFS(Construction!$J$28:$BJ$28,Construction!$J$12:$BJ$12,"&lt;="&amp;Time!U17),IF(Time!U17&lt;Time!$F$14,Inputs!$F$67*Inputs!$F$36,0))</f>
        <v>5.35</v>
      </c>
      <c r="V19" s="11" t="n">
        <f aca="false">IF(Time!V17&lt;Time!$F$11,SUMIFS(Construction!$J$28:$BJ$28,Construction!$J$12:$BJ$12,"&lt;="&amp;Time!V17),IF(Time!V17&lt;Time!$F$14,Inputs!$F$67*Inputs!$F$36,0))</f>
        <v>5.35</v>
      </c>
      <c r="W19" s="11" t="n">
        <f aca="false">IF(Time!W17&lt;Time!$F$11,SUMIFS(Construction!$J$28:$BJ$28,Construction!$J$12:$BJ$12,"&lt;="&amp;Time!W17),IF(Time!W17&lt;Time!$F$14,Inputs!$F$67*Inputs!$F$36,0))</f>
        <v>5.35</v>
      </c>
      <c r="X19" s="11" t="n">
        <f aca="false">IF(Time!X17&lt;Time!$F$11,SUMIFS(Construction!$J$28:$BJ$28,Construction!$J$12:$BJ$12,"&lt;="&amp;Time!X17),IF(Time!X17&lt;Time!$F$14,Inputs!$F$67*Inputs!$F$36,0))</f>
        <v>5.35</v>
      </c>
      <c r="Y19" s="11" t="n">
        <f aca="false">IF(Time!Y17&lt;Time!$F$11,SUMIFS(Construction!$J$28:$BJ$28,Construction!$J$12:$BJ$12,"&lt;="&amp;Time!Y17),IF(Time!Y17&lt;Time!$F$14,Inputs!$F$67*Inputs!$F$36,0))</f>
        <v>5.35</v>
      </c>
      <c r="Z19" s="11" t="n">
        <f aca="false">IF(Time!Z17&lt;Time!$F$11,SUMIFS(Construction!$J$28:$BJ$28,Construction!$J$12:$BJ$12,"&lt;="&amp;Time!Z17),IF(Time!Z17&lt;Time!$F$14,Inputs!$F$67*Inputs!$F$36,0))</f>
        <v>5.35</v>
      </c>
      <c r="AA19" s="11" t="n">
        <f aca="false">IF(Time!AA17&lt;Time!$F$11,SUMIFS(Construction!$J$28:$BJ$28,Construction!$J$12:$BJ$12,"&lt;="&amp;Time!AA17),IF(Time!AA17&lt;Time!$F$14,Inputs!$F$67*Inputs!$F$36,0))</f>
        <v>5.35</v>
      </c>
      <c r="AB19" s="11" t="n">
        <f aca="false">IF(Time!AB17&lt;Time!$F$11,SUMIFS(Construction!$J$28:$BJ$28,Construction!$J$12:$BJ$12,"&lt;="&amp;Time!AB17),IF(Time!AB17&lt;Time!$F$14,Inputs!$F$67*Inputs!$F$36,0))</f>
        <v>5.35</v>
      </c>
      <c r="AC19" s="11" t="n">
        <f aca="false">IF(Time!AC17&lt;Time!$F$11,SUMIFS(Construction!$J$28:$BJ$28,Construction!$J$12:$BJ$12,"&lt;="&amp;Time!AC17),IF(Time!AC17&lt;Time!$F$14,Inputs!$F$67*Inputs!$F$36,0))</f>
        <v>5.35</v>
      </c>
      <c r="AD19" s="11" t="n">
        <f aca="false">IF(Time!AD17&lt;Time!$F$11,SUMIFS(Construction!$J$28:$BJ$28,Construction!$J$12:$BJ$12,"&lt;="&amp;Time!AD17),IF(Time!AD17&lt;Time!$F$14,Inputs!$F$67*Inputs!$F$36,0))</f>
        <v>5.35</v>
      </c>
      <c r="AE19" s="11" t="n">
        <f aca="false">IF(Time!AE17&lt;Time!$F$11,SUMIFS(Construction!$J$28:$BJ$28,Construction!$J$12:$BJ$12,"&lt;="&amp;Time!AE17),IF(Time!AE17&lt;Time!$F$14,Inputs!$F$67*Inputs!$F$36,0))</f>
        <v>5.35</v>
      </c>
      <c r="AF19" s="11" t="n">
        <f aca="false">IF(Time!AF17&lt;Time!$F$11,SUMIFS(Construction!$J$28:$BJ$28,Construction!$J$12:$BJ$12,"&lt;="&amp;Time!AF17),IF(Time!AF17&lt;Time!$F$14,Inputs!$F$67*Inputs!$F$36,0))</f>
        <v>5.35</v>
      </c>
      <c r="AG19" s="11" t="n">
        <f aca="false">IF(Time!AG17&lt;Time!$F$11,SUMIFS(Construction!$J$28:$BJ$28,Construction!$J$12:$BJ$12,"&lt;="&amp;Time!AG17),IF(Time!AG17&lt;Time!$F$14,Inputs!$F$67*Inputs!$F$36,0))</f>
        <v>5.35</v>
      </c>
      <c r="AH19" s="11" t="n">
        <f aca="false">IF(Time!AH17&lt;Time!$F$11,SUMIFS(Construction!$J$28:$BJ$28,Construction!$J$12:$BJ$12,"&lt;="&amp;Time!AH17),IF(Time!AH17&lt;Time!$F$14,Inputs!$F$67*Inputs!$F$36,0))</f>
        <v>5.35</v>
      </c>
      <c r="AI19" s="11" t="n">
        <f aca="false">IF(Time!AI17&lt;Time!$F$11,SUMIFS(Construction!$J$28:$BJ$28,Construction!$J$12:$BJ$12,"&lt;="&amp;Time!AI17),IF(Time!AI17&lt;Time!$F$14,Inputs!$F$67*Inputs!$F$36,0))</f>
        <v>5.35</v>
      </c>
      <c r="AJ19" s="11" t="n">
        <f aca="false">IF(Time!AJ17&lt;Time!$F$11,SUMIFS(Construction!$J$28:$BJ$28,Construction!$J$12:$BJ$12,"&lt;="&amp;Time!AJ17),IF(Time!AJ17&lt;Time!$F$14,Inputs!$F$67*Inputs!$F$36,0))</f>
        <v>5.35</v>
      </c>
      <c r="AK19" s="11" t="n">
        <f aca="false">IF(Time!AK17&lt;Time!$F$11,SUMIFS(Construction!$J$28:$BJ$28,Construction!$J$12:$BJ$12,"&lt;="&amp;Time!AK17),IF(Time!AK17&lt;Time!$F$14,Inputs!$F$67*Inputs!$F$36,0))</f>
        <v>5.35</v>
      </c>
      <c r="AL19" s="11" t="n">
        <f aca="false">IF(Time!AL17&lt;Time!$F$11,SUMIFS(Construction!$J$28:$BJ$28,Construction!$J$12:$BJ$12,"&lt;="&amp;Time!AL17),IF(Time!AL17&lt;Time!$F$14,Inputs!$F$67*Inputs!$F$36,0))</f>
        <v>5.35</v>
      </c>
      <c r="AM19" s="11" t="n">
        <f aca="false">IF(Time!AM17&lt;Time!$F$11,SUMIFS(Construction!$J$28:$BJ$28,Construction!$J$12:$BJ$12,"&lt;="&amp;Time!AM17),IF(Time!AM17&lt;Time!$F$14,Inputs!$F$67*Inputs!$F$36,0))</f>
        <v>5.35</v>
      </c>
      <c r="AN19" s="11" t="n">
        <f aca="false">IF(Time!AN17&lt;Time!$F$11,SUMIFS(Construction!$J$28:$BJ$28,Construction!$J$12:$BJ$12,"&lt;="&amp;Time!AN17),IF(Time!AN17&lt;Time!$F$14,Inputs!$F$67*Inputs!$F$36,0))</f>
        <v>5.35</v>
      </c>
      <c r="AO19" s="11" t="n">
        <f aca="false">IF(Time!AO17&lt;Time!$F$11,SUMIFS(Construction!$J$28:$BJ$28,Construction!$J$12:$BJ$12,"&lt;="&amp;Time!AO17),IF(Time!AO17&lt;Time!$F$14,Inputs!$F$67*Inputs!$F$36,0))</f>
        <v>5.35</v>
      </c>
      <c r="AP19" s="11" t="n">
        <f aca="false">IF(Time!AP17&lt;Time!$F$11,SUMIFS(Construction!$J$28:$BJ$28,Construction!$J$12:$BJ$12,"&lt;="&amp;Time!AP17),IF(Time!AP17&lt;Time!$F$14,Inputs!$F$67*Inputs!$F$36,0))</f>
        <v>5.35</v>
      </c>
      <c r="AQ19" s="11" t="n">
        <f aca="false">IF(Time!AQ17&lt;Time!$F$11,SUMIFS(Construction!$J$28:$BJ$28,Construction!$J$12:$BJ$12,"&lt;="&amp;Time!AQ17),IF(Time!AQ17&lt;Time!$F$14,Inputs!$F$67*Inputs!$F$36,0))</f>
        <v>5.35</v>
      </c>
      <c r="AR19" s="11" t="n">
        <f aca="false">IF(Time!AR17&lt;Time!$F$11,SUMIFS(Construction!$J$28:$BJ$28,Construction!$J$12:$BJ$12,"&lt;="&amp;Time!AR17),IF(Time!AR17&lt;Time!$F$14,Inputs!$F$67*Inputs!$F$36,0))</f>
        <v>5.35</v>
      </c>
      <c r="AS19" s="11" t="n">
        <f aca="false">IF(Time!AS17&lt;Time!$F$11,SUMIFS(Construction!$J$28:$BJ$28,Construction!$J$12:$BJ$12,"&lt;="&amp;Time!AS17),IF(Time!AS17&lt;Time!$F$14,Inputs!$F$67*Inputs!$F$36,0))</f>
        <v>5.35</v>
      </c>
      <c r="AT19" s="11" t="n">
        <f aca="false">IF(Time!AT17&lt;Time!$F$11,SUMIFS(Construction!$J$28:$BJ$28,Construction!$J$12:$BJ$12,"&lt;="&amp;Time!AT17),IF(Time!AT17&lt;Time!$F$14,Inputs!$F$67*Inputs!$F$36,0))</f>
        <v>5.35</v>
      </c>
      <c r="AU19" s="11" t="n">
        <f aca="false">IF(Time!AU17&lt;Time!$F$11,SUMIFS(Construction!$J$28:$BJ$28,Construction!$J$12:$BJ$12,"&lt;="&amp;Time!AU17),IF(Time!AU17&lt;Time!$F$14,Inputs!$F$67*Inputs!$F$36,0))</f>
        <v>5.35</v>
      </c>
      <c r="AV19" s="11" t="n">
        <f aca="false">IF(Time!AV17&lt;Time!$F$11,SUMIFS(Construction!$J$28:$BJ$28,Construction!$J$12:$BJ$12,"&lt;="&amp;Time!AV17),IF(Time!AV17&lt;Time!$F$14,Inputs!$F$67*Inputs!$F$36,0))</f>
        <v>5.35</v>
      </c>
      <c r="AW19" s="11" t="n">
        <f aca="false">IF(Time!AW17&lt;Time!$F$11,SUMIFS(Construction!$J$28:$BJ$28,Construction!$J$12:$BJ$12,"&lt;="&amp;Time!AW17),IF(Time!AW17&lt;Time!$F$14,Inputs!$F$67*Inputs!$F$36,0))</f>
        <v>5.35</v>
      </c>
      <c r="AX19" s="11" t="n">
        <f aca="false">IF(Time!AX17&lt;Time!$F$11,SUMIFS(Construction!$J$28:$BJ$28,Construction!$J$12:$BJ$12,"&lt;="&amp;Time!AX17),IF(Time!AX17&lt;Time!$F$14,Inputs!$F$67*Inputs!$F$36,0))</f>
        <v>5.35</v>
      </c>
      <c r="AY19" s="11" t="n">
        <f aca="false">IF(Time!AY17&lt;Time!$F$11,SUMIFS(Construction!$J$28:$BJ$28,Construction!$J$12:$BJ$12,"&lt;="&amp;Time!AY17),IF(Time!AY17&lt;Time!$F$14,Inputs!$F$67*Inputs!$F$36,0))</f>
        <v>5.35</v>
      </c>
      <c r="AZ19" s="11" t="n">
        <f aca="false">IF(Time!AZ17&lt;Time!$F$11,SUMIFS(Construction!$J$28:$BJ$28,Construction!$J$12:$BJ$12,"&lt;="&amp;Time!AZ17),IF(Time!AZ17&lt;Time!$F$14,Inputs!$F$67*Inputs!$F$36,0))</f>
        <v>5.35</v>
      </c>
      <c r="BA19" s="11" t="n">
        <f aca="false">IF(Time!BA17&lt;Time!$F$11,SUMIFS(Construction!$J$28:$BJ$28,Construction!$J$12:$BJ$12,"&lt;="&amp;Time!BA17),IF(Time!BA17&lt;Time!$F$14,Inputs!$F$67*Inputs!$F$36,0))</f>
        <v>5.35</v>
      </c>
      <c r="BB19" s="11" t="n">
        <f aca="false">IF(Time!BB17&lt;Time!$F$11,SUMIFS(Construction!$J$28:$BJ$28,Construction!$J$12:$BJ$12,"&lt;="&amp;Time!BB17),IF(Time!BB17&lt;Time!$F$14,Inputs!$F$67*Inputs!$F$36,0))</f>
        <v>5.35</v>
      </c>
      <c r="BC19" s="11" t="n">
        <f aca="false">IF(Time!BC17&lt;Time!$F$11,SUMIFS(Construction!$J$28:$BJ$28,Construction!$J$12:$BJ$12,"&lt;="&amp;Time!BC17),IF(Time!BC17&lt;Time!$F$14,Inputs!$F$67*Inputs!$F$36,0))</f>
        <v>5.35</v>
      </c>
      <c r="BD19" s="11" t="n">
        <f aca="false">IF(Time!BD17&lt;Time!$F$11,SUMIFS(Construction!$J$28:$BJ$28,Construction!$J$12:$BJ$12,"&lt;="&amp;Time!BD17),IF(Time!BD17&lt;Time!$F$14,Inputs!$F$67*Inputs!$F$36,0))</f>
        <v>5.35</v>
      </c>
      <c r="BE19" s="11" t="n">
        <f aca="false">IF(Time!BE17&lt;Time!$F$11,SUMIFS(Construction!$J$28:$BJ$28,Construction!$J$12:$BJ$12,"&lt;="&amp;Time!BE17),IF(Time!BE17&lt;Time!$F$14,Inputs!$F$67*Inputs!$F$36,0))</f>
        <v>5.35</v>
      </c>
      <c r="BF19" s="11" t="n">
        <f aca="false">IF(Time!BF17&lt;Time!$F$11,SUMIFS(Construction!$J$28:$BJ$28,Construction!$J$12:$BJ$12,"&lt;="&amp;Time!BF17),IF(Time!BF17&lt;Time!$F$14,Inputs!$F$67*Inputs!$F$36,0))</f>
        <v>5.35</v>
      </c>
      <c r="BG19" s="11" t="n">
        <f aca="false">IF(Time!BG17&lt;Time!$F$11,SUMIFS(Construction!$J$28:$BJ$28,Construction!$J$12:$BJ$12,"&lt;="&amp;Time!BG17),IF(Time!BG17&lt;Time!$F$14,Inputs!$F$67*Inputs!$F$36,0))</f>
        <v>5.35</v>
      </c>
      <c r="BH19" s="11" t="n">
        <f aca="false">IF(Time!BH17&lt;Time!$F$11,SUMIFS(Construction!$J$28:$BJ$28,Construction!$J$12:$BJ$12,"&lt;="&amp;Time!BH17),IF(Time!BH17&lt;Time!$F$14,Inputs!$F$67*Inputs!$F$36,0))</f>
        <v>5.35</v>
      </c>
      <c r="BI19" s="11" t="n">
        <f aca="false">IF(Time!BI17&lt;Time!$F$11,SUMIFS(Construction!$J$28:$BJ$28,Construction!$J$12:$BJ$12,"&lt;="&amp;Time!BI17),IF(Time!BI17&lt;Time!$F$14,Inputs!$F$67*Inputs!$F$36,0))</f>
        <v>5.35</v>
      </c>
      <c r="BJ19" s="11" t="n">
        <f aca="false">IF(Time!BJ17&lt;Time!$F$11,SUMIFS(Construction!$J$28:$BJ$28,Construction!$J$12:$BJ$12,"&lt;="&amp;Time!BJ17),IF(Time!BJ17&lt;Time!$F$14,Inputs!$F$67*Inputs!$F$36,0))</f>
        <v>5.35</v>
      </c>
      <c r="BK19" s="11" t="n">
        <f aca="false">IF(Time!BK17&lt;Time!$F$11,SUMIFS(Construction!$J$28:$BJ$28,Construction!$J$12:$BJ$12,"&lt;="&amp;Time!BK17),IF(Time!BK17&lt;Time!$F$14,Inputs!$F$67*Inputs!$F$36,0))</f>
        <v>5.35</v>
      </c>
      <c r="BL19" s="11" t="n">
        <f aca="false">IF(Time!BL17&lt;Time!$F$11,SUMIFS(Construction!$J$28:$BJ$28,Construction!$J$12:$BJ$12,"&lt;="&amp;Time!BL17),IF(Time!BL17&lt;Time!$F$14,Inputs!$F$67*Inputs!$F$36,0))</f>
        <v>5.35</v>
      </c>
      <c r="BM19" s="11" t="n">
        <f aca="false">IF(Time!BM17&lt;Time!$F$11,SUMIFS(Construction!$J$28:$BJ$28,Construction!$J$12:$BJ$12,"&lt;="&amp;Time!BM17),IF(Time!BM17&lt;Time!$F$14,Inputs!$F$67*Inputs!$F$36,0))</f>
        <v>0</v>
      </c>
      <c r="BN19" s="11" t="n">
        <f aca="false">IF(Time!BN17&lt;Time!$F$11,SUMIFS(Construction!$J$28:$BJ$28,Construction!$J$12:$BJ$12,"&lt;="&amp;Time!BN17),IF(Time!BN17&lt;Time!$F$14,Inputs!$F$67*Inputs!$F$36,0))</f>
        <v>0</v>
      </c>
    </row>
    <row r="20" customFormat="false" ht="15" hidden="false" customHeight="false" outlineLevel="0" collapsed="false">
      <c r="D20" s="0" t="s">
        <v>777</v>
      </c>
      <c r="E20" s="0" t="s">
        <v>149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1.67337310469454</v>
      </c>
      <c r="P20" s="11" t="n">
        <f aca="false">MAX(0,-P12)</f>
        <v>6.69349241877824</v>
      </c>
      <c r="Q20" s="11" t="n">
        <f aca="false">MAX(0,-Q12)</f>
        <v>11.7136117328619</v>
      </c>
      <c r="R20" s="11" t="n">
        <f aca="false">MAX(0,-R12)</f>
        <v>16.7337310469456</v>
      </c>
      <c r="S20" s="11" t="n">
        <f aca="false">MAX(0,-S12)</f>
        <v>21.7538503610293</v>
      </c>
      <c r="T20" s="11" t="n">
        <f aca="false">MAX(0,-T12)</f>
        <v>26.773969675113</v>
      </c>
      <c r="U20" s="11" t="n">
        <f aca="false">MAX(0,-U12)</f>
        <v>31.7940889891967</v>
      </c>
      <c r="V20" s="11" t="n">
        <f aca="false">MAX(0,-V12)</f>
        <v>36.8142083032803</v>
      </c>
      <c r="W20" s="11" t="n">
        <f aca="false">MAX(0,-W12)</f>
        <v>41.834327617364</v>
      </c>
      <c r="X20" s="11" t="n">
        <f aca="false">MAX(0,-X12)</f>
        <v>46.8544469314477</v>
      </c>
      <c r="Y20" s="11" t="n">
        <f aca="false">MAX(0,-Y12)</f>
        <v>49.0893987348512</v>
      </c>
      <c r="Z20" s="11" t="n">
        <f aca="false">MAX(0,-Z12)</f>
        <v>45.5356436627746</v>
      </c>
      <c r="AA20" s="11" t="n">
        <f aca="false">MAX(0,-AA12)</f>
        <v>41.5377487852339</v>
      </c>
      <c r="AB20" s="11" t="n">
        <f aca="false">MAX(0,-AB12)</f>
        <v>37.2899945639688</v>
      </c>
      <c r="AC20" s="11" t="n">
        <f aca="false">MAX(0,-AC12)</f>
        <v>32.7702857664727</v>
      </c>
      <c r="AD20" s="11" t="n">
        <f aca="false">MAX(0,-AD12)</f>
        <v>31.766261903656</v>
      </c>
      <c r="AE20" s="11" t="n">
        <f aca="false">MAX(0,-AE12)</f>
        <v>27.360678212059</v>
      </c>
      <c r="AF20" s="11" t="n">
        <f aca="false">MAX(0,-AF12)</f>
        <v>21.5569795395981</v>
      </c>
      <c r="AG20" s="11" t="n">
        <f aca="false">MAX(0,-AG12)</f>
        <v>15.2874085547703</v>
      </c>
      <c r="AH20" s="11" t="n">
        <f aca="false">MAX(0,-AH12)</f>
        <v>8.59973452235238</v>
      </c>
      <c r="AI20" s="11" t="n">
        <f aca="false">MAX(0,-AI12)</f>
        <v>1.32305293951926</v>
      </c>
      <c r="AJ20" s="11" t="n">
        <f aca="false">MAX(0,-AJ12)</f>
        <v>0</v>
      </c>
      <c r="AK20" s="11" t="n">
        <f aca="false">MAX(0,-AK12)</f>
        <v>0</v>
      </c>
      <c r="AL20" s="11" t="n">
        <f aca="false">MAX(0,-AL12)</f>
        <v>0</v>
      </c>
      <c r="AM20" s="11" t="n">
        <f aca="false">MAX(0,-AM12)</f>
        <v>0</v>
      </c>
      <c r="AN20" s="11" t="n">
        <f aca="false">MAX(0,-AN12)</f>
        <v>0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-0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778</v>
      </c>
      <c r="E21" s="0" t="s">
        <v>149</v>
      </c>
      <c r="J21" s="11" t="n">
        <f aca="false">J16+J17+J18+J19+J20</f>
        <v>139.106138718341</v>
      </c>
      <c r="K21" s="11" t="n">
        <f aca="false">K16+K17+K18+K19+K20</f>
        <v>239.361059019891</v>
      </c>
      <c r="L21" s="11" t="n">
        <f aca="false">L16+L17+L18+L19+L20</f>
        <v>433.488009929513</v>
      </c>
      <c r="M21" s="11" t="n">
        <f aca="false">M16+M17+M18+M19+M20</f>
        <v>635.509570384213</v>
      </c>
      <c r="N21" s="11" t="n">
        <f aca="false">N16+N17+N18+N19+N20</f>
        <v>753.08150774339</v>
      </c>
      <c r="O21" s="11" t="n">
        <f aca="false">O16+O17+O18+O19+O20</f>
        <v>915.74388409038</v>
      </c>
      <c r="P21" s="11" t="n">
        <f aca="false">P16+P17+P18+P19+P20</f>
        <v>902.287080333491</v>
      </c>
      <c r="Q21" s="11" t="n">
        <f aca="false">Q16+Q17+Q18+Q19+Q20</f>
        <v>892.466023808459</v>
      </c>
      <c r="R21" s="11" t="n">
        <f aca="false">R16+R17+R18+R19+R20</f>
        <v>880.194560127303</v>
      </c>
      <c r="S21" s="11" t="n">
        <f aca="false">S16+S17+S18+S19+S20</f>
        <v>870.493641279351</v>
      </c>
      <c r="T21" s="11" t="n">
        <f aca="false">T16+T17+T18+T19+T20</f>
        <v>858.625212384793</v>
      </c>
      <c r="U21" s="11" t="n">
        <f aca="false">U16+U17+U18+U19+U20</f>
        <v>848.648762044015</v>
      </c>
      <c r="V21" s="11" t="n">
        <f aca="false">V16+V17+V18+V19+V20</f>
        <v>832.966714250635</v>
      </c>
      <c r="W21" s="11" t="n">
        <f aca="false">W16+W17+W18+W19+W20</f>
        <v>821.704522837654</v>
      </c>
      <c r="X21" s="11" t="n">
        <f aca="false">X16+X17+X18+X19+X20</f>
        <v>811.819555328127</v>
      </c>
      <c r="Y21" s="11" t="n">
        <f aca="false">Y16+Y17+Y18+Y19+Y20</f>
        <v>800.671079249399</v>
      </c>
      <c r="Z21" s="11" t="n">
        <f aca="false">Z16+Z17+Z18+Z19+Z20</f>
        <v>781.335597448067</v>
      </c>
      <c r="AA21" s="11" t="n">
        <f aca="false">AA16+AA17+AA18+AA19+AA20</f>
        <v>764.266557813147</v>
      </c>
      <c r="AB21" s="11" t="n">
        <f aca="false">AB16+AB17+AB18+AB19+AB20</f>
        <v>744.043267961374</v>
      </c>
      <c r="AC21" s="11" t="n">
        <f aca="false">AC16+AC17+AC18+AC19+AC20</f>
        <v>725.699542797509</v>
      </c>
      <c r="AD21" s="11" t="n">
        <f aca="false">AD16+AD17+AD18+AD19+AD20</f>
        <v>693.569815657418</v>
      </c>
      <c r="AE21" s="11" t="n">
        <f aca="false">AE16+AE17+AE18+AE19+AE20</f>
        <v>673.528085213013</v>
      </c>
      <c r="AF21" s="11" t="n">
        <f aca="false">AF16+AF17+AF18+AF19+AF20</f>
        <v>650.956004916142</v>
      </c>
      <c r="AG21" s="11" t="n">
        <f aca="false">AG16+AG17+AG18+AG19+AG20</f>
        <v>628.64240125532</v>
      </c>
      <c r="AH21" s="11" t="n">
        <f aca="false">AH16+AH17+AH18+AH19+AH20</f>
        <v>603.084944849437</v>
      </c>
      <c r="AI21" s="11" t="n">
        <f aca="false">AI16+AI17+AI18+AI19+AI20</f>
        <v>579.189519360825</v>
      </c>
      <c r="AJ21" s="11" t="n">
        <f aca="false">AJ16+AJ17+AJ18+AJ19+AJ20</f>
        <v>558.539016737994</v>
      </c>
      <c r="AK21" s="11" t="n">
        <f aca="false">AK16+AK17+AK18+AK19+AK20</f>
        <v>540.027353479764</v>
      </c>
      <c r="AL21" s="11" t="n">
        <f aca="false">AL16+AL17+AL18+AL19+AL20</f>
        <v>518.811340411392</v>
      </c>
      <c r="AM21" s="11" t="n">
        <f aca="false">AM16+AM17+AM18+AM19+AM20</f>
        <v>499.401873100396</v>
      </c>
      <c r="AN21" s="11" t="n">
        <f aca="false">AN16+AN17+AN18+AN19+AN20</f>
        <v>485.04107031489</v>
      </c>
      <c r="AO21" s="11" t="n">
        <f aca="false">AO16+AO17+AO18+AO19+AO20</f>
        <v>452.978953017748</v>
      </c>
      <c r="AP21" s="11" t="n">
        <f aca="false">AP16+AP17+AP18+AP19+AP20</f>
        <v>437.777260142199</v>
      </c>
      <c r="AQ21" s="11" t="n">
        <f aca="false">AQ16+AQ17+AQ18+AQ19+AQ20</f>
        <v>424.832578554081</v>
      </c>
      <c r="AR21" s="11" t="n">
        <f aca="false">AR16+AR17+AR18+AR19+AR20</f>
        <v>409.996138701894</v>
      </c>
      <c r="AS21" s="11" t="n">
        <f aca="false">AS16+AS17+AS18+AS19+AS20</f>
        <v>396.037804072531</v>
      </c>
      <c r="AT21" s="11" t="n">
        <f aca="false">AT16+AT17+AT18+AT19+AT20</f>
        <v>363.164755922258</v>
      </c>
      <c r="AU21" s="11" t="n">
        <f aca="false">AU16+AU17+AU18+AU19+AU20</f>
        <v>348.603742991221</v>
      </c>
      <c r="AV21" s="11" t="n">
        <f aca="false">AV16+AV17+AV18+AV19+AV20</f>
        <v>333.3710725107</v>
      </c>
      <c r="AW21" s="11" t="n">
        <f aca="false">AW16+AW17+AW18+AW19+AW20</f>
        <v>318.542504754206</v>
      </c>
      <c r="AX21" s="11" t="n">
        <f aca="false">AX16+AX17+AX18+AX19+AX20</f>
        <v>301.530842023557</v>
      </c>
      <c r="AY21" s="11" t="n">
        <f aca="false">AY16+AY17+AY18+AY19+AY20</f>
        <v>286.929914411331</v>
      </c>
      <c r="AZ21" s="11" t="n">
        <f aca="false">AZ16+AZ17+AZ18+AZ19+AZ20</f>
        <v>270.311875084176</v>
      </c>
      <c r="BA21" s="11" t="n">
        <f aca="false">BA16+BA17+BA18+BA19+BA20</f>
        <v>255.455893170258</v>
      </c>
      <c r="BB21" s="11" t="n">
        <f aca="false">BB16+BB17+BB18+BB19+BB20</f>
        <v>235.161480109582</v>
      </c>
      <c r="BC21" s="11" t="n">
        <f aca="false">BC16+BC17+BC18+BC19+BC20</f>
        <v>221.956488337747</v>
      </c>
      <c r="BD21" s="11" t="n">
        <f aca="false">BD16+BD17+BD18+BD19+BD20</f>
        <v>209.847919574917</v>
      </c>
      <c r="BE21" s="11" t="n">
        <f aca="false">BE16+BE17+BE18+BE19+BE20</f>
        <v>198.86785545537</v>
      </c>
      <c r="BF21" s="11" t="n">
        <f aca="false">BF16+BF17+BF18+BF19+BF20</f>
        <v>185.572979094736</v>
      </c>
      <c r="BG21" s="11" t="n">
        <f aca="false">BG16+BG17+BG18+BG19+BG20</f>
        <v>174.872075384931</v>
      </c>
      <c r="BH21" s="11" t="n">
        <f aca="false">BH16+BH17+BH18+BH19+BH20</f>
        <v>162.035943301648</v>
      </c>
      <c r="BI21" s="11" t="n">
        <f aca="false">BI16+BI17+BI18+BI19+BI20</f>
        <v>150.212937289349</v>
      </c>
      <c r="BJ21" s="11" t="n">
        <f aca="false">BJ16+BJ17+BJ18+BJ19+BJ20</f>
        <v>116.031708917847</v>
      </c>
      <c r="BK21" s="11" t="n">
        <f aca="false">BK16+BK17+BK18+BK19+BK20</f>
        <v>103.434327843542</v>
      </c>
      <c r="BL21" s="11" t="n">
        <f aca="false">BL16+BL17+BL18+BL19+BL20</f>
        <v>89.4196983078774</v>
      </c>
      <c r="BM21" s="11" t="n">
        <f aca="false">BM16+BM17+BM18+BM19+BM20</f>
        <v>0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779</v>
      </c>
      <c r="E22" s="0" t="s">
        <v>149</v>
      </c>
      <c r="J22" s="11" t="n">
        <f aca="false">IF(Time!J17&lt;Time!$F$11,SUMIFS(Funding!$J$73:$BJ$73,Construction!$J$12:$BJ$12,"&lt;="&amp;Time!J17),Debt!J123)</f>
        <v>102.394991424711</v>
      </c>
      <c r="K22" s="11" t="n">
        <f aca="false">IF(Time!K17&lt;Time!$F$11,SUMIFS(Funding!$J$73:$BJ$73,Construction!$J$12:$BJ$12,"&lt;="&amp;Time!K17),Debt!K123)</f>
        <v>175.354522901043</v>
      </c>
      <c r="L22" s="11" t="n">
        <f aca="false">IF(Time!L17&lt;Time!$F$11,SUMIFS(Funding!$J$73:$BJ$73,Construction!$J$12:$BJ$12,"&lt;="&amp;Time!L17),Debt!L123)</f>
        <v>316.693819074419</v>
      </c>
      <c r="M22" s="11" t="n">
        <f aca="false">IF(Time!M17&lt;Time!$F$11,SUMIFS(Funding!$J$73:$BJ$73,Construction!$J$12:$BJ$12,"&lt;="&amp;Time!M17),Debt!M123)</f>
        <v>462.283857293838</v>
      </c>
      <c r="N22" s="11" t="n">
        <f aca="false">IF(Time!N17&lt;Time!$F$11,SUMIFS(Funding!$J$73:$BJ$73,Construction!$J$12:$BJ$12,"&lt;="&amp;Time!N17),Debt!N123)</f>
        <v>543.854065408923</v>
      </c>
      <c r="O22" s="11" t="n">
        <f aca="false">IF(Time!O17&lt;Time!$F$11,SUMIFS(Funding!$J$73:$BJ$73,Construction!$J$12:$BJ$12,"&lt;="&amp;Time!O17),Debt!O123)</f>
        <v>633.255975542792</v>
      </c>
      <c r="P22" s="11" t="n">
        <f aca="false">IF(Time!P17&lt;Time!$F$11,SUMIFS(Funding!$J$73:$BJ$73,Construction!$J$12:$BJ$12,"&lt;="&amp;Time!P17),Debt!P123)</f>
        <v>617.766260742047</v>
      </c>
      <c r="Q22" s="11" t="n">
        <f aca="false">IF(Time!Q17&lt;Time!$F$11,SUMIFS(Funding!$J$73:$BJ$73,Construction!$J$12:$BJ$12,"&lt;="&amp;Time!Q17),Debt!Q123)</f>
        <v>601.62099441246</v>
      </c>
      <c r="R22" s="11" t="n">
        <f aca="false">IF(Time!R17&lt;Time!$F$11,SUMIFS(Funding!$J$73:$BJ$73,Construction!$J$12:$BJ$12,"&lt;="&amp;Time!R17),Debt!R123)</f>
        <v>584.68043306703</v>
      </c>
      <c r="S22" s="11" t="n">
        <f aca="false">IF(Time!S17&lt;Time!$F$11,SUMIFS(Funding!$J$73:$BJ$73,Construction!$J$12:$BJ$12,"&lt;="&amp;Time!S17),Debt!S123)</f>
        <v>567.24066078473</v>
      </c>
      <c r="T22" s="11" t="n">
        <f aca="false">IF(Time!T17&lt;Time!$F$11,SUMIFS(Funding!$J$73:$BJ$73,Construction!$J$12:$BJ$12,"&lt;="&amp;Time!T17),Debt!T123)</f>
        <v>548.998665226968</v>
      </c>
      <c r="U22" s="11" t="n">
        <f aca="false">IF(Time!U17&lt;Time!$F$11,SUMIFS(Funding!$J$73:$BJ$73,Construction!$J$12:$BJ$12,"&lt;="&amp;Time!U17),Debt!U123)</f>
        <v>530.17490031735</v>
      </c>
      <c r="V22" s="11" t="n">
        <f aca="false">IF(Time!V17&lt;Time!$F$11,SUMIFS(Funding!$J$73:$BJ$73,Construction!$J$12:$BJ$12,"&lt;="&amp;Time!V17),Debt!V123)</f>
        <v>510.121392145603</v>
      </c>
      <c r="W22" s="11" t="n">
        <f aca="false">IF(Time!W17&lt;Time!$F$11,SUMIFS(Funding!$J$73:$BJ$73,Construction!$J$12:$BJ$12,"&lt;="&amp;Time!W17),Debt!W123)</f>
        <v>489.454860536502</v>
      </c>
      <c r="X22" s="11" t="n">
        <f aca="false">IF(Time!X17&lt;Time!$F$11,SUMIFS(Funding!$J$73:$BJ$73,Construction!$J$12:$BJ$12,"&lt;="&amp;Time!X17),Debt!X123)</f>
        <v>469.361985000767</v>
      </c>
      <c r="Y22" s="11" t="n">
        <f aca="false">IF(Time!Y17&lt;Time!$F$11,SUMIFS(Funding!$J$73:$BJ$73,Construction!$J$12:$BJ$12,"&lt;="&amp;Time!Y17),Debt!Y123)</f>
        <v>449.259654772994</v>
      </c>
      <c r="Z22" s="11" t="n">
        <f aca="false">IF(Time!Z17&lt;Time!$F$11,SUMIFS(Funding!$J$73:$BJ$73,Construction!$J$12:$BJ$12,"&lt;="&amp;Time!Z17),Debt!Z123)</f>
        <v>428.324526114692</v>
      </c>
      <c r="AA22" s="11" t="n">
        <f aca="false">IF(Time!AA17&lt;Time!$F$11,SUMIFS(Funding!$J$73:$BJ$73,Construction!$J$12:$BJ$12,"&lt;="&amp;Time!AA17),Debt!AA123)</f>
        <v>400.442322124089</v>
      </c>
      <c r="AB22" s="11" t="n">
        <f aca="false">IF(Time!AB17&lt;Time!$F$11,SUMIFS(Funding!$J$73:$BJ$73,Construction!$J$12:$BJ$12,"&lt;="&amp;Time!AB17),Debt!AB123)</f>
        <v>370.847526129466</v>
      </c>
      <c r="AC22" s="11" t="n">
        <f aca="false">IF(Time!AC17&lt;Time!$F$11,SUMIFS(Funding!$J$73:$BJ$73,Construction!$J$12:$BJ$12,"&lt;="&amp;Time!AC17),Debt!AC123)</f>
        <v>341.512428297888</v>
      </c>
      <c r="AD22" s="11" t="n">
        <f aca="false">IF(Time!AD17&lt;Time!$F$11,SUMIFS(Funding!$J$73:$BJ$73,Construction!$J$12:$BJ$12,"&lt;="&amp;Time!AD17),Debt!AD123)</f>
        <v>310.048707335517</v>
      </c>
      <c r="AE22" s="11" t="n">
        <f aca="false">IF(Time!AE17&lt;Time!$F$11,SUMIFS(Funding!$J$73:$BJ$73,Construction!$J$12:$BJ$12,"&lt;="&amp;Time!AE17),Debt!AE123)</f>
        <v>277.65471523924</v>
      </c>
      <c r="AF22" s="11" t="n">
        <f aca="false">IF(Time!AF17&lt;Time!$F$11,SUMIFS(Funding!$J$73:$BJ$73,Construction!$J$12:$BJ$12,"&lt;="&amp;Time!AF17),Debt!AF123)</f>
        <v>243.468082930885</v>
      </c>
      <c r="AG22" s="11" t="n">
        <f aca="false">IF(Time!AG17&lt;Time!$F$11,SUMIFS(Funding!$J$73:$BJ$73,Construction!$J$12:$BJ$12,"&lt;="&amp;Time!AG17),Debt!AG123)</f>
        <v>209.04971747343</v>
      </c>
      <c r="AH22" s="11" t="n">
        <f aca="false">IF(Time!AH17&lt;Time!$F$11,SUMIFS(Funding!$J$73:$BJ$73,Construction!$J$12:$BJ$12,"&lt;="&amp;Time!AH17),Debt!AH123)</f>
        <v>173.212023904667</v>
      </c>
      <c r="AI22" s="11" t="n">
        <f aca="false">IF(Time!AI17&lt;Time!$F$11,SUMIFS(Funding!$J$73:$BJ$73,Construction!$J$12:$BJ$12,"&lt;="&amp;Time!AI17),Debt!AI123)</f>
        <v>137.324220165101</v>
      </c>
      <c r="AJ22" s="11" t="n">
        <f aca="false">IF(Time!AJ17&lt;Time!$F$11,SUMIFS(Funding!$J$73:$BJ$73,Construction!$J$12:$BJ$12,"&lt;="&amp;Time!AJ17),Debt!AJ123)</f>
        <v>100.439764943127</v>
      </c>
      <c r="AK22" s="11" t="n">
        <f aca="false">IF(Time!AK17&lt;Time!$F$11,SUMIFS(Funding!$J$73:$BJ$73,Construction!$J$12:$BJ$12,"&lt;="&amp;Time!AK17),Debt!AK123)</f>
        <v>80.0770675371831</v>
      </c>
      <c r="AL22" s="11" t="n">
        <f aca="false">IF(Time!AL17&lt;Time!$F$11,SUMIFS(Funding!$J$73:$BJ$73,Construction!$J$12:$BJ$12,"&lt;="&amp;Time!AL17),Debt!AL123)</f>
        <v>58.5366809532083</v>
      </c>
      <c r="AM22" s="11" t="n">
        <f aca="false">IF(Time!AM17&lt;Time!$F$11,SUMIFS(Funding!$J$73:$BJ$73,Construction!$J$12:$BJ$12,"&lt;="&amp;Time!AM17),Debt!AM123)</f>
        <v>36.5485781493316</v>
      </c>
      <c r="AN22" s="11" t="n">
        <f aca="false">IF(Time!AN17&lt;Time!$F$11,SUMIFS(Funding!$J$73:$BJ$73,Construction!$J$12:$BJ$12,"&lt;="&amp;Time!AN17),Debt!AN123)</f>
        <v>18.4086543635775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780</v>
      </c>
      <c r="E23" s="0" t="s">
        <v>149</v>
      </c>
      <c r="J23" s="11" t="n">
        <f aca="false">IF(Time!J17&lt;Time!$F$11,SUMIFS(Funding!$J$70:$BJ$70,Construction!$J$12:$BJ$12,"&lt;="&amp;Time!J17)+SUMIFS(Funding!$J$71:$BJ$71,Construction!$J$12:$BJ$12,"&lt;="&amp;Time!J17),Waterfall!J36)</f>
        <v>29.5372183907053</v>
      </c>
      <c r="K23" s="11" t="n">
        <f aca="false">IF(Time!K17&lt;Time!$F$11,SUMIFS(Funding!$J$70:$BJ$70,Construction!$J$12:$BJ$12,"&lt;="&amp;Time!K17)+SUMIFS(Funding!$J$71:$BJ$71,Construction!$J$12:$BJ$12,"&lt;="&amp;Time!K17),Waterfall!K36)</f>
        <v>51.7209656764366</v>
      </c>
      <c r="L23" s="11" t="n">
        <f aca="false">IF(Time!L17&lt;Time!$F$11,SUMIFS(Funding!$J$70:$BJ$70,Construction!$J$12:$BJ$12,"&lt;="&amp;Time!L17)+SUMIFS(Funding!$J$71:$BJ$71,Construction!$J$12:$BJ$12,"&lt;="&amp;Time!L17),Waterfall!L36)</f>
        <v>94.6062018682886</v>
      </c>
      <c r="M23" s="11" t="n">
        <f aca="false">IF(Time!M17&lt;Time!$F$11,SUMIFS(Funding!$J$70:$BJ$70,Construction!$J$12:$BJ$12,"&lt;="&amp;Time!M17)+SUMIFS(Funding!$J$71:$BJ$71,Construction!$J$12:$BJ$12,"&lt;="&amp;Time!M17),Waterfall!M36)</f>
        <v>140.837492933784</v>
      </c>
      <c r="N23" s="11" t="n">
        <f aca="false">IF(Time!N17&lt;Time!$F$11,SUMIFS(Funding!$J$70:$BJ$70,Construction!$J$12:$BJ$12,"&lt;="&amp;Time!N17)+SUMIFS(Funding!$J$71:$BJ$71,Construction!$J$12:$BJ$12,"&lt;="&amp;Time!N17),Waterfall!N36)</f>
        <v>171.124305212971</v>
      </c>
      <c r="O23" s="11" t="n">
        <f aca="false">IF(Time!O17&lt;Time!$F$11,SUMIFS(Funding!$J$70:$BJ$70,Construction!$J$12:$BJ$12,"&lt;="&amp;Time!O17)+SUMIFS(Funding!$J$71:$BJ$71,Construction!$J$12:$BJ$12,"&lt;="&amp;Time!O17),Waterfall!O36)</f>
        <v>204.861412067266</v>
      </c>
      <c r="P23" s="11" t="n">
        <f aca="false">IF(Time!P17&lt;Time!$F$11,SUMIFS(Funding!$J$70:$BJ$70,Construction!$J$12:$BJ$12,"&lt;="&amp;Time!P17)+SUMIFS(Funding!$J$71:$BJ$71,Construction!$J$12:$BJ$12,"&lt;="&amp;Time!P17),Waterfall!P36)</f>
        <v>199.325269590166</v>
      </c>
      <c r="Q23" s="11" t="n">
        <f aca="false">IF(Time!Q17&lt;Time!$F$11,SUMIFS(Funding!$J$70:$BJ$70,Construction!$J$12:$BJ$12,"&lt;="&amp;Time!Q17)+SUMIFS(Funding!$J$71:$BJ$71,Construction!$J$12:$BJ$12,"&lt;="&amp;Time!Q17),Waterfall!Q36)</f>
        <v>195.897966939256</v>
      </c>
      <c r="R23" s="11" t="n">
        <f aca="false">IF(Time!R17&lt;Time!$F$11,SUMIFS(Funding!$J$70:$BJ$70,Construction!$J$12:$BJ$12,"&lt;="&amp;Time!R17)+SUMIFS(Funding!$J$71:$BJ$71,Construction!$J$12:$BJ$12,"&lt;="&amp;Time!R17),Waterfall!R36)</f>
        <v>191.585179905255</v>
      </c>
      <c r="S23" s="11" t="n">
        <f aca="false">IF(Time!S17&lt;Time!$F$11,SUMIFS(Funding!$J$70:$BJ$70,Construction!$J$12:$BJ$12,"&lt;="&amp;Time!S17)+SUMIFS(Funding!$J$71:$BJ$71,Construction!$J$12:$BJ$12,"&lt;="&amp;Time!S17),Waterfall!S36)</f>
        <v>187.690620544138</v>
      </c>
      <c r="T23" s="11" t="n">
        <f aca="false">IF(Time!T17&lt;Time!$F$11,SUMIFS(Funding!$J$70:$BJ$70,Construction!$J$12:$BJ$12,"&lt;="&amp;Time!T17)+SUMIFS(Funding!$J$71:$BJ$71,Construction!$J$12:$BJ$12,"&lt;="&amp;Time!T17),Waterfall!T36)</f>
        <v>182.994672831881</v>
      </c>
      <c r="U23" s="11" t="n">
        <f aca="false">IF(Time!U17&lt;Time!$F$11,SUMIFS(Funding!$J$70:$BJ$70,Construction!$J$12:$BJ$12,"&lt;="&amp;Time!U17)+SUMIFS(Funding!$J$71:$BJ$71,Construction!$J$12:$BJ$12,"&lt;="&amp;Time!U17),Waterfall!U36)</f>
        <v>179.071649571152</v>
      </c>
      <c r="V23" s="11" t="n">
        <f aca="false">IF(Time!V17&lt;Time!$F$11,SUMIFS(Funding!$J$70:$BJ$70,Construction!$J$12:$BJ$12,"&lt;="&amp;Time!V17)+SUMIFS(Funding!$J$71:$BJ$71,Construction!$J$12:$BJ$12,"&lt;="&amp;Time!V17),Waterfall!V36)</f>
        <v>175.095880870299</v>
      </c>
      <c r="W23" s="11" t="n">
        <f aca="false">IF(Time!W17&lt;Time!$F$11,SUMIFS(Funding!$J$70:$BJ$70,Construction!$J$12:$BJ$12,"&lt;="&amp;Time!W17)+SUMIFS(Funding!$J$71:$BJ$71,Construction!$J$12:$BJ$12,"&lt;="&amp;Time!W17),Waterfall!W36)</f>
        <v>169.781267816165</v>
      </c>
      <c r="X23" s="11" t="n">
        <f aca="false">IF(Time!X17&lt;Time!$F$11,SUMIFS(Funding!$J$70:$BJ$70,Construction!$J$12:$BJ$12,"&lt;="&amp;Time!X17)+SUMIFS(Funding!$J$71:$BJ$71,Construction!$J$12:$BJ$12,"&lt;="&amp;Time!X17),Waterfall!X36)</f>
        <v>164.559310236404</v>
      </c>
      <c r="Y23" s="11" t="n">
        <f aca="false">IF(Time!Y17&lt;Time!$F$11,SUMIFS(Funding!$J$70:$BJ$70,Construction!$J$12:$BJ$12,"&lt;="&amp;Time!Y17)+SUMIFS(Funding!$J$71:$BJ$71,Construction!$J$12:$BJ$12,"&lt;="&amp;Time!Y17),Waterfall!Y36)</f>
        <v>159.503452197307</v>
      </c>
      <c r="Z23" s="11" t="n">
        <f aca="false">IF(Time!Z17&lt;Time!$F$11,SUMIFS(Funding!$J$70:$BJ$70,Construction!$J$12:$BJ$12,"&lt;="&amp;Time!Z17)+SUMIFS(Funding!$J$71:$BJ$71,Construction!$J$12:$BJ$12,"&lt;="&amp;Time!Z17),Waterfall!Z36)</f>
        <v>153.676340015204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154.579833447742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154.611702214937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155.113088916391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155.178390158341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154.648137165216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152.584419906982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149.589635679637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145.185694317687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139.556008187551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131.860468184907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105.842845498762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82.3408894985494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53.3040061191409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31.8242535028711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0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0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0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0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0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781</v>
      </c>
      <c r="E24" s="0" t="s">
        <v>149</v>
      </c>
      <c r="J24" s="11" t="n">
        <f aca="false">Operations!J86+Operations!J87+Operations!J88+Operations!J89+Operations!J90</f>
        <v>0</v>
      </c>
      <c r="K24" s="11" t="n">
        <f aca="false">Operations!K86+Operations!K87+Operations!K88+Operations!K89+Operations!K90</f>
        <v>0</v>
      </c>
      <c r="L24" s="11" t="n">
        <f aca="false">Operations!L86+Operations!L87+Operations!L88+Operations!L89+Operations!L90</f>
        <v>0</v>
      </c>
      <c r="M24" s="11" t="n">
        <f aca="false">Operations!M86+Operations!M87+Operations!M88+Operations!M89+Operations!M90</f>
        <v>0</v>
      </c>
      <c r="N24" s="11" t="n">
        <f aca="false">Operations!N86+Operations!N87+Operations!N88+Operations!N89+Operations!N90</f>
        <v>0</v>
      </c>
      <c r="O24" s="11" t="n">
        <f aca="false">Operations!O86+Operations!O87+Operations!O88+Operations!O89+Operations!O90</f>
        <v>23.3897924252464</v>
      </c>
      <c r="P24" s="11" t="n">
        <f aca="false">Operations!P86+Operations!P87+Operations!P88+Operations!P89+Operations!P90</f>
        <v>23.2998156476577</v>
      </c>
      <c r="Q24" s="11" t="n">
        <f aca="false">Operations!Q86+Operations!Q87+Operations!Q88+Operations!Q89+Operations!Q90</f>
        <v>24.0165518026808</v>
      </c>
      <c r="R24" s="11" t="n">
        <f aca="false">Operations!R86+Operations!R87+Operations!R88+Operations!R89+Operations!R90</f>
        <v>23.5434679046565</v>
      </c>
      <c r="S24" s="11" t="n">
        <f aca="false">Operations!S86+Operations!S87+Operations!S88+Operations!S89+Operations!S90</f>
        <v>24.4106930457316</v>
      </c>
      <c r="T24" s="11" t="n">
        <f aca="false">Operations!T86+Operations!T87+Operations!T88+Operations!T89+Operations!T90</f>
        <v>24.2127583411527</v>
      </c>
      <c r="U24" s="11" t="n">
        <f aca="false">Operations!U86+Operations!U87+Operations!U88+Operations!U89+Operations!U90</f>
        <v>24.6448133162026</v>
      </c>
      <c r="V24" s="11" t="n">
        <f aca="false">Operations!V86+Operations!V87+Operations!V88+Operations!V89+Operations!V90</f>
        <v>23.9367937536587</v>
      </c>
      <c r="W24" s="11" t="n">
        <f aca="false">Operations!W86+Operations!W87+Operations!W88+Operations!W89+Operations!W90</f>
        <v>24.9905249372275</v>
      </c>
      <c r="X24" s="11" t="n">
        <f aca="false">Operations!X86+Operations!X87+Operations!X88+Operations!X89+Operations!X90</f>
        <v>25.1615572015341</v>
      </c>
      <c r="Y24" s="11" t="n">
        <f aca="false">Operations!Y86+Operations!Y87+Operations!Y88+Operations!Y89+Operations!Y90</f>
        <v>25.9359739463262</v>
      </c>
      <c r="Z24" s="11" t="n">
        <f aca="false">Operations!Z86+Operations!Z87+Operations!Z88+Operations!Z89+Operations!Z90</f>
        <v>25.4244309598892</v>
      </c>
      <c r="AA24" s="11" t="n">
        <f aca="false">Operations!AA86+Operations!AA87+Operations!AA88+Operations!AA89+Operations!AA90</f>
        <v>26.3615834809117</v>
      </c>
      <c r="AB24" s="11" t="n">
        <f aca="false">Operations!AB86+Operations!AB87+Operations!AB88+Operations!AB89+Operations!AB90</f>
        <v>26.1476165686476</v>
      </c>
      <c r="AC24" s="11" t="n">
        <f aca="false">Operations!AC86+Operations!AC87+Operations!AC88+Operations!AC89+Operations!AC90</f>
        <v>26.4471395574673</v>
      </c>
      <c r="AD24" s="11" t="n">
        <f aca="false">Operations!AD86+Operations!AD87+Operations!AD88+Operations!AD89+Operations!AD90</f>
        <v>25.3915613576666</v>
      </c>
      <c r="AE24" s="11" t="n">
        <f aca="false">Operations!AE86+Operations!AE87+Operations!AE88+Operations!AE89+Operations!AE90</f>
        <v>26.6715029068411</v>
      </c>
      <c r="AF24" s="11" t="n">
        <f aca="false">Operations!AF86+Operations!AF87+Operations!AF88+Operations!AF89+Operations!AF90</f>
        <v>27.172395553207</v>
      </c>
      <c r="AG24" s="11" t="n">
        <f aca="false">Operations!AG86+Operations!AG87+Operations!AG88+Operations!AG89+Operations!AG90</f>
        <v>28.0091214502915</v>
      </c>
      <c r="AH24" s="11" t="n">
        <f aca="false">Operations!AH86+Operations!AH87+Operations!AH88+Operations!AH89+Operations!AH90</f>
        <v>27.4560075275368</v>
      </c>
      <c r="AI24" s="11" t="n">
        <f aca="false">Operations!AI86+Operations!AI87+Operations!AI88+Operations!AI89+Operations!AI90</f>
        <v>28.4687059161953</v>
      </c>
      <c r="AJ24" s="11" t="n">
        <f aca="false">Operations!AJ86+Operations!AJ87+Operations!AJ88+Operations!AJ89+Operations!AJ90</f>
        <v>28.2374101611049</v>
      </c>
      <c r="AK24" s="11" t="n">
        <f aca="false">Operations!AK86+Operations!AK87+Operations!AK88+Operations!AK89+Operations!AK90</f>
        <v>28.7411137785025</v>
      </c>
      <c r="AL24" s="11" t="n">
        <f aca="false">Operations!AL86+Operations!AL87+Operations!AL88+Operations!AL89+Operations!AL90</f>
        <v>27.9139264580607</v>
      </c>
      <c r="AM24" s="11" t="n">
        <f aca="false">Operations!AM86+Operations!AM87+Operations!AM88+Operations!AM89+Operations!AM90</f>
        <v>29.1442164183466</v>
      </c>
      <c r="AN24" s="11" t="n">
        <f aca="false">Operations!AN86+Operations!AN87+Operations!AN88+Operations!AN89+Operations!AN90</f>
        <v>29.3442354995514</v>
      </c>
      <c r="AO24" s="11" t="n">
        <f aca="false">Operations!AO86+Operations!AO87+Operations!AO88+Operations!AO89+Operations!AO90</f>
        <v>30.2482682951895</v>
      </c>
      <c r="AP24" s="11" t="n">
        <f aca="false">Operations!AP86+Operations!AP87+Operations!AP88+Operations!AP89+Operations!AP90</f>
        <v>29.6502218832718</v>
      </c>
      <c r="AQ24" s="11" t="n">
        <f aca="false">Operations!AQ86+Operations!AQ87+Operations!AQ88+Operations!AQ89+Operations!AQ90</f>
        <v>30.7445332160257</v>
      </c>
      <c r="AR24" s="11" t="n">
        <f aca="false">Operations!AR86+Operations!AR87+Operations!AR88+Operations!AR89+Operations!AR90</f>
        <v>30.4945080681649</v>
      </c>
      <c r="AS24" s="11" t="n">
        <f aca="false">Operations!AS86+Operations!AS87+Operations!AS88+Operations!AS89+Operations!AS90</f>
        <v>30.8431239144976</v>
      </c>
      <c r="AT24" s="11" t="n">
        <f aca="false">Operations!AT86+Operations!AT87+Operations!AT88+Operations!AT89+Operations!AT90</f>
        <v>29.6104830671488</v>
      </c>
      <c r="AU24" s="11" t="n">
        <f aca="false">Operations!AU86+Operations!AU87+Operations!AU88+Operations!AU89+Operations!AU90</f>
        <v>31.104812077202</v>
      </c>
      <c r="AV24" s="11" t="n">
        <f aca="false">Operations!AV86+Operations!AV87+Operations!AV88+Operations!AV89+Operations!AV90</f>
        <v>31.6899281382616</v>
      </c>
      <c r="AW24" s="11" t="n">
        <f aca="false">Operations!AW86+Operations!AW87+Operations!AW88+Operations!AW89+Operations!AW90</f>
        <v>32.6666639956759</v>
      </c>
      <c r="AX24" s="11" t="n">
        <f aca="false">Operations!AX86+Operations!AX87+Operations!AX88+Operations!AX89+Operations!AX90</f>
        <v>32.0200539824747</v>
      </c>
      <c r="AY24" s="11" t="n">
        <f aca="false">Operations!AY86+Operations!AY87+Operations!AY88+Operations!AY89+Operations!AY90</f>
        <v>33.2025294732226</v>
      </c>
      <c r="AZ24" s="11" t="n">
        <f aca="false">Operations!AZ86+Operations!AZ87+Operations!AZ88+Operations!AZ89+Operations!AZ90</f>
        <v>32.9322622237067</v>
      </c>
      <c r="BA24" s="11" t="n">
        <f aca="false">Operations!BA86+Operations!BA87+Operations!BA88+Operations!BA89+Operations!BA90</f>
        <v>33.5194718817074</v>
      </c>
      <c r="BB24" s="11" t="n">
        <f aca="false">Operations!BB86+Operations!BB87+Operations!BB88+Operations!BB89+Operations!BB90</f>
        <v>32.5531948715659</v>
      </c>
      <c r="BC24" s="11" t="n">
        <f aca="false">Operations!BC86+Operations!BC87+Operations!BC88+Operations!BC89+Operations!BC90</f>
        <v>33.9894852831952</v>
      </c>
      <c r="BD24" s="11" t="n">
        <f aca="false">Operations!BD86+Operations!BD87+Operations!BD88+Operations!BD89+Operations!BD90</f>
        <v>34.2233456468253</v>
      </c>
      <c r="BE24" s="11" t="n">
        <f aca="false">Operations!BE86+Operations!BE87+Operations!BE88+Operations!BE89+Operations!BE90</f>
        <v>35.2786106742758</v>
      </c>
      <c r="BF24" s="11" t="n">
        <f aca="false">Operations!BF86+Operations!BF87+Operations!BF88+Operations!BF89+Operations!BF90</f>
        <v>34.5795149716066</v>
      </c>
      <c r="BG24" s="11" t="n">
        <f aca="false">Operations!BG86+Operations!BG87+Operations!BG88+Operations!BG89+Operations!BG90</f>
        <v>35.8572283127284</v>
      </c>
      <c r="BH24" s="11" t="n">
        <f aca="false">Operations!BH86+Operations!BH87+Operations!BH88+Operations!BH89+Operations!BH90</f>
        <v>35.5650852029957</v>
      </c>
      <c r="BI24" s="11" t="n">
        <f aca="false">Operations!BI86+Operations!BI87+Operations!BI88+Operations!BI89+Operations!BI90</f>
        <v>35.9708377406646</v>
      </c>
      <c r="BJ24" s="11" t="n">
        <f aca="false">Operations!BJ86+Operations!BJ87+Operations!BJ88+Operations!BJ89+Operations!BJ90</f>
        <v>34.5316628729923</v>
      </c>
      <c r="BK24" s="11" t="n">
        <f aca="false">Operations!BK86+Operations!BK87+Operations!BK88+Operations!BK89+Operations!BK90</f>
        <v>36.2760960172281</v>
      </c>
      <c r="BL24" s="11" t="n">
        <f aca="false">Operations!BL86+Operations!BL87+Operations!BL88+Operations!BL89+Operations!BL90</f>
        <v>36.9594619276886</v>
      </c>
      <c r="BM24" s="11" t="n">
        <f aca="false">Operations!BM86+Operations!BM87+Operations!BM88+Operations!BM89+Operations!BM90</f>
        <v>0</v>
      </c>
      <c r="BN24" s="11" t="n">
        <f aca="false">Operations!BN86+Operations!BN87+Operations!BN88+Operations!BN89+Operations!BN90</f>
        <v>0</v>
      </c>
    </row>
    <row r="25" customFormat="false" ht="15" hidden="false" customHeight="false" outlineLevel="0" collapsed="false">
      <c r="D25" s="0" t="s">
        <v>782</v>
      </c>
      <c r="E25" s="0" t="s">
        <v>149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6.43359346451276</v>
      </c>
      <c r="AK25" s="11" t="n">
        <f aca="false">MAX(0,AK12)</f>
        <v>14.7546648951197</v>
      </c>
      <c r="AL25" s="11" t="n">
        <f aca="false">MAX(0,AL12)</f>
        <v>22.2601863085639</v>
      </c>
      <c r="AM25" s="11" t="n">
        <f aca="false">MAX(0,AM12)</f>
        <v>31.4871003112244</v>
      </c>
      <c r="AN25" s="11" t="n">
        <f aca="false">MAX(0,AN12)</f>
        <v>32.9654501624829</v>
      </c>
      <c r="AO25" s="11" t="n">
        <f aca="false">MAX(0,AO12)</f>
        <v>33.9694740252996</v>
      </c>
      <c r="AP25" s="11" t="n">
        <f aca="false">MAX(0,AP12)</f>
        <v>34.9734978881163</v>
      </c>
      <c r="AQ25" s="11" t="n">
        <f aca="false">MAX(0,AQ12)</f>
        <v>35.9775217509331</v>
      </c>
      <c r="AR25" s="11" t="n">
        <f aca="false">MAX(0,AR12)</f>
        <v>36.9815456137498</v>
      </c>
      <c r="AS25" s="11" t="n">
        <f aca="false">MAX(0,AS12)</f>
        <v>37.9855694765666</v>
      </c>
      <c r="AT25" s="11" t="n">
        <f aca="false">MAX(0,AT12)</f>
        <v>38.9895933393833</v>
      </c>
      <c r="AU25" s="11" t="n">
        <f aca="false">MAX(0,AU12)</f>
        <v>39.9936172022</v>
      </c>
      <c r="AV25" s="11" t="n">
        <f aca="false">MAX(0,AV12)</f>
        <v>40.9976410650168</v>
      </c>
      <c r="AW25" s="11" t="n">
        <f aca="false">MAX(0,AW12)</f>
        <v>42.0016649278335</v>
      </c>
      <c r="AX25" s="11" t="n">
        <f aca="false">MAX(0,AX12)</f>
        <v>43.0056887906502</v>
      </c>
      <c r="AY25" s="11" t="n">
        <f aca="false">MAX(0,AY12)</f>
        <v>44.009712653467</v>
      </c>
      <c r="AZ25" s="11" t="n">
        <f aca="false">MAX(0,AZ12)</f>
        <v>45.0137365162837</v>
      </c>
      <c r="BA25" s="11" t="n">
        <f aca="false">MAX(0,BA12)</f>
        <v>46.0177603791004</v>
      </c>
      <c r="BB25" s="11" t="n">
        <f aca="false">MAX(0,BB12)</f>
        <v>47.0217842419172</v>
      </c>
      <c r="BC25" s="11" t="n">
        <f aca="false">MAX(0,BC12)</f>
        <v>46.1014290343352</v>
      </c>
      <c r="BD25" s="11" t="n">
        <f aca="false">MAX(0,BD12)</f>
        <v>41.3323156859557</v>
      </c>
      <c r="BE25" s="11" t="n">
        <f aca="false">MAX(0,BE12)</f>
        <v>36.5632023375762</v>
      </c>
      <c r="BF25" s="11" t="n">
        <f aca="false">MAX(0,BF12)</f>
        <v>31.7940889891967</v>
      </c>
      <c r="BG25" s="11" t="n">
        <f aca="false">MAX(0,BG12)</f>
        <v>27.0249756408172</v>
      </c>
      <c r="BH25" s="11" t="n">
        <f aca="false">MAX(0,BH12)</f>
        <v>22.2558622924377</v>
      </c>
      <c r="BI25" s="11" t="n">
        <f aca="false">MAX(0,BI12)</f>
        <v>17.4867489440582</v>
      </c>
      <c r="BJ25" s="11" t="n">
        <f aca="false">MAX(0,BJ12)</f>
        <v>12.7176355956787</v>
      </c>
      <c r="BK25" s="11" t="n">
        <f aca="false">MAX(0,BK12)</f>
        <v>7.94852224729914</v>
      </c>
      <c r="BL25" s="11" t="n">
        <f aca="false">MAX(0,BL12)</f>
        <v>3.17940889891969</v>
      </c>
      <c r="BM25" s="11" t="n">
        <f aca="false">MAX(0,BM12)</f>
        <v>0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627</v>
      </c>
      <c r="E26" s="0" t="s">
        <v>149</v>
      </c>
      <c r="J26" s="11" t="n">
        <f aca="false">SUMIFS(Funding!$J$69:$BJ$69,Construction!$J$12:$BJ$12,"&lt;="&amp;Time!J17)</f>
        <v>7.17392890292466</v>
      </c>
      <c r="K26" s="11" t="n">
        <f aca="false">SUMIFS(Funding!$J$69:$BJ$69,Construction!$J$12:$BJ$12,"&lt;="&amp;Time!K17)</f>
        <v>12.285570442411</v>
      </c>
      <c r="L26" s="11" t="n">
        <f aca="false">SUMIFS(Funding!$J$69:$BJ$69,Construction!$J$12:$BJ$12,"&lt;="&amp;Time!L17)</f>
        <v>22.1879889868058</v>
      </c>
      <c r="M26" s="11" t="n">
        <f aca="false">SUMIFS(Funding!$J$69:$BJ$69,Construction!$J$12:$BJ$12,"&lt;="&amp;Time!M17)</f>
        <v>32.3882201565908</v>
      </c>
      <c r="N26" s="11" t="n">
        <f aca="false">SUMIFS(Funding!$J$69:$BJ$69,Construction!$J$12:$BJ$12,"&lt;="&amp;Time!N17)</f>
        <v>38.1031371214958</v>
      </c>
      <c r="O26" s="11" t="n">
        <f aca="false">SUMIFS(Funding!$J$69:$BJ$69,Construction!$J$12:$BJ$12,"&lt;="&amp;Time!O17)</f>
        <v>44.3667535168114</v>
      </c>
      <c r="P26" s="11" t="n">
        <f aca="false">SUMIFS(Funding!$J$69:$BJ$69,Construction!$J$12:$BJ$12,"&lt;="&amp;Time!P17)</f>
        <v>44.3667535168114</v>
      </c>
      <c r="Q26" s="11" t="n">
        <f aca="false">SUMIFS(Funding!$J$69:$BJ$69,Construction!$J$12:$BJ$12,"&lt;="&amp;Time!Q17)</f>
        <v>44.3667535168114</v>
      </c>
      <c r="R26" s="11" t="n">
        <f aca="false">SUMIFS(Funding!$J$69:$BJ$69,Construction!$J$12:$BJ$12,"&lt;="&amp;Time!R17)</f>
        <v>44.3667535168114</v>
      </c>
      <c r="S26" s="11" t="n">
        <f aca="false">SUMIFS(Funding!$J$69:$BJ$69,Construction!$J$12:$BJ$12,"&lt;="&amp;Time!S17)</f>
        <v>44.3667535168114</v>
      </c>
      <c r="T26" s="11" t="n">
        <f aca="false">SUMIFS(Funding!$J$69:$BJ$69,Construction!$J$12:$BJ$12,"&lt;="&amp;Time!T17)</f>
        <v>44.3667535168114</v>
      </c>
      <c r="U26" s="11" t="n">
        <f aca="false">SUMIFS(Funding!$J$69:$BJ$69,Construction!$J$12:$BJ$12,"&lt;="&amp;Time!U17)</f>
        <v>44.3667535168114</v>
      </c>
      <c r="V26" s="11" t="n">
        <f aca="false">SUMIFS(Funding!$J$69:$BJ$69,Construction!$J$12:$BJ$12,"&lt;="&amp;Time!V17)</f>
        <v>44.3667535168114</v>
      </c>
      <c r="W26" s="11" t="n">
        <f aca="false">SUMIFS(Funding!$J$69:$BJ$69,Construction!$J$12:$BJ$12,"&lt;="&amp;Time!W17)</f>
        <v>44.3667535168114</v>
      </c>
      <c r="X26" s="11" t="n">
        <f aca="false">SUMIFS(Funding!$J$69:$BJ$69,Construction!$J$12:$BJ$12,"&lt;="&amp;Time!X17)</f>
        <v>44.3667535168114</v>
      </c>
      <c r="Y26" s="11" t="n">
        <f aca="false">SUMIFS(Funding!$J$69:$BJ$69,Construction!$J$12:$BJ$12,"&lt;="&amp;Time!Y17)</f>
        <v>44.3667535168114</v>
      </c>
      <c r="Z26" s="11" t="n">
        <f aca="false">SUMIFS(Funding!$J$69:$BJ$69,Construction!$J$12:$BJ$12,"&lt;="&amp;Time!Z17)</f>
        <v>44.3667535168114</v>
      </c>
      <c r="AA26" s="11" t="n">
        <f aca="false">SUMIFS(Funding!$J$69:$BJ$69,Construction!$J$12:$BJ$12,"&lt;="&amp;Time!AA17)</f>
        <v>44.3667535168114</v>
      </c>
      <c r="AB26" s="11" t="n">
        <f aca="false">SUMIFS(Funding!$J$69:$BJ$69,Construction!$J$12:$BJ$12,"&lt;="&amp;Time!AB17)</f>
        <v>44.3667535168114</v>
      </c>
      <c r="AC26" s="11" t="n">
        <f aca="false">SUMIFS(Funding!$J$69:$BJ$69,Construction!$J$12:$BJ$12,"&lt;="&amp;Time!AC17)</f>
        <v>44.3667535168114</v>
      </c>
      <c r="AD26" s="11" t="n">
        <f aca="false">SUMIFS(Funding!$J$69:$BJ$69,Construction!$J$12:$BJ$12,"&lt;="&amp;Time!AD17)</f>
        <v>44.3667535168114</v>
      </c>
      <c r="AE26" s="11" t="n">
        <f aca="false">SUMIFS(Funding!$J$69:$BJ$69,Construction!$J$12:$BJ$12,"&lt;="&amp;Time!AE17)</f>
        <v>44.3667535168114</v>
      </c>
      <c r="AF26" s="11" t="n">
        <f aca="false">SUMIFS(Funding!$J$69:$BJ$69,Construction!$J$12:$BJ$12,"&lt;="&amp;Time!AF17)</f>
        <v>44.3667535168114</v>
      </c>
      <c r="AG26" s="11" t="n">
        <f aca="false">SUMIFS(Funding!$J$69:$BJ$69,Construction!$J$12:$BJ$12,"&lt;="&amp;Time!AG17)</f>
        <v>44.3667535168114</v>
      </c>
      <c r="AH26" s="11" t="n">
        <f aca="false">SUMIFS(Funding!$J$69:$BJ$69,Construction!$J$12:$BJ$12,"&lt;="&amp;Time!AH17)</f>
        <v>44.3667535168114</v>
      </c>
      <c r="AI26" s="11" t="n">
        <f aca="false">SUMIFS(Funding!$J$69:$BJ$69,Construction!$J$12:$BJ$12,"&lt;="&amp;Time!AI17)</f>
        <v>44.3667535168114</v>
      </c>
      <c r="AJ26" s="11" t="n">
        <f aca="false">SUMIFS(Funding!$J$69:$BJ$69,Construction!$J$12:$BJ$12,"&lt;="&amp;Time!AJ17)</f>
        <v>44.3667535168114</v>
      </c>
      <c r="AK26" s="11" t="n">
        <f aca="false">SUMIFS(Funding!$J$69:$BJ$69,Construction!$J$12:$BJ$12,"&lt;="&amp;Time!AK17)</f>
        <v>44.3667535168114</v>
      </c>
      <c r="AL26" s="11" t="n">
        <f aca="false">SUMIFS(Funding!$J$69:$BJ$69,Construction!$J$12:$BJ$12,"&lt;="&amp;Time!AL17)</f>
        <v>44.3667535168114</v>
      </c>
      <c r="AM26" s="11" t="n">
        <f aca="false">SUMIFS(Funding!$J$69:$BJ$69,Construction!$J$12:$BJ$12,"&lt;="&amp;Time!AM17)</f>
        <v>44.3667535168114</v>
      </c>
      <c r="AN26" s="11" t="n">
        <f aca="false">SUMIFS(Funding!$J$69:$BJ$69,Construction!$J$12:$BJ$12,"&lt;="&amp;Time!AN17)</f>
        <v>44.3667535168114</v>
      </c>
      <c r="AO26" s="11" t="n">
        <f aca="false">SUMIFS(Funding!$J$69:$BJ$69,Construction!$J$12:$BJ$12,"&lt;="&amp;Time!AO17)</f>
        <v>44.3667535168114</v>
      </c>
      <c r="AP26" s="11" t="n">
        <f aca="false">SUMIFS(Funding!$J$69:$BJ$69,Construction!$J$12:$BJ$12,"&lt;="&amp;Time!AP17)</f>
        <v>44.3667535168114</v>
      </c>
      <c r="AQ26" s="11" t="n">
        <f aca="false">SUMIFS(Funding!$J$69:$BJ$69,Construction!$J$12:$BJ$12,"&lt;="&amp;Time!AQ17)</f>
        <v>44.3667535168114</v>
      </c>
      <c r="AR26" s="11" t="n">
        <f aca="false">SUMIFS(Funding!$J$69:$BJ$69,Construction!$J$12:$BJ$12,"&lt;="&amp;Time!AR17)</f>
        <v>44.3667535168114</v>
      </c>
      <c r="AS26" s="11" t="n">
        <f aca="false">SUMIFS(Funding!$J$69:$BJ$69,Construction!$J$12:$BJ$12,"&lt;="&amp;Time!AS17)</f>
        <v>44.3667535168114</v>
      </c>
      <c r="AT26" s="11" t="n">
        <f aca="false">SUMIFS(Funding!$J$69:$BJ$69,Construction!$J$12:$BJ$12,"&lt;="&amp;Time!AT17)</f>
        <v>44.3667535168114</v>
      </c>
      <c r="AU26" s="11" t="n">
        <f aca="false">SUMIFS(Funding!$J$69:$BJ$69,Construction!$J$12:$BJ$12,"&lt;="&amp;Time!AU17)</f>
        <v>44.3667535168114</v>
      </c>
      <c r="AV26" s="11" t="n">
        <f aca="false">SUMIFS(Funding!$J$69:$BJ$69,Construction!$J$12:$BJ$12,"&lt;="&amp;Time!AV17)</f>
        <v>44.3667535168114</v>
      </c>
      <c r="AW26" s="11" t="n">
        <f aca="false">SUMIFS(Funding!$J$69:$BJ$69,Construction!$J$12:$BJ$12,"&lt;="&amp;Time!AW17)</f>
        <v>44.3667535168114</v>
      </c>
      <c r="AX26" s="11" t="n">
        <f aca="false">SUMIFS(Funding!$J$69:$BJ$69,Construction!$J$12:$BJ$12,"&lt;="&amp;Time!AX17)</f>
        <v>44.3667535168114</v>
      </c>
      <c r="AY26" s="11" t="n">
        <f aca="false">SUMIFS(Funding!$J$69:$BJ$69,Construction!$J$12:$BJ$12,"&lt;="&amp;Time!AY17)</f>
        <v>44.3667535168114</v>
      </c>
      <c r="AZ26" s="11" t="n">
        <f aca="false">SUMIFS(Funding!$J$69:$BJ$69,Construction!$J$12:$BJ$12,"&lt;="&amp;Time!AZ17)</f>
        <v>44.3667535168114</v>
      </c>
      <c r="BA26" s="11" t="n">
        <f aca="false">SUMIFS(Funding!$J$69:$BJ$69,Construction!$J$12:$BJ$12,"&lt;="&amp;Time!BA17)</f>
        <v>44.3667535168114</v>
      </c>
      <c r="BB26" s="11" t="n">
        <f aca="false">SUMIFS(Funding!$J$69:$BJ$69,Construction!$J$12:$BJ$12,"&lt;="&amp;Time!BB17)</f>
        <v>44.3667535168114</v>
      </c>
      <c r="BC26" s="11" t="n">
        <f aca="false">SUMIFS(Funding!$J$69:$BJ$69,Construction!$J$12:$BJ$12,"&lt;="&amp;Time!BC17)</f>
        <v>44.3667535168114</v>
      </c>
      <c r="BD26" s="11" t="n">
        <f aca="false">SUMIFS(Funding!$J$69:$BJ$69,Construction!$J$12:$BJ$12,"&lt;="&amp;Time!BD17)</f>
        <v>44.3667535168114</v>
      </c>
      <c r="BE26" s="11" t="n">
        <f aca="false">SUMIFS(Funding!$J$69:$BJ$69,Construction!$J$12:$BJ$12,"&lt;="&amp;Time!BE17)</f>
        <v>44.3667535168114</v>
      </c>
      <c r="BF26" s="11" t="n">
        <f aca="false">SUMIFS(Funding!$J$69:$BJ$69,Construction!$J$12:$BJ$12,"&lt;="&amp;Time!BF17)</f>
        <v>44.3667535168114</v>
      </c>
      <c r="BG26" s="11" t="n">
        <f aca="false">SUMIFS(Funding!$J$69:$BJ$69,Construction!$J$12:$BJ$12,"&lt;="&amp;Time!BG17)</f>
        <v>44.3667535168114</v>
      </c>
      <c r="BH26" s="11" t="n">
        <f aca="false">SUMIFS(Funding!$J$69:$BJ$69,Construction!$J$12:$BJ$12,"&lt;="&amp;Time!BH17)</f>
        <v>44.3667535168114</v>
      </c>
      <c r="BI26" s="11" t="n">
        <f aca="false">SUMIFS(Funding!$J$69:$BJ$69,Construction!$J$12:$BJ$12,"&lt;="&amp;Time!BI17)</f>
        <v>44.3667535168114</v>
      </c>
      <c r="BJ26" s="11" t="n">
        <f aca="false">SUMIFS(Funding!$J$69:$BJ$69,Construction!$J$12:$BJ$12,"&lt;="&amp;Time!BJ17)</f>
        <v>44.3667535168114</v>
      </c>
      <c r="BK26" s="11" t="n">
        <f aca="false">SUMIFS(Funding!$J$69:$BJ$69,Construction!$J$12:$BJ$12,"&lt;="&amp;Time!BK17)</f>
        <v>44.3667535168114</v>
      </c>
      <c r="BL26" s="11" t="n">
        <f aca="false">SUMIFS(Funding!$J$69:$BJ$69,Construction!$J$12:$BJ$12,"&lt;="&amp;Time!BL17)</f>
        <v>44.3667535168114</v>
      </c>
      <c r="BM26" s="11" t="n">
        <f aca="false">SUMIFS(Funding!$J$69:$BJ$69,Construction!$J$12:$BJ$12,"&lt;="&amp;Time!BM17)</f>
        <v>44.3667535168114</v>
      </c>
      <c r="BN26" s="11" t="n">
        <f aca="false">SUMIFS(Funding!$J$69:$BJ$69,Construction!$J$12:$BJ$12,"&lt;="&amp;Time!BN17)</f>
        <v>44.3667535168114</v>
      </c>
    </row>
    <row r="27" customFormat="false" ht="15" hidden="false" customHeight="false" outlineLevel="0" collapsed="false">
      <c r="D27" s="0" t="s">
        <v>783</v>
      </c>
      <c r="E27" s="0" t="s">
        <v>149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9.86995053826463</v>
      </c>
      <c r="P27" s="16" t="n">
        <f aca="false">Waterfall!P43</f>
        <v>17.5289808368085</v>
      </c>
      <c r="Q27" s="16" t="n">
        <f aca="false">Waterfall!Q43</f>
        <v>26.5637571372504</v>
      </c>
      <c r="R27" s="16" t="n">
        <f aca="false">Waterfall!R43</f>
        <v>36.0187257335503</v>
      </c>
      <c r="S27" s="16" t="n">
        <f aca="false">Waterfall!S43</f>
        <v>46.7849133879395</v>
      </c>
      <c r="T27" s="16" t="n">
        <f aca="false">Waterfall!T43</f>
        <v>58.0523624679797</v>
      </c>
      <c r="U27" s="16" t="n">
        <f aca="false">Waterfall!U43</f>
        <v>70.3906453224989</v>
      </c>
      <c r="V27" s="16" t="n">
        <f aca="false">Waterfall!V43</f>
        <v>79.4458939642629</v>
      </c>
      <c r="W27" s="16" t="n">
        <f aca="false">Waterfall!W43</f>
        <v>93.1111160309471</v>
      </c>
      <c r="X27" s="16" t="n">
        <f aca="false">Waterfall!X43</f>
        <v>108.36994937261</v>
      </c>
      <c r="Y27" s="16" t="n">
        <f aca="false">Waterfall!Y43</f>
        <v>121.60524481596</v>
      </c>
      <c r="Z27" s="16" t="n">
        <f aca="false">Waterfall!Z43</f>
        <v>129.54354684147</v>
      </c>
      <c r="AA27" s="16" t="n">
        <f aca="false">Waterfall!AA43</f>
        <v>138.516065243592</v>
      </c>
      <c r="AB27" s="16" t="n">
        <f aca="false">Waterfall!AB43</f>
        <v>148.069669531512</v>
      </c>
      <c r="AC27" s="16" t="n">
        <f aca="false">Waterfall!AC43</f>
        <v>158.260132508951</v>
      </c>
      <c r="AD27" s="16" t="n">
        <f aca="false">Waterfall!AD43</f>
        <v>158.584403289081</v>
      </c>
      <c r="AE27" s="16" t="n">
        <f aca="false">Waterfall!AE43</f>
        <v>170.186976384905</v>
      </c>
      <c r="AF27" s="16" t="n">
        <f aca="false">Waterfall!AF43</f>
        <v>183.364353008257</v>
      </c>
      <c r="AG27" s="16" t="n">
        <f aca="false">Waterfall!AG43</f>
        <v>197.62717313515</v>
      </c>
      <c r="AH27" s="16" t="n">
        <f aca="false">Waterfall!AH43</f>
        <v>212.864465582735</v>
      </c>
      <c r="AI27" s="16" t="n">
        <f aca="false">Waterfall!AI43</f>
        <v>229.473831575167</v>
      </c>
      <c r="AJ27" s="16" t="n">
        <f aca="false">Waterfall!AJ43</f>
        <v>247.20102646753</v>
      </c>
      <c r="AK27" s="16" t="n">
        <f aca="false">Waterfall!AK43</f>
        <v>266.244908253385</v>
      </c>
      <c r="AL27" s="16" t="n">
        <f aca="false">Waterfall!AL43</f>
        <v>283.392903676199</v>
      </c>
      <c r="AM27" s="16" t="n">
        <f aca="false">Waterfall!AM43</f>
        <v>304.551218585541</v>
      </c>
      <c r="AN27" s="16" t="n">
        <f aca="false">Waterfall!AN43</f>
        <v>328.131723269595</v>
      </c>
      <c r="AO27" s="16" t="n">
        <f aca="false">Waterfall!AO43</f>
        <v>344.394457180447</v>
      </c>
      <c r="AP27" s="16" t="n">
        <f aca="false">Waterfall!AP43</f>
        <v>328.786786853999</v>
      </c>
      <c r="AQ27" s="16" t="n">
        <f aca="false">Waterfall!AQ43</f>
        <v>313.743770070311</v>
      </c>
      <c r="AR27" s="16" t="n">
        <f aca="false">Waterfall!AR43</f>
        <v>298.153331503167</v>
      </c>
      <c r="AS27" s="16" t="n">
        <f aca="false">Waterfall!AS43</f>
        <v>282.842357164655</v>
      </c>
      <c r="AT27" s="16" t="n">
        <f aca="false">Waterfall!AT43</f>
        <v>250.197925998914</v>
      </c>
      <c r="AU27" s="16" t="n">
        <f aca="false">Waterfall!AU43</f>
        <v>233.138560195008</v>
      </c>
      <c r="AV27" s="16" t="n">
        <f aca="false">Waterfall!AV43</f>
        <v>216.31674979061</v>
      </c>
      <c r="AW27" s="16" t="n">
        <f aca="false">Waterfall!AW43</f>
        <v>199.507422313885</v>
      </c>
      <c r="AX27" s="16" t="n">
        <f aca="false">Waterfall!AX43</f>
        <v>182.138345733621</v>
      </c>
      <c r="AY27" s="16" t="n">
        <f aca="false">Waterfall!AY43</f>
        <v>165.35091876783</v>
      </c>
      <c r="AZ27" s="16" t="n">
        <f aca="false">Waterfall!AZ43</f>
        <v>147.999122827374</v>
      </c>
      <c r="BA27" s="16" t="n">
        <f aca="false">Waterfall!BA43</f>
        <v>131.551907392639</v>
      </c>
      <c r="BB27" s="16" t="n">
        <f aca="false">Waterfall!BB43</f>
        <v>111.219747479287</v>
      </c>
      <c r="BC27" s="16" t="n">
        <f aca="false">Waterfall!BC43</f>
        <v>97.4988205034051</v>
      </c>
      <c r="BD27" s="16" t="n">
        <f aca="false">Waterfall!BD43</f>
        <v>89.9255047253244</v>
      </c>
      <c r="BE27" s="16" t="n">
        <f aca="false">Waterfall!BE43</f>
        <v>82.6592889267065</v>
      </c>
      <c r="BF27" s="16" t="n">
        <f aca="false">Waterfall!BF43</f>
        <v>74.8326216171217</v>
      </c>
      <c r="BG27" s="16" t="n">
        <f aca="false">Waterfall!BG43</f>
        <v>67.6231179145741</v>
      </c>
      <c r="BH27" s="16" t="n">
        <f aca="false">Waterfall!BH43</f>
        <v>59.8482422894035</v>
      </c>
      <c r="BI27" s="16" t="n">
        <f aca="false">Waterfall!BI43</f>
        <v>52.3885970878143</v>
      </c>
      <c r="BJ27" s="16" t="n">
        <f aca="false">Waterfall!BJ43</f>
        <v>24.4156569323646</v>
      </c>
      <c r="BK27" s="16" t="n">
        <f aca="false">Waterfall!BK43</f>
        <v>14.8429560622032</v>
      </c>
      <c r="BL27" s="16" t="n">
        <f aca="false">Waterfall!BL43</f>
        <v>4.91407396445776</v>
      </c>
      <c r="BM27" s="16" t="n">
        <f aca="false">Waterfall!BM43</f>
        <v>-44.3667535168115</v>
      </c>
      <c r="BN27" s="16" t="n">
        <f aca="false">Waterfall!BN43</f>
        <v>-44.3667535168115</v>
      </c>
    </row>
    <row r="28" customFormat="false" ht="15" hidden="false" customHeight="false" outlineLevel="0" collapsed="false">
      <c r="D28" s="0" t="s">
        <v>784</v>
      </c>
      <c r="E28" s="0" t="s">
        <v>149</v>
      </c>
      <c r="J28" s="11" t="n">
        <f aca="false">J22+J23+J24+J25+J26+J27</f>
        <v>139.106138718341</v>
      </c>
      <c r="K28" s="11" t="n">
        <f aca="false">K22+K23+K24+K25+K26+K27</f>
        <v>239.361059019891</v>
      </c>
      <c r="L28" s="11" t="n">
        <f aca="false">L22+L23+L24+L25+L26+L27</f>
        <v>433.488009929513</v>
      </c>
      <c r="M28" s="11" t="n">
        <f aca="false">M22+M23+M24+M25+M26+M27</f>
        <v>635.509570384213</v>
      </c>
      <c r="N28" s="11" t="n">
        <f aca="false">N22+N23+N24+N25+N26+N27</f>
        <v>753.08150774339</v>
      </c>
      <c r="O28" s="11" t="n">
        <f aca="false">O22+O23+O24+O25+O26+O27</f>
        <v>915.74388409038</v>
      </c>
      <c r="P28" s="11" t="n">
        <f aca="false">P22+P23+P24+P25+P26+P27</f>
        <v>902.287080333491</v>
      </c>
      <c r="Q28" s="11" t="n">
        <f aca="false">Q22+Q23+Q24+Q25+Q26+Q27</f>
        <v>892.466023808459</v>
      </c>
      <c r="R28" s="11" t="n">
        <f aca="false">R22+R23+R24+R25+R26+R27</f>
        <v>880.194560127303</v>
      </c>
      <c r="S28" s="11" t="n">
        <f aca="false">S22+S23+S24+S25+S26+S27</f>
        <v>870.493641279351</v>
      </c>
      <c r="T28" s="11" t="n">
        <f aca="false">T22+T23+T24+T25+T26+T27</f>
        <v>858.625212384793</v>
      </c>
      <c r="U28" s="11" t="n">
        <f aca="false">U22+U23+U24+U25+U26+U27</f>
        <v>848.648762044014</v>
      </c>
      <c r="V28" s="11" t="n">
        <f aca="false">V22+V23+V24+V25+V26+V27</f>
        <v>832.966714250635</v>
      </c>
      <c r="W28" s="11" t="n">
        <f aca="false">W22+W23+W24+W25+W26+W27</f>
        <v>821.704522837653</v>
      </c>
      <c r="X28" s="11" t="n">
        <f aca="false">X22+X23+X24+X25+X26+X27</f>
        <v>811.819555328126</v>
      </c>
      <c r="Y28" s="11" t="n">
        <f aca="false">Y22+Y23+Y24+Y25+Y26+Y27</f>
        <v>800.671079249399</v>
      </c>
      <c r="Z28" s="11" t="n">
        <f aca="false">Z22+Z23+Z24+Z25+Z26+Z27</f>
        <v>781.335597448067</v>
      </c>
      <c r="AA28" s="11" t="n">
        <f aca="false">AA22+AA23+AA24+AA25+AA26+AA27</f>
        <v>764.266557813147</v>
      </c>
      <c r="AB28" s="11" t="n">
        <f aca="false">AB22+AB23+AB24+AB25+AB26+AB27</f>
        <v>744.043267961374</v>
      </c>
      <c r="AC28" s="11" t="n">
        <f aca="false">AC22+AC23+AC24+AC25+AC26+AC27</f>
        <v>725.699542797509</v>
      </c>
      <c r="AD28" s="11" t="n">
        <f aca="false">AD22+AD23+AD24+AD25+AD26+AD27</f>
        <v>693.569815657418</v>
      </c>
      <c r="AE28" s="11" t="n">
        <f aca="false">AE22+AE23+AE24+AE25+AE26+AE27</f>
        <v>673.528085213013</v>
      </c>
      <c r="AF28" s="11" t="n">
        <f aca="false">AF22+AF23+AF24+AF25+AF26+AF27</f>
        <v>650.956004916142</v>
      </c>
      <c r="AG28" s="11" t="n">
        <f aca="false">AG22+AG23+AG24+AG25+AG26+AG27</f>
        <v>628.64240125532</v>
      </c>
      <c r="AH28" s="11" t="n">
        <f aca="false">AH22+AH23+AH24+AH25+AH26+AH27</f>
        <v>603.084944849437</v>
      </c>
      <c r="AI28" s="11" t="n">
        <f aca="false">AI22+AI23+AI24+AI25+AI26+AI27</f>
        <v>579.189519360825</v>
      </c>
      <c r="AJ28" s="11" t="n">
        <f aca="false">AJ22+AJ23+AJ24+AJ25+AJ26+AJ27</f>
        <v>558.539016737994</v>
      </c>
      <c r="AK28" s="11" t="n">
        <f aca="false">AK22+AK23+AK24+AK25+AK26+AK27</f>
        <v>540.027353479764</v>
      </c>
      <c r="AL28" s="11" t="n">
        <f aca="false">AL22+AL23+AL24+AL25+AL26+AL27</f>
        <v>518.811340411392</v>
      </c>
      <c r="AM28" s="11" t="n">
        <f aca="false">AM22+AM23+AM24+AM25+AM26+AM27</f>
        <v>499.401873100396</v>
      </c>
      <c r="AN28" s="11" t="n">
        <f aca="false">AN22+AN23+AN24+AN25+AN26+AN27</f>
        <v>485.04107031489</v>
      </c>
      <c r="AO28" s="11" t="n">
        <f aca="false">AO22+AO23+AO24+AO25+AO26+AO27</f>
        <v>452.978953017748</v>
      </c>
      <c r="AP28" s="11" t="n">
        <f aca="false">AP22+AP23+AP24+AP25+AP26+AP27</f>
        <v>437.777260142199</v>
      </c>
      <c r="AQ28" s="11" t="n">
        <f aca="false">AQ22+AQ23+AQ24+AQ25+AQ26+AQ27</f>
        <v>424.832578554081</v>
      </c>
      <c r="AR28" s="11" t="n">
        <f aca="false">AR22+AR23+AR24+AR25+AR26+AR27</f>
        <v>409.996138701894</v>
      </c>
      <c r="AS28" s="11" t="n">
        <f aca="false">AS22+AS23+AS24+AS25+AS26+AS27</f>
        <v>396.037804072531</v>
      </c>
      <c r="AT28" s="11" t="n">
        <f aca="false">AT22+AT23+AT24+AT25+AT26+AT27</f>
        <v>363.164755922258</v>
      </c>
      <c r="AU28" s="11" t="n">
        <f aca="false">AU22+AU23+AU24+AU25+AU26+AU27</f>
        <v>348.603742991221</v>
      </c>
      <c r="AV28" s="11" t="n">
        <f aca="false">AV22+AV23+AV24+AV25+AV26+AV27</f>
        <v>333.3710725107</v>
      </c>
      <c r="AW28" s="11" t="n">
        <f aca="false">AW22+AW23+AW24+AW25+AW26+AW27</f>
        <v>318.542504754206</v>
      </c>
      <c r="AX28" s="11" t="n">
        <f aca="false">AX22+AX23+AX24+AX25+AX26+AX27</f>
        <v>301.530842023557</v>
      </c>
      <c r="AY28" s="11" t="n">
        <f aca="false">AY22+AY23+AY24+AY25+AY26+AY27</f>
        <v>286.929914411331</v>
      </c>
      <c r="AZ28" s="11" t="n">
        <f aca="false">AZ22+AZ23+AZ24+AZ25+AZ26+AZ27</f>
        <v>270.311875084176</v>
      </c>
      <c r="BA28" s="11" t="n">
        <f aca="false">BA22+BA23+BA24+BA25+BA26+BA27</f>
        <v>255.455893170258</v>
      </c>
      <c r="BB28" s="11" t="n">
        <f aca="false">BB22+BB23+BB24+BB25+BB26+BB27</f>
        <v>235.161480109582</v>
      </c>
      <c r="BC28" s="11" t="n">
        <f aca="false">BC22+BC23+BC24+BC25+BC26+BC27</f>
        <v>221.956488337747</v>
      </c>
      <c r="BD28" s="11" t="n">
        <f aca="false">BD22+BD23+BD24+BD25+BD26+BD27</f>
        <v>209.847919574917</v>
      </c>
      <c r="BE28" s="11" t="n">
        <f aca="false">BE22+BE23+BE24+BE25+BE26+BE27</f>
        <v>198.86785545537</v>
      </c>
      <c r="BF28" s="11" t="n">
        <f aca="false">BF22+BF23+BF24+BF25+BF26+BF27</f>
        <v>185.572979094736</v>
      </c>
      <c r="BG28" s="11" t="n">
        <f aca="false">BG22+BG23+BG24+BG25+BG26+BG27</f>
        <v>174.872075384931</v>
      </c>
      <c r="BH28" s="11" t="n">
        <f aca="false">BH22+BH23+BH24+BH25+BH26+BH27</f>
        <v>162.035943301648</v>
      </c>
      <c r="BI28" s="11" t="n">
        <f aca="false">BI22+BI23+BI24+BI25+BI26+BI27</f>
        <v>150.212937289349</v>
      </c>
      <c r="BJ28" s="11" t="n">
        <f aca="false">BJ22+BJ23+BJ24+BJ25+BJ26+BJ27</f>
        <v>116.031708917847</v>
      </c>
      <c r="BK28" s="11" t="n">
        <f aca="false">BK22+BK23+BK24+BK25+BK26+BK27</f>
        <v>103.434327843542</v>
      </c>
      <c r="BL28" s="11" t="n">
        <f aca="false">BL22+BL23+BL24+BL25+BL26+BL27</f>
        <v>89.4196983078775</v>
      </c>
      <c r="BM28" s="11" t="n">
        <f aca="false">BM22+BM23+BM24+BM25+BM26+BM27</f>
        <v>0</v>
      </c>
      <c r="BN28" s="11" t="n">
        <f aca="false">BN22+BN23+BN24+BN25+BN26+BN27</f>
        <v>0</v>
      </c>
    </row>
    <row r="29" customFormat="false" ht="15" hidden="false" customHeight="false" outlineLevel="0" collapsed="false">
      <c r="D29" s="0" t="s">
        <v>785</v>
      </c>
      <c r="E29" s="0" t="s">
        <v>149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0</v>
      </c>
      <c r="R29" s="11" t="n">
        <f aca="false">ROUND(R21-R28,6)</f>
        <v>0</v>
      </c>
      <c r="S29" s="11" t="n">
        <f aca="false">ROUND(S21-S28,6)</f>
        <v>0</v>
      </c>
      <c r="T29" s="11" t="n">
        <f aca="false">ROUND(T21-T28,6)</f>
        <v>0</v>
      </c>
      <c r="U29" s="11" t="n">
        <f aca="false">ROUND(U21-U28,6)</f>
        <v>0</v>
      </c>
      <c r="V29" s="11" t="n">
        <f aca="false">ROUND(V21-V28,6)</f>
        <v>0</v>
      </c>
      <c r="W29" s="11" t="n">
        <f aca="false">ROUND(W21-W28,6)</f>
        <v>0</v>
      </c>
      <c r="X29" s="11" t="n">
        <f aca="false">ROUND(X21-X28,6)</f>
        <v>0</v>
      </c>
      <c r="Y29" s="11" t="n">
        <f aca="false">ROUND(Y21-Y28,6)</f>
        <v>0</v>
      </c>
      <c r="Z29" s="11" t="n">
        <f aca="false">ROUND(Z21-Z28,6)</f>
        <v>0</v>
      </c>
      <c r="AA29" s="11" t="n">
        <f aca="false">ROUND(AA21-AA28,6)</f>
        <v>0</v>
      </c>
      <c r="AB29" s="11" t="n">
        <f aca="false">ROUND(AB21-AB28,6)</f>
        <v>0</v>
      </c>
      <c r="AC29" s="11" t="n">
        <f aca="false">ROUND(AC21-AC28,6)</f>
        <v>0</v>
      </c>
      <c r="AD29" s="11" t="n">
        <f aca="false">ROUND(AD21-AD28,6)</f>
        <v>0</v>
      </c>
      <c r="AE29" s="11" t="n">
        <f aca="false">ROUND(AE21-AE28,6)</f>
        <v>0</v>
      </c>
      <c r="AF29" s="11" t="n">
        <f aca="false">ROUND(AF21-AF28,6)</f>
        <v>0</v>
      </c>
      <c r="AG29" s="11" t="n">
        <f aca="false">ROUND(AG21-AG28,6)</f>
        <v>0</v>
      </c>
      <c r="AH29" s="11" t="n">
        <f aca="false">ROUND(AH21-AH28,6)</f>
        <v>0</v>
      </c>
      <c r="AI29" s="11" t="n">
        <f aca="false">ROUND(AI21-AI28,6)</f>
        <v>0</v>
      </c>
      <c r="AJ29" s="11" t="n">
        <f aca="false">ROUND(AJ21-AJ28,6)</f>
        <v>0</v>
      </c>
      <c r="AK29" s="11" t="n">
        <f aca="false">ROUND(AK21-AK28,6)</f>
        <v>0</v>
      </c>
      <c r="AL29" s="11" t="n">
        <f aca="false">ROUND(AL21-AL28,6)</f>
        <v>0</v>
      </c>
      <c r="AM29" s="11" t="n">
        <f aca="false">ROUND(AM21-AM28,6)</f>
        <v>0</v>
      </c>
      <c r="AN29" s="11" t="n">
        <f aca="false">ROUND(AN21-AN28,6)</f>
        <v>0</v>
      </c>
      <c r="AO29" s="11" t="n">
        <f aca="false">ROUND(AO21-AO28,6)</f>
        <v>0</v>
      </c>
      <c r="AP29" s="11" t="n">
        <f aca="false">ROUND(AP21-AP28,6)</f>
        <v>0</v>
      </c>
      <c r="AQ29" s="11" t="n">
        <f aca="false">ROUND(AQ21-AQ28,6)</f>
        <v>0</v>
      </c>
      <c r="AR29" s="11" t="n">
        <f aca="false">ROUND(AR21-AR28,6)</f>
        <v>0</v>
      </c>
      <c r="AS29" s="11" t="n">
        <f aca="false">ROUND(AS21-AS28,6)</f>
        <v>0</v>
      </c>
      <c r="AT29" s="11" t="n">
        <f aca="false">ROUND(AT21-AT28,6)</f>
        <v>0</v>
      </c>
      <c r="AU29" s="11" t="n">
        <f aca="false">ROUND(AU21-AU28,6)</f>
        <v>0</v>
      </c>
      <c r="AV29" s="11" t="n">
        <f aca="false">ROUND(AV21-AV28,6)</f>
        <v>0</v>
      </c>
      <c r="AW29" s="11" t="n">
        <f aca="false">ROUND(AW21-AW28,6)</f>
        <v>0</v>
      </c>
      <c r="AX29" s="11" t="n">
        <f aca="false">ROUND(AX21-AX28,6)</f>
        <v>0</v>
      </c>
      <c r="AY29" s="11" t="n">
        <f aca="false">ROUND(AY21-AY28,6)</f>
        <v>0</v>
      </c>
      <c r="AZ29" s="11" t="n">
        <f aca="false">ROUND(AZ21-AZ28,6)</f>
        <v>0</v>
      </c>
      <c r="BA29" s="11" t="n">
        <f aca="false">ROUND(BA21-BA28,6)</f>
        <v>0</v>
      </c>
      <c r="BB29" s="11" t="n">
        <f aca="false">ROUND(BB21-BB28,6)</f>
        <v>0</v>
      </c>
      <c r="BC29" s="11" t="n">
        <f aca="false">ROUND(BC21-BC28,6)</f>
        <v>0</v>
      </c>
      <c r="BD29" s="11" t="n">
        <f aca="false">ROUND(BD21-BD28,6)</f>
        <v>0</v>
      </c>
      <c r="BE29" s="11" t="n">
        <f aca="false">ROUND(BE21-BE28,6)</f>
        <v>0</v>
      </c>
      <c r="BF29" s="11" t="n">
        <f aca="false">ROUND(BF21-BF28,6)</f>
        <v>0</v>
      </c>
      <c r="BG29" s="11" t="n">
        <f aca="false">ROUND(BG21-BG28,6)</f>
        <v>0</v>
      </c>
      <c r="BH29" s="11" t="n">
        <f aca="false">ROUND(BH21-BH28,6)</f>
        <v>0</v>
      </c>
      <c r="BI29" s="11" t="n">
        <f aca="false">ROUND(BI21-BI28,6)</f>
        <v>0</v>
      </c>
      <c r="BJ29" s="11" t="n">
        <f aca="false">ROUND(BJ21-BJ28,6)</f>
        <v>0</v>
      </c>
      <c r="BK29" s="11" t="n">
        <f aca="false">ROUND(BK21-BK28,6)</f>
        <v>0</v>
      </c>
      <c r="BL29" s="11" t="n">
        <f aca="false">ROUND(BL21-BL28,6)</f>
        <v>0</v>
      </c>
      <c r="BM29" s="11" t="n">
        <f aca="false">ROUND(BM21-BM28,6)</f>
        <v>0</v>
      </c>
      <c r="BN29" s="11" t="n">
        <f aca="false">ROUND(BN21-BN28,6)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346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787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0.034356060545191</v>
      </c>
      <c r="Q7" s="14" t="n">
        <f aca="false">IF(Debt!Q122&gt;0.000000001,Debt!Q119/Debt!Q122,0)</f>
        <v>0.0340124598263425</v>
      </c>
      <c r="R7" s="14" t="n">
        <f aca="false">IF(Debt!R122&gt;0.000000001,Debt!R119/Debt!R122,0)</f>
        <v>0.0343808210390788</v>
      </c>
      <c r="S7" s="14" t="n">
        <f aca="false">IF(Debt!S122&gt;0.000000001,Debt!S119/Debt!S122,0)</f>
        <v>0.0340246382214341</v>
      </c>
      <c r="T7" s="14" t="n">
        <f aca="false">IF(Debt!T122&gt;0.000000001,Debt!T119/Debt!T122,0)</f>
        <v>0.0343932012860227</v>
      </c>
      <c r="U7" s="14" t="n">
        <f aca="false">IF(Debt!U122&gt;0.000000001,Debt!U119/Debt!U122,0)</f>
        <v>0.034147492576297</v>
      </c>
      <c r="V7" s="14" t="n">
        <f aca="false">IF(Debt!V122&gt;0.000000001,Debt!V119/Debt!V122,0)</f>
        <v>0.0343932012860227</v>
      </c>
      <c r="W7" s="14" t="n">
        <f aca="false">IF(Debt!W122&gt;0.000000001,Debt!W119/Debt!W122,0)</f>
        <v>0.0340246382214341</v>
      </c>
      <c r="X7" s="14" t="n">
        <f aca="false">IF(Debt!X122&gt;0.000000001,Debt!X119/Debt!X122,0)</f>
        <v>0.0343932012860227</v>
      </c>
      <c r="Y7" s="14" t="n">
        <f aca="false">IF(Debt!Y122&gt;0.000000001,Debt!Y119/Debt!Y122,0)</f>
        <v>0.0350860579745206</v>
      </c>
      <c r="Z7" s="14" t="n">
        <f aca="false">IF(Debt!Z122&gt;0.000000001,Debt!Z119/Debt!Z122,0)</f>
        <v>0.0354722136317017</v>
      </c>
      <c r="AA7" s="14" t="n">
        <f aca="false">IF(Debt!AA122&gt;0.000000001,Debt!AA119/Debt!AA122,0)</f>
        <v>0.0350860579745206</v>
      </c>
      <c r="AB7" s="14" t="n">
        <f aca="false">IF(Debt!AB122&gt;0.000000001,Debt!AB119/Debt!AB122,0)</f>
        <v>0.035257223988384</v>
      </c>
      <c r="AC7" s="14" t="n">
        <f aca="false">IF(Debt!AC122&gt;0.000000001,Debt!AC119/Debt!AC122,0)</f>
        <v>0.0347353836994192</v>
      </c>
      <c r="AD7" s="14" t="n">
        <f aca="false">IF(Debt!AD122&gt;0.000000001,Debt!AD119/Debt!AD122,0)</f>
        <v>0.0347016725666256</v>
      </c>
      <c r="AE7" s="14" t="n">
        <f aca="false">IF(Debt!AE122&gt;0.000000001,Debt!AE119/Debt!AE122,0)</f>
        <v>0.0340083879411549</v>
      </c>
      <c r="AF7" s="14" t="n">
        <f aca="false">IF(Debt!AF122&gt;0.000000001,Debt!AF119/Debt!AF122,0)</f>
        <v>0.0339456212408283</v>
      </c>
      <c r="AG7" s="14" t="n">
        <f aca="false">IF(Debt!AG122&gt;0.000000001,Debt!AG119/Debt!AG122,0)</f>
        <v>0.0338279016646838</v>
      </c>
      <c r="AH7" s="14" t="n">
        <f aca="false">IF(Debt!AH122&gt;0.000000001,Debt!AH119/Debt!AH122,0)</f>
        <v>0.0332988537596362</v>
      </c>
      <c r="AI7" s="14" t="n">
        <f aca="false">IF(Debt!AI122&gt;0.000000001,Debt!AI119/Debt!AI122,0)</f>
        <v>0.0317824711919266</v>
      </c>
      <c r="AJ7" s="14" t="n">
        <f aca="false">IF(Debt!AJ122&gt;0.000000001,Debt!AJ119/Debt!AJ122,0)</f>
        <v>0.0302549265892632</v>
      </c>
      <c r="AK7" s="14" t="n">
        <f aca="false">IF(Debt!AK122&gt;0.000000001,Debt!AK119/Debt!AK122,0)</f>
        <v>0.0270677487828283</v>
      </c>
      <c r="AL7" s="14" t="n">
        <f aca="false">IF(Debt!AL122&gt;0.000000001,Debt!AL119/Debt!AL122,0)</f>
        <v>0.0271445161301926</v>
      </c>
      <c r="AM7" s="14" t="n">
        <f aca="false">IF(Debt!AM122&gt;0.000000001,Debt!AM119/Debt!AM122,0)</f>
        <v>0.0270119354847825</v>
      </c>
      <c r="AN7" s="14" t="n">
        <f aca="false">IF(Debt!AN122&gt;0.000000001,Debt!AN119/Debt!AN122,0)</f>
        <v>0.0271445161301926</v>
      </c>
      <c r="AO7" s="14" t="n">
        <f aca="false">IF(Debt!AO122&gt;0.000000001,Debt!AO119/Debt!AO122,0)</f>
        <v>0.0270119354847825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788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789</v>
      </c>
      <c r="E9" s="0" t="s">
        <v>99</v>
      </c>
      <c r="F9" s="14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790</v>
      </c>
      <c r="E10" s="0" t="s">
        <v>99</v>
      </c>
      <c r="J10" s="14" t="n">
        <f aca="false">IF(J7&gt;0,J7,$F$9)</f>
        <v>0.0270119354847825</v>
      </c>
      <c r="K10" s="14" t="n">
        <f aca="false">IF(K7&gt;0,K7,$F$9)</f>
        <v>0.0270119354847825</v>
      </c>
      <c r="L10" s="14" t="n">
        <f aca="false">IF(L7&gt;0,L7,$F$9)</f>
        <v>0.0270119354847825</v>
      </c>
      <c r="M10" s="14" t="n">
        <f aca="false">IF(M7&gt;0,M7,$F$9)</f>
        <v>0.0270119354847825</v>
      </c>
      <c r="N10" s="14" t="n">
        <f aca="false">IF(N7&gt;0,N7,$F$9)</f>
        <v>0.0270119354847825</v>
      </c>
      <c r="O10" s="14" t="n">
        <f aca="false">IF(O7&gt;0,O7,$F$9)</f>
        <v>0.0270119354847825</v>
      </c>
      <c r="P10" s="14" t="n">
        <f aca="false">IF(P7&gt;0,P7,$F$9)</f>
        <v>0.034356060545191</v>
      </c>
      <c r="Q10" s="14" t="n">
        <f aca="false">IF(Q7&gt;0,Q7,$F$9)</f>
        <v>0.0340124598263425</v>
      </c>
      <c r="R10" s="14" t="n">
        <f aca="false">IF(R7&gt;0,R7,$F$9)</f>
        <v>0.0343808210390788</v>
      </c>
      <c r="S10" s="14" t="n">
        <f aca="false">IF(S7&gt;0,S7,$F$9)</f>
        <v>0.0340246382214341</v>
      </c>
      <c r="T10" s="14" t="n">
        <f aca="false">IF(T7&gt;0,T7,$F$9)</f>
        <v>0.0343932012860227</v>
      </c>
      <c r="U10" s="14" t="n">
        <f aca="false">IF(U7&gt;0,U7,$F$9)</f>
        <v>0.034147492576297</v>
      </c>
      <c r="V10" s="14" t="n">
        <f aca="false">IF(V7&gt;0,V7,$F$9)</f>
        <v>0.0343932012860227</v>
      </c>
      <c r="W10" s="14" t="n">
        <f aca="false">IF(W7&gt;0,W7,$F$9)</f>
        <v>0.0340246382214341</v>
      </c>
      <c r="X10" s="14" t="n">
        <f aca="false">IF(X7&gt;0,X7,$F$9)</f>
        <v>0.0343932012860227</v>
      </c>
      <c r="Y10" s="14" t="n">
        <f aca="false">IF(Y7&gt;0,Y7,$F$9)</f>
        <v>0.0350860579745206</v>
      </c>
      <c r="Z10" s="14" t="n">
        <f aca="false">IF(Z7&gt;0,Z7,$F$9)</f>
        <v>0.0354722136317017</v>
      </c>
      <c r="AA10" s="14" t="n">
        <f aca="false">IF(AA7&gt;0,AA7,$F$9)</f>
        <v>0.0350860579745206</v>
      </c>
      <c r="AB10" s="14" t="n">
        <f aca="false">IF(AB7&gt;0,AB7,$F$9)</f>
        <v>0.035257223988384</v>
      </c>
      <c r="AC10" s="14" t="n">
        <f aca="false">IF(AC7&gt;0,AC7,$F$9)</f>
        <v>0.0347353836994192</v>
      </c>
      <c r="AD10" s="14" t="n">
        <f aca="false">IF(AD7&gt;0,AD7,$F$9)</f>
        <v>0.0347016725666256</v>
      </c>
      <c r="AE10" s="14" t="n">
        <f aca="false">IF(AE7&gt;0,AE7,$F$9)</f>
        <v>0.0340083879411549</v>
      </c>
      <c r="AF10" s="14" t="n">
        <f aca="false">IF(AF7&gt;0,AF7,$F$9)</f>
        <v>0.0339456212408283</v>
      </c>
      <c r="AG10" s="14" t="n">
        <f aca="false">IF(AG7&gt;0,AG7,$F$9)</f>
        <v>0.0338279016646838</v>
      </c>
      <c r="AH10" s="14" t="n">
        <f aca="false">IF(AH7&gt;0,AH7,$F$9)</f>
        <v>0.0332988537596362</v>
      </c>
      <c r="AI10" s="14" t="n">
        <f aca="false">IF(AI7&gt;0,AI7,$F$9)</f>
        <v>0.0317824711919266</v>
      </c>
      <c r="AJ10" s="14" t="n">
        <f aca="false">IF(AJ7&gt;0,AJ7,$F$9)</f>
        <v>0.0302549265892632</v>
      </c>
      <c r="AK10" s="14" t="n">
        <f aca="false">IF(AK7&gt;0,AK7,$F$9)</f>
        <v>0.0270677487828283</v>
      </c>
      <c r="AL10" s="14" t="n">
        <f aca="false">IF(AL7&gt;0,AL7,$F$9)</f>
        <v>0.0271445161301926</v>
      </c>
      <c r="AM10" s="14" t="n">
        <f aca="false">IF(AM7&gt;0,AM7,$F$9)</f>
        <v>0.0270119354847825</v>
      </c>
      <c r="AN10" s="14" t="n">
        <f aca="false">IF(AN7&gt;0,AN7,$F$9)</f>
        <v>0.0271445161301926</v>
      </c>
      <c r="AO10" s="14" t="n">
        <f aca="false">IF(AO7&gt;0,AO7,$F$9)</f>
        <v>0.0270119354847825</v>
      </c>
      <c r="AP10" s="14" t="n">
        <f aca="false">IF(AP7&gt;0,AP7,$F$9)</f>
        <v>0.0270119354847825</v>
      </c>
      <c r="AQ10" s="14" t="n">
        <f aca="false">IF(AQ7&gt;0,AQ7,$F$9)</f>
        <v>0.0270119354847825</v>
      </c>
      <c r="AR10" s="14" t="n">
        <f aca="false">IF(AR7&gt;0,AR7,$F$9)</f>
        <v>0.0270119354847825</v>
      </c>
      <c r="AS10" s="14" t="n">
        <f aca="false">IF(AS7&gt;0,AS7,$F$9)</f>
        <v>0.0270119354847825</v>
      </c>
      <c r="AT10" s="14" t="n">
        <f aca="false">IF(AT7&gt;0,AT7,$F$9)</f>
        <v>0.0270119354847825</v>
      </c>
      <c r="AU10" s="14" t="n">
        <f aca="false">IF(AU7&gt;0,AU7,$F$9)</f>
        <v>0.0270119354847825</v>
      </c>
      <c r="AV10" s="14" t="n">
        <f aca="false">IF(AV7&gt;0,AV7,$F$9)</f>
        <v>0.0270119354847825</v>
      </c>
      <c r="AW10" s="14" t="n">
        <f aca="false">IF(AW7&gt;0,AW7,$F$9)</f>
        <v>0.0270119354847825</v>
      </c>
      <c r="AX10" s="14" t="n">
        <f aca="false">IF(AX7&gt;0,AX7,$F$9)</f>
        <v>0.0270119354847825</v>
      </c>
      <c r="AY10" s="14" t="n">
        <f aca="false">IF(AY7&gt;0,AY7,$F$9)</f>
        <v>0.0270119354847825</v>
      </c>
      <c r="AZ10" s="14" t="n">
        <f aca="false">IF(AZ7&gt;0,AZ7,$F$9)</f>
        <v>0.0270119354847825</v>
      </c>
      <c r="BA10" s="14" t="n">
        <f aca="false">IF(BA7&gt;0,BA7,$F$9)</f>
        <v>0.0270119354847825</v>
      </c>
      <c r="BB10" s="14" t="n">
        <f aca="false">IF(BB7&gt;0,BB7,$F$9)</f>
        <v>0.0270119354847825</v>
      </c>
      <c r="BC10" s="14" t="n">
        <f aca="false">IF(BC7&gt;0,BC7,$F$9)</f>
        <v>0.0270119354847825</v>
      </c>
      <c r="BD10" s="14" t="n">
        <f aca="false">IF(BD7&gt;0,BD7,$F$9)</f>
        <v>0.0270119354847825</v>
      </c>
      <c r="BE10" s="14" t="n">
        <f aca="false">IF(BE7&gt;0,BE7,$F$9)</f>
        <v>0.0270119354847825</v>
      </c>
      <c r="BF10" s="14" t="n">
        <f aca="false">IF(BF7&gt;0,BF7,$F$9)</f>
        <v>0.0270119354847825</v>
      </c>
      <c r="BG10" s="14" t="n">
        <f aca="false">IF(BG7&gt;0,BG7,$F$9)</f>
        <v>0.0270119354847825</v>
      </c>
      <c r="BH10" s="14" t="n">
        <f aca="false">IF(BH7&gt;0,BH7,$F$9)</f>
        <v>0.0270119354847825</v>
      </c>
      <c r="BI10" s="14" t="n">
        <f aca="false">IF(BI7&gt;0,BI7,$F$9)</f>
        <v>0.0270119354847825</v>
      </c>
      <c r="BJ10" s="14" t="n">
        <f aca="false">IF(BJ7&gt;0,BJ7,$F$9)</f>
        <v>0.0270119354847825</v>
      </c>
      <c r="BK10" s="14" t="n">
        <f aca="false">IF(BK7&gt;0,BK7,$F$9)</f>
        <v>0.0270119354847825</v>
      </c>
      <c r="BL10" s="14" t="n">
        <f aca="false">IF(BL7&gt;0,BL7,$F$9)</f>
        <v>0.0270119354847825</v>
      </c>
      <c r="BM10" s="14" t="n">
        <f aca="false">IF(BM7&gt;0,BM7,$F$9)</f>
        <v>0.0270119354847825</v>
      </c>
      <c r="BN10" s="14" t="n">
        <f aca="false">IF(BN7&gt;0,BN7,$F$9)</f>
        <v>0.0270119354847825</v>
      </c>
    </row>
    <row r="11" customFormat="false" ht="15" hidden="false" customHeight="false" outlineLevel="0" collapsed="false">
      <c r="D11" s="0" t="s">
        <v>791</v>
      </c>
      <c r="E11" s="0" t="s">
        <v>149</v>
      </c>
      <c r="J11" s="11" t="n">
        <f aca="false">IF(Time!J17&lt;=$F$8,(Waterfall!J7+K11)/(1+J10),0)</f>
        <v>734.715881429599</v>
      </c>
      <c r="K11" s="11" t="n">
        <f aca="false">IF(Time!K17&lt;=$F$8,(Waterfall!K7+L11)/(1+K10),0)</f>
        <v>754.561979418421</v>
      </c>
      <c r="L11" s="11" t="n">
        <f aca="false">IF(Time!L17&lt;=$F$8,(Waterfall!L7+M11)/(1+L10),0)</f>
        <v>774.944158925741</v>
      </c>
      <c r="M11" s="11" t="n">
        <f aca="false">IF(Time!M17&lt;=$F$8,(Waterfall!M7+N11)/(1+M10),0)</f>
        <v>795.876900550952</v>
      </c>
      <c r="N11" s="11" t="n">
        <f aca="false">IF(Time!N17&lt;=$F$8,(Waterfall!N7+O11)/(1+N10),0)</f>
        <v>817.375076042463</v>
      </c>
      <c r="O11" s="11" t="n">
        <f aca="false">IF(Time!O17&lt;=$F$8,(Waterfall!O7+P11)/(1+O10),0)</f>
        <v>839.453958863391</v>
      </c>
      <c r="P11" s="11" t="n">
        <f aca="false">IF(Time!P17&lt;=$F$8,(Waterfall!P7+Q11)/(1+P10),0)</f>
        <v>860.183974220538</v>
      </c>
      <c r="Q11" s="11" t="n">
        <f aca="false">IF(Time!Q17&lt;=$F$8,(Waterfall!Q7+R11)/(1+Q10),0)</f>
        <v>839.177711595208</v>
      </c>
      <c r="R11" s="11" t="n">
        <f aca="false">IF(Time!R17&lt;=$F$8,(Waterfall!R7+S11)/(1+R10),0)</f>
        <v>817.277990523516</v>
      </c>
      <c r="S11" s="11" t="n">
        <f aca="false">IF(Time!S17&lt;=$F$8,(Waterfall!S7+T11)/(1+S10),0)</f>
        <v>794.348945185589</v>
      </c>
      <c r="T11" s="11" t="n">
        <f aca="false">IF(Time!T17&lt;=$F$8,(Waterfall!T7+U11)/(1+T10),0)</f>
        <v>770.705104432542</v>
      </c>
      <c r="U11" s="11" t="n">
        <f aca="false">IF(Time!U17&lt;=$F$8,(Waterfall!U7+V11)/(1+U10),0)</f>
        <v>745.956898803355</v>
      </c>
      <c r="V11" s="11" t="n">
        <f aca="false">IF(Time!V17&lt;=$F$8,(Waterfall!V7+W11)/(1+V10),0)</f>
        <v>720.550080387309</v>
      </c>
      <c r="W11" s="11" t="n">
        <f aca="false">IF(Time!W17&lt;=$F$8,(Waterfall!W7+X11)/(1+W10),0)</f>
        <v>694.757293322956</v>
      </c>
      <c r="X11" s="11" t="n">
        <f aca="false">IF(Time!X17&lt;=$F$8,(Waterfall!X7+Y11)/(1+X10),0)</f>
        <v>667.906055760661</v>
      </c>
      <c r="Y11" s="11" t="n">
        <f aca="false">IF(Time!Y17&lt;=$F$8,(Waterfall!Y7+Z11)/(1+Y10),0)</f>
        <v>640.954238863445</v>
      </c>
      <c r="Z11" s="11" t="n">
        <f aca="false">IF(Time!Z17&lt;=$F$8,(Waterfall!Z7+AA11)/(1+Z10),0)</f>
        <v>613.763253821488</v>
      </c>
      <c r="AA11" s="11" t="n">
        <f aca="false">IF(Time!AA17&lt;=$F$8,(Waterfall!AA7+AB11)/(1+AA10),0)</f>
        <v>585.494709668281</v>
      </c>
      <c r="AB11" s="11" t="n">
        <f aca="false">IF(Time!AB17&lt;=$F$8,(Waterfall!AB7+AC11)/(1+AB10),0)</f>
        <v>556.360390781666</v>
      </c>
      <c r="AC11" s="11" t="n">
        <f aca="false">IF(Time!AC17&lt;=$F$8,(Waterfall!AC7+AD11)/(1+AC10),0)</f>
        <v>525.697327155182</v>
      </c>
      <c r="AD11" s="11" t="n">
        <f aca="false">IF(Time!AD17&lt;=$F$8,(Waterfall!AD7+AE11)/(1+AD10),0)</f>
        <v>494.34985524647</v>
      </c>
      <c r="AE11" s="11" t="n">
        <f aca="false">IF(Time!AE17&lt;=$F$8,(Waterfall!AE7+AF11)/(1+AE10),0)</f>
        <v>461.558497087068</v>
      </c>
      <c r="AF11" s="11" t="n">
        <f aca="false">IF(Time!AF17&lt;=$F$8,(Waterfall!AF7+AG11)/(1+AF10),0)</f>
        <v>427.287968978546</v>
      </c>
      <c r="AG11" s="11" t="n">
        <f aca="false">IF(Time!AG17&lt;=$F$8,(Waterfall!AG7+AH11)/(1+AG10),0)</f>
        <v>390.037869602524</v>
      </c>
      <c r="AH11" s="11" t="n">
        <f aca="false">IF(Time!AH17&lt;=$F$8,(Waterfall!AH7+AI11)/(1+AH10),0)</f>
        <v>351.350555639991</v>
      </c>
      <c r="AI11" s="11" t="n">
        <f aca="false">IF(Time!AI17&lt;=$F$8,(Waterfall!AI7+AJ11)/(1+AI10),0)</f>
        <v>310.546969975369</v>
      </c>
      <c r="AJ11" s="11" t="n">
        <f aca="false">IF(Time!AJ17&lt;=$F$8,(Waterfall!AJ7+AK11)/(1+AJ10),0)</f>
        <v>268.281881738932</v>
      </c>
      <c r="AK11" s="11" t="n">
        <f aca="false">IF(Time!AK17&lt;=$F$8,(Waterfall!AK7+AL11)/(1+AK10),0)</f>
        <v>223.640750985357</v>
      </c>
      <c r="AL11" s="11" t="n">
        <f aca="false">IF(Time!AL17&lt;=$F$8,(Waterfall!AL7+AM11)/(1+AL10),0)</f>
        <v>177.313451936956</v>
      </c>
      <c r="AM11" s="11" t="n">
        <f aca="false">IF(Time!AM17&lt;=$F$8,(Waterfall!AM7+AN11)/(1+AM10),0)</f>
        <v>129.998738640891</v>
      </c>
      <c r="AN11" s="11" t="n">
        <f aca="false">IF(Time!AN17&lt;=$F$8,(Waterfall!AN7+AO11)/(1+AN10),0)</f>
        <v>81.4623100823347</v>
      </c>
      <c r="AO11" s="11" t="n">
        <f aca="false">IF(Time!AO17&lt;=$F$8,(Waterfall!AO7+AP11)/(1+AO10),0)</f>
        <v>40.7351539496879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792</v>
      </c>
      <c r="E12" s="0" t="s">
        <v>149</v>
      </c>
      <c r="J12" s="11" t="n">
        <f aca="false">IF(Time!J17&lt;=Time!$F$14,(Waterfall!J7+K12)/(1+J10),0)</f>
        <v>1003.23058454823</v>
      </c>
      <c r="K12" s="11" t="n">
        <f aca="false">IF(Time!K17&lt;=Time!$F$14,(Waterfall!K7+L12)/(1+K10),0)</f>
        <v>1030.32978437441</v>
      </c>
      <c r="L12" s="11" t="n">
        <f aca="false">IF(Time!L17&lt;=Time!$F$14,(Waterfall!L7+M12)/(1+L10),0)</f>
        <v>1058.16098603798</v>
      </c>
      <c r="M12" s="11" t="n">
        <f aca="false">IF(Time!M17&lt;=Time!$F$14,(Waterfall!M7+N12)/(1+M10),0)</f>
        <v>1086.74396232535</v>
      </c>
      <c r="N12" s="11" t="n">
        <f aca="false">IF(Time!N17&lt;=Time!$F$14,(Waterfall!N7+O12)/(1+N10),0)</f>
        <v>1116.09902012416</v>
      </c>
      <c r="O12" s="11" t="n">
        <f aca="false">IF(Time!O17&lt;=Time!$F$14,(Waterfall!O7+P12)/(1+O10),0)</f>
        <v>1146.24701485038</v>
      </c>
      <c r="P12" s="11" t="n">
        <f aca="false">IF(Time!P17&lt;=Time!$F$14,(Waterfall!P7+Q12)/(1+P10),0)</f>
        <v>1175.26410444303</v>
      </c>
      <c r="Q12" s="11" t="n">
        <f aca="false">IF(Time!Q17&lt;=Time!$F$14,(Waterfall!Q7+R12)/(1+Q10),0)</f>
        <v>1165.08275384821</v>
      </c>
      <c r="R12" s="11" t="n">
        <f aca="false">IF(Time!R17&lt;=Time!$F$14,(Waterfall!R7+S12)/(1+R10),0)</f>
        <v>1154.26786493335</v>
      </c>
      <c r="S12" s="11" t="n">
        <f aca="false">IF(Time!S17&lt;=Time!$F$14,(Waterfall!S7+T12)/(1+S10),0)</f>
        <v>1142.92480815949</v>
      </c>
      <c r="T12" s="11" t="n">
        <f aca="false">IF(Time!T17&lt;=Time!$F$14,(Waterfall!T7+U12)/(1+T10),0)</f>
        <v>1131.14113503685</v>
      </c>
      <c r="U12" s="11" t="n">
        <f aca="false">IF(Time!U17&lt;=Time!$F$14,(Waterfall!U7+V12)/(1+U10),0)</f>
        <v>1118.78947835898</v>
      </c>
      <c r="V12" s="11" t="n">
        <f aca="false">IF(Time!V17&lt;=Time!$F$14,(Waterfall!V7+W12)/(1+V10),0)</f>
        <v>1106.11395768551</v>
      </c>
      <c r="W12" s="11" t="n">
        <f aca="false">IF(Time!W17&lt;=Time!$F$14,(Waterfall!W7+X12)/(1+W10),0)</f>
        <v>1093.58194666169</v>
      </c>
      <c r="X12" s="11" t="n">
        <f aca="false">IF(Time!X17&lt;=Time!$F$14,(Waterfall!X7+Y12)/(1+X10),0)</f>
        <v>1080.30057364303</v>
      </c>
      <c r="Y12" s="11" t="n">
        <f aca="false">IF(Time!Y17&lt;=Time!$F$14,(Waterfall!Y7+Z12)/(1+Y10),0)</f>
        <v>1067.5323244086</v>
      </c>
      <c r="Z12" s="11" t="n">
        <f aca="false">IF(Time!Z17&lt;=Time!$F$14,(Waterfall!Z7+AA12)/(1+Z10),0)</f>
        <v>1055.30828280674</v>
      </c>
      <c r="AA12" s="11" t="n">
        <f aca="false">IF(Time!AA17&lt;=Time!$F$14,(Waterfall!AA7+AB12)/(1+AA10),0)</f>
        <v>1042.70231824971</v>
      </c>
      <c r="AB12" s="11" t="n">
        <f aca="false">IF(Time!AB17&lt;=Time!$F$14,(Waterfall!AB7+AC12)/(1+AB10),0)</f>
        <v>1029.60961202418</v>
      </c>
      <c r="AC12" s="11" t="n">
        <f aca="false">IF(Time!AC17&lt;=Time!$F$14,(Waterfall!AC7+AD12)/(1+AC10),0)</f>
        <v>1015.63200219337</v>
      </c>
      <c r="AD12" s="11" t="n">
        <f aca="false">IF(Time!AD17&lt;=Time!$F$14,(Waterfall!AD7+AE12)/(1+AD10),0)</f>
        <v>1001.30259920976</v>
      </c>
      <c r="AE12" s="11" t="n">
        <f aca="false">IF(Time!AE17&lt;=Time!$F$14,(Waterfall!AE7+AF12)/(1+AE10),0)</f>
        <v>986.103349178123</v>
      </c>
      <c r="AF12" s="11" t="n">
        <f aca="false">IF(Time!AF17&lt;=Time!$F$14,(Waterfall!AF7+AG12)/(1+AF10),0)</f>
        <v>969.671745892049</v>
      </c>
      <c r="AG12" s="11" t="n">
        <f aca="false">IF(Time!AG17&lt;=Time!$F$14,(Waterfall!AG7+AH12)/(1+AG10),0)</f>
        <v>950.833200774303</v>
      </c>
      <c r="AH12" s="11" t="n">
        <f aca="false">IF(Time!AH17&lt;=Time!$F$14,(Waterfall!AH7+AI12)/(1+AH10),0)</f>
        <v>931.116416128663</v>
      </c>
      <c r="AI12" s="11" t="n">
        <f aca="false">IF(Time!AI17&lt;=Time!$F$14,(Waterfall!AI7+AJ12)/(1+AI10),0)</f>
        <v>909.618369067282</v>
      </c>
      <c r="AJ12" s="11" t="n">
        <f aca="false">IF(Time!AJ17&lt;=Time!$F$14,(Waterfall!AJ7+AK12)/(1+AJ10),0)</f>
        <v>886.393250314391</v>
      </c>
      <c r="AK12" s="11" t="n">
        <f aca="false">IF(Time!AK17&lt;=Time!$F$14,(Waterfall!AK7+AL12)/(1+AK10),0)</f>
        <v>860.453033641056</v>
      </c>
      <c r="AL12" s="11" t="n">
        <f aca="false">IF(Time!AL17&lt;=Time!$F$14,(Waterfall!AL7+AM12)/(1+AL10),0)</f>
        <v>831.362809481399</v>
      </c>
      <c r="AM12" s="11" t="n">
        <f aca="false">IF(Time!AM17&lt;=Time!$F$14,(Waterfall!AM7+AN12)/(1+AM10),0)</f>
        <v>801.801949521141</v>
      </c>
      <c r="AN12" s="11" t="n">
        <f aca="false">IF(Time!AN17&lt;=Time!$F$14,(Waterfall!AN7+AO12)/(1+AN10),0)</f>
        <v>771.412225953352</v>
      </c>
      <c r="AO12" s="11" t="n">
        <f aca="false">IF(Time!AO17&lt;=Time!$F$14,(Waterfall!AO7+AP12)/(1+AO10),0)</f>
        <v>749.413426441091</v>
      </c>
      <c r="AP12" s="11" t="n">
        <f aca="false">IF(Time!AP17&lt;=Time!$F$14,(Waterfall!AP7+AQ12)/(1+AP10),0)</f>
        <v>727.821044267408</v>
      </c>
      <c r="AQ12" s="11" t="n">
        <f aca="false">IF(Time!AQ17&lt;=Time!$F$14,(Waterfall!AQ7+AR12)/(1+AQ10),0)</f>
        <v>705.625576304328</v>
      </c>
      <c r="AR12" s="11" t="n">
        <f aca="false">IF(Time!AR17&lt;=Time!$F$14,(Waterfall!AR7+AS12)/(1+AR10),0)</f>
        <v>683.259764819594</v>
      </c>
      <c r="AS12" s="11" t="n">
        <f aca="false">IF(Time!AS17&lt;=Time!$F$14,(Waterfall!AS7+AT12)/(1+AS10),0)</f>
        <v>659.671905320276</v>
      </c>
      <c r="AT12" s="11" t="n">
        <f aca="false">IF(Time!AT17&lt;=Time!$F$14,(Waterfall!AT7+AU12)/(1+AT10),0)</f>
        <v>636.013082564406</v>
      </c>
      <c r="AU12" s="11" t="n">
        <f aca="false">IF(Time!AU17&lt;=Time!$F$14,(Waterfall!AU7+AV12)/(1+AU10),0)</f>
        <v>606.102933968097</v>
      </c>
      <c r="AV12" s="11" t="n">
        <f aca="false">IF(Time!AV17&lt;=Time!$F$14,(Waterfall!AV7+AW12)/(1+AV10),0)</f>
        <v>580.027020111084</v>
      </c>
      <c r="AW12" s="11" t="n">
        <f aca="false">IF(Time!AW17&lt;=Time!$F$14,(Waterfall!AW7+AX12)/(1+AW10),0)</f>
        <v>552.011615988485</v>
      </c>
      <c r="AX12" s="11" t="n">
        <f aca="false">IF(Time!AX17&lt;=Time!$F$14,(Waterfall!AX7+AY12)/(1+AX10),0)</f>
        <v>523.132533139066</v>
      </c>
      <c r="AY12" s="11" t="n">
        <f aca="false">IF(Time!AY17&lt;=Time!$F$14,(Waterfall!AY7+AZ12)/(1+AY10),0)</f>
        <v>492.828163172938</v>
      </c>
      <c r="AZ12" s="11" t="n">
        <f aca="false">IF(Time!AZ17&lt;=Time!$F$14,(Waterfall!AZ7+BA12)/(1+AZ10),0)</f>
        <v>462.143546344883</v>
      </c>
      <c r="BA12" s="11" t="n">
        <f aca="false">IF(Time!BA17&lt;=Time!$F$14,(Waterfall!BA7+BB12)/(1+BA10),0)</f>
        <v>429.989617894609</v>
      </c>
      <c r="BB12" s="11" t="n">
        <f aca="false">IF(Time!BB17&lt;=Time!$F$14,(Waterfall!BB7+BC12)/(1+BB10),0)</f>
        <v>397.354603376342</v>
      </c>
      <c r="BC12" s="11" t="n">
        <f aca="false">IF(Time!BC17&lt;=Time!$F$14,(Waterfall!BC7+BD12)/(1+BC10),0)</f>
        <v>362.515533715931</v>
      </c>
      <c r="BD12" s="11" t="n">
        <f aca="false">IF(Time!BD17&lt;=Time!$F$14,(Waterfall!BD7+BE12)/(1+BD10),0)</f>
        <v>330.103138287608</v>
      </c>
      <c r="BE12" s="11" t="n">
        <f aca="false">IF(Time!BE17&lt;=Time!$F$14,(Waterfall!BE7+BF12)/(1+BE10),0)</f>
        <v>302.185261588271</v>
      </c>
      <c r="BF12" s="11" t="n">
        <f aca="false">IF(Time!BF17&lt;=Time!$F$14,(Waterfall!BF7+BG12)/(1+BF10),0)</f>
        <v>273.674390215196</v>
      </c>
      <c r="BG12" s="11" t="n">
        <f aca="false">IF(Time!BG17&lt;=Time!$F$14,(Waterfall!BG7+BH12)/(1+BG10),0)</f>
        <v>243.719485396019</v>
      </c>
      <c r="BH12" s="11" t="n">
        <f aca="false">IF(Time!BH17&lt;=Time!$F$14,(Waterfall!BH7+BI12)/(1+BH10),0)</f>
        <v>213.403665028642</v>
      </c>
      <c r="BI12" s="11" t="n">
        <f aca="false">IF(Time!BI17&lt;=Time!$F$14,(Waterfall!BI7+BJ12)/(1+BI10),0)</f>
        <v>181.604094755105</v>
      </c>
      <c r="BJ12" s="11" t="n">
        <f aca="false">IF(Time!BJ17&lt;=Time!$F$14,(Waterfall!BJ7+BK12)/(1+BJ10),0)</f>
        <v>149.530037759812</v>
      </c>
      <c r="BK12" s="11" t="n">
        <f aca="false">IF(Time!BK17&lt;=Time!$F$14,(Waterfall!BK7+BL12)/(1+BK10),0)</f>
        <v>109.799003405977</v>
      </c>
      <c r="BL12" s="11" t="n">
        <f aca="false">IF(Time!BL17&lt;=Time!$F$14,(Waterfall!BL7+BM12)/(1+BL10),0)</f>
        <v>74.4611618835912</v>
      </c>
      <c r="BM12" s="11" t="n">
        <f aca="false">IF(Time!BM17&lt;=Time!$F$14,(Waterfall!BM7+BN12)/(1+BM10),0)</f>
        <v>36.2048203243201</v>
      </c>
      <c r="BN12" s="11" t="n">
        <f aca="false">IF(Time!BN17&lt;=Time!$F$14,(Waterfall!BN7+0)/(1+BN10),0)</f>
        <v>0</v>
      </c>
    </row>
    <row r="13" customFormat="false" ht="15" hidden="false" customHeight="false" outlineLevel="0" collapsed="false">
      <c r="D13" s="0" t="s">
        <v>793</v>
      </c>
      <c r="E13" s="0" t="s">
        <v>202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1.41716762939096</v>
      </c>
      <c r="Q13" s="6" t="n">
        <f aca="false">IF(Debt!Q122&gt;0.000000001,(Q11+Reserves!Q9)/Debt!Q122,0)</f>
        <v>1.41855388314299</v>
      </c>
      <c r="R13" s="6" t="n">
        <f aca="false">IF(Debt!R122&gt;0.000000001,(R11+Reserves!R9)/Debt!R122,0)</f>
        <v>1.42099890720417</v>
      </c>
      <c r="S13" s="6" t="n">
        <f aca="false">IF(Debt!S122&gt;0.000000001,(S11+Reserves!S9)/Debt!S122,0)</f>
        <v>1.4224561155834</v>
      </c>
      <c r="T13" s="6" t="n">
        <f aca="false">IF(Debt!T122&gt;0.000000001,(T11+Reserves!T9)/Debt!T122,0)</f>
        <v>1.42524395394339</v>
      </c>
      <c r="U13" s="6" t="n">
        <f aca="false">IF(Debt!U122&gt;0.000000001,(U11+Reserves!U9)/Debt!U122,0)</f>
        <v>1.42719398276548</v>
      </c>
      <c r="V13" s="6" t="n">
        <f aca="false">IF(Debt!V122&gt;0.000000001,(V11+Reserves!V9)/Debt!V122,0)</f>
        <v>1.43129748346865</v>
      </c>
      <c r="W13" s="6" t="n">
        <f aca="false">IF(Debt!W122&gt;0.000000001,(W11+Reserves!W9)/Debt!W122,0)</f>
        <v>1.43648263341144</v>
      </c>
      <c r="X13" s="6" t="n">
        <f aca="false">IF(Debt!X122&gt;0.000000001,(X11+Reserves!X9)/Debt!X122,0)</f>
        <v>1.44003647254145</v>
      </c>
      <c r="Y13" s="6" t="n">
        <f aca="false">IF(Debt!Y122&gt;0.000000001,(Y11+Reserves!Y9)/Debt!Y122,0)</f>
        <v>1.44350129017561</v>
      </c>
      <c r="Z13" s="6" t="n">
        <f aca="false">IF(Debt!Z122&gt;0.000000001,(Z11+Reserves!Z9)/Debt!Z122,0)</f>
        <v>1.44823736121767</v>
      </c>
      <c r="AA13" s="6" t="n">
        <f aca="false">IF(Debt!AA122&gt;0.000000001,(AA11+Reserves!AA9)/Debt!AA122,0)</f>
        <v>1.45233102261476</v>
      </c>
      <c r="AB13" s="6" t="n">
        <f aca="false">IF(Debt!AB122&gt;0.000000001,(AB11+Reserves!AB9)/Debt!AB122,0)</f>
        <v>1.48177429465053</v>
      </c>
      <c r="AC13" s="6" t="n">
        <f aca="false">IF(Debt!AC122&gt;0.000000001,(AC11+Reserves!AC9)/Debt!AC122,0)</f>
        <v>1.51516868555509</v>
      </c>
      <c r="AD13" s="6" t="n">
        <f aca="false">IF(Debt!AD122&gt;0.000000001,(AD11+Reserves!AD9)/Debt!AD122,0)</f>
        <v>1.55519282950872</v>
      </c>
      <c r="AE13" s="6" t="n">
        <f aca="false">IF(Debt!AE122&gt;0.000000001,(AE11+Reserves!AE9)/Debt!AE122,0)</f>
        <v>1.60489153141568</v>
      </c>
      <c r="AF13" s="6" t="n">
        <f aca="false">IF(Debt!AF122&gt;0.000000001,(AF11+Reserves!AF9)/Debt!AF122,0)</f>
        <v>1.66578303112756</v>
      </c>
      <c r="AG13" s="6" t="n">
        <f aca="false">IF(Debt!AG122&gt;0.000000001,(AG11+Reserves!AG9)/Debt!AG122,0)</f>
        <v>1.7412360150116</v>
      </c>
      <c r="AH13" s="6" t="n">
        <f aca="false">IF(Debt!AH122&gt;0.000000001,(AH11+Reserves!AH9)/Debt!AH122,0)</f>
        <v>1.83828138339284</v>
      </c>
      <c r="AI13" s="6" t="n">
        <f aca="false">IF(Debt!AI122&gt;0.000000001,(AI11+Reserves!AI9)/Debt!AI122,0)</f>
        <v>1.97229445667318</v>
      </c>
      <c r="AJ13" s="6" t="n">
        <f aca="false">IF(Debt!AJ122&gt;0.000000001,(AJ11+Reserves!AJ9)/Debt!AJ122,0)</f>
        <v>2.16737316929209</v>
      </c>
      <c r="AK13" s="6" t="n">
        <f aca="false">IF(Debt!AK122&gt;0.000000001,(AK11+Reserves!AK9)/Debt!AK122,0)</f>
        <v>2.49235504533749</v>
      </c>
      <c r="AL13" s="6" t="n">
        <f aca="false">IF(Debt!AL122&gt;0.000000001,(AL11+Reserves!AL9)/Debt!AL122,0)</f>
        <v>2.51057889636406</v>
      </c>
      <c r="AM13" s="6" t="n">
        <f aca="false">IF(Debt!AM122&gt;0.000000001,(AM11+Reserves!AM9)/Debt!AM122,0)</f>
        <v>2.62344957031174</v>
      </c>
      <c r="AN13" s="6" t="n">
        <f aca="false">IF(Debt!AN122&gt;0.000000001,(AN11+Reserves!AN9)/Debt!AN122,0)</f>
        <v>2.75234584848107</v>
      </c>
      <c r="AO13" s="6" t="n">
        <f aca="false">IF(Debt!AO122&gt;0.000000001,(AO11+Reserves!AO9)/Debt!AO122,0)</f>
        <v>3.23983820432301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794</v>
      </c>
      <c r="E14" s="0" t="s">
        <v>202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1.35835113673146</v>
      </c>
      <c r="Q14" s="6" t="n">
        <f aca="false">IF(Debt!Q122&gt;0.000000001,Q11/Debt!Q122,0)</f>
        <v>1.35840651217696</v>
      </c>
      <c r="R14" s="6" t="n">
        <f aca="false">IF(Debt!R122&gt;0.000000001,R11/Debt!R122,0)</f>
        <v>1.35845989105095</v>
      </c>
      <c r="S14" s="6" t="n">
        <f aca="false">IF(Debt!S122&gt;0.000000001,S11/Debt!S122,0)</f>
        <v>1.35860360679202</v>
      </c>
      <c r="T14" s="6" t="n">
        <f aca="false">IF(Debt!T122&gt;0.000000001,T11/Debt!T122,0)</f>
        <v>1.35869157081641</v>
      </c>
      <c r="U14" s="6" t="n">
        <f aca="false">IF(Debt!U122&gt;0.000000001,U11/Debt!U122,0)</f>
        <v>1.35875903904969</v>
      </c>
      <c r="V14" s="6" t="n">
        <f aca="false">IF(Debt!V122&gt;0.000000001,V11/Debt!V122,0)</f>
        <v>1.35907995636158</v>
      </c>
      <c r="W14" s="6" t="n">
        <f aca="false">IF(Debt!W122&gt;0.000000001,W11/Debt!W122,0)</f>
        <v>1.36194502724295</v>
      </c>
      <c r="X14" s="6" t="n">
        <f aca="false">IF(Debt!X122&gt;0.000000001,X11/Debt!X122,0)</f>
        <v>1.36459173176573</v>
      </c>
      <c r="Y14" s="6" t="n">
        <f aca="false">IF(Debt!Y122&gt;0.000000001,Y11/Debt!Y122,0)</f>
        <v>1.36558617729213</v>
      </c>
      <c r="Z14" s="6" t="n">
        <f aca="false">IF(Debt!Z122&gt;0.000000001,Z11/Debt!Z122,0)</f>
        <v>1.36616597395467</v>
      </c>
      <c r="AA14" s="6" t="n">
        <f aca="false">IF(Debt!AA122&gt;0.000000001,AA11/Debt!AA122,0)</f>
        <v>1.36694182558088</v>
      </c>
      <c r="AB14" s="6" t="n">
        <f aca="false">IF(Debt!AB122&gt;0.000000001,AB11/Debt!AB122,0)</f>
        <v>1.38936461019038</v>
      </c>
      <c r="AC14" s="6" t="n">
        <f aca="false">IF(Debt!AC122&gt;0.000000001,AC11/Debt!AC122,0)</f>
        <v>1.4175565161291</v>
      </c>
      <c r="AD14" s="6" t="n">
        <f aca="false">IF(Debt!AD122&gt;0.000000001,AD11/Debt!AD122,0)</f>
        <v>1.44753108315949</v>
      </c>
      <c r="AE14" s="6" t="n">
        <f aca="false">IF(Debt!AE122&gt;0.000000001,AE11/Debt!AE122,0)</f>
        <v>1.48866447808665</v>
      </c>
      <c r="AF14" s="6" t="n">
        <f aca="false">IF(Debt!AF122&gt;0.000000001,AF11/Debt!AF122,0)</f>
        <v>1.53891846789051</v>
      </c>
      <c r="AG14" s="6" t="n">
        <f aca="false">IF(Debt!AG122&gt;0.000000001,AG11/Debt!AG122,0)</f>
        <v>1.60200821769828</v>
      </c>
      <c r="AH14" s="6" t="n">
        <f aca="false">IF(Debt!AH122&gt;0.000000001,AH11/Debt!AH122,0)</f>
        <v>1.68070332687557</v>
      </c>
      <c r="AI14" s="6" t="n">
        <f aca="false">IF(Debt!AI122&gt;0.000000001,AI11/Debt!AI122,0)</f>
        <v>1.79287189754383</v>
      </c>
      <c r="AJ14" s="6" t="n">
        <f aca="false">IF(Debt!AJ122&gt;0.000000001,AJ11/Debt!AJ122,0)</f>
        <v>1.95363848719756</v>
      </c>
      <c r="AK14" s="6" t="n">
        <f aca="false">IF(Debt!AK122&gt;0.000000001,AK11/Debt!AK122,0)</f>
        <v>2.22661563487322</v>
      </c>
      <c r="AL14" s="6" t="n">
        <f aca="false">IF(Debt!AL122&gt;0.000000001,AL11/Debt!AL122,0)</f>
        <v>2.21428503053789</v>
      </c>
      <c r="AM14" s="6" t="n">
        <f aca="false">IF(Debt!AM122&gt;0.000000001,AM11/Debt!AM122,0)</f>
        <v>2.22080815864512</v>
      </c>
      <c r="AN14" s="6" t="n">
        <f aca="false">IF(Debt!AN122&gt;0.000000001,AN11/Debt!AN122,0)</f>
        <v>2.2288776802614</v>
      </c>
      <c r="AO14" s="6" t="n">
        <f aca="false">IF(Debt!AO122&gt;0.000000001,AO11/Debt!AO122,0)</f>
        <v>2.21282626883823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795</v>
      </c>
      <c r="E15" s="0" t="s">
        <v>202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1.85590685257357</v>
      </c>
      <c r="Q15" s="6" t="n">
        <f aca="false">IF(Debt!Q122&gt;0.000000001,Q12/Debt!Q122,0)</f>
        <v>1.88596048034209</v>
      </c>
      <c r="R15" s="6" t="n">
        <f aca="false">IF(Debt!R122&gt;0.000000001,R12/Debt!R122,0)</f>
        <v>1.91859638485622</v>
      </c>
      <c r="S15" s="6" t="n">
        <f aca="false">IF(Debt!S122&gt;0.000000001,S12/Debt!S122,0)</f>
        <v>1.9547854580392</v>
      </c>
      <c r="T15" s="6" t="n">
        <f aca="false">IF(Debt!T122&gt;0.000000001,T12/Debt!T122,0)</f>
        <v>1.99411151780272</v>
      </c>
      <c r="U15" s="6" t="n">
        <f aca="false">IF(Debt!U122&gt;0.000000001,U12/Debt!U122,0)</f>
        <v>2.03787285693389</v>
      </c>
      <c r="V15" s="6" t="n">
        <f aca="false">IF(Debt!V122&gt;0.000000001,V12/Debt!V122,0)</f>
        <v>2.08631898081824</v>
      </c>
      <c r="W15" s="6" t="n">
        <f aca="false">IF(Debt!W122&gt;0.000000001,W12/Debt!W122,0)</f>
        <v>2.14376805893596</v>
      </c>
      <c r="X15" s="6" t="n">
        <f aca="false">IF(Debt!X122&gt;0.000000001,X12/Debt!X122,0)</f>
        <v>2.20715056840766</v>
      </c>
      <c r="Y15" s="6" t="n">
        <f aca="false">IF(Debt!Y122&gt;0.000000001,Y12/Debt!Y122,0)</f>
        <v>2.27443286530087</v>
      </c>
      <c r="Z15" s="6" t="n">
        <f aca="false">IF(Debt!Z122&gt;0.000000001,Z12/Debt!Z122,0)</f>
        <v>2.34899410974256</v>
      </c>
      <c r="AA15" s="6" t="n">
        <f aca="false">IF(Debt!AA122&gt;0.000000001,AA12/Debt!AA122,0)</f>
        <v>2.43437453303925</v>
      </c>
      <c r="AB15" s="6" t="n">
        <f aca="false">IF(Debt!AB122&gt;0.000000001,AB12/Debt!AB122,0)</f>
        <v>2.57118080467309</v>
      </c>
      <c r="AC15" s="6" t="n">
        <f aca="false">IF(Debt!AC122&gt;0.000000001,AC12/Debt!AC122,0)</f>
        <v>2.73867811063354</v>
      </c>
      <c r="AD15" s="6" t="n">
        <f aca="false">IF(Debt!AD122&gt;0.000000001,AD12/Debt!AD122,0)</f>
        <v>2.93196532905198</v>
      </c>
      <c r="AE15" s="6" t="n">
        <f aca="false">IF(Debt!AE122&gt;0.000000001,AE12/Debt!AE122,0)</f>
        <v>3.18047882751215</v>
      </c>
      <c r="AF15" s="6" t="n">
        <f aca="false">IF(Debt!AF122&gt;0.000000001,AF12/Debt!AF122,0)</f>
        <v>3.49236549091751</v>
      </c>
      <c r="AG15" s="6" t="n">
        <f aca="false">IF(Debt!AG122&gt;0.000000001,AG12/Debt!AG122,0)</f>
        <v>3.90537104218389</v>
      </c>
      <c r="AH15" s="6" t="n">
        <f aca="false">IF(Debt!AH122&gt;0.000000001,AH12/Debt!AH122,0)</f>
        <v>4.45404292998869</v>
      </c>
      <c r="AI15" s="6" t="n">
        <f aca="false">IF(Debt!AI122&gt;0.000000001,AI12/Debt!AI122,0)</f>
        <v>5.2514735903549</v>
      </c>
      <c r="AJ15" s="6" t="n">
        <f aca="false">IF(Debt!AJ122&gt;0.000000001,AJ12/Debt!AJ122,0)</f>
        <v>6.45474810815388</v>
      </c>
      <c r="AK15" s="6" t="n">
        <f aca="false">IF(Debt!AK122&gt;0.000000001,AK12/Debt!AK122,0)</f>
        <v>8.56685630565026</v>
      </c>
      <c r="AL15" s="6" t="n">
        <f aca="false">IF(Debt!AL122&gt;0.000000001,AL12/Debt!AL122,0)</f>
        <v>10.3820336464664</v>
      </c>
      <c r="AM15" s="6" t="n">
        <f aca="false">IF(Debt!AM122&gt;0.000000001,AM12/Debt!AM122,0)</f>
        <v>13.697427603763</v>
      </c>
      <c r="AN15" s="6" t="n">
        <f aca="false">IF(Debt!AN122&gt;0.000000001,AN12/Debt!AN122,0)</f>
        <v>21.1064907313627</v>
      </c>
      <c r="AO15" s="6" t="n">
        <f aca="false">IF(Debt!AO122&gt;0.000000001,AO12/Debt!AO122,0)</f>
        <v>40.7098428619445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796</v>
      </c>
      <c r="E16" s="0" t="s">
        <v>202</v>
      </c>
      <c r="F16" s="6" t="n">
        <f aca="false">_xlfn.MINIFS(Waterfall!$J$17:$BN$17,Debt!$J$121:$BN$121,"&gt;0.000000001")</f>
        <v>1.32090776164261</v>
      </c>
    </row>
    <row r="17" customFormat="false" ht="15" hidden="false" customHeight="false" outlineLevel="0" collapsed="false">
      <c r="D17" s="0" t="s">
        <v>797</v>
      </c>
      <c r="E17" s="0" t="s">
        <v>202</v>
      </c>
      <c r="F17" s="6" t="n">
        <f aca="false">SUMIFS(Waterfall!$J$7:$BN$7,Debt!$J$121:$BN$121,"&gt;0.000000001")/SUM(Debt!$J$121:$BN$121)</f>
        <v>1.53355935298062</v>
      </c>
    </row>
    <row r="18" customFormat="false" ht="15" hidden="false" customHeight="false" outlineLevel="0" collapsed="false">
      <c r="D18" s="0" t="s">
        <v>798</v>
      </c>
      <c r="E18" s="0" t="s">
        <v>202</v>
      </c>
      <c r="F18" s="6" t="n">
        <f aca="false">INDEX(Ratios!$J$13:$BN$13,1,Time!$F$12)</f>
        <v>1.41716762939096</v>
      </c>
    </row>
    <row r="19" customFormat="false" ht="15" hidden="false" customHeight="false" outlineLevel="0" collapsed="false">
      <c r="D19" s="0" t="s">
        <v>799</v>
      </c>
      <c r="E19" s="0" t="s">
        <v>202</v>
      </c>
      <c r="F19" s="6" t="n">
        <f aca="false">INDEX(Ratios!$J$15:$BN$15,1,Time!$F$12)</f>
        <v>1.85590685257357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801</v>
      </c>
      <c r="J5" s="3" t="s">
        <v>802</v>
      </c>
      <c r="K5" s="3" t="s">
        <v>377</v>
      </c>
      <c r="L5" s="3" t="s">
        <v>378</v>
      </c>
      <c r="M5" s="3" t="s">
        <v>379</v>
      </c>
      <c r="N5" s="3" t="s">
        <v>380</v>
      </c>
      <c r="O5" s="3" t="s">
        <v>381</v>
      </c>
      <c r="P5" s="3" t="s">
        <v>382</v>
      </c>
      <c r="Q5" s="3" t="s">
        <v>383</v>
      </c>
      <c r="R5" s="3" t="s">
        <v>384</v>
      </c>
      <c r="S5" s="3" t="s">
        <v>385</v>
      </c>
      <c r="T5" s="3" t="s">
        <v>386</v>
      </c>
      <c r="U5" s="3" t="s">
        <v>387</v>
      </c>
      <c r="V5" s="3" t="s">
        <v>388</v>
      </c>
      <c r="W5" s="3" t="s">
        <v>389</v>
      </c>
      <c r="X5" s="3" t="s">
        <v>390</v>
      </c>
      <c r="Y5" s="3" t="s">
        <v>391</v>
      </c>
      <c r="Z5" s="3" t="s">
        <v>392</v>
      </c>
      <c r="AA5" s="3" t="s">
        <v>393</v>
      </c>
      <c r="AB5" s="3" t="s">
        <v>394</v>
      </c>
      <c r="AC5" s="3" t="s">
        <v>395</v>
      </c>
      <c r="AD5" s="3" t="s">
        <v>396</v>
      </c>
      <c r="AE5" s="3" t="s">
        <v>397</v>
      </c>
      <c r="AF5" s="3" t="s">
        <v>398</v>
      </c>
      <c r="AG5" s="3" t="s">
        <v>399</v>
      </c>
      <c r="AH5" s="3" t="s">
        <v>400</v>
      </c>
      <c r="AI5" s="3" t="s">
        <v>401</v>
      </c>
      <c r="AJ5" s="3" t="s">
        <v>402</v>
      </c>
      <c r="AK5" s="3" t="s">
        <v>403</v>
      </c>
      <c r="AL5" s="3" t="s">
        <v>404</v>
      </c>
      <c r="AM5" s="3" t="s">
        <v>405</v>
      </c>
      <c r="AN5" s="3" t="s">
        <v>406</v>
      </c>
      <c r="AO5" s="3" t="s">
        <v>407</v>
      </c>
      <c r="AP5" s="3" t="s">
        <v>408</v>
      </c>
      <c r="AQ5" s="3" t="s">
        <v>409</v>
      </c>
      <c r="AR5" s="3" t="s">
        <v>410</v>
      </c>
      <c r="AS5" s="3" t="s">
        <v>411</v>
      </c>
      <c r="AT5" s="3" t="s">
        <v>412</v>
      </c>
      <c r="AU5" s="3" t="s">
        <v>413</v>
      </c>
      <c r="AV5" s="3" t="s">
        <v>414</v>
      </c>
      <c r="AW5" s="3" t="s">
        <v>415</v>
      </c>
      <c r="AX5" s="3" t="s">
        <v>416</v>
      </c>
      <c r="AY5" s="3" t="s">
        <v>417</v>
      </c>
      <c r="AZ5" s="3" t="s">
        <v>418</v>
      </c>
      <c r="BA5" s="3" t="s">
        <v>419</v>
      </c>
      <c r="BB5" s="3" t="s">
        <v>420</v>
      </c>
      <c r="BC5" s="3" t="s">
        <v>421</v>
      </c>
      <c r="BD5" s="3" t="s">
        <v>422</v>
      </c>
      <c r="BE5" s="3" t="s">
        <v>423</v>
      </c>
      <c r="BF5" s="3" t="s">
        <v>424</v>
      </c>
      <c r="BG5" s="3" t="s">
        <v>425</v>
      </c>
      <c r="BH5" s="3" t="s">
        <v>426</v>
      </c>
      <c r="BI5" s="3" t="s">
        <v>427</v>
      </c>
      <c r="BJ5" s="3" t="s">
        <v>428</v>
      </c>
      <c r="BK5" s="3" t="s">
        <v>429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803</v>
      </c>
      <c r="E7" s="0" t="s">
        <v>349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804</v>
      </c>
      <c r="E8" s="0" t="s">
        <v>149</v>
      </c>
      <c r="G8" s="11" t="n">
        <f aca="false">SUM(J8:DP8)</f>
        <v>1169.11703228529</v>
      </c>
      <c r="J8" s="11" t="n">
        <f aca="false">-Inputs!$F$68</f>
        <v>-14.2</v>
      </c>
      <c r="K8" s="11" t="n">
        <f aca="false">-Funding!J68</f>
        <v>-17.3443654741124</v>
      </c>
      <c r="L8" s="11" t="n">
        <f aca="false">-Funding!K68</f>
        <v>-0.648320373179076</v>
      </c>
      <c r="M8" s="11" t="n">
        <f aca="false">-Funding!L68</f>
        <v>-0.826418347859906</v>
      </c>
      <c r="N8" s="11" t="n">
        <f aca="false">-Funding!M68</f>
        <v>-1.16828978079458</v>
      </c>
      <c r="O8" s="11" t="n">
        <f aca="false">-Funding!N68</f>
        <v>-1.68225053867731</v>
      </c>
      <c r="P8" s="11" t="n">
        <f aca="false">-Funding!O68</f>
        <v>-2.31815833851875</v>
      </c>
      <c r="Q8" s="11" t="n">
        <f aca="false">-Funding!P68</f>
        <v>-3.0241027217991</v>
      </c>
      <c r="R8" s="11" t="n">
        <f aca="false">-Funding!Q68</f>
        <v>-3.83855259456677</v>
      </c>
      <c r="S8" s="11" t="n">
        <f aca="false">-Funding!R68</f>
        <v>-4.6502766335649</v>
      </c>
      <c r="T8" s="11" t="n">
        <f aca="false">-Funding!S68</f>
        <v>-5.47681570917974</v>
      </c>
      <c r="U8" s="11" t="n">
        <f aca="false">-Funding!T68</f>
        <v>-6.25030169980247</v>
      </c>
      <c r="V8" s="11" t="n">
        <f aca="false">-Funding!U68</f>
        <v>-6.99191264158404</v>
      </c>
      <c r="W8" s="11" t="n">
        <f aca="false">-Funding!V68</f>
        <v>-7.6439353122712</v>
      </c>
      <c r="X8" s="11" t="n">
        <f aca="false">-Funding!W68</f>
        <v>-8.18616613574263</v>
      </c>
      <c r="Y8" s="11" t="n">
        <f aca="false">-Funding!X68</f>
        <v>-8.63503011067768</v>
      </c>
      <c r="Z8" s="11" t="n">
        <f aca="false">-Funding!Y68</f>
        <v>-8.93391495565196</v>
      </c>
      <c r="AA8" s="11" t="n">
        <f aca="false">-Funding!Z68</f>
        <v>-9.1211335660466</v>
      </c>
      <c r="AB8" s="11" t="n">
        <f aca="false">-Funding!AA68</f>
        <v>-9.46154396827212</v>
      </c>
      <c r="AC8" s="11" t="n">
        <f aca="false">-Funding!AB68</f>
        <v>-9.0251409982049</v>
      </c>
      <c r="AD8" s="11" t="n">
        <f aca="false">-Funding!AC68</f>
        <v>-8.81062368941417</v>
      </c>
      <c r="AE8" s="11" t="n">
        <f aca="false">-Funding!AD68</f>
        <v>-8.42237069977848</v>
      </c>
      <c r="AF8" s="11" t="n">
        <f aca="false">-Funding!AE68</f>
        <v>-7.9465485624091</v>
      </c>
      <c r="AG8" s="11" t="n">
        <f aca="false">-Funding!AF68</f>
        <v>-7.33492793084585</v>
      </c>
      <c r="AH8" s="11" t="n">
        <f aca="false">-Funding!AG68</f>
        <v>-6.67280605231224</v>
      </c>
      <c r="AI8" s="11" t="n">
        <f aca="false">-Funding!AH68</f>
        <v>-5.93077626622527</v>
      </c>
      <c r="AJ8" s="11" t="n">
        <f aca="false">-Funding!AI68</f>
        <v>-5.13380130806101</v>
      </c>
      <c r="AK8" s="11" t="n">
        <f aca="false">-Funding!AJ68</f>
        <v>-4.36455619682293</v>
      </c>
      <c r="AL8" s="11" t="n">
        <f aca="false">-Funding!AK68</f>
        <v>-3.58140062202883</v>
      </c>
      <c r="AM8" s="11" t="n">
        <f aca="false">-Funding!AL68</f>
        <v>-2.89124437907497</v>
      </c>
      <c r="AN8" s="11" t="n">
        <f aca="false">-Funding!AM68</f>
        <v>-2.27308900262301</v>
      </c>
      <c r="AO8" s="11" t="n">
        <f aca="false">-Funding!AN68</f>
        <v>-1.72016670046058</v>
      </c>
      <c r="AP8" s="11" t="n">
        <f aca="false">-Funding!AO68</f>
        <v>-1.43578904615905</v>
      </c>
      <c r="AQ8" s="11" t="n">
        <f aca="false">-Funding!AP68</f>
        <v>-14.0750388603677</v>
      </c>
      <c r="AR8" s="11" t="n">
        <f aca="false">-Funding!AQ68</f>
        <v>-10.8486751462942</v>
      </c>
      <c r="AS8" s="11" t="n">
        <f aca="false">-Funding!AR68</f>
        <v>-0.965323220673674</v>
      </c>
      <c r="AT8" s="11" t="n">
        <f aca="false">-Funding!AS68</f>
        <v>-0</v>
      </c>
      <c r="AU8" s="11" t="n">
        <f aca="false">-Funding!AT68</f>
        <v>-0</v>
      </c>
      <c r="AV8" s="11" t="n">
        <f aca="false">-Funding!AU68</f>
        <v>-0</v>
      </c>
      <c r="AW8" s="11" t="n">
        <f aca="false">-Funding!AV68</f>
        <v>-0</v>
      </c>
      <c r="AX8" s="11" t="n">
        <f aca="false">-Funding!AW68</f>
        <v>-0</v>
      </c>
      <c r="AY8" s="11" t="n">
        <f aca="false">-Funding!AX68</f>
        <v>-0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15.3470396906232</v>
      </c>
      <c r="BS8" s="16" t="n">
        <f aca="false">Waterfall!Q44</f>
        <v>12.817434186808</v>
      </c>
      <c r="BT8" s="16" t="n">
        <f aca="false">Waterfall!R44</f>
        <v>13.6944211767362</v>
      </c>
      <c r="BU8" s="16" t="n">
        <f aca="false">Waterfall!S44</f>
        <v>12.9200584528173</v>
      </c>
      <c r="BV8" s="16" t="n">
        <f aca="false">Waterfall!T44</f>
        <v>13.6845286632475</v>
      </c>
      <c r="BW8" s="16" t="n">
        <f aca="false">Waterfall!U44</f>
        <v>12.5914558450127</v>
      </c>
      <c r="BX8" s="16" t="n">
        <f aca="false">Waterfall!V44</f>
        <v>12.5515835899042</v>
      </c>
      <c r="BY8" s="16" t="n">
        <f aca="false">Waterfall!W44</f>
        <v>13.5633080447217</v>
      </c>
      <c r="BZ8" s="16" t="n">
        <f aca="false">Waterfall!X44</f>
        <v>13.3528522686011</v>
      </c>
      <c r="CA8" s="16" t="n">
        <f aca="false">Waterfall!Y44</f>
        <v>12.8081795172204</v>
      </c>
      <c r="CB8" s="16" t="n">
        <f aca="false">Waterfall!Z44</f>
        <v>13.4657980571963</v>
      </c>
      <c r="CC8" s="16" t="n">
        <f aca="false">Waterfall!AA44</f>
        <v>6.3361357909179</v>
      </c>
      <c r="CD8" s="16" t="n">
        <f aca="false">Waterfall!AB44</f>
        <v>7.37102298257586</v>
      </c>
      <c r="CE8" s="16" t="n">
        <f aca="false">Waterfall!AC44</f>
        <v>6.82254845278294</v>
      </c>
      <c r="CF8" s="16" t="n">
        <f aca="false">Waterfall!AD44</f>
        <v>7.36312833136017</v>
      </c>
      <c r="CG8" s="16" t="n">
        <f aca="false">Waterfall!AE44</f>
        <v>7.8406431815442</v>
      </c>
      <c r="CH8" s="16" t="n">
        <f aca="false">Waterfall!AF44</f>
        <v>9.46988010110519</v>
      </c>
      <c r="CI8" s="16" t="n">
        <f aca="false">Waterfall!AG44</f>
        <v>10.1829735432366</v>
      </c>
      <c r="CJ8" s="16" t="n">
        <f aca="false">Waterfall!AH44</f>
        <v>11.5678504898404</v>
      </c>
      <c r="CK8" s="16" t="n">
        <f aca="false">Waterfall!AI44</f>
        <v>12.4693245240889</v>
      </c>
      <c r="CL8" s="16" t="n">
        <f aca="false">Waterfall!AJ44</f>
        <v>14.3789345865293</v>
      </c>
      <c r="CM8" s="16" t="n">
        <f aca="false">Waterfall!AK44</f>
        <v>32.2638350009865</v>
      </c>
      <c r="CN8" s="16" t="n">
        <f aca="false">Waterfall!AL44</f>
        <v>28.5708133682081</v>
      </c>
      <c r="CO8" s="16" t="n">
        <f aca="false">Waterfall!AM44</f>
        <v>32.9159288449634</v>
      </c>
      <c r="CP8" s="16" t="n">
        <f aca="false">Waterfall!AN44</f>
        <v>24.0325033750714</v>
      </c>
      <c r="CQ8" s="16" t="n">
        <f aca="false">Waterfall!AO44</f>
        <v>41.8354893001395</v>
      </c>
      <c r="CR8" s="16" t="n">
        <f aca="false">Waterfall!AP44</f>
        <v>41.8553230552979</v>
      </c>
      <c r="CS8" s="16" t="n">
        <f aca="false">Waterfall!AQ44</f>
        <v>41.4261240282784</v>
      </c>
      <c r="CT8" s="16" t="n">
        <f aca="false">Waterfall!AR44</f>
        <v>42.0440281859729</v>
      </c>
      <c r="CU8" s="16" t="n">
        <f aca="false">Waterfall!AS44</f>
        <v>41.4778377035045</v>
      </c>
      <c r="CV8" s="16" t="n">
        <f aca="false">Waterfall!AT44</f>
        <v>47.0900929500161</v>
      </c>
      <c r="CW8" s="16" t="n">
        <f aca="false">Waterfall!AU44</f>
        <v>42.4479272064973</v>
      </c>
      <c r="CX8" s="16" t="n">
        <f aca="false">Waterfall!AV44</f>
        <v>43.68305656927</v>
      </c>
      <c r="CY8" s="16" t="n">
        <f aca="false">Waterfall!AW44</f>
        <v>43.7899850073499</v>
      </c>
      <c r="CZ8" s="16" t="n">
        <f aca="false">Waterfall!AX44</f>
        <v>44.4351922012715</v>
      </c>
      <c r="DA8" s="16" t="n">
        <f aca="false">Waterfall!AY44</f>
        <v>43.9968593767661</v>
      </c>
      <c r="DB8" s="16" t="n">
        <f aca="false">Waterfall!AZ44</f>
        <v>44.6373201088508</v>
      </c>
      <c r="DC8" s="16" t="n">
        <f aca="false">Waterfall!BA44</f>
        <v>43.7548979493539</v>
      </c>
      <c r="DD8" s="16" t="n">
        <f aca="false">Waterfall!BB44</f>
        <v>44.0712363167496</v>
      </c>
      <c r="DE8" s="16" t="n">
        <f aca="false">Waterfall!BC44</f>
        <v>40.6870685639472</v>
      </c>
      <c r="DF8" s="16" t="n">
        <f aca="false">Waterfall!BD44</f>
        <v>35.3004258138392</v>
      </c>
      <c r="DG8" s="16" t="n">
        <f aca="false">Waterfall!BE44</f>
        <v>35.122520482594</v>
      </c>
      <c r="DH8" s="16" t="n">
        <f aca="false">Waterfall!BF44</f>
        <v>35.7794523689352</v>
      </c>
      <c r="DI8" s="16" t="n">
        <f aca="false">Waterfall!BG44</f>
        <v>35.3140745893409</v>
      </c>
      <c r="DJ8" s="16" t="n">
        <f aca="false">Waterfall!BH44</f>
        <v>35.9615944796383</v>
      </c>
      <c r="DK8" s="16" t="n">
        <f aca="false">Waterfall!BI44</f>
        <v>35.3595825151869</v>
      </c>
      <c r="DL8" s="16" t="n">
        <f aca="false">Waterfall!BJ44</f>
        <v>42.1324549808026</v>
      </c>
      <c r="DM8" s="16" t="n">
        <f aca="false">Waterfall!BK44</f>
        <v>36.6481335907073</v>
      </c>
      <c r="DN8" s="16" t="n">
        <f aca="false">Waterfall!BL44</f>
        <v>38.5939777018221</v>
      </c>
      <c r="DO8" s="16" t="n">
        <f aca="false">Waterfall!BM44</f>
        <v>55.1239627571198</v>
      </c>
      <c r="DP8" s="16" t="n">
        <f aca="false">Waterfall!BN44</f>
        <v>0</v>
      </c>
    </row>
    <row r="9" customFormat="false" ht="15" hidden="false" customHeight="false" outlineLevel="0" collapsed="false">
      <c r="D9" s="0" t="s">
        <v>805</v>
      </c>
      <c r="E9" s="0" t="s">
        <v>149</v>
      </c>
      <c r="G9" s="11" t="n">
        <f aca="false">SUM(J9:DP9)</f>
        <v>1589.07059252034</v>
      </c>
      <c r="J9" s="11" t="n">
        <f aca="false">0</f>
        <v>0</v>
      </c>
      <c r="K9" s="11" t="n">
        <f aca="false">-Construction!J30</f>
        <v>-108.1116</v>
      </c>
      <c r="L9" s="11" t="n">
        <f aca="false">-Construction!K30</f>
        <v>-1.42082937909091</v>
      </c>
      <c r="M9" s="11" t="n">
        <f aca="false">-Construction!L30</f>
        <v>-2.05467447</v>
      </c>
      <c r="N9" s="11" t="n">
        <f aca="false">-Construction!M30</f>
        <v>-3.35699423727273</v>
      </c>
      <c r="O9" s="11" t="n">
        <f aca="false">-Construction!N30</f>
        <v>-5.24616180090909</v>
      </c>
      <c r="P9" s="11" t="n">
        <f aca="false">-Construction!O30</f>
        <v>-7.60839423727273</v>
      </c>
      <c r="Q9" s="11" t="n">
        <f aca="false">-Construction!P30</f>
        <v>-10.3181592990909</v>
      </c>
      <c r="R9" s="11" t="n">
        <f aca="false">-Construction!Q30</f>
        <v>-13.2493063536364</v>
      </c>
      <c r="S9" s="11" t="n">
        <f aca="false">-Construction!R30</f>
        <v>-16.2775399245455</v>
      </c>
      <c r="T9" s="11" t="n">
        <f aca="false">-Construction!S30</f>
        <v>-19.2866035463636</v>
      </c>
      <c r="U9" s="11" t="n">
        <f aca="false">-Construction!T30</f>
        <v>-22.1682797645455</v>
      </c>
      <c r="V9" s="11" t="n">
        <f aca="false">-Construction!U30</f>
        <v>-24.8261004481818</v>
      </c>
      <c r="W9" s="11" t="n">
        <f aca="false">-Construction!V30</f>
        <v>-27.1747284045455</v>
      </c>
      <c r="X9" s="11" t="n">
        <f aca="false">-Construction!W30</f>
        <v>-29.14119415</v>
      </c>
      <c r="Y9" s="11" t="n">
        <f aca="false">-Construction!X30</f>
        <v>-30.6686062227273</v>
      </c>
      <c r="Z9" s="11" t="n">
        <f aca="false">-Construction!Y30</f>
        <v>-31.7112040990909</v>
      </c>
      <c r="AA9" s="11" t="n">
        <f aca="false">-Construction!Z30</f>
        <v>-32.2399236627273</v>
      </c>
      <c r="AB9" s="11" t="n">
        <f aca="false">-Construction!AA30</f>
        <v>-33.3829236627273</v>
      </c>
      <c r="AC9" s="11" t="n">
        <f aca="false">-Construction!AB30</f>
        <v>-31.7112040990909</v>
      </c>
      <c r="AD9" s="11" t="n">
        <f aca="false">-Construction!AC30</f>
        <v>-30.6686062227273</v>
      </c>
      <c r="AE9" s="11" t="n">
        <f aca="false">-Construction!AD30</f>
        <v>-29.14119415</v>
      </c>
      <c r="AF9" s="11" t="n">
        <f aca="false">-Construction!AE30</f>
        <v>-27.1747284045455</v>
      </c>
      <c r="AG9" s="11" t="n">
        <f aca="false">-Construction!AF30</f>
        <v>-24.8261004481818</v>
      </c>
      <c r="AH9" s="11" t="n">
        <f aca="false">-Construction!AG30</f>
        <v>-22.1682797645455</v>
      </c>
      <c r="AI9" s="11" t="n">
        <f aca="false">-Construction!AH30</f>
        <v>-19.2866035463636</v>
      </c>
      <c r="AJ9" s="11" t="n">
        <f aca="false">-Construction!AI30</f>
        <v>-16.2775399245455</v>
      </c>
      <c r="AK9" s="11" t="n">
        <f aca="false">-Construction!AJ30</f>
        <v>-13.2493063536364</v>
      </c>
      <c r="AL9" s="11" t="n">
        <f aca="false">-Construction!AK30</f>
        <v>-10.3181592990909</v>
      </c>
      <c r="AM9" s="11" t="n">
        <f aca="false">-Construction!AL30</f>
        <v>-7.60839423727273</v>
      </c>
      <c r="AN9" s="11" t="n">
        <f aca="false">-Construction!AM30</f>
        <v>-5.24616180090909</v>
      </c>
      <c r="AO9" s="11" t="n">
        <f aca="false">-Construction!AN30</f>
        <v>-3.35699423727273</v>
      </c>
      <c r="AP9" s="11" t="n">
        <f aca="false">-Construction!AO30</f>
        <v>-2.05467447</v>
      </c>
      <c r="AQ9" s="11" t="n">
        <f aca="false">-Construction!AP30</f>
        <v>-49.6588293790909</v>
      </c>
      <c r="AR9" s="11" t="n">
        <f aca="false">-Construction!AQ30</f>
        <v>-0</v>
      </c>
      <c r="AS9" s="11" t="n">
        <f aca="false">-Construction!AR30</f>
        <v>-0</v>
      </c>
      <c r="AT9" s="11" t="n">
        <f aca="false">-Construction!AS30</f>
        <v>-0</v>
      </c>
      <c r="AU9" s="11" t="n">
        <f aca="false">-Construction!AT30</f>
        <v>-0</v>
      </c>
      <c r="AV9" s="11" t="n">
        <f aca="false">-Construction!AU30</f>
        <v>-0</v>
      </c>
      <c r="AW9" s="11" t="n">
        <f aca="false">-Construction!AV30</f>
        <v>-0</v>
      </c>
      <c r="AX9" s="11" t="n">
        <f aca="false">-Construction!AW30</f>
        <v>-0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1.94526082211549</v>
      </c>
      <c r="BR9" s="16" t="n">
        <f aca="false">Waterfall!P7</f>
        <v>50.5587953236546</v>
      </c>
      <c r="BS9" s="16" t="n">
        <f aca="false">Waterfall!Q7</f>
        <v>50.442219274486</v>
      </c>
      <c r="BT9" s="16" t="n">
        <f aca="false">Waterfall!R7</f>
        <v>51.0277336692931</v>
      </c>
      <c r="BU9" s="16" t="n">
        <f aca="false">Waterfall!S7</f>
        <v>50.6712762345651</v>
      </c>
      <c r="BV9" s="16" t="n">
        <f aca="false">Waterfall!T7</f>
        <v>51.2552214181002</v>
      </c>
      <c r="BW9" s="16" t="n">
        <f aca="false">Waterfall!U7</f>
        <v>50.8793760801711</v>
      </c>
      <c r="BX9" s="16" t="n">
        <f aca="false">Waterfall!V7</f>
        <v>50.5748110157739</v>
      </c>
      <c r="BY9" s="16" t="n">
        <f aca="false">Waterfall!W7</f>
        <v>50.4901031193111</v>
      </c>
      <c r="BZ9" s="16" t="n">
        <f aca="false">Waterfall!X7</f>
        <v>49.9232443131463</v>
      </c>
      <c r="CA9" s="16" t="n">
        <f aca="false">Waterfall!Y7</f>
        <v>49.6795426257345</v>
      </c>
      <c r="CB9" s="16" t="n">
        <f aca="false">Waterfall!Z7</f>
        <v>50.0400854120507</v>
      </c>
      <c r="CC9" s="16" t="n">
        <f aca="false">Waterfall!AA7</f>
        <v>49.677020213812</v>
      </c>
      <c r="CD9" s="16" t="n">
        <f aca="false">Waterfall!AB7</f>
        <v>50.2787865425378</v>
      </c>
      <c r="CE9" s="16" t="n">
        <f aca="false">Waterfall!AC7</f>
        <v>49.6077702772062</v>
      </c>
      <c r="CF9" s="16" t="n">
        <f aca="false">Waterfall!AD7</f>
        <v>49.9461249695239</v>
      </c>
      <c r="CG9" s="16" t="n">
        <f aca="false">Waterfall!AE7</f>
        <v>49.9673885349949</v>
      </c>
      <c r="CH9" s="16" t="n">
        <f aca="false">Waterfall!AF7</f>
        <v>51.7546549317302</v>
      </c>
      <c r="CI9" s="16" t="n">
        <f aca="false">Waterfall!AG7</f>
        <v>51.8814766609504</v>
      </c>
      <c r="CJ9" s="16" t="n">
        <f aca="false">Waterfall!AH7</f>
        <v>52.5031564352454</v>
      </c>
      <c r="CK9" s="16" t="n">
        <f aca="false">Waterfall!AI7</f>
        <v>52.135038363419</v>
      </c>
      <c r="CL9" s="16" t="n">
        <f aca="false">Waterfall!AJ7</f>
        <v>52.7579793908153</v>
      </c>
      <c r="CM9" s="16" t="n">
        <f aca="false">Waterfall!AK7</f>
        <v>52.3807507136761</v>
      </c>
      <c r="CN9" s="16" t="n">
        <f aca="false">Waterfall!AL7</f>
        <v>52.1278011522673</v>
      </c>
      <c r="CO9" s="16" t="n">
        <f aca="false">Waterfall!AM7</f>
        <v>52.0479460998276</v>
      </c>
      <c r="CP9" s="16" t="n">
        <f aca="false">Waterfall!AN7</f>
        <v>42.9384111226795</v>
      </c>
      <c r="CQ9" s="16" t="n">
        <f aca="false">Waterfall!AO7</f>
        <v>41.8354893001395</v>
      </c>
      <c r="CR9" s="16" t="n">
        <f aca="false">Waterfall!AP7</f>
        <v>41.8553230552979</v>
      </c>
      <c r="CS9" s="16" t="n">
        <f aca="false">Waterfall!AQ7</f>
        <v>41.4261240282784</v>
      </c>
      <c r="CT9" s="16" t="n">
        <f aca="false">Waterfall!AR7</f>
        <v>42.0440281859729</v>
      </c>
      <c r="CU9" s="16" t="n">
        <f aca="false">Waterfall!AS7</f>
        <v>41.4778377035045</v>
      </c>
      <c r="CV9" s="16" t="n">
        <f aca="false">Waterfall!AT7</f>
        <v>47.0900929500161</v>
      </c>
      <c r="CW9" s="16" t="n">
        <f aca="false">Waterfall!AU7</f>
        <v>42.4479272064973</v>
      </c>
      <c r="CX9" s="16" t="n">
        <f aca="false">Waterfall!AV7</f>
        <v>43.68305656927</v>
      </c>
      <c r="CY9" s="16" t="n">
        <f aca="false">Waterfall!AW7</f>
        <v>43.7899850073499</v>
      </c>
      <c r="CZ9" s="16" t="n">
        <f aca="false">Waterfall!AX7</f>
        <v>44.4351922012715</v>
      </c>
      <c r="DA9" s="16" t="n">
        <f aca="false">Waterfall!AY7</f>
        <v>43.9968593767661</v>
      </c>
      <c r="DB9" s="16" t="n">
        <f aca="false">Waterfall!AZ7</f>
        <v>44.6373201088508</v>
      </c>
      <c r="DC9" s="16" t="n">
        <f aca="false">Waterfall!BA7</f>
        <v>44.2498663359626</v>
      </c>
      <c r="DD9" s="16" t="n">
        <f aca="false">Waterfall!BB7</f>
        <v>45.5723865713941</v>
      </c>
      <c r="DE9" s="16" t="n">
        <f aca="false">Waterfall!BC7</f>
        <v>42.2046416372894</v>
      </c>
      <c r="DF9" s="16" t="n">
        <f aca="false">Waterfall!BD7</f>
        <v>36.8346013740858</v>
      </c>
      <c r="DG9" s="16" t="n">
        <f aca="false">Waterfall!BE7</f>
        <v>36.6734801635497</v>
      </c>
      <c r="DH9" s="16" t="n">
        <f aca="false">Waterfall!BF7</f>
        <v>37.3473797915072</v>
      </c>
      <c r="DI9" s="16" t="n">
        <f aca="false">Waterfall!BG7</f>
        <v>36.8991553832777</v>
      </c>
      <c r="DJ9" s="16" t="n">
        <f aca="false">Waterfall!BH7</f>
        <v>37.5640163055069</v>
      </c>
      <c r="DK9" s="16" t="n">
        <f aca="false">Waterfall!BI7</f>
        <v>36.9795350865903</v>
      </c>
      <c r="DL9" s="16" t="n">
        <f aca="false">Waterfall!BJ7</f>
        <v>43.7701300868403</v>
      </c>
      <c r="DM9" s="16" t="n">
        <f aca="false">Waterfall!BK7</f>
        <v>38.3037251186816</v>
      </c>
      <c r="DN9" s="16" t="n">
        <f aca="false">Waterfall!BL7</f>
        <v>40.2676816601926</v>
      </c>
      <c r="DO9" s="16" t="n">
        <f aca="false">Waterfall!BM7</f>
        <v>37.1827825951588</v>
      </c>
      <c r="DP9" s="16" t="n">
        <f aca="false">Waterfall!BN7</f>
        <v>0</v>
      </c>
    </row>
    <row r="10" customFormat="false" ht="15" hidden="false" customHeight="false" outlineLevel="0" collapsed="false">
      <c r="D10" s="0" t="s">
        <v>806</v>
      </c>
      <c r="E10" s="0" t="s">
        <v>149</v>
      </c>
      <c r="G10" s="11" t="n">
        <f aca="false">SUM(J10:DP10)</f>
        <v>1904.4527926011</v>
      </c>
      <c r="J10" s="11" t="n">
        <f aca="false">0</f>
        <v>0</v>
      </c>
      <c r="K10" s="11" t="n">
        <f aca="false">-Construction!J30</f>
        <v>-108.1116</v>
      </c>
      <c r="L10" s="11" t="n">
        <f aca="false">-Construction!K30</f>
        <v>-1.42082937909091</v>
      </c>
      <c r="M10" s="11" t="n">
        <f aca="false">-Construction!L30</f>
        <v>-2.05467447</v>
      </c>
      <c r="N10" s="11" t="n">
        <f aca="false">-Construction!M30</f>
        <v>-3.35699423727273</v>
      </c>
      <c r="O10" s="11" t="n">
        <f aca="false">-Construction!N30</f>
        <v>-5.24616180090909</v>
      </c>
      <c r="P10" s="11" t="n">
        <f aca="false">-Construction!O30</f>
        <v>-7.60839423727273</v>
      </c>
      <c r="Q10" s="11" t="n">
        <f aca="false">-Construction!P30</f>
        <v>-10.3181592990909</v>
      </c>
      <c r="R10" s="11" t="n">
        <f aca="false">-Construction!Q30</f>
        <v>-13.2493063536364</v>
      </c>
      <c r="S10" s="11" t="n">
        <f aca="false">-Construction!R30</f>
        <v>-16.2775399245455</v>
      </c>
      <c r="T10" s="11" t="n">
        <f aca="false">-Construction!S30</f>
        <v>-19.2866035463636</v>
      </c>
      <c r="U10" s="11" t="n">
        <f aca="false">-Construction!T30</f>
        <v>-22.1682797645455</v>
      </c>
      <c r="V10" s="11" t="n">
        <f aca="false">-Construction!U30</f>
        <v>-24.8261004481818</v>
      </c>
      <c r="W10" s="11" t="n">
        <f aca="false">-Construction!V30</f>
        <v>-27.1747284045455</v>
      </c>
      <c r="X10" s="11" t="n">
        <f aca="false">-Construction!W30</f>
        <v>-29.14119415</v>
      </c>
      <c r="Y10" s="11" t="n">
        <f aca="false">-Construction!X30</f>
        <v>-30.6686062227273</v>
      </c>
      <c r="Z10" s="11" t="n">
        <f aca="false">-Construction!Y30</f>
        <v>-31.7112040990909</v>
      </c>
      <c r="AA10" s="11" t="n">
        <f aca="false">-Construction!Z30</f>
        <v>-32.2399236627273</v>
      </c>
      <c r="AB10" s="11" t="n">
        <f aca="false">-Construction!AA30</f>
        <v>-33.3829236627273</v>
      </c>
      <c r="AC10" s="11" t="n">
        <f aca="false">-Construction!AB30</f>
        <v>-31.7112040990909</v>
      </c>
      <c r="AD10" s="11" t="n">
        <f aca="false">-Construction!AC30</f>
        <v>-30.6686062227273</v>
      </c>
      <c r="AE10" s="11" t="n">
        <f aca="false">-Construction!AD30</f>
        <v>-29.14119415</v>
      </c>
      <c r="AF10" s="11" t="n">
        <f aca="false">-Construction!AE30</f>
        <v>-27.1747284045455</v>
      </c>
      <c r="AG10" s="11" t="n">
        <f aca="false">-Construction!AF30</f>
        <v>-24.8261004481818</v>
      </c>
      <c r="AH10" s="11" t="n">
        <f aca="false">-Construction!AG30</f>
        <v>-22.1682797645455</v>
      </c>
      <c r="AI10" s="11" t="n">
        <f aca="false">-Construction!AH30</f>
        <v>-19.2866035463636</v>
      </c>
      <c r="AJ10" s="11" t="n">
        <f aca="false">-Construction!AI30</f>
        <v>-16.2775399245455</v>
      </c>
      <c r="AK10" s="11" t="n">
        <f aca="false">-Construction!AJ30</f>
        <v>-13.2493063536364</v>
      </c>
      <c r="AL10" s="11" t="n">
        <f aca="false">-Construction!AK30</f>
        <v>-10.3181592990909</v>
      </c>
      <c r="AM10" s="11" t="n">
        <f aca="false">-Construction!AL30</f>
        <v>-7.60839423727273</v>
      </c>
      <c r="AN10" s="11" t="n">
        <f aca="false">-Construction!AM30</f>
        <v>-5.24616180090909</v>
      </c>
      <c r="AO10" s="11" t="n">
        <f aca="false">-Construction!AN30</f>
        <v>-3.35699423727273</v>
      </c>
      <c r="AP10" s="11" t="n">
        <f aca="false">-Construction!AO30</f>
        <v>-2.05467447</v>
      </c>
      <c r="AQ10" s="11" t="n">
        <f aca="false">-Construction!AP30</f>
        <v>-49.6588293790909</v>
      </c>
      <c r="AR10" s="11" t="n">
        <f aca="false">-Construction!AQ30</f>
        <v>-0</v>
      </c>
      <c r="AS10" s="11" t="n">
        <f aca="false">-Construction!AR30</f>
        <v>-0</v>
      </c>
      <c r="AT10" s="11" t="n">
        <f aca="false">-Construction!AS30</f>
        <v>-0</v>
      </c>
      <c r="AU10" s="11" t="n">
        <f aca="false">-Construction!AT30</f>
        <v>-0</v>
      </c>
      <c r="AV10" s="11" t="n">
        <f aca="false">-Construction!AU30</f>
        <v>-0</v>
      </c>
      <c r="AW10" s="11" t="n">
        <f aca="false">-Construction!AV30</f>
        <v>-0</v>
      </c>
      <c r="AX10" s="11" t="n">
        <f aca="false">-Construction!AW30</f>
        <v>-0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1.94526082211549</v>
      </c>
      <c r="BR10" s="11" t="n">
        <f aca="false">Waterfall!P7+Tax!P27</f>
        <v>50.5587953236546</v>
      </c>
      <c r="BS10" s="11" t="n">
        <f aca="false">Waterfall!Q7+Tax!Q27</f>
        <v>50.442219274486</v>
      </c>
      <c r="BT10" s="11" t="n">
        <f aca="false">Waterfall!R7+Tax!R27</f>
        <v>51.0277336692931</v>
      </c>
      <c r="BU10" s="11" t="n">
        <f aca="false">Waterfall!S7+Tax!S27</f>
        <v>50.6712762345651</v>
      </c>
      <c r="BV10" s="11" t="n">
        <f aca="false">Waterfall!T7+Tax!T27</f>
        <v>51.2552214181002</v>
      </c>
      <c r="BW10" s="11" t="n">
        <f aca="false">Waterfall!U7+Tax!U27</f>
        <v>50.8793760801711</v>
      </c>
      <c r="BX10" s="11" t="n">
        <f aca="false">Waterfall!V7+Tax!V27</f>
        <v>50.5748110157739</v>
      </c>
      <c r="BY10" s="11" t="n">
        <f aca="false">Waterfall!W7+Tax!W27</f>
        <v>50.4901031193111</v>
      </c>
      <c r="BZ10" s="11" t="n">
        <f aca="false">Waterfall!X7+Tax!X27</f>
        <v>49.9232443131463</v>
      </c>
      <c r="CA10" s="11" t="n">
        <f aca="false">Waterfall!Y7+Tax!Y27</f>
        <v>49.7971430456444</v>
      </c>
      <c r="CB10" s="11" t="n">
        <f aca="false">Waterfall!Z7+Tax!Z27</f>
        <v>50.3938785547194</v>
      </c>
      <c r="CC10" s="11" t="n">
        <f aca="false">Waterfall!AA7+Tax!AA27</f>
        <v>50.032923192618</v>
      </c>
      <c r="CD10" s="11" t="n">
        <f aca="false">Waterfall!AB7+Tax!AB27</f>
        <v>50.6366087709034</v>
      </c>
      <c r="CE10" s="11" t="n">
        <f aca="false">Waterfall!AC7+Tax!AC27</f>
        <v>49.9632944939245</v>
      </c>
      <c r="CF10" s="11" t="n">
        <f aca="false">Waterfall!AD7+Tax!AD27</f>
        <v>50.2896807043382</v>
      </c>
      <c r="CG10" s="11" t="n">
        <f aca="false">Waterfall!AE7+Tax!AE27</f>
        <v>50.319406551192</v>
      </c>
      <c r="CH10" s="11" t="n">
        <f aca="false">Waterfall!AF7+Tax!AF27</f>
        <v>52.1192418774537</v>
      </c>
      <c r="CI10" s="11" t="n">
        <f aca="false">Waterfall!AG7+Tax!AG27</f>
        <v>52.2476554986555</v>
      </c>
      <c r="CJ10" s="11" t="n">
        <f aca="false">Waterfall!AH7+Tax!AH27</f>
        <v>52.8704367299691</v>
      </c>
      <c r="CK10" s="11" t="n">
        <f aca="false">Waterfall!AI7+Tax!AI27</f>
        <v>52.5045960642645</v>
      </c>
      <c r="CL10" s="11" t="n">
        <f aca="false">Waterfall!AJ7+Tax!AJ27</f>
        <v>53.1296261078595</v>
      </c>
      <c r="CM10" s="11" t="n">
        <f aca="false">Waterfall!AK7+Tax!AK27</f>
        <v>52.7527022659043</v>
      </c>
      <c r="CN10" s="11" t="n">
        <f aca="false">Waterfall!AL7+Tax!AL27</f>
        <v>52.4926890274905</v>
      </c>
      <c r="CO10" s="11" t="n">
        <f aca="false">Waterfall!AM7+Tax!AM27</f>
        <v>52.4190971966929</v>
      </c>
      <c r="CP10" s="11" t="n">
        <f aca="false">Waterfall!AN7+Tax!AN27</f>
        <v>51.5659918503015</v>
      </c>
      <c r="CQ10" s="11" t="n">
        <f aca="false">Waterfall!AO7+Tax!AO27</f>
        <v>51.4492120962057</v>
      </c>
      <c r="CR10" s="11" t="n">
        <f aca="false">Waterfall!AP7+Tax!AP27</f>
        <v>52.1002932191312</v>
      </c>
      <c r="CS10" s="11" t="n">
        <f aca="false">Waterfall!AQ7+Tax!AQ27</f>
        <v>51.7291461274289</v>
      </c>
      <c r="CT10" s="11" t="n">
        <f aca="false">Waterfall!AR7+Tax!AR27</f>
        <v>52.3772570169402</v>
      </c>
      <c r="CU10" s="11" t="n">
        <f aca="false">Waterfall!AS7+Tax!AS27</f>
        <v>51.6881838542559</v>
      </c>
      <c r="CV10" s="11" t="n">
        <f aca="false">Waterfall!AT7+Tax!AT27</f>
        <v>52.2770669947459</v>
      </c>
      <c r="CW10" s="11" t="n">
        <f aca="false">Waterfall!AU7+Tax!AU27</f>
        <v>52.3247153733622</v>
      </c>
      <c r="CX10" s="11" t="n">
        <f aca="false">Waterfall!AV7+Tax!AV27</f>
        <v>54.1909953485416</v>
      </c>
      <c r="CY10" s="11" t="n">
        <f aca="false">Waterfall!AW7+Tax!AW27</f>
        <v>54.3491000862295</v>
      </c>
      <c r="CZ10" s="11" t="n">
        <f aca="false">Waterfall!AX7+Tax!AX27</f>
        <v>55.0309321760291</v>
      </c>
      <c r="DA10" s="11" t="n">
        <f aca="false">Waterfall!AY7+Tax!AY27</f>
        <v>54.6540208329389</v>
      </c>
      <c r="DB10" s="11" t="n">
        <f aca="false">Waterfall!AZ7+Tax!AZ27</f>
        <v>55.3270923182035</v>
      </c>
      <c r="DC10" s="11" t="n">
        <f aca="false">Waterfall!BA7+Tax!BA27</f>
        <v>54.9491349794108</v>
      </c>
      <c r="DD10" s="11" t="n">
        <f aca="false">Waterfall!BB7+Tax!BB27</f>
        <v>54.7422525957479</v>
      </c>
      <c r="DE10" s="11" t="n">
        <f aca="false">Waterfall!BC7+Tax!BC27</f>
        <v>54.6819146683279</v>
      </c>
      <c r="DF10" s="11" t="n">
        <f aca="false">Waterfall!BD7+Tax!BD27</f>
        <v>53.4867618806475</v>
      </c>
      <c r="DG10" s="11" t="n">
        <f aca="false">Waterfall!BE7+Tax!BE27</f>
        <v>53.3810098050618</v>
      </c>
      <c r="DH10" s="11" t="n">
        <f aca="false">Waterfall!BF7+Tax!BF27</f>
        <v>54.0962581653226</v>
      </c>
      <c r="DI10" s="11" t="n">
        <f aca="false">Waterfall!BG7+Tax!BG27</f>
        <v>53.7130848259972</v>
      </c>
      <c r="DJ10" s="11" t="n">
        <f aca="false">Waterfall!BH7+Tax!BH27</f>
        <v>54.4131520200869</v>
      </c>
      <c r="DK10" s="11" t="n">
        <f aca="false">Waterfall!BI7+Tax!BI27</f>
        <v>53.7057644265116</v>
      </c>
      <c r="DL10" s="11" t="n">
        <f aca="false">Waterfall!BJ7+Tax!BJ27</f>
        <v>54.6076069317995</v>
      </c>
      <c r="DM10" s="11" t="n">
        <f aca="false">Waterfall!BK7+Tax!BK27</f>
        <v>54.676595347295</v>
      </c>
      <c r="DN10" s="11" t="n">
        <f aca="false">Waterfall!BL7+Tax!BL27</f>
        <v>57.3218359817479</v>
      </c>
      <c r="DO10" s="11" t="n">
        <f aca="false">Waterfall!BM7+Tax!BM27</f>
        <v>42.8663923265858</v>
      </c>
      <c r="DP10" s="11" t="n">
        <f aca="false">Waterfall!BN7+Tax!BN27</f>
        <v>0</v>
      </c>
    </row>
    <row r="11" customFormat="false" ht="15" hidden="false" customHeight="false" outlineLevel="0" collapsed="false">
      <c r="D11" s="0" t="s">
        <v>807</v>
      </c>
      <c r="E11" s="0" t="s">
        <v>149</v>
      </c>
      <c r="J11" s="11" t="n">
        <f aca="false">J8</f>
        <v>-14.2</v>
      </c>
      <c r="K11" s="11" t="n">
        <f aca="false">J11+K8</f>
        <v>-31.5443654741124</v>
      </c>
      <c r="L11" s="11" t="n">
        <f aca="false">K11+L8</f>
        <v>-32.1926858472915</v>
      </c>
      <c r="M11" s="11" t="n">
        <f aca="false">L11+M8</f>
        <v>-33.0191041951514</v>
      </c>
      <c r="N11" s="11" t="n">
        <f aca="false">M11+N8</f>
        <v>-34.187393975946</v>
      </c>
      <c r="O11" s="11" t="n">
        <f aca="false">N11+O8</f>
        <v>-35.8696445146233</v>
      </c>
      <c r="P11" s="11" t="n">
        <f aca="false">O11+P8</f>
        <v>-38.1878028531421</v>
      </c>
      <c r="Q11" s="11" t="n">
        <f aca="false">P11+Q8</f>
        <v>-41.2119055749412</v>
      </c>
      <c r="R11" s="11" t="n">
        <f aca="false">Q11+R8</f>
        <v>-45.0504581695079</v>
      </c>
      <c r="S11" s="11" t="n">
        <f aca="false">R11+S8</f>
        <v>-49.7007348030728</v>
      </c>
      <c r="T11" s="11" t="n">
        <f aca="false">S11+T8</f>
        <v>-55.1775505122526</v>
      </c>
      <c r="U11" s="11" t="n">
        <f aca="false">T11+U8</f>
        <v>-61.4278522120551</v>
      </c>
      <c r="V11" s="11" t="n">
        <f aca="false">U11+V8</f>
        <v>-68.4197648536391</v>
      </c>
      <c r="W11" s="11" t="n">
        <f aca="false">V11+W8</f>
        <v>-76.0637001659103</v>
      </c>
      <c r="X11" s="11" t="n">
        <f aca="false">W11+X8</f>
        <v>-84.2498663016529</v>
      </c>
      <c r="Y11" s="11" t="n">
        <f aca="false">X11+Y8</f>
        <v>-92.8848964123306</v>
      </c>
      <c r="Z11" s="11" t="n">
        <f aca="false">Y11+Z8</f>
        <v>-101.818811367983</v>
      </c>
      <c r="AA11" s="11" t="n">
        <f aca="false">Z11+AA8</f>
        <v>-110.939944934029</v>
      </c>
      <c r="AB11" s="11" t="n">
        <f aca="false">AA11+AB8</f>
        <v>-120.401488902301</v>
      </c>
      <c r="AC11" s="11" t="n">
        <f aca="false">AB11+AC8</f>
        <v>-129.426629900506</v>
      </c>
      <c r="AD11" s="11" t="n">
        <f aca="false">AC11+AD8</f>
        <v>-138.23725358992</v>
      </c>
      <c r="AE11" s="11" t="n">
        <f aca="false">AD11+AE8</f>
        <v>-146.659624289699</v>
      </c>
      <c r="AF11" s="11" t="n">
        <f aca="false">AE11+AF8</f>
        <v>-154.606172852108</v>
      </c>
      <c r="AG11" s="11" t="n">
        <f aca="false">AF11+AG8</f>
        <v>-161.941100782954</v>
      </c>
      <c r="AH11" s="11" t="n">
        <f aca="false">AG11+AH8</f>
        <v>-168.613906835266</v>
      </c>
      <c r="AI11" s="11" t="n">
        <f aca="false">AH11+AI8</f>
        <v>-174.544683101491</v>
      </c>
      <c r="AJ11" s="11" t="n">
        <f aca="false">AI11+AJ8</f>
        <v>-179.678484409552</v>
      </c>
      <c r="AK11" s="11" t="n">
        <f aca="false">AJ11+AK8</f>
        <v>-184.043040606375</v>
      </c>
      <c r="AL11" s="11" t="n">
        <f aca="false">AK11+AL8</f>
        <v>-187.624441228404</v>
      </c>
      <c r="AM11" s="11" t="n">
        <f aca="false">AL11+AM8</f>
        <v>-190.515685607479</v>
      </c>
      <c r="AN11" s="11" t="n">
        <f aca="false">AM11+AN8</f>
        <v>-192.788774610102</v>
      </c>
      <c r="AO11" s="11" t="n">
        <f aca="false">AN11+AO8</f>
        <v>-194.508941310563</v>
      </c>
      <c r="AP11" s="11" t="n">
        <f aca="false">AO11+AP8</f>
        <v>-195.944730356722</v>
      </c>
      <c r="AQ11" s="11" t="n">
        <f aca="false">AP11+AQ8</f>
        <v>-210.019769217089</v>
      </c>
      <c r="AR11" s="11" t="n">
        <f aca="false">AQ11+AR8</f>
        <v>-220.868444363384</v>
      </c>
      <c r="AS11" s="11" t="n">
        <f aca="false">AR11+AS8</f>
        <v>-221.833767584057</v>
      </c>
      <c r="AT11" s="11" t="n">
        <f aca="false">AS11+AT8</f>
        <v>-221.833767584057</v>
      </c>
      <c r="AU11" s="11" t="n">
        <f aca="false">AT11+AU8</f>
        <v>-221.833767584057</v>
      </c>
      <c r="AV11" s="11" t="n">
        <f aca="false">AU11+AV8</f>
        <v>-221.833767584057</v>
      </c>
      <c r="AW11" s="11" t="n">
        <f aca="false">AV11+AW8</f>
        <v>-221.833767584057</v>
      </c>
      <c r="AX11" s="11" t="n">
        <f aca="false">AW11+AX8</f>
        <v>-221.833767584057</v>
      </c>
      <c r="AY11" s="11" t="n">
        <f aca="false">AX11+AY8</f>
        <v>-221.833767584057</v>
      </c>
      <c r="AZ11" s="11" t="n">
        <f aca="false">AY11+AZ8</f>
        <v>-221.833767584057</v>
      </c>
      <c r="BA11" s="11" t="n">
        <f aca="false">AZ11+BA8</f>
        <v>-221.833767584057</v>
      </c>
      <c r="BB11" s="11" t="n">
        <f aca="false">BA11+BB8</f>
        <v>-221.833767584057</v>
      </c>
      <c r="BC11" s="11" t="n">
        <f aca="false">BB11+BC8</f>
        <v>-221.833767584057</v>
      </c>
      <c r="BD11" s="11" t="n">
        <f aca="false">BC11+BD8</f>
        <v>-221.833767584057</v>
      </c>
      <c r="BE11" s="11" t="n">
        <f aca="false">BD11+BE8</f>
        <v>-221.833767584057</v>
      </c>
      <c r="BF11" s="11" t="n">
        <f aca="false">BE11+BF8</f>
        <v>-221.833767584057</v>
      </c>
      <c r="BG11" s="11" t="n">
        <f aca="false">BF11+BG8</f>
        <v>-221.833767584057</v>
      </c>
      <c r="BH11" s="11" t="n">
        <f aca="false">BG11+BH8</f>
        <v>-221.833767584057</v>
      </c>
      <c r="BI11" s="11" t="n">
        <f aca="false">BH11+BI8</f>
        <v>-221.833767584057</v>
      </c>
      <c r="BJ11" s="11" t="n">
        <f aca="false">BI11+BJ8</f>
        <v>-221.833767584057</v>
      </c>
      <c r="BK11" s="11" t="n">
        <f aca="false">BJ11+BK8</f>
        <v>-221.833767584057</v>
      </c>
      <c r="BL11" s="11" t="n">
        <f aca="false">BK11+BL8</f>
        <v>-221.833767584057</v>
      </c>
      <c r="BM11" s="11" t="n">
        <f aca="false">BL11+BM8</f>
        <v>-221.833767584057</v>
      </c>
      <c r="BN11" s="11" t="n">
        <f aca="false">BM11+BN8</f>
        <v>-221.833767584057</v>
      </c>
      <c r="BO11" s="11" t="n">
        <f aca="false">BN11+BO8</f>
        <v>-221.833767584057</v>
      </c>
      <c r="BP11" s="11" t="n">
        <f aca="false">BO11+BP8</f>
        <v>-221.833767584057</v>
      </c>
      <c r="BQ11" s="11" t="n">
        <f aca="false">BP11+BQ8</f>
        <v>-221.833767584057</v>
      </c>
      <c r="BR11" s="11" t="n">
        <f aca="false">BQ11+BR8</f>
        <v>-206.486727893434</v>
      </c>
      <c r="BS11" s="11" t="n">
        <f aca="false">BR11+BS8</f>
        <v>-193.669293706626</v>
      </c>
      <c r="BT11" s="11" t="n">
        <f aca="false">BS11+BT8</f>
        <v>-179.97487252989</v>
      </c>
      <c r="BU11" s="11" t="n">
        <f aca="false">BT11+BU8</f>
        <v>-167.054814077073</v>
      </c>
      <c r="BV11" s="11" t="n">
        <f aca="false">BU11+BV8</f>
        <v>-153.370285413825</v>
      </c>
      <c r="BW11" s="11" t="n">
        <f aca="false">BV11+BW8</f>
        <v>-140.778829568812</v>
      </c>
      <c r="BX11" s="11" t="n">
        <f aca="false">BW11+BX8</f>
        <v>-128.227245978908</v>
      </c>
      <c r="BY11" s="11" t="n">
        <f aca="false">BX11+BY8</f>
        <v>-114.663937934187</v>
      </c>
      <c r="BZ11" s="11" t="n">
        <f aca="false">BY11+BZ8</f>
        <v>-101.311085665585</v>
      </c>
      <c r="CA11" s="11" t="n">
        <f aca="false">BZ11+CA8</f>
        <v>-88.502906148365</v>
      </c>
      <c r="CB11" s="11" t="n">
        <f aca="false">CA11+CB8</f>
        <v>-75.0371080911688</v>
      </c>
      <c r="CC11" s="11" t="n">
        <f aca="false">CB11+CC8</f>
        <v>-68.7009723002508</v>
      </c>
      <c r="CD11" s="11" t="n">
        <f aca="false">CC11+CD8</f>
        <v>-61.329949317675</v>
      </c>
      <c r="CE11" s="11" t="n">
        <f aca="false">CD11+CE8</f>
        <v>-54.5074008648921</v>
      </c>
      <c r="CF11" s="11" t="n">
        <f aca="false">CE11+CF8</f>
        <v>-47.1442725335319</v>
      </c>
      <c r="CG11" s="11" t="n">
        <f aca="false">CF11+CG8</f>
        <v>-39.3036293519877</v>
      </c>
      <c r="CH11" s="11" t="n">
        <f aca="false">CG11+CH8</f>
        <v>-29.8337492508825</v>
      </c>
      <c r="CI11" s="11" t="n">
        <f aca="false">CH11+CI8</f>
        <v>-19.6507757076459</v>
      </c>
      <c r="CJ11" s="11" t="n">
        <f aca="false">CI11+CJ8</f>
        <v>-8.08292521780554</v>
      </c>
      <c r="CK11" s="11" t="n">
        <f aca="false">CJ11+CK8</f>
        <v>4.38639930628336</v>
      </c>
      <c r="CL11" s="11" t="n">
        <f aca="false">CK11+CL8</f>
        <v>18.7653338928127</v>
      </c>
      <c r="CM11" s="11" t="n">
        <f aca="false">CL11+CM8</f>
        <v>51.0291688937992</v>
      </c>
      <c r="CN11" s="11" t="n">
        <f aca="false">CM11+CN8</f>
        <v>79.5999822620073</v>
      </c>
      <c r="CO11" s="11" t="n">
        <f aca="false">CN11+CO8</f>
        <v>112.515911106971</v>
      </c>
      <c r="CP11" s="11" t="n">
        <f aca="false">CO11+CP8</f>
        <v>136.548414482042</v>
      </c>
      <c r="CQ11" s="11" t="n">
        <f aca="false">CP11+CQ8</f>
        <v>178.383903782182</v>
      </c>
      <c r="CR11" s="11" t="n">
        <f aca="false">CQ11+CR8</f>
        <v>220.23922683748</v>
      </c>
      <c r="CS11" s="11" t="n">
        <f aca="false">CR11+CS8</f>
        <v>261.665350865758</v>
      </c>
      <c r="CT11" s="11" t="n">
        <f aca="false">CS11+CT8</f>
        <v>303.709379051731</v>
      </c>
      <c r="CU11" s="11" t="n">
        <f aca="false">CT11+CU8</f>
        <v>345.187216755235</v>
      </c>
      <c r="CV11" s="11" t="n">
        <f aca="false">CU11+CV8</f>
        <v>392.277309705251</v>
      </c>
      <c r="CW11" s="11" t="n">
        <f aca="false">CV11+CW8</f>
        <v>434.725236911749</v>
      </c>
      <c r="CX11" s="11" t="n">
        <f aca="false">CW11+CX8</f>
        <v>478.408293481019</v>
      </c>
      <c r="CY11" s="11" t="n">
        <f aca="false">CX11+CY8</f>
        <v>522.198278488369</v>
      </c>
      <c r="CZ11" s="11" t="n">
        <f aca="false">CY11+CZ8</f>
        <v>566.63347068964</v>
      </c>
      <c r="DA11" s="11" t="n">
        <f aca="false">CZ11+DA8</f>
        <v>610.630330066406</v>
      </c>
      <c r="DB11" s="11" t="n">
        <f aca="false">DA11+DB8</f>
        <v>655.267650175257</v>
      </c>
      <c r="DC11" s="11" t="n">
        <f aca="false">DB11+DC8</f>
        <v>699.022548124611</v>
      </c>
      <c r="DD11" s="11" t="n">
        <f aca="false">DC11+DD8</f>
        <v>743.093784441361</v>
      </c>
      <c r="DE11" s="11" t="n">
        <f aca="false">DD11+DE8</f>
        <v>783.780853005308</v>
      </c>
      <c r="DF11" s="11" t="n">
        <f aca="false">DE11+DF8</f>
        <v>819.081278819147</v>
      </c>
      <c r="DG11" s="11" t="n">
        <f aca="false">DF11+DG8</f>
        <v>854.203799301741</v>
      </c>
      <c r="DH11" s="11" t="n">
        <f aca="false">DG11+DH8</f>
        <v>889.983251670676</v>
      </c>
      <c r="DI11" s="11" t="n">
        <f aca="false">DH11+DI8</f>
        <v>925.297326260017</v>
      </c>
      <c r="DJ11" s="11" t="n">
        <f aca="false">DI11+DJ8</f>
        <v>961.258920739655</v>
      </c>
      <c r="DK11" s="11" t="n">
        <f aca="false">DJ11+DK8</f>
        <v>996.618503254842</v>
      </c>
      <c r="DL11" s="11" t="n">
        <f aca="false">DK11+DL8</f>
        <v>1038.75095823564</v>
      </c>
      <c r="DM11" s="11" t="n">
        <f aca="false">DL11+DM8</f>
        <v>1075.39909182635</v>
      </c>
      <c r="DN11" s="11" t="n">
        <f aca="false">DM11+DN8</f>
        <v>1113.99306952817</v>
      </c>
      <c r="DO11" s="11" t="n">
        <f aca="false">DN11+DO8</f>
        <v>1169.11703228529</v>
      </c>
      <c r="DP11" s="11" t="n">
        <f aca="false">DO11+DP8</f>
        <v>1169.11703228529</v>
      </c>
    </row>
    <row r="12" customFormat="false" ht="15" hidden="false" customHeight="false" outlineLevel="0" collapsed="false">
      <c r="D12" s="0" t="s">
        <v>808</v>
      </c>
      <c r="E12" s="0" t="s">
        <v>103</v>
      </c>
      <c r="F12" s="18" t="n">
        <f aca="false">XIRR(Returns!$J$8:$DP$8,Returns!$J$7:$DP$7)</f>
        <v>0.132391894286634</v>
      </c>
    </row>
    <row r="13" customFormat="false" ht="15" hidden="false" customHeight="false" outlineLevel="0" collapsed="false">
      <c r="D13" s="0" t="s">
        <v>809</v>
      </c>
      <c r="E13" s="0" t="s">
        <v>103</v>
      </c>
      <c r="F13" s="18" t="n">
        <f aca="false">XIRR(Returns!$J$9:$DP$9,Returns!$J$7:$DP$7,0.1)</f>
        <v>0.109455861578515</v>
      </c>
    </row>
    <row r="14" customFormat="false" ht="15" hidden="false" customHeight="false" outlineLevel="0" collapsed="false">
      <c r="D14" s="0" t="s">
        <v>810</v>
      </c>
      <c r="E14" s="0" t="s">
        <v>103</v>
      </c>
      <c r="F14" s="18" t="n">
        <f aca="false">XIRR(Returns!$J$10:$DP$10,Returns!$J$7:$DP$7,0.1)</f>
        <v>0.115671182098685</v>
      </c>
    </row>
    <row r="15" customFormat="false" ht="15" hidden="false" customHeight="false" outlineLevel="0" collapsed="false">
      <c r="D15" s="0" t="s">
        <v>811</v>
      </c>
      <c r="E15" s="0" t="s">
        <v>149</v>
      </c>
      <c r="F15" s="19" t="n">
        <f aca="false">XNPV(0.16,Returns!$J$8:$DP$8,Returns!$J$7:$DP$7)*1.16^((DATE(2018,7,17)-DATE(2018,2,5))/365)</f>
        <v>-43.3724878193095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812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813</v>
      </c>
      <c r="E7" s="0" t="s">
        <v>814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815</v>
      </c>
      <c r="E8" s="0" t="s">
        <v>814</v>
      </c>
      <c r="F8" s="6" t="n">
        <f aca="false">IF(Inputs!$F$34=1,ROUND(SUM(Funding!$J$47:$BJ$47)-Funding!$F$25,4),0)</f>
        <v>0</v>
      </c>
    </row>
    <row r="9" customFormat="false" ht="15" hidden="false" customHeight="false" outlineLevel="0" collapsed="false">
      <c r="D9" s="0" t="s">
        <v>816</v>
      </c>
      <c r="E9" s="0" t="s">
        <v>814</v>
      </c>
      <c r="F9" s="6" t="n">
        <f aca="false">IF(Inputs!$F$51=2,ROUND(Funding!$F$24-Funding!$F$75,4),0)</f>
        <v>0</v>
      </c>
    </row>
    <row r="10" customFormat="false" ht="15" hidden="false" customHeight="false" outlineLevel="0" collapsed="false">
      <c r="D10" s="0" t="s">
        <v>817</v>
      </c>
      <c r="E10" s="0" t="s">
        <v>814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818</v>
      </c>
      <c r="E11" s="0" t="s">
        <v>814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819</v>
      </c>
      <c r="E12" s="0" t="s">
        <v>814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820</v>
      </c>
      <c r="E13" s="0" t="s">
        <v>814</v>
      </c>
      <c r="F13" s="6" t="n">
        <f aca="false">ROUND(MAX(MAX(Debt!$J$143:$BN$143),-MIN(Debt!$J$143:$BN$143)),3)</f>
        <v>-0</v>
      </c>
    </row>
    <row r="14" customFormat="false" ht="15" hidden="false" customHeight="false" outlineLevel="0" collapsed="false">
      <c r="D14" s="0" t="s">
        <v>821</v>
      </c>
      <c r="E14" s="0" t="s">
        <v>814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822</v>
      </c>
      <c r="E15" s="0" t="s">
        <v>814</v>
      </c>
      <c r="F15" s="6" t="n">
        <f aca="false">IF(MAX(Construction!$J$35:$BJ$35)&lt;=Inputs!$F$72,0,1)</f>
        <v>0</v>
      </c>
    </row>
    <row r="16" customFormat="false" ht="15" hidden="false" customHeight="false" outlineLevel="0" collapsed="false">
      <c r="D16" s="0" t="s">
        <v>823</v>
      </c>
      <c r="E16" s="0" t="s">
        <v>814</v>
      </c>
      <c r="F16" s="6" t="n">
        <f aca="false">IF(AND(SUM(Funding!$J$55:$BJ$55)&lt;=Inputs!$F$99+0.000001,SUM(Funding!$J$56:$BJ$56)&lt;=Inputs!$F$103+0.000001),0,1)</f>
        <v>0</v>
      </c>
    </row>
    <row r="17" customFormat="false" ht="15" hidden="false" customHeight="false" outlineLevel="0" collapsed="false">
      <c r="D17" s="0" t="s">
        <v>824</v>
      </c>
      <c r="E17" s="0" t="s">
        <v>814</v>
      </c>
      <c r="F17" s="6" t="n">
        <f aca="false">IF(Inputs!$F$75*Funding!$F$25&lt;=224.1,0,1)</f>
        <v>0</v>
      </c>
    </row>
    <row r="18" customFormat="false" ht="15" hidden="false" customHeight="false" outlineLevel="0" collapsed="false">
      <c r="D18" s="0" t="s">
        <v>825</v>
      </c>
      <c r="E18" s="0" t="s">
        <v>814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826</v>
      </c>
      <c r="E19" s="0" t="s">
        <v>814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828</v>
      </c>
      <c r="E7" s="0" t="s">
        <v>149</v>
      </c>
      <c r="F7" s="20" t="n">
        <f aca="false">Funding!$F$75</f>
        <v>855.089743126849</v>
      </c>
    </row>
    <row r="8" customFormat="false" ht="15" hidden="false" customHeight="false" outlineLevel="0" collapsed="false">
      <c r="D8" s="0" t="s">
        <v>829</v>
      </c>
      <c r="E8" s="0" t="s">
        <v>149</v>
      </c>
      <c r="F8" s="20" t="n">
        <f aca="false">Funding!$F$25</f>
        <v>633.255975542774</v>
      </c>
    </row>
    <row r="9" customFormat="false" ht="15" hidden="false" customHeight="false" outlineLevel="0" collapsed="false">
      <c r="D9" s="0" t="s">
        <v>830</v>
      </c>
      <c r="E9" s="0" t="s">
        <v>149</v>
      </c>
      <c r="F9" s="20" t="n">
        <f aca="false">SUM(Funding!$J$67:$BJ$67)</f>
        <v>221.833767584057</v>
      </c>
    </row>
    <row r="10" customFormat="false" ht="15" hidden="false" customHeight="false" outlineLevel="0" collapsed="false">
      <c r="D10" s="0" t="s">
        <v>831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832</v>
      </c>
      <c r="E11" s="0" t="s">
        <v>149</v>
      </c>
      <c r="F11" s="20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833</v>
      </c>
      <c r="E12" s="0" t="s">
        <v>149</v>
      </c>
      <c r="F12" s="20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834</v>
      </c>
      <c r="E13" s="0" t="s">
        <v>149</v>
      </c>
      <c r="F13" s="20" t="n">
        <f aca="false">SUM(Funding!$J$48:$BJ$48)</f>
        <v>20.6124820039173</v>
      </c>
    </row>
    <row r="14" customFormat="false" ht="15" hidden="false" customHeight="false" outlineLevel="0" collapsed="false">
      <c r="D14" s="0" t="s">
        <v>835</v>
      </c>
      <c r="E14" s="0" t="s">
        <v>149</v>
      </c>
      <c r="F14" s="20" t="n">
        <f aca="false">SUM(Funding!$J$44:$BJ$44)</f>
        <v>37.2458954370954</v>
      </c>
    </row>
    <row r="15" customFormat="false" ht="15" hidden="false" customHeight="false" outlineLevel="0" collapsed="false">
      <c r="D15" s="0" t="s">
        <v>836</v>
      </c>
      <c r="E15" s="0" t="s">
        <v>149</v>
      </c>
      <c r="F15" s="20" t="n">
        <f aca="false">SUM(Funding!$J$55:$BJ$55)</f>
        <v>1.74223968585352E-011</v>
      </c>
    </row>
    <row r="16" customFormat="false" ht="15" hidden="false" customHeight="false" outlineLevel="0" collapsed="false">
      <c r="D16" s="0" t="s">
        <v>837</v>
      </c>
      <c r="E16" s="0" t="s">
        <v>149</v>
      </c>
      <c r="F16" s="20" t="n">
        <f aca="false">SUM(Funding!$J$56:$BJ$56)</f>
        <v>5.80746561951173E-012</v>
      </c>
    </row>
    <row r="17" customFormat="false" ht="15" hidden="false" customHeight="false" outlineLevel="0" collapsed="false">
      <c r="D17" s="0" t="s">
        <v>796</v>
      </c>
      <c r="E17" s="0" t="s">
        <v>202</v>
      </c>
      <c r="F17" s="20" t="n">
        <f aca="false">Ratios!$F$16</f>
        <v>1.32090776164261</v>
      </c>
    </row>
    <row r="18" customFormat="false" ht="15" hidden="false" customHeight="false" outlineLevel="0" collapsed="false">
      <c r="D18" s="0" t="s">
        <v>838</v>
      </c>
      <c r="E18" s="0" t="s">
        <v>202</v>
      </c>
      <c r="F18" s="20" t="n">
        <f aca="false">Ratios!$F$17</f>
        <v>1.53355935298062</v>
      </c>
    </row>
    <row r="19" customFormat="false" ht="15" hidden="false" customHeight="false" outlineLevel="0" collapsed="false">
      <c r="D19" s="0" t="s">
        <v>839</v>
      </c>
      <c r="E19" s="0" t="s">
        <v>202</v>
      </c>
      <c r="F19" s="20" t="n">
        <f aca="false">Ratios!$F$18</f>
        <v>1.41716762939096</v>
      </c>
    </row>
    <row r="20" customFormat="false" ht="15" hidden="false" customHeight="false" outlineLevel="0" collapsed="false">
      <c r="D20" s="0" t="s">
        <v>799</v>
      </c>
      <c r="E20" s="0" t="s">
        <v>202</v>
      </c>
      <c r="F20" s="20" t="n">
        <f aca="false">Ratios!$F$19</f>
        <v>1.85590685257357</v>
      </c>
    </row>
    <row r="21" customFormat="false" ht="15" hidden="false" customHeight="false" outlineLevel="0" collapsed="false">
      <c r="D21" s="0" t="s">
        <v>840</v>
      </c>
      <c r="E21" s="0" t="s">
        <v>103</v>
      </c>
      <c r="F21" s="18" t="n">
        <f aca="false">Returns!$F$12</f>
        <v>0.132391894286634</v>
      </c>
    </row>
    <row r="22" customFormat="false" ht="15" hidden="false" customHeight="false" outlineLevel="0" collapsed="false">
      <c r="D22" s="0" t="s">
        <v>841</v>
      </c>
      <c r="E22" s="0" t="s">
        <v>103</v>
      </c>
      <c r="F22" s="18" t="n">
        <f aca="false">Returns!$F$13</f>
        <v>0.109455861578515</v>
      </c>
    </row>
    <row r="23" customFormat="false" ht="15" hidden="false" customHeight="false" outlineLevel="0" collapsed="false">
      <c r="D23" s="0" t="s">
        <v>842</v>
      </c>
      <c r="E23" s="0" t="s">
        <v>149</v>
      </c>
      <c r="F23" s="20" t="n">
        <f aca="false">Returns!$F$15</f>
        <v>-43.3724878193095</v>
      </c>
    </row>
    <row r="24" customFormat="false" ht="15" hidden="false" customHeight="false" outlineLevel="0" collapsed="false">
      <c r="D24" s="0" t="s">
        <v>843</v>
      </c>
      <c r="E24" s="0" t="s">
        <v>814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2026-10-03T21:13:32Z</dcterms:created>
  <dc:creator>openpyxl</dc:creator>
  <dc:description/>
  <dc:language>en-US</dc:language>
  <cp:lastModifiedBy/>
  <dcterms:modified xsi:type="dcterms:W3CDTF">2026-10-03T21:13:33Z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