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<sst xmlns="http://schemas.openxmlformats.org/spreadsheetml/2006/main" count="2268" uniqueCount="840">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</sst>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12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50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398822.14683927</v>
      </c>
      <c r="P33" s="13" t="n">
        <f aca="false">$F$30*730*Time!P25*P28/100*Inputs!$F$37/100*P32</f>
        <v>1195868.13250905</v>
      </c>
      <c r="Q33" s="13" t="n">
        <f aca="false">$F$30*730*Time!Q25*Q28/100*Inputs!$F$37/100*Q32</f>
        <v>1191148.80267983</v>
      </c>
      <c r="R33" s="13" t="n">
        <f aca="false">$F$30*730*Time!R25*R28/100*Inputs!$F$37/100*R32</f>
        <v>1182616.21607729</v>
      </c>
      <c r="S33" s="13" t="n">
        <f aca="false">$F$30*730*Time!S25*S28/100*Inputs!$F$37/100*S32</f>
        <v>1185543.49222782</v>
      </c>
      <c r="T33" s="13" t="n">
        <f aca="false">$F$30*730*Time!T25*T28/100*Inputs!$F$37/100*T32</f>
        <v>1192278.28445649</v>
      </c>
      <c r="U33" s="13" t="n">
        <f aca="false">$F$30*730*Time!U25*U28/100*Inputs!$F$37/100*U32</f>
        <v>1177832.78181855</v>
      </c>
      <c r="V33" s="13" t="n">
        <f aca="false">$F$30*730*Time!V25*V28/100*Inputs!$F$37/100*V32</f>
        <v>1149869.85559677</v>
      </c>
      <c r="W33" s="13" t="n">
        <f aca="false">$F$30*730*Time!W25*W28/100*Inputs!$F$37/100*W32</f>
        <v>1162530.63988875</v>
      </c>
      <c r="X33" s="13" t="n">
        <f aca="false">$F$30*730*Time!X25*X28/100*Inputs!$F$37/100*X32</f>
        <v>1188688.43640393</v>
      </c>
      <c r="Y33" s="13" t="n">
        <f aca="false">$F$30*730*Time!Y25*Y28/100*Inputs!$F$37/100*Y32</f>
        <v>1183992.06935543</v>
      </c>
      <c r="Z33" s="13" t="n">
        <f aca="false">$F$30*730*Time!Z25*Z28/100*Inputs!$F$37/100*Z32</f>
        <v>1175505.40831433</v>
      </c>
      <c r="AA33" s="13" t="n">
        <f aca="false">$F$30*730*Time!AA25*AA28/100*Inputs!$F$37/100*AA32</f>
        <v>1178409.72168414</v>
      </c>
      <c r="AB33" s="13" t="n">
        <f aca="false">$F$30*730*Time!AB25*AB28/100*Inputs!$F$37/100*AB32</f>
        <v>1185098.58835137</v>
      </c>
      <c r="AC33" s="13" t="n">
        <f aca="false">$F$30*730*Time!AC25*AC28/100*Inputs!$F$37/100*AC32</f>
        <v>1162739.05901654</v>
      </c>
      <c r="AD33" s="13" t="n">
        <f aca="false">$F$30*730*Time!AD25*AD28/100*Inputs!$F$37/100*AD32</f>
        <v>1118966.25826904</v>
      </c>
      <c r="AE33" s="13" t="n">
        <f aca="false">$F$30*730*Time!AE25*AE28/100*Inputs!$F$37/100*AE32</f>
        <v>1139547.1288806</v>
      </c>
      <c r="AF33" s="13" t="n">
        <f aca="false">$F$30*730*Time!AF25*AF28/100*Inputs!$F$37/100*AF32</f>
        <v>1181508.74029881</v>
      </c>
      <c r="AG33" s="13" t="n">
        <f aca="false">$F$30*730*Time!AG25*AG28/100*Inputs!$F$37/100*AG32</f>
        <v>1176835.33603103</v>
      </c>
      <c r="AH33" s="13" t="n">
        <f aca="false">$F$30*730*Time!AH25*AH28/100*Inputs!$F$37/100*AH32</f>
        <v>1168394.60055137</v>
      </c>
      <c r="AI33" s="13" t="n">
        <f aca="false">$F$30*730*Time!AI25*AI28/100*Inputs!$F$37/100*AI32</f>
        <v>1171275.95114046</v>
      </c>
      <c r="AJ33" s="13" t="n">
        <f aca="false">$F$30*730*Time!AJ25*AJ28/100*Inputs!$F$37/100*AJ32</f>
        <v>1177918.89224625</v>
      </c>
      <c r="AK33" s="13" t="n">
        <f aca="false">$F$30*730*Time!AK25*AK28/100*Inputs!$F$37/100*AK32</f>
        <v>1163636.68049343</v>
      </c>
      <c r="AL33" s="13" t="n">
        <f aca="false">$F$30*730*Time!AL25*AL28/100*Inputs!$F$37/100*AL32</f>
        <v>1136000.33604189</v>
      </c>
      <c r="AM33" s="13" t="n">
        <f aca="false">$F$30*730*Time!AM25*AM28/100*Inputs!$F$37/100*AM32</f>
        <v>1148497.82944875</v>
      </c>
      <c r="AN33" s="13" t="n">
        <f aca="false">$F$30*730*Time!AN25*AN28/100*Inputs!$F$37/100*AN32</f>
        <v>1174329.04419369</v>
      </c>
      <c r="AO33" s="13" t="n">
        <f aca="false">$F$30*730*Time!AO25*AO28/100*Inputs!$F$37/100*AO32</f>
        <v>1169678.60270663</v>
      </c>
      <c r="AP33" s="13" t="n">
        <f aca="false">$F$30*730*Time!AP25*AP28/100*Inputs!$F$37/100*AP32</f>
        <v>1161283.79278841</v>
      </c>
      <c r="AQ33" s="13" t="n">
        <f aca="false">$F$30*730*Time!AQ25*AQ28/100*Inputs!$F$37/100*AQ32</f>
        <v>1164142.18059678</v>
      </c>
      <c r="AR33" s="13" t="n">
        <f aca="false">$F$30*730*Time!AR25*AR28/100*Inputs!$F$37/100*AR32</f>
        <v>1170739.19614113</v>
      </c>
      <c r="AS33" s="13" t="n">
        <f aca="false">$F$30*730*Time!AS25*AS28/100*Inputs!$F$37/100*AS32</f>
        <v>1148639.91165446</v>
      </c>
      <c r="AT33" s="13" t="n">
        <f aca="false">$F$30*730*Time!AT25*AT28/100*Inputs!$F$37/100*AT32</f>
        <v>1105387.60060328</v>
      </c>
      <c r="AU33" s="13" t="n">
        <f aca="false">$F$30*730*Time!AU25*AU28/100*Inputs!$F$37/100*AU32</f>
        <v>1125708.22636668</v>
      </c>
      <c r="AV33" s="13" t="n">
        <f aca="false">$F$30*730*Time!AV25*AV28/100*Inputs!$F$37/100*AV32</f>
        <v>1167149.34808857</v>
      </c>
      <c r="AW33" s="13" t="n">
        <f aca="false">$F$30*730*Time!AW25*AW28/100*Inputs!$F$37/100*AW32</f>
        <v>1162521.86938223</v>
      </c>
      <c r="AX33" s="13" t="n">
        <f aca="false">$F$30*730*Time!AX25*AX28/100*Inputs!$F$37/100*AX32</f>
        <v>1154172.98502545</v>
      </c>
      <c r="AY33" s="13" t="n">
        <f aca="false">$F$30*730*Time!AY25*AY28/100*Inputs!$F$37/100*AY32</f>
        <v>1157008.4100531</v>
      </c>
      <c r="AZ33" s="13" t="n">
        <f aca="false">$F$30*730*Time!AZ25*AZ28/100*Inputs!$F$37/100*AZ32</f>
        <v>1163559.50003601</v>
      </c>
      <c r="BA33" s="13" t="n">
        <f aca="false">$F$30*730*Time!BA25*BA28/100*Inputs!$F$37/100*BA32</f>
        <v>1149440.57916831</v>
      </c>
      <c r="BB33" s="13" t="n">
        <f aca="false">$F$30*730*Time!BB25*BB28/100*Inputs!$F$37/100*BB32</f>
        <v>1122130.81648701</v>
      </c>
      <c r="BC33" s="13" t="n">
        <f aca="false">$F$30*730*Time!BC25*BC28/100*Inputs!$F$37/100*BC32</f>
        <v>1134465.01900875</v>
      </c>
      <c r="BD33" s="13" t="n">
        <f aca="false">$F$30*730*Time!BD25*BD28/100*Inputs!$F$37/100*BD32</f>
        <v>1159969.65198345</v>
      </c>
      <c r="BE33" s="13" t="n">
        <f aca="false">$F$30*730*Time!BE25*BE28/100*Inputs!$F$37/100*BE32</f>
        <v>1155365.13605783</v>
      </c>
      <c r="BF33" s="13" t="n">
        <f aca="false">$F$30*730*Time!BF25*BF28/100*Inputs!$F$37/100*BF32</f>
        <v>1147062.17726249</v>
      </c>
      <c r="BG33" s="13" t="n">
        <f aca="false">$F$30*730*Time!BG25*BG28/100*Inputs!$F$37/100*BG32</f>
        <v>1149874.63950942</v>
      </c>
      <c r="BH33" s="13" t="n">
        <f aca="false">$F$30*730*Time!BH25*BH28/100*Inputs!$F$37/100*BH32</f>
        <v>1156379.80393089</v>
      </c>
      <c r="BI33" s="13" t="n">
        <f aca="false">$F$30*730*Time!BI25*BI28/100*Inputs!$F$37/100*BI32</f>
        <v>1134540.76429238</v>
      </c>
      <c r="BJ33" s="13" t="n">
        <f aca="false">$F$30*730*Time!BJ25*BJ28/100*Inputs!$F$37/100*BJ32</f>
        <v>1091808.94293752</v>
      </c>
      <c r="BK33" s="13" t="n">
        <f aca="false">$F$30*730*Time!BK25*BK28/100*Inputs!$F$37/100*BK32</f>
        <v>1111869.32385276</v>
      </c>
      <c r="BL33" s="13" t="n">
        <f aca="false">$F$30*730*Time!BL25*BL28/100*Inputs!$F$37/100*BL32</f>
        <v>1152789.95587833</v>
      </c>
      <c r="BM33" s="13" t="n">
        <f aca="false">$F$30*730*Time!BM25*BM28/100*Inputs!$F$37/100*BM32</f>
        <v>768028.04724492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2704374.37768311</v>
      </c>
      <c r="P37" s="13" t="n">
        <f aca="false">P33*P34*(1000*Inputs!$F$121/Inputs!$F$122)</f>
        <v>8112309.36644474</v>
      </c>
      <c r="Q37" s="13" t="n">
        <f aca="false">Q33*Q34*(1000*Inputs!$F$121/Inputs!$F$122)</f>
        <v>8085141.00265778</v>
      </c>
      <c r="R37" s="13" t="n">
        <f aca="false">R33*R34*(1000*Inputs!$F$121/Inputs!$F$122)</f>
        <v>8032035.54843112</v>
      </c>
      <c r="S37" s="13" t="n">
        <f aca="false">S33*S34*(1000*Inputs!$F$121/Inputs!$F$122)</f>
        <v>8056739.83194925</v>
      </c>
      <c r="T37" s="13" t="n">
        <f aca="false">T33*T34*(1000*Inputs!$F$121/Inputs!$F$122)</f>
        <v>8107358.61487827</v>
      </c>
      <c r="U37" s="13" t="n">
        <f aca="false">U33*U34*(1000*Inputs!$F$121/Inputs!$F$122)</f>
        <v>8013922.39996886</v>
      </c>
      <c r="V37" s="13" t="n">
        <f aca="false">V33*V34*(1000*Inputs!$F$121/Inputs!$F$122)</f>
        <v>7828341.7068056</v>
      </c>
      <c r="W37" s="13" t="n">
        <f aca="false">W33*W34*(1000*Inputs!$F$121/Inputs!$F$122)</f>
        <v>7919265.96330784</v>
      </c>
      <c r="X37" s="13" t="n">
        <f aca="false">X33*X34*(1000*Inputs!$F$121/Inputs!$F$122)</f>
        <v>8102291.03141644</v>
      </c>
      <c r="Y37" s="13" t="n">
        <f aca="false">Y33*Y34*(1000*Inputs!$F$121/Inputs!$F$122)</f>
        <v>8075096.48009643</v>
      </c>
      <c r="Z37" s="13" t="n">
        <f aca="false">Z33*Z34*(1000*Inputs!$F$121/Inputs!$F$122)</f>
        <v>8021997.62724553</v>
      </c>
      <c r="AA37" s="13" t="n">
        <f aca="false">AA33*AA34*(1000*Inputs!$F$121/Inputs!$F$122)</f>
        <v>8046611.45323273</v>
      </c>
      <c r="AB37" s="13" t="n">
        <f aca="false">AB33*AB34*(1000*Inputs!$F$121/Inputs!$F$122)</f>
        <v>8097106.61605924</v>
      </c>
      <c r="AC37" s="13" t="n">
        <f aca="false">AC33*AC34*(1000*Inputs!$F$121/Inputs!$F$122)</f>
        <v>7949066.81120961</v>
      </c>
      <c r="AD37" s="13" t="n">
        <f aca="false">AD33*AD34*(1000*Inputs!$F$121/Inputs!$F$122)</f>
        <v>7654366.11836292</v>
      </c>
      <c r="AE37" s="13" t="n">
        <f aca="false">AE33*AE34*(1000*Inputs!$F$121/Inputs!$F$122)</f>
        <v>7799786.81959854</v>
      </c>
      <c r="AF37" s="13" t="n">
        <f aca="false">AF33*AF34*(1000*Inputs!$F$121/Inputs!$F$122)</f>
        <v>8091805.36880666</v>
      </c>
      <c r="AG37" s="13" t="n">
        <f aca="false">AG33*AG34*(1000*Inputs!$F$121/Inputs!$F$122)</f>
        <v>8064586.12460471</v>
      </c>
      <c r="AH37" s="13" t="n">
        <f aca="false">AH33*AH34*(1000*Inputs!$F$121/Inputs!$F$122)</f>
        <v>8011496.86243178</v>
      </c>
      <c r="AI37" s="13" t="n">
        <f aca="false">AI33*AI34*(1000*Inputs!$F$121/Inputs!$F$122)</f>
        <v>8036018.73623693</v>
      </c>
      <c r="AJ37" s="13" t="n">
        <f aca="false">AJ33*AJ34*(1000*Inputs!$F$121/Inputs!$F$122)</f>
        <v>8086387.2896587</v>
      </c>
      <c r="AK37" s="13" t="n">
        <f aca="false">AK33*AK34*(1000*Inputs!$F$121/Inputs!$F$122)</f>
        <v>7993074.05132146</v>
      </c>
      <c r="AL37" s="13" t="n">
        <f aca="false">AL33*AL34*(1000*Inputs!$F$121/Inputs!$F$122)</f>
        <v>7807860.12893423</v>
      </c>
      <c r="AM37" s="13" t="n">
        <f aca="false">AM33*AM34*(1000*Inputs!$F$121/Inputs!$F$122)</f>
        <v>7898429.07365231</v>
      </c>
      <c r="AN37" s="13" t="n">
        <f aca="false">AN33*AN34*(1000*Inputs!$F$121/Inputs!$F$122)</f>
        <v>8080852.37861537</v>
      </c>
      <c r="AO37" s="13" t="n">
        <f aca="false">AO33*AO34*(1000*Inputs!$F$121/Inputs!$F$122)</f>
        <v>8053609.9361826</v>
      </c>
      <c r="AP37" s="13" t="n">
        <f aca="false">AP33*AP34*(1000*Inputs!$F$121/Inputs!$F$122)</f>
        <v>8000533.25398988</v>
      </c>
      <c r="AQ37" s="13" t="n">
        <f aca="false">AQ33*AQ34*(1000*Inputs!$F$121/Inputs!$F$122)</f>
        <v>8024961.68096187</v>
      </c>
      <c r="AR37" s="13" t="n">
        <f aca="false">AR33*AR34*(1000*Inputs!$F$121/Inputs!$F$122)</f>
        <v>8075200.63567667</v>
      </c>
      <c r="AS37" s="13" t="n">
        <f aca="false">AS33*AS34*(1000*Inputs!$F$121/Inputs!$F$122)</f>
        <v>7927443.13305611</v>
      </c>
      <c r="AT37" s="13" t="n">
        <f aca="false">AT33*AT34*(1000*Inputs!$F$121/Inputs!$F$122)</f>
        <v>7633430.22883016</v>
      </c>
      <c r="AU37" s="13" t="n">
        <f aca="false">AU33*AU34*(1000*Inputs!$F$121/Inputs!$F$122)</f>
        <v>7778337.08146837</v>
      </c>
      <c r="AV37" s="13" t="n">
        <f aca="false">AV33*AV34*(1000*Inputs!$F$121/Inputs!$F$122)</f>
        <v>8069432.06084259</v>
      </c>
      <c r="AW37" s="13" t="n">
        <f aca="false">AW33*AW34*(1000*Inputs!$F$121/Inputs!$F$122)</f>
        <v>8042167.91483011</v>
      </c>
      <c r="AX37" s="13" t="n">
        <f aca="false">AX33*AX34*(1000*Inputs!$F$121/Inputs!$F$122)</f>
        <v>7989106.80191982</v>
      </c>
      <c r="AY37" s="13" t="n">
        <f aca="false">AY33*AY34*(1000*Inputs!$F$121/Inputs!$F$122)</f>
        <v>8013440.28740754</v>
      </c>
      <c r="AZ37" s="13" t="n">
        <f aca="false">AZ33*AZ34*(1000*Inputs!$F$121/Inputs!$F$122)</f>
        <v>8063546.65411314</v>
      </c>
      <c r="BA37" s="13" t="n">
        <f aca="false">BA33*BA34*(1000*Inputs!$F$121/Inputs!$F$122)</f>
        <v>7970377.64960835</v>
      </c>
      <c r="BB37" s="13" t="n">
        <f aca="false">BB33*BB34*(1000*Inputs!$F$121/Inputs!$F$122)</f>
        <v>7785573.01251771</v>
      </c>
      <c r="BC37" s="13" t="n">
        <f aca="false">BC33*BC34*(1000*Inputs!$F$121/Inputs!$F$122)</f>
        <v>7875765.38819135</v>
      </c>
      <c r="BD37" s="13" t="n">
        <f aca="false">BD33*BD34*(1000*Inputs!$F$121/Inputs!$F$122)</f>
        <v>8057544.41548832</v>
      </c>
      <c r="BE37" s="13" t="n">
        <f aca="false">BE33*BE34*(1000*Inputs!$F$121/Inputs!$F$122)</f>
        <v>8030260.06054724</v>
      </c>
      <c r="BF37" s="13" t="n">
        <f aca="false">BF33*BF34*(1000*Inputs!$F$121/Inputs!$F$122)</f>
        <v>7977217.50622161</v>
      </c>
      <c r="BG37" s="13" t="n">
        <f aca="false">BG33*BG34*(1000*Inputs!$F$121/Inputs!$F$122)</f>
        <v>8001454.55557394</v>
      </c>
      <c r="BH37" s="13" t="n">
        <f aca="false">BH33*BH34*(1000*Inputs!$F$121/Inputs!$F$122)</f>
        <v>8051425.34496812</v>
      </c>
      <c r="BI37" s="13" t="n">
        <f aca="false">BI33*BI34*(1000*Inputs!$F$121/Inputs!$F$122)</f>
        <v>7903984.02333521</v>
      </c>
      <c r="BJ37" s="13" t="n">
        <f aca="false">BJ33*BJ34*(1000*Inputs!$F$121/Inputs!$F$122)</f>
        <v>7610726.66524714</v>
      </c>
      <c r="BK37" s="13" t="n">
        <f aca="false">BK33*BK34*(1000*Inputs!$F$121/Inputs!$F$122)</f>
        <v>7755085.79052938</v>
      </c>
      <c r="BL37" s="13" t="n">
        <f aca="false">BL33*BL34*(1000*Inputs!$F$121/Inputs!$F$122)</f>
        <v>8045189.44255255</v>
      </c>
      <c r="BM37" s="13" t="n">
        <f aca="false">BM33*BM34*(1000*Inputs!$F$121/Inputs!$F$122)</f>
        <v>5362583.72720832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317.524017605474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1.64472007714914</v>
      </c>
      <c r="P45" s="11" t="n">
        <f aca="false">P33*P44/1000000</f>
        <v>4.98564633436034</v>
      </c>
      <c r="Q45" s="11" t="n">
        <f aca="false">Q33*Q44/1000000</f>
        <v>5.02029966545628</v>
      </c>
      <c r="R45" s="11" t="n">
        <f aca="false">R33*R44/1000000</f>
        <v>5.0388670584073</v>
      </c>
      <c r="S45" s="11" t="n">
        <f aca="false">S33*S44/1000000</f>
        <v>5.10660198194678</v>
      </c>
      <c r="T45" s="11" t="n">
        <f aca="false">T33*T44/1000000</f>
        <v>5.19179577238689</v>
      </c>
      <c r="U45" s="11" t="n">
        <f aca="false">U33*U44/1000000</f>
        <v>5.185003476576</v>
      </c>
      <c r="V45" s="11" t="n">
        <f aca="false">V33*V44/1000000</f>
        <v>5.11728436442633</v>
      </c>
      <c r="W45" s="11" t="n">
        <f aca="false">W33*W44/1000000</f>
        <v>5.23022916627073</v>
      </c>
      <c r="X45" s="11" t="n">
        <f aca="false">X33*X44/1000000</f>
        <v>5.40642018574622</v>
      </c>
      <c r="Y45" s="11" t="n">
        <f aca="false">Y33*Y44/1000000</f>
        <v>5.44397346048849</v>
      </c>
      <c r="Z45" s="11" t="n">
        <f aca="false">Z33*Z44/1000000</f>
        <v>5.46408297140406</v>
      </c>
      <c r="AA45" s="11" t="n">
        <f aca="false">AA33*AA44/1000000</f>
        <v>5.53750866043291</v>
      </c>
      <c r="AB45" s="11" t="n">
        <f aca="false">AB33*AB44/1000000</f>
        <v>5.62986564212311</v>
      </c>
      <c r="AC45" s="11" t="n">
        <f aca="false">AC33*AC44/1000000</f>
        <v>5.58407521207829</v>
      </c>
      <c r="AD45" s="11" t="n">
        <f aca="false">AD33*AD44/1000000</f>
        <v>5.43264637105597</v>
      </c>
      <c r="AE45" s="11" t="n">
        <f aca="false">AE33*AE44/1000000</f>
        <v>5.59309485323048</v>
      </c>
      <c r="AF45" s="11" t="n">
        <f aca="false">AF33*AF44/1000000</f>
        <v>5.86249222764842</v>
      </c>
      <c r="AG45" s="11" t="n">
        <f aca="false">AG33*AG44/1000000</f>
        <v>5.90318629840797</v>
      </c>
      <c r="AH45" s="11" t="n">
        <f aca="false">AH33*AH44/1000000</f>
        <v>5.92496485181194</v>
      </c>
      <c r="AI45" s="11" t="n">
        <f aca="false">AI33*AI44/1000000</f>
        <v>6.00455616287021</v>
      </c>
      <c r="AJ45" s="11" t="n">
        <f aca="false">AJ33*AJ44/1000000</f>
        <v>6.10467460928435</v>
      </c>
      <c r="AK45" s="11" t="n">
        <f aca="false">AK33*AK44/1000000</f>
        <v>6.09663203096764</v>
      </c>
      <c r="AL45" s="11" t="n">
        <f aca="false">AL33*AL44/1000000</f>
        <v>6.01695119009804</v>
      </c>
      <c r="AM45" s="11" t="n">
        <f aca="false">AM33*AM44/1000000</f>
        <v>6.14969610779107</v>
      </c>
      <c r="AN45" s="11" t="n">
        <f aca="false">AN33*AN44/1000000</f>
        <v>6.35680261950401</v>
      </c>
      <c r="AO45" s="11" t="n">
        <f aca="false">AO33*AO44/1000000</f>
        <v>6.40089816179228</v>
      </c>
      <c r="AP45" s="11" t="n">
        <f aca="false">AP33*AP44/1000000</f>
        <v>6.42448301361454</v>
      </c>
      <c r="AQ45" s="11" t="n">
        <f aca="false">AQ33*AQ44/1000000</f>
        <v>6.51075410646073</v>
      </c>
      <c r="AR45" s="11" t="n">
        <f aca="false">AR33*AR44/1000000</f>
        <v>6.61928186413571</v>
      </c>
      <c r="AS45" s="11" t="n">
        <f aca="false">AS33*AS44/1000000</f>
        <v>6.56538300348083</v>
      </c>
      <c r="AT45" s="11" t="n">
        <f aca="false">AT33*AT44/1000000</f>
        <v>6.38728361389688</v>
      </c>
      <c r="AU45" s="11" t="n">
        <f aca="false">AU33*AU44/1000000</f>
        <v>6.57586516371762</v>
      </c>
      <c r="AV45" s="11" t="n">
        <f aca="false">AV33*AV44/1000000</f>
        <v>6.89253435427611</v>
      </c>
      <c r="AW45" s="11" t="n">
        <f aca="false">AW33*AW44/1000000</f>
        <v>6.94031348028015</v>
      </c>
      <c r="AX45" s="11" t="n">
        <f aca="false">AX33*AX44/1000000</f>
        <v>6.96585304723981</v>
      </c>
      <c r="AY45" s="11" t="n">
        <f aca="false">AY33*AY44/1000000</f>
        <v>7.05936060616398</v>
      </c>
      <c r="AZ45" s="11" t="n">
        <f aca="false">AZ33*AZ44/1000000</f>
        <v>7.17699916321071</v>
      </c>
      <c r="BA45" s="11" t="n">
        <f aca="false">BA33*BA44/1000000</f>
        <v>7.16747641038153</v>
      </c>
      <c r="BB45" s="11" t="n">
        <f aca="false">BB33*BB44/1000000</f>
        <v>7.07373334424769</v>
      </c>
      <c r="BC45" s="11" t="n">
        <f aca="false">BC33*BC44/1000000</f>
        <v>7.22972456386427</v>
      </c>
      <c r="BD45" s="11" t="n">
        <f aca="false">BD33*BD44/1000000</f>
        <v>7.47313310931597</v>
      </c>
      <c r="BE45" s="11" t="n">
        <f aca="false">BE33*BE44/1000000</f>
        <v>7.52490111096178</v>
      </c>
      <c r="BF45" s="11" t="n">
        <f aca="false">BF33*BF44/1000000</f>
        <v>7.55255586535544</v>
      </c>
      <c r="BG45" s="11" t="n">
        <f aca="false">BG33*BG44/1000000</f>
        <v>7.65390258133898</v>
      </c>
      <c r="BH45" s="11" t="n">
        <f aca="false">BH33*BH44/1000000</f>
        <v>7.78141146595488</v>
      </c>
      <c r="BI45" s="11" t="n">
        <f aca="false">BI33*BI44/1000000</f>
        <v>7.71797620208055</v>
      </c>
      <c r="BJ45" s="11" t="n">
        <f aca="false">BJ33*BJ44/1000000</f>
        <v>7.50853873397767</v>
      </c>
      <c r="BK45" s="11" t="n">
        <f aca="false">BK33*BK44/1000000</f>
        <v>7.73015094647397</v>
      </c>
      <c r="BL45" s="11" t="n">
        <f aca="false">BL33*BL44/1000000</f>
        <v>8.10232869941594</v>
      </c>
      <c r="BM45" s="11" t="n">
        <f aca="false">BM33*BM44/1000000</f>
        <v>5.45710364191288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3194.0040119144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16.8490978429061</v>
      </c>
      <c r="P46" s="11" t="n">
        <f aca="false">P33*P35*(1000*Inputs!$F$121/Inputs!$F$122)*P36/1000000</f>
        <v>50.5388559913214</v>
      </c>
      <c r="Q46" s="11" t="n">
        <f aca="false">Q33*Q35*(1000*Inputs!$F$121/Inputs!$F$122)*Q36/1000000</f>
        <v>51.3718619501049</v>
      </c>
      <c r="R46" s="11" t="n">
        <f aca="false">R33*R35*(1000*Inputs!$F$121/Inputs!$F$122)*R36/1000000</f>
        <v>51.02934715991</v>
      </c>
      <c r="S46" s="11" t="n">
        <f aca="false">S33*S35*(1000*Inputs!$F$121/Inputs!$F$122)*S36/1000000</f>
        <v>52.2048234162708</v>
      </c>
      <c r="T46" s="11" t="n">
        <f aca="false">T33*T35*(1000*Inputs!$F$121/Inputs!$F$122)*T36/1000000</f>
        <v>52.5275871487527</v>
      </c>
      <c r="U46" s="11" t="n">
        <f aca="false">U33*U35*(1000*Inputs!$F$121/Inputs!$F$122)*U36/1000000</f>
        <v>52.9553931942307</v>
      </c>
      <c r="V46" s="11" t="n">
        <f aca="false">V33*V35*(1000*Inputs!$F$121/Inputs!$F$122)*V36/1000000</f>
        <v>51.7239532033673</v>
      </c>
      <c r="W46" s="11" t="n">
        <f aca="false">W33*W35*(1000*Inputs!$F$121/Inputs!$F$122)*W36/1000000</f>
        <v>53.3659143691644</v>
      </c>
      <c r="X46" s="11" t="n">
        <f aca="false">X33*X35*(1000*Inputs!$F$121/Inputs!$F$122)*X36/1000000</f>
        <v>54.5938636889514</v>
      </c>
      <c r="Y46" s="11" t="n">
        <f aca="false">Y33*Y35*(1000*Inputs!$F$121/Inputs!$F$122)*Y36/1000000</f>
        <v>55.4933441222049</v>
      </c>
      <c r="Z46" s="11" t="n">
        <f aca="false">Z33*Z35*(1000*Inputs!$F$121/Inputs!$F$122)*Z36/1000000</f>
        <v>55.1229899373514</v>
      </c>
      <c r="AA46" s="11" t="n">
        <f aca="false">AA33*AA35*(1000*Inputs!$F$121/Inputs!$F$122)*AA36/1000000</f>
        <v>56.3923959313655</v>
      </c>
      <c r="AB46" s="11" t="n">
        <f aca="false">AB33*AB35*(1000*Inputs!$F$121/Inputs!$F$122)*AB36/1000000</f>
        <v>56.7406788249384</v>
      </c>
      <c r="AC46" s="11" t="n">
        <f aca="false">AC33*AC35*(1000*Inputs!$F$121/Inputs!$F$122)*AC36/1000000</f>
        <v>56.8117528441768</v>
      </c>
      <c r="AD46" s="11" t="n">
        <f aca="false">AD33*AD35*(1000*Inputs!$F$121/Inputs!$F$122)*AD36/1000000</f>
        <v>54.7001503838857</v>
      </c>
      <c r="AE46" s="11" t="n">
        <f aca="false">AE33*AE35*(1000*Inputs!$F$121/Inputs!$F$122)*AE36/1000000</f>
        <v>56.8485625272128</v>
      </c>
      <c r="AF46" s="11" t="n">
        <f aca="false">AF33*AF35*(1000*Inputs!$F$121/Inputs!$F$122)*AF36/1000000</f>
        <v>58.9711399832061</v>
      </c>
      <c r="AG46" s="11" t="n">
        <f aca="false">AG33*AG35*(1000*Inputs!$F$121/Inputs!$F$122)*AG36/1000000</f>
        <v>59.9423462502596</v>
      </c>
      <c r="AH46" s="11" t="n">
        <f aca="false">AH33*AH35*(1000*Inputs!$F$121/Inputs!$F$122)*AH36/1000000</f>
        <v>59.5419089052034</v>
      </c>
      <c r="AI46" s="11" t="n">
        <f aca="false">AI33*AI35*(1000*Inputs!$F$121/Inputs!$F$122)*AI36/1000000</f>
        <v>60.9126759683165</v>
      </c>
      <c r="AJ46" s="11" t="n">
        <f aca="false">AJ33*AJ35*(1000*Inputs!$F$121/Inputs!$F$122)*AJ36/1000000</f>
        <v>61.2884731034683</v>
      </c>
      <c r="AK46" s="11" t="n">
        <f aca="false">AK33*AK35*(1000*Inputs!$F$121/Inputs!$F$122)*AK36/1000000</f>
        <v>61.7868200824983</v>
      </c>
      <c r="AL46" s="11" t="n">
        <f aca="false">AL33*AL35*(1000*Inputs!$F$121/Inputs!$F$122)*AL36/1000000</f>
        <v>60.3492185281777</v>
      </c>
      <c r="AM46" s="11" t="n">
        <f aca="false">AM33*AM35*(1000*Inputs!$F$121/Inputs!$F$122)*AM36/1000000</f>
        <v>62.2641673151437</v>
      </c>
      <c r="AN46" s="11" t="n">
        <f aca="false">AN33*AN35*(1000*Inputs!$F$121/Inputs!$F$122)*AN36/1000000</f>
        <v>63.6960270976673</v>
      </c>
      <c r="AO46" s="11" t="n">
        <f aca="false">AO33*AO35*(1000*Inputs!$F$121/Inputs!$F$122)*AO36/1000000</f>
        <v>64.7446206991244</v>
      </c>
      <c r="AP46" s="11" t="n">
        <f aca="false">AP33*AP35*(1000*Inputs!$F$121/Inputs!$F$122)*AP36/1000000</f>
        <v>64.3116772108131</v>
      </c>
      <c r="AQ46" s="11" t="n">
        <f aca="false">AQ33*AQ35*(1000*Inputs!$F$121/Inputs!$F$122)*AQ36/1000000</f>
        <v>65.7918180630317</v>
      </c>
      <c r="AR46" s="11" t="n">
        <f aca="false">AR33*AR35*(1000*Inputs!$F$121/Inputs!$F$122)*AR36/1000000</f>
        <v>66.1972784740152</v>
      </c>
      <c r="AS46" s="11" t="n">
        <f aca="false">AS33*AS35*(1000*Inputs!$F$121/Inputs!$F$122)*AS36/1000000</f>
        <v>66.2793222834829</v>
      </c>
      <c r="AT46" s="11" t="n">
        <f aca="false">AT33*AT35*(1000*Inputs!$F$121/Inputs!$F$122)*AT36/1000000</f>
        <v>63.8149815765357</v>
      </c>
      <c r="AU46" s="11" t="n">
        <f aca="false">AU33*AU35*(1000*Inputs!$F$121/Inputs!$F$122)*AU36/1000000</f>
        <v>66.3205117667626</v>
      </c>
      <c r="AV46" s="11" t="n">
        <f aca="false">AV33*AV35*(1000*Inputs!$F$121/Inputs!$F$122)*AV36/1000000</f>
        <v>68.795836132055</v>
      </c>
      <c r="AW46" s="11" t="n">
        <f aca="false">AW33*AW35*(1000*Inputs!$F$121/Inputs!$F$122)*AW36/1000000</f>
        <v>69.927920320816</v>
      </c>
      <c r="AX46" s="11" t="n">
        <f aca="false">AX33*AX35*(1000*Inputs!$F$121/Inputs!$F$122)*AX36/1000000</f>
        <v>69.4598543146777</v>
      </c>
      <c r="AY46" s="11" t="n">
        <f aca="false">AY33*AY35*(1000*Inputs!$F$121/Inputs!$F$122)*AY36/1000000</f>
        <v>71.058007963872</v>
      </c>
      <c r="AZ46" s="11" t="n">
        <f aca="false">AZ33*AZ35*(1000*Inputs!$F$121/Inputs!$F$122)*AZ36/1000000</f>
        <v>71.495446334935</v>
      </c>
      <c r="BA46" s="11" t="n">
        <f aca="false">BA33*BA35*(1000*Inputs!$F$121/Inputs!$F$122)*BA36/1000000</f>
        <v>72.0758296859706</v>
      </c>
      <c r="BB46" s="11" t="n">
        <f aca="false">BB33*BB35*(1000*Inputs!$F$121/Inputs!$F$122)*BB36/1000000</f>
        <v>70.3978957782115</v>
      </c>
      <c r="BC46" s="11" t="n">
        <f aca="false">BC33*BC35*(1000*Inputs!$F$121/Inputs!$F$122)*BC36/1000000</f>
        <v>72.6307332471874</v>
      </c>
      <c r="BD46" s="11" t="n">
        <f aca="false">BD33*BD35*(1000*Inputs!$F$121/Inputs!$F$122)*BD36/1000000</f>
        <v>74.2999978653098</v>
      </c>
      <c r="BE46" s="11" t="n">
        <f aca="false">BE33*BE35*(1000*Inputs!$F$121/Inputs!$F$122)*BE36/1000000</f>
        <v>75.5221516555374</v>
      </c>
      <c r="BF46" s="11" t="n">
        <f aca="false">BF33*BF35*(1000*Inputs!$F$121/Inputs!$F$122)*BF36/1000000</f>
        <v>75.0161380828641</v>
      </c>
      <c r="BG46" s="11" t="n">
        <f aca="false">BG33*BG35*(1000*Inputs!$F$121/Inputs!$F$122)*BG36/1000000</f>
        <v>76.7416181383219</v>
      </c>
      <c r="BH46" s="11" t="n">
        <f aca="false">BH33*BH35*(1000*Inputs!$F$121/Inputs!$F$122)*BH36/1000000</f>
        <v>77.2135273715065</v>
      </c>
      <c r="BI46" s="11" t="n">
        <f aca="false">BI33*BI35*(1000*Inputs!$F$121/Inputs!$F$122)*BI36/1000000</f>
        <v>77.3081900572501</v>
      </c>
      <c r="BJ46" s="11" t="n">
        <f aca="false">BJ33*BJ35*(1000*Inputs!$F$121/Inputs!$F$122)*BJ36/1000000</f>
        <v>74.4327866649528</v>
      </c>
      <c r="BK46" s="11" t="n">
        <f aca="false">BK33*BK35*(1000*Inputs!$F$121/Inputs!$F$122)*BK36/1000000</f>
        <v>77.3541607180672</v>
      </c>
      <c r="BL46" s="11" t="n">
        <f aca="false">BL33*BL35*(1000*Inputs!$F$121/Inputs!$F$122)*BL36/1000000</f>
        <v>80.2402249108278</v>
      </c>
      <c r="BM46" s="11" t="n">
        <f aca="false">BM33*BM35*(1000*Inputs!$F$121/Inputs!$F$122)*BM36/1000000</f>
        <v>54.5501328282138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95.7055834390146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0.537302102882988</v>
      </c>
      <c r="P48" s="11" t="n">
        <f aca="false">P37*Inputs!$F$145*(1+Inputs!$F$146/100)^(Time!P21-2018)/1000000</f>
        <v>1.61174463040223</v>
      </c>
      <c r="Q48" s="11" t="n">
        <f aca="false">Q37*Inputs!$F$145*(1+Inputs!$F$146/100)^(Time!Q21-2018)/1000000</f>
        <v>1.63044205275808</v>
      </c>
      <c r="R48" s="11" t="n">
        <f aca="false">R37*Inputs!$F$145*(1+Inputs!$F$146/100)^(Time!R21-2018)/1000000</f>
        <v>1.61973285600152</v>
      </c>
      <c r="S48" s="11" t="n">
        <f aca="false">S37*Inputs!$F$145*(1+Inputs!$F$146/100)^(Time!S21-2018)/1000000</f>
        <v>1.64908541943923</v>
      </c>
      <c r="T48" s="11" t="n">
        <f aca="false">T37*Inputs!$F$145*(1+Inputs!$F$146/100)^(Time!T21-2018)/1000000</f>
        <v>1.65944627241688</v>
      </c>
      <c r="U48" s="11" t="n">
        <f aca="false">U37*Inputs!$F$145*(1+Inputs!$F$146/100)^(Time!U21-2018)/1000000</f>
        <v>1.66492619854095</v>
      </c>
      <c r="V48" s="11" t="n">
        <f aca="false">V37*Inputs!$F$145*(1+Inputs!$F$146/100)^(Time!V21-2018)/1000000</f>
        <v>1.62637102635809</v>
      </c>
      <c r="W48" s="11" t="n">
        <f aca="false">W37*Inputs!$F$145*(1+Inputs!$F$146/100)^(Time!W21-2018)/1000000</f>
        <v>1.66993983822575</v>
      </c>
      <c r="X48" s="11" t="n">
        <f aca="false">X37*Inputs!$F$145*(1+Inputs!$F$146/100)^(Time!X21-2018)/1000000</f>
        <v>1.70853443197278</v>
      </c>
      <c r="Y48" s="11" t="n">
        <f aca="false">Y37*Inputs!$F$145*(1+Inputs!$F$146/100)^(Time!Y21-2018)/1000000</f>
        <v>1.72834190096539</v>
      </c>
      <c r="Z48" s="11" t="n">
        <f aca="false">Z37*Inputs!$F$145*(1+Inputs!$F$146/100)^(Time!Z21-2018)/1000000</f>
        <v>1.71697696278767</v>
      </c>
      <c r="AA48" s="11" t="n">
        <f aca="false">AA37*Inputs!$F$145*(1+Inputs!$F$146/100)^(Time!AA21-2018)/1000000</f>
        <v>1.74807882558856</v>
      </c>
      <c r="AB48" s="11" t="n">
        <f aca="false">AB37*Inputs!$F$145*(1+Inputs!$F$146/100)^(Time!AB21-2018)/1000000</f>
        <v>1.75904860155509</v>
      </c>
      <c r="AC48" s="11" t="n">
        <f aca="false">AC37*Inputs!$F$145*(1+Inputs!$F$146/100)^(Time!AC21-2018)/1000000</f>
        <v>1.75279114549963</v>
      </c>
      <c r="AD48" s="11" t="n">
        <f aca="false">AD37*Inputs!$F$145*(1+Inputs!$F$146/100)^(Time!AD21-2018)/1000000</f>
        <v>1.6878088303094</v>
      </c>
      <c r="AE48" s="11" t="n">
        <f aca="false">AE37*Inputs!$F$145*(1+Inputs!$F$146/100)^(Time!AE21-2018)/1000000</f>
        <v>1.74567261325838</v>
      </c>
      <c r="AF48" s="11" t="n">
        <f aca="false">AF37*Inputs!$F$145*(1+Inputs!$F$146/100)^(Time!AF21-2018)/1000000</f>
        <v>1.81102937180916</v>
      </c>
      <c r="AG48" s="11" t="n">
        <f aca="false">AG37*Inputs!$F$145*(1+Inputs!$F$146/100)^(Time!AG21-2018)/1000000</f>
        <v>1.83201148601985</v>
      </c>
      <c r="AH48" s="11" t="n">
        <f aca="false">AH37*Inputs!$F$145*(1+Inputs!$F$146/100)^(Time!AH21-2018)/1000000</f>
        <v>1.81995133357279</v>
      </c>
      <c r="AI48" s="11" t="n">
        <f aca="false">AI37*Inputs!$F$145*(1+Inputs!$F$146/100)^(Time!AI21-2018)/1000000</f>
        <v>1.85290473375521</v>
      </c>
      <c r="AJ48" s="11" t="n">
        <f aca="false">AJ37*Inputs!$F$145*(1+Inputs!$F$146/100)^(Time!AJ21-2018)/1000000</f>
        <v>1.86451846116561</v>
      </c>
      <c r="AK48" s="11" t="n">
        <f aca="false">AK37*Inputs!$F$145*(1+Inputs!$F$146/100)^(Time!AK21-2018)/1000000</f>
        <v>1.87064780602951</v>
      </c>
      <c r="AL48" s="11" t="n">
        <f aca="false">AL37*Inputs!$F$145*(1+Inputs!$F$146/100)^(Time!AL21-2018)/1000000</f>
        <v>1.8273015270716</v>
      </c>
      <c r="AM48" s="11" t="n">
        <f aca="false">AM37*Inputs!$F$145*(1+Inputs!$F$146/100)^(Time!AM21-2018)/1000000</f>
        <v>1.8762251677743</v>
      </c>
      <c r="AN48" s="11" t="n">
        <f aca="false">AN37*Inputs!$F$145*(1+Inputs!$F$146/100)^(Time!AN21-2018)/1000000</f>
        <v>1.91955874623258</v>
      </c>
      <c r="AO48" s="11" t="n">
        <f aca="false">AO37*Inputs!$F$145*(1+Inputs!$F$146/100)^(Time!AO21-2018)/1000000</f>
        <v>1.94178377693737</v>
      </c>
      <c r="AP48" s="11" t="n">
        <f aca="false">AP37*Inputs!$F$145*(1+Inputs!$F$146/100)^(Time!AP21-2018)/1000000</f>
        <v>1.92898660383957</v>
      </c>
      <c r="AQ48" s="11" t="n">
        <f aca="false">AQ37*Inputs!$F$145*(1+Inputs!$F$146/100)^(Time!AQ21-2018)/1000000</f>
        <v>1.96389962190947</v>
      </c>
      <c r="AR48" s="11" t="n">
        <f aca="false">AR37*Inputs!$F$145*(1+Inputs!$F$146/100)^(Time!AR21-2018)/1000000</f>
        <v>1.97619429297358</v>
      </c>
      <c r="AS48" s="11" t="n">
        <f aca="false">AS37*Inputs!$F$145*(1+Inputs!$F$146/100)^(Time!AS21-2018)/1000000</f>
        <v>1.96913502375745</v>
      </c>
      <c r="AT48" s="11" t="n">
        <f aca="false">AT37*Inputs!$F$145*(1+Inputs!$F$146/100)^(Time!AT21-2018)/1000000</f>
        <v>1.89610377049827</v>
      </c>
      <c r="AU48" s="11" t="n">
        <f aca="false">AU37*Inputs!$F$145*(1+Inputs!$F$146/100)^(Time!AU21-2018)/1000000</f>
        <v>1.96107933571806</v>
      </c>
      <c r="AV48" s="11" t="n">
        <f aca="false">AV37*Inputs!$F$145*(1+Inputs!$F$146/100)^(Time!AV21-2018)/1000000</f>
        <v>2.0344703886903</v>
      </c>
      <c r="AW48" s="11" t="n">
        <f aca="false">AW37*Inputs!$F$145*(1+Inputs!$F$146/100)^(Time!AW21-2018)/1000000</f>
        <v>2.05801048272498</v>
      </c>
      <c r="AX48" s="11" t="n">
        <f aca="false">AX37*Inputs!$F$145*(1+Inputs!$F$146/100)^(Time!AX21-2018)/1000000</f>
        <v>2.04443201386547</v>
      </c>
      <c r="AY48" s="11" t="n">
        <f aca="false">AY37*Inputs!$F$145*(1+Inputs!$F$146/100)^(Time!AY21-2018)/1000000</f>
        <v>2.08141889763584</v>
      </c>
      <c r="AZ48" s="11" t="n">
        <f aca="false">AZ37*Inputs!$F$145*(1+Inputs!$F$146/100)^(Time!AZ21-2018)/1000000</f>
        <v>2.0944335748297</v>
      </c>
      <c r="BA48" s="11" t="n">
        <f aca="false">BA37*Inputs!$F$145*(1+Inputs!$F$146/100)^(Time!BA21-2018)/1000000</f>
        <v>2.10128727203063</v>
      </c>
      <c r="BB48" s="11" t="n">
        <f aca="false">BB37*Inputs!$F$145*(1+Inputs!$F$146/100)^(Time!BB21-2018)/1000000</f>
        <v>2.05256591291788</v>
      </c>
      <c r="BC48" s="11" t="n">
        <f aca="false">BC37*Inputs!$F$145*(1+Inputs!$F$146/100)^(Time!BC21-2018)/1000000</f>
        <v>2.10748912908121</v>
      </c>
      <c r="BD48" s="11" t="n">
        <f aca="false">BD37*Inputs!$F$145*(1+Inputs!$F$146/100)^(Time!BD21-2018)/1000000</f>
        <v>2.15613168063534</v>
      </c>
      <c r="BE48" s="11" t="n">
        <f aca="false">BE37*Inputs!$F$145*(1+Inputs!$F$146/100)^(Time!BE21-2018)/1000000</f>
        <v>2.18106307404398</v>
      </c>
      <c r="BF48" s="11" t="n">
        <f aca="false">BF37*Inputs!$F$145*(1+Inputs!$F$146/100)^(Time!BF21-2018)/1000000</f>
        <v>2.16665642273751</v>
      </c>
      <c r="BG48" s="11" t="n">
        <f aca="false">BG37*Inputs!$F$145*(1+Inputs!$F$146/100)^(Time!BG21-2018)/1000000</f>
        <v>2.20583792956803</v>
      </c>
      <c r="BH48" s="11" t="n">
        <f aca="false">BH37*Inputs!$F$145*(1+Inputs!$F$146/100)^(Time!BH21-2018)/1000000</f>
        <v>2.21961385766342</v>
      </c>
      <c r="BI48" s="11" t="n">
        <f aca="false">BI37*Inputs!$F$145*(1+Inputs!$F$146/100)^(Time!BI21-2018)/1000000</f>
        <v>2.21165179990249</v>
      </c>
      <c r="BJ48" s="11" t="n">
        <f aca="false">BJ37*Inputs!$F$145*(1+Inputs!$F$146/100)^(Time!BJ21-2018)/1000000</f>
        <v>2.12959404751645</v>
      </c>
      <c r="BK48" s="11" t="n">
        <f aca="false">BK37*Inputs!$F$145*(1+Inputs!$F$146/100)^(Time!BK21-2018)/1000000</f>
        <v>2.2025376869856</v>
      </c>
      <c r="BL48" s="11" t="n">
        <f aca="false">BL37*Inputs!$F$145*(1+Inputs!$F$146/100)^(Time!BL21-2018)/1000000</f>
        <v>2.28493061518422</v>
      </c>
      <c r="BM48" s="11" t="n">
        <f aca="false">BM37*Inputs!$F$145*(1+Inputs!$F$146/100)^(Time!BM21-2018)/1000000</f>
        <v>1.54588388497448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1045.0239805686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5.15370289839452</v>
      </c>
      <c r="P49" s="11" t="n">
        <f aca="false">MAX(0,P38-P37)*P36/1000000</f>
        <v>15.8263551291103</v>
      </c>
      <c r="Q49" s="11" t="n">
        <f aca="false">MAX(0,Q38-Q37)*Q36/1000000</f>
        <v>15.2130437933478</v>
      </c>
      <c r="R49" s="11" t="n">
        <f aca="false">MAX(0,R38-R37)*R36/1000000</f>
        <v>16.6520632703247</v>
      </c>
      <c r="S49" s="11" t="n">
        <f aca="false">MAX(0,S38-S37)*S36/1000000</f>
        <v>15.7010577871894</v>
      </c>
      <c r="T49" s="11" t="n">
        <f aca="false">MAX(0,T38-T37)*T36/1000000</f>
        <v>16.4977708107548</v>
      </c>
      <c r="U49" s="11" t="n">
        <f aca="false">MAX(0,U38-U37)*U36/1000000</f>
        <v>16.6798766641748</v>
      </c>
      <c r="V49" s="11" t="n">
        <f aca="false">MAX(0,V38-V37)*V36/1000000</f>
        <v>18.6690457943645</v>
      </c>
      <c r="W49" s="11" t="n">
        <f aca="false">MAX(0,W38-W37)*W36/1000000</f>
        <v>17.2607581005382</v>
      </c>
      <c r="X49" s="11" t="n">
        <f aca="false">MAX(0,X38-X37)*X36/1000000</f>
        <v>17.1983921659937</v>
      </c>
      <c r="Y49" s="11" t="n">
        <f aca="false">MAX(0,Y38-Y37)*Y36/1000000</f>
        <v>16.5360527816561</v>
      </c>
      <c r="Z49" s="11" t="n">
        <f aca="false">MAX(0,Z38-Z37)*Z36/1000000</f>
        <v>18.0936484178583</v>
      </c>
      <c r="AA49" s="11" t="n">
        <f aca="false">MAX(0,AA38-AA37)*AA36/1000000</f>
        <v>17.0662613866711</v>
      </c>
      <c r="AB49" s="11" t="n">
        <f aca="false">MAX(0,AB38-AB37)*AB36/1000000</f>
        <v>17.9295149272189</v>
      </c>
      <c r="AC49" s="11" t="n">
        <f aca="false">MAX(0,AC38-AC37)*AC36/1000000</f>
        <v>18.5181183268419</v>
      </c>
      <c r="AD49" s="11" t="n">
        <f aca="false">MAX(0,AD38-AD37)*AD36/1000000</f>
        <v>21.4507366554807</v>
      </c>
      <c r="AE49" s="11" t="n">
        <f aca="false">MAX(0,AE38-AE37)*AE36/1000000</f>
        <v>19.554145438391</v>
      </c>
      <c r="AF49" s="11" t="n">
        <f aca="false">MAX(0,AF38-AF37)*AF36/1000000</f>
        <v>18.6924931372473</v>
      </c>
      <c r="AG49" s="11" t="n">
        <f aca="false">MAX(0,AG38-AG37)*AG36/1000000</f>
        <v>17.9772672088884</v>
      </c>
      <c r="AH49" s="11" t="n">
        <f aca="false">MAX(0,AH38-AH37)*AH36/1000000</f>
        <v>19.6631875408593</v>
      </c>
      <c r="AI49" s="11" t="n">
        <f aca="false">MAX(0,AI38-AI37)*AI36/1000000</f>
        <v>18.553368636289</v>
      </c>
      <c r="AJ49" s="11" t="n">
        <f aca="false">MAX(0,AJ38-AJ37)*AJ36/1000000</f>
        <v>19.4887417978175</v>
      </c>
      <c r="AK49" s="11" t="n">
        <f aca="false">MAX(0,AK38-AK37)*AK36/1000000</f>
        <v>19.7043364337923</v>
      </c>
      <c r="AL49" s="11" t="n">
        <f aca="false">MAX(0,AL38-AL37)*AL36/1000000</f>
        <v>22.0321291805549</v>
      </c>
      <c r="AM49" s="11" t="n">
        <f aca="false">MAX(0,AM38-AM37)*AM36/1000000</f>
        <v>20.3880652926377</v>
      </c>
      <c r="AN49" s="11" t="n">
        <f aca="false">MAX(0,AN38-AN37)*AN36/1000000</f>
        <v>20.3197396390072</v>
      </c>
      <c r="AO49" s="11" t="n">
        <f aca="false">MAX(0,AO38-AO37)*AO36/1000000</f>
        <v>19.5474703895491</v>
      </c>
      <c r="AP49" s="11" t="n">
        <f aca="false">MAX(0,AP38-AP37)*AP36/1000000</f>
        <v>21.3722635761166</v>
      </c>
      <c r="AQ49" s="11" t="n">
        <f aca="false">MAX(0,AQ38-AQ37)*AQ36/1000000</f>
        <v>20.1734906123294</v>
      </c>
      <c r="AR49" s="11" t="n">
        <f aca="false">MAX(0,AR38-AR37)*AR36/1000000</f>
        <v>21.187032015106</v>
      </c>
      <c r="AS49" s="11" t="n">
        <f aca="false">MAX(0,AS38-AS37)*AS36/1000000</f>
        <v>21.877906928038</v>
      </c>
      <c r="AT49" s="11" t="n">
        <f aca="false">MAX(0,AT38-AT37)*AT36/1000000</f>
        <v>25.3081802409991</v>
      </c>
      <c r="AU49" s="11" t="n">
        <f aca="false">MAX(0,AU38-AU37)*AU36/1000000</f>
        <v>23.0939124987666</v>
      </c>
      <c r="AV49" s="11" t="n">
        <f aca="false">MAX(0,AV38-AV37)*AV36/1000000</f>
        <v>22.0922339327259</v>
      </c>
      <c r="AW49" s="11" t="n">
        <f aca="false">MAX(0,AW38-AW37)*AW36/1000000</f>
        <v>21.2584437334397</v>
      </c>
      <c r="AX49" s="11" t="n">
        <f aca="false">MAX(0,AX38-AX37)*AX36/1000000</f>
        <v>23.23352299204</v>
      </c>
      <c r="AY49" s="11" t="n">
        <f aca="false">MAX(0,AY38-AY37)*AY36/1000000</f>
        <v>21.9387657865317</v>
      </c>
      <c r="AZ49" s="11" t="n">
        <f aca="false">MAX(0,AZ38-AZ37)*AZ36/1000000</f>
        <v>23.0370332172019</v>
      </c>
      <c r="BA49" s="11" t="n">
        <f aca="false">MAX(0,BA38-BA37)*BA36/1000000</f>
        <v>23.292387338376</v>
      </c>
      <c r="BB49" s="11" t="n">
        <f aca="false">MAX(0,BB38-BB37)*BB36/1000000</f>
        <v>26.0160596512058</v>
      </c>
      <c r="BC49" s="11" t="n">
        <f aca="false">MAX(0,BC38-BC37)*BC36/1000000</f>
        <v>24.0972946853193</v>
      </c>
      <c r="BD49" s="11" t="n">
        <f aca="false">MAX(0,BD38-BD37)*BD36/1000000</f>
        <v>24.0231938236088</v>
      </c>
      <c r="BE49" s="11" t="n">
        <f aca="false">MAX(0,BE38-BE37)*BE36/1000000</f>
        <v>23.1230599618704</v>
      </c>
      <c r="BF49" s="11" t="n">
        <f aca="false">MAX(0,BF38-BF37)*BF36/1000000</f>
        <v>25.2607743470597</v>
      </c>
      <c r="BG49" s="11" t="n">
        <f aca="false">MAX(0,BG38-BG37)*BG36/1000000</f>
        <v>23.8624558781259</v>
      </c>
      <c r="BH49" s="11" t="n">
        <f aca="false">MAX(0,BH38-BH37)*BH36/1000000</f>
        <v>25.0525592990099</v>
      </c>
      <c r="BI49" s="11" t="n">
        <f aca="false">MAX(0,BI38-BI37)*BI36/1000000</f>
        <v>25.8635003179702</v>
      </c>
      <c r="BJ49" s="11" t="n">
        <f aca="false">MAX(0,BJ38-BJ37)*BJ36/1000000</f>
        <v>29.8752031651856</v>
      </c>
      <c r="BK49" s="11" t="n">
        <f aca="false">MAX(0,BK38-BK37)*BK36/1000000</f>
        <v>27.2907668836652</v>
      </c>
      <c r="BL49" s="11" t="n">
        <f aca="false">MAX(0,BL38-BL37)*BL36/1000000</f>
        <v>26.1270564028562</v>
      </c>
      <c r="BM49" s="11" t="n">
        <f aca="false">MAX(0,BM38-BM37)*BM36/1000000</f>
        <v>16.1995396760989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3652.33221996997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21.7234448219964</v>
      </c>
      <c r="P50" s="11" t="n">
        <f aca="false">P43+P45</f>
        <v>65.437111241458</v>
      </c>
      <c r="Q50" s="11" t="n">
        <f aca="false">Q43+Q45</f>
        <v>65.689410558758</v>
      </c>
      <c r="R50" s="11" t="n">
        <f aca="false">R43+R45</f>
        <v>65.9280050190611</v>
      </c>
      <c r="S50" s="11" t="n">
        <f aca="false">S43+S45</f>
        <v>66.2181741405011</v>
      </c>
      <c r="T50" s="11" t="n">
        <f aca="false">T43+T45</f>
        <v>66.5282355937751</v>
      </c>
      <c r="U50" s="11" t="n">
        <f aca="false">U43+U45</f>
        <v>66.7487710482185</v>
      </c>
      <c r="V50" s="11" t="n">
        <f aca="false">V43+V45</f>
        <v>66.910866687485</v>
      </c>
      <c r="W50" s="11" t="n">
        <f aca="false">W43+W45</f>
        <v>67.2561404500894</v>
      </c>
      <c r="X50" s="11" t="n">
        <f aca="false">X43+X45</f>
        <v>67.6672021455122</v>
      </c>
      <c r="Y50" s="11" t="n">
        <f aca="false">Y43+Y45</f>
        <v>67.9421956181512</v>
      </c>
      <c r="Z50" s="11" t="n">
        <f aca="false">Z43+Z45</f>
        <v>68.2023429598849</v>
      </c>
      <c r="AA50" s="11" t="n">
        <f aca="false">AA43+AA45</f>
        <v>68.5184325311641</v>
      </c>
      <c r="AB50" s="11" t="n">
        <f aca="false">AB43+AB45</f>
        <v>68.8561081759505</v>
      </c>
      <c r="AC50" s="11" t="n">
        <f aca="false">AC43+AC45</f>
        <v>69.0583202335656</v>
      </c>
      <c r="AD50" s="11" t="n">
        <f aca="false">AD43+AD45</f>
        <v>68.2371354117418</v>
      </c>
      <c r="AE50" s="11" t="n">
        <f aca="false">AE43+AE45</f>
        <v>69.5715140907905</v>
      </c>
      <c r="AF50" s="11" t="n">
        <f aca="false">AF43+AF45</f>
        <v>70.0971428837138</v>
      </c>
      <c r="AG50" s="11" t="n">
        <f aca="false">AG43+AG45</f>
        <v>70.3968715847943</v>
      </c>
      <c r="AH50" s="11" t="n">
        <f aca="false">AH43+AH45</f>
        <v>70.6805186479108</v>
      </c>
      <c r="AI50" s="11" t="n">
        <f aca="false">AI43+AI45</f>
        <v>71.024843351157</v>
      </c>
      <c r="AJ50" s="11" t="n">
        <f aca="false">AJ43+AJ45</f>
        <v>71.3925914144974</v>
      </c>
      <c r="AK50" s="11" t="n">
        <f aca="false">AK43+AK45</f>
        <v>71.6551063629968</v>
      </c>
      <c r="AL50" s="11" t="n">
        <f aca="false">AL43+AL45</f>
        <v>71.8489429906257</v>
      </c>
      <c r="AM50" s="11" t="n">
        <f aca="false">AM43+AM45</f>
        <v>72.2581977007249</v>
      </c>
      <c r="AN50" s="11" t="n">
        <f aca="false">AN43+AN45</f>
        <v>72.7448390652433</v>
      </c>
      <c r="AO50" s="11" t="n">
        <f aca="false">AO43+AO45</f>
        <v>73.0715276153706</v>
      </c>
      <c r="AP50" s="11" t="n">
        <f aca="false">AP43+AP45</f>
        <v>73.3807970867601</v>
      </c>
      <c r="AQ50" s="11" t="n">
        <f aca="false">AQ43+AQ45</f>
        <v>73.7558782336178</v>
      </c>
      <c r="AR50" s="11" t="n">
        <f aca="false">AR43+AR45</f>
        <v>74.1563756724905</v>
      </c>
      <c r="AS50" s="11" t="n">
        <f aca="false">AS43+AS45</f>
        <v>74.3976406870353</v>
      </c>
      <c r="AT50" s="11" t="n">
        <f aca="false">AT43+AT45</f>
        <v>73.5338249126681</v>
      </c>
      <c r="AU50" s="11" t="n">
        <f aca="false">AU43+AU45</f>
        <v>75.0081733419103</v>
      </c>
      <c r="AV50" s="11" t="n">
        <f aca="false">AV43+AV45</f>
        <v>75.6298001929649</v>
      </c>
      <c r="AW50" s="11" t="n">
        <f aca="false">AW43+AW45</f>
        <v>75.9858732639931</v>
      </c>
      <c r="AX50" s="11" t="n">
        <f aca="false">AX43+AX45</f>
        <v>76.3230795599797</v>
      </c>
      <c r="AY50" s="11" t="n">
        <f aca="false">AY43+AY45</f>
        <v>76.7316635307186</v>
      </c>
      <c r="AZ50" s="11" t="n">
        <f aca="false">AZ43+AZ45</f>
        <v>77.1678254848309</v>
      </c>
      <c r="BA50" s="11" t="n">
        <f aca="false">BA43+BA45</f>
        <v>77.4803108248763</v>
      </c>
      <c r="BB50" s="11" t="n">
        <f aca="false">BB43+BB45</f>
        <v>77.7120986705436</v>
      </c>
      <c r="BC50" s="11" t="n">
        <f aca="false">BC43+BC45</f>
        <v>78.1971821610779</v>
      </c>
      <c r="BD50" s="11" t="n">
        <f aca="false">BD43+BD45</f>
        <v>78.7732832983903</v>
      </c>
      <c r="BE50" s="11" t="n">
        <f aca="false">BE43+BE45</f>
        <v>79.1613836009142</v>
      </c>
      <c r="BF50" s="11" t="n">
        <f aca="false">BF43+BF45</f>
        <v>79.5290501841894</v>
      </c>
      <c r="BG50" s="11" t="n">
        <f aca="false">BG43+BG45</f>
        <v>79.9741285116703</v>
      </c>
      <c r="BH50" s="11" t="n">
        <f aca="false">BH43+BH45</f>
        <v>80.4491294854032</v>
      </c>
      <c r="BI50" s="11" t="n">
        <f aca="false">BI43+BI45</f>
        <v>80.7369879284791</v>
      </c>
      <c r="BJ50" s="11" t="n">
        <f aca="false">BJ43+BJ45</f>
        <v>79.8228385617436</v>
      </c>
      <c r="BK50" s="11" t="n">
        <f aca="false">BK43+BK45</f>
        <v>81.4633217564534</v>
      </c>
      <c r="BL50" s="11" t="n">
        <f aca="false">BL43+BL45</f>
        <v>82.1984494366046</v>
      </c>
      <c r="BM50" s="11" t="n">
        <f aca="false">BM43+BM45</f>
        <v>55.0991312375122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8677.41252784807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48.0798868339312</v>
      </c>
      <c r="P51" s="11" t="n">
        <f aca="false">P50+P46+P47+P48+P49</f>
        <v>144.925647432722</v>
      </c>
      <c r="Q51" s="11" t="n">
        <f aca="false">Q50+Q46+Q47+Q48+Q49</f>
        <v>145.398508358303</v>
      </c>
      <c r="R51" s="11" t="n">
        <f aca="false">R50+R46+R47+R48+R49</f>
        <v>146.913402452334</v>
      </c>
      <c r="S51" s="11" t="n">
        <f aca="false">S50+S46+S47+S48+S49</f>
        <v>147.439297016785</v>
      </c>
      <c r="T51" s="11" t="n">
        <f aca="false">T50+T46+T47+T48+T49</f>
        <v>149.072557784942</v>
      </c>
      <c r="U51" s="11" t="n">
        <f aca="false">U50+U46+U47+U48+U49</f>
        <v>149.955536412832</v>
      </c>
      <c r="V51" s="11" t="n">
        <f aca="false">V50+V46+V47+V48+V49</f>
        <v>150.967647440206</v>
      </c>
      <c r="W51" s="11" t="n">
        <f aca="false">W50+W46+W47+W48+W49</f>
        <v>151.571518584161</v>
      </c>
      <c r="X51" s="11" t="n">
        <f aca="false">X50+X46+X47+X48+X49</f>
        <v>153.38596432199</v>
      </c>
      <c r="Y51" s="11" t="n">
        <f aca="false">Y50+Y46+Y47+Y48+Y49</f>
        <v>153.898981736513</v>
      </c>
      <c r="Z51" s="11" t="n">
        <f aca="false">Z50+Z46+Z47+Z48+Z49</f>
        <v>155.537199745786</v>
      </c>
      <c r="AA51" s="11" t="n">
        <f aca="false">AA50+AA46+AA47+AA48+AA49</f>
        <v>156.107201698028</v>
      </c>
      <c r="AB51" s="11" t="n">
        <f aca="false">AB50+AB46+AB47+AB48+AB49</f>
        <v>157.872610619585</v>
      </c>
      <c r="AC51" s="11" t="n">
        <f aca="false">AC50+AC46+AC47+AC48+AC49</f>
        <v>158.778181226232</v>
      </c>
      <c r="AD51" s="11" t="n">
        <f aca="false">AD50+AD46+AD47+AD48+AD49</f>
        <v>158.851900272688</v>
      </c>
      <c r="AE51" s="11" t="n">
        <f aca="false">AE50+AE46+AE47+AE48+AE49</f>
        <v>160.476174641019</v>
      </c>
      <c r="AF51" s="11" t="n">
        <f aca="false">AF50+AF46+AF47+AF48+AF49</f>
        <v>162.539515402116</v>
      </c>
      <c r="AG51" s="11" t="n">
        <f aca="false">AG50+AG46+AG47+AG48+AG49</f>
        <v>163.096120700899</v>
      </c>
      <c r="AH51" s="11" t="n">
        <f aca="false">AH50+AH46+AH47+AH48+AH49</f>
        <v>164.867792104078</v>
      </c>
      <c r="AI51" s="11" t="n">
        <f aca="false">AI50+AI46+AI47+AI48+AI49</f>
        <v>165.485631223018</v>
      </c>
      <c r="AJ51" s="11" t="n">
        <f aca="false">AJ50+AJ46+AJ47+AJ48+AJ49</f>
        <v>167.393983838629</v>
      </c>
      <c r="AK51" s="11" t="n">
        <f aca="false">AK50+AK46+AK47+AK48+AK49</f>
        <v>168.429572742187</v>
      </c>
      <c r="AL51" s="11" t="n">
        <f aca="false">AL50+AL46+AL47+AL48+AL49</f>
        <v>169.617646174035</v>
      </c>
      <c r="AM51" s="11" t="n">
        <f aca="false">AM50+AM46+AM47+AM48+AM49</f>
        <v>170.325706079456</v>
      </c>
      <c r="AN51" s="11" t="n">
        <f aca="false">AN50+AN46+AN47+AN48+AN49</f>
        <v>172.44361930497</v>
      </c>
      <c r="AO51" s="11" t="n">
        <f aca="false">AO50+AO46+AO47+AO48+AO49</f>
        <v>173.047538843205</v>
      </c>
      <c r="AP51" s="11" t="n">
        <f aca="false">AP50+AP46+AP47+AP48+AP49</f>
        <v>174.963631055701</v>
      </c>
      <c r="AQ51" s="11" t="n">
        <f aca="false">AQ50+AQ46+AQ47+AQ48+AQ49</f>
        <v>175.633354938545</v>
      </c>
      <c r="AR51" s="11" t="n">
        <f aca="false">AR50+AR46+AR47+AR48+AR49</f>
        <v>177.696335631429</v>
      </c>
      <c r="AS51" s="11" t="n">
        <f aca="false">AS50+AS46+AS47+AS48+AS49</f>
        <v>178.759715546327</v>
      </c>
      <c r="AT51" s="11" t="n">
        <f aca="false">AT50+AT46+AT47+AT48+AT49</f>
        <v>178.945237505198</v>
      </c>
      <c r="AU51" s="11" t="n">
        <f aca="false">AU50+AU46+AU47+AU48+AU49</f>
        <v>180.753531763436</v>
      </c>
      <c r="AV51" s="11" t="n">
        <f aca="false">AV50+AV46+AV47+AV48+AV49</f>
        <v>183.160369856</v>
      </c>
      <c r="AW51" s="11" t="n">
        <f aca="false">AW50+AW46+AW47+AW48+AW49</f>
        <v>183.815650443556</v>
      </c>
      <c r="AX51" s="11" t="n">
        <f aca="false">AX50+AX46+AX47+AX48+AX49</f>
        <v>185.888038528271</v>
      </c>
      <c r="AY51" s="11" t="n">
        <f aca="false">AY50+AY46+AY47+AY48+AY49</f>
        <v>186.614039860979</v>
      </c>
      <c r="AZ51" s="11" t="n">
        <f aca="false">AZ50+AZ46+AZ47+AZ48+AZ49</f>
        <v>188.844295504221</v>
      </c>
      <c r="BA51" s="11" t="n">
        <f aca="false">BA50+BA46+BA47+BA48+BA49</f>
        <v>190.059079494826</v>
      </c>
      <c r="BB51" s="11" t="n">
        <f aca="false">BB50+BB46+BB47+BB48+BB49</f>
        <v>191.453920258688</v>
      </c>
      <c r="BC51" s="11" t="n">
        <f aca="false">BC50+BC46+BC47+BC48+BC49</f>
        <v>192.284339356682</v>
      </c>
      <c r="BD51" s="11" t="n">
        <f aca="false">BD50+BD46+BD47+BD48+BD49</f>
        <v>194.757036417441</v>
      </c>
      <c r="BE51" s="11" t="n">
        <f aca="false">BE50+BE46+BE47+BE48+BE49</f>
        <v>195.468073028392</v>
      </c>
      <c r="BF51" s="11" t="n">
        <f aca="false">BF50+BF46+BF47+BF48+BF49</f>
        <v>197.70961523259</v>
      </c>
      <c r="BG51" s="11" t="n">
        <f aca="false">BG50+BG46+BG47+BG48+BG49</f>
        <v>198.496661414753</v>
      </c>
      <c r="BH51" s="11" t="n">
        <f aca="false">BH50+BH46+BH47+BH48+BH49</f>
        <v>200.907881152258</v>
      </c>
      <c r="BI51" s="11" t="n">
        <f aca="false">BI50+BI46+BI47+BI48+BI49</f>
        <v>202.156752586469</v>
      </c>
      <c r="BJ51" s="11" t="n">
        <f aca="false">BJ50+BJ46+BJ47+BJ48+BJ49</f>
        <v>202.473069345154</v>
      </c>
      <c r="BK51" s="11" t="n">
        <f aca="false">BK50+BK46+BK47+BK48+BK49</f>
        <v>204.498321970665</v>
      </c>
      <c r="BL51" s="11" t="n">
        <f aca="false">BL50+BL46+BL47+BL48+BL49</f>
        <v>207.306497974815</v>
      </c>
      <c r="BM51" s="11" t="n">
        <f aca="false">BM50+BM46+BM47+BM48+BM49</f>
        <v>138.287735991027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20.0878272098348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0.11947894652098</v>
      </c>
      <c r="P63" s="11" t="n">
        <f aca="false">Inputs!$F$158/100*P50</f>
        <v>0.359904111828019</v>
      </c>
      <c r="Q63" s="11" t="n">
        <f aca="false">Inputs!$F$158/100*Q50</f>
        <v>0.361291758073169</v>
      </c>
      <c r="R63" s="11" t="n">
        <f aca="false">Inputs!$F$158/100*R50</f>
        <v>0.362604027604836</v>
      </c>
      <c r="S63" s="11" t="n">
        <f aca="false">Inputs!$F$158/100*S50</f>
        <v>0.364199957772756</v>
      </c>
      <c r="T63" s="11" t="n">
        <f aca="false">Inputs!$F$158/100*T50</f>
        <v>0.365905295765763</v>
      </c>
      <c r="U63" s="11" t="n">
        <f aca="false">Inputs!$F$158/100*U50</f>
        <v>0.367118240765202</v>
      </c>
      <c r="V63" s="11" t="n">
        <f aca="false">Inputs!$F$158/100*V50</f>
        <v>0.368009766781168</v>
      </c>
      <c r="W63" s="11" t="n">
        <f aca="false">Inputs!$F$158/100*W50</f>
        <v>0.369908772475492</v>
      </c>
      <c r="X63" s="11" t="n">
        <f aca="false">Inputs!$F$158/100*X50</f>
        <v>0.372169611800317</v>
      </c>
      <c r="Y63" s="11" t="n">
        <f aca="false">Inputs!$F$158/100*Y50</f>
        <v>0.373682075899831</v>
      </c>
      <c r="Z63" s="11" t="n">
        <f aca="false">Inputs!$F$158/100*Z50</f>
        <v>0.375112886279367</v>
      </c>
      <c r="AA63" s="11" t="n">
        <f aca="false">Inputs!$F$158/100*AA50</f>
        <v>0.376851378921403</v>
      </c>
      <c r="AB63" s="11" t="n">
        <f aca="false">Inputs!$F$158/100*AB50</f>
        <v>0.378708594967728</v>
      </c>
      <c r="AC63" s="11" t="n">
        <f aca="false">Inputs!$F$158/100*AC50</f>
        <v>0.379820761284611</v>
      </c>
      <c r="AD63" s="11" t="n">
        <f aca="false">Inputs!$F$158/100*AD50</f>
        <v>0.37530424476458</v>
      </c>
      <c r="AE63" s="11" t="n">
        <f aca="false">Inputs!$F$158/100*AE50</f>
        <v>0.382643327499348</v>
      </c>
      <c r="AF63" s="11" t="n">
        <f aca="false">Inputs!$F$158/100*AF50</f>
        <v>0.385534285860426</v>
      </c>
      <c r="AG63" s="11" t="n">
        <f aca="false">Inputs!$F$158/100*AG50</f>
        <v>0.387182793716369</v>
      </c>
      <c r="AH63" s="11" t="n">
        <f aca="false">Inputs!$F$158/100*AH50</f>
        <v>0.388742852563509</v>
      </c>
      <c r="AI63" s="11" t="n">
        <f aca="false">Inputs!$F$158/100*AI50</f>
        <v>0.390636638431364</v>
      </c>
      <c r="AJ63" s="11" t="n">
        <f aca="false">Inputs!$F$158/100*AJ50</f>
        <v>0.392659252779736</v>
      </c>
      <c r="AK63" s="11" t="n">
        <f aca="false">Inputs!$F$158/100*AK50</f>
        <v>0.394103084996482</v>
      </c>
      <c r="AL63" s="11" t="n">
        <f aca="false">Inputs!$F$158/100*AL50</f>
        <v>0.395169186448441</v>
      </c>
      <c r="AM63" s="11" t="n">
        <f aca="false">Inputs!$F$158/100*AM50</f>
        <v>0.397420087353987</v>
      </c>
      <c r="AN63" s="11" t="n">
        <f aca="false">Inputs!$F$158/100*AN50</f>
        <v>0.400096614858838</v>
      </c>
      <c r="AO63" s="11" t="n">
        <f aca="false">Inputs!$F$158/100*AO50</f>
        <v>0.401893401884538</v>
      </c>
      <c r="AP63" s="11" t="n">
        <f aca="false">Inputs!$F$158/100*AP50</f>
        <v>0.40359438397718</v>
      </c>
      <c r="AQ63" s="11" t="n">
        <f aca="false">Inputs!$F$158/100*AQ50</f>
        <v>0.405657330284898</v>
      </c>
      <c r="AR63" s="11" t="n">
        <f aca="false">Inputs!$F$158/100*AR50</f>
        <v>0.407860066198698</v>
      </c>
      <c r="AS63" s="11" t="n">
        <f aca="false">Inputs!$F$158/100*AS50</f>
        <v>0.409187023778694</v>
      </c>
      <c r="AT63" s="11" t="n">
        <f aca="false">Inputs!$F$158/100*AT50</f>
        <v>0.404436037019675</v>
      </c>
      <c r="AU63" s="11" t="n">
        <f aca="false">Inputs!$F$158/100*AU50</f>
        <v>0.412544953380507</v>
      </c>
      <c r="AV63" s="11" t="n">
        <f aca="false">Inputs!$F$158/100*AV50</f>
        <v>0.415963901061307</v>
      </c>
      <c r="AW63" s="11" t="n">
        <f aca="false">Inputs!$F$158/100*AW50</f>
        <v>0.417922302951962</v>
      </c>
      <c r="AX63" s="11" t="n">
        <f aca="false">Inputs!$F$158/100*AX50</f>
        <v>0.419776937579889</v>
      </c>
      <c r="AY63" s="11" t="n">
        <f aca="false">Inputs!$F$158/100*AY50</f>
        <v>0.422024149418952</v>
      </c>
      <c r="AZ63" s="11" t="n">
        <f aca="false">Inputs!$F$158/100*AZ50</f>
        <v>0.42442304016657</v>
      </c>
      <c r="BA63" s="11" t="n">
        <f aca="false">Inputs!$F$158/100*BA50</f>
        <v>0.42614170953682</v>
      </c>
      <c r="BB63" s="11" t="n">
        <f aca="false">Inputs!$F$158/100*BB50</f>
        <v>0.42741654268799</v>
      </c>
      <c r="BC63" s="11" t="n">
        <f aca="false">Inputs!$F$158/100*BC50</f>
        <v>0.430084501885929</v>
      </c>
      <c r="BD63" s="11" t="n">
        <f aca="false">Inputs!$F$158/100*BD50</f>
        <v>0.433253058141147</v>
      </c>
      <c r="BE63" s="11" t="n">
        <f aca="false">Inputs!$F$158/100*BE50</f>
        <v>0.435387609805028</v>
      </c>
      <c r="BF63" s="11" t="n">
        <f aca="false">Inputs!$F$158/100*BF50</f>
        <v>0.437409776013042</v>
      </c>
      <c r="BG63" s="11" t="n">
        <f aca="false">Inputs!$F$158/100*BG50</f>
        <v>0.439857706814187</v>
      </c>
      <c r="BH63" s="11" t="n">
        <f aca="false">Inputs!$F$158/100*BH50</f>
        <v>0.442470212169718</v>
      </c>
      <c r="BI63" s="11" t="n">
        <f aca="false">Inputs!$F$158/100*BI50</f>
        <v>0.444053433606635</v>
      </c>
      <c r="BJ63" s="11" t="n">
        <f aca="false">Inputs!$F$158/100*BJ50</f>
        <v>0.43902561208959</v>
      </c>
      <c r="BK63" s="11" t="n">
        <f aca="false">Inputs!$F$158/100*BK50</f>
        <v>0.448048269660494</v>
      </c>
      <c r="BL63" s="11" t="n">
        <f aca="false">Inputs!$F$158/100*BL50</f>
        <v>0.452091471901325</v>
      </c>
      <c r="BM63" s="11" t="n">
        <f aca="false">Inputs!$F$158/100*BM50</f>
        <v>0.303045221806317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88.1505220309061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0.456604619986735</v>
      </c>
      <c r="P64" s="11" t="n">
        <f aca="false">Inputs!$F$159*(0.7*P19+0.3*P23*Inputs!$F$150/P11)*P33/1000000</f>
        <v>1.38410735146783</v>
      </c>
      <c r="Q64" s="11" t="n">
        <f aca="false">Inputs!$F$159*(0.7*Q19+0.3*Q23*Inputs!$F$150/Q11)*Q33/1000000</f>
        <v>1.39372775514391</v>
      </c>
      <c r="R64" s="11" t="n">
        <f aca="false">Inputs!$F$159*(0.7*R19+0.3*R23*Inputs!$F$150/R11)*R33/1000000</f>
        <v>1.3988824057865</v>
      </c>
      <c r="S64" s="11" t="n">
        <f aca="false">Inputs!$F$159*(0.7*S19+0.3*S23*Inputs!$F$150/S11)*S33/1000000</f>
        <v>1.41768686950788</v>
      </c>
      <c r="T64" s="11" t="n">
        <f aca="false">Inputs!$F$159*(0.7*T19+0.3*T23*Inputs!$F$150/T11)*T33/1000000</f>
        <v>1.44133823660042</v>
      </c>
      <c r="U64" s="11" t="n">
        <f aca="false">Inputs!$F$159*(0.7*U19+0.3*U23*Inputs!$F$150/U11)*U33/1000000</f>
        <v>1.43945257004193</v>
      </c>
      <c r="V64" s="11" t="n">
        <f aca="false">Inputs!$F$159*(0.7*V19+0.3*V23*Inputs!$F$150/V11)*V33/1000000</f>
        <v>1.4206524958539</v>
      </c>
      <c r="W64" s="11" t="n">
        <f aca="false">Inputs!$F$159*(0.7*W19+0.3*W23*Inputs!$F$150/W11)*W33/1000000</f>
        <v>1.45200805540603</v>
      </c>
      <c r="X64" s="11" t="n">
        <f aca="false">Inputs!$F$159*(0.7*X19+0.3*X23*Inputs!$F$150/X11)*X33/1000000</f>
        <v>1.50092193115328</v>
      </c>
      <c r="Y64" s="11" t="n">
        <f aca="false">Inputs!$F$159*(0.7*Y19+0.3*Y23*Inputs!$F$150/Y11)*Y33/1000000</f>
        <v>1.5113474126569</v>
      </c>
      <c r="Z64" s="11" t="n">
        <f aca="false">Inputs!$F$159*(0.7*Z19+0.3*Z23*Inputs!$F$150/Z11)*Z33/1000000</f>
        <v>1.51693018368116</v>
      </c>
      <c r="AA64" s="11" t="n">
        <f aca="false">Inputs!$F$159*(0.7*AA19+0.3*AA23*Inputs!$F$150/AA11)*AA33/1000000</f>
        <v>1.53731450883295</v>
      </c>
      <c r="AB64" s="11" t="n">
        <f aca="false">Inputs!$F$159*(0.7*AB19+0.3*AB23*Inputs!$F$150/AB11)*AB33/1000000</f>
        <v>1.56295450989676</v>
      </c>
      <c r="AC64" s="11" t="n">
        <f aca="false">Inputs!$F$159*(0.7*AC19+0.3*AC23*Inputs!$F$150/AC11)*AC33/1000000</f>
        <v>1.55024224219837</v>
      </c>
      <c r="AD64" s="11" t="n">
        <f aca="false">Inputs!$F$159*(0.7*AD19+0.3*AD23*Inputs!$F$150/AD11)*AD33/1000000</f>
        <v>1.50820280377315</v>
      </c>
      <c r="AE64" s="11" t="n">
        <f aca="false">Inputs!$F$159*(0.7*AE19+0.3*AE23*Inputs!$F$150/AE11)*AE33/1000000</f>
        <v>1.55274626089306</v>
      </c>
      <c r="AF64" s="11" t="n">
        <f aca="false">Inputs!$F$159*(0.7*AF19+0.3*AF23*Inputs!$F$150/AF11)*AF33/1000000</f>
        <v>1.62753593938032</v>
      </c>
      <c r="AG64" s="11" t="n">
        <f aca="false">Inputs!$F$159*(0.7*AG19+0.3*AG23*Inputs!$F$150/AG11)*AG33/1000000</f>
        <v>1.63883336377066</v>
      </c>
      <c r="AH64" s="11" t="n">
        <f aca="false">Inputs!$F$159*(0.7*AH19+0.3*AH23*Inputs!$F$150/AH11)*AH33/1000000</f>
        <v>1.64487949176475</v>
      </c>
      <c r="AI64" s="11" t="n">
        <f aca="false">Inputs!$F$159*(0.7*AI19+0.3*AI23*Inputs!$F$150/AI11)*AI33/1000000</f>
        <v>1.66697550727822</v>
      </c>
      <c r="AJ64" s="11" t="n">
        <f aca="false">Inputs!$F$159*(0.7*AJ19+0.3*AJ23*Inputs!$F$150/AJ11)*AJ33/1000000</f>
        <v>1.69477023406105</v>
      </c>
      <c r="AK64" s="11" t="n">
        <f aca="false">Inputs!$F$159*(0.7*AK19+0.3*AK23*Inputs!$F$150/AK11)*AK33/1000000</f>
        <v>1.6925374660253</v>
      </c>
      <c r="AL64" s="11" t="n">
        <f aca="false">Inputs!$F$159*(0.7*AL19+0.3*AL23*Inputs!$F$150/AL11)*AL33/1000000</f>
        <v>1.67041659538538</v>
      </c>
      <c r="AM64" s="11" t="n">
        <f aca="false">Inputs!$F$159*(0.7*AM19+0.3*AM23*Inputs!$F$150/AM11)*AM33/1000000</f>
        <v>1.70726903218634</v>
      </c>
      <c r="AN64" s="11" t="n">
        <f aca="false">Inputs!$F$159*(0.7*AN19+0.3*AN23*Inputs!$F$150/AN11)*AN33/1000000</f>
        <v>1.76476561862151</v>
      </c>
      <c r="AO64" s="11" t="n">
        <f aca="false">Inputs!$F$159*(0.7*AO19+0.3*AO23*Inputs!$F$150/AO11)*AO33/1000000</f>
        <v>1.77700735422708</v>
      </c>
      <c r="AP64" s="11" t="n">
        <f aca="false">Inputs!$F$159*(0.7*AP19+0.3*AP23*Inputs!$F$150/AP11)*AP33/1000000</f>
        <v>1.78355494396795</v>
      </c>
      <c r="AQ64" s="11" t="n">
        <f aca="false">Inputs!$F$159*(0.7*AQ19+0.3*AQ23*Inputs!$F$150/AQ11)*AQ33/1000000</f>
        <v>1.80750539007253</v>
      </c>
      <c r="AR64" s="11" t="n">
        <f aca="false">Inputs!$F$159*(0.7*AR19+0.3*AR23*Inputs!$F$150/AR11)*AR33/1000000</f>
        <v>1.83763469671849</v>
      </c>
      <c r="AS64" s="11" t="n">
        <f aca="false">Inputs!$F$159*(0.7*AS19+0.3*AS23*Inputs!$F$150/AS11)*AS33/1000000</f>
        <v>1.82267137917348</v>
      </c>
      <c r="AT64" s="11" t="n">
        <f aca="false">Inputs!$F$159*(0.7*AT19+0.3*AT23*Inputs!$F$150/AT11)*AT33/1000000</f>
        <v>1.77322770469617</v>
      </c>
      <c r="AU64" s="11" t="n">
        <f aca="false">Inputs!$F$159*(0.7*AU19+0.3*AU23*Inputs!$F$150/AU11)*AU33/1000000</f>
        <v>1.82558142013307</v>
      </c>
      <c r="AV64" s="11" t="n">
        <f aca="false">Inputs!$F$159*(0.7*AV19+0.3*AV23*Inputs!$F$150/AV11)*AV33/1000000</f>
        <v>1.91349462641379</v>
      </c>
      <c r="AW64" s="11" t="n">
        <f aca="false">Inputs!$F$159*(0.7*AW19+0.3*AW23*Inputs!$F$150/AW11)*AW33/1000000</f>
        <v>1.92675899277952</v>
      </c>
      <c r="AX64" s="11" t="n">
        <f aca="false">Inputs!$F$159*(0.7*AX19+0.3*AX23*Inputs!$F$150/AX11)*AX33/1000000</f>
        <v>1.93384924748502</v>
      </c>
      <c r="AY64" s="11" t="n">
        <f aca="false">Inputs!$F$159*(0.7*AY19+0.3*AY23*Inputs!$F$150/AY11)*AY33/1000000</f>
        <v>1.95980867000418</v>
      </c>
      <c r="AZ64" s="11" t="n">
        <f aca="false">Inputs!$F$159*(0.7*AZ19+0.3*AZ23*Inputs!$F$150/AZ11)*AZ33/1000000</f>
        <v>1.99246730254743</v>
      </c>
      <c r="BA64" s="11" t="n">
        <f aca="false">Inputs!$F$159*(0.7*BA19+0.3*BA23*Inputs!$F$150/BA11)*BA33/1000000</f>
        <v>1.98982361077446</v>
      </c>
      <c r="BB64" s="11" t="n">
        <f aca="false">Inputs!$F$159*(0.7*BB19+0.3*BB23*Inputs!$F$150/BB11)*BB33/1000000</f>
        <v>1.96379880711144</v>
      </c>
      <c r="BC64" s="11" t="n">
        <f aca="false">Inputs!$F$159*(0.7*BC19+0.3*BC23*Inputs!$F$150/BC11)*BC33/1000000</f>
        <v>2.00710484595895</v>
      </c>
      <c r="BD64" s="11" t="n">
        <f aca="false">Inputs!$F$159*(0.7*BD19+0.3*BD23*Inputs!$F$150/BD11)*BD33/1000000</f>
        <v>2.07467954632385</v>
      </c>
      <c r="BE64" s="11" t="n">
        <f aca="false">Inputs!$F$159*(0.7*BE19+0.3*BE23*Inputs!$F$150/BE11)*BE33/1000000</f>
        <v>2.08905129811758</v>
      </c>
      <c r="BF64" s="11" t="n">
        <f aca="false">Inputs!$F$159*(0.7*BF19+0.3*BF23*Inputs!$F$150/BF11)*BF33/1000000</f>
        <v>2.09672876785616</v>
      </c>
      <c r="BG64" s="11" t="n">
        <f aca="false">Inputs!$F$159*(0.7*BG19+0.3*BG23*Inputs!$F$150/BG11)*BG33/1000000</f>
        <v>2.1248644849192</v>
      </c>
      <c r="BH64" s="11" t="n">
        <f aca="false">Inputs!$F$159*(0.7*BH19+0.3*BH23*Inputs!$F$150/BH11)*BH33/1000000</f>
        <v>2.16026330239208</v>
      </c>
      <c r="BI64" s="11" t="n">
        <f aca="false">Inputs!$F$159*(0.7*BI19+0.3*BI23*Inputs!$F$150/BI11)*BI33/1000000</f>
        <v>2.14265250347406</v>
      </c>
      <c r="BJ64" s="11" t="n">
        <f aca="false">Inputs!$F$159*(0.7*BJ19+0.3*BJ23*Inputs!$F$150/BJ11)*BJ33/1000000</f>
        <v>2.08450880056514</v>
      </c>
      <c r="BK64" s="11" t="n">
        <f aca="false">Inputs!$F$159*(0.7*BK19+0.3*BK23*Inputs!$F$150/BK11)*BK33/1000000</f>
        <v>2.14603243700465</v>
      </c>
      <c r="BL64" s="11" t="n">
        <f aca="false">Inputs!$F$159*(0.7*BL19+0.3*BL23*Inputs!$F$150/BL11)*BL33/1000000</f>
        <v>2.24935584371113</v>
      </c>
      <c r="BM64" s="11" t="n">
        <f aca="false">Inputs!$F$159*(0.7*BM19+0.3*BM23*Inputs!$F$150/BM11)*BM33/1000000</f>
        <v>1.51499259312435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1080.5146495894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5.51156918375856</v>
      </c>
      <c r="P67" s="11" t="n">
        <f aca="false">P55+P56+P57+P59+P60+P61+P62+P63+P64+P65+P66</f>
        <v>16.7093558382338</v>
      </c>
      <c r="Q67" s="11" t="n">
        <f aca="false">Q55+Q56+Q57+Q59+Q60+Q61+Q62+Q63+Q64+Q65+Q66</f>
        <v>16.8484388321835</v>
      </c>
      <c r="R67" s="11" t="n">
        <f aca="false">R55+R56+R57+R59+R60+R61+R62+R63+R64+R65+R66</f>
        <v>16.9511188003663</v>
      </c>
      <c r="S67" s="11" t="n">
        <f aca="false">S55+S56+S57+S59+S60+S61+S62+S63+S64+S65+S66</f>
        <v>17.1678656694021</v>
      </c>
      <c r="T67" s="11" t="n">
        <f aca="false">T55+T56+T57+T59+T60+T61+T62+T63+T64+T65+T66</f>
        <v>17.4257117539789</v>
      </c>
      <c r="U67" s="11" t="n">
        <f aca="false">U55+U56+U57+U59+U60+U61+U62+U63+U64+U65+U66</f>
        <v>17.4719253766504</v>
      </c>
      <c r="V67" s="11" t="n">
        <f aca="false">V55+V56+V57+V59+V60+V61+V62+V63+V64+V65+V66</f>
        <v>17.3778864109428</v>
      </c>
      <c r="W67" s="11" t="n">
        <f aca="false">W55+W56+W57+W59+W60+W61+W62+W63+W64+W65+W66</f>
        <v>17.702136270133</v>
      </c>
      <c r="X67" s="11" t="n">
        <f aca="false">X55+X56+X57+X59+X60+X61+X62+X63+X64+X65+X66</f>
        <v>18.1737371724365</v>
      </c>
      <c r="Y67" s="11" t="n">
        <f aca="false">Y55+Y56+Y57+Y59+Y60+Y61+Y62+Y63+Y64+Y65+Y66</f>
        <v>18.3253980717504</v>
      </c>
      <c r="Z67" s="11" t="n">
        <f aca="false">Z55+Z56+Z57+Z59+Z60+Z61+Z62+Z63+Z64+Z65+Z66</f>
        <v>18.4373749725235</v>
      </c>
      <c r="AA67" s="11" t="n">
        <f aca="false">AA55+AA56+AA57+AA59+AA60+AA61+AA62+AA63+AA64+AA65+AA66</f>
        <v>18.673701354225</v>
      </c>
      <c r="AB67" s="11" t="n">
        <f aca="false">AB55+AB56+AB57+AB59+AB60+AB61+AB62+AB63+AB64+AB65+AB66</f>
        <v>18.9548321220293</v>
      </c>
      <c r="AC67" s="11" t="n">
        <f aca="false">AC55+AC56+AC57+AC59+AC60+AC61+AC62+AC63+AC64+AC65+AC66</f>
        <v>18.916079496826</v>
      </c>
      <c r="AD67" s="11" t="n">
        <f aca="false">AD55+AD56+AD57+AD59+AD60+AD61+AD62+AD63+AD64+AD65+AD66</f>
        <v>18.6647899880755</v>
      </c>
      <c r="AE67" s="11" t="n">
        <f aca="false">AE55+AE56+AE57+AE59+AE60+AE61+AE62+AE63+AE64+AE65+AE66</f>
        <v>19.0740638710529</v>
      </c>
      <c r="AF67" s="11" t="n">
        <f aca="false">AF55+AF56+AF57+AF59+AF60+AF61+AF62+AF63+AF64+AF65+AF66</f>
        <v>19.7704585204651</v>
      </c>
      <c r="AG67" s="11" t="n">
        <f aca="false">AG55+AG56+AG57+AG59+AG60+AG61+AG62+AG63+AG64+AG65+AG66</f>
        <v>19.9358347656173</v>
      </c>
      <c r="AH67" s="11" t="n">
        <f aca="false">AH55+AH56+AH57+AH59+AH60+AH61+AH62+AH63+AH64+AH65+AH66</f>
        <v>20.0579503525977</v>
      </c>
      <c r="AI67" s="11" t="n">
        <f aca="false">AI55+AI56+AI57+AI59+AI60+AI61+AI62+AI63+AI64+AI65+AI66</f>
        <v>20.3156248521969</v>
      </c>
      <c r="AJ67" s="11" t="n">
        <f aca="false">AJ55+AJ56+AJ57+AJ59+AJ60+AJ61+AJ62+AJ63+AJ64+AJ65+AJ66</f>
        <v>20.6221429104899</v>
      </c>
      <c r="AK67" s="11" t="n">
        <f aca="false">AK55+AK56+AK57+AK59+AK60+AK61+AK62+AK63+AK64+AK65+AK66</f>
        <v>20.6771564595073</v>
      </c>
      <c r="AL67" s="11" t="n">
        <f aca="false">AL55+AL56+AL57+AL59+AL60+AL61+AL62+AL63+AL64+AL65+AL66</f>
        <v>20.5654939336296</v>
      </c>
      <c r="AM67" s="11" t="n">
        <f aca="false">AM55+AM56+AM57+AM59+AM60+AM61+AM62+AM63+AM64+AM65+AM66</f>
        <v>20.9509296788687</v>
      </c>
      <c r="AN67" s="11" t="n">
        <f aca="false">AN55+AN56+AN57+AN59+AN60+AN61+AN62+AN63+AN64+AN65+AN66</f>
        <v>21.5114793165671</v>
      </c>
      <c r="AO67" s="11" t="n">
        <f aca="false">AO55+AO56+AO57+AO59+AO60+AO61+AO62+AO63+AO64+AO65+AO66</f>
        <v>21.6918112052882</v>
      </c>
      <c r="AP67" s="11" t="n">
        <f aca="false">AP55+AP56+AP57+AP59+AP60+AP61+AP62+AP63+AP64+AP65+AP66</f>
        <v>21.8249834437801</v>
      </c>
      <c r="AQ67" s="11" t="n">
        <f aca="false">AQ55+AQ56+AQ57+AQ59+AQ60+AQ61+AQ62+AQ63+AQ64+AQ65+AQ66</f>
        <v>22.1059344160577</v>
      </c>
      <c r="AR67" s="11" t="n">
        <f aca="false">AR55+AR56+AR57+AR59+AR60+AR61+AR62+AR63+AR64+AR65+AR66</f>
        <v>22.440132227828</v>
      </c>
      <c r="AS67" s="11" t="n">
        <f aca="false">AS55+AS56+AS57+AS59+AS60+AS61+AS62+AS63+AS64+AS65+AS66</f>
        <v>22.3941798849536</v>
      </c>
      <c r="AT67" s="11" t="n">
        <f aca="false">AT55+AT56+AT57+AT59+AT60+AT61+AT62+AT63+AT64+AT65+AT66</f>
        <v>22.0963185182145</v>
      </c>
      <c r="AU67" s="11" t="n">
        <f aca="false">AU55+AU56+AU57+AU59+AU60+AU61+AU62+AU63+AU64+AU65+AU66</f>
        <v>22.5821358099365</v>
      </c>
      <c r="AV67" s="11" t="n">
        <f aca="false">AV55+AV56+AV57+AV59+AV60+AV61+AV62+AV63+AV64+AV65+AV66</f>
        <v>23.409839712875</v>
      </c>
      <c r="AW67" s="11" t="n">
        <f aca="false">AW55+AW56+AW57+AW59+AW60+AW61+AW62+AW63+AW64+AW65+AW66</f>
        <v>23.6064797010945</v>
      </c>
      <c r="AX67" s="11" t="n">
        <f aca="false">AX55+AX56+AX57+AX59+AX60+AX61+AX62+AX63+AX64+AX65+AX66</f>
        <v>23.7517096680932</v>
      </c>
      <c r="AY67" s="11" t="n">
        <f aca="false">AY55+AY56+AY57+AY59+AY60+AY61+AY62+AY63+AY64+AY65+AY66</f>
        <v>24.0580396460988</v>
      </c>
      <c r="AZ67" s="11" t="n">
        <f aca="false">AZ55+AZ56+AZ57+AZ59+AZ60+AZ61+AZ62+AZ63+AZ64+AZ65+AZ66</f>
        <v>24.4224166722652</v>
      </c>
      <c r="BA67" s="11" t="n">
        <f aca="false">BA55+BA56+BA57+BA59+BA60+BA61+BA62+BA63+BA64+BA65+BA66</f>
        <v>24.4879058129844</v>
      </c>
      <c r="BB67" s="11" t="n">
        <f aca="false">BB55+BB56+BB57+BB59+BB60+BB61+BB62+BB63+BB64+BB65+BB66</f>
        <v>24.3553176637508</v>
      </c>
      <c r="BC67" s="11" t="n">
        <f aca="false">BC55+BC56+BC57+BC59+BC60+BC61+BC62+BC63+BC64+BC65+BC66</f>
        <v>24.8134843638903</v>
      </c>
      <c r="BD67" s="11" t="n">
        <f aca="false">BD55+BD56+BD57+BD59+BD60+BD61+BD62+BD63+BD64+BD65+BD66</f>
        <v>25.4797582347599</v>
      </c>
      <c r="BE67" s="11" t="n">
        <f aca="false">BE55+BE56+BE57+BE59+BE60+BE61+BE62+BE63+BE64+BE65+BE66</f>
        <v>25.6941810785645</v>
      </c>
      <c r="BF67" s="11" t="n">
        <f aca="false">BF55+BF56+BF57+BF59+BF60+BF61+BF62+BF63+BF64+BF65+BF66</f>
        <v>25.8525604874561</v>
      </c>
      <c r="BG67" s="11" t="n">
        <f aca="false">BG55+BG56+BG57+BG59+BG60+BG61+BG62+BG63+BG64+BG65+BG66</f>
        <v>26.1865619143801</v>
      </c>
      <c r="BH67" s="11" t="n">
        <f aca="false">BH55+BH56+BH57+BH59+BH60+BH61+BH62+BH63+BH64+BH65+BH66</f>
        <v>26.5838433036948</v>
      </c>
      <c r="BI67" s="11" t="n">
        <f aca="false">BI55+BI56+BI57+BI59+BI60+BI61+BI62+BI63+BI64+BI65+BI66</f>
        <v>26.5293543751344</v>
      </c>
      <c r="BJ67" s="11" t="n">
        <f aca="false">BJ55+BJ56+BJ57+BJ59+BJ60+BJ61+BJ62+BJ63+BJ64+BJ65+BJ66</f>
        <v>26.1761792715831</v>
      </c>
      <c r="BK67" s="11" t="n">
        <f aca="false">BK55+BK56+BK57+BK59+BK60+BK61+BK62+BK63+BK64+BK65+BK66</f>
        <v>26.7529677849446</v>
      </c>
      <c r="BL67" s="11" t="n">
        <f aca="false">BL55+BL56+BL57+BL59+BL60+BL61+BL62+BL63+BL64+BL65+BL66</f>
        <v>27.7367382601052</v>
      </c>
      <c r="BM67" s="11" t="n">
        <f aca="false">BM55+BM56+BM57+BM59+BM60+BM61+BM62+BM63+BM64+BM65+BM66</f>
        <v>18.6887601571591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3196.44029463925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16.8176358261111</v>
      </c>
      <c r="P68" s="11" t="n">
        <f aca="false">P37*P36/1000000</f>
        <v>50.4478469251361</v>
      </c>
      <c r="Q68" s="11" t="n">
        <f aca="false">Q37*Q36/1000000</f>
        <v>51.284473506951</v>
      </c>
      <c r="R68" s="11" t="n">
        <f aca="false">R37*R36/1000000</f>
        <v>50.9476228250066</v>
      </c>
      <c r="S68" s="11" t="n">
        <f aca="false">S37*S36/1000000</f>
        <v>52.1264098591153</v>
      </c>
      <c r="T68" s="11" t="n">
        <f aca="false">T37*T36/1000000</f>
        <v>52.4539090064831</v>
      </c>
      <c r="U68" s="11" t="n">
        <f aca="false">U37*U36/1000000</f>
        <v>52.8863724731734</v>
      </c>
      <c r="V68" s="11" t="n">
        <f aca="false">V37*V36/1000000</f>
        <v>51.6616676192182</v>
      </c>
      <c r="W68" s="11" t="n">
        <f aca="false">W37*W36/1000000</f>
        <v>53.3069392386773</v>
      </c>
      <c r="X68" s="11" t="n">
        <f aca="false">X37*X36/1000000</f>
        <v>54.5389355158606</v>
      </c>
      <c r="Y68" s="11" t="n">
        <f aca="false">Y37*Y36/1000000</f>
        <v>55.4429985043437</v>
      </c>
      <c r="Z68" s="11" t="n">
        <f aca="false">Z37*Z36/1000000</f>
        <v>55.0784258176332</v>
      </c>
      <c r="AA68" s="11" t="n">
        <f aca="false">AA37*AA36/1000000</f>
        <v>56.3523709250487</v>
      </c>
      <c r="AB68" s="11" t="n">
        <f aca="false">AB37*AB36/1000000</f>
        <v>56.7060007929824</v>
      </c>
      <c r="AC68" s="11" t="n">
        <f aca="false">AC37*AC36/1000000</f>
        <v>56.782626989996</v>
      </c>
      <c r="AD68" s="11" t="n">
        <f aca="false">AD37*AD36/1000000</f>
        <v>54.6774893791246</v>
      </c>
      <c r="AE68" s="11" t="n">
        <f aca="false">AE37*AE36/1000000</f>
        <v>56.8305996187222</v>
      </c>
      <c r="AF68" s="11" t="n">
        <f aca="false">AF37*AF36/1000000</f>
        <v>58.9582974180501</v>
      </c>
      <c r="AG68" s="11" t="n">
        <f aca="false">AG37*AG36/1000000</f>
        <v>59.9351727493671</v>
      </c>
      <c r="AH68" s="11" t="n">
        <f aca="false">AH37*AH36/1000000</f>
        <v>59.5406188255441</v>
      </c>
      <c r="AI68" s="11" t="n">
        <f aca="false">AI37*AI36/1000000</f>
        <v>60.9173201211316</v>
      </c>
      <c r="AJ68" s="11" t="n">
        <f aca="false">AJ37*AJ36/1000000</f>
        <v>61.299140695914</v>
      </c>
      <c r="AK68" s="11" t="n">
        <f aca="false">AK37*AK36/1000000</f>
        <v>61.8036119691224</v>
      </c>
      <c r="AL68" s="11" t="n">
        <f aca="false">AL37*AL36/1000000</f>
        <v>60.3715109630511</v>
      </c>
      <c r="AM68" s="11" t="n">
        <f aca="false">AM37*AM36/1000000</f>
        <v>62.2932392905827</v>
      </c>
      <c r="AN68" s="11" t="n">
        <f aca="false">AN37*AN36/1000000</f>
        <v>63.731973307471</v>
      </c>
      <c r="AO68" s="11" t="n">
        <f aca="false">AO37*AO36/1000000</f>
        <v>64.7874602853357</v>
      </c>
      <c r="AP68" s="11" t="n">
        <f aca="false">AP37*AP36/1000000</f>
        <v>64.3604836292912</v>
      </c>
      <c r="AQ68" s="11" t="n">
        <f aca="false">AQ37*AQ36/1000000</f>
        <v>65.8481386760531</v>
      </c>
      <c r="AR68" s="11" t="n">
        <f aca="false">AR37*AR36/1000000</f>
        <v>66.2603701344099</v>
      </c>
      <c r="AS68" s="11" t="n">
        <f aca="false">AS37*AS36/1000000</f>
        <v>66.3489177188975</v>
      </c>
      <c r="AT68" s="11" t="n">
        <f aca="false">AT37*AT36/1000000</f>
        <v>63.8881699515072</v>
      </c>
      <c r="AU68" s="11" t="n">
        <f aca="false">AU37*AU36/1000000</f>
        <v>66.4029906128666</v>
      </c>
      <c r="AV68" s="11" t="n">
        <f aca="false">AV37*AV36/1000000</f>
        <v>68.8880432636305</v>
      </c>
      <c r="AW68" s="11" t="n">
        <f aca="false">AW37*AW36/1000000</f>
        <v>70.0283974404261</v>
      </c>
      <c r="AX68" s="11" t="n">
        <f aca="false">AX37*AX36/1000000</f>
        <v>69.5663597482435</v>
      </c>
      <c r="AY68" s="11" t="n">
        <f aca="false">AY37*AY36/1000000</f>
        <v>71.1738122108115</v>
      </c>
      <c r="AZ68" s="11" t="n">
        <f aca="false">AZ37*AZ36/1000000</f>
        <v>71.6188471778873</v>
      </c>
      <c r="BA68" s="11" t="n">
        <f aca="false">BA37*BA36/1000000</f>
        <v>72.2071650341476</v>
      </c>
      <c r="BB68" s="11" t="n">
        <f aca="false">BB37*BB36/1000000</f>
        <v>70.5329383517851</v>
      </c>
      <c r="BC68" s="11" t="n">
        <f aca="false">BC37*BC36/1000000</f>
        <v>72.7770314631165</v>
      </c>
      <c r="BD68" s="11" t="n">
        <f aca="false">BD37*BD36/1000000</f>
        <v>74.456784139442</v>
      </c>
      <c r="BE68" s="11" t="n">
        <f aca="false">BE37*BE36/1000000</f>
        <v>75.6887527095342</v>
      </c>
      <c r="BF68" s="11" t="n">
        <f aca="false">BF37*BF36/1000000</f>
        <v>75.1888031752521</v>
      </c>
      <c r="BG68" s="11" t="n">
        <f aca="false">BG37*BG36/1000000</f>
        <v>76.9255930467068</v>
      </c>
      <c r="BH68" s="11" t="n">
        <f aca="false">BH37*BH36/1000000</f>
        <v>77.4060097737482</v>
      </c>
      <c r="BI68" s="11" t="n">
        <f aca="false">BI37*BI36/1000000</f>
        <v>77.5082864356537</v>
      </c>
      <c r="BJ68" s="11" t="n">
        <f aca="false">BJ37*BJ36/1000000</f>
        <v>74.6325372890276</v>
      </c>
      <c r="BK68" s="11" t="n">
        <f aca="false">BK37*BK36/1000000</f>
        <v>77.5691192177307</v>
      </c>
      <c r="BL68" s="11" t="n">
        <f aca="false">BL37*BL36/1000000</f>
        <v>80.4708388604413</v>
      </c>
      <c r="BM68" s="11" t="n">
        <f aca="false">BM37*BM36/1000000</f>
        <v>54.7112341294859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5027.51659060296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26.3249799951398</v>
      </c>
      <c r="P69" s="11" t="n">
        <f aca="false">P68+P47+P48+P49</f>
        <v>79.3975271250786</v>
      </c>
      <c r="Q69" s="11" t="n">
        <f aca="false">Q68+Q47+Q48+Q49</f>
        <v>79.6217093563916</v>
      </c>
      <c r="R69" s="11" t="n">
        <f aca="false">R68+R47+R48+R49</f>
        <v>80.9036730983693</v>
      </c>
      <c r="S69" s="11" t="n">
        <f aca="false">S68+S47+S48+S49</f>
        <v>81.1427093191288</v>
      </c>
      <c r="T69" s="11" t="n">
        <f aca="false">T68+T47+T48+T49</f>
        <v>82.4706440488968</v>
      </c>
      <c r="U69" s="11" t="n">
        <f aca="false">U68+U47+U48+U49</f>
        <v>83.1377446435563</v>
      </c>
      <c r="V69" s="11" t="n">
        <f aca="false">V68+V47+V48+V49</f>
        <v>83.9944951685714</v>
      </c>
      <c r="W69" s="11" t="n">
        <f aca="false">W68+W47+W48+W49</f>
        <v>84.2564030035845</v>
      </c>
      <c r="X69" s="11" t="n">
        <f aca="false">X68+X47+X48+X49</f>
        <v>85.6638340033872</v>
      </c>
      <c r="Y69" s="11" t="n">
        <f aca="false">Y68+Y47+Y48+Y49</f>
        <v>85.9064405005006</v>
      </c>
      <c r="Z69" s="11" t="n">
        <f aca="false">Z68+Z47+Z48+Z49</f>
        <v>87.2902926661826</v>
      </c>
      <c r="AA69" s="11" t="n">
        <f aca="false">AA68+AA47+AA48+AA49</f>
        <v>87.5487441605468</v>
      </c>
      <c r="AB69" s="11" t="n">
        <f aca="false">AB68+AB47+AB48+AB49</f>
        <v>88.9818244116784</v>
      </c>
      <c r="AC69" s="11" t="n">
        <f aca="false">AC68+AC47+AC48+AC49</f>
        <v>89.6907351384859</v>
      </c>
      <c r="AD69" s="11" t="n">
        <f aca="false">AD68+AD47+AD48+AD49</f>
        <v>90.5921038561856</v>
      </c>
      <c r="AE69" s="11" t="n">
        <f aca="false">AE68+AE47+AE48+AE49</f>
        <v>90.8866976417375</v>
      </c>
      <c r="AF69" s="11" t="n">
        <f aca="false">AF68+AF47+AF48+AF49</f>
        <v>92.4295299532465</v>
      </c>
      <c r="AG69" s="11" t="n">
        <f aca="false">AG68+AG47+AG48+AG49</f>
        <v>92.6920756152117</v>
      </c>
      <c r="AH69" s="11" t="n">
        <f aca="false">AH68+AH47+AH48+AH49</f>
        <v>94.1859833765082</v>
      </c>
      <c r="AI69" s="11" t="n">
        <f aca="false">AI68+AI47+AI48+AI49</f>
        <v>94.4654320246763</v>
      </c>
      <c r="AJ69" s="11" t="n">
        <f aca="false">AJ68+AJ47+AJ48+AJ49</f>
        <v>96.0120600165771</v>
      </c>
      <c r="AK69" s="11" t="n">
        <f aca="false">AK68+AK47+AK48+AK49</f>
        <v>96.7912582658146</v>
      </c>
      <c r="AL69" s="11" t="n">
        <f aca="false">AL68+AL47+AL48+AL49</f>
        <v>97.7909956182829</v>
      </c>
      <c r="AM69" s="11" t="n">
        <f aca="false">AM68+AM47+AM48+AM49</f>
        <v>98.0965803541702</v>
      </c>
      <c r="AN69" s="11" t="n">
        <f aca="false">AN68+AN47+AN48+AN49</f>
        <v>99.7347264495301</v>
      </c>
      <c r="AO69" s="11" t="n">
        <f aca="false">AO68+AO47+AO48+AO49</f>
        <v>100.018850814045</v>
      </c>
      <c r="AP69" s="11" t="n">
        <f aca="false">AP68+AP47+AP48+AP49</f>
        <v>101.631640387419</v>
      </c>
      <c r="AQ69" s="11" t="n">
        <f aca="false">AQ68+AQ47+AQ48+AQ49</f>
        <v>101.933797317948</v>
      </c>
      <c r="AR69" s="11" t="n">
        <f aca="false">AR68+AR47+AR48+AR49</f>
        <v>103.603051619334</v>
      </c>
      <c r="AS69" s="11" t="n">
        <f aca="false">AS68+AS47+AS48+AS49</f>
        <v>104.431670294706</v>
      </c>
      <c r="AT69" s="11" t="n">
        <f aca="false">AT68+AT47+AT48+AT49</f>
        <v>105.484600967501</v>
      </c>
      <c r="AU69" s="11" t="n">
        <f aca="false">AU68+AU47+AU48+AU49</f>
        <v>105.827837267629</v>
      </c>
      <c r="AV69" s="11" t="n">
        <f aca="false">AV68+AV47+AV48+AV49</f>
        <v>107.622776794611</v>
      </c>
      <c r="AW69" s="11" t="n">
        <f aca="false">AW68+AW47+AW48+AW49</f>
        <v>107.930254299173</v>
      </c>
      <c r="AX69" s="11" t="n">
        <f aca="false">AX68+AX47+AX48+AX49</f>
        <v>109.671464401857</v>
      </c>
      <c r="AY69" s="11" t="n">
        <f aca="false">AY68+AY47+AY48+AY49</f>
        <v>109.9981805772</v>
      </c>
      <c r="AZ69" s="11" t="n">
        <f aca="false">AZ68+AZ47+AZ48+AZ49</f>
        <v>111.799870862342</v>
      </c>
      <c r="BA69" s="11" t="n">
        <f aca="false">BA68+BA47+BA48+BA49</f>
        <v>112.710104018127</v>
      </c>
      <c r="BB69" s="11" t="n">
        <f aca="false">BB68+BB47+BB48+BB49</f>
        <v>113.876864161718</v>
      </c>
      <c r="BC69" s="11" t="n">
        <f aca="false">BC68+BC47+BC48+BC49</f>
        <v>114.233455411533</v>
      </c>
      <c r="BD69" s="11" t="n">
        <f aca="false">BD68+BD47+BD48+BD49</f>
        <v>116.140539393183</v>
      </c>
      <c r="BE69" s="11" t="n">
        <f aca="false">BE68+BE47+BE48+BE49</f>
        <v>116.473290481475</v>
      </c>
      <c r="BF69" s="11" t="n">
        <f aca="false">BF68+BF47+BF48+BF49</f>
        <v>118.353230140789</v>
      </c>
      <c r="BG69" s="11" t="n">
        <f aca="false">BG68+BG47+BG48+BG49</f>
        <v>118.706507811467</v>
      </c>
      <c r="BH69" s="11" t="n">
        <f aca="false">BH68+BH47+BH48+BH49</f>
        <v>120.651234069097</v>
      </c>
      <c r="BI69" s="11" t="n">
        <f aca="false">BI68+BI47+BI48+BI49</f>
        <v>121.619861036393</v>
      </c>
      <c r="BJ69" s="11" t="n">
        <f aca="false">BJ68+BJ47+BJ48+BJ49</f>
        <v>122.849981407485</v>
      </c>
      <c r="BK69" s="11" t="n">
        <f aca="false">BK68+BK47+BK48+BK49</f>
        <v>123.249958713875</v>
      </c>
      <c r="BL69" s="11" t="n">
        <f aca="false">BL68+BL47+BL48+BL49</f>
        <v>125.338662487823</v>
      </c>
      <c r="BM69" s="11" t="n">
        <f aca="false">BM68+BM47+BM48+BM49</f>
        <v>83.3497060547867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6178.90989270219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31.8365491788984</v>
      </c>
      <c r="P78" s="11" t="n">
        <f aca="false">P67+P69+P70+P71+P74+P77</f>
        <v>96.2055286965001</v>
      </c>
      <c r="Q78" s="11" t="n">
        <f aca="false">Q67+Q69+Q70+Q71+Q74+Q77</f>
        <v>96.4828996177037</v>
      </c>
      <c r="R78" s="11" t="n">
        <f aca="false">R67+R69+R70+R71+R74+R77</f>
        <v>97.8547918987356</v>
      </c>
      <c r="S78" s="11" t="n">
        <f aca="false">S67+S69+S70+S71+S74+S77</f>
        <v>98.3105749885309</v>
      </c>
      <c r="T78" s="11" t="n">
        <f aca="false">T67+T69+T70+T71+T74+T77</f>
        <v>99.8963558028758</v>
      </c>
      <c r="U78" s="11" t="n">
        <f aca="false">U67+U69+U70+U71+U74+U77</f>
        <v>100.609670020207</v>
      </c>
      <c r="V78" s="11" t="n">
        <f aca="false">V67+V69+V70+V71+V74+V77</f>
        <v>103.869991394243</v>
      </c>
      <c r="W78" s="11" t="n">
        <f aca="false">W67+W69+W70+W71+W74+W77</f>
        <v>101.958539273718</v>
      </c>
      <c r="X78" s="11" t="n">
        <f aca="false">X67+X69+X70+X71+X74+X77</f>
        <v>103.837571175824</v>
      </c>
      <c r="Y78" s="11" t="n">
        <f aca="false">Y67+Y69+Y70+Y71+Y74+Y77</f>
        <v>104.231838572251</v>
      </c>
      <c r="Z78" s="11" t="n">
        <f aca="false">Z67+Z69+Z70+Z71+Z74+Z77</f>
        <v>105.727667638706</v>
      </c>
      <c r="AA78" s="11" t="n">
        <f aca="false">AA67+AA69+AA70+AA71+AA74+AA77</f>
        <v>106.222445514772</v>
      </c>
      <c r="AB78" s="11" t="n">
        <f aca="false">AB67+AB69+AB70+AB71+AB74+AB77</f>
        <v>107.936656533708</v>
      </c>
      <c r="AC78" s="11" t="n">
        <f aca="false">AC67+AC69+AC70+AC71+AC74+AC77</f>
        <v>108.606814635312</v>
      </c>
      <c r="AD78" s="11" t="n">
        <f aca="false">AD67+AD69+AD70+AD71+AD74+AD77</f>
        <v>121.093349106062</v>
      </c>
      <c r="AE78" s="11" t="n">
        <f aca="false">AE67+AE69+AE70+AE71+AE74+AE77</f>
        <v>109.96076151279</v>
      </c>
      <c r="AF78" s="11" t="n">
        <f aca="false">AF67+AF69+AF70+AF71+AF74+AF77</f>
        <v>112.199988473712</v>
      </c>
      <c r="AG78" s="11" t="n">
        <f aca="false">AG67+AG69+AG70+AG71+AG74+AG77</f>
        <v>112.627910380829</v>
      </c>
      <c r="AH78" s="11" t="n">
        <f aca="false">AH67+AH69+AH70+AH71+AH74+AH77</f>
        <v>114.243933729106</v>
      </c>
      <c r="AI78" s="11" t="n">
        <f aca="false">AI67+AI69+AI70+AI71+AI74+AI77</f>
        <v>114.781056876873</v>
      </c>
      <c r="AJ78" s="11" t="n">
        <f aca="false">AJ67+AJ69+AJ70+AJ71+AJ74+AJ77</f>
        <v>116.634202927067</v>
      </c>
      <c r="AK78" s="11" t="n">
        <f aca="false">AK67+AK69+AK70+AK71+AK74+AK77</f>
        <v>117.468414725322</v>
      </c>
      <c r="AL78" s="11" t="n">
        <f aca="false">AL67+AL69+AL70+AL71+AL74+AL77</f>
        <v>121.329057281408</v>
      </c>
      <c r="AM78" s="11" t="n">
        <f aca="false">AM67+AM69+AM70+AM71+AM74+AM77</f>
        <v>119.047510033039</v>
      </c>
      <c r="AN78" s="11" t="n">
        <f aca="false">AN67+AN69+AN70+AN71+AN74+AN77</f>
        <v>121.246205766097</v>
      </c>
      <c r="AO78" s="11" t="n">
        <f aca="false">AO67+AO69+AO70+AO71+AO74+AO77</f>
        <v>121.710662019334</v>
      </c>
      <c r="AP78" s="11" t="n">
        <f aca="false">AP67+AP69+AP70+AP71+AP74+AP77</f>
        <v>123.456623831199</v>
      </c>
      <c r="AQ78" s="11" t="n">
        <f aca="false">AQ67+AQ69+AQ70+AQ71+AQ74+AQ77</f>
        <v>124.039731734006</v>
      </c>
      <c r="AR78" s="11" t="n">
        <f aca="false">AR67+AR69+AR70+AR71+AR74+AR77</f>
        <v>126.043183847162</v>
      </c>
      <c r="AS78" s="11" t="n">
        <f aca="false">AS67+AS69+AS70+AS71+AS74+AS77</f>
        <v>126.82585017966</v>
      </c>
      <c r="AT78" s="11" t="n">
        <f aca="false">AT67+AT69+AT70+AT71+AT74+AT77</f>
        <v>141.668253998637</v>
      </c>
      <c r="AU78" s="11" t="n">
        <f aca="false">AU67+AU69+AU70+AU71+AU74+AU77</f>
        <v>128.409973077566</v>
      </c>
      <c r="AV78" s="11" t="n">
        <f aca="false">AV67+AV69+AV70+AV71+AV74+AV77</f>
        <v>131.032616507486</v>
      </c>
      <c r="AW78" s="11" t="n">
        <f aca="false">AW67+AW69+AW70+AW71+AW74+AW77</f>
        <v>131.536734000267</v>
      </c>
      <c r="AX78" s="11" t="n">
        <f aca="false">AX67+AX69+AX70+AX71+AX74+AX77</f>
        <v>133.42317406995</v>
      </c>
      <c r="AY78" s="11" t="n">
        <f aca="false">AY67+AY69+AY70+AY71+AY74+AY77</f>
        <v>134.056220223299</v>
      </c>
      <c r="AZ78" s="11" t="n">
        <f aca="false">AZ67+AZ69+AZ70+AZ71+AZ74+AZ77</f>
        <v>136.222287534607</v>
      </c>
      <c r="BA78" s="11" t="n">
        <f aca="false">BA67+BA69+BA70+BA71+BA74+BA77</f>
        <v>137.198009831111</v>
      </c>
      <c r="BB78" s="11" t="n">
        <f aca="false">BB67+BB69+BB70+BB71+BB74+BB77</f>
        <v>141.77002783101</v>
      </c>
      <c r="BC78" s="11" t="n">
        <f aca="false">BC67+BC69+BC70+BC71+BC74+BC77</f>
        <v>139.046939775423</v>
      </c>
      <c r="BD78" s="11" t="n">
        <f aca="false">BD67+BD69+BD70+BD71+BD74+BD77</f>
        <v>141.620297627943</v>
      </c>
      <c r="BE78" s="11" t="n">
        <f aca="false">BE67+BE69+BE70+BE71+BE74+BE77</f>
        <v>142.167471560039</v>
      </c>
      <c r="BF78" s="11" t="n">
        <f aca="false">BF67+BF69+BF70+BF71+BF74+BF77</f>
        <v>144.205790628245</v>
      </c>
      <c r="BG78" s="11" t="n">
        <f aca="false">BG67+BG69+BG70+BG71+BG74+BG77</f>
        <v>144.893069725847</v>
      </c>
      <c r="BH78" s="11" t="n">
        <f aca="false">BH67+BH69+BH70+BH71+BH74+BH77</f>
        <v>147.235077372792</v>
      </c>
      <c r="BI78" s="11" t="n">
        <f aca="false">BI67+BI69+BI70+BI71+BI74+BI77</f>
        <v>148.149215411528</v>
      </c>
      <c r="BJ78" s="11" t="n">
        <f aca="false">BJ67+BJ69+BJ70+BJ71+BJ74+BJ77</f>
        <v>165.792412845746</v>
      </c>
      <c r="BK78" s="11" t="n">
        <f aca="false">BK67+BK69+BK70+BK71+BK74+BK77</f>
        <v>150.00292649882</v>
      </c>
      <c r="BL78" s="11" t="n">
        <f aca="false">BL67+BL69+BL70+BL71+BL74+BL77</f>
        <v>153.075400747929</v>
      </c>
      <c r="BM78" s="11" t="n">
        <f aca="false">BM67+BM69+BM70+BM71+BM74+BM77</f>
        <v>121.1076560683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2498.50263514588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16.2433376550328</v>
      </c>
      <c r="P79" s="11" t="n">
        <f aca="false">P51-P78+P53</f>
        <v>48.7201187362219</v>
      </c>
      <c r="Q79" s="11" t="n">
        <f aca="false">Q51-Q78+Q53</f>
        <v>48.9156087405997</v>
      </c>
      <c r="R79" s="11" t="n">
        <f aca="false">R51-R78+R53</f>
        <v>49.0586105535982</v>
      </c>
      <c r="S79" s="11" t="n">
        <f aca="false">S51-S78+S53</f>
        <v>49.1287220282545</v>
      </c>
      <c r="T79" s="11" t="n">
        <f aca="false">T51-T78+T53</f>
        <v>49.1762019820658</v>
      </c>
      <c r="U79" s="11" t="n">
        <f aca="false">U51-U78+U53</f>
        <v>49.3458663926255</v>
      </c>
      <c r="V79" s="11" t="n">
        <f aca="false">V51-V78+V53</f>
        <v>47.0976560459621</v>
      </c>
      <c r="W79" s="11" t="n">
        <f aca="false">W51-W78+W53</f>
        <v>49.6129793104435</v>
      </c>
      <c r="X79" s="11" t="n">
        <f aca="false">X51-X78+X53</f>
        <v>49.5483931461664</v>
      </c>
      <c r="Y79" s="11" t="n">
        <f aca="false">Y51-Y78+Y53</f>
        <v>49.667143164262</v>
      </c>
      <c r="Z79" s="11" t="n">
        <f aca="false">Z51-Z78+Z53</f>
        <v>49.8095321070796</v>
      </c>
      <c r="AA79" s="11" t="n">
        <f aca="false">AA51-AA78+AA53</f>
        <v>49.8847561832559</v>
      </c>
      <c r="AB79" s="11" t="n">
        <f aca="false">AB51-AB78+AB53</f>
        <v>49.9359540858772</v>
      </c>
      <c r="AC79" s="11" t="n">
        <f aca="false">AC51-AC78+AC53</f>
        <v>50.1713665909203</v>
      </c>
      <c r="AD79" s="11" t="n">
        <f aca="false">AD51-AD78+AD53</f>
        <v>37.7585511666266</v>
      </c>
      <c r="AE79" s="11" t="n">
        <f aca="false">AE51-AE78+AE53</f>
        <v>50.5154131282282</v>
      </c>
      <c r="AF79" s="11" t="n">
        <f aca="false">AF51-AF78+AF53</f>
        <v>50.3395269284046</v>
      </c>
      <c r="AG79" s="11" t="n">
        <f aca="false">AG51-AG78+AG53</f>
        <v>50.4682103200695</v>
      </c>
      <c r="AH79" s="11" t="n">
        <f aca="false">AH51-AH78+AH53</f>
        <v>50.6238583749723</v>
      </c>
      <c r="AI79" s="11" t="n">
        <f aca="false">AI51-AI78+AI53</f>
        <v>50.704574346145</v>
      </c>
      <c r="AJ79" s="11" t="n">
        <f aca="false">AJ51-AJ78+AJ53</f>
        <v>50.7597809115617</v>
      </c>
      <c r="AK79" s="11" t="n">
        <f aca="false">AK51-AK78+AK53</f>
        <v>50.9611580168653</v>
      </c>
      <c r="AL79" s="11" t="n">
        <f aca="false">AL51-AL78+AL53</f>
        <v>48.2885888926271</v>
      </c>
      <c r="AM79" s="11" t="n">
        <f aca="false">AM51-AM78+AM53</f>
        <v>51.2781960464171</v>
      </c>
      <c r="AN79" s="11" t="n">
        <f aca="false">AN51-AN78+AN53</f>
        <v>51.1974135388725</v>
      </c>
      <c r="AO79" s="11" t="n">
        <f aca="false">AO51-AO78+AO53</f>
        <v>51.336876823871</v>
      </c>
      <c r="AP79" s="11" t="n">
        <f aca="false">AP51-AP78+AP53</f>
        <v>51.5070072245019</v>
      </c>
      <c r="AQ79" s="11" t="n">
        <f aca="false">AQ51-AQ78+AQ53</f>
        <v>51.5936232045386</v>
      </c>
      <c r="AR79" s="11" t="n">
        <f aca="false">AR51-AR78+AR53</f>
        <v>51.6531517842678</v>
      </c>
      <c r="AS79" s="11" t="n">
        <f aca="false">AS51-AS78+AS53</f>
        <v>51.9338653666672</v>
      </c>
      <c r="AT79" s="11" t="n">
        <f aca="false">AT51-AT78+AT53</f>
        <v>37.2769835065605</v>
      </c>
      <c r="AU79" s="11" t="n">
        <f aca="false">AU51-AU78+AU53</f>
        <v>52.3435586858699</v>
      </c>
      <c r="AV79" s="11" t="n">
        <f aca="false">AV51-AV78+AV53</f>
        <v>52.1277533485144</v>
      </c>
      <c r="AW79" s="11" t="n">
        <f aca="false">AW51-AW78+AW53</f>
        <v>52.2789164432885</v>
      </c>
      <c r="AX79" s="11" t="n">
        <f aca="false">AX51-AX78+AX53</f>
        <v>52.4648644583208</v>
      </c>
      <c r="AY79" s="11" t="n">
        <f aca="false">AY51-AY78+AY53</f>
        <v>52.5578196376803</v>
      </c>
      <c r="AZ79" s="11" t="n">
        <f aca="false">AZ51-AZ78+AZ53</f>
        <v>52.6220079696134</v>
      </c>
      <c r="BA79" s="11" t="n">
        <f aca="false">BA51-BA78+BA53</f>
        <v>52.8610696637149</v>
      </c>
      <c r="BB79" s="11" t="n">
        <f aca="false">BB51-BB78+BB53</f>
        <v>49.6838924276788</v>
      </c>
      <c r="BC79" s="11" t="n">
        <f aca="false">BC51-BC78+BC53</f>
        <v>53.2373995812584</v>
      </c>
      <c r="BD79" s="11" t="n">
        <f aca="false">BD51-BD78+BD53</f>
        <v>53.1367387894982</v>
      </c>
      <c r="BE79" s="11" t="n">
        <f aca="false">BE51-BE78+BE53</f>
        <v>53.3006014683528</v>
      </c>
      <c r="BF79" s="11" t="n">
        <f aca="false">BF51-BF78+BF53</f>
        <v>53.5038246043454</v>
      </c>
      <c r="BG79" s="11" t="n">
        <f aca="false">BG51-BG78+BG53</f>
        <v>53.6035916889053</v>
      </c>
      <c r="BH79" s="11" t="n">
        <f aca="false">BH51-BH78+BH53</f>
        <v>53.6728037794667</v>
      </c>
      <c r="BI79" s="11" t="n">
        <f aca="false">BI51-BI78+BI53</f>
        <v>54.0075371749411</v>
      </c>
      <c r="BJ79" s="11" t="n">
        <f aca="false">BJ51-BJ78+BJ53</f>
        <v>36.6806564994079</v>
      </c>
      <c r="BK79" s="11" t="n">
        <f aca="false">BK51-BK78+BK53</f>
        <v>54.4953954718453</v>
      </c>
      <c r="BL79" s="11" t="n">
        <f aca="false">BL51-BL78+BL53</f>
        <v>54.231097226886</v>
      </c>
      <c r="BM79" s="11" t="n">
        <f aca="false">BM51-BM78+BM53</f>
        <v>17.1800799227268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35.4687689758509</v>
      </c>
      <c r="P83" s="11" t="n">
        <f aca="false">(1-P81)*(P51/MAX(Time!P26,1)*Inputs!$F$165+P50/MAX(Time!P26,1)*P82)</f>
        <v>35.4437724699592</v>
      </c>
      <c r="Q83" s="11" t="n">
        <f aca="false">(1-Q81)*(Q51/MAX(Time!Q26,1)*Inputs!$F$165+Q50/MAX(Time!Q26,1)*Q82)</f>
        <v>36.1488004205727</v>
      </c>
      <c r="R83" s="11" t="n">
        <f aca="false">(1-R81)*(R51/MAX(Time!R26,1)*Inputs!$F$165+R50/MAX(Time!R26,1)*R82)</f>
        <v>35.9299082084512</v>
      </c>
      <c r="S83" s="11" t="n">
        <f aca="false">(1-S81)*(S51/MAX(Time!S26,1)*Inputs!$F$165+S50/MAX(Time!S26,1)*S82)</f>
        <v>36.6561788163279</v>
      </c>
      <c r="T83" s="11" t="n">
        <f aca="false">(1-T81)*(T51/MAX(Time!T26,1)*Inputs!$F$165+T50/MAX(Time!T26,1)*T82)</f>
        <v>36.457962501752</v>
      </c>
      <c r="U83" s="11" t="n">
        <f aca="false">(1-U81)*(U51/MAX(Time!U26,1)*Inputs!$F$165+U50/MAX(Time!U26,1)*U82)</f>
        <v>37.0769183438321</v>
      </c>
      <c r="V83" s="11" t="n">
        <f aca="false">(1-V81)*(V51/MAX(Time!V26,1)*Inputs!$F$165+V50/MAX(Time!V26,1)*V82)</f>
        <v>36.9214355152677</v>
      </c>
      <c r="W83" s="11" t="n">
        <f aca="false">(1-W81)*(W51/MAX(Time!W26,1)*Inputs!$F$165+W50/MAX(Time!W26,1)*W82)</f>
        <v>37.6835267198191</v>
      </c>
      <c r="X83" s="11" t="n">
        <f aca="false">(1-X81)*(X51/MAX(Time!X26,1)*Inputs!$F$165+X50/MAX(Time!X26,1)*X82)</f>
        <v>37.5128717091824</v>
      </c>
      <c r="Y83" s="11" t="n">
        <f aca="false">(1-Y81)*(Y51/MAX(Time!Y26,1)*Inputs!$F$165+Y50/MAX(Time!Y26,1)*Y82)</f>
        <v>38.2621777797961</v>
      </c>
      <c r="Z83" s="11" t="n">
        <f aca="false">(1-Z81)*(Z51/MAX(Time!Z26,1)*Inputs!$F$165+Z50/MAX(Time!Z26,1)*Z82)</f>
        <v>38.0389890682628</v>
      </c>
      <c r="AA83" s="11" t="n">
        <f aca="false">(1-AA81)*(AA51/MAX(Time!AA26,1)*Inputs!$F$165+AA50/MAX(Time!AA26,1)*AA82)</f>
        <v>38.8111827426036</v>
      </c>
      <c r="AB83" s="11" t="n">
        <f aca="false">(1-AB81)*(AB51/MAX(Time!AB26,1)*Inputs!$F$165+AB50/MAX(Time!AB26,1)*AB82)</f>
        <v>38.6101493363115</v>
      </c>
      <c r="AC83" s="11" t="n">
        <f aca="false">(1-AC81)*(AC51/MAX(Time!AC26,1)*Inputs!$F$165+AC50/MAX(Time!AC26,1)*AC82)</f>
        <v>39.2583415119805</v>
      </c>
      <c r="AD83" s="11" t="n">
        <f aca="false">(1-AD81)*(AD51/MAX(Time!AD26,1)*Inputs!$F$165+AD50/MAX(Time!AD26,1)*AD82)</f>
        <v>38.8496495232118</v>
      </c>
      <c r="AE83" s="11" t="n">
        <f aca="false">(1-AE81)*(AE51/MAX(Time!AE26,1)*Inputs!$F$165+AE50/MAX(Time!AE26,1)*AE82)</f>
        <v>39.8973914853361</v>
      </c>
      <c r="AF83" s="11" t="n">
        <f aca="false">(1-AF81)*(AF51/MAX(Time!AF26,1)*Inputs!$F$165+AF50/MAX(Time!AF26,1)*AF82)</f>
        <v>39.7515119189958</v>
      </c>
      <c r="AG83" s="11" t="n">
        <f aca="false">(1-AG81)*(AG51/MAX(Time!AG26,1)*Inputs!$F$165+AG50/MAX(Time!AG26,1)*AG82)</f>
        <v>40.5487592902786</v>
      </c>
      <c r="AH83" s="11" t="n">
        <f aca="false">(1-AH81)*(AH51/MAX(Time!AH26,1)*Inputs!$F$165+AH50/MAX(Time!AH26,1)*AH82)</f>
        <v>40.3209274167583</v>
      </c>
      <c r="AI83" s="11" t="n">
        <f aca="false">(1-AI81)*(AI51/MAX(Time!AI26,1)*Inputs!$F$165+AI50/MAX(Time!AI26,1)*AI82)</f>
        <v>41.1428364919106</v>
      </c>
      <c r="AJ83" s="11" t="n">
        <f aca="false">(1-AJ81)*(AJ51/MAX(Time!AJ26,1)*Inputs!$F$165+AJ50/MAX(Time!AJ26,1)*AJ82)</f>
        <v>40.9387460474907</v>
      </c>
      <c r="AK83" s="11" t="n">
        <f aca="false">(1-AK81)*(AK51/MAX(Time!AK26,1)*Inputs!$F$165+AK50/MAX(Time!AK26,1)*AK82)</f>
        <v>41.6446745791122</v>
      </c>
      <c r="AL83" s="11" t="n">
        <f aca="false">(1-AL81)*(AL51/MAX(Time!AL26,1)*Inputs!$F$165+AL50/MAX(Time!AL26,1)*AL82)</f>
        <v>41.4825765099542</v>
      </c>
      <c r="AM83" s="11" t="n">
        <f aca="false">(1-AM81)*(AM51/MAX(Time!AM26,1)*Inputs!$F$165+AM50/MAX(Time!AM26,1)*AM82)</f>
        <v>42.3461700197543</v>
      </c>
      <c r="AN83" s="11" t="n">
        <f aca="false">(1-AN81)*(AN51/MAX(Time!AN26,1)*Inputs!$F$165+AN50/MAX(Time!AN26,1)*AN82)</f>
        <v>42.1737112430632</v>
      </c>
      <c r="AO83" s="11" t="n">
        <f aca="false">(1-AO81)*(AO51/MAX(Time!AO26,1)*Inputs!$F$165+AO50/MAX(Time!AO26,1)*AO82)</f>
        <v>43.0228687731724</v>
      </c>
      <c r="AP83" s="11" t="n">
        <f aca="false">(1-AP81)*(AP51/MAX(Time!AP26,1)*Inputs!$F$165+AP50/MAX(Time!AP26,1)*AP82)</f>
        <v>42.7900184647095</v>
      </c>
      <c r="AQ83" s="11" t="n">
        <f aca="false">(1-AQ81)*(AQ51/MAX(Time!AQ26,1)*Inputs!$F$165+AQ50/MAX(Time!AQ26,1)*AQ82)</f>
        <v>43.665751227815</v>
      </c>
      <c r="AR83" s="11" t="n">
        <f aca="false">(1-AR81)*(AR51/MAX(Time!AR26,1)*Inputs!$F$165+AR50/MAX(Time!AR26,1)*AR82)</f>
        <v>43.4583429533387</v>
      </c>
      <c r="AS83" s="11" t="n">
        <f aca="false">(1-AS81)*(AS51/MAX(Time!AS26,1)*Inputs!$F$165+AS50/MAX(Time!AS26,1)*AS82)</f>
        <v>44.198830766949</v>
      </c>
      <c r="AT83" s="11" t="n">
        <f aca="false">(1-AT81)*(AT51/MAX(Time!AT26,1)*Inputs!$F$165+AT50/MAX(Time!AT26,1)*AT82)</f>
        <v>43.7637809115973</v>
      </c>
      <c r="AU83" s="11" t="n">
        <f aca="false">(1-AU81)*(AU51/MAX(Time!AU26,1)*Inputs!$F$165+AU50/MAX(Time!AU26,1)*AU82)</f>
        <v>44.9387233666</v>
      </c>
      <c r="AV83" s="11" t="n">
        <f aca="false">(1-AV81)*(AV51/MAX(Time!AV26,1)*Inputs!$F$165+AV50/MAX(Time!AV26,1)*AV82)</f>
        <v>44.7946556713044</v>
      </c>
      <c r="AW83" s="11" t="n">
        <f aca="false">(1-AW81)*(AW51/MAX(Time!AW26,1)*Inputs!$F$165+AW50/MAX(Time!AW26,1)*AW82)</f>
        <v>45.7000235909393</v>
      </c>
      <c r="AX83" s="11" t="n">
        <f aca="false">(1-AX81)*(AX51/MAX(Time!AX26,1)*Inputs!$F$165+AX50/MAX(Time!AX26,1)*AX82)</f>
        <v>45.4617485531097</v>
      </c>
      <c r="AY83" s="11" t="n">
        <f aca="false">(1-AY81)*(AY51/MAX(Time!AY26,1)*Inputs!$F$165+AY50/MAX(Time!AY26,1)*AY82)</f>
        <v>46.3957557665417</v>
      </c>
      <c r="AZ83" s="11" t="n">
        <f aca="false">(1-AZ81)*(AZ51/MAX(Time!AZ26,1)*Inputs!$F$165+AZ50/MAX(Time!AZ26,1)*AZ82)</f>
        <v>46.1847461830975</v>
      </c>
      <c r="BA83" s="11" t="n">
        <f aca="false">(1-BA81)*(BA51/MAX(Time!BA26,1)*Inputs!$F$165+BA50/MAX(Time!BA26,1)*BA82)</f>
        <v>46.9926295454241</v>
      </c>
      <c r="BB83" s="11" t="n">
        <f aca="false">(1-BB81)*(BB51/MAX(Time!BB26,1)*Inputs!$F$165+BB50/MAX(Time!BB26,1)*BB82)</f>
        <v>46.8229696284836</v>
      </c>
      <c r="BC83" s="11" t="n">
        <f aca="false">(1-BC81)*(BC51/MAX(Time!BC26,1)*Inputs!$F$165+BC50/MAX(Time!BC26,1)*BC82)</f>
        <v>47.8054987350866</v>
      </c>
      <c r="BD83" s="11" t="n">
        <f aca="false">(1-BD81)*(BD51/MAX(Time!BD26,1)*Inputs!$F$165+BD50/MAX(Time!BD26,1)*BD82)</f>
        <v>47.6307969499177</v>
      </c>
      <c r="BE83" s="11" t="n">
        <f aca="false">(1-BE81)*(BE51/MAX(Time!BE26,1)*Inputs!$F$165+BE50/MAX(Time!BE26,1)*BE82)</f>
        <v>48.5970347308157</v>
      </c>
      <c r="BF83" s="11" t="n">
        <f aca="false">(1-BF81)*(BF51/MAX(Time!BF26,1)*Inputs!$F$165+BF50/MAX(Time!BF26,1)*BF82)</f>
        <v>48.3528950297095</v>
      </c>
      <c r="BG83" s="11" t="n">
        <f aca="false">(1-BG81)*(BG51/MAX(Time!BG26,1)*Inputs!$F$165+BG50/MAX(Time!BG26,1)*BG82)</f>
        <v>49.3499986942755</v>
      </c>
      <c r="BH83" s="11" t="n">
        <f aca="false">(1-BH81)*(BH51/MAX(Time!BH26,1)*Inputs!$F$165+BH50/MAX(Time!BH26,1)*BH82)</f>
        <v>49.1350796296284</v>
      </c>
      <c r="BI83" s="11" t="n">
        <f aca="false">(1-BI81)*(BI51/MAX(Time!BI26,1)*Inputs!$F$165+BI50/MAX(Time!BI26,1)*BI82)</f>
        <v>49.9838124526983</v>
      </c>
      <c r="BJ83" s="11" t="n">
        <f aca="false">(1-BJ81)*(BJ51/MAX(Time!BJ26,1)*Inputs!$F$165+BJ50/MAX(Time!BJ26,1)*BJ82)</f>
        <v>49.5178702202822</v>
      </c>
      <c r="BK83" s="11" t="n">
        <f aca="false">(1-BK81)*(BK51/MAX(Time!BK26,1)*Inputs!$F$165+BK50/MAX(Time!BK26,1)*BK82)</f>
        <v>50.8421242468505</v>
      </c>
      <c r="BL83" s="11" t="n">
        <f aca="false">(1-BL81)*(BL51/MAX(Time!BL26,1)*Inputs!$F$165+BL50/MAX(Time!BL26,1)*BL82)</f>
        <v>50.6999587438405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16.208364632832</v>
      </c>
      <c r="P85" s="11" t="n">
        <f aca="false">(1-P81)*(P68+P49)/MAX(Time!P26,1)*Inputs!$F$166</f>
        <v>16.208364632832</v>
      </c>
      <c r="Q85" s="11" t="n">
        <f aca="false">(1-Q81)*(Q68+Q49)/MAX(Time!Q26,1)*Inputs!$F$166</f>
        <v>16.5325319254886</v>
      </c>
      <c r="R85" s="11" t="n">
        <f aca="false">(1-R81)*(R68+R49)/MAX(Time!R26,1)*Inputs!$F$166</f>
        <v>16.5325319254886</v>
      </c>
      <c r="S85" s="11" t="n">
        <f aca="false">(1-S81)*(S68+S49)/MAX(Time!S26,1)*Inputs!$F$166</f>
        <v>16.8631825639984</v>
      </c>
      <c r="T85" s="11" t="n">
        <f aca="false">(1-T81)*(T68+T49)/MAX(Time!T26,1)*Inputs!$F$166</f>
        <v>16.8631825639984</v>
      </c>
      <c r="U85" s="11" t="n">
        <f aca="false">(1-U81)*(U68+U49)/MAX(Time!U26,1)*Inputs!$F$166</f>
        <v>17.2004462152784</v>
      </c>
      <c r="V85" s="11" t="n">
        <f aca="false">(1-V81)*(V68+V49)/MAX(Time!V26,1)*Inputs!$F$166</f>
        <v>17.2004462152784</v>
      </c>
      <c r="W85" s="11" t="n">
        <f aca="false">(1-W81)*(W68+W49)/MAX(Time!W26,1)*Inputs!$F$166</f>
        <v>17.544455139584</v>
      </c>
      <c r="X85" s="11" t="n">
        <f aca="false">(1-X81)*(X68+X49)/MAX(Time!X26,1)*Inputs!$F$166</f>
        <v>17.544455139584</v>
      </c>
      <c r="Y85" s="11" t="n">
        <f aca="false">(1-Y81)*(Y68+Y49)/MAX(Time!Y26,1)*Inputs!$F$166</f>
        <v>17.8953442423756</v>
      </c>
      <c r="Z85" s="11" t="n">
        <f aca="false">(1-Z81)*(Z68+Z49)/MAX(Time!Z26,1)*Inputs!$F$166</f>
        <v>17.8953442423756</v>
      </c>
      <c r="AA85" s="11" t="n">
        <f aca="false">(1-AA81)*(AA68+AA49)/MAX(Time!AA26,1)*Inputs!$F$166</f>
        <v>18.2532511272231</v>
      </c>
      <c r="AB85" s="11" t="n">
        <f aca="false">(1-AB81)*(AB68+AB49)/MAX(Time!AB26,1)*Inputs!$F$166</f>
        <v>18.2532511272231</v>
      </c>
      <c r="AC85" s="11" t="n">
        <f aca="false">(1-AC81)*(AC68+AC49)/MAX(Time!AC26,1)*Inputs!$F$166</f>
        <v>18.6183161497676</v>
      </c>
      <c r="AD85" s="11" t="n">
        <f aca="false">(1-AD81)*(AD68+AD49)/MAX(Time!AD26,1)*Inputs!$F$166</f>
        <v>18.6183161497676</v>
      </c>
      <c r="AE85" s="11" t="n">
        <f aca="false">(1-AE81)*(AE68+AE49)/MAX(Time!AE26,1)*Inputs!$F$166</f>
        <v>18.990682472763</v>
      </c>
      <c r="AF85" s="11" t="n">
        <f aca="false">(1-AF81)*(AF68+AF49)/MAX(Time!AF26,1)*Inputs!$F$166</f>
        <v>18.990682472763</v>
      </c>
      <c r="AG85" s="11" t="n">
        <f aca="false">(1-AG81)*(AG68+AG49)/MAX(Time!AG26,1)*Inputs!$F$166</f>
        <v>19.3704961222182</v>
      </c>
      <c r="AH85" s="11" t="n">
        <f aca="false">(1-AH81)*(AH68+AH49)/MAX(Time!AH26,1)*Inputs!$F$166</f>
        <v>19.3704961222182</v>
      </c>
      <c r="AI85" s="11" t="n">
        <f aca="false">(1-AI81)*(AI68+AI49)/MAX(Time!AI26,1)*Inputs!$F$166</f>
        <v>19.7579060446626</v>
      </c>
      <c r="AJ85" s="11" t="n">
        <f aca="false">(1-AJ81)*(AJ68+AJ49)/MAX(Time!AJ26,1)*Inputs!$F$166</f>
        <v>19.7579060446626</v>
      </c>
      <c r="AK85" s="11" t="n">
        <f aca="false">(1-AK81)*(AK68+AK49)/MAX(Time!AK26,1)*Inputs!$F$166</f>
        <v>20.1530641655558</v>
      </c>
      <c r="AL85" s="11" t="n">
        <f aca="false">(1-AL81)*(AL68+AL49)/MAX(Time!AL26,1)*Inputs!$F$166</f>
        <v>20.1530641655558</v>
      </c>
      <c r="AM85" s="11" t="n">
        <f aca="false">(1-AM81)*(AM68+AM49)/MAX(Time!AM26,1)*Inputs!$F$166</f>
        <v>20.556125448867</v>
      </c>
      <c r="AN85" s="11" t="n">
        <f aca="false">(1-AN81)*(AN68+AN49)/MAX(Time!AN26,1)*Inputs!$F$166</f>
        <v>20.556125448867</v>
      </c>
      <c r="AO85" s="11" t="n">
        <f aca="false">(1-AO81)*(AO68+AO49)/MAX(Time!AO26,1)*Inputs!$F$166</f>
        <v>20.9672479578443</v>
      </c>
      <c r="AP85" s="11" t="n">
        <f aca="false">(1-AP81)*(AP68+AP49)/MAX(Time!AP26,1)*Inputs!$F$166</f>
        <v>20.9672479578443</v>
      </c>
      <c r="AQ85" s="11" t="n">
        <f aca="false">(1-AQ81)*(AQ68+AQ49)/MAX(Time!AQ26,1)*Inputs!$F$166</f>
        <v>21.3865929170012</v>
      </c>
      <c r="AR85" s="11" t="n">
        <f aca="false">(1-AR81)*(AR68+AR49)/MAX(Time!AR26,1)*Inputs!$F$166</f>
        <v>21.3865929170012</v>
      </c>
      <c r="AS85" s="11" t="n">
        <f aca="false">(1-AS81)*(AS68+AS49)/MAX(Time!AS26,1)*Inputs!$F$166</f>
        <v>21.8143247753412</v>
      </c>
      <c r="AT85" s="11" t="n">
        <f aca="false">(1-AT81)*(AT68+AT49)/MAX(Time!AT26,1)*Inputs!$F$166</f>
        <v>21.8143247753412</v>
      </c>
      <c r="AU85" s="11" t="n">
        <f aca="false">(1-AU81)*(AU68+AU49)/MAX(Time!AU26,1)*Inputs!$F$166</f>
        <v>22.250611270848</v>
      </c>
      <c r="AV85" s="11" t="n">
        <f aca="false">(1-AV81)*(AV68+AV49)/MAX(Time!AV26,1)*Inputs!$F$166</f>
        <v>22.250611270848</v>
      </c>
      <c r="AW85" s="11" t="n">
        <f aca="false">(1-AW81)*(AW68+AW49)/MAX(Time!AW26,1)*Inputs!$F$166</f>
        <v>22.695623496265</v>
      </c>
      <c r="AX85" s="11" t="n">
        <f aca="false">(1-AX81)*(AX68+AX49)/MAX(Time!AX26,1)*Inputs!$F$166</f>
        <v>22.695623496265</v>
      </c>
      <c r="AY85" s="11" t="n">
        <f aca="false">(1-AY81)*(AY68+AY49)/MAX(Time!AY26,1)*Inputs!$F$166</f>
        <v>23.1495359661903</v>
      </c>
      <c r="AZ85" s="11" t="n">
        <f aca="false">(1-AZ81)*(AZ68+AZ49)/MAX(Time!AZ26,1)*Inputs!$F$166</f>
        <v>23.1495359661903</v>
      </c>
      <c r="BA85" s="11" t="n">
        <f aca="false">(1-BA81)*(BA68+BA49)/MAX(Time!BA26,1)*Inputs!$F$166</f>
        <v>23.6125266855141</v>
      </c>
      <c r="BB85" s="11" t="n">
        <f aca="false">(1-BB81)*(BB68+BB49)/MAX(Time!BB26,1)*Inputs!$F$166</f>
        <v>23.6125266855141</v>
      </c>
      <c r="BC85" s="11" t="n">
        <f aca="false">(1-BC81)*(BC68+BC49)/MAX(Time!BC26,1)*Inputs!$F$166</f>
        <v>24.0847772192244</v>
      </c>
      <c r="BD85" s="11" t="n">
        <f aca="false">(1-BD81)*(BD68+BD49)/MAX(Time!BD26,1)*Inputs!$F$166</f>
        <v>24.0847772192244</v>
      </c>
      <c r="BE85" s="11" t="n">
        <f aca="false">(1-BE81)*(BE68+BE49)/MAX(Time!BE26,1)*Inputs!$F$166</f>
        <v>24.5664727636089</v>
      </c>
      <c r="BF85" s="11" t="n">
        <f aca="false">(1-BF81)*(BF68+BF49)/MAX(Time!BF26,1)*Inputs!$F$166</f>
        <v>24.5664727636089</v>
      </c>
      <c r="BG85" s="11" t="n">
        <f aca="false">(1-BG81)*(BG68+BG49)/MAX(Time!BG26,1)*Inputs!$F$166</f>
        <v>25.057802218881</v>
      </c>
      <c r="BH85" s="11" t="n">
        <f aca="false">(1-BH81)*(BH68+BH49)/MAX(Time!BH26,1)*Inputs!$F$166</f>
        <v>25.057802218881</v>
      </c>
      <c r="BI85" s="11" t="n">
        <f aca="false">(1-BI81)*(BI68+BI49)/MAX(Time!BI26,1)*Inputs!$F$166</f>
        <v>25.5589582632587</v>
      </c>
      <c r="BJ85" s="11" t="n">
        <f aca="false">(1-BJ81)*(BJ68+BJ49)/MAX(Time!BJ26,1)*Inputs!$F$166</f>
        <v>25.5589582632587</v>
      </c>
      <c r="BK85" s="11" t="n">
        <f aca="false">(1-BK81)*(BK68+BK49)/MAX(Time!BK26,1)*Inputs!$F$166</f>
        <v>26.0701374285238</v>
      </c>
      <c r="BL85" s="11" t="n">
        <f aca="false">(1-BL81)*(BL68+BL49)/MAX(Time!BL26,1)*Inputs!$F$166</f>
        <v>26.0701374285238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2.14113505113159</v>
      </c>
      <c r="P86" s="11" t="n">
        <f aca="false">(1-P81)*(P47+P48)/MAX(Time!P26,1)*Inputs!$F$167</f>
        <v>2.13967256589656</v>
      </c>
      <c r="Q86" s="11" t="n">
        <f aca="false">(1-Q81)*(Q47+Q48)/MAX(Time!Q26,1)*Inputs!$F$167</f>
        <v>2.17528045128611</v>
      </c>
      <c r="R86" s="11" t="n">
        <f aca="false">(1-R81)*(R47+R48)/MAX(Time!R26,1)*Inputs!$F$167</f>
        <v>2.16912831571271</v>
      </c>
      <c r="S86" s="11" t="n">
        <f aca="false">(1-S81)*(S47+S48)/MAX(Time!S26,1)*Inputs!$F$167</f>
        <v>2.20694613361724</v>
      </c>
      <c r="T86" s="11" t="n">
        <f aca="false">(1-T81)*(T47+T48)/MAX(Time!T26,1)*Inputs!$F$167</f>
        <v>2.20417895081395</v>
      </c>
      <c r="U86" s="11" t="n">
        <f aca="false">(1-U81)*(U47+U48)/MAX(Time!U26,1)*Inputs!$F$167</f>
        <v>2.23705969882553</v>
      </c>
      <c r="V86" s="11" t="n">
        <f aca="false">(1-V81)*(V47+V48)/MAX(Time!V26,1)*Inputs!$F$167</f>
        <v>2.22779050353077</v>
      </c>
      <c r="W86" s="11" t="n">
        <f aca="false">(1-W81)*(W47+W48)/MAX(Time!W26,1)*Inputs!$F$167</f>
        <v>2.26884624271311</v>
      </c>
      <c r="X86" s="11" t="n">
        <f aca="false">(1-X81)*(X47+X48)/MAX(Time!X26,1)*Inputs!$F$167</f>
        <v>2.2706260306847</v>
      </c>
      <c r="Y86" s="11" t="n">
        <f aca="false">(1-Y81)*(Y47+Y48)/MAX(Time!Y26,1)*Inputs!$F$167</f>
        <v>2.30840705212722</v>
      </c>
      <c r="Z86" s="11" t="n">
        <f aca="false">(1-Z81)*(Z47+Z48)/MAX(Time!Z26,1)*Inputs!$F$167</f>
        <v>2.3018834397866</v>
      </c>
      <c r="AA86" s="11" t="n">
        <f aca="false">(1-AA81)*(AA47+AA48)/MAX(Time!AA26,1)*Inputs!$F$167</f>
        <v>2.34200748875587</v>
      </c>
      <c r="AB86" s="11" t="n">
        <f aca="false">(1-AB81)*(AB47+AB48)/MAX(Time!AB26,1)*Inputs!$F$167</f>
        <v>2.33907206926257</v>
      </c>
      <c r="AC86" s="11" t="n">
        <f aca="false">(1-AC81)*(AC47+AC48)/MAX(Time!AC26,1)*Inputs!$F$167</f>
        <v>2.37197634422769</v>
      </c>
      <c r="AD86" s="11" t="n">
        <f aca="false">(1-AD81)*(AD47+AD48)/MAX(Time!AD26,1)*Inputs!$F$167</f>
        <v>2.35824094917069</v>
      </c>
      <c r="AE86" s="11" t="n">
        <f aca="false">(1-AE81)*(AE47+AE48)/MAX(Time!AE26,1)*Inputs!$F$167</f>
        <v>2.40363854993773</v>
      </c>
      <c r="AF86" s="11" t="n">
        <f aca="false">(1-AF81)*(AF47+AF48)/MAX(Time!AF26,1)*Inputs!$F$167</f>
        <v>2.40957707575257</v>
      </c>
      <c r="AG86" s="11" t="n">
        <f aca="false">(1-AG81)*(AG47+AG48)/MAX(Time!AG26,1)*Inputs!$F$167</f>
        <v>2.44966336855628</v>
      </c>
      <c r="AH86" s="11" t="n">
        <f aca="false">(1-AH81)*(AH47+AH48)/MAX(Time!AH26,1)*Inputs!$F$167</f>
        <v>2.44274625164752</v>
      </c>
      <c r="AI86" s="11" t="n">
        <f aca="false">(1-AI81)*(AI47+AI48)/MAX(Time!AI26,1)*Inputs!$F$167</f>
        <v>2.48531656363353</v>
      </c>
      <c r="AJ86" s="11" t="n">
        <f aca="false">(1-AJ81)*(AJ47+AJ48)/MAX(Time!AJ26,1)*Inputs!$F$167</f>
        <v>2.4822028569857</v>
      </c>
      <c r="AK86" s="11" t="n">
        <f aca="false">(1-AK81)*(AK47+AK48)/MAX(Time!AK26,1)*Inputs!$F$167</f>
        <v>2.519226900478</v>
      </c>
      <c r="AL86" s="11" t="n">
        <f aca="false">(1-AL81)*(AL47+AL48)/MAX(Time!AL26,1)*Inputs!$F$167</f>
        <v>2.50880795782774</v>
      </c>
      <c r="AM86" s="11" t="n">
        <f aca="false">(1-AM81)*(AM47+AM48)/MAX(Time!AM26,1)*Inputs!$F$167</f>
        <v>2.55501808358284</v>
      </c>
      <c r="AN86" s="11" t="n">
        <f aca="false">(1-AN81)*(AN47+AN48)/MAX(Time!AN26,1)*Inputs!$F$167</f>
        <v>2.55701307114976</v>
      </c>
      <c r="AO86" s="11" t="n">
        <f aca="false">(1-AO81)*(AO47+AO48)/MAX(Time!AO26,1)*Inputs!$F$167</f>
        <v>2.59954477444649</v>
      </c>
      <c r="AP86" s="11" t="n">
        <f aca="false">(1-AP81)*(AP47+AP48)/MAX(Time!AP26,1)*Inputs!$F$167</f>
        <v>2.59221084489312</v>
      </c>
      <c r="AQ86" s="11" t="n">
        <f aca="false">(1-AQ81)*(AQ47+AQ48)/MAX(Time!AQ26,1)*Inputs!$F$167</f>
        <v>2.63737591650264</v>
      </c>
      <c r="AR86" s="11" t="n">
        <f aca="false">(1-AR81)*(AR47+AR48)/MAX(Time!AR26,1)*Inputs!$F$167</f>
        <v>2.63407328312245</v>
      </c>
      <c r="AS86" s="11" t="n">
        <f aca="false">(1-AS81)*(AS47+AS48)/MAX(Time!AS26,1)*Inputs!$F$167</f>
        <v>2.67112840347867</v>
      </c>
      <c r="AT86" s="11" t="n">
        <f aca="false">(1-AT81)*(AT47+AT48)/MAX(Time!AT26,1)*Inputs!$F$167</f>
        <v>2.6556930611405</v>
      </c>
      <c r="AU86" s="11" t="n">
        <f aca="false">(1-AU81)*(AU47+AU48)/MAX(Time!AU26,1)*Inputs!$F$167</f>
        <v>2.70678466673966</v>
      </c>
      <c r="AV86" s="11" t="n">
        <f aca="false">(1-AV81)*(AV47+AV48)/MAX(Time!AV26,1)*Inputs!$F$167</f>
        <v>2.71345102145455</v>
      </c>
      <c r="AW86" s="11" t="n">
        <f aca="false">(1-AW81)*(AW47+AW48)/MAX(Time!AW26,1)*Inputs!$F$167</f>
        <v>2.75857676110061</v>
      </c>
      <c r="AX86" s="11" t="n">
        <f aca="false">(1-AX81)*(AX47+AX48)/MAX(Time!AX26,1)*Inputs!$F$167</f>
        <v>2.75080135786519</v>
      </c>
      <c r="AY86" s="11" t="n">
        <f aca="false">(1-AY81)*(AY47+AY48)/MAX(Time!AY26,1)*Inputs!$F$167</f>
        <v>2.79871865964474</v>
      </c>
      <c r="AZ86" s="11" t="n">
        <f aca="false">(1-AZ81)*(AZ47+AZ48)/MAX(Time!AZ26,1)*Inputs!$F$167</f>
        <v>2.79521583705212</v>
      </c>
      <c r="BA86" s="11" t="n">
        <f aca="false">(1-BA81)*(BA47+BA48)/MAX(Time!BA26,1)*Inputs!$F$167</f>
        <v>2.83690411740713</v>
      </c>
      <c r="BB86" s="11" t="n">
        <f aca="false">(1-BB81)*(BB47+BB48)/MAX(Time!BB26,1)*Inputs!$F$167</f>
        <v>2.82519556935775</v>
      </c>
      <c r="BC86" s="11" t="n">
        <f aca="false">(1-BC81)*(BC47+BC48)/MAX(Time!BC26,1)*Inputs!$F$167</f>
        <v>2.87720374526471</v>
      </c>
      <c r="BD86" s="11" t="n">
        <f aca="false">(1-BD81)*(BD47+BD48)/MAX(Time!BD26,1)*Inputs!$F$167</f>
        <v>2.8794393636085</v>
      </c>
      <c r="BE86" s="11" t="n">
        <f aca="false">(1-BE81)*(BE47+BE48)/MAX(Time!BE26,1)*Inputs!$F$167</f>
        <v>2.92731676410002</v>
      </c>
      <c r="BF86" s="11" t="n">
        <f aca="false">(1-BF81)*(BF47+BF48)/MAX(Time!BF26,1)*Inputs!$F$167</f>
        <v>2.91907379649078</v>
      </c>
      <c r="BG86" s="11" t="n">
        <f aca="false">(1-BG81)*(BG47+BG48)/MAX(Time!BG26,1)*Inputs!$F$167</f>
        <v>2.96991031270186</v>
      </c>
      <c r="BH86" s="11" t="n">
        <f aca="false">(1-BH81)*(BH47+BH48)/MAX(Time!BH26,1)*Inputs!$F$167</f>
        <v>2.96619537983784</v>
      </c>
      <c r="BI86" s="11" t="n">
        <f aca="false">(1-BI81)*(BI47+BI48)/MAX(Time!BI26,1)*Inputs!$F$167</f>
        <v>3.00792433232461</v>
      </c>
      <c r="BJ86" s="11" t="n">
        <f aca="false">(1-BJ81)*(BJ47+BJ48)/MAX(Time!BJ26,1)*Inputs!$F$167</f>
        <v>2.99058276412042</v>
      </c>
      <c r="BK86" s="11" t="n">
        <f aca="false">(1-BK81)*(BK47+BK48)/MAX(Time!BK26,1)*Inputs!$F$167</f>
        <v>3.04807833356013</v>
      </c>
      <c r="BL86" s="11" t="n">
        <f aca="false">(1-BL81)*(BL47+BL48)/MAX(Time!BL26,1)*Inputs!$F$167</f>
        <v>3.05555987356403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1.047714911597</v>
      </c>
      <c r="P88" s="11" t="n">
        <f aca="false">(1-P81)*(P60+P61+P62+P63+P64+P65+P66)/MAX(Time!P26,1)*Inputs!$F$169</f>
        <v>1.05240263586527</v>
      </c>
      <c r="Q88" s="11" t="n">
        <f aca="false">(1-Q81)*(Q60+Q61+Q62+Q63+Q64+Q65+Q66)/MAX(Time!Q26,1)*Inputs!$F$169</f>
        <v>1.07969881494736</v>
      </c>
      <c r="R88" s="11" t="n">
        <f aca="false">(1-R81)*(R60+R61+R62+R63+R64+R65+R66)/MAX(Time!R26,1)*Inputs!$F$169</f>
        <v>1.07113342340371</v>
      </c>
      <c r="S88" s="11" t="n">
        <f aca="false">(1-S81)*(S60+S61+S62+S63+S64+S65+S66)/MAX(Time!S26,1)*Inputs!$F$169</f>
        <v>1.10047342668385</v>
      </c>
      <c r="T88" s="11" t="n">
        <f aca="false">(1-T81)*(T60+T61+T62+T63+T64+T65+T66)/MAX(Time!T26,1)*Inputs!$F$169</f>
        <v>1.09482482297515</v>
      </c>
      <c r="U88" s="11" t="n">
        <f aca="false">(1-U81)*(U60+U61+U62+U63+U64+U65+U66)/MAX(Time!U26,1)*Inputs!$F$169</f>
        <v>1.11508454458583</v>
      </c>
      <c r="V88" s="11" t="n">
        <f aca="false">(1-V81)*(V60+V61+V62+V63+V64+V65+V66)/MAX(Time!V26,1)*Inputs!$F$169</f>
        <v>1.10838335319313</v>
      </c>
      <c r="W88" s="11" t="n">
        <f aca="false">(1-W81)*(W60+W61+W62+W63+W64+W65+W66)/MAX(Time!W26,1)*Inputs!$F$169</f>
        <v>1.140836281261</v>
      </c>
      <c r="X88" s="11" t="n">
        <f aca="false">(1-X81)*(X60+X61+X62+X63+X64+X65+X66)/MAX(Time!X26,1)*Inputs!$F$169</f>
        <v>1.13910201966021</v>
      </c>
      <c r="Y88" s="11" t="n">
        <f aca="false">(1-Y81)*(Y60+Y61+Y62+Y63+Y64+Y65+Y66)/MAX(Time!Y26,1)*Inputs!$F$169</f>
        <v>1.16871949830982</v>
      </c>
      <c r="Z88" s="11" t="n">
        <f aca="false">(1-Z81)*(Z60+Z61+Z62+Z63+Z64+Z65+Z66)/MAX(Time!Z26,1)*Inputs!$F$169</f>
        <v>1.15951793198327</v>
      </c>
      <c r="AA88" s="11" t="n">
        <f aca="false">(1-AA81)*(AA60+AA61+AA62+AA63+AA64+AA65+AA66)/MAX(Time!AA26,1)*Inputs!$F$169</f>
        <v>1.19135458701563</v>
      </c>
      <c r="AB88" s="11" t="n">
        <f aca="false">(1-AB81)*(AB60+AB61+AB62+AB63+AB64+AB65+AB66)/MAX(Time!AB26,1)*Inputs!$F$169</f>
        <v>1.18531531627464</v>
      </c>
      <c r="AC88" s="11" t="n">
        <f aca="false">(1-AC81)*(AC60+AC61+AC62+AC63+AC64+AC65+AC66)/MAX(Time!AC26,1)*Inputs!$F$169</f>
        <v>1.20552667967728</v>
      </c>
      <c r="AD88" s="11" t="n">
        <f aca="false">(1-AD81)*(AD60+AD61+AD62+AD63+AD64+AD65+AD66)/MAX(Time!AD26,1)*Inputs!$F$169</f>
        <v>1.193930069325</v>
      </c>
      <c r="AE88" s="11" t="n">
        <f aca="false">(1-AE81)*(AE60+AE61+AE62+AE63+AE64+AE65+AE66)/MAX(Time!AE26,1)*Inputs!$F$169</f>
        <v>1.23166783420816</v>
      </c>
      <c r="AF88" s="11" t="n">
        <f aca="false">(1-AF81)*(AF60+AF61+AF62+AF63+AF64+AF65+AF66)/MAX(Time!AF26,1)*Inputs!$F$169</f>
        <v>1.23354934687763</v>
      </c>
      <c r="AG88" s="11" t="n">
        <f aca="false">(1-AG81)*(AG60+AG61+AG62+AG63+AG64+AG65+AG66)/MAX(Time!AG26,1)*Inputs!$F$169</f>
        <v>1.26569589365742</v>
      </c>
      <c r="AH88" s="11" t="n">
        <f aca="false">(1-AH81)*(AH60+AH61+AH62+AH63+AH64+AH65+AH66)/MAX(Time!AH26,1)*Inputs!$F$169</f>
        <v>1.25580196905223</v>
      </c>
      <c r="AI88" s="11" t="n">
        <f aca="false">(1-AI81)*(AI60+AI61+AI62+AI63+AI64+AI65+AI66)/MAX(Time!AI26,1)*Inputs!$F$169</f>
        <v>1.29035803471421</v>
      </c>
      <c r="AJ88" s="11" t="n">
        <f aca="false">(1-AJ81)*(AJ60+AJ61+AJ62+AJ63+AJ64+AJ65+AJ66)/MAX(Time!AJ26,1)*Inputs!$F$169</f>
        <v>1.28389244404594</v>
      </c>
      <c r="AK88" s="11" t="n">
        <f aca="false">(1-AK81)*(AK60+AK61+AK62+AK63+AK64+AK65+AK66)/MAX(Time!AK26,1)*Inputs!$F$169</f>
        <v>1.30779656934452</v>
      </c>
      <c r="AL88" s="11" t="n">
        <f aca="false">(1-AL81)*(AL60+AL61+AL62+AL63+AL64+AL65+AL66)/MAX(Time!AL26,1)*Inputs!$F$169</f>
        <v>1.3000735282958</v>
      </c>
      <c r="AM88" s="11" t="n">
        <f aca="false">(1-AM81)*(AM60+AM61+AM62+AM63+AM64+AM65+AM66)/MAX(Time!AM26,1)*Inputs!$F$169</f>
        <v>1.33830278937149</v>
      </c>
      <c r="AN88" s="11" t="n">
        <f aca="false">(1-AN81)*(AN60+AN61+AN62+AN63+AN64+AN65+AN66)/MAX(Time!AN26,1)*Inputs!$F$169</f>
        <v>1.33643680044758</v>
      </c>
      <c r="AO88" s="11" t="n">
        <f aca="false">(1-AO81)*(AO60+AO61+AO62+AO63+AO64+AO65+AO66)/MAX(Time!AO26,1)*Inputs!$F$169</f>
        <v>1.37133877547933</v>
      </c>
      <c r="AP88" s="11" t="n">
        <f aca="false">(1-AP81)*(AP60+AP61+AP62+AP63+AP64+AP65+AP66)/MAX(Time!AP26,1)*Inputs!$F$169</f>
        <v>1.36069135168703</v>
      </c>
      <c r="AQ88" s="11" t="n">
        <f aca="false">(1-AQ81)*(AQ60+AQ61+AQ62+AQ63+AQ64+AQ65+AQ66)/MAX(Time!AQ26,1)*Inputs!$F$169</f>
        <v>1.39820945466331</v>
      </c>
      <c r="AR88" s="11" t="n">
        <f aca="false">(1-AR81)*(AR60+AR61+AR62+AR63+AR64+AR65+AR66)/MAX(Time!AR26,1)*Inputs!$F$169</f>
        <v>1.39127863747152</v>
      </c>
      <c r="AS88" s="11" t="n">
        <f aca="false">(1-AS81)*(AS60+AS61+AS62+AS63+AS64+AS65+AS66)/MAX(Time!AS26,1)*Inputs!$F$169</f>
        <v>1.41514781277436</v>
      </c>
      <c r="AT88" s="11" t="n">
        <f aca="false">(1-AT81)*(AT60+AT61+AT62+AT63+AT64+AT65+AT66)/MAX(Time!AT26,1)*Inputs!$F$169</f>
        <v>1.40175731271565</v>
      </c>
      <c r="AU88" s="11" t="n">
        <f aca="false">(1-AU81)*(AU60+AU61+AU62+AU63+AU64+AU65+AU66)/MAX(Time!AU26,1)*Inputs!$F$169</f>
        <v>1.44613980021092</v>
      </c>
      <c r="AV88" s="11" t="n">
        <f aca="false">(1-AV81)*(AV60+AV61+AV62+AV63+AV64+AV65+AV66)/MAX(Time!AV26,1)*Inputs!$F$169</f>
        <v>1.44851838122172</v>
      </c>
      <c r="AW88" s="11" t="n">
        <f aca="false">(1-AW81)*(AW60+AW61+AW62+AW63+AW64+AW65+AW66)/MAX(Time!AW26,1)*Inputs!$F$169</f>
        <v>1.48642239935157</v>
      </c>
      <c r="AX88" s="11" t="n">
        <f aca="false">(1-AX81)*(AX60+AX61+AX62+AX63+AX64+AX65+AX66)/MAX(Time!AX26,1)*Inputs!$F$169</f>
        <v>1.474954941041</v>
      </c>
      <c r="AY88" s="11" t="n">
        <f aca="false">(1-AY81)*(AY60+AY61+AY62+AY63+AY64+AY65+AY66)/MAX(Time!AY26,1)*Inputs!$F$169</f>
        <v>1.51569934714044</v>
      </c>
      <c r="AZ88" s="11" t="n">
        <f aca="false">(1-AZ81)*(AZ60+AZ61+AZ62+AZ63+AZ64+AZ65+AZ66)/MAX(Time!AZ26,1)*Inputs!$F$169</f>
        <v>1.50826084619678</v>
      </c>
      <c r="BA88" s="11" t="n">
        <f aca="false">(1-BA81)*(BA60+BA61+BA62+BA63+BA64+BA65+BA66)/MAX(Time!BA26,1)*Inputs!$F$169</f>
        <v>1.53649560164043</v>
      </c>
      <c r="BB88" s="11" t="n">
        <f aca="false">(1-BB81)*(BB60+BB61+BB62+BB63+BB64+BB65+BB66)/MAX(Time!BB26,1)*Inputs!$F$169</f>
        <v>1.52757160702165</v>
      </c>
      <c r="BC88" s="11" t="n">
        <f aca="false">(1-BC81)*(BC60+BC61+BC62+BC63+BC64+BC65+BC66)/MAX(Time!BC26,1)*Inputs!$F$169</f>
        <v>1.57264999503938</v>
      </c>
      <c r="BD88" s="11" t="n">
        <f aca="false">(1-BD81)*(BD60+BD61+BD62+BD63+BD64+BD65+BD66)/MAX(Time!BD26,1)*Inputs!$F$169</f>
        <v>1.57061542699079</v>
      </c>
      <c r="BE88" s="11" t="n">
        <f aca="false">(1-BE81)*(BE60+BE61+BE62+BE63+BE64+BE65+BE66)/MAX(Time!BE26,1)*Inputs!$F$169</f>
        <v>1.61179016969685</v>
      </c>
      <c r="BF88" s="11" t="n">
        <f aca="false">(1-BF81)*(BF60+BF61+BF62+BF63+BF64+BF65+BF66)/MAX(Time!BF26,1)*Inputs!$F$169</f>
        <v>1.59943027161926</v>
      </c>
      <c r="BG88" s="11" t="n">
        <f aca="false">(1-BG81)*(BG60+BG61+BG62+BG63+BG64+BG65+BG66)/MAX(Time!BG26,1)*Inputs!$F$169</f>
        <v>1.64368881495004</v>
      </c>
      <c r="BH88" s="11" t="n">
        <f aca="false">(1-BH81)*(BH60+BH61+BH62+BH63+BH64+BH65+BH66)/MAX(Time!BH26,1)*Inputs!$F$169</f>
        <v>1.63569629836567</v>
      </c>
      <c r="BI88" s="11" t="n">
        <f aca="false">(1-BI81)*(BI60+BI61+BI62+BI63+BI64+BI65+BI66)/MAX(Time!BI26,1)*Inputs!$F$169</f>
        <v>1.66391636033496</v>
      </c>
      <c r="BJ88" s="11" t="n">
        <f aca="false">(1-BJ81)*(BJ60+BJ61+BJ62+BJ63+BJ64+BJ65+BJ66)/MAX(Time!BJ26,1)*Inputs!$F$169</f>
        <v>1.64841727086002</v>
      </c>
      <c r="BK88" s="11" t="n">
        <f aca="false">(1-BK81)*(BK60+BK61+BK62+BK63+BK64+BK65+BK66)/MAX(Time!BK26,1)*Inputs!$F$169</f>
        <v>1.70067543291052</v>
      </c>
      <c r="BL88" s="11" t="n">
        <f aca="false">(1-BL81)*(BL60+BL61+BL62+BL63+BL64+BL65+BL66)/MAX(Time!BL26,1)*Inputs!$F$169</f>
        <v>1.70362262406014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14.4086614965962</v>
      </c>
      <c r="P90" s="11" t="n">
        <f aca="false">P83+P84-P85-P86-P87-P88-P89</f>
        <v>14.3713837758664</v>
      </c>
      <c r="Q90" s="11" t="n">
        <f aca="false">Q83+Q84-Q85-Q86-Q87-Q88-Q89</f>
        <v>14.6484291213366</v>
      </c>
      <c r="R90" s="11" t="n">
        <f aca="false">R83+R84-R85-R86-R87-R88-R89</f>
        <v>14.4644785976249</v>
      </c>
      <c r="S90" s="11" t="n">
        <f aca="false">S83+S84-S85-S86-S87-S88-S89</f>
        <v>14.7405475215737</v>
      </c>
      <c r="T90" s="11" t="n">
        <f aca="false">T83+T84-T85-T86-T87-T88-T89</f>
        <v>14.5494523313996</v>
      </c>
      <c r="U90" s="11" t="n">
        <f aca="false">U83+U84-U85-U86-U87-U88-U89</f>
        <v>14.7594247302804</v>
      </c>
      <c r="V90" s="11" t="n">
        <f aca="false">V83+V84-V85-V86-V87-V88-V89</f>
        <v>14.6598477511961</v>
      </c>
      <c r="W90" s="11" t="n">
        <f aca="false">W83+W84-W85-W86-W87-W88-W89</f>
        <v>14.9361696021408</v>
      </c>
      <c r="X90" s="11" t="n">
        <f aca="false">X83+X84-X85-X86-X87-X88-X89</f>
        <v>14.7346812173208</v>
      </c>
      <c r="Y90" s="11" t="n">
        <f aca="false">Y83+Y84-Y85-Y86-Y87-Y88-Y89</f>
        <v>15.0210676888705</v>
      </c>
      <c r="Z90" s="11" t="n">
        <f aca="false">Z83+Z84-Z85-Z86-Z87-Z88-Z89</f>
        <v>14.8356676405804</v>
      </c>
      <c r="AA90" s="11" t="n">
        <f aca="false">AA83+AA84-AA85-AA86-AA87-AA88-AA89</f>
        <v>15.1208355043773</v>
      </c>
      <c r="AB90" s="11" t="n">
        <f aca="false">AB83+AB84-AB85-AB86-AB87-AB88-AB89</f>
        <v>14.9273643807993</v>
      </c>
      <c r="AC90" s="11" t="n">
        <f aca="false">AC83+AC84-AC85-AC86-AC87-AC88-AC89</f>
        <v>15.1500139360908</v>
      </c>
      <c r="AD90" s="11" t="n">
        <f aca="false">AD83+AD84-AD85-AD86-AD87-AD88-AD89</f>
        <v>14.8299201436091</v>
      </c>
      <c r="AE90" s="11" t="n">
        <f aca="false">AE83+AE84-AE85-AE86-AE87-AE88-AE89</f>
        <v>15.3416234121847</v>
      </c>
      <c r="AF90" s="11" t="n">
        <f aca="false">AF83+AF84-AF85-AF86-AF87-AF88-AF89</f>
        <v>15.1278080464914</v>
      </c>
      <c r="AG90" s="11" t="n">
        <f aca="false">AG83+AG84-AG85-AG86-AG87-AG88-AG89</f>
        <v>15.4243177941532</v>
      </c>
      <c r="AH90" s="11" t="n">
        <f aca="false">AH83+AH84-AH85-AH86-AH87-AH88-AH89</f>
        <v>15.2373670506211</v>
      </c>
      <c r="AI90" s="11" t="n">
        <f aca="false">AI83+AI84-AI85-AI86-AI87-AI88-AI89</f>
        <v>15.5323832451288</v>
      </c>
      <c r="AJ90" s="11" t="n">
        <f aca="false">AJ83+AJ84-AJ85-AJ86-AJ87-AJ88-AJ89</f>
        <v>15.3363312365234</v>
      </c>
      <c r="AK90" s="11" t="n">
        <f aca="false">AK83+AK84-AK85-AK86-AK87-AK88-AK89</f>
        <v>15.564061019753</v>
      </c>
      <c r="AL90" s="11" t="n">
        <f aca="false">AL83+AL84-AL85-AL86-AL87-AL88-AL89</f>
        <v>15.4676347234789</v>
      </c>
      <c r="AM90" s="11" t="n">
        <f aca="false">AM83+AM84-AM85-AM86-AM87-AM88-AM89</f>
        <v>15.7624967062765</v>
      </c>
      <c r="AN90" s="11" t="n">
        <f aca="false">AN83+AN84-AN85-AN86-AN87-AN88-AN89</f>
        <v>15.5532663127367</v>
      </c>
      <c r="AO90" s="11" t="n">
        <f aca="false">AO83+AO84-AO85-AO86-AO87-AO88-AO89</f>
        <v>15.8607482168007</v>
      </c>
      <c r="AP90" s="11" t="n">
        <f aca="false">AP83+AP84-AP85-AP86-AP87-AP88-AP89</f>
        <v>15.6721384483123</v>
      </c>
      <c r="AQ90" s="11" t="n">
        <f aca="false">AQ83+AQ84-AQ85-AQ86-AQ87-AQ88-AQ89</f>
        <v>15.9778153640254</v>
      </c>
      <c r="AR90" s="11" t="n">
        <f aca="false">AR83+AR84-AR85-AR86-AR87-AR88-AR89</f>
        <v>15.7789595421562</v>
      </c>
      <c r="AS90" s="11" t="n">
        <f aca="false">AS83+AS84-AS85-AS86-AS87-AS88-AS89</f>
        <v>16.0220292554444</v>
      </c>
      <c r="AT90" s="11" t="n">
        <f aca="false">AT83+AT84-AT85-AT86-AT87-AT88-AT89</f>
        <v>15.6911024471459</v>
      </c>
      <c r="AU90" s="11" t="n">
        <f aca="false">AU83+AU84-AU85-AU86-AU87-AU88-AU89</f>
        <v>16.2384319909013</v>
      </c>
      <c r="AV90" s="11" t="n">
        <f aca="false">AV83+AV84-AV85-AV86-AV87-AV88-AV89</f>
        <v>16.0137716866853</v>
      </c>
      <c r="AW90" s="11" t="n">
        <f aca="false">AW83+AW84-AW85-AW86-AW87-AW88-AW89</f>
        <v>16.3331471400221</v>
      </c>
      <c r="AX90" s="11" t="n">
        <f aca="false">AX83+AX84-AX85-AX86-AX87-AX88-AX89</f>
        <v>16.1427623400513</v>
      </c>
      <c r="AY90" s="11" t="n">
        <f aca="false">AY83+AY84-AY85-AY86-AY87-AY88-AY89</f>
        <v>16.4599807573754</v>
      </c>
      <c r="AZ90" s="11" t="n">
        <f aca="false">AZ83+AZ84-AZ85-AZ86-AZ87-AZ88-AZ89</f>
        <v>16.2580786180727</v>
      </c>
      <c r="BA90" s="11" t="n">
        <f aca="false">BA83+BA84-BA85-BA86-BA87-BA88-BA89</f>
        <v>16.5067307513516</v>
      </c>
      <c r="BB90" s="11" t="n">
        <f aca="false">BB83+BB84-BB85-BB86-BB87-BB88-BB89</f>
        <v>16.4142716675654</v>
      </c>
      <c r="BC90" s="11" t="n">
        <f aca="false">BC83+BC84-BC85-BC86-BC87-BC88-BC89</f>
        <v>16.7307855555881</v>
      </c>
      <c r="BD90" s="11" t="n">
        <f aca="false">BD83+BD84-BD85-BD86-BD87-BD88-BD89</f>
        <v>16.5122719592435</v>
      </c>
      <c r="BE90" s="11" t="n">
        <f aca="false">BE83+BE84-BE85-BE86-BE87-BE88-BE89</f>
        <v>16.8445411569359</v>
      </c>
      <c r="BF90" s="11" t="n">
        <f aca="false">BF83+BF84-BF85-BF86-BF87-BF88-BF89</f>
        <v>16.6522570857855</v>
      </c>
      <c r="BG90" s="11" t="n">
        <f aca="false">BG83+BG84-BG85-BG86-BG87-BG88-BG89</f>
        <v>16.9819720332373</v>
      </c>
      <c r="BH90" s="11" t="n">
        <f aca="false">BH83+BH84-BH85-BH86-BH87-BH88-BH89</f>
        <v>16.7767597531332</v>
      </c>
      <c r="BI90" s="11" t="n">
        <f aca="false">BI83+BI84-BI85-BI86-BI87-BI88-BI89</f>
        <v>17.0439593557193</v>
      </c>
      <c r="BJ90" s="11" t="n">
        <f aca="false">BJ83+BJ84-BJ85-BJ86-BJ87-BJ88-BJ89</f>
        <v>16.7004738768842</v>
      </c>
      <c r="BK90" s="11" t="n">
        <f aca="false">BK83+BK84-BK85-BK86-BK87-BK88-BK89</f>
        <v>17.2897149292508</v>
      </c>
      <c r="BL90" s="11" t="n">
        <f aca="false">BL83+BL84-BL85-BL86-BL87-BL88-BL89</f>
        <v>17.0519671602138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14.4086614965962</v>
      </c>
      <c r="P91" s="11" t="n">
        <f aca="false">P90-O90</f>
        <v>-0.0372777207298149</v>
      </c>
      <c r="Q91" s="11" t="n">
        <f aca="false">Q90-P90</f>
        <v>0.277045345470166</v>
      </c>
      <c r="R91" s="11" t="n">
        <f aca="false">R90-Q90</f>
        <v>-0.183950523711669</v>
      </c>
      <c r="S91" s="11" t="n">
        <f aca="false">S90-R90</f>
        <v>0.276068923948825</v>
      </c>
      <c r="T91" s="11" t="n">
        <f aca="false">T90-S90</f>
        <v>-0.19109519017413</v>
      </c>
      <c r="U91" s="11" t="n">
        <f aca="false">U90-T90</f>
        <v>0.209972398880756</v>
      </c>
      <c r="V91" s="11" t="n">
        <f aca="false">V90-U90</f>
        <v>-0.0995769790842687</v>
      </c>
      <c r="W91" s="11" t="n">
        <f aca="false">W90-V90</f>
        <v>0.276321850944738</v>
      </c>
      <c r="X91" s="11" t="n">
        <f aca="false">X90-W90</f>
        <v>-0.201488384820024</v>
      </c>
      <c r="Y91" s="11" t="n">
        <f aca="false">Y90-X90</f>
        <v>0.286386471549685</v>
      </c>
      <c r="Z91" s="11" t="n">
        <f aca="false">Z90-Y90</f>
        <v>-0.185400048290045</v>
      </c>
      <c r="AA91" s="11" t="n">
        <f aca="false">AA90-Z90</f>
        <v>0.285167863796881</v>
      </c>
      <c r="AB91" s="11" t="n">
        <f aca="false">AB90-AA90</f>
        <v>-0.19347112357802</v>
      </c>
      <c r="AC91" s="11" t="n">
        <f aca="false">AC90-AB90</f>
        <v>0.222649555291488</v>
      </c>
      <c r="AD91" s="11" t="n">
        <f aca="false">AD90-AC90</f>
        <v>-0.320093792481737</v>
      </c>
      <c r="AE91" s="11" t="n">
        <f aca="false">AE90-AD90</f>
        <v>0.511703268575609</v>
      </c>
      <c r="AF91" s="11" t="n">
        <f aca="false">AF90-AE90</f>
        <v>-0.213815365693245</v>
      </c>
      <c r="AG91" s="11" t="n">
        <f aca="false">AG90-AF90</f>
        <v>0.296509747661798</v>
      </c>
      <c r="AH91" s="11" t="n">
        <f aca="false">AH90-AG90</f>
        <v>-0.186950743532075</v>
      </c>
      <c r="AI91" s="11" t="n">
        <f aca="false">AI90-AH90</f>
        <v>0.29501619450766</v>
      </c>
      <c r="AJ91" s="11" t="n">
        <f aca="false">AJ90-AI90</f>
        <v>-0.196052008605371</v>
      </c>
      <c r="AK91" s="11" t="n">
        <f aca="false">AK90-AJ90</f>
        <v>0.227729783229577</v>
      </c>
      <c r="AL91" s="11" t="n">
        <f aca="false">AL90-AK90</f>
        <v>-0.096426296274128</v>
      </c>
      <c r="AM91" s="11" t="n">
        <f aca="false">AM90-AL90</f>
        <v>0.294861982797627</v>
      </c>
      <c r="AN91" s="11" t="n">
        <f aca="false">AN90-AM90</f>
        <v>-0.209230393539832</v>
      </c>
      <c r="AO91" s="11" t="n">
        <f aca="false">AO90-AN90</f>
        <v>0.307481904064021</v>
      </c>
      <c r="AP91" s="11" t="n">
        <f aca="false">AP90-AO90</f>
        <v>-0.188609768488446</v>
      </c>
      <c r="AQ91" s="11" t="n">
        <f aca="false">AQ90-AP90</f>
        <v>0.305676915713114</v>
      </c>
      <c r="AR91" s="11" t="n">
        <f aca="false">AR90-AQ90</f>
        <v>-0.198855821869209</v>
      </c>
      <c r="AS91" s="11" t="n">
        <f aca="false">AS90-AR90</f>
        <v>0.243069713288262</v>
      </c>
      <c r="AT91" s="11" t="n">
        <f aca="false">AT90-AS90</f>
        <v>-0.33092680829855</v>
      </c>
      <c r="AU91" s="11" t="n">
        <f aca="false">AU90-AT90</f>
        <v>0.547329543755406</v>
      </c>
      <c r="AV91" s="11" t="n">
        <f aca="false">AV90-AU90</f>
        <v>-0.224660304216005</v>
      </c>
      <c r="AW91" s="11" t="n">
        <f aca="false">AW90-AV90</f>
        <v>0.31937545333686</v>
      </c>
      <c r="AX91" s="11" t="n">
        <f aca="false">AX90-AW90</f>
        <v>-0.190384799970868</v>
      </c>
      <c r="AY91" s="11" t="n">
        <f aca="false">AY90-AX90</f>
        <v>0.317218417324131</v>
      </c>
      <c r="AZ91" s="11" t="n">
        <f aca="false">AZ90-AY90</f>
        <v>-0.201902139302707</v>
      </c>
      <c r="BA91" s="11" t="n">
        <f aca="false">BA90-AZ90</f>
        <v>0.248652133278895</v>
      </c>
      <c r="BB91" s="11" t="n">
        <f aca="false">BB90-BA90</f>
        <v>-0.0924590837861601</v>
      </c>
      <c r="BC91" s="11" t="n">
        <f aca="false">BC90-BB90</f>
        <v>0.316513888022651</v>
      </c>
      <c r="BD91" s="11" t="n">
        <f aca="false">BD90-BC90</f>
        <v>-0.218513596344582</v>
      </c>
      <c r="BE91" s="11" t="n">
        <f aca="false">BE90-BD90</f>
        <v>0.332269197692398</v>
      </c>
      <c r="BF91" s="11" t="n">
        <f aca="false">BF90-BE90</f>
        <v>-0.192284071150372</v>
      </c>
      <c r="BG91" s="11" t="n">
        <f aca="false">BG90-BF90</f>
        <v>0.329714947451812</v>
      </c>
      <c r="BH91" s="11" t="n">
        <f aca="false">BH90-BG90</f>
        <v>-0.205212280104142</v>
      </c>
      <c r="BI91" s="11" t="n">
        <f aca="false">BI90-BH90</f>
        <v>0.267199602586079</v>
      </c>
      <c r="BJ91" s="11" t="n">
        <f aca="false">BJ90-BI90</f>
        <v>-0.34348547883511</v>
      </c>
      <c r="BK91" s="11" t="n">
        <f aca="false">BK90-BJ90</f>
        <v>0.589241052366663</v>
      </c>
      <c r="BL91" s="11" t="n">
        <f aca="false">BL90-BK90</f>
        <v>-0.237747769037036</v>
      </c>
      <c r="BM91" s="11" t="n">
        <f aca="false">BM90-BL90</f>
        <v>-17.0519671602138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239.943854037947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9.49981452292747</v>
      </c>
      <c r="R13" s="11" t="n">
        <f aca="false">IF(Time!R17&gt;=Time!$F$11,Waterfall!R33*Inputs!$F$102/100*Time!R26/365,0)</f>
        <v>9.60470092451373</v>
      </c>
      <c r="S13" s="11" t="n">
        <f aca="false">IF(Time!S17&gt;=Time!$F$11,Waterfall!S33*Inputs!$F$102/100*Time!S26/365,0)</f>
        <v>9.35914647533491</v>
      </c>
      <c r="T13" s="11" t="n">
        <f aca="false">IF(Time!T17&gt;=Time!$F$11,Waterfall!T33*Inputs!$F$102/100*Time!T26/365,0)</f>
        <v>9.45076678123533</v>
      </c>
      <c r="U13" s="11" t="n">
        <f aca="false">IF(Time!U17&gt;=Time!$F$11,Waterfall!U33*Inputs!$F$102/100*Time!U26/365,0)</f>
        <v>9.25663762033967</v>
      </c>
      <c r="V13" s="11" t="n">
        <f aca="false">IF(Time!V17&gt;=Time!$F$11,Waterfall!V33*Inputs!$F$102/100*Time!V26/365,0)</f>
        <v>9.30208443131022</v>
      </c>
      <c r="W13" s="11" t="n">
        <f aca="false">IF(Time!W17&gt;=Time!$F$11,Waterfall!W33*Inputs!$F$102/100*Time!W26/365,0)</f>
        <v>9.03879238042429</v>
      </c>
      <c r="X13" s="11" t="n">
        <f aca="false">IF(Time!X17&gt;=Time!$F$11,Waterfall!X33*Inputs!$F$102/100*Time!X26/365,0)</f>
        <v>9.02716469088784</v>
      </c>
      <c r="Y13" s="11" t="n">
        <f aca="false">IF(Time!Y17&gt;=Time!$F$11,Waterfall!Y33*Inputs!$F$102/100*Time!Y26/365,0)</f>
        <v>8.77730343371502</v>
      </c>
      <c r="Z13" s="11" t="n">
        <f aca="false">IF(Time!Z17&gt;=Time!$F$11,Waterfall!Z33*Inputs!$F$102/100*Time!Z26/365,0)</f>
        <v>8.84395068732907</v>
      </c>
      <c r="AA13" s="11" t="n">
        <f aca="false">IF(Time!AA17&gt;=Time!$F$11,Waterfall!AA33*Inputs!$F$102/100*Time!AA26/365,0)</f>
        <v>8.59314967258395</v>
      </c>
      <c r="AB13" s="11" t="n">
        <f aca="false">IF(Time!AB17&gt;=Time!$F$11,Waterfall!AB33*Inputs!$F$102/100*Time!AB26/365,0)</f>
        <v>8.90096217795934</v>
      </c>
      <c r="AC13" s="11" t="n">
        <f aca="false">IF(Time!AC17&gt;=Time!$F$11,Waterfall!AC33*Inputs!$F$102/100*Time!AC26/365,0)</f>
        <v>8.94098796038328</v>
      </c>
      <c r="AD13" s="11" t="n">
        <f aca="false">IF(Time!AD17&gt;=Time!$F$11,Waterfall!AD33*Inputs!$F$102/100*Time!AD26/365,0)</f>
        <v>9.19827866562337</v>
      </c>
      <c r="AE13" s="11" t="n">
        <f aca="false">IF(Time!AE17&gt;=Time!$F$11,Waterfall!AE33*Inputs!$F$102/100*Time!AE26/365,0)</f>
        <v>9.15678983013696</v>
      </c>
      <c r="AF13" s="11" t="n">
        <f aca="false">IF(Time!AF17&gt;=Time!$F$11,Waterfall!AF33*Inputs!$F$102/100*Time!AF26/365,0)</f>
        <v>9.39191505102148</v>
      </c>
      <c r="AG13" s="11" t="n">
        <f aca="false">IF(Time!AG17&gt;=Time!$F$11,Waterfall!AG33*Inputs!$F$102/100*Time!AG26/365,0)</f>
        <v>9.29726530182357</v>
      </c>
      <c r="AH13" s="11" t="n">
        <f aca="false">IF(Time!AH17&gt;=Time!$F$11,Waterfall!AH33*Inputs!$F$102/100*Time!AH26/365,0)</f>
        <v>9.49253071982307</v>
      </c>
      <c r="AI13" s="11" t="n">
        <f aca="false">IF(Time!AI17&gt;=Time!$F$11,Waterfall!AI33*Inputs!$F$102/100*Time!AI26/365,0)</f>
        <v>9.33048579476054</v>
      </c>
      <c r="AJ13" s="11" t="n">
        <f aca="false">IF(Time!AJ17&gt;=Time!$F$11,Waterfall!AJ33*Inputs!$F$102/100*Time!AJ26/365,0)</f>
        <v>9.43781657954478</v>
      </c>
      <c r="AK13" s="11" t="n">
        <f aca="false">IF(Time!AK17&gt;=Time!$F$11,Waterfall!AK33*Inputs!$F$102/100*Time!AK26/365,0)</f>
        <v>9.21768593896003</v>
      </c>
      <c r="AL13" s="11" t="n">
        <f aca="false">IF(Time!AL17&gt;=Time!$F$11,Waterfall!AL33*Inputs!$F$102/100*Time!AL26/365,0)</f>
        <v>8.84720999388232</v>
      </c>
      <c r="AM13" s="11" t="n">
        <f aca="false">IF(Time!AM17&gt;=Time!$F$11,Waterfall!AM33*Inputs!$F$102/100*Time!AM26/365,0)</f>
        <v>7.71175042800696</v>
      </c>
      <c r="AN13" s="11" t="n">
        <f aca="false">IF(Time!AN17&gt;=Time!$F$11,Waterfall!AN33*Inputs!$F$102/100*Time!AN26/365,0)</f>
        <v>6.70081811544588</v>
      </c>
      <c r="AO13" s="11" t="n">
        <f aca="false">IF(Time!AO17&gt;=Time!$F$11,Waterfall!AO33*Inputs!$F$102/100*Time!AO26/365,0)</f>
        <v>5.50388509592837</v>
      </c>
      <c r="AP13" s="11" t="n">
        <f aca="false">IF(Time!AP17&gt;=Time!$F$11,Waterfall!AP33*Inputs!$F$102/100*Time!AP26/365,0)</f>
        <v>3.54481283682321</v>
      </c>
      <c r="AQ13" s="11" t="n">
        <f aca="false">IF(Time!AQ17&gt;=Time!$F$11,Waterfall!AQ33*Inputs!$F$102/100*Time!AQ26/365,0)</f>
        <v>1.50455737120641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0.783513010749369</v>
      </c>
      <c r="Q14" s="6" t="n">
        <f aca="false">IF(Waterfall!Q33&gt;0,MIN(1,Inputs!$F$180*(Waterfall!$F$32+MAX(0,Waterfall!P43))/Waterfall!Q33),1)</f>
        <v>0.876899485651507</v>
      </c>
      <c r="R14" s="6" t="n">
        <f aca="false">IF(Waterfall!R33&gt;0,MIN(1,Inputs!$F$180*(Waterfall!$F$32+MAX(0,Waterfall!Q43))/Waterfall!R33),1)</f>
        <v>0.981777344884468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235.386968437071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7.68696561391983</v>
      </c>
      <c r="Q15" s="11" t="n">
        <f aca="false">Q13*Q14</f>
        <v>8.33038246893982</v>
      </c>
      <c r="R15" s="11" t="n">
        <f aca="false">R13*R14</f>
        <v>9.42967777207848</v>
      </c>
      <c r="S15" s="11" t="n">
        <f aca="false">S13*S14</f>
        <v>9.35914647533491</v>
      </c>
      <c r="T15" s="11" t="n">
        <f aca="false">T13*T14</f>
        <v>9.45076678123533</v>
      </c>
      <c r="U15" s="11" t="n">
        <f aca="false">U13*U14</f>
        <v>9.25663762033967</v>
      </c>
      <c r="V15" s="11" t="n">
        <f aca="false">V13*V14</f>
        <v>9.30208443131022</v>
      </c>
      <c r="W15" s="11" t="n">
        <f aca="false">W13*W14</f>
        <v>9.03879238042429</v>
      </c>
      <c r="X15" s="11" t="n">
        <f aca="false">X13*X14</f>
        <v>9.02716469088784</v>
      </c>
      <c r="Y15" s="11" t="n">
        <f aca="false">Y13*Y14</f>
        <v>8.77730343371502</v>
      </c>
      <c r="Z15" s="11" t="n">
        <f aca="false">Z13*Z14</f>
        <v>8.84395068732907</v>
      </c>
      <c r="AA15" s="11" t="n">
        <f aca="false">AA13*AA14</f>
        <v>8.59314967258395</v>
      </c>
      <c r="AB15" s="11" t="n">
        <f aca="false">AB13*AB14</f>
        <v>8.90096217795934</v>
      </c>
      <c r="AC15" s="11" t="n">
        <f aca="false">AC13*AC14</f>
        <v>8.94098796038328</v>
      </c>
      <c r="AD15" s="11" t="n">
        <f aca="false">AD13*AD14</f>
        <v>9.19827866562337</v>
      </c>
      <c r="AE15" s="11" t="n">
        <f aca="false">AE13*AE14</f>
        <v>9.15678983013696</v>
      </c>
      <c r="AF15" s="11" t="n">
        <f aca="false">AF13*AF14</f>
        <v>9.39191505102148</v>
      </c>
      <c r="AG15" s="11" t="n">
        <f aca="false">AG13*AG14</f>
        <v>9.29726530182357</v>
      </c>
      <c r="AH15" s="11" t="n">
        <f aca="false">AH13*AH14</f>
        <v>9.49253071982307</v>
      </c>
      <c r="AI15" s="11" t="n">
        <f aca="false">AI13*AI14</f>
        <v>9.33048579476054</v>
      </c>
      <c r="AJ15" s="11" t="n">
        <f aca="false">AJ13*AJ14</f>
        <v>9.43781657954478</v>
      </c>
      <c r="AK15" s="11" t="n">
        <f aca="false">AK13*AK14</f>
        <v>9.21768593896003</v>
      </c>
      <c r="AL15" s="11" t="n">
        <f aca="false">AL13*AL14</f>
        <v>8.84720999388232</v>
      </c>
      <c r="AM15" s="11" t="n">
        <f aca="false">AM13*AM14</f>
        <v>7.71175042800696</v>
      </c>
      <c r="AN15" s="11" t="n">
        <f aca="false">AN13*AN14</f>
        <v>6.70081811544588</v>
      </c>
      <c r="AO15" s="11" t="n">
        <f aca="false">AO13*AO14</f>
        <v>5.50388509592837</v>
      </c>
      <c r="AP15" s="11" t="n">
        <f aca="false">AP13*AP14</f>
        <v>3.54481283682321</v>
      </c>
      <c r="AQ15" s="11" t="n">
        <f aca="false">AQ13*AQ14</f>
        <v>1.50455737120641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315.695538181873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14.1771786235114</v>
      </c>
      <c r="AC16" s="11" t="n">
        <f aca="false">Debt!AC119+Debt!AC117+Debt!AC111-Debt!AC110</f>
        <v>13.0022372261194</v>
      </c>
      <c r="AD16" s="11" t="n">
        <f aca="false">Debt!AD119+Debt!AD117+Debt!AD111-Debt!AD110</f>
        <v>12.0246678664232</v>
      </c>
      <c r="AE16" s="11" t="n">
        <f aca="false">Debt!AE119+Debt!AE117+Debt!AE111-Debt!AE110</f>
        <v>10.7255568429609</v>
      </c>
      <c r="AF16" s="11" t="n">
        <f aca="false">Debt!AF119+Debt!AF117+Debt!AF111-Debt!AF110</f>
        <v>9.61569200309449</v>
      </c>
      <c r="AG16" s="11" t="n">
        <f aca="false">Debt!AG119+Debt!AG117+Debt!AG111-Debt!AG110</f>
        <v>8.4839904485789</v>
      </c>
      <c r="AH16" s="11" t="n">
        <f aca="false">Debt!AH119+Debt!AH117+Debt!AH111-Debt!AH110</f>
        <v>7.27868921680383</v>
      </c>
      <c r="AI16" s="11" t="n">
        <f aca="false">Debt!AI119+Debt!AI117+Debt!AI111-Debt!AI110</f>
        <v>5.87930029144449</v>
      </c>
      <c r="AJ16" s="11" t="n">
        <f aca="false">Debt!AJ119+Debt!AJ117+Debt!AJ111-Debt!AJ110</f>
        <v>4.59532418806295</v>
      </c>
      <c r="AK16" s="11" t="n">
        <f aca="false">Debt!AK119+Debt!AK117+Debt!AK111-Debt!AK110</f>
        <v>3.20932469608477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1120.53195043138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1.44710021914642</v>
      </c>
      <c r="Z18" s="11" t="n">
        <f aca="false">(Operations!Z79-Z16-Z15)*Z17-Z12</f>
        <v>4.94886971320355</v>
      </c>
      <c r="AA18" s="11" t="n">
        <f aca="false">(Operations!AA79-AA16-AA15)*AA17-AA12</f>
        <v>6.18291009916804</v>
      </c>
      <c r="AB18" s="11" t="n">
        <f aca="false">(Operations!AB79-AB16-AB15)*AB17-AB12</f>
        <v>6.7773360280717</v>
      </c>
      <c r="AC18" s="11" t="n">
        <f aca="false">(Operations!AC79-AC16-AC15)*AC17-AC12</f>
        <v>8.14766414808295</v>
      </c>
      <c r="AD18" s="11" t="n">
        <f aca="false">(Operations!AD79-AD16-AD15)*AD17-AD12</f>
        <v>-3.54487262175478</v>
      </c>
      <c r="AE18" s="11" t="n">
        <f aca="false">(Operations!AE79-AE16-AE15)*AE17-AE12</f>
        <v>10.5525891987956</v>
      </c>
      <c r="AF18" s="11" t="n">
        <f aca="false">(Operations!AF79-AF16-AF15)*AF17-AF12</f>
        <v>11.2514426179539</v>
      </c>
      <c r="AG18" s="11" t="n">
        <f aca="false">(Operations!AG79-AG16-AG15)*AG17-AG12</f>
        <v>12.6064773133323</v>
      </c>
      <c r="AH18" s="11" t="n">
        <f aca="false">(Operations!AH79-AH16-AH15)*AH17-AH12</f>
        <v>13.7721611820106</v>
      </c>
      <c r="AI18" s="11" t="n">
        <f aca="false">(Operations!AI79-AI16-AI15)*AI17-AI12</f>
        <v>15.4143110036052</v>
      </c>
      <c r="AJ18" s="11" t="n">
        <f aca="false">(Operations!AJ79-AJ16-AJ15)*AJ17-AJ12</f>
        <v>16.6461628876193</v>
      </c>
      <c r="AK18" s="11" t="n">
        <f aca="false">(Operations!AK79-AK16-AK15)*AK17-AK12</f>
        <v>18.4536701254858</v>
      </c>
      <c r="AL18" s="11" t="n">
        <f aca="false">(Operations!AL79-AL16-AL15)*AL17-AL12</f>
        <v>17.1872483909885</v>
      </c>
      <c r="AM18" s="11" t="n">
        <f aca="false">(Operations!AM79-AM16-AM15)*AM17-AM12</f>
        <v>21.9047793126741</v>
      </c>
      <c r="AN18" s="11" t="n">
        <f aca="false">(Operations!AN79-AN16-AN15)*AN17-AN12</f>
        <v>23.4240246979818</v>
      </c>
      <c r="AO18" s="11" t="n">
        <f aca="false">(Operations!AO79-AO16-AO15)*AO17-AO12</f>
        <v>25.2552610875773</v>
      </c>
      <c r="AP18" s="11" t="n">
        <f aca="false">(Operations!AP79-AP16-AP15)*AP17-AP12</f>
        <v>27.8817171313439</v>
      </c>
      <c r="AQ18" s="11" t="n">
        <f aca="false">(Operations!AQ79-AQ16-AQ15)*AQ17-AQ12</f>
        <v>30.0085885769975</v>
      </c>
      <c r="AR18" s="11" t="n">
        <f aca="false">(Operations!AR79-AR16-AR15)*AR17-AR12</f>
        <v>31.572674527933</v>
      </c>
      <c r="AS18" s="11" t="n">
        <f aca="false">(Operations!AS79-AS16-AS15)*AS17-AS12</f>
        <v>31.8533881103324</v>
      </c>
      <c r="AT18" s="11" t="n">
        <f aca="false">(Operations!AT79-AT16-AT15)*AT17-AT12</f>
        <v>17.1965062502258</v>
      </c>
      <c r="AU18" s="11" t="n">
        <f aca="false">(Operations!AU79-AU16-AU15)*AU17-AU12</f>
        <v>32.2630814295351</v>
      </c>
      <c r="AV18" s="11" t="n">
        <f aca="false">(Operations!AV79-AV16-AV15)*AV17-AV12</f>
        <v>32.0472760921796</v>
      </c>
      <c r="AW18" s="11" t="n">
        <f aca="false">(Operations!AW79-AW16-AW15)*AW17-AW12</f>
        <v>32.1984391869538</v>
      </c>
      <c r="AX18" s="11" t="n">
        <f aca="false">(Operations!AX79-AX16-AX15)*AX17-AX12</f>
        <v>32.3843872019861</v>
      </c>
      <c r="AY18" s="11" t="n">
        <f aca="false">(Operations!AY79-AY16-AY15)*AY17-AY12</f>
        <v>32.4773423813456</v>
      </c>
      <c r="AZ18" s="11" t="n">
        <f aca="false">(Operations!AZ79-AZ16-AZ15)*AZ17-AZ12</f>
        <v>32.5415307132786</v>
      </c>
      <c r="BA18" s="11" t="n">
        <f aca="false">(Operations!BA79-BA16-BA15)*BA17-BA12</f>
        <v>32.7805924073802</v>
      </c>
      <c r="BB18" s="11" t="n">
        <f aca="false">(Operations!BB79-BB16-BB15)*BB17-BB12</f>
        <v>29.603415171344</v>
      </c>
      <c r="BC18" s="11" t="n">
        <f aca="false">(Operations!BC79-BC16-BC15)*BC17-BC12</f>
        <v>39.5715192262529</v>
      </c>
      <c r="BD18" s="11" t="n">
        <f aca="false">(Operations!BD79-BD16-BD15)*BD17-BD12</f>
        <v>52.3000522371509</v>
      </c>
      <c r="BE18" s="11" t="n">
        <f aca="false">(Operations!BE79-BE16-BE15)*BE17-BE12</f>
        <v>52.4639149160055</v>
      </c>
      <c r="BF18" s="11" t="n">
        <f aca="false">(Operations!BF79-BF16-BF15)*BF17-BF12</f>
        <v>52.6671380519981</v>
      </c>
      <c r="BG18" s="11" t="n">
        <f aca="false">(Operations!BG79-BG16-BG15)*BG17-BG12</f>
        <v>52.766905136558</v>
      </c>
      <c r="BH18" s="11" t="n">
        <f aca="false">(Operations!BH79-BH16-BH15)*BH17-BH12</f>
        <v>52.8361172271195</v>
      </c>
      <c r="BI18" s="11" t="n">
        <f aca="false">(Operations!BI79-BI16-BI15)*BI17-BI12</f>
        <v>53.1708506225938</v>
      </c>
      <c r="BJ18" s="11" t="n">
        <f aca="false">(Operations!BJ79-BJ16-BJ15)*BJ17-BJ12</f>
        <v>35.8439699470606</v>
      </c>
      <c r="BK18" s="11" t="n">
        <f aca="false">(Operations!BK79-BK16-BK15)*BK17-BK12</f>
        <v>53.658708919498</v>
      </c>
      <c r="BL18" s="11" t="n">
        <f aca="false">(Operations!BL79-BL16-BL15)*BL17-BL12</f>
        <v>53.3944106745387</v>
      </c>
      <c r="BM18" s="11" t="n">
        <f aca="false">(Operations!BM79-BM16-BM15)*BM17-BM12</f>
        <v>16.6222888878286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3.54487262175478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3.54487262175478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1.44710021914642</v>
      </c>
      <c r="Z20" s="11" t="n">
        <f aca="false">MIN(Y21,MAX(0,Z18-Z19))</f>
        <v>4.94886971320355</v>
      </c>
      <c r="AA20" s="11" t="n">
        <f aca="false">MIN(Z21,MAX(0,AA18-AA19))</f>
        <v>6.18291009916804</v>
      </c>
      <c r="AB20" s="11" t="n">
        <f aca="false">MIN(AA21,MAX(0,AB18-AB19))</f>
        <v>6.7773360280717</v>
      </c>
      <c r="AC20" s="11" t="n">
        <f aca="false">MIN(AB21,MAX(0,AC18-AC19))</f>
        <v>8.14766414808295</v>
      </c>
      <c r="AD20" s="11" t="n">
        <f aca="false">MIN(AC21,MAX(0,AD18-AD19))</f>
        <v>0</v>
      </c>
      <c r="AE20" s="11" t="n">
        <f aca="false">MIN(AD21,MAX(0,AE18-AE19))</f>
        <v>7.0077165770408</v>
      </c>
      <c r="AF20" s="11" t="n">
        <f aca="false">MIN(AE21,MAX(0,AF18-AF19))</f>
        <v>11.2514426179539</v>
      </c>
      <c r="AG20" s="11" t="n">
        <f aca="false">MIN(AF21,MAX(0,AG18-AG19))</f>
        <v>12.6064773133323</v>
      </c>
      <c r="AH20" s="11" t="n">
        <f aca="false">MIN(AG21,MAX(0,AH18-AH19))</f>
        <v>13.7721611820106</v>
      </c>
      <c r="AI20" s="11" t="n">
        <f aca="false">MIN(AH21,MAX(0,AI18-AI19))</f>
        <v>15.4143110036052</v>
      </c>
      <c r="AJ20" s="11" t="n">
        <f aca="false">MIN(AI21,MAX(0,AJ18-AJ19))</f>
        <v>16.6461628876193</v>
      </c>
      <c r="AK20" s="11" t="n">
        <f aca="false">MIN(AJ21,MAX(0,AK18-AK19))</f>
        <v>18.4536701254858</v>
      </c>
      <c r="AL20" s="11" t="n">
        <f aca="false">MIN(AK21,MAX(0,AL18-AL19))</f>
        <v>17.1872483909885</v>
      </c>
      <c r="AM20" s="11" t="n">
        <f aca="false">MIN(AL21,MAX(0,AM18-AM19))</f>
        <v>21.9047793126741</v>
      </c>
      <c r="AN20" s="11" t="n">
        <f aca="false">MIN(AM21,MAX(0,AN18-AN19))</f>
        <v>23.4240246979818</v>
      </c>
      <c r="AO20" s="11" t="n">
        <f aca="false">MIN(AN21,MAX(0,AO18-AO19))</f>
        <v>25.2552610875773</v>
      </c>
      <c r="AP20" s="11" t="n">
        <f aca="false">MIN(AO21,MAX(0,AP18-AP19))</f>
        <v>15.4782337298236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224.458268914619</v>
      </c>
      <c r="Z21" s="11" t="n">
        <f aca="false">Y21+Z11-Z20</f>
        <v>219.509399201416</v>
      </c>
      <c r="AA21" s="11" t="n">
        <f aca="false">Z21+AA11-AA20</f>
        <v>213.326489102248</v>
      </c>
      <c r="AB21" s="11" t="n">
        <f aca="false">AA21+AB11-AB20</f>
        <v>206.549153074176</v>
      </c>
      <c r="AC21" s="11" t="n">
        <f aca="false">AB21+AC11-AC20</f>
        <v>198.401488926093</v>
      </c>
      <c r="AD21" s="11" t="n">
        <f aca="false">AC21+AD11-AD20</f>
        <v>198.401488926093</v>
      </c>
      <c r="AE21" s="11" t="n">
        <f aca="false">AD21+AE11-AE20</f>
        <v>191.393772349052</v>
      </c>
      <c r="AF21" s="11" t="n">
        <f aca="false">AE21+AF11-AF20</f>
        <v>180.142329731098</v>
      </c>
      <c r="AG21" s="11" t="n">
        <f aca="false">AF21+AG11-AG20</f>
        <v>167.535852417766</v>
      </c>
      <c r="AH21" s="11" t="n">
        <f aca="false">AG21+AH11-AH20</f>
        <v>153.763691235755</v>
      </c>
      <c r="AI21" s="11" t="n">
        <f aca="false">AH21+AI11-AI20</f>
        <v>138.34938023215</v>
      </c>
      <c r="AJ21" s="11" t="n">
        <f aca="false">AI21+AJ11-AJ20</f>
        <v>121.703217344531</v>
      </c>
      <c r="AK21" s="11" t="n">
        <f aca="false">AJ21+AK11-AK20</f>
        <v>103.249547219045</v>
      </c>
      <c r="AL21" s="11" t="n">
        <f aca="false">AK21+AL11-AL20</f>
        <v>86.0622988280567</v>
      </c>
      <c r="AM21" s="11" t="n">
        <f aca="false">AL21+AM11-AM20</f>
        <v>64.1575195153827</v>
      </c>
      <c r="AN21" s="11" t="n">
        <f aca="false">AM21+AN11-AN20</f>
        <v>40.7334948174009</v>
      </c>
      <c r="AO21" s="11" t="n">
        <f aca="false">AN21+AO11-AO20</f>
        <v>15.4782337298236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3.54487262175478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894.626581297617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12.4034834015203</v>
      </c>
      <c r="AQ23" s="11" t="n">
        <f aca="false">MAX(0,AQ18-AQ19-AQ20)</f>
        <v>30.0085885769975</v>
      </c>
      <c r="AR23" s="11" t="n">
        <f aca="false">MAX(0,AR18-AR19-AR20)</f>
        <v>31.572674527933</v>
      </c>
      <c r="AS23" s="11" t="n">
        <f aca="false">MAX(0,AS18-AS19-AS20)</f>
        <v>31.8533881103324</v>
      </c>
      <c r="AT23" s="11" t="n">
        <f aca="false">MAX(0,AT18-AT19-AT20)</f>
        <v>17.1965062502258</v>
      </c>
      <c r="AU23" s="11" t="n">
        <f aca="false">MAX(0,AU18-AU19-AU20)</f>
        <v>32.2630814295351</v>
      </c>
      <c r="AV23" s="11" t="n">
        <f aca="false">MAX(0,AV18-AV19-AV20)</f>
        <v>32.0472760921796</v>
      </c>
      <c r="AW23" s="11" t="n">
        <f aca="false">MAX(0,AW18-AW19-AW20)</f>
        <v>32.1984391869538</v>
      </c>
      <c r="AX23" s="11" t="n">
        <f aca="false">MAX(0,AX18-AX19-AX20)</f>
        <v>32.3843872019861</v>
      </c>
      <c r="AY23" s="11" t="n">
        <f aca="false">MAX(0,AY18-AY19-AY20)</f>
        <v>32.4773423813456</v>
      </c>
      <c r="AZ23" s="11" t="n">
        <f aca="false">MAX(0,AZ18-AZ19-AZ20)</f>
        <v>32.5415307132786</v>
      </c>
      <c r="BA23" s="11" t="n">
        <f aca="false">MAX(0,BA18-BA19-BA20)</f>
        <v>32.7805924073802</v>
      </c>
      <c r="BB23" s="11" t="n">
        <f aca="false">MAX(0,BB18-BB19-BB20)</f>
        <v>29.603415171344</v>
      </c>
      <c r="BC23" s="11" t="n">
        <f aca="false">MAX(0,BC18-BC19-BC20)</f>
        <v>39.5715192262529</v>
      </c>
      <c r="BD23" s="11" t="n">
        <f aca="false">MAX(0,BD18-BD19-BD20)</f>
        <v>52.3000522371509</v>
      </c>
      <c r="BE23" s="11" t="n">
        <f aca="false">MAX(0,BE18-BE19-BE20)</f>
        <v>52.4639149160055</v>
      </c>
      <c r="BF23" s="11" t="n">
        <f aca="false">MAX(0,BF18-BF19-BF20)</f>
        <v>52.6671380519981</v>
      </c>
      <c r="BG23" s="11" t="n">
        <f aca="false">MAX(0,BG18-BG19-BG20)</f>
        <v>52.766905136558</v>
      </c>
      <c r="BH23" s="11" t="n">
        <f aca="false">MAX(0,BH18-BH19-BH20)</f>
        <v>52.8361172271195</v>
      </c>
      <c r="BI23" s="11" t="n">
        <f aca="false">MAX(0,BI18-BI19-BI20)</f>
        <v>53.1708506225938</v>
      </c>
      <c r="BJ23" s="11" t="n">
        <f aca="false">MAX(0,BJ18-BJ19-BJ20)</f>
        <v>35.8439699470606</v>
      </c>
      <c r="BK23" s="11" t="n">
        <f aca="false">MAX(0,BK18-BK19-BK20)</f>
        <v>53.658708919498</v>
      </c>
      <c r="BL23" s="11" t="n">
        <f aca="false">MAX(0,BL18-BL19-BL20)</f>
        <v>53.3944106745387</v>
      </c>
      <c r="BM23" s="11" t="n">
        <f aca="false">MAX(0,BM18-BM19-BM20)</f>
        <v>16.6222888878286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268.387974389285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3.7210450204561</v>
      </c>
      <c r="AQ25" s="11" t="n">
        <f aca="false">AQ23*AQ24</f>
        <v>9.00257657309924</v>
      </c>
      <c r="AR25" s="11" t="n">
        <f aca="false">AR23*AR24</f>
        <v>9.4718023583799</v>
      </c>
      <c r="AS25" s="11" t="n">
        <f aca="false">AS23*AS24</f>
        <v>9.55601643309972</v>
      </c>
      <c r="AT25" s="11" t="n">
        <f aca="false">AT23*AT24</f>
        <v>5.15895187506773</v>
      </c>
      <c r="AU25" s="11" t="n">
        <f aca="false">AU23*AU24</f>
        <v>9.67892442886054</v>
      </c>
      <c r="AV25" s="11" t="n">
        <f aca="false">AV23*AV24</f>
        <v>9.61418282765388</v>
      </c>
      <c r="AW25" s="11" t="n">
        <f aca="false">AW23*AW24</f>
        <v>9.65953175608613</v>
      </c>
      <c r="AX25" s="11" t="n">
        <f aca="false">AX23*AX24</f>
        <v>9.71531616059582</v>
      </c>
      <c r="AY25" s="11" t="n">
        <f aca="false">AY23*AY24</f>
        <v>9.74320271440367</v>
      </c>
      <c r="AZ25" s="11" t="n">
        <f aca="false">AZ23*AZ24</f>
        <v>9.76245921398358</v>
      </c>
      <c r="BA25" s="11" t="n">
        <f aca="false">BA23*BA24</f>
        <v>9.83417772221406</v>
      </c>
      <c r="BB25" s="11" t="n">
        <f aca="false">BB23*BB24</f>
        <v>8.88102455140321</v>
      </c>
      <c r="BC25" s="11" t="n">
        <f aca="false">BC23*BC24</f>
        <v>11.8714557678759</v>
      </c>
      <c r="BD25" s="11" t="n">
        <f aca="false">BD23*BD24</f>
        <v>15.6900156711453</v>
      </c>
      <c r="BE25" s="11" t="n">
        <f aca="false">BE23*BE24</f>
        <v>15.7391744748017</v>
      </c>
      <c r="BF25" s="11" t="n">
        <f aca="false">BF23*BF24</f>
        <v>15.8001414155994</v>
      </c>
      <c r="BG25" s="11" t="n">
        <f aca="false">BG23*BG24</f>
        <v>15.8300715409674</v>
      </c>
      <c r="BH25" s="11" t="n">
        <f aca="false">BH23*BH24</f>
        <v>15.8508351681358</v>
      </c>
      <c r="BI25" s="11" t="n">
        <f aca="false">BI23*BI24</f>
        <v>15.9512551867781</v>
      </c>
      <c r="BJ25" s="11" t="n">
        <f aca="false">BJ23*BJ24</f>
        <v>10.7531909841182</v>
      </c>
      <c r="BK25" s="11" t="n">
        <f aca="false">BK23*BK24</f>
        <v>16.0976126758494</v>
      </c>
      <c r="BL25" s="11" t="n">
        <f aca="false">BL23*BL24</f>
        <v>16.0183232023616</v>
      </c>
      <c r="BM25" s="11" t="n">
        <f aca="false">BM23*BM24</f>
        <v>4.98668666634858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14.9346503059217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0.113236992696919</v>
      </c>
      <c r="Z26" s="11" t="n">
        <f aca="false">IF(Time!Z25&gt;0,Inputs!$F$173/100*Operations!Z50*(Z8+Z9)/Time!Z25,0)</f>
        <v>0.341011714799424</v>
      </c>
      <c r="AA26" s="11" t="n">
        <f aca="false">IF(Time!AA25&gt;0,Inputs!$F$173/100*Operations!AA50*(AA8+AA9)/Time!AA25,0)</f>
        <v>0.342592162655821</v>
      </c>
      <c r="AB26" s="11" t="n">
        <f aca="false">IF(Time!AB25&gt;0,Inputs!$F$173/100*Operations!AB50*(AB8+AB9)/Time!AB25,0)</f>
        <v>0.344280540879753</v>
      </c>
      <c r="AC26" s="11" t="n">
        <f aca="false">IF(Time!AC25&gt;0,Inputs!$F$173/100*Operations!AC50*(AC8+AC9)/Time!AC25,0)</f>
        <v>0.345291601167828</v>
      </c>
      <c r="AD26" s="11" t="n">
        <f aca="false">IF(Time!AD25&gt;0,Inputs!$F$173/100*Operations!AD50*(AD8+AD9)/Time!AD25,0)</f>
        <v>0.341185677058709</v>
      </c>
      <c r="AE26" s="11" t="n">
        <f aca="false">IF(Time!AE25&gt;0,Inputs!$F$173/100*Operations!AE50*(AE8+AE9)/Time!AE25,0)</f>
        <v>0.347857570453953</v>
      </c>
      <c r="AF26" s="11" t="n">
        <f aca="false">IF(Time!AF25&gt;0,Inputs!$F$173/100*Operations!AF50*(AF8+AF9)/Time!AF25,0)</f>
        <v>0.350485714418569</v>
      </c>
      <c r="AG26" s="11" t="n">
        <f aca="false">IF(Time!AG25&gt;0,Inputs!$F$173/100*Operations!AG50*(AG8+AG9)/Time!AG25,0)</f>
        <v>0.351984357923972</v>
      </c>
      <c r="AH26" s="11" t="n">
        <f aca="false">IF(Time!AH25&gt;0,Inputs!$F$173/100*Operations!AH50*(AH8+AH9)/Time!AH25,0)</f>
        <v>0.353402593239554</v>
      </c>
      <c r="AI26" s="11" t="n">
        <f aca="false">IF(Time!AI25&gt;0,Inputs!$F$173/100*Operations!AI50*(AI8+AI9)/Time!AI25,0)</f>
        <v>0.355124216755785</v>
      </c>
      <c r="AJ26" s="11" t="n">
        <f aca="false">IF(Time!AJ25&gt;0,Inputs!$F$173/100*Operations!AJ50*(AJ8+AJ9)/Time!AJ25,0)</f>
        <v>0.356962957072487</v>
      </c>
      <c r="AK26" s="11" t="n">
        <f aca="false">IF(Time!AK25&gt;0,Inputs!$F$173/100*Operations!AK50*(AK8+AK9)/Time!AK25,0)</f>
        <v>0.358275531814984</v>
      </c>
      <c r="AL26" s="11" t="n">
        <f aca="false">IF(Time!AL25&gt;0,Inputs!$F$173/100*Operations!AL50*(AL8+AL9)/Time!AL25,0)</f>
        <v>0.359244714953129</v>
      </c>
      <c r="AM26" s="11" t="n">
        <f aca="false">IF(Time!AM25&gt;0,Inputs!$F$173/100*Operations!AM50*(AM8+AM9)/Time!AM25,0)</f>
        <v>0.361290988503624</v>
      </c>
      <c r="AN26" s="11" t="n">
        <f aca="false">IF(Time!AN25&gt;0,Inputs!$F$173/100*Operations!AN50*(AN8+AN9)/Time!AN25,0)</f>
        <v>0.363724195326216</v>
      </c>
      <c r="AO26" s="11" t="n">
        <f aca="false">IF(Time!AO25&gt;0,Inputs!$F$173/100*Operations!AO50*(AO8+AO9)/Time!AO25,0)</f>
        <v>0.365357638076853</v>
      </c>
      <c r="AP26" s="11" t="n">
        <f aca="false">IF(Time!AP25&gt;0,Inputs!$F$173/100*Operations!AP50*(AP8+AP9)/Time!AP25,0)</f>
        <v>0.3669039854338</v>
      </c>
      <c r="AQ26" s="11" t="n">
        <f aca="false">IF(Time!AQ25&gt;0,Inputs!$F$173/100*Operations!AQ50*(AQ8+AQ9)/Time!AQ25,0)</f>
        <v>0.368779391168089</v>
      </c>
      <c r="AR26" s="11" t="n">
        <f aca="false">IF(Time!AR25&gt;0,Inputs!$F$173/100*Operations!AR50*(AR8+AR9)/Time!AR25,0)</f>
        <v>0.370781878362452</v>
      </c>
      <c r="AS26" s="11" t="n">
        <f aca="false">IF(Time!AS25&gt;0,Inputs!$F$173/100*Operations!AS50*(AS8+AS9)/Time!AS25,0)</f>
        <v>0.371988203435177</v>
      </c>
      <c r="AT26" s="11" t="n">
        <f aca="false">IF(Time!AT25&gt;0,Inputs!$F$173/100*Operations!AT50*(AT8+AT9)/Time!AT25,0)</f>
        <v>0.36766912456334</v>
      </c>
      <c r="AU26" s="11" t="n">
        <f aca="false">IF(Time!AU25&gt;0,Inputs!$F$173/100*Operations!AU50*(AU8+AU9)/Time!AU25,0)</f>
        <v>0.375040866709552</v>
      </c>
      <c r="AV26" s="11" t="n">
        <f aca="false">IF(Time!AV25&gt;0,Inputs!$F$173/100*Operations!AV50*(AV8+AV9)/Time!AV25,0)</f>
        <v>0.378149000964824</v>
      </c>
      <c r="AW26" s="11" t="n">
        <f aca="false">IF(Time!AW25&gt;0,Inputs!$F$173/100*Operations!AW50*(AW8+AW9)/Time!AW25,0)</f>
        <v>0.379929366319965</v>
      </c>
      <c r="AX26" s="11" t="n">
        <f aca="false">IF(Time!AX25&gt;0,Inputs!$F$173/100*Operations!AX50*(AX8+AX9)/Time!AX25,0)</f>
        <v>0.381615397799899</v>
      </c>
      <c r="AY26" s="11" t="n">
        <f aca="false">IF(Time!AY25&gt;0,Inputs!$F$173/100*Operations!AY50*(AY8+AY9)/Time!AY25,0)</f>
        <v>0.383658317653593</v>
      </c>
      <c r="AZ26" s="11" t="n">
        <f aca="false">IF(Time!AZ25&gt;0,Inputs!$F$173/100*Operations!AZ50*(AZ8+AZ9)/Time!AZ25,0)</f>
        <v>0.385839127424154</v>
      </c>
      <c r="BA26" s="11" t="n">
        <f aca="false">IF(Time!BA25&gt;0,Inputs!$F$173/100*Operations!BA50*(BA8+BA9)/Time!BA25,0)</f>
        <v>0.387401554124382</v>
      </c>
      <c r="BB26" s="11" t="n">
        <f aca="false">IF(Time!BB25&gt;0,Inputs!$F$173/100*Operations!BB50*(BB8+BB9)/Time!BB25,0)</f>
        <v>0.388560493352718</v>
      </c>
      <c r="BC26" s="11" t="n">
        <f aca="false">IF(Time!BC25&gt;0,Inputs!$F$173/100*Operations!BC50*(BC8+BC9)/Time!BC25,0)</f>
        <v>0.39098591080539</v>
      </c>
      <c r="BD26" s="11" t="n">
        <f aca="false">IF(Time!BD25&gt;0,Inputs!$F$173/100*Operations!BD50*(BD8+BD9)/Time!BD25,0)</f>
        <v>0.393866416491952</v>
      </c>
      <c r="BE26" s="11" t="n">
        <f aca="false">IF(Time!BE25&gt;0,Inputs!$F$173/100*Operations!BE50*(BE8+BE9)/Time!BE25,0)</f>
        <v>0.395806918004571</v>
      </c>
      <c r="BF26" s="11" t="n">
        <f aca="false">IF(Time!BF25&gt;0,Inputs!$F$173/100*Operations!BF50*(BF8+BF9)/Time!BF25,0)</f>
        <v>0.397645250920947</v>
      </c>
      <c r="BG26" s="11" t="n">
        <f aca="false">IF(Time!BG25&gt;0,Inputs!$F$173/100*Operations!BG50*(BG8+BG9)/Time!BG25,0)</f>
        <v>0.399870642558352</v>
      </c>
      <c r="BH26" s="11" t="n">
        <f aca="false">IF(Time!BH25&gt;0,Inputs!$F$173/100*Operations!BH50*(BH8+BH9)/Time!BH25,0)</f>
        <v>0.402245647427016</v>
      </c>
      <c r="BI26" s="11" t="n">
        <f aca="false">IF(Time!BI25&gt;0,Inputs!$F$173/100*Operations!BI50*(BI8+BI9)/Time!BI25,0)</f>
        <v>0.403684939642396</v>
      </c>
      <c r="BJ26" s="11" t="n">
        <f aca="false">IF(Time!BJ25&gt;0,Inputs!$F$173/100*Operations!BJ50*(BJ8+BJ9)/Time!BJ25,0)</f>
        <v>0.399114192808718</v>
      </c>
      <c r="BK26" s="11" t="n">
        <f aca="false">IF(Time!BK25&gt;0,Inputs!$F$173/100*Operations!BK50*(BK8+BK9)/Time!BK25,0)</f>
        <v>0.407316608782267</v>
      </c>
      <c r="BL26" s="11" t="n">
        <f aca="false">IF(Time!BL25&gt;0,Inputs!$F$173/100*Operations!BL50*(BL8+BL9)/Time!BL25,0)</f>
        <v>0.410992247183023</v>
      </c>
      <c r="BM26" s="11" t="n">
        <f aca="false">IF(Time!BM25&gt;0,Inputs!$F$173/100*Operations!BM50*(BM8+BM9)/Time!BM25,0)</f>
        <v>0.275495656187561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274.139283557083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0.113236992696919</v>
      </c>
      <c r="Z27" s="11" t="n">
        <f aca="false">MAX(Z25,Z26)</f>
        <v>0.341011714799424</v>
      </c>
      <c r="AA27" s="11" t="n">
        <f aca="false">MAX(AA25,AA26)</f>
        <v>0.342592162655821</v>
      </c>
      <c r="AB27" s="11" t="n">
        <f aca="false">MAX(AB25,AB26)</f>
        <v>0.344280540879753</v>
      </c>
      <c r="AC27" s="11" t="n">
        <f aca="false">MAX(AC25,AC26)</f>
        <v>0.345291601167828</v>
      </c>
      <c r="AD27" s="11" t="n">
        <f aca="false">MAX(AD25,AD26)</f>
        <v>0.341185677058709</v>
      </c>
      <c r="AE27" s="11" t="n">
        <f aca="false">MAX(AE25,AE26)</f>
        <v>0.347857570453953</v>
      </c>
      <c r="AF27" s="11" t="n">
        <f aca="false">MAX(AF25,AF26)</f>
        <v>0.350485714418569</v>
      </c>
      <c r="AG27" s="11" t="n">
        <f aca="false">MAX(AG25,AG26)</f>
        <v>0.351984357923972</v>
      </c>
      <c r="AH27" s="11" t="n">
        <f aca="false">MAX(AH25,AH26)</f>
        <v>0.353402593239554</v>
      </c>
      <c r="AI27" s="11" t="n">
        <f aca="false">MAX(AI25,AI26)</f>
        <v>0.355124216755785</v>
      </c>
      <c r="AJ27" s="11" t="n">
        <f aca="false">MAX(AJ25,AJ26)</f>
        <v>0.356962957072487</v>
      </c>
      <c r="AK27" s="11" t="n">
        <f aca="false">MAX(AK25,AK26)</f>
        <v>0.358275531814984</v>
      </c>
      <c r="AL27" s="11" t="n">
        <f aca="false">MAX(AL25,AL26)</f>
        <v>0.359244714953129</v>
      </c>
      <c r="AM27" s="11" t="n">
        <f aca="false">MAX(AM25,AM26)</f>
        <v>0.361290988503624</v>
      </c>
      <c r="AN27" s="11" t="n">
        <f aca="false">MAX(AN25,AN26)</f>
        <v>0.363724195326216</v>
      </c>
      <c r="AO27" s="11" t="n">
        <f aca="false">MAX(AO25,AO26)</f>
        <v>0.365357638076853</v>
      </c>
      <c r="AP27" s="11" t="n">
        <f aca="false">MAX(AP25,AP26)</f>
        <v>3.7210450204561</v>
      </c>
      <c r="AQ27" s="11" t="n">
        <f aca="false">MAX(AQ25,AQ26)</f>
        <v>9.00257657309924</v>
      </c>
      <c r="AR27" s="11" t="n">
        <f aca="false">MAX(AR25,AR26)</f>
        <v>9.4718023583799</v>
      </c>
      <c r="AS27" s="11" t="n">
        <f aca="false">MAX(AS25,AS26)</f>
        <v>9.55601643309972</v>
      </c>
      <c r="AT27" s="11" t="n">
        <f aca="false">MAX(AT25,AT26)</f>
        <v>5.15895187506773</v>
      </c>
      <c r="AU27" s="11" t="n">
        <f aca="false">MAX(AU25,AU26)</f>
        <v>9.67892442886054</v>
      </c>
      <c r="AV27" s="11" t="n">
        <f aca="false">MAX(AV25,AV26)</f>
        <v>9.61418282765388</v>
      </c>
      <c r="AW27" s="11" t="n">
        <f aca="false">MAX(AW25,AW26)</f>
        <v>9.65953175608613</v>
      </c>
      <c r="AX27" s="11" t="n">
        <f aca="false">MAX(AX25,AX26)</f>
        <v>9.71531616059582</v>
      </c>
      <c r="AY27" s="11" t="n">
        <f aca="false">MAX(AY25,AY26)</f>
        <v>9.74320271440367</v>
      </c>
      <c r="AZ27" s="11" t="n">
        <f aca="false">MAX(AZ25,AZ26)</f>
        <v>9.76245921398358</v>
      </c>
      <c r="BA27" s="11" t="n">
        <f aca="false">MAX(BA25,BA26)</f>
        <v>9.83417772221406</v>
      </c>
      <c r="BB27" s="11" t="n">
        <f aca="false">MAX(BB25,BB26)</f>
        <v>8.88102455140321</v>
      </c>
      <c r="BC27" s="11" t="n">
        <f aca="false">MAX(BC25,BC26)</f>
        <v>11.8714557678759</v>
      </c>
      <c r="BD27" s="11" t="n">
        <f aca="false">MAX(BD25,BD26)</f>
        <v>15.6900156711453</v>
      </c>
      <c r="BE27" s="11" t="n">
        <f aca="false">MAX(BE25,BE26)</f>
        <v>15.7391744748017</v>
      </c>
      <c r="BF27" s="11" t="n">
        <f aca="false">MAX(BF25,BF26)</f>
        <v>15.8001414155994</v>
      </c>
      <c r="BG27" s="11" t="n">
        <f aca="false">MAX(BG25,BG26)</f>
        <v>15.8300715409674</v>
      </c>
      <c r="BH27" s="11" t="n">
        <f aca="false">MAX(BH25,BH26)</f>
        <v>15.8508351681358</v>
      </c>
      <c r="BI27" s="11" t="n">
        <f aca="false">MAX(BI25,BI26)</f>
        <v>15.9512551867781</v>
      </c>
      <c r="BJ27" s="11" t="n">
        <f aca="false">MAX(BJ25,BJ26)</f>
        <v>10.7531909841182</v>
      </c>
      <c r="BK27" s="11" t="n">
        <f aca="false">MAX(BK25,BK26)</f>
        <v>16.0976126758494</v>
      </c>
      <c r="BL27" s="11" t="n">
        <f aca="false">MAX(BL25,BL26)</f>
        <v>16.0183232023616</v>
      </c>
      <c r="BM27" s="11" t="n">
        <f aca="false">MAX(BM25,BM26)</f>
        <v>4.98668666634858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4.55688560087596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2.12393159960295</v>
      </c>
      <c r="Q28" s="11" t="n">
        <f aca="false">Q13-Q15</f>
        <v>1.16943205398765</v>
      </c>
      <c r="R28" s="11" t="n">
        <f aca="false">R13-R15</f>
        <v>0.175023152435244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149.436061517102</v>
      </c>
      <c r="AC70" s="11" t="n">
        <f aca="false">Time!AC30*AB83</f>
        <v>135.129079625441</v>
      </c>
      <c r="AD70" s="11" t="n">
        <f aca="false">Time!AD30*AC83</f>
        <v>121.305865135609</v>
      </c>
      <c r="AE70" s="11" t="n">
        <f aca="false">Time!AE30*AD83</f>
        <v>105.849791748696</v>
      </c>
      <c r="AF70" s="11" t="n">
        <f aca="false">Time!AF30*AE83</f>
        <v>90.0510958759111</v>
      </c>
      <c r="AG70" s="11" t="n">
        <f aca="false">Time!AG30*AF83</f>
        <v>73.8842011625285</v>
      </c>
      <c r="AH70" s="11" t="n">
        <f aca="false">Time!AH30*AG83</f>
        <v>58.0919372464155</v>
      </c>
      <c r="AI70" s="11" t="n">
        <f aca="false">Time!AI30*AH83</f>
        <v>41.7007273107967</v>
      </c>
      <c r="AJ70" s="11" t="n">
        <f aca="false">Time!AJ30*AI83</f>
        <v>25.7442011267403</v>
      </c>
      <c r="AK70" s="11" t="n">
        <f aca="false">Time!AK30*AJ83</f>
        <v>9.60582542190912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136.711543028026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6.55157211925348</v>
      </c>
      <c r="AC72" s="11" t="n">
        <f aca="false">AC70*AC13</f>
        <v>5.85993092706572</v>
      </c>
      <c r="AD72" s="11" t="n">
        <f aca="false">AD70*AD13</f>
        <v>5.31828874406882</v>
      </c>
      <c r="AE72" s="11" t="n">
        <f aca="false">AE70*AE13</f>
        <v>4.56500095698417</v>
      </c>
      <c r="AF72" s="11" t="n">
        <f aca="false">AF70*AF13</f>
        <v>3.94801792190784</v>
      </c>
      <c r="AG72" s="11" t="n">
        <f aca="false">AG70*AG13</f>
        <v>3.39278988190226</v>
      </c>
      <c r="AH72" s="11" t="n">
        <f aca="false">AH70*AH13</f>
        <v>2.71181769279193</v>
      </c>
      <c r="AI72" s="11" t="n">
        <f aca="false">AI70*AI13</f>
        <v>1.9149128428256</v>
      </c>
      <c r="AJ72" s="11" t="n">
        <f aca="false">AJ70*AJ13</f>
        <v>1.20177744815346</v>
      </c>
      <c r="AK72" s="11" t="n">
        <f aca="false">AK70*AK13</f>
        <v>0.443540094573856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153.417050797338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8.29341187853108</v>
      </c>
      <c r="AC73" s="11" t="n">
        <f aca="false">Time!AC30*(AC70-AC71)*AC19</f>
        <v>8.20310198460586</v>
      </c>
      <c r="AD73" s="11" t="n">
        <f aca="false">Time!AD30*(AD70-AD71)*AD19</f>
        <v>8.56057641578867</v>
      </c>
      <c r="AE73" s="11" t="n">
        <f aca="false">Time!AE30*(AE70-AE71)*AE19</f>
        <v>8.38244704095838</v>
      </c>
      <c r="AF73" s="11" t="n">
        <f aca="false">Time!AF30*(AF70-AF71)*AF19</f>
        <v>8.01632567571699</v>
      </c>
      <c r="AG73" s="11" t="n">
        <f aca="false">Time!AG30*(AG70-AG71)*AG19</f>
        <v>7.35460907190503</v>
      </c>
      <c r="AH73" s="11" t="n">
        <f aca="false">Time!AH30*(AH70-AH71)*AH19</f>
        <v>6.74424351374839</v>
      </c>
      <c r="AI73" s="11" t="n">
        <f aca="false">Time!AI30*(AI70-AI71)*AI19</f>
        <v>5.63798975258016</v>
      </c>
      <c r="AJ73" s="11" t="n">
        <f aca="false">Time!AJ30*(AJ70-AJ71)*AJ19</f>
        <v>4.21911480002808</v>
      </c>
      <c r="AK73" s="11" t="n">
        <f aca="false">Time!AK30*(AK70-AK71)*AK19</f>
        <v>1.94377396491952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153.417050797338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8.29341187853108</v>
      </c>
      <c r="AC77" s="11" t="n">
        <f aca="false">AC73-AC74+AC76</f>
        <v>8.20310198460586</v>
      </c>
      <c r="AD77" s="11" t="n">
        <f aca="false">AD73-AD74+AD76</f>
        <v>8.56057641578867</v>
      </c>
      <c r="AE77" s="11" t="n">
        <f aca="false">AE73-AE74+AE76</f>
        <v>8.38244704095838</v>
      </c>
      <c r="AF77" s="11" t="n">
        <f aca="false">AF73-AF74+AF76</f>
        <v>8.01632567571699</v>
      </c>
      <c r="AG77" s="11" t="n">
        <f aca="false">AG73-AG74+AG76</f>
        <v>7.35460907190503</v>
      </c>
      <c r="AH77" s="11" t="n">
        <f aca="false">AH73-AH74+AH76</f>
        <v>6.74424351374839</v>
      </c>
      <c r="AI77" s="11" t="n">
        <f aca="false">AI73-AI74+AI76</f>
        <v>5.63798975258016</v>
      </c>
      <c r="AJ77" s="11" t="n">
        <f aca="false">AJ73-AJ74+AJ76</f>
        <v>4.21911480002808</v>
      </c>
      <c r="AK77" s="11" t="n">
        <f aca="false">AK73-AK74+AK76</f>
        <v>1.94377396491952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141.142649638571</v>
      </c>
      <c r="AC81" s="11" t="n">
        <f aca="false">AC70-AC77-AC78-AC79</f>
        <v>126.925977640835</v>
      </c>
      <c r="AD81" s="11" t="n">
        <f aca="false">AD70-AD77-AD78-AD79</f>
        <v>112.74528871982</v>
      </c>
      <c r="AE81" s="11" t="n">
        <f aca="false">AE70-AE77-AE78-AE79</f>
        <v>97.4673447077372</v>
      </c>
      <c r="AF81" s="11" t="n">
        <f aca="false">AF70-AF77-AF78-AF79</f>
        <v>82.0347702001941</v>
      </c>
      <c r="AG81" s="11" t="n">
        <f aca="false">AG70-AG77-AG78-AG79</f>
        <v>66.5295920906235</v>
      </c>
      <c r="AH81" s="11" t="n">
        <f aca="false">AH70-AH77-AH78-AH79</f>
        <v>51.3476937326672</v>
      </c>
      <c r="AI81" s="11" t="n">
        <f aca="false">AI70-AI77-AI78-AI79</f>
        <v>36.0627375582165</v>
      </c>
      <c r="AJ81" s="11" t="n">
        <f aca="false">AJ70-AJ77-AJ78-AJ79</f>
        <v>21.5250863267122</v>
      </c>
      <c r="AK81" s="11" t="n">
        <f aca="false">AK70-AK77-AK78-AK79</f>
        <v>7.6620514569896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87.2202199089163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5.13975249059677</v>
      </c>
      <c r="AB82" s="11" t="n">
        <f aca="false">Waterfall!AB28*AB81/(AB36+AB51+AB66+AB81+AB96+0.000000001)+Waterfall!AB29</f>
        <v>6.01357001312977</v>
      </c>
      <c r="AC82" s="11" t="n">
        <f aca="false">Waterfall!AC28*AC81/(AC36+AC51+AC66+AC81+AC96+0.000000001)+Waterfall!AC29</f>
        <v>5.62011250522599</v>
      </c>
      <c r="AD82" s="11" t="n">
        <f aca="false">Waterfall!AD28*AD81/(AD36+AD51+AD66+AD81+AD96+0.000000001)+Waterfall!AD29</f>
        <v>6.89549697112476</v>
      </c>
      <c r="AE82" s="11" t="n">
        <f aca="false">Waterfall!AE28*AE81/(AE36+AE51+AE66+AE81+AE96+0.000000001)+Waterfall!AE29</f>
        <v>7.4162488318261</v>
      </c>
      <c r="AF82" s="11" t="n">
        <f aca="false">Waterfall!AF28*AF81/(AF36+AF51+AF66+AF81+AF96+0.000000001)+Waterfall!AF29</f>
        <v>8.15056903766555</v>
      </c>
      <c r="AG82" s="11" t="n">
        <f aca="false">Waterfall!AG28*AG81/(AG36+AG51+AG66+AG81+AG96+0.000000001)+Waterfall!AG29</f>
        <v>8.43765484420795</v>
      </c>
      <c r="AH82" s="11" t="n">
        <f aca="false">Waterfall!AH28*AH81/(AH36+AH51+AH66+AH81+AH96+0.000000001)+Waterfall!AH29</f>
        <v>9.64696642187046</v>
      </c>
      <c r="AI82" s="11" t="n">
        <f aca="false">Waterfall!AI28*AI81/(AI36+AI51+AI66+AI81+AI96+0.000000001)+Waterfall!AI29</f>
        <v>10.3185364314762</v>
      </c>
      <c r="AJ82" s="11" t="n">
        <f aca="false">Waterfall!AJ28*AJ81/(AJ36+AJ51+AJ66+AJ81+AJ96+0.000000001)+Waterfall!AJ29</f>
        <v>11.9192609048031</v>
      </c>
      <c r="AK82" s="11" t="n">
        <f aca="false">Waterfall!AK28*AK81/(AK36+AK51+AK66+AK81+AK96+0.000000001)+Waterfall!AK29</f>
        <v>7.6620514569896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149.436061517102</v>
      </c>
      <c r="AB83" s="11" t="n">
        <f aca="false">IF(Time!AB29=1,INDEX(Funding!$J$64:$BJ$64,1,Time!$F$13),Time!AB30*(AB81-AB82))</f>
        <v>135.129079625441</v>
      </c>
      <c r="AC83" s="11" t="n">
        <f aca="false">IF(Time!AC29=1,INDEX(Funding!$J$64:$BJ$64,1,Time!$F$13),Time!AC30*(AC81-AC82))</f>
        <v>121.305865135609</v>
      </c>
      <c r="AD83" s="11" t="n">
        <f aca="false">IF(Time!AD29=1,INDEX(Funding!$J$64:$BJ$64,1,Time!$F$13),Time!AD30*(AD81-AD82))</f>
        <v>105.849791748696</v>
      </c>
      <c r="AE83" s="11" t="n">
        <f aca="false">IF(Time!AE29=1,INDEX(Funding!$J$64:$BJ$64,1,Time!$F$13),Time!AE30*(AE81-AE82))</f>
        <v>90.0510958759111</v>
      </c>
      <c r="AF83" s="11" t="n">
        <f aca="false">IF(Time!AF29=1,INDEX(Funding!$J$64:$BJ$64,1,Time!$F$13),Time!AF30*(AF81-AF82))</f>
        <v>73.8842011625285</v>
      </c>
      <c r="AG83" s="11" t="n">
        <f aca="false">IF(Time!AG29=1,INDEX(Funding!$J$64:$BJ$64,1,Time!$F$13),Time!AG30*(AG81-AG82))</f>
        <v>58.0919372464155</v>
      </c>
      <c r="AH83" s="11" t="n">
        <f aca="false">IF(Time!AH29=1,INDEX(Funding!$J$64:$BJ$64,1,Time!$F$13),Time!AH30*(AH81-AH82))</f>
        <v>41.7007273107967</v>
      </c>
      <c r="AI83" s="11" t="n">
        <f aca="false">IF(Time!AI29=1,INDEX(Funding!$J$64:$BJ$64,1,Time!$F$13),Time!AI30*(AI81-AI82))</f>
        <v>25.7442011267403</v>
      </c>
      <c r="AJ83" s="11" t="n">
        <f aca="false">IF(Time!AJ29=1,INDEX(Funding!$J$64:$BJ$64,1,Time!$F$13),Time!AJ30*(AJ81-AJ82))</f>
        <v>9.60582542190912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16.8561538859912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0.779687768638818</v>
      </c>
      <c r="AC115" s="11" t="n">
        <f aca="false">(Inputs!$F$93/100*Inputs!$F$94/100)*AC70*Time!AC20/365</f>
        <v>0.697377115864227</v>
      </c>
      <c r="AD115" s="11" t="n">
        <f aca="false">(Inputs!$F$93/100*Inputs!$F$94/100)*AD70*Time!AD20/365</f>
        <v>0.63291750565549</v>
      </c>
      <c r="AE115" s="11" t="n">
        <f aca="false">(Inputs!$F$93/100*Inputs!$F$94/100)*AE70*Time!AE20/365</f>
        <v>0.543270431157312</v>
      </c>
      <c r="AF115" s="11" t="n">
        <f aca="false">(Inputs!$F$93/100*Inputs!$F$94/100)*AF70*Time!AF20/365</f>
        <v>0.469844676674205</v>
      </c>
      <c r="AG115" s="11" t="n">
        <f aca="false">(Inputs!$F$93/100*Inputs!$F$94/100)*AG70*Time!AG20/365</f>
        <v>0.379208132185816</v>
      </c>
      <c r="AH115" s="11" t="n">
        <f aca="false">(Inputs!$F$93/100*Inputs!$F$94/100)*AH70*Time!AH20/365</f>
        <v>0.303096672033079</v>
      </c>
      <c r="AI115" s="11" t="n">
        <f aca="false">(Inputs!$F$93/100*Inputs!$F$94/100)*AI70*Time!AI20/365</f>
        <v>0.214027554815564</v>
      </c>
      <c r="AJ115" s="11" t="n">
        <f aca="false">(Inputs!$F$93/100*Inputs!$F$94/100)*AJ70*Time!AJ20/365</f>
        <v>0.134321251029491</v>
      </c>
      <c r="AK115" s="11" t="n">
        <f aca="false">(Inputs!$F$93/100*Inputs!$F$94/100)*AK70*Time!AK20/365</f>
        <v>0.049573954376028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307.173587898866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13.7917947731191</v>
      </c>
      <c r="AC118" s="11" t="n">
        <f aca="false">AC27+AC42+AC57+AC72+AC87+AC101</f>
        <v>12.6240047699432</v>
      </c>
      <c r="AD118" s="11" t="n">
        <f aca="false">AD27+AD42+AD57+AD72+AD87+AD101</f>
        <v>11.7415631185973</v>
      </c>
      <c r="AE118" s="11" t="n">
        <f aca="false">AE27+AE42+AE57+AE72+AE87+AE101</f>
        <v>10.437647044277</v>
      </c>
      <c r="AF118" s="11" t="n">
        <f aca="false">AF27+AF42+AF57+AF72+AF87+AF101</f>
        <v>9.4452263549665</v>
      </c>
      <c r="AG118" s="11" t="n">
        <f aca="false">AG27+AG42+AG57+AG72+AG87+AG101</f>
        <v>8.31898851580375</v>
      </c>
      <c r="AH118" s="11" t="n">
        <f aca="false">AH27+AH42+AH57+AH72+AH87+AH101</f>
        <v>7.22117289644929</v>
      </c>
      <c r="AI118" s="11" t="n">
        <f aca="false">AI27+AI42+AI57+AI72+AI87+AI101</f>
        <v>5.83576332005887</v>
      </c>
      <c r="AJ118" s="11" t="n">
        <f aca="false">AJ27+AJ42+AJ57+AJ72+AJ87+AJ101</f>
        <v>4.64872432700961</v>
      </c>
      <c r="AK118" s="11" t="n">
        <f aca="false">AK27+AK42+AK57+AK72+AK87+AK101</f>
        <v>3.29425402296775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315.695538181873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14.1771786235114</v>
      </c>
      <c r="AC119" s="11" t="n">
        <f aca="false">AC118+AC114+AC115+AC116</f>
        <v>13.0022372261194</v>
      </c>
      <c r="AD119" s="11" t="n">
        <f aca="false">AD118+AD114+AD115+AD116</f>
        <v>12.0246678664232</v>
      </c>
      <c r="AE119" s="11" t="n">
        <f aca="false">AE118+AE114+AE115+AE116</f>
        <v>10.7255568429609</v>
      </c>
      <c r="AF119" s="11" t="n">
        <f aca="false">AF118+AF114+AF115+AF116</f>
        <v>9.61569200309449</v>
      </c>
      <c r="AG119" s="11" t="n">
        <f aca="false">AG118+AG114+AG115+AG116</f>
        <v>8.4839904485789</v>
      </c>
      <c r="AH119" s="11" t="n">
        <f aca="false">AH118+AH114+AH115+AH116</f>
        <v>7.27868921680383</v>
      </c>
      <c r="AI119" s="11" t="n">
        <f aca="false">AI118+AI114+AI115+AI116</f>
        <v>5.87930029144449</v>
      </c>
      <c r="AJ119" s="11" t="n">
        <f aca="false">AJ118+AJ114+AJ115+AJ116</f>
        <v>4.59532418806295</v>
      </c>
      <c r="AK119" s="11" t="n">
        <f aca="false">AK118+AK114+AK115+AK116</f>
        <v>3.20932469608477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546.035755633875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22.2901699671966</v>
      </c>
      <c r="AC120" s="11" t="n">
        <f aca="false">AC32+AC47+AC62+AC77+AC92+AC102</f>
        <v>22.6635510612961</v>
      </c>
      <c r="AD120" s="11" t="n">
        <f aca="false">AD32+AD47+AD62+AD77+AD92+AD102</f>
        <v>24.3503315671349</v>
      </c>
      <c r="AE120" s="11" t="n">
        <f aca="false">AE32+AE47+AE62+AE77+AE92+AE102</f>
        <v>24.8508543850016</v>
      </c>
      <c r="AF120" s="11" t="n">
        <f aca="false">AF32+AF47+AF62+AF77+AF92+AF102</f>
        <v>25.0624741782408</v>
      </c>
      <c r="AG120" s="11" t="n">
        <f aca="false">AG32+AG47+AG62+AG77+AG92+AG102</f>
        <v>24.7188935295288</v>
      </c>
      <c r="AH120" s="11" t="n">
        <f aca="false">AH32+AH47+AH62+AH77+AH92+AH102</f>
        <v>24.9802417988867</v>
      </c>
      <c r="AI120" s="11" t="n">
        <f aca="false">AI32+AI47+AI62+AI77+AI92+AI102</f>
        <v>24.4094429276456</v>
      </c>
      <c r="AJ120" s="11" t="n">
        <f aca="false">AJ32+AJ47+AJ62+AJ77+AJ92+AJ102</f>
        <v>23.896809872101</v>
      </c>
      <c r="AK120" s="11" t="n">
        <f aca="false">AK32+AK47+AK62+AK77+AK92+AK102</f>
        <v>22.2584011818756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861.731293815748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36.4673485907081</v>
      </c>
      <c r="AC121" s="11" t="n">
        <f aca="false">AC119+AC120</f>
        <v>35.6657882874155</v>
      </c>
      <c r="AD121" s="11" t="n">
        <f aca="false">AD119+AD120</f>
        <v>36.3749994335582</v>
      </c>
      <c r="AE121" s="11" t="n">
        <f aca="false">AE119+AE120</f>
        <v>35.5764112279625</v>
      </c>
      <c r="AF121" s="11" t="n">
        <f aca="false">AF119+AF120</f>
        <v>34.6781661813353</v>
      </c>
      <c r="AG121" s="11" t="n">
        <f aca="false">AG119+AG120</f>
        <v>33.2028839781077</v>
      </c>
      <c r="AH121" s="11" t="n">
        <f aca="false">AH119+AH120</f>
        <v>32.2589310156905</v>
      </c>
      <c r="AI121" s="11" t="n">
        <f aca="false">AI119+AI120</f>
        <v>30.2887432190901</v>
      </c>
      <c r="AJ121" s="11" t="n">
        <f aca="false">AJ119+AJ120</f>
        <v>28.492134060164</v>
      </c>
      <c r="AK121" s="11" t="n">
        <f aca="false">AK119+AK120</f>
        <v>25.4677258779604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401.63870542441</v>
      </c>
      <c r="AC122" s="11" t="n">
        <f aca="false">AC25+AC40+AC55+AC70+AC85+AC100</f>
        <v>373.334965444084</v>
      </c>
      <c r="AD122" s="11" t="n">
        <f aca="false">AD25+AD40+AD55+AD70+AD85+AD100</f>
        <v>345.051301877562</v>
      </c>
      <c r="AE122" s="11" t="n">
        <f aca="false">AE25+AE40+AE55+AE70+AE85+AE100</f>
        <v>313.805473339302</v>
      </c>
      <c r="AF122" s="11" t="n">
        <f aca="false">AF25+AF40+AF55+AF70+AF85+AF100</f>
        <v>281.538370122474</v>
      </c>
      <c r="AG122" s="11" t="n">
        <f aca="false">AG25+AG40+AG55+AG70+AG85+AG100</f>
        <v>248.325326906568</v>
      </c>
      <c r="AH122" s="11" t="n">
        <f aca="false">AH25+AH40+AH55+AH70+AH85+AH100</f>
        <v>215.168778532831</v>
      </c>
      <c r="AI122" s="11" t="n">
        <f aca="false">AI25+AI40+AI55+AI70+AI85+AI100</f>
        <v>180.541570312074</v>
      </c>
      <c r="AJ122" s="11" t="n">
        <f aca="false">AJ25+AJ40+AJ55+AJ70+AJ85+AJ100</f>
        <v>145.813590952952</v>
      </c>
      <c r="AK122" s="11" t="n">
        <f aca="false">AK25+AK40+AK55+AK70+AK85+AK100</f>
        <v>109.997520176048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401.63870542441</v>
      </c>
      <c r="AB123" s="11" t="n">
        <f aca="false">AB38+AB53+AB68+AB83+AB98+AB104</f>
        <v>373.334965444084</v>
      </c>
      <c r="AC123" s="11" t="n">
        <f aca="false">AC38+AC53+AC68+AC83+AC98+AC104</f>
        <v>345.051301877562</v>
      </c>
      <c r="AD123" s="11" t="n">
        <f aca="false">AD38+AD53+AD68+AD83+AD98+AD104</f>
        <v>313.805473339302</v>
      </c>
      <c r="AE123" s="11" t="n">
        <f aca="false">AE38+AE53+AE68+AE83+AE98+AE104</f>
        <v>281.538370122474</v>
      </c>
      <c r="AF123" s="11" t="n">
        <f aca="false">AF38+AF53+AF68+AF83+AF98+AF104</f>
        <v>248.325326906568</v>
      </c>
      <c r="AG123" s="11" t="n">
        <f aca="false">AG38+AG53+AG68+AG83+AG98+AG104</f>
        <v>215.168778532831</v>
      </c>
      <c r="AH123" s="11" t="n">
        <f aca="false">AH38+AH53+AH68+AH83+AH98+AH104</f>
        <v>180.541570312074</v>
      </c>
      <c r="AI123" s="11" t="n">
        <f aca="false">AI38+AI53+AI68+AI83+AI98+AI104</f>
        <v>145.813590952952</v>
      </c>
      <c r="AJ123" s="11" t="n">
        <f aca="false">AJ38+AJ53+AJ68+AJ83+AJ98+AJ104</f>
        <v>109.997520176048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141.142649638571</v>
      </c>
      <c r="AC125" s="11" t="n">
        <f aca="false">IF(Time!AC29=1,AC83,AC81)</f>
        <v>126.925977640835</v>
      </c>
      <c r="AD125" s="11" t="n">
        <f aca="false">IF(Time!AD29=1,AD83,AD81)</f>
        <v>112.74528871982</v>
      </c>
      <c r="AE125" s="11" t="n">
        <f aca="false">IF(Time!AE29=1,AE83,AE81)</f>
        <v>97.4673447077372</v>
      </c>
      <c r="AF125" s="11" t="n">
        <f aca="false">IF(Time!AF29=1,AF83,AF81)</f>
        <v>82.0347702001941</v>
      </c>
      <c r="AG125" s="11" t="n">
        <f aca="false">IF(Time!AG29=1,AG83,AG81)</f>
        <v>66.5295920906235</v>
      </c>
      <c r="AH125" s="11" t="n">
        <f aca="false">IF(Time!AH29=1,AH83,AH81)</f>
        <v>51.3476937326672</v>
      </c>
      <c r="AI125" s="11" t="n">
        <f aca="false">IF(Time!AI29=1,AI83,AI81)</f>
        <v>36.0627375582165</v>
      </c>
      <c r="AJ125" s="11" t="n">
        <f aca="false">IF(Time!AJ29=1,AJ83,AJ81)</f>
        <v>21.5250863267122</v>
      </c>
      <c r="AK125" s="11" t="n">
        <f aca="false">IF(Time!AK29=1,AK83,AK81)</f>
        <v>7.6620514569896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14.6888718002787</v>
      </c>
      <c r="AC129" s="11" t="n">
        <f aca="false">IF(AND(Time!AC17&gt;=Time!$F$11,Time!AC17&lt;57),(IF(Time!AC29=1,AC83,AC81)-AC80)*AD19+IF(Time!AC29=1,AC83,AC81)*AD13,0)</f>
        <v>14.5218743297444</v>
      </c>
      <c r="AD129" s="11" t="n">
        <f aca="false">IF(AND(Time!AD17&gt;=Time!$F$11,Time!AD17&lt;57),(IF(Time!AD29=1,AD83,AD81)-AD80)*AE19+IF(Time!AD29=1,AD83,AD81)*AE13,0)</f>
        <v>13.7908987688763</v>
      </c>
      <c r="AE129" s="11" t="n">
        <f aca="false">IF(AND(Time!AE17&gt;=Time!$F$11,Time!AE17&lt;57),(IF(Time!AE29=1,AE83,AE81)-AE80)*AF19+IF(Time!AE29=1,AE83,AE81)*AF13,0)</f>
        <v>12.9496791825656</v>
      </c>
      <c r="AF129" s="11" t="n">
        <f aca="false">IF(AND(Time!AF17&gt;=Time!$F$11,Time!AF17&lt;57),(IF(Time!AF29=1,AF83,AF81)-AF80)*AG19+IF(Time!AF29=1,AF83,AF81)*AG13,0)</f>
        <v>11.9330031258771</v>
      </c>
      <c r="AG129" s="11" t="n">
        <f aca="false">IF(AND(Time!AG17&gt;=Time!$F$11,Time!AG17&lt;57),(IF(Time!AG29=1,AG83,AG81)-AG80)*AH19+IF(Time!AG29=1,AG83,AG81)*AH13,0)</f>
        <v>10.8295216974179</v>
      </c>
      <c r="AH129" s="11" t="n">
        <f aca="false">IF(AND(Time!AH17&gt;=Time!$F$11,Time!AH17&lt;57),(IF(Time!AH29=1,AH83,AH81)-AH80)*AI19+IF(Time!AH29=1,AH83,AH81)*AI13,0)</f>
        <v>9.30017662212694</v>
      </c>
      <c r="AI129" s="11" t="n">
        <f aca="false">IF(AND(Time!AI17&gt;=Time!$F$11,Time!AI17&lt;57),(IF(Time!AI29=1,AI83,AI81)-AI80)*AJ19+IF(Time!AI29=1,AI83,AI81)*AJ13,0)</f>
        <v>7.59364073933082</v>
      </c>
      <c r="AJ129" s="11" t="n">
        <f aca="false">IF(AND(Time!AJ17&gt;=Time!$F$11,Time!AJ17&lt;57),(IF(Time!AJ29=1,AJ83,AJ81)-AJ80)*AK19+IF(Time!AJ29=1,AJ83,AJ81)*AK13,0)</f>
        <v>5.349581005539</v>
      </c>
      <c r="AK129" s="11" t="n">
        <f aca="false">IF(AND(Time!AK17&gt;=Time!$F$11,Time!AK17&lt;57),(IF(Time!AK29=1,AK83,AK81)-AK80)*AL19+IF(Time!AK29=1,AK83,AK81)*AL13,0)</f>
        <v>2.41873478418321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36.3226621399506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37.0473317329107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36.4552529009534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35.7021962985372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34.4303206666342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33.6764152596785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32.085529970596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30.718719868519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28.4915060069276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26.1727516354555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826.913562266296</v>
      </c>
      <c r="Q136" s="11" t="n">
        <f aca="false">IF(Q134=1,(Waterfall!Q7+R136)/(1+Q135),0)</f>
        <v>806.98192652266</v>
      </c>
      <c r="R136" s="11" t="n">
        <f aca="false">IF(R134=1,(Waterfall!R7+S136)/(1+R135),0)</f>
        <v>786.207071786422</v>
      </c>
      <c r="S136" s="11" t="n">
        <f aca="false">IF(S134=1,(Waterfall!S7+T136)/(1+S135),0)</f>
        <v>764.411223646314</v>
      </c>
      <c r="T136" s="11" t="n">
        <f aca="false">IF(T134=1,(Waterfall!T7+U136)/(1+T135),0)</f>
        <v>741.983654181432</v>
      </c>
      <c r="U136" s="11" t="n">
        <f aca="false">IF(U134=1,(Waterfall!U7+V136)/(1+U135),0)</f>
        <v>718.551818480848</v>
      </c>
      <c r="V136" s="11" t="n">
        <f aca="false">IF(V134=1,(Waterfall!V7+W136)/(1+V135),0)</f>
        <v>694.368935676817</v>
      </c>
      <c r="W136" s="11" t="n">
        <f aca="false">IF(W134=1,(Waterfall!W7+X136)/(1+W135),0)</f>
        <v>668.555663408536</v>
      </c>
      <c r="X136" s="11" t="n">
        <f aca="false">IF(X134=1,(Waterfall!X7+Y136)/(1+X135),0)</f>
        <v>641.966370527404</v>
      </c>
      <c r="Y136" s="11" t="n">
        <f aca="false">IF(Y134=1,(Waterfall!Y7+Z136)/(1+Y135),0)</f>
        <v>616.268510140457</v>
      </c>
      <c r="Z136" s="11" t="n">
        <f aca="false">IF(Z134=1,(Waterfall!Z7+AA136)/(1+Z135),0)</f>
        <v>590.596165658734</v>
      </c>
      <c r="AA136" s="11" t="n">
        <f aca="false">IF(AA134=1,(Waterfall!AA7+AB136)/(1+AA135),0)</f>
        <v>563.864741120108</v>
      </c>
      <c r="AB136" s="11" t="n">
        <f aca="false">IF(AB134=1,(Waterfall!AB7+AC136)/(1+AB135),0)</f>
        <v>536.364278503666</v>
      </c>
      <c r="AC136" s="11" t="n">
        <f aca="false">IF(AC134=1,(Waterfall!AC7+AD136)/(1+AC135),0)</f>
        <v>507.57790465022</v>
      </c>
      <c r="AD136" s="11" t="n">
        <f aca="false">IF(AD134=1,(Waterfall!AD7+AE136)/(1+AD135),0)</f>
        <v>477.821464241649</v>
      </c>
      <c r="AE136" s="11" t="n">
        <f aca="false">IF(AE134=1,(Waterfall!AE7+AF136)/(1+AE135),0)</f>
        <v>445.196934755191</v>
      </c>
      <c r="AF136" s="11" t="n">
        <f aca="false">IF(AF134=1,(Waterfall!AF7+AG136)/(1+AF135),0)</f>
        <v>411.161287928892</v>
      </c>
      <c r="AG136" s="11" t="n">
        <f aca="false">IF(AG134=1,(Waterfall!AG7+AH136)/(1+AG135),0)</f>
        <v>376.038660346628</v>
      </c>
      <c r="AH136" s="11" t="n">
        <f aca="false">IF(AH134=1,(Waterfall!AH7+AI136)/(1+AH135),0)</f>
        <v>340.307221186659</v>
      </c>
      <c r="AI136" s="11" t="n">
        <f aca="false">IF(AI134=1,(Waterfall!AI7+AJ136)/(1+AI135),0)</f>
        <v>302.783888759638</v>
      </c>
      <c r="AJ136" s="11" t="n">
        <f aca="false">IF(AJ134=1,(Waterfall!AJ7+AK136)/(1+AJ135),0)</f>
        <v>264.169756654889</v>
      </c>
      <c r="AK136" s="11" t="n">
        <f aca="false">IF(AK134=1,(Waterfall!AK7+AL136)/(1+AK135),0)</f>
        <v>223.722043118593</v>
      </c>
      <c r="AL136" s="11" t="n">
        <f aca="false">IF(AL134=1,(Waterfall!AL7+AM136)/(1+AL135),0)</f>
        <v>181.959415070274</v>
      </c>
      <c r="AM136" s="11" t="n">
        <f aca="false">IF(AM134=1,(Waterfall!AM7+AN136)/(1+AM135),0)</f>
        <v>137.611916565776</v>
      </c>
      <c r="AN136" s="11" t="n">
        <f aca="false">IF(AN134=1,(Waterfall!AN7+AO136)/(1+AN135),0)</f>
        <v>91.9641971797746</v>
      </c>
      <c r="AO136" s="11" t="n">
        <f aca="false">IF(AO134=1,(Waterfall!AO7+AP136)/(1+AO135),0)</f>
        <v>46.6305706811218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1.30581249005591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612.528564641701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37.0199615355394</v>
      </c>
      <c r="Q140" s="11" t="n">
        <f aca="false">IF(Q134=1,Waterfall!Q7/$F$137,0)</f>
        <v>36.9289583764128</v>
      </c>
      <c r="R140" s="11" t="n">
        <f aca="false">IF(R134=1,Waterfall!R7/$F$137,0)</f>
        <v>37.3915038695673</v>
      </c>
      <c r="S140" s="11" t="n">
        <f aca="false">IF(S134=1,Waterfall!S7/$F$137,0)</f>
        <v>37.0929097176708</v>
      </c>
      <c r="T140" s="11" t="n">
        <f aca="false">IF(T134=1,Waterfall!T7/$F$137,0)</f>
        <v>37.487027611207</v>
      </c>
      <c r="U140" s="11" t="n">
        <f aca="false">IF(U134=1,Waterfall!U7/$F$137,0)</f>
        <v>37.3098174985321</v>
      </c>
      <c r="V140" s="11" t="n">
        <f aca="false">IF(V134=1,Waterfall!V7/$F$137,0)</f>
        <v>38.0566453592794</v>
      </c>
      <c r="W140" s="11" t="n">
        <f aca="false">IF(W134=1,Waterfall!W7/$F$137,0)</f>
        <v>37.7823445825566</v>
      </c>
      <c r="X140" s="11" t="n">
        <f aca="false">IF(X134=1,Waterfall!X7/$F$137,0)</f>
        <v>36.5880548326714</v>
      </c>
      <c r="Y140" s="11" t="n">
        <f aca="false">IF(Y134=1,Waterfall!Y7/$F$137,0)</f>
        <v>36.218658893634</v>
      </c>
      <c r="Z140" s="11" t="n">
        <f aca="false">IF(Z134=1,Waterfall!Z7/$F$137,0)</f>
        <v>36.5145671832984</v>
      </c>
      <c r="AA140" s="11" t="n">
        <f aca="false">IF(AA134=1,Waterfall!AA7/$F$137,0)</f>
        <v>36.2105998933622</v>
      </c>
      <c r="AB140" s="11" t="n">
        <f aca="false">IF(AB134=1,Waterfall!AB7/$F$137,0)</f>
        <v>36.615059580947</v>
      </c>
      <c r="AC140" s="11" t="n">
        <f aca="false">IF(AC134=1,Waterfall!AC7/$F$137,0)</f>
        <v>36.475897767518</v>
      </c>
      <c r="AD140" s="11" t="n">
        <f aca="false">IF(AD134=1,Waterfall!AD7/$F$137,0)</f>
        <v>37.9640376557646</v>
      </c>
      <c r="AE140" s="11" t="n">
        <f aca="false">IF(AE134=1,Waterfall!AE7/$F$137,0)</f>
        <v>38.0267861330323</v>
      </c>
      <c r="AF140" s="11" t="n">
        <f aca="false">IF(AF134=1,Waterfall!AF7/$F$137,0)</f>
        <v>38.0662836381929</v>
      </c>
      <c r="AG140" s="11" t="n">
        <f aca="false">IF(AG134=1,Waterfall!AG7/$F$137,0)</f>
        <v>37.7728721659385</v>
      </c>
      <c r="AH140" s="11" t="n">
        <f aca="false">IF(AH134=1,Waterfall!AH7/$F$137,0)</f>
        <v>38.2612197010074</v>
      </c>
      <c r="AI140" s="11" t="n">
        <f aca="false">IF(AI134=1,Waterfall!AI7/$F$137,0)</f>
        <v>37.9526205771271</v>
      </c>
      <c r="AJ140" s="11" t="n">
        <f aca="false">IF(AJ134=1,Waterfall!AJ7/$F$137,0)</f>
        <v>38.3695533545045</v>
      </c>
      <c r="AK140" s="11" t="n">
        <f aca="false">IF(AK134=1,Waterfall!AK7/$F$137,0)</f>
        <v>38.198229169005</v>
      </c>
      <c r="AL140" s="11" t="n">
        <f aca="false">IF(AL134=1,Waterfall!AL7/$F$137,0)</f>
        <v>39.054870888285</v>
      </c>
      <c r="AM140" s="11" t="n">
        <f aca="false">IF(AM134=1,Waterfall!AM7/$F$137,0)</f>
        <v>38.766701544529</v>
      </c>
      <c r="AN140" s="11" t="n">
        <f aca="false">IF(AN134=1,Waterfall!AN7/$F$137,0)</f>
        <v>37.2909824514806</v>
      </c>
      <c r="AO140" s="11" t="n">
        <f aca="false">IF(AO134=1,Waterfall!AO7/$F$137,0)</f>
        <v>37.0008317152598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617.992194643586</v>
      </c>
      <c r="R141" s="11" t="n">
        <f aca="false">IF(R134=1,IF(Time!R17=Time!$F$12,Funding!$F$25,Q141-Q142),0)</f>
        <v>602.082670960482</v>
      </c>
      <c r="S141" s="11" t="n">
        <f aca="false">IF(S134=1,IF(Time!S17=Time!$F$12,Funding!$F$25,R141-R142),0)</f>
        <v>585.391263651937</v>
      </c>
      <c r="T141" s="11" t="n">
        <f aca="false">IF(T134=1,IF(Time!T17=Time!$F$12,Funding!$F$25,S141-S142),0)</f>
        <v>568.216079898012</v>
      </c>
      <c r="U141" s="11" t="n">
        <f aca="false">IF(U134=1,IF(Time!U17=Time!$F$12,Funding!$F$25,T141-T142),0)</f>
        <v>550.271822296692</v>
      </c>
      <c r="V141" s="11" t="n">
        <f aca="false">IF(V134=1,IF(Time!V17=Time!$F$12,Funding!$F$25,U141-U142),0)</f>
        <v>531.752407764981</v>
      </c>
      <c r="W141" s="11" t="n">
        <f aca="false">IF(W134=1,IF(Time!W17=Time!$F$12,Funding!$F$25,V141-V142),0)</f>
        <v>511.98443000029</v>
      </c>
      <c r="X141" s="11" t="n">
        <f aca="false">IF(X134=1,IF(Time!X17=Time!$F$12,Funding!$F$25,W141-W142),0)</f>
        <v>491.6221704235</v>
      </c>
      <c r="Y141" s="11" t="n">
        <f aca="false">IF(Y134=1,IF(Time!Y17=Time!$F$12,Funding!$F$25,X141-X142),0)</f>
        <v>471.942575854875</v>
      </c>
      <c r="Z141" s="11" t="n">
        <f aca="false">IF(Z134=1,IF(Time!Z17=Time!$F$12,Funding!$F$25,Y141-Y142),0)</f>
        <v>452.28252153833</v>
      </c>
      <c r="AA141" s="11" t="n">
        <f aca="false">IF(AA134=1,IF(Time!AA17=Time!$F$12,Funding!$F$25,Z141-Z142),0)</f>
        <v>431.811416580924</v>
      </c>
      <c r="AB141" s="11" t="n">
        <f aca="false">IF(AB134=1,IF(Time!AB17=Time!$F$12,Funding!$F$25,AA141-AA142),0)</f>
        <v>410.75137708378</v>
      </c>
      <c r="AC141" s="11" t="n">
        <f aca="false">IF(AC134=1,IF(Time!AC17=Time!$F$12,Funding!$F$25,AB141-AB142),0)</f>
        <v>388.706578100264</v>
      </c>
      <c r="AD141" s="11" t="n">
        <f aca="false">IF(AD134=1,IF(Time!AD17=Time!$F$12,Funding!$F$25,AC141-AC142),0)</f>
        <v>365.918895615089</v>
      </c>
      <c r="AE141" s="11" t="n">
        <f aca="false">IF(AE134=1,IF(Time!AE17=Time!$F$12,Funding!$F$25,AD141-AD142),0)</f>
        <v>340.934811196459</v>
      </c>
      <c r="AF141" s="11" t="n">
        <f aca="false">IF(AF134=1,IF(Time!AF17=Time!$F$12,Funding!$F$25,AE141-AE142),0)</f>
        <v>314.870083614598</v>
      </c>
      <c r="AG141" s="11" t="n">
        <f aca="false">IF(AG134=1,IF(Time!AG17=Time!$F$12,Funding!$F$25,AF141-AF142),0)</f>
        <v>287.972938848613</v>
      </c>
      <c r="AH141" s="11" t="n">
        <f aca="false">IF(AH134=1,IF(Time!AH17=Time!$F$12,Funding!$F$25,AG141-AG142),0)</f>
        <v>260.609562075859</v>
      </c>
      <c r="AI141" s="11" t="n">
        <f aca="false">IF(AI134=1,IF(Time!AI17=Time!$F$12,Funding!$F$25,AH141-AH142),0)</f>
        <v>231.873941370152</v>
      </c>
      <c r="AJ141" s="11" t="n">
        <f aca="false">IF(AJ134=1,IF(Time!AJ17=Time!$F$12,Funding!$F$25,AI141-AI142),0)</f>
        <v>202.302978924315</v>
      </c>
      <c r="AK141" s="11" t="n">
        <f aca="false">IF(AK134=1,IF(Time!AK17=Time!$F$12,Funding!$F$25,AJ141-AJ142),0)</f>
        <v>171.32784746837</v>
      </c>
      <c r="AL141" s="11" t="n">
        <f aca="false">IF(AL134=1,IF(Time!AL17=Time!$F$12,Funding!$F$25,AK141-AK142),0)</f>
        <v>139.345745622698</v>
      </c>
      <c r="AM141" s="11" t="n">
        <f aca="false">IF(AM134=1,IF(Time!AM17=Time!$F$12,Funding!$F$25,AL141-AL142),0)</f>
        <v>105.384132571655</v>
      </c>
      <c r="AN141" s="11" t="n">
        <f aca="false">IF(AN134=1,IF(Time!AN17=Time!$F$12,Funding!$F$25,AM141-AM142),0)</f>
        <v>70.4268016121028</v>
      </c>
      <c r="AO141" s="11" t="n">
        <f aca="false">IF(AO134=1,IF(Time!AO17=Time!$F$12,Funding!$F$25,AN141-AN142),0)</f>
        <v>35.7100051012104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15.263780899188</v>
      </c>
      <c r="Q142" s="11" t="n">
        <f aca="false">Q140-Q141*Q135</f>
        <v>15.9095236831046</v>
      </c>
      <c r="R142" s="11" t="n">
        <f aca="false">R140-R141*R135</f>
        <v>16.6914073085445</v>
      </c>
      <c r="S142" s="11" t="n">
        <f aca="false">S140-S141*S135</f>
        <v>17.1751837539255</v>
      </c>
      <c r="T142" s="11" t="n">
        <f aca="false">T140-T141*T135</f>
        <v>17.94425760132</v>
      </c>
      <c r="U142" s="11" t="n">
        <f aca="false">U140-U141*U135</f>
        <v>18.5194145317105</v>
      </c>
      <c r="V142" s="11" t="n">
        <f aca="false">V140-V141*V135</f>
        <v>19.7679777646913</v>
      </c>
      <c r="W142" s="11" t="n">
        <f aca="false">W140-W141*W135</f>
        <v>20.3622595767896</v>
      </c>
      <c r="X142" s="11" t="n">
        <f aca="false">X140-X141*X135</f>
        <v>19.6795945686247</v>
      </c>
      <c r="Y142" s="11" t="n">
        <f aca="false">Y140-Y141*Y135</f>
        <v>19.6600543165453</v>
      </c>
      <c r="Z142" s="11" t="n">
        <f aca="false">Z140-Z141*Z135</f>
        <v>20.471104957406</v>
      </c>
      <c r="AA142" s="11" t="n">
        <f aca="false">AA140-AA141*AA135</f>
        <v>21.0600394971442</v>
      </c>
      <c r="AB142" s="11" t="n">
        <f aca="false">AB140-AB141*AB135</f>
        <v>22.0447989835156</v>
      </c>
      <c r="AC142" s="11" t="n">
        <f aca="false">AC140-AC141*AC135</f>
        <v>22.7876824851757</v>
      </c>
      <c r="AD142" s="11" t="n">
        <f aca="false">AD140-AD141*AD135</f>
        <v>24.9840844186298</v>
      </c>
      <c r="AE142" s="11" t="n">
        <f aca="false">AE140-AE141*AE135</f>
        <v>26.0647275818612</v>
      </c>
      <c r="AF142" s="11" t="n">
        <f aca="false">AF140-AF141*AF135</f>
        <v>26.8971447659842</v>
      </c>
      <c r="AG142" s="11" t="n">
        <f aca="false">AG140-AG141*AG135</f>
        <v>27.3633767727548</v>
      </c>
      <c r="AH142" s="11" t="n">
        <f aca="false">AH140-AH141*AH135</f>
        <v>28.7356207057065</v>
      </c>
      <c r="AI142" s="11" t="n">
        <f aca="false">AI140-AI141*AI135</f>
        <v>29.5709624458372</v>
      </c>
      <c r="AJ142" s="11" t="n">
        <f aca="false">AJ140-AJ141*AJ135</f>
        <v>30.9751314559446</v>
      </c>
      <c r="AK142" s="11" t="n">
        <f aca="false">AK140-AK141*AK135</f>
        <v>31.9821018456723</v>
      </c>
      <c r="AL142" s="11" t="n">
        <f aca="false">AL140-AL141*AL135</f>
        <v>33.9616130510432</v>
      </c>
      <c r="AM142" s="11" t="n">
        <f aca="false">AM140-AM141*AM135</f>
        <v>34.957330959552</v>
      </c>
      <c r="AN142" s="11" t="n">
        <f aca="false">AN140-AN141*AN135</f>
        <v>34.7167965108925</v>
      </c>
      <c r="AO142" s="11" t="n">
        <f aca="false">AO140-AO141*AO135</f>
        <v>35.7100051012111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36.3226621399506</v>
      </c>
      <c r="AD9" s="11" t="n">
        <f aca="false">IF(Time!AD29=1,SUM(Funding!$J$44:$BJ$44),AC13)</f>
        <v>37.0473317329107</v>
      </c>
      <c r="AE9" s="11" t="n">
        <f aca="false">IF(Time!AE29=1,SUM(Funding!$J$44:$BJ$44),AD13)</f>
        <v>36.4552529009534</v>
      </c>
      <c r="AF9" s="11" t="n">
        <f aca="false">IF(Time!AF29=1,SUM(Funding!$J$44:$BJ$44),AE13)</f>
        <v>35.7021962985372</v>
      </c>
      <c r="AG9" s="11" t="n">
        <f aca="false">IF(Time!AG29=1,SUM(Funding!$J$44:$BJ$44),AF13)</f>
        <v>34.4303206666342</v>
      </c>
      <c r="AH9" s="11" t="n">
        <f aca="false">IF(Time!AH29=1,SUM(Funding!$J$44:$BJ$44),AG13)</f>
        <v>33.6764152596785</v>
      </c>
      <c r="AI9" s="11" t="n">
        <f aca="false">IF(Time!AI29=1,SUM(Funding!$J$44:$BJ$44),AH13)</f>
        <v>32.085529970596</v>
      </c>
      <c r="AJ9" s="11" t="n">
        <f aca="false">IF(Time!AJ29=1,SUM(Funding!$J$44:$BJ$44),AI13)</f>
        <v>30.718719868519</v>
      </c>
      <c r="AK9" s="11" t="n">
        <f aca="false">IF(Time!AK29=1,SUM(Funding!$J$44:$BJ$44),AJ13)</f>
        <v>28.4915060069276</v>
      </c>
      <c r="AL9" s="11" t="n">
        <f aca="false">IF(Time!AL29=1,SUM(Funding!$J$44:$BJ$44),AK13)</f>
        <v>26.1727516354555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3.05900333608058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0.724669592960105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40.304898773176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0.682086492025583</v>
      </c>
      <c r="AC12" s="11" t="n">
        <f aca="false">MAX(0,AC9-AC10-Debt!AC132)</f>
        <v>0</v>
      </c>
      <c r="AD12" s="11" t="n">
        <f aca="false">MAX(0,AD9-AD10-Debt!AD132)</f>
        <v>0.592078831957338</v>
      </c>
      <c r="AE12" s="11" t="n">
        <f aca="false">MAX(0,AE9-AE10-Debt!AE132)</f>
        <v>0.753056602416116</v>
      </c>
      <c r="AF12" s="11" t="n">
        <f aca="false">MAX(0,AF9-AF10-Debt!AF132)</f>
        <v>1.271875631903</v>
      </c>
      <c r="AG12" s="11" t="n">
        <f aca="false">MAX(0,AG9-AG10-Debt!AG132)</f>
        <v>0.753905406955703</v>
      </c>
      <c r="AH12" s="11" t="n">
        <f aca="false">MAX(0,AH9-AH10-Debt!AH132)</f>
        <v>1.59088528908259</v>
      </c>
      <c r="AI12" s="11" t="n">
        <f aca="false">MAX(0,AI9-AI10-Debt!AI132)</f>
        <v>1.36681010207693</v>
      </c>
      <c r="AJ12" s="11" t="n">
        <f aca="false">MAX(0,AJ9-AJ10-Debt!AJ132)</f>
        <v>2.22721386159147</v>
      </c>
      <c r="AK12" s="11" t="n">
        <f aca="false">MAX(0,AK9-AK10-Debt!AK132)</f>
        <v>2.31875437147211</v>
      </c>
      <c r="AL12" s="11" t="n">
        <f aca="false">MAX(0,AL9-AL10-Debt!AL132)</f>
        <v>2.60345978217738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36.3226621399506</v>
      </c>
      <c r="AC13" s="11" t="n">
        <f aca="false">(1-Time!AC32)*(AC9-AC10+AC11-AC12)</f>
        <v>37.0473317329107</v>
      </c>
      <c r="AD13" s="11" t="n">
        <f aca="false">(1-Time!AD32)*(AD9-AD10+AD11-AD12)</f>
        <v>36.4552529009534</v>
      </c>
      <c r="AE13" s="11" t="n">
        <f aca="false">(1-Time!AE32)*(AE9-AE10+AE11-AE12)</f>
        <v>35.7021962985372</v>
      </c>
      <c r="AF13" s="11" t="n">
        <f aca="false">(1-Time!AF32)*(AF9-AF10+AF11-AF12)</f>
        <v>34.4303206666342</v>
      </c>
      <c r="AG13" s="11" t="n">
        <f aca="false">(1-Time!AG32)*(AG9-AG10+AG11-AG12)</f>
        <v>33.6764152596785</v>
      </c>
      <c r="AH13" s="11" t="n">
        <f aca="false">(1-Time!AH32)*(AH9-AH10+AH11-AH12)</f>
        <v>32.085529970596</v>
      </c>
      <c r="AI13" s="11" t="n">
        <f aca="false">(1-Time!AI32)*(AI9-AI10+AI11-AI12)</f>
        <v>30.718719868519</v>
      </c>
      <c r="AJ13" s="11" t="n">
        <f aca="false">(1-Time!AJ32)*(AJ9-AJ10+AJ11-AJ12)</f>
        <v>28.4915060069276</v>
      </c>
      <c r="AK13" s="11" t="n">
        <f aca="false">(1-Time!AK32)*(AK9-AK10+AK11-AK12)</f>
        <v>26.1727516354555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2229.71335158879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1.83467615843662</v>
      </c>
      <c r="P7" s="11" t="n">
        <f aca="false">Operations!P79-Tax!P27-Operations!P91-Reserves!P7+Operations!P74+Operations!P92</f>
        <v>48.3411281544968</v>
      </c>
      <c r="Q7" s="11" t="n">
        <f aca="false">Operations!Q79-Tax!Q27-Operations!Q91-Reserves!Q7+Operations!Q74+Operations!Q92</f>
        <v>48.2222950926747</v>
      </c>
      <c r="R7" s="11" t="n">
        <f aca="false">Operations!R79-Tax!R27-Operations!R91-Reserves!R7+Operations!R74+Operations!R92</f>
        <v>48.826292774855</v>
      </c>
      <c r="S7" s="11" t="n">
        <f aca="false">Operations!S79-Tax!S27-Operations!S91-Reserves!S7+Operations!S74+Operations!S92</f>
        <v>48.4363848018508</v>
      </c>
      <c r="T7" s="11" t="n">
        <f aca="false">Operations!T79-Tax!T27-Operations!T91-Reserves!T7+Operations!T74+Operations!T92</f>
        <v>48.951028869785</v>
      </c>
      <c r="U7" s="11" t="n">
        <f aca="false">Operations!U79-Tax!U27-Operations!U91-Reserves!U7+Operations!U74+Operations!U92</f>
        <v>48.7196256912899</v>
      </c>
      <c r="V7" s="11" t="n">
        <f aca="false">Operations!V79-Tax!V27-Operations!V91-Reserves!V7+Operations!V74+Operations!V92</f>
        <v>49.6948428397755</v>
      </c>
      <c r="W7" s="11" t="n">
        <f aca="false">Operations!W79-Tax!W27-Operations!W91-Reserves!W7+Operations!W74+Operations!W92</f>
        <v>49.3366574594988</v>
      </c>
      <c r="X7" s="11" t="n">
        <f aca="false">Operations!X79-Tax!X27-Operations!X91-Reserves!X7+Operations!X74+Operations!X92</f>
        <v>47.777138987353</v>
      </c>
      <c r="Y7" s="11" t="n">
        <f aca="false">Operations!Y79-Tax!Y27-Operations!Y91-Reserves!Y7+Operations!Y74+Operations!Y92</f>
        <v>47.2947771563819</v>
      </c>
      <c r="Z7" s="11" t="n">
        <f aca="false">Operations!Z79-Tax!Z27-Operations!Z91-Reserves!Z7+Operations!Z74+Operations!Z92</f>
        <v>47.6811778969367</v>
      </c>
      <c r="AA7" s="11" t="n">
        <f aca="false">Operations!AA79-Tax!AA27-Operations!AA91-Reserves!AA7+Operations!AA74+Operations!AA92</f>
        <v>47.2842536131697</v>
      </c>
      <c r="AB7" s="11" t="n">
        <f aca="false">Operations!AB79-Tax!AB27-Operations!AB91-Reserves!AB7+Operations!AB74+Operations!AB92</f>
        <v>47.812402124942</v>
      </c>
      <c r="AC7" s="11" t="n">
        <f aca="false">Operations!AC79-Tax!AC27-Operations!AC91-Reserves!AC7+Operations!AC74+Operations!AC92</f>
        <v>47.6306828908276</v>
      </c>
      <c r="AD7" s="11" t="n">
        <f aca="false">Operations!AD79-Tax!AD27-Operations!AD91-Reserves!AD7+Operations!AD74+Operations!AD92</f>
        <v>49.5739145438504</v>
      </c>
      <c r="AE7" s="11" t="n">
        <f aca="false">Operations!AE79-Tax!AE27-Operations!AE91-Reserves!AE7+Operations!AE74+Operations!AE92</f>
        <v>49.6558522891986</v>
      </c>
      <c r="AF7" s="11" t="n">
        <f aca="false">Operations!AF79-Tax!AF27-Operations!AF91-Reserves!AF7+Operations!AF74+Operations!AF92</f>
        <v>49.7074286247634</v>
      </c>
      <c r="AG7" s="11" t="n">
        <f aca="false">Operations!AG79-Tax!AG27-Operations!AG91-Reserves!AG7+Operations!AG74+Operations!AG92</f>
        <v>49.3242882595679</v>
      </c>
      <c r="AH7" s="11" t="n">
        <f aca="false">Operations!AH79-Tax!AH27-Operations!AH91-Reserves!AH7+Operations!AH74+Operations!AH92</f>
        <v>49.9619785703489</v>
      </c>
      <c r="AI7" s="11" t="n">
        <f aca="false">Operations!AI79-Tax!AI27-Operations!AI91-Reserves!AI7+Operations!AI74+Operations!AI92</f>
        <v>49.5590059799657</v>
      </c>
      <c r="AJ7" s="11" t="n">
        <f aca="false">Operations!AJ79-Tax!AJ27-Operations!AJ91-Reserves!AJ7+Operations!AJ74+Operations!AJ92</f>
        <v>50.1034420081787</v>
      </c>
      <c r="AK7" s="11" t="n">
        <f aca="false">Operations!AK79-Tax!AK27-Operations!AK91-Reserves!AK7+Operations!AK74+Operations!AK92</f>
        <v>49.8797247469048</v>
      </c>
      <c r="AL7" s="11" t="n">
        <f aca="false">Operations!AL79-Tax!AL27-Operations!AL91-Reserves!AL7+Operations!AL74+Operations!AL92</f>
        <v>50.9983382034436</v>
      </c>
      <c r="AM7" s="11" t="n">
        <f aca="false">Operations!AM79-Tax!AM27-Operations!AM91-Reserves!AM7+Operations!AM74+Operations!AM92</f>
        <v>50.6220430751159</v>
      </c>
      <c r="AN7" s="11" t="n">
        <f aca="false">Operations!AN79-Tax!AN27-Operations!AN91-Reserves!AN7+Operations!AN74+Operations!AN92</f>
        <v>48.6950306515992</v>
      </c>
      <c r="AO7" s="11" t="n">
        <f aca="false">Operations!AO79-Tax!AO27-Operations!AO91-Reserves!AO7+Operations!AO74+Operations!AO92</f>
        <v>48.3161481962432</v>
      </c>
      <c r="AP7" s="11" t="n">
        <f aca="false">Operations!AP79-Tax!AP27-Operations!AP91-Reserves!AP7+Operations!AP74+Operations!AP92</f>
        <v>45.6266828870473</v>
      </c>
      <c r="AQ7" s="11" t="n">
        <f aca="false">Operations!AQ79-Tax!AQ27-Operations!AQ91-Reserves!AQ7+Operations!AQ74+Operations!AQ92</f>
        <v>39.9374806302393</v>
      </c>
      <c r="AR7" s="11" t="n">
        <f aca="false">Operations!AR79-Tax!AR27-Operations!AR91-Reserves!AR7+Operations!AR74+Operations!AR92</f>
        <v>40.0323161622701</v>
      </c>
      <c r="AS7" s="11" t="n">
        <f aca="false">Operations!AS79-Tax!AS27-Operations!AS91-Reserves!AS7+Operations!AS74+Operations!AS92</f>
        <v>39.7868901347922</v>
      </c>
      <c r="AT7" s="11" t="n">
        <f aca="false">Operations!AT79-Tax!AT27-Operations!AT91-Reserves!AT7+Operations!AT74+Operations!AT92</f>
        <v>46.536292952713</v>
      </c>
      <c r="AU7" s="11" t="n">
        <f aca="false">Operations!AU79-Tax!AU27-Operations!AU91-Reserves!AU7+Operations!AU74+Operations!AU92</f>
        <v>42.1173047132539</v>
      </c>
      <c r="AV7" s="11" t="n">
        <f aca="false">Operations!AV79-Tax!AV27-Operations!AV91-Reserves!AV7+Operations!AV74+Operations!AV92</f>
        <v>42.1485898241531</v>
      </c>
      <c r="AW7" s="11" t="n">
        <f aca="false">Operations!AW79-Tax!AW27-Operations!AW91-Reserves!AW7+Operations!AW74+Operations!AW92</f>
        <v>41.7103682329421</v>
      </c>
      <c r="AX7" s="11" t="n">
        <f aca="false">Operations!AX79-Tax!AX27-Operations!AX91-Reserves!AX7+Operations!AX74+Operations!AX92</f>
        <v>42.3502920967725</v>
      </c>
      <c r="AY7" s="11" t="n">
        <f aca="false">Operations!AY79-Tax!AY27-Operations!AY91-Reserves!AY7+Operations!AY74+Operations!AY92</f>
        <v>41.9077575050291</v>
      </c>
      <c r="AZ7" s="11" t="n">
        <f aca="false">Operations!AZ79-Tax!AZ27-Operations!AZ91-Reserves!AZ7+Operations!AZ74+Operations!AZ92</f>
        <v>42.4718098940091</v>
      </c>
      <c r="BA7" s="11" t="n">
        <f aca="false">Operations!BA79-Tax!BA27-Operations!BA91-Reserves!BA7+Operations!BA74+Operations!BA92</f>
        <v>42.1885988072986</v>
      </c>
      <c r="BB7" s="11" t="n">
        <f aca="false">Operations!BB79-Tax!BB27-Operations!BB91-Reserves!BB7+Operations!BB74+Operations!BB92</f>
        <v>44.4331729656021</v>
      </c>
      <c r="BC7" s="11" t="n">
        <f aca="false">Operations!BC79-Tax!BC27-Operations!BC91-Reserves!BC7+Operations!BC74+Operations!BC92</f>
        <v>41.0494299253599</v>
      </c>
      <c r="BD7" s="11" t="n">
        <f aca="false">Operations!BD79-Tax!BD27-Operations!BD91-Reserves!BD7+Operations!BD74+Operations!BD92</f>
        <v>34.8708613535845</v>
      </c>
      <c r="BE7" s="11" t="n">
        <f aca="false">Operations!BE79-Tax!BE27-Operations!BE91-Reserves!BE7+Operations!BE74+Operations!BE92</f>
        <v>34.4347824347458</v>
      </c>
      <c r="BF7" s="11" t="n">
        <f aca="false">Operations!BF79-Tax!BF27-Operations!BF91-Reserves!BF7+Operations!BF74+Operations!BF92</f>
        <v>35.1015918987834</v>
      </c>
      <c r="BG7" s="11" t="n">
        <f aca="false">Operations!BG79-Tax!BG27-Operations!BG91-Reserves!BG7+Operations!BG74+Operations!BG92</f>
        <v>34.6494298393731</v>
      </c>
      <c r="BH7" s="11" t="n">
        <f aca="false">Operations!BH79-Tax!BH27-Operations!BH91-Reserves!BH7+Operations!BH74+Operations!BH92</f>
        <v>35.2328055303221</v>
      </c>
      <c r="BI7" s="11" t="n">
        <f aca="false">Operations!BI79-Tax!BI27-Operations!BI91-Reserves!BI7+Operations!BI74+Operations!BI92</f>
        <v>34.9947070244639</v>
      </c>
      <c r="BJ7" s="11" t="n">
        <f aca="false">Operations!BJ79-Tax!BJ27-Operations!BJ91-Reserves!BJ7+Operations!BJ74+Operations!BJ92</f>
        <v>43.0372031608027</v>
      </c>
      <c r="BK7" s="11" t="n">
        <f aca="false">Operations!BK79-Tax!BK27-Operations!BK91-Reserves!BK7+Operations!BK74+Operations!BK92</f>
        <v>37.8085417436292</v>
      </c>
      <c r="BL7" s="11" t="n">
        <f aca="false">Operations!BL79-Tax!BL27-Operations!BL91-Reserves!BL7+Operations!BL74+Operations!BL92</f>
        <v>38.4505217935614</v>
      </c>
      <c r="BM7" s="11" t="n">
        <f aca="false">Operations!BM79-Tax!BM27-Operations!BM91-Reserves!BM7+Operations!BM74+Operations!BM92</f>
        <v>34.595360416592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1.8346761584355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1.83467615843662</v>
      </c>
      <c r="P9" s="11" t="n">
        <f aca="false">P7+P8</f>
        <v>50.1758043129323</v>
      </c>
      <c r="Q9" s="11" t="n">
        <f aca="false">Q7+Q8</f>
        <v>48.2222950926747</v>
      </c>
      <c r="R9" s="11" t="n">
        <f aca="false">R7+R8</f>
        <v>48.826292774855</v>
      </c>
      <c r="S9" s="11" t="n">
        <f aca="false">S7+S8</f>
        <v>48.4363848018508</v>
      </c>
      <c r="T9" s="11" t="n">
        <f aca="false">T7+T8</f>
        <v>48.951028869785</v>
      </c>
      <c r="U9" s="11" t="n">
        <f aca="false">U7+U8</f>
        <v>48.7196256912899</v>
      </c>
      <c r="V9" s="11" t="n">
        <f aca="false">V7+V8</f>
        <v>49.6948428397755</v>
      </c>
      <c r="W9" s="11" t="n">
        <f aca="false">W7+W8</f>
        <v>49.3366574594988</v>
      </c>
      <c r="X9" s="11" t="n">
        <f aca="false">X7+X8</f>
        <v>47.777138987353</v>
      </c>
      <c r="Y9" s="11" t="n">
        <f aca="false">Y7+Y8</f>
        <v>47.2947771563819</v>
      </c>
      <c r="Z9" s="11" t="n">
        <f aca="false">Z7+Z8</f>
        <v>47.6811778969367</v>
      </c>
      <c r="AA9" s="11" t="n">
        <f aca="false">AA7+AA8</f>
        <v>47.2842536131697</v>
      </c>
      <c r="AB9" s="11" t="n">
        <f aca="false">AB7+AB8</f>
        <v>47.812402124942</v>
      </c>
      <c r="AC9" s="11" t="n">
        <f aca="false">AC7+AC8</f>
        <v>47.6306828908276</v>
      </c>
      <c r="AD9" s="11" t="n">
        <f aca="false">AD7+AD8</f>
        <v>49.5739145438504</v>
      </c>
      <c r="AE9" s="11" t="n">
        <f aca="false">AE7+AE8</f>
        <v>49.6558522891986</v>
      </c>
      <c r="AF9" s="11" t="n">
        <f aca="false">AF7+AF8</f>
        <v>49.7074286247634</v>
      </c>
      <c r="AG9" s="11" t="n">
        <f aca="false">AG7+AG8</f>
        <v>49.3242882595679</v>
      </c>
      <c r="AH9" s="11" t="n">
        <f aca="false">AH7+AH8</f>
        <v>49.9619785703489</v>
      </c>
      <c r="AI9" s="11" t="n">
        <f aca="false">AI7+AI8</f>
        <v>49.5590059799657</v>
      </c>
      <c r="AJ9" s="11" t="n">
        <f aca="false">AJ7+AJ8</f>
        <v>50.1034420081787</v>
      </c>
      <c r="AK9" s="11" t="n">
        <f aca="false">AK7+AK8</f>
        <v>49.8797247469048</v>
      </c>
      <c r="AL9" s="11" t="n">
        <f aca="false">AL7+AL8</f>
        <v>50.9983382034436</v>
      </c>
      <c r="AM9" s="11" t="n">
        <f aca="false">AM7+AM8</f>
        <v>50.6220430751159</v>
      </c>
      <c r="AN9" s="11" t="n">
        <f aca="false">AN7+AN8</f>
        <v>48.6950306515992</v>
      </c>
      <c r="AO9" s="11" t="n">
        <f aca="false">AO7+AO8</f>
        <v>48.3161481962432</v>
      </c>
      <c r="AP9" s="11" t="n">
        <f aca="false">AP7+AP8</f>
        <v>45.6266828870473</v>
      </c>
      <c r="AQ9" s="11" t="n">
        <f aca="false">AQ7+AQ8</f>
        <v>39.9374806302393</v>
      </c>
      <c r="AR9" s="11" t="n">
        <f aca="false">AR7+AR8</f>
        <v>40.0323161622701</v>
      </c>
      <c r="AS9" s="11" t="n">
        <f aca="false">AS7+AS8</f>
        <v>39.7868901347922</v>
      </c>
      <c r="AT9" s="11" t="n">
        <f aca="false">AT7+AT8</f>
        <v>46.536292952713</v>
      </c>
      <c r="AU9" s="11" t="n">
        <f aca="false">AU7+AU8</f>
        <v>42.1173047132539</v>
      </c>
      <c r="AV9" s="11" t="n">
        <f aca="false">AV7+AV8</f>
        <v>42.1485898241531</v>
      </c>
      <c r="AW9" s="11" t="n">
        <f aca="false">AW7+AW8</f>
        <v>41.7103682329421</v>
      </c>
      <c r="AX9" s="11" t="n">
        <f aca="false">AX7+AX8</f>
        <v>42.3502920967725</v>
      </c>
      <c r="AY9" s="11" t="n">
        <f aca="false">AY7+AY8</f>
        <v>41.9077575050291</v>
      </c>
      <c r="AZ9" s="11" t="n">
        <f aca="false">AZ7+AZ8</f>
        <v>42.4718098940091</v>
      </c>
      <c r="BA9" s="11" t="n">
        <f aca="false">BA7+BA8</f>
        <v>42.1885988072986</v>
      </c>
      <c r="BB9" s="11" t="n">
        <f aca="false">BB7+BB8</f>
        <v>44.4331729656021</v>
      </c>
      <c r="BC9" s="11" t="n">
        <f aca="false">BC7+BC8</f>
        <v>41.0494299253599</v>
      </c>
      <c r="BD9" s="11" t="n">
        <f aca="false">BD7+BD8</f>
        <v>34.8708613535845</v>
      </c>
      <c r="BE9" s="11" t="n">
        <f aca="false">BE7+BE8</f>
        <v>34.4347824347458</v>
      </c>
      <c r="BF9" s="11" t="n">
        <f aca="false">BF7+BF8</f>
        <v>35.1015918987834</v>
      </c>
      <c r="BG9" s="11" t="n">
        <f aca="false">BG7+BG8</f>
        <v>34.6494298393731</v>
      </c>
      <c r="BH9" s="11" t="n">
        <f aca="false">BH7+BH8</f>
        <v>35.2328055303221</v>
      </c>
      <c r="BI9" s="11" t="n">
        <f aca="false">BI7+BI8</f>
        <v>34.9947070244639</v>
      </c>
      <c r="BJ9" s="11" t="n">
        <f aca="false">BJ7+BJ8</f>
        <v>43.0372031608027</v>
      </c>
      <c r="BK9" s="11" t="n">
        <f aca="false">BK7+BK8</f>
        <v>37.8085417436292</v>
      </c>
      <c r="BL9" s="11" t="n">
        <f aca="false">BL7+BL8</f>
        <v>38.4505217935614</v>
      </c>
      <c r="BM9" s="11" t="n">
        <f aca="false">BM7+BM8</f>
        <v>34.595360416592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861.731293815748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36.4673485907081</v>
      </c>
      <c r="AC10" s="11" t="n">
        <f aca="false">Debt!AC121+Debt!AC117</f>
        <v>35.6657882874155</v>
      </c>
      <c r="AD10" s="11" t="n">
        <f aca="false">Debt!AD121+Debt!AD117</f>
        <v>36.3749994335582</v>
      </c>
      <c r="AE10" s="11" t="n">
        <f aca="false">Debt!AE121+Debt!AE117</f>
        <v>35.5764112279625</v>
      </c>
      <c r="AF10" s="11" t="n">
        <f aca="false">Debt!AF121+Debt!AF117</f>
        <v>34.6781661813353</v>
      </c>
      <c r="AG10" s="11" t="n">
        <f aca="false">Debt!AG121+Debt!AG117</f>
        <v>33.2028839781077</v>
      </c>
      <c r="AH10" s="11" t="n">
        <f aca="false">Debt!AH121+Debt!AH117</f>
        <v>32.2589310156905</v>
      </c>
      <c r="AI10" s="11" t="n">
        <f aca="false">Debt!AI121+Debt!AI117</f>
        <v>30.2887432190901</v>
      </c>
      <c r="AJ10" s="11" t="n">
        <f aca="false">Debt!AJ121+Debt!AJ117</f>
        <v>28.492134060164</v>
      </c>
      <c r="AK10" s="11" t="n">
        <f aca="false">Debt!AK121+Debt!AK117</f>
        <v>25.4677258779604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1.83467615843662</v>
      </c>
      <c r="P13" s="11" t="n">
        <f aca="false">MAX(0,P9-P10)</f>
        <v>12.9299088758358</v>
      </c>
      <c r="Q13" s="11" t="n">
        <f aca="false">MAX(0,Q9-Q10)</f>
        <v>11.065278637529</v>
      </c>
      <c r="R13" s="11" t="n">
        <f aca="false">MAX(0,R9-R10)</f>
        <v>11.201507687177</v>
      </c>
      <c r="S13" s="11" t="n">
        <f aca="false">MAX(0,S9-S10)</f>
        <v>11.1030723092939</v>
      </c>
      <c r="T13" s="11" t="n">
        <f aca="false">MAX(0,T9-T10)</f>
        <v>11.1998110880372</v>
      </c>
      <c r="U13" s="11" t="n">
        <f aca="false">MAX(0,U9-U10)</f>
        <v>11.1489329364371</v>
      </c>
      <c r="V13" s="11" t="n">
        <f aca="false">MAX(0,V9-V10)</f>
        <v>11.4069226046172</v>
      </c>
      <c r="W13" s="11" t="n">
        <f aca="false">MAX(0,W9-W10)</f>
        <v>11.313430033629</v>
      </c>
      <c r="X13" s="11" t="n">
        <f aca="false">MAX(0,X9-X10)</f>
        <v>10.8503439127636</v>
      </c>
      <c r="Y13" s="11" t="n">
        <f aca="false">MAX(0,Y9-Y10)</f>
        <v>10.7243851118367</v>
      </c>
      <c r="Z13" s="11" t="n">
        <f aca="false">MAX(0,Z9-Z10)</f>
        <v>10.8098147884226</v>
      </c>
      <c r="AA13" s="11" t="n">
        <f aca="false">MAX(0,AA9-AA10)</f>
        <v>10.7099662583153</v>
      </c>
      <c r="AB13" s="11" t="n">
        <f aca="false">MAX(0,AB9-AB10)</f>
        <v>11.3450535342339</v>
      </c>
      <c r="AC13" s="11" t="n">
        <f aca="false">MAX(0,AC9-AC10)</f>
        <v>11.9648946034121</v>
      </c>
      <c r="AD13" s="11" t="n">
        <f aca="false">MAX(0,AD9-AD10)</f>
        <v>13.1989151102922</v>
      </c>
      <c r="AE13" s="11" t="n">
        <f aca="false">MAX(0,AE9-AE10)</f>
        <v>14.0794410612361</v>
      </c>
      <c r="AF13" s="11" t="n">
        <f aca="false">MAX(0,AF9-AF10)</f>
        <v>15.0292624434281</v>
      </c>
      <c r="AG13" s="11" t="n">
        <f aca="false">MAX(0,AG9-AG10)</f>
        <v>16.1214042814602</v>
      </c>
      <c r="AH13" s="11" t="n">
        <f aca="false">MAX(0,AH9-AH10)</f>
        <v>17.7030475546583</v>
      </c>
      <c r="AI13" s="11" t="n">
        <f aca="false">MAX(0,AI9-AI10)</f>
        <v>19.2702627608756</v>
      </c>
      <c r="AJ13" s="11" t="n">
        <f aca="false">MAX(0,AJ9-AJ10)</f>
        <v>21.6113079480147</v>
      </c>
      <c r="AK13" s="11" t="n">
        <f aca="false">MAX(0,AK9-AK10)</f>
        <v>24.4119988689445</v>
      </c>
      <c r="AL13" s="11" t="n">
        <f aca="false">MAX(0,AL9-AL10)</f>
        <v>27.2842983680472</v>
      </c>
      <c r="AM13" s="11" t="n">
        <f aca="false">MAX(0,AM9-AM10)</f>
        <v>27.0527512218378</v>
      </c>
      <c r="AN13" s="11" t="n">
        <f aca="false">MAX(0,AN9-AN10)</f>
        <v>29.563013396735</v>
      </c>
      <c r="AO13" s="11" t="n">
        <f aca="false">MAX(0,AO9-AO10)</f>
        <v>29.4102404486351</v>
      </c>
      <c r="AP13" s="11" t="n">
        <f aca="false">MAX(0,AP9-AP10)</f>
        <v>45.6266828870473</v>
      </c>
      <c r="AQ13" s="11" t="n">
        <f aca="false">MAX(0,AQ9-AQ10)</f>
        <v>39.9374806302393</v>
      </c>
      <c r="AR13" s="11" t="n">
        <f aca="false">MAX(0,AR9-AR10)</f>
        <v>40.0323161622701</v>
      </c>
      <c r="AS13" s="11" t="n">
        <f aca="false">MAX(0,AS9-AS10)</f>
        <v>39.7868901347922</v>
      </c>
      <c r="AT13" s="11" t="n">
        <f aca="false">MAX(0,AT9-AT10)</f>
        <v>46.536292952713</v>
      </c>
      <c r="AU13" s="11" t="n">
        <f aca="false">MAX(0,AU9-AU10)</f>
        <v>42.1173047132539</v>
      </c>
      <c r="AV13" s="11" t="n">
        <f aca="false">MAX(0,AV9-AV10)</f>
        <v>42.1485898241531</v>
      </c>
      <c r="AW13" s="11" t="n">
        <f aca="false">MAX(0,AW9-AW10)</f>
        <v>41.7103682329421</v>
      </c>
      <c r="AX13" s="11" t="n">
        <f aca="false">MAX(0,AX9-AX10)</f>
        <v>42.3502920967725</v>
      </c>
      <c r="AY13" s="11" t="n">
        <f aca="false">MAX(0,AY9-AY10)</f>
        <v>41.9077575050291</v>
      </c>
      <c r="AZ13" s="11" t="n">
        <f aca="false">MAX(0,AZ9-AZ10)</f>
        <v>42.4718098940091</v>
      </c>
      <c r="BA13" s="11" t="n">
        <f aca="false">MAX(0,BA9-BA10)</f>
        <v>42.1885988072986</v>
      </c>
      <c r="BB13" s="11" t="n">
        <f aca="false">MAX(0,BB9-BB10)</f>
        <v>44.4331729656021</v>
      </c>
      <c r="BC13" s="11" t="n">
        <f aca="false">MAX(0,BC9-BC10)</f>
        <v>41.0494299253599</v>
      </c>
      <c r="BD13" s="11" t="n">
        <f aca="false">MAX(0,BD9-BD10)</f>
        <v>34.8708613535845</v>
      </c>
      <c r="BE13" s="11" t="n">
        <f aca="false">MAX(0,BE9-BE10)</f>
        <v>34.4347824347458</v>
      </c>
      <c r="BF13" s="11" t="n">
        <f aca="false">MAX(0,BF9-BF10)</f>
        <v>35.1015918987834</v>
      </c>
      <c r="BG13" s="11" t="n">
        <f aca="false">MAX(0,BG9-BG10)</f>
        <v>34.6494298393731</v>
      </c>
      <c r="BH13" s="11" t="n">
        <f aca="false">MAX(0,BH9-BH10)</f>
        <v>35.2328055303221</v>
      </c>
      <c r="BI13" s="11" t="n">
        <f aca="false">MAX(0,BI9-BI10)</f>
        <v>34.9947070244639</v>
      </c>
      <c r="BJ13" s="11" t="n">
        <f aca="false">MAX(0,BJ9-BJ10)</f>
        <v>43.0372031608027</v>
      </c>
      <c r="BK13" s="11" t="n">
        <f aca="false">MAX(0,BK9-BK10)</f>
        <v>37.8085417436292</v>
      </c>
      <c r="BL13" s="11" t="n">
        <f aca="false">MAX(0,BL9-BL10)</f>
        <v>38.4505217935614</v>
      </c>
      <c r="BM13" s="11" t="n">
        <f aca="false">MAX(0,BM9-BM10)</f>
        <v>34.595360416592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1.8346761584355</v>
      </c>
      <c r="P14" s="11" t="n">
        <f aca="false">P13-Reserves!P11+Reserves!P12</f>
        <v>13.0187878577865</v>
      </c>
      <c r="Q14" s="11" t="n">
        <f aca="false">Q13-Reserves!Q11+Reserves!Q12</f>
        <v>10.5975100049967</v>
      </c>
      <c r="R14" s="11" t="n">
        <f aca="false">R13-Reserves!R11+Reserves!R12</f>
        <v>11.4929802822981</v>
      </c>
      <c r="S14" s="11" t="n">
        <f aca="false">S13-Reserves!S11+Reserves!S12</f>
        <v>10.685167020103</v>
      </c>
      <c r="T14" s="11" t="n">
        <f aca="false">T13-Reserves!T11+Reserves!T12</f>
        <v>11.3803361149323</v>
      </c>
      <c r="U14" s="11" t="n">
        <f aca="false">U13-Reserves!U11+Reserves!U12</f>
        <v>10.4317054561315</v>
      </c>
      <c r="V14" s="11" t="n">
        <f aca="false">V13-Reserves!V11+Reserves!V12</f>
        <v>11.6716154139057</v>
      </c>
      <c r="W14" s="11" t="n">
        <f aca="false">W13-Reserves!W11+Reserves!W12</f>
        <v>12.4098623849094</v>
      </c>
      <c r="X14" s="11" t="n">
        <f aca="false">X13-Reserves!X11+Reserves!X12</f>
        <v>11.2067469428078</v>
      </c>
      <c r="Y14" s="11" t="n">
        <f aca="false">Y13-Reserves!Y11+Reserves!Y12</f>
        <v>10.4234140478678</v>
      </c>
      <c r="Z14" s="11" t="n">
        <f aca="false">Z13-Reserves!Z11+Reserves!Z12</f>
        <v>11.1068905420823</v>
      </c>
      <c r="AA14" s="11" t="n">
        <f aca="false">AA13-Reserves!AA11+Reserves!AA12</f>
        <v>10.2795049811935</v>
      </c>
      <c r="AB14" s="11" t="n">
        <f aca="false">AB13-Reserves!AB11+Reserves!AB12</f>
        <v>12.0271400262595</v>
      </c>
      <c r="AC14" s="11" t="n">
        <f aca="false">AC13-Reserves!AC11+Reserves!AC12</f>
        <v>11.240225010452</v>
      </c>
      <c r="AD14" s="11" t="n">
        <f aca="false">AD13-Reserves!AD11+Reserves!AD12</f>
        <v>13.7909939422495</v>
      </c>
      <c r="AE14" s="11" t="n">
        <f aca="false">AE13-Reserves!AE11+Reserves!AE12</f>
        <v>14.8324976636522</v>
      </c>
      <c r="AF14" s="11" t="n">
        <f aca="false">AF13-Reserves!AF11+Reserves!AF12</f>
        <v>16.3011380753311</v>
      </c>
      <c r="AG14" s="11" t="n">
        <f aca="false">AG13-Reserves!AG11+Reserves!AG12</f>
        <v>16.8753096884159</v>
      </c>
      <c r="AH14" s="11" t="n">
        <f aca="false">AH13-Reserves!AH11+Reserves!AH12</f>
        <v>19.2939328437409</v>
      </c>
      <c r="AI14" s="11" t="n">
        <f aca="false">AI13-Reserves!AI11+Reserves!AI12</f>
        <v>20.6370728629525</v>
      </c>
      <c r="AJ14" s="11" t="n">
        <f aca="false">AJ13-Reserves!AJ11+Reserves!AJ12</f>
        <v>23.8385218096062</v>
      </c>
      <c r="AK14" s="11" t="n">
        <f aca="false">AK13-Reserves!AK11+Reserves!AK12</f>
        <v>26.7307532404166</v>
      </c>
      <c r="AL14" s="11" t="n">
        <f aca="false">AL13-Reserves!AL11+Reserves!AL12</f>
        <v>29.8877581502246</v>
      </c>
      <c r="AM14" s="11" t="n">
        <f aca="false">AM13-Reserves!AM11+Reserves!AM12</f>
        <v>31.4900258202517</v>
      </c>
      <c r="AN14" s="11" t="n">
        <f aca="false">AN13-Reserves!AN11+Reserves!AN12</f>
        <v>29.7891229039911</v>
      </c>
      <c r="AO14" s="11" t="n">
        <f aca="false">AO13-Reserves!AO11+Reserves!AO12</f>
        <v>48.3161481962432</v>
      </c>
      <c r="AP14" s="11" t="n">
        <f aca="false">AP13-Reserves!AP11+Reserves!AP12</f>
        <v>45.6266828870473</v>
      </c>
      <c r="AQ14" s="11" t="n">
        <f aca="false">AQ13-Reserves!AQ11+Reserves!AQ12</f>
        <v>39.9374806302393</v>
      </c>
      <c r="AR14" s="11" t="n">
        <f aca="false">AR13-Reserves!AR11+Reserves!AR12</f>
        <v>40.0323161622701</v>
      </c>
      <c r="AS14" s="11" t="n">
        <f aca="false">AS13-Reserves!AS11+Reserves!AS12</f>
        <v>39.7868901347922</v>
      </c>
      <c r="AT14" s="11" t="n">
        <f aca="false">AT13-Reserves!AT11+Reserves!AT12</f>
        <v>46.536292952713</v>
      </c>
      <c r="AU14" s="11" t="n">
        <f aca="false">AU13-Reserves!AU11+Reserves!AU12</f>
        <v>42.1173047132539</v>
      </c>
      <c r="AV14" s="11" t="n">
        <f aca="false">AV13-Reserves!AV11+Reserves!AV12</f>
        <v>42.1485898241531</v>
      </c>
      <c r="AW14" s="11" t="n">
        <f aca="false">AW13-Reserves!AW11+Reserves!AW12</f>
        <v>41.7103682329421</v>
      </c>
      <c r="AX14" s="11" t="n">
        <f aca="false">AX13-Reserves!AX11+Reserves!AX12</f>
        <v>42.3502920967725</v>
      </c>
      <c r="AY14" s="11" t="n">
        <f aca="false">AY13-Reserves!AY11+Reserves!AY12</f>
        <v>41.9077575050291</v>
      </c>
      <c r="AZ14" s="11" t="n">
        <f aca="false">AZ13-Reserves!AZ11+Reserves!AZ12</f>
        <v>42.4718098940091</v>
      </c>
      <c r="BA14" s="11" t="n">
        <f aca="false">BA13-Reserves!BA11+Reserves!BA12</f>
        <v>42.1885988072986</v>
      </c>
      <c r="BB14" s="11" t="n">
        <f aca="false">BB13-Reserves!BB11+Reserves!BB12</f>
        <v>44.4331729656021</v>
      </c>
      <c r="BC14" s="11" t="n">
        <f aca="false">BC13-Reserves!BC11+Reserves!BC12</f>
        <v>41.0494299253599</v>
      </c>
      <c r="BD14" s="11" t="n">
        <f aca="false">BD13-Reserves!BD11+Reserves!BD12</f>
        <v>34.8708613535845</v>
      </c>
      <c r="BE14" s="11" t="n">
        <f aca="false">BE13-Reserves!BE11+Reserves!BE12</f>
        <v>34.4347824347458</v>
      </c>
      <c r="BF14" s="11" t="n">
        <f aca="false">BF13-Reserves!BF11+Reserves!BF12</f>
        <v>35.1015918987834</v>
      </c>
      <c r="BG14" s="11" t="n">
        <f aca="false">BG13-Reserves!BG11+Reserves!BG12</f>
        <v>34.6494298393731</v>
      </c>
      <c r="BH14" s="11" t="n">
        <f aca="false">BH13-Reserves!BH11+Reserves!BH12</f>
        <v>35.2328055303221</v>
      </c>
      <c r="BI14" s="11" t="n">
        <f aca="false">BI13-Reserves!BI11+Reserves!BI12</f>
        <v>34.9947070244639</v>
      </c>
      <c r="BJ14" s="11" t="n">
        <f aca="false">BJ13-Reserves!BJ11+Reserves!BJ12</f>
        <v>43.0372031608027</v>
      </c>
      <c r="BK14" s="11" t="n">
        <f aca="false">BK13-Reserves!BK11+Reserves!BK12</f>
        <v>37.8085417436292</v>
      </c>
      <c r="BL14" s="11" t="n">
        <f aca="false">BL13-Reserves!BL11+Reserves!BL12</f>
        <v>38.4505217935614</v>
      </c>
      <c r="BM14" s="11" t="n">
        <f aca="false">BM13-Reserves!BM11+Reserves!BM12</f>
        <v>34.595360416592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1.8346761584355</v>
      </c>
      <c r="P15" s="11" t="n">
        <f aca="false">P14-Reserves!P14+Reserves!P15</f>
        <v>13.0187878577865</v>
      </c>
      <c r="Q15" s="11" t="n">
        <f aca="false">Q14-Reserves!Q14+Reserves!Q15</f>
        <v>10.5975100049967</v>
      </c>
      <c r="R15" s="11" t="n">
        <f aca="false">R14-Reserves!R14+Reserves!R15</f>
        <v>11.4929802822981</v>
      </c>
      <c r="S15" s="11" t="n">
        <f aca="false">S14-Reserves!S14+Reserves!S15</f>
        <v>10.685167020103</v>
      </c>
      <c r="T15" s="11" t="n">
        <f aca="false">T14-Reserves!T14+Reserves!T15</f>
        <v>11.3803361149323</v>
      </c>
      <c r="U15" s="11" t="n">
        <f aca="false">U14-Reserves!U14+Reserves!U15</f>
        <v>10.4317054561315</v>
      </c>
      <c r="V15" s="11" t="n">
        <f aca="false">V14-Reserves!V14+Reserves!V15</f>
        <v>11.6716154139057</v>
      </c>
      <c r="W15" s="11" t="n">
        <f aca="false">W14-Reserves!W14+Reserves!W15</f>
        <v>12.4098623849094</v>
      </c>
      <c r="X15" s="11" t="n">
        <f aca="false">X14-Reserves!X14+Reserves!X15</f>
        <v>11.2067469428078</v>
      </c>
      <c r="Y15" s="11" t="n">
        <f aca="false">Y14-Reserves!Y14+Reserves!Y15</f>
        <v>10.4234140478678</v>
      </c>
      <c r="Z15" s="11" t="n">
        <f aca="false">Z14-Reserves!Z14+Reserves!Z15</f>
        <v>11.1068905420823</v>
      </c>
      <c r="AA15" s="11" t="n">
        <f aca="false">AA14-Reserves!AA14+Reserves!AA15</f>
        <v>10.2795049811935</v>
      </c>
      <c r="AB15" s="11" t="n">
        <f aca="false">AB14-Reserves!AB14+Reserves!AB15</f>
        <v>12.0271400262595</v>
      </c>
      <c r="AC15" s="11" t="n">
        <f aca="false">AC14-Reserves!AC14+Reserves!AC15</f>
        <v>11.240225010452</v>
      </c>
      <c r="AD15" s="11" t="n">
        <f aca="false">AD14-Reserves!AD14+Reserves!AD15</f>
        <v>13.7909939422495</v>
      </c>
      <c r="AE15" s="11" t="n">
        <f aca="false">AE14-Reserves!AE14+Reserves!AE15</f>
        <v>14.8324976636522</v>
      </c>
      <c r="AF15" s="11" t="n">
        <f aca="false">AF14-Reserves!AF14+Reserves!AF15</f>
        <v>16.3011380753311</v>
      </c>
      <c r="AG15" s="11" t="n">
        <f aca="false">AG14-Reserves!AG14+Reserves!AG15</f>
        <v>16.8753096884159</v>
      </c>
      <c r="AH15" s="11" t="n">
        <f aca="false">AH14-Reserves!AH14+Reserves!AH15</f>
        <v>19.2939328437409</v>
      </c>
      <c r="AI15" s="11" t="n">
        <f aca="false">AI14-Reserves!AI14+Reserves!AI15</f>
        <v>20.6370728629525</v>
      </c>
      <c r="AJ15" s="11" t="n">
        <f aca="false">AJ14-Reserves!AJ14+Reserves!AJ15</f>
        <v>23.8385218096062</v>
      </c>
      <c r="AK15" s="11" t="n">
        <f aca="false">AK14-Reserves!AK14+Reserves!AK15</f>
        <v>26.7307532404166</v>
      </c>
      <c r="AL15" s="11" t="n">
        <f aca="false">AL14-Reserves!AL14+Reserves!AL15</f>
        <v>29.8877581502246</v>
      </c>
      <c r="AM15" s="11" t="n">
        <f aca="false">AM14-Reserves!AM14+Reserves!AM15</f>
        <v>31.4900258202517</v>
      </c>
      <c r="AN15" s="11" t="n">
        <f aca="false">AN14-Reserves!AN14+Reserves!AN15</f>
        <v>29.7891229039911</v>
      </c>
      <c r="AO15" s="11" t="n">
        <f aca="false">AO14-Reserves!AO14+Reserves!AO15</f>
        <v>48.3161481962432</v>
      </c>
      <c r="AP15" s="11" t="n">
        <f aca="false">AP14-Reserves!AP14+Reserves!AP15</f>
        <v>45.6266828870473</v>
      </c>
      <c r="AQ15" s="11" t="n">
        <f aca="false">AQ14-Reserves!AQ14+Reserves!AQ15</f>
        <v>39.9374806302393</v>
      </c>
      <c r="AR15" s="11" t="n">
        <f aca="false">AR14-Reserves!AR14+Reserves!AR15</f>
        <v>40.0323161622701</v>
      </c>
      <c r="AS15" s="11" t="n">
        <f aca="false">AS14-Reserves!AS14+Reserves!AS15</f>
        <v>39.7868901347922</v>
      </c>
      <c r="AT15" s="11" t="n">
        <f aca="false">AT14-Reserves!AT14+Reserves!AT15</f>
        <v>46.536292952713</v>
      </c>
      <c r="AU15" s="11" t="n">
        <f aca="false">AU14-Reserves!AU14+Reserves!AU15</f>
        <v>42.1173047132539</v>
      </c>
      <c r="AV15" s="11" t="n">
        <f aca="false">AV14-Reserves!AV14+Reserves!AV15</f>
        <v>42.1485898241531</v>
      </c>
      <c r="AW15" s="11" t="n">
        <f aca="false">AW14-Reserves!AW14+Reserves!AW15</f>
        <v>41.7103682329421</v>
      </c>
      <c r="AX15" s="11" t="n">
        <f aca="false">AX14-Reserves!AX14+Reserves!AX15</f>
        <v>42.3502920967725</v>
      </c>
      <c r="AY15" s="11" t="n">
        <f aca="false">AY14-Reserves!AY14+Reserves!AY15</f>
        <v>41.9077575050291</v>
      </c>
      <c r="AZ15" s="11" t="n">
        <f aca="false">AZ14-Reserves!AZ14+Reserves!AZ15</f>
        <v>42.4718098940091</v>
      </c>
      <c r="BA15" s="11" t="n">
        <f aca="false">BA14-Reserves!BA14+Reserves!BA15</f>
        <v>41.6936304206899</v>
      </c>
      <c r="BB15" s="11" t="n">
        <f aca="false">BB14-Reserves!BB14+Reserves!BB15</f>
        <v>42.9320227109577</v>
      </c>
      <c r="BC15" s="11" t="n">
        <f aca="false">BC14-Reserves!BC14+Reserves!BC15</f>
        <v>39.5318568520177</v>
      </c>
      <c r="BD15" s="11" t="n">
        <f aca="false">BD14-Reserves!BD14+Reserves!BD15</f>
        <v>33.336685793338</v>
      </c>
      <c r="BE15" s="11" t="n">
        <f aca="false">BE14-Reserves!BE14+Reserves!BE15</f>
        <v>32.88382275379</v>
      </c>
      <c r="BF15" s="11" t="n">
        <f aca="false">BF14-Reserves!BF14+Reserves!BF15</f>
        <v>33.5336644762113</v>
      </c>
      <c r="BG15" s="11" t="n">
        <f aca="false">BG14-Reserves!BG14+Reserves!BG15</f>
        <v>33.0643490454363</v>
      </c>
      <c r="BH15" s="11" t="n">
        <f aca="false">BH14-Reserves!BH14+Reserves!BH15</f>
        <v>33.6303837044535</v>
      </c>
      <c r="BI15" s="11" t="n">
        <f aca="false">BI14-Reserves!BI14+Reserves!BI15</f>
        <v>33.3747544530605</v>
      </c>
      <c r="BJ15" s="11" t="n">
        <f aca="false">BJ14-Reserves!BJ14+Reserves!BJ15</f>
        <v>41.399528054765</v>
      </c>
      <c r="BK15" s="11" t="n">
        <f aca="false">BK14-Reserves!BK14+Reserves!BK15</f>
        <v>36.152950215655</v>
      </c>
      <c r="BL15" s="11" t="n">
        <f aca="false">BL14-Reserves!BL14+Reserves!BL15</f>
        <v>36.7768178351909</v>
      </c>
      <c r="BM15" s="11" t="n">
        <f aca="false">BM14-Reserves!BM14+Reserves!BM15</f>
        <v>52.536540578553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1.29789142097923</v>
      </c>
      <c r="Q17" s="6" t="n">
        <f aca="false">IF(Debt!Q121&gt;0.000000001,Q7/Debt!Q121,0)</f>
        <v>1.29779782375387</v>
      </c>
      <c r="R17" s="6" t="n">
        <f aca="false">IF(Debt!R121&gt;0.000000001,R7/Debt!R121,0)</f>
        <v>1.29771619056624</v>
      </c>
      <c r="S17" s="6" t="n">
        <f aca="false">IF(Debt!S121&gt;0.000000001,S7/Debt!S121,0)</f>
        <v>1.29740388859166</v>
      </c>
      <c r="T17" s="6" t="n">
        <f aca="false">IF(Debt!T121&gt;0.000000001,T7/Debt!T121,0)</f>
        <v>1.29667416698415</v>
      </c>
      <c r="U17" s="6" t="n">
        <f aca="false">IF(Debt!U121&gt;0.000000001,U7/Debt!U121,0)</f>
        <v>1.29674547150843</v>
      </c>
      <c r="V17" s="6" t="n">
        <f aca="false">IF(Debt!V121&gt;0.000000001,V7/Debt!V121,0)</f>
        <v>1.2979248424714</v>
      </c>
      <c r="W17" s="6" t="n">
        <f aca="false">IF(Debt!W121&gt;0.000000001,W7/Debt!W121,0)</f>
        <v>1.29753997226263</v>
      </c>
      <c r="X17" s="6" t="n">
        <f aca="false">IF(Debt!X121&gt;0.000000001,X7/Debt!X121,0)</f>
        <v>1.29383389191634</v>
      </c>
      <c r="Y17" s="6" t="n">
        <f aca="false">IF(Debt!Y121&gt;0.000000001,Y7/Debt!Y121,0)</f>
        <v>1.29325321694046</v>
      </c>
      <c r="Z17" s="6" t="n">
        <f aca="false">IF(Debt!Z121&gt;0.000000001,Z7/Debt!Z121,0)</f>
        <v>1.29317643496414</v>
      </c>
      <c r="AA17" s="6" t="n">
        <f aca="false">IF(Debt!AA121&gt;0.000000001,AA7/Debt!AA121,0)</f>
        <v>1.29282774957182</v>
      </c>
      <c r="AB17" s="6" t="n">
        <f aca="false">IF(Debt!AB121&gt;0.000000001,AB7/Debt!AB121,0)</f>
        <v>1.31110168335969</v>
      </c>
      <c r="AC17" s="6" t="n">
        <f aca="false">IF(Debt!AC121&gt;0.000000001,AC7/Debt!AC121,0)</f>
        <v>1.33547259651159</v>
      </c>
      <c r="AD17" s="6" t="n">
        <f aca="false">IF(Debt!AD121&gt;0.000000001,AD7/Debt!AD121,0)</f>
        <v>1.36285677844205</v>
      </c>
      <c r="AE17" s="6" t="n">
        <f aca="false">IF(Debt!AE121&gt;0.000000001,AE7/Debt!AE121,0)</f>
        <v>1.39575214517899</v>
      </c>
      <c r="AF17" s="6" t="n">
        <f aca="false">IF(Debt!AF121&gt;0.000000001,AF7/Debt!AF121,0)</f>
        <v>1.43339265302665</v>
      </c>
      <c r="AG17" s="6" t="n">
        <f aca="false">IF(Debt!AG121&gt;0.000000001,AG7/Debt!AG121,0)</f>
        <v>1.48554228879906</v>
      </c>
      <c r="AH17" s="6" t="n">
        <f aca="false">IF(Debt!AH121&gt;0.000000001,AH7/Debt!AH121,0)</f>
        <v>1.54877973315507</v>
      </c>
      <c r="AI17" s="6" t="n">
        <f aca="false">IF(Debt!AI121&gt;0.000000001,AI7/Debt!AI121,0)</f>
        <v>1.63621863150565</v>
      </c>
      <c r="AJ17" s="6" t="n">
        <f aca="false">IF(Debt!AJ121&gt;0.000000001,AJ7/Debt!AJ121,0)</f>
        <v>1.75850085158171</v>
      </c>
      <c r="AK17" s="6" t="n">
        <f aca="false">IF(Debt!AK121&gt;0.000000001,AK7/Debt!AK121,0)</f>
        <v>1.95854647509264</v>
      </c>
      <c r="AL17" s="6" t="n">
        <f aca="false">IF(Debt!AL121&gt;0.000000001,AL7/Debt!AL121,0)</f>
        <v>2.15055463166262</v>
      </c>
      <c r="AM17" s="6" t="n">
        <f aca="false">IF(Debt!AM121&gt;0.000000001,AM7/Debt!AM121,0)</f>
        <v>2.14779652228182</v>
      </c>
      <c r="AN17" s="6" t="n">
        <f aca="false">IF(Debt!AN121&gt;0.000000001,AN7/Debt!AN121,0)</f>
        <v>2.54521151653356</v>
      </c>
      <c r="AO17" s="6" t="n">
        <f aca="false">IF(Debt!AO121&gt;0.000000001,AO7/Debt!AO121,0)</f>
        <v>2.5556111264933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1.29789142097923</v>
      </c>
      <c r="Q18" s="6" t="n">
        <f aca="false">IF(Debt!Q121&gt;0.000000001,IF(Debt!P121&gt;0.000000001,(Q7+P7)/(Debt!Q121+Debt!P121),Q17),0)</f>
        <v>1.29784467827045</v>
      </c>
      <c r="R18" s="6" t="n">
        <f aca="false">IF(Debt!R121&gt;0.000000001,IF(Debt!Q121&gt;0.000000001,(R7+Q7)/(Debt!R121+Debt!Q121),R17),0)</f>
        <v>1.29775675184764</v>
      </c>
      <c r="S18" s="6" t="n">
        <f aca="false">IF(Debt!S121&gt;0.000000001,IF(Debt!R121&gt;0.000000001,(S7+R7)/(Debt!S121+Debt!R121),S17),0)</f>
        <v>1.29756064676796</v>
      </c>
      <c r="T18" s="6" t="n">
        <f aca="false">IF(Debt!T121&gt;0.000000001,IF(Debt!S121&gt;0.000000001,(T7+S7)/(Debt!T121+Debt!S121),T17),0)</f>
        <v>1.29703699704656</v>
      </c>
      <c r="U18" s="6" t="n">
        <f aca="false">IF(Debt!U121&gt;0.000000001,IF(Debt!T121&gt;0.000000001,(U7+T7)/(Debt!U121+Debt!T121),U17),0)</f>
        <v>1.29670973379804</v>
      </c>
      <c r="V18" s="6" t="n">
        <f aca="false">IF(Debt!V121&gt;0.000000001,IF(Debt!U121&gt;0.000000001,(V7+U7)/(Debt!V121+Debt!U121),V17),0)</f>
        <v>1.29734073234406</v>
      </c>
      <c r="W18" s="6" t="n">
        <f aca="false">IF(Debt!W121&gt;0.000000001,IF(Debt!V121&gt;0.000000001,(W7+V7)/(Debt!W121+Debt!V121),W17),0)</f>
        <v>1.29773307484732</v>
      </c>
      <c r="X18" s="6" t="n">
        <f aca="false">IF(Debt!X121&gt;0.000000001,IF(Debt!W121&gt;0.000000001,(X7+W7)/(Debt!X121+Debt!W121),X17),0)</f>
        <v>1.29571403992916</v>
      </c>
      <c r="Y18" s="6" t="n">
        <f aca="false">IF(Debt!Y121&gt;0.000000001,IF(Debt!X121&gt;0.000000001,(Y7+X7)/(Debt!Y121+Debt!X121),Y17),0)</f>
        <v>1.2935449623348</v>
      </c>
      <c r="Z18" s="6" t="n">
        <f aca="false">IF(Debt!Z121&gt;0.000000001,IF(Debt!Y121&gt;0.000000001,(Z7+Y7)/(Debt!Z121+Debt!Y121),Z17),0)</f>
        <v>1.2932146686225</v>
      </c>
      <c r="AA18" s="6" t="n">
        <f aca="false">IF(Debt!AA121&gt;0.000000001,IF(Debt!Z121&gt;0.000000001,(AA7+Z7)/(Debt!AA121+Debt!Z121),AA17),0)</f>
        <v>1.29300279745594</v>
      </c>
      <c r="AB18" s="6" t="n">
        <f aca="false">IF(Debt!AB121&gt;0.000000001,IF(Debt!AA121&gt;0.000000001,(AB7+AA7)/(Debt!AB121+Debt!AA121),AB17),0)</f>
        <v>1.30195133921955</v>
      </c>
      <c r="AC18" s="6" t="n">
        <f aca="false">IF(Debt!AC121&gt;0.000000001,IF(Debt!AB121&gt;0.000000001,(AC7+AB7)/(Debt!AC121+Debt!AB121),AC17),0)</f>
        <v>1.32315173228957</v>
      </c>
      <c r="AD18" s="6" t="n">
        <f aca="false">IF(Debt!AD121&gt;0.000000001,IF(Debt!AC121&gt;0.000000001,(AD7+AC7)/(Debt!AD121+Debt!AC121),AD17),0)</f>
        <v>1.34929948033284</v>
      </c>
      <c r="AE18" s="6" t="n">
        <f aca="false">IF(Debt!AE121&gt;0.000000001,IF(Debt!AD121&gt;0.000000001,(AE7+AD7)/(Debt!AE121+Debt!AD121),AE17),0)</f>
        <v>1.37912190908741</v>
      </c>
      <c r="AF18" s="6" t="n">
        <f aca="false">IF(Debt!AF121&gt;0.000000001,IF(Debt!AE121&gt;0.000000001,(AF7+AE7)/(Debt!AF121+Debt!AE121),AF17),0)</f>
        <v>1.41433177136742</v>
      </c>
      <c r="AG18" s="6" t="n">
        <f aca="false">IF(Debt!AG121&gt;0.000000001,IF(Debt!AF121&gt;0.000000001,(AG7+AF7)/(Debt!AG121+Debt!AF121),AG17),0)</f>
        <v>1.45890077793021</v>
      </c>
      <c r="AH18" s="6" t="n">
        <f aca="false">IF(Debt!AH121&gt;0.000000001,IF(Debt!AG121&gt;0.000000001,(AH7+AG7)/(Debt!AH121+Debt!AG121),AH17),0)</f>
        <v>1.51670507209925</v>
      </c>
      <c r="AI18" s="6" t="n">
        <f aca="false">IF(Debt!AI121&gt;0.000000001,IF(Debt!AH121&gt;0.000000001,(AI7+AH7)/(Debt!AI121+Debt!AH121),AI17),0)</f>
        <v>1.59112206437525</v>
      </c>
      <c r="AJ18" s="6" t="n">
        <f aca="false">IF(Debt!AJ121&gt;0.000000001,IF(Debt!AI121&gt;0.000000001,(AJ7+AI7)/(Debt!AJ121+Debt!AI121),AJ17),0)</f>
        <v>1.69549099300903</v>
      </c>
      <c r="AK18" s="6" t="n">
        <f aca="false">IF(Debt!AK121&gt;0.000000001,IF(Debt!AJ121&gt;0.000000001,(AK7+AJ7)/(Debt!AK121+Debt!AJ121),AK17),0)</f>
        <v>1.85291746253111</v>
      </c>
      <c r="AL18" s="6" t="n">
        <f aca="false">IF(Debt!AL121&gt;0.000000001,IF(Debt!AK121&gt;0.000000001,(AL7+AK7)/(Debt!AL121+Debt!AK121),AL17),0)</f>
        <v>2.05112731288035</v>
      </c>
      <c r="AM18" s="6" t="n">
        <f aca="false">IF(Debt!AM121&gt;0.000000001,IF(Debt!AL121&gt;0.000000001,(AM7+AL7)/(Debt!AM121+Debt!AL121),AM17),0)</f>
        <v>2.14917979865831</v>
      </c>
      <c r="AN18" s="6" t="n">
        <f aca="false">IF(Debt!AN121&gt;0.000000001,IF(Debt!AM121&gt;0.000000001,(AN7+AM7)/(Debt!AN121+Debt!AM121),AN17),0)</f>
        <v>2.32585547846301</v>
      </c>
      <c r="AO18" s="6" t="n">
        <f aca="false">IF(Debt!AO121&gt;0.000000001,IF(Debt!AN121&gt;0.000000001,(AO7+AN7)/(Debt!AO121+Debt!AN121),AO17),0)</f>
        <v>2.55038041222115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87.2202199089163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5.13975249059677</v>
      </c>
      <c r="AB29" s="11" t="n">
        <f aca="false">IF(AND(AB24=1,Time!AB21&gt;=2027,Inputs!$F$51=1),MIN(Inputs!$F$109*AB15,Debt!AB81),0)</f>
        <v>6.01357001312977</v>
      </c>
      <c r="AC29" s="11" t="n">
        <f aca="false">IF(AND(AC24=1,Time!AC21&gt;=2027,Inputs!$F$51=1),MIN(Inputs!$F$109*AC15,Debt!AC81),0)</f>
        <v>5.62011250522599</v>
      </c>
      <c r="AD29" s="11" t="n">
        <f aca="false">IF(AND(AD24=1,Time!AD21&gt;=2027,Inputs!$F$51=1),MIN(Inputs!$F$109*AD15,Debt!AD81),0)</f>
        <v>6.89549697112476</v>
      </c>
      <c r="AE29" s="11" t="n">
        <f aca="false">IF(AND(AE24=1,Time!AE21&gt;=2027,Inputs!$F$51=1),MIN(Inputs!$F$109*AE15,Debt!AE81),0)</f>
        <v>7.4162488318261</v>
      </c>
      <c r="AF29" s="11" t="n">
        <f aca="false">IF(AND(AF24=1,Time!AF21&gt;=2027,Inputs!$F$51=1),MIN(Inputs!$F$109*AF15,Debt!AF81),0)</f>
        <v>8.15056903766555</v>
      </c>
      <c r="AG29" s="11" t="n">
        <f aca="false">IF(AND(AG24=1,Time!AG21&gt;=2027,Inputs!$F$51=1),MIN(Inputs!$F$109*AG15,Debt!AG81),0)</f>
        <v>8.43765484420795</v>
      </c>
      <c r="AH29" s="11" t="n">
        <f aca="false">IF(AND(AH24=1,Time!AH21&gt;=2027,Inputs!$F$51=1),MIN(Inputs!$F$109*AH15,Debt!AH81),0)</f>
        <v>9.64696642187046</v>
      </c>
      <c r="AI29" s="11" t="n">
        <f aca="false">IF(AND(AI24=1,Time!AI21&gt;=2027,Inputs!$F$51=1),MIN(Inputs!$F$109*AI15,Debt!AI81),0)</f>
        <v>10.3185364314762</v>
      </c>
      <c r="AJ29" s="11" t="n">
        <f aca="false">IF(AND(AJ24=1,Time!AJ21&gt;=2027,Inputs!$F$51=1),MIN(Inputs!$F$109*AJ15,Debt!AJ81),0)</f>
        <v>11.9192609048031</v>
      </c>
      <c r="AK29" s="11" t="n">
        <f aca="false">IF(AND(AK24=1,Time!AK21&gt;=2027,Inputs!$F$51=1),MIN(Inputs!$F$109*AK15,Debt!AK81),0)</f>
        <v>7.6620514569896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1.8346761584355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1318.00773330123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13.0187878577865</v>
      </c>
      <c r="Q31" s="11" t="n">
        <f aca="false">IF(Q24=1,Q15-Q29,0)</f>
        <v>10.5975100049967</v>
      </c>
      <c r="R31" s="11" t="n">
        <f aca="false">IF(R24=1,R15-R29,0)</f>
        <v>11.4929802822981</v>
      </c>
      <c r="S31" s="11" t="n">
        <f aca="false">IF(S24=1,S15-S29,0)</f>
        <v>10.685167020103</v>
      </c>
      <c r="T31" s="11" t="n">
        <f aca="false">IF(T24=1,T15-T29,0)</f>
        <v>11.3803361149323</v>
      </c>
      <c r="U31" s="11" t="n">
        <f aca="false">IF(U24=1,U15-U29,0)</f>
        <v>10.4317054561315</v>
      </c>
      <c r="V31" s="11" t="n">
        <f aca="false">IF(V24=1,V15-V29,0)</f>
        <v>11.6716154139057</v>
      </c>
      <c r="W31" s="11" t="n">
        <f aca="false">IF(W24=1,W15-W29,0)</f>
        <v>12.4098623849094</v>
      </c>
      <c r="X31" s="11" t="n">
        <f aca="false">IF(X24=1,X15-X29,0)</f>
        <v>11.2067469428078</v>
      </c>
      <c r="Y31" s="11" t="n">
        <f aca="false">IF(Y24=1,Y15-Y29,0)</f>
        <v>10.4234140478678</v>
      </c>
      <c r="Z31" s="11" t="n">
        <f aca="false">IF(Z24=1,Z15-Z29,0)</f>
        <v>11.1068905420823</v>
      </c>
      <c r="AA31" s="11" t="n">
        <f aca="false">IF(AA24=1,AA15-AA29,0)</f>
        <v>5.13975249059677</v>
      </c>
      <c r="AB31" s="11" t="n">
        <f aca="false">IF(AB24=1,AB15-AB29,0)</f>
        <v>6.01357001312977</v>
      </c>
      <c r="AC31" s="11" t="n">
        <f aca="false">IF(AC24=1,AC15-AC29,0)</f>
        <v>5.62011250522599</v>
      </c>
      <c r="AD31" s="11" t="n">
        <f aca="false">IF(AD24=1,AD15-AD29,0)</f>
        <v>6.89549697112476</v>
      </c>
      <c r="AE31" s="11" t="n">
        <f aca="false">IF(AE24=1,AE15-AE29,0)</f>
        <v>7.4162488318261</v>
      </c>
      <c r="AF31" s="11" t="n">
        <f aca="false">IF(AF24=1,AF15-AF29,0)</f>
        <v>8.15056903766555</v>
      </c>
      <c r="AG31" s="11" t="n">
        <f aca="false">IF(AG24=1,AG15-AG29,0)</f>
        <v>8.43765484420795</v>
      </c>
      <c r="AH31" s="11" t="n">
        <f aca="false">IF(AH24=1,AH15-AH29,0)</f>
        <v>9.64696642187046</v>
      </c>
      <c r="AI31" s="11" t="n">
        <f aca="false">IF(AI24=1,AI15-AI29,0)</f>
        <v>10.3185364314762</v>
      </c>
      <c r="AJ31" s="11" t="n">
        <f aca="false">IF(AJ24=1,AJ15-AJ29,0)</f>
        <v>11.9192609048031</v>
      </c>
      <c r="AK31" s="11" t="n">
        <f aca="false">IF(AK24=1,AK15-AK29,0)</f>
        <v>19.068701783427</v>
      </c>
      <c r="AL31" s="11" t="n">
        <f aca="false">IF(AL24=1,AL15-AL29,0)</f>
        <v>29.8877581502246</v>
      </c>
      <c r="AM31" s="11" t="n">
        <f aca="false">IF(AM24=1,AM15-AM29,0)</f>
        <v>31.4900258202517</v>
      </c>
      <c r="AN31" s="11" t="n">
        <f aca="false">IF(AN24=1,AN15-AN29,0)</f>
        <v>29.7891229039911</v>
      </c>
      <c r="AO31" s="11" t="n">
        <f aca="false">IF(AO24=1,AO15-AO29,0)</f>
        <v>48.3161481962432</v>
      </c>
      <c r="AP31" s="11" t="n">
        <f aca="false">IF(AP24=1,AP15-AP29,0)</f>
        <v>45.6266828870473</v>
      </c>
      <c r="AQ31" s="11" t="n">
        <f aca="false">IF(AQ24=1,AQ15-AQ29,0)</f>
        <v>39.9374806302393</v>
      </c>
      <c r="AR31" s="11" t="n">
        <f aca="false">IF(AR24=1,AR15-AR29,0)</f>
        <v>40.0323161622701</v>
      </c>
      <c r="AS31" s="11" t="n">
        <f aca="false">IF(AS24=1,AS15-AS29,0)</f>
        <v>39.7868901347922</v>
      </c>
      <c r="AT31" s="11" t="n">
        <f aca="false">IF(AT24=1,AT15-AT29,0)</f>
        <v>46.536292952713</v>
      </c>
      <c r="AU31" s="11" t="n">
        <f aca="false">IF(AU24=1,AU15-AU29,0)</f>
        <v>42.1173047132539</v>
      </c>
      <c r="AV31" s="11" t="n">
        <f aca="false">IF(AV24=1,AV15-AV29,0)</f>
        <v>42.1485898241531</v>
      </c>
      <c r="AW31" s="11" t="n">
        <f aca="false">IF(AW24=1,AW15-AW29,0)</f>
        <v>41.7103682329421</v>
      </c>
      <c r="AX31" s="11" t="n">
        <f aca="false">IF(AX24=1,AX15-AX29,0)</f>
        <v>42.3502920967725</v>
      </c>
      <c r="AY31" s="11" t="n">
        <f aca="false">IF(AY24=1,AY15-AY29,0)</f>
        <v>41.9077575050291</v>
      </c>
      <c r="AZ31" s="11" t="n">
        <f aca="false">IF(AZ24=1,AZ15-AZ29,0)</f>
        <v>42.4718098940091</v>
      </c>
      <c r="BA31" s="11" t="n">
        <f aca="false">IF(BA24=1,BA15-BA29,0)</f>
        <v>41.6936304206899</v>
      </c>
      <c r="BB31" s="11" t="n">
        <f aca="false">IF(BB24=1,BB15-BB29,0)</f>
        <v>42.9320227109577</v>
      </c>
      <c r="BC31" s="11" t="n">
        <f aca="false">IF(BC24=1,BC15-BC29,0)</f>
        <v>39.5318568520177</v>
      </c>
      <c r="BD31" s="11" t="n">
        <f aca="false">IF(BD24=1,BD15-BD29,0)</f>
        <v>33.336685793338</v>
      </c>
      <c r="BE31" s="11" t="n">
        <f aca="false">IF(BE24=1,BE15-BE29,0)</f>
        <v>32.88382275379</v>
      </c>
      <c r="BF31" s="11" t="n">
        <f aca="false">IF(BF24=1,BF15-BF29,0)</f>
        <v>33.5336644762113</v>
      </c>
      <c r="BG31" s="11" t="n">
        <f aca="false">IF(BG24=1,BG15-BG29,0)</f>
        <v>33.0643490454363</v>
      </c>
      <c r="BH31" s="11" t="n">
        <f aca="false">IF(BH24=1,BH15-BH29,0)</f>
        <v>33.6303837044535</v>
      </c>
      <c r="BI31" s="11" t="n">
        <f aca="false">IF(BI24=1,BI15-BI29,0)</f>
        <v>33.3747544530605</v>
      </c>
      <c r="BJ31" s="11" t="n">
        <f aca="false">IF(BJ24=1,BJ15-BJ29,0)</f>
        <v>41.399528054765</v>
      </c>
      <c r="BK31" s="11" t="n">
        <f aca="false">IF(BK24=1,BK15-BK29,0)</f>
        <v>36.152950215655</v>
      </c>
      <c r="BL31" s="11" t="n">
        <f aca="false">IF(BL24=1,BL15-BL29,0)</f>
        <v>36.7768178351909</v>
      </c>
      <c r="BM31" s="11" t="n">
        <f aca="false">IF(BM24=1,BM15-BM29,0)</f>
        <v>52.536540578553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201.653521423002</v>
      </c>
      <c r="R33" s="11" t="n">
        <f aca="false">IF(Time!R17&lt;Time!$F$11,0,IF(Time!R29=1,INDEX(Funding!$J$72:$BJ$72,1,Time!$F$13),Q36))</f>
        <v>200.555825940933</v>
      </c>
      <c r="S33" s="11" t="n">
        <f aca="false">IF(Time!S17&lt;Time!$F$11,0,IF(Time!S29=1,INDEX(Funding!$J$72:$BJ$72,1,Time!$F$13),R36))</f>
        <v>198.667546583149</v>
      </c>
      <c r="T33" s="11" t="n">
        <f aca="false">IF(Time!T17&lt;Time!$F$11,0,IF(Time!T29=1,INDEX(Funding!$J$72:$BJ$72,1,Time!$F$13),S36))</f>
        <v>197.341526038381</v>
      </c>
      <c r="U33" s="11" t="n">
        <f aca="false">IF(Time!U17&lt;Time!$F$11,0,IF(Time!U29=1,INDEX(Funding!$J$72:$BJ$72,1,Time!$F$13),T36))</f>
        <v>195.411956704684</v>
      </c>
      <c r="V33" s="11" t="n">
        <f aca="false">IF(Time!V17&lt;Time!$F$11,0,IF(Time!V29=1,INDEX(Funding!$J$72:$BJ$72,1,Time!$F$13),U36))</f>
        <v>194.236888868892</v>
      </c>
      <c r="W33" s="11" t="n">
        <f aca="false">IF(Time!W17&lt;Time!$F$11,0,IF(Time!W29=1,INDEX(Funding!$J$72:$BJ$72,1,Time!$F$13),V36))</f>
        <v>191.867357886296</v>
      </c>
      <c r="X33" s="11" t="n">
        <f aca="false">IF(Time!X17&lt;Time!$F$11,0,IF(Time!X29=1,INDEX(Funding!$J$72:$BJ$72,1,Time!$F$13),W36))</f>
        <v>188.496287881811</v>
      </c>
      <c r="Y33" s="11" t="n">
        <f aca="false">IF(Time!Y17&lt;Time!$F$11,0,IF(Time!Y29=1,INDEX(Funding!$J$72:$BJ$72,1,Time!$F$13),X36))</f>
        <v>186.316705629891</v>
      </c>
      <c r="Z33" s="11" t="n">
        <f aca="false">IF(Time!Z17&lt;Time!$F$11,0,IF(Time!Z29=1,INDEX(Funding!$J$72:$BJ$72,1,Time!$F$13),Y36))</f>
        <v>184.670595015739</v>
      </c>
      <c r="AA33" s="11" t="n">
        <f aca="false">IF(Time!AA17&lt;Time!$F$11,0,IF(Time!AA29=1,INDEX(Funding!$J$72:$BJ$72,1,Time!$F$13),Z36))</f>
        <v>182.407655160985</v>
      </c>
      <c r="AB33" s="11" t="n">
        <f aca="false">IF(Time!AB17&lt;Time!$F$11,0,IF(Time!AB29=1,INDEX(Funding!$J$72:$BJ$72,1,Time!$F$13),AA36))</f>
        <v>185.861052342973</v>
      </c>
      <c r="AC33" s="11" t="n">
        <f aca="false">IF(Time!AC17&lt;Time!$F$11,0,IF(Time!AC29=1,INDEX(Funding!$J$72:$BJ$72,1,Time!$F$13),AB36))</f>
        <v>188.748444507802</v>
      </c>
      <c r="AD33" s="11" t="n">
        <f aca="false">IF(Time!AD17&lt;Time!$F$11,0,IF(Time!AD29=1,INDEX(Funding!$J$72:$BJ$72,1,Time!$F$13),AC36))</f>
        <v>192.069319962959</v>
      </c>
      <c r="AE33" s="11" t="n">
        <f aca="false">IF(Time!AE17&lt;Time!$F$11,0,IF(Time!AE29=1,INDEX(Funding!$J$72:$BJ$72,1,Time!$F$13),AD36))</f>
        <v>194.372101657458</v>
      </c>
      <c r="AF33" s="11" t="n">
        <f aca="false">IF(Time!AF17&lt;Time!$F$11,0,IF(Time!AF29=1,INDEX(Funding!$J$72:$BJ$72,1,Time!$F$13),AE36))</f>
        <v>196.112642655769</v>
      </c>
      <c r="AG33" s="11" t="n">
        <f aca="false">IF(Time!AG17&lt;Time!$F$11,0,IF(Time!AG29=1,INDEX(Funding!$J$72:$BJ$72,1,Time!$F$13),AF36))</f>
        <v>197.353988669125</v>
      </c>
      <c r="AH33" s="11" t="n">
        <f aca="false">IF(Time!AH17&lt;Time!$F$11,0,IF(Time!AH29=1,INDEX(Funding!$J$72:$BJ$72,1,Time!$F$13),AG36))</f>
        <v>198.21359912674</v>
      </c>
      <c r="AI33" s="11" t="n">
        <f aca="false">IF(Time!AI17&lt;Time!$F$11,0,IF(Time!AI29=1,INDEX(Funding!$J$72:$BJ$72,1,Time!$F$13),AH36))</f>
        <v>198.059163424693</v>
      </c>
      <c r="AJ33" s="11" t="n">
        <f aca="false">IF(Time!AJ17&lt;Time!$F$11,0,IF(Time!AJ29=1,INDEX(Funding!$J$72:$BJ$72,1,Time!$F$13),AI36))</f>
        <v>197.071112787977</v>
      </c>
      <c r="AK33" s="11" t="n">
        <f aca="false">IF(Time!AK17&lt;Time!$F$11,0,IF(Time!AK29=1,INDEX(Funding!$J$72:$BJ$72,1,Time!$F$13),AJ36))</f>
        <v>194.589668462719</v>
      </c>
      <c r="AL33" s="11" t="n">
        <f aca="false">IF(Time!AL17&lt;Time!$F$11,0,IF(Time!AL29=1,INDEX(Funding!$J$72:$BJ$72,1,Time!$F$13),AK36))</f>
        <v>184.738652618252</v>
      </c>
      <c r="AM33" s="11" t="n">
        <f aca="false">IF(Time!AM17&lt;Time!$F$11,0,IF(Time!AM29=1,INDEX(Funding!$J$72:$BJ$72,1,Time!$F$13),AL36))</f>
        <v>163.69810446191</v>
      </c>
      <c r="AN33" s="11" t="n">
        <f aca="false">IF(Time!AN17&lt;Time!$F$11,0,IF(Time!AN29=1,INDEX(Funding!$J$72:$BJ$72,1,Time!$F$13),AM36))</f>
        <v>139.919829069665</v>
      </c>
      <c r="AO33" s="11" t="n">
        <f aca="false">IF(Time!AO17&lt;Time!$F$11,0,IF(Time!AO29=1,INDEX(Funding!$J$72:$BJ$72,1,Time!$F$13),AN36))</f>
        <v>116.83152428112</v>
      </c>
      <c r="AP33" s="11" t="n">
        <f aca="false">IF(Time!AP17&lt;Time!$F$11,0,IF(Time!AP29=1,INDEX(Funding!$J$72:$BJ$72,1,Time!$F$13),AO36))</f>
        <v>74.0192611808051</v>
      </c>
      <c r="AQ33" s="11" t="n">
        <f aca="false">IF(Time!AQ17&lt;Time!$F$11,0,IF(Time!AQ29=1,INDEX(Funding!$J$72:$BJ$72,1,Time!$F$13),AP36))</f>
        <v>31.937391130581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220.936216729699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9.49981452292747</v>
      </c>
      <c r="R34" s="11" t="n">
        <f aca="false">R24*MIN(R31,Tax!R13)</f>
        <v>9.60470092451373</v>
      </c>
      <c r="S34" s="11" t="n">
        <f aca="false">S24*MIN(S31,Tax!S13)</f>
        <v>9.35914647533491</v>
      </c>
      <c r="T34" s="11" t="n">
        <f aca="false">T24*MIN(T31,Tax!T13)</f>
        <v>9.45076678123533</v>
      </c>
      <c r="U34" s="11" t="n">
        <f aca="false">U24*MIN(U31,Tax!U13)</f>
        <v>9.25663762033967</v>
      </c>
      <c r="V34" s="11" t="n">
        <f aca="false">V24*MIN(V31,Tax!V13)</f>
        <v>9.30208443131022</v>
      </c>
      <c r="W34" s="11" t="n">
        <f aca="false">W24*MIN(W31,Tax!W13)</f>
        <v>9.03879238042429</v>
      </c>
      <c r="X34" s="11" t="n">
        <f aca="false">X24*MIN(X31,Tax!X13)</f>
        <v>9.02716469088784</v>
      </c>
      <c r="Y34" s="11" t="n">
        <f aca="false">Y24*MIN(Y31,Tax!Y13)</f>
        <v>8.77730343371502</v>
      </c>
      <c r="Z34" s="11" t="n">
        <f aca="false">Z24*MIN(Z31,Tax!Z13)</f>
        <v>8.84395068732907</v>
      </c>
      <c r="AA34" s="11" t="n">
        <f aca="false">AA24*MIN(AA31,Tax!AA13)</f>
        <v>5.13975249059677</v>
      </c>
      <c r="AB34" s="11" t="n">
        <f aca="false">AB24*MIN(AB31,Tax!AB13)</f>
        <v>6.01357001312977</v>
      </c>
      <c r="AC34" s="11" t="n">
        <f aca="false">AC24*MIN(AC31,Tax!AC13)</f>
        <v>5.62011250522599</v>
      </c>
      <c r="AD34" s="11" t="n">
        <f aca="false">AD24*MIN(AD31,Tax!AD13)</f>
        <v>6.89549697112476</v>
      </c>
      <c r="AE34" s="11" t="n">
        <f aca="false">AE24*MIN(AE31,Tax!AE13)</f>
        <v>7.4162488318261</v>
      </c>
      <c r="AF34" s="11" t="n">
        <f aca="false">AF24*MIN(AF31,Tax!AF13)</f>
        <v>8.15056903766555</v>
      </c>
      <c r="AG34" s="11" t="n">
        <f aca="false">AG24*MIN(AG31,Tax!AG13)</f>
        <v>8.43765484420795</v>
      </c>
      <c r="AH34" s="11" t="n">
        <f aca="false">AH24*MIN(AH31,Tax!AH13)</f>
        <v>9.49253071982307</v>
      </c>
      <c r="AI34" s="11" t="n">
        <f aca="false">AI24*MIN(AI31,Tax!AI13)</f>
        <v>9.33048579476054</v>
      </c>
      <c r="AJ34" s="11" t="n">
        <f aca="false">AJ24*MIN(AJ31,Tax!AJ13)</f>
        <v>9.43781657954478</v>
      </c>
      <c r="AK34" s="11" t="n">
        <f aca="false">AK24*MIN(AK31,Tax!AK13)</f>
        <v>9.21768593896003</v>
      </c>
      <c r="AL34" s="11" t="n">
        <f aca="false">AL24*MIN(AL31,Tax!AL13)</f>
        <v>8.84720999388232</v>
      </c>
      <c r="AM34" s="11" t="n">
        <f aca="false">AM24*MIN(AM31,Tax!AM13)</f>
        <v>7.71175042800696</v>
      </c>
      <c r="AN34" s="11" t="n">
        <f aca="false">AN24*MIN(AN31,Tax!AN13)</f>
        <v>6.70081811544588</v>
      </c>
      <c r="AO34" s="11" t="n">
        <f aca="false">AO24*MIN(AO31,Tax!AO13)</f>
        <v>5.50388509592837</v>
      </c>
      <c r="AP34" s="11" t="n">
        <f aca="false">AP24*MIN(AP31,Tax!AP13)</f>
        <v>3.54481283682321</v>
      </c>
      <c r="AQ34" s="11" t="n">
        <f aca="false">AQ24*MIN(AQ31,Tax!AQ13)</f>
        <v>1.50455737120641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220.667356033021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3.20789064426378</v>
      </c>
      <c r="Q35" s="11" t="n">
        <f aca="false">Q24*MIN(Q31-Q34,Q33+Tax!Q13-Q34)</f>
        <v>1.09769548206927</v>
      </c>
      <c r="R35" s="11" t="n">
        <f aca="false">R24*MIN(R31-R34,R33+Tax!R13-R34)</f>
        <v>1.88827935778434</v>
      </c>
      <c r="S35" s="11" t="n">
        <f aca="false">S24*MIN(S31-S34,S33+Tax!S13-S34)</f>
        <v>1.32602054476813</v>
      </c>
      <c r="T35" s="11" t="n">
        <f aca="false">T24*MIN(T31-T34,T33+Tax!T13-T34)</f>
        <v>1.92956933369698</v>
      </c>
      <c r="U35" s="11" t="n">
        <f aca="false">U24*MIN(U31-U34,U33+Tax!U13-U34)</f>
        <v>1.17506783579183</v>
      </c>
      <c r="V35" s="11" t="n">
        <f aca="false">V24*MIN(V31-V34,V33+Tax!V13-V34)</f>
        <v>2.3695309825955</v>
      </c>
      <c r="W35" s="11" t="n">
        <f aca="false">W24*MIN(W31-W34,W33+Tax!W13-W34)</f>
        <v>3.37107000448508</v>
      </c>
      <c r="X35" s="11" t="n">
        <f aca="false">X24*MIN(X31-X34,X33+Tax!X13-X34)</f>
        <v>2.17958225191997</v>
      </c>
      <c r="Y35" s="11" t="n">
        <f aca="false">Y24*MIN(Y31-Y34,Y33+Tax!Y13-Y34)</f>
        <v>1.64611061415277</v>
      </c>
      <c r="Z35" s="11" t="n">
        <f aca="false">Z24*MIN(Z31-Z34,Z33+Tax!Z13-Z34)</f>
        <v>2.26293985475323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0.154435702047389</v>
      </c>
      <c r="AI35" s="11" t="n">
        <f aca="false">AI24*MIN(AI31-AI34,AI33+Tax!AI13-AI34)</f>
        <v>0.988050636715707</v>
      </c>
      <c r="AJ35" s="11" t="n">
        <f aca="false">AJ24*MIN(AJ31-AJ34,AJ33+Tax!AJ13-AJ34)</f>
        <v>2.48144432525831</v>
      </c>
      <c r="AK35" s="11" t="n">
        <f aca="false">AK24*MIN(AK31-AK34,AK33+Tax!AK13-AK34)</f>
        <v>9.85101584446695</v>
      </c>
      <c r="AL35" s="11" t="n">
        <f aca="false">AL24*MIN(AL31-AL34,AL33+Tax!AL13-AL34)</f>
        <v>21.0405481563423</v>
      </c>
      <c r="AM35" s="11" t="n">
        <f aca="false">AM24*MIN(AM31-AM34,AM33+Tax!AM13-AM34)</f>
        <v>23.7782753922447</v>
      </c>
      <c r="AN35" s="11" t="n">
        <f aca="false">AN24*MIN(AN31-AN34,AN33+Tax!AN13-AN34)</f>
        <v>23.0883047885452</v>
      </c>
      <c r="AO35" s="11" t="n">
        <f aca="false">AO24*MIN(AO31-AO34,AO33+Tax!AO13-AO34)</f>
        <v>42.8122631003148</v>
      </c>
      <c r="AP35" s="11" t="n">
        <f aca="false">AP24*MIN(AP31-AP34,AP33+Tax!AP13-AP34)</f>
        <v>42.0818700502241</v>
      </c>
      <c r="AQ35" s="11" t="n">
        <f aca="false">AQ24*MIN(AQ31-AQ34,AQ33+Tax!AQ13-AQ34)</f>
        <v>31.937391130581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201.653521423002</v>
      </c>
      <c r="Q36" s="11" t="n">
        <f aca="false">Q33+Tax!Q13-Q34-Q35</f>
        <v>200.555825940933</v>
      </c>
      <c r="R36" s="11" t="n">
        <f aca="false">R33+Tax!R13-R34-R35</f>
        <v>198.667546583149</v>
      </c>
      <c r="S36" s="11" t="n">
        <f aca="false">S33+Tax!S13-S34-S35</f>
        <v>197.341526038381</v>
      </c>
      <c r="T36" s="11" t="n">
        <f aca="false">T33+Tax!T13-T34-T35</f>
        <v>195.411956704684</v>
      </c>
      <c r="U36" s="11" t="n">
        <f aca="false">U33+Tax!U13-U34-U35</f>
        <v>194.236888868892</v>
      </c>
      <c r="V36" s="11" t="n">
        <f aca="false">V33+Tax!V13-V34-V35</f>
        <v>191.867357886296</v>
      </c>
      <c r="W36" s="11" t="n">
        <f aca="false">W33+Tax!W13-W34-W35</f>
        <v>188.496287881811</v>
      </c>
      <c r="X36" s="11" t="n">
        <f aca="false">X33+Tax!X13-X34-X35</f>
        <v>186.316705629891</v>
      </c>
      <c r="Y36" s="11" t="n">
        <f aca="false">Y33+Tax!Y13-Y34-Y35</f>
        <v>184.670595015739</v>
      </c>
      <c r="Z36" s="11" t="n">
        <f aca="false">Z33+Tax!Z13-Z34-Z35</f>
        <v>182.407655160985</v>
      </c>
      <c r="AA36" s="11" t="n">
        <f aca="false">AA33+Tax!AA13-AA34-AA35</f>
        <v>185.861052342973</v>
      </c>
      <c r="AB36" s="11" t="n">
        <f aca="false">AB33+Tax!AB13-AB34-AB35</f>
        <v>188.748444507802</v>
      </c>
      <c r="AC36" s="11" t="n">
        <f aca="false">AC33+Tax!AC13-AC34-AC35</f>
        <v>192.069319962959</v>
      </c>
      <c r="AD36" s="11" t="n">
        <f aca="false">AD33+Tax!AD13-AD34-AD35</f>
        <v>194.372101657458</v>
      </c>
      <c r="AE36" s="11" t="n">
        <f aca="false">AE33+Tax!AE13-AE34-AE35</f>
        <v>196.112642655769</v>
      </c>
      <c r="AF36" s="11" t="n">
        <f aca="false">AF33+Tax!AF13-AF34-AF35</f>
        <v>197.353988669125</v>
      </c>
      <c r="AG36" s="11" t="n">
        <f aca="false">AG33+Tax!AG13-AG34-AG35</f>
        <v>198.21359912674</v>
      </c>
      <c r="AH36" s="11" t="n">
        <f aca="false">AH33+Tax!AH13-AH34-AH35</f>
        <v>198.059163424693</v>
      </c>
      <c r="AI36" s="11" t="n">
        <f aca="false">AI33+Tax!AI13-AI34-AI35</f>
        <v>197.071112787977</v>
      </c>
      <c r="AJ36" s="11" t="n">
        <f aca="false">AJ33+Tax!AJ13-AJ34-AJ35</f>
        <v>194.589668462719</v>
      </c>
      <c r="AK36" s="11" t="n">
        <f aca="false">AK33+Tax!AK13-AK34-AK35</f>
        <v>184.738652618252</v>
      </c>
      <c r="AL36" s="11" t="n">
        <f aca="false">AL33+Tax!AL13-AL34-AL35</f>
        <v>163.69810446191</v>
      </c>
      <c r="AM36" s="11" t="n">
        <f aca="false">AM33+Tax!AM13-AM34-AM35</f>
        <v>139.919829069665</v>
      </c>
      <c r="AN36" s="11" t="n">
        <f aca="false">AN33+Tax!AN13-AN34-AN35</f>
        <v>116.83152428112</v>
      </c>
      <c r="AO36" s="11" t="n">
        <f aca="false">AO33+Tax!AO13-AO34-AO35</f>
        <v>74.0192611808051</v>
      </c>
      <c r="AP36" s="11" t="n">
        <f aca="false">AP33+Tax!AP13-AP34-AP35</f>
        <v>31.937391130581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9.1371070682522</v>
      </c>
      <c r="P37" s="11" t="n">
        <f aca="false">MAX(0,O43+Financials!P14)</f>
        <v>14.5765362217372</v>
      </c>
      <c r="Q37" s="11" t="n">
        <f aca="false">MAX(0,P43+Financials!Q14)</f>
        <v>21.2669685809888</v>
      </c>
      <c r="R37" s="11" t="n">
        <f aca="false">MAX(0,Q43+Financials!R14)</f>
        <v>28.323042734964</v>
      </c>
      <c r="S37" s="11" t="n">
        <f aca="false">MAX(0,R43+Financials!S14)</f>
        <v>36.4854663447645</v>
      </c>
      <c r="T37" s="11" t="n">
        <f aca="false">MAX(0,S43+Financials!T14)</f>
        <v>44.9880675887473</v>
      </c>
      <c r="U37" s="11" t="n">
        <f aca="false">MAX(0,T43+Financials!U14)</f>
        <v>54.6167567829363</v>
      </c>
      <c r="V37" s="11" t="n">
        <f aca="false">MAX(0,U43+Financials!V14)</f>
        <v>62.4643046013146</v>
      </c>
      <c r="W37" s="11" t="n">
        <f aca="false">MAX(0,V43+Financials!W14)</f>
        <v>73.9681839817034</v>
      </c>
      <c r="X37" s="11" t="n">
        <f aca="false">MAX(0,W43+Financials!X14)</f>
        <v>85.9418811652659</v>
      </c>
      <c r="Y37" s="11" t="n">
        <f aca="false">MAX(0,X43+Financials!Y14)</f>
        <v>96.0946325621037</v>
      </c>
      <c r="Z37" s="11" t="n">
        <f aca="false">MAX(0,Y43+Financials!Z14)</f>
        <v>101.560551993119</v>
      </c>
      <c r="AA37" s="11" t="n">
        <f aca="false">MAX(0,Z43+Financials!AA14)</f>
        <v>107.888719246453</v>
      </c>
      <c r="AB37" s="11" t="n">
        <f aca="false">MAX(0,AA43+Financials!AB14)</f>
        <v>114.631296271796</v>
      </c>
      <c r="AC37" s="11" t="n">
        <f aca="false">MAX(0,AB43+Financials!AC14)</f>
        <v>122.332091920859</v>
      </c>
      <c r="AD37" s="11" t="n">
        <f aca="false">MAX(0,AC43+Financials!AD14)</f>
        <v>120.788755968618</v>
      </c>
      <c r="AE37" s="11" t="n">
        <f aca="false">MAX(0,AD43+Financials!AE14)</f>
        <v>131.233894970419</v>
      </c>
      <c r="AF37" s="11" t="n">
        <f aca="false">MAX(0,AE43+Financials!AF14)</f>
        <v>141.102141435141</v>
      </c>
      <c r="AG37" s="11" t="n">
        <f aca="false">MAX(0,AF43+Financials!AG14)</f>
        <v>151.917413543122</v>
      </c>
      <c r="AH37" s="11" t="n">
        <f aca="false">MAX(0,AG43+Financials!AH14)</f>
        <v>163.547246123862</v>
      </c>
      <c r="AI37" s="11" t="n">
        <f aca="false">MAX(0,AH43+Financials!AI14)</f>
        <v>176.324861956203</v>
      </c>
      <c r="AJ37" s="11" t="n">
        <f aca="false">MAX(0,AI43+Financials!AJ14)</f>
        <v>189.962935367036</v>
      </c>
      <c r="AK37" s="11" t="n">
        <f aca="false">MAX(0,AJ43+Financials!AK14)</f>
        <v>204.864951269633</v>
      </c>
      <c r="AL37" s="11" t="n">
        <f aca="false">MAX(0,AK43+Financials!AL14)</f>
        <v>218.879502774945</v>
      </c>
      <c r="AM37" s="11" t="n">
        <f aca="false">MAX(0,AL43+Financials!AM14)</f>
        <v>236.194279651885</v>
      </c>
      <c r="AN37" s="11" t="n">
        <f aca="false">MAX(0,AM43+Financials!AN14)</f>
        <v>254.570095091719</v>
      </c>
      <c r="AO37" s="11" t="n">
        <f aca="false">MAX(0,AN43+Financials!AO14)</f>
        <v>274.226142561518</v>
      </c>
      <c r="AP37" s="11" t="n">
        <f aca="false">MAX(0,AO43+Financials!AP14)</f>
        <v>296.086066900031</v>
      </c>
      <c r="AQ37" s="11" t="n">
        <f aca="false">MAX(0,AP43+Financials!AQ14)</f>
        <v>319.434801250502</v>
      </c>
      <c r="AR37" s="11" t="n">
        <f aca="false">MAX(0,AQ43+Financials!AR14)</f>
        <v>337.382863638176</v>
      </c>
      <c r="AS37" s="11" t="n">
        <f aca="false">MAX(0,AR43+Financials!AS14)</f>
        <v>321.990641499711</v>
      </c>
      <c r="AT37" s="11" t="n">
        <f aca="false">MAX(0,AS43+Financials!AT14)</f>
        <v>296.584028086649</v>
      </c>
      <c r="AU37" s="11" t="n">
        <f aca="false">MAX(0,AT43+Financials!AU14)</f>
        <v>274.974614481183</v>
      </c>
      <c r="AV37" s="11" t="n">
        <f aca="false">MAX(0,AU43+Financials!AV14)</f>
        <v>257.633125379027</v>
      </c>
      <c r="AW37" s="11" t="n">
        <f aca="false">MAX(0,AV43+Financials!AW14)</f>
        <v>240.366165332314</v>
      </c>
      <c r="AX37" s="11" t="n">
        <f aca="false">MAX(0,AW43+Financials!AX14)</f>
        <v>223.667590487334</v>
      </c>
      <c r="AY37" s="11" t="n">
        <f aca="false">MAX(0,AX43+Financials!AY14)</f>
        <v>206.394160404076</v>
      </c>
      <c r="AZ37" s="11" t="n">
        <f aca="false">MAX(0,AY43+Financials!AZ14)</f>
        <v>189.608196744915</v>
      </c>
      <c r="BA37" s="11" t="n">
        <f aca="false">MAX(0,AZ43+Financials!BA14)</f>
        <v>172.425523882644</v>
      </c>
      <c r="BB37" s="11" t="n">
        <f aca="false">MAX(0,BA43+Financials!BB14)</f>
        <v>153.797006428467</v>
      </c>
      <c r="BC37" s="11" t="n">
        <f aca="false">MAX(0,BB43+Financials!BC14)</f>
        <v>136.417551691529</v>
      </c>
      <c r="BD37" s="11" t="n">
        <f aca="false">MAX(0,BC43+Financials!BD14)</f>
        <v>122.367800259298</v>
      </c>
      <c r="BE37" s="11" t="n">
        <f aca="false">MAX(0,BD43+Financials!BE14)</f>
        <v>114.627923760945</v>
      </c>
      <c r="BF37" s="11" t="n">
        <f aca="false">MAX(0,BE43+Financials!BF14)</f>
        <v>107.483166497335</v>
      </c>
      <c r="BG37" s="11" t="n">
        <f aca="false">MAX(0,BF43+Financials!BG14)</f>
        <v>99.7584044704951</v>
      </c>
      <c r="BH37" s="11" t="n">
        <f aca="false">MAX(0,BG43+Financials!BH14)</f>
        <v>92.5514063378236</v>
      </c>
      <c r="BI37" s="11" t="n">
        <f aca="false">MAX(0,BH43+Financials!BI14)</f>
        <v>85.012686922967</v>
      </c>
      <c r="BJ37" s="11" t="n">
        <f aca="false">MAX(0,BI43+Financials!BJ14)</f>
        <v>65.6007802866301</v>
      </c>
      <c r="BK37" s="11" t="n">
        <f aca="false">MAX(0,BJ43+Financials!BK14)</f>
        <v>50.6344173292948</v>
      </c>
      <c r="BL37" s="11" t="n">
        <f aca="false">MAX(0,BK43+Financials!BL14)</f>
        <v>40.7296234395981</v>
      </c>
      <c r="BM37" s="11" t="n">
        <f aca="false">MAX(0,BL43+Financials!BM14)</f>
        <v>8.16978706174137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6.49553212845193</v>
      </c>
      <c r="AR38" s="11" t="n">
        <f aca="false">AR24*MIN(AR31-AR34-AR35,AR37)</f>
        <v>40.0323161622701</v>
      </c>
      <c r="AS38" s="11" t="n">
        <f aca="false">AS24*MIN(AS31-AS34-AS35,AS37)</f>
        <v>39.7868901347922</v>
      </c>
      <c r="AT38" s="11" t="n">
        <f aca="false">AT24*MIN(AT31-AT34-AT35,AT37)</f>
        <v>46.536292952713</v>
      </c>
      <c r="AU38" s="11" t="n">
        <f aca="false">AU24*MIN(AU31-AU34-AU35,AU37)</f>
        <v>42.1173047132539</v>
      </c>
      <c r="AV38" s="11" t="n">
        <f aca="false">AV24*MIN(AV31-AV34-AV35,AV37)</f>
        <v>42.1485898241531</v>
      </c>
      <c r="AW38" s="11" t="n">
        <f aca="false">AW24*MIN(AW31-AW34-AW35,AW37)</f>
        <v>41.7103682329421</v>
      </c>
      <c r="AX38" s="11" t="n">
        <f aca="false">AX24*MIN(AX31-AX34-AX35,AX37)</f>
        <v>42.3502920967725</v>
      </c>
      <c r="AY38" s="11" t="n">
        <f aca="false">AY24*MIN(AY31-AY34-AY35,AY37)</f>
        <v>41.9077575050291</v>
      </c>
      <c r="AZ38" s="11" t="n">
        <f aca="false">AZ24*MIN(AZ31-AZ34-AZ35,AZ37)</f>
        <v>42.4718098940091</v>
      </c>
      <c r="BA38" s="11" t="n">
        <f aca="false">BA24*MIN(BA31-BA34-BA35,BA37)</f>
        <v>41.6936304206899</v>
      </c>
      <c r="BB38" s="11" t="n">
        <f aca="false">BB24*MIN(BB31-BB34-BB35,BB37)</f>
        <v>42.9320227109577</v>
      </c>
      <c r="BC38" s="11" t="n">
        <f aca="false">BC24*MIN(BC31-BC34-BC35,BC37)</f>
        <v>39.5318568520177</v>
      </c>
      <c r="BD38" s="11" t="n">
        <f aca="false">BD24*MIN(BD31-BD34-BD35,BD37)</f>
        <v>33.336685793338</v>
      </c>
      <c r="BE38" s="11" t="n">
        <f aca="false">BE24*MIN(BE31-BE34-BE35,BE37)</f>
        <v>32.88382275379</v>
      </c>
      <c r="BF38" s="11" t="n">
        <f aca="false">BF24*MIN(BF31-BF34-BF35,BF37)</f>
        <v>33.5336644762113</v>
      </c>
      <c r="BG38" s="11" t="n">
        <f aca="false">BG24*MIN(BG31-BG34-BG35,BG37)</f>
        <v>33.0643490454363</v>
      </c>
      <c r="BH38" s="11" t="n">
        <f aca="false">BH24*MIN(BH31-BH34-BH35,BH37)</f>
        <v>33.6303837044535</v>
      </c>
      <c r="BI38" s="11" t="n">
        <f aca="false">BI24*MIN(BI31-BI34-BI35,BI37)</f>
        <v>33.3747544530605</v>
      </c>
      <c r="BJ38" s="11" t="n">
        <f aca="false">BJ24*MIN(BJ31-BJ34-BJ35,BJ37)</f>
        <v>41.399528054765</v>
      </c>
      <c r="BK38" s="11" t="n">
        <f aca="false">BK24*MIN(BK31-BK34-BK35,BK37)</f>
        <v>36.152950215655</v>
      </c>
      <c r="BL38" s="11" t="n">
        <f aca="false">BL24*MIN(BL31-BL34-BL35,BL37)</f>
        <v>36.7768178351909</v>
      </c>
      <c r="BM38" s="11" t="n">
        <f aca="false">BM24*MIN(BM31-BM34-BM35,BM37)</f>
        <v>8.16978706174137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876.404160538506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6.49553212845193</v>
      </c>
      <c r="AR41" s="11" t="n">
        <f aca="false">AR38+AR40</f>
        <v>40.0323161622701</v>
      </c>
      <c r="AS41" s="11" t="n">
        <f aca="false">AS38+AS40</f>
        <v>39.7868901347922</v>
      </c>
      <c r="AT41" s="11" t="n">
        <f aca="false">AT38+AT40</f>
        <v>46.536292952713</v>
      </c>
      <c r="AU41" s="11" t="n">
        <f aca="false">AU38+AU40</f>
        <v>42.1173047132539</v>
      </c>
      <c r="AV41" s="11" t="n">
        <f aca="false">AV38+AV40</f>
        <v>42.1485898241531</v>
      </c>
      <c r="AW41" s="11" t="n">
        <f aca="false">AW38+AW40</f>
        <v>41.7103682329421</v>
      </c>
      <c r="AX41" s="11" t="n">
        <f aca="false">AX38+AX40</f>
        <v>42.3502920967725</v>
      </c>
      <c r="AY41" s="11" t="n">
        <f aca="false">AY38+AY40</f>
        <v>41.9077575050291</v>
      </c>
      <c r="AZ41" s="11" t="n">
        <f aca="false">AZ38+AZ40</f>
        <v>42.4718098940091</v>
      </c>
      <c r="BA41" s="11" t="n">
        <f aca="false">BA38+BA40</f>
        <v>41.6936304206899</v>
      </c>
      <c r="BB41" s="11" t="n">
        <f aca="false">BB38+BB40</f>
        <v>42.9320227109577</v>
      </c>
      <c r="BC41" s="11" t="n">
        <f aca="false">BC38+BC40</f>
        <v>39.5318568520177</v>
      </c>
      <c r="BD41" s="11" t="n">
        <f aca="false">BD38+BD40</f>
        <v>33.336685793338</v>
      </c>
      <c r="BE41" s="11" t="n">
        <f aca="false">BE38+BE40</f>
        <v>32.88382275379</v>
      </c>
      <c r="BF41" s="11" t="n">
        <f aca="false">BF38+BF40</f>
        <v>33.5336644762113</v>
      </c>
      <c r="BG41" s="11" t="n">
        <f aca="false">BG38+BG40</f>
        <v>33.0643490454363</v>
      </c>
      <c r="BH41" s="11" t="n">
        <f aca="false">BH38+BH40</f>
        <v>33.6303837044535</v>
      </c>
      <c r="BI41" s="11" t="n">
        <f aca="false">BI38+BI40</f>
        <v>33.3747544530605</v>
      </c>
      <c r="BJ41" s="11" t="n">
        <f aca="false">BJ38+BJ40</f>
        <v>41.399528054765</v>
      </c>
      <c r="BK41" s="11" t="n">
        <f aca="false">BK38+BK40</f>
        <v>36.152950215655</v>
      </c>
      <c r="BL41" s="11" t="n">
        <f aca="false">BL38+BL40</f>
        <v>36.7768178351909</v>
      </c>
      <c r="BM41" s="11" t="n">
        <f aca="false">BM38+BM40</f>
        <v>52.536540578553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9.1371070682522</v>
      </c>
      <c r="P43" s="11" t="n">
        <f aca="false">IF(Time!P17&lt;Time!$F$11,0,O43+Financials!P14-P41)</f>
        <v>14.5765362217372</v>
      </c>
      <c r="Q43" s="11" t="n">
        <f aca="false">IF(Time!Q17&lt;Time!$F$11,0,P43+Financials!Q14-Q41)</f>
        <v>21.2669685809888</v>
      </c>
      <c r="R43" s="11" t="n">
        <f aca="false">IF(Time!R17&lt;Time!$F$11,0,Q43+Financials!R14-R41)</f>
        <v>28.323042734964</v>
      </c>
      <c r="S43" s="11" t="n">
        <f aca="false">IF(Time!S17&lt;Time!$F$11,0,R43+Financials!S14-S41)</f>
        <v>36.4854663447645</v>
      </c>
      <c r="T43" s="11" t="n">
        <f aca="false">IF(Time!T17&lt;Time!$F$11,0,S43+Financials!T14-T41)</f>
        <v>44.9880675887473</v>
      </c>
      <c r="U43" s="11" t="n">
        <f aca="false">IF(Time!U17&lt;Time!$F$11,0,T43+Financials!U14-U41)</f>
        <v>54.6167567829363</v>
      </c>
      <c r="V43" s="11" t="n">
        <f aca="false">IF(Time!V17&lt;Time!$F$11,0,U43+Financials!V14-V41)</f>
        <v>62.4643046013146</v>
      </c>
      <c r="W43" s="11" t="n">
        <f aca="false">IF(Time!W17&lt;Time!$F$11,0,V43+Financials!W14-W41)</f>
        <v>73.9681839817034</v>
      </c>
      <c r="X43" s="11" t="n">
        <f aca="false">IF(Time!X17&lt;Time!$F$11,0,W43+Financials!X14-X41)</f>
        <v>85.9418811652659</v>
      </c>
      <c r="Y43" s="11" t="n">
        <f aca="false">IF(Time!Y17&lt;Time!$F$11,0,X43+Financials!Y14-Y41)</f>
        <v>96.0946325621037</v>
      </c>
      <c r="Z43" s="11" t="n">
        <f aca="false">IF(Time!Z17&lt;Time!$F$11,0,Y43+Financials!Z14-Z41)</f>
        <v>101.560551993119</v>
      </c>
      <c r="AA43" s="11" t="n">
        <f aca="false">IF(Time!AA17&lt;Time!$F$11,0,Z43+Financials!AA14-AA41)</f>
        <v>107.888719246453</v>
      </c>
      <c r="AB43" s="11" t="n">
        <f aca="false">IF(Time!AB17&lt;Time!$F$11,0,AA43+Financials!AB14-AB41)</f>
        <v>114.631296271796</v>
      </c>
      <c r="AC43" s="11" t="n">
        <f aca="false">IF(Time!AC17&lt;Time!$F$11,0,AB43+Financials!AC14-AC41)</f>
        <v>122.332091920859</v>
      </c>
      <c r="AD43" s="11" t="n">
        <f aca="false">IF(Time!AD17&lt;Time!$F$11,0,AC43+Financials!AD14-AD41)</f>
        <v>120.788755968618</v>
      </c>
      <c r="AE43" s="11" t="n">
        <f aca="false">IF(Time!AE17&lt;Time!$F$11,0,AD43+Financials!AE14-AE41)</f>
        <v>131.233894970419</v>
      </c>
      <c r="AF43" s="11" t="n">
        <f aca="false">IF(Time!AF17&lt;Time!$F$11,0,AE43+Financials!AF14-AF41)</f>
        <v>141.102141435141</v>
      </c>
      <c r="AG43" s="11" t="n">
        <f aca="false">IF(Time!AG17&lt;Time!$F$11,0,AF43+Financials!AG14-AG41)</f>
        <v>151.917413543122</v>
      </c>
      <c r="AH43" s="11" t="n">
        <f aca="false">IF(Time!AH17&lt;Time!$F$11,0,AG43+Financials!AH14-AH41)</f>
        <v>163.547246123862</v>
      </c>
      <c r="AI43" s="11" t="n">
        <f aca="false">IF(Time!AI17&lt;Time!$F$11,0,AH43+Financials!AI14-AI41)</f>
        <v>176.324861956203</v>
      </c>
      <c r="AJ43" s="11" t="n">
        <f aca="false">IF(Time!AJ17&lt;Time!$F$11,0,AI43+Financials!AJ14-AJ41)</f>
        <v>189.962935367036</v>
      </c>
      <c r="AK43" s="11" t="n">
        <f aca="false">IF(Time!AK17&lt;Time!$F$11,0,AJ43+Financials!AK14-AK41)</f>
        <v>204.864951269633</v>
      </c>
      <c r="AL43" s="11" t="n">
        <f aca="false">IF(Time!AL17&lt;Time!$F$11,0,AK43+Financials!AL14-AL41)</f>
        <v>218.879502774945</v>
      </c>
      <c r="AM43" s="11" t="n">
        <f aca="false">IF(Time!AM17&lt;Time!$F$11,0,AL43+Financials!AM14-AM41)</f>
        <v>236.194279651885</v>
      </c>
      <c r="AN43" s="11" t="n">
        <f aca="false">IF(Time!AN17&lt;Time!$F$11,0,AM43+Financials!AN14-AN41)</f>
        <v>254.570095091719</v>
      </c>
      <c r="AO43" s="11" t="n">
        <f aca="false">IF(Time!AO17&lt;Time!$F$11,0,AN43+Financials!AO14-AO41)</f>
        <v>274.226142561518</v>
      </c>
      <c r="AP43" s="11" t="n">
        <f aca="false">IF(Time!AP17&lt;Time!$F$11,0,AO43+Financials!AP14-AP41)</f>
        <v>296.086066900031</v>
      </c>
      <c r="AQ43" s="11" t="n">
        <f aca="false">IF(Time!AQ17&lt;Time!$F$11,0,AP43+Financials!AQ14-AQ41)</f>
        <v>312.93926912205</v>
      </c>
      <c r="AR43" s="11" t="n">
        <f aca="false">IF(Time!AR17&lt;Time!$F$11,0,AQ43+Financials!AR14-AR41)</f>
        <v>297.350547475905</v>
      </c>
      <c r="AS43" s="11" t="n">
        <f aca="false">IF(Time!AS17&lt;Time!$F$11,0,AR43+Financials!AS14-AS41)</f>
        <v>282.203751364918</v>
      </c>
      <c r="AT43" s="11" t="n">
        <f aca="false">IF(Time!AT17&lt;Time!$F$11,0,AS43+Financials!AT14-AT41)</f>
        <v>250.047735133936</v>
      </c>
      <c r="AU43" s="11" t="n">
        <f aca="false">IF(Time!AU17&lt;Time!$F$11,0,AT43+Financials!AU14-AU41)</f>
        <v>232.857309767929</v>
      </c>
      <c r="AV43" s="11" t="n">
        <f aca="false">IF(Time!AV17&lt;Time!$F$11,0,AU43+Financials!AV14-AV41)</f>
        <v>215.484535554874</v>
      </c>
      <c r="AW43" s="11" t="n">
        <f aca="false">IF(Time!AW17&lt;Time!$F$11,0,AV43+Financials!AW14-AW41)</f>
        <v>198.655797099372</v>
      </c>
      <c r="AX43" s="11" t="n">
        <f aca="false">IF(Time!AX17&lt;Time!$F$11,0,AW43+Financials!AX14-AX41)</f>
        <v>181.317298390562</v>
      </c>
      <c r="AY43" s="11" t="n">
        <f aca="false">IF(Time!AY17&lt;Time!$F$11,0,AX43+Financials!AY14-AY41)</f>
        <v>164.486402899047</v>
      </c>
      <c r="AZ43" s="11" t="n">
        <f aca="false">IF(Time!AZ17&lt;Time!$F$11,0,AY43+Financials!AZ14-AZ41)</f>
        <v>147.136386850905</v>
      </c>
      <c r="BA43" s="11" t="n">
        <f aca="false">IF(Time!BA17&lt;Time!$F$11,0,AZ43+Financials!BA14-BA41)</f>
        <v>130.731893461954</v>
      </c>
      <c r="BB43" s="11" t="n">
        <f aca="false">IF(Time!BB17&lt;Time!$F$11,0,BA43+Financials!BB14-BB41)</f>
        <v>110.86498371751</v>
      </c>
      <c r="BC43" s="11" t="n">
        <f aca="false">IF(Time!BC17&lt;Time!$F$11,0,BB43+Financials!BC14-BC41)</f>
        <v>96.8856948395109</v>
      </c>
      <c r="BD43" s="11" t="n">
        <f aca="false">IF(Time!BD17&lt;Time!$F$11,0,BC43+Financials!BD14-BD41)</f>
        <v>89.0311144659598</v>
      </c>
      <c r="BE43" s="11" t="n">
        <f aca="false">IF(Time!BE17&lt;Time!$F$11,0,BD43+Financials!BE14-BE41)</f>
        <v>81.7441010071548</v>
      </c>
      <c r="BF43" s="11" t="n">
        <f aca="false">IF(Time!BF17&lt;Time!$F$11,0,BE43+Financials!BF14-BF41)</f>
        <v>73.9495020211233</v>
      </c>
      <c r="BG43" s="11" t="n">
        <f aca="false">IF(Time!BG17&lt;Time!$F$11,0,BF43+Financials!BG14-BG41)</f>
        <v>66.6940554250588</v>
      </c>
      <c r="BH43" s="11" t="n">
        <f aca="false">IF(Time!BH17&lt;Time!$F$11,0,BG43+Financials!BH14-BH41)</f>
        <v>58.9210226333701</v>
      </c>
      <c r="BI43" s="11" t="n">
        <f aca="false">IF(Time!BI17&lt;Time!$F$11,0,BH43+Financials!BI14-BI41)</f>
        <v>51.6379324699065</v>
      </c>
      <c r="BJ43" s="11" t="n">
        <f aca="false">IF(Time!BJ17&lt;Time!$F$11,0,BI43+Financials!BJ14-BJ41)</f>
        <v>24.2012522318651</v>
      </c>
      <c r="BK43" s="11" t="n">
        <f aca="false">IF(Time!BK17&lt;Time!$F$11,0,BJ43+Financials!BK14-BK41)</f>
        <v>14.4814671136399</v>
      </c>
      <c r="BL43" s="11" t="n">
        <f aca="false">IF(Time!BL17&lt;Time!$F$11,0,BK43+Financials!BL14-BL41)</f>
        <v>3.95280560440722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1318.00773330123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13.0187878577865</v>
      </c>
      <c r="Q44" s="11" t="n">
        <f aca="false">Q34+Q35+Q41</f>
        <v>10.5975100049967</v>
      </c>
      <c r="R44" s="11" t="n">
        <f aca="false">R34+R35+R41</f>
        <v>11.4929802822981</v>
      </c>
      <c r="S44" s="11" t="n">
        <f aca="false">S34+S35+S41</f>
        <v>10.685167020103</v>
      </c>
      <c r="T44" s="11" t="n">
        <f aca="false">T34+T35+T41</f>
        <v>11.3803361149323</v>
      </c>
      <c r="U44" s="11" t="n">
        <f aca="false">U34+U35+U41</f>
        <v>10.4317054561315</v>
      </c>
      <c r="V44" s="11" t="n">
        <f aca="false">V34+V35+V41</f>
        <v>11.6716154139057</v>
      </c>
      <c r="W44" s="11" t="n">
        <f aca="false">W34+W35+W41</f>
        <v>12.4098623849094</v>
      </c>
      <c r="X44" s="11" t="n">
        <f aca="false">X34+X35+X41</f>
        <v>11.2067469428078</v>
      </c>
      <c r="Y44" s="11" t="n">
        <f aca="false">Y34+Y35+Y41</f>
        <v>10.4234140478678</v>
      </c>
      <c r="Z44" s="11" t="n">
        <f aca="false">Z34+Z35+Z41</f>
        <v>11.1068905420823</v>
      </c>
      <c r="AA44" s="11" t="n">
        <f aca="false">AA34+AA35+AA41</f>
        <v>5.13975249059677</v>
      </c>
      <c r="AB44" s="11" t="n">
        <f aca="false">AB34+AB35+AB41</f>
        <v>6.01357001312977</v>
      </c>
      <c r="AC44" s="11" t="n">
        <f aca="false">AC34+AC35+AC41</f>
        <v>5.62011250522599</v>
      </c>
      <c r="AD44" s="11" t="n">
        <f aca="false">AD34+AD35+AD41</f>
        <v>6.89549697112476</v>
      </c>
      <c r="AE44" s="11" t="n">
        <f aca="false">AE34+AE35+AE41</f>
        <v>7.4162488318261</v>
      </c>
      <c r="AF44" s="11" t="n">
        <f aca="false">AF34+AF35+AF41</f>
        <v>8.15056903766555</v>
      </c>
      <c r="AG44" s="11" t="n">
        <f aca="false">AG34+AG35+AG41</f>
        <v>8.43765484420795</v>
      </c>
      <c r="AH44" s="11" t="n">
        <f aca="false">AH34+AH35+AH41</f>
        <v>9.64696642187046</v>
      </c>
      <c r="AI44" s="11" t="n">
        <f aca="false">AI34+AI35+AI41</f>
        <v>10.3185364314762</v>
      </c>
      <c r="AJ44" s="11" t="n">
        <f aca="false">AJ34+AJ35+AJ41</f>
        <v>11.9192609048031</v>
      </c>
      <c r="AK44" s="11" t="n">
        <f aca="false">AK34+AK35+AK41</f>
        <v>19.068701783427</v>
      </c>
      <c r="AL44" s="11" t="n">
        <f aca="false">AL34+AL35+AL41</f>
        <v>29.8877581502246</v>
      </c>
      <c r="AM44" s="11" t="n">
        <f aca="false">AM34+AM35+AM41</f>
        <v>31.4900258202517</v>
      </c>
      <c r="AN44" s="11" t="n">
        <f aca="false">AN34+AN35+AN41</f>
        <v>29.7891229039911</v>
      </c>
      <c r="AO44" s="11" t="n">
        <f aca="false">AO34+AO35+AO41</f>
        <v>48.3161481962432</v>
      </c>
      <c r="AP44" s="11" t="n">
        <f aca="false">AP34+AP35+AP41</f>
        <v>45.6266828870473</v>
      </c>
      <c r="AQ44" s="11" t="n">
        <f aca="false">AQ34+AQ35+AQ41</f>
        <v>39.9374806302393</v>
      </c>
      <c r="AR44" s="11" t="n">
        <f aca="false">AR34+AR35+AR41</f>
        <v>40.0323161622701</v>
      </c>
      <c r="AS44" s="11" t="n">
        <f aca="false">AS34+AS35+AS41</f>
        <v>39.7868901347922</v>
      </c>
      <c r="AT44" s="11" t="n">
        <f aca="false">AT34+AT35+AT41</f>
        <v>46.536292952713</v>
      </c>
      <c r="AU44" s="11" t="n">
        <f aca="false">AU34+AU35+AU41</f>
        <v>42.1173047132539</v>
      </c>
      <c r="AV44" s="11" t="n">
        <f aca="false">AV34+AV35+AV41</f>
        <v>42.1485898241531</v>
      </c>
      <c r="AW44" s="11" t="n">
        <f aca="false">AW34+AW35+AW41</f>
        <v>41.7103682329421</v>
      </c>
      <c r="AX44" s="11" t="n">
        <f aca="false">AX34+AX35+AX41</f>
        <v>42.3502920967725</v>
      </c>
      <c r="AY44" s="11" t="n">
        <f aca="false">AY34+AY35+AY41</f>
        <v>41.9077575050291</v>
      </c>
      <c r="AZ44" s="11" t="n">
        <f aca="false">AZ34+AZ35+AZ41</f>
        <v>42.4718098940091</v>
      </c>
      <c r="BA44" s="11" t="n">
        <f aca="false">BA34+BA35+BA41</f>
        <v>41.6936304206899</v>
      </c>
      <c r="BB44" s="11" t="n">
        <f aca="false">BB34+BB35+BB41</f>
        <v>42.9320227109577</v>
      </c>
      <c r="BC44" s="11" t="n">
        <f aca="false">BC34+BC35+BC41</f>
        <v>39.5318568520177</v>
      </c>
      <c r="BD44" s="11" t="n">
        <f aca="false">BD34+BD35+BD41</f>
        <v>33.336685793338</v>
      </c>
      <c r="BE44" s="11" t="n">
        <f aca="false">BE34+BE35+BE41</f>
        <v>32.88382275379</v>
      </c>
      <c r="BF44" s="11" t="n">
        <f aca="false">BF34+BF35+BF41</f>
        <v>33.5336644762113</v>
      </c>
      <c r="BG44" s="11" t="n">
        <f aca="false">BG34+BG35+BG41</f>
        <v>33.0643490454363</v>
      </c>
      <c r="BH44" s="11" t="n">
        <f aca="false">BH34+BH35+BH41</f>
        <v>33.6303837044535</v>
      </c>
      <c r="BI44" s="11" t="n">
        <f aca="false">BI34+BI35+BI41</f>
        <v>33.3747544530605</v>
      </c>
      <c r="BJ44" s="11" t="n">
        <f aca="false">BJ34+BJ35+BJ41</f>
        <v>41.399528054765</v>
      </c>
      <c r="BK44" s="11" t="n">
        <f aca="false">BK34+BK35+BK41</f>
        <v>36.152950215655</v>
      </c>
      <c r="BL44" s="11" t="n">
        <f aca="false">BL34+BL35+BL41</f>
        <v>36.7768178351909</v>
      </c>
      <c r="BM44" s="11" t="n">
        <f aca="false">BM34+BM35+BM41</f>
        <v>52.536540578553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555.63939221982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30.5115646484862</v>
      </c>
      <c r="R9" s="11" t="n">
        <f aca="false">Debt!R119+Debt!R117+Debt!R111-Debt!R110+Tax!R13</f>
        <v>30.2889246667611</v>
      </c>
      <c r="S9" s="11" t="n">
        <f aca="false">Debt!S119+Debt!S117+Debt!S111-Debt!S110+Tax!S13</f>
        <v>29.252686685592</v>
      </c>
      <c r="T9" s="11" t="n">
        <f aca="false">Debt!T119+Debt!T117+Debt!T111-Debt!T110+Tax!T13</f>
        <v>28.9599890052211</v>
      </c>
      <c r="U9" s="11" t="n">
        <f aca="false">Debt!U119+Debt!U117+Debt!U111-Debt!U110+Tax!U13</f>
        <v>28.0035654655745</v>
      </c>
      <c r="V9" s="11" t="n">
        <f aca="false">Debt!V119+Debt!V117+Debt!V111-Debt!V110+Tax!V13</f>
        <v>27.5364964947219</v>
      </c>
      <c r="W9" s="11" t="n">
        <f aca="false">Debt!W119+Debt!W117+Debt!W111-Debt!W110+Tax!W13</f>
        <v>26.3954881971928</v>
      </c>
      <c r="X9" s="11" t="n">
        <f aca="false">Debt!X119+Debt!X117+Debt!X111-Debt!X110+Tax!X13</f>
        <v>25.8610842297419</v>
      </c>
      <c r="Y9" s="11" t="n">
        <f aca="false">Debt!Y119+Debt!Y117+Debt!Y111-Debt!Y110+Tax!Y13</f>
        <v>25.245365250488</v>
      </c>
      <c r="Z9" s="11" t="n">
        <f aca="false">Debt!Z119+Debt!Z117+Debt!Z111-Debt!Z110+Tax!Z13</f>
        <v>24.7801851375413</v>
      </c>
      <c r="AA9" s="11" t="n">
        <f aca="false">Debt!AA119+Debt!AA117+Debt!AA111-Debt!AA110+Tax!AA13</f>
        <v>23.6213688277531</v>
      </c>
      <c r="AB9" s="11" t="n">
        <f aca="false">Debt!AB119+Debt!AB117+Debt!AB111-Debt!AB110+Tax!AB13</f>
        <v>23.0781408014708</v>
      </c>
      <c r="AC9" s="11" t="n">
        <f aca="false">Debt!AC119+Debt!AC117+Debt!AC111-Debt!AC110+Tax!AC13</f>
        <v>21.9432251865026</v>
      </c>
      <c r="AD9" s="11" t="n">
        <f aca="false">Debt!AD119+Debt!AD117+Debt!AD111-Debt!AD110+Tax!AD13</f>
        <v>21.2229465320466</v>
      </c>
      <c r="AE9" s="11" t="n">
        <f aca="false">Debt!AE119+Debt!AE117+Debt!AE111-Debt!AE110+Tax!AE13</f>
        <v>19.8823466730979</v>
      </c>
      <c r="AF9" s="11" t="n">
        <f aca="false">Debt!AF119+Debt!AF117+Debt!AF111-Debt!AF110+Tax!AF13</f>
        <v>19.007607054116</v>
      </c>
      <c r="AG9" s="11" t="n">
        <f aca="false">Debt!AG119+Debt!AG117+Debt!AG111-Debt!AG110+Tax!AG13</f>
        <v>17.7812557504025</v>
      </c>
      <c r="AH9" s="11" t="n">
        <f aca="false">Debt!AH119+Debt!AH117+Debt!AH111-Debt!AH110+Tax!AH13</f>
        <v>16.7712199366269</v>
      </c>
      <c r="AI9" s="11" t="n">
        <f aca="false">Debt!AI119+Debt!AI117+Debt!AI111-Debt!AI110+Tax!AI13</f>
        <v>15.209786086205</v>
      </c>
      <c r="AJ9" s="11" t="n">
        <f aca="false">Debt!AJ119+Debt!AJ117+Debt!AJ111-Debt!AJ110+Tax!AJ13</f>
        <v>14.0331407676077</v>
      </c>
      <c r="AK9" s="11" t="n">
        <f aca="false">Debt!AK119+Debt!AK117+Debt!AK111-Debt!AK110+Tax!AK13</f>
        <v>12.4270106350448</v>
      </c>
      <c r="AL9" s="11" t="n">
        <f aca="false">Debt!AL119+Debt!AL117+Debt!AL111-Debt!AL110+Tax!AL13</f>
        <v>11.0208632453039</v>
      </c>
      <c r="AM9" s="11" t="n">
        <f aca="false">Debt!AM119+Debt!AM117+Debt!AM111-Debt!AM110+Tax!AM13</f>
        <v>9.29293947740831</v>
      </c>
      <c r="AN9" s="11" t="n">
        <f aca="false">Debt!AN119+Debt!AN117+Debt!AN111-Debt!AN110+Tax!AN13</f>
        <v>7.69291158455602</v>
      </c>
      <c r="AO9" s="11" t="n">
        <f aca="false">Debt!AO119+Debt!AO117+Debt!AO111-Debt!AO110+Tax!AO13</f>
        <v>6.00113847995899</v>
      </c>
      <c r="AP9" s="11" t="n">
        <f aca="false">Debt!AP119+Debt!AP117+Debt!AP111-Debt!AP110+Tax!AP13</f>
        <v>3.54481283682321</v>
      </c>
      <c r="AQ9" s="11" t="n">
        <f aca="false">Debt!AQ119+Debt!AQ117+Debt!AQ111-Debt!AQ110+Tax!AQ13</f>
        <v>1.50455737120641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-49.432388454154</v>
      </c>
      <c r="Z12" s="11" t="n">
        <f aca="false">IF(Time!Z17&gt;=Time!$F$11,Inputs!$F$181/100*(Z11-Z10-Tax!Z21),0)</f>
        <v>-46.9437036773762</v>
      </c>
      <c r="AA12" s="11" t="n">
        <f aca="false">IF(Time!AA17&gt;=Time!$F$11,Inputs!$F$181/100*(AA11-AA10-Tax!AA21),0)</f>
        <v>-44.0848067848091</v>
      </c>
      <c r="AB12" s="11" t="n">
        <f aca="false">IF(Time!AB17&gt;=Time!$F$11,Inputs!$F$181/100*(AB11-AB10-Tax!AB21),0)</f>
        <v>-41.0475821135708</v>
      </c>
      <c r="AC12" s="11" t="n">
        <f aca="false">IF(Time!AC17&gt;=Time!$F$11,Inputs!$F$181/100*(AC11-AC10-Tax!AC21),0)</f>
        <v>-37.5992590063291</v>
      </c>
      <c r="AD12" s="11" t="n">
        <f aca="false">IF(Time!AD17&gt;=Time!$F$11,Inputs!$F$181/100*(AD11-AD10-Tax!AD21),0)</f>
        <v>-36.5952351435124</v>
      </c>
      <c r="AE12" s="11" t="n">
        <f aca="false">IF(Time!AE17&gt;=Time!$F$11,Inputs!$F$181/100*(AE11-AE10-Tax!AE21),0)</f>
        <v>-33.4888963075834</v>
      </c>
      <c r="AF12" s="11" t="n">
        <f aca="false">IF(Time!AF17&gt;=Time!$F$11,Inputs!$F$181/100*(AF11-AF10-Tax!AF21),0)</f>
        <v>-29.1094396593806</v>
      </c>
      <c r="AG12" s="11" t="n">
        <f aca="false">IF(Time!AG17&gt;=Time!$F$11,Inputs!$F$181/100*(AG11-AG10-Tax!AG21),0)</f>
        <v>-24.3234726025641</v>
      </c>
      <c r="AH12" s="11" t="n">
        <f aca="false">IF(Time!AH17&gt;=Time!$F$11,Inputs!$F$181/100*(AH11-AH10-Tax!AH21),0)</f>
        <v>-19.1878003851442</v>
      </c>
      <c r="AI12" s="11" t="n">
        <f aca="false">IF(Time!AI17&gt;=Time!$F$11,Inputs!$F$181/100*(AI11-AI10-Tax!AI21),0)</f>
        <v>-13.5594832212459</v>
      </c>
      <c r="AJ12" s="11" t="n">
        <f aca="false">IF(Time!AJ17&gt;=Time!$F$11,Inputs!$F$181/100*(AJ11-AJ10-Tax!AJ21),0)</f>
        <v>-7.56161049214335</v>
      </c>
      <c r="AK12" s="11" t="n">
        <f aca="false">IF(Time!AK17&gt;=Time!$F$11,Inputs!$F$181/100*(AK11-AK10-Tax!AK21),0)</f>
        <v>-1.02148559168088</v>
      </c>
      <c r="AL12" s="11" t="n">
        <f aca="false">IF(Time!AL17&gt;=Time!$F$11,Inputs!$F$181/100*(AL11-AL10-Tax!AL21),0)</f>
        <v>5.13871278843238</v>
      </c>
      <c r="AM12" s="11" t="n">
        <f aca="false">IF(Time!AM17&gt;=Time!$F$11,Inputs!$F$181/100*(AM11-AM10-Tax!AM21),0)</f>
        <v>12.7141704450513</v>
      </c>
      <c r="AN12" s="11" t="n">
        <f aca="false">IF(Time!AN17&gt;=Time!$F$11,Inputs!$F$181/100*(AN11-AN10-Tax!AN21),0)</f>
        <v>20.7454017172626</v>
      </c>
      <c r="AO12" s="11" t="n">
        <f aca="false">IF(Time!AO17&gt;=Time!$F$11,Inputs!$F$181/100*(AO11-AO10-Tax!AO21),0)</f>
        <v>29.3260039063525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-2.57794152270628</v>
      </c>
      <c r="Z13" s="11" t="n">
        <f aca="false">Z12-Y12</f>
        <v>2.48868477677777</v>
      </c>
      <c r="AA13" s="11" t="n">
        <f aca="false">AA12-Z12</f>
        <v>2.85889689256713</v>
      </c>
      <c r="AB13" s="11" t="n">
        <f aca="false">AB12-AA12</f>
        <v>3.03722467123829</v>
      </c>
      <c r="AC13" s="11" t="n">
        <f aca="false">AC12-AB12</f>
        <v>3.44832310724163</v>
      </c>
      <c r="AD13" s="11" t="n">
        <f aca="false">AD12-AC12</f>
        <v>1.00402386281673</v>
      </c>
      <c r="AE13" s="11" t="n">
        <f aca="false">AE12-AD12</f>
        <v>3.10633883592897</v>
      </c>
      <c r="AF13" s="11" t="n">
        <f aca="false">AF12-AE12</f>
        <v>4.37945664820289</v>
      </c>
      <c r="AG13" s="11" t="n">
        <f aca="false">AG12-AF12</f>
        <v>4.78596705681643</v>
      </c>
      <c r="AH13" s="11" t="n">
        <f aca="false">AH12-AG12</f>
        <v>5.13567221741995</v>
      </c>
      <c r="AI13" s="11" t="n">
        <f aca="false">AI12-AH12</f>
        <v>5.6283171638983</v>
      </c>
      <c r="AJ13" s="11" t="n">
        <f aca="false">AJ12-AI12</f>
        <v>5.99787272910252</v>
      </c>
      <c r="AK13" s="11" t="n">
        <f aca="false">AK12-AJ12</f>
        <v>6.54012490046247</v>
      </c>
      <c r="AL13" s="11" t="n">
        <f aca="false">AL12-AK12</f>
        <v>6.16019838011326</v>
      </c>
      <c r="AM13" s="11" t="n">
        <f aca="false">AM12-AL12</f>
        <v>7.57545765661895</v>
      </c>
      <c r="AN13" s="11" t="n">
        <f aca="false">AN12-AM12</f>
        <v>8.0312312722113</v>
      </c>
      <c r="AO13" s="11" t="n">
        <f aca="false">AO12-AN12</f>
        <v>8.5806021890899</v>
      </c>
      <c r="AP13" s="11" t="n">
        <f aca="false">AP12-AO12</f>
        <v>5.64749398176381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832.037407021694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9.1371070682522</v>
      </c>
      <c r="P14" s="11" t="n">
        <f aca="false">Operations!P79-P8-P9-Tax!P27-P13</f>
        <v>5.43942915348504</v>
      </c>
      <c r="Q14" s="11" t="n">
        <f aca="false">Operations!Q79-Q8-Q9-Tax!Q27-Q13</f>
        <v>6.69043235925161</v>
      </c>
      <c r="R14" s="11" t="n">
        <f aca="false">Operations!R79-R8-R9-Tax!R27-R13</f>
        <v>7.05607415397511</v>
      </c>
      <c r="S14" s="11" t="n">
        <f aca="false">Operations!S79-S8-S9-Tax!S27-S13</f>
        <v>8.16242360980058</v>
      </c>
      <c r="T14" s="11" t="n">
        <f aca="false">Operations!T79-T8-T9-Tax!T27-T13</f>
        <v>8.50260124398276</v>
      </c>
      <c r="U14" s="11" t="n">
        <f aca="false">Operations!U79-U8-U9-Tax!U27-U13</f>
        <v>9.62868919418904</v>
      </c>
      <c r="V14" s="11" t="n">
        <f aca="false">Operations!V79-V8-V9-Tax!V27-V13</f>
        <v>7.84754781837826</v>
      </c>
      <c r="W14" s="11" t="n">
        <f aca="false">Operations!W79-W8-W9-Tax!W27-W13</f>
        <v>11.5038793803888</v>
      </c>
      <c r="X14" s="11" t="n">
        <f aca="false">Operations!X79-X8-X9-Tax!X27-X13</f>
        <v>11.9736971835625</v>
      </c>
      <c r="Y14" s="11" t="n">
        <f aca="false">Operations!Y79-Y8-Y9-Tax!Y27-Y13</f>
        <v>10.1527513968378</v>
      </c>
      <c r="Z14" s="11" t="n">
        <f aca="false">Operations!Z79-Z8-Z9-Tax!Z27-Z13</f>
        <v>5.46591943101548</v>
      </c>
      <c r="AA14" s="11" t="n">
        <f aca="false">Operations!AA79-AA8-AA9-Tax!AA27-AA13</f>
        <v>6.32816725333421</v>
      </c>
      <c r="AB14" s="11" t="n">
        <f aca="false">Operations!AB79-AB8-AB9-Tax!AB27-AB13</f>
        <v>6.74257702534279</v>
      </c>
      <c r="AC14" s="11" t="n">
        <f aca="false">Operations!AC79-AC8-AC9-Tax!AC27-AC13</f>
        <v>7.70079564906262</v>
      </c>
      <c r="AD14" s="11" t="n">
        <f aca="false">Operations!AD79-AD8-AD9-Tax!AD27-AD13</f>
        <v>-1.54333595224109</v>
      </c>
      <c r="AE14" s="11" t="n">
        <f aca="false">Operations!AE79-AE8-AE9-Tax!AE27-AE13</f>
        <v>10.4451390018018</v>
      </c>
      <c r="AF14" s="11" t="n">
        <f aca="false">Operations!AF79-AF8-AF9-Tax!AF27-AF13</f>
        <v>9.86824646472155</v>
      </c>
      <c r="AG14" s="11" t="n">
        <f aca="false">Operations!AG79-AG8-AG9-Tax!AG27-AG13</f>
        <v>10.8152721079811</v>
      </c>
      <c r="AH14" s="11" t="n">
        <f aca="false">Operations!AH79-AH8-AH9-Tax!AH27-AH13</f>
        <v>11.6298325807402</v>
      </c>
      <c r="AI14" s="11" t="n">
        <f aca="false">Operations!AI79-AI8-AI9-Tax!AI27-AI13</f>
        <v>12.7776158323403</v>
      </c>
      <c r="AJ14" s="11" t="n">
        <f aca="false">Operations!AJ79-AJ8-AJ9-Tax!AJ27-AJ13</f>
        <v>13.6380734108334</v>
      </c>
      <c r="AK14" s="11" t="n">
        <f aca="false">Operations!AK79-AK8-AK9-Tax!AK27-AK13</f>
        <v>14.9020159025974</v>
      </c>
      <c r="AL14" s="11" t="n">
        <f aca="false">Operations!AL79-AL8-AL9-Tax!AL27-AL13</f>
        <v>14.0145515053112</v>
      </c>
      <c r="AM14" s="11" t="n">
        <f aca="false">Operations!AM79-AM8-AM9-Tax!AM27-AM13</f>
        <v>17.3147768769406</v>
      </c>
      <c r="AN14" s="11" t="n">
        <f aca="false">Operations!AN79-AN8-AN9-Tax!AN27-AN13</f>
        <v>18.3758154398334</v>
      </c>
      <c r="AO14" s="11" t="n">
        <f aca="false">Operations!AO79-AO8-AO9-Tax!AO27-AO13</f>
        <v>19.6560474697997</v>
      </c>
      <c r="AP14" s="11" t="n">
        <f aca="false">Operations!AP79-AP8-AP9-Tax!AP27-AP13</f>
        <v>21.8599243385132</v>
      </c>
      <c r="AQ14" s="11" t="n">
        <f aca="false">Operations!AQ79-AQ8-AQ9-Tax!AQ27-AQ13</f>
        <v>23.3487343504706</v>
      </c>
      <c r="AR14" s="11" t="n">
        <f aca="false">Operations!AR79-AR8-AR9-Tax!AR27-AR13</f>
        <v>24.4435945161255</v>
      </c>
      <c r="AS14" s="11" t="n">
        <f aca="false">Operations!AS79-AS8-AS9-Tax!AS27-AS13</f>
        <v>24.6400940238051</v>
      </c>
      <c r="AT14" s="11" t="n">
        <f aca="false">Operations!AT79-AT8-AT9-Tax!AT27-AT13</f>
        <v>14.3802767217305</v>
      </c>
      <c r="AU14" s="11" t="n">
        <f aca="false">Operations!AU79-AU8-AU9-Tax!AU27-AU13</f>
        <v>24.926879347247</v>
      </c>
      <c r="AV14" s="11" t="n">
        <f aca="false">Operations!AV79-AV8-AV9-Tax!AV27-AV13</f>
        <v>24.7758156110981</v>
      </c>
      <c r="AW14" s="11" t="n">
        <f aca="false">Operations!AW79-AW8-AW9-Tax!AW27-AW13</f>
        <v>24.88162977744</v>
      </c>
      <c r="AX14" s="11" t="n">
        <f aca="false">Operations!AX79-AX8-AX9-Tax!AX27-AX13</f>
        <v>25.0117933879627</v>
      </c>
      <c r="AY14" s="11" t="n">
        <f aca="false">Operations!AY79-AY8-AY9-Tax!AY27-AY13</f>
        <v>25.0768620135143</v>
      </c>
      <c r="AZ14" s="11" t="n">
        <f aca="false">Operations!AZ79-AZ8-AZ9-Tax!AZ27-AZ13</f>
        <v>25.1217938458674</v>
      </c>
      <c r="BA14" s="11" t="n">
        <f aca="false">Operations!BA79-BA8-BA9-Tax!BA27-BA13</f>
        <v>25.2891370317386</v>
      </c>
      <c r="BB14" s="11" t="n">
        <f aca="false">Operations!BB79-BB8-BB9-Tax!BB27-BB13</f>
        <v>23.0651129665132</v>
      </c>
      <c r="BC14" s="11" t="n">
        <f aca="false">Operations!BC79-BC8-BC9-Tax!BC27-BC13</f>
        <v>25.552567974019</v>
      </c>
      <c r="BD14" s="11" t="n">
        <f aca="false">Operations!BD79-BD8-BD9-Tax!BD27-BD13</f>
        <v>25.4821054197868</v>
      </c>
      <c r="BE14" s="11" t="n">
        <f aca="false">Operations!BE79-BE8-BE9-Tax!BE27-BE13</f>
        <v>25.596809294985</v>
      </c>
      <c r="BF14" s="11" t="n">
        <f aca="false">Operations!BF79-BF8-BF9-Tax!BF27-BF13</f>
        <v>25.7390654901798</v>
      </c>
      <c r="BG14" s="11" t="n">
        <f aca="false">Operations!BG79-BG8-BG9-Tax!BG27-BG13</f>
        <v>25.8089024493718</v>
      </c>
      <c r="BH14" s="11" t="n">
        <f aca="false">Operations!BH79-BH8-BH9-Tax!BH27-BH13</f>
        <v>25.8573509127648</v>
      </c>
      <c r="BI14" s="11" t="n">
        <f aca="false">Operations!BI79-BI8-BI9-Tax!BI27-BI13</f>
        <v>26.0916642895969</v>
      </c>
      <c r="BJ14" s="11" t="n">
        <f aca="false">Operations!BJ79-BJ8-BJ9-Tax!BJ27-BJ13</f>
        <v>13.9628478167236</v>
      </c>
      <c r="BK14" s="11" t="n">
        <f aca="false">Operations!BK79-BK8-BK9-Tax!BK27-BK13</f>
        <v>26.4331650974298</v>
      </c>
      <c r="BL14" s="11" t="n">
        <f aca="false">Operations!BL79-BL8-BL9-Tax!BL27-BL13</f>
        <v>26.2481563259582</v>
      </c>
      <c r="BM14" s="11" t="n">
        <f aca="false">Operations!BM79-BM8-BM9-Tax!BM27-BM13</f>
        <v>4.21698145733415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39.080571595532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46.1863748581179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48.8837869947115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36.4552529009534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35.7021962985372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34.9257486215502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34.6672711695104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33.5718138353437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32.7004316881827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30.9686457815071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29.1453193649509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35.4687689758509</v>
      </c>
      <c r="P18" s="11" t="n">
        <f aca="false">Operations!P83+Operations!P84</f>
        <v>35.4437724699592</v>
      </c>
      <c r="Q18" s="11" t="n">
        <f aca="false">Operations!Q83+Operations!Q84</f>
        <v>36.1488004205727</v>
      </c>
      <c r="R18" s="11" t="n">
        <f aca="false">Operations!R83+Operations!R84</f>
        <v>35.9299082084512</v>
      </c>
      <c r="S18" s="11" t="n">
        <f aca="false">Operations!S83+Operations!S84</f>
        <v>36.6561788163279</v>
      </c>
      <c r="T18" s="11" t="n">
        <f aca="false">Operations!T83+Operations!T84</f>
        <v>36.457962501752</v>
      </c>
      <c r="U18" s="11" t="n">
        <f aca="false">Operations!U83+Operations!U84</f>
        <v>37.0769183438321</v>
      </c>
      <c r="V18" s="11" t="n">
        <f aca="false">Operations!V83+Operations!V84</f>
        <v>36.9214355152677</v>
      </c>
      <c r="W18" s="11" t="n">
        <f aca="false">Operations!W83+Operations!W84</f>
        <v>37.6835267198191</v>
      </c>
      <c r="X18" s="11" t="n">
        <f aca="false">Operations!X83+Operations!X84</f>
        <v>37.5128717091824</v>
      </c>
      <c r="Y18" s="11" t="n">
        <f aca="false">Operations!Y83+Operations!Y84</f>
        <v>38.2621777797961</v>
      </c>
      <c r="Z18" s="11" t="n">
        <f aca="false">Operations!Z83+Operations!Z84</f>
        <v>38.0389890682628</v>
      </c>
      <c r="AA18" s="11" t="n">
        <f aca="false">Operations!AA83+Operations!AA84</f>
        <v>38.8111827426036</v>
      </c>
      <c r="AB18" s="11" t="n">
        <f aca="false">Operations!AB83+Operations!AB84</f>
        <v>38.6101493363115</v>
      </c>
      <c r="AC18" s="11" t="n">
        <f aca="false">Operations!AC83+Operations!AC84</f>
        <v>39.2583415119805</v>
      </c>
      <c r="AD18" s="11" t="n">
        <f aca="false">Operations!AD83+Operations!AD84</f>
        <v>38.8496495232118</v>
      </c>
      <c r="AE18" s="11" t="n">
        <f aca="false">Operations!AE83+Operations!AE84</f>
        <v>39.8973914853361</v>
      </c>
      <c r="AF18" s="11" t="n">
        <f aca="false">Operations!AF83+Operations!AF84</f>
        <v>39.7515119189958</v>
      </c>
      <c r="AG18" s="11" t="n">
        <f aca="false">Operations!AG83+Operations!AG84</f>
        <v>40.5487592902786</v>
      </c>
      <c r="AH18" s="11" t="n">
        <f aca="false">Operations!AH83+Operations!AH84</f>
        <v>40.3209274167583</v>
      </c>
      <c r="AI18" s="11" t="n">
        <f aca="false">Operations!AI83+Operations!AI84</f>
        <v>41.1428364919106</v>
      </c>
      <c r="AJ18" s="11" t="n">
        <f aca="false">Operations!AJ83+Operations!AJ84</f>
        <v>40.9387460474907</v>
      </c>
      <c r="AK18" s="11" t="n">
        <f aca="false">Operations!AK83+Operations!AK84</f>
        <v>41.6446745791122</v>
      </c>
      <c r="AL18" s="11" t="n">
        <f aca="false">Operations!AL83+Operations!AL84</f>
        <v>41.4825765099542</v>
      </c>
      <c r="AM18" s="11" t="n">
        <f aca="false">Operations!AM83+Operations!AM84</f>
        <v>42.3461700197543</v>
      </c>
      <c r="AN18" s="11" t="n">
        <f aca="false">Operations!AN83+Operations!AN84</f>
        <v>42.1737112430632</v>
      </c>
      <c r="AO18" s="11" t="n">
        <f aca="false">Operations!AO83+Operations!AO84</f>
        <v>43.0228687731724</v>
      </c>
      <c r="AP18" s="11" t="n">
        <f aca="false">Operations!AP83+Operations!AP84</f>
        <v>42.7900184647095</v>
      </c>
      <c r="AQ18" s="11" t="n">
        <f aca="false">Operations!AQ83+Operations!AQ84</f>
        <v>43.665751227815</v>
      </c>
      <c r="AR18" s="11" t="n">
        <f aca="false">Operations!AR83+Operations!AR84</f>
        <v>43.4583429533387</v>
      </c>
      <c r="AS18" s="11" t="n">
        <f aca="false">Operations!AS83+Operations!AS84</f>
        <v>44.198830766949</v>
      </c>
      <c r="AT18" s="11" t="n">
        <f aca="false">Operations!AT83+Operations!AT84</f>
        <v>43.7637809115973</v>
      </c>
      <c r="AU18" s="11" t="n">
        <f aca="false">Operations!AU83+Operations!AU84</f>
        <v>44.9387233666</v>
      </c>
      <c r="AV18" s="11" t="n">
        <f aca="false">Operations!AV83+Operations!AV84</f>
        <v>44.7946556713044</v>
      </c>
      <c r="AW18" s="11" t="n">
        <f aca="false">Operations!AW83+Operations!AW84</f>
        <v>45.7000235909393</v>
      </c>
      <c r="AX18" s="11" t="n">
        <f aca="false">Operations!AX83+Operations!AX84</f>
        <v>45.4617485531097</v>
      </c>
      <c r="AY18" s="11" t="n">
        <f aca="false">Operations!AY83+Operations!AY84</f>
        <v>46.3957557665417</v>
      </c>
      <c r="AZ18" s="11" t="n">
        <f aca="false">Operations!AZ83+Operations!AZ84</f>
        <v>46.1847461830975</v>
      </c>
      <c r="BA18" s="11" t="n">
        <f aca="false">Operations!BA83+Operations!BA84</f>
        <v>46.9926295454241</v>
      </c>
      <c r="BB18" s="11" t="n">
        <f aca="false">Operations!BB83+Operations!BB84</f>
        <v>46.8229696284836</v>
      </c>
      <c r="BC18" s="11" t="n">
        <f aca="false">Operations!BC83+Operations!BC84</f>
        <v>47.8054987350866</v>
      </c>
      <c r="BD18" s="11" t="n">
        <f aca="false">Operations!BD83+Operations!BD84</f>
        <v>47.6307969499177</v>
      </c>
      <c r="BE18" s="11" t="n">
        <f aca="false">Operations!BE83+Operations!BE84</f>
        <v>48.5970347308157</v>
      </c>
      <c r="BF18" s="11" t="n">
        <f aca="false">Operations!BF83+Operations!BF84</f>
        <v>48.3528950297095</v>
      </c>
      <c r="BG18" s="11" t="n">
        <f aca="false">Operations!BG83+Operations!BG84</f>
        <v>49.3499986942755</v>
      </c>
      <c r="BH18" s="11" t="n">
        <f aca="false">Operations!BH83+Operations!BH84</f>
        <v>49.1350796296284</v>
      </c>
      <c r="BI18" s="11" t="n">
        <f aca="false">Operations!BI83+Operations!BI84</f>
        <v>49.9838124526983</v>
      </c>
      <c r="BJ18" s="11" t="n">
        <f aca="false">Operations!BJ83+Operations!BJ84</f>
        <v>49.5178702202822</v>
      </c>
      <c r="BK18" s="11" t="n">
        <f aca="false">Operations!BK83+Operations!BK84</f>
        <v>50.8421242468505</v>
      </c>
      <c r="BL18" s="11" t="n">
        <f aca="false">Operations!BL83+Operations!BL84</f>
        <v>50.6999587438405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49.432388454154</v>
      </c>
      <c r="Z20" s="11" t="n">
        <f aca="false">MAX(0,-Z12)</f>
        <v>46.9437036773762</v>
      </c>
      <c r="AA20" s="11" t="n">
        <f aca="false">MAX(0,-AA12)</f>
        <v>44.0848067848091</v>
      </c>
      <c r="AB20" s="11" t="n">
        <f aca="false">MAX(0,-AB12)</f>
        <v>41.0475821135708</v>
      </c>
      <c r="AC20" s="11" t="n">
        <f aca="false">MAX(0,-AC12)</f>
        <v>37.5992590063291</v>
      </c>
      <c r="AD20" s="11" t="n">
        <f aca="false">MAX(0,-AD12)</f>
        <v>36.5952351435124</v>
      </c>
      <c r="AE20" s="11" t="n">
        <f aca="false">MAX(0,-AE12)</f>
        <v>33.4888963075834</v>
      </c>
      <c r="AF20" s="11" t="n">
        <f aca="false">MAX(0,-AF12)</f>
        <v>29.1094396593806</v>
      </c>
      <c r="AG20" s="11" t="n">
        <f aca="false">MAX(0,-AG12)</f>
        <v>24.3234726025641</v>
      </c>
      <c r="AH20" s="11" t="n">
        <f aca="false">MAX(0,-AH12)</f>
        <v>19.1878003851442</v>
      </c>
      <c r="AI20" s="11" t="n">
        <f aca="false">MAX(0,-AI12)</f>
        <v>13.5594832212459</v>
      </c>
      <c r="AJ20" s="11" t="n">
        <f aca="false">MAX(0,-AJ12)</f>
        <v>7.56161049214335</v>
      </c>
      <c r="AK20" s="11" t="n">
        <f aca="false">MAX(0,-AK12)</f>
        <v>1.02148559168088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912.681355674376</v>
      </c>
      <c r="P21" s="11" t="n">
        <f aca="false">P16+P17+P18+P19+P20</f>
        <v>899.435460597691</v>
      </c>
      <c r="Q21" s="11" t="n">
        <f aca="false">Q16+Q17+Q18+Q19+Q20</f>
        <v>889.31091375043</v>
      </c>
      <c r="R21" s="11" t="n">
        <f aca="false">R16+R17+R18+R19+R20</f>
        <v>877.50320551278</v>
      </c>
      <c r="S21" s="11" t="n">
        <f aca="false">S16+S17+S18+S19+S20</f>
        <v>867.350037979441</v>
      </c>
      <c r="T21" s="11" t="n">
        <f aca="false">T16+T17+T18+T19+T20</f>
        <v>855.673953207563</v>
      </c>
      <c r="U21" s="11" t="n">
        <f aca="false">U16+U17+U18+U19+U20</f>
        <v>845.712793099542</v>
      </c>
      <c r="V21" s="11" t="n">
        <f aca="false">V16+V17+V18+V19+V20</f>
        <v>831.081395914097</v>
      </c>
      <c r="W21" s="11" t="n">
        <f aca="false">W16+W17+W18+W19+W20</f>
        <v>819.033443034506</v>
      </c>
      <c r="X21" s="11" t="n">
        <f aca="false">X16+X17+X18+X19+X20</f>
        <v>808.765515804597</v>
      </c>
      <c r="Y21" s="11" t="n">
        <f aca="false">Y16+Y17+Y18+Y19+Y20</f>
        <v>797.632745958574</v>
      </c>
      <c r="Z21" s="11" t="n">
        <f aca="false">Z16+Z17+Z18+Z19+Z20</f>
        <v>779.862808213291</v>
      </c>
      <c r="AA21" s="11" t="n">
        <f aca="false">AA16+AA17+AA18+AA19+AA20</f>
        <v>763.445577768874</v>
      </c>
      <c r="AB21" s="11" t="n">
        <f aca="false">AB16+AB17+AB18+AB19+AB20</f>
        <v>744.764244696006</v>
      </c>
      <c r="AC21" s="11" t="n">
        <f aca="false">AC16+AC17+AC18+AC19+AC20</f>
        <v>727.927794854081</v>
      </c>
      <c r="AD21" s="11" t="n">
        <f aca="false">AD16+AD17+AD18+AD19+AD20</f>
        <v>697.352813861792</v>
      </c>
      <c r="AE21" s="11" t="n">
        <f aca="false">AE16+AE17+AE18+AE19+AE20</f>
        <v>677.807429338626</v>
      </c>
      <c r="AF21" s="11" t="n">
        <f aca="false">AF16+AF17+AF18+AF19+AF20</f>
        <v>655.77191440015</v>
      </c>
      <c r="AG21" s="11" t="n">
        <f aca="false">AG16+AG17+AG18+AG19+AG20</f>
        <v>634.790986215631</v>
      </c>
      <c r="AH21" s="11" t="n">
        <f aca="false">AH16+AH17+AH18+AH19+AH20</f>
        <v>611.598293743578</v>
      </c>
      <c r="AI21" s="11" t="n">
        <f aca="false">AI16+AI17+AI18+AI19+AI20</f>
        <v>589.186772460726</v>
      </c>
      <c r="AJ21" s="11" t="n">
        <f aca="false">AJ16+AJ17+AJ18+AJ19+AJ20</f>
        <v>564.519292333582</v>
      </c>
      <c r="AK21" s="11" t="n">
        <f aca="false">AK16+AK17+AK18+AK19+AK20</f>
        <v>540.128038501239</v>
      </c>
      <c r="AL21" s="11" t="n">
        <f aca="false">AL16+AL17+AL18+AL19+AL20</f>
        <v>516.634696281782</v>
      </c>
      <c r="AM21" s="11" t="n">
        <f aca="false">AM16+AM17+AM18+AM19+AM20</f>
        <v>496.327284146223</v>
      </c>
      <c r="AN21" s="11" t="n">
        <f aca="false">AN16+AN17+AN18+AN19+AN20</f>
        <v>481.542873900817</v>
      </c>
      <c r="AO21" s="11" t="n">
        <f aca="false">AO16+AO17+AO18+AO19+AO20</f>
        <v>449.100281721859</v>
      </c>
      <c r="AP21" s="11" t="n">
        <f aca="false">AP16+AP17+AP18+AP19+AP20</f>
        <v>434.481589451938</v>
      </c>
      <c r="AQ21" s="11" t="n">
        <f aca="false">AQ16+AQ17+AQ18+AQ19+AQ20</f>
        <v>420.971480253584</v>
      </c>
      <c r="AR21" s="11" t="n">
        <f aca="false">AR16+AR17+AR18+AR19+AR20</f>
        <v>406.378230017649</v>
      </c>
      <c r="AS21" s="11" t="n">
        <f aca="false">AS16+AS17+AS18+AS19+AS20</f>
        <v>392.732875869801</v>
      </c>
      <c r="AT21" s="11" t="n">
        <f aca="false">AT16+AT17+AT18+AT19+AT20</f>
        <v>361.476760454582</v>
      </c>
      <c r="AU21" s="11" t="n">
        <f aca="false">AU16+AU17+AU18+AU19+AU20</f>
        <v>345.917971862639</v>
      </c>
      <c r="AV21" s="11" t="n">
        <f aca="false">AV16+AV17+AV18+AV19+AV20</f>
        <v>329.629814121321</v>
      </c>
      <c r="AW21" s="11" t="n">
        <f aca="false">AW16+AW17+AW18+AW19+AW20</f>
        <v>314.391091994934</v>
      </c>
      <c r="AX21" s="11" t="n">
        <f aca="false">AX16+AX17+AX18+AX19+AX20</f>
        <v>298.008726911082</v>
      </c>
      <c r="AY21" s="11" t="n">
        <f aca="false">AY16+AY17+AY18+AY19+AY20</f>
        <v>282.798644078492</v>
      </c>
      <c r="AZ21" s="11" t="n">
        <f aca="false">AZ16+AZ17+AZ18+AZ19+AZ20</f>
        <v>266.443544449025</v>
      </c>
      <c r="BA21" s="11" t="n">
        <f aca="false">BA16+BA17+BA18+BA19+BA20</f>
        <v>251.602306151938</v>
      </c>
      <c r="BB21" s="11" t="n">
        <f aca="false">BB16+BB17+BB18+BB19+BB20</f>
        <v>232.662219437157</v>
      </c>
      <c r="BC21" s="11" t="n">
        <f aca="false">BC16+BC17+BC18+BC19+BC20</f>
        <v>218.428590570156</v>
      </c>
      <c r="BD21" s="11" t="n">
        <f aca="false">BD16+BD17+BD18+BD19+BD20</f>
        <v>205.848708659401</v>
      </c>
      <c r="BE21" s="11" t="n">
        <f aca="false">BE16+BE17+BE18+BE19+BE20</f>
        <v>194.426550435422</v>
      </c>
      <c r="BF21" s="11" t="n">
        <f aca="false">BF16+BF17+BF18+BF19+BF20</f>
        <v>181.810982471056</v>
      </c>
      <c r="BG21" s="11" t="n">
        <f aca="false">BG16+BG17+BG18+BG19+BG20</f>
        <v>170.453811243726</v>
      </c>
      <c r="BH21" s="11" t="n">
        <f aca="false">BH16+BH17+BH18+BH19+BH20</f>
        <v>157.901958319115</v>
      </c>
      <c r="BI21" s="11" t="n">
        <f aca="false">BI16+BI17+BI18+BI19+BI20</f>
        <v>146.431288027755</v>
      </c>
      <c r="BJ21" s="11" t="n">
        <f aca="false">BJ16+BJ17+BJ18+BJ19+BJ20</f>
        <v>114.103037687753</v>
      </c>
      <c r="BK21" s="11" t="n">
        <f aca="false">BK16+BK17+BK18+BK19+BK20</f>
        <v>100.34915219535</v>
      </c>
      <c r="BL21" s="11" t="n">
        <f aca="false">BL16+BL17+BL18+BL19+BL20</f>
        <v>85.1469596037652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401.63870542441</v>
      </c>
      <c r="AB22" s="11" t="n">
        <f aca="false">IF(Time!AB17&lt;Time!$F$11,SUMIFS(Funding!$J$73:$BJ$73,Construction!$J$12:$BJ$12,"&lt;="&amp;Time!AB17),Debt!AB123)</f>
        <v>373.334965444084</v>
      </c>
      <c r="AC22" s="11" t="n">
        <f aca="false">IF(Time!AC17&lt;Time!$F$11,SUMIFS(Funding!$J$73:$BJ$73,Construction!$J$12:$BJ$12,"&lt;="&amp;Time!AC17),Debt!AC123)</f>
        <v>345.051301877562</v>
      </c>
      <c r="AD22" s="11" t="n">
        <f aca="false">IF(Time!AD17&lt;Time!$F$11,SUMIFS(Funding!$J$73:$BJ$73,Construction!$J$12:$BJ$12,"&lt;="&amp;Time!AD17),Debt!AD123)</f>
        <v>313.805473339302</v>
      </c>
      <c r="AE22" s="11" t="n">
        <f aca="false">IF(Time!AE17&lt;Time!$F$11,SUMIFS(Funding!$J$73:$BJ$73,Construction!$J$12:$BJ$12,"&lt;="&amp;Time!AE17),Debt!AE123)</f>
        <v>281.538370122474</v>
      </c>
      <c r="AF22" s="11" t="n">
        <f aca="false">IF(Time!AF17&lt;Time!$F$11,SUMIFS(Funding!$J$73:$BJ$73,Construction!$J$12:$BJ$12,"&lt;="&amp;Time!AF17),Debt!AF123)</f>
        <v>248.325326906568</v>
      </c>
      <c r="AG22" s="11" t="n">
        <f aca="false">IF(Time!AG17&lt;Time!$F$11,SUMIFS(Funding!$J$73:$BJ$73,Construction!$J$12:$BJ$12,"&lt;="&amp;Time!AG17),Debt!AG123)</f>
        <v>215.168778532831</v>
      </c>
      <c r="AH22" s="11" t="n">
        <f aca="false">IF(Time!AH17&lt;Time!$F$11,SUMIFS(Funding!$J$73:$BJ$73,Construction!$J$12:$BJ$12,"&lt;="&amp;Time!AH17),Debt!AH123)</f>
        <v>180.541570312074</v>
      </c>
      <c r="AI22" s="11" t="n">
        <f aca="false">IF(Time!AI17&lt;Time!$F$11,SUMIFS(Funding!$J$73:$BJ$73,Construction!$J$12:$BJ$12,"&lt;="&amp;Time!AI17),Debt!AI123)</f>
        <v>145.813590952952</v>
      </c>
      <c r="AJ22" s="11" t="n">
        <f aca="false">IF(Time!AJ17&lt;Time!$F$11,SUMIFS(Funding!$J$73:$BJ$73,Construction!$J$12:$BJ$12,"&lt;="&amp;Time!AJ17),Debt!AJ123)</f>
        <v>109.997520176048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201.653521423002</v>
      </c>
      <c r="Q23" s="11" t="n">
        <f aca="false">IF(Time!Q17&lt;Time!$F$11,SUMIFS(Funding!$J$70:$BJ$70,Construction!$J$12:$BJ$12,"&lt;="&amp;Time!Q17)+SUMIFS(Funding!$J$71:$BJ$71,Construction!$J$12:$BJ$12,"&lt;="&amp;Time!Q17),Waterfall!Q36)</f>
        <v>200.555825940933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198.667546583149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197.341526038381</v>
      </c>
      <c r="T23" s="11" t="n">
        <f aca="false">IF(Time!T17&lt;Time!$F$11,SUMIFS(Funding!$J$70:$BJ$70,Construction!$J$12:$BJ$12,"&lt;="&amp;Time!T17)+SUMIFS(Funding!$J$71:$BJ$71,Construction!$J$12:$BJ$12,"&lt;="&amp;Time!T17),Waterfall!T36)</f>
        <v>195.411956704684</v>
      </c>
      <c r="U23" s="11" t="n">
        <f aca="false">IF(Time!U17&lt;Time!$F$11,SUMIFS(Funding!$J$70:$BJ$70,Construction!$J$12:$BJ$12,"&lt;="&amp;Time!U17)+SUMIFS(Funding!$J$71:$BJ$71,Construction!$J$12:$BJ$12,"&lt;="&amp;Time!U17),Waterfall!U36)</f>
        <v>194.236888868892</v>
      </c>
      <c r="V23" s="11" t="n">
        <f aca="false">IF(Time!V17&lt;Time!$F$11,SUMIFS(Funding!$J$70:$BJ$70,Construction!$J$12:$BJ$12,"&lt;="&amp;Time!V17)+SUMIFS(Funding!$J$71:$BJ$71,Construction!$J$12:$BJ$12,"&lt;="&amp;Time!V17),Waterfall!V36)</f>
        <v>191.867357886296</v>
      </c>
      <c r="W23" s="11" t="n">
        <f aca="false">IF(Time!W17&lt;Time!$F$11,SUMIFS(Funding!$J$70:$BJ$70,Construction!$J$12:$BJ$12,"&lt;="&amp;Time!W17)+SUMIFS(Funding!$J$71:$BJ$71,Construction!$J$12:$BJ$12,"&lt;="&amp;Time!W17),Waterfall!W36)</f>
        <v>188.496287881811</v>
      </c>
      <c r="X23" s="11" t="n">
        <f aca="false">IF(Time!X17&lt;Time!$F$11,SUMIFS(Funding!$J$70:$BJ$70,Construction!$J$12:$BJ$12,"&lt;="&amp;Time!X17)+SUMIFS(Funding!$J$71:$BJ$71,Construction!$J$12:$BJ$12,"&lt;="&amp;Time!X17),Waterfall!X36)</f>
        <v>186.316705629891</v>
      </c>
      <c r="Y23" s="11" t="n">
        <f aca="false">IF(Time!Y17&lt;Time!$F$11,SUMIFS(Funding!$J$70:$BJ$70,Construction!$J$12:$BJ$12,"&lt;="&amp;Time!Y17)+SUMIFS(Funding!$J$71:$BJ$71,Construction!$J$12:$BJ$12,"&lt;="&amp;Time!Y17),Waterfall!Y36)</f>
        <v>184.670595015739</v>
      </c>
      <c r="Z23" s="11" t="n">
        <f aca="false">IF(Time!Z17&lt;Time!$F$11,SUMIFS(Funding!$J$70:$BJ$70,Construction!$J$12:$BJ$12,"&lt;="&amp;Time!Z17)+SUMIFS(Funding!$J$71:$BJ$71,Construction!$J$12:$BJ$12,"&lt;="&amp;Time!Z17),Waterfall!Z36)</f>
        <v>182.407655160985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185.861052342973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188.748444507802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192.069319962959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194.372101657458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196.112642655769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197.353988669125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198.21359912674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198.059163424693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197.071112787977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194.589668462719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184.738652618252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163.69810446191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139.919829069665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116.83152428112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74.0192611808051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31.937391130581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21.0601074792547</v>
      </c>
      <c r="P24" s="11" t="n">
        <f aca="false">Operations!P85+Operations!P86+Operations!P87+Operations!P88+Operations!P89</f>
        <v>21.0723886940928</v>
      </c>
      <c r="Q24" s="11" t="n">
        <f aca="false">Operations!Q85+Operations!Q86+Operations!Q87+Operations!Q88+Operations!Q89</f>
        <v>21.5003712992361</v>
      </c>
      <c r="R24" s="11" t="n">
        <f aca="false">Operations!R85+Operations!R86+Operations!R87+Operations!R88+Operations!R89</f>
        <v>21.4654296108263</v>
      </c>
      <c r="S24" s="11" t="n">
        <f aca="false">Operations!S85+Operations!S86+Operations!S87+Operations!S88+Operations!S89</f>
        <v>21.9156312947541</v>
      </c>
      <c r="T24" s="11" t="n">
        <f aca="false">Operations!T85+Operations!T86+Operations!T87+Operations!T88+Operations!T89</f>
        <v>21.9085101703524</v>
      </c>
      <c r="U24" s="11" t="n">
        <f aca="false">Operations!U85+Operations!U86+Operations!U87+Operations!U88+Operations!U89</f>
        <v>22.3174936135518</v>
      </c>
      <c r="V24" s="11" t="n">
        <f aca="false">Operations!V85+Operations!V86+Operations!V87+Operations!V88+Operations!V89</f>
        <v>22.2615877640716</v>
      </c>
      <c r="W24" s="11" t="n">
        <f aca="false">Operations!W85+Operations!W86+Operations!W87+Operations!W88+Operations!W89</f>
        <v>22.7473571176782</v>
      </c>
      <c r="X24" s="11" t="n">
        <f aca="false">Operations!X85+Operations!X86+Operations!X87+Operations!X88+Operations!X89</f>
        <v>22.7781904918616</v>
      </c>
      <c r="Y24" s="11" t="n">
        <f aca="false">Operations!Y85+Operations!Y86+Operations!Y87+Operations!Y88+Operations!Y89</f>
        <v>23.2411100909256</v>
      </c>
      <c r="Z24" s="11" t="n">
        <f aca="false">Operations!Z85+Operations!Z86+Operations!Z87+Operations!Z88+Operations!Z89</f>
        <v>23.2033214276824</v>
      </c>
      <c r="AA24" s="11" t="n">
        <f aca="false">Operations!AA85+Operations!AA86+Operations!AA87+Operations!AA88+Operations!AA89</f>
        <v>23.6903472382263</v>
      </c>
      <c r="AB24" s="11" t="n">
        <f aca="false">Operations!AB85+Operations!AB86+Operations!AB87+Operations!AB88+Operations!AB89</f>
        <v>23.6827849555122</v>
      </c>
      <c r="AC24" s="11" t="n">
        <f aca="false">Operations!AC85+Operations!AC86+Operations!AC87+Operations!AC88+Operations!AC89</f>
        <v>24.1083275758897</v>
      </c>
      <c r="AD24" s="11" t="n">
        <f aca="false">Operations!AD85+Operations!AD86+Operations!AD87+Operations!AD88+Operations!AD89</f>
        <v>24.0197293796028</v>
      </c>
      <c r="AE24" s="11" t="n">
        <f aca="false">Operations!AE85+Operations!AE86+Operations!AE87+Operations!AE88+Operations!AE89</f>
        <v>24.5557680731514</v>
      </c>
      <c r="AF24" s="11" t="n">
        <f aca="false">Operations!AF85+Operations!AF86+Operations!AF87+Operations!AF88+Operations!AF89</f>
        <v>24.6237038725044</v>
      </c>
      <c r="AG24" s="11" t="n">
        <f aca="false">Operations!AG85+Operations!AG86+Operations!AG87+Operations!AG88+Operations!AG89</f>
        <v>25.1244414961254</v>
      </c>
      <c r="AH24" s="11" t="n">
        <f aca="false">Operations!AH85+Operations!AH86+Operations!AH87+Operations!AH88+Operations!AH89</f>
        <v>25.0835603661371</v>
      </c>
      <c r="AI24" s="11" t="n">
        <f aca="false">Operations!AI85+Operations!AI86+Operations!AI87+Operations!AI88+Operations!AI89</f>
        <v>25.6104532467818</v>
      </c>
      <c r="AJ24" s="11" t="n">
        <f aca="false">Operations!AJ85+Operations!AJ86+Operations!AJ87+Operations!AJ88+Operations!AJ89</f>
        <v>25.6024148109673</v>
      </c>
      <c r="AK24" s="11" t="n">
        <f aca="false">Operations!AK85+Operations!AK86+Operations!AK87+Operations!AK88+Operations!AK89</f>
        <v>26.0806135593592</v>
      </c>
      <c r="AL24" s="11" t="n">
        <f aca="false">Operations!AL85+Operations!AL86+Operations!AL87+Operations!AL88+Operations!AL89</f>
        <v>26.0149417864754</v>
      </c>
      <c r="AM24" s="11" t="n">
        <f aca="false">Operations!AM85+Operations!AM86+Operations!AM87+Operations!AM88+Operations!AM89</f>
        <v>26.5836733134778</v>
      </c>
      <c r="AN24" s="11" t="n">
        <f aca="false">Operations!AN85+Operations!AN86+Operations!AN87+Operations!AN88+Operations!AN89</f>
        <v>26.6204449303266</v>
      </c>
      <c r="AO24" s="11" t="n">
        <f aca="false">Operations!AO85+Operations!AO86+Operations!AO87+Operations!AO88+Operations!AO89</f>
        <v>27.1621205563717</v>
      </c>
      <c r="AP24" s="11" t="n">
        <f aca="false">Operations!AP85+Operations!AP86+Operations!AP87+Operations!AP88+Operations!AP89</f>
        <v>27.1178800163972</v>
      </c>
      <c r="AQ24" s="11" t="n">
        <f aca="false">Operations!AQ85+Operations!AQ86+Operations!AQ87+Operations!AQ88+Operations!AQ89</f>
        <v>27.6879358637896</v>
      </c>
      <c r="AR24" s="11" t="n">
        <f aca="false">Operations!AR85+Operations!AR86+Operations!AR87+Operations!AR88+Operations!AR89</f>
        <v>27.6793834111825</v>
      </c>
      <c r="AS24" s="11" t="n">
        <f aca="false">Operations!AS85+Operations!AS86+Operations!AS87+Operations!AS88+Operations!AS89</f>
        <v>28.1768015115045</v>
      </c>
      <c r="AT24" s="11" t="n">
        <f aca="false">Operations!AT85+Operations!AT86+Operations!AT87+Operations!AT88+Operations!AT89</f>
        <v>28.0726784644515</v>
      </c>
      <c r="AU24" s="11" t="n">
        <f aca="false">Operations!AU85+Operations!AU86+Operations!AU87+Operations!AU88+Operations!AU89</f>
        <v>28.7002913756987</v>
      </c>
      <c r="AV24" s="11" t="n">
        <f aca="false">Operations!AV85+Operations!AV86+Operations!AV87+Operations!AV88+Operations!AV89</f>
        <v>28.7808839846191</v>
      </c>
      <c r="AW24" s="11" t="n">
        <f aca="false">Operations!AW85+Operations!AW86+Operations!AW87+Operations!AW88+Operations!AW89</f>
        <v>29.3668764509172</v>
      </c>
      <c r="AX24" s="11" t="n">
        <f aca="false">Operations!AX85+Operations!AX86+Operations!AX87+Operations!AX88+Operations!AX89</f>
        <v>29.3189862130584</v>
      </c>
      <c r="AY24" s="11" t="n">
        <f aca="false">Operations!AY85+Operations!AY86+Operations!AY87+Operations!AY88+Operations!AY89</f>
        <v>29.9357750091663</v>
      </c>
      <c r="AZ24" s="11" t="n">
        <f aca="false">Operations!AZ85+Operations!AZ86+Operations!AZ87+Operations!AZ88+Operations!AZ89</f>
        <v>29.9266675650248</v>
      </c>
      <c r="BA24" s="11" t="n">
        <f aca="false">Operations!BA85+Operations!BA86+Operations!BA87+Operations!BA88+Operations!BA89</f>
        <v>30.4858987940725</v>
      </c>
      <c r="BB24" s="11" t="n">
        <f aca="false">Operations!BB85+Operations!BB86+Operations!BB87+Operations!BB88+Operations!BB89</f>
        <v>30.4086979609182</v>
      </c>
      <c r="BC24" s="11" t="n">
        <f aca="false">Operations!BC85+Operations!BC86+Operations!BC87+Operations!BC88+Operations!BC89</f>
        <v>31.0747131794985</v>
      </c>
      <c r="BD24" s="11" t="n">
        <f aca="false">Operations!BD85+Operations!BD86+Operations!BD87+Operations!BD88+Operations!BD89</f>
        <v>31.1185249906742</v>
      </c>
      <c r="BE24" s="11" t="n">
        <f aca="false">Operations!BE85+Operations!BE86+Operations!BE87+Operations!BE88+Operations!BE89</f>
        <v>31.7524935738798</v>
      </c>
      <c r="BF24" s="11" t="n">
        <f aca="false">Operations!BF85+Operations!BF86+Operations!BF87+Operations!BF88+Operations!BF89</f>
        <v>31.700637943924</v>
      </c>
      <c r="BG24" s="11" t="n">
        <f aca="false">Operations!BG85+Operations!BG86+Operations!BG87+Operations!BG88+Operations!BG89</f>
        <v>32.3680266610382</v>
      </c>
      <c r="BH24" s="11" t="n">
        <f aca="false">Operations!BH85+Operations!BH86+Operations!BH87+Operations!BH88+Operations!BH89</f>
        <v>32.3583198764952</v>
      </c>
      <c r="BI24" s="11" t="n">
        <f aca="false">Operations!BI85+Operations!BI86+Operations!BI87+Operations!BI88+Operations!BI89</f>
        <v>32.9398530969791</v>
      </c>
      <c r="BJ24" s="11" t="n">
        <f aca="false">Operations!BJ85+Operations!BJ86+Operations!BJ87+Operations!BJ88+Operations!BJ89</f>
        <v>32.8173963433981</v>
      </c>
      <c r="BK24" s="11" t="n">
        <f aca="false">Operations!BK85+Operations!BK86+Operations!BK87+Operations!BK88+Operations!BK89</f>
        <v>33.5524093175996</v>
      </c>
      <c r="BL24" s="11" t="n">
        <f aca="false">Operations!BL85+Operations!BL86+Operations!BL87+Operations!BL88+Operations!BL89</f>
        <v>33.6479915836268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0</v>
      </c>
      <c r="AL25" s="11" t="n">
        <f aca="false">MAX(0,AL12)</f>
        <v>5.13871278843238</v>
      </c>
      <c r="AM25" s="11" t="n">
        <f aca="false">MAX(0,AM12)</f>
        <v>12.7141704450513</v>
      </c>
      <c r="AN25" s="11" t="n">
        <f aca="false">MAX(0,AN12)</f>
        <v>20.7454017172626</v>
      </c>
      <c r="AO25" s="11" t="n">
        <f aca="false">MAX(0,AO12)</f>
        <v>29.3260039063525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9.1371070682522</v>
      </c>
      <c r="P27" s="16" t="n">
        <f aca="false">Waterfall!P43</f>
        <v>14.5765362217372</v>
      </c>
      <c r="Q27" s="16" t="n">
        <f aca="false">Waterfall!Q43</f>
        <v>21.2669685809888</v>
      </c>
      <c r="R27" s="16" t="n">
        <f aca="false">Waterfall!R43</f>
        <v>28.323042734964</v>
      </c>
      <c r="S27" s="16" t="n">
        <f aca="false">Waterfall!S43</f>
        <v>36.4854663447645</v>
      </c>
      <c r="T27" s="16" t="n">
        <f aca="false">Waterfall!T43</f>
        <v>44.9880675887473</v>
      </c>
      <c r="U27" s="16" t="n">
        <f aca="false">Waterfall!U43</f>
        <v>54.6167567829363</v>
      </c>
      <c r="V27" s="16" t="n">
        <f aca="false">Waterfall!V43</f>
        <v>62.4643046013146</v>
      </c>
      <c r="W27" s="16" t="n">
        <f aca="false">Waterfall!W43</f>
        <v>73.9681839817034</v>
      </c>
      <c r="X27" s="16" t="n">
        <f aca="false">Waterfall!X43</f>
        <v>85.9418811652659</v>
      </c>
      <c r="Y27" s="16" t="n">
        <f aca="false">Waterfall!Y43</f>
        <v>96.0946325621037</v>
      </c>
      <c r="Z27" s="16" t="n">
        <f aca="false">Waterfall!Z43</f>
        <v>101.560551993119</v>
      </c>
      <c r="AA27" s="16" t="n">
        <f aca="false">Waterfall!AA43</f>
        <v>107.888719246453</v>
      </c>
      <c r="AB27" s="16" t="n">
        <f aca="false">Waterfall!AB43</f>
        <v>114.631296271796</v>
      </c>
      <c r="AC27" s="16" t="n">
        <f aca="false">Waterfall!AC43</f>
        <v>122.332091920859</v>
      </c>
      <c r="AD27" s="16" t="n">
        <f aca="false">Waterfall!AD43</f>
        <v>120.788755968618</v>
      </c>
      <c r="AE27" s="16" t="n">
        <f aca="false">Waterfall!AE43</f>
        <v>131.233894970419</v>
      </c>
      <c r="AF27" s="16" t="n">
        <f aca="false">Waterfall!AF43</f>
        <v>141.102141435141</v>
      </c>
      <c r="AG27" s="16" t="n">
        <f aca="false">Waterfall!AG43</f>
        <v>151.917413543122</v>
      </c>
      <c r="AH27" s="16" t="n">
        <f aca="false">Waterfall!AH43</f>
        <v>163.547246123862</v>
      </c>
      <c r="AI27" s="16" t="n">
        <f aca="false">Waterfall!AI43</f>
        <v>176.324861956203</v>
      </c>
      <c r="AJ27" s="16" t="n">
        <f aca="false">Waterfall!AJ43</f>
        <v>189.962935367036</v>
      </c>
      <c r="AK27" s="16" t="n">
        <f aca="false">Waterfall!AK43</f>
        <v>204.864951269633</v>
      </c>
      <c r="AL27" s="16" t="n">
        <f aca="false">Waterfall!AL43</f>
        <v>218.879502774945</v>
      </c>
      <c r="AM27" s="16" t="n">
        <f aca="false">Waterfall!AM43</f>
        <v>236.194279651885</v>
      </c>
      <c r="AN27" s="16" t="n">
        <f aca="false">Waterfall!AN43</f>
        <v>254.570095091719</v>
      </c>
      <c r="AO27" s="16" t="n">
        <f aca="false">Waterfall!AO43</f>
        <v>274.226142561518</v>
      </c>
      <c r="AP27" s="16" t="n">
        <f aca="false">Waterfall!AP43</f>
        <v>296.086066900031</v>
      </c>
      <c r="AQ27" s="16" t="n">
        <f aca="false">Waterfall!AQ43</f>
        <v>312.93926912205</v>
      </c>
      <c r="AR27" s="16" t="n">
        <f aca="false">Waterfall!AR43</f>
        <v>297.350547475905</v>
      </c>
      <c r="AS27" s="16" t="n">
        <f aca="false">Waterfall!AS43</f>
        <v>282.203751364918</v>
      </c>
      <c r="AT27" s="16" t="n">
        <f aca="false">Waterfall!AT43</f>
        <v>250.047735133936</v>
      </c>
      <c r="AU27" s="16" t="n">
        <f aca="false">Waterfall!AU43</f>
        <v>232.857309767929</v>
      </c>
      <c r="AV27" s="16" t="n">
        <f aca="false">Waterfall!AV43</f>
        <v>215.484535554874</v>
      </c>
      <c r="AW27" s="16" t="n">
        <f aca="false">Waterfall!AW43</f>
        <v>198.655797099372</v>
      </c>
      <c r="AX27" s="16" t="n">
        <f aca="false">Waterfall!AX43</f>
        <v>181.317298390562</v>
      </c>
      <c r="AY27" s="16" t="n">
        <f aca="false">Waterfall!AY43</f>
        <v>164.486402899047</v>
      </c>
      <c r="AZ27" s="16" t="n">
        <f aca="false">Waterfall!AZ43</f>
        <v>147.136386850905</v>
      </c>
      <c r="BA27" s="16" t="n">
        <f aca="false">Waterfall!BA43</f>
        <v>130.731893461954</v>
      </c>
      <c r="BB27" s="16" t="n">
        <f aca="false">Waterfall!BB43</f>
        <v>110.86498371751</v>
      </c>
      <c r="BC27" s="16" t="n">
        <f aca="false">Waterfall!BC43</f>
        <v>96.8856948395109</v>
      </c>
      <c r="BD27" s="16" t="n">
        <f aca="false">Waterfall!BD43</f>
        <v>89.0311144659598</v>
      </c>
      <c r="BE27" s="16" t="n">
        <f aca="false">Waterfall!BE43</f>
        <v>81.7441010071548</v>
      </c>
      <c r="BF27" s="16" t="n">
        <f aca="false">Waterfall!BF43</f>
        <v>73.9495020211233</v>
      </c>
      <c r="BG27" s="16" t="n">
        <f aca="false">Waterfall!BG43</f>
        <v>66.6940554250588</v>
      </c>
      <c r="BH27" s="16" t="n">
        <f aca="false">Waterfall!BH43</f>
        <v>58.9210226333701</v>
      </c>
      <c r="BI27" s="16" t="n">
        <f aca="false">Waterfall!BI43</f>
        <v>51.6379324699065</v>
      </c>
      <c r="BJ27" s="16" t="n">
        <f aca="false">Waterfall!BJ43</f>
        <v>24.2012522318651</v>
      </c>
      <c r="BK27" s="16" t="n">
        <f aca="false">Waterfall!BK43</f>
        <v>14.4814671136399</v>
      </c>
      <c r="BL27" s="16" t="n">
        <f aca="false">Waterfall!BL43</f>
        <v>3.95280560440722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912.681355674376</v>
      </c>
      <c r="P28" s="11" t="n">
        <f aca="false">P22+P23+P24+P25+P26+P27</f>
        <v>899.435460597691</v>
      </c>
      <c r="Q28" s="11" t="n">
        <f aca="false">Q22+Q23+Q24+Q25+Q26+Q27</f>
        <v>889.31091375043</v>
      </c>
      <c r="R28" s="11" t="n">
        <f aca="false">R22+R23+R24+R25+R26+R27</f>
        <v>877.50320551278</v>
      </c>
      <c r="S28" s="11" t="n">
        <f aca="false">S22+S23+S24+S25+S26+S27</f>
        <v>867.350037979441</v>
      </c>
      <c r="T28" s="11" t="n">
        <f aca="false">T22+T23+T24+T25+T26+T27</f>
        <v>855.673953207563</v>
      </c>
      <c r="U28" s="11" t="n">
        <f aca="false">U22+U23+U24+U25+U26+U27</f>
        <v>845.712793099541</v>
      </c>
      <c r="V28" s="11" t="n">
        <f aca="false">V22+V23+V24+V25+V26+V27</f>
        <v>831.081395914097</v>
      </c>
      <c r="W28" s="11" t="n">
        <f aca="false">W22+W23+W24+W25+W26+W27</f>
        <v>819.033443034506</v>
      </c>
      <c r="X28" s="11" t="n">
        <f aca="false">X22+X23+X24+X25+X26+X27</f>
        <v>808.765515804597</v>
      </c>
      <c r="Y28" s="11" t="n">
        <f aca="false">Y22+Y23+Y24+Y25+Y26+Y27</f>
        <v>797.632745958574</v>
      </c>
      <c r="Z28" s="11" t="n">
        <f aca="false">Z22+Z23+Z24+Z25+Z26+Z27</f>
        <v>779.862808213291</v>
      </c>
      <c r="AA28" s="11" t="n">
        <f aca="false">AA22+AA23+AA24+AA25+AA26+AA27</f>
        <v>763.445577768874</v>
      </c>
      <c r="AB28" s="11" t="n">
        <f aca="false">AB22+AB23+AB24+AB25+AB26+AB27</f>
        <v>744.764244696006</v>
      </c>
      <c r="AC28" s="11" t="n">
        <f aca="false">AC22+AC23+AC24+AC25+AC26+AC27</f>
        <v>727.927794854081</v>
      </c>
      <c r="AD28" s="11" t="n">
        <f aca="false">AD22+AD23+AD24+AD25+AD26+AD27</f>
        <v>697.352813861792</v>
      </c>
      <c r="AE28" s="11" t="n">
        <f aca="false">AE22+AE23+AE24+AE25+AE26+AE27</f>
        <v>677.807429338626</v>
      </c>
      <c r="AF28" s="11" t="n">
        <f aca="false">AF22+AF23+AF24+AF25+AF26+AF27</f>
        <v>655.77191440015</v>
      </c>
      <c r="AG28" s="11" t="n">
        <f aca="false">AG22+AG23+AG24+AG25+AG26+AG27</f>
        <v>634.790986215631</v>
      </c>
      <c r="AH28" s="11" t="n">
        <f aca="false">AH22+AH23+AH24+AH25+AH26+AH27</f>
        <v>611.598293743578</v>
      </c>
      <c r="AI28" s="11" t="n">
        <f aca="false">AI22+AI23+AI24+AI25+AI26+AI27</f>
        <v>589.186772460726</v>
      </c>
      <c r="AJ28" s="11" t="n">
        <f aca="false">AJ22+AJ23+AJ24+AJ25+AJ26+AJ27</f>
        <v>564.519292333582</v>
      </c>
      <c r="AK28" s="11" t="n">
        <f aca="false">AK22+AK23+AK24+AK25+AK26+AK27</f>
        <v>540.128038501239</v>
      </c>
      <c r="AL28" s="11" t="n">
        <f aca="false">AL22+AL23+AL24+AL25+AL26+AL27</f>
        <v>516.634696281782</v>
      </c>
      <c r="AM28" s="11" t="n">
        <f aca="false">AM22+AM23+AM24+AM25+AM26+AM27</f>
        <v>496.327284146223</v>
      </c>
      <c r="AN28" s="11" t="n">
        <f aca="false">AN22+AN23+AN24+AN25+AN26+AN27</f>
        <v>481.542873900817</v>
      </c>
      <c r="AO28" s="11" t="n">
        <f aca="false">AO22+AO23+AO24+AO25+AO26+AO27</f>
        <v>449.100281721859</v>
      </c>
      <c r="AP28" s="11" t="n">
        <f aca="false">AP22+AP23+AP24+AP25+AP26+AP27</f>
        <v>434.481589451937</v>
      </c>
      <c r="AQ28" s="11" t="n">
        <f aca="false">AQ22+AQ23+AQ24+AQ25+AQ26+AQ27</f>
        <v>420.971480253584</v>
      </c>
      <c r="AR28" s="11" t="n">
        <f aca="false">AR22+AR23+AR24+AR25+AR26+AR27</f>
        <v>406.378230017649</v>
      </c>
      <c r="AS28" s="11" t="n">
        <f aca="false">AS22+AS23+AS24+AS25+AS26+AS27</f>
        <v>392.732875869801</v>
      </c>
      <c r="AT28" s="11" t="n">
        <f aca="false">AT22+AT23+AT24+AT25+AT26+AT27</f>
        <v>361.476760454582</v>
      </c>
      <c r="AU28" s="11" t="n">
        <f aca="false">AU22+AU23+AU24+AU25+AU26+AU27</f>
        <v>345.917971862639</v>
      </c>
      <c r="AV28" s="11" t="n">
        <f aca="false">AV22+AV23+AV24+AV25+AV26+AV27</f>
        <v>329.629814121321</v>
      </c>
      <c r="AW28" s="11" t="n">
        <f aca="false">AW22+AW23+AW24+AW25+AW26+AW27</f>
        <v>314.391091994934</v>
      </c>
      <c r="AX28" s="11" t="n">
        <f aca="false">AX22+AX23+AX24+AX25+AX26+AX27</f>
        <v>298.008726911082</v>
      </c>
      <c r="AY28" s="11" t="n">
        <f aca="false">AY22+AY23+AY24+AY25+AY26+AY27</f>
        <v>282.798644078492</v>
      </c>
      <c r="AZ28" s="11" t="n">
        <f aca="false">AZ22+AZ23+AZ24+AZ25+AZ26+AZ27</f>
        <v>266.443544449025</v>
      </c>
      <c r="BA28" s="11" t="n">
        <f aca="false">BA22+BA23+BA24+BA25+BA26+BA27</f>
        <v>251.602306151938</v>
      </c>
      <c r="BB28" s="11" t="n">
        <f aca="false">BB22+BB23+BB24+BB25+BB26+BB27</f>
        <v>232.662219437156</v>
      </c>
      <c r="BC28" s="11" t="n">
        <f aca="false">BC22+BC23+BC24+BC25+BC26+BC27</f>
        <v>218.428590570156</v>
      </c>
      <c r="BD28" s="11" t="n">
        <f aca="false">BD22+BD23+BD24+BD25+BD26+BD27</f>
        <v>205.848708659401</v>
      </c>
      <c r="BE28" s="11" t="n">
        <f aca="false">BE22+BE23+BE24+BE25+BE26+BE27</f>
        <v>194.426550435422</v>
      </c>
      <c r="BF28" s="11" t="n">
        <f aca="false">BF22+BF23+BF24+BF25+BF26+BF27</f>
        <v>181.810982471055</v>
      </c>
      <c r="BG28" s="11" t="n">
        <f aca="false">BG22+BG23+BG24+BG25+BG26+BG27</f>
        <v>170.453811243726</v>
      </c>
      <c r="BH28" s="11" t="n">
        <f aca="false">BH22+BH23+BH24+BH25+BH26+BH27</f>
        <v>157.901958319114</v>
      </c>
      <c r="BI28" s="11" t="n">
        <f aca="false">BI22+BI23+BI24+BI25+BI26+BI27</f>
        <v>146.431288027755</v>
      </c>
      <c r="BJ28" s="11" t="n">
        <f aca="false">BJ22+BJ23+BJ24+BJ25+BJ26+BJ27</f>
        <v>114.103037687753</v>
      </c>
      <c r="BK28" s="11" t="n">
        <f aca="false">BK22+BK23+BK24+BK25+BK26+BK27</f>
        <v>100.34915219535</v>
      </c>
      <c r="BL28" s="11" t="n">
        <f aca="false">BL22+BL23+BL24+BL25+BL26+BL27</f>
        <v>85.1469596037651</v>
      </c>
      <c r="BM28" s="11" t="n">
        <f aca="false">BM22+BM23+BM24+BM25+BM26+BM27</f>
        <v>-1.98951966012828E-013</v>
      </c>
      <c r="BN28" s="11" t="n">
        <f aca="false">BN22+BN23+BN24+BN25+BN26+BN27</f>
        <v>-1.98951966012828E-013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0.0352983376154708</v>
      </c>
      <c r="AC7" s="14" t="n">
        <f aca="false">IF(Debt!AC122&gt;0.000000001,Debt!AC119/Debt!AC122,0)</f>
        <v>0.0348272688861412</v>
      </c>
      <c r="AD7" s="14" t="n">
        <f aca="false">IF(Debt!AD122&gt;0.000000001,Debt!AD119/Debt!AD122,0)</f>
        <v>0.0348489276840638</v>
      </c>
      <c r="AE7" s="14" t="n">
        <f aca="false">IF(Debt!AE122&gt;0.000000001,Debt!AE119/Debt!AE122,0)</f>
        <v>0.0341789986287584</v>
      </c>
      <c r="AF7" s="14" t="n">
        <f aca="false">IF(Debt!AF122&gt;0.000000001,Debt!AF119/Debt!AF122,0)</f>
        <v>0.0341541083686444</v>
      </c>
      <c r="AG7" s="14" t="n">
        <f aca="false">IF(Debt!AG122&gt;0.000000001,Debt!AG119/Debt!AG122,0)</f>
        <v>0.0341648214230318</v>
      </c>
      <c r="AH7" s="14" t="n">
        <f aca="false">IF(Debt!AH122&gt;0.000000001,Debt!AH119/Debt!AH122,0)</f>
        <v>0.0338278130611464</v>
      </c>
      <c r="AI7" s="14" t="n">
        <f aca="false">IF(Debt!AI122&gt;0.000000001,Debt!AI119/Debt!AI122,0)</f>
        <v>0.0325648009003237</v>
      </c>
      <c r="AJ7" s="14" t="n">
        <f aca="false">IF(Debt!AJ122&gt;0.000000001,Debt!AJ119/Debt!AJ122,0)</f>
        <v>0.0315150608254731</v>
      </c>
      <c r="AK7" s="14" t="n">
        <f aca="false">IF(Debt!AK122&gt;0.000000001,Debt!AK119/Debt!AK122,0)</f>
        <v>0.0291763368023964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0.0352983376154708</v>
      </c>
      <c r="AC10" s="14" t="n">
        <f aca="false">IF(AC7&gt;0,AC7,$F$9)</f>
        <v>0.0348272688861412</v>
      </c>
      <c r="AD10" s="14" t="n">
        <f aca="false">IF(AD7&gt;0,AD7,$F$9)</f>
        <v>0.0348489276840638</v>
      </c>
      <c r="AE10" s="14" t="n">
        <f aca="false">IF(AE7&gt;0,AE7,$F$9)</f>
        <v>0.0341789986287584</v>
      </c>
      <c r="AF10" s="14" t="n">
        <f aca="false">IF(AF7&gt;0,AF7,$F$9)</f>
        <v>0.0341541083686444</v>
      </c>
      <c r="AG10" s="14" t="n">
        <f aca="false">IF(AG7&gt;0,AG7,$F$9)</f>
        <v>0.0341648214230318</v>
      </c>
      <c r="AH10" s="14" t="n">
        <f aca="false">IF(AH7&gt;0,AH7,$F$9)</f>
        <v>0.0338278130611464</v>
      </c>
      <c r="AI10" s="14" t="n">
        <f aca="false">IF(AI7&gt;0,AI7,$F$9)</f>
        <v>0.0325648009003237</v>
      </c>
      <c r="AJ10" s="14" t="n">
        <f aca="false">IF(AJ7&gt;0,AJ7,$F$9)</f>
        <v>0.0315150608254731</v>
      </c>
      <c r="AK10" s="14" t="n">
        <f aca="false">IF(AK7&gt;0,AK7,$F$9)</f>
        <v>0.0291763368023964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711.122345981392</v>
      </c>
      <c r="K11" s="11" t="n">
        <f aca="false">IF(Time!K17&lt;=$F$8,(Waterfall!K7+L11)/(1+K10),0)</f>
        <v>730.331136912828</v>
      </c>
      <c r="L11" s="11" t="n">
        <f aca="false">IF(Time!L17&lt;=$F$8,(Waterfall!L7+M11)/(1+L10),0)</f>
        <v>750.058794465645</v>
      </c>
      <c r="M11" s="11" t="n">
        <f aca="false">IF(Time!M17&lt;=$F$8,(Waterfall!M7+N11)/(1+M10),0)</f>
        <v>770.319334231545</v>
      </c>
      <c r="N11" s="11" t="n">
        <f aca="false">IF(Time!N17&lt;=$F$8,(Waterfall!N7+O11)/(1+N10),0)</f>
        <v>791.127150390488</v>
      </c>
      <c r="O11" s="11" t="n">
        <f aca="false">IF(Time!O17&lt;=$F$8,(Waterfall!O7+P11)/(1+O10),0)</f>
        <v>812.497025937096</v>
      </c>
      <c r="P11" s="11" t="n">
        <f aca="false">IF(Time!P17&lt;=$F$8,(Waterfall!P7+Q11)/(1+P10),0)</f>
        <v>832.60946702485</v>
      </c>
      <c r="Q11" s="11" t="n">
        <f aca="false">IF(Time!Q17&lt;=$F$8,(Waterfall!Q7+R11)/(1+Q10),0)</f>
        <v>812.873520129958</v>
      </c>
      <c r="R11" s="11" t="n">
        <f aca="false">IF(Time!R17&lt;=$F$8,(Waterfall!R7+S11)/(1+R10),0)</f>
        <v>792.299052984601</v>
      </c>
      <c r="S11" s="11" t="n">
        <f aca="false">IF(Time!S17&lt;=$F$8,(Waterfall!S7+T11)/(1+S10),0)</f>
        <v>770.712652159841</v>
      </c>
      <c r="T11" s="11" t="n">
        <f aca="false">IF(Time!T17&lt;=$F$8,(Waterfall!T7+U11)/(1+T10),0)</f>
        <v>748.499486520411</v>
      </c>
      <c r="U11" s="11" t="n">
        <f aca="false">IF(Time!U17&lt;=$F$8,(Waterfall!U7+V11)/(1+U10),0)</f>
        <v>725.291751153007</v>
      </c>
      <c r="V11" s="11" t="n">
        <f aca="false">IF(Time!V17&lt;=$F$8,(Waterfall!V7+W11)/(1+V10),0)</f>
        <v>701.339020149864</v>
      </c>
      <c r="W11" s="11" t="n">
        <f aca="false">IF(Time!W17&lt;=$F$8,(Waterfall!W7+X11)/(1+W10),0)</f>
        <v>675.765471399844</v>
      </c>
      <c r="X11" s="11" t="n">
        <f aca="false">IF(Time!X17&lt;=$F$8,(Waterfall!X7+Y11)/(1+X10),0)</f>
        <v>649.421489627262</v>
      </c>
      <c r="Y11" s="11" t="n">
        <f aca="false">IF(Time!Y17&lt;=$F$8,(Waterfall!Y7+Z11)/(1+Y10),0)</f>
        <v>623.980034652128</v>
      </c>
      <c r="Z11" s="11" t="n">
        <f aca="false">IF(Time!Z17&lt;=$F$8,(Waterfall!Z7+AA11)/(1+Z10),0)</f>
        <v>598.578257166494</v>
      </c>
      <c r="AA11" s="11" t="n">
        <f aca="false">IF(Time!AA17&lt;=$F$8,(Waterfall!AA7+AB11)/(1+AA10),0)</f>
        <v>572.129975083059</v>
      </c>
      <c r="AB11" s="11" t="n">
        <f aca="false">IF(Time!AB17&lt;=$F$8,(Waterfall!AB7+AC11)/(1+AB10),0)</f>
        <v>544.919506944615</v>
      </c>
      <c r="AC11" s="11" t="n">
        <f aca="false">IF(Time!AC17&lt;=$F$8,(Waterfall!AC7+AD11)/(1+AC10),0)</f>
        <v>516.341857549059</v>
      </c>
      <c r="AD11" s="11" t="n">
        <f aca="false">IF(Time!AD17&lt;=$F$8,(Waterfall!AD7+AE11)/(1+AD10),0)</f>
        <v>486.693951368262</v>
      </c>
      <c r="AE11" s="11" t="n">
        <f aca="false">IF(Time!AE17&lt;=$F$8,(Waterfall!AE7+AF11)/(1+AE10),0)</f>
        <v>454.080799139916</v>
      </c>
      <c r="AF11" s="11" t="n">
        <f aca="false">IF(Time!AF17&lt;=$F$8,(Waterfall!AF7+AG11)/(1+AF10),0)</f>
        <v>419.944973861866</v>
      </c>
      <c r="AG11" s="11" t="n">
        <f aca="false">IF(Time!AG17&lt;=$F$8,(Waterfall!AG7+AH11)/(1+AG10),0)</f>
        <v>384.580391383248</v>
      </c>
      <c r="AH11" s="11" t="n">
        <f aca="false">IF(Time!AH17&lt;=$F$8,(Waterfall!AH7+AI11)/(1+AH10),0)</f>
        <v>348.395223518089</v>
      </c>
      <c r="AI11" s="11" t="n">
        <f aca="false">IF(Time!AI17&lt;=$F$8,(Waterfall!AI7+AJ11)/(1+AI10),0)</f>
        <v>310.218693440306</v>
      </c>
      <c r="AJ11" s="11" t="n">
        <f aca="false">IF(Time!AJ17&lt;=$F$8,(Waterfall!AJ7+AK11)/(1+AJ10),0)</f>
        <v>270.761897447783</v>
      </c>
      <c r="AK11" s="11" t="n">
        <f aca="false">IF(Time!AK17&lt;=$F$8,(Waterfall!AK7+AL11)/(1+AK10),0)</f>
        <v>229.191533106891</v>
      </c>
      <c r="AL11" s="11" t="n">
        <f aca="false">IF(Time!AL17&lt;=$F$8,(Waterfall!AL7+AM11)/(1+AL10),0)</f>
        <v>185.998777722171</v>
      </c>
      <c r="AM11" s="11" t="n">
        <f aca="false">IF(Time!AM17&lt;=$F$8,(Waterfall!AM7+AN11)/(1+AM10),0)</f>
        <v>140.049286340803</v>
      </c>
      <c r="AN11" s="11" t="n">
        <f aca="false">IF(Time!AN17&lt;=$F$8,(Waterfall!AN7+AO11)/(1+AN10),0)</f>
        <v>93.2102455530143</v>
      </c>
      <c r="AO11" s="11" t="n">
        <f aca="false">IF(Time!AO17&lt;=$F$8,(Waterfall!AO7+AP11)/(1+AO10),0)</f>
        <v>47.0453619153281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969.356496702817</v>
      </c>
      <c r="K12" s="11" t="n">
        <f aca="false">IF(Time!K17&lt;=Time!$F$14,(Waterfall!K7+L12)/(1+K10),0)</f>
        <v>995.540691853508</v>
      </c>
      <c r="L12" s="11" t="n">
        <f aca="false">IF(Time!L17&lt;=Time!$F$14,(Waterfall!L7+M12)/(1+L10),0)</f>
        <v>1022.43217279433</v>
      </c>
      <c r="M12" s="11" t="n">
        <f aca="false">IF(Time!M17&lt;=Time!$F$14,(Waterfall!M7+N12)/(1+M10),0)</f>
        <v>1050.05004468342</v>
      </c>
      <c r="N12" s="11" t="n">
        <f aca="false">IF(Time!N17&lt;=Time!$F$14,(Waterfall!N7+O12)/(1+N10),0)</f>
        <v>1078.4139287462</v>
      </c>
      <c r="O12" s="11" t="n">
        <f aca="false">IF(Time!O17&lt;=Time!$F$14,(Waterfall!O7+P12)/(1+O10),0)</f>
        <v>1107.54397621538</v>
      </c>
      <c r="P12" s="11" t="n">
        <f aca="false">IF(Time!P17&lt;=Time!$F$14,(Waterfall!P7+Q12)/(1+P10),0)</f>
        <v>1135.62620648903</v>
      </c>
      <c r="Q12" s="11" t="n">
        <f aca="false">IF(Time!Q17&lt;=Time!$F$14,(Waterfall!Q7+R12)/(1+Q10),0)</f>
        <v>1126.30072104138</v>
      </c>
      <c r="R12" s="11" t="n">
        <f aca="false">IF(Time!R17&lt;=Time!$F$14,(Waterfall!R7+S12)/(1+R10),0)</f>
        <v>1116.38668397551</v>
      </c>
      <c r="S12" s="11" t="n">
        <f aca="false">IF(Time!S17&lt;=Time!$F$14,(Waterfall!S7+T12)/(1+S10),0)</f>
        <v>1105.94268199282</v>
      </c>
      <c r="T12" s="11" t="n">
        <f aca="false">IF(Time!T17&lt;=Time!$F$14,(Waterfall!T7+U12)/(1+T10),0)</f>
        <v>1095.13559683942</v>
      </c>
      <c r="U12" s="11" t="n">
        <f aca="false">IF(Time!U17&lt;=Time!$F$14,(Waterfall!U7+V12)/(1+U10),0)</f>
        <v>1083.84978698722</v>
      </c>
      <c r="V12" s="11" t="n">
        <f aca="false">IF(Time!V17&lt;=Time!$F$14,(Waterfall!V7+W12)/(1+V10),0)</f>
        <v>1072.1409138509</v>
      </c>
      <c r="W12" s="11" t="n">
        <f aca="false">IF(Time!W17&lt;=Time!$F$14,(Waterfall!W7+X12)/(1+W10),0)</f>
        <v>1059.32042926818</v>
      </c>
      <c r="X12" s="11" t="n">
        <f aca="false">IF(Time!X17&lt;=Time!$F$14,(Waterfall!X7+Y12)/(1+X10),0)</f>
        <v>1046.0267661751</v>
      </c>
      <c r="Y12" s="11" t="n">
        <f aca="false">IF(Time!Y17&lt;=Time!$F$14,(Waterfall!Y7+Z12)/(1+Y10),0)</f>
        <v>1034.22583630738</v>
      </c>
      <c r="Z12" s="11" t="n">
        <f aca="false">IF(Time!Z17&lt;=Time!$F$14,(Waterfall!Z7+AA12)/(1+Z10),0)</f>
        <v>1023.21796680242</v>
      </c>
      <c r="AA12" s="11" t="n">
        <f aca="false">IF(Time!AA17&lt;=Time!$F$14,(Waterfall!AA7+AB12)/(1+AA10),0)</f>
        <v>1011.8325952157</v>
      </c>
      <c r="AB12" s="11" t="n">
        <f aca="false">IF(Time!AB17&lt;=Time!$F$14,(Waterfall!AB7+AC12)/(1+AB10),0)</f>
        <v>1000.04955869878</v>
      </c>
      <c r="AC12" s="11" t="n">
        <f aca="false">IF(Time!AC17&lt;=Time!$F$14,(Waterfall!AC7+AD12)/(1+AC10),0)</f>
        <v>987.537243528986</v>
      </c>
      <c r="AD12" s="11" t="n">
        <f aca="false">IF(Time!AD17&lt;=Time!$F$14,(Waterfall!AD7+AE12)/(1+AD10),0)</f>
        <v>974.299785753621</v>
      </c>
      <c r="AE12" s="11" t="n">
        <f aca="false">IF(Time!AE17&lt;=Time!$F$14,(Waterfall!AE7+AF12)/(1+AE10),0)</f>
        <v>958.679173986097</v>
      </c>
      <c r="AF12" s="11" t="n">
        <f aca="false">IF(Time!AF17&lt;=Time!$F$14,(Waterfall!AF7+AG12)/(1+AF10),0)</f>
        <v>941.790015869989</v>
      </c>
      <c r="AG12" s="11" t="n">
        <f aca="false">IF(Time!AG17&lt;=Time!$F$14,(Waterfall!AG7+AH12)/(1+AG10),0)</f>
        <v>924.248585507756</v>
      </c>
      <c r="AH12" s="11" t="n">
        <f aca="false">IF(Time!AH17&lt;=Time!$F$14,(Waterfall!AH7+AI12)/(1+AH10),0)</f>
        <v>906.501085122551</v>
      </c>
      <c r="AI12" s="11" t="n">
        <f aca="false">IF(Time!AI17&lt;=Time!$F$14,(Waterfall!AI7+AJ12)/(1+AI10),0)</f>
        <v>887.204055799454</v>
      </c>
      <c r="AJ12" s="11" t="n">
        <f aca="false">IF(Time!AJ17&lt;=Time!$F$14,(Waterfall!AJ7+AK12)/(1+AJ10),0)</f>
        <v>866.536673254557</v>
      </c>
      <c r="AK12" s="11" t="n">
        <f aca="false">IF(Time!AK17&lt;=Time!$F$14,(Waterfall!AK7+AL12)/(1+AK10),0)</f>
        <v>843.742187211499</v>
      </c>
      <c r="AL12" s="11" t="n">
        <f aca="false">IF(Time!AL17&lt;=Time!$F$14,(Waterfall!AL7+AM12)/(1+AL10),0)</f>
        <v>818.479768693067</v>
      </c>
      <c r="AM12" s="11" t="n">
        <f aca="false">IF(Time!AM17&lt;=Time!$F$14,(Waterfall!AM7+AN12)/(1+AM10),0)</f>
        <v>789.698667773149</v>
      </c>
      <c r="AN12" s="11" t="n">
        <f aca="false">IF(Time!AN17&lt;=Time!$F$14,(Waterfall!AN7+AO12)/(1+AN10),0)</f>
        <v>760.40791416434</v>
      </c>
      <c r="AO12" s="11" t="n">
        <f aca="false">IF(Time!AO17&lt;=Time!$F$14,(Waterfall!AO7+AP12)/(1+AO10),0)</f>
        <v>732.3537884043</v>
      </c>
      <c r="AP12" s="11" t="n">
        <f aca="false">IF(Time!AP17&lt;=Time!$F$14,(Waterfall!AP7+AQ12)/(1+AP10),0)</f>
        <v>703.81993349247</v>
      </c>
      <c r="AQ12" s="11" t="n">
        <f aca="false">IF(Time!AQ17&lt;=Time!$F$14,(Waterfall!AQ7+AR12)/(1+AQ10),0)</f>
        <v>677.204789241825</v>
      </c>
      <c r="AR12" s="11" t="n">
        <f aca="false">IF(Time!AR17&lt;=Time!$F$14,(Waterfall!AR7+AS12)/(1+AR10),0)</f>
        <v>655.559920688572</v>
      </c>
      <c r="AS12" s="11" t="n">
        <f aca="false">IF(Time!AS17&lt;=Time!$F$14,(Waterfall!AS7+AT12)/(1+AS10),0)</f>
        <v>633.235546810351</v>
      </c>
      <c r="AT12" s="11" t="n">
        <f aca="false">IF(Time!AT17&lt;=Time!$F$14,(Waterfall!AT7+AU12)/(1+AT10),0)</f>
        <v>610.553574412671</v>
      </c>
      <c r="AU12" s="11" t="n">
        <f aca="false">IF(Time!AU17&lt;=Time!$F$14,(Waterfall!AU7+AV12)/(1+AU10),0)</f>
        <v>580.509515221996</v>
      </c>
      <c r="AV12" s="11" t="n">
        <f aca="false">IF(Time!AV17&lt;=Time!$F$14,(Waterfall!AV7+AW12)/(1+AV10),0)</f>
        <v>554.072896082221</v>
      </c>
      <c r="AW12" s="11" t="n">
        <f aca="false">IF(Time!AW17&lt;=Time!$F$14,(Waterfall!AW7+AX12)/(1+AW10),0)</f>
        <v>526.890887580907</v>
      </c>
      <c r="AX12" s="11" t="n">
        <f aca="false">IF(Time!AX17&lt;=Time!$F$14,(Waterfall!AX7+AY12)/(1+AX10),0)</f>
        <v>499.41286201082</v>
      </c>
      <c r="AY12" s="11" t="n">
        <f aca="false">IF(Time!AY17&lt;=Time!$F$14,(Waterfall!AY7+AZ12)/(1+AY10),0)</f>
        <v>470.552677922955</v>
      </c>
      <c r="AZ12" s="11" t="n">
        <f aca="false">IF(Time!AZ17&lt;=Time!$F$14,(Waterfall!AZ7+BA12)/(1+AZ10),0)</f>
        <v>441.355458996172</v>
      </c>
      <c r="BA12" s="11" t="n">
        <f aca="false">IF(Time!BA17&lt;=Time!$F$14,(Waterfall!BA7+BB12)/(1+BA10),0)</f>
        <v>410.805514286424</v>
      </c>
      <c r="BB12" s="11" t="n">
        <f aca="false">IF(Time!BB17&lt;=Time!$F$14,(Waterfall!BB7+BC12)/(1+BB10),0)</f>
        <v>379.713567527823</v>
      </c>
      <c r="BC12" s="11" t="n">
        <f aca="false">IF(Time!BC17&lt;=Time!$F$14,(Waterfall!BC7+BD12)/(1+BC10),0)</f>
        <v>345.537192950979</v>
      </c>
      <c r="BD12" s="11" t="n">
        <f aca="false">IF(Time!BD17&lt;=Time!$F$14,(Waterfall!BD7+BE12)/(1+BD10),0)</f>
        <v>313.821391389204</v>
      </c>
      <c r="BE12" s="11" t="n">
        <f aca="false">IF(Time!BE17&lt;=Time!$F$14,(Waterfall!BE7+BF12)/(1+BE10),0)</f>
        <v>287.427453213569</v>
      </c>
      <c r="BF12" s="11" t="n">
        <f aca="false">IF(Time!BF17&lt;=Time!$F$14,(Waterfall!BF7+BG12)/(1+BF10),0)</f>
        <v>260.756642601584</v>
      </c>
      <c r="BG12" s="11" t="n">
        <f aca="false">IF(Time!BG17&lt;=Time!$F$14,(Waterfall!BG7+BH12)/(1+BG10),0)</f>
        <v>232.698592309983</v>
      </c>
      <c r="BH12" s="11" t="n">
        <f aca="false">IF(Time!BH17&lt;=Time!$F$14,(Waterfall!BH7+BI12)/(1+BH10),0)</f>
        <v>204.334801833487</v>
      </c>
      <c r="BI12" s="11" t="n">
        <f aca="false">IF(Time!BI17&lt;=Time!$F$14,(Waterfall!BI7+BJ12)/(1+BI10),0)</f>
        <v>174.621474787587</v>
      </c>
      <c r="BJ12" s="11" t="n">
        <f aca="false">IF(Time!BJ17&lt;=Time!$F$14,(Waterfall!BJ7+BK12)/(1+BJ10),0)</f>
        <v>144.343631774343</v>
      </c>
      <c r="BK12" s="11" t="n">
        <f aca="false">IF(Time!BK17&lt;=Time!$F$14,(Waterfall!BK7+BL12)/(1+BK10),0)</f>
        <v>105.205429482668</v>
      </c>
      <c r="BL12" s="11" t="n">
        <f aca="false">IF(Time!BL17&lt;=Time!$F$14,(Waterfall!BL7+BM12)/(1+BL10),0)</f>
        <v>70.2386900128732</v>
      </c>
      <c r="BM12" s="11" t="n">
        <f aca="false">IF(Time!BM17&lt;=Time!$F$14,(Waterfall!BM7+BN12)/(1+BM10),0)</f>
        <v>33.6854511824752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1.37362361518398</v>
      </c>
      <c r="Q13" s="6" t="n">
        <f aca="false">IF(Debt!Q122&gt;0.000000001,(Q11+Reserves!Q9)/Debt!Q122,0)</f>
        <v>1.37597436215449</v>
      </c>
      <c r="R13" s="6" t="n">
        <f aca="false">IF(Debt!R122&gt;0.000000001,(R11+Reserves!R9)/Debt!R122,0)</f>
        <v>1.37947951580842</v>
      </c>
      <c r="S13" s="6" t="n">
        <f aca="false">IF(Debt!S122&gt;0.000000001,(S11+Reserves!S9)/Debt!S122,0)</f>
        <v>1.38203011243881</v>
      </c>
      <c r="T13" s="6" t="n">
        <f aca="false">IF(Debt!T122&gt;0.000000001,(T11+Reserves!T9)/Debt!T122,0)</f>
        <v>1.38609722232261</v>
      </c>
      <c r="U13" s="6" t="n">
        <f aca="false">IF(Debt!U122&gt;0.000000001,(U11+Reserves!U9)/Debt!U122,0)</f>
        <v>1.38955245654828</v>
      </c>
      <c r="V13" s="6" t="n">
        <f aca="false">IF(Debt!V122&gt;0.000000001,(V11+Reserves!V9)/Debt!V122,0)</f>
        <v>1.39506215768098</v>
      </c>
      <c r="W13" s="6" t="n">
        <f aca="false">IF(Debt!W122&gt;0.000000001,(W11+Reserves!W9)/Debt!W122,0)</f>
        <v>1.39925262852333</v>
      </c>
      <c r="X13" s="6" t="n">
        <f aca="false">IF(Debt!X122&gt;0.000000001,(X11+Reserves!X9)/Debt!X122,0)</f>
        <v>1.40227085282089</v>
      </c>
      <c r="Y13" s="6" t="n">
        <f aca="false">IF(Debt!Y122&gt;0.000000001,(Y11+Reserves!Y9)/Debt!Y122,0)</f>
        <v>1.40733686963505</v>
      </c>
      <c r="Z13" s="6" t="n">
        <f aca="false">IF(Debt!Z122&gt;0.000000001,(Z11+Reserves!Z9)/Debt!Z122,0)</f>
        <v>1.41443731597954</v>
      </c>
      <c r="AA13" s="6" t="n">
        <f aca="false">IF(Debt!AA122&gt;0.000000001,(AA11+Reserves!AA9)/Debt!AA122,0)</f>
        <v>1.42112866605944</v>
      </c>
      <c r="AB13" s="6" t="n">
        <f aca="false">IF(Debt!AB122&gt;0.000000001,(AB11+Reserves!AB9)/Debt!AB122,0)</f>
        <v>1.4488749408792</v>
      </c>
      <c r="AC13" s="6" t="n">
        <f aca="false">IF(Debt!AC122&gt;0.000000001,(AC11+Reserves!AC9)/Debt!AC122,0)</f>
        <v>1.4803449203629</v>
      </c>
      <c r="AD13" s="6" t="n">
        <f aca="false">IF(Debt!AD122&gt;0.000000001,(AD11+Reserves!AD9)/Debt!AD122,0)</f>
        <v>1.51786496747379</v>
      </c>
      <c r="AE13" s="6" t="n">
        <f aca="false">IF(Debt!AE122&gt;0.000000001,(AE11+Reserves!AE9)/Debt!AE122,0)</f>
        <v>1.56318513766163</v>
      </c>
      <c r="AF13" s="6" t="n">
        <f aca="false">IF(Debt!AF122&gt;0.000000001,(AF11+Reserves!AF9)/Debt!AF122,0)</f>
        <v>1.61841943590917</v>
      </c>
      <c r="AG13" s="6" t="n">
        <f aca="false">IF(Debt!AG122&gt;0.000000001,(AG11+Reserves!AG9)/Debt!AG122,0)</f>
        <v>1.6873458590373</v>
      </c>
      <c r="AH13" s="6" t="n">
        <f aca="false">IF(Debt!AH122&gt;0.000000001,(AH11+Reserves!AH9)/Debt!AH122,0)</f>
        <v>1.77568344897896</v>
      </c>
      <c r="AI13" s="6" t="n">
        <f aca="false">IF(Debt!AI122&gt;0.000000001,(AI11+Reserves!AI9)/Debt!AI122,0)</f>
        <v>1.89598563266739</v>
      </c>
      <c r="AJ13" s="6" t="n">
        <f aca="false">IF(Debt!AJ122&gt;0.000000001,(AJ11+Reserves!AJ9)/Debt!AJ122,0)</f>
        <v>2.06757556237385</v>
      </c>
      <c r="AK13" s="6" t="n">
        <f aca="false">IF(Debt!AK122&gt;0.000000001,(AK11+Reserves!AK9)/Debt!AK122,0)</f>
        <v>2.34262589466929</v>
      </c>
      <c r="AL13" s="6" t="n">
        <f aca="false">IF(Debt!AL122&gt;0.000000001,(AL11+Reserves!AL9)/Debt!AL122,0)</f>
        <v>2.64959164818449</v>
      </c>
      <c r="AM13" s="6" t="n">
        <f aca="false">IF(Debt!AM122&gt;0.000000001,(AM11+Reserves!AM9)/Debt!AM122,0)</f>
        <v>2.79514614647985</v>
      </c>
      <c r="AN13" s="6" t="n">
        <f aca="false">IF(Debt!AN122&gt;0.000000001,(AN11+Reserves!AN9)/Debt!AN122,0)</f>
        <v>3.07377929584199</v>
      </c>
      <c r="AO13" s="6" t="n">
        <f aca="false">IF(Debt!AO122&gt;0.000000001,(AO11+Reserves!AO9)/Debt!AO122,0)</f>
        <v>3.58262306197808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1.31480712252448</v>
      </c>
      <c r="Q14" s="6" t="n">
        <f aca="false">IF(Debt!Q122&gt;0.000000001,Q11/Debt!Q122,0)</f>
        <v>1.31582699118847</v>
      </c>
      <c r="R14" s="6" t="n">
        <f aca="false">IF(Debt!R122&gt;0.000000001,R11/Debt!R122,0)</f>
        <v>1.31694049965519</v>
      </c>
      <c r="S14" s="6" t="n">
        <f aca="false">IF(Debt!S122&gt;0.000000001,S11/Debt!S122,0)</f>
        <v>1.31817760364743</v>
      </c>
      <c r="T14" s="6" t="n">
        <f aca="false">IF(Debt!T122&gt;0.000000001,T11/Debt!T122,0)</f>
        <v>1.31954483919563</v>
      </c>
      <c r="U14" s="6" t="n">
        <f aca="false">IF(Debt!U122&gt;0.000000001,U11/Debt!U122,0)</f>
        <v>1.32111751283249</v>
      </c>
      <c r="V14" s="6" t="n">
        <f aca="false">IF(Debt!V122&gt;0.000000001,V11/Debt!V122,0)</f>
        <v>1.32284463057391</v>
      </c>
      <c r="W14" s="6" t="n">
        <f aca="false">IF(Debt!W122&gt;0.000000001,W11/Debt!W122,0)</f>
        <v>1.32471502235484</v>
      </c>
      <c r="X14" s="6" t="n">
        <f aca="false">IF(Debt!X122&gt;0.000000001,X11/Debt!X122,0)</f>
        <v>1.32682611204518</v>
      </c>
      <c r="Y14" s="6" t="n">
        <f aca="false">IF(Debt!Y122&gt;0.000000001,Y11/Debt!Y122,0)</f>
        <v>1.32942175675158</v>
      </c>
      <c r="Z14" s="6" t="n">
        <f aca="false">IF(Debt!Z122&gt;0.000000001,Z11/Debt!Z122,0)</f>
        <v>1.33236592871654</v>
      </c>
      <c r="AA14" s="6" t="n">
        <f aca="false">IF(Debt!AA122&gt;0.000000001,AA11/Debt!AA122,0)</f>
        <v>1.33573946902555</v>
      </c>
      <c r="AB14" s="6" t="n">
        <f aca="false">IF(Debt!AB122&gt;0.000000001,AB11/Debt!AB122,0)</f>
        <v>1.3567405222283</v>
      </c>
      <c r="AC14" s="6" t="n">
        <f aca="false">IF(Debt!AC122&gt;0.000000001,AC11/Debt!AC122,0)</f>
        <v>1.3830525006809</v>
      </c>
      <c r="AD14" s="6" t="n">
        <f aca="false">IF(Debt!AD122&gt;0.000000001,AD11/Debt!AD122,0)</f>
        <v>1.41049736291376</v>
      </c>
      <c r="AE14" s="6" t="n">
        <f aca="false">IF(Debt!AE122&gt;0.000000001,AE11/Debt!AE122,0)</f>
        <v>1.44701363653062</v>
      </c>
      <c r="AF14" s="6" t="n">
        <f aca="false">IF(Debt!AF122&gt;0.000000001,AF11/Debt!AF122,0)</f>
        <v>1.4916083149845</v>
      </c>
      <c r="AG14" s="6" t="n">
        <f aca="false">IF(Debt!AG122&gt;0.000000001,AG11/Debt!AG122,0)</f>
        <v>1.54869580229304</v>
      </c>
      <c r="AH14" s="6" t="n">
        <f aca="false">IF(Debt!AH122&gt;0.000000001,AH11/Debt!AH122,0)</f>
        <v>1.61917182359675</v>
      </c>
      <c r="AI14" s="6" t="n">
        <f aca="false">IF(Debt!AI122&gt;0.000000001,AI11/Debt!AI122,0)</f>
        <v>1.71826739350987</v>
      </c>
      <c r="AJ14" s="6" t="n">
        <f aca="false">IF(Debt!AJ122&gt;0.000000001,AJ11/Debt!AJ122,0)</f>
        <v>1.85690439195853</v>
      </c>
      <c r="AK14" s="6" t="n">
        <f aca="false">IF(Debt!AK122&gt;0.000000001,AK11/Debt!AK122,0)</f>
        <v>2.08360636439872</v>
      </c>
      <c r="AL14" s="6" t="n">
        <f aca="false">IF(Debt!AL122&gt;0.000000001,AL11/Debt!AL122,0)</f>
        <v>2.32274711653001</v>
      </c>
      <c r="AM14" s="6" t="n">
        <f aca="false">IF(Debt!AM122&gt;0.000000001,AM11/Debt!AM122,0)</f>
        <v>2.39250473481324</v>
      </c>
      <c r="AN14" s="6" t="n">
        <f aca="false">IF(Debt!AN122&gt;0.000000001,AN11/Debt!AN122,0)</f>
        <v>2.55031112762232</v>
      </c>
      <c r="AO14" s="6" t="n">
        <f aca="false">IF(Debt!AO122&gt;0.000000001,AO11/Debt!AO122,0)</f>
        <v>2.5556111264933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1.79331305245977</v>
      </c>
      <c r="Q15" s="6" t="n">
        <f aca="false">IF(Debt!Q122&gt;0.000000001,Q12/Debt!Q122,0)</f>
        <v>1.82318263818502</v>
      </c>
      <c r="R15" s="6" t="n">
        <f aca="false">IF(Debt!R122&gt;0.000000001,R12/Debt!R122,0)</f>
        <v>1.85563119363174</v>
      </c>
      <c r="S15" s="6" t="n">
        <f aca="false">IF(Debt!S122&gt;0.000000001,S12/Debt!S122,0)</f>
        <v>1.8915335958678</v>
      </c>
      <c r="T15" s="6" t="n">
        <f aca="false">IF(Debt!T122&gt;0.000000001,T12/Debt!T122,0)</f>
        <v>1.93063662841869</v>
      </c>
      <c r="U15" s="6" t="n">
        <f aca="false">IF(Debt!U122&gt;0.000000001,U12/Debt!U122,0)</f>
        <v>1.97423027711577</v>
      </c>
      <c r="V15" s="6" t="n">
        <f aca="false">IF(Debt!V122&gt;0.000000001,V12/Debt!V122,0)</f>
        <v>2.02224004419889</v>
      </c>
      <c r="W15" s="6" t="n">
        <f aca="false">IF(Debt!W122&gt;0.000000001,W12/Debt!W122,0)</f>
        <v>2.07660459956915</v>
      </c>
      <c r="X15" s="6" t="n">
        <f aca="false">IF(Debt!X122&gt;0.000000001,X12/Debt!X122,0)</f>
        <v>2.13712611828705</v>
      </c>
      <c r="Y15" s="6" t="n">
        <f aca="false">IF(Debt!Y122&gt;0.000000001,Y12/Debt!Y122,0)</f>
        <v>2.20347166868593</v>
      </c>
      <c r="Z15" s="6" t="n">
        <f aca="false">IF(Debt!Z122&gt;0.000000001,Z12/Debt!Z122,0)</f>
        <v>2.27756478003671</v>
      </c>
      <c r="AA15" s="6" t="n">
        <f aca="false">IF(Debt!AA122&gt;0.000000001,AA12/Debt!AA122,0)</f>
        <v>2.36230365884946</v>
      </c>
      <c r="AB15" s="6" t="n">
        <f aca="false">IF(Debt!AB122&gt;0.000000001,AB12/Debt!AB122,0)</f>
        <v>2.48992326982537</v>
      </c>
      <c r="AC15" s="6" t="n">
        <f aca="false">IF(Debt!AC122&gt;0.000000001,AC12/Debt!AC122,0)</f>
        <v>2.64517748117781</v>
      </c>
      <c r="AD15" s="6" t="n">
        <f aca="false">IF(Debt!AD122&gt;0.000000001,AD12/Debt!AD122,0)</f>
        <v>2.82363747202827</v>
      </c>
      <c r="AE15" s="6" t="n">
        <f aca="false">IF(Debt!AE122&gt;0.000000001,AE12/Debt!AE122,0)</f>
        <v>3.05501100342353</v>
      </c>
      <c r="AF15" s="6" t="n">
        <f aca="false">IF(Debt!AF122&gt;0.000000001,AF12/Debt!AF122,0)</f>
        <v>3.3451568802515</v>
      </c>
      <c r="AG15" s="6" t="n">
        <f aca="false">IF(Debt!AG122&gt;0.000000001,AG12/Debt!AG122,0)</f>
        <v>3.72192638190104</v>
      </c>
      <c r="AH15" s="6" t="n">
        <f aca="false">IF(Debt!AH122&gt;0.000000001,AH12/Debt!AH122,0)</f>
        <v>4.21297686078667</v>
      </c>
      <c r="AI15" s="6" t="n">
        <f aca="false">IF(Debt!AI122&gt;0.000000001,AI12/Debt!AI122,0)</f>
        <v>4.91412617197181</v>
      </c>
      <c r="AJ15" s="6" t="n">
        <f aca="false">IF(Debt!AJ122&gt;0.000000001,AJ12/Debt!AJ122,0)</f>
        <v>5.94277026984508</v>
      </c>
      <c r="AK15" s="6" t="n">
        <f aca="false">IF(Debt!AK122&gt;0.000000001,AK12/Debt!AK122,0)</f>
        <v>7.67055644400992</v>
      </c>
      <c r="AL15" s="6" t="n">
        <f aca="false">IF(Debt!AL122&gt;0.000000001,AL12/Debt!AL122,0)</f>
        <v>10.2211506223428</v>
      </c>
      <c r="AM15" s="6" t="n">
        <f aca="false">IF(Debt!AM122&gt;0.000000001,AM12/Debt!AM122,0)</f>
        <v>13.4906635448703</v>
      </c>
      <c r="AN15" s="6" t="n">
        <f aca="false">IF(Debt!AN122&gt;0.000000001,AN12/Debt!AN122,0)</f>
        <v>20.8054034566662</v>
      </c>
      <c r="AO15" s="6" t="n">
        <f aca="false">IF(Debt!AO122&gt;0.000000001,AO12/Debt!AO122,0)</f>
        <v>39.7831244989476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1.37362361518398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1.79331305245977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1096.17396571717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13.0187878577865</v>
      </c>
      <c r="BS8" s="16" t="n">
        <f aca="false">Waterfall!Q44</f>
        <v>10.5975100049967</v>
      </c>
      <c r="BT8" s="16" t="n">
        <f aca="false">Waterfall!R44</f>
        <v>11.4929802822981</v>
      </c>
      <c r="BU8" s="16" t="n">
        <f aca="false">Waterfall!S44</f>
        <v>10.685167020103</v>
      </c>
      <c r="BV8" s="16" t="n">
        <f aca="false">Waterfall!T44</f>
        <v>11.3803361149323</v>
      </c>
      <c r="BW8" s="16" t="n">
        <f aca="false">Waterfall!U44</f>
        <v>10.4317054561315</v>
      </c>
      <c r="BX8" s="16" t="n">
        <f aca="false">Waterfall!V44</f>
        <v>11.6716154139057</v>
      </c>
      <c r="BY8" s="16" t="n">
        <f aca="false">Waterfall!W44</f>
        <v>12.4098623849094</v>
      </c>
      <c r="BZ8" s="16" t="n">
        <f aca="false">Waterfall!X44</f>
        <v>11.2067469428078</v>
      </c>
      <c r="CA8" s="16" t="n">
        <f aca="false">Waterfall!Y44</f>
        <v>10.4234140478678</v>
      </c>
      <c r="CB8" s="16" t="n">
        <f aca="false">Waterfall!Z44</f>
        <v>11.1068905420823</v>
      </c>
      <c r="CC8" s="16" t="n">
        <f aca="false">Waterfall!AA44</f>
        <v>5.13975249059677</v>
      </c>
      <c r="CD8" s="16" t="n">
        <f aca="false">Waterfall!AB44</f>
        <v>6.01357001312977</v>
      </c>
      <c r="CE8" s="16" t="n">
        <f aca="false">Waterfall!AC44</f>
        <v>5.62011250522599</v>
      </c>
      <c r="CF8" s="16" t="n">
        <f aca="false">Waterfall!AD44</f>
        <v>6.89549697112476</v>
      </c>
      <c r="CG8" s="16" t="n">
        <f aca="false">Waterfall!AE44</f>
        <v>7.4162488318261</v>
      </c>
      <c r="CH8" s="16" t="n">
        <f aca="false">Waterfall!AF44</f>
        <v>8.15056903766555</v>
      </c>
      <c r="CI8" s="16" t="n">
        <f aca="false">Waterfall!AG44</f>
        <v>8.43765484420795</v>
      </c>
      <c r="CJ8" s="16" t="n">
        <f aca="false">Waterfall!AH44</f>
        <v>9.64696642187046</v>
      </c>
      <c r="CK8" s="16" t="n">
        <f aca="false">Waterfall!AI44</f>
        <v>10.3185364314762</v>
      </c>
      <c r="CL8" s="16" t="n">
        <f aca="false">Waterfall!AJ44</f>
        <v>11.9192609048031</v>
      </c>
      <c r="CM8" s="16" t="n">
        <f aca="false">Waterfall!AK44</f>
        <v>19.068701783427</v>
      </c>
      <c r="CN8" s="16" t="n">
        <f aca="false">Waterfall!AL44</f>
        <v>29.8877581502246</v>
      </c>
      <c r="CO8" s="16" t="n">
        <f aca="false">Waterfall!AM44</f>
        <v>31.4900258202517</v>
      </c>
      <c r="CP8" s="16" t="n">
        <f aca="false">Waterfall!AN44</f>
        <v>29.7891229039911</v>
      </c>
      <c r="CQ8" s="16" t="n">
        <f aca="false">Waterfall!AO44</f>
        <v>48.3161481962432</v>
      </c>
      <c r="CR8" s="16" t="n">
        <f aca="false">Waterfall!AP44</f>
        <v>45.6266828870473</v>
      </c>
      <c r="CS8" s="16" t="n">
        <f aca="false">Waterfall!AQ44</f>
        <v>39.9374806302393</v>
      </c>
      <c r="CT8" s="16" t="n">
        <f aca="false">Waterfall!AR44</f>
        <v>40.0323161622701</v>
      </c>
      <c r="CU8" s="16" t="n">
        <f aca="false">Waterfall!AS44</f>
        <v>39.7868901347922</v>
      </c>
      <c r="CV8" s="16" t="n">
        <f aca="false">Waterfall!AT44</f>
        <v>46.536292952713</v>
      </c>
      <c r="CW8" s="16" t="n">
        <f aca="false">Waterfall!AU44</f>
        <v>42.1173047132539</v>
      </c>
      <c r="CX8" s="16" t="n">
        <f aca="false">Waterfall!AV44</f>
        <v>42.1485898241531</v>
      </c>
      <c r="CY8" s="16" t="n">
        <f aca="false">Waterfall!AW44</f>
        <v>41.7103682329421</v>
      </c>
      <c r="CZ8" s="16" t="n">
        <f aca="false">Waterfall!AX44</f>
        <v>42.3502920967725</v>
      </c>
      <c r="DA8" s="16" t="n">
        <f aca="false">Waterfall!AY44</f>
        <v>41.9077575050291</v>
      </c>
      <c r="DB8" s="16" t="n">
        <f aca="false">Waterfall!AZ44</f>
        <v>42.4718098940091</v>
      </c>
      <c r="DC8" s="16" t="n">
        <f aca="false">Waterfall!BA44</f>
        <v>41.6936304206899</v>
      </c>
      <c r="DD8" s="16" t="n">
        <f aca="false">Waterfall!BB44</f>
        <v>42.9320227109577</v>
      </c>
      <c r="DE8" s="16" t="n">
        <f aca="false">Waterfall!BC44</f>
        <v>39.5318568520177</v>
      </c>
      <c r="DF8" s="16" t="n">
        <f aca="false">Waterfall!BD44</f>
        <v>33.336685793338</v>
      </c>
      <c r="DG8" s="16" t="n">
        <f aca="false">Waterfall!BE44</f>
        <v>32.88382275379</v>
      </c>
      <c r="DH8" s="16" t="n">
        <f aca="false">Waterfall!BF44</f>
        <v>33.5336644762113</v>
      </c>
      <c r="DI8" s="16" t="n">
        <f aca="false">Waterfall!BG44</f>
        <v>33.0643490454363</v>
      </c>
      <c r="DJ8" s="16" t="n">
        <f aca="false">Waterfall!BH44</f>
        <v>33.6303837044535</v>
      </c>
      <c r="DK8" s="16" t="n">
        <f aca="false">Waterfall!BI44</f>
        <v>33.3747544530605</v>
      </c>
      <c r="DL8" s="16" t="n">
        <f aca="false">Waterfall!BJ44</f>
        <v>41.399528054765</v>
      </c>
      <c r="DM8" s="16" t="n">
        <f aca="false">Waterfall!BK44</f>
        <v>36.152950215655</v>
      </c>
      <c r="DN8" s="16" t="n">
        <f aca="false">Waterfall!BL44</f>
        <v>36.7768178351909</v>
      </c>
      <c r="DO8" s="16" t="n">
        <f aca="false">Waterfall!BM44</f>
        <v>52.536540578553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1518.72335158879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1.83467615843662</v>
      </c>
      <c r="BR9" s="16" t="n">
        <f aca="false">Waterfall!P7</f>
        <v>48.3411281544968</v>
      </c>
      <c r="BS9" s="16" t="n">
        <f aca="false">Waterfall!Q7</f>
        <v>48.2222950926747</v>
      </c>
      <c r="BT9" s="16" t="n">
        <f aca="false">Waterfall!R7</f>
        <v>48.826292774855</v>
      </c>
      <c r="BU9" s="16" t="n">
        <f aca="false">Waterfall!S7</f>
        <v>48.4363848018508</v>
      </c>
      <c r="BV9" s="16" t="n">
        <f aca="false">Waterfall!T7</f>
        <v>48.951028869785</v>
      </c>
      <c r="BW9" s="16" t="n">
        <f aca="false">Waterfall!U7</f>
        <v>48.7196256912899</v>
      </c>
      <c r="BX9" s="16" t="n">
        <f aca="false">Waterfall!V7</f>
        <v>49.6948428397755</v>
      </c>
      <c r="BY9" s="16" t="n">
        <f aca="false">Waterfall!W7</f>
        <v>49.3366574594988</v>
      </c>
      <c r="BZ9" s="16" t="n">
        <f aca="false">Waterfall!X7</f>
        <v>47.777138987353</v>
      </c>
      <c r="CA9" s="16" t="n">
        <f aca="false">Waterfall!Y7</f>
        <v>47.2947771563819</v>
      </c>
      <c r="CB9" s="16" t="n">
        <f aca="false">Waterfall!Z7</f>
        <v>47.6811778969367</v>
      </c>
      <c r="CC9" s="16" t="n">
        <f aca="false">Waterfall!AA7</f>
        <v>47.2842536131697</v>
      </c>
      <c r="CD9" s="16" t="n">
        <f aca="false">Waterfall!AB7</f>
        <v>47.812402124942</v>
      </c>
      <c r="CE9" s="16" t="n">
        <f aca="false">Waterfall!AC7</f>
        <v>47.6306828908276</v>
      </c>
      <c r="CF9" s="16" t="n">
        <f aca="false">Waterfall!AD7</f>
        <v>49.5739145438504</v>
      </c>
      <c r="CG9" s="16" t="n">
        <f aca="false">Waterfall!AE7</f>
        <v>49.6558522891986</v>
      </c>
      <c r="CH9" s="16" t="n">
        <f aca="false">Waterfall!AF7</f>
        <v>49.7074286247634</v>
      </c>
      <c r="CI9" s="16" t="n">
        <f aca="false">Waterfall!AG7</f>
        <v>49.3242882595679</v>
      </c>
      <c r="CJ9" s="16" t="n">
        <f aca="false">Waterfall!AH7</f>
        <v>49.9619785703489</v>
      </c>
      <c r="CK9" s="16" t="n">
        <f aca="false">Waterfall!AI7</f>
        <v>49.5590059799657</v>
      </c>
      <c r="CL9" s="16" t="n">
        <f aca="false">Waterfall!AJ7</f>
        <v>50.1034420081787</v>
      </c>
      <c r="CM9" s="16" t="n">
        <f aca="false">Waterfall!AK7</f>
        <v>49.8797247469048</v>
      </c>
      <c r="CN9" s="16" t="n">
        <f aca="false">Waterfall!AL7</f>
        <v>50.9983382034436</v>
      </c>
      <c r="CO9" s="16" t="n">
        <f aca="false">Waterfall!AM7</f>
        <v>50.6220430751159</v>
      </c>
      <c r="CP9" s="16" t="n">
        <f aca="false">Waterfall!AN7</f>
        <v>48.6950306515992</v>
      </c>
      <c r="CQ9" s="16" t="n">
        <f aca="false">Waterfall!AO7</f>
        <v>48.3161481962432</v>
      </c>
      <c r="CR9" s="16" t="n">
        <f aca="false">Waterfall!AP7</f>
        <v>45.6266828870473</v>
      </c>
      <c r="CS9" s="16" t="n">
        <f aca="false">Waterfall!AQ7</f>
        <v>39.9374806302393</v>
      </c>
      <c r="CT9" s="16" t="n">
        <f aca="false">Waterfall!AR7</f>
        <v>40.0323161622701</v>
      </c>
      <c r="CU9" s="16" t="n">
        <f aca="false">Waterfall!AS7</f>
        <v>39.7868901347922</v>
      </c>
      <c r="CV9" s="16" t="n">
        <f aca="false">Waterfall!AT7</f>
        <v>46.536292952713</v>
      </c>
      <c r="CW9" s="16" t="n">
        <f aca="false">Waterfall!AU7</f>
        <v>42.1173047132539</v>
      </c>
      <c r="CX9" s="16" t="n">
        <f aca="false">Waterfall!AV7</f>
        <v>42.1485898241531</v>
      </c>
      <c r="CY9" s="16" t="n">
        <f aca="false">Waterfall!AW7</f>
        <v>41.7103682329421</v>
      </c>
      <c r="CZ9" s="16" t="n">
        <f aca="false">Waterfall!AX7</f>
        <v>42.3502920967725</v>
      </c>
      <c r="DA9" s="16" t="n">
        <f aca="false">Waterfall!AY7</f>
        <v>41.9077575050291</v>
      </c>
      <c r="DB9" s="16" t="n">
        <f aca="false">Waterfall!AZ7</f>
        <v>42.4718098940091</v>
      </c>
      <c r="DC9" s="16" t="n">
        <f aca="false">Waterfall!BA7</f>
        <v>42.1885988072986</v>
      </c>
      <c r="DD9" s="16" t="n">
        <f aca="false">Waterfall!BB7</f>
        <v>44.4331729656021</v>
      </c>
      <c r="DE9" s="16" t="n">
        <f aca="false">Waterfall!BC7</f>
        <v>41.0494299253599</v>
      </c>
      <c r="DF9" s="16" t="n">
        <f aca="false">Waterfall!BD7</f>
        <v>34.8708613535845</v>
      </c>
      <c r="DG9" s="16" t="n">
        <f aca="false">Waterfall!BE7</f>
        <v>34.4347824347458</v>
      </c>
      <c r="DH9" s="16" t="n">
        <f aca="false">Waterfall!BF7</f>
        <v>35.1015918987834</v>
      </c>
      <c r="DI9" s="16" t="n">
        <f aca="false">Waterfall!BG7</f>
        <v>34.6494298393731</v>
      </c>
      <c r="DJ9" s="16" t="n">
        <f aca="false">Waterfall!BH7</f>
        <v>35.2328055303221</v>
      </c>
      <c r="DK9" s="16" t="n">
        <f aca="false">Waterfall!BI7</f>
        <v>34.9947070244639</v>
      </c>
      <c r="DL9" s="16" t="n">
        <f aca="false">Waterfall!BJ7</f>
        <v>43.0372031608027</v>
      </c>
      <c r="DM9" s="16" t="n">
        <f aca="false">Waterfall!BK7</f>
        <v>37.8085417436292</v>
      </c>
      <c r="DN9" s="16" t="n">
        <f aca="false">Waterfall!BL7</f>
        <v>38.4505217935614</v>
      </c>
      <c r="DO9" s="16" t="n">
        <f aca="false">Waterfall!BM7</f>
        <v>34.595360416592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1792.86263514588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1.83467615843662</v>
      </c>
      <c r="BR10" s="11" t="n">
        <f aca="false">Waterfall!P7+Tax!P27</f>
        <v>48.3411281544968</v>
      </c>
      <c r="BS10" s="11" t="n">
        <f aca="false">Waterfall!Q7+Tax!Q27</f>
        <v>48.2222950926747</v>
      </c>
      <c r="BT10" s="11" t="n">
        <f aca="false">Waterfall!R7+Tax!R27</f>
        <v>48.826292774855</v>
      </c>
      <c r="BU10" s="11" t="n">
        <f aca="false">Waterfall!S7+Tax!S27</f>
        <v>48.4363848018508</v>
      </c>
      <c r="BV10" s="11" t="n">
        <f aca="false">Waterfall!T7+Tax!T27</f>
        <v>48.951028869785</v>
      </c>
      <c r="BW10" s="11" t="n">
        <f aca="false">Waterfall!U7+Tax!U27</f>
        <v>48.7196256912899</v>
      </c>
      <c r="BX10" s="11" t="n">
        <f aca="false">Waterfall!V7+Tax!V27</f>
        <v>49.6948428397755</v>
      </c>
      <c r="BY10" s="11" t="n">
        <f aca="false">Waterfall!W7+Tax!W27</f>
        <v>49.3366574594988</v>
      </c>
      <c r="BZ10" s="11" t="n">
        <f aca="false">Waterfall!X7+Tax!X27</f>
        <v>47.777138987353</v>
      </c>
      <c r="CA10" s="11" t="n">
        <f aca="false">Waterfall!Y7+Tax!Y27</f>
        <v>47.4080141490788</v>
      </c>
      <c r="CB10" s="11" t="n">
        <f aca="false">Waterfall!Z7+Tax!Z27</f>
        <v>48.0221896117362</v>
      </c>
      <c r="CC10" s="11" t="n">
        <f aca="false">Waterfall!AA7+Tax!AA27</f>
        <v>47.6268457758255</v>
      </c>
      <c r="CD10" s="11" t="n">
        <f aca="false">Waterfall!AB7+Tax!AB27</f>
        <v>48.1566826658218</v>
      </c>
      <c r="CE10" s="11" t="n">
        <f aca="false">Waterfall!AC7+Tax!AC27</f>
        <v>47.9759744919954</v>
      </c>
      <c r="CF10" s="11" t="n">
        <f aca="false">Waterfall!AD7+Tax!AD27</f>
        <v>49.9151002209091</v>
      </c>
      <c r="CG10" s="11" t="n">
        <f aca="false">Waterfall!AE7+Tax!AE27</f>
        <v>50.0037098596526</v>
      </c>
      <c r="CH10" s="11" t="n">
        <f aca="false">Waterfall!AF7+Tax!AF27</f>
        <v>50.0579143391819</v>
      </c>
      <c r="CI10" s="11" t="n">
        <f aca="false">Waterfall!AG7+Tax!AG27</f>
        <v>49.6762726174918</v>
      </c>
      <c r="CJ10" s="11" t="n">
        <f aca="false">Waterfall!AH7+Tax!AH27</f>
        <v>50.3153811635884</v>
      </c>
      <c r="CK10" s="11" t="n">
        <f aca="false">Waterfall!AI7+Tax!AI27</f>
        <v>49.9141301967214</v>
      </c>
      <c r="CL10" s="11" t="n">
        <f aca="false">Waterfall!AJ7+Tax!AJ27</f>
        <v>50.4604049652512</v>
      </c>
      <c r="CM10" s="11" t="n">
        <f aca="false">Waterfall!AK7+Tax!AK27</f>
        <v>50.2380002787198</v>
      </c>
      <c r="CN10" s="11" t="n">
        <f aca="false">Waterfall!AL7+Tax!AL27</f>
        <v>51.3575829183967</v>
      </c>
      <c r="CO10" s="11" t="n">
        <f aca="false">Waterfall!AM7+Tax!AM27</f>
        <v>50.9833340636195</v>
      </c>
      <c r="CP10" s="11" t="n">
        <f aca="false">Waterfall!AN7+Tax!AN27</f>
        <v>49.0587548469254</v>
      </c>
      <c r="CQ10" s="11" t="n">
        <f aca="false">Waterfall!AO7+Tax!AO27</f>
        <v>48.6815058343201</v>
      </c>
      <c r="CR10" s="11" t="n">
        <f aca="false">Waterfall!AP7+Tax!AP27</f>
        <v>49.3477279075034</v>
      </c>
      <c r="CS10" s="11" t="n">
        <f aca="false">Waterfall!AQ7+Tax!AQ27</f>
        <v>48.9400572033386</v>
      </c>
      <c r="CT10" s="11" t="n">
        <f aca="false">Waterfall!AR7+Tax!AR27</f>
        <v>49.50411852065</v>
      </c>
      <c r="CU10" s="11" t="n">
        <f aca="false">Waterfall!AS7+Tax!AS27</f>
        <v>49.3429065678919</v>
      </c>
      <c r="CV10" s="11" t="n">
        <f aca="false">Waterfall!AT7+Tax!AT27</f>
        <v>51.6952448277807</v>
      </c>
      <c r="CW10" s="11" t="n">
        <f aca="false">Waterfall!AU7+Tax!AU27</f>
        <v>51.7962291421145</v>
      </c>
      <c r="CX10" s="11" t="n">
        <f aca="false">Waterfall!AV7+Tax!AV27</f>
        <v>51.762772651807</v>
      </c>
      <c r="CY10" s="11" t="n">
        <f aca="false">Waterfall!AW7+Tax!AW27</f>
        <v>51.3698999890282</v>
      </c>
      <c r="CZ10" s="11" t="n">
        <f aca="false">Waterfall!AX7+Tax!AX27</f>
        <v>52.0656082573683</v>
      </c>
      <c r="DA10" s="11" t="n">
        <f aca="false">Waterfall!AY7+Tax!AY27</f>
        <v>51.6509602194328</v>
      </c>
      <c r="DB10" s="11" t="n">
        <f aca="false">Waterfall!AZ7+Tax!AZ27</f>
        <v>52.2342691079927</v>
      </c>
      <c r="DC10" s="11" t="n">
        <f aca="false">Waterfall!BA7+Tax!BA27</f>
        <v>52.0227765295127</v>
      </c>
      <c r="DD10" s="11" t="n">
        <f aca="false">Waterfall!BB7+Tax!BB27</f>
        <v>53.3141975170053</v>
      </c>
      <c r="DE10" s="11" t="n">
        <f aca="false">Waterfall!BC7+Tax!BC27</f>
        <v>52.9208856932358</v>
      </c>
      <c r="DF10" s="11" t="n">
        <f aca="false">Waterfall!BD7+Tax!BD27</f>
        <v>50.5608770247298</v>
      </c>
      <c r="DG10" s="11" t="n">
        <f aca="false">Waterfall!BE7+Tax!BE27</f>
        <v>50.1739569095474</v>
      </c>
      <c r="DH10" s="11" t="n">
        <f aca="false">Waterfall!BF7+Tax!BF27</f>
        <v>50.9017333143828</v>
      </c>
      <c r="DI10" s="11" t="n">
        <f aca="false">Waterfall!BG7+Tax!BG27</f>
        <v>50.4795013803405</v>
      </c>
      <c r="DJ10" s="11" t="n">
        <f aca="false">Waterfall!BH7+Tax!BH27</f>
        <v>51.0836406984579</v>
      </c>
      <c r="DK10" s="11" t="n">
        <f aca="false">Waterfall!BI7+Tax!BI27</f>
        <v>50.945962211242</v>
      </c>
      <c r="DL10" s="11" t="n">
        <f aca="false">Waterfall!BJ7+Tax!BJ27</f>
        <v>53.7903941449209</v>
      </c>
      <c r="DM10" s="11" t="n">
        <f aca="false">Waterfall!BK7+Tax!BK27</f>
        <v>53.9061544194786</v>
      </c>
      <c r="DN10" s="11" t="n">
        <f aca="false">Waterfall!BL7+Tax!BL27</f>
        <v>54.468844995923</v>
      </c>
      <c r="DO10" s="11" t="n">
        <f aca="false">Waterfall!BM7+Tax!BM27</f>
        <v>39.5820470829406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-208.814979726271</v>
      </c>
      <c r="BS11" s="11" t="n">
        <f aca="false">BR11+BS8</f>
        <v>-198.217469721274</v>
      </c>
      <c r="BT11" s="11" t="n">
        <f aca="false">BS11+BT8</f>
        <v>-186.724489438976</v>
      </c>
      <c r="BU11" s="11" t="n">
        <f aca="false">BT11+BU8</f>
        <v>-176.039322418873</v>
      </c>
      <c r="BV11" s="11" t="n">
        <f aca="false">BU11+BV8</f>
        <v>-164.658986303941</v>
      </c>
      <c r="BW11" s="11" t="n">
        <f aca="false">BV11+BW8</f>
        <v>-154.227280847809</v>
      </c>
      <c r="BX11" s="11" t="n">
        <f aca="false">BW11+BX8</f>
        <v>-142.555665433903</v>
      </c>
      <c r="BY11" s="11" t="n">
        <f aca="false">BX11+BY8</f>
        <v>-130.145803048994</v>
      </c>
      <c r="BZ11" s="11" t="n">
        <f aca="false">BY11+BZ8</f>
        <v>-118.939056106186</v>
      </c>
      <c r="CA11" s="11" t="n">
        <f aca="false">BZ11+CA8</f>
        <v>-108.515642058318</v>
      </c>
      <c r="CB11" s="11" t="n">
        <f aca="false">CA11+CB8</f>
        <v>-97.4087515162361</v>
      </c>
      <c r="CC11" s="11" t="n">
        <f aca="false">CB11+CC8</f>
        <v>-92.2689990256393</v>
      </c>
      <c r="CD11" s="11" t="n">
        <f aca="false">CC11+CD8</f>
        <v>-86.2554290125096</v>
      </c>
      <c r="CE11" s="11" t="n">
        <f aca="false">CD11+CE8</f>
        <v>-80.6353165072836</v>
      </c>
      <c r="CF11" s="11" t="n">
        <f aca="false">CE11+CF8</f>
        <v>-73.7398195361588</v>
      </c>
      <c r="CG11" s="11" t="n">
        <f aca="false">CF11+CG8</f>
        <v>-66.3235707043327</v>
      </c>
      <c r="CH11" s="11" t="n">
        <f aca="false">CG11+CH8</f>
        <v>-58.1730016666672</v>
      </c>
      <c r="CI11" s="11" t="n">
        <f aca="false">CH11+CI8</f>
        <v>-49.7353468224592</v>
      </c>
      <c r="CJ11" s="11" t="n">
        <f aca="false">CI11+CJ8</f>
        <v>-40.0883804005888</v>
      </c>
      <c r="CK11" s="11" t="n">
        <f aca="false">CJ11+CK8</f>
        <v>-29.7698439691125</v>
      </c>
      <c r="CL11" s="11" t="n">
        <f aca="false">CK11+CL8</f>
        <v>-17.8505830643094</v>
      </c>
      <c r="CM11" s="11" t="n">
        <f aca="false">CL11+CM8</f>
        <v>1.21811871911757</v>
      </c>
      <c r="CN11" s="11" t="n">
        <f aca="false">CM11+CN8</f>
        <v>31.1058768693422</v>
      </c>
      <c r="CO11" s="11" t="n">
        <f aca="false">CN11+CO8</f>
        <v>62.5959026895938</v>
      </c>
      <c r="CP11" s="11" t="n">
        <f aca="false">CO11+CP8</f>
        <v>92.3850255935849</v>
      </c>
      <c r="CQ11" s="11" t="n">
        <f aca="false">CP11+CQ8</f>
        <v>140.701173789828</v>
      </c>
      <c r="CR11" s="11" t="n">
        <f aca="false">CQ11+CR8</f>
        <v>186.327856676875</v>
      </c>
      <c r="CS11" s="11" t="n">
        <f aca="false">CR11+CS8</f>
        <v>226.265337307115</v>
      </c>
      <c r="CT11" s="11" t="n">
        <f aca="false">CS11+CT8</f>
        <v>266.297653469385</v>
      </c>
      <c r="CU11" s="11" t="n">
        <f aca="false">CT11+CU8</f>
        <v>306.084543604177</v>
      </c>
      <c r="CV11" s="11" t="n">
        <f aca="false">CU11+CV8</f>
        <v>352.62083655689</v>
      </c>
      <c r="CW11" s="11" t="n">
        <f aca="false">CV11+CW8</f>
        <v>394.738141270144</v>
      </c>
      <c r="CX11" s="11" t="n">
        <f aca="false">CW11+CX8</f>
        <v>436.886731094297</v>
      </c>
      <c r="CY11" s="11" t="n">
        <f aca="false">CX11+CY8</f>
        <v>478.597099327239</v>
      </c>
      <c r="CZ11" s="11" t="n">
        <f aca="false">CY11+CZ8</f>
        <v>520.947391424012</v>
      </c>
      <c r="DA11" s="11" t="n">
        <f aca="false">CZ11+DA8</f>
        <v>562.855148929041</v>
      </c>
      <c r="DB11" s="11" t="n">
        <f aca="false">DA11+DB8</f>
        <v>605.32695882305</v>
      </c>
      <c r="DC11" s="11" t="n">
        <f aca="false">DB11+DC8</f>
        <v>647.02058924374</v>
      </c>
      <c r="DD11" s="11" t="n">
        <f aca="false">DC11+DD8</f>
        <v>689.952611954697</v>
      </c>
      <c r="DE11" s="11" t="n">
        <f aca="false">DD11+DE8</f>
        <v>729.484468806715</v>
      </c>
      <c r="DF11" s="11" t="n">
        <f aca="false">DE11+DF8</f>
        <v>762.821154600053</v>
      </c>
      <c r="DG11" s="11" t="n">
        <f aca="false">DF11+DG8</f>
        <v>795.704977353843</v>
      </c>
      <c r="DH11" s="11" t="n">
        <f aca="false">DG11+DH8</f>
        <v>829.238641830054</v>
      </c>
      <c r="DI11" s="11" t="n">
        <f aca="false">DH11+DI8</f>
        <v>862.302990875491</v>
      </c>
      <c r="DJ11" s="11" t="n">
        <f aca="false">DI11+DJ8</f>
        <v>895.933374579944</v>
      </c>
      <c r="DK11" s="11" t="n">
        <f aca="false">DJ11+DK8</f>
        <v>929.308129033005</v>
      </c>
      <c r="DL11" s="11" t="n">
        <f aca="false">DK11+DL8</f>
        <v>970.70765708777</v>
      </c>
      <c r="DM11" s="11" t="n">
        <f aca="false">DL11+DM8</f>
        <v>1006.86060730342</v>
      </c>
      <c r="DN11" s="11" t="n">
        <f aca="false">DM11+DN8</f>
        <v>1043.63742513862</v>
      </c>
      <c r="DO11" s="11" t="n">
        <f aca="false">DN11+DO8</f>
        <v>1096.17396571717</v>
      </c>
      <c r="DP11" s="11" t="n">
        <f aca="false">DO11+DP8</f>
        <v>1096.17396571717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0.123788841442192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0.105473380411237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0.110823298657443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-57.2288968974651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1.37362361518398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1.79331305245977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0.123788841442192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0.105473380411237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-57.2288968974651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2026-10-03T20:48:17Z</dcterms:created>
  <dc:creator>openpyxl</dc:creator>
  <dc:description/>
  <dc:language>en-US</dc:language>
  <cp:lastModifiedBy/>
  <dcterms:modified xsi:type="dcterms:W3CDTF">2026-10-03T20:48:17Z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