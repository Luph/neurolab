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<sst xmlns="http://schemas.openxmlformats.org/spreadsheetml/2006/main" count="2268" uniqueCount="840">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</sst>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1.3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7.618</v>
      </c>
      <c r="K36" s="11" t="n">
        <f aca="false">Inputs!$F$139*(1+Inputs!$F$140/100)^(Time!K21-2018)*Inputs!$F$40</f>
        <v>7.77036</v>
      </c>
      <c r="L36" s="11" t="n">
        <f aca="false">Inputs!$F$139*(1+Inputs!$F$140/100)^(Time!L21-2018)*Inputs!$F$40</f>
        <v>7.77036</v>
      </c>
      <c r="M36" s="11" t="n">
        <f aca="false">Inputs!$F$139*(1+Inputs!$F$140/100)^(Time!M21-2018)*Inputs!$F$40</f>
        <v>7.9257672</v>
      </c>
      <c r="N36" s="11" t="n">
        <f aca="false">Inputs!$F$139*(1+Inputs!$F$140/100)^(Time!N21-2018)*Inputs!$F$40</f>
        <v>7.9257672</v>
      </c>
      <c r="O36" s="11" t="n">
        <f aca="false">Inputs!$F$139*(1+Inputs!$F$140/100)^(Time!O21-2018)*Inputs!$F$40</f>
        <v>8.084282544</v>
      </c>
      <c r="P36" s="11" t="n">
        <f aca="false">Inputs!$F$139*(1+Inputs!$F$140/100)^(Time!P21-2018)*Inputs!$F$40</f>
        <v>8.084282544</v>
      </c>
      <c r="Q36" s="11" t="n">
        <f aca="false">Inputs!$F$139*(1+Inputs!$F$140/100)^(Time!Q21-2018)*Inputs!$F$40</f>
        <v>8.24596819488</v>
      </c>
      <c r="R36" s="11" t="n">
        <f aca="false">Inputs!$F$139*(1+Inputs!$F$140/100)^(Time!R21-2018)*Inputs!$F$40</f>
        <v>8.24596819488</v>
      </c>
      <c r="S36" s="11" t="n">
        <f aca="false">Inputs!$F$139*(1+Inputs!$F$140/100)^(Time!S21-2018)*Inputs!$F$40</f>
        <v>8.4108875587776</v>
      </c>
      <c r="T36" s="11" t="n">
        <f aca="false">Inputs!$F$139*(1+Inputs!$F$140/100)^(Time!T21-2018)*Inputs!$F$40</f>
        <v>8.4108875587776</v>
      </c>
      <c r="U36" s="11" t="n">
        <f aca="false">Inputs!$F$139*(1+Inputs!$F$140/100)^(Time!U21-2018)*Inputs!$F$40</f>
        <v>8.57910530995315</v>
      </c>
      <c r="V36" s="11" t="n">
        <f aca="false">Inputs!$F$139*(1+Inputs!$F$140/100)^(Time!V21-2018)*Inputs!$F$40</f>
        <v>8.57910530995315</v>
      </c>
      <c r="W36" s="11" t="n">
        <f aca="false">Inputs!$F$139*(1+Inputs!$F$140/100)^(Time!W21-2018)*Inputs!$F$40</f>
        <v>8.75068741615222</v>
      </c>
      <c r="X36" s="11" t="n">
        <f aca="false">Inputs!$F$139*(1+Inputs!$F$140/100)^(Time!X21-2018)*Inputs!$F$40</f>
        <v>8.75068741615222</v>
      </c>
      <c r="Y36" s="11" t="n">
        <f aca="false">Inputs!$F$139*(1+Inputs!$F$140/100)^(Time!Y21-2018)*Inputs!$F$40</f>
        <v>8.92570116447526</v>
      </c>
      <c r="Z36" s="11" t="n">
        <f aca="false">Inputs!$F$139*(1+Inputs!$F$140/100)^(Time!Z21-2018)*Inputs!$F$40</f>
        <v>8.92570116447526</v>
      </c>
      <c r="AA36" s="11" t="n">
        <f aca="false">Inputs!$F$139*(1+Inputs!$F$140/100)^(Time!AA21-2018)*Inputs!$F$40</f>
        <v>9.10421518776477</v>
      </c>
      <c r="AB36" s="11" t="n">
        <f aca="false">Inputs!$F$139*(1+Inputs!$F$140/100)^(Time!AB21-2018)*Inputs!$F$40</f>
        <v>9.10421518776477</v>
      </c>
      <c r="AC36" s="11" t="n">
        <f aca="false">Inputs!$F$139*(1+Inputs!$F$140/100)^(Time!AC21-2018)*Inputs!$F$40</f>
        <v>9.28629949152006</v>
      </c>
      <c r="AD36" s="11" t="n">
        <f aca="false">Inputs!$F$139*(1+Inputs!$F$140/100)^(Time!AD21-2018)*Inputs!$F$40</f>
        <v>9.28629949152006</v>
      </c>
      <c r="AE36" s="11" t="n">
        <f aca="false">Inputs!$F$139*(1+Inputs!$F$140/100)^(Time!AE21-2018)*Inputs!$F$40</f>
        <v>9.47202548135046</v>
      </c>
      <c r="AF36" s="11" t="n">
        <f aca="false">Inputs!$F$139*(1+Inputs!$F$140/100)^(Time!AF21-2018)*Inputs!$F$40</f>
        <v>9.47202548135046</v>
      </c>
      <c r="AG36" s="11" t="n">
        <f aca="false">Inputs!$F$139*(1+Inputs!$F$140/100)^(Time!AG21-2018)*Inputs!$F$40</f>
        <v>9.66146599097747</v>
      </c>
      <c r="AH36" s="11" t="n">
        <f aca="false">Inputs!$F$139*(1+Inputs!$F$140/100)^(Time!AH21-2018)*Inputs!$F$40</f>
        <v>9.66146599097747</v>
      </c>
      <c r="AI36" s="11" t="n">
        <f aca="false">Inputs!$F$139*(1+Inputs!$F$140/100)^(Time!AI21-2018)*Inputs!$F$40</f>
        <v>9.85469531079702</v>
      </c>
      <c r="AJ36" s="11" t="n">
        <f aca="false">Inputs!$F$139*(1+Inputs!$F$140/100)^(Time!AJ21-2018)*Inputs!$F$40</f>
        <v>9.85469531079702</v>
      </c>
      <c r="AK36" s="11" t="n">
        <f aca="false">Inputs!$F$139*(1+Inputs!$F$140/100)^(Time!AK21-2018)*Inputs!$F$40</f>
        <v>10.051789217013</v>
      </c>
      <c r="AL36" s="11" t="n">
        <f aca="false">Inputs!$F$139*(1+Inputs!$F$140/100)^(Time!AL21-2018)*Inputs!$F$40</f>
        <v>10.051789217013</v>
      </c>
      <c r="AM36" s="11" t="n">
        <f aca="false">Inputs!$F$139*(1+Inputs!$F$140/100)^(Time!AM21-2018)*Inputs!$F$40</f>
        <v>10.2528250013532</v>
      </c>
      <c r="AN36" s="11" t="n">
        <f aca="false">Inputs!$F$139*(1+Inputs!$F$140/100)^(Time!AN21-2018)*Inputs!$F$40</f>
        <v>10.2528250013532</v>
      </c>
      <c r="AO36" s="11" t="n">
        <f aca="false">Inputs!$F$139*(1+Inputs!$F$140/100)^(Time!AO21-2018)*Inputs!$F$40</f>
        <v>10.4578815013803</v>
      </c>
      <c r="AP36" s="11" t="n">
        <f aca="false">Inputs!$F$139*(1+Inputs!$F$140/100)^(Time!AP21-2018)*Inputs!$F$40</f>
        <v>10.4578815013803</v>
      </c>
      <c r="AQ36" s="11" t="n">
        <f aca="false">Inputs!$F$139*(1+Inputs!$F$140/100)^(Time!AQ21-2018)*Inputs!$F$40</f>
        <v>10.6670391314079</v>
      </c>
      <c r="AR36" s="11" t="n">
        <f aca="false">Inputs!$F$139*(1+Inputs!$F$140/100)^(Time!AR21-2018)*Inputs!$F$40</f>
        <v>10.6670391314079</v>
      </c>
      <c r="AS36" s="11" t="n">
        <f aca="false">Inputs!$F$139*(1+Inputs!$F$140/100)^(Time!AS21-2018)*Inputs!$F$40</f>
        <v>10.8803799140361</v>
      </c>
      <c r="AT36" s="11" t="n">
        <f aca="false">Inputs!$F$139*(1+Inputs!$F$140/100)^(Time!AT21-2018)*Inputs!$F$40</f>
        <v>10.8803799140361</v>
      </c>
      <c r="AU36" s="11" t="n">
        <f aca="false">Inputs!$F$139*(1+Inputs!$F$140/100)^(Time!AU21-2018)*Inputs!$F$40</f>
        <v>11.0979875123168</v>
      </c>
      <c r="AV36" s="11" t="n">
        <f aca="false">Inputs!$F$139*(1+Inputs!$F$140/100)^(Time!AV21-2018)*Inputs!$F$40</f>
        <v>11.0979875123168</v>
      </c>
      <c r="AW36" s="11" t="n">
        <f aca="false">Inputs!$F$139*(1+Inputs!$F$140/100)^(Time!AW21-2018)*Inputs!$F$40</f>
        <v>11.3199472625631</v>
      </c>
      <c r="AX36" s="11" t="n">
        <f aca="false">Inputs!$F$139*(1+Inputs!$F$140/100)^(Time!AX21-2018)*Inputs!$F$40</f>
        <v>11.3199472625631</v>
      </c>
      <c r="AY36" s="11" t="n">
        <f aca="false">Inputs!$F$139*(1+Inputs!$F$140/100)^(Time!AY21-2018)*Inputs!$F$40</f>
        <v>11.5463462078144</v>
      </c>
      <c r="AZ36" s="11" t="n">
        <f aca="false">Inputs!$F$139*(1+Inputs!$F$140/100)^(Time!AZ21-2018)*Inputs!$F$40</f>
        <v>11.5463462078144</v>
      </c>
      <c r="BA36" s="11" t="n">
        <f aca="false">Inputs!$F$139*(1+Inputs!$F$140/100)^(Time!BA21-2018)*Inputs!$F$40</f>
        <v>11.7772731319707</v>
      </c>
      <c r="BB36" s="11" t="n">
        <f aca="false">Inputs!$F$139*(1+Inputs!$F$140/100)^(Time!BB21-2018)*Inputs!$F$40</f>
        <v>11.7772731319707</v>
      </c>
      <c r="BC36" s="11" t="n">
        <f aca="false">Inputs!$F$139*(1+Inputs!$F$140/100)^(Time!BC21-2018)*Inputs!$F$40</f>
        <v>12.0128185946101</v>
      </c>
      <c r="BD36" s="11" t="n">
        <f aca="false">Inputs!$F$139*(1+Inputs!$F$140/100)^(Time!BD21-2018)*Inputs!$F$40</f>
        <v>12.0128185946101</v>
      </c>
      <c r="BE36" s="11" t="n">
        <f aca="false">Inputs!$F$139*(1+Inputs!$F$140/100)^(Time!BE21-2018)*Inputs!$F$40</f>
        <v>12.2530749665023</v>
      </c>
      <c r="BF36" s="11" t="n">
        <f aca="false">Inputs!$F$139*(1+Inputs!$F$140/100)^(Time!BF21-2018)*Inputs!$F$40</f>
        <v>12.2530749665023</v>
      </c>
      <c r="BG36" s="11" t="n">
        <f aca="false">Inputs!$F$139*(1+Inputs!$F$140/100)^(Time!BG21-2018)*Inputs!$F$40</f>
        <v>12.4981364658323</v>
      </c>
      <c r="BH36" s="11" t="n">
        <f aca="false">Inputs!$F$139*(1+Inputs!$F$140/100)^(Time!BH21-2018)*Inputs!$F$40</f>
        <v>12.4981364658323</v>
      </c>
      <c r="BI36" s="11" t="n">
        <f aca="false">Inputs!$F$139*(1+Inputs!$F$140/100)^(Time!BI21-2018)*Inputs!$F$40</f>
        <v>12.748099195149</v>
      </c>
      <c r="BJ36" s="11" t="n">
        <f aca="false">Inputs!$F$139*(1+Inputs!$F$140/100)^(Time!BJ21-2018)*Inputs!$F$40</f>
        <v>12.748099195149</v>
      </c>
      <c r="BK36" s="11" t="n">
        <f aca="false">Inputs!$F$139*(1+Inputs!$F$140/100)^(Time!BK21-2018)*Inputs!$F$40</f>
        <v>13.0030611790519</v>
      </c>
      <c r="BL36" s="11" t="n">
        <f aca="false">Inputs!$F$139*(1+Inputs!$F$140/100)^(Time!BL21-2018)*Inputs!$F$40</f>
        <v>13.0030611790519</v>
      </c>
      <c r="BM36" s="11" t="n">
        <f aca="false">Inputs!$F$139*(1+Inputs!$F$140/100)^(Time!BM21-2018)*Inputs!$F$40</f>
        <v>13.263122402633</v>
      </c>
      <c r="BN36" s="11" t="n">
        <f aca="false">Inputs!$F$139*(1+Inputs!$F$140/100)^(Time!BN21-2018)*Inputs!$F$40</f>
        <v>13.263122402633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6352.87397969774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33.5128556095402</v>
      </c>
      <c r="P46" s="11" t="n">
        <f aca="false">P33*P35*(1000*Inputs!$F$121/Inputs!$F$122)*P36/1000000</f>
        <v>100.521784566738</v>
      </c>
      <c r="Q46" s="11" t="n">
        <f aca="false">Q33*Q35*(1000*Inputs!$F$121/Inputs!$F$122)*Q36/1000000</f>
        <v>102.178633418759</v>
      </c>
      <c r="R46" s="11" t="n">
        <f aca="false">R33*R35*(1000*Inputs!$F$121/Inputs!$F$122)*R36/1000000</f>
        <v>101.497371501061</v>
      </c>
      <c r="S46" s="11" t="n">
        <f aca="false">S33*S35*(1000*Inputs!$F$121/Inputs!$F$122)*S36/1000000</f>
        <v>103.835393774963</v>
      </c>
      <c r="T46" s="11" t="n">
        <f aca="false">T33*T35*(1000*Inputs!$F$121/Inputs!$F$122)*T36/1000000</f>
        <v>104.477370838869</v>
      </c>
      <c r="U46" s="11" t="n">
        <f aca="false">U33*U35*(1000*Inputs!$F$121/Inputs!$F$122)*U36/1000000</f>
        <v>105.328277063325</v>
      </c>
      <c r="V46" s="11" t="n">
        <f aca="false">V33*V35*(1000*Inputs!$F$121/Inputs!$F$122)*V36/1000000</f>
        <v>102.878942921498</v>
      </c>
      <c r="W46" s="11" t="n">
        <f aca="false">W33*W35*(1000*Inputs!$F$121/Inputs!$F$122)*W36/1000000</f>
        <v>106.144803680268</v>
      </c>
      <c r="X46" s="11" t="n">
        <f aca="false">X33*X35*(1000*Inputs!$F$121/Inputs!$F$122)*X36/1000000</f>
        <v>108.587194877324</v>
      </c>
      <c r="Y46" s="11" t="n">
        <f aca="false">Y33*Y35*(1000*Inputs!$F$121/Inputs!$F$122)*Y36/1000000</f>
        <v>110.376261459066</v>
      </c>
      <c r="Z46" s="11" t="n">
        <f aca="false">Z33*Z35*(1000*Inputs!$F$121/Inputs!$F$122)*Z36/1000000</f>
        <v>109.639626985392</v>
      </c>
      <c r="AA46" s="11" t="n">
        <f aca="false">AA33*AA35*(1000*Inputs!$F$121/Inputs!$F$122)*AA36/1000000</f>
        <v>112.164475507486</v>
      </c>
      <c r="AB46" s="11" t="n">
        <f aca="false">AB33*AB35*(1000*Inputs!$F$121/Inputs!$F$122)*AB36/1000000</f>
        <v>112.857210182802</v>
      </c>
      <c r="AC46" s="11" t="n">
        <f aca="false">AC33*AC35*(1000*Inputs!$F$121/Inputs!$F$122)*AC36/1000000</f>
        <v>112.998576407068</v>
      </c>
      <c r="AD46" s="11" t="n">
        <f aca="false">AD33*AD35*(1000*Inputs!$F$121/Inputs!$F$122)*AD36/1000000</f>
        <v>108.798599113549</v>
      </c>
      <c r="AE46" s="11" t="n">
        <f aca="false">AE33*AE35*(1000*Inputs!$F$121/Inputs!$F$122)*AE36/1000000</f>
        <v>113.071790866626</v>
      </c>
      <c r="AF46" s="11" t="n">
        <f aca="false">AF33*AF35*(1000*Inputs!$F$121/Inputs!$F$122)*AF36/1000000</f>
        <v>117.293597426597</v>
      </c>
      <c r="AG46" s="11" t="n">
        <f aca="false">AG33*AG35*(1000*Inputs!$F$121/Inputs!$F$122)*AG36/1000000</f>
        <v>119.225326691766</v>
      </c>
      <c r="AH46" s="11" t="n">
        <f aca="false">AH33*AH35*(1000*Inputs!$F$121/Inputs!$F$122)*AH36/1000000</f>
        <v>118.42885681245</v>
      </c>
      <c r="AI46" s="11" t="n">
        <f aca="false">AI33*AI35*(1000*Inputs!$F$121/Inputs!$F$122)*AI36/1000000</f>
        <v>121.155312500982</v>
      </c>
      <c r="AJ46" s="11" t="n">
        <f aca="false">AJ33*AJ35*(1000*Inputs!$F$121/Inputs!$F$122)*AJ36/1000000</f>
        <v>121.902773002799</v>
      </c>
      <c r="AK46" s="11" t="n">
        <f aca="false">AK33*AK35*(1000*Inputs!$F$121/Inputs!$F$122)*AK36/1000000</f>
        <v>122.893985144089</v>
      </c>
      <c r="AL46" s="11" t="n">
        <f aca="false">AL33*AL35*(1000*Inputs!$F$121/Inputs!$F$122)*AL36/1000000</f>
        <v>120.034595652545</v>
      </c>
      <c r="AM46" s="11" t="n">
        <f aca="false">AM33*AM35*(1000*Inputs!$F$121/Inputs!$F$122)*AM36/1000000</f>
        <v>123.843428789821</v>
      </c>
      <c r="AN46" s="11" t="n">
        <f aca="false">AN33*AN35*(1000*Inputs!$F$121/Inputs!$F$122)*AN36/1000000</f>
        <v>126.69139789726</v>
      </c>
      <c r="AO46" s="11" t="n">
        <f aca="false">AO33*AO35*(1000*Inputs!$F$121/Inputs!$F$122)*AO36/1000000</f>
        <v>128.777050570558</v>
      </c>
      <c r="AP46" s="11" t="n">
        <f aca="false">AP33*AP35*(1000*Inputs!$F$121/Inputs!$F$122)*AP36/1000000</f>
        <v>127.915925972307</v>
      </c>
      <c r="AQ46" s="11" t="n">
        <f aca="false">AQ33*AQ35*(1000*Inputs!$F$121/Inputs!$F$122)*AQ36/1000000</f>
        <v>130.85992612737</v>
      </c>
      <c r="AR46" s="11" t="n">
        <f aca="false">AR33*AR35*(1000*Inputs!$F$121/Inputs!$F$122)*AR36/1000000</f>
        <v>131.666386884816</v>
      </c>
      <c r="AS46" s="11" t="n">
        <f aca="false">AS33*AS35*(1000*Inputs!$F$121/Inputs!$F$122)*AS36/1000000</f>
        <v>131.829572021848</v>
      </c>
      <c r="AT46" s="11" t="n">
        <f aca="false">AT33*AT35*(1000*Inputs!$F$121/Inputs!$F$122)*AT36/1000000</f>
        <v>126.92799835573</v>
      </c>
      <c r="AU46" s="11" t="n">
        <f aca="false">AU33*AU35*(1000*Inputs!$F$121/Inputs!$F$122)*AU36/1000000</f>
        <v>131.911497904091</v>
      </c>
      <c r="AV46" s="11" t="n">
        <f aca="false">AV33*AV35*(1000*Inputs!$F$121/Inputs!$F$122)*AV36/1000000</f>
        <v>136.834918066657</v>
      </c>
      <c r="AW46" s="11" t="n">
        <f aca="false">AW33*AW35*(1000*Inputs!$F$121/Inputs!$F$122)*AW36/1000000</f>
        <v>139.086633518103</v>
      </c>
      <c r="AX46" s="11" t="n">
        <f aca="false">AX33*AX35*(1000*Inputs!$F$121/Inputs!$F$122)*AX36/1000000</f>
        <v>138.155650231894</v>
      </c>
      <c r="AY46" s="11" t="n">
        <f aca="false">AY33*AY35*(1000*Inputs!$F$121/Inputs!$F$122)*AY36/1000000</f>
        <v>141.334377840141</v>
      </c>
      <c r="AZ46" s="11" t="n">
        <f aca="false">AZ33*AZ35*(1000*Inputs!$F$121/Inputs!$F$122)*AZ36/1000000</f>
        <v>142.204442760186</v>
      </c>
      <c r="BA46" s="11" t="n">
        <f aca="false">BA33*BA35*(1000*Inputs!$F$121/Inputs!$F$122)*BA36/1000000</f>
        <v>143.358825245396</v>
      </c>
      <c r="BB46" s="11" t="n">
        <f aca="false">BB33*BB35*(1000*Inputs!$F$121/Inputs!$F$122)*BB36/1000000</f>
        <v>140.021414702863</v>
      </c>
      <c r="BC46" s="11" t="n">
        <f aca="false">BC33*BC35*(1000*Inputs!$F$121/Inputs!$F$122)*BC36/1000000</f>
        <v>144.462528428656</v>
      </c>
      <c r="BD46" s="11" t="n">
        <f aca="false">BD33*BD35*(1000*Inputs!$F$121/Inputs!$F$122)*BD36/1000000</f>
        <v>147.782695754101</v>
      </c>
      <c r="BE46" s="11" t="n">
        <f aca="false">BE33*BE35*(1000*Inputs!$F$121/Inputs!$F$122)*BE36/1000000</f>
        <v>150.213559642864</v>
      </c>
      <c r="BF46" s="11" t="n">
        <f aca="false">BF33*BF35*(1000*Inputs!$F$121/Inputs!$F$122)*BF36/1000000</f>
        <v>149.207098646817</v>
      </c>
      <c r="BG46" s="11" t="n">
        <f aca="false">BG33*BG35*(1000*Inputs!$F$121/Inputs!$F$122)*BG36/1000000</f>
        <v>152.639078477122</v>
      </c>
      <c r="BH46" s="11" t="n">
        <f aca="false">BH33*BH35*(1000*Inputs!$F$121/Inputs!$F$122)*BH36/1000000</f>
        <v>153.577705941926</v>
      </c>
      <c r="BI46" s="11" t="n">
        <f aca="false">BI33*BI35*(1000*Inputs!$F$121/Inputs!$F$122)*BI36/1000000</f>
        <v>153.76599002387</v>
      </c>
      <c r="BJ46" s="11" t="n">
        <f aca="false">BJ33*BJ35*(1000*Inputs!$F$121/Inputs!$F$122)*BJ36/1000000</f>
        <v>148.046812676591</v>
      </c>
      <c r="BK46" s="11" t="n">
        <f aca="false">BK33*BK35*(1000*Inputs!$F$121/Inputs!$F$122)*BK36/1000000</f>
        <v>153.857425668236</v>
      </c>
      <c r="BL46" s="11" t="n">
        <f aca="false">BL33*BL35*(1000*Inputs!$F$121/Inputs!$F$122)*BL36/1000000</f>
        <v>159.597807347637</v>
      </c>
      <c r="BM46" s="11" t="n">
        <f aca="false">BM33*BM35*(1000*Inputs!$F$121/Inputs!$F$122)*BM36/1000000</f>
        <v>108.500214195317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11010.2702036164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60.7464134575878</v>
      </c>
      <c r="P51" s="11" t="n">
        <f aca="false">P50+P46+P47+P48+P49</f>
        <v>182.578838090353</v>
      </c>
      <c r="Q51" s="11" t="n">
        <f aca="false">Q50+Q46+Q47+Q48+Q49</f>
        <v>184.517129144263</v>
      </c>
      <c r="R51" s="11" t="n">
        <f aca="false">R50+R46+R47+R48+R49</f>
        <v>184.258421477797</v>
      </c>
      <c r="S51" s="11" t="n">
        <f aca="false">S50+S46+S47+S48+S49</f>
        <v>186.949323911022</v>
      </c>
      <c r="T51" s="11" t="n">
        <f aca="false">T50+T46+T47+T48+T49</f>
        <v>188.155728948049</v>
      </c>
      <c r="U51" s="11" t="n">
        <f aca="false">U50+U46+U47+U48+U49</f>
        <v>189.279006345564</v>
      </c>
      <c r="V51" s="11" t="n">
        <f aca="false">V50+V46+V47+V48+V49</f>
        <v>187.027728721087</v>
      </c>
      <c r="W51" s="11" t="n">
        <f aca="false">W50+W46+W47+W48+W49</f>
        <v>190.74673936711</v>
      </c>
      <c r="X51" s="11" t="n">
        <f aca="false">X50+X46+X47+X48+X49</f>
        <v>193.95182929176</v>
      </c>
      <c r="Y51" s="11" t="n">
        <f aca="false">Y50+Y46+Y47+Y48+Y49</f>
        <v>196.047173433288</v>
      </c>
      <c r="Z51" s="11" t="n">
        <f aca="false">Z50+Z46+Z47+Z48+Z49</f>
        <v>195.76615014109</v>
      </c>
      <c r="AA51" s="11" t="n">
        <f aca="false">AA50+AA46+AA47+AA48+AA49</f>
        <v>198.674381255069</v>
      </c>
      <c r="AB51" s="11" t="n">
        <f aca="false">AB50+AB46+AB47+AB48+AB49</f>
        <v>199.97575159938</v>
      </c>
      <c r="AC51" s="11" t="n">
        <f aca="false">AC50+AC46+AC47+AC48+AC49</f>
        <v>200.335425631798</v>
      </c>
      <c r="AD51" s="11" t="n">
        <f aca="false">AD50+AD46+AD47+AD48+AD49</f>
        <v>195.273453603594</v>
      </c>
      <c r="AE51" s="11" t="n">
        <f aca="false">AE50+AE46+AE47+AE48+AE49</f>
        <v>201.03480429928</v>
      </c>
      <c r="AF51" s="11" t="n">
        <f aca="false">AF50+AF46+AF47+AF48+AF49</f>
        <v>206.236446155972</v>
      </c>
      <c r="AG51" s="11" t="n">
        <f aca="false">AG50+AG46+AG47+AG48+AG49</f>
        <v>208.501488759264</v>
      </c>
      <c r="AH51" s="11" t="n">
        <f aca="false">AH50+AH46+AH47+AH48+AH49</f>
        <v>208.196358048719</v>
      </c>
      <c r="AI51" s="11" t="n">
        <f aca="false">AI50+AI46+AI47+AI48+AI49</f>
        <v>211.339353394606</v>
      </c>
      <c r="AJ51" s="11" t="n">
        <f aca="false">AJ50+AJ46+AJ47+AJ48+AJ49</f>
        <v>212.74321426748</v>
      </c>
      <c r="AK51" s="11" t="n">
        <f aca="false">AK50+AK46+AK47+AK48+AK49</f>
        <v>214.055059683594</v>
      </c>
      <c r="AL51" s="11" t="n">
        <f aca="false">AL50+AL46+AL47+AL48+AL49</f>
        <v>211.428348057948</v>
      </c>
      <c r="AM51" s="11" t="n">
        <f aca="false">AM50+AM46+AM47+AM48+AM49</f>
        <v>215.770640537545</v>
      </c>
      <c r="AN51" s="11" t="n">
        <f aca="false">AN50+AN46+AN47+AN48+AN49</f>
        <v>219.505721989396</v>
      </c>
      <c r="AO51" s="11" t="n">
        <f aca="false">AO50+AO46+AO47+AO48+AO49</f>
        <v>221.954119752616</v>
      </c>
      <c r="AP51" s="11" t="n">
        <f aca="false">AP50+AP46+AP47+AP48+AP49</f>
        <v>221.622955138329</v>
      </c>
      <c r="AQ51" s="11" t="n">
        <f aca="false">AQ50+AQ46+AQ47+AQ48+AQ49</f>
        <v>225.01953886659</v>
      </c>
      <c r="AR51" s="11" t="n">
        <f aca="false">AR50+AR46+AR47+AR48+AR49</f>
        <v>226.534014390392</v>
      </c>
      <c r="AS51" s="11" t="n">
        <f aca="false">AS50+AS46+AS47+AS48+AS49</f>
        <v>226.95535291109</v>
      </c>
      <c r="AT51" s="11" t="n">
        <f aca="false">AT50+AT46+AT47+AT48+AT49</f>
        <v>221.140269357122</v>
      </c>
      <c r="AU51" s="11" t="n">
        <f aca="false">AU50+AU46+AU47+AU48+AU49</f>
        <v>227.775185986698</v>
      </c>
      <c r="AV51" s="11" t="n">
        <f aca="false">AV50+AV46+AV47+AV48+AV49</f>
        <v>233.838530371649</v>
      </c>
      <c r="AW51" s="11" t="n">
        <f aca="false">AW50+AW46+AW47+AW48+AW49</f>
        <v>236.485031607796</v>
      </c>
      <c r="AX51" s="11" t="n">
        <f aca="false">AX50+AX46+AX47+AX48+AX49</f>
        <v>236.125762535833</v>
      </c>
      <c r="AY51" s="11" t="n">
        <f aca="false">AY50+AY46+AY47+AY48+AY49</f>
        <v>239.796257087731</v>
      </c>
      <c r="AZ51" s="11" t="n">
        <f aca="false">AZ50+AZ46+AZ47+AZ48+AZ49</f>
        <v>241.430118063431</v>
      </c>
      <c r="BA51" s="11" t="n">
        <f aca="false">BA50+BA46+BA47+BA48+BA49</f>
        <v>242.962132467554</v>
      </c>
      <c r="BB51" s="11" t="n">
        <f aca="false">BB50+BB46+BB47+BB48+BB49</f>
        <v>239.898318138432</v>
      </c>
      <c r="BC51" s="11" t="n">
        <f aca="false">BC50+BC46+BC47+BC48+BC49</f>
        <v>244.967563110092</v>
      </c>
      <c r="BD51" s="11" t="n">
        <f aca="false">BD50+BD46+BD47+BD48+BD49</f>
        <v>249.320050821298</v>
      </c>
      <c r="BE51" s="11" t="n">
        <f aca="false">BE50+BE46+BE47+BE48+BE49</f>
        <v>252.180582071901</v>
      </c>
      <c r="BF51" s="11" t="n">
        <f aca="false">BF50+BF46+BF47+BF48+BF49</f>
        <v>251.790983962172</v>
      </c>
      <c r="BG51" s="11" t="n">
        <f aca="false">BG50+BG46+BG47+BG48+BG49</f>
        <v>255.757328346208</v>
      </c>
      <c r="BH51" s="11" t="n">
        <f aca="false">BH50+BH46+BH47+BH48+BH49</f>
        <v>257.520043845186</v>
      </c>
      <c r="BI51" s="11" t="n">
        <f aca="false">BI50+BI46+BI47+BI48+BI49</f>
        <v>258.01375507617</v>
      </c>
      <c r="BJ51" s="11" t="n">
        <f aca="false">BJ50+BJ46+BJ47+BJ48+BJ49</f>
        <v>251.320102565799</v>
      </c>
      <c r="BK51" s="11" t="n">
        <f aca="false">BK50+BK46+BK47+BK48+BK49</f>
        <v>258.975145012902</v>
      </c>
      <c r="BL51" s="11" t="n">
        <f aca="false">BL50+BL46+BL47+BL48+BL49</f>
        <v>266.042271445505</v>
      </c>
      <c r="BM51" s="11" t="n">
        <f aca="false">BM50+BM46+BM47+BM48+BM49</f>
        <v>179.749861071282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6357.71974603747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33.4502776581349</v>
      </c>
      <c r="P68" s="11" t="n">
        <f aca="false">P37*P36/1000000</f>
        <v>100.340767534096</v>
      </c>
      <c r="Q68" s="11" t="n">
        <f aca="false">Q37*Q36/1000000</f>
        <v>102.004817805325</v>
      </c>
      <c r="R68" s="11" t="n">
        <f aca="false">R37*R36/1000000</f>
        <v>101.334821798938</v>
      </c>
      <c r="S68" s="11" t="n">
        <f aca="false">S37*S36/1000000</f>
        <v>103.67942920978</v>
      </c>
      <c r="T68" s="11" t="n">
        <f aca="false">T37*T36/1000000</f>
        <v>104.330825013895</v>
      </c>
      <c r="U68" s="11" t="n">
        <f aca="false">U37*U36/1000000</f>
        <v>105.190994849142</v>
      </c>
      <c r="V68" s="11" t="n">
        <f aca="false">V37*V36/1000000</f>
        <v>102.755056894625</v>
      </c>
      <c r="W68" s="11" t="n">
        <f aca="false">W37*W36/1000000</f>
        <v>106.027502145729</v>
      </c>
      <c r="X68" s="11" t="n">
        <f aca="false">X37*X36/1000000</f>
        <v>108.477942741047</v>
      </c>
      <c r="Y68" s="11" t="n">
        <f aca="false">Y37*Y36/1000000</f>
        <v>110.27612402514</v>
      </c>
      <c r="Z68" s="11" t="n">
        <f aca="false">Z37*Z36/1000000</f>
        <v>109.550988951272</v>
      </c>
      <c r="AA68" s="11" t="n">
        <f aca="false">AA37*AA36/1000000</f>
        <v>112.084865769922</v>
      </c>
      <c r="AB68" s="11" t="n">
        <f aca="false">AB37*AB36/1000000</f>
        <v>112.788235577242</v>
      </c>
      <c r="AC68" s="11" t="n">
        <f aca="false">AC37*AC36/1000000</f>
        <v>112.940645083102</v>
      </c>
      <c r="AD68" s="11" t="n">
        <f aca="false">AD37*AD36/1000000</f>
        <v>108.753526375079</v>
      </c>
      <c r="AE68" s="11" t="n">
        <f aca="false">AE37*AE36/1000000</f>
        <v>113.036062641639</v>
      </c>
      <c r="AF68" s="11" t="n">
        <f aca="false">AF37*AF36/1000000</f>
        <v>117.268053564502</v>
      </c>
      <c r="AG68" s="11" t="n">
        <f aca="false">AG37*AG36/1000000</f>
        <v>119.211058598491</v>
      </c>
      <c r="AH68" s="11" t="n">
        <f aca="false">AH37*AH36/1000000</f>
        <v>118.426290844007</v>
      </c>
      <c r="AI68" s="11" t="n">
        <f aca="false">AI37*AI36/1000000</f>
        <v>121.164549720931</v>
      </c>
      <c r="AJ68" s="11" t="n">
        <f aca="false">AJ37*AJ36/1000000</f>
        <v>121.923990844173</v>
      </c>
      <c r="AK68" s="11" t="n">
        <f aca="false">AK37*AK36/1000000</f>
        <v>122.927384206584</v>
      </c>
      <c r="AL68" s="11" t="n">
        <f aca="false">AL37*AL36/1000000</f>
        <v>120.078935305509</v>
      </c>
      <c r="AM68" s="11" t="n">
        <f aca="false">AM37*AM36/1000000</f>
        <v>123.901252948969</v>
      </c>
      <c r="AN68" s="11" t="n">
        <f aca="false">AN37*AN36/1000000</f>
        <v>126.76289490856</v>
      </c>
      <c r="AO68" s="11" t="n">
        <f aca="false">AO37*AO36/1000000</f>
        <v>128.862258507533</v>
      </c>
      <c r="AP68" s="11" t="n">
        <f aca="false">AP37*AP36/1000000</f>
        <v>128.01300193866</v>
      </c>
      <c r="AQ68" s="11" t="n">
        <f aca="false">AQ37*AQ36/1000000</f>
        <v>130.97194782667</v>
      </c>
      <c r="AR68" s="11" t="n">
        <f aca="false">AR37*AR36/1000000</f>
        <v>131.791876197341</v>
      </c>
      <c r="AS68" s="11" t="n">
        <f aca="false">AS37*AS36/1000000</f>
        <v>131.967997342887</v>
      </c>
      <c r="AT68" s="11" t="n">
        <f aca="false">AT37*AT36/1000000</f>
        <v>127.073570033548</v>
      </c>
      <c r="AU68" s="11" t="n">
        <f aca="false">AU37*AU36/1000000</f>
        <v>132.075548328992</v>
      </c>
      <c r="AV68" s="11" t="n">
        <f aca="false">AV37*AV36/1000000</f>
        <v>137.018318051361</v>
      </c>
      <c r="AW68" s="11" t="n">
        <f aca="false">AW37*AW36/1000000</f>
        <v>139.286482509008</v>
      </c>
      <c r="AX68" s="11" t="n">
        <f aca="false">AX37*AX36/1000000</f>
        <v>138.367489539256</v>
      </c>
      <c r="AY68" s="11" t="n">
        <f aca="false">AY37*AY36/1000000</f>
        <v>141.564712487304</v>
      </c>
      <c r="AZ68" s="11" t="n">
        <f aca="false">AZ37*AZ36/1000000</f>
        <v>142.449887036818</v>
      </c>
      <c r="BA68" s="11" t="n">
        <f aca="false">BA37*BA36/1000000</f>
        <v>143.62005125292</v>
      </c>
      <c r="BB68" s="11" t="n">
        <f aca="false">BB37*BB36/1000000</f>
        <v>140.290014381701</v>
      </c>
      <c r="BC68" s="11" t="n">
        <f aca="false">BC37*BC36/1000000</f>
        <v>144.753515580139</v>
      </c>
      <c r="BD68" s="11" t="n">
        <f aca="false">BD37*BD36/1000000</f>
        <v>148.09454365335</v>
      </c>
      <c r="BE68" s="11" t="n">
        <f aca="false">BE37*BE36/1000000</f>
        <v>150.544929139263</v>
      </c>
      <c r="BF68" s="11" t="n">
        <f aca="false">BF37*BF36/1000000</f>
        <v>149.550529515576</v>
      </c>
      <c r="BG68" s="11" t="n">
        <f aca="false">BG37*BG36/1000000</f>
        <v>153.0050045699</v>
      </c>
      <c r="BH68" s="11" t="n">
        <f aca="false">BH37*BH36/1000000</f>
        <v>153.960553439985</v>
      </c>
      <c r="BI68" s="11" t="n">
        <f aca="false">BI37*BI36/1000000</f>
        <v>154.163981720515</v>
      </c>
      <c r="BJ68" s="11" t="n">
        <f aca="false">BJ37*BJ36/1000000</f>
        <v>148.444116667876</v>
      </c>
      <c r="BK68" s="11" t="n">
        <f aca="false">BK37*BK36/1000000</f>
        <v>154.284978124066</v>
      </c>
      <c r="BL68" s="11" t="n">
        <f aca="false">BL37*BL36/1000000</f>
        <v>160.056498493418</v>
      </c>
      <c r="BM68" s="11" t="n">
        <f aca="false">BM37*BM36/1000000</f>
        <v>108.820644683548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7194.49602065525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38.0886890432972</v>
      </c>
      <c r="P69" s="11" t="n">
        <f aca="false">P68+P47+P48+P49</f>
        <v>114.318317259041</v>
      </c>
      <c r="Q69" s="11" t="n">
        <f aca="false">Q68+Q47+Q48+Q49</f>
        <v>115.99314414938</v>
      </c>
      <c r="R69" s="11" t="n">
        <f aca="false">R68+R47+R48+R49</f>
        <v>115.497267215657</v>
      </c>
      <c r="S69" s="11" t="n">
        <f aca="false">S68+S47+S48+S49</f>
        <v>117.868686154907</v>
      </c>
      <c r="T69" s="11" t="n">
        <f aca="false">T68+T47+T48+T49</f>
        <v>118.729295769935</v>
      </c>
      <c r="U69" s="11" t="n">
        <f aca="false">U68+U47+U48+U49</f>
        <v>119.644901240577</v>
      </c>
      <c r="V69" s="11" t="n">
        <f aca="false">V68+V47+V48+V49</f>
        <v>117.280815293584</v>
      </c>
      <c r="W69" s="11" t="n">
        <f aca="false">W68+W47+W48+W49</f>
        <v>120.601275924358</v>
      </c>
      <c r="X69" s="11" t="n">
        <f aca="false">X68+X47+X48+X49</f>
        <v>123.309972311525</v>
      </c>
      <c r="Y69" s="11" t="n">
        <f aca="false">Y68+Y47+Y48+Y49</f>
        <v>125.119534447152</v>
      </c>
      <c r="Z69" s="11" t="n">
        <f aca="false">Z68+Z47+Z48+Z49</f>
        <v>124.579205172241</v>
      </c>
      <c r="AA69" s="11" t="n">
        <f aca="false">AA68+AA47+AA48+AA49</f>
        <v>127.141459396311</v>
      </c>
      <c r="AB69" s="11" t="n">
        <f aca="false">AB68+AB47+AB48+AB49</f>
        <v>128.066840027543</v>
      </c>
      <c r="AC69" s="11" t="n">
        <f aca="false">AC68+AC47+AC48+AC49</f>
        <v>128.259614211865</v>
      </c>
      <c r="AD69" s="11" t="n">
        <f aca="false">AD68+AD47+AD48+AD49</f>
        <v>124.111942876723</v>
      </c>
      <c r="AE69" s="11" t="n">
        <f aca="false">AE68+AE47+AE48+AE49</f>
        <v>128.46322171129</v>
      </c>
      <c r="AF69" s="11" t="n">
        <f aca="false">AF68+AF47+AF48+AF49</f>
        <v>133.00663852951</v>
      </c>
      <c r="AG69" s="11" t="n">
        <f aca="false">AG68+AG47+AG48+AG49</f>
        <v>134.961660343038</v>
      </c>
      <c r="AH69" s="11" t="n">
        <f aca="false">AH68+AH47+AH48+AH49</f>
        <v>134.373042060906</v>
      </c>
      <c r="AI69" s="11" t="n">
        <f aca="false">AI68+AI47+AI48+AI49</f>
        <v>137.141332497077</v>
      </c>
      <c r="AJ69" s="11" t="n">
        <f aca="false">AJ68+AJ47+AJ48+AJ49</f>
        <v>138.136363151436</v>
      </c>
      <c r="AK69" s="11" t="n">
        <f aca="false">AK68+AK47+AK48+AK49</f>
        <v>139.20213740668</v>
      </c>
      <c r="AL69" s="11" t="n">
        <f aca="false">AL68+AL47+AL48+AL49</f>
        <v>136.434760589534</v>
      </c>
      <c r="AM69" s="11" t="n">
        <f aca="false">AM68+AM47+AM48+AM49</f>
        <v>140.310928058839</v>
      </c>
      <c r="AN69" s="11" t="n">
        <f aca="false">AN68+AN47+AN48+AN49</f>
        <v>143.463274547115</v>
      </c>
      <c r="AO69" s="11" t="n">
        <f aca="false">AO68+AO47+AO48+AO49</f>
        <v>145.57532404847</v>
      </c>
      <c r="AP69" s="11" t="n">
        <f aca="false">AP68+AP47+AP48+AP49</f>
        <v>144.934258020706</v>
      </c>
      <c r="AQ69" s="11" t="n">
        <f aca="false">AQ68+AQ47+AQ48+AQ49</f>
        <v>147.924982655848</v>
      </c>
      <c r="AR69" s="11" t="n">
        <f aca="false">AR68+AR47+AR48+AR49</f>
        <v>148.994908642435</v>
      </c>
      <c r="AS69" s="11" t="n">
        <f aca="false">AS68+AS47+AS48+AS49</f>
        <v>149.216484553249</v>
      </c>
      <c r="AT69" s="11" t="n">
        <f aca="false">AT68+AT47+AT48+AT49</f>
        <v>144.366755806907</v>
      </c>
      <c r="AU69" s="11" t="n">
        <f aca="false">AU68+AU47+AU48+AU49</f>
        <v>149.445854532918</v>
      </c>
      <c r="AV69" s="11" t="n">
        <f aca="false">AV68+AV47+AV48+AV49</f>
        <v>154.739086955622</v>
      </c>
      <c r="AW69" s="11" t="n">
        <f aca="false">AW68+AW47+AW48+AW49</f>
        <v>157.020641190159</v>
      </c>
      <c r="AX69" s="11" t="n">
        <f aca="false">AX68+AX47+AX48+AX49</f>
        <v>156.322620168178</v>
      </c>
      <c r="AY69" s="11" t="n">
        <f aca="false">AY68+AY47+AY48+AY49</f>
        <v>159.553467082908</v>
      </c>
      <c r="AZ69" s="11" t="n">
        <f aca="false">AZ68+AZ47+AZ48+AZ49</f>
        <v>160.703927298731</v>
      </c>
      <c r="BA69" s="11" t="n">
        <f aca="false">BA68+BA47+BA48+BA49</f>
        <v>161.944285152699</v>
      </c>
      <c r="BB69" s="11" t="n">
        <f aca="false">BB68+BB47+BB48+BB49</f>
        <v>158.705740474275</v>
      </c>
      <c r="BC69" s="11" t="n">
        <f aca="false">BC68+BC47+BC48+BC49</f>
        <v>163.229614081649</v>
      </c>
      <c r="BD69" s="11" t="n">
        <f aca="false">BD68+BD47+BD48+BD49</f>
        <v>166.897854874219</v>
      </c>
      <c r="BE69" s="11" t="n">
        <f aca="false">BE68+BE47+BE48+BE49</f>
        <v>169.362370378577</v>
      </c>
      <c r="BF69" s="11" t="n">
        <f aca="false">BF68+BF47+BF48+BF49</f>
        <v>168.602510038104</v>
      </c>
      <c r="BG69" s="11" t="n">
        <f aca="false">BG68+BG47+BG48+BG49</f>
        <v>172.092557559205</v>
      </c>
      <c r="BH69" s="11" t="n">
        <f aca="false">BH68+BH47+BH48+BH49</f>
        <v>173.329613780885</v>
      </c>
      <c r="BI69" s="11" t="n">
        <f aca="false">BI68+BI47+BI48+BI49</f>
        <v>173.584231457233</v>
      </c>
      <c r="BJ69" s="11" t="n">
        <f aca="false">BJ68+BJ47+BJ48+BJ49</f>
        <v>167.915042466332</v>
      </c>
      <c r="BK69" s="11" t="n">
        <f aca="false">BK68+BK47+BK48+BK49</f>
        <v>173.842395710648</v>
      </c>
      <c r="BL69" s="11" t="n">
        <f aca="false">BL68+BL47+BL48+BL49</f>
        <v>180.008278943991</v>
      </c>
      <c r="BM69" s="11" t="n">
        <f aca="false">BM68+BM47+BM48+BM49</f>
        <v>122.078895391786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8393.53468194219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43.8470530346736</v>
      </c>
      <c r="P78" s="11" t="n">
        <f aca="false">P67+P69+P70+P71+P74+P77</f>
        <v>131.874428885805</v>
      </c>
      <c r="Q78" s="11" t="n">
        <f aca="false">Q67+Q69+Q70+Q71+Q74+Q77</f>
        <v>133.607644294443</v>
      </c>
      <c r="R78" s="11" t="n">
        <f aca="false">R67+R69+R70+R71+R74+R77</f>
        <v>133.204481988565</v>
      </c>
      <c r="S78" s="11" t="n">
        <f aca="false">S67+S69+S70+S71+S74+S77</f>
        <v>135.802811609926</v>
      </c>
      <c r="T78" s="11" t="n">
        <f aca="false">T67+T69+T70+T71+T74+T77</f>
        <v>136.934050873988</v>
      </c>
      <c r="U78" s="11" t="n">
        <f aca="false">U67+U69+U70+U71+U74+U77</f>
        <v>137.894850764484</v>
      </c>
      <c r="V78" s="11" t="n">
        <f aca="false">V67+V69+V70+V71+V74+V77</f>
        <v>137.92417422598</v>
      </c>
      <c r="W78" s="11" t="n">
        <f aca="false">W67+W69+W70+W71+W74+W77</f>
        <v>139.088222581876</v>
      </c>
      <c r="X78" s="11" t="n">
        <f aca="false">X67+X69+X70+X71+X74+X77</f>
        <v>142.294957822314</v>
      </c>
      <c r="Y78" s="11" t="n">
        <f aca="false">Y67+Y69+Y70+Y71+Y74+Y77</f>
        <v>144.261815830248</v>
      </c>
      <c r="Z78" s="11" t="n">
        <f aca="false">Z67+Z69+Z70+Z71+Z74+Z77</f>
        <v>143.836480943977</v>
      </c>
      <c r="AA78" s="11" t="n">
        <f aca="false">AA67+AA69+AA70+AA71+AA74+AA77</f>
        <v>146.646079277963</v>
      </c>
      <c r="AB78" s="11" t="n">
        <f aca="false">AB67+AB69+AB70+AB71+AB74+AB77</f>
        <v>147.866449098165</v>
      </c>
      <c r="AC78" s="11" t="n">
        <f aca="false">AC67+AC69+AC70+AC71+AC74+AC77</f>
        <v>148.013599676299</v>
      </c>
      <c r="AD78" s="11" t="n">
        <f aca="false">AD67+AD69+AD70+AD71+AD74+AD77</f>
        <v>155.428371776771</v>
      </c>
      <c r="AE78" s="11" t="n">
        <f aca="false">AE67+AE69+AE70+AE71+AE74+AE77</f>
        <v>148.376544972113</v>
      </c>
      <c r="AF78" s="11" t="n">
        <f aca="false">AF67+AF69+AF70+AF71+AF74+AF77</f>
        <v>153.65678026269</v>
      </c>
      <c r="AG78" s="11" t="n">
        <f aca="false">AG67+AG69+AG70+AG71+AG74+AG77</f>
        <v>155.783284579513</v>
      </c>
      <c r="AH78" s="11" t="n">
        <f aca="false">AH67+AH69+AH70+AH71+AH74+AH77</f>
        <v>155.320049816682</v>
      </c>
      <c r="AI78" s="11" t="n">
        <f aca="false">AI67+AI69+AI70+AI71+AI74+AI77</f>
        <v>158.357957649346</v>
      </c>
      <c r="AJ78" s="11" t="n">
        <f aca="false">AJ67+AJ69+AJ70+AJ71+AJ74+AJ77</f>
        <v>159.674529412465</v>
      </c>
      <c r="AK78" s="11" t="n">
        <f aca="false">AK67+AK69+AK70+AK71+AK74+AK77</f>
        <v>160.794110405551</v>
      </c>
      <c r="AL78" s="11" t="n">
        <f aca="false">AL67+AL69+AL70+AL71+AL74+AL77</f>
        <v>160.875682460932</v>
      </c>
      <c r="AM78" s="11" t="n">
        <f aca="false">AM67+AM69+AM70+AM71+AM74+AM77</f>
        <v>162.184636688921</v>
      </c>
      <c r="AN78" s="11" t="n">
        <f aca="false">AN67+AN69+AN70+AN71+AN74+AN77</f>
        <v>165.928609721187</v>
      </c>
      <c r="AO78" s="11" t="n">
        <f aca="false">AO67+AO69+AO70+AO71+AO74+AO77</f>
        <v>168.22760776964</v>
      </c>
      <c r="AP78" s="11" t="n">
        <f aca="false">AP67+AP69+AP70+AP71+AP74+AP77</f>
        <v>167.723252952774</v>
      </c>
      <c r="AQ78" s="11" t="n">
        <f aca="false">AQ67+AQ69+AQ70+AQ71+AQ74+AQ77</f>
        <v>171.007873776864</v>
      </c>
      <c r="AR78" s="11" t="n">
        <f aca="false">AR67+AR69+AR70+AR71+AR74+AR77</f>
        <v>172.428282466158</v>
      </c>
      <c r="AS78" s="11" t="n">
        <f aca="false">AS67+AS69+AS70+AS71+AS74+AS77</f>
        <v>172.59581836062</v>
      </c>
      <c r="AT78" s="11" t="n">
        <f aca="false">AT67+AT69+AT70+AT71+AT74+AT77</f>
        <v>181.508838453267</v>
      </c>
      <c r="AU78" s="11" t="n">
        <f aca="false">AU67+AU69+AU70+AU71+AU74+AU77</f>
        <v>173.014717142477</v>
      </c>
      <c r="AV78" s="11" t="n">
        <f aca="false">AV67+AV69+AV70+AV71+AV74+AV77</f>
        <v>179.183170558139</v>
      </c>
      <c r="AW78" s="11" t="n">
        <f aca="false">AW67+AW69+AW70+AW71+AW74+AW77</f>
        <v>181.668534171222</v>
      </c>
      <c r="AX78" s="11" t="n">
        <f aca="false">AX67+AX69+AX70+AX71+AX74+AX77</f>
        <v>181.119575399071</v>
      </c>
      <c r="AY78" s="11" t="n">
        <f aca="false">AY67+AY69+AY70+AY71+AY74+AY77</f>
        <v>184.670783360276</v>
      </c>
      <c r="AZ78" s="11" t="n">
        <f aca="false">AZ67+AZ69+AZ70+AZ71+AZ74+AZ77</f>
        <v>186.203272593907</v>
      </c>
      <c r="BA78" s="11" t="n">
        <f aca="false">BA67+BA69+BA70+BA71+BA74+BA77</f>
        <v>187.50769067313</v>
      </c>
      <c r="BB78" s="11" t="n">
        <f aca="false">BB67+BB69+BB70+BB71+BB74+BB77</f>
        <v>187.660337444033</v>
      </c>
      <c r="BC78" s="11" t="n">
        <f aca="false">BC67+BC69+BC70+BC71+BC74+BC77</f>
        <v>189.127938661001</v>
      </c>
      <c r="BD78" s="11" t="n">
        <f aca="false">BD67+BD69+BD70+BD71+BD74+BD77</f>
        <v>193.498977451544</v>
      </c>
      <c r="BE78" s="11" t="n">
        <f aca="false">BE67+BE69+BE70+BE71+BE74+BE77</f>
        <v>196.185683731882</v>
      </c>
      <c r="BF78" s="11" t="n">
        <f aca="false">BF67+BF69+BF70+BF71+BF74+BF77</f>
        <v>195.588352472871</v>
      </c>
      <c r="BG78" s="11" t="n">
        <f aca="false">BG67+BG69+BG70+BG71+BG74+BG77</f>
        <v>199.427608776617</v>
      </c>
      <c r="BH78" s="11" t="n">
        <f aca="false">BH67+BH69+BH70+BH71+BH74+BH77</f>
        <v>201.081079449271</v>
      </c>
      <c r="BI78" s="11" t="n">
        <f aca="false">BI67+BI69+BI70+BI71+BI74+BI77</f>
        <v>201.271689559838</v>
      </c>
      <c r="BJ78" s="11" t="n">
        <f aca="false">BJ67+BJ69+BJ70+BJ71+BJ74+BJ77</f>
        <v>211.984150959302</v>
      </c>
      <c r="BK78" s="11" t="n">
        <f aca="false">BK67+BK69+BK70+BK71+BK74+BK77</f>
        <v>201.755294077214</v>
      </c>
      <c r="BL78" s="11" t="n">
        <f aca="false">BL67+BL69+BL70+BL71+BL74+BL77</f>
        <v>208.960794089422</v>
      </c>
      <c r="BM78" s="11" t="n">
        <f aca="false">BM67+BM69+BM70+BM71+BM74+BM77</f>
        <v>160.655698936771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2616.7355216742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16.8993604229143</v>
      </c>
      <c r="P79" s="11" t="n">
        <f aca="false">P51-P78+P53</f>
        <v>50.7044092045475</v>
      </c>
      <c r="Q79" s="11" t="n">
        <f aca="false">Q51-Q78+Q53</f>
        <v>50.9094848498197</v>
      </c>
      <c r="R79" s="11" t="n">
        <f aca="false">R51-R78+R53</f>
        <v>51.0539394892314</v>
      </c>
      <c r="S79" s="11" t="n">
        <f aca="false">S51-S78+S53</f>
        <v>51.1465123010965</v>
      </c>
      <c r="T79" s="11" t="n">
        <f aca="false">T51-T78+T53</f>
        <v>51.2216780740607</v>
      </c>
      <c r="U79" s="11" t="n">
        <f aca="false">U51-U78+U53</f>
        <v>51.3841555810801</v>
      </c>
      <c r="V79" s="11" t="n">
        <f aca="false">V51-V78+V53</f>
        <v>49.1035544951066</v>
      </c>
      <c r="W79" s="11" t="n">
        <f aca="false">W51-W78+W53</f>
        <v>51.6585167852339</v>
      </c>
      <c r="X79" s="11" t="n">
        <f aca="false">X51-X78+X53</f>
        <v>51.6568714694459</v>
      </c>
      <c r="Y79" s="11" t="n">
        <f aca="false">Y51-Y78+Y53</f>
        <v>51.7853576030401</v>
      </c>
      <c r="Z79" s="11" t="n">
        <f aca="false">Z51-Z78+Z53</f>
        <v>51.9296691971124</v>
      </c>
      <c r="AA79" s="11" t="n">
        <f aca="false">AA51-AA78+AA53</f>
        <v>52.028301977106</v>
      </c>
      <c r="AB79" s="11" t="n">
        <f aca="false">AB51-AB78+AB53</f>
        <v>52.1093025012149</v>
      </c>
      <c r="AC79" s="11" t="n">
        <f aca="false">AC51-AC78+AC53</f>
        <v>52.3218259554983</v>
      </c>
      <c r="AD79" s="11" t="n">
        <f aca="false">AD51-AD78+AD53</f>
        <v>39.8450818268235</v>
      </c>
      <c r="AE79" s="11" t="n">
        <f aca="false">AE51-AE78+AE53</f>
        <v>52.6582593271669</v>
      </c>
      <c r="AF79" s="11" t="n">
        <f aca="false">AF51-AF78+AF53</f>
        <v>52.5796658932823</v>
      </c>
      <c r="AG79" s="11" t="n">
        <f aca="false">AG51-AG78+AG53</f>
        <v>52.7182041797502</v>
      </c>
      <c r="AH79" s="11" t="n">
        <f aca="false">AH51-AH78+AH53</f>
        <v>52.8763082320372</v>
      </c>
      <c r="AI79" s="11" t="n">
        <f aca="false">AI51-AI78+AI53</f>
        <v>52.9813957452599</v>
      </c>
      <c r="AJ79" s="11" t="n">
        <f aca="false">AJ51-AJ78+AJ53</f>
        <v>53.0686848550153</v>
      </c>
      <c r="AK79" s="11" t="n">
        <f aca="false">AK51-AK78+AK53</f>
        <v>53.2609492780432</v>
      </c>
      <c r="AL79" s="11" t="n">
        <f aca="false">AL51-AL78+AL53</f>
        <v>50.5526655970159</v>
      </c>
      <c r="AM79" s="11" t="n">
        <f aca="false">AM51-AM78+AM53</f>
        <v>53.5860038486242</v>
      </c>
      <c r="AN79" s="11" t="n">
        <f aca="false">AN51-AN78+AN53</f>
        <v>53.5771122682086</v>
      </c>
      <c r="AO79" s="11" t="n">
        <f aca="false">AO51-AO78+AO53</f>
        <v>53.726511982976</v>
      </c>
      <c r="AP79" s="11" t="n">
        <f aca="false">AP51-AP78+AP53</f>
        <v>53.8997021855551</v>
      </c>
      <c r="AQ79" s="11" t="n">
        <f aca="false">AQ51-AQ78+AQ53</f>
        <v>54.0116650897258</v>
      </c>
      <c r="AR79" s="11" t="n">
        <f aca="false">AR51-AR78+AR53</f>
        <v>54.1057319242345</v>
      </c>
      <c r="AS79" s="11" t="n">
        <f aca="false">AS51-AS78+AS53</f>
        <v>54.3595345504699</v>
      </c>
      <c r="AT79" s="11" t="n">
        <f aca="false">AT51-AT78+AT53</f>
        <v>39.6314309038557</v>
      </c>
      <c r="AU79" s="11" t="n">
        <f aca="false">AU51-AU78+AU53</f>
        <v>54.7604688442206</v>
      </c>
      <c r="AV79" s="11" t="n">
        <f aca="false">AV51-AV78+AV53</f>
        <v>54.6553598135104</v>
      </c>
      <c r="AW79" s="11" t="n">
        <f aca="false">AW51-AW78+AW53</f>
        <v>54.8164974365744</v>
      </c>
      <c r="AX79" s="11" t="n">
        <f aca="false">AX51-AX78+AX53</f>
        <v>55.0061871367616</v>
      </c>
      <c r="AY79" s="11" t="n">
        <f aca="false">AY51-AY78+AY53</f>
        <v>55.1254737274549</v>
      </c>
      <c r="AZ79" s="11" t="n">
        <f aca="false">AZ51-AZ78+AZ53</f>
        <v>55.2268454695243</v>
      </c>
      <c r="BA79" s="11" t="n">
        <f aca="false">BA51-BA78+BA53</f>
        <v>55.4544417944234</v>
      </c>
      <c r="BB79" s="11" t="n">
        <f aca="false">BB51-BB78+BB53</f>
        <v>52.2379806943981</v>
      </c>
      <c r="BC79" s="11" t="n">
        <f aca="false">BC51-BC78+BC53</f>
        <v>55.8396244490906</v>
      </c>
      <c r="BD79" s="11" t="n">
        <f aca="false">BD51-BD78+BD53</f>
        <v>55.8210733697536</v>
      </c>
      <c r="BE79" s="11" t="n">
        <f aca="false">BE51-BE78+BE53</f>
        <v>55.9948983400189</v>
      </c>
      <c r="BF79" s="11" t="n">
        <f aca="false">BF51-BF78+BF53</f>
        <v>56.2026314893008</v>
      </c>
      <c r="BG79" s="11" t="n">
        <f aca="false">BG51-BG78+BG53</f>
        <v>56.3297195695905</v>
      </c>
      <c r="BH79" s="11" t="n">
        <f aca="false">BH51-BH78+BH53</f>
        <v>56.4389643959148</v>
      </c>
      <c r="BI79" s="11" t="n">
        <f aca="false">BI51-BI78+BI53</f>
        <v>56.7420655163323</v>
      </c>
      <c r="BJ79" s="11" t="n">
        <f aca="false">BJ51-BJ78+BJ53</f>
        <v>39.335951606497</v>
      </c>
      <c r="BK79" s="11" t="n">
        <f aca="false">BK51-BK78+BK53</f>
        <v>57.2198509356877</v>
      </c>
      <c r="BL79" s="11" t="n">
        <f aca="false">BL51-BL78+BL53</f>
        <v>57.081477356083</v>
      </c>
      <c r="BM79" s="11" t="n">
        <f aca="false">BM51-BM78+BM53</f>
        <v>19.0941621345104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44.8129279605156</v>
      </c>
      <c r="P83" s="11" t="n">
        <f aca="false">(1-P81)*(P51/MAX(Time!P26,1)*Inputs!$F$165+P50/MAX(Time!P26,1)*P82)</f>
        <v>44.6524332286189</v>
      </c>
      <c r="Q83" s="11" t="n">
        <f aca="false">(1-Q81)*(Q51/MAX(Time!Q26,1)*Inputs!$F$165+Q50/MAX(Time!Q26,1)*Q82)</f>
        <v>45.8744243728831</v>
      </c>
      <c r="R83" s="11" t="n">
        <f aca="false">(1-R81)*(R51/MAX(Time!R26,1)*Inputs!$F$165+R50/MAX(Time!R26,1)*R82)</f>
        <v>45.0632009048959</v>
      </c>
      <c r="S83" s="11" t="n">
        <f aca="false">(1-S81)*(S51/MAX(Time!S26,1)*Inputs!$F$165+S50/MAX(Time!S26,1)*S82)</f>
        <v>46.4791136795359</v>
      </c>
      <c r="T83" s="11" t="n">
        <f aca="false">(1-T81)*(T51/MAX(Time!T26,1)*Inputs!$F$165+T50/MAX(Time!T26,1)*T82)</f>
        <v>46.016346753599</v>
      </c>
      <c r="U83" s="11" t="n">
        <f aca="false">(1-U81)*(U51/MAX(Time!U26,1)*Inputs!$F$165+U50/MAX(Time!U26,1)*U82)</f>
        <v>46.7997543162108</v>
      </c>
      <c r="V83" s="11" t="n">
        <f aca="false">(1-V81)*(V51/MAX(Time!V26,1)*Inputs!$F$165+V50/MAX(Time!V26,1)*V82)</f>
        <v>45.7404771328745</v>
      </c>
      <c r="W83" s="11" t="n">
        <f aca="false">(1-W81)*(W51/MAX(Time!W26,1)*Inputs!$F$165+W50/MAX(Time!W26,1)*W82)</f>
        <v>47.4232224945853</v>
      </c>
      <c r="X83" s="11" t="n">
        <f aca="false">(1-X81)*(X51/MAX(Time!X26,1)*Inputs!$F$165+X50/MAX(Time!X26,1)*X82)</f>
        <v>47.4338712941805</v>
      </c>
      <c r="Y83" s="11" t="n">
        <f aca="false">(1-Y81)*(Y51/MAX(Time!Y26,1)*Inputs!$F$165+Y50/MAX(Time!Y26,1)*Y82)</f>
        <v>48.741009969602</v>
      </c>
      <c r="Z83" s="11" t="n">
        <f aca="false">(1-Z81)*(Z51/MAX(Time!Z26,1)*Inputs!$F$165+Z50/MAX(Time!Z26,1)*Z82)</f>
        <v>47.8775910671143</v>
      </c>
      <c r="AA83" s="11" t="n">
        <f aca="false">(1-AA81)*(AA51/MAX(Time!AA26,1)*Inputs!$F$165+AA50/MAX(Time!AA26,1)*AA82)</f>
        <v>49.3941831849618</v>
      </c>
      <c r="AB83" s="11" t="n">
        <f aca="false">(1-AB81)*(AB51/MAX(Time!AB26,1)*Inputs!$F$165+AB50/MAX(Time!AB26,1)*AB82)</f>
        <v>48.9071131628917</v>
      </c>
      <c r="AC83" s="11" t="n">
        <f aca="false">(1-AC81)*(AC51/MAX(Time!AC26,1)*Inputs!$F$165+AC50/MAX(Time!AC26,1)*AC82)</f>
        <v>49.5334843595104</v>
      </c>
      <c r="AD83" s="11" t="n">
        <f aca="false">(1-AD81)*(AD51/MAX(Time!AD26,1)*Inputs!$F$165+AD50/MAX(Time!AD26,1)*AD82)</f>
        <v>47.7570946313138</v>
      </c>
      <c r="AE83" s="11" t="n">
        <f aca="false">(1-AE81)*(AE51/MAX(Time!AE26,1)*Inputs!$F$165+AE50/MAX(Time!AE26,1)*AE82)</f>
        <v>49.9810286931912</v>
      </c>
      <c r="AF83" s="11" t="n">
        <f aca="false">(1-AF81)*(AF51/MAX(Time!AF26,1)*Inputs!$F$165+AF50/MAX(Time!AF26,1)*AF82)</f>
        <v>50.4382612881454</v>
      </c>
      <c r="AG83" s="11" t="n">
        <f aca="false">(1-AG81)*(AG51/MAX(Time!AG26,1)*Inputs!$F$165+AG50/MAX(Time!AG26,1)*AG82)</f>
        <v>51.8373867081042</v>
      </c>
      <c r="AH83" s="11" t="n">
        <f aca="false">(1-AH81)*(AH51/MAX(Time!AH26,1)*Inputs!$F$165+AH50/MAX(Time!AH26,1)*AH82)</f>
        <v>50.9175875662628</v>
      </c>
      <c r="AI83" s="11" t="n">
        <f aca="false">(1-AI81)*(AI51/MAX(Time!AI26,1)*Inputs!$F$165+AI50/MAX(Time!AI26,1)*AI82)</f>
        <v>52.5429331644047</v>
      </c>
      <c r="AJ83" s="11" t="n">
        <f aca="false">(1-AJ81)*(AJ51/MAX(Time!AJ26,1)*Inputs!$F$165+AJ50/MAX(Time!AJ26,1)*AJ82)</f>
        <v>52.0295904458511</v>
      </c>
      <c r="AK83" s="11" t="n">
        <f aca="false">(1-AK81)*(AK51/MAX(Time!AK26,1)*Inputs!$F$165+AK50/MAX(Time!AK26,1)*AK82)</f>
        <v>52.9257015701195</v>
      </c>
      <c r="AL83" s="11" t="n">
        <f aca="false">(1-AL81)*(AL51/MAX(Time!AL26,1)*Inputs!$F$165+AL50/MAX(Time!AL26,1)*AL82)</f>
        <v>51.7080199054764</v>
      </c>
      <c r="AM83" s="11" t="n">
        <f aca="false">(1-AM81)*(AM51/MAX(Time!AM26,1)*Inputs!$F$165+AM50/MAX(Time!AM26,1)*AM82)</f>
        <v>53.6446343877875</v>
      </c>
      <c r="AN83" s="11" t="n">
        <f aca="false">(1-AN81)*(AN51/MAX(Time!AN26,1)*Inputs!$F$165+AN50/MAX(Time!AN26,1)*AN82)</f>
        <v>53.6834646169718</v>
      </c>
      <c r="AO83" s="11" t="n">
        <f aca="false">(1-AO81)*(AO51/MAX(Time!AO26,1)*Inputs!$F$165+AO50/MAX(Time!AO26,1)*AO82)</f>
        <v>55.1819634744074</v>
      </c>
      <c r="AP83" s="11" t="n">
        <f aca="false">(1-AP81)*(AP51/MAX(Time!AP26,1)*Inputs!$F$165+AP50/MAX(Time!AP26,1)*AP82)</f>
        <v>54.2012662023088</v>
      </c>
      <c r="AQ83" s="11" t="n">
        <f aca="false">(1-AQ81)*(AQ51/MAX(Time!AQ26,1)*Inputs!$F$165+AQ50/MAX(Time!AQ26,1)*AQ82)</f>
        <v>55.9440842485997</v>
      </c>
      <c r="AR83" s="11" t="n">
        <f aca="false">(1-AR81)*(AR51/MAX(Time!AR26,1)*Inputs!$F$165+AR50/MAX(Time!AR26,1)*AR82)</f>
        <v>55.4023404759112</v>
      </c>
      <c r="AS83" s="11" t="n">
        <f aca="false">(1-AS81)*(AS51/MAX(Time!AS26,1)*Inputs!$F$165+AS50/MAX(Time!AS26,1)*AS82)</f>
        <v>56.1153345109838</v>
      </c>
      <c r="AT83" s="11" t="n">
        <f aca="false">(1-AT81)*(AT51/MAX(Time!AT26,1)*Inputs!$F$165+AT50/MAX(Time!AT26,1)*AT82)</f>
        <v>54.0832180492962</v>
      </c>
      <c r="AU83" s="11" t="n">
        <f aca="false">(1-AU81)*(AU51/MAX(Time!AU26,1)*Inputs!$F$165+AU50/MAX(Time!AU26,1)*AU82)</f>
        <v>56.6291898861956</v>
      </c>
      <c r="AV83" s="11" t="n">
        <f aca="false">(1-AV81)*(AV51/MAX(Time!AV26,1)*Inputs!$F$165+AV50/MAX(Time!AV26,1)*AV82)</f>
        <v>57.1887710148055</v>
      </c>
      <c r="AW83" s="11" t="n">
        <f aca="false">(1-AW81)*(AW51/MAX(Time!AW26,1)*Inputs!$F$165+AW50/MAX(Time!AW26,1)*AW82)</f>
        <v>58.7946211179603</v>
      </c>
      <c r="AX83" s="11" t="n">
        <f aca="false">(1-AX81)*(AX51/MAX(Time!AX26,1)*Inputs!$F$165+AX50/MAX(Time!AX26,1)*AX82)</f>
        <v>57.7481484462634</v>
      </c>
      <c r="AY83" s="11" t="n">
        <f aca="false">(1-AY81)*(AY51/MAX(Time!AY26,1)*Inputs!$F$165+AY50/MAX(Time!AY26,1)*AY82)</f>
        <v>59.6178539720877</v>
      </c>
      <c r="AZ83" s="11" t="n">
        <f aca="false">(1-AZ81)*(AZ51/MAX(Time!AZ26,1)*Inputs!$F$165+AZ50/MAX(Time!AZ26,1)*AZ82)</f>
        <v>59.0454093089913</v>
      </c>
      <c r="BA83" s="11" t="n">
        <f aca="false">(1-BA81)*(BA51/MAX(Time!BA26,1)*Inputs!$F$165+BA50/MAX(Time!BA26,1)*BA82)</f>
        <v>60.0730547309885</v>
      </c>
      <c r="BB83" s="11" t="n">
        <f aca="false">(1-BB81)*(BB51/MAX(Time!BB26,1)*Inputs!$F$165+BB50/MAX(Time!BB26,1)*BB82)</f>
        <v>58.6707843273338</v>
      </c>
      <c r="BC83" s="11" t="n">
        <f aca="false">(1-BC81)*(BC51/MAX(Time!BC26,1)*Inputs!$F$165+BC50/MAX(Time!BC26,1)*BC82)</f>
        <v>60.9035377898018</v>
      </c>
      <c r="BD83" s="11" t="n">
        <f aca="false">(1-BD81)*(BD51/MAX(Time!BD26,1)*Inputs!$F$165+BD50/MAX(Time!BD26,1)*BD82)</f>
        <v>60.9750124291218</v>
      </c>
      <c r="BE83" s="11" t="n">
        <f aca="false">(1-BE81)*(BE51/MAX(Time!BE26,1)*Inputs!$F$165+BE50/MAX(Time!BE26,1)*BE82)</f>
        <v>62.6968297968815</v>
      </c>
      <c r="BF83" s="11" t="n">
        <f aca="false">(1-BF81)*(BF51/MAX(Time!BF26,1)*Inputs!$F$165+BF50/MAX(Time!BF26,1)*BF82)</f>
        <v>61.5793167298791</v>
      </c>
      <c r="BG83" s="11" t="n">
        <f aca="false">(1-BG81)*(BG51/MAX(Time!BG26,1)*Inputs!$F$165+BG50/MAX(Time!BG26,1)*BG82)</f>
        <v>63.5860761081732</v>
      </c>
      <c r="BH83" s="11" t="n">
        <f aca="false">(1-BH81)*(BH51/MAX(Time!BH26,1)*Inputs!$F$165+BH50/MAX(Time!BH26,1)*BH82)</f>
        <v>62.9804455056161</v>
      </c>
      <c r="BI83" s="11" t="n">
        <f aca="false">(1-BI81)*(BI51/MAX(Time!BI26,1)*Inputs!$F$165+BI50/MAX(Time!BI26,1)*BI82)</f>
        <v>63.7946097715805</v>
      </c>
      <c r="BJ83" s="11" t="n">
        <f aca="false">(1-BJ81)*(BJ51/MAX(Time!BJ26,1)*Inputs!$F$165+BJ50/MAX(Time!BJ26,1)*BJ82)</f>
        <v>61.4641555188094</v>
      </c>
      <c r="BK83" s="11" t="n">
        <f aca="false">(1-BK81)*(BK51/MAX(Time!BK26,1)*Inputs!$F$165+BK50/MAX(Time!BK26,1)*BK82)</f>
        <v>64.3860857766883</v>
      </c>
      <c r="BL83" s="11" t="n">
        <f aca="false">(1-BL81)*(BL51/MAX(Time!BL26,1)*Inputs!$F$165+BL50/MAX(Time!BL26,1)*BL82)</f>
        <v>65.0646859513464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24.6764343379684</v>
      </c>
      <c r="P85" s="11" t="n">
        <f aca="false">(1-P81)*(P68+P49)/MAX(Time!P26,1)*Inputs!$F$166</f>
        <v>24.5398616251864</v>
      </c>
      <c r="Q85" s="11" t="n">
        <f aca="false">(1-Q81)*(Q68+Q49)/MAX(Time!Q26,1)*Inputs!$F$166</f>
        <v>25.3603138190036</v>
      </c>
      <c r="R85" s="11" t="n">
        <f aca="false">(1-R81)*(R68+R49)/MAX(Time!R26,1)*Inputs!$F$166</f>
        <v>24.7829727225664</v>
      </c>
      <c r="S85" s="11" t="n">
        <f aca="false">(1-S81)*(S68+S49)/MAX(Time!S26,1)*Inputs!$F$166</f>
        <v>25.7766536709399</v>
      </c>
      <c r="T85" s="11" t="n">
        <f aca="false">(1-T81)*(T68+T49)/MAX(Time!T26,1)*Inputs!$F$166</f>
        <v>25.5156909001374</v>
      </c>
      <c r="U85" s="11" t="n">
        <f aca="false">(1-U81)*(U68+U49)/MAX(Time!U26,1)*Inputs!$F$166</f>
        <v>26.0087624626999</v>
      </c>
      <c r="V85" s="11" t="n">
        <f aca="false">(1-V81)*(V68+V49)/MAX(Time!V26,1)*Inputs!$F$166</f>
        <v>25.1303128274898</v>
      </c>
      <c r="W85" s="11" t="n">
        <f aca="false">(1-W81)*(W68+W49)/MAX(Time!W26,1)*Inputs!$F$166</f>
        <v>26.3604287102641</v>
      </c>
      <c r="X85" s="11" t="n">
        <f aca="false">(1-X81)*(X68+X49)/MAX(Time!X26,1)*Inputs!$F$166</f>
        <v>26.5299316486256</v>
      </c>
      <c r="Y85" s="11" t="n">
        <f aca="false">(1-Y81)*(Y68+Y49)/MAX(Time!Y26,1)*Inputs!$F$166</f>
        <v>27.4167159178524</v>
      </c>
      <c r="Z85" s="11" t="n">
        <f aca="false">(1-Z81)*(Z68+Z49)/MAX(Time!Z26,1)*Inputs!$F$166</f>
        <v>26.7923614283003</v>
      </c>
      <c r="AA85" s="11" t="n">
        <f aca="false">(1-AA81)*(AA68+AA49)/MAX(Time!AA26,1)*Inputs!$F$166</f>
        <v>27.8664030919695</v>
      </c>
      <c r="AB85" s="11" t="n">
        <f aca="false">(1-AB81)*(AB68+AB49)/MAX(Time!AB26,1)*Inputs!$F$166</f>
        <v>27.5840793531298</v>
      </c>
      <c r="AC85" s="11" t="n">
        <f aca="false">(1-AC81)*(AC68+AC49)/MAX(Time!AC26,1)*Inputs!$F$166</f>
        <v>27.9248847732945</v>
      </c>
      <c r="AD85" s="11" t="n">
        <f aca="false">(1-AD81)*(AD68+AD49)/MAX(Time!AD26,1)*Inputs!$F$166</f>
        <v>26.5973298199921</v>
      </c>
      <c r="AE85" s="11" t="n">
        <f aca="false">(1-AE81)*(AE68+AE49)/MAX(Time!AE26,1)*Inputs!$F$166</f>
        <v>28.1028885020648</v>
      </c>
      <c r="AF85" s="11" t="n">
        <f aca="false">(1-AF81)*(AF68+AF49)/MAX(Time!AF26,1)*Inputs!$F$166</f>
        <v>28.6796870130575</v>
      </c>
      <c r="AG85" s="11" t="n">
        <f aca="false">(1-AG81)*(AG68+AG49)/MAX(Time!AG26,1)*Inputs!$F$166</f>
        <v>29.6381084913376</v>
      </c>
      <c r="AH85" s="11" t="n">
        <f aca="false">(1-AH81)*(AH68+AH49)/MAX(Time!AH26,1)*Inputs!$F$166</f>
        <v>28.9629515651105</v>
      </c>
      <c r="AI85" s="11" t="n">
        <f aca="false">(1-AI81)*(AI68+AI49)/MAX(Time!AI26,1)*Inputs!$F$166</f>
        <v>30.1237830797894</v>
      </c>
      <c r="AJ85" s="11" t="n">
        <f aca="false">(1-AJ81)*(AJ68+AJ49)/MAX(Time!AJ26,1)*Inputs!$F$166</f>
        <v>29.8183673260206</v>
      </c>
      <c r="AK85" s="11" t="n">
        <f aca="false">(1-AK81)*(AK68+AK49)/MAX(Time!AK26,1)*Inputs!$F$166</f>
        <v>30.394133457672</v>
      </c>
      <c r="AL85" s="11" t="n">
        <f aca="false">(1-AL81)*(AL68+AL49)/MAX(Time!AL26,1)*Inputs!$F$166</f>
        <v>29.3671309171081</v>
      </c>
      <c r="AM85" s="11" t="n">
        <f aca="false">(1-AM81)*(AM68+AM49)/MAX(Time!AM26,1)*Inputs!$F$166</f>
        <v>30.8041789099647</v>
      </c>
      <c r="AN85" s="11" t="n">
        <f aca="false">(1-AN81)*(AN68+AN49)/MAX(Time!AN26,1)*Inputs!$F$166</f>
        <v>31.001794950463</v>
      </c>
      <c r="AO85" s="11" t="n">
        <f aca="false">(1-AO81)*(AO68+AO49)/MAX(Time!AO26,1)*Inputs!$F$166</f>
        <v>32.0375780819833</v>
      </c>
      <c r="AP85" s="11" t="n">
        <f aca="false">(1-AP81)*(AP68+AP49)/MAX(Time!AP26,1)*Inputs!$F$166</f>
        <v>31.3075276480419</v>
      </c>
      <c r="AQ85" s="11" t="n">
        <f aca="false">(1-AQ81)*(AQ68+AQ49)/MAX(Time!AQ26,1)*Inputs!$F$166</f>
        <v>32.5620864762439</v>
      </c>
      <c r="AR85" s="11" t="n">
        <f aca="false">(1-AR81)*(AR68+AR49)/MAX(Time!AR26,1)*Inputs!$F$166</f>
        <v>32.2317088526107</v>
      </c>
      <c r="AS85" s="11" t="n">
        <f aca="false">(1-AS81)*(AS68+AS49)/MAX(Time!AS26,1)*Inputs!$F$166</f>
        <v>32.6294498924721</v>
      </c>
      <c r="AT85" s="11" t="n">
        <f aca="false">(1-AT81)*(AT68+AT49)/MAX(Time!AT26,1)*Inputs!$F$166</f>
        <v>31.0777752799437</v>
      </c>
      <c r="AU85" s="11" t="n">
        <f aca="false">(1-AU81)*(AU68+AU49)/MAX(Time!AU26,1)*Inputs!$F$166</f>
        <v>32.8364622917382</v>
      </c>
      <c r="AV85" s="11" t="n">
        <f aca="false">(1-AV81)*(AV68+AV49)/MAX(Time!AV26,1)*Inputs!$F$166</f>
        <v>33.509914740822</v>
      </c>
      <c r="AW85" s="11" t="n">
        <f aca="false">(1-AW81)*(AW68+AW49)/MAX(Time!AW26,1)*Inputs!$F$166</f>
        <v>34.6292359829024</v>
      </c>
      <c r="AX85" s="11" t="n">
        <f aca="false">(1-AX81)*(AX68+AX49)/MAX(Time!AX26,1)*Inputs!$F$166</f>
        <v>33.8398751590572</v>
      </c>
      <c r="AY85" s="11" t="n">
        <f aca="false">(1-AY81)*(AY68+AY49)/MAX(Time!AY26,1)*Inputs!$F$166</f>
        <v>35.1956467509872</v>
      </c>
      <c r="AZ85" s="11" t="n">
        <f aca="false">(1-AZ81)*(AZ68+AZ49)/MAX(Time!AZ26,1)*Inputs!$F$166</f>
        <v>34.8382875905261</v>
      </c>
      <c r="BA85" s="11" t="n">
        <f aca="false">(1-BA81)*(BA68+BA49)/MAX(Time!BA26,1)*Inputs!$F$166</f>
        <v>35.5104522328647</v>
      </c>
      <c r="BB85" s="11" t="n">
        <f aca="false">(1-BB81)*(BB68+BB49)/MAX(Time!BB26,1)*Inputs!$F$166</f>
        <v>34.3100578650898</v>
      </c>
      <c r="BC85" s="11" t="n">
        <f aca="false">(1-BC81)*(BC68+BC49)/MAX(Time!BC26,1)*Inputs!$F$166</f>
        <v>35.9884431000345</v>
      </c>
      <c r="BD85" s="11" t="n">
        <f aca="false">(1-BD81)*(BD68+BD49)/MAX(Time!BD26,1)*Inputs!$F$166</f>
        <v>36.2187742630476</v>
      </c>
      <c r="BE85" s="11" t="n">
        <f aca="false">(1-BE81)*(BE68+BE49)/MAX(Time!BE26,1)*Inputs!$F$166</f>
        <v>37.4282972998169</v>
      </c>
      <c r="BF85" s="11" t="n">
        <f aca="false">(1-BF81)*(BF68+BF49)/MAX(Time!BF26,1)*Inputs!$F$166</f>
        <v>36.5748577619616</v>
      </c>
      <c r="BG85" s="11" t="n">
        <f aca="false">(1-BG81)*(BG68+BG49)/MAX(Time!BG26,1)*Inputs!$F$166</f>
        <v>38.0399182632348</v>
      </c>
      <c r="BH85" s="11" t="n">
        <f aca="false">(1-BH81)*(BH68+BH49)/MAX(Time!BH26,1)*Inputs!$F$166</f>
        <v>37.6533962217355</v>
      </c>
      <c r="BI85" s="11" t="n">
        <f aca="false">(1-BI81)*(BI68+BI49)/MAX(Time!BI26,1)*Inputs!$F$166</f>
        <v>38.1174680078197</v>
      </c>
      <c r="BJ85" s="11" t="n">
        <f aca="false">(1-BJ81)*(BJ68+BJ49)/MAX(Time!BJ26,1)*Inputs!$F$166</f>
        <v>36.3042676633392</v>
      </c>
      <c r="BK85" s="11" t="n">
        <f aca="false">(1-BK81)*(BK68+BK49)/MAX(Time!BK26,1)*Inputs!$F$166</f>
        <v>38.3581437325027</v>
      </c>
      <c r="BL85" s="11" t="n">
        <f aca="false">(1-BL81)*(BL68+BL49)/MAX(Time!BL26,1)*Inputs!$F$166</f>
        <v>39.1442523489337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15.0233254045774</v>
      </c>
      <c r="P90" s="11" t="n">
        <f aca="false">P83+P84-P85-P86-P87-P88-P89</f>
        <v>14.9872973178039</v>
      </c>
      <c r="Q90" s="11" t="n">
        <f aca="false">Q83+Q84-Q85-Q86-Q87-Q88-Q89</f>
        <v>15.2781865107873</v>
      </c>
      <c r="R90" s="11" t="n">
        <f aca="false">R83+R84-R85-R86-R87-R88-R89</f>
        <v>15.0840879340208</v>
      </c>
      <c r="S90" s="11" t="n">
        <f aca="false">S83+S84-S85-S86-S87-S88-S89</f>
        <v>15.3781424837101</v>
      </c>
      <c r="T90" s="11" t="n">
        <f aca="false">T83+T84-T85-T86-T87-T88-T89</f>
        <v>15.1849125067072</v>
      </c>
      <c r="U90" s="11" t="n">
        <f aca="false">U83+U84-U85-U86-U87-U88-U89</f>
        <v>15.4002463729601</v>
      </c>
      <c r="V90" s="11" t="n">
        <f aca="false">V83+V84-V85-V86-V87-V88-V89</f>
        <v>15.2832880798478</v>
      </c>
      <c r="W90" s="11" t="n">
        <f aca="false">W83+W84-W85-W86-W87-W88-W89</f>
        <v>15.5831163639653</v>
      </c>
      <c r="X90" s="11" t="n">
        <f aca="false">X83+X84-X85-X86-X87-X88-X89</f>
        <v>15.3902958823048</v>
      </c>
      <c r="Y90" s="11" t="n">
        <f aca="false">Y83+Y84-Y85-Y86-Y87-Y88-Y89</f>
        <v>15.6913064597427</v>
      </c>
      <c r="Z90" s="11" t="n">
        <f aca="false">Z83+Z84-Z85-Z86-Z87-Z88-Z89</f>
        <v>15.4952037704382</v>
      </c>
      <c r="AA90" s="11" t="n">
        <f aca="false">AA83+AA84-AA85-AA86-AA87-AA88-AA89</f>
        <v>15.7994021634828</v>
      </c>
      <c r="AB90" s="11" t="n">
        <f aca="false">AB83+AB84-AB85-AB86-AB87-AB88-AB89</f>
        <v>15.6037598661332</v>
      </c>
      <c r="AC90" s="11" t="n">
        <f aca="false">AC83+AC84-AC85-AC86-AC87-AC88-AC89</f>
        <v>15.82734333459</v>
      </c>
      <c r="AD90" s="11" t="n">
        <f aca="false">AD83+AD84-AD85-AD86-AD87-AD88-AD89</f>
        <v>15.4795925059047</v>
      </c>
      <c r="AE90" s="11" t="n">
        <f aca="false">AE83+AE84-AE85-AE86-AE87-AE88-AE89</f>
        <v>16.0206016833129</v>
      </c>
      <c r="AF90" s="11" t="n">
        <f aca="false">AF83+AF84-AF85-AF86-AF87-AF88-AF89</f>
        <v>15.8256297047311</v>
      </c>
      <c r="AG90" s="11" t="n">
        <f aca="false">AG83+AG84-AG85-AG86-AG87-AG88-AG89</f>
        <v>16.137583302785</v>
      </c>
      <c r="AH90" s="11" t="n">
        <f aca="false">AH83+AH84-AH85-AH86-AH87-AH88-AH89</f>
        <v>15.9393492121293</v>
      </c>
      <c r="AI90" s="11" t="n">
        <f aca="false">AI83+AI84-AI85-AI86-AI87-AI88-AI89</f>
        <v>16.2544968368117</v>
      </c>
      <c r="AJ90" s="11" t="n">
        <f aca="false">AJ83+AJ84-AJ85-AJ86-AJ87-AJ88-AJ89</f>
        <v>16.0562440054351</v>
      </c>
      <c r="AK90" s="11" t="n">
        <f aca="false">AK83+AK84-AK85-AK86-AK87-AK88-AK89</f>
        <v>16.2898000576728</v>
      </c>
      <c r="AL90" s="11" t="n">
        <f aca="false">AL83+AL84-AL85-AL86-AL87-AL88-AL89</f>
        <v>16.1739032124018</v>
      </c>
      <c r="AM90" s="11" t="n">
        <f aca="false">AM83+AM84-AM85-AM86-AM87-AM88-AM89</f>
        <v>16.4951432557313</v>
      </c>
      <c r="AN90" s="11" t="n">
        <f aca="false">AN83+AN84-AN85-AN86-AN87-AN88-AN89</f>
        <v>16.2959552948848</v>
      </c>
      <c r="AO90" s="11" t="n">
        <f aca="false">AO83+AO84-AO85-AO86-AO87-AO88-AO89</f>
        <v>16.6197418683178</v>
      </c>
      <c r="AP90" s="11" t="n">
        <f aca="false">AP83+AP84-AP85-AP86-AP87-AP88-AP89</f>
        <v>16.4192411063135</v>
      </c>
      <c r="AQ90" s="11" t="n">
        <f aca="false">AQ83+AQ84-AQ85-AQ86-AQ87-AQ88-AQ89</f>
        <v>16.7462089408319</v>
      </c>
      <c r="AR90" s="11" t="n">
        <f aca="false">AR83+AR84-AR85-AR86-AR87-AR88-AR89</f>
        <v>16.5451306012109</v>
      </c>
      <c r="AS90" s="11" t="n">
        <f aca="false">AS83+AS84-AS85-AS86-AS87-AS88-AS89</f>
        <v>16.7889910441601</v>
      </c>
      <c r="AT90" s="11" t="n">
        <f aca="false">AT83+AT84-AT85-AT86-AT87-AT88-AT89</f>
        <v>16.4269752845486</v>
      </c>
      <c r="AU90" s="11" t="n">
        <f aca="false">AU83+AU84-AU85-AU86-AU87-AU88-AU89</f>
        <v>17.007230001062</v>
      </c>
      <c r="AV90" s="11" t="n">
        <f aca="false">AV83+AV84-AV85-AV86-AV87-AV88-AV89</f>
        <v>16.8041520609219</v>
      </c>
      <c r="AW90" s="11" t="n">
        <f aca="false">AW83+AW84-AW85-AW86-AW87-AW88-AW89</f>
        <v>17.1407356882821</v>
      </c>
      <c r="AX90" s="11" t="n">
        <f aca="false">AX83+AX84-AX85-AX86-AX87-AX88-AX89</f>
        <v>16.9378245057147</v>
      </c>
      <c r="AY90" s="11" t="n">
        <f aca="false">AY83+AY84-AY85-AY86-AY87-AY88-AY89</f>
        <v>17.2775545902212</v>
      </c>
      <c r="AZ90" s="11" t="n">
        <f aca="false">AZ83+AZ84-AZ85-AZ86-AZ87-AZ88-AZ89</f>
        <v>17.0734175515485</v>
      </c>
      <c r="BA90" s="11" t="n">
        <f aca="false">BA83+BA84-BA85-BA86-BA87-BA88-BA89</f>
        <v>17.3283762200671</v>
      </c>
      <c r="BB90" s="11" t="n">
        <f aca="false">BB83+BB84-BB85-BB86-BB87-BB88-BB89</f>
        <v>17.2141269421148</v>
      </c>
      <c r="BC90" s="11" t="n">
        <f aca="false">BC83+BC84-BC85-BC86-BC87-BC88-BC89</f>
        <v>17.5602179360332</v>
      </c>
      <c r="BD90" s="11" t="n">
        <f aca="false">BD83+BD84-BD85-BD86-BD87-BD88-BD89</f>
        <v>17.3533413511512</v>
      </c>
      <c r="BE90" s="11" t="n">
        <f aca="false">BE83+BE84-BE85-BE86-BE87-BE88-BE89</f>
        <v>17.7037665424869</v>
      </c>
      <c r="BF90" s="11" t="n">
        <f aca="false">BF83+BF84-BF85-BF86-BF87-BF88-BF89</f>
        <v>17.498292181402</v>
      </c>
      <c r="BG90" s="11" t="n">
        <f aca="false">BG83+BG84-BG85-BG86-BG87-BG88-BG89</f>
        <v>17.8518035565322</v>
      </c>
      <c r="BH90" s="11" t="n">
        <f aca="false">BH83+BH84-BH85-BH86-BH87-BH88-BH89</f>
        <v>17.6443548258449</v>
      </c>
      <c r="BI90" s="11" t="n">
        <f aca="false">BI83+BI84-BI85-BI86-BI87-BI88-BI89</f>
        <v>17.9121349770593</v>
      </c>
      <c r="BJ90" s="11" t="n">
        <f aca="false">BJ83+BJ84-BJ85-BJ86-BJ87-BJ88-BJ89</f>
        <v>17.5337277264353</v>
      </c>
      <c r="BK90" s="11" t="n">
        <f aca="false">BK83+BK84-BK85-BK86-BK87-BK88-BK89</f>
        <v>18.1599338751556</v>
      </c>
      <c r="BL90" s="11" t="n">
        <f aca="false">BL83+BL84-BL85-BL86-BL87-BL88-BL89</f>
        <v>17.9469071465424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15.0233254045774</v>
      </c>
      <c r="P91" s="11" t="n">
        <f aca="false">P90-O90</f>
        <v>-0.036028086773527</v>
      </c>
      <c r="Q91" s="11" t="n">
        <f aca="false">Q90-P90</f>
        <v>0.290889192983478</v>
      </c>
      <c r="R91" s="11" t="n">
        <f aca="false">R90-Q90</f>
        <v>-0.19409857676658</v>
      </c>
      <c r="S91" s="11" t="n">
        <f aca="false">S90-R90</f>
        <v>0.294054549689314</v>
      </c>
      <c r="T91" s="11" t="n">
        <f aca="false">T90-S90</f>
        <v>-0.193229977002833</v>
      </c>
      <c r="U91" s="11" t="n">
        <f aca="false">U90-T90</f>
        <v>0.215333866252807</v>
      </c>
      <c r="V91" s="11" t="n">
        <f aca="false">V90-U90</f>
        <v>-0.11695829311223</v>
      </c>
      <c r="W91" s="11" t="n">
        <f aca="false">W90-V90</f>
        <v>0.299828284117513</v>
      </c>
      <c r="X91" s="11" t="n">
        <f aca="false">X90-W90</f>
        <v>-0.192820481660551</v>
      </c>
      <c r="Y91" s="11" t="n">
        <f aca="false">Y90-X90</f>
        <v>0.301010577437914</v>
      </c>
      <c r="Z91" s="11" t="n">
        <f aca="false">Z90-Y90</f>
        <v>-0.196102689304501</v>
      </c>
      <c r="AA91" s="11" t="n">
        <f aca="false">AA90-Z90</f>
        <v>0.304198393044571</v>
      </c>
      <c r="AB91" s="11" t="n">
        <f aca="false">AB90-AA90</f>
        <v>-0.195642297349563</v>
      </c>
      <c r="AC91" s="11" t="n">
        <f aca="false">AC90-AB90</f>
        <v>0.223583468456788</v>
      </c>
      <c r="AD91" s="11" t="n">
        <f aca="false">AD90-AC90</f>
        <v>-0.347750828685331</v>
      </c>
      <c r="AE91" s="11" t="n">
        <f aca="false">AE90-AD90</f>
        <v>0.541009177408217</v>
      </c>
      <c r="AF91" s="11" t="n">
        <f aca="false">AF90-AE90</f>
        <v>-0.194971978581741</v>
      </c>
      <c r="AG91" s="11" t="n">
        <f aca="false">AG90-AF90</f>
        <v>0.311953598053904</v>
      </c>
      <c r="AH91" s="11" t="n">
        <f aca="false">AH90-AG90</f>
        <v>-0.198234090655722</v>
      </c>
      <c r="AI91" s="11" t="n">
        <f aca="false">AI90-AH90</f>
        <v>0.315147624682384</v>
      </c>
      <c r="AJ91" s="11" t="n">
        <f aca="false">AJ90-AI90</f>
        <v>-0.198252831376571</v>
      </c>
      <c r="AK91" s="11" t="n">
        <f aca="false">AK90-AJ90</f>
        <v>0.233556052237635</v>
      </c>
      <c r="AL91" s="11" t="n">
        <f aca="false">AL90-AK90</f>
        <v>-0.115896845270992</v>
      </c>
      <c r="AM91" s="11" t="n">
        <f aca="false">AM90-AL90</f>
        <v>0.321240043329542</v>
      </c>
      <c r="AN91" s="11" t="n">
        <f aca="false">AN90-AM90</f>
        <v>-0.199187960846547</v>
      </c>
      <c r="AO91" s="11" t="n">
        <f aca="false">AO90-AN90</f>
        <v>0.323786573433072</v>
      </c>
      <c r="AP91" s="11" t="n">
        <f aca="false">AP90-AO90</f>
        <v>-0.20050076200431</v>
      </c>
      <c r="AQ91" s="11" t="n">
        <f aca="false">AQ90-AP90</f>
        <v>0.326967834518403</v>
      </c>
      <c r="AR91" s="11" t="n">
        <f aca="false">AR90-AQ90</f>
        <v>-0.201078339621077</v>
      </c>
      <c r="AS91" s="11" t="n">
        <f aca="false">AS90-AR90</f>
        <v>0.243860442949245</v>
      </c>
      <c r="AT91" s="11" t="n">
        <f aca="false">AT90-AS90</f>
        <v>-0.362015759611548</v>
      </c>
      <c r="AU91" s="11" t="n">
        <f aca="false">AU90-AT90</f>
        <v>0.580254716513409</v>
      </c>
      <c r="AV91" s="11" t="n">
        <f aca="false">AV90-AU90</f>
        <v>-0.203077940140044</v>
      </c>
      <c r="AW91" s="11" t="n">
        <f aca="false">AW90-AV90</f>
        <v>0.336583627360167</v>
      </c>
      <c r="AX91" s="11" t="n">
        <f aca="false">AX90-AW90</f>
        <v>-0.202911182567433</v>
      </c>
      <c r="AY91" s="11" t="n">
        <f aca="false">AY90-AX90</f>
        <v>0.339730084506595</v>
      </c>
      <c r="AZ91" s="11" t="n">
        <f aca="false">AZ90-AY90</f>
        <v>-0.204137038672744</v>
      </c>
      <c r="BA91" s="11" t="n">
        <f aca="false">BA90-AZ90</f>
        <v>0.254958668518579</v>
      </c>
      <c r="BB91" s="11" t="n">
        <f aca="false">BB90-BA90</f>
        <v>-0.114249277952311</v>
      </c>
      <c r="BC91" s="11" t="n">
        <f aca="false">BC90-BB90</f>
        <v>0.346090993918459</v>
      </c>
      <c r="BD91" s="11" t="n">
        <f aca="false">BD90-BC90</f>
        <v>-0.206876584882007</v>
      </c>
      <c r="BE91" s="11" t="n">
        <f aca="false">BE90-BD90</f>
        <v>0.350425191335702</v>
      </c>
      <c r="BF91" s="11" t="n">
        <f aca="false">BF90-BE90</f>
        <v>-0.205474361084967</v>
      </c>
      <c r="BG91" s="11" t="n">
        <f aca="false">BG90-BF90</f>
        <v>0.353511375130275</v>
      </c>
      <c r="BH91" s="11" t="n">
        <f aca="false">BH90-BG90</f>
        <v>-0.207448730687357</v>
      </c>
      <c r="BI91" s="11" t="n">
        <f aca="false">BI90-BH90</f>
        <v>0.26778015121441</v>
      </c>
      <c r="BJ91" s="11" t="n">
        <f aca="false">BJ90-BI90</f>
        <v>-0.378407250624029</v>
      </c>
      <c r="BK91" s="11" t="n">
        <f aca="false">BK90-BJ90</f>
        <v>0.62620614872036</v>
      </c>
      <c r="BL91" s="11" t="n">
        <f aca="false">BL90-BK90</f>
        <v>-0.213026728613212</v>
      </c>
      <c r="BM91" s="11" t="n">
        <f aca="false">BM90-BL90</f>
        <v>-17.9469071465424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189.179622382865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9.40444588527551</v>
      </c>
      <c r="R13" s="11" t="n">
        <f aca="false">IF(Time!R17&gt;=Time!$F$11,Waterfall!R33*Inputs!$F$102/100*Time!R26/365,0)</f>
        <v>9.40835978923532</v>
      </c>
      <c r="S13" s="11" t="n">
        <f aca="false">IF(Time!S17&gt;=Time!$F$11,Waterfall!S33*Inputs!$F$102/100*Time!S26/365,0)</f>
        <v>9.06227980725535</v>
      </c>
      <c r="T13" s="11" t="n">
        <f aca="false">IF(Time!T17&gt;=Time!$F$11,Waterfall!T33*Inputs!$F$102/100*Time!T26/365,0)</f>
        <v>9.03899113802184</v>
      </c>
      <c r="U13" s="11" t="n">
        <f aca="false">IF(Time!U17&gt;=Time!$F$11,Waterfall!U33*Inputs!$F$102/100*Time!U26/365,0)</f>
        <v>8.7328369966884</v>
      </c>
      <c r="V13" s="11" t="n">
        <f aca="false">IF(Time!V17&gt;=Time!$F$11,Waterfall!V33*Inputs!$F$102/100*Time!V26/365,0)</f>
        <v>8.65008498571001</v>
      </c>
      <c r="W13" s="11" t="n">
        <f aca="false">IF(Time!W17&gt;=Time!$F$11,Waterfall!W33*Inputs!$F$102/100*Time!W26/365,0)</f>
        <v>8.27139205647209</v>
      </c>
      <c r="X13" s="11" t="n">
        <f aca="false">IF(Time!X17&gt;=Time!$F$11,Waterfall!X33*Inputs!$F$102/100*Time!X26/365,0)</f>
        <v>8.1134580101109</v>
      </c>
      <c r="Y13" s="11" t="n">
        <f aca="false">IF(Time!Y17&gt;=Time!$F$11,Waterfall!Y33*Inputs!$F$102/100*Time!Y26/365,0)</f>
        <v>7.73652859228091</v>
      </c>
      <c r="Z13" s="11" t="n">
        <f aca="false">IF(Time!Z17&gt;=Time!$F$11,Waterfall!Z33*Inputs!$F$102/100*Time!Z26/365,0)</f>
        <v>7.63557079123345</v>
      </c>
      <c r="AA13" s="11" t="n">
        <f aca="false">IF(Time!AA17&gt;=Time!$F$11,Waterfall!AA33*Inputs!$F$102/100*Time!AA26/365,0)</f>
        <v>7.24784449663133</v>
      </c>
      <c r="AB13" s="11" t="n">
        <f aca="false">IF(Time!AB17&gt;=Time!$F$11,Waterfall!AB33*Inputs!$F$102/100*Time!AB26/365,0)</f>
        <v>7.41841133533975</v>
      </c>
      <c r="AC13" s="11" t="n">
        <f aca="false">IF(Time!AC17&gt;=Time!$F$11,Waterfall!AC33*Inputs!$F$102/100*Time!AC26/365,0)</f>
        <v>7.34795968015662</v>
      </c>
      <c r="AD13" s="11" t="n">
        <f aca="false">IF(Time!AD17&gt;=Time!$F$11,Waterfall!AD33*Inputs!$F$102/100*Time!AD26/365,0)</f>
        <v>7.45134267151566</v>
      </c>
      <c r="AE13" s="11" t="n">
        <f aca="false">IF(Time!AE17&gt;=Time!$F$11,Waterfall!AE33*Inputs!$F$102/100*Time!AE26/365,0)</f>
        <v>7.29380991449288</v>
      </c>
      <c r="AF13" s="11" t="n">
        <f aca="false">IF(Time!AF17&gt;=Time!$F$11,Waterfall!AF33*Inputs!$F$102/100*Time!AF26/365,0)</f>
        <v>7.34116846945674</v>
      </c>
      <c r="AG13" s="11" t="n">
        <f aca="false">IF(Time!AG17&gt;=Time!$F$11,Waterfall!AG33*Inputs!$F$102/100*Time!AG26/365,0)</f>
        <v>7.10914592523915</v>
      </c>
      <c r="AH13" s="11" t="n">
        <f aca="false">IF(Time!AH17&gt;=Time!$F$11,Waterfall!AH33*Inputs!$F$102/100*Time!AH26/365,0)</f>
        <v>7.08081701602513</v>
      </c>
      <c r="AI13" s="11" t="n">
        <f aca="false">IF(Time!AI17&gt;=Time!$F$11,Waterfall!AI33*Inputs!$F$102/100*Time!AI26/365,0)</f>
        <v>6.75515232722552</v>
      </c>
      <c r="AJ13" s="11" t="n">
        <f aca="false">IF(Time!AJ17&gt;=Time!$F$11,Waterfall!AJ33*Inputs!$F$102/100*Time!AJ26/365,0)</f>
        <v>6.59577712518731</v>
      </c>
      <c r="AK13" s="11" t="n">
        <f aca="false">IF(Time!AK17&gt;=Time!$F$11,Waterfall!AK33*Inputs!$F$102/100*Time!AK26/365,0)</f>
        <v>6.12164376543737</v>
      </c>
      <c r="AL13" s="11" t="n">
        <f aca="false">IF(Time!AL17&gt;=Time!$F$11,Waterfall!AL33*Inputs!$F$102/100*Time!AL26/365,0)</f>
        <v>4.95559166402297</v>
      </c>
      <c r="AM13" s="11" t="n">
        <f aca="false">IF(Time!AM17&gt;=Time!$F$11,Waterfall!AM33*Inputs!$F$102/100*Time!AM26/365,0)</f>
        <v>3.70925294524719</v>
      </c>
      <c r="AN13" s="11" t="n">
        <f aca="false">IF(Time!AN17&gt;=Time!$F$11,Waterfall!AN33*Inputs!$F$102/100*Time!AN26/365,0)</f>
        <v>2.35928533245758</v>
      </c>
      <c r="AO13" s="11" t="n">
        <f aca="false">IF(Time!AO17&gt;=Time!$F$11,Waterfall!AO33*Inputs!$F$102/100*Time!AO26/365,0)</f>
        <v>1.32588110612946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0.793119838525203</v>
      </c>
      <c r="Q14" s="6" t="n">
        <f aca="false">IF(Waterfall!Q33&gt;0,MIN(1,Inputs!$F$180*(Waterfall!$F$32+MAX(0,Waterfall!P43))/Waterfall!Q33),1)</f>
        <v>0.925470228613824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185.360532386425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7.78121721377654</v>
      </c>
      <c r="Q15" s="11" t="n">
        <f aca="false">Q13*Q14</f>
        <v>8.70353468343226</v>
      </c>
      <c r="R15" s="11" t="n">
        <f aca="false">R13*R14</f>
        <v>9.40835978923532</v>
      </c>
      <c r="S15" s="11" t="n">
        <f aca="false">S13*S14</f>
        <v>9.06227980725535</v>
      </c>
      <c r="T15" s="11" t="n">
        <f aca="false">T13*T14</f>
        <v>9.03899113802184</v>
      </c>
      <c r="U15" s="11" t="n">
        <f aca="false">U13*U14</f>
        <v>8.7328369966884</v>
      </c>
      <c r="V15" s="11" t="n">
        <f aca="false">V13*V14</f>
        <v>8.65008498571001</v>
      </c>
      <c r="W15" s="11" t="n">
        <f aca="false">W13*W14</f>
        <v>8.27139205647209</v>
      </c>
      <c r="X15" s="11" t="n">
        <f aca="false">X13*X14</f>
        <v>8.1134580101109</v>
      </c>
      <c r="Y15" s="11" t="n">
        <f aca="false">Y13*Y14</f>
        <v>7.73652859228091</v>
      </c>
      <c r="Z15" s="11" t="n">
        <f aca="false">Z13*Z14</f>
        <v>7.63557079123345</v>
      </c>
      <c r="AA15" s="11" t="n">
        <f aca="false">AA13*AA14</f>
        <v>7.24784449663133</v>
      </c>
      <c r="AB15" s="11" t="n">
        <f aca="false">AB13*AB14</f>
        <v>7.41841133533975</v>
      </c>
      <c r="AC15" s="11" t="n">
        <f aca="false">AC13*AC14</f>
        <v>7.34795968015662</v>
      </c>
      <c r="AD15" s="11" t="n">
        <f aca="false">AD13*AD14</f>
        <v>7.45134267151566</v>
      </c>
      <c r="AE15" s="11" t="n">
        <f aca="false">AE13*AE14</f>
        <v>7.29380991449288</v>
      </c>
      <c r="AF15" s="11" t="n">
        <f aca="false">AF13*AF14</f>
        <v>7.34116846945674</v>
      </c>
      <c r="AG15" s="11" t="n">
        <f aca="false">AG13*AG14</f>
        <v>7.10914592523915</v>
      </c>
      <c r="AH15" s="11" t="n">
        <f aca="false">AH13*AH14</f>
        <v>7.08081701602513</v>
      </c>
      <c r="AI15" s="11" t="n">
        <f aca="false">AI13*AI14</f>
        <v>6.75515232722552</v>
      </c>
      <c r="AJ15" s="11" t="n">
        <f aca="false">AJ13*AJ14</f>
        <v>6.59577712518731</v>
      </c>
      <c r="AK15" s="11" t="n">
        <f aca="false">AK13*AK14</f>
        <v>6.12164376543737</v>
      </c>
      <c r="AL15" s="11" t="n">
        <f aca="false">AL13*AL14</f>
        <v>4.95559166402297</v>
      </c>
      <c r="AM15" s="11" t="n">
        <f aca="false">AM13*AM14</f>
        <v>3.70925294524719</v>
      </c>
      <c r="AN15" s="11" t="n">
        <f aca="false">AN13*AN14</f>
        <v>2.35928533245758</v>
      </c>
      <c r="AO15" s="11" t="n">
        <f aca="false">AO13*AO14</f>
        <v>1.32588110612946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312.734956112663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14.1254247444327</v>
      </c>
      <c r="AC16" s="11" t="n">
        <f aca="false">Debt!AC119+Debt!AC117+Debt!AC111-Debt!AC110</f>
        <v>12.8961470660647</v>
      </c>
      <c r="AD16" s="11" t="n">
        <f aca="false">Debt!AD119+Debt!AD117+Debt!AD111-Debt!AD110</f>
        <v>11.862344367622</v>
      </c>
      <c r="AE16" s="11" t="n">
        <f aca="false">Debt!AE119+Debt!AE117+Debt!AE111-Debt!AE110</f>
        <v>10.5134000797183</v>
      </c>
      <c r="AF16" s="11" t="n">
        <f aca="false">Debt!AF119+Debt!AF117+Debt!AF111-Debt!AF110</f>
        <v>9.34777677863788</v>
      </c>
      <c r="AG16" s="11" t="n">
        <f aca="false">Debt!AG119+Debt!AG117+Debt!AG111-Debt!AG110</f>
        <v>8.14959860904855</v>
      </c>
      <c r="AH16" s="11" t="n">
        <f aca="false">Debt!AH119+Debt!AH117+Debt!AH111-Debt!AH110</f>
        <v>6.88314694425381</v>
      </c>
      <c r="AI16" s="11" t="n">
        <f aca="false">Debt!AI119+Debt!AI117+Debt!AI111-Debt!AI110</f>
        <v>5.43857596964721</v>
      </c>
      <c r="AJ16" s="11" t="n">
        <f aca="false">Debt!AJ119+Debt!AJ117+Debt!AJ111-Debt!AJ110</f>
        <v>4.09875412731473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1267.63541059075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2.50009664588382</v>
      </c>
      <c r="Z18" s="11" t="n">
        <f aca="false">(Operations!Z79-Z16-Z15)*Z17-Z12</f>
        <v>8.27738669933198</v>
      </c>
      <c r="AA18" s="11" t="n">
        <f aca="false">(Operations!AA79-AA16-AA15)*AA17-AA12</f>
        <v>9.67176106897079</v>
      </c>
      <c r="AB18" s="11" t="n">
        <f aca="false">(Operations!AB79-AB16-AB15)*AB17-AB12</f>
        <v>10.4849891651077</v>
      </c>
      <c r="AC18" s="11" t="n">
        <f aca="false">(Operations!AC79-AC16-AC15)*AC17-AC12</f>
        <v>11.9972419529422</v>
      </c>
      <c r="AD18" s="11" t="n">
        <f aca="false">(Operations!AD79-AD16-AD15)*AD17-AD12</f>
        <v>0.45091753135107</v>
      </c>
      <c r="AE18" s="11" t="n">
        <f aca="false">(Operations!AE79-AE16-AE15)*AE17-AE12</f>
        <v>14.7705720766211</v>
      </c>
      <c r="AF18" s="11" t="n">
        <f aca="false">(Operations!AF79-AF16-AF15)*AF17-AF12</f>
        <v>15.810243388853</v>
      </c>
      <c r="AG18" s="11" t="n">
        <f aca="false">(Operations!AG79-AG16-AG15)*AG17-AG12</f>
        <v>17.3789823891277</v>
      </c>
      <c r="AH18" s="11" t="n">
        <f aca="false">(Operations!AH79-AH16-AH15)*AH17-AH12</f>
        <v>18.8318670154236</v>
      </c>
      <c r="AI18" s="11" t="n">
        <f aca="false">(Operations!AI79-AI16-AI15)*AI17-AI12</f>
        <v>20.7071901920524</v>
      </c>
      <c r="AJ18" s="11" t="n">
        <f aca="false">(Operations!AJ79-AJ16-AJ15)*AJ17-AJ12</f>
        <v>22.2936763461785</v>
      </c>
      <c r="AK18" s="11" t="n">
        <f aca="false">(Operations!AK79-AK16-AK15)*AK17-AK12</f>
        <v>24.3426176091362</v>
      </c>
      <c r="AL18" s="11" t="n">
        <f aca="false">(Operations!AL79-AL16-AL15)*AL17-AL12</f>
        <v>23.3429434252366</v>
      </c>
      <c r="AM18" s="11" t="n">
        <f aca="false">(Operations!AM79-AM16-AM15)*AM17-AM12</f>
        <v>28.215084597641</v>
      </c>
      <c r="AN18" s="11" t="n">
        <f aca="false">(Operations!AN79-AN16-AN15)*AN17-AN12</f>
        <v>30.1452562103061</v>
      </c>
      <c r="AO18" s="11" t="n">
        <f aca="false">(Operations!AO79-AO16-AO15)*AO17-AO12</f>
        <v>31.8229002364811</v>
      </c>
      <c r="AP18" s="11" t="n">
        <f aca="false">(Operations!AP79-AP16-AP15)*AP17-AP12</f>
        <v>33.8192249292204</v>
      </c>
      <c r="AQ18" s="11" t="n">
        <f aca="false">(Operations!AQ79-AQ16-AQ15)*AQ17-AQ12</f>
        <v>33.9311878333911</v>
      </c>
      <c r="AR18" s="11" t="n">
        <f aca="false">(Operations!AR79-AR16-AR15)*AR17-AR12</f>
        <v>34.0252546678997</v>
      </c>
      <c r="AS18" s="11" t="n">
        <f aca="false">(Operations!AS79-AS16-AS15)*AS17-AS12</f>
        <v>34.2790572941352</v>
      </c>
      <c r="AT18" s="11" t="n">
        <f aca="false">(Operations!AT79-AT16-AT15)*AT17-AT12</f>
        <v>19.5509536475209</v>
      </c>
      <c r="AU18" s="11" t="n">
        <f aca="false">(Operations!AU79-AU16-AU15)*AU17-AU12</f>
        <v>34.6799915878859</v>
      </c>
      <c r="AV18" s="11" t="n">
        <f aca="false">(Operations!AV79-AV16-AV15)*AV17-AV12</f>
        <v>34.5748825571757</v>
      </c>
      <c r="AW18" s="11" t="n">
        <f aca="false">(Operations!AW79-AW16-AW15)*AW17-AW12</f>
        <v>34.7360201802397</v>
      </c>
      <c r="AX18" s="11" t="n">
        <f aca="false">(Operations!AX79-AX16-AX15)*AX17-AX12</f>
        <v>34.9257098804269</v>
      </c>
      <c r="AY18" s="11" t="n">
        <f aca="false">(Operations!AY79-AY16-AY15)*AY17-AY12</f>
        <v>35.0449964711202</v>
      </c>
      <c r="AZ18" s="11" t="n">
        <f aca="false">(Operations!AZ79-AZ16-AZ15)*AZ17-AZ12</f>
        <v>35.1463682131895</v>
      </c>
      <c r="BA18" s="11" t="n">
        <f aca="false">(Operations!BA79-BA16-BA15)*BA17-BA12</f>
        <v>35.3739645380886</v>
      </c>
      <c r="BB18" s="11" t="n">
        <f aca="false">(Operations!BB79-BB16-BB15)*BB17-BB12</f>
        <v>32.1575034380634</v>
      </c>
      <c r="BC18" s="11" t="n">
        <f aca="false">(Operations!BC79-BC16-BC15)*BC17-BC12</f>
        <v>42.173744094085</v>
      </c>
      <c r="BD18" s="11" t="n">
        <f aca="false">(Operations!BD79-BD16-BD15)*BD17-BD12</f>
        <v>54.9843868174064</v>
      </c>
      <c r="BE18" s="11" t="n">
        <f aca="false">(Operations!BE79-BE16-BE15)*BE17-BE12</f>
        <v>55.1582117876716</v>
      </c>
      <c r="BF18" s="11" t="n">
        <f aca="false">(Operations!BF79-BF16-BF15)*BF17-BF12</f>
        <v>55.3659449369535</v>
      </c>
      <c r="BG18" s="11" t="n">
        <f aca="false">(Operations!BG79-BG16-BG15)*BG17-BG12</f>
        <v>55.4930330172432</v>
      </c>
      <c r="BH18" s="11" t="n">
        <f aca="false">(Operations!BH79-BH16-BH15)*BH17-BH12</f>
        <v>55.6022778435675</v>
      </c>
      <c r="BI18" s="11" t="n">
        <f aca="false">(Operations!BI79-BI16-BI15)*BI17-BI12</f>
        <v>55.905378963985</v>
      </c>
      <c r="BJ18" s="11" t="n">
        <f aca="false">(Operations!BJ79-BJ16-BJ15)*BJ17-BJ12</f>
        <v>38.4992650541497</v>
      </c>
      <c r="BK18" s="11" t="n">
        <f aca="false">(Operations!BK79-BK16-BK15)*BK17-BK12</f>
        <v>56.3831643833405</v>
      </c>
      <c r="BL18" s="11" t="n">
        <f aca="false">(Operations!BL79-BL16-BL15)*BL17-BL12</f>
        <v>56.2447908037357</v>
      </c>
      <c r="BM18" s="11" t="n">
        <f aca="false">(Operations!BM79-BM16-BM15)*BM17-BM12</f>
        <v>18.5363710996122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2.50009664588382</v>
      </c>
      <c r="Z20" s="11" t="n">
        <f aca="false">MIN(Y21,MAX(0,Z18-Z19))</f>
        <v>8.27738669933198</v>
      </c>
      <c r="AA20" s="11" t="n">
        <f aca="false">MIN(Z21,MAX(0,AA18-AA19))</f>
        <v>9.67176106897079</v>
      </c>
      <c r="AB20" s="11" t="n">
        <f aca="false">MIN(AA21,MAX(0,AB18-AB19))</f>
        <v>10.4849891651077</v>
      </c>
      <c r="AC20" s="11" t="n">
        <f aca="false">MIN(AB21,MAX(0,AC18-AC19))</f>
        <v>11.9972419529422</v>
      </c>
      <c r="AD20" s="11" t="n">
        <f aca="false">MIN(AC21,MAX(0,AD18-AD19))</f>
        <v>0.45091753135107</v>
      </c>
      <c r="AE20" s="11" t="n">
        <f aca="false">MIN(AD21,MAX(0,AE18-AE19))</f>
        <v>14.7705720766211</v>
      </c>
      <c r="AF20" s="11" t="n">
        <f aca="false">MIN(AE21,MAX(0,AF18-AF19))</f>
        <v>15.810243388853</v>
      </c>
      <c r="AG20" s="11" t="n">
        <f aca="false">MIN(AF21,MAX(0,AG18-AG19))</f>
        <v>17.3789823891277</v>
      </c>
      <c r="AH20" s="11" t="n">
        <f aca="false">MIN(AG21,MAX(0,AH18-AH19))</f>
        <v>18.8318670154236</v>
      </c>
      <c r="AI20" s="11" t="n">
        <f aca="false">MIN(AH21,MAX(0,AI18-AI19))</f>
        <v>20.7071901920524</v>
      </c>
      <c r="AJ20" s="11" t="n">
        <f aca="false">MIN(AI21,MAX(0,AJ18-AJ19))</f>
        <v>22.2936763461785</v>
      </c>
      <c r="AK20" s="11" t="n">
        <f aca="false">MIN(AJ21,MAX(0,AK18-AK19))</f>
        <v>24.3426176091362</v>
      </c>
      <c r="AL20" s="11" t="n">
        <f aca="false">MIN(AK21,MAX(0,AL18-AL19))</f>
        <v>23.3429434252366</v>
      </c>
      <c r="AM20" s="11" t="n">
        <f aca="false">MIN(AL21,MAX(0,AM18-AM19))</f>
        <v>25.0448836275492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223.405272487882</v>
      </c>
      <c r="Z21" s="11" t="n">
        <f aca="false">Y21+Z11-Z20</f>
        <v>215.12788578855</v>
      </c>
      <c r="AA21" s="11" t="n">
        <f aca="false">Z21+AA11-AA20</f>
        <v>205.456124719579</v>
      </c>
      <c r="AB21" s="11" t="n">
        <f aca="false">AA21+AB11-AB20</f>
        <v>194.971135554472</v>
      </c>
      <c r="AC21" s="11" t="n">
        <f aca="false">AB21+AC11-AC20</f>
        <v>182.973893601529</v>
      </c>
      <c r="AD21" s="11" t="n">
        <f aca="false">AC21+AD11-AD20</f>
        <v>182.522976070178</v>
      </c>
      <c r="AE21" s="11" t="n">
        <f aca="false">AD21+AE11-AE20</f>
        <v>167.752403993557</v>
      </c>
      <c r="AF21" s="11" t="n">
        <f aca="false">AE21+AF11-AF20</f>
        <v>151.942160604704</v>
      </c>
      <c r="AG21" s="11" t="n">
        <f aca="false">AF21+AG11-AG20</f>
        <v>134.563178215577</v>
      </c>
      <c r="AH21" s="11" t="n">
        <f aca="false">AG21+AH11-AH20</f>
        <v>115.731311200153</v>
      </c>
      <c r="AI21" s="11" t="n">
        <f aca="false">AH21+AI11-AI20</f>
        <v>95.0241210081005</v>
      </c>
      <c r="AJ21" s="11" t="n">
        <f aca="false">AI21+AJ11-AJ20</f>
        <v>72.730444661922</v>
      </c>
      <c r="AK21" s="11" t="n">
        <f aca="false">AJ21+AK11-AK20</f>
        <v>48.3878270527858</v>
      </c>
      <c r="AL21" s="11" t="n">
        <f aca="false">AK21+AL11-AL20</f>
        <v>25.0448836275492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1041.73004145699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3.17020097009173</v>
      </c>
      <c r="AN23" s="11" t="n">
        <f aca="false">MAX(0,AN18-AN19-AN20)</f>
        <v>30.1452562103061</v>
      </c>
      <c r="AO23" s="11" t="n">
        <f aca="false">MAX(0,AO18-AO19-AO20)</f>
        <v>31.8229002364811</v>
      </c>
      <c r="AP23" s="11" t="n">
        <f aca="false">MAX(0,AP18-AP19-AP20)</f>
        <v>33.8192249292204</v>
      </c>
      <c r="AQ23" s="11" t="n">
        <f aca="false">MAX(0,AQ18-AQ19-AQ20)</f>
        <v>33.9311878333911</v>
      </c>
      <c r="AR23" s="11" t="n">
        <f aca="false">MAX(0,AR18-AR19-AR20)</f>
        <v>34.0252546678997</v>
      </c>
      <c r="AS23" s="11" t="n">
        <f aca="false">MAX(0,AS18-AS19-AS20)</f>
        <v>34.2790572941352</v>
      </c>
      <c r="AT23" s="11" t="n">
        <f aca="false">MAX(0,AT18-AT19-AT20)</f>
        <v>19.5509536475209</v>
      </c>
      <c r="AU23" s="11" t="n">
        <f aca="false">MAX(0,AU18-AU19-AU20)</f>
        <v>34.6799915878859</v>
      </c>
      <c r="AV23" s="11" t="n">
        <f aca="false">MAX(0,AV18-AV19-AV20)</f>
        <v>34.5748825571757</v>
      </c>
      <c r="AW23" s="11" t="n">
        <f aca="false">MAX(0,AW18-AW19-AW20)</f>
        <v>34.7360201802397</v>
      </c>
      <c r="AX23" s="11" t="n">
        <f aca="false">MAX(0,AX18-AX19-AX20)</f>
        <v>34.9257098804269</v>
      </c>
      <c r="AY23" s="11" t="n">
        <f aca="false">MAX(0,AY18-AY19-AY20)</f>
        <v>35.0449964711202</v>
      </c>
      <c r="AZ23" s="11" t="n">
        <f aca="false">MAX(0,AZ18-AZ19-AZ20)</f>
        <v>35.1463682131895</v>
      </c>
      <c r="BA23" s="11" t="n">
        <f aca="false">MAX(0,BA18-BA19-BA20)</f>
        <v>35.3739645380886</v>
      </c>
      <c r="BB23" s="11" t="n">
        <f aca="false">MAX(0,BB18-BB19-BB20)</f>
        <v>32.1575034380634</v>
      </c>
      <c r="BC23" s="11" t="n">
        <f aca="false">MAX(0,BC18-BC19-BC20)</f>
        <v>42.173744094085</v>
      </c>
      <c r="BD23" s="11" t="n">
        <f aca="false">MAX(0,BD18-BD19-BD20)</f>
        <v>54.9843868174064</v>
      </c>
      <c r="BE23" s="11" t="n">
        <f aca="false">MAX(0,BE18-BE19-BE20)</f>
        <v>55.1582117876716</v>
      </c>
      <c r="BF23" s="11" t="n">
        <f aca="false">MAX(0,BF18-BF19-BF20)</f>
        <v>55.3659449369535</v>
      </c>
      <c r="BG23" s="11" t="n">
        <f aca="false">MAX(0,BG18-BG19-BG20)</f>
        <v>55.4930330172432</v>
      </c>
      <c r="BH23" s="11" t="n">
        <f aca="false">MAX(0,BH18-BH19-BH20)</f>
        <v>55.6022778435675</v>
      </c>
      <c r="BI23" s="11" t="n">
        <f aca="false">MAX(0,BI18-BI19-BI20)</f>
        <v>55.905378963985</v>
      </c>
      <c r="BJ23" s="11" t="n">
        <f aca="false">MAX(0,BJ18-BJ19-BJ20)</f>
        <v>38.4992650541497</v>
      </c>
      <c r="BK23" s="11" t="n">
        <f aca="false">MAX(0,BK18-BK19-BK20)</f>
        <v>56.3831643833405</v>
      </c>
      <c r="BL23" s="11" t="n">
        <f aca="false">MAX(0,BL18-BL19-BL20)</f>
        <v>56.2447908037357</v>
      </c>
      <c r="BM23" s="11" t="n">
        <f aca="false">MAX(0,BM18-BM19-BM20)</f>
        <v>18.5363710996122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312.519012437096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0.95106029102752</v>
      </c>
      <c r="AN25" s="11" t="n">
        <f aca="false">AN23*AN24</f>
        <v>9.04357686309184</v>
      </c>
      <c r="AO25" s="11" t="n">
        <f aca="false">AO23*AO24</f>
        <v>9.54687007094434</v>
      </c>
      <c r="AP25" s="11" t="n">
        <f aca="false">AP23*AP24</f>
        <v>10.1457674787661</v>
      </c>
      <c r="AQ25" s="11" t="n">
        <f aca="false">AQ23*AQ24</f>
        <v>10.1793563500173</v>
      </c>
      <c r="AR25" s="11" t="n">
        <f aca="false">AR23*AR24</f>
        <v>10.2075764003699</v>
      </c>
      <c r="AS25" s="11" t="n">
        <f aca="false">AS23*AS24</f>
        <v>10.2837171882406</v>
      </c>
      <c r="AT25" s="11" t="n">
        <f aca="false">AT23*AT24</f>
        <v>5.86528609425628</v>
      </c>
      <c r="AU25" s="11" t="n">
        <f aca="false">AU23*AU24</f>
        <v>10.4039974763658</v>
      </c>
      <c r="AV25" s="11" t="n">
        <f aca="false">AV23*AV24</f>
        <v>10.3724647671527</v>
      </c>
      <c r="AW25" s="11" t="n">
        <f aca="false">AW23*AW24</f>
        <v>10.4208060540719</v>
      </c>
      <c r="AX25" s="11" t="n">
        <f aca="false">AX23*AX24</f>
        <v>10.4777129641281</v>
      </c>
      <c r="AY25" s="11" t="n">
        <f aca="false">AY23*AY24</f>
        <v>10.5134989413361</v>
      </c>
      <c r="AZ25" s="11" t="n">
        <f aca="false">AZ23*AZ24</f>
        <v>10.5439104639569</v>
      </c>
      <c r="BA25" s="11" t="n">
        <f aca="false">BA23*BA24</f>
        <v>10.6121893614266</v>
      </c>
      <c r="BB25" s="11" t="n">
        <f aca="false">BB23*BB24</f>
        <v>9.64725103141902</v>
      </c>
      <c r="BC25" s="11" t="n">
        <f aca="false">BC23*BC24</f>
        <v>12.6521232282255</v>
      </c>
      <c r="BD25" s="11" t="n">
        <f aca="false">BD23*BD24</f>
        <v>16.4953160452219</v>
      </c>
      <c r="BE25" s="11" t="n">
        <f aca="false">BE23*BE24</f>
        <v>16.5474635363015</v>
      </c>
      <c r="BF25" s="11" t="n">
        <f aca="false">BF23*BF24</f>
        <v>16.6097834810861</v>
      </c>
      <c r="BG25" s="11" t="n">
        <f aca="false">BG23*BG24</f>
        <v>16.647909905173</v>
      </c>
      <c r="BH25" s="11" t="n">
        <f aca="false">BH23*BH24</f>
        <v>16.6806833530703</v>
      </c>
      <c r="BI25" s="11" t="n">
        <f aca="false">BI23*BI24</f>
        <v>16.7716136891955</v>
      </c>
      <c r="BJ25" s="11" t="n">
        <f aca="false">BJ23*BJ24</f>
        <v>11.5497795162449</v>
      </c>
      <c r="BK25" s="11" t="n">
        <f aca="false">BK23*BK24</f>
        <v>16.9149493150021</v>
      </c>
      <c r="BL25" s="11" t="n">
        <f aca="false">BL23*BL24</f>
        <v>16.8734372411207</v>
      </c>
      <c r="BM25" s="11" t="n">
        <f aca="false">BM23*BM24</f>
        <v>5.56091132988367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317.383917663576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0.95106029102752</v>
      </c>
      <c r="AN27" s="11" t="n">
        <f aca="false">MAX(AN25,AN26)</f>
        <v>9.04357686309184</v>
      </c>
      <c r="AO27" s="11" t="n">
        <f aca="false">MAX(AO25,AO26)</f>
        <v>9.54687007094434</v>
      </c>
      <c r="AP27" s="11" t="n">
        <f aca="false">MAX(AP25,AP26)</f>
        <v>10.1457674787661</v>
      </c>
      <c r="AQ27" s="11" t="n">
        <f aca="false">MAX(AQ25,AQ26)</f>
        <v>10.1793563500173</v>
      </c>
      <c r="AR27" s="11" t="n">
        <f aca="false">MAX(AR25,AR26)</f>
        <v>10.2075764003699</v>
      </c>
      <c r="AS27" s="11" t="n">
        <f aca="false">MAX(AS25,AS26)</f>
        <v>10.2837171882406</v>
      </c>
      <c r="AT27" s="11" t="n">
        <f aca="false">MAX(AT25,AT26)</f>
        <v>5.86528609425628</v>
      </c>
      <c r="AU27" s="11" t="n">
        <f aca="false">MAX(AU25,AU26)</f>
        <v>10.4039974763658</v>
      </c>
      <c r="AV27" s="11" t="n">
        <f aca="false">MAX(AV25,AV26)</f>
        <v>10.3724647671527</v>
      </c>
      <c r="AW27" s="11" t="n">
        <f aca="false">MAX(AW25,AW26)</f>
        <v>10.4208060540719</v>
      </c>
      <c r="AX27" s="11" t="n">
        <f aca="false">MAX(AX25,AX26)</f>
        <v>10.4777129641281</v>
      </c>
      <c r="AY27" s="11" t="n">
        <f aca="false">MAX(AY25,AY26)</f>
        <v>10.5134989413361</v>
      </c>
      <c r="AZ27" s="11" t="n">
        <f aca="false">MAX(AZ25,AZ26)</f>
        <v>10.5439104639569</v>
      </c>
      <c r="BA27" s="11" t="n">
        <f aca="false">MAX(BA25,BA26)</f>
        <v>10.6121893614266</v>
      </c>
      <c r="BB27" s="11" t="n">
        <f aca="false">MAX(BB25,BB26)</f>
        <v>9.64725103141902</v>
      </c>
      <c r="BC27" s="11" t="n">
        <f aca="false">MAX(BC25,BC26)</f>
        <v>12.6521232282255</v>
      </c>
      <c r="BD27" s="11" t="n">
        <f aca="false">MAX(BD25,BD26)</f>
        <v>16.4953160452219</v>
      </c>
      <c r="BE27" s="11" t="n">
        <f aca="false">MAX(BE25,BE26)</f>
        <v>16.5474635363015</v>
      </c>
      <c r="BF27" s="11" t="n">
        <f aca="false">MAX(BF25,BF26)</f>
        <v>16.6097834810861</v>
      </c>
      <c r="BG27" s="11" t="n">
        <f aca="false">MAX(BG25,BG26)</f>
        <v>16.647909905173</v>
      </c>
      <c r="BH27" s="11" t="n">
        <f aca="false">MAX(BH25,BH26)</f>
        <v>16.6806833530703</v>
      </c>
      <c r="BI27" s="11" t="n">
        <f aca="false">MAX(BI25,BI26)</f>
        <v>16.7716136891955</v>
      </c>
      <c r="BJ27" s="11" t="n">
        <f aca="false">MAX(BJ25,BJ26)</f>
        <v>11.5497795162449</v>
      </c>
      <c r="BK27" s="11" t="n">
        <f aca="false">MAX(BK25,BK26)</f>
        <v>16.9149493150021</v>
      </c>
      <c r="BL27" s="11" t="n">
        <f aca="false">MAX(BL25,BL26)</f>
        <v>16.8734372411207</v>
      </c>
      <c r="BM27" s="11" t="n">
        <f aca="false">MAX(BM25,BM26)</f>
        <v>5.56091132988367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3.81908999643959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2.02967999974623</v>
      </c>
      <c r="Q28" s="11" t="n">
        <f aca="false">Q13-Q15</f>
        <v>0.700911201843246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148.381141083776</v>
      </c>
      <c r="AC70" s="11" t="n">
        <f aca="false">Time!AC30*AB83</f>
        <v>132.942837101582</v>
      </c>
      <c r="AD70" s="11" t="n">
        <f aca="false">Time!AD30*AC83</f>
        <v>117.997159030047</v>
      </c>
      <c r="AE70" s="11" t="n">
        <f aca="false">Time!AE30*AD83</f>
        <v>101.453637452852</v>
      </c>
      <c r="AF70" s="11" t="n">
        <f aca="false">Time!AF30*AE83</f>
        <v>84.5900705439096</v>
      </c>
      <c r="AG70" s="11" t="n">
        <f aca="false">Time!AG30*AF83</f>
        <v>67.3342841565564</v>
      </c>
      <c r="AH70" s="11" t="n">
        <f aca="false">Time!AH30*AG83</f>
        <v>50.4705543164846</v>
      </c>
      <c r="AI70" s="11" t="n">
        <f aca="false">Time!AI30*AH83</f>
        <v>33.0680174505925</v>
      </c>
      <c r="AJ70" s="11" t="n">
        <f aca="false">Time!AJ30*AI83</f>
        <v>16.1761957651324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134.053251825021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6.50532232366301</v>
      </c>
      <c r="AC72" s="11" t="n">
        <f aca="false">AC70*AC13</f>
        <v>5.76512357534588</v>
      </c>
      <c r="AD72" s="11" t="n">
        <f aca="false">AD70*AD13</f>
        <v>5.17322853268523</v>
      </c>
      <c r="AE72" s="11" t="n">
        <f aca="false">AE70*AE13</f>
        <v>4.37540730511171</v>
      </c>
      <c r="AF72" s="11" t="n">
        <f aca="false">AF70*AF13</f>
        <v>3.70859578414237</v>
      </c>
      <c r="AG72" s="11" t="n">
        <f aca="false">AG70*AG13</f>
        <v>3.09201526709283</v>
      </c>
      <c r="AH72" s="11" t="n">
        <f aca="false">AH70*AH13</f>
        <v>2.35604024668508</v>
      </c>
      <c r="AI72" s="11" t="n">
        <f aca="false">AI70*AI13</f>
        <v>1.51849560874508</v>
      </c>
      <c r="AJ72" s="11" t="n">
        <f aca="false">AJ70*AJ13</f>
        <v>0.755128783050847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145.942216518388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8.23486583841311</v>
      </c>
      <c r="AC73" s="11" t="n">
        <f aca="false">Time!AC30*(AC70-AC71)*AC19</f>
        <v>8.07038465658137</v>
      </c>
      <c r="AD73" s="11" t="n">
        <f aca="false">Time!AD30*(AD70-AD71)*AD19</f>
        <v>8.32708043913177</v>
      </c>
      <c r="AE73" s="11" t="n">
        <f aca="false">Time!AE30*(AE70-AE71)*AE19</f>
        <v>8.03430719146036</v>
      </c>
      <c r="AF73" s="11" t="n">
        <f aca="false">Time!AF30*(AF70-AF71)*AF19</f>
        <v>7.53018658813732</v>
      </c>
      <c r="AG73" s="11" t="n">
        <f aca="false">Time!AG30*(AG70-AG71)*AG19</f>
        <v>6.70261475817645</v>
      </c>
      <c r="AH73" s="11" t="n">
        <f aca="false">Time!AH30*(AH70-AH71)*AH19</f>
        <v>5.85943118302945</v>
      </c>
      <c r="AI73" s="11" t="n">
        <f aca="false">Time!AI30*(AI70-AI71)*AI19</f>
        <v>4.47083673469436</v>
      </c>
      <c r="AJ73" s="11" t="n">
        <f aca="false">Time!AJ30*(AJ70-AJ71)*AJ19</f>
        <v>2.65105243020851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145.942216518388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8.23486583841311</v>
      </c>
      <c r="AC77" s="11" t="n">
        <f aca="false">AC73-AC74+AC76</f>
        <v>8.07038465658137</v>
      </c>
      <c r="AD77" s="11" t="n">
        <f aca="false">AD73-AD74+AD76</f>
        <v>8.32708043913177</v>
      </c>
      <c r="AE77" s="11" t="n">
        <f aca="false">AE73-AE74+AE76</f>
        <v>8.03430719146036</v>
      </c>
      <c r="AF77" s="11" t="n">
        <f aca="false">AF73-AF74+AF76</f>
        <v>7.53018658813732</v>
      </c>
      <c r="AG77" s="11" t="n">
        <f aca="false">AG73-AG74+AG76</f>
        <v>6.70261475817645</v>
      </c>
      <c r="AH77" s="11" t="n">
        <f aca="false">AH73-AH74+AH76</f>
        <v>5.85943118302945</v>
      </c>
      <c r="AI77" s="11" t="n">
        <f aca="false">AI73-AI74+AI76</f>
        <v>4.47083673469436</v>
      </c>
      <c r="AJ77" s="11" t="n">
        <f aca="false">AJ73-AJ74+AJ76</f>
        <v>2.65105243020851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140.146275245362</v>
      </c>
      <c r="AC81" s="11" t="n">
        <f aca="false">AC70-AC77-AC78-AC79</f>
        <v>124.872452445001</v>
      </c>
      <c r="AD81" s="11" t="n">
        <f aca="false">AD70-AD77-AD78-AD79</f>
        <v>109.670078590915</v>
      </c>
      <c r="AE81" s="11" t="n">
        <f aca="false">AE70-AE77-AE78-AE79</f>
        <v>93.4193302613919</v>
      </c>
      <c r="AF81" s="11" t="n">
        <f aca="false">AF70-AF77-AF78-AF79</f>
        <v>77.0598839557723</v>
      </c>
      <c r="AG81" s="11" t="n">
        <f aca="false">AG70-AG77-AG78-AG79</f>
        <v>60.63166939838</v>
      </c>
      <c r="AH81" s="11" t="n">
        <f aca="false">AH70-AH77-AH78-AH79</f>
        <v>44.6111231334552</v>
      </c>
      <c r="AI81" s="11" t="n">
        <f aca="false">AI70-AI77-AI78-AI79</f>
        <v>28.5971807158981</v>
      </c>
      <c r="AJ81" s="11" t="n">
        <f aca="false">AJ70-AJ77-AJ78-AJ79</f>
        <v>13.5251433349239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94.6950541878658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6.19467292392291</v>
      </c>
      <c r="AB82" s="11" t="n">
        <f aca="false">Waterfall!AB28*AB81/(AB36+AB51+AB66+AB81+AB96+0.000000001)+Waterfall!AB29</f>
        <v>7.20343814378053</v>
      </c>
      <c r="AC82" s="11" t="n">
        <f aca="false">Waterfall!AC28*AC81/(AC36+AC51+AC66+AC81+AC96+0.000000001)+Waterfall!AC29</f>
        <v>6.87529341495345</v>
      </c>
      <c r="AD82" s="11" t="n">
        <f aca="false">Waterfall!AD28*AD81/(AD36+AD51+AD66+AD81+AD96+0.000000001)+Waterfall!AD29</f>
        <v>8.21644113806305</v>
      </c>
      <c r="AE82" s="11" t="n">
        <f aca="false">Waterfall!AE28*AE81/(AE36+AE51+AE66+AE81+AE96+0.000000001)+Waterfall!AE29</f>
        <v>8.82925971748235</v>
      </c>
      <c r="AF82" s="11" t="n">
        <f aca="false">Waterfall!AF28*AF81/(AF36+AF51+AF66+AF81+AF96+0.000000001)+Waterfall!AF29</f>
        <v>9.72559979921583</v>
      </c>
      <c r="AG82" s="11" t="n">
        <f aca="false">Waterfall!AG28*AG81/(AG36+AG51+AG66+AG81+AG96+0.000000001)+Waterfall!AG29</f>
        <v>10.1611150818953</v>
      </c>
      <c r="AH82" s="11" t="n">
        <f aca="false">Waterfall!AH28*AH81/(AH36+AH51+AH66+AH81+AH96+0.000000001)+Waterfall!AH29</f>
        <v>11.5431056828627</v>
      </c>
      <c r="AI82" s="11" t="n">
        <f aca="false">Waterfall!AI28*AI81/(AI36+AI51+AI66+AI81+AI96+0.000000001)+Waterfall!AI29</f>
        <v>12.4209849507657</v>
      </c>
      <c r="AJ82" s="11" t="n">
        <f aca="false">Waterfall!AJ28*AJ81/(AJ36+AJ51+AJ66+AJ81+AJ96+0.000000001)+Waterfall!AJ29</f>
        <v>13.5251433349239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148.381141083776</v>
      </c>
      <c r="AB83" s="11" t="n">
        <f aca="false">IF(Time!AB29=1,INDEX(Funding!$J$64:$BJ$64,1,Time!$F$13),Time!AB30*(AB81-AB82))</f>
        <v>132.942837101582</v>
      </c>
      <c r="AC83" s="11" t="n">
        <f aca="false">IF(Time!AC29=1,INDEX(Funding!$J$64:$BJ$64,1,Time!$F$13),Time!AC30*(AC81-AC82))</f>
        <v>117.997159030047</v>
      </c>
      <c r="AD83" s="11" t="n">
        <f aca="false">IF(Time!AD29=1,INDEX(Funding!$J$64:$BJ$64,1,Time!$F$13),Time!AD30*(AD81-AD82))</f>
        <v>101.453637452852</v>
      </c>
      <c r="AE83" s="11" t="n">
        <f aca="false">IF(Time!AE29=1,INDEX(Funding!$J$64:$BJ$64,1,Time!$F$13),Time!AE30*(AE81-AE82))</f>
        <v>84.5900705439096</v>
      </c>
      <c r="AF83" s="11" t="n">
        <f aca="false">IF(Time!AF29=1,INDEX(Funding!$J$64:$BJ$64,1,Time!$F$13),Time!AF30*(AF81-AF82))</f>
        <v>67.3342841565564</v>
      </c>
      <c r="AG83" s="11" t="n">
        <f aca="false">IF(Time!AG29=1,INDEX(Funding!$J$64:$BJ$64,1,Time!$F$13),Time!AG30*(AG81-AG82))</f>
        <v>50.4705543164846</v>
      </c>
      <c r="AH83" s="11" t="n">
        <f aca="false">IF(Time!AH29=1,INDEX(Funding!$J$64:$BJ$64,1,Time!$F$13),Time!AH30*(AH81-AH82))</f>
        <v>33.0680174505925</v>
      </c>
      <c r="AI83" s="11" t="n">
        <f aca="false">IF(Time!AI29=1,INDEX(Funding!$J$64:$BJ$64,1,Time!$F$13),Time!AI30*(AI81-AI82))</f>
        <v>16.1761957651324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16.5538630197867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0.774183685150526</v>
      </c>
      <c r="AC115" s="11" t="n">
        <f aca="false">(Inputs!$F$93/100*Inputs!$F$94/100)*AC70*Time!AC20/365</f>
        <v>0.686094307529452</v>
      </c>
      <c r="AD115" s="11" t="n">
        <f aca="false">(Inputs!$F$93/100*Inputs!$F$94/100)*AD70*Time!AD20/365</f>
        <v>0.615654218237868</v>
      </c>
      <c r="AE115" s="11" t="n">
        <f aca="false">(Inputs!$F$93/100*Inputs!$F$94/100)*AE70*Time!AE20/365</f>
        <v>0.520707319787126</v>
      </c>
      <c r="AF115" s="11" t="n">
        <f aca="false">(Inputs!$F$93/100*Inputs!$F$94/100)*AF70*Time!AF20/365</f>
        <v>0.441351589983072</v>
      </c>
      <c r="AG115" s="11" t="n">
        <f aca="false">(Inputs!$F$93/100*Inputs!$F$94/100)*AG70*Time!AG20/365</f>
        <v>0.34559090746489</v>
      </c>
      <c r="AH115" s="11" t="n">
        <f aca="false">(Inputs!$F$93/100*Inputs!$F$94/100)*AH70*Time!AH20/365</f>
        <v>0.2633318455899</v>
      </c>
      <c r="AI115" s="11" t="n">
        <f aca="false">(Inputs!$F$93/100*Inputs!$F$94/100)*AI70*Time!AI20/365</f>
        <v>0.169720467098815</v>
      </c>
      <c r="AJ115" s="11" t="n">
        <f aca="false">(Inputs!$F$93/100*Inputs!$F$94/100)*AJ70*Time!AJ20/365</f>
        <v>0.0843998553838853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304.515296695861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13.7455449775286</v>
      </c>
      <c r="AC118" s="11" t="n">
        <f aca="false">AC27+AC42+AC57+AC72+AC87+AC101</f>
        <v>12.5291974182233</v>
      </c>
      <c r="AD118" s="11" t="n">
        <f aca="false">AD27+AD42+AD57+AD72+AD87+AD101</f>
        <v>11.5965029072137</v>
      </c>
      <c r="AE118" s="11" t="n">
        <f aca="false">AE27+AE42+AE57+AE72+AE87+AE101</f>
        <v>10.2480533924046</v>
      </c>
      <c r="AF118" s="11" t="n">
        <f aca="false">AF27+AF42+AF57+AF72+AF87+AF101</f>
        <v>9.20580421720102</v>
      </c>
      <c r="AG118" s="11" t="n">
        <f aca="false">AG27+AG42+AG57+AG72+AG87+AG101</f>
        <v>8.01821390099433</v>
      </c>
      <c r="AH118" s="11" t="n">
        <f aca="false">AH27+AH42+AH57+AH72+AH87+AH101</f>
        <v>6.86539545034244</v>
      </c>
      <c r="AI118" s="11" t="n">
        <f aca="false">AI27+AI42+AI57+AI72+AI87+AI101</f>
        <v>5.43934608597834</v>
      </c>
      <c r="AJ118" s="11" t="n">
        <f aca="false">AJ27+AJ42+AJ57+AJ72+AJ87+AJ101</f>
        <v>4.20207566190699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312.734956112663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14.1254247444327</v>
      </c>
      <c r="AC119" s="11" t="n">
        <f aca="false">AC118+AC114+AC115+AC116</f>
        <v>12.8961470660647</v>
      </c>
      <c r="AD119" s="11" t="n">
        <f aca="false">AD118+AD114+AD115+AD116</f>
        <v>11.862344367622</v>
      </c>
      <c r="AE119" s="11" t="n">
        <f aca="false">AE118+AE114+AE115+AE116</f>
        <v>10.5134000797183</v>
      </c>
      <c r="AF119" s="11" t="n">
        <f aca="false">AF118+AF114+AF115+AF116</f>
        <v>9.34777677863788</v>
      </c>
      <c r="AG119" s="11" t="n">
        <f aca="false">AG118+AG114+AG115+AG116</f>
        <v>8.14959860904855</v>
      </c>
      <c r="AH119" s="11" t="n">
        <f aca="false">AH118+AH114+AH115+AH116</f>
        <v>6.88314694425381</v>
      </c>
      <c r="AI119" s="11" t="n">
        <f aca="false">AI118+AI114+AI115+AI116</f>
        <v>5.43857596964721</v>
      </c>
      <c r="AJ119" s="11" t="n">
        <f aca="false">AJ118+AJ114+AJ115+AJ116</f>
        <v>4.09875412731473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538.560921354926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22.2316239270787</v>
      </c>
      <c r="AC120" s="11" t="n">
        <f aca="false">AC32+AC47+AC62+AC77+AC92+AC102</f>
        <v>22.5308337332716</v>
      </c>
      <c r="AD120" s="11" t="n">
        <f aca="false">AD32+AD47+AD62+AD77+AD92+AD102</f>
        <v>24.116835590478</v>
      </c>
      <c r="AE120" s="11" t="n">
        <f aca="false">AE32+AE47+AE62+AE77+AE92+AE102</f>
        <v>24.5027145355036</v>
      </c>
      <c r="AF120" s="11" t="n">
        <f aca="false">AF32+AF47+AF62+AF77+AF92+AF102</f>
        <v>24.5763350906611</v>
      </c>
      <c r="AG120" s="11" t="n">
        <f aca="false">AG32+AG47+AG62+AG77+AG92+AG102</f>
        <v>24.0668992158002</v>
      </c>
      <c r="AH120" s="11" t="n">
        <f aca="false">AH32+AH47+AH62+AH77+AH92+AH102</f>
        <v>24.0954294681678</v>
      </c>
      <c r="AI120" s="11" t="n">
        <f aca="false">AI32+AI47+AI62+AI77+AI92+AI102</f>
        <v>23.2422899097598</v>
      </c>
      <c r="AJ120" s="11" t="n">
        <f aca="false">AJ32+AJ47+AJ62+AJ77+AJ92+AJ102</f>
        <v>22.3287475022815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851.295877467589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36.3570486715114</v>
      </c>
      <c r="AC121" s="11" t="n">
        <f aca="false">AC119+AC120</f>
        <v>35.4269807993364</v>
      </c>
      <c r="AD121" s="11" t="n">
        <f aca="false">AD119+AD120</f>
        <v>35.9791799581001</v>
      </c>
      <c r="AE121" s="11" t="n">
        <f aca="false">AE119+AE120</f>
        <v>35.0161146152219</v>
      </c>
      <c r="AF121" s="11" t="n">
        <f aca="false">AF119+AF120</f>
        <v>33.924111869299</v>
      </c>
      <c r="AG121" s="11" t="n">
        <f aca="false">AG119+AG120</f>
        <v>32.2164978248487</v>
      </c>
      <c r="AH121" s="11" t="n">
        <f aca="false">AH119+AH120</f>
        <v>30.9785764124216</v>
      </c>
      <c r="AI121" s="11" t="n">
        <f aca="false">AI119+AI120</f>
        <v>28.680865879407</v>
      </c>
      <c r="AJ121" s="11" t="n">
        <f aca="false">AJ119+AJ120</f>
        <v>26.4275016295962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400.583784991084</v>
      </c>
      <c r="AC122" s="11" t="n">
        <f aca="false">AC25+AC40+AC55+AC70+AC85+AC100</f>
        <v>371.148722920225</v>
      </c>
      <c r="AD122" s="11" t="n">
        <f aca="false">AD25+AD40+AD55+AD70+AD85+AD100</f>
        <v>341.742595772</v>
      </c>
      <c r="AE122" s="11" t="n">
        <f aca="false">AE25+AE40+AE55+AE70+AE85+AE100</f>
        <v>309.409319043459</v>
      </c>
      <c r="AF122" s="11" t="n">
        <f aca="false">AF25+AF40+AF55+AF70+AF85+AF100</f>
        <v>276.077344790473</v>
      </c>
      <c r="AG122" s="11" t="n">
        <f aca="false">AG25+AG40+AG55+AG70+AG85+AG100</f>
        <v>241.775409900596</v>
      </c>
      <c r="AH122" s="11" t="n">
        <f aca="false">AH25+AH40+AH55+AH70+AH85+AH100</f>
        <v>207.5473956029</v>
      </c>
      <c r="AI122" s="11" t="n">
        <f aca="false">AI25+AI40+AI55+AI70+AI85+AI100</f>
        <v>171.90886045187</v>
      </c>
      <c r="AJ122" s="11" t="n">
        <f aca="false">AJ25+AJ40+AJ55+AJ70+AJ85+AJ100</f>
        <v>136.245585591345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400.583784991084</v>
      </c>
      <c r="AB123" s="11" t="n">
        <f aca="false">AB38+AB53+AB68+AB83+AB98+AB104</f>
        <v>371.148722920225</v>
      </c>
      <c r="AC123" s="11" t="n">
        <f aca="false">AC38+AC53+AC68+AC83+AC98+AC104</f>
        <v>341.742595772</v>
      </c>
      <c r="AD123" s="11" t="n">
        <f aca="false">AD38+AD53+AD68+AD83+AD98+AD104</f>
        <v>309.409319043459</v>
      </c>
      <c r="AE123" s="11" t="n">
        <f aca="false">AE38+AE53+AE68+AE83+AE98+AE104</f>
        <v>276.077344790473</v>
      </c>
      <c r="AF123" s="11" t="n">
        <f aca="false">AF38+AF53+AF68+AF83+AF98+AF104</f>
        <v>241.775409900596</v>
      </c>
      <c r="AG123" s="11" t="n">
        <f aca="false">AG38+AG53+AG68+AG83+AG98+AG104</f>
        <v>207.5473956029</v>
      </c>
      <c r="AH123" s="11" t="n">
        <f aca="false">AH38+AH53+AH68+AH83+AH98+AH104</f>
        <v>171.90886045187</v>
      </c>
      <c r="AI123" s="11" t="n">
        <f aca="false">AI38+AI53+AI68+AI83+AI98+AI104</f>
        <v>136.245585591345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140.146275245362</v>
      </c>
      <c r="AC125" s="11" t="n">
        <f aca="false">IF(Time!AC29=1,AC83,AC81)</f>
        <v>124.872452445001</v>
      </c>
      <c r="AD125" s="11" t="n">
        <f aca="false">IF(Time!AD29=1,AD83,AD81)</f>
        <v>109.670078590915</v>
      </c>
      <c r="AE125" s="11" t="n">
        <f aca="false">IF(Time!AE29=1,AE83,AE81)</f>
        <v>93.4193302613919</v>
      </c>
      <c r="AF125" s="11" t="n">
        <f aca="false">IF(Time!AF29=1,AF83,AF81)</f>
        <v>77.0598839557723</v>
      </c>
      <c r="AG125" s="11" t="n">
        <f aca="false">IF(Time!AG29=1,AG83,AG81)</f>
        <v>60.63166939838</v>
      </c>
      <c r="AH125" s="11" t="n">
        <f aca="false">IF(Time!AH29=1,AH83,AH81)</f>
        <v>44.6111231334552</v>
      </c>
      <c r="AI125" s="11" t="n">
        <f aca="false">IF(Time!AI29=1,AI83,AI81)</f>
        <v>28.5971807158981</v>
      </c>
      <c r="AJ125" s="11" t="n">
        <f aca="false">IF(Time!AJ29=1,AJ83,AJ81)</f>
        <v>13.5251433349239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14.5851780141382</v>
      </c>
      <c r="AC129" s="11" t="n">
        <f aca="false">IF(AND(Time!AC17&gt;=Time!$F$11,Time!AC17&lt;57),(IF(Time!AC29=1,AC83,AC81)-AC80)*AD19+IF(Time!AC29=1,AC83,AC81)*AD13,0)</f>
        <v>14.2869260915574</v>
      </c>
      <c r="AD129" s="11" t="n">
        <f aca="false">IF(AND(Time!AD17&gt;=Time!$F$11,Time!AD17&lt;57),(IF(Time!AD29=1,AD83,AD81)-AD80)*AE19+IF(Time!AD29=1,AD83,AD81)*AE13,0)</f>
        <v>13.4147419284238</v>
      </c>
      <c r="AE129" s="11" t="n">
        <f aca="false">IF(AND(Time!AE17&gt;=Time!$F$11,Time!AE17&lt;57),(IF(Time!AE29=1,AE83,AE81)-AE80)*AF19+IF(Time!AE29=1,AE83,AE81)*AF13,0)</f>
        <v>12.4118530156197</v>
      </c>
      <c r="AF129" s="11" t="n">
        <f aca="false">IF(AND(Time!AF17&gt;=Time!$F$11,Time!AF17&lt;57),(IF(Time!AF29=1,AF83,AF81)-AF80)*AG19+IF(Time!AF29=1,AF83,AF81)*AG13,0)</f>
        <v>11.2093425005021</v>
      </c>
      <c r="AG129" s="11" t="n">
        <f aca="false">IF(AND(Time!AG17&gt;=Time!$F$11,Time!AG17&lt;57),(IF(Time!AG29=1,AG83,AG81)-AG80)*AH19+IF(Time!AG29=1,AG83,AG81)*AH13,0)</f>
        <v>9.86947249587852</v>
      </c>
      <c r="AH129" s="11" t="n">
        <f aca="false">IF(AND(Time!AH17&gt;=Time!$F$11,Time!AH17&lt;57),(IF(Time!AH29=1,AH83,AH81)-AH80)*AI19+IF(Time!AH29=1,AH83,AH81)*AI13,0)</f>
        <v>8.08003815346889</v>
      </c>
      <c r="AI129" s="11" t="n">
        <f aca="false">IF(AND(Time!AI17&gt;=Time!$F$11,Time!AI17&lt;57),(IF(Time!AI29=1,AI83,AI81)-AI80)*AJ19+IF(Time!AI29=1,AI83,AI81)*AJ13,0)</f>
        <v>6.021637047484</v>
      </c>
      <c r="AJ129" s="11" t="n">
        <f aca="false">IF(AND(Time!AJ17&gt;=Time!$F$11,Time!AJ17&lt;57),(IF(Time!AJ29=1,AJ83,AJ81)-AJ80)*AK19+IF(Time!AJ29=1,AJ83,AJ81)*AK13,0)</f>
        <v>3.36137327318922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36.2138262430034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36.8016691566883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36.0633126498297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35.1432494775869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33.6811266079826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32.6855934445087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30.8308162840419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29.1077643781777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26.4620119934445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855.136272865205</v>
      </c>
      <c r="Q136" s="11" t="n">
        <f aca="false">IF(Q134=1,(Waterfall!Q7+R136)/(1+Q135),0)</f>
        <v>834.191217441285</v>
      </c>
      <c r="R136" s="11" t="n">
        <f aca="false">IF(R134=1,(Waterfall!R7+S136)/(1+R135),0)</f>
        <v>812.361785357613</v>
      </c>
      <c r="S136" s="11" t="n">
        <f aca="false">IF(S134=1,(Waterfall!S7+T136)/(1+S135),0)</f>
        <v>789.459680755436</v>
      </c>
      <c r="T136" s="11" t="n">
        <f aca="false">IF(T134=1,(Waterfall!T7+U136)/(1+T135),0)</f>
        <v>765.884571334596</v>
      </c>
      <c r="U136" s="11" t="n">
        <f aca="false">IF(U134=1,(Waterfall!U7+V136)/(1+U135),0)</f>
        <v>741.227153809757</v>
      </c>
      <c r="V136" s="11" t="n">
        <f aca="false">IF(V134=1,(Waterfall!V7+W136)/(1+V135),0)</f>
        <v>715.785649129453</v>
      </c>
      <c r="W136" s="11" t="n">
        <f aca="false">IF(W134=1,(Waterfall!W7+X136)/(1+W135),0)</f>
        <v>688.685686434661</v>
      </c>
      <c r="X136" s="11" t="n">
        <f aca="false">IF(X134=1,(Waterfall!X7+Y136)/(1+X135),0)</f>
        <v>660.759279262764</v>
      </c>
      <c r="Y136" s="11" t="n">
        <f aca="false">IF(Y134=1,(Waterfall!Y7+Z136)/(1+Y135),0)</f>
        <v>633.607956748582</v>
      </c>
      <c r="Z136" s="11" t="n">
        <f aca="false">IF(Z134=1,(Waterfall!Z7+AA136)/(1+Z135),0)</f>
        <v>606.445203606132</v>
      </c>
      <c r="AA136" s="11" t="n">
        <f aca="false">IF(AA134=1,(Waterfall!AA7+AB136)/(1+AA135),0)</f>
        <v>578.15961961626</v>
      </c>
      <c r="AB136" s="11" t="n">
        <f aca="false">IF(AB134=1,(Waterfall!AB7+AC136)/(1+AB135),0)</f>
        <v>549.050867068821</v>
      </c>
      <c r="AC136" s="11" t="n">
        <f aca="false">IF(AC134=1,(Waterfall!AC7+AD136)/(1+AC135),0)</f>
        <v>518.553914150058</v>
      </c>
      <c r="AD136" s="11" t="n">
        <f aca="false">IF(AD134=1,(Waterfall!AD7+AE136)/(1+AD135),0)</f>
        <v>487.04926381108</v>
      </c>
      <c r="AE136" s="11" t="n">
        <f aca="false">IF(AE134=1,(Waterfall!AE7+AF136)/(1+AE135),0)</f>
        <v>452.652273618782</v>
      </c>
      <c r="AF136" s="11" t="n">
        <f aca="false">IF(AF134=1,(Waterfall!AF7+AG136)/(1+AF135),0)</f>
        <v>416.779486655326</v>
      </c>
      <c r="AG136" s="11" t="n">
        <f aca="false">IF(AG134=1,(Waterfall!AG7+AH136)/(1+AG135),0)</f>
        <v>379.650389045148</v>
      </c>
      <c r="AH136" s="11" t="n">
        <f aca="false">IF(AH134=1,(Waterfall!AH7+AI136)/(1+AH135),0)</f>
        <v>341.830598202269</v>
      </c>
      <c r="AI136" s="11" t="n">
        <f aca="false">IF(AI134=1,(Waterfall!AI7+AJ136)/(1+AI135),0)</f>
        <v>302.114915025463</v>
      </c>
      <c r="AJ136" s="11" t="n">
        <f aca="false">IF(AJ134=1,(Waterfall!AJ7+AK136)/(1+AJ135),0)</f>
        <v>261.23582331245</v>
      </c>
      <c r="AK136" s="11" t="n">
        <f aca="false">IF(AK134=1,(Waterfall!AK7+AL136)/(1+AK135),0)</f>
        <v>218.385943537041</v>
      </c>
      <c r="AL136" s="11" t="n">
        <f aca="false">IF(AL134=1,(Waterfall!AL7+AM136)/(1+AL135),0)</f>
        <v>174.151901883702</v>
      </c>
      <c r="AM136" s="11" t="n">
        <f aca="false">IF(AM134=1,(Waterfall!AM7+AN136)/(1+AM135),0)</f>
        <v>127.251426867669</v>
      </c>
      <c r="AN136" s="11" t="n">
        <f aca="false">IF(AN134=1,(Waterfall!AN7+AO136)/(1+AN135),0)</f>
        <v>79.5375414719066</v>
      </c>
      <c r="AO136" s="11" t="n">
        <f aca="false">IF(AO134=1,(Waterfall!AO7+AP136)/(1+AO135),0)</f>
        <v>40.0599018434552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1.35038010834758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633.434276196448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37.2666693457491</v>
      </c>
      <c r="Q140" s="11" t="n">
        <f aca="false">IF(Q134=1,Waterfall!Q7/$F$137,0)</f>
        <v>37.176441687824</v>
      </c>
      <c r="R140" s="11" t="n">
        <f aca="false">IF(R134=1,Waterfall!R7/$F$137,0)</f>
        <v>37.6425640820083</v>
      </c>
      <c r="S140" s="11" t="n">
        <f aca="false">IF(S134=1,Waterfall!S7/$F$137,0)</f>
        <v>37.3496241074445</v>
      </c>
      <c r="T140" s="11" t="n">
        <f aca="false">IF(T134=1,Waterfall!T7/$F$137,0)</f>
        <v>37.7661366850362</v>
      </c>
      <c r="U140" s="11" t="n">
        <f aca="false">IF(U134=1,Waterfall!U7/$F$137,0)</f>
        <v>37.5839018204117</v>
      </c>
      <c r="V140" s="11" t="n">
        <f aca="false">IF(V134=1,Waterfall!V7/$F$137,0)</f>
        <v>38.2989369313458</v>
      </c>
      <c r="W140" s="11" t="n">
        <f aca="false">IF(W134=1,Waterfall!W7/$F$137,0)</f>
        <v>38.0327643925105</v>
      </c>
      <c r="X140" s="11" t="n">
        <f aca="false">IF(X134=1,Waterfall!X7/$F$137,0)</f>
        <v>36.9354888295162</v>
      </c>
      <c r="Y140" s="11" t="n">
        <f aca="false">IF(Y134=1,Waterfall!Y7/$F$137,0)</f>
        <v>36.5775223884849</v>
      </c>
      <c r="Z140" s="11" t="n">
        <f aca="false">IF(Z134=1,Waterfall!Z7/$F$137,0)</f>
        <v>36.8766819803392</v>
      </c>
      <c r="AA140" s="11" t="n">
        <f aca="false">IF(AA134=1,Waterfall!AA7/$F$137,0)</f>
        <v>36.577919190667</v>
      </c>
      <c r="AB140" s="11" t="n">
        <f aca="false">IF(AB134=1,Waterfall!AB7/$F$137,0)</f>
        <v>37.0066192927338</v>
      </c>
      <c r="AC140" s="11" t="n">
        <f aca="false">IF(AC134=1,Waterfall!AC7/$F$137,0)</f>
        <v>36.8528907048435</v>
      </c>
      <c r="AD140" s="11" t="n">
        <f aca="false">IF(AD134=1,Waterfall!AD7/$F$137,0)</f>
        <v>38.2660448031918</v>
      </c>
      <c r="AE140" s="11" t="n">
        <f aca="false">IF(AE134=1,Waterfall!AE7/$F$137,0)</f>
        <v>38.3259280538975</v>
      </c>
      <c r="AF140" s="11" t="n">
        <f aca="false">IF(AF134=1,Waterfall!AF7/$F$137,0)</f>
        <v>38.4433895887662</v>
      </c>
      <c r="AG140" s="11" t="n">
        <f aca="false">IF(AG134=1,Waterfall!AG7/$F$137,0)</f>
        <v>38.1693972730666</v>
      </c>
      <c r="AH140" s="11" t="n">
        <f aca="false">IF(AH134=1,Waterfall!AH7/$F$137,0)</f>
        <v>38.663195862362</v>
      </c>
      <c r="AI140" s="11" t="n">
        <f aca="false">IF(AI134=1,Waterfall!AI7/$F$137,0)</f>
        <v>38.3594097357225</v>
      </c>
      <c r="AJ140" s="11" t="n">
        <f aca="false">IF(AJ134=1,Waterfall!AJ7/$F$137,0)</f>
        <v>38.8026816025949</v>
      </c>
      <c r="AK140" s="11" t="n">
        <f aca="false">IF(AK134=1,Waterfall!AK7/$F$137,0)</f>
        <v>38.6243349866996</v>
      </c>
      <c r="AL140" s="11" t="n">
        <f aca="false">IF(AL134=1,Waterfall!AL7/$F$137,0)</f>
        <v>39.4451460051166</v>
      </c>
      <c r="AM140" s="11" t="n">
        <f aca="false">IF(AM134=1,Waterfall!AM7/$F$137,0)</f>
        <v>38.7399837948456</v>
      </c>
      <c r="AN140" s="11" t="n">
        <f aca="false">IF(AN134=1,Waterfall!AN7/$F$137,0)</f>
        <v>31.3873360681693</v>
      </c>
      <c r="AO140" s="11" t="n">
        <f aca="false">IF(AO134=1,Waterfall!AO7/$F$137,0)</f>
        <v>30.7379870278922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617.745486833377</v>
      </c>
      <c r="R141" s="11" t="n">
        <f aca="false">IF(R134=1,IF(Time!R17=Time!$F$12,Funding!$F$25,Q141-Q142),0)</f>
        <v>601.580088699377</v>
      </c>
      <c r="S141" s="11" t="n">
        <f aca="false">IF(S134=1,IF(Time!S17=Time!$F$12,Funding!$F$25,R141-R142),0)</f>
        <v>584.620341987615</v>
      </c>
      <c r="T141" s="11" t="n">
        <f aca="false">IF(T134=1,IF(Time!T17=Time!$F$12,Funding!$F$25,S141-S142),0)</f>
        <v>567.16221351319</v>
      </c>
      <c r="U141" s="11" t="n">
        <f aca="false">IF(U134=1,IF(Time!U17=Time!$F$12,Funding!$F$25,T141-T142),0)</f>
        <v>548.902600999339</v>
      </c>
      <c r="V141" s="11" t="n">
        <f aca="false">IF(V134=1,IF(Time!V17=Time!$F$12,Funding!$F$25,U141-U142),0)</f>
        <v>530.062346671663</v>
      </c>
      <c r="W141" s="11" t="n">
        <f aca="false">IF(W134=1,IF(Time!W17=Time!$F$12,Funding!$F$25,V141-V142),0)</f>
        <v>509.993950723537</v>
      </c>
      <c r="X141" s="11" t="n">
        <f aca="false">IF(X134=1,IF(Time!X17=Time!$F$12,Funding!$F$25,W141-W142),0)</f>
        <v>489.313545999514</v>
      </c>
      <c r="Y141" s="11" t="n">
        <f aca="false">IF(Y134=1,IF(Time!Y17=Time!$F$12,Funding!$F$25,X141-X142),0)</f>
        <v>469.207116449537</v>
      </c>
      <c r="Z141" s="11" t="n">
        <f aca="false">IF(Z134=1,IF(Time!Z17=Time!$F$12,Funding!$F$25,Y141-Y142),0)</f>
        <v>449.092222150858</v>
      </c>
      <c r="AA141" s="11" t="n">
        <f aca="false">IF(AA134=1,IF(Time!AA17=Time!$F$12,Funding!$F$25,Z141-Z142),0)</f>
        <v>428.14583541499</v>
      </c>
      <c r="AB141" s="11" t="n">
        <f aca="false">IF(AB134=1,IF(Time!AB17=Time!$F$12,Funding!$F$25,AA141-AA142),0)</f>
        <v>406.589865827242</v>
      </c>
      <c r="AC141" s="11" t="n">
        <f aca="false">IF(AC134=1,IF(Time!AC17=Time!$F$12,Funding!$F$25,AB141-AB142),0)</f>
        <v>384.005889115617</v>
      </c>
      <c r="AD141" s="11" t="n">
        <f aca="false">IF(AD134=1,IF(Time!AD17=Time!$F$12,Funding!$F$25,AC141-AC142),0)</f>
        <v>360.675679980999</v>
      </c>
      <c r="AE141" s="11" t="n">
        <f aca="false">IF(AE134=1,IF(Time!AE17=Time!$F$12,Funding!$F$25,AD141-AD142),0)</f>
        <v>335.203599949853</v>
      </c>
      <c r="AF141" s="11" t="n">
        <f aca="false">IF(AF134=1,IF(Time!AF17=Time!$F$12,Funding!$F$25,AE141-AE142),0)</f>
        <v>308.638644837064</v>
      </c>
      <c r="AG141" s="11" t="n">
        <f aca="false">IF(AG134=1,IF(Time!AG17=Time!$F$12,Funding!$F$25,AF141-AF142),0)</f>
        <v>281.143351192957</v>
      </c>
      <c r="AH141" s="11" t="n">
        <f aca="false">IF(AH134=1,IF(Time!AH17=Time!$F$12,Funding!$F$25,AG141-AG142),0)</f>
        <v>253.136576945402</v>
      </c>
      <c r="AI141" s="11" t="n">
        <f aca="false">IF(AI134=1,IF(Time!AI17=Time!$F$12,Funding!$F$25,AH141-AH142),0)</f>
        <v>223.725833310112</v>
      </c>
      <c r="AJ141" s="11" t="n">
        <f aca="false">IF(AJ134=1,IF(Time!AJ17=Time!$F$12,Funding!$F$25,AI141-AI142),0)</f>
        <v>193.453548151057</v>
      </c>
      <c r="AK141" s="11" t="n">
        <f aca="false">IF(AK134=1,IF(Time!AK17=Time!$F$12,Funding!$F$25,AJ141-AJ142),0)</f>
        <v>161.721830903058</v>
      </c>
      <c r="AL141" s="11" t="n">
        <f aca="false">IF(AL134=1,IF(Time!AL17=Time!$F$12,Funding!$F$25,AK141-AK142),0)</f>
        <v>128.96509716572</v>
      </c>
      <c r="AM141" s="11" t="n">
        <f aca="false">IF(AM134=1,IF(Time!AM17=Time!$F$12,Funding!$F$25,AL141-AL142),0)</f>
        <v>94.2337835703025</v>
      </c>
      <c r="AN141" s="11" t="n">
        <f aca="false">IF(AN134=1,IF(Time!AN17=Time!$F$12,Funding!$F$25,AM141-AM142),0)</f>
        <v>58.9001133682525</v>
      </c>
      <c r="AO141" s="11" t="n">
        <f aca="false">IF(AO134=1,IF(Time!AO17=Time!$F$12,Funding!$F$25,AN141-AN142),0)</f>
        <v>29.6656486538996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15.5104887093977</v>
      </c>
      <c r="Q142" s="11" t="n">
        <f aca="false">Q140-Q141*Q135</f>
        <v>16.1653981339995</v>
      </c>
      <c r="R142" s="11" t="n">
        <f aca="false">R140-R141*R135</f>
        <v>16.9597467117619</v>
      </c>
      <c r="S142" s="11" t="n">
        <f aca="false">S140-S141*S135</f>
        <v>17.4581284744249</v>
      </c>
      <c r="T142" s="11" t="n">
        <f aca="false">T140-T141*T135</f>
        <v>18.2596125138509</v>
      </c>
      <c r="U142" s="11" t="n">
        <f aca="false">U140-U141*U135</f>
        <v>18.8402543276768</v>
      </c>
      <c r="V142" s="11" t="n">
        <f aca="false">V140-V141*V135</f>
        <v>20.0683959481258</v>
      </c>
      <c r="W142" s="11" t="n">
        <f aca="false">W140-W141*W135</f>
        <v>20.6804047240224</v>
      </c>
      <c r="X142" s="11" t="n">
        <f aca="false">X140-X141*X135</f>
        <v>20.1064295499775</v>
      </c>
      <c r="Y142" s="11" t="n">
        <f aca="false">Y140-Y141*Y135</f>
        <v>20.1148942986789</v>
      </c>
      <c r="Z142" s="11" t="n">
        <f aca="false">Z140-Z141*Z135</f>
        <v>20.9463867358684</v>
      </c>
      <c r="AA142" s="11" t="n">
        <f aca="false">AA140-AA141*AA135</f>
        <v>21.5559695877472</v>
      </c>
      <c r="AB142" s="11" t="n">
        <f aca="false">AB140-AB141*AB135</f>
        <v>22.583976711625</v>
      </c>
      <c r="AC142" s="11" t="n">
        <f aca="false">AC140-AC141*AC135</f>
        <v>23.3302091346181</v>
      </c>
      <c r="AD142" s="11" t="n">
        <f aca="false">AD140-AD141*AD135</f>
        <v>25.4720800311466</v>
      </c>
      <c r="AE142" s="11" t="n">
        <f aca="false">AE140-AE141*AE135</f>
        <v>26.564955112789</v>
      </c>
      <c r="AF142" s="11" t="n">
        <f aca="false">AF140-AF141*AF135</f>
        <v>27.495293644107</v>
      </c>
      <c r="AG142" s="11" t="n">
        <f aca="false">AG140-AG141*AG135</f>
        <v>28.0067742475545</v>
      </c>
      <c r="AH142" s="11" t="n">
        <f aca="false">AH140-AH141*AH135</f>
        <v>29.41074363529</v>
      </c>
      <c r="AI142" s="11" t="n">
        <f aca="false">AI140-AI141*AI135</f>
        <v>30.2722851590549</v>
      </c>
      <c r="AJ142" s="11" t="n">
        <f aca="false">AJ140-AJ141*AJ135</f>
        <v>31.7317172479996</v>
      </c>
      <c r="AK142" s="11" t="n">
        <f aca="false">AK140-AK141*AK135</f>
        <v>32.7567337373377</v>
      </c>
      <c r="AL142" s="11" t="n">
        <f aca="false">AL140-AL141*AL135</f>
        <v>34.7313135954175</v>
      </c>
      <c r="AM142" s="11" t="n">
        <f aca="false">AM140-AM141*AM135</f>
        <v>35.33367020205</v>
      </c>
      <c r="AN142" s="11" t="n">
        <f aca="false">AN140-AN141*AN135</f>
        <v>29.2344647143529</v>
      </c>
      <c r="AO142" s="11" t="n">
        <f aca="false">AO140-AO141*AO135</f>
        <v>29.6656486539003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36.2138262430034</v>
      </c>
      <c r="AD9" s="11" t="n">
        <f aca="false">IF(Time!AD29=1,SUM(Funding!$J$44:$BJ$44),AC13)</f>
        <v>36.8016691566883</v>
      </c>
      <c r="AE9" s="11" t="n">
        <f aca="false">IF(Time!AE29=1,SUM(Funding!$J$44:$BJ$44),AD13)</f>
        <v>36.0633126498297</v>
      </c>
      <c r="AF9" s="11" t="n">
        <f aca="false">IF(Time!AF29=1,SUM(Funding!$J$44:$BJ$44),AE13)</f>
        <v>35.1432494775869</v>
      </c>
      <c r="AG9" s="11" t="n">
        <f aca="false">IF(Time!AG29=1,SUM(Funding!$J$44:$BJ$44),AF13)</f>
        <v>33.6811266079826</v>
      </c>
      <c r="AH9" s="11" t="n">
        <f aca="false">IF(Time!AH29=1,SUM(Funding!$J$44:$BJ$44),AG13)</f>
        <v>32.6855934445087</v>
      </c>
      <c r="AI9" s="11" t="n">
        <f aca="false">IF(Time!AI29=1,SUM(Funding!$J$44:$BJ$44),AH13)</f>
        <v>30.8308162840419</v>
      </c>
      <c r="AJ9" s="11" t="n">
        <f aca="false">IF(Time!AJ29=1,SUM(Funding!$J$44:$BJ$44),AI13)</f>
        <v>29.1077643781777</v>
      </c>
      <c r="AK9" s="11" t="n">
        <f aca="false">IF(Time!AK29=1,SUM(Funding!$J$44:$BJ$44),AJ13)</f>
        <v>26.4620119934445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2.92217665680538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0.587842913684909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40.1680720939008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0.790922388972824</v>
      </c>
      <c r="AC12" s="11" t="n">
        <f aca="false">MAX(0,AC9-AC10-Debt!AC132)</f>
        <v>0</v>
      </c>
      <c r="AD12" s="11" t="n">
        <f aca="false">MAX(0,AD9-AD10-Debt!AD132)</f>
        <v>0.73835650685858</v>
      </c>
      <c r="AE12" s="11" t="n">
        <f aca="false">MAX(0,AE9-AE10-Debt!AE132)</f>
        <v>0.920063172242827</v>
      </c>
      <c r="AF12" s="11" t="n">
        <f aca="false">MAX(0,AF9-AF10-Debt!AF132)</f>
        <v>1.46212286960431</v>
      </c>
      <c r="AG12" s="11" t="n">
        <f aca="false">MAX(0,AG9-AG10-Debt!AG132)</f>
        <v>0.99553316347383</v>
      </c>
      <c r="AH12" s="11" t="n">
        <f aca="false">MAX(0,AH9-AH10-Debt!AH132)</f>
        <v>1.85477716046679</v>
      </c>
      <c r="AI12" s="11" t="n">
        <f aca="false">MAX(0,AI9-AI10-Debt!AI132)</f>
        <v>1.72305190586427</v>
      </c>
      <c r="AJ12" s="11" t="n">
        <f aca="false">MAX(0,AJ9-AJ10-Debt!AJ132)</f>
        <v>2.64575238473312</v>
      </c>
      <c r="AK12" s="11" t="n">
        <f aca="false">MAX(0,AK9-AK10-Debt!AK132)</f>
        <v>2.74797215804816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36.2138262430034</v>
      </c>
      <c r="AC13" s="11" t="n">
        <f aca="false">(1-Time!AC32)*(AC9-AC10+AC11-AC12)</f>
        <v>36.8016691566883</v>
      </c>
      <c r="AD13" s="11" t="n">
        <f aca="false">(1-Time!AD32)*(AD9-AD10+AD11-AD12)</f>
        <v>36.0633126498297</v>
      </c>
      <c r="AE13" s="11" t="n">
        <f aca="false">(1-Time!AE32)*(AE9-AE10+AE11-AE12)</f>
        <v>35.1432494775869</v>
      </c>
      <c r="AF13" s="11" t="n">
        <f aca="false">(1-Time!AF32)*(AF9-AF10+AF11-AF12)</f>
        <v>33.6811266079826</v>
      </c>
      <c r="AG13" s="11" t="n">
        <f aca="false">(1-Time!AG32)*(AG9-AG10+AG11-AG12)</f>
        <v>32.6855934445087</v>
      </c>
      <c r="AH13" s="11" t="n">
        <f aca="false">(1-Time!AH32)*(AH9-AH10+AH11-AH12)</f>
        <v>30.8308162840419</v>
      </c>
      <c r="AI13" s="11" t="n">
        <f aca="false">(1-Time!AI32)*(AI9-AI10+AI11-AI12)</f>
        <v>29.1077643781777</v>
      </c>
      <c r="AJ13" s="11" t="n">
        <f aca="false">(1-Time!AJ32)*(AJ9-AJ10+AJ11-AJ12)</f>
        <v>26.4620119934445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2304.70160401062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1.87603501833686</v>
      </c>
      <c r="P7" s="11" t="n">
        <f aca="false">Operations!P79-Tax!P27-Operations!P91-Reserves!P7+Operations!P74+Operations!P92</f>
        <v>50.3241689888662</v>
      </c>
      <c r="Q7" s="11" t="n">
        <f aca="false">Operations!Q79-Tax!Q27-Operations!Q91-Reserves!Q7+Operations!Q74+Operations!Q92</f>
        <v>50.2023273543813</v>
      </c>
      <c r="R7" s="11" t="n">
        <f aca="false">Operations!R79-Tax!R27-Operations!R91-Reserves!R7+Operations!R74+Operations!R92</f>
        <v>50.8317697635431</v>
      </c>
      <c r="S7" s="11" t="n">
        <f aca="false">Operations!S79-Tax!S27-Operations!S91-Reserves!S7+Operations!S74+Operations!S92</f>
        <v>50.4361894489523</v>
      </c>
      <c r="T7" s="11" t="n">
        <f aca="false">Operations!T79-Tax!T27-Operations!T91-Reserves!T7+Operations!T74+Operations!T92</f>
        <v>50.9986397486087</v>
      </c>
      <c r="U7" s="11" t="n">
        <f aca="false">Operations!U79-Tax!U27-Operations!U91-Reserves!U7+Operations!U74+Operations!U92</f>
        <v>50.7525534123724</v>
      </c>
      <c r="V7" s="11" t="n">
        <f aca="false">Operations!V79-Tax!V27-Operations!V91-Reserves!V7+Operations!V74+Operations!V92</f>
        <v>51.7181226029479</v>
      </c>
      <c r="W7" s="11" t="n">
        <f aca="false">Operations!W79-Tax!W27-Operations!W91-Reserves!W7+Operations!W74+Operations!W92</f>
        <v>51.3586885011164</v>
      </c>
      <c r="X7" s="11" t="n">
        <f aca="false">Operations!X79-Tax!X27-Operations!X91-Reserves!X7+Operations!X74+Operations!X92</f>
        <v>49.876949407473</v>
      </c>
      <c r="Y7" s="11" t="n">
        <f aca="false">Operations!Y79-Tax!Y27-Operations!Y91-Reserves!Y7+Operations!Y74+Operations!Y92</f>
        <v>49.3935586460484</v>
      </c>
      <c r="Z7" s="11" t="n">
        <f aca="false">Operations!Z79-Tax!Z27-Operations!Z91-Reserves!Z7+Operations!Z74+Operations!Z92</f>
        <v>49.7975378081098</v>
      </c>
      <c r="AA7" s="11" t="n">
        <f aca="false">Operations!AA79-Tax!AA27-Operations!AA91-Reserves!AA7+Operations!AA74+Operations!AA92</f>
        <v>49.394094479822</v>
      </c>
      <c r="AB7" s="11" t="n">
        <f aca="false">Operations!AB79-Tax!AB27-Operations!AB91-Reserves!AB7+Operations!AB74+Operations!AB92</f>
        <v>49.9730025700996</v>
      </c>
      <c r="AC7" s="11" t="n">
        <f aca="false">Operations!AC79-Tax!AC27-Operations!AC91-Reserves!AC7+Operations!AC74+Operations!AC92</f>
        <v>49.7654105429282</v>
      </c>
      <c r="AD7" s="11" t="n">
        <f aca="false">Operations!AD79-Tax!AD27-Operations!AD91-Reserves!AD7+Operations!AD74+Operations!AD92</f>
        <v>51.6737057273676</v>
      </c>
      <c r="AE7" s="11" t="n">
        <f aca="false">Operations!AE79-Tax!AE27-Operations!AE91-Reserves!AE7+Operations!AE74+Operations!AE92</f>
        <v>51.7545708779437</v>
      </c>
      <c r="AF7" s="11" t="n">
        <f aca="false">Operations!AF79-Tax!AF27-Operations!AF91-Reserves!AF7+Operations!AF74+Operations!AF92</f>
        <v>51.9131885981263</v>
      </c>
      <c r="AG7" s="11" t="n">
        <f aca="false">Operations!AG79-Tax!AG27-Operations!AG91-Reserves!AG7+Operations!AG74+Operations!AG92</f>
        <v>51.5431948251656</v>
      </c>
      <c r="AH7" s="11" t="n">
        <f aca="false">Operations!AH79-Tax!AH27-Operations!AH91-Reserves!AH7+Operations!AH74+Operations!AH92</f>
        <v>52.2100106176802</v>
      </c>
      <c r="AI7" s="11" t="n">
        <f aca="false">Operations!AI79-Tax!AI27-Operations!AI91-Reserves!AI7+Operations!AI74+Operations!AI92</f>
        <v>51.7997838750742</v>
      </c>
      <c r="AJ7" s="11" t="n">
        <f aca="false">Operations!AJ79-Tax!AJ27-Operations!AJ91-Reserves!AJ7+Operations!AJ74+Operations!AJ92</f>
        <v>52.3983693866889</v>
      </c>
      <c r="AK7" s="11" t="n">
        <f aca="false">Operations!AK79-Tax!AK27-Operations!AK91-Reserves!AK7+Operations!AK74+Operations!AK92</f>
        <v>52.1575336641926</v>
      </c>
      <c r="AL7" s="11" t="n">
        <f aca="false">Operations!AL79-Tax!AL27-Operations!AL91-Reserves!AL7+Operations!AL74+Operations!AL92</f>
        <v>53.2659405361755</v>
      </c>
      <c r="AM7" s="11" t="n">
        <f aca="false">Operations!AM79-Tax!AM27-Operations!AM91-Reserves!AM7+Operations!AM74+Operations!AM92</f>
        <v>52.3137035142672</v>
      </c>
      <c r="AN7" s="11" t="n">
        <f aca="false">Operations!AN79-Tax!AN27-Operations!AN91-Reserves!AN7+Operations!AN74+Operations!AN92</f>
        <v>42.3848342804764</v>
      </c>
      <c r="AO7" s="11" t="n">
        <f aca="false">Operations!AO79-Tax!AO27-Operations!AO91-Reserves!AO7+Operations!AO74+Operations!AO92</f>
        <v>41.5079662531116</v>
      </c>
      <c r="AP7" s="11" t="n">
        <f aca="false">Operations!AP79-Tax!AP27-Operations!AP91-Reserves!AP7+Operations!AP74+Operations!AP92</f>
        <v>41.6065463833064</v>
      </c>
      <c r="AQ7" s="11" t="n">
        <f aca="false">Operations!AQ79-Tax!AQ27-Operations!AQ91-Reserves!AQ7+Operations!AQ74+Operations!AQ92</f>
        <v>41.1574518197032</v>
      </c>
      <c r="AR7" s="11" t="n">
        <f aca="false">Operations!AR79-Tax!AR27-Operations!AR91-Reserves!AR7+Operations!AR74+Operations!AR92</f>
        <v>41.7513447779987</v>
      </c>
      <c r="AS7" s="11" t="n">
        <f aca="false">Operations!AS79-Tax!AS27-Operations!AS91-Reserves!AS7+Operations!AS74+Operations!AS92</f>
        <v>41.4840678337932</v>
      </c>
      <c r="AT7" s="11" t="n">
        <f aca="false">Operations!AT79-Tax!AT27-Operations!AT91-Reserves!AT7+Operations!AT74+Operations!AT92</f>
        <v>48.2154950821326</v>
      </c>
      <c r="AU7" s="11" t="n">
        <f aca="false">Operations!AU79-Tax!AU27-Operations!AU91-Reserves!AU7+Operations!AU74+Operations!AU92</f>
        <v>43.7762166513415</v>
      </c>
      <c r="AV7" s="11" t="n">
        <f aca="false">Operations!AV79-Tax!AV27-Operations!AV91-Reserves!AV7+Operations!AV74+Operations!AV92</f>
        <v>43.8963319855744</v>
      </c>
      <c r="AW7" s="11" t="n">
        <f aca="false">Operations!AW79-Tax!AW27-Operations!AW91-Reserves!AW7+Operations!AW74+Operations!AW92</f>
        <v>43.469466754219</v>
      </c>
      <c r="AX7" s="11" t="n">
        <f aca="false">Operations!AX79-Tax!AX27-Operations!AX91-Reserves!AX7+Operations!AX74+Operations!AX92</f>
        <v>44.1417443542776</v>
      </c>
      <c r="AY7" s="11" t="n">
        <f aca="false">Operations!AY79-Tax!AY27-Operations!AY91-Reserves!AY7+Operations!AY74+Operations!AY92</f>
        <v>43.6826037006889</v>
      </c>
      <c r="AZ7" s="11" t="n">
        <f aca="false">Operations!AZ79-Tax!AZ27-Operations!AZ91-Reserves!AZ7+Operations!AZ74+Operations!AZ92</f>
        <v>44.2974310433168</v>
      </c>
      <c r="BA7" s="11" t="n">
        <f aca="false">Operations!BA79-Tax!BA27-Operations!BA91-Reserves!BA7+Operations!BA74+Operations!BA92</f>
        <v>43.9976527635548</v>
      </c>
      <c r="BB7" s="11" t="n">
        <f aca="false">Operations!BB79-Tax!BB27-Operations!BB91-Reserves!BB7+Operations!BB74+Operations!BB92</f>
        <v>46.2428249464718</v>
      </c>
      <c r="BC7" s="11" t="n">
        <f aca="false">Operations!BC79-Tax!BC27-Operations!BC91-Reserves!BC7+Operations!BC74+Operations!BC92</f>
        <v>42.8414102269467</v>
      </c>
      <c r="BD7" s="11" t="n">
        <f aca="false">Operations!BD79-Tax!BD27-Operations!BD91-Reserves!BD7+Operations!BD74+Operations!BD92</f>
        <v>36.7382585483007</v>
      </c>
      <c r="BE7" s="11" t="n">
        <f aca="false">Operations!BE79-Tax!BE27-Operations!BE91-Reserves!BE7+Operations!BE74+Operations!BE92</f>
        <v>36.3026342512687</v>
      </c>
      <c r="BF7" s="11" t="n">
        <f aca="false">Operations!BF79-Tax!BF27-Operations!BF91-Reserves!BF7+Operations!BF74+Operations!BF92</f>
        <v>37.0039470081867</v>
      </c>
      <c r="BG7" s="11" t="n">
        <f aca="false">Operations!BG79-Tax!BG27-Operations!BG91-Reserves!BG7+Operations!BG74+Operations!BG92</f>
        <v>36.5339229281743</v>
      </c>
      <c r="BH7" s="11" t="n">
        <f aca="false">Operations!BH79-Tax!BH27-Operations!BH91-Reserves!BH7+Operations!BH74+Operations!BH92</f>
        <v>37.1713544124189</v>
      </c>
      <c r="BI7" s="11" t="n">
        <f aca="false">Operations!BI79-Tax!BI27-Operations!BI91-Reserves!BI7+Operations!BI74+Operations!BI92</f>
        <v>36.9082963148094</v>
      </c>
      <c r="BJ7" s="11" t="n">
        <f aca="false">Operations!BJ79-Tax!BJ27-Operations!BJ91-Reserves!BJ7+Operations!BJ74+Operations!BJ92</f>
        <v>44.930831507554</v>
      </c>
      <c r="BK7" s="11" t="n">
        <f aca="false">Operations!BK79-Tax!BK27-Operations!BK91-Reserves!BK7+Operations!BK74+Operations!BK92</f>
        <v>39.6786954719652</v>
      </c>
      <c r="BL7" s="11" t="n">
        <f aca="false">Operations!BL79-Tax!BL27-Operations!BL91-Reserves!BL7+Operations!BL74+Operations!BL92</f>
        <v>40.4210668435755</v>
      </c>
      <c r="BM7" s="11" t="n">
        <f aca="false">Operations!BM79-Tax!BM27-Operations!BM91-Reserves!BM7+Operations!BM74+Operations!BM92</f>
        <v>36.8301579511692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1.87603501833575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1.87603501833686</v>
      </c>
      <c r="P9" s="11" t="n">
        <f aca="false">P7+P8</f>
        <v>52.2002040072019</v>
      </c>
      <c r="Q9" s="11" t="n">
        <f aca="false">Q7+Q8</f>
        <v>50.2023273543813</v>
      </c>
      <c r="R9" s="11" t="n">
        <f aca="false">R7+R8</f>
        <v>50.8317697635431</v>
      </c>
      <c r="S9" s="11" t="n">
        <f aca="false">S7+S8</f>
        <v>50.4361894489523</v>
      </c>
      <c r="T9" s="11" t="n">
        <f aca="false">T7+T8</f>
        <v>50.9986397486087</v>
      </c>
      <c r="U9" s="11" t="n">
        <f aca="false">U7+U8</f>
        <v>50.7525534123724</v>
      </c>
      <c r="V9" s="11" t="n">
        <f aca="false">V7+V8</f>
        <v>51.7181226029479</v>
      </c>
      <c r="W9" s="11" t="n">
        <f aca="false">W7+W8</f>
        <v>51.3586885011164</v>
      </c>
      <c r="X9" s="11" t="n">
        <f aca="false">X7+X8</f>
        <v>49.876949407473</v>
      </c>
      <c r="Y9" s="11" t="n">
        <f aca="false">Y7+Y8</f>
        <v>49.3935586460484</v>
      </c>
      <c r="Z9" s="11" t="n">
        <f aca="false">Z7+Z8</f>
        <v>49.7975378081098</v>
      </c>
      <c r="AA9" s="11" t="n">
        <f aca="false">AA7+AA8</f>
        <v>49.394094479822</v>
      </c>
      <c r="AB9" s="11" t="n">
        <f aca="false">AB7+AB8</f>
        <v>49.9730025700996</v>
      </c>
      <c r="AC9" s="11" t="n">
        <f aca="false">AC7+AC8</f>
        <v>49.7654105429282</v>
      </c>
      <c r="AD9" s="11" t="n">
        <f aca="false">AD7+AD8</f>
        <v>51.6737057273676</v>
      </c>
      <c r="AE9" s="11" t="n">
        <f aca="false">AE7+AE8</f>
        <v>51.7545708779437</v>
      </c>
      <c r="AF9" s="11" t="n">
        <f aca="false">AF7+AF8</f>
        <v>51.9131885981263</v>
      </c>
      <c r="AG9" s="11" t="n">
        <f aca="false">AG7+AG8</f>
        <v>51.5431948251656</v>
      </c>
      <c r="AH9" s="11" t="n">
        <f aca="false">AH7+AH8</f>
        <v>52.2100106176802</v>
      </c>
      <c r="AI9" s="11" t="n">
        <f aca="false">AI7+AI8</f>
        <v>51.7997838750742</v>
      </c>
      <c r="AJ9" s="11" t="n">
        <f aca="false">AJ7+AJ8</f>
        <v>52.3983693866889</v>
      </c>
      <c r="AK9" s="11" t="n">
        <f aca="false">AK7+AK8</f>
        <v>52.1575336641926</v>
      </c>
      <c r="AL9" s="11" t="n">
        <f aca="false">AL7+AL8</f>
        <v>53.2659405361755</v>
      </c>
      <c r="AM9" s="11" t="n">
        <f aca="false">AM7+AM8</f>
        <v>52.3137035142672</v>
      </c>
      <c r="AN9" s="11" t="n">
        <f aca="false">AN7+AN8</f>
        <v>42.3848342804764</v>
      </c>
      <c r="AO9" s="11" t="n">
        <f aca="false">AO7+AO8</f>
        <v>41.5079662531116</v>
      </c>
      <c r="AP9" s="11" t="n">
        <f aca="false">AP7+AP8</f>
        <v>41.6065463833064</v>
      </c>
      <c r="AQ9" s="11" t="n">
        <f aca="false">AQ7+AQ8</f>
        <v>41.1574518197032</v>
      </c>
      <c r="AR9" s="11" t="n">
        <f aca="false">AR7+AR8</f>
        <v>41.7513447779987</v>
      </c>
      <c r="AS9" s="11" t="n">
        <f aca="false">AS7+AS8</f>
        <v>41.4840678337932</v>
      </c>
      <c r="AT9" s="11" t="n">
        <f aca="false">AT7+AT8</f>
        <v>48.2154950821326</v>
      </c>
      <c r="AU9" s="11" t="n">
        <f aca="false">AU7+AU8</f>
        <v>43.7762166513415</v>
      </c>
      <c r="AV9" s="11" t="n">
        <f aca="false">AV7+AV8</f>
        <v>43.8963319855744</v>
      </c>
      <c r="AW9" s="11" t="n">
        <f aca="false">AW7+AW8</f>
        <v>43.469466754219</v>
      </c>
      <c r="AX9" s="11" t="n">
        <f aca="false">AX7+AX8</f>
        <v>44.1417443542776</v>
      </c>
      <c r="AY9" s="11" t="n">
        <f aca="false">AY7+AY8</f>
        <v>43.6826037006889</v>
      </c>
      <c r="AZ9" s="11" t="n">
        <f aca="false">AZ7+AZ8</f>
        <v>44.2974310433168</v>
      </c>
      <c r="BA9" s="11" t="n">
        <f aca="false">BA7+BA8</f>
        <v>43.9976527635548</v>
      </c>
      <c r="BB9" s="11" t="n">
        <f aca="false">BB7+BB8</f>
        <v>46.2428249464718</v>
      </c>
      <c r="BC9" s="11" t="n">
        <f aca="false">BC7+BC8</f>
        <v>42.8414102269467</v>
      </c>
      <c r="BD9" s="11" t="n">
        <f aca="false">BD7+BD8</f>
        <v>36.7382585483007</v>
      </c>
      <c r="BE9" s="11" t="n">
        <f aca="false">BE7+BE8</f>
        <v>36.3026342512687</v>
      </c>
      <c r="BF9" s="11" t="n">
        <f aca="false">BF7+BF8</f>
        <v>37.0039470081867</v>
      </c>
      <c r="BG9" s="11" t="n">
        <f aca="false">BG7+BG8</f>
        <v>36.5339229281743</v>
      </c>
      <c r="BH9" s="11" t="n">
        <f aca="false">BH7+BH8</f>
        <v>37.1713544124189</v>
      </c>
      <c r="BI9" s="11" t="n">
        <f aca="false">BI7+BI8</f>
        <v>36.9082963148094</v>
      </c>
      <c r="BJ9" s="11" t="n">
        <f aca="false">BJ7+BJ8</f>
        <v>44.930831507554</v>
      </c>
      <c r="BK9" s="11" t="n">
        <f aca="false">BK7+BK8</f>
        <v>39.6786954719652</v>
      </c>
      <c r="BL9" s="11" t="n">
        <f aca="false">BL7+BL8</f>
        <v>40.4210668435755</v>
      </c>
      <c r="BM9" s="11" t="n">
        <f aca="false">BM7+BM8</f>
        <v>36.8301579511692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851.295877467589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36.3570486715114</v>
      </c>
      <c r="AC10" s="11" t="n">
        <f aca="false">Debt!AC121+Debt!AC117</f>
        <v>35.4269807993364</v>
      </c>
      <c r="AD10" s="11" t="n">
        <f aca="false">Debt!AD121+Debt!AD117</f>
        <v>35.9791799581001</v>
      </c>
      <c r="AE10" s="11" t="n">
        <f aca="false">Debt!AE121+Debt!AE117</f>
        <v>35.0161146152219</v>
      </c>
      <c r="AF10" s="11" t="n">
        <f aca="false">Debt!AF121+Debt!AF117</f>
        <v>33.924111869299</v>
      </c>
      <c r="AG10" s="11" t="n">
        <f aca="false">Debt!AG121+Debt!AG117</f>
        <v>32.2164978248487</v>
      </c>
      <c r="AH10" s="11" t="n">
        <f aca="false">Debt!AH121+Debt!AH117</f>
        <v>30.9785764124216</v>
      </c>
      <c r="AI10" s="11" t="n">
        <f aca="false">Debt!AI121+Debt!AI117</f>
        <v>28.680865879407</v>
      </c>
      <c r="AJ10" s="11" t="n">
        <f aca="false">Debt!AJ121+Debt!AJ117</f>
        <v>26.4275016295962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1.87603501833686</v>
      </c>
      <c r="P13" s="11" t="n">
        <f aca="false">MAX(0,P9-P10)</f>
        <v>14.9543085701055</v>
      </c>
      <c r="Q13" s="11" t="n">
        <f aca="false">MAX(0,Q9-Q10)</f>
        <v>13.0453108992356</v>
      </c>
      <c r="R13" s="11" t="n">
        <f aca="false">MAX(0,R9-R10)</f>
        <v>13.2069846758651</v>
      </c>
      <c r="S13" s="11" t="n">
        <f aca="false">MAX(0,S9-S10)</f>
        <v>13.1028769563954</v>
      </c>
      <c r="T13" s="11" t="n">
        <f aca="false">MAX(0,T9-T10)</f>
        <v>13.2474219668609</v>
      </c>
      <c r="U13" s="11" t="n">
        <f aca="false">MAX(0,U9-U10)</f>
        <v>13.1818606575197</v>
      </c>
      <c r="V13" s="11" t="n">
        <f aca="false">MAX(0,V9-V10)</f>
        <v>13.4302023677896</v>
      </c>
      <c r="W13" s="11" t="n">
        <f aca="false">MAX(0,W9-W10)</f>
        <v>13.3354610752466</v>
      </c>
      <c r="X13" s="11" t="n">
        <f aca="false">MAX(0,X9-X10)</f>
        <v>12.9501543328836</v>
      </c>
      <c r="Y13" s="11" t="n">
        <f aca="false">MAX(0,Y9-Y10)</f>
        <v>12.8231666015032</v>
      </c>
      <c r="Z13" s="11" t="n">
        <f aca="false">MAX(0,Z9-Z10)</f>
        <v>12.9261746995957</v>
      </c>
      <c r="AA13" s="11" t="n">
        <f aca="false">MAX(0,AA9-AA10)</f>
        <v>12.8198071249676</v>
      </c>
      <c r="AB13" s="11" t="n">
        <f aca="false">MAX(0,AB9-AB10)</f>
        <v>13.6159538985882</v>
      </c>
      <c r="AC13" s="11" t="n">
        <f aca="false">MAX(0,AC9-AC10)</f>
        <v>14.3384297435918</v>
      </c>
      <c r="AD13" s="11" t="n">
        <f aca="false">MAX(0,AD9-AD10)</f>
        <v>15.6945257692675</v>
      </c>
      <c r="AE13" s="11" t="n">
        <f aca="false">MAX(0,AE9-AE10)</f>
        <v>16.7384562627219</v>
      </c>
      <c r="AF13" s="11" t="n">
        <f aca="false">MAX(0,AF9-AF10)</f>
        <v>17.9890767288273</v>
      </c>
      <c r="AG13" s="11" t="n">
        <f aca="false">MAX(0,AG9-AG10)</f>
        <v>19.3266970003169</v>
      </c>
      <c r="AH13" s="11" t="n">
        <f aca="false">MAX(0,AH9-AH10)</f>
        <v>21.2314342052586</v>
      </c>
      <c r="AI13" s="11" t="n">
        <f aca="false">MAX(0,AI9-AI10)</f>
        <v>23.1189179956672</v>
      </c>
      <c r="AJ13" s="11" t="n">
        <f aca="false">MAX(0,AJ9-AJ10)</f>
        <v>25.9708677570926</v>
      </c>
      <c r="AK13" s="11" t="n">
        <f aca="false">MAX(0,AK9-AK10)</f>
        <v>29.1266958001017</v>
      </c>
      <c r="AL13" s="11" t="n">
        <f aca="false">MAX(0,AL9-AL10)</f>
        <v>29.5519007007791</v>
      </c>
      <c r="AM13" s="11" t="n">
        <f aca="false">MAX(0,AM9-AM10)</f>
        <v>28.7444116609891</v>
      </c>
      <c r="AN13" s="11" t="n">
        <f aca="false">MAX(0,AN9-AN10)</f>
        <v>23.2528170256122</v>
      </c>
      <c r="AO13" s="11" t="n">
        <f aca="false">MAX(0,AO9-AO10)</f>
        <v>22.6020585055034</v>
      </c>
      <c r="AP13" s="11" t="n">
        <f aca="false">MAX(0,AP9-AP10)</f>
        <v>41.6065463833064</v>
      </c>
      <c r="AQ13" s="11" t="n">
        <f aca="false">MAX(0,AQ9-AQ10)</f>
        <v>41.1574518197032</v>
      </c>
      <c r="AR13" s="11" t="n">
        <f aca="false">MAX(0,AR9-AR10)</f>
        <v>41.7513447779987</v>
      </c>
      <c r="AS13" s="11" t="n">
        <f aca="false">MAX(0,AS9-AS10)</f>
        <v>41.4840678337932</v>
      </c>
      <c r="AT13" s="11" t="n">
        <f aca="false">MAX(0,AT9-AT10)</f>
        <v>48.2154950821326</v>
      </c>
      <c r="AU13" s="11" t="n">
        <f aca="false">MAX(0,AU9-AU10)</f>
        <v>43.7762166513415</v>
      </c>
      <c r="AV13" s="11" t="n">
        <f aca="false">MAX(0,AV9-AV10)</f>
        <v>43.8963319855744</v>
      </c>
      <c r="AW13" s="11" t="n">
        <f aca="false">MAX(0,AW9-AW10)</f>
        <v>43.469466754219</v>
      </c>
      <c r="AX13" s="11" t="n">
        <f aca="false">MAX(0,AX9-AX10)</f>
        <v>44.1417443542776</v>
      </c>
      <c r="AY13" s="11" t="n">
        <f aca="false">MAX(0,AY9-AY10)</f>
        <v>43.6826037006889</v>
      </c>
      <c r="AZ13" s="11" t="n">
        <f aca="false">MAX(0,AZ9-AZ10)</f>
        <v>44.2974310433168</v>
      </c>
      <c r="BA13" s="11" t="n">
        <f aca="false">MAX(0,BA9-BA10)</f>
        <v>43.9976527635548</v>
      </c>
      <c r="BB13" s="11" t="n">
        <f aca="false">MAX(0,BB9-BB10)</f>
        <v>46.2428249464718</v>
      </c>
      <c r="BC13" s="11" t="n">
        <f aca="false">MAX(0,BC9-BC10)</f>
        <v>42.8414102269467</v>
      </c>
      <c r="BD13" s="11" t="n">
        <f aca="false">MAX(0,BD9-BD10)</f>
        <v>36.7382585483007</v>
      </c>
      <c r="BE13" s="11" t="n">
        <f aca="false">MAX(0,BE9-BE10)</f>
        <v>36.3026342512687</v>
      </c>
      <c r="BF13" s="11" t="n">
        <f aca="false">MAX(0,BF9-BF10)</f>
        <v>37.0039470081867</v>
      </c>
      <c r="BG13" s="11" t="n">
        <f aca="false">MAX(0,BG9-BG10)</f>
        <v>36.5339229281743</v>
      </c>
      <c r="BH13" s="11" t="n">
        <f aca="false">MAX(0,BH9-BH10)</f>
        <v>37.1713544124189</v>
      </c>
      <c r="BI13" s="11" t="n">
        <f aca="false">MAX(0,BI9-BI10)</f>
        <v>36.9082963148094</v>
      </c>
      <c r="BJ13" s="11" t="n">
        <f aca="false">MAX(0,BJ9-BJ10)</f>
        <v>44.930831507554</v>
      </c>
      <c r="BK13" s="11" t="n">
        <f aca="false">MAX(0,BK9-BK10)</f>
        <v>39.6786954719652</v>
      </c>
      <c r="BL13" s="11" t="n">
        <f aca="false">MAX(0,BL9-BL10)</f>
        <v>40.4210668435755</v>
      </c>
      <c r="BM13" s="11" t="n">
        <f aca="false">MAX(0,BM9-BM10)</f>
        <v>36.8301579511692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1.87603501833575</v>
      </c>
      <c r="P14" s="11" t="n">
        <f aca="false">P13-Reserves!P11+Reserves!P12</f>
        <v>15.0431875520562</v>
      </c>
      <c r="Q14" s="11" t="n">
        <f aca="false">Q13-Reserves!Q11+Reserves!Q12</f>
        <v>12.5775422667034</v>
      </c>
      <c r="R14" s="11" t="n">
        <f aca="false">R13-Reserves!R11+Reserves!R12</f>
        <v>13.4984572709862</v>
      </c>
      <c r="S14" s="11" t="n">
        <f aca="false">S13-Reserves!S11+Reserves!S12</f>
        <v>12.6849716672045</v>
      </c>
      <c r="T14" s="11" t="n">
        <f aca="false">T13-Reserves!T11+Reserves!T12</f>
        <v>13.427946993756</v>
      </c>
      <c r="U14" s="11" t="n">
        <f aca="false">U13-Reserves!U11+Reserves!U12</f>
        <v>12.4646331772141</v>
      </c>
      <c r="V14" s="11" t="n">
        <f aca="false">V13-Reserves!V11+Reserves!V12</f>
        <v>13.6948951770782</v>
      </c>
      <c r="W14" s="11" t="n">
        <f aca="false">W13-Reserves!W11+Reserves!W12</f>
        <v>14.431893426527</v>
      </c>
      <c r="X14" s="11" t="n">
        <f aca="false">X13-Reserves!X11+Reserves!X12</f>
        <v>13.3065573629278</v>
      </c>
      <c r="Y14" s="11" t="n">
        <f aca="false">Y13-Reserves!Y11+Reserves!Y12</f>
        <v>12.5221955375342</v>
      </c>
      <c r="Z14" s="11" t="n">
        <f aca="false">Z13-Reserves!Z11+Reserves!Z12</f>
        <v>13.2232504532553</v>
      </c>
      <c r="AA14" s="11" t="n">
        <f aca="false">AA13-Reserves!AA11+Reserves!AA12</f>
        <v>12.3893458478458</v>
      </c>
      <c r="AB14" s="11" t="n">
        <f aca="false">AB13-Reserves!AB11+Reserves!AB12</f>
        <v>14.4068762875611</v>
      </c>
      <c r="AC14" s="11" t="n">
        <f aca="false">AC13-Reserves!AC11+Reserves!AC12</f>
        <v>13.7505868299069</v>
      </c>
      <c r="AD14" s="11" t="n">
        <f aca="false">AD13-Reserves!AD11+Reserves!AD12</f>
        <v>16.4328822761261</v>
      </c>
      <c r="AE14" s="11" t="n">
        <f aca="false">AE13-Reserves!AE11+Reserves!AE12</f>
        <v>17.6585194349647</v>
      </c>
      <c r="AF14" s="11" t="n">
        <f aca="false">AF13-Reserves!AF11+Reserves!AF12</f>
        <v>19.4511995984317</v>
      </c>
      <c r="AG14" s="11" t="n">
        <f aca="false">AG13-Reserves!AG11+Reserves!AG12</f>
        <v>20.3222301637907</v>
      </c>
      <c r="AH14" s="11" t="n">
        <f aca="false">AH13-Reserves!AH11+Reserves!AH12</f>
        <v>23.0862113657254</v>
      </c>
      <c r="AI14" s="11" t="n">
        <f aca="false">AI13-Reserves!AI11+Reserves!AI12</f>
        <v>24.8419699015314</v>
      </c>
      <c r="AJ14" s="11" t="n">
        <f aca="false">AJ13-Reserves!AJ11+Reserves!AJ12</f>
        <v>28.6166201418258</v>
      </c>
      <c r="AK14" s="11" t="n">
        <f aca="false">AK13-Reserves!AK11+Reserves!AK12</f>
        <v>31.8746679581498</v>
      </c>
      <c r="AL14" s="11" t="n">
        <f aca="false">AL13-Reserves!AL11+Reserves!AL12</f>
        <v>29.6966486828974</v>
      </c>
      <c r="AM14" s="11" t="n">
        <f aca="false">AM13-Reserves!AM11+Reserves!AM12</f>
        <v>33.181686259403</v>
      </c>
      <c r="AN14" s="11" t="n">
        <f aca="false">AN13-Reserves!AN11+Reserves!AN12</f>
        <v>23.4789265328682</v>
      </c>
      <c r="AO14" s="11" t="n">
        <f aca="false">AO13-Reserves!AO11+Reserves!AO12</f>
        <v>41.5079662531116</v>
      </c>
      <c r="AP14" s="11" t="n">
        <f aca="false">AP13-Reserves!AP11+Reserves!AP12</f>
        <v>41.6065463833064</v>
      </c>
      <c r="AQ14" s="11" t="n">
        <f aca="false">AQ13-Reserves!AQ11+Reserves!AQ12</f>
        <v>41.1574518197032</v>
      </c>
      <c r="AR14" s="11" t="n">
        <f aca="false">AR13-Reserves!AR11+Reserves!AR12</f>
        <v>41.7513447779987</v>
      </c>
      <c r="AS14" s="11" t="n">
        <f aca="false">AS13-Reserves!AS11+Reserves!AS12</f>
        <v>41.4840678337932</v>
      </c>
      <c r="AT14" s="11" t="n">
        <f aca="false">AT13-Reserves!AT11+Reserves!AT12</f>
        <v>48.2154950821326</v>
      </c>
      <c r="AU14" s="11" t="n">
        <f aca="false">AU13-Reserves!AU11+Reserves!AU12</f>
        <v>43.7762166513415</v>
      </c>
      <c r="AV14" s="11" t="n">
        <f aca="false">AV13-Reserves!AV11+Reserves!AV12</f>
        <v>43.8963319855744</v>
      </c>
      <c r="AW14" s="11" t="n">
        <f aca="false">AW13-Reserves!AW11+Reserves!AW12</f>
        <v>43.469466754219</v>
      </c>
      <c r="AX14" s="11" t="n">
        <f aca="false">AX13-Reserves!AX11+Reserves!AX12</f>
        <v>44.1417443542776</v>
      </c>
      <c r="AY14" s="11" t="n">
        <f aca="false">AY13-Reserves!AY11+Reserves!AY12</f>
        <v>43.6826037006889</v>
      </c>
      <c r="AZ14" s="11" t="n">
        <f aca="false">AZ13-Reserves!AZ11+Reserves!AZ12</f>
        <v>44.2974310433168</v>
      </c>
      <c r="BA14" s="11" t="n">
        <f aca="false">BA13-Reserves!BA11+Reserves!BA12</f>
        <v>43.9976527635548</v>
      </c>
      <c r="BB14" s="11" t="n">
        <f aca="false">BB13-Reserves!BB11+Reserves!BB12</f>
        <v>46.2428249464718</v>
      </c>
      <c r="BC14" s="11" t="n">
        <f aca="false">BC13-Reserves!BC11+Reserves!BC12</f>
        <v>42.8414102269467</v>
      </c>
      <c r="BD14" s="11" t="n">
        <f aca="false">BD13-Reserves!BD11+Reserves!BD12</f>
        <v>36.7382585483007</v>
      </c>
      <c r="BE14" s="11" t="n">
        <f aca="false">BE13-Reserves!BE11+Reserves!BE12</f>
        <v>36.3026342512687</v>
      </c>
      <c r="BF14" s="11" t="n">
        <f aca="false">BF13-Reserves!BF11+Reserves!BF12</f>
        <v>37.0039470081867</v>
      </c>
      <c r="BG14" s="11" t="n">
        <f aca="false">BG13-Reserves!BG11+Reserves!BG12</f>
        <v>36.5339229281743</v>
      </c>
      <c r="BH14" s="11" t="n">
        <f aca="false">BH13-Reserves!BH11+Reserves!BH12</f>
        <v>37.1713544124189</v>
      </c>
      <c r="BI14" s="11" t="n">
        <f aca="false">BI13-Reserves!BI11+Reserves!BI12</f>
        <v>36.9082963148094</v>
      </c>
      <c r="BJ14" s="11" t="n">
        <f aca="false">BJ13-Reserves!BJ11+Reserves!BJ12</f>
        <v>44.930831507554</v>
      </c>
      <c r="BK14" s="11" t="n">
        <f aca="false">BK13-Reserves!BK11+Reserves!BK12</f>
        <v>39.6786954719652</v>
      </c>
      <c r="BL14" s="11" t="n">
        <f aca="false">BL13-Reserves!BL11+Reserves!BL12</f>
        <v>40.4210668435755</v>
      </c>
      <c r="BM14" s="11" t="n">
        <f aca="false">BM13-Reserves!BM11+Reserves!BM12</f>
        <v>36.8301579511692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1.87603501833575</v>
      </c>
      <c r="P15" s="11" t="n">
        <f aca="false">P14-Reserves!P14+Reserves!P15</f>
        <v>15.0431875520562</v>
      </c>
      <c r="Q15" s="11" t="n">
        <f aca="false">Q14-Reserves!Q14+Reserves!Q15</f>
        <v>12.5775422667034</v>
      </c>
      <c r="R15" s="11" t="n">
        <f aca="false">R14-Reserves!R14+Reserves!R15</f>
        <v>13.4984572709862</v>
      </c>
      <c r="S15" s="11" t="n">
        <f aca="false">S14-Reserves!S14+Reserves!S15</f>
        <v>12.6849716672045</v>
      </c>
      <c r="T15" s="11" t="n">
        <f aca="false">T14-Reserves!T14+Reserves!T15</f>
        <v>13.427946993756</v>
      </c>
      <c r="U15" s="11" t="n">
        <f aca="false">U14-Reserves!U14+Reserves!U15</f>
        <v>12.4646331772141</v>
      </c>
      <c r="V15" s="11" t="n">
        <f aca="false">V14-Reserves!V14+Reserves!V15</f>
        <v>13.6948951770782</v>
      </c>
      <c r="W15" s="11" t="n">
        <f aca="false">W14-Reserves!W14+Reserves!W15</f>
        <v>14.431893426527</v>
      </c>
      <c r="X15" s="11" t="n">
        <f aca="false">X14-Reserves!X14+Reserves!X15</f>
        <v>13.3065573629278</v>
      </c>
      <c r="Y15" s="11" t="n">
        <f aca="false">Y14-Reserves!Y14+Reserves!Y15</f>
        <v>12.5221955375342</v>
      </c>
      <c r="Z15" s="11" t="n">
        <f aca="false">Z14-Reserves!Z14+Reserves!Z15</f>
        <v>13.2232504532553</v>
      </c>
      <c r="AA15" s="11" t="n">
        <f aca="false">AA14-Reserves!AA14+Reserves!AA15</f>
        <v>12.3893458478458</v>
      </c>
      <c r="AB15" s="11" t="n">
        <f aca="false">AB14-Reserves!AB14+Reserves!AB15</f>
        <v>14.4068762875611</v>
      </c>
      <c r="AC15" s="11" t="n">
        <f aca="false">AC14-Reserves!AC14+Reserves!AC15</f>
        <v>13.7505868299069</v>
      </c>
      <c r="AD15" s="11" t="n">
        <f aca="false">AD14-Reserves!AD14+Reserves!AD15</f>
        <v>16.4328822761261</v>
      </c>
      <c r="AE15" s="11" t="n">
        <f aca="false">AE14-Reserves!AE14+Reserves!AE15</f>
        <v>17.6585194349647</v>
      </c>
      <c r="AF15" s="11" t="n">
        <f aca="false">AF14-Reserves!AF14+Reserves!AF15</f>
        <v>19.4511995984317</v>
      </c>
      <c r="AG15" s="11" t="n">
        <f aca="false">AG14-Reserves!AG14+Reserves!AG15</f>
        <v>20.3222301637907</v>
      </c>
      <c r="AH15" s="11" t="n">
        <f aca="false">AH14-Reserves!AH14+Reserves!AH15</f>
        <v>23.0862113657254</v>
      </c>
      <c r="AI15" s="11" t="n">
        <f aca="false">AI14-Reserves!AI14+Reserves!AI15</f>
        <v>24.8419699015314</v>
      </c>
      <c r="AJ15" s="11" t="n">
        <f aca="false">AJ14-Reserves!AJ14+Reserves!AJ15</f>
        <v>28.6166201418258</v>
      </c>
      <c r="AK15" s="11" t="n">
        <f aca="false">AK14-Reserves!AK14+Reserves!AK15</f>
        <v>31.8746679581498</v>
      </c>
      <c r="AL15" s="11" t="n">
        <f aca="false">AL14-Reserves!AL14+Reserves!AL15</f>
        <v>29.6966486828974</v>
      </c>
      <c r="AM15" s="11" t="n">
        <f aca="false">AM14-Reserves!AM14+Reserves!AM15</f>
        <v>33.181686259403</v>
      </c>
      <c r="AN15" s="11" t="n">
        <f aca="false">AN14-Reserves!AN14+Reserves!AN15</f>
        <v>23.4789265328682</v>
      </c>
      <c r="AO15" s="11" t="n">
        <f aca="false">AO14-Reserves!AO14+Reserves!AO15</f>
        <v>41.5079662531116</v>
      </c>
      <c r="AP15" s="11" t="n">
        <f aca="false">AP14-Reserves!AP14+Reserves!AP15</f>
        <v>41.6065463833064</v>
      </c>
      <c r="AQ15" s="11" t="n">
        <f aca="false">AQ14-Reserves!AQ14+Reserves!AQ15</f>
        <v>41.1574518197032</v>
      </c>
      <c r="AR15" s="11" t="n">
        <f aca="false">AR14-Reserves!AR14+Reserves!AR15</f>
        <v>41.7513447779987</v>
      </c>
      <c r="AS15" s="11" t="n">
        <f aca="false">AS14-Reserves!AS14+Reserves!AS15</f>
        <v>41.4840678337932</v>
      </c>
      <c r="AT15" s="11" t="n">
        <f aca="false">AT14-Reserves!AT14+Reserves!AT15</f>
        <v>48.2154950821326</v>
      </c>
      <c r="AU15" s="11" t="n">
        <f aca="false">AU14-Reserves!AU14+Reserves!AU15</f>
        <v>43.7762166513415</v>
      </c>
      <c r="AV15" s="11" t="n">
        <f aca="false">AV14-Reserves!AV14+Reserves!AV15</f>
        <v>43.8963319855744</v>
      </c>
      <c r="AW15" s="11" t="n">
        <f aca="false">AW14-Reserves!AW14+Reserves!AW15</f>
        <v>43.469466754219</v>
      </c>
      <c r="AX15" s="11" t="n">
        <f aca="false">AX14-Reserves!AX14+Reserves!AX15</f>
        <v>44.1417443542776</v>
      </c>
      <c r="AY15" s="11" t="n">
        <f aca="false">AY14-Reserves!AY14+Reserves!AY15</f>
        <v>43.6826037006889</v>
      </c>
      <c r="AZ15" s="11" t="n">
        <f aca="false">AZ14-Reserves!AZ14+Reserves!AZ15</f>
        <v>44.2974310433168</v>
      </c>
      <c r="BA15" s="11" t="n">
        <f aca="false">BA14-Reserves!BA14+Reserves!BA15</f>
        <v>43.5026843769461</v>
      </c>
      <c r="BB15" s="11" t="n">
        <f aca="false">BB14-Reserves!BB14+Reserves!BB15</f>
        <v>44.7416746918274</v>
      </c>
      <c r="BC15" s="11" t="n">
        <f aca="false">BC14-Reserves!BC14+Reserves!BC15</f>
        <v>41.3238371536044</v>
      </c>
      <c r="BD15" s="11" t="n">
        <f aca="false">BD14-Reserves!BD14+Reserves!BD15</f>
        <v>35.2040829880542</v>
      </c>
      <c r="BE15" s="11" t="n">
        <f aca="false">BE14-Reserves!BE14+Reserves!BE15</f>
        <v>34.751674570313</v>
      </c>
      <c r="BF15" s="11" t="n">
        <f aca="false">BF14-Reserves!BF14+Reserves!BF15</f>
        <v>35.4360195856147</v>
      </c>
      <c r="BG15" s="11" t="n">
        <f aca="false">BG14-Reserves!BG14+Reserves!BG15</f>
        <v>34.9488421342375</v>
      </c>
      <c r="BH15" s="11" t="n">
        <f aca="false">BH14-Reserves!BH14+Reserves!BH15</f>
        <v>35.5689325865503</v>
      </c>
      <c r="BI15" s="11" t="n">
        <f aca="false">BI14-Reserves!BI14+Reserves!BI15</f>
        <v>35.288343743406</v>
      </c>
      <c r="BJ15" s="11" t="n">
        <f aca="false">BJ14-Reserves!BJ14+Reserves!BJ15</f>
        <v>43.2931564015163</v>
      </c>
      <c r="BK15" s="11" t="n">
        <f aca="false">BK14-Reserves!BK14+Reserves!BK15</f>
        <v>38.023103943991</v>
      </c>
      <c r="BL15" s="11" t="n">
        <f aca="false">BL14-Reserves!BL14+Reserves!BL15</f>
        <v>38.747362885205</v>
      </c>
      <c r="BM15" s="11" t="n">
        <f aca="false">BM14-Reserves!BM14+Reserves!BM15</f>
        <v>54.7713381131302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1.3511332832327</v>
      </c>
      <c r="Q17" s="6" t="n">
        <f aca="false">IF(Debt!Q121&gt;0.000000001,Q7/Debt!Q121,0)</f>
        <v>1.35108607051331</v>
      </c>
      <c r="R17" s="6" t="n">
        <f aca="false">IF(Debt!R121&gt;0.000000001,R7/Debt!R121,0)</f>
        <v>1.35101820901006</v>
      </c>
      <c r="S17" s="6" t="n">
        <f aca="false">IF(Debt!S121&gt;0.000000001,S7/Debt!S121,0)</f>
        <v>1.35097011439871</v>
      </c>
      <c r="T17" s="6" t="n">
        <f aca="false">IF(Debt!T121&gt;0.000000001,T7/Debt!T121,0)</f>
        <v>1.3509137650459</v>
      </c>
      <c r="U17" s="6" t="n">
        <f aca="false">IF(Debt!U121&gt;0.000000001,U7/Debt!U121,0)</f>
        <v>1.35085487359871</v>
      </c>
      <c r="V17" s="6" t="n">
        <f aca="false">IF(Debt!V121&gt;0.000000001,V7/Debt!V121,0)</f>
        <v>1.35076865719797</v>
      </c>
      <c r="W17" s="6" t="n">
        <f aca="false">IF(Debt!W121&gt;0.000000001,W7/Debt!W121,0)</f>
        <v>1.35071881000227</v>
      </c>
      <c r="X17" s="6" t="n">
        <f aca="false">IF(Debt!X121&gt;0.000000001,X7/Debt!X121,0)</f>
        <v>1.35069803124602</v>
      </c>
      <c r="Y17" s="6" t="n">
        <f aca="false">IF(Debt!Y121&gt;0.000000001,Y7/Debt!Y121,0)</f>
        <v>1.35064339988162</v>
      </c>
      <c r="Z17" s="6" t="n">
        <f aca="false">IF(Debt!Z121&gt;0.000000001,Z7/Debt!Z121,0)</f>
        <v>1.35057490718619</v>
      </c>
      <c r="AA17" s="6" t="n">
        <f aca="false">IF(Debt!AA121&gt;0.000000001,AA7/Debt!AA121,0)</f>
        <v>1.35051420142752</v>
      </c>
      <c r="AB17" s="6" t="n">
        <f aca="false">IF(Debt!AB121&gt;0.000000001,AB7/Debt!AB121,0)</f>
        <v>1.3745065783972</v>
      </c>
      <c r="AC17" s="6" t="n">
        <f aca="false">IF(Debt!AC121&gt;0.000000001,AC7/Debt!AC121,0)</f>
        <v>1.4047319139276</v>
      </c>
      <c r="AD17" s="6" t="n">
        <f aca="false">IF(Debt!AD121&gt;0.000000001,AD7/Debt!AD121,0)</f>
        <v>1.43621132520376</v>
      </c>
      <c r="AE17" s="6" t="n">
        <f aca="false">IF(Debt!AE121&gt;0.000000001,AE7/Debt!AE121,0)</f>
        <v>1.4780215179969</v>
      </c>
      <c r="AF17" s="6" t="n">
        <f aca="false">IF(Debt!AF121&gt;0.000000001,AF7/Debt!AF121,0)</f>
        <v>1.5302740657776</v>
      </c>
      <c r="AG17" s="6" t="n">
        <f aca="false">IF(Debt!AG121&gt;0.000000001,AG7/Debt!AG121,0)</f>
        <v>1.59990061940904</v>
      </c>
      <c r="AH17" s="6" t="n">
        <f aca="false">IF(Debt!AH121&gt;0.000000001,AH7/Debt!AH121,0)</f>
        <v>1.68535861437278</v>
      </c>
      <c r="AI17" s="6" t="n">
        <f aca="false">IF(Debt!AI121&gt;0.000000001,AI7/Debt!AI121,0)</f>
        <v>1.80607461758212</v>
      </c>
      <c r="AJ17" s="6" t="n">
        <f aca="false">IF(Debt!AJ121&gt;0.000000001,AJ7/Debt!AJ121,0)</f>
        <v>1.98272126215699</v>
      </c>
      <c r="AK17" s="6" t="n">
        <f aca="false">IF(Debt!AK121&gt;0.000000001,AK7/Debt!AK121,0)</f>
        <v>2.26468242154208</v>
      </c>
      <c r="AL17" s="6" t="n">
        <f aca="false">IF(Debt!AL121&gt;0.000000001,AL7/Debt!AL121,0)</f>
        <v>2.24617740823176</v>
      </c>
      <c r="AM17" s="6" t="n">
        <f aca="false">IF(Debt!AM121&gt;0.000000001,AM7/Debt!AM121,0)</f>
        <v>2.21957044106063</v>
      </c>
      <c r="AN17" s="6" t="n">
        <f aca="false">IF(Debt!AN121&gt;0.000000001,AN7/Debt!AN121,0)</f>
        <v>2.21538762566714</v>
      </c>
      <c r="AO17" s="6" t="n">
        <f aca="false">IF(Debt!AO121&gt;0.000000001,AO7/Debt!AO121,0)</f>
        <v>2.19550242216552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1.3511332832327</v>
      </c>
      <c r="Q18" s="6" t="n">
        <f aca="false">IF(Debt!Q121&gt;0.000000001,IF(Debt!P121&gt;0.000000001,(Q7+P7)/(Debt!Q121+Debt!P121),Q17),0)</f>
        <v>1.3511097050723</v>
      </c>
      <c r="R18" s="6" t="n">
        <f aca="false">IF(Debt!R121&gt;0.000000001,IF(Debt!Q121&gt;0.000000001,(R7+Q7)/(Debt!R121+Debt!Q121),R17),0)</f>
        <v>1.35105192752099</v>
      </c>
      <c r="S18" s="6" t="n">
        <f aca="false">IF(Debt!S121&gt;0.000000001,IF(Debt!R121&gt;0.000000001,(S7+R7)/(Debt!S121+Debt!R121),S17),0)</f>
        <v>1.3509942552117</v>
      </c>
      <c r="T18" s="6" t="n">
        <f aca="false">IF(Debt!T121&gt;0.000000001,IF(Debt!S121&gt;0.000000001,(T7+S7)/(Debt!T121+Debt!S121),T17),0)</f>
        <v>1.35094178290776</v>
      </c>
      <c r="U18" s="6" t="n">
        <f aca="false">IF(Debt!U121&gt;0.000000001,IF(Debt!T121&gt;0.000000001,(U7+T7)/(Debt!U121+Debt!T121),U17),0)</f>
        <v>1.35088438989526</v>
      </c>
      <c r="V18" s="6" t="n">
        <f aca="false">IF(Debt!V121&gt;0.000000001,IF(Debt!U121&gt;0.000000001,(V7+U7)/(Debt!V121+Debt!U121),V17),0)</f>
        <v>1.35081135781923</v>
      </c>
      <c r="W18" s="6" t="n">
        <f aca="false">IF(Debt!W121&gt;0.000000001,IF(Debt!V121&gt;0.000000001,(W7+V7)/(Debt!W121+Debt!V121),W17),0)</f>
        <v>1.3507438200501</v>
      </c>
      <c r="X18" s="6" t="n">
        <f aca="false">IF(Debt!X121&gt;0.000000001,IF(Debt!W121&gt;0.000000001,(X7+W7)/(Debt!X121+Debt!W121),X17),0)</f>
        <v>1.35070857260876</v>
      </c>
      <c r="Y18" s="6" t="n">
        <f aca="false">IF(Debt!Y121&gt;0.000000001,IF(Debt!X121&gt;0.000000001,(Y7+X7)/(Debt!Y121+Debt!X121),Y17),0)</f>
        <v>1.3506708480232</v>
      </c>
      <c r="Z18" s="6" t="n">
        <f aca="false">IF(Debt!Z121&gt;0.000000001,IF(Debt!Y121&gt;0.000000001,(Z7+Y7)/(Debt!Z121+Debt!Y121),Z17),0)</f>
        <v>1.35060901318923</v>
      </c>
      <c r="AA18" s="6" t="n">
        <f aca="false">IF(Debt!AA121&gt;0.000000001,IF(Debt!Z121&gt;0.000000001,(AA7+Z7)/(Debt!AA121+Debt!Z121),AA17),0)</f>
        <v>1.35054467707933</v>
      </c>
      <c r="AB18" s="6" t="n">
        <f aca="false">IF(Debt!AB121&gt;0.000000001,IF(Debt!AA121&gt;0.000000001,(AB7+AA7)/(Debt!AB121+Debt!AA121),AB17),0)</f>
        <v>1.36247465717615</v>
      </c>
      <c r="AC18" s="6" t="n">
        <f aca="false">IF(Debt!AC121&gt;0.000000001,IF(Debt!AB121&gt;0.000000001,(AC7+AB7)/(Debt!AC121+Debt!AB121),AC17),0)</f>
        <v>1.3894234392837</v>
      </c>
      <c r="AD18" s="6" t="n">
        <f aca="false">IF(Debt!AD121&gt;0.000000001,IF(Debt!AC121&gt;0.000000001,(AD7+AC7)/(Debt!AD121+Debt!AC121),AD17),0)</f>
        <v>1.42059333808577</v>
      </c>
      <c r="AE18" s="6" t="n">
        <f aca="false">IF(Debt!AE121&gt;0.000000001,IF(Debt!AD121&gt;0.000000001,(AE7+AD7)/(Debt!AE121+Debt!AD121),AE17),0)</f>
        <v>1.45683283979466</v>
      </c>
      <c r="AF18" s="6" t="n">
        <f aca="false">IF(Debt!AF121&gt;0.000000001,IF(Debt!AE121&gt;0.000000001,(AF7+AE7)/(Debt!AF121+Debt!AE121),AF17),0)</f>
        <v>1.50373395566588</v>
      </c>
      <c r="AG18" s="6" t="n">
        <f aca="false">IF(Debt!AG121&gt;0.000000001,IF(Debt!AF121&gt;0.000000001,(AG7+AF7)/(Debt!AG121+Debt!AF121),AG17),0)</f>
        <v>1.56418853563193</v>
      </c>
      <c r="AH18" s="6" t="n">
        <f aca="false">IF(Debt!AH121&gt;0.000000001,IF(Debt!AG121&gt;0.000000001,(AH7+AG7)/(Debt!AH121+Debt!AG121),AH17),0)</f>
        <v>1.64179260322248</v>
      </c>
      <c r="AI18" s="6" t="n">
        <f aca="false">IF(Debt!AI121&gt;0.000000001,IF(Debt!AH121&gt;0.000000001,(AI7+AH7)/(Debt!AI121+Debt!AH121),AI17),0)</f>
        <v>1.74339200128595</v>
      </c>
      <c r="AJ18" s="6" t="n">
        <f aca="false">IF(Debt!AJ121&gt;0.000000001,IF(Debt!AI121&gt;0.000000001,(AJ7+AI7)/(Debt!AJ121+Debt!AI121),AJ17),0)</f>
        <v>1.89078642630341</v>
      </c>
      <c r="AK18" s="6" t="n">
        <f aca="false">IF(Debt!AK121&gt;0.000000001,IF(Debt!AJ121&gt;0.000000001,(AK7+AJ7)/(Debt!AK121+Debt!AJ121),AK17),0)</f>
        <v>2.11401968042674</v>
      </c>
      <c r="AL18" s="6" t="n">
        <f aca="false">IF(Debt!AL121&gt;0.000000001,IF(Debt!AK121&gt;0.000000001,(AL7+AK7)/(Debt!AL121+Debt!AK121),AL17),0)</f>
        <v>2.25529468443821</v>
      </c>
      <c r="AM18" s="6" t="n">
        <f aca="false">IF(Debt!AM121&gt;0.000000001,IF(Debt!AL121&gt;0.000000001,(AM7+AL7)/(Debt!AM121+Debt!AL121),AM17),0)</f>
        <v>2.23291465046512</v>
      </c>
      <c r="AN18" s="6" t="n">
        <f aca="false">IF(Debt!AN121&gt;0.000000001,IF(Debt!AM121&gt;0.000000001,(AN7+AM7)/(Debt!AN121+Debt!AM121),AN17),0)</f>
        <v>2.21769636043047</v>
      </c>
      <c r="AO18" s="6" t="n">
        <f aca="false">IF(Debt!AO121&gt;0.000000001,IF(Debt!AN121&gt;0.000000001,(AO7+AN7)/(Debt!AO121+Debt!AN121),AO17),0)</f>
        <v>2.20550412589896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94.6950541878658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6.19467292392291</v>
      </c>
      <c r="AB29" s="11" t="n">
        <f aca="false">IF(AND(AB24=1,Time!AB21&gt;=2027,Inputs!$F$51=1),MIN(Inputs!$F$109*AB15,Debt!AB81),0)</f>
        <v>7.20343814378053</v>
      </c>
      <c r="AC29" s="11" t="n">
        <f aca="false">IF(AND(AC24=1,Time!AC21&gt;=2027,Inputs!$F$51=1),MIN(Inputs!$F$109*AC15,Debt!AC81),0)</f>
        <v>6.87529341495345</v>
      </c>
      <c r="AD29" s="11" t="n">
        <f aca="false">IF(AND(AD24=1,Time!AD21&gt;=2027,Inputs!$F$51=1),MIN(Inputs!$F$109*AD15,Debt!AD81),0)</f>
        <v>8.21644113806305</v>
      </c>
      <c r="AE29" s="11" t="n">
        <f aca="false">IF(AND(AE24=1,Time!AE21&gt;=2027,Inputs!$F$51=1),MIN(Inputs!$F$109*AE15,Debt!AE81),0)</f>
        <v>8.82925971748235</v>
      </c>
      <c r="AF29" s="11" t="n">
        <f aca="false">IF(AND(AF24=1,Time!AF21&gt;=2027,Inputs!$F$51=1),MIN(Inputs!$F$109*AF15,Debt!AF81),0)</f>
        <v>9.72559979921583</v>
      </c>
      <c r="AG29" s="11" t="n">
        <f aca="false">IF(AND(AG24=1,Time!AG21&gt;=2027,Inputs!$F$51=1),MIN(Inputs!$F$109*AG15,Debt!AG81),0)</f>
        <v>10.1611150818953</v>
      </c>
      <c r="AH29" s="11" t="n">
        <f aca="false">IF(AND(AH24=1,Time!AH21&gt;=2027,Inputs!$F$51=1),MIN(Inputs!$F$109*AH15,Debt!AH81),0)</f>
        <v>11.5431056828627</v>
      </c>
      <c r="AI29" s="11" t="n">
        <f aca="false">IF(AND(AI24=1,Time!AI21&gt;=2027,Inputs!$F$51=1),MIN(Inputs!$F$109*AI15,Debt!AI81),0)</f>
        <v>12.4209849507657</v>
      </c>
      <c r="AJ29" s="11" t="n">
        <f aca="false">IF(AND(AJ24=1,Time!AJ21&gt;=2027,Inputs!$F$51=1),MIN(Inputs!$F$109*AJ15,Debt!AJ81),0)</f>
        <v>13.5251433349239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1.87603501833575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1395.95656779226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15.0431875520562</v>
      </c>
      <c r="Q31" s="11" t="n">
        <f aca="false">IF(Q24=1,Q15-Q29,0)</f>
        <v>12.5775422667034</v>
      </c>
      <c r="R31" s="11" t="n">
        <f aca="false">IF(R24=1,R15-R29,0)</f>
        <v>13.4984572709862</v>
      </c>
      <c r="S31" s="11" t="n">
        <f aca="false">IF(S24=1,S15-S29,0)</f>
        <v>12.6849716672045</v>
      </c>
      <c r="T31" s="11" t="n">
        <f aca="false">IF(T24=1,T15-T29,0)</f>
        <v>13.427946993756</v>
      </c>
      <c r="U31" s="11" t="n">
        <f aca="false">IF(U24=1,U15-U29,0)</f>
        <v>12.4646331772141</v>
      </c>
      <c r="V31" s="11" t="n">
        <f aca="false">IF(V24=1,V15-V29,0)</f>
        <v>13.6948951770782</v>
      </c>
      <c r="W31" s="11" t="n">
        <f aca="false">IF(W24=1,W15-W29,0)</f>
        <v>14.431893426527</v>
      </c>
      <c r="X31" s="11" t="n">
        <f aca="false">IF(X24=1,X15-X29,0)</f>
        <v>13.3065573629278</v>
      </c>
      <c r="Y31" s="11" t="n">
        <f aca="false">IF(Y24=1,Y15-Y29,0)</f>
        <v>12.5221955375342</v>
      </c>
      <c r="Z31" s="11" t="n">
        <f aca="false">IF(Z24=1,Z15-Z29,0)</f>
        <v>13.2232504532553</v>
      </c>
      <c r="AA31" s="11" t="n">
        <f aca="false">IF(AA24=1,AA15-AA29,0)</f>
        <v>6.19467292392291</v>
      </c>
      <c r="AB31" s="11" t="n">
        <f aca="false">IF(AB24=1,AB15-AB29,0)</f>
        <v>7.20343814378053</v>
      </c>
      <c r="AC31" s="11" t="n">
        <f aca="false">IF(AC24=1,AC15-AC29,0)</f>
        <v>6.87529341495345</v>
      </c>
      <c r="AD31" s="11" t="n">
        <f aca="false">IF(AD24=1,AD15-AD29,0)</f>
        <v>8.21644113806305</v>
      </c>
      <c r="AE31" s="11" t="n">
        <f aca="false">IF(AE24=1,AE15-AE29,0)</f>
        <v>8.82925971748235</v>
      </c>
      <c r="AF31" s="11" t="n">
        <f aca="false">IF(AF24=1,AF15-AF29,0)</f>
        <v>9.72559979921583</v>
      </c>
      <c r="AG31" s="11" t="n">
        <f aca="false">IF(AG24=1,AG15-AG29,0)</f>
        <v>10.1611150818953</v>
      </c>
      <c r="AH31" s="11" t="n">
        <f aca="false">IF(AH24=1,AH15-AH29,0)</f>
        <v>11.5431056828627</v>
      </c>
      <c r="AI31" s="11" t="n">
        <f aca="false">IF(AI24=1,AI15-AI29,0)</f>
        <v>12.4209849507657</v>
      </c>
      <c r="AJ31" s="11" t="n">
        <f aca="false">IF(AJ24=1,AJ15-AJ29,0)</f>
        <v>15.0914768069019</v>
      </c>
      <c r="AK31" s="11" t="n">
        <f aca="false">IF(AK24=1,AK15-AK29,0)</f>
        <v>31.8746679581498</v>
      </c>
      <c r="AL31" s="11" t="n">
        <f aca="false">IF(AL24=1,AL15-AL29,0)</f>
        <v>29.6966486828974</v>
      </c>
      <c r="AM31" s="11" t="n">
        <f aca="false">IF(AM24=1,AM15-AM29,0)</f>
        <v>33.181686259403</v>
      </c>
      <c r="AN31" s="11" t="n">
        <f aca="false">IF(AN24=1,AN15-AN29,0)</f>
        <v>23.4789265328682</v>
      </c>
      <c r="AO31" s="11" t="n">
        <f aca="false">IF(AO24=1,AO15-AO29,0)</f>
        <v>41.5079662531116</v>
      </c>
      <c r="AP31" s="11" t="n">
        <f aca="false">IF(AP24=1,AP15-AP29,0)</f>
        <v>41.6065463833064</v>
      </c>
      <c r="AQ31" s="11" t="n">
        <f aca="false">IF(AQ24=1,AQ15-AQ29,0)</f>
        <v>41.1574518197032</v>
      </c>
      <c r="AR31" s="11" t="n">
        <f aca="false">IF(AR24=1,AR15-AR29,0)</f>
        <v>41.7513447779987</v>
      </c>
      <c r="AS31" s="11" t="n">
        <f aca="false">IF(AS24=1,AS15-AS29,0)</f>
        <v>41.4840678337932</v>
      </c>
      <c r="AT31" s="11" t="n">
        <f aca="false">IF(AT24=1,AT15-AT29,0)</f>
        <v>48.2154950821326</v>
      </c>
      <c r="AU31" s="11" t="n">
        <f aca="false">IF(AU24=1,AU15-AU29,0)</f>
        <v>43.7762166513415</v>
      </c>
      <c r="AV31" s="11" t="n">
        <f aca="false">IF(AV24=1,AV15-AV29,0)</f>
        <v>43.8963319855744</v>
      </c>
      <c r="AW31" s="11" t="n">
        <f aca="false">IF(AW24=1,AW15-AW29,0)</f>
        <v>43.469466754219</v>
      </c>
      <c r="AX31" s="11" t="n">
        <f aca="false">IF(AX24=1,AX15-AX29,0)</f>
        <v>44.1417443542776</v>
      </c>
      <c r="AY31" s="11" t="n">
        <f aca="false">IF(AY24=1,AY15-AY29,0)</f>
        <v>43.6826037006889</v>
      </c>
      <c r="AZ31" s="11" t="n">
        <f aca="false">IF(AZ24=1,AZ15-AZ29,0)</f>
        <v>44.2974310433168</v>
      </c>
      <c r="BA31" s="11" t="n">
        <f aca="false">IF(BA24=1,BA15-BA29,0)</f>
        <v>43.5026843769461</v>
      </c>
      <c r="BB31" s="11" t="n">
        <f aca="false">IF(BB24=1,BB15-BB29,0)</f>
        <v>44.7416746918274</v>
      </c>
      <c r="BC31" s="11" t="n">
        <f aca="false">IF(BC24=1,BC15-BC29,0)</f>
        <v>41.3238371536044</v>
      </c>
      <c r="BD31" s="11" t="n">
        <f aca="false">IF(BD24=1,BD15-BD29,0)</f>
        <v>35.2040829880542</v>
      </c>
      <c r="BE31" s="11" t="n">
        <f aca="false">IF(BE24=1,BE15-BE29,0)</f>
        <v>34.751674570313</v>
      </c>
      <c r="BF31" s="11" t="n">
        <f aca="false">IF(BF24=1,BF15-BF29,0)</f>
        <v>35.4360195856147</v>
      </c>
      <c r="BG31" s="11" t="n">
        <f aca="false">IF(BG24=1,BG15-BG29,0)</f>
        <v>34.9488421342375</v>
      </c>
      <c r="BH31" s="11" t="n">
        <f aca="false">IF(BH24=1,BH15-BH29,0)</f>
        <v>35.5689325865503</v>
      </c>
      <c r="BI31" s="11" t="n">
        <f aca="false">IF(BI24=1,BI15-BI29,0)</f>
        <v>35.288343743406</v>
      </c>
      <c r="BJ31" s="11" t="n">
        <f aca="false">IF(BJ24=1,BJ15-BJ29,0)</f>
        <v>43.2931564015163</v>
      </c>
      <c r="BK31" s="11" t="n">
        <f aca="false">IF(BK24=1,BK15-BK29,0)</f>
        <v>38.023103943991</v>
      </c>
      <c r="BL31" s="11" t="n">
        <f aca="false">IF(BL24=1,BL15-BL29,0)</f>
        <v>38.747362885205</v>
      </c>
      <c r="BM31" s="11" t="n">
        <f aca="false">IF(BM24=1,BM15-BM29,0)</f>
        <v>54.7713381131302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199.629121728733</v>
      </c>
      <c r="R33" s="11" t="n">
        <f aca="false">IF(Time!R17&lt;Time!$F$11,0,IF(Time!R29=1,INDEX(Funding!$J$72:$BJ$72,1,Time!$F$13),Q36))</f>
        <v>196.456025347305</v>
      </c>
      <c r="S33" s="11" t="n">
        <f aca="false">IF(Time!S17&lt;Time!$F$11,0,IF(Time!S29=1,INDEX(Funding!$J$72:$BJ$72,1,Time!$F$13),R36))</f>
        <v>192.365927865554</v>
      </c>
      <c r="T33" s="11" t="n">
        <f aca="false">IF(Time!T17&lt;Time!$F$11,0,IF(Time!T29=1,INDEX(Funding!$J$72:$BJ$72,1,Time!$F$13),S36))</f>
        <v>188.743236005605</v>
      </c>
      <c r="U33" s="11" t="n">
        <f aca="false">IF(Time!U17&lt;Time!$F$11,0,IF(Time!U29=1,INDEX(Funding!$J$72:$BJ$72,1,Time!$F$13),T36))</f>
        <v>184.354280149871</v>
      </c>
      <c r="V33" s="11" t="n">
        <f aca="false">IF(Time!V17&lt;Time!$F$11,0,IF(Time!V29=1,INDEX(Funding!$J$72:$BJ$72,1,Time!$F$13),U36))</f>
        <v>180.622483969345</v>
      </c>
      <c r="W33" s="11" t="n">
        <f aca="false">IF(Time!W17&lt;Time!$F$11,0,IF(Time!W29=1,INDEX(Funding!$J$72:$BJ$72,1,Time!$F$13),V36))</f>
        <v>175.577673777977</v>
      </c>
      <c r="X33" s="11" t="n">
        <f aca="false">IF(Time!X17&lt;Time!$F$11,0,IF(Time!X29=1,INDEX(Funding!$J$72:$BJ$72,1,Time!$F$13),W36))</f>
        <v>169.417172407922</v>
      </c>
      <c r="Y33" s="11" t="n">
        <f aca="false">IF(Time!Y17&lt;Time!$F$11,0,IF(Time!Y29=1,INDEX(Funding!$J$72:$BJ$72,1,Time!$F$13),X36))</f>
        <v>164.224073055105</v>
      </c>
      <c r="Z33" s="11" t="n">
        <f aca="false">IF(Time!Z17&lt;Time!$F$11,0,IF(Time!Z29=1,INDEX(Funding!$J$72:$BJ$72,1,Time!$F$13),Y36))</f>
        <v>159.438406109852</v>
      </c>
      <c r="AA33" s="11" t="n">
        <f aca="false">IF(Time!AA17&lt;Time!$F$11,0,IF(Time!AA29=1,INDEX(Funding!$J$72:$BJ$72,1,Time!$F$13),Z36))</f>
        <v>153.85072644783</v>
      </c>
      <c r="AB33" s="11" t="n">
        <f aca="false">IF(Time!AB17&lt;Time!$F$11,0,IF(Time!AB29=1,INDEX(Funding!$J$72:$BJ$72,1,Time!$F$13),AA36))</f>
        <v>154.903898020538</v>
      </c>
      <c r="AC33" s="11" t="n">
        <f aca="false">IF(Time!AC17&lt;Time!$F$11,0,IF(Time!AC29=1,INDEX(Funding!$J$72:$BJ$72,1,Time!$F$13),AB36))</f>
        <v>155.118871212097</v>
      </c>
      <c r="AD33" s="11" t="n">
        <f aca="false">IF(Time!AD17&lt;Time!$F$11,0,IF(Time!AD29=1,INDEX(Funding!$J$72:$BJ$72,1,Time!$F$13),AC36))</f>
        <v>155.591537477301</v>
      </c>
      <c r="AE33" s="11" t="n">
        <f aca="false">IF(Time!AE17&lt;Time!$F$11,0,IF(Time!AE29=1,INDEX(Funding!$J$72:$BJ$72,1,Time!$F$13),AD36))</f>
        <v>154.826439010753</v>
      </c>
      <c r="AF33" s="11" t="n">
        <f aca="false">IF(Time!AF17&lt;Time!$F$11,0,IF(Time!AF29=1,INDEX(Funding!$J$72:$BJ$72,1,Time!$F$13),AE36))</f>
        <v>153.290989207764</v>
      </c>
      <c r="AG33" s="11" t="n">
        <f aca="false">IF(Time!AG17&lt;Time!$F$11,0,IF(Time!AG29=1,INDEX(Funding!$J$72:$BJ$72,1,Time!$F$13),AF36))</f>
        <v>150.906557878005</v>
      </c>
      <c r="AH33" s="11" t="n">
        <f aca="false">IF(Time!AH17&lt;Time!$F$11,0,IF(Time!AH29=1,INDEX(Funding!$J$72:$BJ$72,1,Time!$F$13),AG36))</f>
        <v>147.854588721349</v>
      </c>
      <c r="AI33" s="11" t="n">
        <f aca="false">IF(Time!AI17&lt;Time!$F$11,0,IF(Time!AI29=1,INDEX(Funding!$J$72:$BJ$72,1,Time!$F$13),AH36))</f>
        <v>143.392300054511</v>
      </c>
      <c r="AJ33" s="11" t="n">
        <f aca="false">IF(Time!AJ17&lt;Time!$F$11,0,IF(Time!AJ29=1,INDEX(Funding!$J$72:$BJ$72,1,Time!$F$13),AI36))</f>
        <v>137.726467430971</v>
      </c>
      <c r="AK33" s="11" t="n">
        <f aca="false">IF(Time!AK17&lt;Time!$F$11,0,IF(Time!AK29=1,INDEX(Funding!$J$72:$BJ$72,1,Time!$F$13),AJ36))</f>
        <v>129.230767749256</v>
      </c>
      <c r="AL33" s="11" t="n">
        <f aca="false">IF(Time!AL17&lt;Time!$F$11,0,IF(Time!AL29=1,INDEX(Funding!$J$72:$BJ$72,1,Time!$F$13),AK36))</f>
        <v>103.477743556544</v>
      </c>
      <c r="AM33" s="11" t="n">
        <f aca="false">IF(Time!AM17&lt;Time!$F$11,0,IF(Time!AM29=1,INDEX(Funding!$J$72:$BJ$72,1,Time!$F$13),AL36))</f>
        <v>78.7366865376692</v>
      </c>
      <c r="AN33" s="11" t="n">
        <f aca="false">IF(Time!AN17&lt;Time!$F$11,0,IF(Time!AN29=1,INDEX(Funding!$J$72:$BJ$72,1,Time!$F$13),AM36))</f>
        <v>49.2642532235134</v>
      </c>
      <c r="AO33" s="11" t="n">
        <f aca="false">IF(Time!AO17&lt;Time!$F$11,0,IF(Time!AO29=1,INDEX(Funding!$J$72:$BJ$72,1,Time!$F$13),AN36))</f>
        <v>28.1446120231028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184.2371180109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9.40444588527551</v>
      </c>
      <c r="R34" s="11" t="n">
        <f aca="false">R24*MIN(R31,Tax!R13)</f>
        <v>9.40835978923532</v>
      </c>
      <c r="S34" s="11" t="n">
        <f aca="false">S24*MIN(S31,Tax!S13)</f>
        <v>9.06227980725535</v>
      </c>
      <c r="T34" s="11" t="n">
        <f aca="false">T24*MIN(T31,Tax!T13)</f>
        <v>9.03899113802184</v>
      </c>
      <c r="U34" s="11" t="n">
        <f aca="false">U24*MIN(U31,Tax!U13)</f>
        <v>8.7328369966884</v>
      </c>
      <c r="V34" s="11" t="n">
        <f aca="false">V24*MIN(V31,Tax!V13)</f>
        <v>8.65008498571001</v>
      </c>
      <c r="W34" s="11" t="n">
        <f aca="false">W24*MIN(W31,Tax!W13)</f>
        <v>8.27139205647209</v>
      </c>
      <c r="X34" s="11" t="n">
        <f aca="false">X24*MIN(X31,Tax!X13)</f>
        <v>8.1134580101109</v>
      </c>
      <c r="Y34" s="11" t="n">
        <f aca="false">Y24*MIN(Y31,Tax!Y13)</f>
        <v>7.73652859228091</v>
      </c>
      <c r="Z34" s="11" t="n">
        <f aca="false">Z24*MIN(Z31,Tax!Z13)</f>
        <v>7.63557079123345</v>
      </c>
      <c r="AA34" s="11" t="n">
        <f aca="false">AA24*MIN(AA31,Tax!AA13)</f>
        <v>6.19467292392291</v>
      </c>
      <c r="AB34" s="11" t="n">
        <f aca="false">AB24*MIN(AB31,Tax!AB13)</f>
        <v>7.20343814378053</v>
      </c>
      <c r="AC34" s="11" t="n">
        <f aca="false">AC24*MIN(AC31,Tax!AC13)</f>
        <v>6.87529341495345</v>
      </c>
      <c r="AD34" s="11" t="n">
        <f aca="false">AD24*MIN(AD31,Tax!AD13)</f>
        <v>7.45134267151566</v>
      </c>
      <c r="AE34" s="11" t="n">
        <f aca="false">AE24*MIN(AE31,Tax!AE13)</f>
        <v>7.29380991449288</v>
      </c>
      <c r="AF34" s="11" t="n">
        <f aca="false">AF24*MIN(AF31,Tax!AF13)</f>
        <v>7.34116846945674</v>
      </c>
      <c r="AG34" s="11" t="n">
        <f aca="false">AG24*MIN(AG31,Tax!AG13)</f>
        <v>7.10914592523915</v>
      </c>
      <c r="AH34" s="11" t="n">
        <f aca="false">AH24*MIN(AH31,Tax!AH13)</f>
        <v>7.08081701602513</v>
      </c>
      <c r="AI34" s="11" t="n">
        <f aca="false">AI24*MIN(AI31,Tax!AI13)</f>
        <v>6.75515232722552</v>
      </c>
      <c r="AJ34" s="11" t="n">
        <f aca="false">AJ24*MIN(AJ31,Tax!AJ13)</f>
        <v>6.59577712518731</v>
      </c>
      <c r="AK34" s="11" t="n">
        <f aca="false">AK24*MIN(AK31,Tax!AK13)</f>
        <v>6.12164376543737</v>
      </c>
      <c r="AL34" s="11" t="n">
        <f aca="false">AL24*MIN(AL31,Tax!AL13)</f>
        <v>4.95559166402297</v>
      </c>
      <c r="AM34" s="11" t="n">
        <f aca="false">AM24*MIN(AM31,Tax!AM13)</f>
        <v>3.70925294524719</v>
      </c>
      <c r="AN34" s="11" t="n">
        <f aca="false">AN24*MIN(AN31,Tax!AN13)</f>
        <v>2.35928533245758</v>
      </c>
      <c r="AO34" s="11" t="n">
        <f aca="false">AO24*MIN(AO31,Tax!AO13)</f>
        <v>1.32588110612946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206.602223096737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5.2322903385334</v>
      </c>
      <c r="Q35" s="11" t="n">
        <f aca="false">Q24*MIN(Q31-Q34,Q33+Tax!Q13-Q34)</f>
        <v>3.17309638142786</v>
      </c>
      <c r="R35" s="11" t="n">
        <f aca="false">R24*MIN(R31-R34,R33+Tax!R13-R34)</f>
        <v>4.09009748175085</v>
      </c>
      <c r="S35" s="11" t="n">
        <f aca="false">S24*MIN(S31-S34,S33+Tax!S13-S34)</f>
        <v>3.62269185994918</v>
      </c>
      <c r="T35" s="11" t="n">
        <f aca="false">T24*MIN(T31-T34,T33+Tax!T13-T34)</f>
        <v>4.38895585573413</v>
      </c>
      <c r="U35" s="11" t="n">
        <f aca="false">U24*MIN(U31-U34,U33+Tax!U13-U34)</f>
        <v>3.7317961805257</v>
      </c>
      <c r="V35" s="11" t="n">
        <f aca="false">V24*MIN(V31-V34,V33+Tax!V13-V34)</f>
        <v>5.04481019136816</v>
      </c>
      <c r="W35" s="11" t="n">
        <f aca="false">W24*MIN(W31-W34,W33+Tax!W13-W34)</f>
        <v>6.16050137005492</v>
      </c>
      <c r="X35" s="11" t="n">
        <f aca="false">X24*MIN(X31-X34,X33+Tax!X13-X34)</f>
        <v>5.19309935281695</v>
      </c>
      <c r="Y35" s="11" t="n">
        <f aca="false">Y24*MIN(Y31-Y34,Y33+Tax!Y13-Y34)</f>
        <v>4.78566694525333</v>
      </c>
      <c r="Z35" s="11" t="n">
        <f aca="false">Z24*MIN(Z31-Z34,Z33+Tax!Z13-Z34)</f>
        <v>5.58767966202189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0.765098466547389</v>
      </c>
      <c r="AE35" s="11" t="n">
        <f aca="false">AE24*MIN(AE31-AE34,AE33+Tax!AE13-AE34)</f>
        <v>1.53544980298947</v>
      </c>
      <c r="AF35" s="11" t="n">
        <f aca="false">AF24*MIN(AF31-AF34,AF33+Tax!AF13-AF34)</f>
        <v>2.38443132975908</v>
      </c>
      <c r="AG35" s="11" t="n">
        <f aca="false">AG24*MIN(AG31-AG34,AG33+Tax!AG13-AG34)</f>
        <v>3.05196915665619</v>
      </c>
      <c r="AH35" s="11" t="n">
        <f aca="false">AH24*MIN(AH31-AH34,AH33+Tax!AH13-AH34)</f>
        <v>4.46228866683759</v>
      </c>
      <c r="AI35" s="11" t="n">
        <f aca="false">AI24*MIN(AI31-AI34,AI33+Tax!AI13-AI34)</f>
        <v>5.6658326235402</v>
      </c>
      <c r="AJ35" s="11" t="n">
        <f aca="false">AJ24*MIN(AJ31-AJ34,AJ33+Tax!AJ13-AJ34)</f>
        <v>8.49569968171458</v>
      </c>
      <c r="AK35" s="11" t="n">
        <f aca="false">AK24*MIN(AK31-AK34,AK33+Tax!AK13-AK34)</f>
        <v>25.7530241927125</v>
      </c>
      <c r="AL35" s="11" t="n">
        <f aca="false">AL24*MIN(AL31-AL34,AL33+Tax!AL13-AL34)</f>
        <v>24.7410570188744</v>
      </c>
      <c r="AM35" s="11" t="n">
        <f aca="false">AM24*MIN(AM31-AM34,AM33+Tax!AM13-AM34)</f>
        <v>29.4724333141558</v>
      </c>
      <c r="AN35" s="11" t="n">
        <f aca="false">AN24*MIN(AN31-AN34,AN33+Tax!AN13-AN34)</f>
        <v>21.1196412004106</v>
      </c>
      <c r="AO35" s="11" t="n">
        <f aca="false">AO24*MIN(AO31-AO34,AO33+Tax!AO13-AO34)</f>
        <v>28.1446120231028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199.629121728733</v>
      </c>
      <c r="Q36" s="11" t="n">
        <f aca="false">Q33+Tax!Q13-Q34-Q35</f>
        <v>196.456025347305</v>
      </c>
      <c r="R36" s="11" t="n">
        <f aca="false">R33+Tax!R13-R34-R35</f>
        <v>192.365927865554</v>
      </c>
      <c r="S36" s="11" t="n">
        <f aca="false">S33+Tax!S13-S34-S35</f>
        <v>188.743236005605</v>
      </c>
      <c r="T36" s="11" t="n">
        <f aca="false">T33+Tax!T13-T34-T35</f>
        <v>184.354280149871</v>
      </c>
      <c r="U36" s="11" t="n">
        <f aca="false">U33+Tax!U13-U34-U35</f>
        <v>180.622483969345</v>
      </c>
      <c r="V36" s="11" t="n">
        <f aca="false">V33+Tax!V13-V34-V35</f>
        <v>175.577673777977</v>
      </c>
      <c r="W36" s="11" t="n">
        <f aca="false">W33+Tax!W13-W34-W35</f>
        <v>169.417172407922</v>
      </c>
      <c r="X36" s="11" t="n">
        <f aca="false">X33+Tax!X13-X34-X35</f>
        <v>164.224073055105</v>
      </c>
      <c r="Y36" s="11" t="n">
        <f aca="false">Y33+Tax!Y13-Y34-Y35</f>
        <v>159.438406109852</v>
      </c>
      <c r="Z36" s="11" t="n">
        <f aca="false">Z33+Tax!Z13-Z34-Z35</f>
        <v>153.85072644783</v>
      </c>
      <c r="AA36" s="11" t="n">
        <f aca="false">AA33+Tax!AA13-AA34-AA35</f>
        <v>154.903898020538</v>
      </c>
      <c r="AB36" s="11" t="n">
        <f aca="false">AB33+Tax!AB13-AB34-AB35</f>
        <v>155.118871212097</v>
      </c>
      <c r="AC36" s="11" t="n">
        <f aca="false">AC33+Tax!AC13-AC34-AC35</f>
        <v>155.591537477301</v>
      </c>
      <c r="AD36" s="11" t="n">
        <f aca="false">AD33+Tax!AD13-AD34-AD35</f>
        <v>154.826439010753</v>
      </c>
      <c r="AE36" s="11" t="n">
        <f aca="false">AE33+Tax!AE13-AE34-AE35</f>
        <v>153.290989207764</v>
      </c>
      <c r="AF36" s="11" t="n">
        <f aca="false">AF33+Tax!AF13-AF34-AF35</f>
        <v>150.906557878005</v>
      </c>
      <c r="AG36" s="11" t="n">
        <f aca="false">AG33+Tax!AG13-AG34-AG35</f>
        <v>147.854588721349</v>
      </c>
      <c r="AH36" s="11" t="n">
        <f aca="false">AH33+Tax!AH13-AH34-AH35</f>
        <v>143.392300054511</v>
      </c>
      <c r="AI36" s="11" t="n">
        <f aca="false">AI33+Tax!AI13-AI34-AI35</f>
        <v>137.726467430971</v>
      </c>
      <c r="AJ36" s="11" t="n">
        <f aca="false">AJ33+Tax!AJ13-AJ34-AJ35</f>
        <v>129.230767749256</v>
      </c>
      <c r="AK36" s="11" t="n">
        <f aca="false">AK33+Tax!AK13-AK34-AK35</f>
        <v>103.477743556544</v>
      </c>
      <c r="AL36" s="11" t="n">
        <f aca="false">AL33+Tax!AL13-AL34-AL35</f>
        <v>78.7366865376692</v>
      </c>
      <c r="AM36" s="11" t="n">
        <f aca="false">AM33+Tax!AM13-AM34-AM35</f>
        <v>49.2642532235134</v>
      </c>
      <c r="AN36" s="11" t="n">
        <f aca="false">AN33+Tax!AN13-AN34-AN35</f>
        <v>28.1446120231028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9.79312983613362</v>
      </c>
      <c r="P37" s="11" t="n">
        <f aca="false">MAX(0,O43+Financials!P14)</f>
        <v>17.2168494579443</v>
      </c>
      <c r="Q37" s="11" t="n">
        <f aca="false">MAX(0,P43+Financials!Q14)</f>
        <v>25.9965265640678</v>
      </c>
      <c r="R37" s="11" t="n">
        <f aca="false">MAX(0,Q43+Financials!R14)</f>
        <v>35.2442707889545</v>
      </c>
      <c r="S37" s="11" t="n">
        <f aca="false">MAX(0,R43+Financials!S14)</f>
        <v>45.7213513396767</v>
      </c>
      <c r="T37" s="11" t="n">
        <f aca="false">MAX(0,S43+Financials!T14)</f>
        <v>56.6812043188679</v>
      </c>
      <c r="U37" s="11" t="n">
        <f aca="false">MAX(0,T43+Financials!U14)</f>
        <v>68.8719833251628</v>
      </c>
      <c r="V37" s="11" t="n">
        <f aca="false">MAX(0,U43+Financials!V14)</f>
        <v>79.3774290382858</v>
      </c>
      <c r="W37" s="11" t="n">
        <f aca="false">MAX(0,V43+Financials!W14)</f>
        <v>93.6942462174172</v>
      </c>
      <c r="X37" s="11" t="n">
        <f aca="false">MAX(0,W43+Financials!X14)</f>
        <v>108.690128405036</v>
      </c>
      <c r="Y37" s="11" t="n">
        <f aca="false">MAX(0,X43+Financials!Y14)</f>
        <v>121.681161310842</v>
      </c>
      <c r="Z37" s="11" t="n">
        <f aca="false">MAX(0,Y43+Financials!Z14)</f>
        <v>129.462562812273</v>
      </c>
      <c r="AA37" s="11" t="n">
        <f aca="false">MAX(0,Z43+Financials!AA14)</f>
        <v>138.218251346519</v>
      </c>
      <c r="AB37" s="11" t="n">
        <f aca="false">MAX(0,AA43+Financials!AB14)</f>
        <v>147.541266423835</v>
      </c>
      <c r="AC37" s="11" t="n">
        <f aca="false">MAX(0,AB43+Financials!AC14)</f>
        <v>157.921968736987</v>
      </c>
      <c r="AD37" s="11" t="n">
        <f aca="false">MAX(0,AC43+Financials!AD14)</f>
        <v>160.224751165563</v>
      </c>
      <c r="AE37" s="11" t="n">
        <f aca="false">MAX(0,AD43+Financials!AE14)</f>
        <v>172.544194693955</v>
      </c>
      <c r="AF37" s="11" t="n">
        <f aca="false">MAX(0,AE43+Financials!AF14)</f>
        <v>185.588066093903</v>
      </c>
      <c r="AG37" s="11" t="n">
        <f aca="false">MAX(0,AF43+Financials!AG14)</f>
        <v>199.72844831125</v>
      </c>
      <c r="AH37" s="11" t="n">
        <f aca="false">MAX(0,AG43+Financials!AH14)</f>
        <v>214.884373818522</v>
      </c>
      <c r="AI37" s="11" t="n">
        <f aca="false">MAX(0,AH43+Financials!AI14)</f>
        <v>231.351093008944</v>
      </c>
      <c r="AJ37" s="11" t="n">
        <f aca="false">MAX(0,AI43+Financials!AJ14)</f>
        <v>248.926248453054</v>
      </c>
      <c r="AK37" s="11" t="n">
        <f aca="false">MAX(0,AJ43+Financials!AK14)</f>
        <v>267.934371519325</v>
      </c>
      <c r="AL37" s="11" t="n">
        <f aca="false">MAX(0,AK43+Financials!AL14)</f>
        <v>286.241964627956</v>
      </c>
      <c r="AM37" s="11" t="n">
        <f aca="false">MAX(0,AL43+Financials!AM14)</f>
        <v>308.335246192877</v>
      </c>
      <c r="AN37" s="11" t="n">
        <f aca="false">MAX(0,AM43+Financials!AN14)</f>
        <v>331.779647886664</v>
      </c>
      <c r="AO37" s="11" t="n">
        <f aca="false">MAX(0,AN43+Financials!AO14)</f>
        <v>356.398400398773</v>
      </c>
      <c r="AP37" s="11" t="n">
        <f aca="false">MAX(0,AO43+Financials!AP14)</f>
        <v>370.37710707192</v>
      </c>
      <c r="AQ37" s="11" t="n">
        <f aca="false">MAX(0,AP43+Financials!AQ14)</f>
        <v>354.86511451856</v>
      </c>
      <c r="AR37" s="11" t="n">
        <f aca="false">MAX(0,AQ43+Financials!AR14)</f>
        <v>339.868063312959</v>
      </c>
      <c r="AS37" s="11" t="n">
        <f aca="false">MAX(0,AR43+Financials!AS14)</f>
        <v>324.454780987427</v>
      </c>
      <c r="AT37" s="11" t="n">
        <f aca="false">MAX(0,AS43+Financials!AT14)</f>
        <v>298.999103053471</v>
      </c>
      <c r="AU37" s="11" t="n">
        <f aca="false">MAX(0,AT43+Financials!AU14)</f>
        <v>277.402324429431</v>
      </c>
      <c r="AV37" s="11" t="n">
        <f aca="false">MAX(0,AU43+Financials!AV14)</f>
        <v>260.171247914685</v>
      </c>
      <c r="AW37" s="11" t="n">
        <f aca="false">MAX(0,AV43+Financials!AW14)</f>
        <v>242.932852401851</v>
      </c>
      <c r="AX37" s="11" t="n">
        <f aca="false">MAX(0,AW43+Financials!AX14)</f>
        <v>226.254104910503</v>
      </c>
      <c r="AY37" s="11" t="n">
        <f aca="false">MAX(0,AX43+Financials!AY14)</f>
        <v>208.986580432582</v>
      </c>
      <c r="AZ37" s="11" t="n">
        <f aca="false">MAX(0,AY43+Financials!AZ14)</f>
        <v>192.249156827698</v>
      </c>
      <c r="BA37" s="11" t="n">
        <f aca="false">MAX(0,AZ43+Financials!BA14)</f>
        <v>175.056223307616</v>
      </c>
      <c r="BB37" s="11" t="n">
        <f aca="false">MAX(0,BA43+Financials!BB14)</f>
        <v>156.406513683886</v>
      </c>
      <c r="BC37" s="11" t="n">
        <f aca="false">MAX(0,BB43+Financials!BC14)</f>
        <v>139.038964373561</v>
      </c>
      <c r="BD37" s="11" t="n">
        <f aca="false">MAX(0,BC43+Financials!BD14)</f>
        <v>125.076266845922</v>
      </c>
      <c r="BE37" s="11" t="n">
        <f aca="false">MAX(0,BD43+Financials!BE14)</f>
        <v>117.355000963019</v>
      </c>
      <c r="BF37" s="11" t="n">
        <f aca="false">MAX(0,BE43+Financials!BF14)</f>
        <v>110.231556702355</v>
      </c>
      <c r="BG37" s="11" t="n">
        <f aca="false">MAX(0,BF43+Financials!BG14)</f>
        <v>102.512729082591</v>
      </c>
      <c r="BH37" s="11" t="n">
        <f aca="false">MAX(0,BG43+Financials!BH14)</f>
        <v>95.3575502926322</v>
      </c>
      <c r="BI37" s="11" t="n">
        <f aca="false">MAX(0,BH43+Financials!BI14)</f>
        <v>87.7944518346526</v>
      </c>
      <c r="BJ37" s="11" t="n">
        <f aca="false">MAX(0,BI43+Financials!BJ14)</f>
        <v>68.3276624829325</v>
      </c>
      <c r="BK37" s="11" t="n">
        <f aca="false">MAX(0,BJ43+Financials!BK14)</f>
        <v>53.3747900035357</v>
      </c>
      <c r="BL37" s="11" t="n">
        <f aca="false">MAX(0,BK43+Financials!BL14)</f>
        <v>43.5951084759409</v>
      </c>
      <c r="BM37" s="11" t="n">
        <f aca="false">MAX(0,BL43+Financials!BM14)</f>
        <v>10.4045845963186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12.0374731238793</v>
      </c>
      <c r="AP38" s="11" t="n">
        <f aca="false">AP24*MIN(AP31-AP34-AP35,AP37)</f>
        <v>41.6065463833064</v>
      </c>
      <c r="AQ38" s="11" t="n">
        <f aca="false">AQ24*MIN(AQ31-AQ34-AQ35,AQ37)</f>
        <v>41.1574518197032</v>
      </c>
      <c r="AR38" s="11" t="n">
        <f aca="false">AR24*MIN(AR31-AR34-AR35,AR37)</f>
        <v>41.7513447779987</v>
      </c>
      <c r="AS38" s="11" t="n">
        <f aca="false">AS24*MIN(AS31-AS34-AS35,AS37)</f>
        <v>41.4840678337932</v>
      </c>
      <c r="AT38" s="11" t="n">
        <f aca="false">AT24*MIN(AT31-AT34-AT35,AT37)</f>
        <v>48.2154950821326</v>
      </c>
      <c r="AU38" s="11" t="n">
        <f aca="false">AU24*MIN(AU31-AU34-AU35,AU37)</f>
        <v>43.7762166513415</v>
      </c>
      <c r="AV38" s="11" t="n">
        <f aca="false">AV24*MIN(AV31-AV34-AV35,AV37)</f>
        <v>43.8963319855744</v>
      </c>
      <c r="AW38" s="11" t="n">
        <f aca="false">AW24*MIN(AW31-AW34-AW35,AW37)</f>
        <v>43.469466754219</v>
      </c>
      <c r="AX38" s="11" t="n">
        <f aca="false">AX24*MIN(AX31-AX34-AX35,AX37)</f>
        <v>44.1417443542776</v>
      </c>
      <c r="AY38" s="11" t="n">
        <f aca="false">AY24*MIN(AY31-AY34-AY35,AY37)</f>
        <v>43.6826037006889</v>
      </c>
      <c r="AZ38" s="11" t="n">
        <f aca="false">AZ24*MIN(AZ31-AZ34-AZ35,AZ37)</f>
        <v>44.2974310433168</v>
      </c>
      <c r="BA38" s="11" t="n">
        <f aca="false">BA24*MIN(BA31-BA34-BA35,BA37)</f>
        <v>43.5026843769461</v>
      </c>
      <c r="BB38" s="11" t="n">
        <f aca="false">BB24*MIN(BB31-BB34-BB35,BB37)</f>
        <v>44.7416746918274</v>
      </c>
      <c r="BC38" s="11" t="n">
        <f aca="false">BC24*MIN(BC31-BC34-BC35,BC37)</f>
        <v>41.3238371536044</v>
      </c>
      <c r="BD38" s="11" t="n">
        <f aca="false">BD24*MIN(BD31-BD34-BD35,BD37)</f>
        <v>35.2040829880542</v>
      </c>
      <c r="BE38" s="11" t="n">
        <f aca="false">BE24*MIN(BE31-BE34-BE35,BE37)</f>
        <v>34.751674570313</v>
      </c>
      <c r="BF38" s="11" t="n">
        <f aca="false">BF24*MIN(BF31-BF34-BF35,BF37)</f>
        <v>35.4360195856147</v>
      </c>
      <c r="BG38" s="11" t="n">
        <f aca="false">BG24*MIN(BG31-BG34-BG35,BG37)</f>
        <v>34.9488421342375</v>
      </c>
      <c r="BH38" s="11" t="n">
        <f aca="false">BH24*MIN(BH31-BH34-BH35,BH37)</f>
        <v>35.5689325865503</v>
      </c>
      <c r="BI38" s="11" t="n">
        <f aca="false">BI24*MIN(BI31-BI34-BI35,BI37)</f>
        <v>35.288343743406</v>
      </c>
      <c r="BJ38" s="11" t="n">
        <f aca="false">BJ24*MIN(BJ31-BJ34-BJ35,BJ37)</f>
        <v>43.2931564015163</v>
      </c>
      <c r="BK38" s="11" t="n">
        <f aca="false">BK24*MIN(BK31-BK34-BK35,BK37)</f>
        <v>38.023103943991</v>
      </c>
      <c r="BL38" s="11" t="n">
        <f aca="false">BL24*MIN(BL31-BL34-BL35,BL37)</f>
        <v>38.747362885205</v>
      </c>
      <c r="BM38" s="11" t="n">
        <f aca="false">BM24*MIN(BM31-BM34-BM35,BM37)</f>
        <v>10.4045845963186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1005.11722668463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12.0374731238793</v>
      </c>
      <c r="AP41" s="11" t="n">
        <f aca="false">AP38+AP40</f>
        <v>41.6065463833064</v>
      </c>
      <c r="AQ41" s="11" t="n">
        <f aca="false">AQ38+AQ40</f>
        <v>41.1574518197032</v>
      </c>
      <c r="AR41" s="11" t="n">
        <f aca="false">AR38+AR40</f>
        <v>41.7513447779987</v>
      </c>
      <c r="AS41" s="11" t="n">
        <f aca="false">AS38+AS40</f>
        <v>41.4840678337932</v>
      </c>
      <c r="AT41" s="11" t="n">
        <f aca="false">AT38+AT40</f>
        <v>48.2154950821326</v>
      </c>
      <c r="AU41" s="11" t="n">
        <f aca="false">AU38+AU40</f>
        <v>43.7762166513415</v>
      </c>
      <c r="AV41" s="11" t="n">
        <f aca="false">AV38+AV40</f>
        <v>43.8963319855744</v>
      </c>
      <c r="AW41" s="11" t="n">
        <f aca="false">AW38+AW40</f>
        <v>43.469466754219</v>
      </c>
      <c r="AX41" s="11" t="n">
        <f aca="false">AX38+AX40</f>
        <v>44.1417443542776</v>
      </c>
      <c r="AY41" s="11" t="n">
        <f aca="false">AY38+AY40</f>
        <v>43.6826037006889</v>
      </c>
      <c r="AZ41" s="11" t="n">
        <f aca="false">AZ38+AZ40</f>
        <v>44.2974310433168</v>
      </c>
      <c r="BA41" s="11" t="n">
        <f aca="false">BA38+BA40</f>
        <v>43.5026843769461</v>
      </c>
      <c r="BB41" s="11" t="n">
        <f aca="false">BB38+BB40</f>
        <v>44.7416746918274</v>
      </c>
      <c r="BC41" s="11" t="n">
        <f aca="false">BC38+BC40</f>
        <v>41.3238371536044</v>
      </c>
      <c r="BD41" s="11" t="n">
        <f aca="false">BD38+BD40</f>
        <v>35.2040829880542</v>
      </c>
      <c r="BE41" s="11" t="n">
        <f aca="false">BE38+BE40</f>
        <v>34.751674570313</v>
      </c>
      <c r="BF41" s="11" t="n">
        <f aca="false">BF38+BF40</f>
        <v>35.4360195856147</v>
      </c>
      <c r="BG41" s="11" t="n">
        <f aca="false">BG38+BG40</f>
        <v>34.9488421342375</v>
      </c>
      <c r="BH41" s="11" t="n">
        <f aca="false">BH38+BH40</f>
        <v>35.5689325865503</v>
      </c>
      <c r="BI41" s="11" t="n">
        <f aca="false">BI38+BI40</f>
        <v>35.288343743406</v>
      </c>
      <c r="BJ41" s="11" t="n">
        <f aca="false">BJ38+BJ40</f>
        <v>43.2931564015163</v>
      </c>
      <c r="BK41" s="11" t="n">
        <f aca="false">BK38+BK40</f>
        <v>38.023103943991</v>
      </c>
      <c r="BL41" s="11" t="n">
        <f aca="false">BL38+BL40</f>
        <v>38.747362885205</v>
      </c>
      <c r="BM41" s="11" t="n">
        <f aca="false">BM38+BM40</f>
        <v>54.7713381131302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9.79312983613362</v>
      </c>
      <c r="P43" s="11" t="n">
        <f aca="false">IF(Time!P17&lt;Time!$F$11,0,O43+Financials!P14-P41)</f>
        <v>17.2168494579443</v>
      </c>
      <c r="Q43" s="11" t="n">
        <f aca="false">IF(Time!Q17&lt;Time!$F$11,0,P43+Financials!Q14-Q41)</f>
        <v>25.9965265640678</v>
      </c>
      <c r="R43" s="11" t="n">
        <f aca="false">IF(Time!R17&lt;Time!$F$11,0,Q43+Financials!R14-R41)</f>
        <v>35.2442707889545</v>
      </c>
      <c r="S43" s="11" t="n">
        <f aca="false">IF(Time!S17&lt;Time!$F$11,0,R43+Financials!S14-S41)</f>
        <v>45.7213513396767</v>
      </c>
      <c r="T43" s="11" t="n">
        <f aca="false">IF(Time!T17&lt;Time!$F$11,0,S43+Financials!T14-T41)</f>
        <v>56.6812043188679</v>
      </c>
      <c r="U43" s="11" t="n">
        <f aca="false">IF(Time!U17&lt;Time!$F$11,0,T43+Financials!U14-U41)</f>
        <v>68.8719833251628</v>
      </c>
      <c r="V43" s="11" t="n">
        <f aca="false">IF(Time!V17&lt;Time!$F$11,0,U43+Financials!V14-V41)</f>
        <v>79.3774290382858</v>
      </c>
      <c r="W43" s="11" t="n">
        <f aca="false">IF(Time!W17&lt;Time!$F$11,0,V43+Financials!W14-W41)</f>
        <v>93.6942462174172</v>
      </c>
      <c r="X43" s="11" t="n">
        <f aca="false">IF(Time!X17&lt;Time!$F$11,0,W43+Financials!X14-X41)</f>
        <v>108.690128405036</v>
      </c>
      <c r="Y43" s="11" t="n">
        <f aca="false">IF(Time!Y17&lt;Time!$F$11,0,X43+Financials!Y14-Y41)</f>
        <v>121.681161310842</v>
      </c>
      <c r="Z43" s="11" t="n">
        <f aca="false">IF(Time!Z17&lt;Time!$F$11,0,Y43+Financials!Z14-Z41)</f>
        <v>129.462562812273</v>
      </c>
      <c r="AA43" s="11" t="n">
        <f aca="false">IF(Time!AA17&lt;Time!$F$11,0,Z43+Financials!AA14-AA41)</f>
        <v>138.218251346519</v>
      </c>
      <c r="AB43" s="11" t="n">
        <f aca="false">IF(Time!AB17&lt;Time!$F$11,0,AA43+Financials!AB14-AB41)</f>
        <v>147.541266423835</v>
      </c>
      <c r="AC43" s="11" t="n">
        <f aca="false">IF(Time!AC17&lt;Time!$F$11,0,AB43+Financials!AC14-AC41)</f>
        <v>157.921968736987</v>
      </c>
      <c r="AD43" s="11" t="n">
        <f aca="false">IF(Time!AD17&lt;Time!$F$11,0,AC43+Financials!AD14-AD41)</f>
        <v>160.224751165563</v>
      </c>
      <c r="AE43" s="11" t="n">
        <f aca="false">IF(Time!AE17&lt;Time!$F$11,0,AD43+Financials!AE14-AE41)</f>
        <v>172.544194693955</v>
      </c>
      <c r="AF43" s="11" t="n">
        <f aca="false">IF(Time!AF17&lt;Time!$F$11,0,AE43+Financials!AF14-AF41)</f>
        <v>185.588066093903</v>
      </c>
      <c r="AG43" s="11" t="n">
        <f aca="false">IF(Time!AG17&lt;Time!$F$11,0,AF43+Financials!AG14-AG41)</f>
        <v>199.72844831125</v>
      </c>
      <c r="AH43" s="11" t="n">
        <f aca="false">IF(Time!AH17&lt;Time!$F$11,0,AG43+Financials!AH14-AH41)</f>
        <v>214.884373818522</v>
      </c>
      <c r="AI43" s="11" t="n">
        <f aca="false">IF(Time!AI17&lt;Time!$F$11,0,AH43+Financials!AI14-AI41)</f>
        <v>231.351093008944</v>
      </c>
      <c r="AJ43" s="11" t="n">
        <f aca="false">IF(Time!AJ17&lt;Time!$F$11,0,AI43+Financials!AJ14-AJ41)</f>
        <v>248.926248453054</v>
      </c>
      <c r="AK43" s="11" t="n">
        <f aca="false">IF(Time!AK17&lt;Time!$F$11,0,AJ43+Financials!AK14-AK41)</f>
        <v>267.934371519325</v>
      </c>
      <c r="AL43" s="11" t="n">
        <f aca="false">IF(Time!AL17&lt;Time!$F$11,0,AK43+Financials!AL14-AL41)</f>
        <v>286.241964627956</v>
      </c>
      <c r="AM43" s="11" t="n">
        <f aca="false">IF(Time!AM17&lt;Time!$F$11,0,AL43+Financials!AM14-AM41)</f>
        <v>308.335246192877</v>
      </c>
      <c r="AN43" s="11" t="n">
        <f aca="false">IF(Time!AN17&lt;Time!$F$11,0,AM43+Financials!AN14-AN41)</f>
        <v>331.779647886664</v>
      </c>
      <c r="AO43" s="11" t="n">
        <f aca="false">IF(Time!AO17&lt;Time!$F$11,0,AN43+Financials!AO14-AO41)</f>
        <v>344.360927274893</v>
      </c>
      <c r="AP43" s="11" t="n">
        <f aca="false">IF(Time!AP17&lt;Time!$F$11,0,AO43+Financials!AP14-AP41)</f>
        <v>328.770560688614</v>
      </c>
      <c r="AQ43" s="11" t="n">
        <f aca="false">IF(Time!AQ17&lt;Time!$F$11,0,AP43+Financials!AQ14-AQ41)</f>
        <v>313.707662698857</v>
      </c>
      <c r="AR43" s="11" t="n">
        <f aca="false">IF(Time!AR17&lt;Time!$F$11,0,AQ43+Financials!AR14-AR41)</f>
        <v>298.11671853496</v>
      </c>
      <c r="AS43" s="11" t="n">
        <f aca="false">IF(Time!AS17&lt;Time!$F$11,0,AR43+Financials!AS14-AS41)</f>
        <v>282.970713153634</v>
      </c>
      <c r="AT43" s="11" t="n">
        <f aca="false">IF(Time!AT17&lt;Time!$F$11,0,AS43+Financials!AT14-AT41)</f>
        <v>250.783607971339</v>
      </c>
      <c r="AU43" s="11" t="n">
        <f aca="false">IF(Time!AU17&lt;Time!$F$11,0,AT43+Financials!AU14-AU41)</f>
        <v>233.62610777809</v>
      </c>
      <c r="AV43" s="11" t="n">
        <f aca="false">IF(Time!AV17&lt;Time!$F$11,0,AU43+Financials!AV14-AV41)</f>
        <v>216.274915929111</v>
      </c>
      <c r="AW43" s="11" t="n">
        <f aca="false">IF(Time!AW17&lt;Time!$F$11,0,AV43+Financials!AW14-AW41)</f>
        <v>199.463385647632</v>
      </c>
      <c r="AX43" s="11" t="n">
        <f aca="false">IF(Time!AX17&lt;Time!$F$11,0,AW43+Financials!AX14-AX41)</f>
        <v>182.112360556225</v>
      </c>
      <c r="AY43" s="11" t="n">
        <f aca="false">IF(Time!AY17&lt;Time!$F$11,0,AX43+Financials!AY14-AY41)</f>
        <v>165.303976731893</v>
      </c>
      <c r="AZ43" s="11" t="n">
        <f aca="false">IF(Time!AZ17&lt;Time!$F$11,0,AY43+Financials!AZ14-AZ41)</f>
        <v>147.951725784381</v>
      </c>
      <c r="BA43" s="11" t="n">
        <f aca="false">IF(Time!BA17&lt;Time!$F$11,0,AZ43+Financials!BA14-BA41)</f>
        <v>131.55353893067</v>
      </c>
      <c r="BB43" s="11" t="n">
        <f aca="false">IF(Time!BB17&lt;Time!$F$11,0,BA43+Financials!BB14-BB41)</f>
        <v>111.664838992059</v>
      </c>
      <c r="BC43" s="11" t="n">
        <f aca="false">IF(Time!BC17&lt;Time!$F$11,0,BB43+Financials!BC14-BC41)</f>
        <v>97.7151272199561</v>
      </c>
      <c r="BD43" s="11" t="n">
        <f aca="false">IF(Time!BD17&lt;Time!$F$11,0,BC43+Financials!BD14-BD41)</f>
        <v>89.8721838578676</v>
      </c>
      <c r="BE43" s="11" t="n">
        <f aca="false">IF(Time!BE17&lt;Time!$F$11,0,BD43+Financials!BE14-BE41)</f>
        <v>82.6033263927059</v>
      </c>
      <c r="BF43" s="11" t="n">
        <f aca="false">IF(Time!BF17&lt;Time!$F$11,0,BE43+Financials!BF14-BF41)</f>
        <v>74.7955371167398</v>
      </c>
      <c r="BG43" s="11" t="n">
        <f aca="false">IF(Time!BG17&lt;Time!$F$11,0,BF43+Financials!BG14-BG41)</f>
        <v>67.5638869483538</v>
      </c>
      <c r="BH43" s="11" t="n">
        <f aca="false">IF(Time!BH17&lt;Time!$F$11,0,BG43+Financials!BH14-BH41)</f>
        <v>59.7886177060819</v>
      </c>
      <c r="BI43" s="11" t="n">
        <f aca="false">IF(Time!BI17&lt;Time!$F$11,0,BH43+Financials!BI14-BI41)</f>
        <v>52.5061080912466</v>
      </c>
      <c r="BJ43" s="11" t="n">
        <f aca="false">IF(Time!BJ17&lt;Time!$F$11,0,BI43+Financials!BJ14-BJ41)</f>
        <v>25.0345060814162</v>
      </c>
      <c r="BK43" s="11" t="n">
        <f aca="false">IF(Time!BK17&lt;Time!$F$11,0,BJ43+Financials!BK14-BK41)</f>
        <v>15.3516860595447</v>
      </c>
      <c r="BL43" s="11" t="n">
        <f aca="false">IF(Time!BL17&lt;Time!$F$11,0,BK43+Financials!BL14-BL41)</f>
        <v>4.8477455907359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1395.95656779226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15.0431875520562</v>
      </c>
      <c r="Q44" s="11" t="n">
        <f aca="false">Q34+Q35+Q41</f>
        <v>12.5775422667034</v>
      </c>
      <c r="R44" s="11" t="n">
        <f aca="false">R34+R35+R41</f>
        <v>13.4984572709862</v>
      </c>
      <c r="S44" s="11" t="n">
        <f aca="false">S34+S35+S41</f>
        <v>12.6849716672045</v>
      </c>
      <c r="T44" s="11" t="n">
        <f aca="false">T34+T35+T41</f>
        <v>13.427946993756</v>
      </c>
      <c r="U44" s="11" t="n">
        <f aca="false">U34+U35+U41</f>
        <v>12.4646331772141</v>
      </c>
      <c r="V44" s="11" t="n">
        <f aca="false">V34+V35+V41</f>
        <v>13.6948951770782</v>
      </c>
      <c r="W44" s="11" t="n">
        <f aca="false">W34+W35+W41</f>
        <v>14.431893426527</v>
      </c>
      <c r="X44" s="11" t="n">
        <f aca="false">X34+X35+X41</f>
        <v>13.3065573629278</v>
      </c>
      <c r="Y44" s="11" t="n">
        <f aca="false">Y34+Y35+Y41</f>
        <v>12.5221955375342</v>
      </c>
      <c r="Z44" s="11" t="n">
        <f aca="false">Z34+Z35+Z41</f>
        <v>13.2232504532553</v>
      </c>
      <c r="AA44" s="11" t="n">
        <f aca="false">AA34+AA35+AA41</f>
        <v>6.19467292392291</v>
      </c>
      <c r="AB44" s="11" t="n">
        <f aca="false">AB34+AB35+AB41</f>
        <v>7.20343814378053</v>
      </c>
      <c r="AC44" s="11" t="n">
        <f aca="false">AC34+AC35+AC41</f>
        <v>6.87529341495345</v>
      </c>
      <c r="AD44" s="11" t="n">
        <f aca="false">AD34+AD35+AD41</f>
        <v>8.21644113806305</v>
      </c>
      <c r="AE44" s="11" t="n">
        <f aca="false">AE34+AE35+AE41</f>
        <v>8.82925971748235</v>
      </c>
      <c r="AF44" s="11" t="n">
        <f aca="false">AF34+AF35+AF41</f>
        <v>9.72559979921583</v>
      </c>
      <c r="AG44" s="11" t="n">
        <f aca="false">AG34+AG35+AG41</f>
        <v>10.1611150818953</v>
      </c>
      <c r="AH44" s="11" t="n">
        <f aca="false">AH34+AH35+AH41</f>
        <v>11.5431056828627</v>
      </c>
      <c r="AI44" s="11" t="n">
        <f aca="false">AI34+AI35+AI41</f>
        <v>12.4209849507657</v>
      </c>
      <c r="AJ44" s="11" t="n">
        <f aca="false">AJ34+AJ35+AJ41</f>
        <v>15.0914768069019</v>
      </c>
      <c r="AK44" s="11" t="n">
        <f aca="false">AK34+AK35+AK41</f>
        <v>31.8746679581498</v>
      </c>
      <c r="AL44" s="11" t="n">
        <f aca="false">AL34+AL35+AL41</f>
        <v>29.6966486828974</v>
      </c>
      <c r="AM44" s="11" t="n">
        <f aca="false">AM34+AM35+AM41</f>
        <v>33.181686259403</v>
      </c>
      <c r="AN44" s="11" t="n">
        <f aca="false">AN34+AN35+AN41</f>
        <v>23.4789265328682</v>
      </c>
      <c r="AO44" s="11" t="n">
        <f aca="false">AO34+AO35+AO41</f>
        <v>41.5079662531116</v>
      </c>
      <c r="AP44" s="11" t="n">
        <f aca="false">AP34+AP35+AP41</f>
        <v>41.6065463833064</v>
      </c>
      <c r="AQ44" s="11" t="n">
        <f aca="false">AQ34+AQ35+AQ41</f>
        <v>41.1574518197032</v>
      </c>
      <c r="AR44" s="11" t="n">
        <f aca="false">AR34+AR35+AR41</f>
        <v>41.7513447779987</v>
      </c>
      <c r="AS44" s="11" t="n">
        <f aca="false">AS34+AS35+AS41</f>
        <v>41.4840678337932</v>
      </c>
      <c r="AT44" s="11" t="n">
        <f aca="false">AT34+AT35+AT41</f>
        <v>48.2154950821326</v>
      </c>
      <c r="AU44" s="11" t="n">
        <f aca="false">AU34+AU35+AU41</f>
        <v>43.7762166513415</v>
      </c>
      <c r="AV44" s="11" t="n">
        <f aca="false">AV34+AV35+AV41</f>
        <v>43.8963319855744</v>
      </c>
      <c r="AW44" s="11" t="n">
        <f aca="false">AW34+AW35+AW41</f>
        <v>43.469466754219</v>
      </c>
      <c r="AX44" s="11" t="n">
        <f aca="false">AX34+AX35+AX41</f>
        <v>44.1417443542776</v>
      </c>
      <c r="AY44" s="11" t="n">
        <f aca="false">AY34+AY35+AY41</f>
        <v>43.6826037006889</v>
      </c>
      <c r="AZ44" s="11" t="n">
        <f aca="false">AZ34+AZ35+AZ41</f>
        <v>44.2974310433168</v>
      </c>
      <c r="BA44" s="11" t="n">
        <f aca="false">BA34+BA35+BA41</f>
        <v>43.5026843769461</v>
      </c>
      <c r="BB44" s="11" t="n">
        <f aca="false">BB34+BB35+BB41</f>
        <v>44.7416746918274</v>
      </c>
      <c r="BC44" s="11" t="n">
        <f aca="false">BC34+BC35+BC41</f>
        <v>41.3238371536044</v>
      </c>
      <c r="BD44" s="11" t="n">
        <f aca="false">BD34+BD35+BD41</f>
        <v>35.2040829880542</v>
      </c>
      <c r="BE44" s="11" t="n">
        <f aca="false">BE34+BE35+BE41</f>
        <v>34.751674570313</v>
      </c>
      <c r="BF44" s="11" t="n">
        <f aca="false">BF34+BF35+BF41</f>
        <v>35.4360195856147</v>
      </c>
      <c r="BG44" s="11" t="n">
        <f aca="false">BG34+BG35+BG41</f>
        <v>34.9488421342375</v>
      </c>
      <c r="BH44" s="11" t="n">
        <f aca="false">BH34+BH35+BH41</f>
        <v>35.5689325865503</v>
      </c>
      <c r="BI44" s="11" t="n">
        <f aca="false">BI34+BI35+BI41</f>
        <v>35.288343743406</v>
      </c>
      <c r="BJ44" s="11" t="n">
        <f aca="false">BJ34+BJ35+BJ41</f>
        <v>43.2931564015163</v>
      </c>
      <c r="BK44" s="11" t="n">
        <f aca="false">BK34+BK35+BK41</f>
        <v>38.023103943991</v>
      </c>
      <c r="BL44" s="11" t="n">
        <f aca="false">BL34+BL35+BL41</f>
        <v>38.747362885205</v>
      </c>
      <c r="BM44" s="11" t="n">
        <f aca="false">BM34+BM35+BM41</f>
        <v>54.7713381131302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501.914578495527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30.4161960108342</v>
      </c>
      <c r="R9" s="11" t="n">
        <f aca="false">Debt!R119+Debt!R117+Debt!R111-Debt!R110+Tax!R13</f>
        <v>30.0925835314827</v>
      </c>
      <c r="S9" s="11" t="n">
        <f aca="false">Debt!S119+Debt!S117+Debt!S111-Debt!S110+Tax!S13</f>
        <v>28.9558200175125</v>
      </c>
      <c r="T9" s="11" t="n">
        <f aca="false">Debt!T119+Debt!T117+Debt!T111-Debt!T110+Tax!T13</f>
        <v>28.5482133620076</v>
      </c>
      <c r="U9" s="11" t="n">
        <f aca="false">Debt!U119+Debt!U117+Debt!U111-Debt!U110+Tax!U13</f>
        <v>27.4797648419232</v>
      </c>
      <c r="V9" s="11" t="n">
        <f aca="false">Debt!V119+Debt!V117+Debt!V111-Debt!V110+Tax!V13</f>
        <v>26.8844970491216</v>
      </c>
      <c r="W9" s="11" t="n">
        <f aca="false">Debt!W119+Debt!W117+Debt!W111-Debt!W110+Tax!W13</f>
        <v>25.6280878732406</v>
      </c>
      <c r="X9" s="11" t="n">
        <f aca="false">Debt!X119+Debt!X117+Debt!X111-Debt!X110+Tax!X13</f>
        <v>24.947377548965</v>
      </c>
      <c r="Y9" s="11" t="n">
        <f aca="false">Debt!Y119+Debt!Y117+Debt!Y111-Debt!Y110+Tax!Y13</f>
        <v>24.2045904090539</v>
      </c>
      <c r="Z9" s="11" t="n">
        <f aca="false">Debt!Z119+Debt!Z117+Debt!Z111-Debt!Z110+Tax!Z13</f>
        <v>23.5718052414457</v>
      </c>
      <c r="AA9" s="11" t="n">
        <f aca="false">Debt!AA119+Debt!AA117+Debt!AA111-Debt!AA110+Tax!AA13</f>
        <v>22.2760636518005</v>
      </c>
      <c r="AB9" s="11" t="n">
        <f aca="false">Debt!AB119+Debt!AB117+Debt!AB111-Debt!AB110+Tax!AB13</f>
        <v>21.5438360797724</v>
      </c>
      <c r="AC9" s="11" t="n">
        <f aca="false">Debt!AC119+Debt!AC117+Debt!AC111-Debt!AC110+Tax!AC13</f>
        <v>20.2441067462214</v>
      </c>
      <c r="AD9" s="11" t="n">
        <f aca="false">Debt!AD119+Debt!AD117+Debt!AD111-Debt!AD110+Tax!AD13</f>
        <v>19.3136870391377</v>
      </c>
      <c r="AE9" s="11" t="n">
        <f aca="false">Debt!AE119+Debt!AE117+Debt!AE111-Debt!AE110+Tax!AE13</f>
        <v>17.8072099942111</v>
      </c>
      <c r="AF9" s="11" t="n">
        <f aca="false">Debt!AF119+Debt!AF117+Debt!AF111-Debt!AF110+Tax!AF13</f>
        <v>16.6889452480946</v>
      </c>
      <c r="AG9" s="11" t="n">
        <f aca="false">Debt!AG119+Debt!AG117+Debt!AG111-Debt!AG110+Tax!AG13</f>
        <v>15.2587445342877</v>
      </c>
      <c r="AH9" s="11" t="n">
        <f aca="false">Debt!AH119+Debt!AH117+Debt!AH111-Debt!AH110+Tax!AH13</f>
        <v>13.9639639602789</v>
      </c>
      <c r="AI9" s="11" t="n">
        <f aca="false">Debt!AI119+Debt!AI117+Debt!AI111-Debt!AI110+Tax!AI13</f>
        <v>12.1937282968727</v>
      </c>
      <c r="AJ9" s="11" t="n">
        <f aca="false">Debt!AJ119+Debt!AJ117+Debt!AJ111-Debt!AJ110+Tax!AJ13</f>
        <v>10.694531252502</v>
      </c>
      <c r="AK9" s="11" t="n">
        <f aca="false">Debt!AK119+Debt!AK117+Debt!AK111-Debt!AK110+Tax!AK13</f>
        <v>8.83785441257226</v>
      </c>
      <c r="AL9" s="11" t="n">
        <f aca="false">Debt!AL119+Debt!AL117+Debt!AL111-Debt!AL110+Tax!AL13</f>
        <v>7.12924491544456</v>
      </c>
      <c r="AM9" s="11" t="n">
        <f aca="false">Debt!AM119+Debt!AM117+Debt!AM111-Debt!AM110+Tax!AM13</f>
        <v>5.29044199464854</v>
      </c>
      <c r="AN9" s="11" t="n">
        <f aca="false">Debt!AN119+Debt!AN117+Debt!AN111-Debt!AN110+Tax!AN13</f>
        <v>3.35137880156771</v>
      </c>
      <c r="AO9" s="11" t="n">
        <f aca="false">Debt!AO119+Debt!AO117+Debt!AO111-Debt!AO110+Tax!AO13</f>
        <v>1.82313449016008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-49.1164895261328</v>
      </c>
      <c r="Z12" s="11" t="n">
        <f aca="false">IF(Time!Z17&gt;=Time!$F$11,Inputs!$F$181/100*(Z11-Z10-Tax!Z21),0)</f>
        <v>-45.6292496535165</v>
      </c>
      <c r="AA12" s="11" t="n">
        <f aca="false">IF(Time!AA17&gt;=Time!$F$11,Inputs!$F$181/100*(AA11-AA10-Tax!AA21),0)</f>
        <v>-41.7236974700085</v>
      </c>
      <c r="AB12" s="11" t="n">
        <f aca="false">IF(Time!AB17&gt;=Time!$F$11,Inputs!$F$181/100*(AB11-AB10-Tax!AB21),0)</f>
        <v>-37.5741768576594</v>
      </c>
      <c r="AC12" s="11" t="n">
        <f aca="false">IF(Time!AC17&gt;=Time!$F$11,Inputs!$F$181/100*(AC11-AC10-Tax!AC21),0)</f>
        <v>-32.97098040896</v>
      </c>
      <c r="AD12" s="11" t="n">
        <f aca="false">IF(Time!AD17&gt;=Time!$F$11,Inputs!$F$181/100*(AD11-AD10-Tax!AD21),0)</f>
        <v>-31.831681286738</v>
      </c>
      <c r="AE12" s="11" t="n">
        <f aca="false">IF(Time!AE17&gt;=Time!$F$11,Inputs!$F$181/100*(AE11-AE10-Tax!AE21),0)</f>
        <v>-26.3964858009349</v>
      </c>
      <c r="AF12" s="11" t="n">
        <f aca="false">IF(Time!AF17&gt;=Time!$F$11,Inputs!$F$181/100*(AF11-AF10-Tax!AF21),0)</f>
        <v>-20.6493889214623</v>
      </c>
      <c r="AG12" s="11" t="n">
        <f aca="false">IF(Time!AG17&gt;=Time!$F$11,Inputs!$F$181/100*(AG11-AG10-Tax!AG21),0)</f>
        <v>-14.4316703419073</v>
      </c>
      <c r="AH12" s="11" t="n">
        <f aca="false">IF(Time!AH17&gt;=Time!$F$11,Inputs!$F$181/100*(AH11-AH10-Tax!AH21),0)</f>
        <v>-7.77808637446342</v>
      </c>
      <c r="AI12" s="11" t="n">
        <f aca="false">IF(Time!AI17&gt;=Time!$F$11,Inputs!$F$181/100*(AI11-AI10-Tax!AI21),0)</f>
        <v>-0.561905454030969</v>
      </c>
      <c r="AJ12" s="11" t="n">
        <f aca="false">IF(Time!AJ17&gt;=Time!$F$11,Inputs!$F$181/100*(AJ11-AJ10-Tax!AJ21),0)</f>
        <v>7.13022131263933</v>
      </c>
      <c r="AK12" s="11" t="n">
        <f aca="false">IF(Time!AK17&gt;=Time!$F$11,Inputs!$F$181/100*(AK11-AK10-Tax!AK21),0)</f>
        <v>15.4370304581969</v>
      </c>
      <c r="AL12" s="11" t="n">
        <f aca="false">IF(Time!AL17&gt;=Time!$F$11,Inputs!$F$181/100*(AL11-AL10-Tax!AL21),0)</f>
        <v>23.4439373485846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-2.26204259468506</v>
      </c>
      <c r="Z13" s="11" t="n">
        <f aca="false">Z12-Y12</f>
        <v>3.4872398726163</v>
      </c>
      <c r="AA13" s="11" t="n">
        <f aca="false">AA12-Z12</f>
        <v>3.90555218350795</v>
      </c>
      <c r="AB13" s="11" t="n">
        <f aca="false">AB12-AA12</f>
        <v>4.14952061234909</v>
      </c>
      <c r="AC13" s="11" t="n">
        <f aca="false">AC12-AB12</f>
        <v>4.6031964486994</v>
      </c>
      <c r="AD13" s="11" t="n">
        <f aca="false">AD12-AC12</f>
        <v>1.13929912222206</v>
      </c>
      <c r="AE13" s="11" t="n">
        <f aca="false">AE12-AD12</f>
        <v>5.43519548580305</v>
      </c>
      <c r="AF13" s="11" t="n">
        <f aca="false">AF12-AE12</f>
        <v>5.74709687947262</v>
      </c>
      <c r="AG13" s="11" t="n">
        <f aca="false">AG12-AF12</f>
        <v>6.21771857955504</v>
      </c>
      <c r="AH13" s="11" t="n">
        <f aca="false">AH12-AG12</f>
        <v>6.65358396744383</v>
      </c>
      <c r="AI13" s="11" t="n">
        <f aca="false">AI12-AH12</f>
        <v>7.21618092043245</v>
      </c>
      <c r="AJ13" s="11" t="n">
        <f aca="false">AJ12-AI12</f>
        <v>7.6921267666703</v>
      </c>
      <c r="AK13" s="11" t="n">
        <f aca="false">AK12-AJ12</f>
        <v>8.30680914555762</v>
      </c>
      <c r="AL13" s="11" t="n">
        <f aca="false">AL12-AK12</f>
        <v>8.00690689038768</v>
      </c>
      <c r="AM13" s="11" t="n">
        <f aca="false">AM12-AL12</f>
        <v>8.5174889510815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960.750473167816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9.79312983613362</v>
      </c>
      <c r="P14" s="11" t="n">
        <f aca="false">Operations!P79-P8-P9-Tax!P27-P13</f>
        <v>7.4237196218107</v>
      </c>
      <c r="Q14" s="11" t="n">
        <f aca="false">Operations!Q79-Q8-Q9-Tax!Q27-Q13</f>
        <v>8.77967710612351</v>
      </c>
      <c r="R14" s="11" t="n">
        <f aca="false">Operations!R79-R8-R9-Tax!R27-R13</f>
        <v>9.24774422488671</v>
      </c>
      <c r="S14" s="11" t="n">
        <f aca="false">Operations!S79-S8-S9-Tax!S27-S13</f>
        <v>10.4770805507221</v>
      </c>
      <c r="T14" s="11" t="n">
        <f aca="false">Operations!T79-T8-T9-Tax!T27-T13</f>
        <v>10.9598529791912</v>
      </c>
      <c r="U14" s="11" t="n">
        <f aca="false">Operations!U79-U8-U9-Tax!U27-U13</f>
        <v>12.190779006295</v>
      </c>
      <c r="V14" s="11" t="n">
        <f aca="false">Operations!V79-V8-V9-Tax!V27-V13</f>
        <v>10.505445713123</v>
      </c>
      <c r="W14" s="11" t="n">
        <f aca="false">Operations!W79-W8-W9-Tax!W27-W13</f>
        <v>14.3168171791314</v>
      </c>
      <c r="X14" s="11" t="n">
        <f aca="false">Operations!X79-X8-X9-Tax!X27-X13</f>
        <v>14.995882187619</v>
      </c>
      <c r="Y14" s="11" t="n">
        <f aca="false">Operations!Y79-Y8-Y9-Tax!Y27-Y13</f>
        <v>12.9910329058053</v>
      </c>
      <c r="Z14" s="11" t="n">
        <f aca="false">Operations!Z79-Z8-Z9-Tax!Z27-Z13</f>
        <v>7.78140150143116</v>
      </c>
      <c r="AA14" s="11" t="n">
        <f aca="false">Operations!AA79-AA8-AA9-Tax!AA27-AA13</f>
        <v>8.755688534246</v>
      </c>
      <c r="AB14" s="11" t="n">
        <f aca="false">Operations!AB79-AB8-AB9-Tax!AB27-AB13</f>
        <v>9.32301507731636</v>
      </c>
      <c r="AC14" s="11" t="n">
        <f aca="false">Operations!AC79-AC8-AC9-Tax!AC27-AC13</f>
        <v>10.3807023131521</v>
      </c>
      <c r="AD14" s="11" t="n">
        <f aca="false">Operations!AD79-AD8-AD9-Tax!AD27-AD13</f>
        <v>2.30278242857613</v>
      </c>
      <c r="AE14" s="11" t="n">
        <f aca="false">Operations!AE79-AE8-AE9-Tax!AE27-AE13</f>
        <v>12.3194435283921</v>
      </c>
      <c r="AF14" s="11" t="n">
        <f aca="false">Operations!AF79-AF8-AF9-Tax!AF27-AF13</f>
        <v>13.0438713999476</v>
      </c>
      <c r="AG14" s="11" t="n">
        <f aca="false">Operations!AG79-AG8-AG9-Tax!AG27-AG13</f>
        <v>14.1403822173471</v>
      </c>
      <c r="AH14" s="11" t="n">
        <f aca="false">Operations!AH79-AH8-AH9-Tax!AH27-AH13</f>
        <v>15.155925507272</v>
      </c>
      <c r="AI14" s="11" t="n">
        <f aca="false">Operations!AI79-AI8-AI9-Tax!AI27-AI13</f>
        <v>16.4667191904217</v>
      </c>
      <c r="AJ14" s="11" t="n">
        <f aca="false">Operations!AJ79-AJ8-AJ9-Tax!AJ27-AJ13</f>
        <v>17.5751554441102</v>
      </c>
      <c r="AK14" s="11" t="n">
        <f aca="false">Operations!AK79-AK8-AK9-Tax!AK27-AK13</f>
        <v>19.0081230662707</v>
      </c>
      <c r="AL14" s="11" t="n">
        <f aca="false">Operations!AL79-AL8-AL9-Tax!AL27-AL13</f>
        <v>18.3075931086311</v>
      </c>
      <c r="AM14" s="11" t="n">
        <f aca="false">Operations!AM79-AM8-AM9-Tax!AM27-AM13</f>
        <v>22.0932815649211</v>
      </c>
      <c r="AN14" s="11" t="n">
        <f aca="false">Operations!AN79-AN8-AN9-Tax!AN27-AN13</f>
        <v>23.4444016937867</v>
      </c>
      <c r="AO14" s="11" t="n">
        <f aca="false">Operations!AO79-AO8-AO9-Tax!AO27-AO13</f>
        <v>24.6187525121092</v>
      </c>
      <c r="AP14" s="11" t="n">
        <f aca="false">Operations!AP79-AP8-AP9-Tax!AP27-AP13</f>
        <v>26.0161797970266</v>
      </c>
      <c r="AQ14" s="11" t="n">
        <f aca="false">Operations!AQ79-AQ8-AQ9-Tax!AQ27-AQ13</f>
        <v>26.0945538299461</v>
      </c>
      <c r="AR14" s="11" t="n">
        <f aca="false">Operations!AR79-AR8-AR9-Tax!AR27-AR13</f>
        <v>26.1604006141022</v>
      </c>
      <c r="AS14" s="11" t="n">
        <f aca="false">Operations!AS79-AS8-AS9-Tax!AS27-AS13</f>
        <v>26.338062452467</v>
      </c>
      <c r="AT14" s="11" t="n">
        <f aca="false">Operations!AT79-AT8-AT9-Tax!AT27-AT13</f>
        <v>16.0283898998371</v>
      </c>
      <c r="AU14" s="11" t="n">
        <f aca="false">Operations!AU79-AU8-AU9-Tax!AU27-AU13</f>
        <v>26.6187164580925</v>
      </c>
      <c r="AV14" s="11" t="n">
        <f aca="false">Operations!AV79-AV8-AV9-Tax!AV27-AV13</f>
        <v>26.5451401365954</v>
      </c>
      <c r="AW14" s="11" t="n">
        <f aca="false">Operations!AW79-AW8-AW9-Tax!AW27-AW13</f>
        <v>26.6579364727402</v>
      </c>
      <c r="AX14" s="11" t="n">
        <f aca="false">Operations!AX79-AX8-AX9-Tax!AX27-AX13</f>
        <v>26.7907192628712</v>
      </c>
      <c r="AY14" s="11" t="n">
        <f aca="false">Operations!AY79-AY8-AY9-Tax!AY27-AY13</f>
        <v>26.8742198763565</v>
      </c>
      <c r="AZ14" s="11" t="n">
        <f aca="false">Operations!AZ79-AZ8-AZ9-Tax!AZ27-AZ13</f>
        <v>26.945180095805</v>
      </c>
      <c r="BA14" s="11" t="n">
        <f aca="false">Operations!BA79-BA8-BA9-Tax!BA27-BA13</f>
        <v>27.1044975232345</v>
      </c>
      <c r="BB14" s="11" t="n">
        <f aca="false">Operations!BB79-BB8-BB9-Tax!BB27-BB13</f>
        <v>24.8529747532167</v>
      </c>
      <c r="BC14" s="11" t="n">
        <f aca="false">Operations!BC79-BC8-BC9-Tax!BC27-BC13</f>
        <v>27.3741253815015</v>
      </c>
      <c r="BD14" s="11" t="n">
        <f aca="false">Operations!BD79-BD8-BD9-Tax!BD27-BD13</f>
        <v>27.3611396259656</v>
      </c>
      <c r="BE14" s="11" t="n">
        <f aca="false">Operations!BE79-BE8-BE9-Tax!BE27-BE13</f>
        <v>27.4828171051513</v>
      </c>
      <c r="BF14" s="11" t="n">
        <f aca="false">Operations!BF79-BF8-BF9-Tax!BF27-BF13</f>
        <v>27.6282303096486</v>
      </c>
      <c r="BG14" s="11" t="n">
        <f aca="false">Operations!BG79-BG8-BG9-Tax!BG27-BG13</f>
        <v>27.7171919658514</v>
      </c>
      <c r="BH14" s="11" t="n">
        <f aca="false">Operations!BH79-BH8-BH9-Tax!BH27-BH13</f>
        <v>27.7936633442784</v>
      </c>
      <c r="BI14" s="11" t="n">
        <f aca="false">Operations!BI79-BI8-BI9-Tax!BI27-BI13</f>
        <v>28.0058341285707</v>
      </c>
      <c r="BJ14" s="11" t="n">
        <f aca="false">Operations!BJ79-BJ8-BJ9-Tax!BJ27-BJ13</f>
        <v>15.821554391686</v>
      </c>
      <c r="BK14" s="11" t="n">
        <f aca="false">Operations!BK79-BK8-BK9-Tax!BK27-BK13</f>
        <v>28.3402839221195</v>
      </c>
      <c r="BL14" s="11" t="n">
        <f aca="false">Operations!BL79-BL8-BL9-Tax!BL27-BL13</f>
        <v>28.2434224163961</v>
      </c>
      <c r="BM14" s="11" t="n">
        <f aca="false">Operations!BM79-BM8-BM9-Tax!BM27-BM13</f>
        <v>5.55683900558269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39.1219304554322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46.0775389611707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48.638124418489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36.0633126498297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35.1432494775869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34.1765545628985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33.6764493543406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32.3171001487897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31.0894761978413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28.9391517680241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44.8129279605156</v>
      </c>
      <c r="P18" s="11" t="n">
        <f aca="false">Operations!P83+Operations!P84</f>
        <v>44.6524332286189</v>
      </c>
      <c r="Q18" s="11" t="n">
        <f aca="false">Operations!Q83+Operations!Q84</f>
        <v>45.8744243728831</v>
      </c>
      <c r="R18" s="11" t="n">
        <f aca="false">Operations!R83+Operations!R84</f>
        <v>45.0632009048959</v>
      </c>
      <c r="S18" s="11" t="n">
        <f aca="false">Operations!S83+Operations!S84</f>
        <v>46.4791136795359</v>
      </c>
      <c r="T18" s="11" t="n">
        <f aca="false">Operations!T83+Operations!T84</f>
        <v>46.016346753599</v>
      </c>
      <c r="U18" s="11" t="n">
        <f aca="false">Operations!U83+Operations!U84</f>
        <v>46.7997543162108</v>
      </c>
      <c r="V18" s="11" t="n">
        <f aca="false">Operations!V83+Operations!V84</f>
        <v>45.7404771328745</v>
      </c>
      <c r="W18" s="11" t="n">
        <f aca="false">Operations!W83+Operations!W84</f>
        <v>47.4232224945853</v>
      </c>
      <c r="X18" s="11" t="n">
        <f aca="false">Operations!X83+Operations!X84</f>
        <v>47.4338712941805</v>
      </c>
      <c r="Y18" s="11" t="n">
        <f aca="false">Operations!Y83+Operations!Y84</f>
        <v>48.741009969602</v>
      </c>
      <c r="Z18" s="11" t="n">
        <f aca="false">Operations!Z83+Operations!Z84</f>
        <v>47.8775910671143</v>
      </c>
      <c r="AA18" s="11" t="n">
        <f aca="false">Operations!AA83+Operations!AA84</f>
        <v>49.3941831849618</v>
      </c>
      <c r="AB18" s="11" t="n">
        <f aca="false">Operations!AB83+Operations!AB84</f>
        <v>48.9071131628917</v>
      </c>
      <c r="AC18" s="11" t="n">
        <f aca="false">Operations!AC83+Operations!AC84</f>
        <v>49.5334843595104</v>
      </c>
      <c r="AD18" s="11" t="n">
        <f aca="false">Operations!AD83+Operations!AD84</f>
        <v>47.7570946313138</v>
      </c>
      <c r="AE18" s="11" t="n">
        <f aca="false">Operations!AE83+Operations!AE84</f>
        <v>49.9810286931912</v>
      </c>
      <c r="AF18" s="11" t="n">
        <f aca="false">Operations!AF83+Operations!AF84</f>
        <v>50.4382612881454</v>
      </c>
      <c r="AG18" s="11" t="n">
        <f aca="false">Operations!AG83+Operations!AG84</f>
        <v>51.8373867081042</v>
      </c>
      <c r="AH18" s="11" t="n">
        <f aca="false">Operations!AH83+Operations!AH84</f>
        <v>50.9175875662628</v>
      </c>
      <c r="AI18" s="11" t="n">
        <f aca="false">Operations!AI83+Operations!AI84</f>
        <v>52.5429331644047</v>
      </c>
      <c r="AJ18" s="11" t="n">
        <f aca="false">Operations!AJ83+Operations!AJ84</f>
        <v>52.0295904458511</v>
      </c>
      <c r="AK18" s="11" t="n">
        <f aca="false">Operations!AK83+Operations!AK84</f>
        <v>52.9257015701195</v>
      </c>
      <c r="AL18" s="11" t="n">
        <f aca="false">Operations!AL83+Operations!AL84</f>
        <v>51.7080199054764</v>
      </c>
      <c r="AM18" s="11" t="n">
        <f aca="false">Operations!AM83+Operations!AM84</f>
        <v>53.6446343877875</v>
      </c>
      <c r="AN18" s="11" t="n">
        <f aca="false">Operations!AN83+Operations!AN84</f>
        <v>53.6834646169718</v>
      </c>
      <c r="AO18" s="11" t="n">
        <f aca="false">Operations!AO83+Operations!AO84</f>
        <v>55.1819634744074</v>
      </c>
      <c r="AP18" s="11" t="n">
        <f aca="false">Operations!AP83+Operations!AP84</f>
        <v>54.2012662023088</v>
      </c>
      <c r="AQ18" s="11" t="n">
        <f aca="false">Operations!AQ83+Operations!AQ84</f>
        <v>55.9440842485997</v>
      </c>
      <c r="AR18" s="11" t="n">
        <f aca="false">Operations!AR83+Operations!AR84</f>
        <v>55.4023404759112</v>
      </c>
      <c r="AS18" s="11" t="n">
        <f aca="false">Operations!AS83+Operations!AS84</f>
        <v>56.1153345109838</v>
      </c>
      <c r="AT18" s="11" t="n">
        <f aca="false">Operations!AT83+Operations!AT84</f>
        <v>54.0832180492962</v>
      </c>
      <c r="AU18" s="11" t="n">
        <f aca="false">Operations!AU83+Operations!AU84</f>
        <v>56.6291898861956</v>
      </c>
      <c r="AV18" s="11" t="n">
        <f aca="false">Operations!AV83+Operations!AV84</f>
        <v>57.1887710148055</v>
      </c>
      <c r="AW18" s="11" t="n">
        <f aca="false">Operations!AW83+Operations!AW84</f>
        <v>58.7946211179603</v>
      </c>
      <c r="AX18" s="11" t="n">
        <f aca="false">Operations!AX83+Operations!AX84</f>
        <v>57.7481484462634</v>
      </c>
      <c r="AY18" s="11" t="n">
        <f aca="false">Operations!AY83+Operations!AY84</f>
        <v>59.6178539720877</v>
      </c>
      <c r="AZ18" s="11" t="n">
        <f aca="false">Operations!AZ83+Operations!AZ84</f>
        <v>59.0454093089913</v>
      </c>
      <c r="BA18" s="11" t="n">
        <f aca="false">Operations!BA83+Operations!BA84</f>
        <v>60.0730547309885</v>
      </c>
      <c r="BB18" s="11" t="n">
        <f aca="false">Operations!BB83+Operations!BB84</f>
        <v>58.6707843273338</v>
      </c>
      <c r="BC18" s="11" t="n">
        <f aca="false">Operations!BC83+Operations!BC84</f>
        <v>60.9035377898018</v>
      </c>
      <c r="BD18" s="11" t="n">
        <f aca="false">Operations!BD83+Operations!BD84</f>
        <v>60.9750124291218</v>
      </c>
      <c r="BE18" s="11" t="n">
        <f aca="false">Operations!BE83+Operations!BE84</f>
        <v>62.6968297968815</v>
      </c>
      <c r="BF18" s="11" t="n">
        <f aca="false">Operations!BF83+Operations!BF84</f>
        <v>61.5793167298791</v>
      </c>
      <c r="BG18" s="11" t="n">
        <f aca="false">Operations!BG83+Operations!BG84</f>
        <v>63.5860761081732</v>
      </c>
      <c r="BH18" s="11" t="n">
        <f aca="false">Operations!BH83+Operations!BH84</f>
        <v>62.9804455056161</v>
      </c>
      <c r="BI18" s="11" t="n">
        <f aca="false">Operations!BI83+Operations!BI84</f>
        <v>63.7946097715805</v>
      </c>
      <c r="BJ18" s="11" t="n">
        <f aca="false">Operations!BJ83+Operations!BJ84</f>
        <v>61.4641555188094</v>
      </c>
      <c r="BK18" s="11" t="n">
        <f aca="false">Operations!BK83+Operations!BK84</f>
        <v>64.3860857766883</v>
      </c>
      <c r="BL18" s="11" t="n">
        <f aca="false">Operations!BL83+Operations!BL84</f>
        <v>65.0646859513464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49.1164895261328</v>
      </c>
      <c r="Z20" s="11" t="n">
        <f aca="false">MAX(0,-Z12)</f>
        <v>45.6292496535165</v>
      </c>
      <c r="AA20" s="11" t="n">
        <f aca="false">MAX(0,-AA12)</f>
        <v>41.7236974700085</v>
      </c>
      <c r="AB20" s="11" t="n">
        <f aca="false">MAX(0,-AB12)</f>
        <v>37.5741768576594</v>
      </c>
      <c r="AC20" s="11" t="n">
        <f aca="false">MAX(0,-AC12)</f>
        <v>32.97098040896</v>
      </c>
      <c r="AD20" s="11" t="n">
        <f aca="false">MAX(0,-AD12)</f>
        <v>31.831681286738</v>
      </c>
      <c r="AE20" s="11" t="n">
        <f aca="false">MAX(0,-AE12)</f>
        <v>26.3964858009349</v>
      </c>
      <c r="AF20" s="11" t="n">
        <f aca="false">MAX(0,-AF12)</f>
        <v>20.6493889214623</v>
      </c>
      <c r="AG20" s="11" t="n">
        <f aca="false">MAX(0,-AG12)</f>
        <v>14.4316703419073</v>
      </c>
      <c r="AH20" s="11" t="n">
        <f aca="false">MAX(0,-AH12)</f>
        <v>7.77808637446342</v>
      </c>
      <c r="AI20" s="11" t="n">
        <f aca="false">MAX(0,-AI12)</f>
        <v>0.561905454030969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922.066873518941</v>
      </c>
      <c r="P21" s="11" t="n">
        <f aca="false">P16+P17+P18+P19+P20</f>
        <v>908.644121356351</v>
      </c>
      <c r="Q21" s="11" t="n">
        <f aca="false">Q16+Q17+Q18+Q19+Q20</f>
        <v>899.03653770274</v>
      </c>
      <c r="R21" s="11" t="n">
        <f aca="false">R16+R17+R18+R19+R20</f>
        <v>886.636498209225</v>
      </c>
      <c r="S21" s="11" t="n">
        <f aca="false">S16+S17+S18+S19+S20</f>
        <v>877.172972842649</v>
      </c>
      <c r="T21" s="11" t="n">
        <f aca="false">T16+T17+T18+T19+T20</f>
        <v>865.23233745941</v>
      </c>
      <c r="U21" s="11" t="n">
        <f aca="false">U16+U17+U18+U19+U20</f>
        <v>855.43562907192</v>
      </c>
      <c r="V21" s="11" t="n">
        <f aca="false">V16+V17+V18+V19+V20</f>
        <v>839.900437531704</v>
      </c>
      <c r="W21" s="11" t="n">
        <f aca="false">W16+W17+W18+W19+W20</f>
        <v>828.773138809273</v>
      </c>
      <c r="X21" s="11" t="n">
        <f aca="false">X16+X17+X18+X19+X20</f>
        <v>818.686515389595</v>
      </c>
      <c r="Y21" s="11" t="n">
        <f aca="false">Y16+Y17+Y18+Y19+Y20</f>
        <v>807.795679220359</v>
      </c>
      <c r="Z21" s="11" t="n">
        <f aca="false">Z16+Z17+Z18+Z19+Z20</f>
        <v>788.386956188283</v>
      </c>
      <c r="AA21" s="11" t="n">
        <f aca="false">AA16+AA17+AA18+AA19+AA20</f>
        <v>771.667468896432</v>
      </c>
      <c r="AB21" s="11" t="n">
        <f aca="false">AB16+AB17+AB18+AB19+AB20</f>
        <v>751.478967369728</v>
      </c>
      <c r="AC21" s="11" t="n">
        <f aca="false">AC16+AC17+AC18+AC19+AC20</f>
        <v>733.32899652802</v>
      </c>
      <c r="AD21" s="11" t="n">
        <f aca="false">AD16+AD17+AD18+AD19+AD20</f>
        <v>701.104764861996</v>
      </c>
      <c r="AE21" s="11" t="n">
        <f aca="false">AE16+AE17+AE18+AE19+AE20</f>
        <v>680.239709218882</v>
      </c>
      <c r="AF21" s="11" t="n">
        <f aca="false">AF16+AF17+AF18+AF19+AF20</f>
        <v>657.24941897273</v>
      </c>
      <c r="AG21" s="11" t="n">
        <f aca="false">AG16+AG17+AG18+AG19+AG20</f>
        <v>635.19698955763</v>
      </c>
      <c r="AH21" s="11" t="n">
        <f aca="false">AH16+AH17+AH18+AH19+AH20</f>
        <v>609.530526195848</v>
      </c>
      <c r="AI21" s="11" t="n">
        <f aca="false">AI16+AI17+AI18+AI19+AI20</f>
        <v>585.978335875664</v>
      </c>
      <c r="AJ21" s="11" t="n">
        <f aca="false">AJ16+AJ17+AJ18+AJ19+AJ20</f>
        <v>566.019032226316</v>
      </c>
      <c r="AK21" s="11" t="n">
        <f aca="false">AK16+AK17+AK18+AK19+AK20</f>
        <v>547.928868100507</v>
      </c>
      <c r="AL21" s="11" t="n">
        <f aca="false">AL16+AL17+AL18+AL19+AL20</f>
        <v>526.860139677304</v>
      </c>
      <c r="AM21" s="11" t="n">
        <f aca="false">AM16+AM17+AM18+AM19+AM20</f>
        <v>507.625748514256</v>
      </c>
      <c r="AN21" s="11" t="n">
        <f aca="false">AN16+AN17+AN18+AN19+AN20</f>
        <v>493.052627274725</v>
      </c>
      <c r="AO21" s="11" t="n">
        <f aca="false">AO16+AO17+AO18+AO19+AO20</f>
        <v>461.259376423094</v>
      </c>
      <c r="AP21" s="11" t="n">
        <f aca="false">AP16+AP17+AP18+AP19+AP20</f>
        <v>445.892837189537</v>
      </c>
      <c r="AQ21" s="11" t="n">
        <f aca="false">AQ16+AQ17+AQ18+AQ19+AQ20</f>
        <v>433.249813274369</v>
      </c>
      <c r="AR21" s="11" t="n">
        <f aca="false">AR16+AR17+AR18+AR19+AR20</f>
        <v>418.322227540222</v>
      </c>
      <c r="AS21" s="11" t="n">
        <f aca="false">AS16+AS17+AS18+AS19+AS20</f>
        <v>404.649379613836</v>
      </c>
      <c r="AT21" s="11" t="n">
        <f aca="false">AT16+AT17+AT18+AT19+AT20</f>
        <v>371.796197592281</v>
      </c>
      <c r="AU21" s="11" t="n">
        <f aca="false">AU16+AU17+AU18+AU19+AU20</f>
        <v>357.608438382235</v>
      </c>
      <c r="AV21" s="11" t="n">
        <f aca="false">AV16+AV17+AV18+AV19+AV20</f>
        <v>342.023929464822</v>
      </c>
      <c r="AW21" s="11" t="n">
        <f aca="false">AW16+AW17+AW18+AW19+AW20</f>
        <v>327.485689521955</v>
      </c>
      <c r="AX21" s="11" t="n">
        <f aca="false">AX16+AX17+AX18+AX19+AX20</f>
        <v>310.295126804236</v>
      </c>
      <c r="AY21" s="11" t="n">
        <f aca="false">AY16+AY17+AY18+AY19+AY20</f>
        <v>296.020742284038</v>
      </c>
      <c r="AZ21" s="11" t="n">
        <f aca="false">AZ16+AZ17+AZ18+AZ19+AZ20</f>
        <v>279.304207574919</v>
      </c>
      <c r="BA21" s="11" t="n">
        <f aca="false">BA16+BA17+BA18+BA19+BA20</f>
        <v>264.682731337503</v>
      </c>
      <c r="BB21" s="11" t="n">
        <f aca="false">BB16+BB17+BB18+BB19+BB20</f>
        <v>244.510034136007</v>
      </c>
      <c r="BC21" s="11" t="n">
        <f aca="false">BC16+BC17+BC18+BC19+BC20</f>
        <v>231.526629624871</v>
      </c>
      <c r="BD21" s="11" t="n">
        <f aca="false">BD16+BD17+BD18+BD19+BD20</f>
        <v>219.192924138605</v>
      </c>
      <c r="BE21" s="11" t="n">
        <f aca="false">BE16+BE17+BE18+BE19+BE20</f>
        <v>208.526345501488</v>
      </c>
      <c r="BF21" s="11" t="n">
        <f aca="false">BF16+BF17+BF18+BF19+BF20</f>
        <v>195.037404171225</v>
      </c>
      <c r="BG21" s="11" t="n">
        <f aca="false">BG16+BG17+BG18+BG19+BG20</f>
        <v>184.689888657623</v>
      </c>
      <c r="BH21" s="11" t="n">
        <f aca="false">BH16+BH17+BH18+BH19+BH20</f>
        <v>171.747324195102</v>
      </c>
      <c r="BI21" s="11" t="n">
        <f aca="false">BI16+BI17+BI18+BI19+BI20</f>
        <v>160.242085346637</v>
      </c>
      <c r="BJ21" s="11" t="n">
        <f aca="false">BJ16+BJ17+BJ18+BJ19+BJ20</f>
        <v>126.049322986281</v>
      </c>
      <c r="BK21" s="11" t="n">
        <f aca="false">BK16+BK17+BK18+BK19+BK20</f>
        <v>113.893113725188</v>
      </c>
      <c r="BL21" s="11" t="n">
        <f aca="false">BL16+BL17+BL18+BL19+BL20</f>
        <v>99.5116868112711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400.583784991084</v>
      </c>
      <c r="AB22" s="11" t="n">
        <f aca="false">IF(Time!AB17&lt;Time!$F$11,SUMIFS(Funding!$J$73:$BJ$73,Construction!$J$12:$BJ$12,"&lt;="&amp;Time!AB17),Debt!AB123)</f>
        <v>371.148722920225</v>
      </c>
      <c r="AC22" s="11" t="n">
        <f aca="false">IF(Time!AC17&lt;Time!$F$11,SUMIFS(Funding!$J$73:$BJ$73,Construction!$J$12:$BJ$12,"&lt;="&amp;Time!AC17),Debt!AC123)</f>
        <v>341.742595772</v>
      </c>
      <c r="AD22" s="11" t="n">
        <f aca="false">IF(Time!AD17&lt;Time!$F$11,SUMIFS(Funding!$J$73:$BJ$73,Construction!$J$12:$BJ$12,"&lt;="&amp;Time!AD17),Debt!AD123)</f>
        <v>309.409319043459</v>
      </c>
      <c r="AE22" s="11" t="n">
        <f aca="false">IF(Time!AE17&lt;Time!$F$11,SUMIFS(Funding!$J$73:$BJ$73,Construction!$J$12:$BJ$12,"&lt;="&amp;Time!AE17),Debt!AE123)</f>
        <v>276.077344790473</v>
      </c>
      <c r="AF22" s="11" t="n">
        <f aca="false">IF(Time!AF17&lt;Time!$F$11,SUMIFS(Funding!$J$73:$BJ$73,Construction!$J$12:$BJ$12,"&lt;="&amp;Time!AF17),Debt!AF123)</f>
        <v>241.775409900596</v>
      </c>
      <c r="AG22" s="11" t="n">
        <f aca="false">IF(Time!AG17&lt;Time!$F$11,SUMIFS(Funding!$J$73:$BJ$73,Construction!$J$12:$BJ$12,"&lt;="&amp;Time!AG17),Debt!AG123)</f>
        <v>207.5473956029</v>
      </c>
      <c r="AH22" s="11" t="n">
        <f aca="false">IF(Time!AH17&lt;Time!$F$11,SUMIFS(Funding!$J$73:$BJ$73,Construction!$J$12:$BJ$12,"&lt;="&amp;Time!AH17),Debt!AH123)</f>
        <v>171.90886045187</v>
      </c>
      <c r="AI22" s="11" t="n">
        <f aca="false">IF(Time!AI17&lt;Time!$F$11,SUMIFS(Funding!$J$73:$BJ$73,Construction!$J$12:$BJ$12,"&lt;="&amp;Time!AI17),Debt!AI123)</f>
        <v>136.245585591345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199.629121728733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196.456025347305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192.365927865554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188.743236005605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184.354280149871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180.622483969345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175.577673777977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169.417172407922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164.224073055105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159.438406109852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153.85072644783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154.903898020538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155.118871212097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155.591537477301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154.826439010753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153.290989207764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150.906557878005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147.854588721349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143.392300054511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137.726467430971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129.230767749256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103.477743556544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78.7366865376692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49.2642532235134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28.1446120231028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29.7896025559382</v>
      </c>
      <c r="P24" s="11" t="n">
        <f aca="false">Operations!P85+Operations!P86+Operations!P87+Operations!P88+Operations!P89</f>
        <v>29.665135910815</v>
      </c>
      <c r="Q24" s="11" t="n">
        <f aca="false">Operations!Q85+Operations!Q86+Operations!Q87+Operations!Q88+Operations!Q89</f>
        <v>30.5962378620957</v>
      </c>
      <c r="R24" s="11" t="n">
        <f aca="false">Operations!R85+Operations!R86+Operations!R87+Operations!R88+Operations!R89</f>
        <v>29.9791129708752</v>
      </c>
      <c r="S24" s="11" t="n">
        <f aca="false">Operations!S85+Operations!S86+Operations!S87+Operations!S88+Operations!S89</f>
        <v>31.1009711958259</v>
      </c>
      <c r="T24" s="11" t="n">
        <f aca="false">Operations!T85+Operations!T86+Operations!T87+Operations!T88+Operations!T89</f>
        <v>30.8314342468917</v>
      </c>
      <c r="U24" s="11" t="n">
        <f aca="false">Operations!U85+Operations!U86+Operations!U87+Operations!U88+Operations!U89</f>
        <v>31.3995079432507</v>
      </c>
      <c r="V24" s="11" t="n">
        <f aca="false">Operations!V85+Operations!V86+Operations!V87+Operations!V88+Operations!V89</f>
        <v>30.4571890530267</v>
      </c>
      <c r="W24" s="11" t="n">
        <f aca="false">Operations!W85+Operations!W86+Operations!W87+Operations!W88+Operations!W89</f>
        <v>31.8401061306199</v>
      </c>
      <c r="X24" s="11" t="n">
        <f aca="false">Operations!X85+Operations!X86+Operations!X87+Operations!X88+Operations!X89</f>
        <v>32.0435754118757</v>
      </c>
      <c r="Y24" s="11" t="n">
        <f aca="false">Operations!Y85+Operations!Y86+Operations!Y87+Operations!Y88+Operations!Y89</f>
        <v>33.0497035098593</v>
      </c>
      <c r="Z24" s="11" t="n">
        <f aca="false">Operations!Z85+Operations!Z86+Operations!Z87+Operations!Z88+Operations!Z89</f>
        <v>32.3823872966761</v>
      </c>
      <c r="AA24" s="11" t="n">
        <f aca="false">Operations!AA85+Operations!AA86+Operations!AA87+Operations!AA88+Operations!AA89</f>
        <v>33.594781021479</v>
      </c>
      <c r="AB24" s="11" t="n">
        <f aca="false">Operations!AB85+Operations!AB86+Operations!AB87+Operations!AB88+Operations!AB89</f>
        <v>33.3033532967585</v>
      </c>
      <c r="AC24" s="11" t="n">
        <f aca="false">Operations!AC85+Operations!AC86+Operations!AC87+Operations!AC88+Operations!AC89</f>
        <v>33.7061410249204</v>
      </c>
      <c r="AD24" s="11" t="n">
        <f aca="false">Operations!AD85+Operations!AD86+Operations!AD87+Operations!AD88+Operations!AD89</f>
        <v>32.2775021254092</v>
      </c>
      <c r="AE24" s="11" t="n">
        <f aca="false">Operations!AE85+Operations!AE86+Operations!AE87+Operations!AE88+Operations!AE89</f>
        <v>33.9604270098783</v>
      </c>
      <c r="AF24" s="11" t="n">
        <f aca="false">Operations!AF85+Operations!AF86+Operations!AF87+Operations!AF88+Operations!AF89</f>
        <v>34.6126315834142</v>
      </c>
      <c r="AG24" s="11" t="n">
        <f aca="false">Operations!AG85+Operations!AG86+Operations!AG87+Operations!AG88+Operations!AG89</f>
        <v>35.6998034053192</v>
      </c>
      <c r="AH24" s="11" t="n">
        <f aca="false">Operations!AH85+Operations!AH86+Operations!AH87+Operations!AH88+Operations!AH89</f>
        <v>34.9782383541335</v>
      </c>
      <c r="AI24" s="11" t="n">
        <f aca="false">Operations!AI85+Operations!AI86+Operations!AI87+Operations!AI88+Operations!AI89</f>
        <v>36.288436327593</v>
      </c>
      <c r="AJ24" s="11" t="n">
        <f aca="false">Operations!AJ85+Operations!AJ86+Operations!AJ87+Operations!AJ88+Operations!AJ89</f>
        <v>35.9733464404159</v>
      </c>
      <c r="AK24" s="11" t="n">
        <f aca="false">Operations!AK85+Operations!AK86+Operations!AK87+Operations!AK88+Operations!AK89</f>
        <v>36.6359015124467</v>
      </c>
      <c r="AL24" s="11" t="n">
        <f aca="false">Operations!AL85+Operations!AL86+Operations!AL87+Operations!AL88+Operations!AL89</f>
        <v>35.5341166930746</v>
      </c>
      <c r="AM24" s="11" t="n">
        <f aca="false">Operations!AM85+Operations!AM86+Operations!AM87+Operations!AM88+Operations!AM89</f>
        <v>37.1494911320561</v>
      </c>
      <c r="AN24" s="11" t="n">
        <f aca="false">Operations!AN85+Operations!AN86+Operations!AN87+Operations!AN88+Operations!AN89</f>
        <v>37.3875093220871</v>
      </c>
      <c r="AO24" s="11" t="n">
        <f aca="false">Operations!AO85+Operations!AO86+Operations!AO87+Operations!AO88+Operations!AO89</f>
        <v>38.5622216060895</v>
      </c>
      <c r="AP24" s="11" t="n">
        <f aca="false">Operations!AP85+Operations!AP86+Operations!AP87+Operations!AP88+Operations!AP89</f>
        <v>37.7820250959952</v>
      </c>
      <c r="AQ24" s="11" t="n">
        <f aca="false">Operations!AQ85+Operations!AQ86+Operations!AQ87+Operations!AQ88+Operations!AQ89</f>
        <v>39.1978753077678</v>
      </c>
      <c r="AR24" s="11" t="n">
        <f aca="false">Operations!AR85+Operations!AR86+Operations!AR87+Operations!AR88+Operations!AR89</f>
        <v>38.8572098747003</v>
      </c>
      <c r="AS24" s="11" t="n">
        <f aca="false">Operations!AS85+Operations!AS86+Operations!AS87+Operations!AS88+Operations!AS89</f>
        <v>39.3263434668236</v>
      </c>
      <c r="AT24" s="11" t="n">
        <f aca="false">Operations!AT85+Operations!AT86+Operations!AT87+Operations!AT88+Operations!AT89</f>
        <v>37.6562427647476</v>
      </c>
      <c r="AU24" s="11" t="n">
        <f aca="false">Operations!AU85+Operations!AU86+Operations!AU87+Operations!AU88+Operations!AU89</f>
        <v>39.6219598851337</v>
      </c>
      <c r="AV24" s="11" t="n">
        <f aca="false">Operations!AV85+Operations!AV86+Operations!AV87+Operations!AV88+Operations!AV89</f>
        <v>40.3846189538835</v>
      </c>
      <c r="AW24" s="11" t="n">
        <f aca="false">Operations!AW85+Operations!AW86+Operations!AW87+Operations!AW88+Operations!AW89</f>
        <v>41.6538854296782</v>
      </c>
      <c r="AX24" s="11" t="n">
        <f aca="false">Operations!AX85+Operations!AX86+Operations!AX87+Operations!AX88+Operations!AX89</f>
        <v>40.8103239405488</v>
      </c>
      <c r="AY24" s="11" t="n">
        <f aca="false">Operations!AY85+Operations!AY86+Operations!AY87+Operations!AY88+Operations!AY89</f>
        <v>42.3402993818665</v>
      </c>
      <c r="AZ24" s="11" t="n">
        <f aca="false">Operations!AZ85+Operations!AZ86+Operations!AZ87+Operations!AZ88+Operations!AZ89</f>
        <v>41.9719917574428</v>
      </c>
      <c r="BA24" s="11" t="n">
        <f aca="false">Operations!BA85+Operations!BA86+Operations!BA87+Operations!BA88+Operations!BA89</f>
        <v>42.7446785109214</v>
      </c>
      <c r="BB24" s="11" t="n">
        <f aca="false">Operations!BB85+Operations!BB86+Operations!BB87+Operations!BB88+Operations!BB89</f>
        <v>41.456657385219</v>
      </c>
      <c r="BC24" s="11" t="n">
        <f aca="false">Operations!BC85+Operations!BC86+Operations!BC87+Operations!BC88+Operations!BC89</f>
        <v>43.3433198537686</v>
      </c>
      <c r="BD24" s="11" t="n">
        <f aca="false">Operations!BD85+Operations!BD86+Operations!BD87+Operations!BD88+Operations!BD89</f>
        <v>43.6216710779705</v>
      </c>
      <c r="BE24" s="11" t="n">
        <f aca="false">Operations!BE85+Operations!BE86+Operations!BE87+Operations!BE88+Operations!BE89</f>
        <v>44.9930632543946</v>
      </c>
      <c r="BF24" s="11" t="n">
        <f aca="false">Operations!BF85+Operations!BF86+Operations!BF87+Operations!BF88+Operations!BF89</f>
        <v>44.0810245484771</v>
      </c>
      <c r="BG24" s="11" t="n">
        <f aca="false">Operations!BG85+Operations!BG86+Operations!BG87+Operations!BG88+Operations!BG89</f>
        <v>45.734272551641</v>
      </c>
      <c r="BH24" s="11" t="n">
        <f aca="false">Operations!BH85+Operations!BH86+Operations!BH87+Operations!BH88+Operations!BH89</f>
        <v>45.3360906797713</v>
      </c>
      <c r="BI24" s="11" t="n">
        <f aca="false">Operations!BI85+Operations!BI86+Operations!BI87+Operations!BI88+Operations!BI89</f>
        <v>45.8824747945212</v>
      </c>
      <c r="BJ24" s="11" t="n">
        <f aca="false">Operations!BJ85+Operations!BJ86+Operations!BJ87+Operations!BJ88+Operations!BJ89</f>
        <v>43.9304277923742</v>
      </c>
      <c r="BK24" s="11" t="n">
        <f aca="false">Operations!BK85+Operations!BK86+Operations!BK87+Operations!BK88+Operations!BK89</f>
        <v>46.2261519015327</v>
      </c>
      <c r="BL24" s="11" t="n">
        <f aca="false">Operations!BL85+Operations!BL86+Operations!BL87+Operations!BL88+Operations!BL89</f>
        <v>47.117778804804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7.13022131263933</v>
      </c>
      <c r="AK25" s="11" t="n">
        <f aca="false">MAX(0,AK12)</f>
        <v>15.4370304581969</v>
      </c>
      <c r="AL25" s="11" t="n">
        <f aca="false">MAX(0,AL12)</f>
        <v>23.4439373485846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9.79312983613362</v>
      </c>
      <c r="P27" s="16" t="n">
        <f aca="false">Waterfall!P43</f>
        <v>17.2168494579443</v>
      </c>
      <c r="Q27" s="16" t="n">
        <f aca="false">Waterfall!Q43</f>
        <v>25.9965265640678</v>
      </c>
      <c r="R27" s="16" t="n">
        <f aca="false">Waterfall!R43</f>
        <v>35.2442707889545</v>
      </c>
      <c r="S27" s="16" t="n">
        <f aca="false">Waterfall!S43</f>
        <v>45.7213513396767</v>
      </c>
      <c r="T27" s="16" t="n">
        <f aca="false">Waterfall!T43</f>
        <v>56.6812043188679</v>
      </c>
      <c r="U27" s="16" t="n">
        <f aca="false">Waterfall!U43</f>
        <v>68.8719833251628</v>
      </c>
      <c r="V27" s="16" t="n">
        <f aca="false">Waterfall!V43</f>
        <v>79.3774290382858</v>
      </c>
      <c r="W27" s="16" t="n">
        <f aca="false">Waterfall!W43</f>
        <v>93.6942462174172</v>
      </c>
      <c r="X27" s="16" t="n">
        <f aca="false">Waterfall!X43</f>
        <v>108.690128405036</v>
      </c>
      <c r="Y27" s="16" t="n">
        <f aca="false">Waterfall!Y43</f>
        <v>121.681161310842</v>
      </c>
      <c r="Z27" s="16" t="n">
        <f aca="false">Waterfall!Z43</f>
        <v>129.462562812273</v>
      </c>
      <c r="AA27" s="16" t="n">
        <f aca="false">Waterfall!AA43</f>
        <v>138.218251346519</v>
      </c>
      <c r="AB27" s="16" t="n">
        <f aca="false">Waterfall!AB43</f>
        <v>147.541266423835</v>
      </c>
      <c r="AC27" s="16" t="n">
        <f aca="false">Waterfall!AC43</f>
        <v>157.921968736987</v>
      </c>
      <c r="AD27" s="16" t="n">
        <f aca="false">Waterfall!AD43</f>
        <v>160.224751165563</v>
      </c>
      <c r="AE27" s="16" t="n">
        <f aca="false">Waterfall!AE43</f>
        <v>172.544194693955</v>
      </c>
      <c r="AF27" s="16" t="n">
        <f aca="false">Waterfall!AF43</f>
        <v>185.588066093903</v>
      </c>
      <c r="AG27" s="16" t="n">
        <f aca="false">Waterfall!AG43</f>
        <v>199.72844831125</v>
      </c>
      <c r="AH27" s="16" t="n">
        <f aca="false">Waterfall!AH43</f>
        <v>214.884373818522</v>
      </c>
      <c r="AI27" s="16" t="n">
        <f aca="false">Waterfall!AI43</f>
        <v>231.351093008944</v>
      </c>
      <c r="AJ27" s="16" t="n">
        <f aca="false">Waterfall!AJ43</f>
        <v>248.926248453054</v>
      </c>
      <c r="AK27" s="16" t="n">
        <f aca="false">Waterfall!AK43</f>
        <v>267.934371519325</v>
      </c>
      <c r="AL27" s="16" t="n">
        <f aca="false">Waterfall!AL43</f>
        <v>286.241964627956</v>
      </c>
      <c r="AM27" s="16" t="n">
        <f aca="false">Waterfall!AM43</f>
        <v>308.335246192877</v>
      </c>
      <c r="AN27" s="16" t="n">
        <f aca="false">Waterfall!AN43</f>
        <v>331.779647886664</v>
      </c>
      <c r="AO27" s="16" t="n">
        <f aca="false">Waterfall!AO43</f>
        <v>344.360927274893</v>
      </c>
      <c r="AP27" s="16" t="n">
        <f aca="false">Waterfall!AP43</f>
        <v>328.770560688614</v>
      </c>
      <c r="AQ27" s="16" t="n">
        <f aca="false">Waterfall!AQ43</f>
        <v>313.707662698857</v>
      </c>
      <c r="AR27" s="16" t="n">
        <f aca="false">Waterfall!AR43</f>
        <v>298.11671853496</v>
      </c>
      <c r="AS27" s="16" t="n">
        <f aca="false">Waterfall!AS43</f>
        <v>282.970713153634</v>
      </c>
      <c r="AT27" s="16" t="n">
        <f aca="false">Waterfall!AT43</f>
        <v>250.783607971339</v>
      </c>
      <c r="AU27" s="16" t="n">
        <f aca="false">Waterfall!AU43</f>
        <v>233.62610777809</v>
      </c>
      <c r="AV27" s="16" t="n">
        <f aca="false">Waterfall!AV43</f>
        <v>216.274915929111</v>
      </c>
      <c r="AW27" s="16" t="n">
        <f aca="false">Waterfall!AW43</f>
        <v>199.463385647632</v>
      </c>
      <c r="AX27" s="16" t="n">
        <f aca="false">Waterfall!AX43</f>
        <v>182.112360556225</v>
      </c>
      <c r="AY27" s="16" t="n">
        <f aca="false">Waterfall!AY43</f>
        <v>165.303976731893</v>
      </c>
      <c r="AZ27" s="16" t="n">
        <f aca="false">Waterfall!AZ43</f>
        <v>147.951725784381</v>
      </c>
      <c r="BA27" s="16" t="n">
        <f aca="false">Waterfall!BA43</f>
        <v>131.55353893067</v>
      </c>
      <c r="BB27" s="16" t="n">
        <f aca="false">Waterfall!BB43</f>
        <v>111.664838992059</v>
      </c>
      <c r="BC27" s="16" t="n">
        <f aca="false">Waterfall!BC43</f>
        <v>97.7151272199561</v>
      </c>
      <c r="BD27" s="16" t="n">
        <f aca="false">Waterfall!BD43</f>
        <v>89.8721838578676</v>
      </c>
      <c r="BE27" s="16" t="n">
        <f aca="false">Waterfall!BE43</f>
        <v>82.6033263927059</v>
      </c>
      <c r="BF27" s="16" t="n">
        <f aca="false">Waterfall!BF43</f>
        <v>74.7955371167398</v>
      </c>
      <c r="BG27" s="16" t="n">
        <f aca="false">Waterfall!BG43</f>
        <v>67.5638869483538</v>
      </c>
      <c r="BH27" s="16" t="n">
        <f aca="false">Waterfall!BH43</f>
        <v>59.7886177060819</v>
      </c>
      <c r="BI27" s="16" t="n">
        <f aca="false">Waterfall!BI43</f>
        <v>52.5061080912466</v>
      </c>
      <c r="BJ27" s="16" t="n">
        <f aca="false">Waterfall!BJ43</f>
        <v>25.0345060814162</v>
      </c>
      <c r="BK27" s="16" t="n">
        <f aca="false">Waterfall!BK43</f>
        <v>15.3516860595447</v>
      </c>
      <c r="BL27" s="16" t="n">
        <f aca="false">Waterfall!BL43</f>
        <v>4.8477455907359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922.066873518941</v>
      </c>
      <c r="P28" s="11" t="n">
        <f aca="false">P22+P23+P24+P25+P26+P27</f>
        <v>908.644121356351</v>
      </c>
      <c r="Q28" s="11" t="n">
        <f aca="false">Q22+Q23+Q24+Q25+Q26+Q27</f>
        <v>899.03653770274</v>
      </c>
      <c r="R28" s="11" t="n">
        <f aca="false">R22+R23+R24+R25+R26+R27</f>
        <v>886.636498209225</v>
      </c>
      <c r="S28" s="11" t="n">
        <f aca="false">S22+S23+S24+S25+S26+S27</f>
        <v>877.172972842649</v>
      </c>
      <c r="T28" s="11" t="n">
        <f aca="false">T22+T23+T24+T25+T26+T27</f>
        <v>865.23233745941</v>
      </c>
      <c r="U28" s="11" t="n">
        <f aca="false">U22+U23+U24+U25+U26+U27</f>
        <v>855.43562907192</v>
      </c>
      <c r="V28" s="11" t="n">
        <f aca="false">V22+V23+V24+V25+V26+V27</f>
        <v>839.900437531704</v>
      </c>
      <c r="W28" s="11" t="n">
        <f aca="false">W22+W23+W24+W25+W26+W27</f>
        <v>828.773138809273</v>
      </c>
      <c r="X28" s="11" t="n">
        <f aca="false">X22+X23+X24+X25+X26+X27</f>
        <v>818.686515389595</v>
      </c>
      <c r="Y28" s="11" t="n">
        <f aca="false">Y22+Y23+Y24+Y25+Y26+Y27</f>
        <v>807.795679220358</v>
      </c>
      <c r="Z28" s="11" t="n">
        <f aca="false">Z22+Z23+Z24+Z25+Z26+Z27</f>
        <v>788.386956188283</v>
      </c>
      <c r="AA28" s="11" t="n">
        <f aca="false">AA22+AA23+AA24+AA25+AA26+AA27</f>
        <v>771.667468896432</v>
      </c>
      <c r="AB28" s="11" t="n">
        <f aca="false">AB22+AB23+AB24+AB25+AB26+AB27</f>
        <v>751.478967369728</v>
      </c>
      <c r="AC28" s="11" t="n">
        <f aca="false">AC22+AC23+AC24+AC25+AC26+AC27</f>
        <v>733.32899652802</v>
      </c>
      <c r="AD28" s="11" t="n">
        <f aca="false">AD22+AD23+AD24+AD25+AD26+AD27</f>
        <v>701.104764861996</v>
      </c>
      <c r="AE28" s="11" t="n">
        <f aca="false">AE22+AE23+AE24+AE25+AE26+AE27</f>
        <v>680.239709218882</v>
      </c>
      <c r="AF28" s="11" t="n">
        <f aca="false">AF22+AF23+AF24+AF25+AF26+AF27</f>
        <v>657.249418972729</v>
      </c>
      <c r="AG28" s="11" t="n">
        <f aca="false">AG22+AG23+AG24+AG25+AG26+AG27</f>
        <v>635.19698955763</v>
      </c>
      <c r="AH28" s="11" t="n">
        <f aca="false">AH22+AH23+AH24+AH25+AH26+AH27</f>
        <v>609.530526195848</v>
      </c>
      <c r="AI28" s="11" t="n">
        <f aca="false">AI22+AI23+AI24+AI25+AI26+AI27</f>
        <v>585.978335875663</v>
      </c>
      <c r="AJ28" s="11" t="n">
        <f aca="false">AJ22+AJ23+AJ24+AJ25+AJ26+AJ27</f>
        <v>566.019032226316</v>
      </c>
      <c r="AK28" s="11" t="n">
        <f aca="false">AK22+AK23+AK24+AK25+AK26+AK27</f>
        <v>547.928868100506</v>
      </c>
      <c r="AL28" s="11" t="n">
        <f aca="false">AL22+AL23+AL24+AL25+AL26+AL27</f>
        <v>526.860139677304</v>
      </c>
      <c r="AM28" s="11" t="n">
        <f aca="false">AM22+AM23+AM24+AM25+AM26+AM27</f>
        <v>507.625748514256</v>
      </c>
      <c r="AN28" s="11" t="n">
        <f aca="false">AN22+AN23+AN24+AN25+AN26+AN27</f>
        <v>493.052627274725</v>
      </c>
      <c r="AO28" s="11" t="n">
        <f aca="false">AO22+AO23+AO24+AO25+AO26+AO27</f>
        <v>461.259376423094</v>
      </c>
      <c r="AP28" s="11" t="n">
        <f aca="false">AP22+AP23+AP24+AP25+AP26+AP27</f>
        <v>445.892837189537</v>
      </c>
      <c r="AQ28" s="11" t="n">
        <f aca="false">AQ22+AQ23+AQ24+AQ25+AQ26+AQ27</f>
        <v>433.249813274369</v>
      </c>
      <c r="AR28" s="11" t="n">
        <f aca="false">AR22+AR23+AR24+AR25+AR26+AR27</f>
        <v>418.322227540222</v>
      </c>
      <c r="AS28" s="11" t="n">
        <f aca="false">AS22+AS23+AS24+AS25+AS26+AS27</f>
        <v>404.649379613836</v>
      </c>
      <c r="AT28" s="11" t="n">
        <f aca="false">AT22+AT23+AT24+AT25+AT26+AT27</f>
        <v>371.796197592281</v>
      </c>
      <c r="AU28" s="11" t="n">
        <f aca="false">AU22+AU23+AU24+AU25+AU26+AU27</f>
        <v>357.608438382235</v>
      </c>
      <c r="AV28" s="11" t="n">
        <f aca="false">AV22+AV23+AV24+AV25+AV26+AV27</f>
        <v>342.023929464822</v>
      </c>
      <c r="AW28" s="11" t="n">
        <f aca="false">AW22+AW23+AW24+AW25+AW26+AW27</f>
        <v>327.485689521955</v>
      </c>
      <c r="AX28" s="11" t="n">
        <f aca="false">AX22+AX23+AX24+AX25+AX26+AX27</f>
        <v>310.295126804236</v>
      </c>
      <c r="AY28" s="11" t="n">
        <f aca="false">AY22+AY23+AY24+AY25+AY26+AY27</f>
        <v>296.020742284038</v>
      </c>
      <c r="AZ28" s="11" t="n">
        <f aca="false">AZ22+AZ23+AZ24+AZ25+AZ26+AZ27</f>
        <v>279.304207574919</v>
      </c>
      <c r="BA28" s="11" t="n">
        <f aca="false">BA22+BA23+BA24+BA25+BA26+BA27</f>
        <v>264.682731337503</v>
      </c>
      <c r="BB28" s="11" t="n">
        <f aca="false">BB22+BB23+BB24+BB25+BB26+BB27</f>
        <v>244.510034136007</v>
      </c>
      <c r="BC28" s="11" t="n">
        <f aca="false">BC22+BC23+BC24+BC25+BC26+BC27</f>
        <v>231.526629624871</v>
      </c>
      <c r="BD28" s="11" t="n">
        <f aca="false">BD22+BD23+BD24+BD25+BD26+BD27</f>
        <v>219.192924138605</v>
      </c>
      <c r="BE28" s="11" t="n">
        <f aca="false">BE22+BE23+BE24+BE25+BE26+BE27</f>
        <v>208.526345501488</v>
      </c>
      <c r="BF28" s="11" t="n">
        <f aca="false">BF22+BF23+BF24+BF25+BF26+BF27</f>
        <v>195.037404171225</v>
      </c>
      <c r="BG28" s="11" t="n">
        <f aca="false">BG22+BG23+BG24+BG25+BG26+BG27</f>
        <v>184.689888657623</v>
      </c>
      <c r="BH28" s="11" t="n">
        <f aca="false">BH22+BH23+BH24+BH25+BH26+BH27</f>
        <v>171.747324195102</v>
      </c>
      <c r="BI28" s="11" t="n">
        <f aca="false">BI22+BI23+BI24+BI25+BI26+BI27</f>
        <v>160.242085346637</v>
      </c>
      <c r="BJ28" s="11" t="n">
        <f aca="false">BJ22+BJ23+BJ24+BJ25+BJ26+BJ27</f>
        <v>126.04932298628</v>
      </c>
      <c r="BK28" s="11" t="n">
        <f aca="false">BK22+BK23+BK24+BK25+BK26+BK27</f>
        <v>113.893113725188</v>
      </c>
      <c r="BL28" s="11" t="n">
        <f aca="false">BL22+BL23+BL24+BL25+BL26+BL27</f>
        <v>99.511686811271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0.0352620981519436</v>
      </c>
      <c r="AC7" s="14" t="n">
        <f aca="false">IF(Debt!AC122&gt;0.000000001,Debt!AC119/Debt!AC122,0)</f>
        <v>0.0347465753474697</v>
      </c>
      <c r="AD7" s="14" t="n">
        <f aca="false">IF(Debt!AD122&gt;0.000000001,Debt!AD119/Debt!AD122,0)</f>
        <v>0.0347113427309957</v>
      </c>
      <c r="AE7" s="14" t="n">
        <f aca="false">IF(Debt!AE122&gt;0.000000001,Debt!AE119/Debt!AE122,0)</f>
        <v>0.0339789380365805</v>
      </c>
      <c r="AF7" s="14" t="n">
        <f aca="false">IF(Debt!AF122&gt;0.000000001,Debt!AF119/Debt!AF122,0)</f>
        <v>0.0338592679009294</v>
      </c>
      <c r="AG7" s="14" t="n">
        <f aca="false">IF(Debt!AG122&gt;0.000000001,Debt!AG119/Debt!AG122,0)</f>
        <v>0.0337073096573352</v>
      </c>
      <c r="AH7" s="14" t="n">
        <f aca="false">IF(Debt!AH122&gt;0.000000001,Debt!AH119/Debt!AH122,0)</f>
        <v>0.0331642173791634</v>
      </c>
      <c r="AI7" s="14" t="n">
        <f aca="false">IF(Debt!AI122&gt;0.000000001,Debt!AI119/Debt!AI122,0)</f>
        <v>0.0316363912561091</v>
      </c>
      <c r="AJ7" s="14" t="n">
        <f aca="false">IF(Debt!AJ122&gt;0.000000001,Debt!AJ119/Debt!AJ122,0)</f>
        <v>0.0300835737871798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0.0352620981519436</v>
      </c>
      <c r="AC10" s="14" t="n">
        <f aca="false">IF(AC7&gt;0,AC7,$F$9)</f>
        <v>0.0347465753474697</v>
      </c>
      <c r="AD10" s="14" t="n">
        <f aca="false">IF(AD7&gt;0,AD7,$F$9)</f>
        <v>0.0347113427309957</v>
      </c>
      <c r="AE10" s="14" t="n">
        <f aca="false">IF(AE7&gt;0,AE7,$F$9)</f>
        <v>0.0339789380365805</v>
      </c>
      <c r="AF10" s="14" t="n">
        <f aca="false">IF(AF7&gt;0,AF7,$F$9)</f>
        <v>0.0338592679009294</v>
      </c>
      <c r="AG10" s="14" t="n">
        <f aca="false">IF(AG7&gt;0,AG7,$F$9)</f>
        <v>0.0337073096573352</v>
      </c>
      <c r="AH10" s="14" t="n">
        <f aca="false">IF(AH7&gt;0,AH7,$F$9)</f>
        <v>0.0331642173791634</v>
      </c>
      <c r="AI10" s="14" t="n">
        <f aca="false">IF(AI7&gt;0,AI7,$F$9)</f>
        <v>0.0316363912561091</v>
      </c>
      <c r="AJ10" s="14" t="n">
        <f aca="false">IF(AJ7&gt;0,AJ7,$F$9)</f>
        <v>0.0300835737871798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735.914569769445</v>
      </c>
      <c r="K11" s="11" t="n">
        <f aca="false">IF(Time!K17&lt;=$F$8,(Waterfall!K7+L11)/(1+K10),0)</f>
        <v>755.793046650368</v>
      </c>
      <c r="L11" s="11" t="n">
        <f aca="false">IF(Time!L17&lt;=$F$8,(Waterfall!L7+M11)/(1+L10),0)</f>
        <v>776.208479666335</v>
      </c>
      <c r="M11" s="11" t="n">
        <f aca="false">IF(Time!M17&lt;=$F$8,(Waterfall!M7+N11)/(1+M10),0)</f>
        <v>797.175373041823</v>
      </c>
      <c r="N11" s="11" t="n">
        <f aca="false">IF(Time!N17&lt;=$F$8,(Waterfall!N7+O11)/(1+N10),0)</f>
        <v>818.708622788486</v>
      </c>
      <c r="O11" s="11" t="n">
        <f aca="false">IF(Time!O17&lt;=$F$8,(Waterfall!O7+P11)/(1+O10),0)</f>
        <v>840.823527288084</v>
      </c>
      <c r="P11" s="11" t="n">
        <f aca="false">IF(Time!P17&lt;=$F$8,(Waterfall!P7+Q11)/(1+P10),0)</f>
        <v>861.65976314294</v>
      </c>
      <c r="Q11" s="11" t="n">
        <f aca="false">IF(Time!Q17&lt;=$F$8,(Waterfall!Q7+R11)/(1+Q10),0)</f>
        <v>840.938829145968</v>
      </c>
      <c r="R11" s="11" t="n">
        <f aca="false">IF(Time!R17&lt;=$F$8,(Waterfall!R7+S11)/(1+R10),0)</f>
        <v>819.338899934325</v>
      </c>
      <c r="S11" s="11" t="n">
        <f aca="false">IF(Time!S17&lt;=$F$8,(Waterfall!S7+T11)/(1+S10),0)</f>
        <v>796.67667425978</v>
      </c>
      <c r="T11" s="11" t="n">
        <f aca="false">IF(Time!T17&lt;=$F$8,(Waterfall!T7+U11)/(1+T10),0)</f>
        <v>773.347120431972</v>
      </c>
      <c r="U11" s="11" t="n">
        <f aca="false">IF(Time!U17&lt;=$F$8,(Waterfall!U7+V11)/(1+U10),0)</f>
        <v>748.946363860346</v>
      </c>
      <c r="V11" s="11" t="n">
        <f aca="false">IF(Time!V17&lt;=$F$8,(Waterfall!V7+W11)/(1+V10),0)</f>
        <v>723.768450847939</v>
      </c>
      <c r="W11" s="11" t="n">
        <f aca="false">IF(Time!W17&lt;=$F$8,(Waterfall!W7+X11)/(1+W10),0)</f>
        <v>696.943042259477</v>
      </c>
      <c r="X11" s="11" t="n">
        <f aca="false">IF(Time!X17&lt;=$F$8,(Waterfall!X7+Y11)/(1+X10),0)</f>
        <v>669.297588632185</v>
      </c>
      <c r="Y11" s="11" t="n">
        <f aca="false">IF(Time!Y17&lt;=$F$8,(Waterfall!Y7+Z11)/(1+Y10),0)</f>
        <v>642.439925910789</v>
      </c>
      <c r="Z11" s="11" t="n">
        <f aca="false">IF(Time!Z17&lt;=$F$8,(Waterfall!Z7+AA11)/(1+Z10),0)</f>
        <v>615.587051750393</v>
      </c>
      <c r="AA11" s="11" t="n">
        <f aca="false">IF(Time!AA17&lt;=$F$8,(Waterfall!AA7+AB11)/(1+AA10),0)</f>
        <v>587.625749350882</v>
      </c>
      <c r="AB11" s="11" t="n">
        <f aca="false">IF(Time!AB17&lt;=$F$8,(Waterfall!AB7+AC11)/(1+AB10),0)</f>
        <v>558.849125980106</v>
      </c>
      <c r="AC11" s="11" t="n">
        <f aca="false">IF(Time!AC17&lt;=$F$8,(Waterfall!AC7+AD11)/(1+AC10),0)</f>
        <v>528.582316142445</v>
      </c>
      <c r="AD11" s="11" t="n">
        <f aca="false">IF(Time!AD17&lt;=$F$8,(Waterfall!AD7+AE11)/(1+AD10),0)</f>
        <v>497.1833308747</v>
      </c>
      <c r="AE11" s="11" t="n">
        <f aca="false">IF(Time!AE17&lt;=$F$8,(Waterfall!AE7+AF11)/(1+AE10),0)</f>
        <v>462.767526145463</v>
      </c>
      <c r="AF11" s="11" t="n">
        <f aca="false">IF(Time!AF17&lt;=$F$8,(Waterfall!AF7+AG11)/(1+AF10),0)</f>
        <v>426.737304363757</v>
      </c>
      <c r="AG11" s="11" t="n">
        <f aca="false">IF(Time!AG17&lt;=$F$8,(Waterfall!AG7+AH11)/(1+AG10),0)</f>
        <v>389.273128477404</v>
      </c>
      <c r="AH11" s="11" t="n">
        <f aca="false">IF(Time!AH17&lt;=$F$8,(Waterfall!AH7+AI11)/(1+AH10),0)</f>
        <v>350.851283535106</v>
      </c>
      <c r="AI11" s="11" t="n">
        <f aca="false">IF(Time!AI17&lt;=$F$8,(Waterfall!AI7+AJ11)/(1+AI10),0)</f>
        <v>310.276981152342</v>
      </c>
      <c r="AJ11" s="11" t="n">
        <f aca="false">IF(Time!AJ17&lt;=$F$8,(Waterfall!AJ7+AK11)/(1+AJ10),0)</f>
        <v>268.293241250768</v>
      </c>
      <c r="AK11" s="11" t="n">
        <f aca="false">IF(Time!AK17&lt;=$F$8,(Waterfall!AK7+AL11)/(1+AK10),0)</f>
        <v>223.966091383848</v>
      </c>
      <c r="AL11" s="11" t="n">
        <f aca="false">IF(Time!AL17&lt;=$F$8,(Waterfall!AL7+AM11)/(1+AL10),0)</f>
        <v>177.86821318721</v>
      </c>
      <c r="AM11" s="11" t="n">
        <f aca="false">IF(Time!AM17&lt;=$F$8,(Waterfall!AM7+AN11)/(1+AM10),0)</f>
        <v>129.430419232944</v>
      </c>
      <c r="AN11" s="11" t="n">
        <f aca="false">IF(Time!AN17&lt;=$F$8,(Waterfall!AN7+AO11)/(1+AN10),0)</f>
        <v>80.612881852765</v>
      </c>
      <c r="AO11" s="11" t="n">
        <f aca="false">IF(Time!AO17&lt;=$F$8,(Waterfall!AO7+AP11)/(1+AO10),0)</f>
        <v>40.4162452440424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1005.1856316254</v>
      </c>
      <c r="K12" s="11" t="n">
        <f aca="false">IF(Time!K17&lt;=Time!$F$14,(Waterfall!K7+L12)/(1+K10),0)</f>
        <v>1032.33764105709</v>
      </c>
      <c r="L12" s="11" t="n">
        <f aca="false">IF(Time!L17&lt;=Time!$F$14,(Waterfall!L7+M12)/(1+L10),0)</f>
        <v>1060.22307881584</v>
      </c>
      <c r="M12" s="11" t="n">
        <f aca="false">IF(Time!M17&lt;=Time!$F$14,(Waterfall!M7+N12)/(1+M10),0)</f>
        <v>1088.86175622029</v>
      </c>
      <c r="N12" s="11" t="n">
        <f aca="false">IF(Time!N17&lt;=Time!$F$14,(Waterfall!N7+O12)/(1+N10),0)</f>
        <v>1118.27401973116</v>
      </c>
      <c r="O12" s="11" t="n">
        <f aca="false">IF(Time!O17&lt;=Time!$F$14,(Waterfall!O7+P12)/(1+O10),0)</f>
        <v>1148.48076540645</v>
      </c>
      <c r="P12" s="11" t="n">
        <f aca="false">IF(Time!P17&lt;=Time!$F$14,(Waterfall!P7+Q12)/(1+P10),0)</f>
        <v>1177.62741872878</v>
      </c>
      <c r="Q12" s="11" t="n">
        <f aca="false">IF(Time!Q17&lt;=Time!$F$14,(Waterfall!Q7+R12)/(1+Q10),0)</f>
        <v>1167.76188863744</v>
      </c>
      <c r="R12" s="11" t="n">
        <f aca="false">IF(Time!R17&lt;=Time!$F$14,(Waterfall!R7+S12)/(1+R10),0)</f>
        <v>1157.27801560707</v>
      </c>
      <c r="S12" s="11" t="n">
        <f aca="false">IF(Time!S17&lt;=Time!$F$14,(Waterfall!S7+T12)/(1+S10),0)</f>
        <v>1146.23441419058</v>
      </c>
      <c r="T12" s="11" t="n">
        <f aca="false">IF(Time!T17&lt;=Time!$F$14,(Waterfall!T7+U12)/(1+T10),0)</f>
        <v>1134.79843600142</v>
      </c>
      <c r="U12" s="11" t="n">
        <f aca="false">IF(Time!U17&lt;=Time!$F$14,(Waterfall!U7+V12)/(1+U10),0)</f>
        <v>1122.82914728127</v>
      </c>
      <c r="V12" s="11" t="n">
        <f aca="false">IF(Time!V17&lt;=Time!$F$14,(Waterfall!V7+W12)/(1+V10),0)</f>
        <v>1110.41839384013</v>
      </c>
      <c r="W12" s="11" t="n">
        <f aca="false">IF(Time!W17&lt;=Time!$F$14,(Waterfall!W7+X12)/(1+W10),0)</f>
        <v>1096.89111456823</v>
      </c>
      <c r="X12" s="11" t="n">
        <f aca="false">IF(Time!X17&lt;=Time!$F$14,(Waterfall!X7+Y12)/(1+X10),0)</f>
        <v>1082.85374940861</v>
      </c>
      <c r="Y12" s="11" t="n">
        <f aca="false">IF(Time!Y17&lt;=Time!$F$14,(Waterfall!Y7+Z12)/(1+Y10),0)</f>
        <v>1070.21960696787</v>
      </c>
      <c r="Z12" s="11" t="n">
        <f aca="false">IF(Time!Z17&lt;=Time!$F$14,(Waterfall!Z7+AA12)/(1+Z10),0)</f>
        <v>1058.37583549736</v>
      </c>
      <c r="AA12" s="11" t="n">
        <f aca="false">IF(Time!AA17&lt;=Time!$F$14,(Waterfall!AA7+AB12)/(1+AA10),0)</f>
        <v>1046.12123142865</v>
      </c>
      <c r="AB12" s="11" t="n">
        <f aca="false">IF(Time!AB17&lt;=Time!$F$14,(Waterfall!AB7+AC12)/(1+AB10),0)</f>
        <v>1033.43140712311</v>
      </c>
      <c r="AC12" s="11" t="n">
        <f aca="false">IF(Time!AC17&lt;=Time!$F$14,(Waterfall!AC7+AD12)/(1+AC10),0)</f>
        <v>1019.89936426428</v>
      </c>
      <c r="AD12" s="11" t="n">
        <f aca="false">IF(Time!AD17&lt;=Time!$F$14,(Waterfall!AD7+AE12)/(1+AD10),0)</f>
        <v>1005.5719638286</v>
      </c>
      <c r="AE12" s="11" t="n">
        <f aca="false">IF(Time!AE17&lt;=Time!$F$14,(Waterfall!AE7+AF12)/(1+AE10),0)</f>
        <v>988.803011178366</v>
      </c>
      <c r="AF12" s="11" t="n">
        <f aca="false">IF(Time!AF17&lt;=Time!$F$14,(Waterfall!AF7+AG12)/(1+AF10),0)</f>
        <v>970.646916547636</v>
      </c>
      <c r="AG12" s="11" t="n">
        <f aca="false">IF(Time!AG17&lt;=Time!$F$14,(Waterfall!AG7+AH12)/(1+AG10),0)</f>
        <v>951.599121934107</v>
      </c>
      <c r="AH12" s="11" t="n">
        <f aca="false">IF(Time!AH17&lt;=Time!$F$14,(Waterfall!AH7+AI12)/(1+AH10),0)</f>
        <v>932.131773381623</v>
      </c>
      <c r="AI12" s="11" t="n">
        <f aca="false">IF(Time!AI17&lt;=Time!$F$14,(Waterfall!AI7+AJ12)/(1+AI10),0)</f>
        <v>910.835183522396</v>
      </c>
      <c r="AJ12" s="11" t="n">
        <f aca="false">IF(Time!AJ17&lt;=Time!$F$14,(Waterfall!AJ7+AK12)/(1+AJ10),0)</f>
        <v>887.850937883066</v>
      </c>
      <c r="AK12" s="11" t="n">
        <f aca="false">IF(Time!AK17&lt;=Time!$F$14,(Waterfall!AK7+AL12)/(1+AK10),0)</f>
        <v>862.162297698199</v>
      </c>
      <c r="AL12" s="11" t="n">
        <f aca="false">IF(Time!AL17&lt;=Time!$F$14,(Waterfall!AL7+AM12)/(1+AL10),0)</f>
        <v>833.331538408134</v>
      </c>
      <c r="AM12" s="11" t="n">
        <f aca="false">IF(Time!AM17&lt;=Time!$F$14,(Waterfall!AM7+AN12)/(1+AM10),0)</f>
        <v>802.685979258077</v>
      </c>
      <c r="AN12" s="11" t="n">
        <f aca="false">IF(Time!AN17&lt;=Time!$F$14,(Waterfall!AN7+AO12)/(1+AN10),0)</f>
        <v>772.054377630068</v>
      </c>
      <c r="AO12" s="11" t="n">
        <f aca="false">IF(Time!AO17&lt;=Time!$F$14,(Waterfall!AO7+AP12)/(1+AO10),0)</f>
        <v>750.626585856557</v>
      </c>
      <c r="AP12" s="11" t="n">
        <f aca="false">IF(Time!AP17&lt;=Time!$F$14,(Waterfall!AP7+AQ12)/(1+AP10),0)</f>
        <v>729.394496513765</v>
      </c>
      <c r="AQ12" s="11" t="n">
        <f aca="false">IF(Time!AQ17&lt;=Time!$F$14,(Waterfall!AQ7+AR12)/(1+AQ10),0)</f>
        <v>707.490307213244</v>
      </c>
      <c r="AR12" s="11" t="n">
        <f aca="false">IF(Time!AR17&lt;=Time!$F$14,(Waterfall!AR7+AS12)/(1+AR10),0)</f>
        <v>685.443537928094</v>
      </c>
      <c r="AS12" s="11" t="n">
        <f aca="false">IF(Time!AS17&lt;=Time!$F$14,(Waterfall!AS7+AT12)/(1+AS10),0)</f>
        <v>662.20734977507</v>
      </c>
      <c r="AT12" s="11" t="n">
        <f aca="false">IF(Time!AT17&lt;=Time!$F$14,(Waterfall!AT7+AU12)/(1+AT10),0)</f>
        <v>638.61078415095</v>
      </c>
      <c r="AU12" s="11" t="n">
        <f aca="false">IF(Time!AU17&lt;=Time!$F$14,(Waterfall!AU7+AV12)/(1+AU10),0)</f>
        <v>607.645402370189</v>
      </c>
      <c r="AV12" s="11" t="n">
        <f aca="false">IF(Time!AV17&lt;=Time!$F$14,(Waterfall!AV7+AW12)/(1+AV10),0)</f>
        <v>580.282864125295</v>
      </c>
      <c r="AW12" s="11" t="n">
        <f aca="false">IF(Time!AW17&lt;=Time!$F$14,(Waterfall!AW7+AX12)/(1+AW10),0)</f>
        <v>552.061095428398</v>
      </c>
      <c r="AX12" s="11" t="n">
        <f aca="false">IF(Time!AX17&lt;=Time!$F$14,(Waterfall!AX7+AY12)/(1+AX10),0)</f>
        <v>523.50386736755</v>
      </c>
      <c r="AY12" s="11" t="n">
        <f aca="false">IF(Time!AY17&lt;=Time!$F$14,(Waterfall!AY7+AZ12)/(1+AY10),0)</f>
        <v>493.502975704638</v>
      </c>
      <c r="AZ12" s="11" t="n">
        <f aca="false">IF(Time!AZ17&lt;=Time!$F$14,(Waterfall!AZ7+BA12)/(1+AZ10),0)</f>
        <v>463.150842545231</v>
      </c>
      <c r="BA12" s="11" t="n">
        <f aca="false">IF(Time!BA17&lt;=Time!$F$14,(Waterfall!BA7+BB12)/(1+BA10),0)</f>
        <v>431.364012180469</v>
      </c>
      <c r="BB12" s="11" t="n">
        <f aca="false">IF(Time!BB17&lt;=Time!$F$14,(Waterfall!BB7+BC12)/(1+BB10),0)</f>
        <v>399.01833628439</v>
      </c>
      <c r="BC12" s="11" t="n">
        <f aca="false">IF(Time!BC17&lt;=Time!$F$14,(Waterfall!BC7+BD12)/(1+BC10),0)</f>
        <v>363.553768894877</v>
      </c>
      <c r="BD12" s="11" t="n">
        <f aca="false">IF(Time!BD17&lt;=Time!$F$14,(Waterfall!BD7+BE12)/(1+BD10),0)</f>
        <v>330.532649618568</v>
      </c>
      <c r="BE12" s="11" t="n">
        <f aca="false">IF(Time!BE17&lt;=Time!$F$14,(Waterfall!BE7+BF12)/(1+BE10),0)</f>
        <v>302.722717677379</v>
      </c>
      <c r="BF12" s="11" t="n">
        <f aca="false">IF(Time!BF17&lt;=Time!$F$14,(Waterfall!BF7+BG12)/(1+BF10),0)</f>
        <v>274.597209945789</v>
      </c>
      <c r="BG12" s="11" t="n">
        <f aca="false">IF(Time!BG17&lt;=Time!$F$14,(Waterfall!BG7+BH12)/(1+BG10),0)</f>
        <v>245.010665056959</v>
      </c>
      <c r="BH12" s="11" t="n">
        <f aca="false">IF(Time!BH17&lt;=Time!$F$14,(Waterfall!BH7+BI12)/(1+BH10),0)</f>
        <v>215.094954406387</v>
      </c>
      <c r="BI12" s="11" t="n">
        <f aca="false">IF(Time!BI17&lt;=Time!$F$14,(Waterfall!BI7+BJ12)/(1+BI10),0)</f>
        <v>183.733731025496</v>
      </c>
      <c r="BJ12" s="11" t="n">
        <f aca="false">IF(Time!BJ17&lt;=Time!$F$14,(Waterfall!BJ7+BK12)/(1+BJ10),0)</f>
        <v>151.788438399526</v>
      </c>
      <c r="BK12" s="11" t="n">
        <f aca="false">IF(Time!BK17&lt;=Time!$F$14,(Waterfall!BK7+BL12)/(1+BK10),0)</f>
        <v>110.957706397356</v>
      </c>
      <c r="BL12" s="11" t="n">
        <f aca="false">IF(Time!BL17&lt;=Time!$F$14,(Waterfall!BL7+BM12)/(1+BL10),0)</f>
        <v>74.2761933321352</v>
      </c>
      <c r="BM12" s="11" t="n">
        <f aca="false">IF(Time!BM17&lt;=Time!$F$14,(Waterfall!BM7+BN12)/(1+BM10),0)</f>
        <v>35.8614702309026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1.41949810707991</v>
      </c>
      <c r="Q13" s="6" t="n">
        <f aca="false">IF(Debt!Q122&gt;0.000000001,(Q11+Reserves!Q9)/Debt!Q122,0)</f>
        <v>1.42140466613758</v>
      </c>
      <c r="R13" s="6" t="n">
        <f aca="false">IF(Debt!R122&gt;0.000000001,(R11+Reserves!R9)/Debt!R122,0)</f>
        <v>1.42442450144033</v>
      </c>
      <c r="S13" s="6" t="n">
        <f aca="false">IF(Debt!S122&gt;0.000000001,(S11+Reserves!S9)/Debt!S122,0)</f>
        <v>1.42643731444442</v>
      </c>
      <c r="T13" s="6" t="n">
        <f aca="false">IF(Debt!T122&gt;0.000000001,(T11+Reserves!T9)/Debt!T122,0)</f>
        <v>1.42990161722827</v>
      </c>
      <c r="U13" s="6" t="n">
        <f aca="false">IF(Debt!U122&gt;0.000000001,(U11+Reserves!U9)/Debt!U122,0)</f>
        <v>1.43263928754733</v>
      </c>
      <c r="V13" s="6" t="n">
        <f aca="false">IF(Debt!V122&gt;0.000000001,(V11+Reserves!V9)/Debt!V122,0)</f>
        <v>1.43736787733057</v>
      </c>
      <c r="W13" s="6" t="n">
        <f aca="false">IF(Debt!W122&gt;0.000000001,(W11+Reserves!W9)/Debt!W122,0)</f>
        <v>1.44076739576443</v>
      </c>
      <c r="X13" s="6" t="n">
        <f aca="false">IF(Debt!X122&gt;0.000000001,(X11+Reserves!X9)/Debt!X122,0)</f>
        <v>1.44287949849485</v>
      </c>
      <c r="Y13" s="6" t="n">
        <f aca="false">IF(Debt!Y122&gt;0.000000001,(Y11+Reserves!Y9)/Debt!Y122,0)</f>
        <v>1.44666662331894</v>
      </c>
      <c r="Z13" s="6" t="n">
        <f aca="false">IF(Debt!Z122&gt;0.000000001,(Z11+Reserves!Z9)/Debt!Z122,0)</f>
        <v>1.45229692434453</v>
      </c>
      <c r="AA13" s="6" t="n">
        <f aca="false">IF(Debt!AA122&gt;0.000000001,(AA11+Reserves!AA9)/Debt!AA122,0)</f>
        <v>1.4573063148352</v>
      </c>
      <c r="AB13" s="6" t="n">
        <f aca="false">IF(Debt!AB122&gt;0.000000001,(AB11+Reserves!AB9)/Debt!AB122,0)</f>
        <v>1.48746378894329</v>
      </c>
      <c r="AC13" s="6" t="n">
        <f aca="false">IF(Debt!AC122&gt;0.000000001,(AC11+Reserves!AC9)/Debt!AC122,0)</f>
        <v>1.52175154461422</v>
      </c>
      <c r="AD13" s="6" t="n">
        <f aca="false">IF(Debt!AD122&gt;0.000000001,(AD11+Reserves!AD9)/Debt!AD122,0)</f>
        <v>1.56253568222923</v>
      </c>
      <c r="AE13" s="6" t="n">
        <f aca="false">IF(Debt!AE122&gt;0.000000001,(AE11+Reserves!AE9)/Debt!AE122,0)</f>
        <v>1.6122036670952</v>
      </c>
      <c r="AF13" s="6" t="n">
        <f aca="false">IF(Debt!AF122&gt;0.000000001,(AF11+Reserves!AF9)/Debt!AF122,0)</f>
        <v>1.67301143160401</v>
      </c>
      <c r="AG13" s="6" t="n">
        <f aca="false">IF(Debt!AG122&gt;0.000000001,(AG11+Reserves!AG9)/Debt!AG122,0)</f>
        <v>1.74936837149518</v>
      </c>
      <c r="AH13" s="6" t="n">
        <f aca="false">IF(Debt!AH122&gt;0.000000001,(AH11+Reserves!AH9)/Debt!AH122,0)</f>
        <v>1.84794839687333</v>
      </c>
      <c r="AI13" s="6" t="n">
        <f aca="false">IF(Debt!AI122&gt;0.000000001,(AI11+Reserves!AI9)/Debt!AI122,0)</f>
        <v>1.98423627810555</v>
      </c>
      <c r="AJ13" s="6" t="n">
        <f aca="false">IF(Debt!AJ122&gt;0.000000001,(AJ11+Reserves!AJ9)/Debt!AJ122,0)</f>
        <v>2.18283039658233</v>
      </c>
      <c r="AK13" s="6" t="n">
        <f aca="false">IF(Debt!AK122&gt;0.000000001,(AK11+Reserves!AK9)/Debt!AK122,0)</f>
        <v>2.49451016830222</v>
      </c>
      <c r="AL13" s="6" t="n">
        <f aca="false">IF(Debt!AL122&gt;0.000000001,(AL11+Reserves!AL9)/Debt!AL122,0)</f>
        <v>2.51735308525133</v>
      </c>
      <c r="AM13" s="6" t="n">
        <f aca="false">IF(Debt!AM122&gt;0.000000001,(AM11+Reserves!AM9)/Debt!AM122,0)</f>
        <v>2.61374079627991</v>
      </c>
      <c r="AN13" s="6" t="n">
        <f aca="false">IF(Debt!AN122&gt;0.000000001,(AN11+Reserves!AN9)/Debt!AN122,0)</f>
        <v>2.72910477392821</v>
      </c>
      <c r="AO13" s="6" t="n">
        <f aca="false">IF(Debt!AO122&gt;0.000000001,(AO11+Reserves!AO9)/Debt!AO122,0)</f>
        <v>3.2225143576503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1.36068161442041</v>
      </c>
      <c r="Q14" s="6" t="n">
        <f aca="false">IF(Debt!Q122&gt;0.000000001,Q11/Debt!Q122,0)</f>
        <v>1.36125729517156</v>
      </c>
      <c r="R14" s="6" t="n">
        <f aca="false">IF(Debt!R122&gt;0.000000001,R11/Debt!R122,0)</f>
        <v>1.36188548528711</v>
      </c>
      <c r="S14" s="6" t="n">
        <f aca="false">IF(Debt!S122&gt;0.000000001,S11/Debt!S122,0)</f>
        <v>1.36258480565305</v>
      </c>
      <c r="T14" s="6" t="n">
        <f aca="false">IF(Debt!T122&gt;0.000000001,T11/Debt!T122,0)</f>
        <v>1.36334923410129</v>
      </c>
      <c r="U14" s="6" t="n">
        <f aca="false">IF(Debt!U122&gt;0.000000001,U11/Debt!U122,0)</f>
        <v>1.36420434383154</v>
      </c>
      <c r="V14" s="6" t="n">
        <f aca="false">IF(Debt!V122&gt;0.000000001,V11/Debt!V122,0)</f>
        <v>1.3651503502235</v>
      </c>
      <c r="W14" s="6" t="n">
        <f aca="false">IF(Debt!W122&gt;0.000000001,W11/Debt!W122,0)</f>
        <v>1.36622978959594</v>
      </c>
      <c r="X14" s="6" t="n">
        <f aca="false">IF(Debt!X122&gt;0.000000001,X11/Debt!X122,0)</f>
        <v>1.36743475771914</v>
      </c>
      <c r="Y14" s="6" t="n">
        <f aca="false">IF(Debt!Y122&gt;0.000000001,Y11/Debt!Y122,0)</f>
        <v>1.36875151043547</v>
      </c>
      <c r="Z14" s="6" t="n">
        <f aca="false">IF(Debt!Z122&gt;0.000000001,Z11/Debt!Z122,0)</f>
        <v>1.37022553708154</v>
      </c>
      <c r="AA14" s="6" t="n">
        <f aca="false">IF(Debt!AA122&gt;0.000000001,AA11/Debt!AA122,0)</f>
        <v>1.37191711780131</v>
      </c>
      <c r="AB14" s="6" t="n">
        <f aca="false">IF(Debt!AB122&gt;0.000000001,AB11/Debt!AB122,0)</f>
        <v>1.39508673820271</v>
      </c>
      <c r="AC14" s="6" t="n">
        <f aca="false">IF(Debt!AC122&gt;0.000000001,AC11/Debt!AC122,0)</f>
        <v>1.4241792669621</v>
      </c>
      <c r="AD14" s="6" t="n">
        <f aca="false">IF(Debt!AD122&gt;0.000000001,AD11/Debt!AD122,0)</f>
        <v>1.45484741154833</v>
      </c>
      <c r="AE14" s="6" t="n">
        <f aca="false">IF(Debt!AE122&gt;0.000000001,AE11/Debt!AE122,0)</f>
        <v>1.49564831329616</v>
      </c>
      <c r="AF14" s="6" t="n">
        <f aca="false">IF(Debt!AF122&gt;0.000000001,AF11/Debt!AF122,0)</f>
        <v>1.54571649002067</v>
      </c>
      <c r="AG14" s="6" t="n">
        <f aca="false">IF(Debt!AG122&gt;0.000000001,AG11/Debt!AG122,0)</f>
        <v>1.61006087689997</v>
      </c>
      <c r="AH14" s="6" t="n">
        <f aca="false">IF(Debt!AH122&gt;0.000000001,AH11/Debt!AH122,0)</f>
        <v>1.69046343615117</v>
      </c>
      <c r="AI14" s="6" t="n">
        <f aca="false">IF(Debt!AI122&gt;0.000000001,AI11/Debt!AI122,0)</f>
        <v>1.80489231524638</v>
      </c>
      <c r="AJ14" s="6" t="n">
        <f aca="false">IF(Debt!AJ122&gt;0.000000001,AJ11/Debt!AJ122,0)</f>
        <v>1.9691885068151</v>
      </c>
      <c r="AK14" s="6" t="n">
        <f aca="false">IF(Debt!AK122&gt;0.000000001,AK11/Debt!AK122,0)</f>
        <v>2.23092250740806</v>
      </c>
      <c r="AL14" s="6" t="n">
        <f aca="false">IF(Debt!AL122&gt;0.000000001,AL11/Debt!AL122,0)</f>
        <v>2.22121287226981</v>
      </c>
      <c r="AM14" s="6" t="n">
        <f aca="false">IF(Debt!AM122&gt;0.000000001,AM11/Debt!AM122,0)</f>
        <v>2.21109938461329</v>
      </c>
      <c r="AN14" s="6" t="n">
        <f aca="false">IF(Debt!AN122&gt;0.000000001,AN11/Debt!AN122,0)</f>
        <v>2.20563660570854</v>
      </c>
      <c r="AO14" s="6" t="n">
        <f aca="false">IF(Debt!AO122&gt;0.000000001,AO11/Debt!AO122,0)</f>
        <v>2.19550242216552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1.85963885728735</v>
      </c>
      <c r="Q15" s="6" t="n">
        <f aca="false">IF(Debt!Q122&gt;0.000000001,Q12/Debt!Q122,0)</f>
        <v>1.89029729016724</v>
      </c>
      <c r="R15" s="6" t="n">
        <f aca="false">IF(Debt!R122&gt;0.000000001,R12/Debt!R122,0)</f>
        <v>1.9235997851725</v>
      </c>
      <c r="S15" s="6" t="n">
        <f aca="false">IF(Debt!S122&gt;0.000000001,S12/Debt!S122,0)</f>
        <v>1.96044599641865</v>
      </c>
      <c r="T15" s="6" t="n">
        <f aca="false">IF(Debt!T122&gt;0.000000001,T12/Debt!T122,0)</f>
        <v>2.0005590474271</v>
      </c>
      <c r="U15" s="6" t="n">
        <f aca="false">IF(Debt!U122&gt;0.000000001,U12/Debt!U122,0)</f>
        <v>2.04523110601201</v>
      </c>
      <c r="V15" s="6" t="n">
        <f aca="false">IF(Debt!V122&gt;0.000000001,V12/Debt!V122,0)</f>
        <v>2.09443787922715</v>
      </c>
      <c r="W15" s="6" t="n">
        <f aca="false">IF(Debt!W122&gt;0.000000001,W12/Debt!W122,0)</f>
        <v>2.15025507939324</v>
      </c>
      <c r="X15" s="6" t="n">
        <f aca="false">IF(Debt!X122&gt;0.000000001,X12/Debt!X122,0)</f>
        <v>2.21236693455586</v>
      </c>
      <c r="Y15" s="6" t="n">
        <f aca="false">IF(Debt!Y122&gt;0.000000001,Y12/Debt!Y122,0)</f>
        <v>2.2801582598687</v>
      </c>
      <c r="Z15" s="6" t="n">
        <f aca="false">IF(Debt!Z122&gt;0.000000001,Z12/Debt!Z122,0)</f>
        <v>2.35582212703285</v>
      </c>
      <c r="AA15" s="6" t="n">
        <f aca="false">IF(Debt!AA122&gt;0.000000001,AA12/Debt!AA122,0)</f>
        <v>2.44235659563544</v>
      </c>
      <c r="AB15" s="6" t="n">
        <f aca="false">IF(Debt!AB122&gt;0.000000001,AB12/Debt!AB122,0)</f>
        <v>2.57981337698456</v>
      </c>
      <c r="AC15" s="6" t="n">
        <f aca="false">IF(Debt!AC122&gt;0.000000001,AC12/Debt!AC122,0)</f>
        <v>2.74795331704132</v>
      </c>
      <c r="AD15" s="6" t="n">
        <f aca="false">IF(Debt!AD122&gt;0.000000001,AD12/Debt!AD122,0)</f>
        <v>2.9424835424949</v>
      </c>
      <c r="AE15" s="6" t="n">
        <f aca="false">IF(Debt!AE122&gt;0.000000001,AE12/Debt!AE122,0)</f>
        <v>3.19577643697112</v>
      </c>
      <c r="AF15" s="6" t="n">
        <f aca="false">IF(Debt!AF122&gt;0.000000001,AF12/Debt!AF122,0)</f>
        <v>3.51585139042938</v>
      </c>
      <c r="AG15" s="6" t="n">
        <f aca="false">IF(Debt!AG122&gt;0.000000001,AG12/Debt!AG122,0)</f>
        <v>3.93588050300628</v>
      </c>
      <c r="AH15" s="6" t="n">
        <f aca="false">IF(Debt!AH122&gt;0.000000001,AH12/Debt!AH122,0)</f>
        <v>4.49117547668517</v>
      </c>
      <c r="AI15" s="6" t="n">
        <f aca="false">IF(Debt!AI122&gt;0.000000001,AI12/Debt!AI122,0)</f>
        <v>5.29836089383773</v>
      </c>
      <c r="AJ15" s="6" t="n">
        <f aca="false">IF(Debt!AJ122&gt;0.000000001,AJ12/Debt!AJ122,0)</f>
        <v>6.5165482905706</v>
      </c>
      <c r="AK15" s="6" t="n">
        <f aca="false">IF(Debt!AK122&gt;0.000000001,AK12/Debt!AK122,0)</f>
        <v>8.58798429301994</v>
      </c>
      <c r="AL15" s="6" t="n">
        <f aca="false">IF(Debt!AL122&gt;0.000000001,AL12/Debt!AL122,0)</f>
        <v>10.4066190738214</v>
      </c>
      <c r="AM15" s="6" t="n">
        <f aca="false">IF(Debt!AM122&gt;0.000000001,AM12/Debt!AM122,0)</f>
        <v>13.7125297537745</v>
      </c>
      <c r="AN15" s="6" t="n">
        <f aca="false">IF(Debt!AN122&gt;0.000000001,AN12/Debt!AN122,0)</f>
        <v>21.1240605441771</v>
      </c>
      <c r="AO15" s="6" t="n">
        <f aca="false">IF(Debt!AO122&gt;0.000000001,AO12/Debt!AO122,0)</f>
        <v>40.7757444423374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1.41949810707991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1.85963885728735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1174.12280020821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15.0431875520562</v>
      </c>
      <c r="BS8" s="16" t="n">
        <f aca="false">Waterfall!Q44</f>
        <v>12.5775422667034</v>
      </c>
      <c r="BT8" s="16" t="n">
        <f aca="false">Waterfall!R44</f>
        <v>13.4984572709862</v>
      </c>
      <c r="BU8" s="16" t="n">
        <f aca="false">Waterfall!S44</f>
        <v>12.6849716672045</v>
      </c>
      <c r="BV8" s="16" t="n">
        <f aca="false">Waterfall!T44</f>
        <v>13.427946993756</v>
      </c>
      <c r="BW8" s="16" t="n">
        <f aca="false">Waterfall!U44</f>
        <v>12.4646331772141</v>
      </c>
      <c r="BX8" s="16" t="n">
        <f aca="false">Waterfall!V44</f>
        <v>13.6948951770782</v>
      </c>
      <c r="BY8" s="16" t="n">
        <f aca="false">Waterfall!W44</f>
        <v>14.431893426527</v>
      </c>
      <c r="BZ8" s="16" t="n">
        <f aca="false">Waterfall!X44</f>
        <v>13.3065573629278</v>
      </c>
      <c r="CA8" s="16" t="n">
        <f aca="false">Waterfall!Y44</f>
        <v>12.5221955375342</v>
      </c>
      <c r="CB8" s="16" t="n">
        <f aca="false">Waterfall!Z44</f>
        <v>13.2232504532553</v>
      </c>
      <c r="CC8" s="16" t="n">
        <f aca="false">Waterfall!AA44</f>
        <v>6.19467292392291</v>
      </c>
      <c r="CD8" s="16" t="n">
        <f aca="false">Waterfall!AB44</f>
        <v>7.20343814378053</v>
      </c>
      <c r="CE8" s="16" t="n">
        <f aca="false">Waterfall!AC44</f>
        <v>6.87529341495345</v>
      </c>
      <c r="CF8" s="16" t="n">
        <f aca="false">Waterfall!AD44</f>
        <v>8.21644113806305</v>
      </c>
      <c r="CG8" s="16" t="n">
        <f aca="false">Waterfall!AE44</f>
        <v>8.82925971748235</v>
      </c>
      <c r="CH8" s="16" t="n">
        <f aca="false">Waterfall!AF44</f>
        <v>9.72559979921583</v>
      </c>
      <c r="CI8" s="16" t="n">
        <f aca="false">Waterfall!AG44</f>
        <v>10.1611150818953</v>
      </c>
      <c r="CJ8" s="16" t="n">
        <f aca="false">Waterfall!AH44</f>
        <v>11.5431056828627</v>
      </c>
      <c r="CK8" s="16" t="n">
        <f aca="false">Waterfall!AI44</f>
        <v>12.4209849507657</v>
      </c>
      <c r="CL8" s="16" t="n">
        <f aca="false">Waterfall!AJ44</f>
        <v>15.0914768069019</v>
      </c>
      <c r="CM8" s="16" t="n">
        <f aca="false">Waterfall!AK44</f>
        <v>31.8746679581498</v>
      </c>
      <c r="CN8" s="16" t="n">
        <f aca="false">Waterfall!AL44</f>
        <v>29.6966486828974</v>
      </c>
      <c r="CO8" s="16" t="n">
        <f aca="false">Waterfall!AM44</f>
        <v>33.181686259403</v>
      </c>
      <c r="CP8" s="16" t="n">
        <f aca="false">Waterfall!AN44</f>
        <v>23.4789265328682</v>
      </c>
      <c r="CQ8" s="16" t="n">
        <f aca="false">Waterfall!AO44</f>
        <v>41.5079662531116</v>
      </c>
      <c r="CR8" s="16" t="n">
        <f aca="false">Waterfall!AP44</f>
        <v>41.6065463833064</v>
      </c>
      <c r="CS8" s="16" t="n">
        <f aca="false">Waterfall!AQ44</f>
        <v>41.1574518197032</v>
      </c>
      <c r="CT8" s="16" t="n">
        <f aca="false">Waterfall!AR44</f>
        <v>41.7513447779987</v>
      </c>
      <c r="CU8" s="16" t="n">
        <f aca="false">Waterfall!AS44</f>
        <v>41.4840678337932</v>
      </c>
      <c r="CV8" s="16" t="n">
        <f aca="false">Waterfall!AT44</f>
        <v>48.2154950821326</v>
      </c>
      <c r="CW8" s="16" t="n">
        <f aca="false">Waterfall!AU44</f>
        <v>43.7762166513415</v>
      </c>
      <c r="CX8" s="16" t="n">
        <f aca="false">Waterfall!AV44</f>
        <v>43.8963319855744</v>
      </c>
      <c r="CY8" s="16" t="n">
        <f aca="false">Waterfall!AW44</f>
        <v>43.469466754219</v>
      </c>
      <c r="CZ8" s="16" t="n">
        <f aca="false">Waterfall!AX44</f>
        <v>44.1417443542776</v>
      </c>
      <c r="DA8" s="16" t="n">
        <f aca="false">Waterfall!AY44</f>
        <v>43.6826037006889</v>
      </c>
      <c r="DB8" s="16" t="n">
        <f aca="false">Waterfall!AZ44</f>
        <v>44.2974310433168</v>
      </c>
      <c r="DC8" s="16" t="n">
        <f aca="false">Waterfall!BA44</f>
        <v>43.5026843769461</v>
      </c>
      <c r="DD8" s="16" t="n">
        <f aca="false">Waterfall!BB44</f>
        <v>44.7416746918274</v>
      </c>
      <c r="DE8" s="16" t="n">
        <f aca="false">Waterfall!BC44</f>
        <v>41.3238371536044</v>
      </c>
      <c r="DF8" s="16" t="n">
        <f aca="false">Waterfall!BD44</f>
        <v>35.2040829880542</v>
      </c>
      <c r="DG8" s="16" t="n">
        <f aca="false">Waterfall!BE44</f>
        <v>34.751674570313</v>
      </c>
      <c r="DH8" s="16" t="n">
        <f aca="false">Waterfall!BF44</f>
        <v>35.4360195856147</v>
      </c>
      <c r="DI8" s="16" t="n">
        <f aca="false">Waterfall!BG44</f>
        <v>34.9488421342375</v>
      </c>
      <c r="DJ8" s="16" t="n">
        <f aca="false">Waterfall!BH44</f>
        <v>35.5689325865503</v>
      </c>
      <c r="DK8" s="16" t="n">
        <f aca="false">Waterfall!BI44</f>
        <v>35.288343743406</v>
      </c>
      <c r="DL8" s="16" t="n">
        <f aca="false">Waterfall!BJ44</f>
        <v>43.2931564015163</v>
      </c>
      <c r="DM8" s="16" t="n">
        <f aca="false">Waterfall!BK44</f>
        <v>38.023103943991</v>
      </c>
      <c r="DN8" s="16" t="n">
        <f aca="false">Waterfall!BL44</f>
        <v>38.747362885205</v>
      </c>
      <c r="DO8" s="16" t="n">
        <f aca="false">Waterfall!BM44</f>
        <v>54.7713381131302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1593.71160401062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1.87603501833686</v>
      </c>
      <c r="BR9" s="16" t="n">
        <f aca="false">Waterfall!P7</f>
        <v>50.3241689888662</v>
      </c>
      <c r="BS9" s="16" t="n">
        <f aca="false">Waterfall!Q7</f>
        <v>50.2023273543813</v>
      </c>
      <c r="BT9" s="16" t="n">
        <f aca="false">Waterfall!R7</f>
        <v>50.8317697635431</v>
      </c>
      <c r="BU9" s="16" t="n">
        <f aca="false">Waterfall!S7</f>
        <v>50.4361894489523</v>
      </c>
      <c r="BV9" s="16" t="n">
        <f aca="false">Waterfall!T7</f>
        <v>50.9986397486087</v>
      </c>
      <c r="BW9" s="16" t="n">
        <f aca="false">Waterfall!U7</f>
        <v>50.7525534123724</v>
      </c>
      <c r="BX9" s="16" t="n">
        <f aca="false">Waterfall!V7</f>
        <v>51.7181226029479</v>
      </c>
      <c r="BY9" s="16" t="n">
        <f aca="false">Waterfall!W7</f>
        <v>51.3586885011164</v>
      </c>
      <c r="BZ9" s="16" t="n">
        <f aca="false">Waterfall!X7</f>
        <v>49.876949407473</v>
      </c>
      <c r="CA9" s="16" t="n">
        <f aca="false">Waterfall!Y7</f>
        <v>49.3935586460484</v>
      </c>
      <c r="CB9" s="16" t="n">
        <f aca="false">Waterfall!Z7</f>
        <v>49.7975378081098</v>
      </c>
      <c r="CC9" s="16" t="n">
        <f aca="false">Waterfall!AA7</f>
        <v>49.394094479822</v>
      </c>
      <c r="CD9" s="16" t="n">
        <f aca="false">Waterfall!AB7</f>
        <v>49.9730025700996</v>
      </c>
      <c r="CE9" s="16" t="n">
        <f aca="false">Waterfall!AC7</f>
        <v>49.7654105429282</v>
      </c>
      <c r="CF9" s="16" t="n">
        <f aca="false">Waterfall!AD7</f>
        <v>51.6737057273676</v>
      </c>
      <c r="CG9" s="16" t="n">
        <f aca="false">Waterfall!AE7</f>
        <v>51.7545708779437</v>
      </c>
      <c r="CH9" s="16" t="n">
        <f aca="false">Waterfall!AF7</f>
        <v>51.9131885981263</v>
      </c>
      <c r="CI9" s="16" t="n">
        <f aca="false">Waterfall!AG7</f>
        <v>51.5431948251656</v>
      </c>
      <c r="CJ9" s="16" t="n">
        <f aca="false">Waterfall!AH7</f>
        <v>52.2100106176802</v>
      </c>
      <c r="CK9" s="16" t="n">
        <f aca="false">Waterfall!AI7</f>
        <v>51.7997838750742</v>
      </c>
      <c r="CL9" s="16" t="n">
        <f aca="false">Waterfall!AJ7</f>
        <v>52.3983693866889</v>
      </c>
      <c r="CM9" s="16" t="n">
        <f aca="false">Waterfall!AK7</f>
        <v>52.1575336641926</v>
      </c>
      <c r="CN9" s="16" t="n">
        <f aca="false">Waterfall!AL7</f>
        <v>53.2659405361755</v>
      </c>
      <c r="CO9" s="16" t="n">
        <f aca="false">Waterfall!AM7</f>
        <v>52.3137035142672</v>
      </c>
      <c r="CP9" s="16" t="n">
        <f aca="false">Waterfall!AN7</f>
        <v>42.3848342804764</v>
      </c>
      <c r="CQ9" s="16" t="n">
        <f aca="false">Waterfall!AO7</f>
        <v>41.5079662531116</v>
      </c>
      <c r="CR9" s="16" t="n">
        <f aca="false">Waterfall!AP7</f>
        <v>41.6065463833064</v>
      </c>
      <c r="CS9" s="16" t="n">
        <f aca="false">Waterfall!AQ7</f>
        <v>41.1574518197032</v>
      </c>
      <c r="CT9" s="16" t="n">
        <f aca="false">Waterfall!AR7</f>
        <v>41.7513447779987</v>
      </c>
      <c r="CU9" s="16" t="n">
        <f aca="false">Waterfall!AS7</f>
        <v>41.4840678337932</v>
      </c>
      <c r="CV9" s="16" t="n">
        <f aca="false">Waterfall!AT7</f>
        <v>48.2154950821326</v>
      </c>
      <c r="CW9" s="16" t="n">
        <f aca="false">Waterfall!AU7</f>
        <v>43.7762166513415</v>
      </c>
      <c r="CX9" s="16" t="n">
        <f aca="false">Waterfall!AV7</f>
        <v>43.8963319855744</v>
      </c>
      <c r="CY9" s="16" t="n">
        <f aca="false">Waterfall!AW7</f>
        <v>43.469466754219</v>
      </c>
      <c r="CZ9" s="16" t="n">
        <f aca="false">Waterfall!AX7</f>
        <v>44.1417443542776</v>
      </c>
      <c r="DA9" s="16" t="n">
        <f aca="false">Waterfall!AY7</f>
        <v>43.6826037006889</v>
      </c>
      <c r="DB9" s="16" t="n">
        <f aca="false">Waterfall!AZ7</f>
        <v>44.2974310433168</v>
      </c>
      <c r="DC9" s="16" t="n">
        <f aca="false">Waterfall!BA7</f>
        <v>43.9976527635548</v>
      </c>
      <c r="DD9" s="16" t="n">
        <f aca="false">Waterfall!BB7</f>
        <v>46.2428249464718</v>
      </c>
      <c r="DE9" s="16" t="n">
        <f aca="false">Waterfall!BC7</f>
        <v>42.8414102269467</v>
      </c>
      <c r="DF9" s="16" t="n">
        <f aca="false">Waterfall!BD7</f>
        <v>36.7382585483007</v>
      </c>
      <c r="DG9" s="16" t="n">
        <f aca="false">Waterfall!BE7</f>
        <v>36.3026342512687</v>
      </c>
      <c r="DH9" s="16" t="n">
        <f aca="false">Waterfall!BF7</f>
        <v>37.0039470081867</v>
      </c>
      <c r="DI9" s="16" t="n">
        <f aca="false">Waterfall!BG7</f>
        <v>36.5339229281743</v>
      </c>
      <c r="DJ9" s="16" t="n">
        <f aca="false">Waterfall!BH7</f>
        <v>37.1713544124189</v>
      </c>
      <c r="DK9" s="16" t="n">
        <f aca="false">Waterfall!BI7</f>
        <v>36.9082963148094</v>
      </c>
      <c r="DL9" s="16" t="n">
        <f aca="false">Waterfall!BJ7</f>
        <v>44.930831507554</v>
      </c>
      <c r="DM9" s="16" t="n">
        <f aca="false">Waterfall!BK7</f>
        <v>39.6786954719652</v>
      </c>
      <c r="DN9" s="16" t="n">
        <f aca="false">Waterfall!BL7</f>
        <v>40.4210668435755</v>
      </c>
      <c r="DO9" s="16" t="n">
        <f aca="false">Waterfall!BM7</f>
        <v>36.8301579511692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1911.0955216742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1.87603501833686</v>
      </c>
      <c r="BR10" s="11" t="n">
        <f aca="false">Waterfall!P7+Tax!P27</f>
        <v>50.3241689888662</v>
      </c>
      <c r="BS10" s="11" t="n">
        <f aca="false">Waterfall!Q7+Tax!Q27</f>
        <v>50.2023273543813</v>
      </c>
      <c r="BT10" s="11" t="n">
        <f aca="false">Waterfall!R7+Tax!R27</f>
        <v>50.8317697635431</v>
      </c>
      <c r="BU10" s="11" t="n">
        <f aca="false">Waterfall!S7+Tax!S27</f>
        <v>50.4361894489523</v>
      </c>
      <c r="BV10" s="11" t="n">
        <f aca="false">Waterfall!T7+Tax!T27</f>
        <v>50.9986397486087</v>
      </c>
      <c r="BW10" s="11" t="n">
        <f aca="false">Waterfall!U7+Tax!U27</f>
        <v>50.7525534123724</v>
      </c>
      <c r="BX10" s="11" t="n">
        <f aca="false">Waterfall!V7+Tax!V27</f>
        <v>51.7181226029479</v>
      </c>
      <c r="BY10" s="11" t="n">
        <f aca="false">Waterfall!W7+Tax!W27</f>
        <v>51.3586885011164</v>
      </c>
      <c r="BZ10" s="11" t="n">
        <f aca="false">Waterfall!X7+Tax!X27</f>
        <v>49.876949407473</v>
      </c>
      <c r="CA10" s="11" t="n">
        <f aca="false">Waterfall!Y7+Tax!Y27</f>
        <v>49.5116044819687</v>
      </c>
      <c r="CB10" s="11" t="n">
        <f aca="false">Waterfall!Z7+Tax!Z27</f>
        <v>50.1530293427834</v>
      </c>
      <c r="CC10" s="11" t="n">
        <f aca="false">Waterfall!AA7+Tax!AA27</f>
        <v>49.751361040428</v>
      </c>
      <c r="CD10" s="11" t="n">
        <f aca="false">Waterfall!AB7+Tax!AB27</f>
        <v>50.332202254931</v>
      </c>
      <c r="CE10" s="11" t="n">
        <f aca="false">Waterfall!AC7+Tax!AC27</f>
        <v>50.125499943408</v>
      </c>
      <c r="CF10" s="11" t="n">
        <f aca="false">Waterfall!AD7+Tax!AD27</f>
        <v>52.0292879173096</v>
      </c>
      <c r="CG10" s="11" t="n">
        <f aca="false">Waterfall!AE7+Tax!AE27</f>
        <v>52.1172501497587</v>
      </c>
      <c r="CH10" s="11" t="n">
        <f aca="false">Waterfall!AF7+Tax!AF27</f>
        <v>52.2792099169482</v>
      </c>
      <c r="CI10" s="11" t="n">
        <f aca="false">Waterfall!AG7+Tax!AG27</f>
        <v>51.9108226267803</v>
      </c>
      <c r="CJ10" s="11" t="n">
        <f aca="false">Waterfall!AH7+Tax!AH27</f>
        <v>52.5791143677771</v>
      </c>
      <c r="CK10" s="11" t="n">
        <f aca="false">Waterfall!AI7+Tax!AI27</f>
        <v>52.1708201656616</v>
      </c>
      <c r="CL10" s="11" t="n">
        <f aca="false">Waterfall!AJ7+Tax!AJ27</f>
        <v>52.7715097314759</v>
      </c>
      <c r="CM10" s="11" t="n">
        <f aca="false">Waterfall!AK7+Tax!AK27</f>
        <v>52.5319652708897</v>
      </c>
      <c r="CN10" s="11" t="n">
        <f aca="false">Waterfall!AL7+Tax!AL27</f>
        <v>53.6411301717824</v>
      </c>
      <c r="CO10" s="11" t="n">
        <f aca="false">Waterfall!AM7+Tax!AM27</f>
        <v>53.2647638052947</v>
      </c>
      <c r="CP10" s="11" t="n">
        <f aca="false">Waterfall!AN7+Tax!AN27</f>
        <v>51.4284111435682</v>
      </c>
      <c r="CQ10" s="11" t="n">
        <f aca="false">Waterfall!AO7+Tax!AO27</f>
        <v>51.0548363240559</v>
      </c>
      <c r="CR10" s="11" t="n">
        <f aca="false">Waterfall!AP7+Tax!AP27</f>
        <v>51.7523138620725</v>
      </c>
      <c r="CS10" s="11" t="n">
        <f aca="false">Waterfall!AQ7+Tax!AQ27</f>
        <v>51.3368081697205</v>
      </c>
      <c r="CT10" s="11" t="n">
        <f aca="false">Waterfall!AR7+Tax!AR27</f>
        <v>51.9589211783686</v>
      </c>
      <c r="CU10" s="11" t="n">
        <f aca="false">Waterfall!AS7+Tax!AS27</f>
        <v>51.7677850220337</v>
      </c>
      <c r="CV10" s="11" t="n">
        <f aca="false">Waterfall!AT7+Tax!AT27</f>
        <v>54.0807811763889</v>
      </c>
      <c r="CW10" s="11" t="n">
        <f aca="false">Waterfall!AU7+Tax!AU27</f>
        <v>54.1802141277072</v>
      </c>
      <c r="CX10" s="11" t="n">
        <f aca="false">Waterfall!AV7+Tax!AV27</f>
        <v>54.2687967527271</v>
      </c>
      <c r="CY10" s="11" t="n">
        <f aca="false">Waterfall!AW7+Tax!AW27</f>
        <v>53.8902728082909</v>
      </c>
      <c r="CZ10" s="11" t="n">
        <f aca="false">Waterfall!AX7+Tax!AX27</f>
        <v>54.6194573184057</v>
      </c>
      <c r="DA10" s="11" t="n">
        <f aca="false">Waterfall!AY7+Tax!AY27</f>
        <v>54.196102642025</v>
      </c>
      <c r="DB10" s="11" t="n">
        <f aca="false">Waterfall!AZ7+Tax!AZ27</f>
        <v>54.8413415072736</v>
      </c>
      <c r="DC10" s="11" t="n">
        <f aca="false">Waterfall!BA7+Tax!BA27</f>
        <v>54.6098421249814</v>
      </c>
      <c r="DD10" s="11" t="n">
        <f aca="false">Waterfall!BB7+Tax!BB27</f>
        <v>55.8900759778908</v>
      </c>
      <c r="DE10" s="11" t="n">
        <f aca="false">Waterfall!BC7+Tax!BC27</f>
        <v>55.4935334551722</v>
      </c>
      <c r="DF10" s="11" t="n">
        <f aca="false">Waterfall!BD7+Tax!BD27</f>
        <v>53.2335745935227</v>
      </c>
      <c r="DG10" s="11" t="n">
        <f aca="false">Waterfall!BE7+Tax!BE27</f>
        <v>52.8500977875702</v>
      </c>
      <c r="DH10" s="11" t="n">
        <f aca="false">Waterfall!BF7+Tax!BF27</f>
        <v>53.6137304892728</v>
      </c>
      <c r="DI10" s="11" t="n">
        <f aca="false">Waterfall!BG7+Tax!BG27</f>
        <v>53.1818328333472</v>
      </c>
      <c r="DJ10" s="11" t="n">
        <f aca="false">Waterfall!BH7+Tax!BH27</f>
        <v>53.8520377654892</v>
      </c>
      <c r="DK10" s="11" t="n">
        <f aca="false">Waterfall!BI7+Tax!BI27</f>
        <v>53.6799100040049</v>
      </c>
      <c r="DL10" s="11" t="n">
        <f aca="false">Waterfall!BJ7+Tax!BJ27</f>
        <v>56.4806110237989</v>
      </c>
      <c r="DM10" s="11" t="n">
        <f aca="false">Waterfall!BK7+Tax!BK27</f>
        <v>56.5936447869674</v>
      </c>
      <c r="DN10" s="11" t="n">
        <f aca="false">Waterfall!BL7+Tax!BL27</f>
        <v>57.2945040846962</v>
      </c>
      <c r="DO10" s="11" t="n">
        <f aca="false">Waterfall!BM7+Tax!BM27</f>
        <v>42.3910692810528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-206.790580032001</v>
      </c>
      <c r="BS11" s="11" t="n">
        <f aca="false">BR11+BS8</f>
        <v>-194.213037765298</v>
      </c>
      <c r="BT11" s="11" t="n">
        <f aca="false">BS11+BT8</f>
        <v>-180.714580494312</v>
      </c>
      <c r="BU11" s="11" t="n">
        <f aca="false">BT11+BU8</f>
        <v>-168.029608827107</v>
      </c>
      <c r="BV11" s="11" t="n">
        <f aca="false">BU11+BV8</f>
        <v>-154.601661833351</v>
      </c>
      <c r="BW11" s="11" t="n">
        <f aca="false">BV11+BW8</f>
        <v>-142.137028656137</v>
      </c>
      <c r="BX11" s="11" t="n">
        <f aca="false">BW11+BX8</f>
        <v>-128.442133479059</v>
      </c>
      <c r="BY11" s="11" t="n">
        <f aca="false">BX11+BY8</f>
        <v>-114.010240052532</v>
      </c>
      <c r="BZ11" s="11" t="n">
        <f aca="false">BY11+BZ8</f>
        <v>-100.703682689604</v>
      </c>
      <c r="CA11" s="11" t="n">
        <f aca="false">BZ11+CA8</f>
        <v>-88.1814871520697</v>
      </c>
      <c r="CB11" s="11" t="n">
        <f aca="false">CA11+CB8</f>
        <v>-74.9582366988144</v>
      </c>
      <c r="CC11" s="11" t="n">
        <f aca="false">CB11+CC8</f>
        <v>-68.7635637748915</v>
      </c>
      <c r="CD11" s="11" t="n">
        <f aca="false">CC11+CD8</f>
        <v>-61.5601256311109</v>
      </c>
      <c r="CE11" s="11" t="n">
        <f aca="false">CD11+CE8</f>
        <v>-54.6848322161575</v>
      </c>
      <c r="CF11" s="11" t="n">
        <f aca="false">CE11+CF8</f>
        <v>-46.4683910780944</v>
      </c>
      <c r="CG11" s="11" t="n">
        <f aca="false">CF11+CG8</f>
        <v>-37.6391313606121</v>
      </c>
      <c r="CH11" s="11" t="n">
        <f aca="false">CG11+CH8</f>
        <v>-27.9135315613963</v>
      </c>
      <c r="CI11" s="11" t="n">
        <f aca="false">CH11+CI8</f>
        <v>-17.7524164795009</v>
      </c>
      <c r="CJ11" s="11" t="n">
        <f aca="false">CI11+CJ8</f>
        <v>-6.2093107966382</v>
      </c>
      <c r="CK11" s="11" t="n">
        <f aca="false">CJ11+CK8</f>
        <v>6.21167415412752</v>
      </c>
      <c r="CL11" s="11" t="n">
        <f aca="false">CK11+CL8</f>
        <v>21.3031509610294</v>
      </c>
      <c r="CM11" s="11" t="n">
        <f aca="false">CL11+CM8</f>
        <v>53.1778189191792</v>
      </c>
      <c r="CN11" s="11" t="n">
        <f aca="false">CM11+CN8</f>
        <v>82.8744676020766</v>
      </c>
      <c r="CO11" s="11" t="n">
        <f aca="false">CN11+CO8</f>
        <v>116.05615386148</v>
      </c>
      <c r="CP11" s="11" t="n">
        <f aca="false">CO11+CP8</f>
        <v>139.535080394348</v>
      </c>
      <c r="CQ11" s="11" t="n">
        <f aca="false">CP11+CQ8</f>
        <v>181.043046647459</v>
      </c>
      <c r="CR11" s="11" t="n">
        <f aca="false">CQ11+CR8</f>
        <v>222.649593030766</v>
      </c>
      <c r="CS11" s="11" t="n">
        <f aca="false">CR11+CS8</f>
        <v>263.807044850469</v>
      </c>
      <c r="CT11" s="11" t="n">
        <f aca="false">CS11+CT8</f>
        <v>305.558389628468</v>
      </c>
      <c r="CU11" s="11" t="n">
        <f aca="false">CT11+CU8</f>
        <v>347.042457462261</v>
      </c>
      <c r="CV11" s="11" t="n">
        <f aca="false">CU11+CV8</f>
        <v>395.257952544393</v>
      </c>
      <c r="CW11" s="11" t="n">
        <f aca="false">CV11+CW8</f>
        <v>439.034169195735</v>
      </c>
      <c r="CX11" s="11" t="n">
        <f aca="false">CW11+CX8</f>
        <v>482.930501181309</v>
      </c>
      <c r="CY11" s="11" t="n">
        <f aca="false">CX11+CY8</f>
        <v>526.399967935528</v>
      </c>
      <c r="CZ11" s="11" t="n">
        <f aca="false">CY11+CZ8</f>
        <v>570.541712289806</v>
      </c>
      <c r="DA11" s="11" t="n">
        <f aca="false">CZ11+DA8</f>
        <v>614.224315990495</v>
      </c>
      <c r="DB11" s="11" t="n">
        <f aca="false">DA11+DB8</f>
        <v>658.521747033811</v>
      </c>
      <c r="DC11" s="11" t="n">
        <f aca="false">DB11+DC8</f>
        <v>702.024431410758</v>
      </c>
      <c r="DD11" s="11" t="n">
        <f aca="false">DC11+DD8</f>
        <v>746.766106102585</v>
      </c>
      <c r="DE11" s="11" t="n">
        <f aca="false">DD11+DE8</f>
        <v>788.089943256189</v>
      </c>
      <c r="DF11" s="11" t="n">
        <f aca="false">DE11+DF8</f>
        <v>823.294026244244</v>
      </c>
      <c r="DG11" s="11" t="n">
        <f aca="false">DF11+DG8</f>
        <v>858.045700814556</v>
      </c>
      <c r="DH11" s="11" t="n">
        <f aca="false">DG11+DH8</f>
        <v>893.481720400171</v>
      </c>
      <c r="DI11" s="11" t="n">
        <f aca="false">DH11+DI8</f>
        <v>928.430562534409</v>
      </c>
      <c r="DJ11" s="11" t="n">
        <f aca="false">DI11+DJ8</f>
        <v>963.999495120959</v>
      </c>
      <c r="DK11" s="11" t="n">
        <f aca="false">DJ11+DK8</f>
        <v>999.287838864365</v>
      </c>
      <c r="DL11" s="11" t="n">
        <f aca="false">DK11+DL8</f>
        <v>1042.58099526588</v>
      </c>
      <c r="DM11" s="11" t="n">
        <f aca="false">DL11+DM8</f>
        <v>1080.60409920987</v>
      </c>
      <c r="DN11" s="11" t="n">
        <f aca="false">DM11+DN8</f>
        <v>1119.35146209508</v>
      </c>
      <c r="DO11" s="11" t="n">
        <f aca="false">DN11+DO8</f>
        <v>1174.12280020821</v>
      </c>
      <c r="DP11" s="11" t="n">
        <f aca="false">DO11+DP8</f>
        <v>1174.12280020821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0.109626722899801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0.115877693014256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1.41949810707991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1.85963885728735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0.13271644127955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0.109626722899801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-42.9521281527937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2026-10-03T20:48:20Z</dcterms:created>
  <dc:creator>openpyxl</dc:creator>
  <dc:description/>
  <dc:language>en-US</dc:language>
  <cp:lastModifiedBy/>
  <dcterms:modified xsi:type="dcterms:W3CDTF">2026-10-03T20:48:20Z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