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<sst xmlns="http://schemas.openxmlformats.org/spreadsheetml/2006/main" count="2268" uniqueCount="840">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</sst>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2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72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1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571.84</v>
      </c>
      <c r="J22" s="11" t="n">
        <f aca="false">IF(Inputs!$F$33=2,J20/100*Inputs!$F$56+J20/100*Inputs!$F$57*Inputs!$F$58/J16,Inputs!$F$55*Inputs!$F$35*J20/100)</f>
        <v>57.184</v>
      </c>
      <c r="K22" s="11" t="n">
        <f aca="false">IF(Inputs!$F$33=2,K20/100*Inputs!$F$56+K20/100*Inputs!$F$57*Inputs!$F$58/K16,Inputs!$F$55*Inputs!$F$35*K20/100)</f>
        <v>0.06175872</v>
      </c>
      <c r="L22" s="11" t="n">
        <f aca="false">IF(Inputs!$F$33=2,L20/100*Inputs!$F$56+L20/100*Inputs!$F$57*Inputs!$F$58/L16,Inputs!$F$55*Inputs!$F$35*L20/100)</f>
        <v>0.64789472</v>
      </c>
      <c r="M22" s="11" t="n">
        <f aca="false">IF(Inputs!$F$33=2,M20/100*Inputs!$F$56+M20/100*Inputs!$F$57*Inputs!$F$58/M16,Inputs!$F$55*Inputs!$F$35*M20/100)</f>
        <v>1.85218976</v>
      </c>
      <c r="N22" s="11" t="n">
        <f aca="false">IF(Inputs!$F$33=2,N20/100*Inputs!$F$56+N20/100*Inputs!$F$57*Inputs!$F$58/N16,Inputs!$F$55*Inputs!$F$35*N20/100)</f>
        <v>3.59916096</v>
      </c>
      <c r="O22" s="11" t="n">
        <f aca="false">IF(Inputs!$F$33=2,O20/100*Inputs!$F$56+O20/100*Inputs!$F$57*Inputs!$F$58/O16,Inputs!$F$55*Inputs!$F$35*O20/100)</f>
        <v>5.78358976</v>
      </c>
      <c r="P22" s="11" t="n">
        <f aca="false">IF(Inputs!$F$33=2,P20/100*Inputs!$F$56+P20/100*Inputs!$F$57*Inputs!$F$58/P16,Inputs!$F$55*Inputs!$F$35*P20/100)</f>
        <v>8.28939264</v>
      </c>
      <c r="Q22" s="11" t="n">
        <f aca="false">IF(Inputs!$F$33=2,Q20/100*Inputs!$F$56+Q20/100*Inputs!$F$57*Inputs!$F$58/Q16,Inputs!$F$55*Inputs!$F$35*Q20/100)</f>
        <v>10.99991424</v>
      </c>
      <c r="R22" s="11" t="n">
        <f aca="false">IF(Inputs!$F$33=2,R20/100*Inputs!$F$56+R20/100*Inputs!$F$57*Inputs!$F$58/R16,Inputs!$F$55*Inputs!$F$35*R20/100)</f>
        <v>13.80021472</v>
      </c>
      <c r="S22" s="11" t="n">
        <f aca="false">IF(Inputs!$F$33=2,S20/100*Inputs!$F$56+S20/100*Inputs!$F$57*Inputs!$F$58/S16,Inputs!$F$55*Inputs!$F$35*S20/100)</f>
        <v>16.58278816</v>
      </c>
      <c r="T22" s="11" t="n">
        <f aca="false">IF(Inputs!$F$33=2,T20/100*Inputs!$F$56+T20/100*Inputs!$F$57*Inputs!$F$58/T16,Inputs!$F$55*Inputs!$F$35*T20/100)</f>
        <v>19.24756256</v>
      </c>
      <c r="U22" s="11" t="n">
        <f aca="false">IF(Inputs!$F$33=2,U20/100*Inputs!$F$56+U20/100*Inputs!$F$57*Inputs!$F$58/U16,Inputs!$F$55*Inputs!$F$35*U20/100)</f>
        <v>21.70533088</v>
      </c>
      <c r="V22" s="11" t="n">
        <f aca="false">IF(Inputs!$F$33=2,V20/100*Inputs!$F$56+V20/100*Inputs!$F$57*Inputs!$F$58/V16,Inputs!$F$55*Inputs!$F$35*V20/100)</f>
        <v>23.8771792</v>
      </c>
      <c r="W22" s="11" t="n">
        <f aca="false">IF(Inputs!$F$33=2,W20/100*Inputs!$F$56+W20/100*Inputs!$F$57*Inputs!$F$58/W16,Inputs!$F$55*Inputs!$F$35*W20/100)</f>
        <v>25.6956304</v>
      </c>
      <c r="X22" s="11" t="n">
        <f aca="false">IF(Inputs!$F$33=2,X20/100*Inputs!$F$56+X20/100*Inputs!$F$57*Inputs!$F$58/X16,Inputs!$F$55*Inputs!$F$35*X20/100)</f>
        <v>27.1080752</v>
      </c>
      <c r="Y22" s="11" t="n">
        <f aca="false">IF(Inputs!$F$33=2,Y20/100*Inputs!$F$56+Y20/100*Inputs!$F$57*Inputs!$F$58/Y16,Inputs!$F$55*Inputs!$F$35*Y20/100)</f>
        <v>28.07219744</v>
      </c>
      <c r="Z22" s="11" t="n">
        <f aca="false">IF(Inputs!$F$33=2,Z20/100*Inputs!$F$56+Z20/100*Inputs!$F$57*Inputs!$F$58/Z16,Inputs!$F$55*Inputs!$F$35*Z20/100)</f>
        <v>28.56112064</v>
      </c>
      <c r="AA22" s="11" t="n">
        <f aca="false">IF(Inputs!$F$33=2,AA20/100*Inputs!$F$56+AA20/100*Inputs!$F$57*Inputs!$F$58/AA16,Inputs!$F$55*Inputs!$F$35*AA20/100)</f>
        <v>28.56112064</v>
      </c>
      <c r="AB22" s="11" t="n">
        <f aca="false">IF(Inputs!$F$33=2,AB20/100*Inputs!$F$56+AB20/100*Inputs!$F$57*Inputs!$F$58/AB16,Inputs!$F$55*Inputs!$F$35*AB20/100)</f>
        <v>28.07219744</v>
      </c>
      <c r="AC22" s="11" t="n">
        <f aca="false">IF(Inputs!$F$33=2,AC20/100*Inputs!$F$56+AC20/100*Inputs!$F$57*Inputs!$F$58/AC16,Inputs!$F$55*Inputs!$F$35*AC20/100)</f>
        <v>27.1080752</v>
      </c>
      <c r="AD22" s="11" t="n">
        <f aca="false">IF(Inputs!$F$33=2,AD20/100*Inputs!$F$56+AD20/100*Inputs!$F$57*Inputs!$F$58/AD16,Inputs!$F$55*Inputs!$F$35*AD20/100)</f>
        <v>25.6956304</v>
      </c>
      <c r="AE22" s="11" t="n">
        <f aca="false">IF(Inputs!$F$33=2,AE20/100*Inputs!$F$56+AE20/100*Inputs!$F$57*Inputs!$F$58/AE16,Inputs!$F$55*Inputs!$F$35*AE20/100)</f>
        <v>23.8771792</v>
      </c>
      <c r="AF22" s="11" t="n">
        <f aca="false">IF(Inputs!$F$33=2,AF20/100*Inputs!$F$56+AF20/100*Inputs!$F$57*Inputs!$F$58/AF16,Inputs!$F$55*Inputs!$F$35*AF20/100)</f>
        <v>21.70533088</v>
      </c>
      <c r="AG22" s="11" t="n">
        <f aca="false">IF(Inputs!$F$33=2,AG20/100*Inputs!$F$56+AG20/100*Inputs!$F$57*Inputs!$F$58/AG16,Inputs!$F$55*Inputs!$F$35*AG20/100)</f>
        <v>19.24756256</v>
      </c>
      <c r="AH22" s="11" t="n">
        <f aca="false">IF(Inputs!$F$33=2,AH20/100*Inputs!$F$56+AH20/100*Inputs!$F$57*Inputs!$F$58/AH16,Inputs!$F$55*Inputs!$F$35*AH20/100)</f>
        <v>16.58278816</v>
      </c>
      <c r="AI22" s="11" t="n">
        <f aca="false">IF(Inputs!$F$33=2,AI20/100*Inputs!$F$56+AI20/100*Inputs!$F$57*Inputs!$F$58/AI16,Inputs!$F$55*Inputs!$F$35*AI20/100)</f>
        <v>13.80021472</v>
      </c>
      <c r="AJ22" s="11" t="n">
        <f aca="false">IF(Inputs!$F$33=2,AJ20/100*Inputs!$F$56+AJ20/100*Inputs!$F$57*Inputs!$F$58/AJ16,Inputs!$F$55*Inputs!$F$35*AJ20/100)</f>
        <v>10.99991424</v>
      </c>
      <c r="AK22" s="11" t="n">
        <f aca="false">IF(Inputs!$F$33=2,AK20/100*Inputs!$F$56+AK20/100*Inputs!$F$57*Inputs!$F$58/AK16,Inputs!$F$55*Inputs!$F$35*AK20/100)</f>
        <v>8.28939264</v>
      </c>
      <c r="AL22" s="11" t="n">
        <f aca="false">IF(Inputs!$F$33=2,AL20/100*Inputs!$F$56+AL20/100*Inputs!$F$57*Inputs!$F$58/AL16,Inputs!$F$55*Inputs!$F$35*AL20/100)</f>
        <v>5.78358976</v>
      </c>
      <c r="AM22" s="11" t="n">
        <f aca="false">IF(Inputs!$F$33=2,AM20/100*Inputs!$F$56+AM20/100*Inputs!$F$57*Inputs!$F$58/AM16,Inputs!$F$55*Inputs!$F$35*AM20/100)</f>
        <v>3.59916096</v>
      </c>
      <c r="AN22" s="11" t="n">
        <f aca="false">IF(Inputs!$F$33=2,AN20/100*Inputs!$F$56+AN20/100*Inputs!$F$57*Inputs!$F$58/AN16,Inputs!$F$55*Inputs!$F$35*AN20/100)</f>
        <v>1.85218976</v>
      </c>
      <c r="AO22" s="11" t="n">
        <f aca="false">IF(Inputs!$F$33=2,AO20/100*Inputs!$F$56+AO20/100*Inputs!$F$57*Inputs!$F$58/AO16,Inputs!$F$55*Inputs!$F$35*AO20/100)</f>
        <v>0.64789472</v>
      </c>
      <c r="AP22" s="11" t="n">
        <f aca="false">IF(Inputs!$F$33=2,AP20/100*Inputs!$F$56+AP20/100*Inputs!$F$57*Inputs!$F$58/AP16,Inputs!$F$55*Inputs!$F$35*AP20/100)</f>
        <v>42.94975872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46.18</v>
      </c>
      <c r="J23" s="11" t="n">
        <f aca="false">Inputs!$F$59*IF(Inputs!$F$33=1,Inputs!$F$35,1)*(Inputs!J227+IF(AND(Inputs!$F$33=1,J8&gt;33,J8&lt;=Time!$F$10),2.75,0))/100+IF(AND(Inputs!$F$33=2,J8&gt;=34,J8&lt;=40),Inputs!$F$67/7,0)</f>
        <v>5.5416</v>
      </c>
      <c r="K23" s="11" t="n">
        <f aca="false">Inputs!$F$59*IF(Inputs!$F$33=1,Inputs!$F$35,1)*(Inputs!K227+IF(AND(Inputs!$F$33=1,K8&gt;33,K8&lt;=Time!$F$10),2.75,0))/100+IF(AND(Inputs!$F$33=2,K8&gt;=34,K8&lt;=40),Inputs!$F$67/7,0)</f>
        <v>1.26995</v>
      </c>
      <c r="L23" s="11" t="n">
        <f aca="false">Inputs!$F$59*IF(Inputs!$F$33=1,Inputs!$F$35,1)*(Inputs!L227+IF(AND(Inputs!$F$33=1,L8&gt;33,L8&lt;=Time!$F$10),2.75,0))/100+IF(AND(Inputs!$F$33=2,L8&gt;=34,L8&lt;=40),Inputs!$F$67/7,0)</f>
        <v>1.26995</v>
      </c>
      <c r="M23" s="11" t="n">
        <f aca="false">Inputs!$F$59*IF(Inputs!$F$33=1,Inputs!$F$35,1)*(Inputs!M227+IF(AND(Inputs!$F$33=1,M8&gt;33,M8&lt;=Time!$F$10),2.75,0))/100+IF(AND(Inputs!$F$33=2,M8&gt;=34,M8&lt;=40),Inputs!$F$67/7,0)</f>
        <v>1.26995</v>
      </c>
      <c r="N23" s="11" t="n">
        <f aca="false">Inputs!$F$59*IF(Inputs!$F$33=1,Inputs!$F$35,1)*(Inputs!N227+IF(AND(Inputs!$F$33=1,N8&gt;33,N8&lt;=Time!$F$10),2.75,0))/100+IF(AND(Inputs!$F$33=2,N8&gt;=34,N8&lt;=40),Inputs!$F$67/7,0)</f>
        <v>1.26995</v>
      </c>
      <c r="O23" s="11" t="n">
        <f aca="false">Inputs!$F$59*IF(Inputs!$F$33=1,Inputs!$F$35,1)*(Inputs!O227+IF(AND(Inputs!$F$33=1,O8&gt;33,O8&lt;=Time!$F$10),2.75,0))/100+IF(AND(Inputs!$F$33=2,O8&gt;=34,O8&lt;=40),Inputs!$F$67/7,0)</f>
        <v>1.26995</v>
      </c>
      <c r="P23" s="11" t="n">
        <f aca="false">Inputs!$F$59*IF(Inputs!$F$33=1,Inputs!$F$35,1)*(Inputs!P227+IF(AND(Inputs!$F$33=1,P8&gt;33,P8&lt;=Time!$F$10),2.75,0))/100+IF(AND(Inputs!$F$33=2,P8&gt;=34,P8&lt;=40),Inputs!$F$67/7,0)</f>
        <v>1.26995</v>
      </c>
      <c r="Q23" s="11" t="n">
        <f aca="false">Inputs!$F$59*IF(Inputs!$F$33=1,Inputs!$F$35,1)*(Inputs!Q227+IF(AND(Inputs!$F$33=1,Q8&gt;33,Q8&lt;=Time!$F$10),2.75,0))/100+IF(AND(Inputs!$F$33=2,Q8&gt;=34,Q8&lt;=40),Inputs!$F$67/7,0)</f>
        <v>1.26995</v>
      </c>
      <c r="R23" s="11" t="n">
        <f aca="false">Inputs!$F$59*IF(Inputs!$F$33=1,Inputs!$F$35,1)*(Inputs!R227+IF(AND(Inputs!$F$33=1,R8&gt;33,R8&lt;=Time!$F$10),2.75,0))/100+IF(AND(Inputs!$F$33=2,R8&gt;=34,R8&lt;=40),Inputs!$F$67/7,0)</f>
        <v>1.26995</v>
      </c>
      <c r="S23" s="11" t="n">
        <f aca="false">Inputs!$F$59*IF(Inputs!$F$33=1,Inputs!$F$35,1)*(Inputs!S227+IF(AND(Inputs!$F$33=1,S8&gt;33,S8&lt;=Time!$F$10),2.75,0))/100+IF(AND(Inputs!$F$33=2,S8&gt;=34,S8&lt;=40),Inputs!$F$67/7,0)</f>
        <v>1.26995</v>
      </c>
      <c r="T23" s="11" t="n">
        <f aca="false">Inputs!$F$59*IF(Inputs!$F$33=1,Inputs!$F$35,1)*(Inputs!T227+IF(AND(Inputs!$F$33=1,T8&gt;33,T8&lt;=Time!$F$10),2.75,0))/100+IF(AND(Inputs!$F$33=2,T8&gt;=34,T8&lt;=40),Inputs!$F$67/7,0)</f>
        <v>1.26995</v>
      </c>
      <c r="U23" s="11" t="n">
        <f aca="false">Inputs!$F$59*IF(Inputs!$F$33=1,Inputs!$F$35,1)*(Inputs!U227+IF(AND(Inputs!$F$33=1,U8&gt;33,U8&lt;=Time!$F$10),2.75,0))/100+IF(AND(Inputs!$F$33=2,U8&gt;=34,U8&lt;=40),Inputs!$F$67/7,0)</f>
        <v>1.26995</v>
      </c>
      <c r="V23" s="11" t="n">
        <f aca="false">Inputs!$F$59*IF(Inputs!$F$33=1,Inputs!$F$35,1)*(Inputs!V227+IF(AND(Inputs!$F$33=1,V8&gt;33,V8&lt;=Time!$F$10),2.75,0))/100+IF(AND(Inputs!$F$33=2,V8&gt;=34,V8&lt;=40),Inputs!$F$67/7,0)</f>
        <v>1.26995</v>
      </c>
      <c r="W23" s="11" t="n">
        <f aca="false">Inputs!$F$59*IF(Inputs!$F$33=1,Inputs!$F$35,1)*(Inputs!W227+IF(AND(Inputs!$F$33=1,W8&gt;33,W8&lt;=Time!$F$10),2.75,0))/100+IF(AND(Inputs!$F$33=2,W8&gt;=34,W8&lt;=40),Inputs!$F$67/7,0)</f>
        <v>1.26995</v>
      </c>
      <c r="X23" s="11" t="n">
        <f aca="false">Inputs!$F$59*IF(Inputs!$F$33=1,Inputs!$F$35,1)*(Inputs!X227+IF(AND(Inputs!$F$33=1,X8&gt;33,X8&lt;=Time!$F$10),2.75,0))/100+IF(AND(Inputs!$F$33=2,X8&gt;=34,X8&lt;=40),Inputs!$F$67/7,0)</f>
        <v>1.26995</v>
      </c>
      <c r="Y23" s="11" t="n">
        <f aca="false">Inputs!$F$59*IF(Inputs!$F$33=1,Inputs!$F$35,1)*(Inputs!Y227+IF(AND(Inputs!$F$33=1,Y8&gt;33,Y8&lt;=Time!$F$10),2.75,0))/100+IF(AND(Inputs!$F$33=2,Y8&gt;=34,Y8&lt;=40),Inputs!$F$67/7,0)</f>
        <v>1.26995</v>
      </c>
      <c r="Z23" s="11" t="n">
        <f aca="false">Inputs!$F$59*IF(Inputs!$F$33=1,Inputs!$F$35,1)*(Inputs!Z227+IF(AND(Inputs!$F$33=1,Z8&gt;33,Z8&lt;=Time!$F$10),2.75,0))/100+IF(AND(Inputs!$F$33=2,Z8&gt;=34,Z8&lt;=40),Inputs!$F$67/7,0)</f>
        <v>1.26995</v>
      </c>
      <c r="AA23" s="11" t="n">
        <f aca="false">Inputs!$F$59*IF(Inputs!$F$33=1,Inputs!$F$35,1)*(Inputs!AA227+IF(AND(Inputs!$F$33=1,AA8&gt;33,AA8&lt;=Time!$F$10),2.75,0))/100+IF(AND(Inputs!$F$33=2,AA8&gt;=34,AA8&lt;=40),Inputs!$F$67/7,0)</f>
        <v>1.26995</v>
      </c>
      <c r="AB23" s="11" t="n">
        <f aca="false">Inputs!$F$59*IF(Inputs!$F$33=1,Inputs!$F$35,1)*(Inputs!AB227+IF(AND(Inputs!$F$33=1,AB8&gt;33,AB8&lt;=Time!$F$10),2.75,0))/100+IF(AND(Inputs!$F$33=2,AB8&gt;=34,AB8&lt;=40),Inputs!$F$67/7,0)</f>
        <v>1.26995</v>
      </c>
      <c r="AC23" s="11" t="n">
        <f aca="false">Inputs!$F$59*IF(Inputs!$F$33=1,Inputs!$F$35,1)*(Inputs!AC227+IF(AND(Inputs!$F$33=1,AC8&gt;33,AC8&lt;=Time!$F$10),2.75,0))/100+IF(AND(Inputs!$F$33=2,AC8&gt;=34,AC8&lt;=40),Inputs!$F$67/7,0)</f>
        <v>1.26995</v>
      </c>
      <c r="AD23" s="11" t="n">
        <f aca="false">Inputs!$F$59*IF(Inputs!$F$33=1,Inputs!$F$35,1)*(Inputs!AD227+IF(AND(Inputs!$F$33=1,AD8&gt;33,AD8&lt;=Time!$F$10),2.75,0))/100+IF(AND(Inputs!$F$33=2,AD8&gt;=34,AD8&lt;=40),Inputs!$F$67/7,0)</f>
        <v>1.26995</v>
      </c>
      <c r="AE23" s="11" t="n">
        <f aca="false">Inputs!$F$59*IF(Inputs!$F$33=1,Inputs!$F$35,1)*(Inputs!AE227+IF(AND(Inputs!$F$33=1,AE8&gt;33,AE8&lt;=Time!$F$10),2.75,0))/100+IF(AND(Inputs!$F$33=2,AE8&gt;=34,AE8&lt;=40),Inputs!$F$67/7,0)</f>
        <v>1.26995</v>
      </c>
      <c r="AF23" s="11" t="n">
        <f aca="false">Inputs!$F$59*IF(Inputs!$F$33=1,Inputs!$F$35,1)*(Inputs!AF227+IF(AND(Inputs!$F$33=1,AF8&gt;33,AF8&lt;=Time!$F$10),2.75,0))/100+IF(AND(Inputs!$F$33=2,AF8&gt;=34,AF8&lt;=40),Inputs!$F$67/7,0)</f>
        <v>1.26995</v>
      </c>
      <c r="AG23" s="11" t="n">
        <f aca="false">Inputs!$F$59*IF(Inputs!$F$33=1,Inputs!$F$35,1)*(Inputs!AG227+IF(AND(Inputs!$F$33=1,AG8&gt;33,AG8&lt;=Time!$F$10),2.75,0))/100+IF(AND(Inputs!$F$33=2,AG8&gt;=34,AG8&lt;=40),Inputs!$F$67/7,0)</f>
        <v>1.26995</v>
      </c>
      <c r="AH23" s="11" t="n">
        <f aca="false">Inputs!$F$59*IF(Inputs!$F$33=1,Inputs!$F$35,1)*(Inputs!AH227+IF(AND(Inputs!$F$33=1,AH8&gt;33,AH8&lt;=Time!$F$10),2.75,0))/100+IF(AND(Inputs!$F$33=2,AH8&gt;=34,AH8&lt;=40),Inputs!$F$67/7,0)</f>
        <v>1.26995</v>
      </c>
      <c r="AI23" s="11" t="n">
        <f aca="false">Inputs!$F$59*IF(Inputs!$F$33=1,Inputs!$F$35,1)*(Inputs!AI227+IF(AND(Inputs!$F$33=1,AI8&gt;33,AI8&lt;=Time!$F$10),2.75,0))/100+IF(AND(Inputs!$F$33=2,AI8&gt;=34,AI8&lt;=40),Inputs!$F$67/7,0)</f>
        <v>1.26995</v>
      </c>
      <c r="AJ23" s="11" t="n">
        <f aca="false">Inputs!$F$59*IF(Inputs!$F$33=1,Inputs!$F$35,1)*(Inputs!AJ227+IF(AND(Inputs!$F$33=1,AJ8&gt;33,AJ8&lt;=Time!$F$10),2.75,0))/100+IF(AND(Inputs!$F$33=2,AJ8&gt;=34,AJ8&lt;=40),Inputs!$F$67/7,0)</f>
        <v>1.26995</v>
      </c>
      <c r="AK23" s="11" t="n">
        <f aca="false">Inputs!$F$59*IF(Inputs!$F$33=1,Inputs!$F$35,1)*(Inputs!AK227+IF(AND(Inputs!$F$33=1,AK8&gt;33,AK8&lt;=Time!$F$10),2.75,0))/100+IF(AND(Inputs!$F$33=2,AK8&gt;=34,AK8&lt;=40),Inputs!$F$67/7,0)</f>
        <v>1.26995</v>
      </c>
      <c r="AL23" s="11" t="n">
        <f aca="false">Inputs!$F$59*IF(Inputs!$F$33=1,Inputs!$F$35,1)*(Inputs!AL227+IF(AND(Inputs!$F$33=1,AL8&gt;33,AL8&lt;=Time!$F$10),2.75,0))/100+IF(AND(Inputs!$F$33=2,AL8&gt;=34,AL8&lt;=40),Inputs!$F$67/7,0)</f>
        <v>1.26995</v>
      </c>
      <c r="AM23" s="11" t="n">
        <f aca="false">Inputs!$F$59*IF(Inputs!$F$33=1,Inputs!$F$35,1)*(Inputs!AM227+IF(AND(Inputs!$F$33=1,AM8&gt;33,AM8&lt;=Time!$F$10),2.75,0))/100+IF(AND(Inputs!$F$33=2,AM8&gt;=34,AM8&lt;=40),Inputs!$F$67/7,0)</f>
        <v>1.26995</v>
      </c>
      <c r="AN23" s="11" t="n">
        <f aca="false">Inputs!$F$59*IF(Inputs!$F$33=1,Inputs!$F$35,1)*(Inputs!AN227+IF(AND(Inputs!$F$33=1,AN8&gt;33,AN8&lt;=Time!$F$10),2.75,0))/100+IF(AND(Inputs!$F$33=2,AN8&gt;=34,AN8&lt;=40),Inputs!$F$67/7,0)</f>
        <v>1.26995</v>
      </c>
      <c r="AO23" s="11" t="n">
        <f aca="false">Inputs!$F$59*IF(Inputs!$F$33=1,Inputs!$F$35,1)*(Inputs!AO227+IF(AND(Inputs!$F$33=1,AO8&gt;33,AO8&lt;=Time!$F$10),2.75,0))/100+IF(AND(Inputs!$F$33=2,AO8&gt;=34,AO8&lt;=40),Inputs!$F$67/7,0)</f>
        <v>1.26995</v>
      </c>
      <c r="AP23" s="11" t="n">
        <f aca="false">Inputs!$F$59*IF(Inputs!$F$33=1,Inputs!$F$35,1)*(Inputs!AP227+IF(AND(Inputs!$F$33=1,AP8&gt;33,AP8&lt;=Time!$F$10),2.75,0))/100+IF(AND(Inputs!$F$33=2,AP8&gt;=34,AP8&lt;=40),Inputs!$F$67/7,0)</f>
        <v>1.26995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7.62</v>
      </c>
      <c r="J24" s="11" t="n">
        <f aca="false">Inputs!$F$60*Inputs!$F$35*(0.85*IF(J8=1,1,0)+0.15*IF(J8=18,1,0))</f>
        <v>6.477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1.143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8.97</v>
      </c>
      <c r="J26" s="11" t="n">
        <f aca="false">Inputs!$F$63*Inputs!$F$35*(0.7*IF(J8=1,1,0)+0.3/(Time!$F$10-1)*IF(AND(J8&gt;=2,J8&lt;=Time!$F$10),1,0))</f>
        <v>6.279</v>
      </c>
      <c r="K26" s="11" t="n">
        <f aca="false">Inputs!$F$63*Inputs!$F$35*(0.7*IF(K8=1,1,0)+0.3/(Time!$F$10-1)*IF(AND(K8&gt;=2,K8&lt;=Time!$F$10),1,0))</f>
        <v>0.08409375</v>
      </c>
      <c r="L26" s="11" t="n">
        <f aca="false">Inputs!$F$63*Inputs!$F$35*(0.7*IF(L8=1,1,0)+0.3/(Time!$F$10-1)*IF(AND(L8&gt;=2,L8&lt;=Time!$F$10),1,0))</f>
        <v>0.08409375</v>
      </c>
      <c r="M26" s="11" t="n">
        <f aca="false">Inputs!$F$63*Inputs!$F$35*(0.7*IF(M8=1,1,0)+0.3/(Time!$F$10-1)*IF(AND(M8&gt;=2,M8&lt;=Time!$F$10),1,0))</f>
        <v>0.08409375</v>
      </c>
      <c r="N26" s="11" t="n">
        <f aca="false">Inputs!$F$63*Inputs!$F$35*(0.7*IF(N8=1,1,0)+0.3/(Time!$F$10-1)*IF(AND(N8&gt;=2,N8&lt;=Time!$F$10),1,0))</f>
        <v>0.08409375</v>
      </c>
      <c r="O26" s="11" t="n">
        <f aca="false">Inputs!$F$63*Inputs!$F$35*(0.7*IF(O8=1,1,0)+0.3/(Time!$F$10-1)*IF(AND(O8&gt;=2,O8&lt;=Time!$F$10),1,0))</f>
        <v>0.08409375</v>
      </c>
      <c r="P26" s="11" t="n">
        <f aca="false">Inputs!$F$63*Inputs!$F$35*(0.7*IF(P8=1,1,0)+0.3/(Time!$F$10-1)*IF(AND(P8&gt;=2,P8&lt;=Time!$F$10),1,0))</f>
        <v>0.08409375</v>
      </c>
      <c r="Q26" s="11" t="n">
        <f aca="false">Inputs!$F$63*Inputs!$F$35*(0.7*IF(Q8=1,1,0)+0.3/(Time!$F$10-1)*IF(AND(Q8&gt;=2,Q8&lt;=Time!$F$10),1,0))</f>
        <v>0.08409375</v>
      </c>
      <c r="R26" s="11" t="n">
        <f aca="false">Inputs!$F$63*Inputs!$F$35*(0.7*IF(R8=1,1,0)+0.3/(Time!$F$10-1)*IF(AND(R8&gt;=2,R8&lt;=Time!$F$10),1,0))</f>
        <v>0.08409375</v>
      </c>
      <c r="S26" s="11" t="n">
        <f aca="false">Inputs!$F$63*Inputs!$F$35*(0.7*IF(S8=1,1,0)+0.3/(Time!$F$10-1)*IF(AND(S8&gt;=2,S8&lt;=Time!$F$10),1,0))</f>
        <v>0.08409375</v>
      </c>
      <c r="T26" s="11" t="n">
        <f aca="false">Inputs!$F$63*Inputs!$F$35*(0.7*IF(T8=1,1,0)+0.3/(Time!$F$10-1)*IF(AND(T8&gt;=2,T8&lt;=Time!$F$10),1,0))</f>
        <v>0.08409375</v>
      </c>
      <c r="U26" s="11" t="n">
        <f aca="false">Inputs!$F$63*Inputs!$F$35*(0.7*IF(U8=1,1,0)+0.3/(Time!$F$10-1)*IF(AND(U8&gt;=2,U8&lt;=Time!$F$10),1,0))</f>
        <v>0.08409375</v>
      </c>
      <c r="V26" s="11" t="n">
        <f aca="false">Inputs!$F$63*Inputs!$F$35*(0.7*IF(V8=1,1,0)+0.3/(Time!$F$10-1)*IF(AND(V8&gt;=2,V8&lt;=Time!$F$10),1,0))</f>
        <v>0.08409375</v>
      </c>
      <c r="W26" s="11" t="n">
        <f aca="false">Inputs!$F$63*Inputs!$F$35*(0.7*IF(W8=1,1,0)+0.3/(Time!$F$10-1)*IF(AND(W8&gt;=2,W8&lt;=Time!$F$10),1,0))</f>
        <v>0.08409375</v>
      </c>
      <c r="X26" s="11" t="n">
        <f aca="false">Inputs!$F$63*Inputs!$F$35*(0.7*IF(X8=1,1,0)+0.3/(Time!$F$10-1)*IF(AND(X8&gt;=2,X8&lt;=Time!$F$10),1,0))</f>
        <v>0.08409375</v>
      </c>
      <c r="Y26" s="11" t="n">
        <f aca="false">Inputs!$F$63*Inputs!$F$35*(0.7*IF(Y8=1,1,0)+0.3/(Time!$F$10-1)*IF(AND(Y8&gt;=2,Y8&lt;=Time!$F$10),1,0))</f>
        <v>0.08409375</v>
      </c>
      <c r="Z26" s="11" t="n">
        <f aca="false">Inputs!$F$63*Inputs!$F$35*(0.7*IF(Z8=1,1,0)+0.3/(Time!$F$10-1)*IF(AND(Z8&gt;=2,Z8&lt;=Time!$F$10),1,0))</f>
        <v>0.08409375</v>
      </c>
      <c r="AA26" s="11" t="n">
        <f aca="false">Inputs!$F$63*Inputs!$F$35*(0.7*IF(AA8=1,1,0)+0.3/(Time!$F$10-1)*IF(AND(AA8&gt;=2,AA8&lt;=Time!$F$10),1,0))</f>
        <v>0.08409375</v>
      </c>
      <c r="AB26" s="11" t="n">
        <f aca="false">Inputs!$F$63*Inputs!$F$35*(0.7*IF(AB8=1,1,0)+0.3/(Time!$F$10-1)*IF(AND(AB8&gt;=2,AB8&lt;=Time!$F$10),1,0))</f>
        <v>0.08409375</v>
      </c>
      <c r="AC26" s="11" t="n">
        <f aca="false">Inputs!$F$63*Inputs!$F$35*(0.7*IF(AC8=1,1,0)+0.3/(Time!$F$10-1)*IF(AND(AC8&gt;=2,AC8&lt;=Time!$F$10),1,0))</f>
        <v>0.08409375</v>
      </c>
      <c r="AD26" s="11" t="n">
        <f aca="false">Inputs!$F$63*Inputs!$F$35*(0.7*IF(AD8=1,1,0)+0.3/(Time!$F$10-1)*IF(AND(AD8&gt;=2,AD8&lt;=Time!$F$10),1,0))</f>
        <v>0.08409375</v>
      </c>
      <c r="AE26" s="11" t="n">
        <f aca="false">Inputs!$F$63*Inputs!$F$35*(0.7*IF(AE8=1,1,0)+0.3/(Time!$F$10-1)*IF(AND(AE8&gt;=2,AE8&lt;=Time!$F$10),1,0))</f>
        <v>0.08409375</v>
      </c>
      <c r="AF26" s="11" t="n">
        <f aca="false">Inputs!$F$63*Inputs!$F$35*(0.7*IF(AF8=1,1,0)+0.3/(Time!$F$10-1)*IF(AND(AF8&gt;=2,AF8&lt;=Time!$F$10),1,0))</f>
        <v>0.08409375</v>
      </c>
      <c r="AG26" s="11" t="n">
        <f aca="false">Inputs!$F$63*Inputs!$F$35*(0.7*IF(AG8=1,1,0)+0.3/(Time!$F$10-1)*IF(AND(AG8&gt;=2,AG8&lt;=Time!$F$10),1,0))</f>
        <v>0.08409375</v>
      </c>
      <c r="AH26" s="11" t="n">
        <f aca="false">Inputs!$F$63*Inputs!$F$35*(0.7*IF(AH8=1,1,0)+0.3/(Time!$F$10-1)*IF(AND(AH8&gt;=2,AH8&lt;=Time!$F$10),1,0))</f>
        <v>0.08409375</v>
      </c>
      <c r="AI26" s="11" t="n">
        <f aca="false">Inputs!$F$63*Inputs!$F$35*(0.7*IF(AI8=1,1,0)+0.3/(Time!$F$10-1)*IF(AND(AI8&gt;=2,AI8&lt;=Time!$F$10),1,0))</f>
        <v>0.08409375</v>
      </c>
      <c r="AJ26" s="11" t="n">
        <f aca="false">Inputs!$F$63*Inputs!$F$35*(0.7*IF(AJ8=1,1,0)+0.3/(Time!$F$10-1)*IF(AND(AJ8&gt;=2,AJ8&lt;=Time!$F$10),1,0))</f>
        <v>0.08409375</v>
      </c>
      <c r="AK26" s="11" t="n">
        <f aca="false">Inputs!$F$63*Inputs!$F$35*(0.7*IF(AK8=1,1,0)+0.3/(Time!$F$10-1)*IF(AND(AK8&gt;=2,AK8&lt;=Time!$F$10),1,0))</f>
        <v>0.08409375</v>
      </c>
      <c r="AL26" s="11" t="n">
        <f aca="false">Inputs!$F$63*Inputs!$F$35*(0.7*IF(AL8=1,1,0)+0.3/(Time!$F$10-1)*IF(AND(AL8&gt;=2,AL8&lt;=Time!$F$10),1,0))</f>
        <v>0.08409375</v>
      </c>
      <c r="AM26" s="11" t="n">
        <f aca="false">Inputs!$F$63*Inputs!$F$35*(0.7*IF(AM8=1,1,0)+0.3/(Time!$F$10-1)*IF(AND(AM8&gt;=2,AM8&lt;=Time!$F$10),1,0))</f>
        <v>0.08409375</v>
      </c>
      <c r="AN26" s="11" t="n">
        <f aca="false">Inputs!$F$63*Inputs!$F$35*(0.7*IF(AN8=1,1,0)+0.3/(Time!$F$10-1)*IF(AND(AN8&gt;=2,AN8&lt;=Time!$F$10),1,0))</f>
        <v>0.08409375</v>
      </c>
      <c r="AO26" s="11" t="n">
        <f aca="false">Inputs!$F$63*Inputs!$F$35*(0.7*IF(AO8=1,1,0)+0.3/(Time!$F$10-1)*IF(AND(AO8&gt;=2,AO8&lt;=Time!$F$10),1,0))</f>
        <v>0.08409375</v>
      </c>
      <c r="AP26" s="11" t="n">
        <f aca="false">Inputs!$F$63*Inputs!$F$35*(0.7*IF(AP8=1,1,0)+0.3/(Time!$F$10-1)*IF(AND(AP8&gt;=2,AP8&lt;=Time!$F$10),1,0))</f>
        <v>0.08409375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38.4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0.00502690909090909</v>
      </c>
      <c r="L27" s="11" t="n">
        <f aca="false">IF(Inputs!$F$33=1,Inputs!$F$64*Inputs!$F$35*L21/SUM($J$21:$BJ$21),0)</f>
        <v>0.052736</v>
      </c>
      <c r="M27" s="11" t="n">
        <f aca="false">IF(Inputs!$F$33=1,Inputs!$F$64*Inputs!$F$35*M21/SUM($J$21:$BJ$21),0)</f>
        <v>0.150760727272727</v>
      </c>
      <c r="N27" s="11" t="n">
        <f aca="false">IF(Inputs!$F$33=1,Inputs!$F$64*Inputs!$F$35*N21/SUM($J$21:$BJ$21),0)</f>
        <v>0.292957090909091</v>
      </c>
      <c r="O27" s="11" t="n">
        <f aca="false">IF(Inputs!$F$33=1,Inputs!$F$64*Inputs!$F$35*O21/SUM($J$21:$BJ$21),0)</f>
        <v>0.470760727272727</v>
      </c>
      <c r="P27" s="11" t="n">
        <f aca="false">IF(Inputs!$F$33=1,Inputs!$F$64*Inputs!$F$35*P21/SUM($J$21:$BJ$21),0)</f>
        <v>0.674722909090909</v>
      </c>
      <c r="Q27" s="11" t="n">
        <f aca="false">IF(Inputs!$F$33=1,Inputs!$F$64*Inputs!$F$35*Q21/SUM($J$21:$BJ$21),0)</f>
        <v>0.895348363636364</v>
      </c>
      <c r="R27" s="11" t="n">
        <f aca="false">IF(Inputs!$F$33=1,Inputs!$F$64*Inputs!$F$35*R21/SUM($J$21:$BJ$21),0)</f>
        <v>1.12328145454545</v>
      </c>
      <c r="S27" s="11" t="n">
        <f aca="false">IF(Inputs!$F$33=1,Inputs!$F$64*Inputs!$F$35*S21/SUM($J$21:$BJ$21),0)</f>
        <v>1.34977163636364</v>
      </c>
      <c r="T27" s="11" t="n">
        <f aca="false">IF(Inputs!$F$33=1,Inputs!$F$64*Inputs!$F$35*T21/SUM($J$21:$BJ$21),0)</f>
        <v>1.56667345454545</v>
      </c>
      <c r="U27" s="11" t="n">
        <f aca="false">IF(Inputs!$F$33=1,Inputs!$F$64*Inputs!$F$35*U21/SUM($J$21:$BJ$21),0)</f>
        <v>1.76672581818182</v>
      </c>
      <c r="V27" s="11" t="n">
        <f aca="false">IF(Inputs!$F$33=1,Inputs!$F$64*Inputs!$F$35*V21/SUM($J$21:$BJ$21),0)</f>
        <v>1.94350545454545</v>
      </c>
      <c r="W27" s="11" t="n">
        <f aca="false">IF(Inputs!$F$33=1,Inputs!$F$64*Inputs!$F$35*W21/SUM($J$21:$BJ$21),0)</f>
        <v>2.09152</v>
      </c>
      <c r="X27" s="11" t="n">
        <f aca="false">IF(Inputs!$F$33=1,Inputs!$F$64*Inputs!$F$35*X21/SUM($J$21:$BJ$21),0)</f>
        <v>2.20648727272727</v>
      </c>
      <c r="Y27" s="11" t="n">
        <f aca="false">IF(Inputs!$F$33=1,Inputs!$F$64*Inputs!$F$35*Y21/SUM($J$21:$BJ$21),0)</f>
        <v>2.28496290909091</v>
      </c>
      <c r="Z27" s="11" t="n">
        <f aca="false">IF(Inputs!$F$33=1,Inputs!$F$64*Inputs!$F$35*Z21/SUM($J$21:$BJ$21),0)</f>
        <v>2.32475927272727</v>
      </c>
      <c r="AA27" s="11" t="n">
        <f aca="false">IF(Inputs!$F$33=1,Inputs!$F$64*Inputs!$F$35*AA21/SUM($J$21:$BJ$21),0)</f>
        <v>2.32475927272727</v>
      </c>
      <c r="AB27" s="11" t="n">
        <f aca="false">IF(Inputs!$F$33=1,Inputs!$F$64*Inputs!$F$35*AB21/SUM($J$21:$BJ$21),0)</f>
        <v>2.28496290909091</v>
      </c>
      <c r="AC27" s="11" t="n">
        <f aca="false">IF(Inputs!$F$33=1,Inputs!$F$64*Inputs!$F$35*AC21/SUM($J$21:$BJ$21),0)</f>
        <v>2.20648727272727</v>
      </c>
      <c r="AD27" s="11" t="n">
        <f aca="false">IF(Inputs!$F$33=1,Inputs!$F$64*Inputs!$F$35*AD21/SUM($J$21:$BJ$21),0)</f>
        <v>2.09152</v>
      </c>
      <c r="AE27" s="11" t="n">
        <f aca="false">IF(Inputs!$F$33=1,Inputs!$F$64*Inputs!$F$35*AE21/SUM($J$21:$BJ$21),0)</f>
        <v>1.94350545454545</v>
      </c>
      <c r="AF27" s="11" t="n">
        <f aca="false">IF(Inputs!$F$33=1,Inputs!$F$64*Inputs!$F$35*AF21/SUM($J$21:$BJ$21),0)</f>
        <v>1.76672581818182</v>
      </c>
      <c r="AG27" s="11" t="n">
        <f aca="false">IF(Inputs!$F$33=1,Inputs!$F$64*Inputs!$F$35*AG21/SUM($J$21:$BJ$21),0)</f>
        <v>1.56667345454545</v>
      </c>
      <c r="AH27" s="11" t="n">
        <f aca="false">IF(Inputs!$F$33=1,Inputs!$F$64*Inputs!$F$35*AH21/SUM($J$21:$BJ$21),0)</f>
        <v>1.34977163636364</v>
      </c>
      <c r="AI27" s="11" t="n">
        <f aca="false">IF(Inputs!$F$33=1,Inputs!$F$64*Inputs!$F$35*AI21/SUM($J$21:$BJ$21),0)</f>
        <v>1.12328145454545</v>
      </c>
      <c r="AJ27" s="11" t="n">
        <f aca="false">IF(Inputs!$F$33=1,Inputs!$F$64*Inputs!$F$35*AJ21/SUM($J$21:$BJ$21),0)</f>
        <v>0.895348363636364</v>
      </c>
      <c r="AK27" s="11" t="n">
        <f aca="false">IF(Inputs!$F$33=1,Inputs!$F$64*Inputs!$F$35*AK21/SUM($J$21:$BJ$21),0)</f>
        <v>0.674722909090909</v>
      </c>
      <c r="AL27" s="11" t="n">
        <f aca="false">IF(Inputs!$F$33=1,Inputs!$F$64*Inputs!$F$35*AL21/SUM($J$21:$BJ$21),0)</f>
        <v>0.470760727272727</v>
      </c>
      <c r="AM27" s="11" t="n">
        <f aca="false">IF(Inputs!$F$33=1,Inputs!$F$64*Inputs!$F$35*AM21/SUM($J$21:$BJ$21),0)</f>
        <v>0.292957090909091</v>
      </c>
      <c r="AN27" s="11" t="n">
        <f aca="false">IF(Inputs!$F$33=1,Inputs!$F$64*Inputs!$F$35*AN21/SUM($J$21:$BJ$21),0)</f>
        <v>0.150760727272727</v>
      </c>
      <c r="AO27" s="11" t="n">
        <f aca="false">IF(Inputs!$F$33=1,Inputs!$F$64*Inputs!$F$35*AO21/SUM($J$21:$BJ$21),0)</f>
        <v>0.052736</v>
      </c>
      <c r="AP27" s="11" t="n">
        <f aca="false">IF(Inputs!$F$33=1,Inputs!$F$64*Inputs!$F$35*AP21/SUM($J$21:$BJ$21),0)</f>
        <v>0.00502690909090895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5.35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5.35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710.99</v>
      </c>
      <c r="J30" s="11" t="n">
        <f aca="false">J22+J23+J24+J25+J26+J27+J28+J29</f>
        <v>108.1116</v>
      </c>
      <c r="K30" s="11" t="n">
        <f aca="false">K22+K23+K24+K25+K26+K27+K28+K29</f>
        <v>1.42082937909091</v>
      </c>
      <c r="L30" s="11" t="n">
        <f aca="false">L22+L23+L24+L25+L26+L27+L28+L29</f>
        <v>2.05467447</v>
      </c>
      <c r="M30" s="11" t="n">
        <f aca="false">M22+M23+M24+M25+M26+M27+M28+M29</f>
        <v>3.35699423727273</v>
      </c>
      <c r="N30" s="11" t="n">
        <f aca="false">N22+N23+N24+N25+N26+N27+N28+N29</f>
        <v>5.24616180090909</v>
      </c>
      <c r="O30" s="11" t="n">
        <f aca="false">O22+O23+O24+O25+O26+O27+O28+O29</f>
        <v>7.60839423727273</v>
      </c>
      <c r="P30" s="11" t="n">
        <f aca="false">P22+P23+P24+P25+P26+P27+P28+P29</f>
        <v>10.3181592990909</v>
      </c>
      <c r="Q30" s="11" t="n">
        <f aca="false">Q22+Q23+Q24+Q25+Q26+Q27+Q28+Q29</f>
        <v>13.2493063536364</v>
      </c>
      <c r="R30" s="11" t="n">
        <f aca="false">R22+R23+R24+R25+R26+R27+R28+R29</f>
        <v>16.2775399245455</v>
      </c>
      <c r="S30" s="11" t="n">
        <f aca="false">S22+S23+S24+S25+S26+S27+S28+S29</f>
        <v>19.2866035463636</v>
      </c>
      <c r="T30" s="11" t="n">
        <f aca="false">T22+T23+T24+T25+T26+T27+T28+T29</f>
        <v>22.1682797645455</v>
      </c>
      <c r="U30" s="11" t="n">
        <f aca="false">U22+U23+U24+U25+U26+U27+U28+U29</f>
        <v>24.8261004481818</v>
      </c>
      <c r="V30" s="11" t="n">
        <f aca="false">V22+V23+V24+V25+V26+V27+V28+V29</f>
        <v>27.1747284045455</v>
      </c>
      <c r="W30" s="11" t="n">
        <f aca="false">W22+W23+W24+W25+W26+W27+W28+W29</f>
        <v>29.14119415</v>
      </c>
      <c r="X30" s="11" t="n">
        <f aca="false">X22+X23+X24+X25+X26+X27+X28+X29</f>
        <v>30.6686062227273</v>
      </c>
      <c r="Y30" s="11" t="n">
        <f aca="false">Y22+Y23+Y24+Y25+Y26+Y27+Y28+Y29</f>
        <v>31.7112040990909</v>
      </c>
      <c r="Z30" s="11" t="n">
        <f aca="false">Z22+Z23+Z24+Z25+Z26+Z27+Z28+Z29</f>
        <v>32.2399236627273</v>
      </c>
      <c r="AA30" s="11" t="n">
        <f aca="false">AA22+AA23+AA24+AA25+AA26+AA27+AA28+AA29</f>
        <v>33.3829236627273</v>
      </c>
      <c r="AB30" s="11" t="n">
        <f aca="false">AB22+AB23+AB24+AB25+AB26+AB27+AB28+AB29</f>
        <v>31.7112040990909</v>
      </c>
      <c r="AC30" s="11" t="n">
        <f aca="false">AC22+AC23+AC24+AC25+AC26+AC27+AC28+AC29</f>
        <v>30.6686062227273</v>
      </c>
      <c r="AD30" s="11" t="n">
        <f aca="false">AD22+AD23+AD24+AD25+AD26+AD27+AD28+AD29</f>
        <v>29.14119415</v>
      </c>
      <c r="AE30" s="11" t="n">
        <f aca="false">AE22+AE23+AE24+AE25+AE26+AE27+AE28+AE29</f>
        <v>27.1747284045455</v>
      </c>
      <c r="AF30" s="11" t="n">
        <f aca="false">AF22+AF23+AF24+AF25+AF26+AF27+AF28+AF29</f>
        <v>24.8261004481818</v>
      </c>
      <c r="AG30" s="11" t="n">
        <f aca="false">AG22+AG23+AG24+AG25+AG26+AG27+AG28+AG29</f>
        <v>22.1682797645455</v>
      </c>
      <c r="AH30" s="11" t="n">
        <f aca="false">AH22+AH23+AH24+AH25+AH26+AH27+AH28+AH29</f>
        <v>19.2866035463636</v>
      </c>
      <c r="AI30" s="11" t="n">
        <f aca="false">AI22+AI23+AI24+AI25+AI26+AI27+AI28+AI29</f>
        <v>16.2775399245455</v>
      </c>
      <c r="AJ30" s="11" t="n">
        <f aca="false">AJ22+AJ23+AJ24+AJ25+AJ26+AJ27+AJ28+AJ29</f>
        <v>13.2493063536364</v>
      </c>
      <c r="AK30" s="11" t="n">
        <f aca="false">AK22+AK23+AK24+AK25+AK26+AK27+AK28+AK29</f>
        <v>10.3181592990909</v>
      </c>
      <c r="AL30" s="11" t="n">
        <f aca="false">AL22+AL23+AL24+AL25+AL26+AL27+AL28+AL29</f>
        <v>7.60839423727273</v>
      </c>
      <c r="AM30" s="11" t="n">
        <f aca="false">AM22+AM23+AM24+AM25+AM26+AM27+AM28+AM29</f>
        <v>5.24616180090909</v>
      </c>
      <c r="AN30" s="11" t="n">
        <f aca="false">AN22+AN23+AN24+AN25+AN26+AN27+AN28+AN29</f>
        <v>3.35699423727273</v>
      </c>
      <c r="AO30" s="11" t="n">
        <f aca="false">AO22+AO23+AO24+AO25+AO26+AO27+AO28+AO29</f>
        <v>2.05467447</v>
      </c>
      <c r="AP30" s="11" t="n">
        <f aca="false">AP22+AP23+AP24+AP25+AP26+AP27+AP28+AP29</f>
        <v>49.6588293790909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42938.798</v>
      </c>
      <c r="J32" s="11" t="n">
        <f aca="false">J20/100*Inputs!$F$57*Inputs!$F$58*Inputs!$F$35</f>
        <v>4293.8798</v>
      </c>
      <c r="K32" s="11" t="n">
        <f aca="false">K20/100*Inputs!$F$57*Inputs!$F$58*Inputs!$F$35</f>
        <v>4.637390184</v>
      </c>
      <c r="L32" s="11" t="n">
        <f aca="false">L20/100*Inputs!$F$57*Inputs!$F$58*Inputs!$F$35</f>
        <v>48.649658134</v>
      </c>
      <c r="M32" s="11" t="n">
        <f aca="false">M20/100*Inputs!$F$57*Inputs!$F$58*Inputs!$F$35</f>
        <v>139.078766722</v>
      </c>
      <c r="N32" s="11" t="n">
        <f aca="false">N20/100*Inputs!$F$57*Inputs!$F$58*Inputs!$F$35</f>
        <v>270.256794612</v>
      </c>
      <c r="O32" s="11" t="n">
        <f aca="false">O20/100*Inputs!$F$57*Inputs!$F$58*Inputs!$F$35</f>
        <v>434.283002972</v>
      </c>
      <c r="P32" s="11" t="n">
        <f aca="false">P20/100*Inputs!$F$57*Inputs!$F$58*Inputs!$F$35</f>
        <v>622.440815808</v>
      </c>
      <c r="Q32" s="11" t="n">
        <f aca="false">Q20/100*Inputs!$F$57*Inputs!$F$58*Inputs!$F$35</f>
        <v>825.970718328</v>
      </c>
      <c r="R32" s="11" t="n">
        <f aca="false">R20/100*Inputs!$F$57*Inputs!$F$58*Inputs!$F$35</f>
        <v>1036.242012134</v>
      </c>
      <c r="S32" s="11" t="n">
        <f aca="false">S20/100*Inputs!$F$57*Inputs!$F$58*Inputs!$F$35</f>
        <v>1245.182203202</v>
      </c>
      <c r="T32" s="11" t="n">
        <f aca="false">T20/100*Inputs!$F$57*Inputs!$F$58*Inputs!$F$35</f>
        <v>1445.277001882</v>
      </c>
      <c r="U32" s="11" t="n">
        <f aca="false">U20/100*Inputs!$F$57*Inputs!$F$58*Inputs!$F$35</f>
        <v>1629.827955686</v>
      </c>
      <c r="V32" s="11" t="n">
        <f aca="false">V20/100*Inputs!$F$57*Inputs!$F$58*Inputs!$F$35</f>
        <v>1792.90951049</v>
      </c>
      <c r="W32" s="11" t="n">
        <f aca="false">W20/100*Inputs!$F$57*Inputs!$F$58*Inputs!$F$35</f>
        <v>1929.45488813</v>
      </c>
      <c r="X32" s="11" t="n">
        <f aca="false">X20/100*Inputs!$F$57*Inputs!$F$58*Inputs!$F$35</f>
        <v>2035.51371919</v>
      </c>
      <c r="Y32" s="11" t="n">
        <f aca="false">Y20/100*Inputs!$F$57*Inputs!$F$58*Inputs!$F$35</f>
        <v>2107.908532618</v>
      </c>
      <c r="Z32" s="11" t="n">
        <f aca="false">Z20/100*Inputs!$F$57*Inputs!$F$58*Inputs!$F$35</f>
        <v>2144.621204908</v>
      </c>
      <c r="AA32" s="11" t="n">
        <f aca="false">AA20/100*Inputs!$F$57*Inputs!$F$58*Inputs!$F$35</f>
        <v>2144.621204908</v>
      </c>
      <c r="AB32" s="11" t="n">
        <f aca="false">AB20/100*Inputs!$F$57*Inputs!$F$58*Inputs!$F$35</f>
        <v>2107.908532618</v>
      </c>
      <c r="AC32" s="11" t="n">
        <f aca="false">AC20/100*Inputs!$F$57*Inputs!$F$58*Inputs!$F$35</f>
        <v>2035.51371919</v>
      </c>
      <c r="AD32" s="11" t="n">
        <f aca="false">AD20/100*Inputs!$F$57*Inputs!$F$58*Inputs!$F$35</f>
        <v>1929.45488813</v>
      </c>
      <c r="AE32" s="11" t="n">
        <f aca="false">AE20/100*Inputs!$F$57*Inputs!$F$58*Inputs!$F$35</f>
        <v>1792.90951049</v>
      </c>
      <c r="AF32" s="11" t="n">
        <f aca="false">AF20/100*Inputs!$F$57*Inputs!$F$58*Inputs!$F$35</f>
        <v>1629.827955686</v>
      </c>
      <c r="AG32" s="11" t="n">
        <f aca="false">AG20/100*Inputs!$F$57*Inputs!$F$58*Inputs!$F$35</f>
        <v>1445.277001882</v>
      </c>
      <c r="AH32" s="11" t="n">
        <f aca="false">AH20/100*Inputs!$F$57*Inputs!$F$58*Inputs!$F$35</f>
        <v>1245.182203202</v>
      </c>
      <c r="AI32" s="11" t="n">
        <f aca="false">AI20/100*Inputs!$F$57*Inputs!$F$58*Inputs!$F$35</f>
        <v>1036.242012134</v>
      </c>
      <c r="AJ32" s="11" t="n">
        <f aca="false">AJ20/100*Inputs!$F$57*Inputs!$F$58*Inputs!$F$35</f>
        <v>825.970718328</v>
      </c>
      <c r="AK32" s="11" t="n">
        <f aca="false">AK20/100*Inputs!$F$57*Inputs!$F$58*Inputs!$F$35</f>
        <v>622.440815808</v>
      </c>
      <c r="AL32" s="11" t="n">
        <f aca="false">AL20/100*Inputs!$F$57*Inputs!$F$58*Inputs!$F$35</f>
        <v>434.283002972</v>
      </c>
      <c r="AM32" s="11" t="n">
        <f aca="false">AM20/100*Inputs!$F$57*Inputs!$F$58*Inputs!$F$35</f>
        <v>270.256794612</v>
      </c>
      <c r="AN32" s="11" t="n">
        <f aca="false">AN20/100*Inputs!$F$57*Inputs!$F$58*Inputs!$F$35</f>
        <v>139.078766722</v>
      </c>
      <c r="AO32" s="11" t="n">
        <f aca="false">AO20/100*Inputs!$F$57*Inputs!$F$58*Inputs!$F$35</f>
        <v>48.649658134</v>
      </c>
      <c r="AP32" s="11" t="n">
        <f aca="false">AP20/100*Inputs!$F$57*Inputs!$F$58*Inputs!$F$35</f>
        <v>3225.047240184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7728.98364</v>
      </c>
      <c r="J33" s="11" t="n">
        <f aca="false">Inputs!$F$68/100*J32</f>
        <v>772.898364</v>
      </c>
      <c r="K33" s="11" t="n">
        <f aca="false">Inputs!$F$68/100*K32</f>
        <v>0.83473023312</v>
      </c>
      <c r="L33" s="11" t="n">
        <f aca="false">Inputs!$F$68/100*L32</f>
        <v>8.75693846412</v>
      </c>
      <c r="M33" s="11" t="n">
        <f aca="false">Inputs!$F$68/100*M32</f>
        <v>25.03417800996</v>
      </c>
      <c r="N33" s="11" t="n">
        <f aca="false">Inputs!$F$68/100*N32</f>
        <v>48.64622303016</v>
      </c>
      <c r="O33" s="11" t="n">
        <f aca="false">Inputs!$F$68/100*O32</f>
        <v>78.17094053496</v>
      </c>
      <c r="P33" s="11" t="n">
        <f aca="false">Inputs!$F$68/100*P32</f>
        <v>112.03934684544</v>
      </c>
      <c r="Q33" s="11" t="n">
        <f aca="false">Inputs!$F$68/100*Q32</f>
        <v>148.67472929904</v>
      </c>
      <c r="R33" s="11" t="n">
        <f aca="false">Inputs!$F$68/100*R32</f>
        <v>186.52356218412</v>
      </c>
      <c r="S33" s="11" t="n">
        <f aca="false">Inputs!$F$68/100*S32</f>
        <v>224.13279657636</v>
      </c>
      <c r="T33" s="11" t="n">
        <f aca="false">Inputs!$F$68/100*T32</f>
        <v>260.14986033876</v>
      </c>
      <c r="U33" s="11" t="n">
        <f aca="false">Inputs!$F$68/100*U32</f>
        <v>293.36903202348</v>
      </c>
      <c r="V33" s="11" t="n">
        <f aca="false">Inputs!$F$68/100*V32</f>
        <v>322.7237118882</v>
      </c>
      <c r="W33" s="11" t="n">
        <f aca="false">Inputs!$F$68/100*W32</f>
        <v>347.3018798634</v>
      </c>
      <c r="X33" s="11" t="n">
        <f aca="false">Inputs!$F$68/100*X32</f>
        <v>366.3924694542</v>
      </c>
      <c r="Y33" s="11" t="n">
        <f aca="false">Inputs!$F$68/100*Y32</f>
        <v>379.42353587124</v>
      </c>
      <c r="Z33" s="11" t="n">
        <f aca="false">Inputs!$F$68/100*Z32</f>
        <v>386.03181688344</v>
      </c>
      <c r="AA33" s="11" t="n">
        <f aca="false">Inputs!$F$68/100*AA32</f>
        <v>386.03181688344</v>
      </c>
      <c r="AB33" s="11" t="n">
        <f aca="false">Inputs!$F$68/100*AB32</f>
        <v>379.42353587124</v>
      </c>
      <c r="AC33" s="11" t="n">
        <f aca="false">Inputs!$F$68/100*AC32</f>
        <v>366.3924694542</v>
      </c>
      <c r="AD33" s="11" t="n">
        <f aca="false">Inputs!$F$68/100*AD32</f>
        <v>347.3018798634</v>
      </c>
      <c r="AE33" s="11" t="n">
        <f aca="false">Inputs!$F$68/100*AE32</f>
        <v>322.7237118882</v>
      </c>
      <c r="AF33" s="11" t="n">
        <f aca="false">Inputs!$F$68/100*AF32</f>
        <v>293.36903202348</v>
      </c>
      <c r="AG33" s="11" t="n">
        <f aca="false">Inputs!$F$68/100*AG32</f>
        <v>260.14986033876</v>
      </c>
      <c r="AH33" s="11" t="n">
        <f aca="false">Inputs!$F$68/100*AH32</f>
        <v>224.13279657636</v>
      </c>
      <c r="AI33" s="11" t="n">
        <f aca="false">Inputs!$F$68/100*AI32</f>
        <v>186.52356218412</v>
      </c>
      <c r="AJ33" s="11" t="n">
        <f aca="false">Inputs!$F$68/100*AJ32</f>
        <v>148.67472929904</v>
      </c>
      <c r="AK33" s="11" t="n">
        <f aca="false">Inputs!$F$68/100*AK32</f>
        <v>112.03934684544</v>
      </c>
      <c r="AL33" s="11" t="n">
        <f aca="false">Inputs!$F$68/100*AL32</f>
        <v>78.17094053496</v>
      </c>
      <c r="AM33" s="11" t="n">
        <f aca="false">Inputs!$F$68/100*AM32</f>
        <v>48.64622303016</v>
      </c>
      <c r="AN33" s="11" t="n">
        <f aca="false">Inputs!$F$68/100*AN32</f>
        <v>25.03417800996</v>
      </c>
      <c r="AO33" s="11" t="n">
        <f aca="false">Inputs!$F$68/100*AO32</f>
        <v>8.75693846412</v>
      </c>
      <c r="AP33" s="11" t="n">
        <f aca="false">Inputs!$F$68/100*AP32</f>
        <v>580.50850323312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7728.98364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772.898364</v>
      </c>
      <c r="T34" s="11" t="n">
        <f aca="false">K33</f>
        <v>0.83473023312</v>
      </c>
      <c r="U34" s="11" t="n">
        <f aca="false">L33</f>
        <v>8.75693846412</v>
      </c>
      <c r="V34" s="11" t="n">
        <f aca="false">M33</f>
        <v>25.03417800996</v>
      </c>
      <c r="W34" s="11" t="n">
        <f aca="false">N33</f>
        <v>48.64622303016</v>
      </c>
      <c r="X34" s="11" t="n">
        <f aca="false">O33</f>
        <v>78.17094053496</v>
      </c>
      <c r="Y34" s="11" t="n">
        <f aca="false">P33</f>
        <v>112.03934684544</v>
      </c>
      <c r="Z34" s="11" t="n">
        <f aca="false">Q33</f>
        <v>148.67472929904</v>
      </c>
      <c r="AA34" s="11" t="n">
        <f aca="false">R33</f>
        <v>186.52356218412</v>
      </c>
      <c r="AB34" s="11" t="n">
        <f aca="false">S33</f>
        <v>224.13279657636</v>
      </c>
      <c r="AC34" s="11" t="n">
        <f aca="false">T33</f>
        <v>260.14986033876</v>
      </c>
      <c r="AD34" s="11" t="n">
        <f aca="false">U33</f>
        <v>293.36903202348</v>
      </c>
      <c r="AE34" s="11" t="n">
        <f aca="false">V33</f>
        <v>322.7237118882</v>
      </c>
      <c r="AF34" s="11" t="n">
        <f aca="false">W33</f>
        <v>347.3018798634</v>
      </c>
      <c r="AG34" s="11" t="n">
        <f aca="false">X33</f>
        <v>366.3924694542</v>
      </c>
      <c r="AH34" s="11" t="n">
        <f aca="false">Y33</f>
        <v>379.42353587124</v>
      </c>
      <c r="AI34" s="11" t="n">
        <f aca="false">Z33</f>
        <v>386.03181688344</v>
      </c>
      <c r="AJ34" s="11" t="n">
        <f aca="false">AA33</f>
        <v>386.03181688344</v>
      </c>
      <c r="AK34" s="11" t="n">
        <f aca="false">AB33</f>
        <v>379.42353587124</v>
      </c>
      <c r="AL34" s="11" t="n">
        <f aca="false">AC33</f>
        <v>366.3924694542</v>
      </c>
      <c r="AM34" s="11" t="n">
        <f aca="false">AD33</f>
        <v>347.3018798634</v>
      </c>
      <c r="AN34" s="11" t="n">
        <f aca="false">AE33</f>
        <v>322.7237118882</v>
      </c>
      <c r="AO34" s="11" t="n">
        <f aca="false">AF33</f>
        <v>293.36903202348</v>
      </c>
      <c r="AP34" s="11" t="n">
        <f aca="false">AG33</f>
        <v>260.14986033876</v>
      </c>
      <c r="AQ34" s="11" t="n">
        <f aca="false">AH33</f>
        <v>224.13279657636</v>
      </c>
      <c r="AR34" s="11" t="n">
        <f aca="false">AI33</f>
        <v>186.52356218412</v>
      </c>
      <c r="AS34" s="11" t="n">
        <f aca="false">AJ33</f>
        <v>148.67472929904</v>
      </c>
      <c r="AT34" s="11" t="n">
        <f aca="false">AK33</f>
        <v>112.03934684544</v>
      </c>
      <c r="AU34" s="11" t="n">
        <f aca="false">AL33</f>
        <v>78.17094053496</v>
      </c>
      <c r="AV34" s="11" t="n">
        <f aca="false">AM33</f>
        <v>48.64622303016</v>
      </c>
      <c r="AW34" s="11" t="n">
        <f aca="false">AN33</f>
        <v>25.03417800996</v>
      </c>
      <c r="AX34" s="11" t="n">
        <f aca="false">AO33</f>
        <v>8.75693846412</v>
      </c>
      <c r="AY34" s="11" t="n">
        <f aca="false">AP33</f>
        <v>580.50850323312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772.898364</v>
      </c>
      <c r="K35" s="11" t="n">
        <f aca="false">J35+K33-K34</f>
        <v>773.73309423312</v>
      </c>
      <c r="L35" s="11" t="n">
        <f aca="false">K35+L33-L34</f>
        <v>782.49003269724</v>
      </c>
      <c r="M35" s="11" t="n">
        <f aca="false">L35+M33-M34</f>
        <v>807.5242107072</v>
      </c>
      <c r="N35" s="11" t="n">
        <f aca="false">M35+N33-N34</f>
        <v>856.17043373736</v>
      </c>
      <c r="O35" s="11" t="n">
        <f aca="false">N35+O33-O34</f>
        <v>934.34137427232</v>
      </c>
      <c r="P35" s="11" t="n">
        <f aca="false">O35+P33-P34</f>
        <v>1046.38072111776</v>
      </c>
      <c r="Q35" s="11" t="n">
        <f aca="false">P35+Q33-Q34</f>
        <v>1195.0554504168</v>
      </c>
      <c r="R35" s="11" t="n">
        <f aca="false">Q35+R33-R34</f>
        <v>1381.57901260092</v>
      </c>
      <c r="S35" s="11" t="n">
        <f aca="false">R35+S33-S34</f>
        <v>832.81344517728</v>
      </c>
      <c r="T35" s="11" t="n">
        <f aca="false">S35+T33-T34</f>
        <v>1092.12857528292</v>
      </c>
      <c r="U35" s="11" t="n">
        <f aca="false">T35+U33-U34</f>
        <v>1376.74066884228</v>
      </c>
      <c r="V35" s="11" t="n">
        <f aca="false">U35+V33-V34</f>
        <v>1674.43020272052</v>
      </c>
      <c r="W35" s="11" t="n">
        <f aca="false">V35+W33-W34</f>
        <v>1973.08585955376</v>
      </c>
      <c r="X35" s="11" t="n">
        <f aca="false">W35+X33-X34</f>
        <v>2261.307388473</v>
      </c>
      <c r="Y35" s="11" t="n">
        <f aca="false">X35+Y33-Y34</f>
        <v>2528.6915774988</v>
      </c>
      <c r="Z35" s="11" t="n">
        <f aca="false">Y35+Z33-Z34</f>
        <v>2766.0486650832</v>
      </c>
      <c r="AA35" s="11" t="n">
        <f aca="false">Z35+AA33-AA34</f>
        <v>2965.55691978252</v>
      </c>
      <c r="AB35" s="11" t="n">
        <f aca="false">AA35+AB33-AB34</f>
        <v>3120.8476590774</v>
      </c>
      <c r="AC35" s="11" t="n">
        <f aca="false">AB35+AC33-AC34</f>
        <v>3227.09026819284</v>
      </c>
      <c r="AD35" s="11" t="n">
        <f aca="false">AC35+AD33-AD34</f>
        <v>3281.02311603276</v>
      </c>
      <c r="AE35" s="11" t="n">
        <f aca="false">AD35+AE33-AE34</f>
        <v>3281.02311603276</v>
      </c>
      <c r="AF35" s="11" t="n">
        <f aca="false">AE35+AF33-AF34</f>
        <v>3227.09026819284</v>
      </c>
      <c r="AG35" s="11" t="n">
        <f aca="false">AF35+AG33-AG34</f>
        <v>3120.8476590774</v>
      </c>
      <c r="AH35" s="11" t="n">
        <f aca="false">AG35+AH33-AH34</f>
        <v>2965.55691978252</v>
      </c>
      <c r="AI35" s="11" t="n">
        <f aca="false">AH35+AI33-AI34</f>
        <v>2766.0486650832</v>
      </c>
      <c r="AJ35" s="11" t="n">
        <f aca="false">AI35+AJ33-AJ34</f>
        <v>2528.6915774988</v>
      </c>
      <c r="AK35" s="11" t="n">
        <f aca="false">AJ35+AK33-AK34</f>
        <v>2261.307388473</v>
      </c>
      <c r="AL35" s="11" t="n">
        <f aca="false">AK35+AL33-AL34</f>
        <v>1973.08585955376</v>
      </c>
      <c r="AM35" s="11" t="n">
        <f aca="false">AL35+AM33-AM34</f>
        <v>1674.43020272052</v>
      </c>
      <c r="AN35" s="11" t="n">
        <f aca="false">AM35+AN33-AN34</f>
        <v>1376.74066884228</v>
      </c>
      <c r="AO35" s="11" t="n">
        <f aca="false">AN35+AO33-AO34</f>
        <v>1092.12857528292</v>
      </c>
      <c r="AP35" s="11" t="n">
        <f aca="false">AO35+AP33-AP34</f>
        <v>1412.48721817728</v>
      </c>
      <c r="AQ35" s="11" t="n">
        <f aca="false">AP35+AQ33-AQ34</f>
        <v>1188.35442160092</v>
      </c>
      <c r="AR35" s="11" t="n">
        <f aca="false">AQ35+AR33-AR34</f>
        <v>1001.8308594168</v>
      </c>
      <c r="AS35" s="11" t="n">
        <f aca="false">AR35+AS33-AS34</f>
        <v>853.15613011776</v>
      </c>
      <c r="AT35" s="11" t="n">
        <f aca="false">AS35+AT33-AT34</f>
        <v>741.11678327232</v>
      </c>
      <c r="AU35" s="11" t="n">
        <f aca="false">AT35+AU33-AU34</f>
        <v>662.94584273736</v>
      </c>
      <c r="AV35" s="11" t="n">
        <f aca="false">AU35+AV33-AV34</f>
        <v>614.299619707201</v>
      </c>
      <c r="AW35" s="11" t="n">
        <f aca="false">AV35+AW33-AW34</f>
        <v>589.265441697241</v>
      </c>
      <c r="AX35" s="11" t="n">
        <f aca="false">AW35+AX33-AX34</f>
        <v>580.508503233121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1.63486709417751</v>
      </c>
      <c r="J36" s="11" t="n">
        <f aca="false">0*(J18+Inputs!$F$69)/100*J11/365/J16</f>
        <v>0</v>
      </c>
      <c r="K36" s="11" t="n">
        <f aca="false">J35*(K18+Inputs!$F$69)/100*K11/365/K16</f>
        <v>0.0194457240997733</v>
      </c>
      <c r="L36" s="11" t="n">
        <f aca="false">K35*(L18+Inputs!$F$69)/100*L11/365/L16</f>
        <v>0.0200310422177048</v>
      </c>
      <c r="M36" s="11" t="n">
        <f aca="false">L35*(M18+Inputs!$F$69)/100*M11/365/M16</f>
        <v>0.0195218490832966</v>
      </c>
      <c r="N36" s="11" t="n">
        <f aca="false">M35*(N18+Inputs!$F$69)/100*N11/365/N16</f>
        <v>0.0207304309549175</v>
      </c>
      <c r="O36" s="11" t="n">
        <f aca="false">N35*(O18+Inputs!$F$69)/100*O11/365/O16</f>
        <v>0.021886847272568</v>
      </c>
      <c r="P36" s="11" t="n">
        <f aca="false">O35*(P18+Inputs!$F$69)/100*P11/365/P16</f>
        <v>0.0214830085816359</v>
      </c>
      <c r="Q36" s="11" t="n">
        <f aca="false">P35*(Q18+Inputs!$F$69)/100*Q11/365/Q16</f>
        <v>0.026524860951246</v>
      </c>
      <c r="R36" s="11" t="n">
        <f aca="false">Q35*(R18+Inputs!$F$69)/100*R11/365/R16</f>
        <v>0.0291931666812582</v>
      </c>
      <c r="S36" s="11" t="n">
        <f aca="false">R35*(S18+Inputs!$F$69)/100*S11/365/S16</f>
        <v>0.034727979703444</v>
      </c>
      <c r="T36" s="11" t="n">
        <f aca="false">S35*(T18+Inputs!$F$69)/100*T11/365/T16</f>
        <v>0.0201735014177452</v>
      </c>
      <c r="U36" s="11" t="n">
        <f aca="false">T35*(U18+Inputs!$F$69)/100*U11/365/U16</f>
        <v>0.0272218707388594</v>
      </c>
      <c r="V36" s="11" t="n">
        <f aca="false">U35*(V18+Inputs!$F$69)/100*V11/365/V16</f>
        <v>0.0341716965606389</v>
      </c>
      <c r="W36" s="11" t="n">
        <f aca="false">V35*(W18+Inputs!$F$69)/100*W11/365/W16</f>
        <v>0.0400508015468132</v>
      </c>
      <c r="X36" s="11" t="n">
        <f aca="false">W35*(X18+Inputs!$F$69)/100*X11/365/X16</f>
        <v>0.0485624723651726</v>
      </c>
      <c r="Y36" s="11" t="n">
        <f aca="false">X35*(Y18+Inputs!$F$69)/100*Y11/365/Y16</f>
        <v>0.0536344918211279</v>
      </c>
      <c r="Z36" s="11" t="n">
        <f aca="false">Y35*(Z18+Inputs!$F$69)/100*Z11/365/Z16</f>
        <v>0.0617150481464958</v>
      </c>
      <c r="AA36" s="11" t="n">
        <f aca="false">Z35*(AA18+Inputs!$F$69)/100*AA11/365/AA16</f>
        <v>0.0672241360452611</v>
      </c>
      <c r="AB36" s="11" t="n">
        <f aca="false">AA35*(AB18+Inputs!$F$69)/100*AB11/365/AB16</f>
        <v>0.0671395125097447</v>
      </c>
      <c r="AC36" s="11" t="n">
        <f aca="false">AB35*(AC18+Inputs!$F$69)/100*AC11/365/AC16</f>
        <v>0.0752104847039138</v>
      </c>
      <c r="AD36" s="11" t="n">
        <f aca="false">AC35*(AD18+Inputs!$F$69)/100*AD11/365/AD16</f>
        <v>0.0749456956637847</v>
      </c>
      <c r="AE36" s="11" t="n">
        <f aca="false">AD35*(AE18+Inputs!$F$69)/100*AE11/365/AE16</f>
        <v>0.0784071220767009</v>
      </c>
      <c r="AF36" s="11" t="n">
        <f aca="false">AE35*(AF18+Inputs!$F$69)/100*AF11/365/AF16</f>
        <v>0.0755588391382728</v>
      </c>
      <c r="AG36" s="11" t="n">
        <f aca="false">AF35*(AG18+Inputs!$F$69)/100*AG11/365/AG16</f>
        <v>0.0764711712832112</v>
      </c>
      <c r="AH36" s="11" t="n">
        <f aca="false">AG35*(AH18+Inputs!$F$69)/100*AH11/365/AH16</f>
        <v>0.0736426487589338</v>
      </c>
      <c r="AI36" s="11" t="n">
        <f aca="false">AH35*(AI18+Inputs!$F$69)/100*AI11/365/AI16</f>
        <v>0.0674361640987342</v>
      </c>
      <c r="AJ36" s="11" t="n">
        <f aca="false">AI35*(AJ18+Inputs!$F$69)/100*AJ11/365/AJ16</f>
        <v>0.0647227636214697</v>
      </c>
      <c r="AK36" s="11" t="n">
        <f aca="false">AJ35*(AK18+Inputs!$F$69)/100*AK11/365/AK16</f>
        <v>0.0570194287412817</v>
      </c>
      <c r="AL36" s="11" t="n">
        <f aca="false">AK35*(AL18+Inputs!$F$69)/100*AL11/365/AL16</f>
        <v>0.0524683302432578</v>
      </c>
      <c r="AM36" s="11" t="n">
        <f aca="false">AL35*(AM18+Inputs!$F$69)/100*AM11/365/AM16</f>
        <v>0.0455883452314648</v>
      </c>
      <c r="AN36" s="11" t="n">
        <f aca="false">AM35*(AN18+Inputs!$F$69)/100*AN11/365/AN16</f>
        <v>0.0347969703795965</v>
      </c>
      <c r="AO36" s="11" t="n">
        <f aca="false">AN35*(AO18+Inputs!$F$69)/100*AO11/365/AO16</f>
        <v>0.031542810815562</v>
      </c>
      <c r="AP36" s="11" t="n">
        <f aca="false">AO35*(AP18+Inputs!$F$69)/100*AP11/365/AP16</f>
        <v>0.0241130298367733</v>
      </c>
      <c r="AQ36" s="11" t="n">
        <f aca="false">AP35*(AQ18+Inputs!$F$69)/100*AQ11/365/AQ16</f>
        <v>0.0320902559722956</v>
      </c>
      <c r="AR36" s="11" t="n">
        <f aca="false">AQ35*(AR18+Inputs!$F$69)/100*AR11/365/AR16</f>
        <v>0.0260174305983059</v>
      </c>
      <c r="AS36" s="11" t="n">
        <f aca="false">AR35*(AS18+Inputs!$F$69)/100*AS11/365/AS16</f>
        <v>0.0225695793708405</v>
      </c>
      <c r="AT36" s="11" t="n">
        <f aca="false">AS35*(AT18+Inputs!$F$69)/100*AT11/365/AT16</f>
        <v>0.0191393761731925</v>
      </c>
      <c r="AU36" s="11" t="n">
        <f aca="false">AT35*(AU18+Inputs!$F$69)/100*AU11/365/AU16</f>
        <v>0.0160219611596398</v>
      </c>
      <c r="AV36" s="11" t="n">
        <f aca="false">AU35*(AV18+Inputs!$F$69)/100*AV11/365/AV16</f>
        <v>0.0147474767274442</v>
      </c>
      <c r="AW36" s="11" t="n">
        <f aca="false">AV35*(AW18+Inputs!$F$69)/100*AW11/365/AW16</f>
        <v>0.013168905401365</v>
      </c>
      <c r="AX36" s="11" t="n">
        <f aca="false">AW35*(AX18+Inputs!$F$69)/100*AX11/365/AX16</f>
        <v>0.0129984343551899</v>
      </c>
      <c r="AY36" s="11" t="n">
        <f aca="false">AX35*(AY18+Inputs!$F$69)/100*AY11/365/AY16</f>
        <v>0.0127514291285803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574303.891448549</v>
      </c>
      <c r="P33" s="13" t="n">
        <f aca="false">$F$30*730*Time!P25*P28/100*Inputs!$F$37/100*P32</f>
        <v>1722050.11081303</v>
      </c>
      <c r="Q33" s="13" t="n">
        <f aca="false">$F$30*730*Time!Q25*Q28/100*Inputs!$F$37/100*Q32</f>
        <v>1715254.27585895</v>
      </c>
      <c r="R33" s="13" t="n">
        <f aca="false">$F$30*730*Time!R25*R28/100*Inputs!$F$37/100*R32</f>
        <v>1702967.35115129</v>
      </c>
      <c r="S33" s="13" t="n">
        <f aca="false">$F$30*730*Time!S25*S28/100*Inputs!$F$37/100*S32</f>
        <v>1707182.62880806</v>
      </c>
      <c r="T33" s="13" t="n">
        <f aca="false">$F$30*730*Time!T25*T28/100*Inputs!$F$37/100*T32</f>
        <v>1716880.72961735</v>
      </c>
      <c r="U33" s="13" t="n">
        <f aca="false">$F$30*730*Time!U25*U28/100*Inputs!$F$37/100*U32</f>
        <v>1696079.20581871</v>
      </c>
      <c r="V33" s="13" t="n">
        <f aca="false">$F$30*730*Time!V25*V28/100*Inputs!$F$37/100*V32</f>
        <v>1655812.59205935</v>
      </c>
      <c r="W33" s="13" t="n">
        <f aca="false">$F$30*730*Time!W25*W28/100*Inputs!$F$37/100*W32</f>
        <v>1674044.1214398</v>
      </c>
      <c r="X33" s="13" t="n">
        <f aca="false">$F$30*730*Time!X25*X28/100*Inputs!$F$37/100*X32</f>
        <v>1711711.34842166</v>
      </c>
      <c r="Y33" s="13" t="n">
        <f aca="false">$F$30*730*Time!Y25*Y28/100*Inputs!$F$37/100*Y32</f>
        <v>1704948.57987181</v>
      </c>
      <c r="Z33" s="13" t="n">
        <f aca="false">$F$30*730*Time!Z25*Z28/100*Inputs!$F$37/100*Z32</f>
        <v>1692727.78797263</v>
      </c>
      <c r="AA33" s="13" t="n">
        <f aca="false">$F$30*730*Time!AA25*AA28/100*Inputs!$F$37/100*AA32</f>
        <v>1696909.99922516</v>
      </c>
      <c r="AB33" s="13" t="n">
        <f aca="false">$F$30*730*Time!AB25*AB28/100*Inputs!$F$37/100*AB32</f>
        <v>1706541.96722597</v>
      </c>
      <c r="AC33" s="13" t="n">
        <f aca="false">$F$30*730*Time!AC25*AC28/100*Inputs!$F$37/100*AC32</f>
        <v>1674344.24498381</v>
      </c>
      <c r="AD33" s="13" t="n">
        <f aca="false">$F$30*730*Time!AD25*AD28/100*Inputs!$F$37/100*AD32</f>
        <v>1611311.41190741</v>
      </c>
      <c r="AE33" s="13" t="n">
        <f aca="false">$F$30*730*Time!AE25*AE28/100*Inputs!$F$37/100*AE32</f>
        <v>1640947.86558806</v>
      </c>
      <c r="AF33" s="13" t="n">
        <f aca="false">$F$30*730*Time!AF25*AF28/100*Inputs!$F$37/100*AF32</f>
        <v>1701372.58603029</v>
      </c>
      <c r="AG33" s="13" t="n">
        <f aca="false">$F$30*730*Time!AG25*AG28/100*Inputs!$F$37/100*AG32</f>
        <v>1694642.88388468</v>
      </c>
      <c r="AH33" s="13" t="n">
        <f aca="false">$F$30*730*Time!AH25*AH28/100*Inputs!$F$37/100*AH32</f>
        <v>1682488.22479397</v>
      </c>
      <c r="AI33" s="13" t="n">
        <f aca="false">$F$30*730*Time!AI25*AI28/100*Inputs!$F$37/100*AI32</f>
        <v>1686637.36964226</v>
      </c>
      <c r="AJ33" s="13" t="n">
        <f aca="false">$F$30*730*Time!AJ25*AJ28/100*Inputs!$F$37/100*AJ32</f>
        <v>1696203.2048346</v>
      </c>
      <c r="AK33" s="13" t="n">
        <f aca="false">$F$30*730*Time!AK25*AK28/100*Inputs!$F$37/100*AK32</f>
        <v>1675636.81991054</v>
      </c>
      <c r="AL33" s="13" t="n">
        <f aca="false">$F$30*730*Time!AL25*AL28/100*Inputs!$F$37/100*AL32</f>
        <v>1635840.48390032</v>
      </c>
      <c r="AM33" s="13" t="n">
        <f aca="false">$F$30*730*Time!AM25*AM28/100*Inputs!$F$37/100*AM32</f>
        <v>1653836.8744062</v>
      </c>
      <c r="AN33" s="13" t="n">
        <f aca="false">$F$30*730*Time!AN25*AN28/100*Inputs!$F$37/100*AN32</f>
        <v>1691033.82363891</v>
      </c>
      <c r="AO33" s="13" t="n">
        <f aca="false">$F$30*730*Time!AO25*AO28/100*Inputs!$F$37/100*AO32</f>
        <v>1684337.18789754</v>
      </c>
      <c r="AP33" s="13" t="n">
        <f aca="false">$F$30*730*Time!AP25*AP28/100*Inputs!$F$37/100*AP32</f>
        <v>1672248.6616153</v>
      </c>
      <c r="AQ33" s="13" t="n">
        <f aca="false">$F$30*730*Time!AQ25*AQ28/100*Inputs!$F$37/100*AQ32</f>
        <v>1676364.74005936</v>
      </c>
      <c r="AR33" s="13" t="n">
        <f aca="false">$F$30*730*Time!AR25*AR28/100*Inputs!$F$37/100*AR32</f>
        <v>1685864.44244323</v>
      </c>
      <c r="AS33" s="13" t="n">
        <f aca="false">$F$30*730*Time!AS25*AS28/100*Inputs!$F$37/100*AS32</f>
        <v>1654041.47278242</v>
      </c>
      <c r="AT33" s="13" t="n">
        <f aca="false">$F$30*730*Time!AT25*AT28/100*Inputs!$F$37/100*AT32</f>
        <v>1591758.14486872</v>
      </c>
      <c r="AU33" s="13" t="n">
        <f aca="false">$F$30*730*Time!AU25*AU28/100*Inputs!$F$37/100*AU32</f>
        <v>1621019.84596802</v>
      </c>
      <c r="AV33" s="13" t="n">
        <f aca="false">$F$30*730*Time!AV25*AV28/100*Inputs!$F$37/100*AV32</f>
        <v>1680695.06124754</v>
      </c>
      <c r="AW33" s="13" t="n">
        <f aca="false">$F$30*730*Time!AW25*AW28/100*Inputs!$F$37/100*AW32</f>
        <v>1674031.4919104</v>
      </c>
      <c r="AX33" s="13" t="n">
        <f aca="false">$F$30*730*Time!AX25*AX28/100*Inputs!$F$37/100*AX32</f>
        <v>1662009.09843664</v>
      </c>
      <c r="AY33" s="13" t="n">
        <f aca="false">$F$30*730*Time!AY25*AY28/100*Inputs!$F$37/100*AY32</f>
        <v>1666092.11047646</v>
      </c>
      <c r="AZ33" s="13" t="n">
        <f aca="false">$F$30*730*Time!AZ25*AZ28/100*Inputs!$F$37/100*AZ32</f>
        <v>1675525.68005185</v>
      </c>
      <c r="BA33" s="13" t="n">
        <f aca="false">$F$30*730*Time!BA25*BA28/100*Inputs!$F$37/100*BA32</f>
        <v>1655194.43400237</v>
      </c>
      <c r="BB33" s="13" t="n">
        <f aca="false">$F$30*730*Time!BB25*BB28/100*Inputs!$F$37/100*BB32</f>
        <v>1615868.37574129</v>
      </c>
      <c r="BC33" s="13" t="n">
        <f aca="false">$F$30*730*Time!BC25*BC28/100*Inputs!$F$37/100*BC32</f>
        <v>1633629.6273726</v>
      </c>
      <c r="BD33" s="13" t="n">
        <f aca="false">$F$30*730*Time!BD25*BD28/100*Inputs!$F$37/100*BD32</f>
        <v>1670356.29885617</v>
      </c>
      <c r="BE33" s="13" t="n">
        <f aca="false">$F$30*730*Time!BE25*BE28/100*Inputs!$F$37/100*BE32</f>
        <v>1663725.79592327</v>
      </c>
      <c r="BF33" s="13" t="n">
        <f aca="false">$F$30*730*Time!BF25*BF28/100*Inputs!$F$37/100*BF32</f>
        <v>1651769.53525798</v>
      </c>
      <c r="BG33" s="13" t="n">
        <f aca="false">$F$30*730*Time!BG25*BG28/100*Inputs!$F$37/100*BG32</f>
        <v>1655819.48089356</v>
      </c>
      <c r="BH33" s="13" t="n">
        <f aca="false">$F$30*730*Time!BH25*BH28/100*Inputs!$F$37/100*BH32</f>
        <v>1665186.91766048</v>
      </c>
      <c r="BI33" s="13" t="n">
        <f aca="false">$F$30*730*Time!BI25*BI28/100*Inputs!$F$37/100*BI32</f>
        <v>1633738.70058102</v>
      </c>
      <c r="BJ33" s="13" t="n">
        <f aca="false">$F$30*730*Time!BJ25*BJ28/100*Inputs!$F$37/100*BJ32</f>
        <v>1572204.87783002</v>
      </c>
      <c r="BK33" s="13" t="n">
        <f aca="false">$F$30*730*Time!BK25*BK28/100*Inputs!$F$37/100*BK32</f>
        <v>1601091.82634797</v>
      </c>
      <c r="BL33" s="13" t="n">
        <f aca="false">$F$30*730*Time!BL25*BL28/100*Inputs!$F$37/100*BL32</f>
        <v>1660017.5364648</v>
      </c>
      <c r="BM33" s="13" t="n">
        <f aca="false">$F$30*730*Time!BM25*BM28/100*Inputs!$F$37/100*BM32</f>
        <v>1105960.38803268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3894299.10386367</v>
      </c>
      <c r="P37" s="13" t="n">
        <f aca="false">P33*P34*(1000*Inputs!$F$121/Inputs!$F$122)</f>
        <v>11681725.4876804</v>
      </c>
      <c r="Q37" s="13" t="n">
        <f aca="false">Q33*Q34*(1000*Inputs!$F$121/Inputs!$F$122)</f>
        <v>11642603.0438272</v>
      </c>
      <c r="R37" s="13" t="n">
        <f aca="false">R33*R34*(1000*Inputs!$F$121/Inputs!$F$122)</f>
        <v>11566131.1897408</v>
      </c>
      <c r="S37" s="13" t="n">
        <f aca="false">S33*S34*(1000*Inputs!$F$121/Inputs!$F$122)</f>
        <v>11601705.3580069</v>
      </c>
      <c r="T37" s="13" t="n">
        <f aca="false">T33*T34*(1000*Inputs!$F$121/Inputs!$F$122)</f>
        <v>11674596.4054247</v>
      </c>
      <c r="U37" s="13" t="n">
        <f aca="false">U33*U34*(1000*Inputs!$F$121/Inputs!$F$122)</f>
        <v>11540048.2559552</v>
      </c>
      <c r="V37" s="13" t="n">
        <f aca="false">V33*V34*(1000*Inputs!$F$121/Inputs!$F$122)</f>
        <v>11272812.0578001</v>
      </c>
      <c r="W37" s="13" t="n">
        <f aca="false">W33*W34*(1000*Inputs!$F$121/Inputs!$F$122)</f>
        <v>11403742.9871633</v>
      </c>
      <c r="X37" s="13" t="n">
        <f aca="false">X33*X34*(1000*Inputs!$F$121/Inputs!$F$122)</f>
        <v>11667299.0852397</v>
      </c>
      <c r="Y37" s="13" t="n">
        <f aca="false">Y33*Y34*(1000*Inputs!$F$121/Inputs!$F$122)</f>
        <v>11628138.9313389</v>
      </c>
      <c r="Z37" s="13" t="n">
        <f aca="false">Z33*Z34*(1000*Inputs!$F$121/Inputs!$F$122)</f>
        <v>11551676.5832336</v>
      </c>
      <c r="AA37" s="13" t="n">
        <f aca="false">AA33*AA34*(1000*Inputs!$F$121/Inputs!$F$122)</f>
        <v>11587120.4926551</v>
      </c>
      <c r="AB37" s="13" t="n">
        <f aca="false">AB33*AB34*(1000*Inputs!$F$121/Inputs!$F$122)</f>
        <v>11659833.5271253</v>
      </c>
      <c r="AC37" s="13" t="n">
        <f aca="false">AC33*AC34*(1000*Inputs!$F$121/Inputs!$F$122)</f>
        <v>11446656.2081418</v>
      </c>
      <c r="AD37" s="13" t="n">
        <f aca="false">AD33*AD34*(1000*Inputs!$F$121/Inputs!$F$122)</f>
        <v>11022287.2104426</v>
      </c>
      <c r="AE37" s="13" t="n">
        <f aca="false">AE33*AE34*(1000*Inputs!$F$121/Inputs!$F$122)</f>
        <v>11231693.0202219</v>
      </c>
      <c r="AF37" s="13" t="n">
        <f aca="false">AF33*AF34*(1000*Inputs!$F$121/Inputs!$F$122)</f>
        <v>11652199.7310816</v>
      </c>
      <c r="AG37" s="13" t="n">
        <f aca="false">AG33*AG34*(1000*Inputs!$F$121/Inputs!$F$122)</f>
        <v>11613004.0194308</v>
      </c>
      <c r="AH37" s="13" t="n">
        <f aca="false">AH33*AH34*(1000*Inputs!$F$121/Inputs!$F$122)</f>
        <v>11536555.4819018</v>
      </c>
      <c r="AI37" s="13" t="n">
        <f aca="false">AI33*AI34*(1000*Inputs!$F$121/Inputs!$F$122)</f>
        <v>11571866.9801812</v>
      </c>
      <c r="AJ37" s="13" t="n">
        <f aca="false">AJ33*AJ34*(1000*Inputs!$F$121/Inputs!$F$122)</f>
        <v>11644397.6971085</v>
      </c>
      <c r="AK37" s="13" t="n">
        <f aca="false">AK33*AK34*(1000*Inputs!$F$121/Inputs!$F$122)</f>
        <v>11510026.6339029</v>
      </c>
      <c r="AL37" s="13" t="n">
        <f aca="false">AL33*AL34*(1000*Inputs!$F$121/Inputs!$F$122)</f>
        <v>11243318.5856653</v>
      </c>
      <c r="AM37" s="13" t="n">
        <f aca="false">AM33*AM34*(1000*Inputs!$F$121/Inputs!$F$122)</f>
        <v>11373737.8660593</v>
      </c>
      <c r="AN37" s="13" t="n">
        <f aca="false">AN33*AN34*(1000*Inputs!$F$121/Inputs!$F$122)</f>
        <v>11636427.4252061</v>
      </c>
      <c r="AO37" s="13" t="n">
        <f aca="false">AO33*AO34*(1000*Inputs!$F$121/Inputs!$F$122)</f>
        <v>11597198.3081029</v>
      </c>
      <c r="AP37" s="13" t="n">
        <f aca="false">AP33*AP34*(1000*Inputs!$F$121/Inputs!$F$122)</f>
        <v>11520767.8857454</v>
      </c>
      <c r="AQ37" s="13" t="n">
        <f aca="false">AQ33*AQ34*(1000*Inputs!$F$121/Inputs!$F$122)</f>
        <v>11555944.8205851</v>
      </c>
      <c r="AR37" s="13" t="n">
        <f aca="false">AR33*AR34*(1000*Inputs!$F$121/Inputs!$F$122)</f>
        <v>11628288.9153744</v>
      </c>
      <c r="AS37" s="13" t="n">
        <f aca="false">AS33*AS34*(1000*Inputs!$F$121/Inputs!$F$122)</f>
        <v>11415518.1116008</v>
      </c>
      <c r="AT37" s="13" t="n">
        <f aca="false">AT33*AT34*(1000*Inputs!$F$121/Inputs!$F$122)</f>
        <v>10992139.5295154</v>
      </c>
      <c r="AU37" s="13" t="n">
        <f aca="false">AU33*AU34*(1000*Inputs!$F$121/Inputs!$F$122)</f>
        <v>11200805.3973145</v>
      </c>
      <c r="AV37" s="13" t="n">
        <f aca="false">AV33*AV34*(1000*Inputs!$F$121/Inputs!$F$122)</f>
        <v>11619982.1676133</v>
      </c>
      <c r="AW37" s="13" t="n">
        <f aca="false">AW33*AW34*(1000*Inputs!$F$121/Inputs!$F$122)</f>
        <v>11580721.7973554</v>
      </c>
      <c r="AX37" s="13" t="n">
        <f aca="false">AX33*AX34*(1000*Inputs!$F$121/Inputs!$F$122)</f>
        <v>11504313.7947645</v>
      </c>
      <c r="AY37" s="13" t="n">
        <f aca="false">AY33*AY34*(1000*Inputs!$F$121/Inputs!$F$122)</f>
        <v>11539354.0138669</v>
      </c>
      <c r="AZ37" s="13" t="n">
        <f aca="false">AZ33*AZ34*(1000*Inputs!$F$121/Inputs!$F$122)</f>
        <v>11611507.1819229</v>
      </c>
      <c r="BA37" s="13" t="n">
        <f aca="false">BA33*BA34*(1000*Inputs!$F$121/Inputs!$F$122)</f>
        <v>11477343.815436</v>
      </c>
      <c r="BB37" s="13" t="n">
        <f aca="false">BB33*BB34*(1000*Inputs!$F$121/Inputs!$F$122)</f>
        <v>11211225.1380255</v>
      </c>
      <c r="BC37" s="13" t="n">
        <f aca="false">BC33*BC34*(1000*Inputs!$F$121/Inputs!$F$122)</f>
        <v>11341102.1589955</v>
      </c>
      <c r="BD37" s="13" t="n">
        <f aca="false">BD33*BD34*(1000*Inputs!$F$121/Inputs!$F$122)</f>
        <v>11602863.9583032</v>
      </c>
      <c r="BE37" s="13" t="n">
        <f aca="false">BE33*BE34*(1000*Inputs!$F$121/Inputs!$F$122)</f>
        <v>11563574.487188</v>
      </c>
      <c r="BF37" s="13" t="n">
        <f aca="false">BF33*BF34*(1000*Inputs!$F$121/Inputs!$F$122)</f>
        <v>11487193.2089591</v>
      </c>
      <c r="BG37" s="13" t="n">
        <f aca="false">BG33*BG34*(1000*Inputs!$F$121/Inputs!$F$122)</f>
        <v>11522094.5600265</v>
      </c>
      <c r="BH37" s="13" t="n">
        <f aca="false">BH33*BH34*(1000*Inputs!$F$121/Inputs!$F$122)</f>
        <v>11594052.4967541</v>
      </c>
      <c r="BI37" s="13" t="n">
        <f aca="false">BI33*BI34*(1000*Inputs!$F$121/Inputs!$F$122)</f>
        <v>11381736.9936027</v>
      </c>
      <c r="BJ37" s="13" t="n">
        <f aca="false">BJ33*BJ34*(1000*Inputs!$F$121/Inputs!$F$122)</f>
        <v>10959446.3979559</v>
      </c>
      <c r="BK37" s="13" t="n">
        <f aca="false">BK33*BK34*(1000*Inputs!$F$121/Inputs!$F$122)</f>
        <v>11167323.5383623</v>
      </c>
      <c r="BL37" s="13" t="n">
        <f aca="false">BL33*BL34*(1000*Inputs!$F$121/Inputs!$F$122)</f>
        <v>11585072.7972757</v>
      </c>
      <c r="BM37" s="13" t="n">
        <f aca="false">BM33*BM34*(1000*Inputs!$F$121/Inputs!$F$122)</f>
        <v>7722120.56717998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457.234585351882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2.36839691109476</v>
      </c>
      <c r="P45" s="11" t="n">
        <f aca="false">P33*P44/1000000</f>
        <v>7.17933072147889</v>
      </c>
      <c r="Q45" s="11" t="n">
        <f aca="false">Q33*Q44/1000000</f>
        <v>7.22923151825704</v>
      </c>
      <c r="R45" s="11" t="n">
        <f aca="false">R33*R44/1000000</f>
        <v>7.25596856410652</v>
      </c>
      <c r="S45" s="11" t="n">
        <f aca="false">S33*S44/1000000</f>
        <v>7.35350685400336</v>
      </c>
      <c r="T45" s="11" t="n">
        <f aca="false">T33*T44/1000000</f>
        <v>7.47618591223712</v>
      </c>
      <c r="U45" s="11" t="n">
        <f aca="false">U33*U44/1000000</f>
        <v>7.46640500626944</v>
      </c>
      <c r="V45" s="11" t="n">
        <f aca="false">V33*V44/1000000</f>
        <v>7.36888948477391</v>
      </c>
      <c r="W45" s="11" t="n">
        <f aca="false">W33*W44/1000000</f>
        <v>7.53152999942985</v>
      </c>
      <c r="X45" s="11" t="n">
        <f aca="false">X33*X44/1000000</f>
        <v>7.78524506747455</v>
      </c>
      <c r="Y45" s="11" t="n">
        <f aca="false">Y33*Y44/1000000</f>
        <v>7.83932178310342</v>
      </c>
      <c r="Z45" s="11" t="n">
        <f aca="false">Z33*Z44/1000000</f>
        <v>7.86827947882185</v>
      </c>
      <c r="AA45" s="11" t="n">
        <f aca="false">AA33*AA44/1000000</f>
        <v>7.97401247102339</v>
      </c>
      <c r="AB45" s="11" t="n">
        <f aca="false">AB33*AB44/1000000</f>
        <v>8.10700652465728</v>
      </c>
      <c r="AC45" s="11" t="n">
        <f aca="false">AC33*AC44/1000000</f>
        <v>8.04106830539273</v>
      </c>
      <c r="AD45" s="11" t="n">
        <f aca="false">AD33*AD44/1000000</f>
        <v>7.82301077432059</v>
      </c>
      <c r="AE45" s="11" t="n">
        <f aca="false">AE33*AE44/1000000</f>
        <v>8.05405658865189</v>
      </c>
      <c r="AF45" s="11" t="n">
        <f aca="false">AF33*AF44/1000000</f>
        <v>8.44198880781372</v>
      </c>
      <c r="AG45" s="11" t="n">
        <f aca="false">AG33*AG44/1000000</f>
        <v>8.50058826970747</v>
      </c>
      <c r="AH45" s="11" t="n">
        <f aca="false">AH33*AH44/1000000</f>
        <v>8.53194938660919</v>
      </c>
      <c r="AI45" s="11" t="n">
        <f aca="false">AI33*AI44/1000000</f>
        <v>8.64656087453309</v>
      </c>
      <c r="AJ45" s="11" t="n">
        <f aca="false">AJ33*AJ44/1000000</f>
        <v>8.79073143736947</v>
      </c>
      <c r="AK45" s="11" t="n">
        <f aca="false">AK33*AK44/1000000</f>
        <v>8.77915012459341</v>
      </c>
      <c r="AL45" s="11" t="n">
        <f aca="false">AL33*AL44/1000000</f>
        <v>8.66440971374117</v>
      </c>
      <c r="AM45" s="11" t="n">
        <f aca="false">AM33*AM44/1000000</f>
        <v>8.85556239521915</v>
      </c>
      <c r="AN45" s="11" t="n">
        <f aca="false">AN33*AN44/1000000</f>
        <v>9.15379577208578</v>
      </c>
      <c r="AO45" s="11" t="n">
        <f aca="false">AO33*AO44/1000000</f>
        <v>9.21729335298088</v>
      </c>
      <c r="AP45" s="11" t="n">
        <f aca="false">AP33*AP44/1000000</f>
        <v>9.25125553960494</v>
      </c>
      <c r="AQ45" s="11" t="n">
        <f aca="false">AQ33*AQ44/1000000</f>
        <v>9.37548591330346</v>
      </c>
      <c r="AR45" s="11" t="n">
        <f aca="false">AR33*AR44/1000000</f>
        <v>9.53176588435542</v>
      </c>
      <c r="AS45" s="11" t="n">
        <f aca="false">AS33*AS44/1000000</f>
        <v>9.4541515250124</v>
      </c>
      <c r="AT45" s="11" t="n">
        <f aca="false">AT33*AT44/1000000</f>
        <v>9.19768840401151</v>
      </c>
      <c r="AU45" s="11" t="n">
        <f aca="false">AU33*AU44/1000000</f>
        <v>9.46924583575337</v>
      </c>
      <c r="AV45" s="11" t="n">
        <f aca="false">AV33*AV44/1000000</f>
        <v>9.9252494701576</v>
      </c>
      <c r="AW45" s="11" t="n">
        <f aca="false">AW33*AW44/1000000</f>
        <v>9.99405141160341</v>
      </c>
      <c r="AX45" s="11" t="n">
        <f aca="false">AX33*AX44/1000000</f>
        <v>10.0308283880253</v>
      </c>
      <c r="AY45" s="11" t="n">
        <f aca="false">AY33*AY44/1000000</f>
        <v>10.1654792728761</v>
      </c>
      <c r="AZ45" s="11" t="n">
        <f aca="false">AZ33*AZ44/1000000</f>
        <v>10.3348787950234</v>
      </c>
      <c r="BA45" s="11" t="n">
        <f aca="false">BA33*BA44/1000000</f>
        <v>10.3211660309494</v>
      </c>
      <c r="BB45" s="11" t="n">
        <f aca="false">BB33*BB44/1000000</f>
        <v>10.1861760157167</v>
      </c>
      <c r="BC45" s="11" t="n">
        <f aca="false">BC33*BC44/1000000</f>
        <v>10.4108033719646</v>
      </c>
      <c r="BD45" s="11" t="n">
        <f aca="false">BD33*BD44/1000000</f>
        <v>10.761311677415</v>
      </c>
      <c r="BE45" s="11" t="n">
        <f aca="false">BE33*BE44/1000000</f>
        <v>10.835857599785</v>
      </c>
      <c r="BF45" s="11" t="n">
        <f aca="false">BF33*BF44/1000000</f>
        <v>10.8756804461118</v>
      </c>
      <c r="BG45" s="11" t="n">
        <f aca="false">BG33*BG44/1000000</f>
        <v>11.0216197171281</v>
      </c>
      <c r="BH45" s="11" t="n">
        <f aca="false">BH33*BH44/1000000</f>
        <v>11.205232510975</v>
      </c>
      <c r="BI45" s="11" t="n">
        <f aca="false">BI33*BI44/1000000</f>
        <v>11.113885730996</v>
      </c>
      <c r="BJ45" s="11" t="n">
        <f aca="false">BJ33*BJ44/1000000</f>
        <v>10.8122957769278</v>
      </c>
      <c r="BK45" s="11" t="n">
        <f aca="false">BK33*BK44/1000000</f>
        <v>11.1314173629225</v>
      </c>
      <c r="BL45" s="11" t="n">
        <f aca="false">BL33*BL44/1000000</f>
        <v>11.667353327159</v>
      </c>
      <c r="BM45" s="11" t="n">
        <f aca="false">BM33*BM44/1000000</f>
        <v>7.85822924435455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4599.36577715673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24.2627008937847</v>
      </c>
      <c r="P46" s="11" t="n">
        <f aca="false">P33*P35*(1000*Inputs!$F$121/Inputs!$F$122)*P36/1000000</f>
        <v>72.7759526275028</v>
      </c>
      <c r="Q46" s="11" t="n">
        <f aca="false">Q33*Q35*(1000*Inputs!$F$121/Inputs!$F$122)*Q36/1000000</f>
        <v>73.975481208151</v>
      </c>
      <c r="R46" s="11" t="n">
        <f aca="false">R33*R35*(1000*Inputs!$F$121/Inputs!$F$122)*R36/1000000</f>
        <v>73.4822599102704</v>
      </c>
      <c r="S46" s="11" t="n">
        <f aca="false">S33*S35*(1000*Inputs!$F$121/Inputs!$F$122)*S36/1000000</f>
        <v>75.17494571943</v>
      </c>
      <c r="T46" s="11" t="n">
        <f aca="false">T33*T35*(1000*Inputs!$F$121/Inputs!$F$122)*T36/1000000</f>
        <v>75.6397254942039</v>
      </c>
      <c r="U46" s="11" t="n">
        <f aca="false">U33*U35*(1000*Inputs!$F$121/Inputs!$F$122)*U36/1000000</f>
        <v>76.2557661996923</v>
      </c>
      <c r="V46" s="11" t="n">
        <f aca="false">V33*V35*(1000*Inputs!$F$121/Inputs!$F$122)*V36/1000000</f>
        <v>74.4824926128489</v>
      </c>
      <c r="W46" s="11" t="n">
        <f aca="false">W33*W35*(1000*Inputs!$F$121/Inputs!$F$122)*W36/1000000</f>
        <v>76.8469166915968</v>
      </c>
      <c r="X46" s="11" t="n">
        <f aca="false">X33*X35*(1000*Inputs!$F$121/Inputs!$F$122)*X36/1000000</f>
        <v>78.61516371209</v>
      </c>
      <c r="Y46" s="11" t="n">
        <f aca="false">Y33*Y35*(1000*Inputs!$F$121/Inputs!$F$122)*Y36/1000000</f>
        <v>79.9104155359751</v>
      </c>
      <c r="Z46" s="11" t="n">
        <f aca="false">Z33*Z35*(1000*Inputs!$F$121/Inputs!$F$122)*Z36/1000000</f>
        <v>79.377105509786</v>
      </c>
      <c r="AA46" s="11" t="n">
        <f aca="false">AA33*AA35*(1000*Inputs!$F$121/Inputs!$F$122)*AA36/1000000</f>
        <v>81.2050501411663</v>
      </c>
      <c r="AB46" s="11" t="n">
        <f aca="false">AB33*AB35*(1000*Inputs!$F$121/Inputs!$F$122)*AB36/1000000</f>
        <v>81.7065775079112</v>
      </c>
      <c r="AC46" s="11" t="n">
        <f aca="false">AC33*AC35*(1000*Inputs!$F$121/Inputs!$F$122)*AC36/1000000</f>
        <v>81.8089240956146</v>
      </c>
      <c r="AD46" s="11" t="n">
        <f aca="false">AD33*AD35*(1000*Inputs!$F$121/Inputs!$F$122)*AD36/1000000</f>
        <v>78.7682165527954</v>
      </c>
      <c r="AE46" s="11" t="n">
        <f aca="false">AE33*AE35*(1000*Inputs!$F$121/Inputs!$F$122)*AE36/1000000</f>
        <v>81.8619300391864</v>
      </c>
      <c r="AF46" s="11" t="n">
        <f aca="false">AF33*AF35*(1000*Inputs!$F$121/Inputs!$F$122)*AF36/1000000</f>
        <v>84.9184415758167</v>
      </c>
      <c r="AG46" s="11" t="n">
        <f aca="false">AG33*AG35*(1000*Inputs!$F$121/Inputs!$F$122)*AG36/1000000</f>
        <v>86.3169786003738</v>
      </c>
      <c r="AH46" s="11" t="n">
        <f aca="false">AH33*AH35*(1000*Inputs!$F$121/Inputs!$F$122)*AH36/1000000</f>
        <v>85.7403488234929</v>
      </c>
      <c r="AI46" s="11" t="n">
        <f aca="false">AI33*AI35*(1000*Inputs!$F$121/Inputs!$F$122)*AI36/1000000</f>
        <v>87.7142533943758</v>
      </c>
      <c r="AJ46" s="11" t="n">
        <f aca="false">AJ33*AJ35*(1000*Inputs!$F$121/Inputs!$F$122)*AJ36/1000000</f>
        <v>88.2554012689944</v>
      </c>
      <c r="AK46" s="11" t="n">
        <f aca="false">AK33*AK35*(1000*Inputs!$F$121/Inputs!$F$122)*AK36/1000000</f>
        <v>88.9730209187975</v>
      </c>
      <c r="AL46" s="11" t="n">
        <f aca="false">AL33*AL35*(1000*Inputs!$F$121/Inputs!$F$122)*AL36/1000000</f>
        <v>86.9028746805759</v>
      </c>
      <c r="AM46" s="11" t="n">
        <f aca="false">AM33*AM35*(1000*Inputs!$F$121/Inputs!$F$122)*AM36/1000000</f>
        <v>89.6604009338069</v>
      </c>
      <c r="AN46" s="11" t="n">
        <f aca="false">AN33*AN35*(1000*Inputs!$F$121/Inputs!$F$122)*AN36/1000000</f>
        <v>91.722279020641</v>
      </c>
      <c r="AO46" s="11" t="n">
        <f aca="false">AO33*AO35*(1000*Inputs!$F$121/Inputs!$F$122)*AO36/1000000</f>
        <v>93.2322538067391</v>
      </c>
      <c r="AP46" s="11" t="n">
        <f aca="false">AP33*AP35*(1000*Inputs!$F$121/Inputs!$F$122)*AP36/1000000</f>
        <v>92.6088151835709</v>
      </c>
      <c r="AQ46" s="11" t="n">
        <f aca="false">AQ33*AQ35*(1000*Inputs!$F$121/Inputs!$F$122)*AQ36/1000000</f>
        <v>94.7402180107657</v>
      </c>
      <c r="AR46" s="11" t="n">
        <f aca="false">AR33*AR35*(1000*Inputs!$F$121/Inputs!$F$122)*AR36/1000000</f>
        <v>95.3240810025819</v>
      </c>
      <c r="AS46" s="11" t="n">
        <f aca="false">AS33*AS35*(1000*Inputs!$F$121/Inputs!$F$122)*AS36/1000000</f>
        <v>95.4422240882155</v>
      </c>
      <c r="AT46" s="11" t="n">
        <f aca="false">AT33*AT35*(1000*Inputs!$F$121/Inputs!$F$122)*AT36/1000000</f>
        <v>91.8935734702115</v>
      </c>
      <c r="AU46" s="11" t="n">
        <f aca="false">AU33*AU35*(1000*Inputs!$F$121/Inputs!$F$122)*AU36/1000000</f>
        <v>95.5015369441382</v>
      </c>
      <c r="AV46" s="11" t="n">
        <f aca="false">AV33*AV35*(1000*Inputs!$F$121/Inputs!$F$122)*AV36/1000000</f>
        <v>99.0660040301591</v>
      </c>
      <c r="AW46" s="11" t="n">
        <f aca="false">AW33*AW35*(1000*Inputs!$F$121/Inputs!$F$122)*AW36/1000000</f>
        <v>100.696205261975</v>
      </c>
      <c r="AX46" s="11" t="n">
        <f aca="false">AX33*AX35*(1000*Inputs!$F$121/Inputs!$F$122)*AX36/1000000</f>
        <v>100.022190213136</v>
      </c>
      <c r="AY46" s="11" t="n">
        <f aca="false">AY33*AY35*(1000*Inputs!$F$121/Inputs!$F$122)*AY36/1000000</f>
        <v>102.323531467976</v>
      </c>
      <c r="AZ46" s="11" t="n">
        <f aca="false">AZ33*AZ35*(1000*Inputs!$F$121/Inputs!$F$122)*AZ36/1000000</f>
        <v>102.953442722306</v>
      </c>
      <c r="BA46" s="11" t="n">
        <f aca="false">BA33*BA35*(1000*Inputs!$F$121/Inputs!$F$122)*BA36/1000000</f>
        <v>103.789194747798</v>
      </c>
      <c r="BB46" s="11" t="n">
        <f aca="false">BB33*BB35*(1000*Inputs!$F$121/Inputs!$F$122)*BB36/1000000</f>
        <v>101.372969920625</v>
      </c>
      <c r="BC46" s="11" t="n">
        <f aca="false">BC33*BC35*(1000*Inputs!$F$121/Inputs!$F$122)*BC36/1000000</f>
        <v>104.58825587595</v>
      </c>
      <c r="BD46" s="11" t="n">
        <f aca="false">BD33*BD35*(1000*Inputs!$F$121/Inputs!$F$122)*BD36/1000000</f>
        <v>106.991996926046</v>
      </c>
      <c r="BE46" s="11" t="n">
        <f aca="false">BE33*BE35*(1000*Inputs!$F$121/Inputs!$F$122)*BE36/1000000</f>
        <v>108.751898383974</v>
      </c>
      <c r="BF46" s="11" t="n">
        <f aca="false">BF33*BF35*(1000*Inputs!$F$121/Inputs!$F$122)*BF36/1000000</f>
        <v>108.023238839324</v>
      </c>
      <c r="BG46" s="11" t="n">
        <f aca="false">BG33*BG35*(1000*Inputs!$F$121/Inputs!$F$122)*BG36/1000000</f>
        <v>110.507930119183</v>
      </c>
      <c r="BH46" s="11" t="n">
        <f aca="false">BH33*BH35*(1000*Inputs!$F$121/Inputs!$F$122)*BH36/1000000</f>
        <v>111.187479414969</v>
      </c>
      <c r="BI46" s="11" t="n">
        <f aca="false">BI33*BI35*(1000*Inputs!$F$121/Inputs!$F$122)*BI36/1000000</f>
        <v>111.32379368244</v>
      </c>
      <c r="BJ46" s="11" t="n">
        <f aca="false">BJ33*BJ35*(1000*Inputs!$F$121/Inputs!$F$122)*BJ36/1000000</f>
        <v>107.183212797532</v>
      </c>
      <c r="BK46" s="11" t="n">
        <f aca="false">BK33*BK35*(1000*Inputs!$F$121/Inputs!$F$122)*BK36/1000000</f>
        <v>111.389991434017</v>
      </c>
      <c r="BL46" s="11" t="n">
        <f aca="false">BL33*BL35*(1000*Inputs!$F$121/Inputs!$F$122)*BL36/1000000</f>
        <v>115.545923871592</v>
      </c>
      <c r="BM46" s="11" t="n">
        <f aca="false">BM33*BM35*(1000*Inputs!$F$121/Inputs!$F$122)*BM36/1000000</f>
        <v>78.5521912726279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137.816040152181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0.773715028151503</v>
      </c>
      <c r="P48" s="11" t="n">
        <f aca="false">P37*Inputs!$F$145*(1+Inputs!$F$146/100)^(Time!P21-2018)/1000000</f>
        <v>2.32091226777921</v>
      </c>
      <c r="Q48" s="11" t="n">
        <f aca="false">Q37*Inputs!$F$145*(1+Inputs!$F$146/100)^(Time!Q21-2018)/1000000</f>
        <v>2.34783655597164</v>
      </c>
      <c r="R48" s="11" t="n">
        <f aca="false">R37*Inputs!$F$145*(1+Inputs!$F$146/100)^(Time!R21-2018)/1000000</f>
        <v>2.33241531264219</v>
      </c>
      <c r="S48" s="11" t="n">
        <f aca="false">S37*Inputs!$F$145*(1+Inputs!$F$146/100)^(Time!S21-2018)/1000000</f>
        <v>2.3746830039925</v>
      </c>
      <c r="T48" s="11" t="n">
        <f aca="false">T37*Inputs!$F$145*(1+Inputs!$F$146/100)^(Time!T21-2018)/1000000</f>
        <v>2.38960263228031</v>
      </c>
      <c r="U48" s="11" t="n">
        <f aca="false">U37*Inputs!$F$145*(1+Inputs!$F$146/100)^(Time!U21-2018)/1000000</f>
        <v>2.39749372589896</v>
      </c>
      <c r="V48" s="11" t="n">
        <f aca="false">V37*Inputs!$F$145*(1+Inputs!$F$146/100)^(Time!V21-2018)/1000000</f>
        <v>2.34197427795564</v>
      </c>
      <c r="W48" s="11" t="n">
        <f aca="false">W37*Inputs!$F$145*(1+Inputs!$F$146/100)^(Time!W21-2018)/1000000</f>
        <v>2.40471336704508</v>
      </c>
      <c r="X48" s="11" t="n">
        <f aca="false">X37*Inputs!$F$145*(1+Inputs!$F$146/100)^(Time!X21-2018)/1000000</f>
        <v>2.4602895820408</v>
      </c>
      <c r="Y48" s="11" t="n">
        <f aca="false">Y37*Inputs!$F$145*(1+Inputs!$F$146/100)^(Time!Y21-2018)/1000000</f>
        <v>2.48881233739017</v>
      </c>
      <c r="Z48" s="11" t="n">
        <f aca="false">Z37*Inputs!$F$145*(1+Inputs!$F$146/100)^(Time!Z21-2018)/1000000</f>
        <v>2.47244682641425</v>
      </c>
      <c r="AA48" s="11" t="n">
        <f aca="false">AA37*Inputs!$F$145*(1+Inputs!$F$146/100)^(Time!AA21-2018)/1000000</f>
        <v>2.51723350884753</v>
      </c>
      <c r="AB48" s="11" t="n">
        <f aca="false">AB37*Inputs!$F$145*(1+Inputs!$F$146/100)^(Time!AB21-2018)/1000000</f>
        <v>2.53302998623933</v>
      </c>
      <c r="AC48" s="11" t="n">
        <f aca="false">AC37*Inputs!$F$145*(1+Inputs!$F$146/100)^(Time!AC21-2018)/1000000</f>
        <v>2.52401924951947</v>
      </c>
      <c r="AD48" s="11" t="n">
        <f aca="false">AD37*Inputs!$F$145*(1+Inputs!$F$146/100)^(Time!AD21-2018)/1000000</f>
        <v>2.43044471564553</v>
      </c>
      <c r="AE48" s="11" t="n">
        <f aca="false">AE37*Inputs!$F$145*(1+Inputs!$F$146/100)^(Time!AE21-2018)/1000000</f>
        <v>2.51376856309207</v>
      </c>
      <c r="AF48" s="11" t="n">
        <f aca="false">AF37*Inputs!$F$145*(1+Inputs!$F$146/100)^(Time!AF21-2018)/1000000</f>
        <v>2.60788229540519</v>
      </c>
      <c r="AG48" s="11" t="n">
        <f aca="false">AG37*Inputs!$F$145*(1+Inputs!$F$146/100)^(Time!AG21-2018)/1000000</f>
        <v>2.63809653986858</v>
      </c>
      <c r="AH48" s="11" t="n">
        <f aca="false">AH37*Inputs!$F$145*(1+Inputs!$F$146/100)^(Time!AH21-2018)/1000000</f>
        <v>2.62072992034483</v>
      </c>
      <c r="AI48" s="11" t="n">
        <f aca="false">AI37*Inputs!$F$145*(1+Inputs!$F$146/100)^(Time!AI21-2018)/1000000</f>
        <v>2.6681828166075</v>
      </c>
      <c r="AJ48" s="11" t="n">
        <f aca="false">AJ37*Inputs!$F$145*(1+Inputs!$F$146/100)^(Time!AJ21-2018)/1000000</f>
        <v>2.68490658407849</v>
      </c>
      <c r="AK48" s="11" t="n">
        <f aca="false">AK37*Inputs!$F$145*(1+Inputs!$F$146/100)^(Time!AK21-2018)/1000000</f>
        <v>2.6937328406825</v>
      </c>
      <c r="AL48" s="11" t="n">
        <f aca="false">AL37*Inputs!$F$145*(1+Inputs!$F$146/100)^(Time!AL21-2018)/1000000</f>
        <v>2.63131419898311</v>
      </c>
      <c r="AM48" s="11" t="n">
        <f aca="false">AM37*Inputs!$F$145*(1+Inputs!$F$146/100)^(Time!AM21-2018)/1000000</f>
        <v>2.70176424159499</v>
      </c>
      <c r="AN48" s="11" t="n">
        <f aca="false">AN37*Inputs!$F$145*(1+Inputs!$F$146/100)^(Time!AN21-2018)/1000000</f>
        <v>2.76416459457491</v>
      </c>
      <c r="AO48" s="11" t="n">
        <f aca="false">AO37*Inputs!$F$145*(1+Inputs!$F$146/100)^(Time!AO21-2018)/1000000</f>
        <v>2.79616863878981</v>
      </c>
      <c r="AP48" s="11" t="n">
        <f aca="false">AP37*Inputs!$F$145*(1+Inputs!$F$146/100)^(Time!AP21-2018)/1000000</f>
        <v>2.77774070952898</v>
      </c>
      <c r="AQ48" s="11" t="n">
        <f aca="false">AQ37*Inputs!$F$145*(1+Inputs!$F$146/100)^(Time!AQ21-2018)/1000000</f>
        <v>2.82801545554963</v>
      </c>
      <c r="AR48" s="11" t="n">
        <f aca="false">AR37*Inputs!$F$145*(1+Inputs!$F$146/100)^(Time!AR21-2018)/1000000</f>
        <v>2.84571978188196</v>
      </c>
      <c r="AS48" s="11" t="n">
        <f aca="false">AS37*Inputs!$F$145*(1+Inputs!$F$146/100)^(Time!AS21-2018)/1000000</f>
        <v>2.83555443421073</v>
      </c>
      <c r="AT48" s="11" t="n">
        <f aca="false">AT37*Inputs!$F$145*(1+Inputs!$F$146/100)^(Time!AT21-2018)/1000000</f>
        <v>2.73038942951751</v>
      </c>
      <c r="AU48" s="11" t="n">
        <f aca="false">AU37*Inputs!$F$145*(1+Inputs!$F$146/100)^(Time!AU21-2018)/1000000</f>
        <v>2.823954243434</v>
      </c>
      <c r="AV48" s="11" t="n">
        <f aca="false">AV37*Inputs!$F$145*(1+Inputs!$F$146/100)^(Time!AV21-2018)/1000000</f>
        <v>2.92963735971404</v>
      </c>
      <c r="AW48" s="11" t="n">
        <f aca="false">AW37*Inputs!$F$145*(1+Inputs!$F$146/100)^(Time!AW21-2018)/1000000</f>
        <v>2.96353509512397</v>
      </c>
      <c r="AX48" s="11" t="n">
        <f aca="false">AX37*Inputs!$F$145*(1+Inputs!$F$146/100)^(Time!AX21-2018)/1000000</f>
        <v>2.94398209996628</v>
      </c>
      <c r="AY48" s="11" t="n">
        <f aca="false">AY37*Inputs!$F$145*(1+Inputs!$F$146/100)^(Time!AY21-2018)/1000000</f>
        <v>2.9972432125956</v>
      </c>
      <c r="AZ48" s="11" t="n">
        <f aca="false">AZ37*Inputs!$F$145*(1+Inputs!$F$146/100)^(Time!AZ21-2018)/1000000</f>
        <v>3.01598434775477</v>
      </c>
      <c r="BA48" s="11" t="n">
        <f aca="false">BA37*Inputs!$F$145*(1+Inputs!$F$146/100)^(Time!BA21-2018)/1000000</f>
        <v>3.02585367172411</v>
      </c>
      <c r="BB48" s="11" t="n">
        <f aca="false">BB37*Inputs!$F$145*(1+Inputs!$F$146/100)^(Time!BB21-2018)/1000000</f>
        <v>2.95569491460175</v>
      </c>
      <c r="BC48" s="11" t="n">
        <f aca="false">BC37*Inputs!$F$145*(1+Inputs!$F$146/100)^(Time!BC21-2018)/1000000</f>
        <v>3.03478434587695</v>
      </c>
      <c r="BD48" s="11" t="n">
        <f aca="false">BD37*Inputs!$F$145*(1+Inputs!$F$146/100)^(Time!BD21-2018)/1000000</f>
        <v>3.10482962011489</v>
      </c>
      <c r="BE48" s="11" t="n">
        <f aca="false">BE37*Inputs!$F$145*(1+Inputs!$F$146/100)^(Time!BE21-2018)/1000000</f>
        <v>3.14073082662333</v>
      </c>
      <c r="BF48" s="11" t="n">
        <f aca="false">BF37*Inputs!$F$145*(1+Inputs!$F$146/100)^(Time!BF21-2018)/1000000</f>
        <v>3.11998524874201</v>
      </c>
      <c r="BG48" s="11" t="n">
        <f aca="false">BG37*Inputs!$F$145*(1+Inputs!$F$146/100)^(Time!BG21-2018)/1000000</f>
        <v>3.17640661857797</v>
      </c>
      <c r="BH48" s="11" t="n">
        <f aca="false">BH37*Inputs!$F$145*(1+Inputs!$F$146/100)^(Time!BH21-2018)/1000000</f>
        <v>3.19624395503533</v>
      </c>
      <c r="BI48" s="11" t="n">
        <f aca="false">BI37*Inputs!$F$145*(1+Inputs!$F$146/100)^(Time!BI21-2018)/1000000</f>
        <v>3.18477859185959</v>
      </c>
      <c r="BJ48" s="11" t="n">
        <f aca="false">BJ37*Inputs!$F$145*(1+Inputs!$F$146/100)^(Time!BJ21-2018)/1000000</f>
        <v>3.06661542842368</v>
      </c>
      <c r="BK48" s="11" t="n">
        <f aca="false">BK37*Inputs!$F$145*(1+Inputs!$F$146/100)^(Time!BK21-2018)/1000000</f>
        <v>3.17165426925927</v>
      </c>
      <c r="BL48" s="11" t="n">
        <f aca="false">BL37*Inputs!$F$145*(1+Inputs!$F$146/100)^(Time!BL21-2018)/1000000</f>
        <v>3.29030008586528</v>
      </c>
      <c r="BM48" s="11" t="n">
        <f aca="false">BM37*Inputs!$F$145*(1+Inputs!$F$146/100)^(Time!BM21-2018)/1000000</f>
        <v>2.22607279436325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3792.04278771637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22.447121655942</v>
      </c>
      <c r="P50" s="11" t="n">
        <f aca="false">P43+P45</f>
        <v>67.6307956285765</v>
      </c>
      <c r="Q50" s="11" t="n">
        <f aca="false">Q43+Q45</f>
        <v>67.8983424115587</v>
      </c>
      <c r="R50" s="11" t="n">
        <f aca="false">R43+R45</f>
        <v>68.1451065247603</v>
      </c>
      <c r="S50" s="11" t="n">
        <f aca="false">S43+S45</f>
        <v>68.4650790125577</v>
      </c>
      <c r="T50" s="11" t="n">
        <f aca="false">T43+T45</f>
        <v>68.8126257336253</v>
      </c>
      <c r="U50" s="11" t="n">
        <f aca="false">U43+U45</f>
        <v>69.0301725779119</v>
      </c>
      <c r="V50" s="11" t="n">
        <f aca="false">V43+V45</f>
        <v>69.1624718078326</v>
      </c>
      <c r="W50" s="11" t="n">
        <f aca="false">W43+W45</f>
        <v>69.5574412832485</v>
      </c>
      <c r="X50" s="11" t="n">
        <f aca="false">X43+X45</f>
        <v>70.0460270272405</v>
      </c>
      <c r="Y50" s="11" t="n">
        <f aca="false">Y43+Y45</f>
        <v>70.3375439407661</v>
      </c>
      <c r="Z50" s="11" t="n">
        <f aca="false">Z43+Z45</f>
        <v>70.6065394673027</v>
      </c>
      <c r="AA50" s="11" t="n">
        <f aca="false">AA43+AA45</f>
        <v>70.9549363417546</v>
      </c>
      <c r="AB50" s="11" t="n">
        <f aca="false">AB43+AB45</f>
        <v>71.3332490584847</v>
      </c>
      <c r="AC50" s="11" t="n">
        <f aca="false">AC43+AC45</f>
        <v>71.5153133268801</v>
      </c>
      <c r="AD50" s="11" t="n">
        <f aca="false">AD43+AD45</f>
        <v>70.6274998150064</v>
      </c>
      <c r="AE50" s="11" t="n">
        <f aca="false">AE43+AE45</f>
        <v>72.0324758262119</v>
      </c>
      <c r="AF50" s="11" t="n">
        <f aca="false">AF43+AF45</f>
        <v>72.6766394638791</v>
      </c>
      <c r="AG50" s="11" t="n">
        <f aca="false">AG43+AG45</f>
        <v>72.9942735560938</v>
      </c>
      <c r="AH50" s="11" t="n">
        <f aca="false">AH43+AH45</f>
        <v>73.287503182708</v>
      </c>
      <c r="AI50" s="11" t="n">
        <f aca="false">AI43+AI45</f>
        <v>73.6668480628199</v>
      </c>
      <c r="AJ50" s="11" t="n">
        <f aca="false">AJ43+AJ45</f>
        <v>74.0786482425825</v>
      </c>
      <c r="AK50" s="11" t="n">
        <f aca="false">AK43+AK45</f>
        <v>74.3376244566225</v>
      </c>
      <c r="AL50" s="11" t="n">
        <f aca="false">AL43+AL45</f>
        <v>74.4964015142688</v>
      </c>
      <c r="AM50" s="11" t="n">
        <f aca="false">AM43+AM45</f>
        <v>74.9640639881529</v>
      </c>
      <c r="AN50" s="11" t="n">
        <f aca="false">AN43+AN45</f>
        <v>75.5418322178251</v>
      </c>
      <c r="AO50" s="11" t="n">
        <f aca="false">AO43+AO45</f>
        <v>75.8879228065592</v>
      </c>
      <c r="AP50" s="11" t="n">
        <f aca="false">AP43+AP45</f>
        <v>76.2075696127505</v>
      </c>
      <c r="AQ50" s="11" t="n">
        <f aca="false">AQ43+AQ45</f>
        <v>76.6206100404605</v>
      </c>
      <c r="AR50" s="11" t="n">
        <f aca="false">AR43+AR45</f>
        <v>77.0688596927102</v>
      </c>
      <c r="AS50" s="11" t="n">
        <f aca="false">AS43+AS45</f>
        <v>77.2864092085669</v>
      </c>
      <c r="AT50" s="11" t="n">
        <f aca="false">AT43+AT45</f>
        <v>76.3442297027827</v>
      </c>
      <c r="AU50" s="11" t="n">
        <f aca="false">AU43+AU45</f>
        <v>77.9015540139461</v>
      </c>
      <c r="AV50" s="11" t="n">
        <f aca="false">AV43+AV45</f>
        <v>78.6625153088464</v>
      </c>
      <c r="AW50" s="11" t="n">
        <f aca="false">AW43+AW45</f>
        <v>79.0396111953163</v>
      </c>
      <c r="AX50" s="11" t="n">
        <f aca="false">AX43+AX45</f>
        <v>79.3880549007652</v>
      </c>
      <c r="AY50" s="11" t="n">
        <f aca="false">AY43+AY45</f>
        <v>79.8377821974307</v>
      </c>
      <c r="AZ50" s="11" t="n">
        <f aca="false">AZ43+AZ45</f>
        <v>80.3257051166436</v>
      </c>
      <c r="BA50" s="11" t="n">
        <f aca="false">BA43+BA45</f>
        <v>80.6340004454442</v>
      </c>
      <c r="BB50" s="11" t="n">
        <f aca="false">BB43+BB45</f>
        <v>80.8245413420125</v>
      </c>
      <c r="BC50" s="11" t="n">
        <f aca="false">BC43+BC45</f>
        <v>81.3782609691782</v>
      </c>
      <c r="BD50" s="11" t="n">
        <f aca="false">BD43+BD45</f>
        <v>82.0614618664893</v>
      </c>
      <c r="BE50" s="11" t="n">
        <f aca="false">BE43+BE45</f>
        <v>82.4723400897373</v>
      </c>
      <c r="BF50" s="11" t="n">
        <f aca="false">BF43+BF45</f>
        <v>82.8521747649458</v>
      </c>
      <c r="BG50" s="11" t="n">
        <f aca="false">BG43+BG45</f>
        <v>83.3418456474595</v>
      </c>
      <c r="BH50" s="11" t="n">
        <f aca="false">BH43+BH45</f>
        <v>83.8729505304233</v>
      </c>
      <c r="BI50" s="11" t="n">
        <f aca="false">BI43+BI45</f>
        <v>84.1328974573946</v>
      </c>
      <c r="BJ50" s="11" t="n">
        <f aca="false">BJ43+BJ45</f>
        <v>83.1265956046938</v>
      </c>
      <c r="BK50" s="11" t="n">
        <f aca="false">BK43+BK45</f>
        <v>84.8645881729019</v>
      </c>
      <c r="BL50" s="11" t="n">
        <f aca="false">BL43+BL45</f>
        <v>85.7634740643476</v>
      </c>
      <c r="BM50" s="11" t="n">
        <f aca="false">BM43+BM45</f>
        <v>57.5002568399538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9219.57133698138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51.2998767456295</v>
      </c>
      <c r="P51" s="11" t="n">
        <f aca="false">P50+P46+P47+P48+P49</f>
        <v>154.239240964289</v>
      </c>
      <c r="Q51" s="11" t="n">
        <f aca="false">Q50+Q46+Q47+Q48+Q49</f>
        <v>155.715410179016</v>
      </c>
      <c r="R51" s="11" t="n">
        <f aca="false">R50+R46+R47+R48+R49</f>
        <v>155.644035894709</v>
      </c>
      <c r="S51" s="11" t="n">
        <f aca="false">S50+S46+S47+S48+S49</f>
        <v>157.680863989365</v>
      </c>
      <c r="T51" s="11" t="n">
        <f aca="false">T50+T46+T47+T48+T49</f>
        <v>158.701471819352</v>
      </c>
      <c r="U51" s="11" t="n">
        <f aca="false">U50+U46+U47+U48+U49</f>
        <v>159.59000181117</v>
      </c>
      <c r="V51" s="11" t="n">
        <f aca="false">V50+V46+V47+V48+V49</f>
        <v>158.024349427268</v>
      </c>
      <c r="W51" s="11" t="n">
        <f aca="false">W50+W46+W47+W48+W49</f>
        <v>160.827837168034</v>
      </c>
      <c r="X51" s="11" t="n">
        <f aca="false">X50+X46+X47+X48+X49</f>
        <v>163.339452210931</v>
      </c>
      <c r="Y51" s="11" t="n">
        <f aca="false">Y50+Y46+Y47+Y48+Y49</f>
        <v>164.935819127667</v>
      </c>
      <c r="Z51" s="11" t="n">
        <f aca="false">Z50+Z46+Z47+Z48+Z49</f>
        <v>164.857333271406</v>
      </c>
      <c r="AA51" s="11" t="n">
        <f aca="false">AA50+AA46+AA47+AA48+AA49</f>
        <v>167.059253015007</v>
      </c>
      <c r="AB51" s="11" t="n">
        <f aca="false">AB50+AB46+AB47+AB48+AB49</f>
        <v>168.160116642557</v>
      </c>
      <c r="AC51" s="11" t="n">
        <f aca="false">AC50+AC46+AC47+AC48+AC49</f>
        <v>168.485455348162</v>
      </c>
      <c r="AD51" s="11" t="n">
        <f aca="false">AD50+AD46+AD47+AD48+AD49</f>
        <v>164.602230074718</v>
      </c>
      <c r="AE51" s="11" t="n">
        <f aca="false">AE50+AE46+AE47+AE48+AE49</f>
        <v>169.164454399856</v>
      </c>
      <c r="AF51" s="11" t="n">
        <f aca="false">AF50+AF46+AF47+AF48+AF49</f>
        <v>173.170673361241</v>
      </c>
      <c r="AG51" s="11" t="n">
        <f aca="false">AG50+AG46+AG47+AG48+AG49</f>
        <v>174.896972867273</v>
      </c>
      <c r="AH51" s="11" t="n">
        <f aca="false">AH50+AH46+AH47+AH48+AH49</f>
        <v>174.810807603078</v>
      </c>
      <c r="AI51" s="11" t="n">
        <f aca="false">AI50+AI46+AI47+AI48+AI49</f>
        <v>177.191122807304</v>
      </c>
      <c r="AJ51" s="11" t="n">
        <f aca="false">AJ50+AJ46+AJ47+AJ48+AJ49</f>
        <v>178.378615157335</v>
      </c>
      <c r="AK51" s="11" t="n">
        <f aca="false">AK50+AK46+AK47+AK48+AK49</f>
        <v>179.417040272973</v>
      </c>
      <c r="AL51" s="11" t="n">
        <f aca="false">AL50+AL46+AL47+AL48+AL49</f>
        <v>177.590644341433</v>
      </c>
      <c r="AM51" s="11" t="n">
        <f aca="false">AM50+AM46+AM47+AM48+AM49</f>
        <v>180.86527976673</v>
      </c>
      <c r="AN51" s="11" t="n">
        <f aca="false">AN50+AN46+AN47+AN48+AN49</f>
        <v>183.79173058986</v>
      </c>
      <c r="AO51" s="11" t="n">
        <f aca="false">AO50+AO46+AO47+AO48+AO49</f>
        <v>185.658481614311</v>
      </c>
      <c r="AP51" s="11" t="n">
        <f aca="false">AP50+AP46+AP47+AP48+AP49</f>
        <v>185.564032084022</v>
      </c>
      <c r="AQ51" s="11" t="n">
        <f aca="false">AQ50+AQ46+AQ47+AQ48+AQ49</f>
        <v>188.137111914432</v>
      </c>
      <c r="AR51" s="11" t="n">
        <f aca="false">AR50+AR46+AR47+AR48+AR49</f>
        <v>189.418115654018</v>
      </c>
      <c r="AS51" s="11" t="n">
        <f aca="false">AS50+AS46+AS47+AS48+AS49</f>
        <v>189.799898355006</v>
      </c>
      <c r="AT51" s="11" t="n">
        <f aca="false">AT50+AT46+AT47+AT48+AT49</f>
        <v>185.360339607009</v>
      </c>
      <c r="AU51" s="11" t="n">
        <f aca="false">AU50+AU46+AU47+AU48+AU49</f>
        <v>190.596900021796</v>
      </c>
      <c r="AV51" s="11" t="n">
        <f aca="false">AV50+AV46+AV47+AV48+AV49</f>
        <v>195.266185908284</v>
      </c>
      <c r="AW51" s="11" t="n">
        <f aca="false">AW50+AW46+AW47+AW48+AW49</f>
        <v>197.284754194997</v>
      </c>
      <c r="AX51" s="11" t="n">
        <f aca="false">AX50+AX46+AX47+AX48+AX49</f>
        <v>197.181376861575</v>
      </c>
      <c r="AY51" s="11" t="n">
        <f aca="false">AY50+AY46+AY47+AY48+AY49</f>
        <v>199.962740560223</v>
      </c>
      <c r="AZ51" s="11" t="n">
        <f aca="false">AZ50+AZ46+AZ47+AZ48+AZ49</f>
        <v>201.344689079128</v>
      </c>
      <c r="BA51" s="11" t="n">
        <f aca="false">BA50+BA46+BA47+BA48+BA49</f>
        <v>202.558313238539</v>
      </c>
      <c r="BB51" s="11" t="n">
        <f aca="false">BB50+BB46+BB47+BB48+BB49</f>
        <v>200.428506423049</v>
      </c>
      <c r="BC51" s="11" t="n">
        <f aca="false">BC50+BC46+BC47+BC48+BC49</f>
        <v>204.252941325021</v>
      </c>
      <c r="BD51" s="11" t="n">
        <f aca="false">BD50+BD46+BD47+BD48+BD49</f>
        <v>207.662718162147</v>
      </c>
      <c r="BE51" s="11" t="n">
        <f aca="false">BE50+BE46+BE47+BE48+BE49</f>
        <v>209.845384036361</v>
      </c>
      <c r="BF51" s="11" t="n">
        <f aca="false">BF50+BF46+BF47+BF48+BF49</f>
        <v>209.732395048751</v>
      </c>
      <c r="BG51" s="11" t="n">
        <f aca="false">BG50+BG46+BG47+BG48+BG49</f>
        <v>212.738803342287</v>
      </c>
      <c r="BH51" s="11" t="n">
        <f aca="false">BH50+BH46+BH47+BH48+BH49</f>
        <v>214.229725039103</v>
      </c>
      <c r="BI51" s="11" t="n">
        <f aca="false">BI50+BI46+BI47+BI48+BI49</f>
        <v>214.677892214561</v>
      </c>
      <c r="BJ51" s="11" t="n">
        <f aca="false">BJ50+BJ46+BJ47+BJ48+BJ49</f>
        <v>209.589070736405</v>
      </c>
      <c r="BK51" s="11" t="n">
        <f aca="false">BK50+BK46+BK47+BK48+BK49</f>
        <v>215.613768801672</v>
      </c>
      <c r="BL51" s="11" t="n">
        <f aca="false">BL50+BL46+BL47+BL48+BL49</f>
        <v>221.055534631147</v>
      </c>
      <c r="BM51" s="11" t="n">
        <f aca="false">BM50+BM46+BM47+BM48+BM49</f>
        <v>149.171569271172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20.8562353324401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0.123459169107681</v>
      </c>
      <c r="P63" s="11" t="n">
        <f aca="false">Inputs!$F$158/100*P50</f>
        <v>0.371969375957171</v>
      </c>
      <c r="Q63" s="11" t="n">
        <f aca="false">Inputs!$F$158/100*Q50</f>
        <v>0.373440883263573</v>
      </c>
      <c r="R63" s="11" t="n">
        <f aca="false">Inputs!$F$158/100*R50</f>
        <v>0.374798085886182</v>
      </c>
      <c r="S63" s="11" t="n">
        <f aca="false">Inputs!$F$158/100*S50</f>
        <v>0.376557934569067</v>
      </c>
      <c r="T63" s="11" t="n">
        <f aca="false">Inputs!$F$158/100*T50</f>
        <v>0.378469441534939</v>
      </c>
      <c r="U63" s="11" t="n">
        <f aca="false">Inputs!$F$158/100*U50</f>
        <v>0.379665949178516</v>
      </c>
      <c r="V63" s="11" t="n">
        <f aca="false">Inputs!$F$158/100*V50</f>
        <v>0.380393594943079</v>
      </c>
      <c r="W63" s="11" t="n">
        <f aca="false">Inputs!$F$158/100*W50</f>
        <v>0.382565927057867</v>
      </c>
      <c r="X63" s="11" t="n">
        <f aca="false">Inputs!$F$158/100*X50</f>
        <v>0.385253148649823</v>
      </c>
      <c r="Y63" s="11" t="n">
        <f aca="false">Inputs!$F$158/100*Y50</f>
        <v>0.386856491674213</v>
      </c>
      <c r="Z63" s="11" t="n">
        <f aca="false">Inputs!$F$158/100*Z50</f>
        <v>0.388335967070165</v>
      </c>
      <c r="AA63" s="11" t="n">
        <f aca="false">Inputs!$F$158/100*AA50</f>
        <v>0.39025214987965</v>
      </c>
      <c r="AB63" s="11" t="n">
        <f aca="false">Inputs!$F$158/100*AB50</f>
        <v>0.392332869821666</v>
      </c>
      <c r="AC63" s="11" t="n">
        <f aca="false">Inputs!$F$158/100*AC50</f>
        <v>0.39333422329784</v>
      </c>
      <c r="AD63" s="11" t="n">
        <f aca="false">Inputs!$F$158/100*AD50</f>
        <v>0.388451248982535</v>
      </c>
      <c r="AE63" s="11" t="n">
        <f aca="false">Inputs!$F$158/100*AE50</f>
        <v>0.396178617044166</v>
      </c>
      <c r="AF63" s="11" t="n">
        <f aca="false">Inputs!$F$158/100*AF50</f>
        <v>0.399721517051335</v>
      </c>
      <c r="AG63" s="11" t="n">
        <f aca="false">Inputs!$F$158/100*AG50</f>
        <v>0.401468504558516</v>
      </c>
      <c r="AH63" s="11" t="n">
        <f aca="false">Inputs!$F$158/100*AH50</f>
        <v>0.403081267504894</v>
      </c>
      <c r="AI63" s="11" t="n">
        <f aca="false">Inputs!$F$158/100*AI50</f>
        <v>0.40516766434551</v>
      </c>
      <c r="AJ63" s="11" t="n">
        <f aca="false">Inputs!$F$158/100*AJ50</f>
        <v>0.407432565334204</v>
      </c>
      <c r="AK63" s="11" t="n">
        <f aca="false">Inputs!$F$158/100*AK50</f>
        <v>0.408856934511424</v>
      </c>
      <c r="AL63" s="11" t="n">
        <f aca="false">Inputs!$F$158/100*AL50</f>
        <v>0.409730208328479</v>
      </c>
      <c r="AM63" s="11" t="n">
        <f aca="false">Inputs!$F$158/100*AM50</f>
        <v>0.412302351934841</v>
      </c>
      <c r="AN63" s="11" t="n">
        <f aca="false">Inputs!$F$158/100*AN50</f>
        <v>0.415480077198038</v>
      </c>
      <c r="AO63" s="11" t="n">
        <f aca="false">Inputs!$F$158/100*AO50</f>
        <v>0.417383575436076</v>
      </c>
      <c r="AP63" s="11" t="n">
        <f aca="false">Inputs!$F$158/100*AP50</f>
        <v>0.419141632870128</v>
      </c>
      <c r="AQ63" s="11" t="n">
        <f aca="false">Inputs!$F$158/100*AQ50</f>
        <v>0.421413355222533</v>
      </c>
      <c r="AR63" s="11" t="n">
        <f aca="false">Inputs!$F$158/100*AR50</f>
        <v>0.423878728309906</v>
      </c>
      <c r="AS63" s="11" t="n">
        <f aca="false">Inputs!$F$158/100*AS50</f>
        <v>0.425075250647118</v>
      </c>
      <c r="AT63" s="11" t="n">
        <f aca="false">Inputs!$F$158/100*AT50</f>
        <v>0.419893263365305</v>
      </c>
      <c r="AU63" s="11" t="n">
        <f aca="false">Inputs!$F$158/100*AU50</f>
        <v>0.428458547076703</v>
      </c>
      <c r="AV63" s="11" t="n">
        <f aca="false">Inputs!$F$158/100*AV50</f>
        <v>0.432643834198655</v>
      </c>
      <c r="AW63" s="11" t="n">
        <f aca="false">Inputs!$F$158/100*AW50</f>
        <v>0.43471786157424</v>
      </c>
      <c r="AX63" s="11" t="n">
        <f aca="false">Inputs!$F$158/100*AX50</f>
        <v>0.436634301954209</v>
      </c>
      <c r="AY63" s="11" t="n">
        <f aca="false">Inputs!$F$158/100*AY50</f>
        <v>0.439107802085869</v>
      </c>
      <c r="AZ63" s="11" t="n">
        <f aca="false">Inputs!$F$158/100*AZ50</f>
        <v>0.44179137814154</v>
      </c>
      <c r="BA63" s="11" t="n">
        <f aca="false">Inputs!$F$158/100*BA50</f>
        <v>0.443487002449943</v>
      </c>
      <c r="BB63" s="11" t="n">
        <f aca="false">Inputs!$F$158/100*BB50</f>
        <v>0.444534977381069</v>
      </c>
      <c r="BC63" s="11" t="n">
        <f aca="false">Inputs!$F$158/100*BC50</f>
        <v>0.44758043533048</v>
      </c>
      <c r="BD63" s="11" t="n">
        <f aca="false">Inputs!$F$158/100*BD50</f>
        <v>0.451338040265691</v>
      </c>
      <c r="BE63" s="11" t="n">
        <f aca="false">Inputs!$F$158/100*BE50</f>
        <v>0.453597870493555</v>
      </c>
      <c r="BF63" s="11" t="n">
        <f aca="false">Inputs!$F$158/100*BF50</f>
        <v>0.455686961207202</v>
      </c>
      <c r="BG63" s="11" t="n">
        <f aca="false">Inputs!$F$158/100*BG50</f>
        <v>0.458380151061027</v>
      </c>
      <c r="BH63" s="11" t="n">
        <f aca="false">Inputs!$F$158/100*BH50</f>
        <v>0.461301227917328</v>
      </c>
      <c r="BI63" s="11" t="n">
        <f aca="false">Inputs!$F$158/100*BI50</f>
        <v>0.46273093601567</v>
      </c>
      <c r="BJ63" s="11" t="n">
        <f aca="false">Inputs!$F$158/100*BJ50</f>
        <v>0.457196275825816</v>
      </c>
      <c r="BK63" s="11" t="n">
        <f aca="false">Inputs!$F$158/100*BK50</f>
        <v>0.466755234950961</v>
      </c>
      <c r="BL63" s="11" t="n">
        <f aca="false">Inputs!$F$158/100*BL50</f>
        <v>0.471699107353912</v>
      </c>
      <c r="BM63" s="11" t="n">
        <f aca="false">Inputs!$F$158/100*BM50</f>
        <v>0.316251412619746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126.936751724505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0.657510652780899</v>
      </c>
      <c r="P64" s="11" t="n">
        <f aca="false">Inputs!$F$159*(0.7*P19+0.3*P23*Inputs!$F$150/P11)*P33/1000000</f>
        <v>1.99311458611368</v>
      </c>
      <c r="Q64" s="11" t="n">
        <f aca="false">Inputs!$F$159*(0.7*Q19+0.3*Q23*Inputs!$F$150/Q11)*Q33/1000000</f>
        <v>2.00696796740724</v>
      </c>
      <c r="R64" s="11" t="n">
        <f aca="false">Inputs!$F$159*(0.7*R19+0.3*R23*Inputs!$F$150/R11)*R33/1000000</f>
        <v>2.01439066433256</v>
      </c>
      <c r="S64" s="11" t="n">
        <f aca="false">Inputs!$F$159*(0.7*S19+0.3*S23*Inputs!$F$150/S11)*S33/1000000</f>
        <v>2.04146909209134</v>
      </c>
      <c r="T64" s="11" t="n">
        <f aca="false">Inputs!$F$159*(0.7*T19+0.3*T23*Inputs!$F$150/T11)*T33/1000000</f>
        <v>2.07552706070461</v>
      </c>
      <c r="U64" s="11" t="n">
        <f aca="false">Inputs!$F$159*(0.7*U19+0.3*U23*Inputs!$F$150/U11)*U33/1000000</f>
        <v>2.07281170086037</v>
      </c>
      <c r="V64" s="11" t="n">
        <f aca="false">Inputs!$F$159*(0.7*V19+0.3*V23*Inputs!$F$150/V11)*V33/1000000</f>
        <v>2.04573959402962</v>
      </c>
      <c r="W64" s="11" t="n">
        <f aca="false">Inputs!$F$159*(0.7*W19+0.3*W23*Inputs!$F$150/W11)*W33/1000000</f>
        <v>2.09089159978469</v>
      </c>
      <c r="X64" s="11" t="n">
        <f aca="false">Inputs!$F$159*(0.7*X19+0.3*X23*Inputs!$F$150/X11)*X33/1000000</f>
        <v>2.16132758086073</v>
      </c>
      <c r="Y64" s="11" t="n">
        <f aca="false">Inputs!$F$159*(0.7*Y19+0.3*Y23*Inputs!$F$150/Y11)*Y33/1000000</f>
        <v>2.17634027422594</v>
      </c>
      <c r="Z64" s="11" t="n">
        <f aca="false">Inputs!$F$159*(0.7*Z19+0.3*Z23*Inputs!$F$150/Z11)*Z33/1000000</f>
        <v>2.18437946450087</v>
      </c>
      <c r="AA64" s="11" t="n">
        <f aca="false">Inputs!$F$159*(0.7*AA19+0.3*AA23*Inputs!$F$150/AA11)*AA33/1000000</f>
        <v>2.21373289271945</v>
      </c>
      <c r="AB64" s="11" t="n">
        <f aca="false">Inputs!$F$159*(0.7*AB19+0.3*AB23*Inputs!$F$150/AB11)*AB33/1000000</f>
        <v>2.25065449425134</v>
      </c>
      <c r="AC64" s="11" t="n">
        <f aca="false">Inputs!$F$159*(0.7*AC19+0.3*AC23*Inputs!$F$150/AC11)*AC33/1000000</f>
        <v>2.23234882876565</v>
      </c>
      <c r="AD64" s="11" t="n">
        <f aca="false">Inputs!$F$159*(0.7*AD19+0.3*AD23*Inputs!$F$150/AD11)*AD33/1000000</f>
        <v>2.17181203743334</v>
      </c>
      <c r="AE64" s="11" t="n">
        <f aca="false">Inputs!$F$159*(0.7*AE19+0.3*AE23*Inputs!$F$150/AE11)*AE33/1000000</f>
        <v>2.235954615686</v>
      </c>
      <c r="AF64" s="11" t="n">
        <f aca="false">Inputs!$F$159*(0.7*AF19+0.3*AF23*Inputs!$F$150/AF11)*AF33/1000000</f>
        <v>2.34365175270766</v>
      </c>
      <c r="AG64" s="11" t="n">
        <f aca="false">Inputs!$F$159*(0.7*AG19+0.3*AG23*Inputs!$F$150/AG11)*AG33/1000000</f>
        <v>2.35992004382976</v>
      </c>
      <c r="AH64" s="11" t="n">
        <f aca="false">Inputs!$F$159*(0.7*AH19+0.3*AH23*Inputs!$F$150/AH11)*AH33/1000000</f>
        <v>2.36862646814123</v>
      </c>
      <c r="AI64" s="11" t="n">
        <f aca="false">Inputs!$F$159*(0.7*AI19+0.3*AI23*Inputs!$F$150/AI11)*AI33/1000000</f>
        <v>2.40044473048063</v>
      </c>
      <c r="AJ64" s="11" t="n">
        <f aca="false">Inputs!$F$159*(0.7*AJ19+0.3*AJ23*Inputs!$F$150/AJ11)*AJ33/1000000</f>
        <v>2.44046913704791</v>
      </c>
      <c r="AK64" s="11" t="n">
        <f aca="false">Inputs!$F$159*(0.7*AK19+0.3*AK23*Inputs!$F$150/AK11)*AK33/1000000</f>
        <v>2.43725395107643</v>
      </c>
      <c r="AL64" s="11" t="n">
        <f aca="false">Inputs!$F$159*(0.7*AL19+0.3*AL23*Inputs!$F$150/AL11)*AL33/1000000</f>
        <v>2.40539989735495</v>
      </c>
      <c r="AM64" s="11" t="n">
        <f aca="false">Inputs!$F$159*(0.7*AM19+0.3*AM23*Inputs!$F$150/AM11)*AM33/1000000</f>
        <v>2.45846740634832</v>
      </c>
      <c r="AN64" s="11" t="n">
        <f aca="false">Inputs!$F$159*(0.7*AN19+0.3*AN23*Inputs!$F$150/AN11)*AN33/1000000</f>
        <v>2.54126249081497</v>
      </c>
      <c r="AO64" s="11" t="n">
        <f aca="false">Inputs!$F$159*(0.7*AO19+0.3*AO23*Inputs!$F$150/AO11)*AO33/1000000</f>
        <v>2.558890590087</v>
      </c>
      <c r="AP64" s="11" t="n">
        <f aca="false">Inputs!$F$159*(0.7*AP19+0.3*AP23*Inputs!$F$150/AP11)*AP33/1000000</f>
        <v>2.56831911931385</v>
      </c>
      <c r="AQ64" s="11" t="n">
        <f aca="false">Inputs!$F$159*(0.7*AQ19+0.3*AQ23*Inputs!$F$150/AQ11)*AQ33/1000000</f>
        <v>2.60280776170444</v>
      </c>
      <c r="AR64" s="11" t="n">
        <f aca="false">Inputs!$F$159*(0.7*AR19+0.3*AR23*Inputs!$F$150/AR11)*AR33/1000000</f>
        <v>2.64619396327463</v>
      </c>
      <c r="AS64" s="11" t="n">
        <f aca="false">Inputs!$F$159*(0.7*AS19+0.3*AS23*Inputs!$F$150/AS11)*AS33/1000000</f>
        <v>2.62464678600981</v>
      </c>
      <c r="AT64" s="11" t="n">
        <f aca="false">Inputs!$F$159*(0.7*AT19+0.3*AT23*Inputs!$F$150/AT11)*AT33/1000000</f>
        <v>2.55344789476249</v>
      </c>
      <c r="AU64" s="11" t="n">
        <f aca="false">Inputs!$F$159*(0.7*AU19+0.3*AU23*Inputs!$F$150/AU11)*AU33/1000000</f>
        <v>2.62883724499161</v>
      </c>
      <c r="AV64" s="11" t="n">
        <f aca="false">Inputs!$F$159*(0.7*AV19+0.3*AV23*Inputs!$F$150/AV11)*AV33/1000000</f>
        <v>2.75543226203586</v>
      </c>
      <c r="AW64" s="11" t="n">
        <f aca="false">Inputs!$F$159*(0.7*AW19+0.3*AW23*Inputs!$F$150/AW11)*AW33/1000000</f>
        <v>2.77453294960251</v>
      </c>
      <c r="AX64" s="11" t="n">
        <f aca="false">Inputs!$F$159*(0.7*AX19+0.3*AX23*Inputs!$F$150/AX11)*AX33/1000000</f>
        <v>2.78474291637843</v>
      </c>
      <c r="AY64" s="11" t="n">
        <f aca="false">Inputs!$F$159*(0.7*AY19+0.3*AY23*Inputs!$F$150/AY11)*AY33/1000000</f>
        <v>2.82212448480602</v>
      </c>
      <c r="AZ64" s="11" t="n">
        <f aca="false">Inputs!$F$159*(0.7*AZ19+0.3*AZ23*Inputs!$F$150/AZ11)*AZ33/1000000</f>
        <v>2.86915291566829</v>
      </c>
      <c r="BA64" s="11" t="n">
        <f aca="false">Inputs!$F$159*(0.7*BA19+0.3*BA23*Inputs!$F$150/BA11)*BA33/1000000</f>
        <v>2.86534599951522</v>
      </c>
      <c r="BB64" s="11" t="n">
        <f aca="false">Inputs!$F$159*(0.7*BB19+0.3*BB23*Inputs!$F$150/BB11)*BB33/1000000</f>
        <v>2.82787028224047</v>
      </c>
      <c r="BC64" s="11" t="n">
        <f aca="false">Inputs!$F$159*(0.7*BC19+0.3*BC23*Inputs!$F$150/BC11)*BC33/1000000</f>
        <v>2.89023097818088</v>
      </c>
      <c r="BD64" s="11" t="n">
        <f aca="false">Inputs!$F$159*(0.7*BD19+0.3*BD23*Inputs!$F$150/BD11)*BD33/1000000</f>
        <v>2.98753854670635</v>
      </c>
      <c r="BE64" s="11" t="n">
        <f aca="false">Inputs!$F$159*(0.7*BE19+0.3*BE23*Inputs!$F$150/BE11)*BE33/1000000</f>
        <v>3.00823386928932</v>
      </c>
      <c r="BF64" s="11" t="n">
        <f aca="false">Inputs!$F$159*(0.7*BF19+0.3*BF23*Inputs!$F$150/BF11)*BF33/1000000</f>
        <v>3.01928942571288</v>
      </c>
      <c r="BG64" s="11" t="n">
        <f aca="false">Inputs!$F$159*(0.7*BG19+0.3*BG23*Inputs!$F$150/BG11)*BG33/1000000</f>
        <v>3.05980485828365</v>
      </c>
      <c r="BH64" s="11" t="n">
        <f aca="false">Inputs!$F$159*(0.7*BH19+0.3*BH23*Inputs!$F$150/BH11)*BH33/1000000</f>
        <v>3.11077915544459</v>
      </c>
      <c r="BI64" s="11" t="n">
        <f aca="false">Inputs!$F$159*(0.7*BI19+0.3*BI23*Inputs!$F$150/BI11)*BI33/1000000</f>
        <v>3.08541960500265</v>
      </c>
      <c r="BJ64" s="11" t="n">
        <f aca="false">Inputs!$F$159*(0.7*BJ19+0.3*BJ23*Inputs!$F$150/BJ11)*BJ33/1000000</f>
        <v>3.0016926728138</v>
      </c>
      <c r="BK64" s="11" t="n">
        <f aca="false">Inputs!$F$159*(0.7*BK19+0.3*BK23*Inputs!$F$150/BK11)*BK33/1000000</f>
        <v>3.0902867092867</v>
      </c>
      <c r="BL64" s="11" t="n">
        <f aca="false">Inputs!$F$159*(0.7*BL19+0.3*BL23*Inputs!$F$150/BL11)*BL33/1000000</f>
        <v>3.23907241494402</v>
      </c>
      <c r="BM64" s="11" t="n">
        <f aca="false">Inputs!$F$159*(0.7*BM19+0.3*BM23*Inputs!$F$150/BM11)*BM33/1000000</f>
        <v>2.18158933409906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1120.0692874056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5.71645543913942</v>
      </c>
      <c r="P67" s="11" t="n">
        <f aca="false">P55+P56+P57+P59+P60+P61+P62+P63+P64+P65+P66</f>
        <v>17.3304283370088</v>
      </c>
      <c r="Q67" s="11" t="n">
        <f aca="false">Q55+Q56+Q57+Q59+Q60+Q61+Q62+Q63+Q64+Q65+Q66</f>
        <v>17.4738281696372</v>
      </c>
      <c r="R67" s="11" t="n">
        <f aca="false">R55+R56+R57+R59+R60+R61+R62+R63+R64+R65+R66</f>
        <v>17.5788211171937</v>
      </c>
      <c r="S67" s="11" t="n">
        <f aca="false">S55+S56+S57+S59+S60+S61+S62+S63+S64+S65+S66</f>
        <v>17.8040058687819</v>
      </c>
      <c r="T67" s="11" t="n">
        <f aca="false">T55+T56+T57+T59+T60+T61+T62+T63+T64+T65+T66</f>
        <v>18.0724647238523</v>
      </c>
      <c r="U67" s="11" t="n">
        <f aca="false">U55+U56+U57+U59+U60+U61+U62+U63+U64+U65+U66</f>
        <v>18.1178322158821</v>
      </c>
      <c r="V67" s="11" t="n">
        <f aca="false">V55+V56+V57+V59+V60+V61+V62+V63+V64+V65+V66</f>
        <v>18.0153573372805</v>
      </c>
      <c r="W67" s="11" t="n">
        <f aca="false">W55+W56+W57+W59+W60+W61+W62+W63+W64+W65+W66</f>
        <v>18.3536769690941</v>
      </c>
      <c r="X67" s="11" t="n">
        <f aca="false">X55+X56+X57+X59+X60+X61+X62+X63+X64+X65+X66</f>
        <v>18.8472263589935</v>
      </c>
      <c r="Y67" s="11" t="n">
        <f aca="false">Y55+Y56+Y57+Y59+Y60+Y61+Y62+Y63+Y64+Y65+Y66</f>
        <v>19.0035653490938</v>
      </c>
      <c r="Z67" s="11" t="n">
        <f aca="false">Z55+Z56+Z57+Z59+Z60+Z61+Z62+Z63+Z64+Z65+Z66</f>
        <v>19.118047334134</v>
      </c>
      <c r="AA67" s="11" t="n">
        <f aca="false">AA55+AA56+AA57+AA59+AA60+AA61+AA62+AA63+AA64+AA65+AA66</f>
        <v>19.3635205090698</v>
      </c>
      <c r="AB67" s="11" t="n">
        <f aca="false">AB55+AB56+AB57+AB59+AB60+AB61+AB62+AB63+AB64+AB65+AB66</f>
        <v>19.6561563812378</v>
      </c>
      <c r="AC67" s="11" t="n">
        <f aca="false">AC55+AC56+AC57+AC59+AC60+AC61+AC62+AC63+AC64+AC65+AC66</f>
        <v>19.6116995454066</v>
      </c>
      <c r="AD67" s="11" t="n">
        <f aca="false">AD55+AD56+AD57+AD59+AD60+AD61+AD62+AD63+AD64+AD65+AD66</f>
        <v>19.3415462259536</v>
      </c>
      <c r="AE67" s="11" t="n">
        <f aca="false">AE55+AE56+AE57+AE59+AE60+AE61+AE62+AE63+AE64+AE65+AE66</f>
        <v>19.7708075153907</v>
      </c>
      <c r="AF67" s="11" t="n">
        <f aca="false">AF55+AF56+AF57+AF59+AF60+AF61+AF62+AF63+AF64+AF65+AF66</f>
        <v>20.5007615649834</v>
      </c>
      <c r="AG67" s="11" t="n">
        <f aca="false">AG55+AG56+AG57+AG59+AG60+AG61+AG62+AG63+AG64+AG65+AG66</f>
        <v>20.6712071565185</v>
      </c>
      <c r="AH67" s="11" t="n">
        <f aca="false">AH55+AH56+AH57+AH59+AH60+AH61+AH62+AH63+AH64+AH65+AH66</f>
        <v>20.7960357439156</v>
      </c>
      <c r="AI67" s="11" t="n">
        <f aca="false">AI55+AI56+AI57+AI59+AI60+AI61+AI62+AI63+AI64+AI65+AI66</f>
        <v>21.0636251013134</v>
      </c>
      <c r="AJ67" s="11" t="n">
        <f aca="false">AJ55+AJ56+AJ57+AJ59+AJ60+AJ61+AJ62+AJ63+AJ64+AJ65+AJ66</f>
        <v>21.3826151260313</v>
      </c>
      <c r="AK67" s="11" t="n">
        <f aca="false">AK55+AK56+AK57+AK59+AK60+AK61+AK62+AK63+AK64+AK65+AK66</f>
        <v>21.4366267940734</v>
      </c>
      <c r="AL67" s="11" t="n">
        <f aca="false">AL55+AL56+AL57+AL59+AL60+AL61+AL62+AL63+AL64+AL65+AL66</f>
        <v>21.3150382574792</v>
      </c>
      <c r="AM67" s="11" t="n">
        <f aca="false">AM55+AM56+AM57+AM59+AM60+AM61+AM62+AM63+AM64+AM65+AM66</f>
        <v>21.7170103176116</v>
      </c>
      <c r="AN67" s="11" t="n">
        <f aca="false">AN55+AN56+AN57+AN59+AN60+AN61+AN62+AN63+AN64+AN65+AN66</f>
        <v>22.3033596510998</v>
      </c>
      <c r="AO67" s="11" t="n">
        <f aca="false">AO55+AO56+AO57+AO59+AO60+AO61+AO62+AO63+AO64+AO65+AO66</f>
        <v>22.4891846146997</v>
      </c>
      <c r="AP67" s="11" t="n">
        <f aca="false">AP55+AP56+AP57+AP59+AP60+AP61+AP62+AP63+AP64+AP65+AP66</f>
        <v>22.625294868019</v>
      </c>
      <c r="AQ67" s="11" t="n">
        <f aca="false">AQ55+AQ56+AQ57+AQ59+AQ60+AQ61+AQ62+AQ63+AQ64+AQ65+AQ66</f>
        <v>22.9169928126273</v>
      </c>
      <c r="AR67" s="11" t="n">
        <f aca="false">AR55+AR56+AR57+AR59+AR60+AR61+AR62+AR63+AR64+AR65+AR66</f>
        <v>23.2647101564953</v>
      </c>
      <c r="AS67" s="11" t="n">
        <f aca="false">AS55+AS56+AS57+AS59+AS60+AS61+AS62+AS63+AS64+AS65+AS66</f>
        <v>23.2120435186584</v>
      </c>
      <c r="AT67" s="11" t="n">
        <f aca="false">AT55+AT56+AT57+AT59+AT60+AT61+AT62+AT63+AT64+AT65+AT66</f>
        <v>22.8919959346265</v>
      </c>
      <c r="AU67" s="11" t="n">
        <f aca="false">AU55+AU56+AU57+AU59+AU60+AU61+AU62+AU63+AU64+AU65+AU66</f>
        <v>23.4013052284913</v>
      </c>
      <c r="AV67" s="11" t="n">
        <f aca="false">AV55+AV56+AV57+AV59+AV60+AV61+AV62+AV63+AV64+AV65+AV66</f>
        <v>24.2684572816344</v>
      </c>
      <c r="AW67" s="11" t="n">
        <f aca="false">AW55+AW56+AW57+AW59+AW60+AW61+AW62+AW63+AW64+AW65+AW66</f>
        <v>24.4710492165398</v>
      </c>
      <c r="AX67" s="11" t="n">
        <f aca="false">AX55+AX56+AX57+AX59+AX60+AX61+AX62+AX63+AX64+AX65+AX66</f>
        <v>24.6194607013609</v>
      </c>
      <c r="AY67" s="11" t="n">
        <f aca="false">AY55+AY56+AY57+AY59+AY60+AY61+AY62+AY63+AY64+AY65+AY66</f>
        <v>24.9374391135676</v>
      </c>
      <c r="AZ67" s="11" t="n">
        <f aca="false">AZ55+AZ56+AZ57+AZ59+AZ60+AZ61+AZ62+AZ63+AZ64+AZ65+AZ66</f>
        <v>25.316470623361</v>
      </c>
      <c r="BA67" s="11" t="n">
        <f aca="false">BA55+BA56+BA57+BA59+BA60+BA61+BA62+BA63+BA64+BA65+BA66</f>
        <v>25.3807734946383</v>
      </c>
      <c r="BB67" s="11" t="n">
        <f aca="false">BB55+BB56+BB57+BB59+BB60+BB61+BB62+BB63+BB64+BB65+BB66</f>
        <v>25.2365075735729</v>
      </c>
      <c r="BC67" s="11" t="n">
        <f aca="false">BC55+BC56+BC57+BC59+BC60+BC61+BC62+BC63+BC64+BC65+BC66</f>
        <v>25.7141064295568</v>
      </c>
      <c r="BD67" s="11" t="n">
        <f aca="false">BD55+BD56+BD57+BD59+BD60+BD61+BD62+BD63+BD64+BD65+BD66</f>
        <v>26.410702217267</v>
      </c>
      <c r="BE67" s="11" t="n">
        <f aca="false">BE55+BE56+BE57+BE59+BE60+BE61+BE62+BE63+BE64+BE65+BE66</f>
        <v>26.6315739104248</v>
      </c>
      <c r="BF67" s="11" t="n">
        <f aca="false">BF55+BF56+BF57+BF59+BF60+BF61+BF62+BF63+BF64+BF65+BF66</f>
        <v>26.7933983305069</v>
      </c>
      <c r="BG67" s="11" t="n">
        <f aca="false">BG55+BG56+BG57+BG59+BG60+BG61+BG62+BG63+BG64+BG65+BG66</f>
        <v>27.1400247319914</v>
      </c>
      <c r="BH67" s="11" t="n">
        <f aca="false">BH55+BH56+BH57+BH59+BH60+BH61+BH62+BH63+BH64+BH65+BH66</f>
        <v>27.5531901724949</v>
      </c>
      <c r="BI67" s="11" t="n">
        <f aca="false">BI55+BI56+BI57+BI59+BI60+BI61+BI62+BI63+BI64+BI65+BI66</f>
        <v>27.4907989790721</v>
      </c>
      <c r="BJ67" s="11" t="n">
        <f aca="false">BJ55+BJ56+BJ57+BJ59+BJ60+BJ61+BJ62+BJ63+BJ64+BJ65+BJ66</f>
        <v>27.111533807568</v>
      </c>
      <c r="BK67" s="11" t="n">
        <f aca="false">BK55+BK56+BK57+BK59+BK60+BK61+BK62+BK63+BK64+BK65+BK66</f>
        <v>27.7159290225171</v>
      </c>
      <c r="BL67" s="11" t="n">
        <f aca="false">BL55+BL56+BL57+BL59+BL60+BL61+BL62+BL63+BL64+BL65+BL66</f>
        <v>28.7460624667907</v>
      </c>
      <c r="BM67" s="11" t="n">
        <f aca="false">BM55+BM56+BM57+BM59+BM60+BM61+BM62+BM63+BM64+BM65+BM66</f>
        <v>19.3685630889473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4602.87402428052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24.2173955896</v>
      </c>
      <c r="P68" s="11" t="n">
        <f aca="false">P37*P36/1000000</f>
        <v>72.644899572196</v>
      </c>
      <c r="Q68" s="11" t="n">
        <f aca="false">Q37*Q36/1000000</f>
        <v>73.8496418500094</v>
      </c>
      <c r="R68" s="11" t="n">
        <f aca="false">R37*R36/1000000</f>
        <v>73.3645768680095</v>
      </c>
      <c r="S68" s="11" t="n">
        <f aca="false">S37*S36/1000000</f>
        <v>75.0620301971261</v>
      </c>
      <c r="T68" s="11" t="n">
        <f aca="false">T37*T36/1000000</f>
        <v>75.5336289693357</v>
      </c>
      <c r="U68" s="11" t="n">
        <f aca="false">U37*U36/1000000</f>
        <v>76.1563763613696</v>
      </c>
      <c r="V68" s="11" t="n">
        <f aca="false">V37*V36/1000000</f>
        <v>74.3928013716743</v>
      </c>
      <c r="W68" s="11" t="n">
        <f aca="false">W37*W36/1000000</f>
        <v>76.7619925036953</v>
      </c>
      <c r="X68" s="11" t="n">
        <f aca="false">X37*X36/1000000</f>
        <v>78.5360671428393</v>
      </c>
      <c r="Y68" s="11" t="n">
        <f aca="false">Y37*Y36/1000000</f>
        <v>79.8379178462549</v>
      </c>
      <c r="Z68" s="11" t="n">
        <f aca="false">Z37*Z36/1000000</f>
        <v>79.3129331773918</v>
      </c>
      <c r="AA68" s="11" t="n">
        <f aca="false">AA37*AA36/1000000</f>
        <v>81.1474141320701</v>
      </c>
      <c r="AB68" s="11" t="n">
        <f aca="false">AB37*AB36/1000000</f>
        <v>81.6566411418946</v>
      </c>
      <c r="AC68" s="11" t="n">
        <f aca="false">AC37*AC36/1000000</f>
        <v>81.7669828655943</v>
      </c>
      <c r="AD68" s="11" t="n">
        <f aca="false">AD37*AD36/1000000</f>
        <v>78.7355847059395</v>
      </c>
      <c r="AE68" s="11" t="n">
        <f aca="false">AE37*AE36/1000000</f>
        <v>81.83606345096</v>
      </c>
      <c r="AF68" s="11" t="n">
        <f aca="false">AF37*AF36/1000000</f>
        <v>84.8999482819921</v>
      </c>
      <c r="AG68" s="11" t="n">
        <f aca="false">AG37*AG36/1000000</f>
        <v>86.3066487590886</v>
      </c>
      <c r="AH68" s="11" t="n">
        <f aca="false">AH37*AH36/1000000</f>
        <v>85.7384911087835</v>
      </c>
      <c r="AI68" s="11" t="n">
        <f aca="false">AI37*AI36/1000000</f>
        <v>87.7209409744295</v>
      </c>
      <c r="AJ68" s="11" t="n">
        <f aca="false">AJ37*AJ36/1000000</f>
        <v>88.2707626021162</v>
      </c>
      <c r="AK68" s="11" t="n">
        <f aca="false">AK37*AK36/1000000</f>
        <v>88.9972012355363</v>
      </c>
      <c r="AL68" s="11" t="n">
        <f aca="false">AL37*AL36/1000000</f>
        <v>86.9349757867936</v>
      </c>
      <c r="AM68" s="11" t="n">
        <f aca="false">AM37*AM36/1000000</f>
        <v>89.7022645784391</v>
      </c>
      <c r="AN68" s="11" t="n">
        <f aca="false">AN37*AN36/1000000</f>
        <v>91.7740415627583</v>
      </c>
      <c r="AO68" s="11" t="n">
        <f aca="false">AO37*AO36/1000000</f>
        <v>93.2939428108835</v>
      </c>
      <c r="AP68" s="11" t="n">
        <f aca="false">AP37*AP36/1000000</f>
        <v>92.6790964261793</v>
      </c>
      <c r="AQ68" s="11" t="n">
        <f aca="false">AQ37*AQ36/1000000</f>
        <v>94.8213196935165</v>
      </c>
      <c r="AR68" s="11" t="n">
        <f aca="false">AR37*AR36/1000000</f>
        <v>95.4149329935503</v>
      </c>
      <c r="AS68" s="11" t="n">
        <f aca="false">AS37*AS36/1000000</f>
        <v>95.5424415152124</v>
      </c>
      <c r="AT68" s="11" t="n">
        <f aca="false">AT37*AT36/1000000</f>
        <v>91.9989647301703</v>
      </c>
      <c r="AU68" s="11" t="n">
        <f aca="false">AU37*AU36/1000000</f>
        <v>95.6203064825278</v>
      </c>
      <c r="AV68" s="11" t="n">
        <f aca="false">AV37*AV36/1000000</f>
        <v>99.198782299628</v>
      </c>
      <c r="AW68" s="11" t="n">
        <f aca="false">AW37*AW36/1000000</f>
        <v>100.840892314214</v>
      </c>
      <c r="AX68" s="11" t="n">
        <f aca="false">AX37*AX36/1000000</f>
        <v>100.175558037471</v>
      </c>
      <c r="AY68" s="11" t="n">
        <f aca="false">AY37*AY36/1000000</f>
        <v>102.490289583569</v>
      </c>
      <c r="AZ68" s="11" t="n">
        <f aca="false">AZ37*AZ36/1000000</f>
        <v>103.131139936158</v>
      </c>
      <c r="BA68" s="11" t="n">
        <f aca="false">BA37*BA36/1000000</f>
        <v>103.978317649173</v>
      </c>
      <c r="BB68" s="11" t="n">
        <f aca="false">BB37*BB36/1000000</f>
        <v>101.567431226571</v>
      </c>
      <c r="BC68" s="11" t="n">
        <f aca="false">BC37*BC36/1000000</f>
        <v>104.798925306888</v>
      </c>
      <c r="BD68" s="11" t="n">
        <f aca="false">BD37*BD36/1000000</f>
        <v>107.217769160796</v>
      </c>
      <c r="BE68" s="11" t="n">
        <f aca="false">BE37*BE36/1000000</f>
        <v>108.991803901729</v>
      </c>
      <c r="BF68" s="11" t="n">
        <f aca="false">BF37*BF36/1000000</f>
        <v>108.271876572363</v>
      </c>
      <c r="BG68" s="11" t="n">
        <f aca="false">BG37*BG36/1000000</f>
        <v>110.772853987258</v>
      </c>
      <c r="BH68" s="11" t="n">
        <f aca="false">BH37*BH36/1000000</f>
        <v>111.464654074197</v>
      </c>
      <c r="BI68" s="11" t="n">
        <f aca="false">BI37*BI36/1000000</f>
        <v>111.611932467341</v>
      </c>
      <c r="BJ68" s="11" t="n">
        <f aca="false">BJ37*BJ36/1000000</f>
        <v>107.4708536962</v>
      </c>
      <c r="BK68" s="11" t="n">
        <f aca="false">BK37*BK36/1000000</f>
        <v>111.699531673532</v>
      </c>
      <c r="BL68" s="11" t="n">
        <f aca="false">BL37*BL36/1000000</f>
        <v>115.878007959035</v>
      </c>
      <c r="BM68" s="11" t="n">
        <f aca="false">BM37*BM36/1000000</f>
        <v>78.7841771464597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5431.03679638879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28.8074497855027</v>
      </c>
      <c r="P69" s="11" t="n">
        <f aca="false">P68+P47+P48+P49</f>
        <v>86.4773922804052</v>
      </c>
      <c r="Q69" s="11" t="n">
        <f aca="false">Q68+Q47+Q48+Q49</f>
        <v>87.6912284093158</v>
      </c>
      <c r="R69" s="11" t="n">
        <f aca="false">R68+R47+R48+R49</f>
        <v>87.3812463276881</v>
      </c>
      <c r="S69" s="11" t="n">
        <f aca="false">S68+S47+S48+S49</f>
        <v>89.1028694545033</v>
      </c>
      <c r="T69" s="11" t="n">
        <f aca="false">T68+T47+T48+T49</f>
        <v>89.782749560858</v>
      </c>
      <c r="U69" s="11" t="n">
        <f aca="false">U68+U47+U48+U49</f>
        <v>90.4604393949359</v>
      </c>
      <c r="V69" s="11" t="n">
        <f aca="false">V68+V47+V48+V49</f>
        <v>88.7721863782605</v>
      </c>
      <c r="W69" s="11" t="n">
        <f aca="false">W68+W47+W48+W49</f>
        <v>91.1854716968837</v>
      </c>
      <c r="X69" s="11" t="n">
        <f aca="false">X68+X47+X48+X49</f>
        <v>93.2143286144402</v>
      </c>
      <c r="Y69" s="11" t="n">
        <f aca="false">Y68+Y47+Y48+Y49</f>
        <v>94.5257774971806</v>
      </c>
      <c r="Z69" s="11" t="n">
        <f aca="false">Z68+Z47+Z48+Z49</f>
        <v>94.1866214717095</v>
      </c>
      <c r="AA69" s="11" t="n">
        <f aca="false">AA68+AA47+AA48+AA49</f>
        <v>96.0466806641562</v>
      </c>
      <c r="AB69" s="11" t="n">
        <f aca="false">AB68+AB47+AB48+AB49</f>
        <v>96.776931218056</v>
      </c>
      <c r="AC69" s="11" t="n">
        <f aca="false">AC68+AC47+AC48+AC49</f>
        <v>96.9282007912621</v>
      </c>
      <c r="AD69" s="11" t="n">
        <f aca="false">AD68+AD47+AD48+AD49</f>
        <v>93.9420984128559</v>
      </c>
      <c r="AE69" s="11" t="n">
        <f aca="false">AE68+AE47+AE48+AE49</f>
        <v>97.106111985418</v>
      </c>
      <c r="AF69" s="11" t="n">
        <f aca="false">AF68+AF47+AF48+AF49</f>
        <v>100.475540603537</v>
      </c>
      <c r="AG69" s="11" t="n">
        <f aca="false">AG68+AG47+AG48+AG49</f>
        <v>101.892369469894</v>
      </c>
      <c r="AH69" s="11" t="n">
        <f aca="false">AH68+AH47+AH48+AH49</f>
        <v>101.52144670566</v>
      </c>
      <c r="AI69" s="11" t="n">
        <f aca="false">AI68+AI47+AI48+AI49</f>
        <v>103.530962324537</v>
      </c>
      <c r="AJ69" s="11" t="n">
        <f aca="false">AJ68+AJ47+AJ48+AJ49</f>
        <v>104.315328247875</v>
      </c>
      <c r="AK69" s="11" t="n">
        <f aca="false">AK68+AK47+AK48+AK49</f>
        <v>105.103596133089</v>
      </c>
      <c r="AL69" s="11" t="n">
        <f aca="false">AL68+AL47+AL48+AL49</f>
        <v>103.126343933382</v>
      </c>
      <c r="AM69" s="11" t="n">
        <f aca="false">AM68+AM47+AM48+AM49</f>
        <v>105.94307942321</v>
      </c>
      <c r="AN69" s="11" t="n">
        <f aca="false">AN68+AN47+AN48+AN49</f>
        <v>108.301660914152</v>
      </c>
      <c r="AO69" s="11" t="n">
        <f aca="false">AO68+AO47+AO48+AO49</f>
        <v>109.832247811896</v>
      </c>
      <c r="AP69" s="11" t="n">
        <f aca="false">AP68+AP47+AP48+AP49</f>
        <v>109.42674371388</v>
      </c>
      <c r="AQ69" s="11" t="n">
        <f aca="false">AQ68+AQ47+AQ48+AQ49</f>
        <v>111.597603556723</v>
      </c>
      <c r="AR69" s="11" t="n">
        <f aca="false">AR68+AR47+AR48+AR49</f>
        <v>112.440107952276</v>
      </c>
      <c r="AS69" s="11" t="n">
        <f aca="false">AS68+AS47+AS48+AS49</f>
        <v>112.613706573436</v>
      </c>
      <c r="AT69" s="11" t="n">
        <f aca="false">AT68+AT47+AT48+AT49</f>
        <v>109.121501164185</v>
      </c>
      <c r="AU69" s="11" t="n">
        <f aca="false">AU68+AU47+AU48+AU49</f>
        <v>112.81411554624</v>
      </c>
      <c r="AV69" s="11" t="n">
        <f aca="false">AV68+AV47+AV48+AV49</f>
        <v>116.736448868906</v>
      </c>
      <c r="AW69" s="11" t="n">
        <f aca="false">AW68+AW47+AW48+AW49</f>
        <v>118.38983005192</v>
      </c>
      <c r="AX69" s="11" t="n">
        <f aca="false">AX68+AX47+AX48+AX49</f>
        <v>117.946689785145</v>
      </c>
      <c r="AY69" s="11" t="n">
        <f aca="false">AY68+AY47+AY48+AY49</f>
        <v>120.291716478385</v>
      </c>
      <c r="AZ69" s="11" t="n">
        <f aca="false">AZ68+AZ47+AZ48+AZ49</f>
        <v>121.196681176336</v>
      </c>
      <c r="BA69" s="11" t="n">
        <f aca="false">BA68+BA47+BA48+BA49</f>
        <v>122.113435694469</v>
      </c>
      <c r="BB69" s="11" t="n">
        <f aca="false">BB68+BB47+BB48+BB49</f>
        <v>119.798426386982</v>
      </c>
      <c r="BC69" s="11" t="n">
        <f aca="false">BC68+BC47+BC48+BC49</f>
        <v>123.085349786781</v>
      </c>
      <c r="BD69" s="11" t="n">
        <f aca="false">BD68+BD47+BD48+BD49</f>
        <v>125.827028530408</v>
      </c>
      <c r="BE69" s="11" t="n">
        <f aca="false">BE68+BE47+BE48+BE49</f>
        <v>127.612949464379</v>
      </c>
      <c r="BF69" s="11" t="n">
        <f aca="false">BF68+BF47+BF48+BF49</f>
        <v>127.128858016844</v>
      </c>
      <c r="BG69" s="11" t="n">
        <f aca="false">BG68+BG47+BG48+BG49</f>
        <v>129.661881562902</v>
      </c>
      <c r="BH69" s="11" t="n">
        <f aca="false">BH68+BH47+BH48+BH49</f>
        <v>130.633949167908</v>
      </c>
      <c r="BI69" s="11" t="n">
        <f aca="false">BI68+BI47+BI48+BI49</f>
        <v>130.833133542068</v>
      </c>
      <c r="BJ69" s="11" t="n">
        <f aca="false">BJ68+BJ47+BJ48+BJ49</f>
        <v>126.750116030379</v>
      </c>
      <c r="BK69" s="11" t="n">
        <f aca="false">BK68+BK47+BK48+BK49</f>
        <v>131.058720868285</v>
      </c>
      <c r="BL69" s="11" t="n">
        <f aca="false">BL68+BL47+BL48+BL49</f>
        <v>135.624144654243</v>
      </c>
      <c r="BM69" s="11" t="n">
        <f aca="false">BM68+BM47+BM48+BM49</f>
        <v>91.9032983050503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0.111397162316252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0.0986457331876719</v>
      </c>
      <c r="Q70" s="11" t="n">
        <f aca="false">SUMIFS(Construction!$J$36:$BJ$36,Construction!$J$12:$BJ$12,Time!Q17,Construction!$J$8:$BJ$8,"&gt;"&amp;Time!$F$13)</f>
        <v>0.0127514291285803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6621.98473630423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34.5239052246421</v>
      </c>
      <c r="P78" s="11" t="n">
        <f aca="false">P67+P69+P70+P71+P74+P77</f>
        <v>103.906466350602</v>
      </c>
      <c r="Q78" s="11" t="n">
        <f aca="false">Q67+Q69+Q70+Q71+Q74+Q77</f>
        <v>105.177808008082</v>
      </c>
      <c r="R78" s="11" t="n">
        <f aca="false">R67+R69+R70+R71+R74+R77</f>
        <v>104.960067444882</v>
      </c>
      <c r="S78" s="11" t="n">
        <f aca="false">S67+S69+S70+S71+S74+S77</f>
        <v>106.906875323285</v>
      </c>
      <c r="T78" s="11" t="n">
        <f aca="false">T67+T69+T70+T71+T74+T77</f>
        <v>107.85521428471</v>
      </c>
      <c r="U78" s="11" t="n">
        <f aca="false">U67+U69+U70+U71+U74+U77</f>
        <v>108.578271610818</v>
      </c>
      <c r="V78" s="11" t="n">
        <f aca="false">V67+V69+V70+V71+V74+V77</f>
        <v>109.28515353027</v>
      </c>
      <c r="W78" s="11" t="n">
        <f aca="false">W67+W69+W70+W71+W74+W77</f>
        <v>109.539148665978</v>
      </c>
      <c r="X78" s="11" t="n">
        <f aca="false">X67+X69+X70+X71+X74+X77</f>
        <v>112.061554973434</v>
      </c>
      <c r="Y78" s="11" t="n">
        <f aca="false">Y67+Y69+Y70+Y71+Y74+Y77</f>
        <v>113.529342846274</v>
      </c>
      <c r="Z78" s="11" t="n">
        <f aca="false">Z67+Z69+Z70+Z71+Z74+Z77</f>
        <v>113.304668805844</v>
      </c>
      <c r="AA78" s="11" t="n">
        <f aca="false">AA67+AA69+AA70+AA71+AA74+AA77</f>
        <v>115.410201173226</v>
      </c>
      <c r="AB78" s="11" t="n">
        <f aca="false">AB67+AB69+AB70+AB71+AB74+AB77</f>
        <v>116.433087599294</v>
      </c>
      <c r="AC78" s="11" t="n">
        <f aca="false">AC67+AC69+AC70+AC71+AC74+AC77</f>
        <v>116.539900336669</v>
      </c>
      <c r="AD78" s="11" t="n">
        <f aca="false">AD67+AD69+AD70+AD71+AD74+AD77</f>
        <v>125.12009990061</v>
      </c>
      <c r="AE78" s="11" t="n">
        <f aca="false">AE67+AE69+AE70+AE71+AE74+AE77</f>
        <v>116.876919500809</v>
      </c>
      <c r="AF78" s="11" t="n">
        <f aca="false">AF67+AF69+AF70+AF71+AF74+AF77</f>
        <v>120.976302168521</v>
      </c>
      <c r="AG78" s="11" t="n">
        <f aca="false">AG67+AG69+AG70+AG71+AG74+AG77</f>
        <v>122.563576626412</v>
      </c>
      <c r="AH78" s="11" t="n">
        <f aca="false">AH67+AH69+AH70+AH71+AH74+AH77</f>
        <v>122.317482449576</v>
      </c>
      <c r="AI78" s="11" t="n">
        <f aca="false">AI67+AI69+AI70+AI71+AI74+AI77</f>
        <v>124.594587425851</v>
      </c>
      <c r="AJ78" s="11" t="n">
        <f aca="false">AJ67+AJ69+AJ70+AJ71+AJ74+AJ77</f>
        <v>125.697943373906</v>
      </c>
      <c r="AK78" s="11" t="n">
        <f aca="false">AK67+AK69+AK70+AK71+AK74+AK77</f>
        <v>126.540222927163</v>
      </c>
      <c r="AL78" s="11" t="n">
        <f aca="false">AL67+AL69+AL70+AL71+AL74+AL77</f>
        <v>127.413949920357</v>
      </c>
      <c r="AM78" s="11" t="n">
        <f aca="false">AM67+AM69+AM70+AM71+AM74+AM77</f>
        <v>127.660089740821</v>
      </c>
      <c r="AN78" s="11" t="n">
        <f aca="false">AN67+AN69+AN70+AN71+AN74+AN77</f>
        <v>130.605020565252</v>
      </c>
      <c r="AO78" s="11" t="n">
        <f aca="false">AO67+AO69+AO70+AO71+AO74+AO77</f>
        <v>132.321432426596</v>
      </c>
      <c r="AP78" s="11" t="n">
        <f aca="false">AP67+AP69+AP70+AP71+AP74+AP77</f>
        <v>132.052038581899</v>
      </c>
      <c r="AQ78" s="11" t="n">
        <f aca="false">AQ67+AQ69+AQ70+AQ71+AQ74+AQ77</f>
        <v>134.51459636935</v>
      </c>
      <c r="AR78" s="11" t="n">
        <f aca="false">AR67+AR69+AR70+AR71+AR74+AR77</f>
        <v>135.704818108772</v>
      </c>
      <c r="AS78" s="11" t="n">
        <f aca="false">AS67+AS69+AS70+AS71+AS74+AS77</f>
        <v>135.825750092095</v>
      </c>
      <c r="AT78" s="11" t="n">
        <f aca="false">AT67+AT69+AT70+AT71+AT74+AT77</f>
        <v>146.100831611733</v>
      </c>
      <c r="AU78" s="11" t="n">
        <f aca="false">AU67+AU69+AU70+AU71+AU74+AU77</f>
        <v>136.215420774731</v>
      </c>
      <c r="AV78" s="11" t="n">
        <f aca="false">AV67+AV69+AV70+AV71+AV74+AV77</f>
        <v>141.004906150541</v>
      </c>
      <c r="AW78" s="11" t="n">
        <f aca="false">AW67+AW69+AW70+AW71+AW74+AW77</f>
        <v>142.860879268459</v>
      </c>
      <c r="AX78" s="11" t="n">
        <f aca="false">AX67+AX69+AX70+AX71+AX74+AX77</f>
        <v>142.566150486506</v>
      </c>
      <c r="AY78" s="11" t="n">
        <f aca="false">AY67+AY69+AY70+AY71+AY74+AY77</f>
        <v>145.229155591952</v>
      </c>
      <c r="AZ78" s="11" t="n">
        <f aca="false">AZ67+AZ69+AZ70+AZ71+AZ74+AZ77</f>
        <v>146.513151799697</v>
      </c>
      <c r="BA78" s="11" t="n">
        <f aca="false">BA67+BA69+BA70+BA71+BA74+BA77</f>
        <v>147.494209189108</v>
      </c>
      <c r="BB78" s="11" t="n">
        <f aca="false">BB67+BB69+BB70+BB71+BB74+BB77</f>
        <v>148.572779966095</v>
      </c>
      <c r="BC78" s="11" t="n">
        <f aca="false">BC67+BC69+BC70+BC71+BC74+BC77</f>
        <v>148.799456216337</v>
      </c>
      <c r="BD78" s="11" t="n">
        <f aca="false">BD67+BD69+BD70+BD71+BD74+BD77</f>
        <v>152.237730747675</v>
      </c>
      <c r="BE78" s="11" t="n">
        <f aca="false">BE67+BE69+BE70+BE71+BE74+BE77</f>
        <v>154.244523374803</v>
      </c>
      <c r="BF78" s="11" t="n">
        <f aca="false">BF67+BF69+BF70+BF71+BF74+BF77</f>
        <v>153.922256347351</v>
      </c>
      <c r="BG78" s="11" t="n">
        <f aca="false">BG67+BG69+BG70+BG71+BG74+BG77</f>
        <v>156.801906294894</v>
      </c>
      <c r="BH78" s="11" t="n">
        <f aca="false">BH67+BH69+BH70+BH71+BH74+BH77</f>
        <v>158.187139340403</v>
      </c>
      <c r="BI78" s="11" t="n">
        <f aca="false">BI67+BI69+BI70+BI71+BI74+BI77</f>
        <v>158.32393252114</v>
      </c>
      <c r="BJ78" s="11" t="n">
        <f aca="false">BJ67+BJ69+BJ70+BJ71+BJ74+BJ77</f>
        <v>170.627902004625</v>
      </c>
      <c r="BK78" s="11" t="n">
        <f aca="false">BK67+BK69+BK70+BK71+BK74+BK77</f>
        <v>158.774649890802</v>
      </c>
      <c r="BL78" s="11" t="n">
        <f aca="false">BL67+BL69+BL70+BL71+BL74+BL77</f>
        <v>164.370207121033</v>
      </c>
      <c r="BM78" s="11" t="n">
        <f aca="false">BM67+BM69+BM70+BM71+BM74+BM77</f>
        <v>130.341051250352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2597.58660067715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16.7759715209874</v>
      </c>
      <c r="P79" s="11" t="n">
        <f aca="false">P51-P78+P53</f>
        <v>50.332774613687</v>
      </c>
      <c r="Q79" s="11" t="n">
        <f aca="false">Q51-Q78+Q53</f>
        <v>50.5376021709345</v>
      </c>
      <c r="R79" s="11" t="n">
        <f aca="false">R51-R78+R53</f>
        <v>50.6839684498275</v>
      </c>
      <c r="S79" s="11" t="n">
        <f aca="false">S51-S78+S53</f>
        <v>50.7739886660797</v>
      </c>
      <c r="T79" s="11" t="n">
        <f aca="false">T51-T78+T53</f>
        <v>50.8462575346413</v>
      </c>
      <c r="U79" s="11" t="n">
        <f aca="false">U51-U78+U53</f>
        <v>51.0117302003524</v>
      </c>
      <c r="V79" s="11" t="n">
        <f aca="false">V51-V78+V53</f>
        <v>48.7391958969976</v>
      </c>
      <c r="W79" s="11" t="n">
        <f aca="false">W51-W78+W53</f>
        <v>51.2886885020559</v>
      </c>
      <c r="X79" s="11" t="n">
        <f aca="false">X51-X78+X53</f>
        <v>51.2778972374977</v>
      </c>
      <c r="Y79" s="11" t="n">
        <f aca="false">Y51-Y78+Y53</f>
        <v>51.4064762813924</v>
      </c>
      <c r="Z79" s="11" t="n">
        <f aca="false">Z51-Z78+Z53</f>
        <v>51.5526644655629</v>
      </c>
      <c r="AA79" s="11" t="n">
        <f aca="false">AA51-AA78+AA53</f>
        <v>51.649051841781</v>
      </c>
      <c r="AB79" s="11" t="n">
        <f aca="false">AB51-AB78+AB53</f>
        <v>51.7270290432635</v>
      </c>
      <c r="AC79" s="11" t="n">
        <f aca="false">AC51-AC78+AC53</f>
        <v>51.9455550114938</v>
      </c>
      <c r="AD79" s="11" t="n">
        <f aca="false">AD51-AD78+AD53</f>
        <v>39.4821301741079</v>
      </c>
      <c r="AE79" s="11" t="n">
        <f aca="false">AE51-AE78+AE53</f>
        <v>52.2875348990476</v>
      </c>
      <c r="AF79" s="11" t="n">
        <f aca="false">AF51-AF78+AF53</f>
        <v>52.1943711927203</v>
      </c>
      <c r="AG79" s="11" t="n">
        <f aca="false">AG51-AG78+AG53</f>
        <v>52.3333962408605</v>
      </c>
      <c r="AH79" s="11" t="n">
        <f aca="false">AH51-AH78+AH53</f>
        <v>52.4933251535017</v>
      </c>
      <c r="AI79" s="11" t="n">
        <f aca="false">AI51-AI78+AI53</f>
        <v>52.5965353814527</v>
      </c>
      <c r="AJ79" s="11" t="n">
        <f aca="false">AJ51-AJ78+AJ53</f>
        <v>52.6806717834294</v>
      </c>
      <c r="AK79" s="11" t="n">
        <f aca="false">AK51-AK78+AK53</f>
        <v>52.8768173458104</v>
      </c>
      <c r="AL79" s="11" t="n">
        <f aca="false">AL51-AL78+AL53</f>
        <v>50.1766944210764</v>
      </c>
      <c r="AM79" s="11" t="n">
        <f aca="false">AM51-AM78+AM53</f>
        <v>53.2051900259092</v>
      </c>
      <c r="AN79" s="11" t="n">
        <f aca="false">AN51-AN78+AN53</f>
        <v>53.186710024608</v>
      </c>
      <c r="AO79" s="11" t="n">
        <f aca="false">AO51-AO78+AO53</f>
        <v>53.3370491877152</v>
      </c>
      <c r="AP79" s="11" t="n">
        <f aca="false">AP51-AP78+AP53</f>
        <v>53.5119935021231</v>
      </c>
      <c r="AQ79" s="11" t="n">
        <f aca="false">AQ51-AQ78+AQ53</f>
        <v>53.6225155450824</v>
      </c>
      <c r="AR79" s="11" t="n">
        <f aca="false">AR51-AR78+AR53</f>
        <v>53.7132975452464</v>
      </c>
      <c r="AS79" s="11" t="n">
        <f aca="false">AS51-AS78+AS53</f>
        <v>53.9741482629116</v>
      </c>
      <c r="AT79" s="11" t="n">
        <f aca="false">AT51-AT78+AT53</f>
        <v>39.2595079952758</v>
      </c>
      <c r="AU79" s="11" t="n">
        <f aca="false">AU51-AU78+AU53</f>
        <v>54.3814792470652</v>
      </c>
      <c r="AV79" s="11" t="n">
        <f aca="false">AV51-AV78+AV53</f>
        <v>54.2612797577432</v>
      </c>
      <c r="AW79" s="11" t="n">
        <f aca="false">AW51-AW78+AW53</f>
        <v>54.4238749265381</v>
      </c>
      <c r="AX79" s="11" t="n">
        <f aca="false">AX51-AX78+AX53</f>
        <v>54.6152263750697</v>
      </c>
      <c r="AY79" s="11" t="n">
        <f aca="false">AY51-AY78+AY53</f>
        <v>54.7335849682703</v>
      </c>
      <c r="AZ79" s="11" t="n">
        <f aca="false">AZ51-AZ78+AZ53</f>
        <v>54.8315372794311</v>
      </c>
      <c r="BA79" s="11" t="n">
        <f aca="false">BA51-BA78+BA53</f>
        <v>55.0641040494311</v>
      </c>
      <c r="BB79" s="11" t="n">
        <f aca="false">BB51-BB78+BB53</f>
        <v>51.8557264569533</v>
      </c>
      <c r="BC79" s="11" t="n">
        <f aca="false">BC51-BC78+BC53</f>
        <v>55.4534851086834</v>
      </c>
      <c r="BD79" s="11" t="n">
        <f aca="false">BD51-BD78+BD53</f>
        <v>55.424987414472</v>
      </c>
      <c r="BE79" s="11" t="n">
        <f aca="false">BE51-BE78+BE53</f>
        <v>55.6008606615571</v>
      </c>
      <c r="BF79" s="11" t="n">
        <f aca="false">BF51-BF78+BF53</f>
        <v>55.8101387014002</v>
      </c>
      <c r="BG79" s="11" t="n">
        <f aca="false">BG51-BG78+BG53</f>
        <v>55.9368970473938</v>
      </c>
      <c r="BH79" s="11" t="n">
        <f aca="false">BH51-BH78+BH53</f>
        <v>56.0425856987005</v>
      </c>
      <c r="BI79" s="11" t="n">
        <f aca="false">BI51-BI78+BI53</f>
        <v>56.3539596934214</v>
      </c>
      <c r="BJ79" s="11" t="n">
        <f aca="false">BJ51-BJ78+BJ53</f>
        <v>38.9611687317803</v>
      </c>
      <c r="BK79" s="11" t="n">
        <f aca="false">BK51-BK78+BK53</f>
        <v>56.8391189108693</v>
      </c>
      <c r="BL79" s="11" t="n">
        <f aca="false">BL51-BL78+BL53</f>
        <v>56.6853275101136</v>
      </c>
      <c r="BM79" s="11" t="n">
        <f aca="false">BM51-BM78+BM53</f>
        <v>18.8305180208206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37.8441713697267</v>
      </c>
      <c r="P83" s="11" t="n">
        <f aca="false">(1-P81)*(P51/MAX(Time!P26,1)*Inputs!$F$165+P50/MAX(Time!P26,1)*P82)</f>
        <v>37.721553496701</v>
      </c>
      <c r="Q83" s="11" t="n">
        <f aca="false">(1-Q81)*(Q51/MAX(Time!Q26,1)*Inputs!$F$165+Q50/MAX(Time!Q26,1)*Q82)</f>
        <v>38.7137760113576</v>
      </c>
      <c r="R83" s="11" t="n">
        <f aca="false">(1-R81)*(R51/MAX(Time!R26,1)*Inputs!$F$165+R50/MAX(Time!R26,1)*R82)</f>
        <v>38.0651174742496</v>
      </c>
      <c r="S83" s="11" t="n">
        <f aca="false">(1-S81)*(S51/MAX(Time!S26,1)*Inputs!$F$165+S50/MAX(Time!S26,1)*S82)</f>
        <v>39.2024247487371</v>
      </c>
      <c r="T83" s="11" t="n">
        <f aca="false">(1-T81)*(T51/MAX(Time!T26,1)*Inputs!$F$165+T50/MAX(Time!T26,1)*T82)</f>
        <v>38.8128599558197</v>
      </c>
      <c r="U83" s="11" t="n">
        <f aca="false">(1-U81)*(U51/MAX(Time!U26,1)*Inputs!$F$165+U50/MAX(Time!U26,1)*U82)</f>
        <v>39.4590663818828</v>
      </c>
      <c r="V83" s="11" t="n">
        <f aca="false">(1-V81)*(V51/MAX(Time!V26,1)*Inputs!$F$165+V50/MAX(Time!V26,1)*V82)</f>
        <v>38.6472593707992</v>
      </c>
      <c r="W83" s="11" t="n">
        <f aca="false">(1-W81)*(W51/MAX(Time!W26,1)*Inputs!$F$165+W50/MAX(Time!W26,1)*W82)</f>
        <v>39.9848213953675</v>
      </c>
      <c r="X83" s="11" t="n">
        <f aca="false">(1-X81)*(X51/MAX(Time!X26,1)*Inputs!$F$165+X50/MAX(Time!X26,1)*X82)</f>
        <v>39.947148638543</v>
      </c>
      <c r="Y83" s="11" t="n">
        <f aca="false">(1-Y81)*(Y51/MAX(Time!Y26,1)*Inputs!$F$165+Y50/MAX(Time!Y26,1)*Y82)</f>
        <v>41.0061428770442</v>
      </c>
      <c r="Z83" s="11" t="n">
        <f aca="false">(1-Z81)*(Z51/MAX(Time!Z26,1)*Inputs!$F$165+Z50/MAX(Time!Z26,1)*Z82)</f>
        <v>40.3183695500722</v>
      </c>
      <c r="AA83" s="11" t="n">
        <f aca="false">(1-AA81)*(AA51/MAX(Time!AA26,1)*Inputs!$F$165+AA50/MAX(Time!AA26,1)*AA82)</f>
        <v>41.5340684291454</v>
      </c>
      <c r="AB83" s="11" t="n">
        <f aca="false">(1-AB81)*(AB51/MAX(Time!AB26,1)*Inputs!$F$165+AB50/MAX(Time!AB26,1)*AB82)</f>
        <v>41.1261154832341</v>
      </c>
      <c r="AC83" s="11" t="n">
        <f aca="false">(1-AC81)*(AC51/MAX(Time!AC26,1)*Inputs!$F$165+AC50/MAX(Time!AC26,1)*AC82)</f>
        <v>41.6584917069633</v>
      </c>
      <c r="AD83" s="11" t="n">
        <f aca="false">(1-AD81)*(AD51/MAX(Time!AD26,1)*Inputs!$F$165+AD50/MAX(Time!AD26,1)*AD82)</f>
        <v>40.2559801813169</v>
      </c>
      <c r="AE83" s="11" t="n">
        <f aca="false">(1-AE81)*(AE51/MAX(Time!AE26,1)*Inputs!$F$165+AE50/MAX(Time!AE26,1)*AE82)</f>
        <v>42.0574610386383</v>
      </c>
      <c r="AF83" s="11" t="n">
        <f aca="false">(1-AF81)*(AF51/MAX(Time!AF26,1)*Inputs!$F$165+AF50/MAX(Time!AF26,1)*AF82)</f>
        <v>42.3515233763904</v>
      </c>
      <c r="AG83" s="11" t="n">
        <f aca="false">(1-AG81)*(AG51/MAX(Time!AG26,1)*Inputs!$F$165+AG50/MAX(Time!AG26,1)*AG82)</f>
        <v>43.4826728123053</v>
      </c>
      <c r="AH83" s="11" t="n">
        <f aca="false">(1-AH81)*(AH51/MAX(Time!AH26,1)*Inputs!$F$165+AH50/MAX(Time!AH26,1)*AH82)</f>
        <v>42.7526431637962</v>
      </c>
      <c r="AI83" s="11" t="n">
        <f aca="false">(1-AI81)*(AI51/MAX(Time!AI26,1)*Inputs!$F$165+AI50/MAX(Time!AI26,1)*AI82)</f>
        <v>44.0530415819263</v>
      </c>
      <c r="AJ83" s="11" t="n">
        <f aca="false">(1-AJ81)*(AJ51/MAX(Time!AJ26,1)*Inputs!$F$165+AJ50/MAX(Time!AJ26,1)*AJ82)</f>
        <v>43.6252047939135</v>
      </c>
      <c r="AK83" s="11" t="n">
        <f aca="false">(1-AK81)*(AK51/MAX(Time!AK26,1)*Inputs!$F$165+AK50/MAX(Time!AK26,1)*AK82)</f>
        <v>44.3613561114493</v>
      </c>
      <c r="AL83" s="11" t="n">
        <f aca="false">(1-AL81)*(AL51/MAX(Time!AL26,1)*Inputs!$F$165+AL50/MAX(Time!AL26,1)*AL82)</f>
        <v>43.4324945400244</v>
      </c>
      <c r="AM83" s="11" t="n">
        <f aca="false">(1-AM81)*(AM51/MAX(Time!AM26,1)*Inputs!$F$165+AM50/MAX(Time!AM26,1)*AM82)</f>
        <v>44.9665060193528</v>
      </c>
      <c r="AN83" s="11" t="n">
        <f aca="false">(1-AN81)*(AN51/MAX(Time!AN26,1)*Inputs!$F$165+AN50/MAX(Time!AN26,1)*AN82)</f>
        <v>44.9490645464332</v>
      </c>
      <c r="AO83" s="11" t="n">
        <f aca="false">(1-AO81)*(AO51/MAX(Time!AO26,1)*Inputs!$F$165+AO50/MAX(Time!AO26,1)*AO82)</f>
        <v>46.1581860367072</v>
      </c>
      <c r="AP83" s="11" t="n">
        <f aca="false">(1-AP81)*(AP51/MAX(Time!AP26,1)*Inputs!$F$165+AP50/MAX(Time!AP26,1)*AP82)</f>
        <v>45.3825078466358</v>
      </c>
      <c r="AQ83" s="11" t="n">
        <f aca="false">(1-AQ81)*(AQ51/MAX(Time!AQ26,1)*Inputs!$F$165+AQ50/MAX(Time!AQ26,1)*AQ82)</f>
        <v>46.7744200892235</v>
      </c>
      <c r="AR83" s="11" t="n">
        <f aca="false">(1-AR81)*(AR51/MAX(Time!AR26,1)*Inputs!$F$165+AR50/MAX(Time!AR26,1)*AR82)</f>
        <v>46.3250826327762</v>
      </c>
      <c r="AS83" s="11" t="n">
        <f aca="false">(1-AS81)*(AS51/MAX(Time!AS26,1)*Inputs!$F$165+AS50/MAX(Time!AS26,1)*AS82)</f>
        <v>46.9285462965675</v>
      </c>
      <c r="AT83" s="11" t="n">
        <f aca="false">(1-AT81)*(AT51/MAX(Time!AT26,1)*Inputs!$F$165+AT50/MAX(Time!AT26,1)*AT82)</f>
        <v>45.332691751714</v>
      </c>
      <c r="AU83" s="11" t="n">
        <f aca="false">(1-AU81)*(AU51/MAX(Time!AU26,1)*Inputs!$F$165+AU50/MAX(Time!AU26,1)*AU82)</f>
        <v>47.3859696186786</v>
      </c>
      <c r="AV83" s="11" t="n">
        <f aca="false">(1-AV81)*(AV51/MAX(Time!AV26,1)*Inputs!$F$165+AV50/MAX(Time!AV26,1)*AV82)</f>
        <v>47.7553172058303</v>
      </c>
      <c r="AW83" s="11" t="n">
        <f aca="false">(1-AW81)*(AW51/MAX(Time!AW26,1)*Inputs!$F$165+AW50/MAX(Time!AW26,1)*AW82)</f>
        <v>49.0486957943364</v>
      </c>
      <c r="AX83" s="11" t="n">
        <f aca="false">(1-AX81)*(AX51/MAX(Time!AX26,1)*Inputs!$F$165+AX50/MAX(Time!AX26,1)*AX82)</f>
        <v>48.2237062976678</v>
      </c>
      <c r="AY83" s="11" t="n">
        <f aca="false">(1-AY81)*(AY51/MAX(Time!AY26,1)*Inputs!$F$165+AY50/MAX(Time!AY26,1)*AY82)</f>
        <v>49.7144935094476</v>
      </c>
      <c r="AZ83" s="11" t="n">
        <f aca="false">(1-AZ81)*(AZ51/MAX(Time!AZ26,1)*Inputs!$F$165+AZ50/MAX(Time!AZ26,1)*AZ82)</f>
        <v>49.2419076552215</v>
      </c>
      <c r="BA83" s="11" t="n">
        <f aca="false">(1-BA81)*(BA51/MAX(Time!BA26,1)*Inputs!$F$165+BA50/MAX(Time!BA26,1)*BA82)</f>
        <v>50.0830994271112</v>
      </c>
      <c r="BB83" s="11" t="n">
        <f aca="false">(1-BB81)*(BB51/MAX(Time!BB26,1)*Inputs!$F$165+BB50/MAX(Time!BB26,1)*BB82)</f>
        <v>49.0178412447673</v>
      </c>
      <c r="BC83" s="11" t="n">
        <f aca="false">(1-BC81)*(BC51/MAX(Time!BC26,1)*Inputs!$F$165+BC50/MAX(Time!BC26,1)*BC82)</f>
        <v>50.7811180089831</v>
      </c>
      <c r="BD83" s="11" t="n">
        <f aca="false">(1-BD81)*(BD51/MAX(Time!BD26,1)*Inputs!$F$165+BD50/MAX(Time!BD26,1)*BD82)</f>
        <v>50.7870778113947</v>
      </c>
      <c r="BE83" s="11" t="n">
        <f aca="false">(1-BE81)*(BE51/MAX(Time!BE26,1)*Inputs!$F$165+BE50/MAX(Time!BE26,1)*BE82)</f>
        <v>52.1715043184322</v>
      </c>
      <c r="BF83" s="11" t="n">
        <f aca="false">(1-BF81)*(BF51/MAX(Time!BF26,1)*Inputs!$F$165+BF50/MAX(Time!BF26,1)*BF82)</f>
        <v>51.2932487890968</v>
      </c>
      <c r="BG83" s="11" t="n">
        <f aca="false">(1-BG81)*(BG51/MAX(Time!BG26,1)*Inputs!$F$165+BG50/MAX(Time!BG26,1)*BG82)</f>
        <v>52.8908627094085</v>
      </c>
      <c r="BH83" s="11" t="n">
        <f aca="false">(1-BH81)*(BH51/MAX(Time!BH26,1)*Inputs!$F$165+BH50/MAX(Time!BH26,1)*BH82)</f>
        <v>52.3931392758677</v>
      </c>
      <c r="BI83" s="11" t="n">
        <f aca="false">(1-BI81)*(BI51/MAX(Time!BI26,1)*Inputs!$F$165+BI50/MAX(Time!BI26,1)*BI82)</f>
        <v>53.0796986244794</v>
      </c>
      <c r="BJ83" s="11" t="n">
        <f aca="false">(1-BJ81)*(BJ51/MAX(Time!BJ26,1)*Inputs!$F$165+BJ50/MAX(Time!BJ26,1)*BJ82)</f>
        <v>51.2581966474904</v>
      </c>
      <c r="BK83" s="11" t="n">
        <f aca="false">(1-BK81)*(BK51/MAX(Time!BK26,1)*Inputs!$F$165+BK50/MAX(Time!BK26,1)*BK82)</f>
        <v>53.6056331274875</v>
      </c>
      <c r="BL83" s="11" t="n">
        <f aca="false">(1-BL81)*(BL51/MAX(Time!BL26,1)*Inputs!$F$165+BL50/MAX(Time!BL26,1)*BL82)</f>
        <v>54.0624948826174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17.8652918283934</v>
      </c>
      <c r="P85" s="11" t="n">
        <f aca="false">(1-P81)*(P68+P49)/MAX(Time!P26,1)*Inputs!$F$166</f>
        <v>17.7664156562436</v>
      </c>
      <c r="Q85" s="11" t="n">
        <f aca="false">(1-Q81)*(Q68+Q49)/MAX(Time!Q26,1)*Inputs!$F$166</f>
        <v>18.3604081947537</v>
      </c>
      <c r="R85" s="11" t="n">
        <f aca="false">(1-R81)*(R68+R49)/MAX(Time!R26,1)*Inputs!$F$166</f>
        <v>17.9424236905458</v>
      </c>
      <c r="S85" s="11" t="n">
        <f aca="false">(1-S81)*(S68+S49)/MAX(Time!S26,1)*Inputs!$F$166</f>
        <v>18.6618307119927</v>
      </c>
      <c r="T85" s="11" t="n">
        <f aca="false">(1-T81)*(T68+T49)/MAX(Time!T26,1)*Inputs!$F$166</f>
        <v>18.4728983892397</v>
      </c>
      <c r="U85" s="11" t="n">
        <f aca="false">(1-U81)*(U68+U49)/MAX(Time!U26,1)*Inputs!$F$166</f>
        <v>18.8298732761628</v>
      </c>
      <c r="V85" s="11" t="n">
        <f aca="false">(1-V81)*(V68+V49)/MAX(Time!V26,1)*Inputs!$F$166</f>
        <v>18.1938916398116</v>
      </c>
      <c r="W85" s="11" t="n">
        <f aca="false">(1-W81)*(W68+W49)/MAX(Time!W26,1)*Inputs!$F$166</f>
        <v>19.0844732743994</v>
      </c>
      <c r="X85" s="11" t="n">
        <f aca="false">(1-X81)*(X68+X49)/MAX(Time!X26,1)*Inputs!$F$166</f>
        <v>19.2071903338466</v>
      </c>
      <c r="Y85" s="11" t="n">
        <f aca="false">(1-Y81)*(Y68+Y49)/MAX(Time!Y26,1)*Inputs!$F$166</f>
        <v>19.8492060943728</v>
      </c>
      <c r="Z85" s="11" t="n">
        <f aca="false">(1-Z81)*(Z68+Z49)/MAX(Time!Z26,1)*Inputs!$F$166</f>
        <v>19.3971847444708</v>
      </c>
      <c r="AA85" s="11" t="n">
        <f aca="false">(1-AA81)*(AA68+AA49)/MAX(Time!AA26,1)*Inputs!$F$166</f>
        <v>20.1747714692992</v>
      </c>
      <c r="AB85" s="11" t="n">
        <f aca="false">(1-AB81)*(AB68+AB49)/MAX(Time!AB26,1)*Inputs!$F$166</f>
        <v>19.9703741923112</v>
      </c>
      <c r="AC85" s="11" t="n">
        <f aca="false">(1-AC81)*(AC68+AC49)/MAX(Time!AC26,1)*Inputs!$F$166</f>
        <v>20.2171111480865</v>
      </c>
      <c r="AD85" s="11" t="n">
        <f aca="false">(1-AD81)*(AD68+AD49)/MAX(Time!AD26,1)*Inputs!$F$166</f>
        <v>19.2559853900395</v>
      </c>
      <c r="AE85" s="11" t="n">
        <f aca="false">(1-AE81)*(AE68+AE49)/MAX(Time!AE26,1)*Inputs!$F$166</f>
        <v>20.3459826259293</v>
      </c>
      <c r="AF85" s="11" t="n">
        <f aca="false">(1-AF81)*(AF68+AF49)/MAX(Time!AF26,1)*Inputs!$F$166</f>
        <v>20.7635743080959</v>
      </c>
      <c r="AG85" s="11" t="n">
        <f aca="false">(1-AG81)*(AG68+AG49)/MAX(Time!AG26,1)*Inputs!$F$166</f>
        <v>21.4574541113756</v>
      </c>
      <c r="AH85" s="11" t="n">
        <f aca="false">(1-AH81)*(AH68+AH49)/MAX(Time!AH26,1)*Inputs!$F$166</f>
        <v>20.9686527168221</v>
      </c>
      <c r="AI85" s="11" t="n">
        <f aca="false">(1-AI81)*(AI68+AI49)/MAX(Time!AI26,1)*Inputs!$F$166</f>
        <v>21.8090737229245</v>
      </c>
      <c r="AJ85" s="11" t="n">
        <f aca="false">(1-AJ81)*(AJ68+AJ49)/MAX(Time!AJ26,1)*Inputs!$F$166</f>
        <v>21.5879582450828</v>
      </c>
      <c r="AK85" s="11" t="n">
        <f aca="false">(1-AK81)*(AK68+AK49)/MAX(Time!AK26,1)*Inputs!$F$166</f>
        <v>22.0048025032919</v>
      </c>
      <c r="AL85" s="11" t="n">
        <f aca="false">(1-AL81)*(AL68+AL49)/MAX(Time!AL26,1)*Inputs!$F$166</f>
        <v>21.261271252205</v>
      </c>
      <c r="AM85" s="11" t="n">
        <f aca="false">(1-AM81)*(AM68+AM49)/MAX(Time!AM26,1)*Inputs!$F$166</f>
        <v>22.3016679891147</v>
      </c>
      <c r="AN85" s="11" t="n">
        <f aca="false">(1-AN81)*(AN68+AN49)/MAX(Time!AN26,1)*Inputs!$F$166</f>
        <v>22.4447384256746</v>
      </c>
      <c r="AO85" s="11" t="n">
        <f aca="false">(1-AO81)*(AO68+AO49)/MAX(Time!AO26,1)*Inputs!$F$166</f>
        <v>23.1946266656893</v>
      </c>
      <c r="AP85" s="11" t="n">
        <f aca="false">(1-AP81)*(AP68+AP49)/MAX(Time!AP26,1)*Inputs!$F$166</f>
        <v>22.6660833650982</v>
      </c>
      <c r="AQ85" s="11" t="n">
        <f aca="false">(1-AQ81)*(AQ68+AQ49)/MAX(Time!AQ26,1)*Inputs!$F$166</f>
        <v>23.5743612497693</v>
      </c>
      <c r="AR85" s="11" t="n">
        <f aca="false">(1-AR81)*(AR68+AR49)/MAX(Time!AR26,1)*Inputs!$F$166</f>
        <v>23.3351738299444</v>
      </c>
      <c r="AS85" s="11" t="n">
        <f aca="false">(1-AS81)*(AS68+AS49)/MAX(Time!AS26,1)*Inputs!$F$166</f>
        <v>23.6231311438712</v>
      </c>
      <c r="AT85" s="11" t="n">
        <f aca="false">(1-AT81)*(AT68+AT49)/MAX(Time!AT26,1)*Inputs!$F$166</f>
        <v>22.4997468090091</v>
      </c>
      <c r="AU85" s="11" t="n">
        <f aca="false">(1-AU81)*(AU68+AU49)/MAX(Time!AU26,1)*Inputs!$F$166</f>
        <v>23.7730043741091</v>
      </c>
      <c r="AV85" s="11" t="n">
        <f aca="false">(1-AV81)*(AV68+AV49)/MAX(Time!AV26,1)*Inputs!$F$166</f>
        <v>24.2605717580612</v>
      </c>
      <c r="AW85" s="11" t="n">
        <f aca="false">(1-AW81)*(AW68+AW49)/MAX(Time!AW26,1)*Inputs!$F$166</f>
        <v>25.0709400781194</v>
      </c>
      <c r="AX85" s="11" t="n">
        <f aca="false">(1-AX81)*(AX68+AX49)/MAX(Time!AX26,1)*Inputs!$F$166</f>
        <v>24.4994571287292</v>
      </c>
      <c r="AY85" s="11" t="n">
        <f aca="false">(1-AY81)*(AY68+AY49)/MAX(Time!AY26,1)*Inputs!$F$166</f>
        <v>25.4810112224342</v>
      </c>
      <c r="AZ85" s="11" t="n">
        <f aca="false">(1-AZ81)*(AZ68+AZ49)/MAX(Time!AZ26,1)*Inputs!$F$166</f>
        <v>25.2222896582995</v>
      </c>
      <c r="BA85" s="11" t="n">
        <f aca="false">(1-BA81)*(BA68+BA49)/MAX(Time!BA26,1)*Inputs!$F$166</f>
        <v>25.7089246934767</v>
      </c>
      <c r="BB85" s="11" t="n">
        <f aca="false">(1-BB81)*(BB68+BB49)/MAX(Time!BB26,1)*Inputs!$F$166</f>
        <v>24.8398608978026</v>
      </c>
      <c r="BC85" s="11" t="n">
        <f aca="false">(1-BC81)*(BC68+BC49)/MAX(Time!BC26,1)*Inputs!$F$166</f>
        <v>26.0549814298892</v>
      </c>
      <c r="BD85" s="11" t="n">
        <f aca="false">(1-BD81)*(BD68+BD49)/MAX(Time!BD26,1)*Inputs!$F$166</f>
        <v>26.2217370230209</v>
      </c>
      <c r="BE85" s="11" t="n">
        <f aca="false">(1-BE81)*(BE68+BE49)/MAX(Time!BE26,1)*Inputs!$F$166</f>
        <v>27.0974098098222</v>
      </c>
      <c r="BF85" s="11" t="n">
        <f aca="false">(1-BF81)*(BF68+BF49)/MAX(Time!BF26,1)*Inputs!$F$166</f>
        <v>26.4795350312844</v>
      </c>
      <c r="BG85" s="11" t="n">
        <f aca="false">(1-BG81)*(BG68+BG49)/MAX(Time!BG26,1)*Inputs!$F$166</f>
        <v>27.540212317274</v>
      </c>
      <c r="BH85" s="11" t="n">
        <f aca="false">(1-BH81)*(BH68+BH49)/MAX(Time!BH26,1)*Inputs!$F$166</f>
        <v>27.2603773551026</v>
      </c>
      <c r="BI85" s="11" t="n">
        <f aca="false">(1-BI81)*(BI68+BI49)/MAX(Time!BI26,1)*Inputs!$F$166</f>
        <v>27.5963569287382</v>
      </c>
      <c r="BJ85" s="11" t="n">
        <f aca="false">(1-BJ81)*(BJ68+BJ49)/MAX(Time!BJ26,1)*Inputs!$F$166</f>
        <v>26.2836326974402</v>
      </c>
      <c r="BK85" s="11" t="n">
        <f aca="false">(1-BK81)*(BK68+BK49)/MAX(Time!BK26,1)*Inputs!$F$166</f>
        <v>27.770601797287</v>
      </c>
      <c r="BL85" s="11" t="n">
        <f aca="false">(1-BL81)*(BL68+BL49)/MAX(Time!BL26,1)*Inputs!$F$166</f>
        <v>28.3397302073728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2.25740370290299</v>
      </c>
      <c r="P86" s="11" t="n">
        <f aca="false">(1-P81)*(P47+P48)/MAX(Time!P26,1)*Inputs!$F$167</f>
        <v>2.25529772416454</v>
      </c>
      <c r="Q86" s="11" t="n">
        <f aca="false">(1-Q81)*(Q47+Q48)/MAX(Time!Q26,1)*Inputs!$F$167</f>
        <v>2.2941856175646</v>
      </c>
      <c r="R86" s="11" t="n">
        <f aca="false">(1-R81)*(R47+R48)/MAX(Time!R26,1)*Inputs!$F$167</f>
        <v>2.28532654233891</v>
      </c>
      <c r="S86" s="11" t="n">
        <f aca="false">(1-S81)*(S47+S48)/MAX(Time!S26,1)*Inputs!$F$167</f>
        <v>2.32721092663712</v>
      </c>
      <c r="T86" s="11" t="n">
        <f aca="false">(1-T81)*(T47+T48)/MAX(Time!T26,1)*Inputs!$F$167</f>
        <v>2.32322618340038</v>
      </c>
      <c r="U86" s="11" t="n">
        <f aca="false">(1-U81)*(U47+U48)/MAX(Time!U26,1)*Inputs!$F$167</f>
        <v>2.35781258795047</v>
      </c>
      <c r="V86" s="11" t="n">
        <f aca="false">(1-V81)*(V47+V48)/MAX(Time!V26,1)*Inputs!$F$167</f>
        <v>2.34446494672602</v>
      </c>
      <c r="W86" s="11" t="n">
        <f aca="false">(1-W81)*(W47+W48)/MAX(Time!W26,1)*Inputs!$F$167</f>
        <v>2.39063191047322</v>
      </c>
      <c r="X86" s="11" t="n">
        <f aca="false">(1-X81)*(X47+X48)/MAX(Time!X26,1)*Inputs!$F$167</f>
        <v>2.39319480515232</v>
      </c>
      <c r="Y86" s="11" t="n">
        <f aca="false">(1-Y81)*(Y47+Y48)/MAX(Time!Y26,1)*Inputs!$F$167</f>
        <v>2.43445187584403</v>
      </c>
      <c r="Z86" s="11" t="n">
        <f aca="false">(1-Z81)*(Z47+Z48)/MAX(Time!Z26,1)*Inputs!$F$167</f>
        <v>2.42505787407354</v>
      </c>
      <c r="AA86" s="11" t="n">
        <f aca="false">(1-AA81)*(AA47+AA48)/MAX(Time!AA26,1)*Inputs!$F$167</f>
        <v>2.469491690401</v>
      </c>
      <c r="AB86" s="11" t="n">
        <f aca="false">(1-AB81)*(AB47+AB48)/MAX(Time!AB26,1)*Inputs!$F$167</f>
        <v>2.46526468633066</v>
      </c>
      <c r="AC86" s="11" t="n">
        <f aca="false">(1-AC81)*(AC47+AC48)/MAX(Time!AC26,1)*Inputs!$F$167</f>
        <v>2.49910185587931</v>
      </c>
      <c r="AD86" s="11" t="n">
        <f aca="false">(1-AD81)*(AD47+AD48)/MAX(Time!AD26,1)*Inputs!$F$167</f>
        <v>2.47932288699724</v>
      </c>
      <c r="AE86" s="11" t="n">
        <f aca="false">(1-AE81)*(AE47+AE48)/MAX(Time!AE26,1)*Inputs!$F$167</f>
        <v>2.53094727090464</v>
      </c>
      <c r="AF86" s="11" t="n">
        <f aca="false">(1-AF81)*(AF47+AF48)/MAX(Time!AF26,1)*Inputs!$F$167</f>
        <v>2.53949874807801</v>
      </c>
      <c r="AG86" s="11" t="n">
        <f aca="false">(1-AG81)*(AG47+AG48)/MAX(Time!AG26,1)*Inputs!$F$167</f>
        <v>2.58326862610027</v>
      </c>
      <c r="AH86" s="11" t="n">
        <f aca="false">(1-AH81)*(AH47+AH48)/MAX(Time!AH26,1)*Inputs!$F$167</f>
        <v>2.57330797775166</v>
      </c>
      <c r="AI86" s="11" t="n">
        <f aca="false">(1-AI81)*(AI47+AI48)/MAX(Time!AI26,1)*Inputs!$F$167</f>
        <v>2.6204455276422</v>
      </c>
      <c r="AJ86" s="11" t="n">
        <f aca="false">(1-AJ81)*(AJ47+AJ48)/MAX(Time!AJ26,1)*Inputs!$F$167</f>
        <v>2.61596179006932</v>
      </c>
      <c r="AK86" s="11" t="n">
        <f aca="false">(1-AK81)*(AK47+AK48)/MAX(Time!AK26,1)*Inputs!$F$167</f>
        <v>2.65490025783838</v>
      </c>
      <c r="AL86" s="11" t="n">
        <f aca="false">(1-AL81)*(AL47+AL48)/MAX(Time!AL26,1)*Inputs!$F$167</f>
        <v>2.63989698042201</v>
      </c>
      <c r="AM86" s="11" t="n">
        <f aca="false">(1-AM81)*(AM47+AM48)/MAX(Time!AM26,1)*Inputs!$F$167</f>
        <v>2.6918477643266</v>
      </c>
      <c r="AN86" s="11" t="n">
        <f aca="false">(1-AN81)*(AN47+AN48)/MAX(Time!AN26,1)*Inputs!$F$167</f>
        <v>2.69472054642297</v>
      </c>
      <c r="AO86" s="11" t="n">
        <f aca="false">(1-AO81)*(AO47+AO48)/MAX(Time!AO26,1)*Inputs!$F$167</f>
        <v>2.74115552502977</v>
      </c>
      <c r="AP86" s="11" t="n">
        <f aca="false">(1-AP81)*(AP47+AP48)/MAX(Time!AP26,1)*Inputs!$F$167</f>
        <v>2.73059466647291</v>
      </c>
      <c r="AQ86" s="11" t="n">
        <f aca="false">(1-AQ81)*(AQ47+AQ48)/MAX(Time!AQ26,1)*Inputs!$F$167</f>
        <v>2.78059953533803</v>
      </c>
      <c r="AR86" s="11" t="n">
        <f aca="false">(1-AR81)*(AR47+AR48)/MAX(Time!AR26,1)*Inputs!$F$167</f>
        <v>2.77584374327056</v>
      </c>
      <c r="AS86" s="11" t="n">
        <f aca="false">(1-AS81)*(AS47+AS48)/MAX(Time!AS26,1)*Inputs!$F$167</f>
        <v>2.81394478981712</v>
      </c>
      <c r="AT86" s="11" t="n">
        <f aca="false">(1-AT81)*(AT47+AT48)/MAX(Time!AT26,1)*Inputs!$F$167</f>
        <v>2.79171789685016</v>
      </c>
      <c r="AU86" s="11" t="n">
        <f aca="false">(1-AU81)*(AU47+AU48)/MAX(Time!AU26,1)*Inputs!$F$167</f>
        <v>2.84980260724506</v>
      </c>
      <c r="AV86" s="11" t="n">
        <f aca="false">(1-AV81)*(AV47+AV48)/MAX(Time!AV26,1)*Inputs!$F$167</f>
        <v>2.8594021580345</v>
      </c>
      <c r="AW86" s="11" t="n">
        <f aca="false">(1-AW81)*(AW47+AW48)/MAX(Time!AW26,1)*Inputs!$F$167</f>
        <v>2.90866371343193</v>
      </c>
      <c r="AX86" s="11" t="n">
        <f aca="false">(1-AX81)*(AX47+AX48)/MAX(Time!AX26,1)*Inputs!$F$167</f>
        <v>2.89746713277293</v>
      </c>
      <c r="AY86" s="11" t="n">
        <f aca="false">(1-AY81)*(AY47+AY48)/MAX(Time!AY26,1)*Inputs!$F$167</f>
        <v>2.95051274499719</v>
      </c>
      <c r="AZ86" s="11" t="n">
        <f aca="false">(1-AZ81)*(AZ47+AZ48)/MAX(Time!AZ26,1)*Inputs!$F$167</f>
        <v>2.94546868046382</v>
      </c>
      <c r="BA86" s="11" t="n">
        <f aca="false">(1-BA81)*(BA47+BA48)/MAX(Time!BA26,1)*Inputs!$F$167</f>
        <v>2.98930517230166</v>
      </c>
      <c r="BB86" s="11" t="n">
        <f aca="false">(1-BB81)*(BB47+BB48)/MAX(Time!BB26,1)*Inputs!$F$167</f>
        <v>2.97244486311056</v>
      </c>
      <c r="BC86" s="11" t="n">
        <f aca="false">(1-BC81)*(BC47+BC48)/MAX(Time!BC26,1)*Inputs!$F$167</f>
        <v>3.03089908506511</v>
      </c>
      <c r="BD86" s="11" t="n">
        <f aca="false">(1-BD81)*(BD47+BD48)/MAX(Time!BD26,1)*Inputs!$F$167</f>
        <v>3.03411837548017</v>
      </c>
      <c r="BE86" s="11" t="n">
        <f aca="false">(1-BE81)*(BE47+BE48)/MAX(Time!BE26,1)*Inputs!$F$167</f>
        <v>3.08637771756621</v>
      </c>
      <c r="BF86" s="11" t="n">
        <f aca="false">(1-BF81)*(BF47+BF48)/MAX(Time!BF26,1)*Inputs!$F$167</f>
        <v>3.0745078442089</v>
      </c>
      <c r="BG86" s="11" t="n">
        <f aca="false">(1-BG81)*(BG47+BG48)/MAX(Time!BG26,1)*Inputs!$F$167</f>
        <v>3.13077805121179</v>
      </c>
      <c r="BH86" s="11" t="n">
        <f aca="false">(1-BH81)*(BH47+BH48)/MAX(Time!BH26,1)*Inputs!$F$167</f>
        <v>3.12542854788761</v>
      </c>
      <c r="BI86" s="11" t="n">
        <f aca="false">(1-BI81)*(BI47+BI48)/MAX(Time!BI26,1)*Inputs!$F$167</f>
        <v>3.16832984748238</v>
      </c>
      <c r="BJ86" s="11" t="n">
        <f aca="false">(1-BJ81)*(BJ47+BJ48)/MAX(Time!BJ26,1)*Inputs!$F$167</f>
        <v>3.14335798926834</v>
      </c>
      <c r="BK86" s="11" t="n">
        <f aca="false">(1-BK81)*(BK47+BK48)/MAX(Time!BK26,1)*Inputs!$F$167</f>
        <v>3.20870539139554</v>
      </c>
      <c r="BL86" s="11" t="n">
        <f aca="false">(1-BL81)*(BL47+BL48)/MAX(Time!BL26,1)*Inputs!$F$167</f>
        <v>3.21947880900116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1.14847864375152</v>
      </c>
      <c r="P88" s="11" t="n">
        <f aca="false">(1-P81)*(P60+P61+P62+P63+P64+P65+P66)/MAX(Time!P26,1)*Inputs!$F$169</f>
        <v>1.15366445631772</v>
      </c>
      <c r="Q88" s="11" t="n">
        <f aca="false">(1-Q81)*(Q60+Q61+Q62+Q63+Q64+Q65+Q66)/MAX(Time!Q26,1)*Inputs!$F$169</f>
        <v>1.18335450623804</v>
      </c>
      <c r="R88" s="11" t="n">
        <f aca="false">(1-R81)*(R60+R61+R62+R63+R64+R65+R66)/MAX(Time!R26,1)*Inputs!$F$169</f>
        <v>1.17347619245165</v>
      </c>
      <c r="S88" s="11" t="n">
        <f aca="false">(1-S81)*(S60+S61+S62+S63+S64+S65+S66)/MAX(Time!S26,1)*Inputs!$F$169</f>
        <v>1.20591102879099</v>
      </c>
      <c r="T88" s="11" t="n">
        <f aca="false">(1-T81)*(T60+T61+T62+T63+T64+T65+T66)/MAX(Time!T26,1)*Inputs!$F$169</f>
        <v>1.20027367675885</v>
      </c>
      <c r="U88" s="11" t="n">
        <f aca="false">(1-U81)*(U60+U61+U62+U63+U64+U65+U66)/MAX(Time!U26,1)*Inputs!$F$169</f>
        <v>1.22155270489876</v>
      </c>
      <c r="V88" s="11" t="n">
        <f aca="false">(1-V81)*(V60+V61+V62+V63+V64+V65+V66)/MAX(Time!V26,1)*Inputs!$F$169</f>
        <v>1.21231883031339</v>
      </c>
      <c r="W88" s="11" t="n">
        <f aca="false">(1-W81)*(W60+W61+W62+W63+W64+W65+W66)/MAX(Time!W26,1)*Inputs!$F$169</f>
        <v>1.24882645235952</v>
      </c>
      <c r="X88" s="11" t="n">
        <f aca="false">(1-X81)*(X60+X61+X62+X63+X64+X65+X66)/MAX(Time!X26,1)*Inputs!$F$169</f>
        <v>1.24891003920754</v>
      </c>
      <c r="Y88" s="11" t="n">
        <f aca="false">(1-Y81)*(Y60+Y61+Y62+Y63+Y64+Y65+Y66)/MAX(Time!Y26,1)*Inputs!$F$169</f>
        <v>1.28112291444409</v>
      </c>
      <c r="Z88" s="11" t="n">
        <f aca="false">(1-Z81)*(Z60+Z61+Z62+Z63+Z64+Z65+Z66)/MAX(Time!Z26,1)*Inputs!$F$169</f>
        <v>1.27049712137628</v>
      </c>
      <c r="AA88" s="11" t="n">
        <f aca="false">(1-AA81)*(AA60+AA61+AA62+AA63+AA64+AA65+AA66)/MAX(Time!AA26,1)*Inputs!$F$169</f>
        <v>1.30568925356448</v>
      </c>
      <c r="AB88" s="11" t="n">
        <f aca="false">(1-AB81)*(AB60+AB61+AB62+AB63+AB64+AB65+AB66)/MAX(Time!AB26,1)*Inputs!$F$169</f>
        <v>1.29966166288473</v>
      </c>
      <c r="AC88" s="11" t="n">
        <f aca="false">(1-AC81)*(AC60+AC61+AC62+AC63+AC64+AC65+AC66)/MAX(Time!AC26,1)*Inputs!$F$169</f>
        <v>1.3201893250477</v>
      </c>
      <c r="AD88" s="11" t="n">
        <f aca="false">(1-AD81)*(AD60+AD61+AD62+AD63+AD64+AD65+AD66)/MAX(Time!AD26,1)*Inputs!$F$169</f>
        <v>1.3042707602834</v>
      </c>
      <c r="AE88" s="11" t="n">
        <f aca="false">(1-AE81)*(AE60+AE61+AE62+AE63+AE64+AE65+AE66)/MAX(Time!AE26,1)*Inputs!$F$169</f>
        <v>1.34715020619785</v>
      </c>
      <c r="AF88" s="11" t="n">
        <f aca="false">(1-AF81)*(AF60+AF61+AF62+AF63+AF64+AF65+AF66)/MAX(Time!AF26,1)*Inputs!$F$169</f>
        <v>1.35262049544039</v>
      </c>
      <c r="AG88" s="11" t="n">
        <f aca="false">(1-AG81)*(AG60+AG61+AG62+AG63+AG64+AG65+AG66)/MAX(Time!AG26,1)*Inputs!$F$169</f>
        <v>1.38758082032614</v>
      </c>
      <c r="AH88" s="11" t="n">
        <f aca="false">(1-AH81)*(AH60+AH61+AH62+AH63+AH64+AH65+AH66)/MAX(Time!AH26,1)*Inputs!$F$169</f>
        <v>1.37614197850623</v>
      </c>
      <c r="AI88" s="11" t="n">
        <f aca="false">(1-AI81)*(AI60+AI61+AI62+AI63+AI64+AI65+AI66)/MAX(Time!AI26,1)*Inputs!$F$169</f>
        <v>1.41433597655674</v>
      </c>
      <c r="AJ88" s="11" t="n">
        <f aca="false">(1-AJ81)*(AJ60+AJ61+AJ62+AJ63+AJ64+AJ65+AJ66)/MAX(Time!AJ26,1)*Inputs!$F$169</f>
        <v>1.40788247918855</v>
      </c>
      <c r="AK88" s="11" t="n">
        <f aca="false">(1-AK81)*(AK60+AK61+AK62+AK63+AK64+AK65+AK66)/MAX(Time!AK26,1)*Inputs!$F$169</f>
        <v>1.43298398713013</v>
      </c>
      <c r="AL88" s="11" t="n">
        <f aca="false">(1-AL81)*(AL60+AL61+AL62+AL63+AL64+AL65+AL66)/MAX(Time!AL26,1)*Inputs!$F$169</f>
        <v>1.42228184196693</v>
      </c>
      <c r="AM88" s="11" t="n">
        <f aca="false">(1-AM81)*(AM60+AM61+AM62+AM63+AM64+AM65+AM66)/MAX(Time!AM26,1)*Inputs!$F$169</f>
        <v>1.46527748087583</v>
      </c>
      <c r="AN88" s="11" t="n">
        <f aca="false">(1-AN81)*(AN60+AN61+AN62+AN63+AN64+AN65+AN66)/MAX(Time!AN26,1)*Inputs!$F$169</f>
        <v>1.46554772455616</v>
      </c>
      <c r="AO88" s="11" t="n">
        <f aca="false">(1-AO81)*(AO60+AO61+AO62+AO63+AO64+AO65+AO66)/MAX(Time!AO26,1)*Inputs!$F$169</f>
        <v>1.50350011405582</v>
      </c>
      <c r="AP88" s="11" t="n">
        <f aca="false">(1-AP81)*(AP60+AP61+AP62+AP63+AP64+AP65+AP66)/MAX(Time!AP26,1)*Inputs!$F$169</f>
        <v>1.49117690998684</v>
      </c>
      <c r="AQ88" s="11" t="n">
        <f aca="false">(1-AQ81)*(AQ60+AQ61+AQ62+AQ63+AQ64+AQ65+AQ66)/MAX(Time!AQ26,1)*Inputs!$F$169</f>
        <v>1.5326390231555</v>
      </c>
      <c r="AR88" s="11" t="n">
        <f aca="false">(1-AR81)*(AR60+AR61+AR62+AR63+AR64+AR65+AR66)/MAX(Time!AR26,1)*Inputs!$F$169</f>
        <v>1.52572069105859</v>
      </c>
      <c r="AS88" s="11" t="n">
        <f aca="false">(1-AS81)*(AS60+AS61+AS62+AS63+AS64+AS65+AS66)/MAX(Time!AS26,1)*Inputs!$F$169</f>
        <v>1.54996049964877</v>
      </c>
      <c r="AT88" s="11" t="n">
        <f aca="false">(1-AT81)*(AT60+AT61+AT62+AT63+AT64+AT65+AT66)/MAX(Time!AT26,1)*Inputs!$F$169</f>
        <v>1.53148732626107</v>
      </c>
      <c r="AU88" s="11" t="n">
        <f aca="false">(1-AU81)*(AU60+AU61+AU62+AU63+AU64+AU65+AU66)/MAX(Time!AU26,1)*Inputs!$F$169</f>
        <v>1.58191373698795</v>
      </c>
      <c r="AV88" s="11" t="n">
        <f aca="false">(1-AV81)*(AV60+AV61+AV62+AV63+AV64+AV65+AV66)/MAX(Time!AV26,1)*Inputs!$F$169</f>
        <v>1.58851037612815</v>
      </c>
      <c r="AW88" s="11" t="n">
        <f aca="false">(1-AW81)*(AW60+AW61+AW62+AW63+AW64+AW65+AW66)/MAX(Time!AW26,1)*Inputs!$F$169</f>
        <v>1.62972121406626</v>
      </c>
      <c r="AX88" s="11" t="n">
        <f aca="false">(1-AX81)*(AX60+AX61+AX62+AX63+AX64+AX65+AX66)/MAX(Time!AX26,1)*Inputs!$F$169</f>
        <v>1.61643608776943</v>
      </c>
      <c r="AY88" s="11" t="n">
        <f aca="false">(1-AY81)*(AY60+AY61+AY62+AY63+AY64+AY65+AY66)/MAX(Time!AY26,1)*Inputs!$F$169</f>
        <v>1.66145616495294</v>
      </c>
      <c r="AZ88" s="11" t="n">
        <f aca="false">(1-AZ81)*(AZ60+AZ61+AZ62+AZ63+AZ64+AZ65+AZ66)/MAX(Time!AZ26,1)*Inputs!$F$169</f>
        <v>1.65403051213631</v>
      </c>
      <c r="BA88" s="11" t="n">
        <f aca="false">(1-BA81)*(BA60+BA61+BA62+BA63+BA64+BA65+BA66)/MAX(Time!BA26,1)*Inputs!$F$169</f>
        <v>1.68367159312184</v>
      </c>
      <c r="BB88" s="11" t="n">
        <f aca="false">(1-BB81)*(BB60+BB61+BB62+BB63+BB64+BB65+BB66)/MAX(Time!BB26,1)*Inputs!$F$169</f>
        <v>1.67124387492743</v>
      </c>
      <c r="BC88" s="11" t="n">
        <f aca="false">(1-BC81)*(BC60+BC61+BC62+BC63+BC64+BC65+BC66)/MAX(Time!BC26,1)*Inputs!$F$169</f>
        <v>1.72192437056421</v>
      </c>
      <c r="BD88" s="11" t="n">
        <f aca="false">(1-BD81)*(BD60+BD61+BD62+BD63+BD64+BD65+BD66)/MAX(Time!BD26,1)*Inputs!$F$169</f>
        <v>1.72239977196477</v>
      </c>
      <c r="BE88" s="11" t="n">
        <f aca="false">(1-BE81)*(BE60+BE61+BE62+BE63+BE64+BE65+BE66)/MAX(Time!BE26,1)*Inputs!$F$169</f>
        <v>1.76715914735325</v>
      </c>
      <c r="BF88" s="11" t="n">
        <f aca="false">(1-BF81)*(BF60+BF61+BF62+BF63+BF64+BF65+BF66)/MAX(Time!BF26,1)*Inputs!$F$169</f>
        <v>1.75282774602973</v>
      </c>
      <c r="BG88" s="11" t="n">
        <f aca="false">(1-BG81)*(BG60+BG61+BG62+BG63+BG64+BG65+BG66)/MAX(Time!BG26,1)*Inputs!$F$169</f>
        <v>1.80172132615633</v>
      </c>
      <c r="BH88" s="11" t="n">
        <f aca="false">(1-BH81)*(BH60+BH61+BH62+BH63+BH64+BH65+BH66)/MAX(Time!BH26,1)*Inputs!$F$169</f>
        <v>1.79374198349612</v>
      </c>
      <c r="BI88" s="11" t="n">
        <f aca="false">(1-BI81)*(BI60+BI61+BI62+BI63+BI64+BI65+BI66)/MAX(Time!BI26,1)*Inputs!$F$169</f>
        <v>1.8223962401049</v>
      </c>
      <c r="BJ88" s="11" t="n">
        <f aca="false">(1-BJ81)*(BJ60+BJ61+BJ62+BJ63+BJ64+BJ65+BJ66)/MAX(Time!BJ26,1)*Inputs!$F$169</f>
        <v>1.80092072781408</v>
      </c>
      <c r="BK88" s="11" t="n">
        <f aca="false">(1-BK81)*(BK60+BK61+BK62+BK63+BK64+BK65+BK66)/MAX(Time!BK26,1)*Inputs!$F$169</f>
        <v>1.86028226786729</v>
      </c>
      <c r="BL88" s="11" t="n">
        <f aca="false">(1-BL81)*(BL60+BL61+BL62+BL63+BL64+BL65+BL66)/MAX(Time!BL26,1)*Inputs!$F$169</f>
        <v>1.86818635341103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14.9101043109847</v>
      </c>
      <c r="P90" s="11" t="n">
        <f aca="false">P83+P84-P85-P86-P87-P88-P89</f>
        <v>14.8742268004762</v>
      </c>
      <c r="Q90" s="11" t="n">
        <f aca="false">Q83+Q84-Q85-Q86-Q87-Q88-Q89</f>
        <v>15.1629675852873</v>
      </c>
      <c r="R90" s="11" t="n">
        <f aca="false">R83+R84-R85-R86-R87-R88-R89</f>
        <v>14.971255102692</v>
      </c>
      <c r="S90" s="11" t="n">
        <f aca="false">S83+S84-S85-S86-S87-S88-S89</f>
        <v>15.2624429108617</v>
      </c>
      <c r="T90" s="11" t="n">
        <f aca="false">T83+T84-T85-T86-T87-T88-T89</f>
        <v>15.0701378738559</v>
      </c>
      <c r="U90" s="11" t="n">
        <f aca="false">U83+U84-U85-U86-U87-U88-U89</f>
        <v>15.2849246580087</v>
      </c>
      <c r="V90" s="11" t="n">
        <f aca="false">V83+V84-V85-V86-V87-V88-V89</f>
        <v>15.1716162618788</v>
      </c>
      <c r="W90" s="11" t="n">
        <f aca="false">W83+W84-W85-W86-W87-W88-W89</f>
        <v>15.4676703040152</v>
      </c>
      <c r="X90" s="11" t="n">
        <f aca="false">X83+X84-X85-X86-X87-X88-X89</f>
        <v>15.2738461584039</v>
      </c>
      <c r="Y90" s="11" t="n">
        <f aca="false">Y83+Y84-Y85-Y86-Y87-Y88-Y89</f>
        <v>15.5727226942704</v>
      </c>
      <c r="Z90" s="11" t="n">
        <f aca="false">Z83+Z84-Z85-Z86-Z87-Z88-Z89</f>
        <v>15.3790539966147</v>
      </c>
      <c r="AA90" s="11" t="n">
        <f aca="false">AA83+AA84-AA85-AA86-AA87-AA88-AA89</f>
        <v>15.6803819806491</v>
      </c>
      <c r="AB90" s="11" t="n">
        <f aca="false">AB83+AB84-AB85-AB86-AB87-AB88-AB89</f>
        <v>15.4856684989557</v>
      </c>
      <c r="AC90" s="11" t="n">
        <f aca="false">AC83+AC84-AC85-AC86-AC87-AC88-AC89</f>
        <v>15.7095809757326</v>
      </c>
      <c r="AD90" s="11" t="n">
        <f aca="false">AD83+AD84-AD85-AD86-AD87-AD88-AD89</f>
        <v>15.3671589326573</v>
      </c>
      <c r="AE90" s="11" t="n">
        <f aca="false">AE83+AE84-AE85-AE86-AE87-AE88-AE89</f>
        <v>15.9036017193639</v>
      </c>
      <c r="AF90" s="11" t="n">
        <f aca="false">AF83+AF84-AF85-AF86-AF87-AF88-AF89</f>
        <v>15.7059348476649</v>
      </c>
      <c r="AG90" s="11" t="n">
        <f aca="false">AG83+AG84-AG85-AG86-AG87-AG88-AG89</f>
        <v>16.0157831428098</v>
      </c>
      <c r="AH90" s="11" t="n">
        <f aca="false">AH83+AH84-AH85-AH86-AH87-AH88-AH89</f>
        <v>15.8200244674971</v>
      </c>
      <c r="AI90" s="11" t="n">
        <f aca="false">AI83+AI84-AI85-AI86-AI87-AI88-AI89</f>
        <v>16.1323137510315</v>
      </c>
      <c r="AJ90" s="11" t="n">
        <f aca="false">AJ83+AJ84-AJ85-AJ86-AJ87-AJ88-AJ89</f>
        <v>15.9349888142998</v>
      </c>
      <c r="AK90" s="11" t="n">
        <f aca="false">AK83+AK84-AK85-AK86-AK87-AK88-AK89</f>
        <v>16.168143439208</v>
      </c>
      <c r="AL90" s="11" t="n">
        <f aca="false">AL83+AL84-AL85-AL86-AL87-AL88-AL89</f>
        <v>16.0560483306345</v>
      </c>
      <c r="AM90" s="11" t="n">
        <f aca="false">AM83+AM84-AM85-AM86-AM87-AM88-AM89</f>
        <v>16.3734857933792</v>
      </c>
      <c r="AN90" s="11" t="n">
        <f aca="false">AN83+AN84-AN85-AN86-AN87-AN88-AN89</f>
        <v>16.1731882399172</v>
      </c>
      <c r="AO90" s="11" t="n">
        <f aca="false">AO83+AO84-AO85-AO86-AO87-AO88-AO89</f>
        <v>16.4949146833308</v>
      </c>
      <c r="AP90" s="11" t="n">
        <f aca="false">AP83+AP84-AP85-AP86-AP87-AP88-AP89</f>
        <v>16.2969230431051</v>
      </c>
      <c r="AQ90" s="11" t="n">
        <f aca="false">AQ83+AQ84-AQ85-AQ86-AQ87-AQ88-AQ89</f>
        <v>16.6210627053382</v>
      </c>
      <c r="AR90" s="11" t="n">
        <f aca="false">AR83+AR84-AR85-AR86-AR87-AR88-AR89</f>
        <v>16.4209057949153</v>
      </c>
      <c r="AS90" s="11" t="n">
        <f aca="false">AS83+AS84-AS85-AS86-AS87-AS88-AS89</f>
        <v>16.6653093433201</v>
      </c>
      <c r="AT90" s="11" t="n">
        <f aca="false">AT83+AT84-AT85-AT86-AT87-AT88-AT89</f>
        <v>16.3088364043396</v>
      </c>
      <c r="AU90" s="11" t="n">
        <f aca="false">AU83+AU84-AU85-AU86-AU87-AU88-AU89</f>
        <v>16.8844932624363</v>
      </c>
      <c r="AV90" s="11" t="n">
        <f aca="false">AV83+AV84-AV85-AV86-AV87-AV88-AV89</f>
        <v>16.6785296025116</v>
      </c>
      <c r="AW90" s="11" t="n">
        <f aca="false">AW83+AW84-AW85-AW86-AW87-AW88-AW89</f>
        <v>17.0131169945188</v>
      </c>
      <c r="AX90" s="11" t="n">
        <f aca="false">AX83+AX84-AX85-AX86-AX87-AX88-AX89</f>
        <v>16.812739530509</v>
      </c>
      <c r="AY90" s="11" t="n">
        <f aca="false">AY83+AY84-AY85-AY86-AY87-AY88-AY89</f>
        <v>17.1496923408725</v>
      </c>
      <c r="AZ90" s="11" t="n">
        <f aca="false">AZ83+AZ84-AZ85-AZ86-AZ87-AZ88-AZ89</f>
        <v>16.9464638887364</v>
      </c>
      <c r="BA90" s="11" t="n">
        <f aca="false">BA83+BA84-BA85-BA86-BA87-BA88-BA89</f>
        <v>17.2012255787001</v>
      </c>
      <c r="BB90" s="11" t="n">
        <f aca="false">BB83+BB84-BB85-BB86-BB87-BB88-BB89</f>
        <v>17.090887509902</v>
      </c>
      <c r="BC90" s="11" t="n">
        <f aca="false">BC83+BC84-BC85-BC86-BC87-BC88-BC89</f>
        <v>17.4332309034945</v>
      </c>
      <c r="BD90" s="11" t="n">
        <f aca="false">BD83+BD84-BD85-BD86-BD87-BD88-BD89</f>
        <v>17.2251296600784</v>
      </c>
      <c r="BE90" s="11" t="n">
        <f aca="false">BE83+BE84-BE85-BE86-BE87-BE88-BE89</f>
        <v>17.5736437672165</v>
      </c>
      <c r="BF90" s="11" t="n">
        <f aca="false">BF83+BF84-BF85-BF86-BF87-BF88-BF89</f>
        <v>17.3707170553687</v>
      </c>
      <c r="BG90" s="11" t="n">
        <f aca="false">BG83+BG84-BG85-BG86-BG87-BG88-BG89</f>
        <v>17.7215257002611</v>
      </c>
      <c r="BH90" s="11" t="n">
        <f aca="false">BH83+BH84-BH85-BH86-BH87-BH88-BH89</f>
        <v>17.5149654099707</v>
      </c>
      <c r="BI90" s="11" t="n">
        <f aca="false">BI83+BI84-BI85-BI86-BI87-BI88-BI89</f>
        <v>17.7835614670931</v>
      </c>
      <c r="BJ90" s="11" t="n">
        <f aca="false">BJ83+BJ84-BJ85-BJ86-BJ87-BJ88-BJ89</f>
        <v>17.4108471878088</v>
      </c>
      <c r="BK90" s="11" t="n">
        <f aca="false">BK83+BK84-BK85-BK86-BK87-BK88-BK89</f>
        <v>18.0325255483324</v>
      </c>
      <c r="BL90" s="11" t="n">
        <f aca="false">BL83+BL84-BL85-BL86-BL87-BL88-BL89</f>
        <v>17.8164278553537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14.9101043109847</v>
      </c>
      <c r="P91" s="11" t="n">
        <f aca="false">P90-O90</f>
        <v>-0.0358775105084295</v>
      </c>
      <c r="Q91" s="11" t="n">
        <f aca="false">Q90-P90</f>
        <v>0.288740784811012</v>
      </c>
      <c r="R91" s="11" t="n">
        <f aca="false">R90-Q90</f>
        <v>-0.191712482595282</v>
      </c>
      <c r="S91" s="11" t="n">
        <f aca="false">S90-R90</f>
        <v>0.291187808169765</v>
      </c>
      <c r="T91" s="11" t="n">
        <f aca="false">T90-S90</f>
        <v>-0.192305037005884</v>
      </c>
      <c r="U91" s="11" t="n">
        <f aca="false">U90-T90</f>
        <v>0.214786784152855</v>
      </c>
      <c r="V91" s="11" t="n">
        <f aca="false">V90-U90</f>
        <v>-0.11330839612987</v>
      </c>
      <c r="W91" s="11" t="n">
        <f aca="false">W90-V90</f>
        <v>0.296054042136383</v>
      </c>
      <c r="X91" s="11" t="n">
        <f aca="false">X90-W90</f>
        <v>-0.193824145611348</v>
      </c>
      <c r="Y91" s="11" t="n">
        <f aca="false">Y90-X90</f>
        <v>0.298876535866571</v>
      </c>
      <c r="Z91" s="11" t="n">
        <f aca="false">Z90-Y90</f>
        <v>-0.193668697655729</v>
      </c>
      <c r="AA91" s="11" t="n">
        <f aca="false">AA90-Z90</f>
        <v>0.301327984034364</v>
      </c>
      <c r="AB91" s="11" t="n">
        <f aca="false">AB90-AA90</f>
        <v>-0.194713481693393</v>
      </c>
      <c r="AC91" s="11" t="n">
        <f aca="false">AC90-AB90</f>
        <v>0.223912476776942</v>
      </c>
      <c r="AD91" s="11" t="n">
        <f aca="false">AD90-AC90</f>
        <v>-0.342422043075343</v>
      </c>
      <c r="AE91" s="11" t="n">
        <f aca="false">AE90-AD90</f>
        <v>0.53644278670666</v>
      </c>
      <c r="AF91" s="11" t="n">
        <f aca="false">AF90-AE90</f>
        <v>-0.197666871699052</v>
      </c>
      <c r="AG91" s="11" t="n">
        <f aca="false">AG90-AF90</f>
        <v>0.30984829514491</v>
      </c>
      <c r="AH91" s="11" t="n">
        <f aca="false">AH90-AG90</f>
        <v>-0.195758675312707</v>
      </c>
      <c r="AI91" s="11" t="n">
        <f aca="false">AI90-AH90</f>
        <v>0.312289283534359</v>
      </c>
      <c r="AJ91" s="11" t="n">
        <f aca="false">AJ90-AI90</f>
        <v>-0.197324936731611</v>
      </c>
      <c r="AK91" s="11" t="n">
        <f aca="false">AK90-AJ90</f>
        <v>0.233154624908188</v>
      </c>
      <c r="AL91" s="11" t="n">
        <f aca="false">AL90-AK90</f>
        <v>-0.112095108573534</v>
      </c>
      <c r="AM91" s="11" t="n">
        <f aca="false">AM90-AL90</f>
        <v>0.317437462744753</v>
      </c>
      <c r="AN91" s="11" t="n">
        <f aca="false">AN90-AM90</f>
        <v>-0.200297553462018</v>
      </c>
      <c r="AO91" s="11" t="n">
        <f aca="false">AO90-AN90</f>
        <v>0.321726443413557</v>
      </c>
      <c r="AP91" s="11" t="n">
        <f aca="false">AP90-AO90</f>
        <v>-0.197991640225705</v>
      </c>
      <c r="AQ91" s="11" t="n">
        <f aca="false">AQ90-AP90</f>
        <v>0.324139662233087</v>
      </c>
      <c r="AR91" s="11" t="n">
        <f aca="false">AR90-AQ90</f>
        <v>-0.200156910422898</v>
      </c>
      <c r="AS91" s="11" t="n">
        <f aca="false">AS90-AR90</f>
        <v>0.244403548404812</v>
      </c>
      <c r="AT91" s="11" t="n">
        <f aca="false">AT90-AS90</f>
        <v>-0.356472938980435</v>
      </c>
      <c r="AU91" s="11" t="n">
        <f aca="false">AU90-AT90</f>
        <v>0.5756568580967</v>
      </c>
      <c r="AV91" s="11" t="n">
        <f aca="false">AV90-AU90</f>
        <v>-0.205963659924755</v>
      </c>
      <c r="AW91" s="11" t="n">
        <f aca="false">AW90-AV90</f>
        <v>0.334587392007187</v>
      </c>
      <c r="AX91" s="11" t="n">
        <f aca="false">AX90-AW90</f>
        <v>-0.200377464009769</v>
      </c>
      <c r="AY91" s="11" t="n">
        <f aca="false">AY90-AX90</f>
        <v>0.336952810363499</v>
      </c>
      <c r="AZ91" s="11" t="n">
        <f aca="false">AZ90-AY90</f>
        <v>-0.203228452136148</v>
      </c>
      <c r="BA91" s="11" t="n">
        <f aca="false">BA90-AZ90</f>
        <v>0.254761689963765</v>
      </c>
      <c r="BB91" s="11" t="n">
        <f aca="false">BB90-BA90</f>
        <v>-0.110338068798075</v>
      </c>
      <c r="BC91" s="11" t="n">
        <f aca="false">BC90-BB90</f>
        <v>0.342343393592412</v>
      </c>
      <c r="BD91" s="11" t="n">
        <f aca="false">BD90-BC90</f>
        <v>-0.208101243416085</v>
      </c>
      <c r="BE91" s="11" t="n">
        <f aca="false">BE90-BD90</f>
        <v>0.348514107138122</v>
      </c>
      <c r="BF91" s="11" t="n">
        <f aca="false">BF90-BE90</f>
        <v>-0.202926711847844</v>
      </c>
      <c r="BG91" s="11" t="n">
        <f aca="false">BG90-BF90</f>
        <v>0.35080864489246</v>
      </c>
      <c r="BH91" s="11" t="n">
        <f aca="false">BH90-BG90</f>
        <v>-0.20656029029044</v>
      </c>
      <c r="BI91" s="11" t="n">
        <f aca="false">BI90-BH90</f>
        <v>0.268596057122391</v>
      </c>
      <c r="BJ91" s="11" t="n">
        <f aca="false">BJ90-BI90</f>
        <v>-0.372714279284224</v>
      </c>
      <c r="BK91" s="11" t="n">
        <f aca="false">BK90-BJ90</f>
        <v>0.62167836052361</v>
      </c>
      <c r="BL91" s="11" t="n">
        <f aca="false">BL90-BK90</f>
        <v>-0.216097692978757</v>
      </c>
      <c r="BM91" s="11" t="n">
        <f aca="false">BM90-BL90</f>
        <v>-17.8164278553537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5.35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5.35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836.686552347281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7.53017897112553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22.5905369133766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22.5905369133766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22.5905369133766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22.5905369133766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22.5905369133766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22.5905369133766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22.5905369133766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22.5905369133766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22.5905369133766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21.7538503610293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20.0804772563347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20.0804772563347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20.0804772563347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20.0804772563347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20.0804772563347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20.0804772563347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20.0804772563347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20.0804772563347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20.0804772563347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20.0804772563347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20.0804772563347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20.0804772563347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20.0804772563347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20.0804772563347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20.0804772563347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20.0804772563347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20.0804772563347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20.0804772563347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20.0804772563347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20.0804772563347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20.0804772563347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20.0804772563347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20.0804772563347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20.0804772563347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20.0804772563347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20.0804772563347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20.0804772563347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20.0804772563347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20.0804772563347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13.6658803550056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0.836686552347281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0.836686552347281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0.836686552347281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0.836686552347281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0.836686552347281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0.836686552347281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0.836686552347281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0.836686552347281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0.836686552347281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0.557791034898187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225.905369133766</v>
      </c>
      <c r="J11" s="11" t="n">
        <f aca="false">(Inputs!$F$174*Funding!$F$76/Inputs!$F$175+Inputs!$F$176*Funding!$F$76/Inputs!$F$177+Inputs!$F$178*Funding!$F$76/Inputs!$F$179)*J7</f>
        <v>0</v>
      </c>
      <c r="K11" s="11" t="n">
        <f aca="false">(Inputs!$F$174*Funding!$F$76/Inputs!$F$175+Inputs!$F$176*Funding!$F$76/Inputs!$F$177+Inputs!$F$178*Funding!$F$76/Inputs!$F$179)*K7</f>
        <v>0</v>
      </c>
      <c r="L11" s="11" t="n">
        <f aca="false">(Inputs!$F$174*Funding!$F$76/Inputs!$F$175+Inputs!$F$176*Funding!$F$76/Inputs!$F$177+Inputs!$F$178*Funding!$F$76/Inputs!$F$179)*L7</f>
        <v>0</v>
      </c>
      <c r="M11" s="11" t="n">
        <f aca="false">(Inputs!$F$174*Funding!$F$76/Inputs!$F$175+Inputs!$F$176*Funding!$F$76/Inputs!$F$177+Inputs!$F$178*Funding!$F$76/Inputs!$F$179)*M7</f>
        <v>0</v>
      </c>
      <c r="N11" s="11" t="n">
        <f aca="false">(Inputs!$F$174*Funding!$F$76/Inputs!$F$175+Inputs!$F$176*Funding!$F$76/Inputs!$F$177+Inputs!$F$178*Funding!$F$76/Inputs!$F$179)*N7</f>
        <v>0</v>
      </c>
      <c r="O11" s="11" t="n">
        <f aca="false">(Inputs!$F$174*Funding!$F$76/Inputs!$F$175+Inputs!$F$176*Funding!$F$76/Inputs!$F$177+Inputs!$F$178*Funding!$F$76/Inputs!$F$179)*O7</f>
        <v>7.53017897112553</v>
      </c>
      <c r="P11" s="11" t="n">
        <f aca="false">(Inputs!$F$174*Funding!$F$76/Inputs!$F$175+Inputs!$F$176*Funding!$F$76/Inputs!$F$177+Inputs!$F$178*Funding!$F$76/Inputs!$F$179)*P7</f>
        <v>22.5905369133766</v>
      </c>
      <c r="Q11" s="11" t="n">
        <f aca="false">(Inputs!$F$174*Funding!$F$76/Inputs!$F$175+Inputs!$F$176*Funding!$F$76/Inputs!$F$177+Inputs!$F$178*Funding!$F$76/Inputs!$F$179)*Q7</f>
        <v>22.5905369133766</v>
      </c>
      <c r="R11" s="11" t="n">
        <f aca="false">(Inputs!$F$174*Funding!$F$76/Inputs!$F$175+Inputs!$F$176*Funding!$F$76/Inputs!$F$177+Inputs!$F$178*Funding!$F$76/Inputs!$F$179)*R7</f>
        <v>22.5905369133766</v>
      </c>
      <c r="S11" s="11" t="n">
        <f aca="false">(Inputs!$F$174*Funding!$F$76/Inputs!$F$175+Inputs!$F$176*Funding!$F$76/Inputs!$F$177+Inputs!$F$178*Funding!$F$76/Inputs!$F$179)*S7</f>
        <v>22.5905369133766</v>
      </c>
      <c r="T11" s="11" t="n">
        <f aca="false">(Inputs!$F$174*Funding!$F$76/Inputs!$F$175+Inputs!$F$176*Funding!$F$76/Inputs!$F$177+Inputs!$F$178*Funding!$F$76/Inputs!$F$179)*T7</f>
        <v>22.5905369133766</v>
      </c>
      <c r="U11" s="11" t="n">
        <f aca="false">(Inputs!$F$174*Funding!$F$76/Inputs!$F$175+Inputs!$F$176*Funding!$F$76/Inputs!$F$177+Inputs!$F$178*Funding!$F$76/Inputs!$F$179)*U7</f>
        <v>22.5905369133766</v>
      </c>
      <c r="V11" s="11" t="n">
        <f aca="false">(Inputs!$F$174*Funding!$F$76/Inputs!$F$175+Inputs!$F$176*Funding!$F$76/Inputs!$F$177+Inputs!$F$178*Funding!$F$76/Inputs!$F$179)*V7</f>
        <v>22.5905369133766</v>
      </c>
      <c r="W11" s="11" t="n">
        <f aca="false">(Inputs!$F$174*Funding!$F$76/Inputs!$F$175+Inputs!$F$176*Funding!$F$76/Inputs!$F$177+Inputs!$F$178*Funding!$F$76/Inputs!$F$179)*W7</f>
        <v>22.5905369133766</v>
      </c>
      <c r="X11" s="11" t="n">
        <f aca="false">(Inputs!$F$174*Funding!$F$76/Inputs!$F$175+Inputs!$F$176*Funding!$F$76/Inputs!$F$177+Inputs!$F$178*Funding!$F$76/Inputs!$F$179)*X7</f>
        <v>22.5905369133766</v>
      </c>
      <c r="Y11" s="11" t="n">
        <f aca="false">(Inputs!$F$174*Funding!$F$76/Inputs!$F$175+Inputs!$F$176*Funding!$F$76/Inputs!$F$177+Inputs!$F$178*Funding!$F$76/Inputs!$F$179)*Y7</f>
        <v>15.0603579422511</v>
      </c>
      <c r="Z11" s="11" t="n">
        <f aca="false">(Inputs!$F$174*Funding!$F$76/Inputs!$F$175+Inputs!$F$176*Funding!$F$76/Inputs!$F$177+Inputs!$F$178*Funding!$F$76/Inputs!$F$179)*Z7</f>
        <v>0</v>
      </c>
      <c r="AA11" s="11" t="n">
        <f aca="false">(Inputs!$F$174*Funding!$F$76/Inputs!$F$175+Inputs!$F$176*Funding!$F$76/Inputs!$F$177+Inputs!$F$178*Funding!$F$76/Inputs!$F$179)*AA7</f>
        <v>0</v>
      </c>
      <c r="AB11" s="11" t="n">
        <f aca="false">(Inputs!$F$174*Funding!$F$76/Inputs!$F$175+Inputs!$F$176*Funding!$F$76/Inputs!$F$177+Inputs!$F$178*Funding!$F$76/Inputs!$F$179)*AB7</f>
        <v>0</v>
      </c>
      <c r="AC11" s="11" t="n">
        <f aca="false">(Inputs!$F$174*Funding!$F$76/Inputs!$F$175+Inputs!$F$176*Funding!$F$76/Inputs!$F$177+Inputs!$F$178*Funding!$F$76/Inputs!$F$179)*AC7</f>
        <v>0</v>
      </c>
      <c r="AD11" s="11" t="n">
        <f aca="false">(Inputs!$F$174*Funding!$F$76/Inputs!$F$175+Inputs!$F$176*Funding!$F$76/Inputs!$F$177+Inputs!$F$178*Funding!$F$76/Inputs!$F$179)*AD7</f>
        <v>0</v>
      </c>
      <c r="AE11" s="11" t="n">
        <f aca="false">(Inputs!$F$174*Funding!$F$76/Inputs!$F$175+Inputs!$F$176*Funding!$F$76/Inputs!$F$177+Inputs!$F$178*Funding!$F$76/Inputs!$F$179)*AE7</f>
        <v>0</v>
      </c>
      <c r="AF11" s="11" t="n">
        <f aca="false">(Inputs!$F$174*Funding!$F$76/Inputs!$F$175+Inputs!$F$176*Funding!$F$76/Inputs!$F$177+Inputs!$F$178*Funding!$F$76/Inputs!$F$179)*AF7</f>
        <v>0</v>
      </c>
      <c r="AG11" s="11" t="n">
        <f aca="false">(Inputs!$F$174*Funding!$F$76/Inputs!$F$175+Inputs!$F$176*Funding!$F$76/Inputs!$F$177+Inputs!$F$178*Funding!$F$76/Inputs!$F$179)*AG7</f>
        <v>0</v>
      </c>
      <c r="AH11" s="11" t="n">
        <f aca="false">(Inputs!$F$174*Funding!$F$76/Inputs!$F$175+Inputs!$F$176*Funding!$F$76/Inputs!$F$177+Inputs!$F$178*Funding!$F$76/Inputs!$F$179)*AH7</f>
        <v>0</v>
      </c>
      <c r="AI11" s="11" t="n">
        <f aca="false">(Inputs!$F$174*Funding!$F$76/Inputs!$F$175+Inputs!$F$176*Funding!$F$76/Inputs!$F$177+Inputs!$F$178*Funding!$F$76/Inputs!$F$179)*AI7</f>
        <v>0</v>
      </c>
      <c r="AJ11" s="11" t="n">
        <f aca="false">(Inputs!$F$174*Funding!$F$76/Inputs!$F$175+Inputs!$F$176*Funding!$F$76/Inputs!$F$177+Inputs!$F$178*Funding!$F$76/Inputs!$F$179)*AJ7</f>
        <v>0</v>
      </c>
      <c r="AK11" s="11" t="n">
        <f aca="false">(Inputs!$F$174*Funding!$F$76/Inputs!$F$175+Inputs!$F$176*Funding!$F$76/Inputs!$F$177+Inputs!$F$178*Funding!$F$76/Inputs!$F$179)*AK7</f>
        <v>0</v>
      </c>
      <c r="AL11" s="11" t="n">
        <f aca="false">(Inputs!$F$174*Funding!$F$76/Inputs!$F$175+Inputs!$F$176*Funding!$F$76/Inputs!$F$177+Inputs!$F$178*Funding!$F$76/Inputs!$F$179)*AL7</f>
        <v>0</v>
      </c>
      <c r="AM11" s="11" t="n">
        <f aca="false">(Inputs!$F$174*Funding!$F$76/Inputs!$F$175+Inputs!$F$176*Funding!$F$76/Inputs!$F$177+Inputs!$F$178*Funding!$F$76/Inputs!$F$179)*AM7</f>
        <v>0</v>
      </c>
      <c r="AN11" s="11" t="n">
        <f aca="false">(Inputs!$F$174*Funding!$F$76/Inputs!$F$175+Inputs!$F$176*Funding!$F$76/Inputs!$F$177+Inputs!$F$178*Funding!$F$76/Inputs!$F$179)*AN7</f>
        <v>0</v>
      </c>
      <c r="AO11" s="11" t="n">
        <f aca="false">(Inputs!$F$174*Funding!$F$76/Inputs!$F$175+Inputs!$F$176*Funding!$F$76/Inputs!$F$177+Inputs!$F$178*Funding!$F$76/Inputs!$F$179)*AO7</f>
        <v>0</v>
      </c>
      <c r="AP11" s="11" t="n">
        <f aca="false">(Inputs!$F$174*Funding!$F$76/Inputs!$F$175+Inputs!$F$176*Funding!$F$76/Inputs!$F$177+Inputs!$F$178*Funding!$F$76/Inputs!$F$179)*AP7</f>
        <v>0</v>
      </c>
      <c r="AQ11" s="11" t="n">
        <f aca="false">(Inputs!$F$174*Funding!$F$76/Inputs!$F$175+Inputs!$F$176*Funding!$F$76/Inputs!$F$177+Inputs!$F$178*Funding!$F$76/Inputs!$F$179)*AQ7</f>
        <v>0</v>
      </c>
      <c r="AR11" s="11" t="n">
        <f aca="false">(Inputs!$F$174*Funding!$F$76/Inputs!$F$175+Inputs!$F$176*Funding!$F$76/Inputs!$F$177+Inputs!$F$178*Funding!$F$76/Inputs!$F$179)*AR7</f>
        <v>0</v>
      </c>
      <c r="AS11" s="11" t="n">
        <f aca="false">(Inputs!$F$174*Funding!$F$76/Inputs!$F$175+Inputs!$F$176*Funding!$F$76/Inputs!$F$177+Inputs!$F$178*Funding!$F$76/Inputs!$F$179)*AS7</f>
        <v>0</v>
      </c>
      <c r="AT11" s="11" t="n">
        <f aca="false">(Inputs!$F$174*Funding!$F$76/Inputs!$F$175+Inputs!$F$176*Funding!$F$76/Inputs!$F$177+Inputs!$F$178*Funding!$F$76/Inputs!$F$179)*AT7</f>
        <v>0</v>
      </c>
      <c r="AU11" s="11" t="n">
        <f aca="false">(Inputs!$F$174*Funding!$F$76/Inputs!$F$175+Inputs!$F$176*Funding!$F$76/Inputs!$F$177+Inputs!$F$178*Funding!$F$76/Inputs!$F$179)*AU7</f>
        <v>0</v>
      </c>
      <c r="AV11" s="11" t="n">
        <f aca="false">(Inputs!$F$174*Funding!$F$76/Inputs!$F$175+Inputs!$F$176*Funding!$F$76/Inputs!$F$177+Inputs!$F$178*Funding!$F$76/Inputs!$F$179)*AV7</f>
        <v>0</v>
      </c>
      <c r="AW11" s="11" t="n">
        <f aca="false">(Inputs!$F$174*Funding!$F$76/Inputs!$F$175+Inputs!$F$176*Funding!$F$76/Inputs!$F$177+Inputs!$F$178*Funding!$F$76/Inputs!$F$179)*AW7</f>
        <v>0</v>
      </c>
      <c r="AX11" s="11" t="n">
        <f aca="false">(Inputs!$F$174*Funding!$F$76/Inputs!$F$175+Inputs!$F$176*Funding!$F$76/Inputs!$F$177+Inputs!$F$178*Funding!$F$76/Inputs!$F$179)*AX7</f>
        <v>0</v>
      </c>
      <c r="AY11" s="11" t="n">
        <f aca="false">(Inputs!$F$174*Funding!$F$76/Inputs!$F$175+Inputs!$F$176*Funding!$F$76/Inputs!$F$177+Inputs!$F$178*Funding!$F$76/Inputs!$F$179)*AY7</f>
        <v>0</v>
      </c>
      <c r="AZ11" s="11" t="n">
        <f aca="false">(Inputs!$F$174*Funding!$F$76/Inputs!$F$175+Inputs!$F$176*Funding!$F$76/Inputs!$F$177+Inputs!$F$178*Funding!$F$76/Inputs!$F$179)*AZ7</f>
        <v>0</v>
      </c>
      <c r="BA11" s="11" t="n">
        <f aca="false">(Inputs!$F$174*Funding!$F$76/Inputs!$F$175+Inputs!$F$176*Funding!$F$76/Inputs!$F$177+Inputs!$F$178*Funding!$F$76/Inputs!$F$179)*BA7</f>
        <v>0</v>
      </c>
      <c r="BB11" s="11" t="n">
        <f aca="false">(Inputs!$F$174*Funding!$F$76/Inputs!$F$175+Inputs!$F$176*Funding!$F$76/Inputs!$F$177+Inputs!$F$178*Funding!$F$76/Inputs!$F$179)*BB7</f>
        <v>0</v>
      </c>
      <c r="BC11" s="11" t="n">
        <f aca="false">(Inputs!$F$174*Funding!$F$76/Inputs!$F$175+Inputs!$F$176*Funding!$F$76/Inputs!$F$177+Inputs!$F$178*Funding!$F$76/Inputs!$F$179)*BC7</f>
        <v>0</v>
      </c>
      <c r="BD11" s="11" t="n">
        <f aca="false">(Inputs!$F$174*Funding!$F$76/Inputs!$F$175+Inputs!$F$176*Funding!$F$76/Inputs!$F$177+Inputs!$F$178*Funding!$F$76/Inputs!$F$179)*BD7</f>
        <v>0</v>
      </c>
      <c r="BE11" s="11" t="n">
        <f aca="false">(Inputs!$F$174*Funding!$F$76/Inputs!$F$175+Inputs!$F$176*Funding!$F$76/Inputs!$F$177+Inputs!$F$178*Funding!$F$76/Inputs!$F$179)*BE7</f>
        <v>0</v>
      </c>
      <c r="BF11" s="11" t="n">
        <f aca="false">(Inputs!$F$174*Funding!$F$76/Inputs!$F$175+Inputs!$F$176*Funding!$F$76/Inputs!$F$177+Inputs!$F$178*Funding!$F$76/Inputs!$F$179)*BF7</f>
        <v>0</v>
      </c>
      <c r="BG11" s="11" t="n">
        <f aca="false">(Inputs!$F$174*Funding!$F$76/Inputs!$F$175+Inputs!$F$176*Funding!$F$76/Inputs!$F$177+Inputs!$F$178*Funding!$F$76/Inputs!$F$179)*BG7</f>
        <v>0</v>
      </c>
      <c r="BH11" s="11" t="n">
        <f aca="false">(Inputs!$F$174*Funding!$F$76/Inputs!$F$175+Inputs!$F$176*Funding!$F$76/Inputs!$F$177+Inputs!$F$178*Funding!$F$76/Inputs!$F$179)*BH7</f>
        <v>0</v>
      </c>
      <c r="BI11" s="11" t="n">
        <f aca="false">(Inputs!$F$174*Funding!$F$76/Inputs!$F$175+Inputs!$F$176*Funding!$F$76/Inputs!$F$177+Inputs!$F$178*Funding!$F$76/Inputs!$F$179)*BI7</f>
        <v>0</v>
      </c>
      <c r="BJ11" s="11" t="n">
        <f aca="false">(Inputs!$F$174*Funding!$F$76/Inputs!$F$175+Inputs!$F$176*Funding!$F$76/Inputs!$F$177+Inputs!$F$178*Funding!$F$76/Inputs!$F$179)*BJ7</f>
        <v>0</v>
      </c>
      <c r="BK11" s="11" t="n">
        <f aca="false">(Inputs!$F$174*Funding!$F$76/Inputs!$F$175+Inputs!$F$176*Funding!$F$76/Inputs!$F$177+Inputs!$F$178*Funding!$F$76/Inputs!$F$179)*BK7</f>
        <v>0</v>
      </c>
      <c r="BL11" s="11" t="n">
        <f aca="false">(Inputs!$F$174*Funding!$F$76/Inputs!$F$175+Inputs!$F$176*Funding!$F$76/Inputs!$F$177+Inputs!$F$178*Funding!$F$76/Inputs!$F$179)*BL7</f>
        <v>0</v>
      </c>
      <c r="BM11" s="11" t="n">
        <f aca="false">(Inputs!$F$174*Funding!$F$76/Inputs!$F$175+Inputs!$F$176*Funding!$F$76/Inputs!$F$177+Inputs!$F$178*Funding!$F$76/Inputs!$F$179)*BM7</f>
        <v>0</v>
      </c>
      <c r="BN11" s="11" t="n">
        <f aca="false">(Inputs!$F$174*Funding!$F$76/Inputs!$F$175+Inputs!$F$176*Funding!$F$76/Inputs!$F$177+Inputs!$F$178*Funding!$F$76/Inputs!$F$179)*BN7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610.781183213515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6.69349241877825</v>
      </c>
      <c r="Z12" s="11" t="n">
        <f aca="false">Z10-Z11</f>
        <v>20.0804772563347</v>
      </c>
      <c r="AA12" s="11" t="n">
        <f aca="false">AA10-AA11</f>
        <v>20.0804772563347</v>
      </c>
      <c r="AB12" s="11" t="n">
        <f aca="false">AB10-AB11</f>
        <v>20.0804772563347</v>
      </c>
      <c r="AC12" s="11" t="n">
        <f aca="false">AC10-AC11</f>
        <v>20.0804772563347</v>
      </c>
      <c r="AD12" s="11" t="n">
        <f aca="false">AD10-AD11</f>
        <v>20.0804772563347</v>
      </c>
      <c r="AE12" s="11" t="n">
        <f aca="false">AE10-AE11</f>
        <v>20.0804772563347</v>
      </c>
      <c r="AF12" s="11" t="n">
        <f aca="false">AF10-AF11</f>
        <v>20.0804772563347</v>
      </c>
      <c r="AG12" s="11" t="n">
        <f aca="false">AG10-AG11</f>
        <v>20.0804772563347</v>
      </c>
      <c r="AH12" s="11" t="n">
        <f aca="false">AH10-AH11</f>
        <v>20.0804772563347</v>
      </c>
      <c r="AI12" s="11" t="n">
        <f aca="false">AI10-AI11</f>
        <v>20.0804772563347</v>
      </c>
      <c r="AJ12" s="11" t="n">
        <f aca="false">AJ10-AJ11</f>
        <v>20.0804772563347</v>
      </c>
      <c r="AK12" s="11" t="n">
        <f aca="false">AK10-AK11</f>
        <v>20.0804772563347</v>
      </c>
      <c r="AL12" s="11" t="n">
        <f aca="false">AL10-AL11</f>
        <v>20.0804772563347</v>
      </c>
      <c r="AM12" s="11" t="n">
        <f aca="false">AM10-AM11</f>
        <v>20.0804772563347</v>
      </c>
      <c r="AN12" s="11" t="n">
        <f aca="false">AN10-AN11</f>
        <v>20.0804772563347</v>
      </c>
      <c r="AO12" s="11" t="n">
        <f aca="false">AO10-AO11</f>
        <v>20.0804772563347</v>
      </c>
      <c r="AP12" s="11" t="n">
        <f aca="false">AP10-AP11</f>
        <v>20.0804772563347</v>
      </c>
      <c r="AQ12" s="11" t="n">
        <f aca="false">AQ10-AQ11</f>
        <v>20.0804772563347</v>
      </c>
      <c r="AR12" s="11" t="n">
        <f aca="false">AR10-AR11</f>
        <v>20.0804772563347</v>
      </c>
      <c r="AS12" s="11" t="n">
        <f aca="false">AS10-AS11</f>
        <v>20.0804772563347</v>
      </c>
      <c r="AT12" s="11" t="n">
        <f aca="false">AT10-AT11</f>
        <v>20.0804772563347</v>
      </c>
      <c r="AU12" s="11" t="n">
        <f aca="false">AU10-AU11</f>
        <v>20.0804772563347</v>
      </c>
      <c r="AV12" s="11" t="n">
        <f aca="false">AV10-AV11</f>
        <v>20.0804772563347</v>
      </c>
      <c r="AW12" s="11" t="n">
        <f aca="false">AW10-AW11</f>
        <v>20.0804772563347</v>
      </c>
      <c r="AX12" s="11" t="n">
        <f aca="false">AX10-AX11</f>
        <v>20.0804772563347</v>
      </c>
      <c r="AY12" s="11" t="n">
        <f aca="false">AY10-AY11</f>
        <v>20.0804772563347</v>
      </c>
      <c r="AZ12" s="11" t="n">
        <f aca="false">AZ10-AZ11</f>
        <v>20.0804772563347</v>
      </c>
      <c r="BA12" s="11" t="n">
        <f aca="false">BA10-BA11</f>
        <v>20.0804772563347</v>
      </c>
      <c r="BB12" s="11" t="n">
        <f aca="false">BB10-BB11</f>
        <v>20.0804772563347</v>
      </c>
      <c r="BC12" s="11" t="n">
        <f aca="false">BC10-BC11</f>
        <v>13.6658803550056</v>
      </c>
      <c r="BD12" s="11" t="n">
        <f aca="false">BD10-BD11</f>
        <v>0.836686552347281</v>
      </c>
      <c r="BE12" s="11" t="n">
        <f aca="false">BE10-BE11</f>
        <v>0.836686552347281</v>
      </c>
      <c r="BF12" s="11" t="n">
        <f aca="false">BF10-BF11</f>
        <v>0.836686552347281</v>
      </c>
      <c r="BG12" s="11" t="n">
        <f aca="false">BG10-BG11</f>
        <v>0.836686552347281</v>
      </c>
      <c r="BH12" s="11" t="n">
        <f aca="false">BH10-BH11</f>
        <v>0.836686552347281</v>
      </c>
      <c r="BI12" s="11" t="n">
        <f aca="false">BI10-BI11</f>
        <v>0.836686552347281</v>
      </c>
      <c r="BJ12" s="11" t="n">
        <f aca="false">BJ10-BJ11</f>
        <v>0.836686552347281</v>
      </c>
      <c r="BK12" s="11" t="n">
        <f aca="false">BK10-BK11</f>
        <v>0.836686552347281</v>
      </c>
      <c r="BL12" s="11" t="n">
        <f aca="false">BL10-BL11</f>
        <v>0.836686552347281</v>
      </c>
      <c r="BM12" s="11" t="n">
        <f aca="false">BM10-BM11</f>
        <v>0.557791034898187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197.489892460482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3.20169334249331</v>
      </c>
      <c r="P13" s="11" t="n">
        <f aca="false">IF(Time!P17&gt;=Time!$F$11,Waterfall!P33*Inputs!$F$102/100*Time!P26/365,0)</f>
        <v>9.81089721352277</v>
      </c>
      <c r="Q13" s="11" t="n">
        <f aca="false">IF(Time!Q17&gt;=Time!$F$11,Waterfall!Q33*Inputs!$F$102/100*Time!Q26/365,0)</f>
        <v>9.42243953298245</v>
      </c>
      <c r="R13" s="11" t="n">
        <f aca="false">IF(Time!R17&gt;=Time!$F$11,Waterfall!R33*Inputs!$F$102/100*Time!R26/365,0)</f>
        <v>9.44522012355042</v>
      </c>
      <c r="S13" s="11" t="n">
        <f aca="false">IF(Time!S17&gt;=Time!$F$11,Waterfall!S33*Inputs!$F$102/100*Time!S26/365,0)</f>
        <v>9.11781722459955</v>
      </c>
      <c r="T13" s="11" t="n">
        <f aca="false">IF(Time!T17&gt;=Time!$F$11,Waterfall!T33*Inputs!$F$102/100*Time!T26/365,0)</f>
        <v>9.11581179532936</v>
      </c>
      <c r="U13" s="11" t="n">
        <f aca="false">IF(Time!U17&gt;=Time!$F$11,Waterfall!U33*Inputs!$F$102/100*Time!U26/365,0)</f>
        <v>8.83028906467033</v>
      </c>
      <c r="V13" s="11" t="n">
        <f aca="false">IF(Time!V17&gt;=Time!$F$11,Waterfall!V33*Inputs!$F$102/100*Time!V26/365,0)</f>
        <v>8.77108437967032</v>
      </c>
      <c r="W13" s="11" t="n">
        <f aca="false">IF(Time!W17&gt;=Time!$F$11,Waterfall!W33*Inputs!$F$102/100*Time!W26/365,0)</f>
        <v>8.41345559491761</v>
      </c>
      <c r="X13" s="11" t="n">
        <f aca="false">IF(Time!X17&gt;=Time!$F$11,Waterfall!X33*Inputs!$F$102/100*Time!X26/365,0)</f>
        <v>8.28221015254456</v>
      </c>
      <c r="Y13" s="11" t="n">
        <f aca="false">IF(Time!Y17&gt;=Time!$F$11,Waterfall!Y33*Inputs!$F$102/100*Time!Y26/365,0)</f>
        <v>7.92828522329578</v>
      </c>
      <c r="Z13" s="11" t="n">
        <f aca="false">IF(Time!Z17&gt;=Time!$F$11,Waterfall!Z33*Inputs!$F$102/100*Time!Z26/365,0)</f>
        <v>7.85769248776518</v>
      </c>
      <c r="AA13" s="11" t="n">
        <f aca="false">IF(Time!AA17&gt;=Time!$F$11,Waterfall!AA33*Inputs!$F$102/100*Time!AA26/365,0)</f>
        <v>7.49456807310348</v>
      </c>
      <c r="AB13" s="11" t="n">
        <f aca="false">IF(Time!AB17&gt;=Time!$F$11,Waterfall!AB33*Inputs!$F$102/100*Time!AB26/365,0)</f>
        <v>7.6899927676616</v>
      </c>
      <c r="AC13" s="11" t="n">
        <f aca="false">IF(Time!AC17&gt;=Time!$F$11,Waterfall!AC33*Inputs!$F$102/100*Time!AC26/365,0)</f>
        <v>7.63938979646501</v>
      </c>
      <c r="AD13" s="11" t="n">
        <f aca="false">IF(Time!AD17&gt;=Time!$F$11,Waterfall!AD33*Inputs!$F$102/100*Time!AD26/365,0)</f>
        <v>7.7704776952616</v>
      </c>
      <c r="AE13" s="11" t="n">
        <f aca="false">IF(Time!AE17&gt;=Time!$F$11,Waterfall!AE33*Inputs!$F$102/100*Time!AE26/365,0)</f>
        <v>7.63364056836048</v>
      </c>
      <c r="AF13" s="11" t="n">
        <f aca="false">IF(Time!AF17&gt;=Time!$F$11,Waterfall!AF33*Inputs!$F$102/100*Time!AF26/365,0)</f>
        <v>7.71466962327992</v>
      </c>
      <c r="AG13" s="11" t="n">
        <f aca="false">IF(Time!AG17&gt;=Time!$F$11,Waterfall!AG33*Inputs!$F$102/100*Time!AG26/365,0)</f>
        <v>7.50699419454931</v>
      </c>
      <c r="AH13" s="11" t="n">
        <f aca="false">IF(Time!AH17&gt;=Time!$F$11,Waterfall!AH33*Inputs!$F$102/100*Time!AH26/365,0)</f>
        <v>7.51854107492317</v>
      </c>
      <c r="AI13" s="11" t="n">
        <f aca="false">IF(Time!AI17&gt;=Time!$F$11,Waterfall!AI33*Inputs!$F$102/100*Time!AI26/365,0)</f>
        <v>7.22170099856769</v>
      </c>
      <c r="AJ13" s="11" t="n">
        <f aca="false">IF(Time!AJ17&gt;=Time!$F$11,Waterfall!AJ33*Inputs!$F$102/100*Time!AJ26/365,0)</f>
        <v>7.10963512245768</v>
      </c>
      <c r="AK13" s="11" t="n">
        <f aca="false">IF(Time!AK17&gt;=Time!$F$11,Waterfall!AK33*Inputs!$F$102/100*Time!AK26/365,0)</f>
        <v>6.71066315901237</v>
      </c>
      <c r="AL13" s="11" t="n">
        <f aca="false">IF(Time!AL17&gt;=Time!$F$11,Waterfall!AL33*Inputs!$F$102/100*Time!AL26/365,0)</f>
        <v>5.64389811310402</v>
      </c>
      <c r="AM13" s="11" t="n">
        <f aca="false">IF(Time!AM17&gt;=Time!$F$11,Waterfall!AM33*Inputs!$F$102/100*Time!AM26/365,0)</f>
        <v>4.42435673104814</v>
      </c>
      <c r="AN13" s="11" t="n">
        <f aca="false">IF(Time!AN17&gt;=Time!$F$11,Waterfall!AN33*Inputs!$F$102/100*Time!AN26/365,0)</f>
        <v>3.11094713567019</v>
      </c>
      <c r="AO13" s="11" t="n">
        <f aca="false">IF(Time!AO17&gt;=Time!$F$11,Waterfall!AO33*Inputs!$F$102/100*Time!AO26/365,0)</f>
        <v>1.9800753789829</v>
      </c>
      <c r="AP13" s="11" t="n">
        <f aca="false">IF(Time!AP17&gt;=Time!$F$11,Waterfall!AP33*Inputs!$F$102/100*Time!AP26/365,0)</f>
        <v>0.123445892692913</v>
      </c>
      <c r="AQ13" s="11" t="n">
        <f aca="false">IF(Time!AQ17&gt;=Time!$F$11,Waterfall!AQ33*Inputs!$F$102/100*Time!AQ26/365,0)</f>
        <v>0</v>
      </c>
      <c r="AR13" s="11" t="n">
        <f aca="false">IF(Time!AR17&gt;=Time!$F$11,Waterfall!AR33*Inputs!$F$102/100*Time!AR26/365,0)</f>
        <v>0</v>
      </c>
      <c r="AS13" s="11" t="n">
        <f aca="false">IF(Time!AS17&gt;=Time!$F$11,Waterfall!AS33*Inputs!$F$102/100*Time!AS26/365,0)</f>
        <v>0</v>
      </c>
      <c r="AT13" s="11" t="n">
        <f aca="false">IF(Time!AT17&gt;=Time!$F$11,Waterfall!AT33*Inputs!$F$102/100*Time!AT26/365,0)</f>
        <v>0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0.660024031532499</v>
      </c>
      <c r="P14" s="6" t="n">
        <f aca="false">IF(Waterfall!P33&gt;0,MIN(1,Inputs!$F$180*(Waterfall!$F$32+MAX(0,Waterfall!O43))/Waterfall!P33),1)</f>
        <v>0.791312925734525</v>
      </c>
      <c r="Q14" s="6" t="n">
        <f aca="false">IF(Waterfall!Q33&gt;0,MIN(1,Inputs!$F$180*(Waterfall!$F$32+MAX(0,Waterfall!P43))/Waterfall!Q33),1)</f>
        <v>0.916277954692992</v>
      </c>
      <c r="R14" s="6" t="n">
        <f aca="false">IF(Waterfall!R33&gt;0,MIN(1,Inputs!$F$180*(Waterfall!$F$32+MAX(0,Waterfall!Q43))/Waterfall!R33),1)</f>
        <v>1</v>
      </c>
      <c r="S14" s="6" t="n">
        <f aca="false">IF(Waterfall!S33&gt;0,MIN(1,Inputs!$F$180*(Waterfall!$F$32+MAX(0,Waterfall!R43))/Waterfall!S33),1)</f>
        <v>1</v>
      </c>
      <c r="T14" s="6" t="n">
        <f aca="false">IF(Waterfall!T33&gt;0,MIN(1,Inputs!$F$180*(Waterfall!$F$32+MAX(0,Waterfall!S43))/Waterfall!T33),1)</f>
        <v>1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193.56512032074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2.1131945476432</v>
      </c>
      <c r="P15" s="11" t="n">
        <f aca="false">P13*P14</f>
        <v>7.7634897781134</v>
      </c>
      <c r="Q15" s="11" t="n">
        <f aca="false">Q13*Q14</f>
        <v>8.63357362349955</v>
      </c>
      <c r="R15" s="11" t="n">
        <f aca="false">R13*R14</f>
        <v>9.44522012355042</v>
      </c>
      <c r="S15" s="11" t="n">
        <f aca="false">S13*S14</f>
        <v>9.11781722459955</v>
      </c>
      <c r="T15" s="11" t="n">
        <f aca="false">T13*T14</f>
        <v>9.11581179532936</v>
      </c>
      <c r="U15" s="11" t="n">
        <f aca="false">U13*U14</f>
        <v>8.83028906467033</v>
      </c>
      <c r="V15" s="11" t="n">
        <f aca="false">V13*V14</f>
        <v>8.77108437967032</v>
      </c>
      <c r="W15" s="11" t="n">
        <f aca="false">W13*W14</f>
        <v>8.41345559491761</v>
      </c>
      <c r="X15" s="11" t="n">
        <f aca="false">X13*X14</f>
        <v>8.28221015254456</v>
      </c>
      <c r="Y15" s="11" t="n">
        <f aca="false">Y13*Y14</f>
        <v>7.92828522329578</v>
      </c>
      <c r="Z15" s="11" t="n">
        <f aca="false">Z13*Z14</f>
        <v>7.85769248776518</v>
      </c>
      <c r="AA15" s="11" t="n">
        <f aca="false">AA13*AA14</f>
        <v>7.49456807310348</v>
      </c>
      <c r="AB15" s="11" t="n">
        <f aca="false">AB13*AB14</f>
        <v>7.6899927676616</v>
      </c>
      <c r="AC15" s="11" t="n">
        <f aca="false">AC13*AC14</f>
        <v>7.63938979646501</v>
      </c>
      <c r="AD15" s="11" t="n">
        <f aca="false">AD13*AD14</f>
        <v>7.7704776952616</v>
      </c>
      <c r="AE15" s="11" t="n">
        <f aca="false">AE13*AE14</f>
        <v>7.63364056836048</v>
      </c>
      <c r="AF15" s="11" t="n">
        <f aca="false">AF13*AF14</f>
        <v>7.71466962327992</v>
      </c>
      <c r="AG15" s="11" t="n">
        <f aca="false">AG13*AG14</f>
        <v>7.50699419454931</v>
      </c>
      <c r="AH15" s="11" t="n">
        <f aca="false">AH13*AH14</f>
        <v>7.51854107492317</v>
      </c>
      <c r="AI15" s="11" t="n">
        <f aca="false">AI13*AI14</f>
        <v>7.22170099856769</v>
      </c>
      <c r="AJ15" s="11" t="n">
        <f aca="false">AJ13*AJ14</f>
        <v>7.10963512245768</v>
      </c>
      <c r="AK15" s="11" t="n">
        <f aca="false">AK13*AK14</f>
        <v>6.71066315901237</v>
      </c>
      <c r="AL15" s="11" t="n">
        <f aca="false">AL13*AL14</f>
        <v>5.64389811310402</v>
      </c>
      <c r="AM15" s="11" t="n">
        <f aca="false">AM13*AM14</f>
        <v>4.42435673104814</v>
      </c>
      <c r="AN15" s="11" t="n">
        <f aca="false">AN13*AN14</f>
        <v>3.11094713567019</v>
      </c>
      <c r="AO15" s="11" t="n">
        <f aca="false">AO13*AO14</f>
        <v>1.9800753789829</v>
      </c>
      <c r="AP15" s="11" t="n">
        <f aca="false">AP13*AP14</f>
        <v>0.123445892692913</v>
      </c>
      <c r="AQ15" s="11" t="n">
        <f aca="false">AQ13*AQ14</f>
        <v>0</v>
      </c>
      <c r="AR15" s="11" t="n">
        <f aca="false">AR13*AR14</f>
        <v>0</v>
      </c>
      <c r="AS15" s="11" t="n">
        <f aca="false">AS13*AS14</f>
        <v>0</v>
      </c>
      <c r="AT15" s="11" t="n">
        <f aca="false">AT13*AT14</f>
        <v>0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313.217336300225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21.7561806363521</v>
      </c>
      <c r="Q16" s="11" t="n">
        <f aca="false">Debt!Q119+Debt!Q117+Debt!Q111-Debt!Q110</f>
        <v>21.0117501255587</v>
      </c>
      <c r="R16" s="11" t="n">
        <f aca="false">Debt!R119+Debt!R117+Debt!R111-Debt!R110</f>
        <v>20.6842237422474</v>
      </c>
      <c r="S16" s="11" t="n">
        <f aca="false">Debt!S119+Debt!S117+Debt!S111-Debt!S110</f>
        <v>19.8935402102571</v>
      </c>
      <c r="T16" s="11" t="n">
        <f aca="false">Debt!T119+Debt!T117+Debt!T111-Debt!T110</f>
        <v>19.5092222239857</v>
      </c>
      <c r="U16" s="11" t="n">
        <f aca="false">Debt!U119+Debt!U117+Debt!U111-Debt!U110</f>
        <v>18.7469278452348</v>
      </c>
      <c r="V16" s="11" t="n">
        <f aca="false">Debt!V119+Debt!V117+Debt!V111-Debt!V110</f>
        <v>18.2344120634116</v>
      </c>
      <c r="W16" s="11" t="n">
        <f aca="false">Debt!W119+Debt!W117+Debt!W111-Debt!W110</f>
        <v>17.3566958167685</v>
      </c>
      <c r="X16" s="11" t="n">
        <f aca="false">Debt!X119+Debt!X117+Debt!X111-Debt!X110</f>
        <v>16.8339195388541</v>
      </c>
      <c r="Y16" s="11" t="n">
        <f aca="false">Debt!Y119+Debt!Y117+Debt!Y111-Debt!Y110</f>
        <v>16.4680618167729</v>
      </c>
      <c r="Z16" s="11" t="n">
        <f aca="false">Debt!Z119+Debt!Z117+Debt!Z111-Debt!Z110</f>
        <v>15.9362344502122</v>
      </c>
      <c r="AA16" s="11" t="n">
        <f aca="false">Debt!AA119+Debt!AA117+Debt!AA111-Debt!AA110</f>
        <v>15.0282191551691</v>
      </c>
      <c r="AB16" s="11" t="n">
        <f aca="false">Debt!AB119+Debt!AB117+Debt!AB111-Debt!AB110</f>
        <v>14.1345961216442</v>
      </c>
      <c r="AC16" s="11" t="n">
        <f aca="false">Debt!AC119+Debt!AC117+Debt!AC111-Debt!AC110</f>
        <v>12.9148937283825</v>
      </c>
      <c r="AD16" s="11" t="n">
        <f aca="false">Debt!AD119+Debt!AD117+Debt!AD111-Debt!AD110</f>
        <v>11.8909496137151</v>
      </c>
      <c r="AE16" s="11" t="n">
        <f aca="false">Debt!AE119+Debt!AE117+Debt!AE111-Debt!AE110</f>
        <v>10.5506829966955</v>
      </c>
      <c r="AF16" s="11" t="n">
        <f aca="false">Debt!AF119+Debt!AF117+Debt!AF111-Debt!AF110</f>
        <v>9.39472668621711</v>
      </c>
      <c r="AG16" s="11" t="n">
        <f aca="false">Debt!AG119+Debt!AG117+Debt!AG111-Debt!AG110</f>
        <v>8.20802303303473</v>
      </c>
      <c r="AH16" s="11" t="n">
        <f aca="false">Debt!AH119+Debt!AH117+Debt!AH111-Debt!AH110</f>
        <v>6.95204711044898</v>
      </c>
      <c r="AI16" s="11" t="n">
        <f aca="false">Debt!AI119+Debt!AI117+Debt!AI111-Debt!AI110</f>
        <v>5.51510861356753</v>
      </c>
      <c r="AJ16" s="11" t="n">
        <f aca="false">Debt!AJ119+Debt!AJ117+Debt!AJ111-Debt!AJ110</f>
        <v>4.18471221365628</v>
      </c>
      <c r="AK16" s="11" t="n">
        <f aca="false">Debt!AK119+Debt!AK117+Debt!AK111-Debt!AK110</f>
        <v>2.76801940407481</v>
      </c>
      <c r="AL16" s="11" t="n">
        <f aca="false">Debt!AL119+Debt!AL117+Debt!AL111-Debt!AL110</f>
        <v>2.17365325142159</v>
      </c>
      <c r="AM16" s="11" t="n">
        <f aca="false">Debt!AM119+Debt!AM117+Debt!AM111-Debt!AM110</f>
        <v>1.58118904940136</v>
      </c>
      <c r="AN16" s="11" t="n">
        <f aca="false">Debt!AN119+Debt!AN117+Debt!AN111-Debt!AN110</f>
        <v>0.992093469110137</v>
      </c>
      <c r="AO16" s="11" t="n">
        <f aca="false">Debt!AO119+Debt!AO117+Debt!AO111-Debt!AO110</f>
        <v>0.497253384030616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1244.26115170927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2.3098839949963</v>
      </c>
      <c r="Z18" s="11" t="n">
        <f aca="false">(Operations!Z79-Z16-Z15)*Z17-Z12</f>
        <v>7.67826027125074</v>
      </c>
      <c r="AA18" s="11" t="n">
        <f aca="false">(Operations!AA79-AA16-AA15)*AA17-AA12</f>
        <v>9.04578735717366</v>
      </c>
      <c r="AB18" s="11" t="n">
        <f aca="false">(Operations!AB79-AB16-AB15)*AB17-AB12</f>
        <v>9.82196289762302</v>
      </c>
      <c r="AC18" s="11" t="n">
        <f aca="false">(Operations!AC79-AC16-AC15)*AC17-AC12</f>
        <v>11.3107942303115</v>
      </c>
      <c r="AD18" s="11" t="n">
        <f aca="false">(Operations!AD79-AD16-AD15)*AD17-AD12</f>
        <v>-0.259774391203553</v>
      </c>
      <c r="AE18" s="11" t="n">
        <f aca="false">(Operations!AE79-AE16-AE15)*AE17-AE12</f>
        <v>14.0227340776569</v>
      </c>
      <c r="AF18" s="11" t="n">
        <f aca="false">(Operations!AF79-AF16-AF15)*AF17-AF12</f>
        <v>15.0044976268885</v>
      </c>
      <c r="AG18" s="11" t="n">
        <f aca="false">(Operations!AG79-AG16-AG15)*AG17-AG12</f>
        <v>16.5379017569417</v>
      </c>
      <c r="AH18" s="11" t="n">
        <f aca="false">(Operations!AH79-AH16-AH15)*AH17-AH12</f>
        <v>17.9422597117948</v>
      </c>
      <c r="AI18" s="11" t="n">
        <f aca="false">(Operations!AI79-AI16-AI15)*AI17-AI12</f>
        <v>19.7792485129827</v>
      </c>
      <c r="AJ18" s="11" t="n">
        <f aca="false">(Operations!AJ79-AJ16-AJ15)*AJ17-AJ12</f>
        <v>21.3058471909807</v>
      </c>
      <c r="AK18" s="11" t="n">
        <f aca="false">(Operations!AK79-AK16-AK15)*AK17-AK12</f>
        <v>23.3176575263885</v>
      </c>
      <c r="AL18" s="11" t="n">
        <f aca="false">(Operations!AL79-AL16-AL15)*AL17-AL12</f>
        <v>22.278665800216</v>
      </c>
      <c r="AM18" s="11" t="n">
        <f aca="false">(Operations!AM79-AM16-AM15)*AM17-AM12</f>
        <v>27.1191669891249</v>
      </c>
      <c r="AN18" s="11" t="n">
        <f aca="false">(Operations!AN79-AN16-AN15)*AN17-AN12</f>
        <v>29.003192163493</v>
      </c>
      <c r="AO18" s="11" t="n">
        <f aca="false">(Operations!AO79-AO16-AO15)*AO17-AO12</f>
        <v>30.7792431683669</v>
      </c>
      <c r="AP18" s="11" t="n">
        <f aca="false">(Operations!AP79-AP16-AP15)*AP17-AP12</f>
        <v>33.3080703530955</v>
      </c>
      <c r="AQ18" s="11" t="n">
        <f aca="false">(Operations!AQ79-AQ16-AQ15)*AQ17-AQ12</f>
        <v>33.5420382887476</v>
      </c>
      <c r="AR18" s="11" t="n">
        <f aca="false">(Operations!AR79-AR16-AR15)*AR17-AR12</f>
        <v>33.6328202889117</v>
      </c>
      <c r="AS18" s="11" t="n">
        <f aca="false">(Operations!AS79-AS16-AS15)*AS17-AS12</f>
        <v>33.8936710065768</v>
      </c>
      <c r="AT18" s="11" t="n">
        <f aca="false">(Operations!AT79-AT16-AT15)*AT17-AT12</f>
        <v>19.179030738941</v>
      </c>
      <c r="AU18" s="11" t="n">
        <f aca="false">(Operations!AU79-AU16-AU15)*AU17-AU12</f>
        <v>34.3010019907304</v>
      </c>
      <c r="AV18" s="11" t="n">
        <f aca="false">(Operations!AV79-AV16-AV15)*AV17-AV12</f>
        <v>34.1808025014084</v>
      </c>
      <c r="AW18" s="11" t="n">
        <f aca="false">(Operations!AW79-AW16-AW15)*AW17-AW12</f>
        <v>34.3433976702033</v>
      </c>
      <c r="AX18" s="11" t="n">
        <f aca="false">(Operations!AX79-AX16-AX15)*AX17-AX12</f>
        <v>34.5347491187349</v>
      </c>
      <c r="AY18" s="11" t="n">
        <f aca="false">(Operations!AY79-AY16-AY15)*AY17-AY12</f>
        <v>34.6531077119356</v>
      </c>
      <c r="AZ18" s="11" t="n">
        <f aca="false">(Operations!AZ79-AZ16-AZ15)*AZ17-AZ12</f>
        <v>34.7510600230964</v>
      </c>
      <c r="BA18" s="11" t="n">
        <f aca="false">(Operations!BA79-BA16-BA15)*BA17-BA12</f>
        <v>34.9836267930963</v>
      </c>
      <c r="BB18" s="11" t="n">
        <f aca="false">(Operations!BB79-BB16-BB15)*BB17-BB12</f>
        <v>31.7752492006185</v>
      </c>
      <c r="BC18" s="11" t="n">
        <f aca="false">(Operations!BC79-BC16-BC15)*BC17-BC12</f>
        <v>41.7876047536778</v>
      </c>
      <c r="BD18" s="11" t="n">
        <f aca="false">(Operations!BD79-BD16-BD15)*BD17-BD12</f>
        <v>54.5883008621247</v>
      </c>
      <c r="BE18" s="11" t="n">
        <f aca="false">(Operations!BE79-BE16-BE15)*BE17-BE12</f>
        <v>54.7641741092099</v>
      </c>
      <c r="BF18" s="11" t="n">
        <f aca="false">(Operations!BF79-BF16-BF15)*BF17-BF12</f>
        <v>54.9734521490529</v>
      </c>
      <c r="BG18" s="11" t="n">
        <f aca="false">(Operations!BG79-BG16-BG15)*BG17-BG12</f>
        <v>55.1002104950466</v>
      </c>
      <c r="BH18" s="11" t="n">
        <f aca="false">(Operations!BH79-BH16-BH15)*BH17-BH12</f>
        <v>55.2058991463532</v>
      </c>
      <c r="BI18" s="11" t="n">
        <f aca="false">(Operations!BI79-BI16-BI15)*BI17-BI12</f>
        <v>55.5172731410741</v>
      </c>
      <c r="BJ18" s="11" t="n">
        <f aca="false">(Operations!BJ79-BJ16-BJ15)*BJ17-BJ12</f>
        <v>38.124482179433</v>
      </c>
      <c r="BK18" s="11" t="n">
        <f aca="false">(Operations!BK79-BK16-BK15)*BK17-BK12</f>
        <v>56.0024323585221</v>
      </c>
      <c r="BL18" s="11" t="n">
        <f aca="false">(Operations!BL79-BL16-BL15)*BL17-BL12</f>
        <v>55.8486409577663</v>
      </c>
      <c r="BM18" s="11" t="n">
        <f aca="false">(Operations!BM79-BM16-BM15)*BM17-BM12</f>
        <v>18.2727269859224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0.259774391203553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0.259774391203553</v>
      </c>
      <c r="AF19" s="11" t="n">
        <f aca="false">MIN(AE22,MAX(0,AF18))</f>
        <v>0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225.905369133766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2.3098839949963</v>
      </c>
      <c r="Z20" s="11" t="n">
        <f aca="false">MIN(Y21,MAX(0,Z18-Z19))</f>
        <v>7.67826027125074</v>
      </c>
      <c r="AA20" s="11" t="n">
        <f aca="false">MIN(Z21,MAX(0,AA18-AA19))</f>
        <v>9.04578735717366</v>
      </c>
      <c r="AB20" s="11" t="n">
        <f aca="false">MIN(AA21,MAX(0,AB18-AB19))</f>
        <v>9.82196289762302</v>
      </c>
      <c r="AC20" s="11" t="n">
        <f aca="false">MIN(AB21,MAX(0,AC18-AC19))</f>
        <v>11.3107942303115</v>
      </c>
      <c r="AD20" s="11" t="n">
        <f aca="false">MIN(AC21,MAX(0,AD18-AD19))</f>
        <v>0</v>
      </c>
      <c r="AE20" s="11" t="n">
        <f aca="false">MIN(AD21,MAX(0,AE18-AE19))</f>
        <v>13.7629596864534</v>
      </c>
      <c r="AF20" s="11" t="n">
        <f aca="false">MIN(AE21,MAX(0,AF18-AF19))</f>
        <v>15.0044976268885</v>
      </c>
      <c r="AG20" s="11" t="n">
        <f aca="false">MIN(AF21,MAX(0,AG18-AG19))</f>
        <v>16.5379017569417</v>
      </c>
      <c r="AH20" s="11" t="n">
        <f aca="false">MIN(AG21,MAX(0,AH18-AH19))</f>
        <v>17.9422597117948</v>
      </c>
      <c r="AI20" s="11" t="n">
        <f aca="false">MIN(AH21,MAX(0,AI18-AI19))</f>
        <v>19.7792485129827</v>
      </c>
      <c r="AJ20" s="11" t="n">
        <f aca="false">MIN(AI21,MAX(0,AJ18-AJ19))</f>
        <v>21.3058471909807</v>
      </c>
      <c r="AK20" s="11" t="n">
        <f aca="false">MIN(AJ21,MAX(0,AK18-AK19))</f>
        <v>23.3176575263885</v>
      </c>
      <c r="AL20" s="11" t="n">
        <f aca="false">MIN(AK21,MAX(0,AL18-AL19))</f>
        <v>22.278665800216</v>
      </c>
      <c r="AM20" s="11" t="n">
        <f aca="false">MIN(AL21,MAX(0,AM18-AM19))</f>
        <v>27.1191669891249</v>
      </c>
      <c r="AN20" s="11" t="n">
        <f aca="false">MIN(AM21,MAX(0,AN18-AN19))</f>
        <v>8.69047558063927</v>
      </c>
      <c r="AO20" s="11" t="n">
        <f aca="false">MIN(AN21,MAX(0,AO18-AO19))</f>
        <v>0</v>
      </c>
      <c r="AP20" s="11" t="n">
        <f aca="false">MIN(AO21,MAX(0,AP18-AP19))</f>
        <v>0</v>
      </c>
      <c r="AQ20" s="11" t="n">
        <f aca="false">MIN(AP21,MAX(0,AQ18-AQ19))</f>
        <v>0</v>
      </c>
      <c r="AR20" s="11" t="n">
        <f aca="false">MIN(AQ21,MAX(0,AR18-AR19))</f>
        <v>0</v>
      </c>
      <c r="AS20" s="11" t="n">
        <f aca="false">MIN(AR21,MAX(0,AS18-AS19))</f>
        <v>0</v>
      </c>
      <c r="AT20" s="11" t="n">
        <f aca="false">MIN(AS21,MAX(0,AT18-AT19))</f>
        <v>0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7.53017897112553</v>
      </c>
      <c r="P21" s="11" t="n">
        <f aca="false">O21+P11-P20</f>
        <v>30.1207158845021</v>
      </c>
      <c r="Q21" s="11" t="n">
        <f aca="false">P21+Q11-Q20</f>
        <v>52.7112527978787</v>
      </c>
      <c r="R21" s="11" t="n">
        <f aca="false">Q21+R11-R20</f>
        <v>75.3017897112553</v>
      </c>
      <c r="S21" s="11" t="n">
        <f aca="false">R21+S11-S20</f>
        <v>97.8923266246319</v>
      </c>
      <c r="T21" s="11" t="n">
        <f aca="false">S21+T11-T20</f>
        <v>120.482863538008</v>
      </c>
      <c r="U21" s="11" t="n">
        <f aca="false">T21+U11-U20</f>
        <v>143.073400451385</v>
      </c>
      <c r="V21" s="11" t="n">
        <f aca="false">U21+V11-V20</f>
        <v>165.663937364762</v>
      </c>
      <c r="W21" s="11" t="n">
        <f aca="false">V21+W11-W20</f>
        <v>188.254474278138</v>
      </c>
      <c r="X21" s="11" t="n">
        <f aca="false">W21+X11-X20</f>
        <v>210.845011191515</v>
      </c>
      <c r="Y21" s="11" t="n">
        <f aca="false">X21+Y11-Y20</f>
        <v>223.595485138769</v>
      </c>
      <c r="Z21" s="11" t="n">
        <f aca="false">Y21+Z11-Z20</f>
        <v>215.917224867519</v>
      </c>
      <c r="AA21" s="11" t="n">
        <f aca="false">Z21+AA11-AA20</f>
        <v>206.871437510345</v>
      </c>
      <c r="AB21" s="11" t="n">
        <f aca="false">AA21+AB11-AB20</f>
        <v>197.049474612722</v>
      </c>
      <c r="AC21" s="11" t="n">
        <f aca="false">AB21+AC11-AC20</f>
        <v>185.738680382411</v>
      </c>
      <c r="AD21" s="11" t="n">
        <f aca="false">AC21+AD11-AD20</f>
        <v>185.738680382411</v>
      </c>
      <c r="AE21" s="11" t="n">
        <f aca="false">AD21+AE11-AE20</f>
        <v>171.975720695957</v>
      </c>
      <c r="AF21" s="11" t="n">
        <f aca="false">AE21+AF11-AF20</f>
        <v>156.971223069069</v>
      </c>
      <c r="AG21" s="11" t="n">
        <f aca="false">AF21+AG11-AG20</f>
        <v>140.433321312127</v>
      </c>
      <c r="AH21" s="11" t="n">
        <f aca="false">AG21+AH11-AH20</f>
        <v>122.491061600332</v>
      </c>
      <c r="AI21" s="11" t="n">
        <f aca="false">AH21+AI11-AI20</f>
        <v>102.711813087349</v>
      </c>
      <c r="AJ21" s="11" t="n">
        <f aca="false">AI21+AJ11-AJ20</f>
        <v>81.4059658963687</v>
      </c>
      <c r="AK21" s="11" t="n">
        <f aca="false">AJ21+AK11-AK20</f>
        <v>58.0883083699802</v>
      </c>
      <c r="AL21" s="11" t="n">
        <f aca="false">AK21+AL11-AL20</f>
        <v>35.8096425697642</v>
      </c>
      <c r="AM21" s="11" t="n">
        <f aca="false">AL21+AM11-AM20</f>
        <v>8.69047558063927</v>
      </c>
      <c r="AN21" s="11" t="n">
        <f aca="false">AM21+AN11-AN20</f>
        <v>0</v>
      </c>
      <c r="AO21" s="11" t="n">
        <f aca="false">AN21+AO11-AO20</f>
        <v>0</v>
      </c>
      <c r="AP21" s="11" t="n">
        <f aca="false">AO21+AP11-AP20</f>
        <v>0</v>
      </c>
      <c r="AQ21" s="11" t="n">
        <f aca="false">AP21+AQ11-AQ20</f>
        <v>0</v>
      </c>
      <c r="AR21" s="11" t="n">
        <f aca="false">AQ21+AR11-AR20</f>
        <v>0</v>
      </c>
      <c r="AS21" s="11" t="n">
        <f aca="false">AR21+AS11-AS20</f>
        <v>0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0.259774391203553</v>
      </c>
      <c r="AE22" s="11" t="n">
        <f aca="false">AD22-AE19+MAX(0,-AE18)</f>
        <v>0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1018.3557825755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20.3127165828537</v>
      </c>
      <c r="AO23" s="11" t="n">
        <f aca="false">MAX(0,AO18-AO19-AO20)</f>
        <v>30.7792431683669</v>
      </c>
      <c r="AP23" s="11" t="n">
        <f aca="false">MAX(0,AP18-AP19-AP20)</f>
        <v>33.3080703530955</v>
      </c>
      <c r="AQ23" s="11" t="n">
        <f aca="false">MAX(0,AQ18-AQ19-AQ20)</f>
        <v>33.5420382887476</v>
      </c>
      <c r="AR23" s="11" t="n">
        <f aca="false">MAX(0,AR18-AR19-AR20)</f>
        <v>33.6328202889117</v>
      </c>
      <c r="AS23" s="11" t="n">
        <f aca="false">MAX(0,AS18-AS19-AS20)</f>
        <v>33.8936710065768</v>
      </c>
      <c r="AT23" s="11" t="n">
        <f aca="false">MAX(0,AT18-AT19-AT20)</f>
        <v>19.179030738941</v>
      </c>
      <c r="AU23" s="11" t="n">
        <f aca="false">MAX(0,AU18-AU19-AU20)</f>
        <v>34.3010019907304</v>
      </c>
      <c r="AV23" s="11" t="n">
        <f aca="false">MAX(0,AV18-AV19-AV20)</f>
        <v>34.1808025014084</v>
      </c>
      <c r="AW23" s="11" t="n">
        <f aca="false">MAX(0,AW18-AW19-AW20)</f>
        <v>34.3433976702033</v>
      </c>
      <c r="AX23" s="11" t="n">
        <f aca="false">MAX(0,AX18-AX19-AX20)</f>
        <v>34.5347491187349</v>
      </c>
      <c r="AY23" s="11" t="n">
        <f aca="false">MAX(0,AY18-AY19-AY20)</f>
        <v>34.6531077119356</v>
      </c>
      <c r="AZ23" s="11" t="n">
        <f aca="false">MAX(0,AZ18-AZ19-AZ20)</f>
        <v>34.7510600230964</v>
      </c>
      <c r="BA23" s="11" t="n">
        <f aca="false">MAX(0,BA18-BA19-BA20)</f>
        <v>34.9836267930963</v>
      </c>
      <c r="BB23" s="11" t="n">
        <f aca="false">MAX(0,BB18-BB19-BB20)</f>
        <v>31.7752492006185</v>
      </c>
      <c r="BC23" s="11" t="n">
        <f aca="false">MAX(0,BC18-BC19-BC20)</f>
        <v>41.7876047536778</v>
      </c>
      <c r="BD23" s="11" t="n">
        <f aca="false">MAX(0,BD18-BD19-BD20)</f>
        <v>54.5883008621247</v>
      </c>
      <c r="BE23" s="11" t="n">
        <f aca="false">MAX(0,BE18-BE19-BE20)</f>
        <v>54.7641741092099</v>
      </c>
      <c r="BF23" s="11" t="n">
        <f aca="false">MAX(0,BF18-BF19-BF20)</f>
        <v>54.9734521490529</v>
      </c>
      <c r="BG23" s="11" t="n">
        <f aca="false">MAX(0,BG18-BG19-BG20)</f>
        <v>55.1002104950466</v>
      </c>
      <c r="BH23" s="11" t="n">
        <f aca="false">MAX(0,BH18-BH19-BH20)</f>
        <v>55.2058991463532</v>
      </c>
      <c r="BI23" s="11" t="n">
        <f aca="false">MAX(0,BI18-BI19-BI20)</f>
        <v>55.5172731410741</v>
      </c>
      <c r="BJ23" s="11" t="n">
        <f aca="false">MAX(0,BJ18-BJ19-BJ20)</f>
        <v>38.124482179433</v>
      </c>
      <c r="BK23" s="11" t="n">
        <f aca="false">MAX(0,BK18-BK19-BK20)</f>
        <v>56.0024323585221</v>
      </c>
      <c r="BL23" s="11" t="n">
        <f aca="false">MAX(0,BL18-BL19-BL20)</f>
        <v>55.8486409577663</v>
      </c>
      <c r="BM23" s="11" t="n">
        <f aca="false">MAX(0,BM18-BM19-BM20)</f>
        <v>18.2727269859224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305.50673477265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6.09381497485611</v>
      </c>
      <c r="AO25" s="11" t="n">
        <f aca="false">AO23*AO24</f>
        <v>9.23377295051007</v>
      </c>
      <c r="AP25" s="11" t="n">
        <f aca="false">AP23*AP24</f>
        <v>9.99242110592864</v>
      </c>
      <c r="AQ25" s="11" t="n">
        <f aca="false">AQ23*AQ24</f>
        <v>10.0626114866243</v>
      </c>
      <c r="AR25" s="11" t="n">
        <f aca="false">AR23*AR24</f>
        <v>10.0898460866735</v>
      </c>
      <c r="AS25" s="11" t="n">
        <f aca="false">AS23*AS24</f>
        <v>10.1681013019731</v>
      </c>
      <c r="AT25" s="11" t="n">
        <f aca="false">AT23*AT24</f>
        <v>5.7537092216823</v>
      </c>
      <c r="AU25" s="11" t="n">
        <f aca="false">AU23*AU24</f>
        <v>10.2903005972191</v>
      </c>
      <c r="AV25" s="11" t="n">
        <f aca="false">AV23*AV24</f>
        <v>10.2542407504225</v>
      </c>
      <c r="AW25" s="11" t="n">
        <f aca="false">AW23*AW24</f>
        <v>10.303019301061</v>
      </c>
      <c r="AX25" s="11" t="n">
        <f aca="false">AX23*AX24</f>
        <v>10.3604247356205</v>
      </c>
      <c r="AY25" s="11" t="n">
        <f aca="false">AY23*AY24</f>
        <v>10.3959323135807</v>
      </c>
      <c r="AZ25" s="11" t="n">
        <f aca="false">AZ23*AZ24</f>
        <v>10.4253180069289</v>
      </c>
      <c r="BA25" s="11" t="n">
        <f aca="false">BA23*BA24</f>
        <v>10.4950880379289</v>
      </c>
      <c r="BB25" s="11" t="n">
        <f aca="false">BB23*BB24</f>
        <v>9.53257476018555</v>
      </c>
      <c r="BC25" s="11" t="n">
        <f aca="false">BC23*BC24</f>
        <v>12.5362814261033</v>
      </c>
      <c r="BD25" s="11" t="n">
        <f aca="false">BD23*BD24</f>
        <v>16.3764902586374</v>
      </c>
      <c r="BE25" s="11" t="n">
        <f aca="false">BE23*BE24</f>
        <v>16.429252232763</v>
      </c>
      <c r="BF25" s="11" t="n">
        <f aca="false">BF23*BF24</f>
        <v>16.4920356447159</v>
      </c>
      <c r="BG25" s="11" t="n">
        <f aca="false">BG23*BG24</f>
        <v>16.530063148514</v>
      </c>
      <c r="BH25" s="11" t="n">
        <f aca="false">BH23*BH24</f>
        <v>16.561769743906</v>
      </c>
      <c r="BI25" s="11" t="n">
        <f aca="false">BI23*BI24</f>
        <v>16.6551819423222</v>
      </c>
      <c r="BJ25" s="11" t="n">
        <f aca="false">BJ23*BJ24</f>
        <v>11.4373446538299</v>
      </c>
      <c r="BK25" s="11" t="n">
        <f aca="false">BK23*BK24</f>
        <v>16.8007297075566</v>
      </c>
      <c r="BL25" s="11" t="n">
        <f aca="false">BL23*BL24</f>
        <v>16.7545922873299</v>
      </c>
      <c r="BM25" s="11" t="n">
        <f aca="false">BM23*BM24</f>
        <v>5.48181809577671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15.519779540463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0.117229239901277</v>
      </c>
      <c r="Z26" s="11" t="n">
        <f aca="false">IF(Time!Z25&gt;0,Inputs!$F$173/100*Operations!Z50*(Z8+Z9)/Time!Z25,0)</f>
        <v>0.353032697336513</v>
      </c>
      <c r="AA26" s="11" t="n">
        <f aca="false">IF(Time!AA25&gt;0,Inputs!$F$173/100*Operations!AA50*(AA8+AA9)/Time!AA25,0)</f>
        <v>0.354774681708773</v>
      </c>
      <c r="AB26" s="11" t="n">
        <f aca="false">IF(Time!AB25&gt;0,Inputs!$F$173/100*Operations!AB50*(AB8+AB9)/Time!AB25,0)</f>
        <v>0.356666245292423</v>
      </c>
      <c r="AC26" s="11" t="n">
        <f aca="false">IF(Time!AC25&gt;0,Inputs!$F$173/100*Operations!AC50*(AC8+AC9)/Time!AC25,0)</f>
        <v>0.3575765666344</v>
      </c>
      <c r="AD26" s="11" t="n">
        <f aca="false">IF(Time!AD25&gt;0,Inputs!$F$173/100*Operations!AD50*(AD8+AD9)/Time!AD25,0)</f>
        <v>0.353137499075032</v>
      </c>
      <c r="AE26" s="11" t="n">
        <f aca="false">IF(Time!AE25&gt;0,Inputs!$F$173/100*Operations!AE50*(AE8+AE9)/Time!AE25,0)</f>
        <v>0.36016237913106</v>
      </c>
      <c r="AF26" s="11" t="n">
        <f aca="false">IF(Time!AF25&gt;0,Inputs!$F$173/100*Operations!AF50*(AF8+AF9)/Time!AF25,0)</f>
        <v>0.363383197319396</v>
      </c>
      <c r="AG26" s="11" t="n">
        <f aca="false">IF(Time!AG25&gt;0,Inputs!$F$173/100*Operations!AG50*(AG8+AG9)/Time!AG25,0)</f>
        <v>0.364971367780469</v>
      </c>
      <c r="AH26" s="11" t="n">
        <f aca="false">IF(Time!AH25&gt;0,Inputs!$F$173/100*Operations!AH50*(AH8+AH9)/Time!AH25,0)</f>
        <v>0.36643751591354</v>
      </c>
      <c r="AI26" s="11" t="n">
        <f aca="false">IF(Time!AI25&gt;0,Inputs!$F$173/100*Operations!AI50*(AI8+AI9)/Time!AI25,0)</f>
        <v>0.3683342403141</v>
      </c>
      <c r="AJ26" s="11" t="n">
        <f aca="false">IF(Time!AJ25&gt;0,Inputs!$F$173/100*Operations!AJ50*(AJ8+AJ9)/Time!AJ25,0)</f>
        <v>0.370393241212912</v>
      </c>
      <c r="AK26" s="11" t="n">
        <f aca="false">IF(Time!AK25&gt;0,Inputs!$F$173/100*Operations!AK50*(AK8+AK9)/Time!AK25,0)</f>
        <v>0.371688122283113</v>
      </c>
      <c r="AL26" s="11" t="n">
        <f aca="false">IF(Time!AL25&gt;0,Inputs!$F$173/100*Operations!AL50*(AL8+AL9)/Time!AL25,0)</f>
        <v>0.372482007571344</v>
      </c>
      <c r="AM26" s="11" t="n">
        <f aca="false">IF(Time!AM25&gt;0,Inputs!$F$173/100*Operations!AM50*(AM8+AM9)/Time!AM25,0)</f>
        <v>0.374820319940765</v>
      </c>
      <c r="AN26" s="11" t="n">
        <f aca="false">IF(Time!AN25&gt;0,Inputs!$F$173/100*Operations!AN50*(AN8+AN9)/Time!AN25,0)</f>
        <v>0.377709161089125</v>
      </c>
      <c r="AO26" s="11" t="n">
        <f aca="false">IF(Time!AO25&gt;0,Inputs!$F$173/100*Operations!AO50*(AO8+AO9)/Time!AO25,0)</f>
        <v>0.379439614032796</v>
      </c>
      <c r="AP26" s="11" t="n">
        <f aca="false">IF(Time!AP25&gt;0,Inputs!$F$173/100*Operations!AP50*(AP8+AP9)/Time!AP25,0)</f>
        <v>0.381037848063752</v>
      </c>
      <c r="AQ26" s="11" t="n">
        <f aca="false">IF(Time!AQ25&gt;0,Inputs!$F$173/100*Operations!AQ50*(AQ8+AQ9)/Time!AQ25,0)</f>
        <v>0.383103050202302</v>
      </c>
      <c r="AR26" s="11" t="n">
        <f aca="false">IF(Time!AR25&gt;0,Inputs!$F$173/100*Operations!AR50*(AR8+AR9)/Time!AR25,0)</f>
        <v>0.385344298463551</v>
      </c>
      <c r="AS26" s="11" t="n">
        <f aca="false">IF(Time!AS25&gt;0,Inputs!$F$173/100*Operations!AS50*(AS8+AS9)/Time!AS25,0)</f>
        <v>0.386432046042835</v>
      </c>
      <c r="AT26" s="11" t="n">
        <f aca="false">IF(Time!AT25&gt;0,Inputs!$F$173/100*Operations!AT50*(AT8+AT9)/Time!AT25,0)</f>
        <v>0.381721148513914</v>
      </c>
      <c r="AU26" s="11" t="n">
        <f aca="false">IF(Time!AU25&gt;0,Inputs!$F$173/100*Operations!AU50*(AU8+AU9)/Time!AU25,0)</f>
        <v>0.38950777006973</v>
      </c>
      <c r="AV26" s="11" t="n">
        <f aca="false">IF(Time!AV25&gt;0,Inputs!$F$173/100*Operations!AV50*(AV8+AV9)/Time!AV25,0)</f>
        <v>0.393312576544232</v>
      </c>
      <c r="AW26" s="11" t="n">
        <f aca="false">IF(Time!AW25&gt;0,Inputs!$F$173/100*Operations!AW50*(AW8+AW9)/Time!AW25,0)</f>
        <v>0.395198055976582</v>
      </c>
      <c r="AX26" s="11" t="n">
        <f aca="false">IF(Time!AX25&gt;0,Inputs!$F$173/100*Operations!AX50*(AX8+AX9)/Time!AX25,0)</f>
        <v>0.396940274503826</v>
      </c>
      <c r="AY26" s="11" t="n">
        <f aca="false">IF(Time!AY25&gt;0,Inputs!$F$173/100*Operations!AY50*(AY8+AY9)/Time!AY25,0)</f>
        <v>0.399188910987154</v>
      </c>
      <c r="AZ26" s="11" t="n">
        <f aca="false">IF(Time!AZ25&gt;0,Inputs!$F$173/100*Operations!AZ50*(AZ8+AZ9)/Time!AZ25,0)</f>
        <v>0.401628525583218</v>
      </c>
      <c r="BA26" s="11" t="n">
        <f aca="false">IF(Time!BA25&gt;0,Inputs!$F$173/100*Operations!BA50*(BA8+BA9)/Time!BA25,0)</f>
        <v>0.403170002227221</v>
      </c>
      <c r="BB26" s="11" t="n">
        <f aca="false">IF(Time!BB25&gt;0,Inputs!$F$173/100*Operations!BB50*(BB8+BB9)/Time!BB25,0)</f>
        <v>0.404122706710063</v>
      </c>
      <c r="BC26" s="11" t="n">
        <f aca="false">IF(Time!BC25&gt;0,Inputs!$F$173/100*Operations!BC50*(BC8+BC9)/Time!BC25,0)</f>
        <v>0.406891304845891</v>
      </c>
      <c r="BD26" s="11" t="n">
        <f aca="false">IF(Time!BD25&gt;0,Inputs!$F$173/100*Operations!BD50*(BD8+BD9)/Time!BD25,0)</f>
        <v>0.410307309332447</v>
      </c>
      <c r="BE26" s="11" t="n">
        <f aca="false">IF(Time!BE25&gt;0,Inputs!$F$173/100*Operations!BE50*(BE8+BE9)/Time!BE25,0)</f>
        <v>0.412361700448687</v>
      </c>
      <c r="BF26" s="11" t="n">
        <f aca="false">IF(Time!BF25&gt;0,Inputs!$F$173/100*Operations!BF50*(BF8+BF9)/Time!BF25,0)</f>
        <v>0.414260873824729</v>
      </c>
      <c r="BG26" s="11" t="n">
        <f aca="false">IF(Time!BG25&gt;0,Inputs!$F$173/100*Operations!BG50*(BG8+BG9)/Time!BG25,0)</f>
        <v>0.416709228237297</v>
      </c>
      <c r="BH26" s="11" t="n">
        <f aca="false">IF(Time!BH25&gt;0,Inputs!$F$173/100*Operations!BH50*(BH8+BH9)/Time!BH25,0)</f>
        <v>0.419364752652117</v>
      </c>
      <c r="BI26" s="11" t="n">
        <f aca="false">IF(Time!BI25&gt;0,Inputs!$F$173/100*Operations!BI50*(BI8+BI9)/Time!BI25,0)</f>
        <v>0.420664487286973</v>
      </c>
      <c r="BJ26" s="11" t="n">
        <f aca="false">IF(Time!BJ25&gt;0,Inputs!$F$173/100*Operations!BJ50*(BJ8+BJ9)/Time!BJ25,0)</f>
        <v>0.415632978023469</v>
      </c>
      <c r="BK26" s="11" t="n">
        <f aca="false">IF(Time!BK25&gt;0,Inputs!$F$173/100*Operations!BK50*(BK8+BK9)/Time!BK25,0)</f>
        <v>0.42432294086451</v>
      </c>
      <c r="BL26" s="11" t="n">
        <f aca="false">IF(Time!BL25&gt;0,Inputs!$F$173/100*Operations!BL50*(BL8+BL9)/Time!BL25,0)</f>
        <v>0.428817370321738</v>
      </c>
      <c r="BM26" s="11" t="n">
        <f aca="false">IF(Time!BM25&gt;0,Inputs!$F$173/100*Operations!BM50*(BM8+BM9)/Time!BM25,0)</f>
        <v>0.287501284199769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310.711824094065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0.117229239901277</v>
      </c>
      <c r="Z27" s="11" t="n">
        <f aca="false">MAX(Z25,Z26)</f>
        <v>0.353032697336513</v>
      </c>
      <c r="AA27" s="11" t="n">
        <f aca="false">MAX(AA25,AA26)</f>
        <v>0.354774681708773</v>
      </c>
      <c r="AB27" s="11" t="n">
        <f aca="false">MAX(AB25,AB26)</f>
        <v>0.356666245292423</v>
      </c>
      <c r="AC27" s="11" t="n">
        <f aca="false">MAX(AC25,AC26)</f>
        <v>0.3575765666344</v>
      </c>
      <c r="AD27" s="11" t="n">
        <f aca="false">MAX(AD25,AD26)</f>
        <v>0.353137499075032</v>
      </c>
      <c r="AE27" s="11" t="n">
        <f aca="false">MAX(AE25,AE26)</f>
        <v>0.36016237913106</v>
      </c>
      <c r="AF27" s="11" t="n">
        <f aca="false">MAX(AF25,AF26)</f>
        <v>0.363383197319396</v>
      </c>
      <c r="AG27" s="11" t="n">
        <f aca="false">MAX(AG25,AG26)</f>
        <v>0.364971367780469</v>
      </c>
      <c r="AH27" s="11" t="n">
        <f aca="false">MAX(AH25,AH26)</f>
        <v>0.36643751591354</v>
      </c>
      <c r="AI27" s="11" t="n">
        <f aca="false">MAX(AI25,AI26)</f>
        <v>0.3683342403141</v>
      </c>
      <c r="AJ27" s="11" t="n">
        <f aca="false">MAX(AJ25,AJ26)</f>
        <v>0.370393241212912</v>
      </c>
      <c r="AK27" s="11" t="n">
        <f aca="false">MAX(AK25,AK26)</f>
        <v>0.371688122283113</v>
      </c>
      <c r="AL27" s="11" t="n">
        <f aca="false">MAX(AL25,AL26)</f>
        <v>0.372482007571344</v>
      </c>
      <c r="AM27" s="11" t="n">
        <f aca="false">MAX(AM25,AM26)</f>
        <v>0.374820319940765</v>
      </c>
      <c r="AN27" s="11" t="n">
        <f aca="false">MAX(AN25,AN26)</f>
        <v>6.09381497485611</v>
      </c>
      <c r="AO27" s="11" t="n">
        <f aca="false">MAX(AO25,AO26)</f>
        <v>9.23377295051007</v>
      </c>
      <c r="AP27" s="11" t="n">
        <f aca="false">MAX(AP25,AP26)</f>
        <v>9.99242110592864</v>
      </c>
      <c r="AQ27" s="11" t="n">
        <f aca="false">MAX(AQ25,AQ26)</f>
        <v>10.0626114866243</v>
      </c>
      <c r="AR27" s="11" t="n">
        <f aca="false">MAX(AR25,AR26)</f>
        <v>10.0898460866735</v>
      </c>
      <c r="AS27" s="11" t="n">
        <f aca="false">MAX(AS25,AS26)</f>
        <v>10.1681013019731</v>
      </c>
      <c r="AT27" s="11" t="n">
        <f aca="false">MAX(AT25,AT26)</f>
        <v>5.7537092216823</v>
      </c>
      <c r="AU27" s="11" t="n">
        <f aca="false">MAX(AU25,AU26)</f>
        <v>10.2903005972191</v>
      </c>
      <c r="AV27" s="11" t="n">
        <f aca="false">MAX(AV25,AV26)</f>
        <v>10.2542407504225</v>
      </c>
      <c r="AW27" s="11" t="n">
        <f aca="false">MAX(AW25,AW26)</f>
        <v>10.303019301061</v>
      </c>
      <c r="AX27" s="11" t="n">
        <f aca="false">MAX(AX25,AX26)</f>
        <v>10.3604247356205</v>
      </c>
      <c r="AY27" s="11" t="n">
        <f aca="false">MAX(AY25,AY26)</f>
        <v>10.3959323135807</v>
      </c>
      <c r="AZ27" s="11" t="n">
        <f aca="false">MAX(AZ25,AZ26)</f>
        <v>10.4253180069289</v>
      </c>
      <c r="BA27" s="11" t="n">
        <f aca="false">MAX(BA25,BA26)</f>
        <v>10.4950880379289</v>
      </c>
      <c r="BB27" s="11" t="n">
        <f aca="false">MAX(BB25,BB26)</f>
        <v>9.53257476018555</v>
      </c>
      <c r="BC27" s="11" t="n">
        <f aca="false">MAX(BC25,BC26)</f>
        <v>12.5362814261033</v>
      </c>
      <c r="BD27" s="11" t="n">
        <f aca="false">MAX(BD25,BD26)</f>
        <v>16.3764902586374</v>
      </c>
      <c r="BE27" s="11" t="n">
        <f aca="false">MAX(BE25,BE26)</f>
        <v>16.429252232763</v>
      </c>
      <c r="BF27" s="11" t="n">
        <f aca="false">MAX(BF25,BF26)</f>
        <v>16.4920356447159</v>
      </c>
      <c r="BG27" s="11" t="n">
        <f aca="false">MAX(BG25,BG26)</f>
        <v>16.530063148514</v>
      </c>
      <c r="BH27" s="11" t="n">
        <f aca="false">MAX(BH25,BH26)</f>
        <v>16.561769743906</v>
      </c>
      <c r="BI27" s="11" t="n">
        <f aca="false">MAX(BI25,BI26)</f>
        <v>16.6551819423222</v>
      </c>
      <c r="BJ27" s="11" t="n">
        <f aca="false">MAX(BJ25,BJ26)</f>
        <v>11.4373446538299</v>
      </c>
      <c r="BK27" s="11" t="n">
        <f aca="false">MAX(BK25,BK26)</f>
        <v>16.8007297075566</v>
      </c>
      <c r="BL27" s="11" t="n">
        <f aca="false">MAX(BL25,BL26)</f>
        <v>16.7545922873299</v>
      </c>
      <c r="BM27" s="11" t="n">
        <f aca="false">MAX(BM25,BM26)</f>
        <v>5.48181809577671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3.92477213974238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1.08849879485012</v>
      </c>
      <c r="P28" s="11" t="n">
        <f aca="false">P13-P15</f>
        <v>2.04740743540937</v>
      </c>
      <c r="Q28" s="11" t="n">
        <f aca="false">Q13-Q15</f>
        <v>0.788865909482896</v>
      </c>
      <c r="R28" s="11" t="n">
        <f aca="false">R13-R15</f>
        <v>0</v>
      </c>
      <c r="S28" s="11" t="n">
        <f aca="false">S13-S15</f>
        <v>0</v>
      </c>
      <c r="T28" s="11" t="n">
        <f aca="false">T13-T15</f>
        <v>0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0.75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0.9755875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108.156616666667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1.51015872973752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2.14073632334925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3.447598117152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5.33422511157639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7.67966660417626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10.4072865001054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13.3258674112293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16.3644435309182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19.3724016456049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22.2491895376056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24.8877008112056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27.2420677226985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29.2265082464778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30.7475948342201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31.8103259721398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32.3290222317982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33.4584983588564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31.828166358387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30.74605734235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29.2411851097714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27.2496805862512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24.924430484466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22.2235069163292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19.3362718946411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16.351690308253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13.2855275750901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10.3798503285824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7.62910981519539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5.24757474614267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3.45762227696786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2.04017239312868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49.6738675140834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-0.557372926276622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0.0101597331456643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83.1472958601868</v>
      </c>
      <c r="K22" s="11" t="n">
        <f aca="false">J22+Construction!K14*$F$9/$F$10*(K21+(K19-K20)*J22)</f>
        <v>84.5897872517379</v>
      </c>
      <c r="L22" s="11" t="n">
        <f aca="false">K22+Construction!L14*$F$9/$F$10*(L21+(L19-L20)*K22)</f>
        <v>86.5314775442891</v>
      </c>
      <c r="M22" s="11" t="n">
        <f aca="false">L22+Construction!M14*$F$9/$F$10*(M21+(M19-M20)*L22)</f>
        <v>89.4748680230947</v>
      </c>
      <c r="N22" s="11" t="n">
        <f aca="false">M22+Construction!N14*$F$9/$F$10*(N21+(N19-N20)*M22)</f>
        <v>93.8887006875826</v>
      </c>
      <c r="O22" s="11" t="n">
        <f aca="false">N22+Construction!O14*$F$9/$F$10*(O21+(O19-O20)*N22)</f>
        <v>100.138565769989</v>
      </c>
      <c r="P22" s="11" t="n">
        <f aca="false">O22+Construction!P14*$F$9/$F$10*(P21+(P19-P20)*O22)</f>
        <v>108.472656280673</v>
      </c>
      <c r="Q22" s="11" t="n">
        <f aca="false">P22+Construction!Q14*$F$9/$F$10*(Q21+(Q19-Q20)*P22)</f>
        <v>119.116880192044</v>
      </c>
      <c r="R22" s="11" t="n">
        <f aca="false">Q22+Construction!R14*$F$9/$F$10*(R21+(R19-R20)*Q22)</f>
        <v>132.122127706019</v>
      </c>
      <c r="S22" s="11" t="n">
        <f aca="false">R22+Construction!S14*$F$9/$F$10*(S21+(S19-S20)*R22)</f>
        <v>147.501880875375</v>
      </c>
      <c r="T22" s="11" t="n">
        <f aca="false">S22+Construction!T14*$F$9/$F$10*(T21+(T19-T20)*S22)</f>
        <v>165.132356660884</v>
      </c>
      <c r="U22" s="11" t="n">
        <f aca="false">T22+Construction!U14*$F$9/$F$10*(U21+(U19-U20)*T22)</f>
        <v>184.890827725612</v>
      </c>
      <c r="V22" s="11" t="n">
        <f aca="false">U22+Construction!V14*$F$9/$F$10*(V21+(V19-V20)*U22)</f>
        <v>206.534115886957</v>
      </c>
      <c r="W22" s="11" t="n">
        <f aca="false">V22+Construction!W14*$F$9/$F$10*(W21+(W19-W20)*V22)</f>
        <v>229.759733600122</v>
      </c>
      <c r="X22" s="11" t="n">
        <f aca="false">W22+Construction!X14*$F$9/$F$10*(X21+(X19-X20)*W22)</f>
        <v>254.267945954304</v>
      </c>
      <c r="Y22" s="11" t="n">
        <f aca="false">X22+Construction!Y14*$F$9/$F$10*(Y21+(Y19-Y20)*X22)</f>
        <v>279.654927920348</v>
      </c>
      <c r="Z22" s="11" t="n">
        <f aca="false">Y22+Construction!Z14*$F$9/$F$10*(Z21+(Z19-Z20)*Y22)</f>
        <v>305.567921486741</v>
      </c>
      <c r="AA22" s="11" t="n">
        <f aca="false">Z22+Construction!AA14*$F$9/$F$10*(AA21+(AA19-AA20)*Z22)</f>
        <v>332.464258691782</v>
      </c>
      <c r="AB22" s="11" t="n">
        <f aca="false">AA22+Construction!AB14*$F$9/$F$10*(AB21+(AB19-AB20)*AA22)</f>
        <v>358.128186657326</v>
      </c>
      <c r="AC22" s="11" t="n">
        <f aca="false">AB22+Construction!AC14*$F$9/$F$10*(AC21+(AC19-AC20)*AB22)</f>
        <v>383.141316316476</v>
      </c>
      <c r="AD22" s="11" t="n">
        <f aca="false">AC22+Construction!AD14*$F$9/$F$10*(AD21+(AD19-AD20)*AC22)</f>
        <v>407.046186967856</v>
      </c>
      <c r="AE22" s="11" t="n">
        <f aca="false">AD22+Construction!AE14*$F$9/$F$10*(AE21+(AE19-AE20)*AD22)</f>
        <v>429.559444740341</v>
      </c>
      <c r="AF22" s="11" t="n">
        <f aca="false">AE22+Construction!AF14*$F$9/$F$10*(AF21+(AF19-AF20)*AE22)</f>
        <v>450.318399233825</v>
      </c>
      <c r="AG22" s="11" t="n">
        <f aca="false">AF22+Construction!AG14*$F$9/$F$10*(AG21+(AG19-AG20)*AF22)</f>
        <v>469.146453657566</v>
      </c>
      <c r="AH22" s="11" t="n">
        <f aca="false">AG22+Construction!AH14*$F$9/$F$10*(AH21+(AH19-AH20)*AG22)</f>
        <v>485.827785662566</v>
      </c>
      <c r="AI22" s="11" t="n">
        <f aca="false">AH22+Construction!AI14*$F$9/$F$10*(AI21+(AI19-AI20)*AH22)</f>
        <v>500.218576242731</v>
      </c>
      <c r="AJ22" s="11" t="n">
        <f aca="false">AI22+Construction!AJ14*$F$9/$F$10*(AJ21+(AJ19-AJ20)*AI22)</f>
        <v>512.368583747398</v>
      </c>
      <c r="AK22" s="11" t="n">
        <f aca="false">AJ22+Construction!AK14*$F$9/$F$10*(AK21+(AK19-AK20)*AJ22)</f>
        <v>522.267852061306</v>
      </c>
      <c r="AL22" s="11" t="n">
        <f aca="false">AK22+Construction!AL14*$F$9/$F$10*(AL21+(AL19-AL20)*AK22)</f>
        <v>530.154749853881</v>
      </c>
      <c r="AM22" s="11" t="n">
        <f aca="false">AL22+Construction!AM14*$F$9/$F$10*(AM21+(AM19-AM20)*AL22)</f>
        <v>536.252307131536</v>
      </c>
      <c r="AN22" s="11" t="n">
        <f aca="false">AM22+Construction!AN14*$F$9/$F$10*(AN21+(AN19-AN20)*AM22)</f>
        <v>540.79555933258</v>
      </c>
      <c r="AO22" s="11" t="n">
        <f aca="false">AN22+Construction!AO14*$F$9/$F$10*(AO21+(AO19-AO20)*AN22)</f>
        <v>544.468784431638</v>
      </c>
      <c r="AP22" s="11" t="n">
        <f aca="false">AO22+Construction!AP14*$F$9/$F$10*(AP21+(AP19-AP20)*AO22)</f>
        <v>584.707186262926</v>
      </c>
      <c r="AQ22" s="11" t="n">
        <f aca="false">AP22+Construction!AQ14*$F$9/$F$10*(AQ21+(AQ19-AQ20)*AP22)</f>
        <v>586.554409369774</v>
      </c>
      <c r="AR22" s="11" t="n">
        <f aca="false">AQ22+Construction!AR14*$F$9/$F$10*(AR21+(AR19-AR20)*AQ22)</f>
        <v>588.771480631791</v>
      </c>
      <c r="AS22" s="11" t="n">
        <f aca="false">AR22+Construction!AS14*$F$9/$F$10*(AS21+(AS19-AS20)*AR22)</f>
        <v>588.771480631791</v>
      </c>
      <c r="AT22" s="11" t="n">
        <f aca="false">AS22+Construction!AT14*$F$9/$F$10*(AT21+(AT19-AT20)*AS22)</f>
        <v>588.771480631791</v>
      </c>
      <c r="AU22" s="11" t="n">
        <f aca="false">AT22+Construction!AU14*$F$9/$F$10*(AU21+(AU19-AU20)*AT22)</f>
        <v>588.771480631791</v>
      </c>
      <c r="AV22" s="11" t="n">
        <f aca="false">AU22+Construction!AV14*$F$9/$F$10*(AV21+(AV19-AV20)*AU22)</f>
        <v>588.771480631791</v>
      </c>
      <c r="AW22" s="11" t="n">
        <f aca="false">AV22+Construction!AW14*$F$9/$F$10*(AW21+(AW19-AW20)*AV22)</f>
        <v>588.771480631791</v>
      </c>
      <c r="AX22" s="11" t="n">
        <f aca="false">AW22+Construction!AX14*$F$9/$F$10*(AX21+(AX19-AX20)*AW22)</f>
        <v>588.771480631791</v>
      </c>
      <c r="AY22" s="11" t="n">
        <f aca="false">AX22+Construction!AY14*$F$9/$F$10*(AY21+(AY19-AY20)*AX22)</f>
        <v>588.771480631791</v>
      </c>
      <c r="AZ22" s="11" t="n">
        <f aca="false">AY22+Construction!AZ14*$F$9/$F$10*(AZ21+(AZ19-AZ20)*AY22)</f>
        <v>588.771480631791</v>
      </c>
      <c r="BA22" s="11" t="n">
        <f aca="false">AZ22+Construction!BA14*$F$9/$F$10*(BA21+(BA19-BA20)*AZ22)</f>
        <v>588.771480631791</v>
      </c>
      <c r="BB22" s="11" t="n">
        <f aca="false">BA22+Construction!BB14*$F$9/$F$10*(BB21+(BB19-BB20)*BA22)</f>
        <v>588.771480631791</v>
      </c>
      <c r="BC22" s="11" t="n">
        <f aca="false">BB22+Construction!BC14*$F$9/$F$10*(BC21+(BC19-BC20)*BB22)</f>
        <v>588.771480631791</v>
      </c>
      <c r="BD22" s="11" t="n">
        <f aca="false">BC22+Construction!BD14*$F$9/$F$10*(BD21+(BD19-BD20)*BC22)</f>
        <v>588.771480631791</v>
      </c>
      <c r="BE22" s="11" t="n">
        <f aca="false">BD22+Construction!BE14*$F$9/$F$10*(BE21+(BE19-BE20)*BD22)</f>
        <v>588.771480631791</v>
      </c>
      <c r="BF22" s="11" t="n">
        <f aca="false">BE22+Construction!BF14*$F$9/$F$10*(BF21+(BF19-BF20)*BE22)</f>
        <v>588.771480631791</v>
      </c>
      <c r="BG22" s="11" t="n">
        <f aca="false">BF22+Construction!BG14*$F$9/$F$10*(BG21+(BG19-BG20)*BF22)</f>
        <v>588.771480631791</v>
      </c>
      <c r="BH22" s="11" t="n">
        <f aca="false">BG22+Construction!BH14*$F$9/$F$10*(BH21+(BH19-BH20)*BG22)</f>
        <v>588.771480631791</v>
      </c>
      <c r="BI22" s="11" t="n">
        <f aca="false">BH22+Construction!BI14*$F$9/$F$10*(BI21+(BI19-BI20)*BH22)</f>
        <v>588.771480631791</v>
      </c>
      <c r="BJ22" s="11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0.00956433623329532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0.0100811399887549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0.010616978722647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0.0111373466450564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0.0116768808217264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0.0122204779438258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0.0127132782302157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0.0132606945522271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0.013792404479017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0.0143437974598281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0.0148793699476603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0.0154363083677088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0.01599535678493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0.0165384210509827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0.0171016448932813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0.0176487652018615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0.0182161956546842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0.0187867813084727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0.0193226066826059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0.0198974451150609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0.0204558786378408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0.0210350730959254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0.0215977383307835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0.0221819178738838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0.022768358985131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0.023338079728422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0.0239289967561126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0.0245030658003568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0.0250984929061954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0.025696744621017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0.0262392041061089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0.0268418955332029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0.0274274153423239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0.0624350564105539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0.0631546380789436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0.0631546380789436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0.0631546380789436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0.0631546380789436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0.0631546380789436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0.0631546380789436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0.0631546380789436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0.0631546380789436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0.0631546380789436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0.0631546380789436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0.0631546380789436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0.0631546380789436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0.0631546380789436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0.0631546380789436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0.0631546380789436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0.0631546380789436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0.0631546380789436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0.0631546380789436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0.0631546380789436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857.21111806745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633.255975542774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Funding!$F$8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27.0143605485376</v>
      </c>
      <c r="L28" s="11" t="n">
        <f aca="false">K61</f>
        <v>27.5695773059137</v>
      </c>
      <c r="M28" s="11" t="n">
        <f aca="false">L61</f>
        <v>28.2773158474081</v>
      </c>
      <c r="N28" s="11" t="n">
        <f aca="false">M61</f>
        <v>29.2778305475518</v>
      </c>
      <c r="O28" s="11" t="n">
        <f aca="false">N61</f>
        <v>30.7184974274133</v>
      </c>
      <c r="P28" s="11" t="n">
        <f aca="false">O61</f>
        <v>32.7037510289397</v>
      </c>
      <c r="Q28" s="11" t="n">
        <f aca="false">P61</f>
        <v>35.2935701625513</v>
      </c>
      <c r="R28" s="11" t="n">
        <f aca="false">Q61</f>
        <v>38.5808781243885</v>
      </c>
      <c r="S28" s="11" t="n">
        <f aca="false">R61</f>
        <v>42.5633405306353</v>
      </c>
      <c r="T28" s="11" t="n">
        <f aca="false">S61</f>
        <v>47.25364486873</v>
      </c>
      <c r="U28" s="11" t="n">
        <f aca="false">T61</f>
        <v>52.606356870313</v>
      </c>
      <c r="V28" s="11" t="n">
        <f aca="false">U61</f>
        <v>58.5941789800537</v>
      </c>
      <c r="W28" s="11" t="n">
        <f aca="false">V61</f>
        <v>65.1403884672871</v>
      </c>
      <c r="X28" s="11" t="n">
        <f aca="false">W61</f>
        <v>72.1509604086586</v>
      </c>
      <c r="Y28" s="11" t="n">
        <f aca="false">X61</f>
        <v>79.5459361278171</v>
      </c>
      <c r="Z28" s="11" t="n">
        <f aca="false">Y61</f>
        <v>87.1968746106349</v>
      </c>
      <c r="AA28" s="11" t="n">
        <f aca="false">Z61</f>
        <v>95.0081457223257</v>
      </c>
      <c r="AB28" s="11" t="n">
        <f aca="false">AA61</f>
        <v>103.110941776807</v>
      </c>
      <c r="AC28" s="11" t="n">
        <f aca="false">AB61</f>
        <v>110.840005565615</v>
      </c>
      <c r="AD28" s="11" t="n">
        <f aca="false">AC61</f>
        <v>118.385358322786</v>
      </c>
      <c r="AE28" s="11" t="n">
        <f aca="false">AD61</f>
        <v>125.598214100278</v>
      </c>
      <c r="AF28" s="11" t="n">
        <f aca="false">AE61</f>
        <v>132.40357932969</v>
      </c>
      <c r="AG28" s="11" t="n">
        <f aca="false">AF61</f>
        <v>138.685157188152</v>
      </c>
      <c r="AH28" s="11" t="n">
        <f aca="false">AG61</f>
        <v>144.399698782452</v>
      </c>
      <c r="AI28" s="11" t="n">
        <f aca="false">AH61</f>
        <v>149.478771573439</v>
      </c>
      <c r="AJ28" s="11" t="n">
        <f aca="false">AI61</f>
        <v>153.875320923412</v>
      </c>
      <c r="AK28" s="11" t="n">
        <f aca="false">AJ61</f>
        <v>157.613094467536</v>
      </c>
      <c r="AL28" s="11" t="n">
        <f aca="false">AK61</f>
        <v>160.680179388032</v>
      </c>
      <c r="AM28" s="11" t="n">
        <f aca="false">AL61</f>
        <v>163.156219622677</v>
      </c>
      <c r="AN28" s="11" t="n">
        <f aca="false">AM61</f>
        <v>165.102876179334</v>
      </c>
      <c r="AO28" s="11" t="n">
        <f aca="false">AN61</f>
        <v>166.576014178828</v>
      </c>
      <c r="AP28" s="11" t="n">
        <f aca="false">AO61</f>
        <v>167.805613265118</v>
      </c>
      <c r="AQ28" s="11" t="n">
        <f aca="false">AP61</f>
        <v>179.859372115354</v>
      </c>
      <c r="AR28" s="11" t="n">
        <f aca="false">AQ61</f>
        <v>189.15009701887</v>
      </c>
      <c r="AS28" s="11" t="n">
        <f aca="false">AR61</f>
        <v>189.976792662832</v>
      </c>
      <c r="AT28" s="11" t="n">
        <f aca="false">AS61</f>
        <v>189.976792662832</v>
      </c>
      <c r="AU28" s="11" t="n">
        <f aca="false">AT61</f>
        <v>189.976792662832</v>
      </c>
      <c r="AV28" s="11" t="n">
        <f aca="false">AU61</f>
        <v>189.976792662832</v>
      </c>
      <c r="AW28" s="11" t="n">
        <f aca="false">AV61</f>
        <v>189.976792662832</v>
      </c>
      <c r="AX28" s="11" t="n">
        <f aca="false">AW61</f>
        <v>189.976792662832</v>
      </c>
      <c r="AY28" s="11" t="n">
        <f aca="false">AX61</f>
        <v>189.976792662832</v>
      </c>
      <c r="AZ28" s="11" t="n">
        <f aca="false">AY61</f>
        <v>189.976792662832</v>
      </c>
      <c r="BA28" s="11" t="n">
        <f aca="false">AZ61</f>
        <v>189.976792662832</v>
      </c>
      <c r="BB28" s="11" t="n">
        <f aca="false">BA61</f>
        <v>189.976792662832</v>
      </c>
      <c r="BC28" s="11" t="n">
        <f aca="false">BB61</f>
        <v>189.976792662832</v>
      </c>
      <c r="BD28" s="11" t="n">
        <f aca="false">BC61</f>
        <v>189.976792662832</v>
      </c>
      <c r="BE28" s="11" t="n">
        <f aca="false">BD61</f>
        <v>189.976792662832</v>
      </c>
      <c r="BF28" s="11" t="n">
        <f aca="false">BE61</f>
        <v>189.976792662832</v>
      </c>
      <c r="BG28" s="11" t="n">
        <f aca="false">BF61</f>
        <v>189.976792662832</v>
      </c>
      <c r="BH28" s="11" t="n">
        <f aca="false">BG61</f>
        <v>189.976792662832</v>
      </c>
      <c r="BI28" s="11" t="n">
        <f aca="false">BH61</f>
        <v>189.976792662832</v>
      </c>
      <c r="BJ28" s="11" t="n">
        <f aca="false">BI61</f>
        <v>189.976792662832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19.8105310689276</v>
      </c>
      <c r="L29" s="11" t="n">
        <f aca="false">K62</f>
        <v>20.2176900243367</v>
      </c>
      <c r="M29" s="11" t="n">
        <f aca="false">L62</f>
        <v>20.7366982880993</v>
      </c>
      <c r="N29" s="11" t="n">
        <f aca="false">M62</f>
        <v>21.4704090682047</v>
      </c>
      <c r="O29" s="11" t="n">
        <f aca="false">N62</f>
        <v>22.5268981134365</v>
      </c>
      <c r="P29" s="11" t="n">
        <f aca="false">O62</f>
        <v>23.9827507545558</v>
      </c>
      <c r="Q29" s="11" t="n">
        <f aca="false">P62</f>
        <v>25.8819514525376</v>
      </c>
      <c r="R29" s="11" t="n">
        <f aca="false">Q62</f>
        <v>28.2926439578849</v>
      </c>
      <c r="S29" s="11" t="n">
        <f aca="false">R62</f>
        <v>31.2131163891325</v>
      </c>
      <c r="T29" s="11" t="n">
        <f aca="false">S62</f>
        <v>34.6526729037354</v>
      </c>
      <c r="U29" s="11" t="n">
        <f aca="false">T62</f>
        <v>38.5779950382296</v>
      </c>
      <c r="V29" s="11" t="n">
        <f aca="false">U62</f>
        <v>42.9690645853727</v>
      </c>
      <c r="W29" s="11" t="n">
        <f aca="false">V62</f>
        <v>47.7696182093439</v>
      </c>
      <c r="X29" s="11" t="n">
        <f aca="false">W62</f>
        <v>52.910704299683</v>
      </c>
      <c r="Y29" s="11" t="n">
        <f aca="false">X62</f>
        <v>58.3336864937326</v>
      </c>
      <c r="Z29" s="11" t="n">
        <f aca="false">Y62</f>
        <v>63.9443747144656</v>
      </c>
      <c r="AA29" s="11" t="n">
        <f aca="false">Z62</f>
        <v>69.6726401963722</v>
      </c>
      <c r="AB29" s="11" t="n">
        <f aca="false">AA62</f>
        <v>75.6146906363249</v>
      </c>
      <c r="AC29" s="11" t="n">
        <f aca="false">AB62</f>
        <v>81.2826707481177</v>
      </c>
      <c r="AD29" s="11" t="n">
        <f aca="false">AC62</f>
        <v>86.8159294367101</v>
      </c>
      <c r="AE29" s="11" t="n">
        <f aca="false">AD62</f>
        <v>92.1053570068706</v>
      </c>
      <c r="AF29" s="11" t="n">
        <f aca="false">AE62</f>
        <v>97.0959581751059</v>
      </c>
      <c r="AG29" s="11" t="n">
        <f aca="false">AF62</f>
        <v>101.702448604644</v>
      </c>
      <c r="AH29" s="11" t="n">
        <f aca="false">AG62</f>
        <v>105.893112440465</v>
      </c>
      <c r="AI29" s="11" t="n">
        <f aca="false">AH62</f>
        <v>109.617765820522</v>
      </c>
      <c r="AJ29" s="11" t="n">
        <f aca="false">AI62</f>
        <v>112.841902010502</v>
      </c>
      <c r="AK29" s="11" t="n">
        <f aca="false">AJ62</f>
        <v>115.58293594286</v>
      </c>
      <c r="AL29" s="11" t="n">
        <f aca="false">AK62</f>
        <v>117.832131551223</v>
      </c>
      <c r="AM29" s="11" t="n">
        <f aca="false">AL62</f>
        <v>119.647894389963</v>
      </c>
      <c r="AN29" s="11" t="n">
        <f aca="false">AM62</f>
        <v>121.075442531512</v>
      </c>
      <c r="AO29" s="11" t="n">
        <f aca="false">AN62</f>
        <v>122.155743731141</v>
      </c>
      <c r="AP29" s="11" t="n">
        <f aca="false">AO62</f>
        <v>123.057449727754</v>
      </c>
      <c r="AQ29" s="11" t="n">
        <f aca="false">AP62</f>
        <v>131.896872884593</v>
      </c>
      <c r="AR29" s="11" t="n">
        <f aca="false">AQ62</f>
        <v>138.710071147171</v>
      </c>
      <c r="AS29" s="11" t="n">
        <f aca="false">AR62</f>
        <v>139.31631461941</v>
      </c>
      <c r="AT29" s="11" t="n">
        <f aca="false">AS62</f>
        <v>139.31631461941</v>
      </c>
      <c r="AU29" s="11" t="n">
        <f aca="false">AT62</f>
        <v>139.31631461941</v>
      </c>
      <c r="AV29" s="11" t="n">
        <f aca="false">AU62</f>
        <v>139.31631461941</v>
      </c>
      <c r="AW29" s="11" t="n">
        <f aca="false">AV62</f>
        <v>139.31631461941</v>
      </c>
      <c r="AX29" s="11" t="n">
        <f aca="false">AW62</f>
        <v>139.31631461941</v>
      </c>
      <c r="AY29" s="11" t="n">
        <f aca="false">AX62</f>
        <v>139.31631461941</v>
      </c>
      <c r="AZ29" s="11" t="n">
        <f aca="false">AY62</f>
        <v>139.31631461941</v>
      </c>
      <c r="BA29" s="11" t="n">
        <f aca="false">AZ62</f>
        <v>139.31631461941</v>
      </c>
      <c r="BB29" s="11" t="n">
        <f aca="false">BA62</f>
        <v>139.31631461941</v>
      </c>
      <c r="BC29" s="11" t="n">
        <f aca="false">BB62</f>
        <v>139.31631461941</v>
      </c>
      <c r="BD29" s="11" t="n">
        <f aca="false">BC62</f>
        <v>139.31631461941</v>
      </c>
      <c r="BE29" s="11" t="n">
        <f aca="false">BD62</f>
        <v>139.31631461941</v>
      </c>
      <c r="BF29" s="11" t="n">
        <f aca="false">BE62</f>
        <v>139.31631461941</v>
      </c>
      <c r="BG29" s="11" t="n">
        <f aca="false">BF62</f>
        <v>139.31631461941</v>
      </c>
      <c r="BH29" s="11" t="n">
        <f aca="false">BG62</f>
        <v>139.31631461941</v>
      </c>
      <c r="BI29" s="11" t="n">
        <f aca="false">BH62</f>
        <v>139.31631461941</v>
      </c>
      <c r="BJ29" s="11" t="n">
        <f aca="false">BI62</f>
        <v>139.31631461941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9.00478684951255</v>
      </c>
      <c r="L30" s="11" t="n">
        <f aca="false">K63</f>
        <v>9.18985910197123</v>
      </c>
      <c r="M30" s="11" t="n">
        <f aca="false">L63</f>
        <v>9.42577194913603</v>
      </c>
      <c r="N30" s="11" t="n">
        <f aca="false">M63</f>
        <v>9.75927684918395</v>
      </c>
      <c r="O30" s="11" t="n">
        <f aca="false">N63</f>
        <v>10.2394991424711</v>
      </c>
      <c r="P30" s="11" t="n">
        <f aca="false">O63</f>
        <v>10.9012503429799</v>
      </c>
      <c r="Q30" s="11" t="n">
        <f aca="false">P63</f>
        <v>11.7645233875171</v>
      </c>
      <c r="R30" s="11" t="n">
        <f aca="false">Q63</f>
        <v>12.8602927081295</v>
      </c>
      <c r="S30" s="11" t="n">
        <f aca="false">R63</f>
        <v>14.1877801768784</v>
      </c>
      <c r="T30" s="11" t="n">
        <f aca="false">S63</f>
        <v>15.7512149562433</v>
      </c>
      <c r="U30" s="11" t="n">
        <f aca="false">T63</f>
        <v>17.5354522901043</v>
      </c>
      <c r="V30" s="11" t="n">
        <f aca="false">U63</f>
        <v>19.5313929933512</v>
      </c>
      <c r="W30" s="11" t="n">
        <f aca="false">V63</f>
        <v>21.713462822429</v>
      </c>
      <c r="X30" s="11" t="n">
        <f aca="false">W63</f>
        <v>24.0503201362195</v>
      </c>
      <c r="Y30" s="11" t="n">
        <f aca="false">X63</f>
        <v>26.5153120426057</v>
      </c>
      <c r="Z30" s="11" t="n">
        <f aca="false">Y63</f>
        <v>29.0656248702116</v>
      </c>
      <c r="AA30" s="11" t="n">
        <f aca="false">Z63</f>
        <v>31.6693819074419</v>
      </c>
      <c r="AB30" s="11" t="n">
        <f aca="false">AA63</f>
        <v>34.3703139256022</v>
      </c>
      <c r="AC30" s="11" t="n">
        <f aca="false">AB63</f>
        <v>36.9466685218717</v>
      </c>
      <c r="AD30" s="11" t="n">
        <f aca="false">AC63</f>
        <v>39.4617861075955</v>
      </c>
      <c r="AE30" s="11" t="n">
        <f aca="false">AD63</f>
        <v>41.8660713667593</v>
      </c>
      <c r="AF30" s="11" t="n">
        <f aca="false">AE63</f>
        <v>44.1345264432299</v>
      </c>
      <c r="AG30" s="11" t="n">
        <f aca="false">AF63</f>
        <v>46.2283857293838</v>
      </c>
      <c r="AH30" s="11" t="n">
        <f aca="false">AG63</f>
        <v>48.1332329274839</v>
      </c>
      <c r="AI30" s="11" t="n">
        <f aca="false">AH63</f>
        <v>49.8262571911463</v>
      </c>
      <c r="AJ30" s="11" t="n">
        <f aca="false">AI63</f>
        <v>51.2917736411373</v>
      </c>
      <c r="AK30" s="11" t="n">
        <f aca="false">AJ63</f>
        <v>52.5376981558454</v>
      </c>
      <c r="AL30" s="11" t="n">
        <f aca="false">AK63</f>
        <v>53.5600597960105</v>
      </c>
      <c r="AM30" s="11" t="n">
        <f aca="false">AL63</f>
        <v>54.3854065408923</v>
      </c>
      <c r="AN30" s="11" t="n">
        <f aca="false">AM63</f>
        <v>55.0342920597781</v>
      </c>
      <c r="AO30" s="11" t="n">
        <f aca="false">AN63</f>
        <v>55.5253380596093</v>
      </c>
      <c r="AP30" s="11" t="n">
        <f aca="false">AO63</f>
        <v>55.9352044217061</v>
      </c>
      <c r="AQ30" s="11" t="n">
        <f aca="false">AP63</f>
        <v>59.9531240384514</v>
      </c>
      <c r="AR30" s="11" t="n">
        <f aca="false">AQ63</f>
        <v>63.0500323396234</v>
      </c>
      <c r="AS30" s="11" t="n">
        <f aca="false">AR63</f>
        <v>63.3255975542774</v>
      </c>
      <c r="AT30" s="11" t="n">
        <f aca="false">AS63</f>
        <v>63.3255975542774</v>
      </c>
      <c r="AU30" s="11" t="n">
        <f aca="false">AT63</f>
        <v>63.3255975542774</v>
      </c>
      <c r="AV30" s="11" t="n">
        <f aca="false">AU63</f>
        <v>63.3255975542774</v>
      </c>
      <c r="AW30" s="11" t="n">
        <f aca="false">AV63</f>
        <v>63.3255975542774</v>
      </c>
      <c r="AX30" s="11" t="n">
        <f aca="false">AW63</f>
        <v>63.3255975542774</v>
      </c>
      <c r="AY30" s="11" t="n">
        <f aca="false">AX63</f>
        <v>63.3255975542774</v>
      </c>
      <c r="AZ30" s="11" t="n">
        <f aca="false">AY63</f>
        <v>63.3255975542774</v>
      </c>
      <c r="BA30" s="11" t="n">
        <f aca="false">AZ63</f>
        <v>63.3255975542774</v>
      </c>
      <c r="BB30" s="11" t="n">
        <f aca="false">BA63</f>
        <v>63.3255975542774</v>
      </c>
      <c r="BC30" s="11" t="n">
        <f aca="false">BB63</f>
        <v>63.3255975542774</v>
      </c>
      <c r="BD30" s="11" t="n">
        <f aca="false">BC63</f>
        <v>63.3255975542774</v>
      </c>
      <c r="BE30" s="11" t="n">
        <f aca="false">BD63</f>
        <v>63.3255975542774</v>
      </c>
      <c r="BF30" s="11" t="n">
        <f aca="false">BE63</f>
        <v>63.3255975542774</v>
      </c>
      <c r="BG30" s="11" t="n">
        <f aca="false">BF63</f>
        <v>63.3255975542774</v>
      </c>
      <c r="BH30" s="11" t="n">
        <f aca="false">BG63</f>
        <v>63.3255975542774</v>
      </c>
      <c r="BI30" s="11" t="n">
        <f aca="false">BH63</f>
        <v>63.3255975542774</v>
      </c>
      <c r="BJ30" s="11" t="n">
        <f aca="false">BI63</f>
        <v>63.3255975542774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34.2181900281477</v>
      </c>
      <c r="L31" s="11" t="n">
        <f aca="false">K64</f>
        <v>34.9214645874907</v>
      </c>
      <c r="M31" s="11" t="n">
        <f aca="false">L64</f>
        <v>35.8179334067169</v>
      </c>
      <c r="N31" s="11" t="n">
        <f aca="false">M64</f>
        <v>37.085252026899</v>
      </c>
      <c r="O31" s="11" t="n">
        <f aca="false">N64</f>
        <v>38.9100967413902</v>
      </c>
      <c r="P31" s="11" t="n">
        <f aca="false">O64</f>
        <v>41.4247513033236</v>
      </c>
      <c r="Q31" s="11" t="n">
        <f aca="false">P64</f>
        <v>44.705188872565</v>
      </c>
      <c r="R31" s="11" t="n">
        <f aca="false">Q64</f>
        <v>48.8691122908921</v>
      </c>
      <c r="S31" s="11" t="n">
        <f aca="false">R64</f>
        <v>53.913564672138</v>
      </c>
      <c r="T31" s="11" t="n">
        <f aca="false">S64</f>
        <v>59.8546168337247</v>
      </c>
      <c r="U31" s="11" t="n">
        <f aca="false">T64</f>
        <v>66.6347187023965</v>
      </c>
      <c r="V31" s="11" t="n">
        <f aca="false">U64</f>
        <v>74.2192933747346</v>
      </c>
      <c r="W31" s="11" t="n">
        <f aca="false">V64</f>
        <v>82.5111587252303</v>
      </c>
      <c r="X31" s="11" t="n">
        <f aca="false">W64</f>
        <v>91.3912165176342</v>
      </c>
      <c r="Y31" s="11" t="n">
        <f aca="false">X64</f>
        <v>100.758185761902</v>
      </c>
      <c r="Z31" s="11" t="n">
        <f aca="false">Y64</f>
        <v>110.449374506804</v>
      </c>
      <c r="AA31" s="11" t="n">
        <f aca="false">Z64</f>
        <v>120.343651248279</v>
      </c>
      <c r="AB31" s="11" t="n">
        <f aca="false">AA64</f>
        <v>130.607192917288</v>
      </c>
      <c r="AC31" s="11" t="n">
        <f aca="false">AB64</f>
        <v>140.397340383112</v>
      </c>
      <c r="AD31" s="11" t="n">
        <f aca="false">AC64</f>
        <v>149.954787208863</v>
      </c>
      <c r="AE31" s="11" t="n">
        <f aca="false">AD64</f>
        <v>159.091071193685</v>
      </c>
      <c r="AF31" s="11" t="n">
        <f aca="false">AE64</f>
        <v>167.711200484274</v>
      </c>
      <c r="AG31" s="11" t="n">
        <f aca="false">AF64</f>
        <v>175.667865771659</v>
      </c>
      <c r="AH31" s="11" t="n">
        <f aca="false">AG64</f>
        <v>182.906285124439</v>
      </c>
      <c r="AI31" s="11" t="n">
        <f aca="false">AH64</f>
        <v>189.339777326356</v>
      </c>
      <c r="AJ31" s="11" t="n">
        <f aca="false">AI64</f>
        <v>194.908739836322</v>
      </c>
      <c r="AK31" s="11" t="n">
        <f aca="false">AJ64</f>
        <v>199.643252992213</v>
      </c>
      <c r="AL31" s="11" t="n">
        <f aca="false">AK64</f>
        <v>203.52822722484</v>
      </c>
      <c r="AM31" s="11" t="n">
        <f aca="false">AL64</f>
        <v>206.664544855391</v>
      </c>
      <c r="AN31" s="11" t="n">
        <f aca="false">AM64</f>
        <v>209.130309827157</v>
      </c>
      <c r="AO31" s="11" t="n">
        <f aca="false">AN64</f>
        <v>210.996284626515</v>
      </c>
      <c r="AP31" s="11" t="n">
        <f aca="false">AO64</f>
        <v>212.553776802483</v>
      </c>
      <c r="AQ31" s="11" t="n">
        <f aca="false">AP64</f>
        <v>227.821871346115</v>
      </c>
      <c r="AR31" s="11" t="n">
        <f aca="false">AQ64</f>
        <v>239.590122890569</v>
      </c>
      <c r="AS31" s="11" t="n">
        <f aca="false">AR64</f>
        <v>240.637270706254</v>
      </c>
      <c r="AT31" s="11" t="n">
        <f aca="false">AS64</f>
        <v>240.637270706254</v>
      </c>
      <c r="AU31" s="11" t="n">
        <f aca="false">AT64</f>
        <v>240.637270706254</v>
      </c>
      <c r="AV31" s="11" t="n">
        <f aca="false">AU64</f>
        <v>240.637270706254</v>
      </c>
      <c r="AW31" s="11" t="n">
        <f aca="false">AV64</f>
        <v>240.637270706254</v>
      </c>
      <c r="AX31" s="11" t="n">
        <f aca="false">AW64</f>
        <v>240.637270706254</v>
      </c>
      <c r="AY31" s="11" t="n">
        <f aca="false">AX64</f>
        <v>240.637270706254</v>
      </c>
      <c r="AZ31" s="11" t="n">
        <f aca="false">AY64</f>
        <v>240.637270706254</v>
      </c>
      <c r="BA31" s="11" t="n">
        <f aca="false">AZ64</f>
        <v>240.637270706254</v>
      </c>
      <c r="BB31" s="11" t="n">
        <f aca="false">BA64</f>
        <v>240.637270706254</v>
      </c>
      <c r="BC31" s="11" t="n">
        <f aca="false">BB64</f>
        <v>240.637270706254</v>
      </c>
      <c r="BD31" s="11" t="n">
        <f aca="false">BC64</f>
        <v>240.637270706254</v>
      </c>
      <c r="BE31" s="11" t="n">
        <f aca="false">BD64</f>
        <v>240.637270706254</v>
      </c>
      <c r="BF31" s="11" t="n">
        <f aca="false">BE64</f>
        <v>240.637270706254</v>
      </c>
      <c r="BG31" s="11" t="n">
        <f aca="false">BF64</f>
        <v>240.637270706254</v>
      </c>
      <c r="BH31" s="11" t="n">
        <f aca="false">BG64</f>
        <v>240.637270706254</v>
      </c>
      <c r="BI31" s="11" t="n">
        <f aca="false">BH64</f>
        <v>240.637270706254</v>
      </c>
      <c r="BJ31" s="11" t="n">
        <f aca="false">BI64</f>
        <v>240.637270706254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1.74223968585352E-011</v>
      </c>
      <c r="AT32" s="11" t="n">
        <f aca="false">AS65</f>
        <v>1.74223968585352E-011</v>
      </c>
      <c r="AU32" s="11" t="n">
        <f aca="false">AT65</f>
        <v>1.74223968585352E-011</v>
      </c>
      <c r="AV32" s="11" t="n">
        <f aca="false">AU65</f>
        <v>1.74223968585352E-011</v>
      </c>
      <c r="AW32" s="11" t="n">
        <f aca="false">AV65</f>
        <v>1.74223968585352E-011</v>
      </c>
      <c r="AX32" s="11" t="n">
        <f aca="false">AW65</f>
        <v>1.74223968585352E-011</v>
      </c>
      <c r="AY32" s="11" t="n">
        <f aca="false">AX65</f>
        <v>1.74223968585352E-011</v>
      </c>
      <c r="AZ32" s="11" t="n">
        <f aca="false">AY65</f>
        <v>1.74223968585352E-011</v>
      </c>
      <c r="BA32" s="11" t="n">
        <f aca="false">AZ65</f>
        <v>1.74223968585352E-011</v>
      </c>
      <c r="BB32" s="11" t="n">
        <f aca="false">BA65</f>
        <v>1.74223968585352E-011</v>
      </c>
      <c r="BC32" s="11" t="n">
        <f aca="false">BB65</f>
        <v>1.74223968585352E-011</v>
      </c>
      <c r="BD32" s="11" t="n">
        <f aca="false">BC65</f>
        <v>1.74223968585352E-011</v>
      </c>
      <c r="BE32" s="11" t="n">
        <f aca="false">BD65</f>
        <v>1.74223968585352E-011</v>
      </c>
      <c r="BF32" s="11" t="n">
        <f aca="false">BE65</f>
        <v>1.74223968585352E-011</v>
      </c>
      <c r="BG32" s="11" t="n">
        <f aca="false">BF65</f>
        <v>1.74223968585352E-011</v>
      </c>
      <c r="BH32" s="11" t="n">
        <f aca="false">BG65</f>
        <v>1.74223968585352E-011</v>
      </c>
      <c r="BI32" s="11" t="n">
        <f aca="false">BH65</f>
        <v>1.74223968585352E-011</v>
      </c>
      <c r="BJ32" s="11" t="n">
        <f aca="false">BI65</f>
        <v>1.74223968585352E-011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12.4338223254569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0.0871213127690339</v>
      </c>
      <c r="L33" s="11" t="n">
        <f aca="false">Construction!L14*L28*(Construction!L17+Inputs!$F$77)/100*Construction!L11/360*1</f>
        <v>0.0918756163719574</v>
      </c>
      <c r="M33" s="11" t="n">
        <f aca="false">Construction!M14*M28*(Construction!M17+Inputs!$F$77)/100*Construction!M11/360*1</f>
        <v>0.0911943436078911</v>
      </c>
      <c r="N33" s="11" t="n">
        <f aca="false">Construction!N14*N28*(Construction!N17+Inputs!$F$77)/100*Construction!N11/360*1</f>
        <v>0.0975683702997165</v>
      </c>
      <c r="O33" s="11" t="n">
        <f aca="false">Construction!O14*O28*(Construction!O17+Inputs!$F$77)/100*Construction!O11/360*1</f>
        <v>0.109511443328729</v>
      </c>
      <c r="P33" s="11" t="n">
        <f aca="false">Construction!P14*P28*(Construction!P17+Inputs!$F$77)/100*Construction!P11/360*1</f>
        <v>0.105306078313186</v>
      </c>
      <c r="Q33" s="11" t="n">
        <f aca="false">Construction!Q14*Q28*(Construction!Q17+Inputs!$F$77)/100*Construction!Q11/360*1</f>
        <v>0.125821577629495</v>
      </c>
      <c r="R33" s="11" t="n">
        <f aca="false">Construction!R14*R28*(Construction!R17+Inputs!$F$77)/100*Construction!R11/360*1</f>
        <v>0.13310402952914</v>
      </c>
      <c r="S33" s="11" t="n">
        <f aca="false">Construction!S14*S28*(Construction!S17+Inputs!$F$77)/100*Construction!S11/360*1</f>
        <v>0.151738308991715</v>
      </c>
      <c r="T33" s="11" t="n">
        <f aca="false">Construction!T14*T28*(Construction!T17+Inputs!$F$77)/100*Construction!T11/360*1</f>
        <v>0.163025074797119</v>
      </c>
      <c r="U33" s="11" t="n">
        <f aca="false">Construction!U14*U28*(Construction!U17+Inputs!$F$77)/100*Construction!U11/360*1</f>
        <v>0.194336650005081</v>
      </c>
      <c r="V33" s="11" t="n">
        <f aca="false">Construction!V14*V28*(Construction!V17+Inputs!$F$77)/100*Construction!V11/360*1</f>
        <v>0.216456662848815</v>
      </c>
      <c r="W33" s="11" t="n">
        <f aca="false">Construction!W14*W28*(Construction!W17+Inputs!$F$77)/100*Construction!W11/360*1</f>
        <v>0.232876888770551</v>
      </c>
      <c r="X33" s="11" t="n">
        <f aca="false">Construction!X14*X28*(Construction!X17+Inputs!$F$77)/100*Construction!X11/360*1</f>
        <v>0.266537672909653</v>
      </c>
      <c r="Y33" s="11" t="n">
        <f aca="false">Construction!Y14*Y28*(Construction!Y17+Inputs!$F$77)/100*Construction!Y11/360*1</f>
        <v>0.284376721656946</v>
      </c>
      <c r="Z33" s="11" t="n">
        <f aca="false">Construction!Z14*Z28*(Construction!Z17+Inputs!$F$77)/100*Construction!Z11/360*1</f>
        <v>0.32211978762412</v>
      </c>
      <c r="AA33" s="11" t="n">
        <f aca="false">Construction!AA14*AA28*(Construction!AA17+Inputs!$F$77)/100*Construction!AA11/360*1</f>
        <v>0.35752093058343</v>
      </c>
      <c r="AB33" s="11" t="n">
        <f aca="false">Construction!AB14*AB28*(Construction!AB17+Inputs!$F$77)/100*Construction!AB11/360*1</f>
        <v>0.362979156982631</v>
      </c>
      <c r="AC33" s="11" t="n">
        <f aca="false">Construction!AC14*AC28*(Construction!AC17+Inputs!$F$77)/100*Construction!AC11/360*1</f>
        <v>0.417097098721496</v>
      </c>
      <c r="AD33" s="11" t="n">
        <f aca="false">Construction!AD14*AD28*(Construction!AD17+Inputs!$F$77)/100*Construction!AD11/360*1</f>
        <v>0.431120013225481</v>
      </c>
      <c r="AE33" s="11" t="n">
        <f aca="false">Construction!AE14*AE28*(Construction!AE17+Inputs!$F$77)/100*Construction!AE11/360*1</f>
        <v>0.472633057337907</v>
      </c>
      <c r="AF33" s="11" t="n">
        <f aca="false">Construction!AF14*AF28*(Construction!AF17+Inputs!$F$77)/100*Construction!AF11/360*1</f>
        <v>0.482169701392287</v>
      </c>
      <c r="AG33" s="11" t="n">
        <f aca="false">Construction!AG14*AG28*(Construction!AG17+Inputs!$F$77)/100*Construction!AG11/360*1</f>
        <v>0.526656884422005</v>
      </c>
      <c r="AH33" s="11" t="n">
        <f aca="false">Construction!AH14*AH28*(Construction!AH17+Inputs!$F$77)/100*Construction!AH11/360*1</f>
        <v>0.548357856126361</v>
      </c>
      <c r="AI33" s="11" t="n">
        <f aca="false">Construction!AI14*AI28*(Construction!AI17+Inputs!$F$77)/100*Construction!AI11/360*1</f>
        <v>0.549334485532388</v>
      </c>
      <c r="AJ33" s="11" t="n">
        <f aca="false">Construction!AJ14*AJ28*(Construction!AJ17+Inputs!$F$77)/100*Construction!AJ11/360*1</f>
        <v>0.584341531206656</v>
      </c>
      <c r="AK33" s="11" t="n">
        <f aca="false">Construction!AK14*AK28*(Construction!AK17+Inputs!$F$77)/100*Construction!AK11/360*1</f>
        <v>0.579228122168195</v>
      </c>
      <c r="AL33" s="11" t="n">
        <f aca="false">Construction!AL14*AL28*(Construction!AL17+Inputs!$F$77)/100*Construction!AL11/360*1</f>
        <v>0.61018298122605</v>
      </c>
      <c r="AM33" s="11" t="n">
        <f aca="false">Construction!AM14*AM28*(Construction!AM17+Inputs!$F$77)/100*Construction!AM11/360*1</f>
        <v>0.623800613024035</v>
      </c>
      <c r="AN33" s="11" t="n">
        <f aca="false">Construction!AN14*AN28*(Construction!AN17+Inputs!$F$77)/100*Construction!AN11/360*1</f>
        <v>0.570155265739301</v>
      </c>
      <c r="AO33" s="11" t="n">
        <f aca="false">Construction!AO14*AO28*(Construction!AO17+Inputs!$F$77)/100*Construction!AO11/360*1</f>
        <v>0.636875627543719</v>
      </c>
      <c r="AP33" s="11" t="n">
        <f aca="false">Construction!AP14*AP28*(Construction!AP17+Inputs!$F$77)/100*Construction!AP11/360*1</f>
        <v>0.620880769080938</v>
      </c>
      <c r="AQ33" s="11" t="n">
        <f aca="false">Construction!AQ14*AQ28*(Construction!AQ17+Inputs!$F$77)/100*Construction!AQ11/360*1</f>
        <v>0.687662332721037</v>
      </c>
      <c r="AR33" s="11" t="n">
        <f aca="false">Construction!AR14*AR28*(Construction!AR17+Inputs!$F$77)/100*Construction!AR11/360*1</f>
        <v>0.699855358969819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13.9280603473294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0.101859147246069</v>
      </c>
      <c r="L34" s="11" t="n">
        <f aca="false">Construction!L14*L29*(Construction!L17+Inputs!$F$78)/100*Construction!L11/360*1</f>
        <v>0.107417710304302</v>
      </c>
      <c r="M34" s="11" t="n">
        <f aca="false">Construction!M14*M29*(Construction!M17+Inputs!$F$78)/100*Construction!M11/360*1</f>
        <v>0.106621190364644</v>
      </c>
      <c r="N34" s="11" t="n">
        <f aca="false">Construction!N14*N29*(Construction!N17+Inputs!$F$78)/100*Construction!N11/360*1</f>
        <v>0.114073476179875</v>
      </c>
      <c r="O34" s="11" t="n">
        <f aca="false">Construction!O14*O29*(Construction!O17+Inputs!$F$78)/100*Construction!O11/360*1</f>
        <v>0.124924164982401</v>
      </c>
      <c r="P34" s="11" t="n">
        <f aca="false">Construction!P14*P29*(Construction!P17+Inputs!$F$78)/100*Construction!P11/360*1</f>
        <v>0.120126933779486</v>
      </c>
      <c r="Q34" s="11" t="n">
        <f aca="false">Construction!Q14*Q29*(Construction!Q17+Inputs!$F$78)/100*Construction!Q11/360*1</f>
        <v>0.143529799666239</v>
      </c>
      <c r="R34" s="11" t="n">
        <f aca="false">Construction!R14*R29*(Construction!R17+Inputs!$F$78)/100*Construction!R11/360*1</f>
        <v>0.151837189240649</v>
      </c>
      <c r="S34" s="11" t="n">
        <f aca="false">Construction!S14*S29*(Construction!S17+Inputs!$F$78)/100*Construction!S11/360*1</f>
        <v>0.173094070997956</v>
      </c>
      <c r="T34" s="11" t="n">
        <f aca="false">Construction!T14*T29*(Construction!T17+Inputs!$F$78)/100*Construction!T11/360*1</f>
        <v>0.18596934458338</v>
      </c>
      <c r="U34" s="11" t="n">
        <f aca="false">Construction!U14*U29*(Construction!U17+Inputs!$F$78)/100*Construction!U11/360*1</f>
        <v>0.21891940573222</v>
      </c>
      <c r="V34" s="11" t="n">
        <f aca="false">Construction!V14*V29*(Construction!V17+Inputs!$F$78)/100*Construction!V11/360*1</f>
        <v>0.243837505670716</v>
      </c>
      <c r="W34" s="11" t="n">
        <f aca="false">Construction!W14*W29*(Construction!W17+Inputs!$F$78)/100*Construction!W11/360*1</f>
        <v>0.262334819999647</v>
      </c>
      <c r="X34" s="11" t="n">
        <f aca="false">Construction!X14*X29*(Construction!X17+Inputs!$F$78)/100*Construction!X11/360*1</f>
        <v>0.30025354948284</v>
      </c>
      <c r="Y34" s="11" t="n">
        <f aca="false">Construction!Y14*Y29*(Construction!Y17+Inputs!$F$78)/100*Construction!Y11/360*1</f>
        <v>0.320349161661415</v>
      </c>
      <c r="Z34" s="11" t="n">
        <f aca="false">Construction!Z14*Z29*(Construction!Z17+Inputs!$F$78)/100*Construction!Z11/360*1</f>
        <v>0.362866564178283</v>
      </c>
      <c r="AA34" s="11" t="n">
        <f aca="false">Construction!AA14*AA29*(Construction!AA17+Inputs!$F$78)/100*Construction!AA11/360*1</f>
        <v>0.40017255037233</v>
      </c>
      <c r="AB34" s="11" t="n">
        <f aca="false">Construction!AB14*AB29*(Construction!AB17+Inputs!$F$78)/100*Construction!AB11/360*1</f>
        <v>0.40628193360512</v>
      </c>
      <c r="AC34" s="11" t="n">
        <f aca="false">Construction!AC14*AC29*(Construction!AC17+Inputs!$F$78)/100*Construction!AC11/360*1</f>
        <v>0.466856050849675</v>
      </c>
      <c r="AD34" s="11" t="n">
        <f aca="false">Construction!AD14*AD29*(Construction!AD17+Inputs!$F$78)/100*Construction!AD11/360*1</f>
        <v>0.48255187445238</v>
      </c>
      <c r="AE34" s="11" t="n">
        <f aca="false">Construction!AE14*AE29*(Construction!AE17+Inputs!$F$78)/100*Construction!AE11/360*1</f>
        <v>0.529017351897517</v>
      </c>
      <c r="AF34" s="11" t="n">
        <f aca="false">Construction!AF14*AF29*(Construction!AF17+Inputs!$F$78)/100*Construction!AF11/360*1</f>
        <v>0.53969170085663</v>
      </c>
      <c r="AG34" s="11" t="n">
        <f aca="false">Construction!AG14*AG29*(Construction!AG17+Inputs!$F$78)/100*Construction!AG11/360*1</f>
        <v>0.587642398173669</v>
      </c>
      <c r="AH34" s="11" t="n">
        <f aca="false">Construction!AH14*AH29*(Construction!AH17+Inputs!$F$78)/100*Construction!AH11/360*1</f>
        <v>0.611856286631696</v>
      </c>
      <c r="AI34" s="11" t="n">
        <f aca="false">Construction!AI14*AI29*(Construction!AI17+Inputs!$F$78)/100*Construction!AI11/360*1</f>
        <v>0.612946007213085</v>
      </c>
      <c r="AJ34" s="11" t="n">
        <f aca="false">Construction!AJ14*AJ29*(Construction!AJ17+Inputs!$F$78)/100*Construction!AJ11/360*1</f>
        <v>0.652006778811237</v>
      </c>
      <c r="AK34" s="11" t="n">
        <f aca="false">Construction!AK14*AK29*(Construction!AK17+Inputs!$F$78)/100*Construction!AK11/360*1</f>
        <v>0.646301250147158</v>
      </c>
      <c r="AL34" s="11" t="n">
        <f aca="false">Construction!AL14*AL29*(Construction!AL17+Inputs!$F$78)/100*Construction!AL11/360*1</f>
        <v>0.680840602332498</v>
      </c>
      <c r="AM34" s="11" t="n">
        <f aca="false">Construction!AM14*AM29*(Construction!AM17+Inputs!$F$78)/100*Construction!AM11/360*1</f>
        <v>0.694423084828858</v>
      </c>
      <c r="AN34" s="11" t="n">
        <f aca="false">Construction!AN14*AN29*(Construction!AN17+Inputs!$F$78)/100*Construction!AN11/360*1</f>
        <v>0.634704375404081</v>
      </c>
      <c r="AO34" s="11" t="n">
        <f aca="false">Construction!AO14*AO29*(Construction!AO17+Inputs!$F$78)/100*Construction!AO11/360*1</f>
        <v>0.708978363755125</v>
      </c>
      <c r="AP34" s="11" t="n">
        <f aca="false">Construction!AP14*AP29*(Construction!AP17+Inputs!$F$78)/100*Construction!AP11/360*1</f>
        <v>0.691172675970882</v>
      </c>
      <c r="AQ34" s="11" t="n">
        <f aca="false">Construction!AQ14*AQ29*(Construction!AQ17+Inputs!$F$78)/100*Construction!AQ11/360*1</f>
        <v>0.76551479501408</v>
      </c>
      <c r="AR34" s="11" t="n">
        <f aca="false">Construction!AR14*AR29*(Construction!AR17+Inputs!$F$78)/100*Construction!AR11/360*1</f>
        <v>0.77908823294328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6.0932920563292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0.0444236151242619</v>
      </c>
      <c r="L35" s="11" t="n">
        <f aca="false">Construction!L14*L30*(Construction!L17+Inputs!$F$79)/100*Construction!L11/360*1</f>
        <v>0.0468478595109378</v>
      </c>
      <c r="M35" s="11" t="n">
        <f aca="false">Construction!M14*M30*(Construction!M17+Inputs!$F$79)/100*Construction!M11/360*1</f>
        <v>0.0465004749490711</v>
      </c>
      <c r="N35" s="11" t="n">
        <f aca="false">Construction!N14*N30*(Construction!N17+Inputs!$F$79)/100*Construction!N11/360*1</f>
        <v>0.0497506246489511</v>
      </c>
      <c r="O35" s="11" t="n">
        <f aca="false">Construction!O14*O30*(Construction!O17+Inputs!$F$79)/100*Construction!O11/360*1</f>
        <v>0.0545793747346884</v>
      </c>
      <c r="P35" s="11" t="n">
        <f aca="false">Construction!P14*P30*(Construction!P17+Inputs!$F$79)/100*Construction!P11/360*1</f>
        <v>0.0524834641512576</v>
      </c>
      <c r="Q35" s="11" t="n">
        <f aca="false">Construction!Q14*Q30*(Construction!Q17+Inputs!$F$79)/100*Construction!Q11/360*1</f>
        <v>0.0627081775786294</v>
      </c>
      <c r="R35" s="11" t="n">
        <f aca="false">Construction!R14*R30*(Construction!R17+Inputs!$F$79)/100*Construction!R11/360*1</f>
        <v>0.066337676552768</v>
      </c>
      <c r="S35" s="11" t="n">
        <f aca="false">Construction!S14*S30*(Construction!S17+Inputs!$F$79)/100*Construction!S11/360*1</f>
        <v>0.0756248093928112</v>
      </c>
      <c r="T35" s="11" t="n">
        <f aca="false">Construction!T14*T30*(Construction!T17+Inputs!$F$79)/100*Construction!T11/360*1</f>
        <v>0.0812500171492886</v>
      </c>
      <c r="U35" s="11" t="n">
        <f aca="false">Construction!U14*U30*(Construction!U17+Inputs!$F$79)/100*Construction!U11/360*1</f>
        <v>0.0957338275860308</v>
      </c>
      <c r="V35" s="11" t="n">
        <f aca="false">Construction!V14*V30*(Construction!V17+Inputs!$F$79)/100*Construction!V11/360*1</f>
        <v>0.106630554969812</v>
      </c>
      <c r="W35" s="11" t="n">
        <f aca="false">Construction!W14*W30*(Construction!W17+Inputs!$F$79)/100*Construction!W11/360*1</f>
        <v>0.114719461911833</v>
      </c>
      <c r="X35" s="11" t="n">
        <f aca="false">Construction!X14*X30*(Construction!X17+Inputs!$F$79)/100*Construction!X11/360*1</f>
        <v>0.131301386654794</v>
      </c>
      <c r="Y35" s="11" t="n">
        <f aca="false">Construction!Y14*Y30*(Construction!Y17+Inputs!$F$79)/100*Construction!Y11/360*1</f>
        <v>0.140089231958434</v>
      </c>
      <c r="Z35" s="11" t="n">
        <f aca="false">Construction!Z14*Z30*(Construction!Z17+Inputs!$F$79)/100*Construction!Z11/360*1</f>
        <v>0.158682164221983</v>
      </c>
      <c r="AA35" s="11" t="n">
        <f aca="false">Construction!AA14*AA30*(Construction!AA17+Inputs!$F$79)/100*Construction!AA11/360*1</f>
        <v>0.175078899644975</v>
      </c>
      <c r="AB35" s="11" t="n">
        <f aca="false">Construction!AB14*AB30*(Construction!AB17+Inputs!$F$79)/100*Construction!AB11/360*1</f>
        <v>0.177751806851906</v>
      </c>
      <c r="AC35" s="11" t="n">
        <f aca="false">Construction!AC14*AC30*(Construction!AC17+Inputs!$F$79)/100*Construction!AC11/360*1</f>
        <v>0.20425349914508</v>
      </c>
      <c r="AD35" s="11" t="n">
        <f aca="false">Construction!AD14*AD30*(Construction!AD17+Inputs!$F$79)/100*Construction!AD11/360*1</f>
        <v>0.211120555675636</v>
      </c>
      <c r="AE35" s="11" t="n">
        <f aca="false">Construction!AE14*AE30*(Construction!AE17+Inputs!$F$79)/100*Construction!AE11/360*1</f>
        <v>0.231449597872568</v>
      </c>
      <c r="AF35" s="11" t="n">
        <f aca="false">Construction!AF14*AF30*(Construction!AF17+Inputs!$F$79)/100*Construction!AF11/360*1</f>
        <v>0.23611971647128</v>
      </c>
      <c r="AG35" s="11" t="n">
        <f aca="false">Construction!AG14*AG30*(Construction!AG17+Inputs!$F$79)/100*Construction!AG11/360*1</f>
        <v>0.257158236837956</v>
      </c>
      <c r="AH35" s="11" t="n">
        <f aca="false">Construction!AH14*AH30*(Construction!AH17+Inputs!$F$79)/100*Construction!AH11/360*1</f>
        <v>0.267754478501609</v>
      </c>
      <c r="AI35" s="11" t="n">
        <f aca="false">Construction!AI14*AI30*(Construction!AI17+Inputs!$F$79)/100*Construction!AI11/360*1</f>
        <v>0.268231351212338</v>
      </c>
      <c r="AJ35" s="11" t="n">
        <f aca="false">Construction!AJ14*AJ30*(Construction!AJ17+Inputs!$F$79)/100*Construction!AJ11/360*1</f>
        <v>0.285324738593726</v>
      </c>
      <c r="AK35" s="11" t="n">
        <f aca="false">Construction!AK14*AK30*(Construction!AK17+Inputs!$F$79)/100*Construction!AK11/360*1</f>
        <v>0.282827941738968</v>
      </c>
      <c r="AL35" s="11" t="n">
        <f aca="false">Construction!AL14*AL30*(Construction!AL17+Inputs!$F$79)/100*Construction!AL11/360*1</f>
        <v>0.297942710409696</v>
      </c>
      <c r="AM35" s="11" t="n">
        <f aca="false">Construction!AM14*AM30*(Construction!AM17+Inputs!$F$79)/100*Construction!AM11/360*1</f>
        <v>0.303938887276726</v>
      </c>
      <c r="AN35" s="11" t="n">
        <f aca="false">Construction!AN14*AN30*(Construction!AN17+Inputs!$F$79)/100*Construction!AN11/360*1</f>
        <v>0.27780087647508</v>
      </c>
      <c r="AO35" s="11" t="n">
        <f aca="false">Construction!AO14*AO30*(Construction!AO17+Inputs!$F$79)/100*Construction!AO11/360*1</f>
        <v>0.310309521228133</v>
      </c>
      <c r="AP35" s="11" t="n">
        <f aca="false">Construction!AP14*AP30*(Construction!AP17+Inputs!$F$79)/100*Construction!AP11/360*1</f>
        <v>0.302516230580727</v>
      </c>
      <c r="AQ35" s="11" t="n">
        <f aca="false">Construction!AQ14*AQ30*(Construction!AQ17+Inputs!$F$79)/100*Construction!AQ11/360*1</f>
        <v>0.335054695147112</v>
      </c>
      <c r="AR35" s="11" t="n">
        <f aca="false">Construction!AR14*AR30*(Construction!AR17+Inputs!$F$79)/100*Construction!AR11/360*1</f>
        <v>0.34099559157013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28.5367188040118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0.209744831468831</v>
      </c>
      <c r="L36" s="11" t="n">
        <f aca="false">Construction!L14*L31*(Construction!L17+Inputs!$F$80)/100*Construction!L11/360*(1/(1-Inputs!$F$91/100))</f>
        <v>0.221190832180396</v>
      </c>
      <c r="M36" s="11" t="n">
        <f aca="false">Construction!M14*M31*(Construction!M17+Inputs!$F$80)/100*Construction!M11/360*(1/(1-Inputs!$F$91/100))</f>
        <v>0.219550665881913</v>
      </c>
      <c r="N36" s="11" t="n">
        <f aca="false">Construction!N14*N31*(Construction!N17+Inputs!$F$80)/100*Construction!N11/360*(1/(1-Inputs!$F$91/100))</f>
        <v>0.234896154967908</v>
      </c>
      <c r="O36" s="11" t="n">
        <f aca="false">Construction!O14*O31*(Construction!O17+Inputs!$F$80)/100*Construction!O11/360*(1/(1-Inputs!$F$91/100))</f>
        <v>0.256506406265233</v>
      </c>
      <c r="P36" s="11" t="n">
        <f aca="false">Construction!P14*P31*(Construction!P17+Inputs!$F$80)/100*Construction!P11/360*(1/(1-Inputs!$F$91/100))</f>
        <v>0.24665626609374</v>
      </c>
      <c r="Q36" s="11" t="n">
        <f aca="false">Construction!Q14*Q31*(Construction!Q17+Inputs!$F$80)/100*Construction!Q11/360*(1/(1-Inputs!$F$91/100))</f>
        <v>0.294709299113925</v>
      </c>
      <c r="R36" s="11" t="n">
        <f aca="false">Construction!R14*R31*(Construction!R17+Inputs!$F$80)/100*Construction!R11/360*(1/(1-Inputs!$F$91/100))</f>
        <v>0.311766836744673</v>
      </c>
      <c r="S36" s="11" t="n">
        <f aca="false">Construction!S14*S31*(Construction!S17+Inputs!$F$80)/100*Construction!S11/360*(1/(1-Inputs!$F$91/100))</f>
        <v>0.355413527108703</v>
      </c>
      <c r="T36" s="11" t="n">
        <f aca="false">Construction!T14*T31*(Construction!T17+Inputs!$F$80)/100*Construction!T11/360*(1/(1-Inputs!$F$91/100))</f>
        <v>0.381850287022559</v>
      </c>
      <c r="U36" s="11" t="n">
        <f aca="false">Construction!U14*U31*(Construction!U17+Inputs!$F$80)/100*Construction!U11/360*(1/(1-Inputs!$F$91/100))</f>
        <v>0.448838302765772</v>
      </c>
      <c r="V36" s="11" t="n">
        <f aca="false">Construction!V14*V31*(Construction!V17+Inputs!$F$80)/100*Construction!V11/360*(1/(1-Inputs!$F$91/100))</f>
        <v>0.499926499571052</v>
      </c>
      <c r="W36" s="11" t="n">
        <f aca="false">Construction!W14*W31*(Construction!W17+Inputs!$F$80)/100*Construction!W11/360*(1/(1-Inputs!$F$91/100))</f>
        <v>0.537850516134835</v>
      </c>
      <c r="X36" s="11" t="n">
        <f aca="false">Construction!X14*X31*(Construction!X17+Inputs!$F$80)/100*Construction!X11/360*(1/(1-Inputs!$F$91/100))</f>
        <v>0.615593181876805</v>
      </c>
      <c r="Y36" s="11" t="n">
        <f aca="false">Construction!Y14*Y31*(Construction!Y17+Inputs!$F$80)/100*Construction!Y11/360*(1/(1-Inputs!$F$91/100))</f>
        <v>0.656794099781285</v>
      </c>
      <c r="Z36" s="11" t="n">
        <f aca="false">Construction!Z14*Z31*(Construction!Z17+Inputs!$F$80)/100*Construction!Z11/360*(1/(1-Inputs!$F$91/100))</f>
        <v>0.743965169517437</v>
      </c>
      <c r="AA36" s="11" t="n">
        <f aca="false">Construction!AA14*AA31*(Construction!AA17+Inputs!$F$80)/100*Construction!AA11/360*(1/(1-Inputs!$F$91/100))</f>
        <v>0.819822552577784</v>
      </c>
      <c r="AB36" s="11" t="n">
        <f aca="false">Construction!AB14*AB31*(Construction!AB17+Inputs!$F$80)/100*Construction!AB11/360*(1/(1-Inputs!$F$91/100))</f>
        <v>0.832338678813633</v>
      </c>
      <c r="AC36" s="11" t="n">
        <f aca="false">Construction!AC14*AC31*(Construction!AC17+Inputs!$F$80)/100*Construction!AC11/360*(1/(1-Inputs!$F$91/100))</f>
        <v>0.95643521510372</v>
      </c>
      <c r="AD36" s="11" t="n">
        <f aca="false">Construction!AD14*AD31*(Construction!AD17+Inputs!$F$80)/100*Construction!AD11/360*(1/(1-Inputs!$F$91/100))</f>
        <v>0.988590819376948</v>
      </c>
      <c r="AE36" s="11" t="n">
        <f aca="false">Construction!AE14*AE31*(Construction!AE17+Inputs!$F$80)/100*Construction!AE11/360*(1/(1-Inputs!$F$91/100))</f>
        <v>1.08378337141575</v>
      </c>
      <c r="AF36" s="11" t="n">
        <f aca="false">Construction!AF14*AF31*(Construction!AF17+Inputs!$F$80)/100*Construction!AF11/360*(1/(1-Inputs!$F$91/100))</f>
        <v>1.10565161800743</v>
      </c>
      <c r="AG36" s="11" t="n">
        <f aca="false">Construction!AG14*AG31*(Construction!AG17+Inputs!$F$80)/100*Construction!AG11/360*(1/(1-Inputs!$F$91/100))</f>
        <v>1.20343331749004</v>
      </c>
      <c r="AH36" s="11" t="n">
        <f aca="false">Construction!AH14*AH31*(Construction!AH17+Inputs!$F$80)/100*Construction!AH11/360*(1/(1-Inputs!$F$91/100))</f>
        <v>1.25302095821668</v>
      </c>
      <c r="AI36" s="11" t="n">
        <f aca="false">Construction!AI14*AI31*(Construction!AI17+Inputs!$F$80)/100*Construction!AI11/360*(1/(1-Inputs!$F$91/100))</f>
        <v>1.25525259783029</v>
      </c>
      <c r="AJ36" s="11" t="n">
        <f aca="false">Construction!AJ14*AJ31*(Construction!AJ17+Inputs!$F$80)/100*Construction!AJ11/360*(1/(1-Inputs!$F$91/100))</f>
        <v>1.33524518191574</v>
      </c>
      <c r="AK36" s="11" t="n">
        <f aca="false">Construction!AK14*AK31*(Construction!AK17+Inputs!$F$80)/100*Construction!AK11/360*(1/(1-Inputs!$F$91/100))</f>
        <v>1.32356082539282</v>
      </c>
      <c r="AL36" s="11" t="n">
        <f aca="false">Construction!AL14*AL31*(Construction!AL17+Inputs!$F$80)/100*Construction!AL11/360*(1/(1-Inputs!$F$91/100))</f>
        <v>1.39429399119832</v>
      </c>
      <c r="AM36" s="11" t="n">
        <f aca="false">Construction!AM14*AM31*(Construction!AM17+Inputs!$F$80)/100*Construction!AM11/360*(1/(1-Inputs!$F$91/100))</f>
        <v>1.42171174082772</v>
      </c>
      <c r="AN36" s="11" t="n">
        <f aca="false">Construction!AN14*AN31*(Construction!AN17+Inputs!$F$80)/100*Construction!AN11/360*(1/(1-Inputs!$F$91/100))</f>
        <v>1.29944796217294</v>
      </c>
      <c r="AO36" s="11" t="n">
        <f aca="false">Construction!AO14*AO31*(Construction!AO17+Inputs!$F$80)/100*Construction!AO11/360*(1/(1-Inputs!$F$91/100))</f>
        <v>1.45151116914827</v>
      </c>
      <c r="AP36" s="11" t="n">
        <f aca="false">Construction!AP14*AP31*(Construction!AP17+Inputs!$F$80)/100*Construction!AP11/360*(1/(1-Inputs!$F$91/100))</f>
        <v>1.41505708815727</v>
      </c>
      <c r="AQ36" s="11" t="n">
        <f aca="false">Construction!AQ14*AQ31*(Construction!AQ17+Inputs!$F$80)/100*Construction!AQ11/360*(1/(1-Inputs!$F$91/100))</f>
        <v>1.56725978099801</v>
      </c>
      <c r="AR36" s="11" t="n">
        <f aca="false">Construction!AR14*AR31*(Construction!AR17+Inputs!$F$80)/100*Construction!AR11/360*(1/(1-Inputs!$F$91/100))</f>
        <v>1.59504905887332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3.68740871632844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0.0291088986403832</v>
      </c>
      <c r="L38" s="11" t="n">
        <f aca="false">Construction!L14*(Inputs!$F$93/100*Inputs!$F$94/100)*L31*Construction!L11/365</f>
        <v>0.030697402501086</v>
      </c>
      <c r="M38" s="11" t="n">
        <f aca="false">Construction!M14*(Inputs!$F$93/100*Inputs!$F$94/100)*M31*Construction!M11/365</f>
        <v>0.0304697762268099</v>
      </c>
      <c r="N38" s="11" t="n">
        <f aca="false">Construction!N14*(Inputs!$F$93/100*Inputs!$F$94/100)*N31*Construction!N11/365</f>
        <v>0.0325994605830974</v>
      </c>
      <c r="O38" s="11" t="n">
        <f aca="false">Construction!O14*(Inputs!$F$93/100*Inputs!$F$94/100)*O31*Construction!O11/365</f>
        <v>0.0342035740807536</v>
      </c>
      <c r="P38" s="11" t="n">
        <f aca="false">Construction!P14*(Inputs!$F$93/100*Inputs!$F$94/100)*P31*Construction!P11/365</f>
        <v>0.0328901176101457</v>
      </c>
      <c r="Q38" s="11" t="n">
        <f aca="false">Construction!Q14*(Inputs!$F$93/100*Inputs!$F$94/100)*Q31*Construction!Q11/365</f>
        <v>0.0392976982185274</v>
      </c>
      <c r="R38" s="11" t="n">
        <f aca="false">Construction!R14*(Inputs!$F$93/100*Inputs!$F$94/100)*R31*Construction!R11/365</f>
        <v>0.0415722174419781</v>
      </c>
      <c r="S38" s="11" t="n">
        <f aca="false">Construction!S14*(Inputs!$F$93/100*Inputs!$F$94/100)*S31*Construction!S11/365</f>
        <v>0.0473922389727548</v>
      </c>
      <c r="T38" s="11" t="n">
        <f aca="false">Construction!T14*(Inputs!$F$93/100*Inputs!$F$94/100)*T31*Construction!T11/365</f>
        <v>0.0509174206215658</v>
      </c>
      <c r="U38" s="11" t="n">
        <f aca="false">Construction!U14*(Inputs!$F$93/100*Inputs!$F$94/100)*U31*Construction!U11/365</f>
        <v>0.0585746561525039</v>
      </c>
      <c r="V38" s="11" t="n">
        <f aca="false">Construction!V14*(Inputs!$F$93/100*Inputs!$F$94/100)*V31*Construction!V11/365</f>
        <v>0.0652418089843387</v>
      </c>
      <c r="W38" s="11" t="n">
        <f aca="false">Construction!W14*(Inputs!$F$93/100*Inputs!$F$94/100)*W31*Construction!W11/365</f>
        <v>0.0701909994087233</v>
      </c>
      <c r="X38" s="11" t="n">
        <f aca="false">Construction!X14*(Inputs!$F$93/100*Inputs!$F$94/100)*X31*Construction!X11/365</f>
        <v>0.080336635122419</v>
      </c>
      <c r="Y38" s="11" t="n">
        <f aca="false">Construction!Y14*(Inputs!$F$93/100*Inputs!$F$94/100)*Y31*Construction!Y11/365</f>
        <v>0.0857134703536178</v>
      </c>
      <c r="Z38" s="11" t="n">
        <f aca="false">Construction!Z14*(Inputs!$F$93/100*Inputs!$F$94/100)*Z31*Construction!Z11/365</f>
        <v>0.0970895392068716</v>
      </c>
      <c r="AA38" s="11" t="n">
        <f aca="false">Construction!AA14*(Inputs!$F$93/100*Inputs!$F$94/100)*AA31*Construction!AA11/365</f>
        <v>0.105787015076741</v>
      </c>
      <c r="AB38" s="11" t="n">
        <f aca="false">Construction!AB14*(Inputs!$F$93/100*Inputs!$F$94/100)*AB31*Construction!AB11/365</f>
        <v>0.107402051929107</v>
      </c>
      <c r="AC38" s="11" t="n">
        <f aca="false">Construction!AC14*(Inputs!$F$93/100*Inputs!$F$94/100)*AC31*Construction!AC11/365</f>
        <v>0.12341503195047</v>
      </c>
      <c r="AD38" s="11" t="n">
        <f aca="false">Construction!AD14*(Inputs!$F$93/100*Inputs!$F$94/100)*AD31*Construction!AD11/365</f>
        <v>0.127564277885896</v>
      </c>
      <c r="AE38" s="11" t="n">
        <f aca="false">Construction!AE14*(Inputs!$F$93/100*Inputs!$F$94/100)*AE31*Construction!AE11/365</f>
        <v>0.139847589568477</v>
      </c>
      <c r="AF38" s="11" t="n">
        <f aca="false">Construction!AF14*(Inputs!$F$93/100*Inputs!$F$94/100)*AF31*Construction!AF11/365</f>
        <v>0.142669391096896</v>
      </c>
      <c r="AG38" s="11" t="n">
        <f aca="false">Construction!AG14*(Inputs!$F$93/100*Inputs!$F$94/100)*AG31*Construction!AG11/365</f>
        <v>0.154419273240648</v>
      </c>
      <c r="AH38" s="11" t="n">
        <f aca="false">Construction!AH14*(Inputs!$F$93/100*Inputs!$F$94/100)*AH31*Construction!AH11/365</f>
        <v>0.160782141321031</v>
      </c>
      <c r="AI38" s="11" t="n">
        <f aca="false">Construction!AI14*(Inputs!$F$93/100*Inputs!$F$94/100)*AI31*Construction!AI11/365</f>
        <v>0.161068495506393</v>
      </c>
      <c r="AJ38" s="11" t="n">
        <f aca="false">Construction!AJ14*(Inputs!$F$93/100*Inputs!$F$94/100)*AJ31*Construction!AJ11/365</f>
        <v>0.171332792264339</v>
      </c>
      <c r="AK38" s="11" t="n">
        <f aca="false">Construction!AK14*(Inputs!$F$93/100*Inputs!$F$94/100)*AK31*Construction!AK11/365</f>
        <v>0.169833506997485</v>
      </c>
      <c r="AL38" s="11" t="n">
        <f aca="false">Construction!AL14*(Inputs!$F$93/100*Inputs!$F$94/100)*AL31*Construction!AL11/365</f>
        <v>0.178909675904356</v>
      </c>
      <c r="AM38" s="11" t="n">
        <f aca="false">Construction!AM14*(Inputs!$F$93/100*Inputs!$F$94/100)*AM31*Construction!AM11/365</f>
        <v>0.181666627991376</v>
      </c>
      <c r="AN38" s="11" t="n">
        <f aca="false">Construction!AN14*(Inputs!$F$93/100*Inputs!$F$94/100)*AN31*Construction!AN11/365</f>
        <v>0.166043736405233</v>
      </c>
      <c r="AO38" s="11" t="n">
        <f aca="false">Construction!AO14*(Inputs!$F$93/100*Inputs!$F$94/100)*AO31*Construction!AO11/365</f>
        <v>0.185474405266897</v>
      </c>
      <c r="AP38" s="11" t="n">
        <f aca="false">Construction!AP14*(Inputs!$F$93/100*Inputs!$F$94/100)*AP31*Construction!AP11/365</f>
        <v>0.180816295060743</v>
      </c>
      <c r="AQ38" s="11" t="n">
        <f aca="false">Construction!AQ14*(Inputs!$F$93/100*Inputs!$F$94/100)*AQ31*Construction!AQ11/365</f>
        <v>0.200264787455893</v>
      </c>
      <c r="AR38" s="11" t="n">
        <f aca="false">Construction!AR14*(Inputs!$F$93/100*Inputs!$F$94/100)*AR31*Construction!AR11/365</f>
        <v>0.203815707280881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9.30371396326007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0.549775247522472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0.456385344604533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0.469991443537797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0.452848368125863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0.465047916828092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0.460878760272855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0.411088431121123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0.447638923395211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0.423992669549053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0.426600881076862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0.39970410446115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0.397537321698755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0.380209118941139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0.349611285305413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0.340977048744296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0.309267748773895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0.29743556618398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0.274830470852591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0.235163553244022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0.22901453437906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0.200495789171206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0.186305645380535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0.161236982451317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0.148433243838219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0.131895889588536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0.113416957950906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0.104474316485018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0.0906363347791596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0.084781686167896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0.0776162549918166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0.0650167326631995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0.06771968619396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0.0620916196354864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0.029278878266203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0.00231520707845162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9.95478393553241</v>
      </c>
      <c r="J42" s="11" t="n">
        <f aca="false">IF(Construction!J8=1,Inputs!$F$73*$F$25*Inputs!$F$87/100+Inputs!$F$74*$F$25*Inputs!$F$88/100+Inputs!$F$75*$F$25*Inputs!$F$89/100+Inputs!$F$76*$F$25*Inputs!$F$90/100,0)</f>
        <v>9.95478393553241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37.2458954370954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37.2458954370954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118.661175849722</v>
      </c>
      <c r="K45" s="11" t="n">
        <f aca="false">Construction!K14*(Construction!K30+Construction!K36)+K33+K34+K35+K36+K37+K38+K39+K40+K41+K42+K43+K44</f>
        <v>2.43880187959064</v>
      </c>
      <c r="L45" s="11" t="n">
        <f aca="false">Construction!L14*(Construction!L30+Construction!L36)+L33+L34+L35+L36+L37+L38+L39+L40+L41+L42+L43+L44</f>
        <v>3.10875718775573</v>
      </c>
      <c r="M45" s="11" t="n">
        <f aca="false">Construction!M14*(Construction!M30+Construction!M36)+M33+M34+M35+M36+M37+M38+M39+M40+M41+M42+M43+M44</f>
        <v>4.39478293630819</v>
      </c>
      <c r="N45" s="11" t="n">
        <f aca="false">Construction!N14*(Construction!N30+Construction!N36)+N33+N34+N35+N36+N37+N38+N39+N40+N41+N42+N43+N44</f>
        <v>6.32816111508403</v>
      </c>
      <c r="O45" s="11" t="n">
        <f aca="false">Construction!O14*(Construction!O30+Construction!O36)+O33+O34+O35+O36+O37+O38+O39+O40+O41+O42+O43+O44</f>
        <v>8.72027032784092</v>
      </c>
      <c r="P45" s="11" t="n">
        <f aca="false">Construction!P14*(Construction!P30+Construction!P36)+P33+P34+P35+P36+P37+P38+P39+P40+P41+P42+P43+P44</f>
        <v>11.3758377911744</v>
      </c>
      <c r="Q45" s="11" t="n">
        <f aca="false">Construction!Q14*(Construction!Q30+Construction!Q36)+Q33+Q34+Q35+Q36+Q37+Q38+Q39+Q40+Q41+Q42+Q43+Q44</f>
        <v>14.4395728868313</v>
      </c>
      <c r="R45" s="11" t="n">
        <f aca="false">Construction!R14*(Construction!R30+Construction!R36)+R33+R34+R35+R36+R37+R38+R39+R40+R41+R42+R43+R44</f>
        <v>17.4930541499764</v>
      </c>
      <c r="S45" s="11" t="n">
        <f aca="false">Construction!S14*(Construction!S30+Construction!S36)+S33+S34+S35+S36+S37+S38+S39+S40+S41+S42+S43+S44</f>
        <v>20.6022654821457</v>
      </c>
      <c r="T45" s="11" t="n">
        <f aca="false">Construction!T14*(Construction!T30+Construction!T36)+T33+T34+T35+T36+T37+T38+T39+T40+T41+T42+T43+T44</f>
        <v>23.5119057862407</v>
      </c>
      <c r="U45" s="11" t="n">
        <f aca="false">Construction!U14*(Construction!U30+Construction!U36)+U33+U34+U35+U36+U37+U38+U39+U40+U41+U42+U43+U44</f>
        <v>26.301640975146</v>
      </c>
      <c r="V45" s="11" t="n">
        <f aca="false">Construction!V14*(Construction!V30+Construction!V36)+V33+V34+V35+V36+V37+V38+V39+V40+V41+V42+V43+V44</f>
        <v>28.7543698736844</v>
      </c>
      <c r="W45" s="11" t="n">
        <f aca="false">Construction!W14*(Construction!W30+Construction!W36)+W33+W34+W35+W36+W37+W38+W39+W40+W41+W42+W43+W44</f>
        <v>30.7940922180088</v>
      </c>
      <c r="X45" s="11" t="n">
        <f aca="false">Construction!X14*(Construction!X30+Construction!X36)+X33+X34+X35+X36+X37+X38+X39+X40+X41+X42+X43+X44</f>
        <v>32.4825943090109</v>
      </c>
      <c r="Y45" s="11" t="n">
        <f aca="false">Construction!Y14*(Construction!Y30+Construction!Y36)+Y33+Y34+Y35+Y36+Y37+Y38+Y39+Y40+Y41+Y42+Y43+Y44</f>
        <v>33.6069164063254</v>
      </c>
      <c r="Z45" s="11" t="n">
        <f aca="false">Construction!Z14*(Construction!Z30+Construction!Z36)+Z33+Z34+Z35+Z36+Z37+Z38+Z39+Z40+Z41+Z42+Z43+Z44</f>
        <v>34.3111810227308</v>
      </c>
      <c r="AA45" s="11" t="n">
        <f aca="false">Construction!AA14*(Construction!AA30+Construction!AA36)+AA33+AA34+AA35+AA36+AA37+AA38+AA39+AA40+AA41+AA42+AA43+AA44</f>
        <v>35.5917107779642</v>
      </c>
      <c r="AB45" s="11" t="n">
        <f aca="false">Construction!AB14*(Construction!AB30+Construction!AB36)+AB33+AB34+AB35+AB36+AB37+AB38+AB39+AB40+AB41+AB42+AB43+AB44</f>
        <v>33.9500835398134</v>
      </c>
      <c r="AC45" s="11" t="n">
        <f aca="false">Construction!AC14*(Construction!AC30+Construction!AC36)+AC33+AC34+AC35+AC36+AC37+AC38+AC39+AC40+AC41+AC42+AC43+AC44</f>
        <v>33.1431287724995</v>
      </c>
      <c r="AD45" s="11" t="n">
        <f aca="false">Construction!AD14*(Construction!AD30+Construction!AD36)+AD33+AD34+AD35+AD36+AD37+AD38+AD39+AD40+AD41+AD42+AD43+AD44</f>
        <v>31.682628439559</v>
      </c>
      <c r="AE45" s="11" t="n">
        <f aca="false">Construction!AE14*(Construction!AE30+Construction!AE36)+AE33+AE34+AE35+AE36+AE37+AE38+AE39+AE40+AE41+AE42+AE43+AE44</f>
        <v>29.8927171997239</v>
      </c>
      <c r="AF45" s="11" t="n">
        <f aca="false">Construction!AF14*(Construction!AF30+Construction!AF36)+AF33+AF34+AF35+AF36+AF37+AF38+AF39+AF40+AF41+AF42+AF43+AF44</f>
        <v>27.5919695947418</v>
      </c>
      <c r="AG45" s="11" t="n">
        <f aca="false">Construction!AG14*(Construction!AG30+Construction!AG36)+AG33+AG34+AG35+AG36+AG37+AG38+AG39+AG40+AG41+AG42+AG43+AG44</f>
        <v>25.1012502703318</v>
      </c>
      <c r="AH45" s="11" t="n">
        <f aca="false">Construction!AH14*(Construction!AH30+Construction!AH36)+AH33+AH34+AH35+AH36+AH37+AH38+AH39+AH40+AH41+AH42+AH43+AH44</f>
        <v>22.309939505027</v>
      </c>
      <c r="AI45" s="11" t="n">
        <f aca="false">Construction!AI14*(Construction!AI30+Construction!AI36)+AI33+AI34+AI35+AI36+AI37+AI38+AI39+AI40+AI41+AI42+AI43+AI44</f>
        <v>19.3119402034984</v>
      </c>
      <c r="AJ45" s="11" t="n">
        <f aca="false">Construction!AJ14*(Construction!AJ30+Construction!AJ36)+AJ33+AJ34+AJ35+AJ36+AJ37+AJ38+AJ39+AJ40+AJ41+AJ42+AJ43+AJ44</f>
        <v>16.4182529143668</v>
      </c>
      <c r="AK45" s="11" t="n">
        <f aca="false">Construction!AK14*(Construction!AK30+Construction!AK36)+AK33+AK34+AK35+AK36+AK37+AK38+AK39+AK40+AK41+AK42+AK43+AK44</f>
        <v>13.4722383098062</v>
      </c>
      <c r="AL45" s="11" t="n">
        <f aca="false">Construction!AL14*(Construction!AL30+Construction!AL36)+AL33+AL34+AL35+AL36+AL37+AL38+AL39+AL40+AL41+AL42+AL43+AL44</f>
        <v>10.8760614624342</v>
      </c>
      <c r="AM45" s="11" t="n">
        <f aca="false">Construction!AM14*(Construction!AM30+Construction!AM36)+AM33+AM34+AM35+AM36+AM37+AM38+AM39+AM40+AM41+AM42+AM43+AM44</f>
        <v>8.5507319550832</v>
      </c>
      <c r="AN45" s="11" t="n">
        <f aca="false">Construction!AN14*(Construction!AN30+Construction!AN36)+AN33+AN34+AN35+AN36+AN37+AN38+AN39+AN40+AN41+AN42+AN43+AN44</f>
        <v>6.47079122582769</v>
      </c>
      <c r="AO45" s="11" t="n">
        <f aca="false">Construction!AO14*(Construction!AO30+Construction!AO36)+AO33+AO34+AO35+AO36+AO37+AO38+AO39+AO40+AO41+AO42+AO43+AO44</f>
        <v>5.40104116626479</v>
      </c>
      <c r="AP45" s="11" t="n">
        <f aca="false">Construction!AP14*(Construction!AP30+Construction!AP36)+AP33+AP34+AP35+AP36+AP37+AP38+AP39+AP40+AP41+AP42+AP43+AP44</f>
        <v>52.9464021925694</v>
      </c>
      <c r="AQ45" s="11" t="n">
        <f aca="false">Construction!AQ14*(Construction!AQ30+Construction!AQ36)+AQ33+AQ34+AQ35+AQ36+AQ37+AQ38+AQ39+AQ40+AQ41+AQ42+AQ43+AQ44</f>
        <v>40.8097145059829</v>
      </c>
      <c r="AR45" s="11" t="n">
        <f aca="false">Construction!AR14*(Construction!AR30+Construction!AR36)+AR33+AR34+AR35+AR36+AR37+AR38+AR39+AR40+AR41+AR42+AR43+AR44</f>
        <v>3.63127888986155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633.255975542774</v>
      </c>
      <c r="K46" s="11" t="n">
        <f aca="false">$F$25-K28-K29-K30-K31</f>
        <v>543.208107047649</v>
      </c>
      <c r="L46" s="11" t="n">
        <f aca="false">$F$25-L28-L29-L30-L31</f>
        <v>541.357384523062</v>
      </c>
      <c r="M46" s="11" t="n">
        <f aca="false">$F$25-M28-M29-M30-M31</f>
        <v>538.998256051414</v>
      </c>
      <c r="N46" s="11" t="n">
        <f aca="false">$F$25-N28-N29-N30-N31</f>
        <v>535.663207050935</v>
      </c>
      <c r="O46" s="11" t="n">
        <f aca="false">$F$25-O28-O29-O30-O31</f>
        <v>530.860984118063</v>
      </c>
      <c r="P46" s="11" t="n">
        <f aca="false">$F$25-P28-P29-P30-P31</f>
        <v>524.243472112975</v>
      </c>
      <c r="Q46" s="11" t="n">
        <f aca="false">$F$25-Q28-Q29-Q30-Q31</f>
        <v>515.610741667603</v>
      </c>
      <c r="R46" s="11" t="n">
        <f aca="false">$F$25-R28-R29-R30-R31</f>
        <v>504.653048461479</v>
      </c>
      <c r="S46" s="11" t="n">
        <f aca="false">$F$25-S28-S29-S30-S31</f>
        <v>491.37817377399</v>
      </c>
      <c r="T46" s="11" t="n">
        <f aca="false">$F$25-T28-T29-T30-T31</f>
        <v>475.743825980341</v>
      </c>
      <c r="U46" s="11" t="n">
        <f aca="false">$F$25-U28-U29-U30-U31</f>
        <v>457.901452641731</v>
      </c>
      <c r="V46" s="11" t="n">
        <f aca="false">$F$25-V28-V29-V30-V31</f>
        <v>437.942045609262</v>
      </c>
      <c r="W46" s="11" t="n">
        <f aca="false">$F$25-W28-W29-W30-W31</f>
        <v>416.121347318484</v>
      </c>
      <c r="X46" s="11" t="n">
        <f aca="false">$F$25-X28-X29-X30-X31</f>
        <v>392.752774180579</v>
      </c>
      <c r="Y46" s="11" t="n">
        <f aca="false">$F$25-Y28-Y29-Y30-Y31</f>
        <v>368.102855116717</v>
      </c>
      <c r="Z46" s="11" t="n">
        <f aca="false">$F$25-Z28-Z29-Z30-Z31</f>
        <v>342.599726840658</v>
      </c>
      <c r="AA46" s="11" t="n">
        <f aca="false">$F$25-AA28-AA29-AA30-AA31</f>
        <v>316.562156468355</v>
      </c>
      <c r="AB46" s="11" t="n">
        <f aca="false">$F$25-AB28-AB29-AB30-AB31</f>
        <v>289.552836286752</v>
      </c>
      <c r="AC46" s="11" t="n">
        <f aca="false">$F$25-AC28-AC29-AC30-AC31</f>
        <v>263.789290324058</v>
      </c>
      <c r="AD46" s="11" t="n">
        <f aca="false">$F$25-AD28-AD29-AD30-AD31</f>
        <v>238.638114466819</v>
      </c>
      <c r="AE46" s="11" t="n">
        <f aca="false">$F$25-AE28-AE29-AE30-AE31</f>
        <v>214.595261875181</v>
      </c>
      <c r="AF46" s="11" t="n">
        <f aca="false">$F$25-AF28-AF29-AF30-AF31</f>
        <v>191.910711110475</v>
      </c>
      <c r="AG46" s="11" t="n">
        <f aca="false">$F$25-AG28-AG29-AG30-AG31</f>
        <v>170.972118248936</v>
      </c>
      <c r="AH46" s="11" t="n">
        <f aca="false">$F$25-AH28-AH29-AH30-AH31</f>
        <v>151.923646267935</v>
      </c>
      <c r="AI46" s="11" t="n">
        <f aca="false">$F$25-AI28-AI29-AI30-AI31</f>
        <v>134.993403631311</v>
      </c>
      <c r="AJ46" s="11" t="n">
        <f aca="false">$F$25-AJ28-AJ29-AJ30-AJ31</f>
        <v>120.338239131401</v>
      </c>
      <c r="AK46" s="11" t="n">
        <f aca="false">$F$25-AK28-AK29-AK30-AK31</f>
        <v>107.87899398432</v>
      </c>
      <c r="AL46" s="11" t="n">
        <f aca="false">$F$25-AL28-AL29-AL30-AL31</f>
        <v>97.655377582669</v>
      </c>
      <c r="AM46" s="11" t="n">
        <f aca="false">$F$25-AM28-AM29-AM30-AM31</f>
        <v>89.4019101338508</v>
      </c>
      <c r="AN46" s="11" t="n">
        <f aca="false">$F$25-AN28-AN29-AN30-AN31</f>
        <v>82.9130549449934</v>
      </c>
      <c r="AO46" s="11" t="n">
        <f aca="false">$F$25-AO28-AO29-AO30-AO31</f>
        <v>78.0025949466812</v>
      </c>
      <c r="AP46" s="11" t="n">
        <f aca="false">$F$25-AP28-AP29-AP30-AP31</f>
        <v>73.9039313257129</v>
      </c>
      <c r="AQ46" s="11" t="n">
        <f aca="false">$F$25-AQ28-AQ29-AQ30-AQ31</f>
        <v>33.7247351582606</v>
      </c>
      <c r="AR46" s="11" t="n">
        <f aca="false">$F$25-AR28-AR29-AR30-AR31</f>
        <v>2.75565214654034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633.255975542774</v>
      </c>
      <c r="J47" s="11" t="n">
        <f aca="false">MIN($F$26*J45/(1-Inputs!$F$92/100*Inputs!$F$73*$F$26),J46)</f>
        <v>90.0478684951254</v>
      </c>
      <c r="K47" s="11" t="n">
        <f aca="false">MIN($F$26*K45/(1-Inputs!$F$92/100*Inputs!$F$73*$F$26),K46)</f>
        <v>1.85072252458686</v>
      </c>
      <c r="L47" s="11" t="n">
        <f aca="false">MIN($F$26*L45/(1-Inputs!$F$92/100*Inputs!$F$73*$F$26),L46)</f>
        <v>2.35912847164796</v>
      </c>
      <c r="M47" s="11" t="n">
        <f aca="false">MIN($F$26*M45/(1-Inputs!$F$92/100*Inputs!$F$73*$F$26),M46)</f>
        <v>3.3350490004792</v>
      </c>
      <c r="N47" s="11" t="n">
        <f aca="false">MIN($F$26*N45/(1-Inputs!$F$92/100*Inputs!$F$73*$F$26),N46)</f>
        <v>4.80222293287169</v>
      </c>
      <c r="O47" s="11" t="n">
        <f aca="false">MIN($F$26*O45/(1-Inputs!$F$92/100*Inputs!$F$73*$F$26),O46)</f>
        <v>6.61751200508777</v>
      </c>
      <c r="P47" s="11" t="n">
        <f aca="false">MIN($F$26*P45/(1-Inputs!$F$92/100*Inputs!$F$73*$F$26),P46)</f>
        <v>8.63273044537214</v>
      </c>
      <c r="Q47" s="11" t="n">
        <f aca="false">MIN($F$26*Q45/(1-Inputs!$F$92/100*Inputs!$F$73*$F$26),Q46)</f>
        <v>10.9576932061239</v>
      </c>
      <c r="R47" s="11" t="n">
        <f aca="false">MIN($F$26*R45/(1-Inputs!$F$92/100*Inputs!$F$73*$F$26),R46)</f>
        <v>13.2748746874893</v>
      </c>
      <c r="S47" s="11" t="n">
        <f aca="false">MIN($F$26*S45/(1-Inputs!$F$92/100*Inputs!$F$73*$F$26),S46)</f>
        <v>15.6343477936492</v>
      </c>
      <c r="T47" s="11" t="n">
        <f aca="false">MIN($F$26*T45/(1-Inputs!$F$92/100*Inputs!$F$73*$F$26),T46)</f>
        <v>17.84237333861</v>
      </c>
      <c r="U47" s="11" t="n">
        <f aca="false">MIN($F$26*U45/(1-Inputs!$F$92/100*Inputs!$F$73*$F$26),U46)</f>
        <v>19.9594070324688</v>
      </c>
      <c r="V47" s="11" t="n">
        <f aca="false">MIN($F$26*V45/(1-Inputs!$F$92/100*Inputs!$F$73*$F$26),V46)</f>
        <v>21.820698290778</v>
      </c>
      <c r="W47" s="11" t="n">
        <f aca="false">MIN($F$26*W45/(1-Inputs!$F$92/100*Inputs!$F$73*$F$26),W46)</f>
        <v>23.368573137905</v>
      </c>
      <c r="X47" s="11" t="n">
        <f aca="false">MIN($F$26*X45/(1-Inputs!$F$92/100*Inputs!$F$73*$F$26),X46)</f>
        <v>24.6499190638619</v>
      </c>
      <c r="Y47" s="11" t="n">
        <f aca="false">MIN($F$26*Y45/(1-Inputs!$F$92/100*Inputs!$F$73*$F$26),Y46)</f>
        <v>25.5031282760592</v>
      </c>
      <c r="Z47" s="11" t="n">
        <f aca="false">MIN($F$26*Z45/(1-Inputs!$F$92/100*Inputs!$F$73*$F$26),Z46)</f>
        <v>26.0375703723027</v>
      </c>
      <c r="AA47" s="11" t="n">
        <f aca="false">MIN($F$26*AA45/(1-Inputs!$F$92/100*Inputs!$F$73*$F$26),AA46)</f>
        <v>27.0093201816033</v>
      </c>
      <c r="AB47" s="11" t="n">
        <f aca="false">MIN($F$26*AB45/(1-Inputs!$F$92/100*Inputs!$F$73*$F$26),AB46)</f>
        <v>25.7635459626942</v>
      </c>
      <c r="AC47" s="11" t="n">
        <f aca="false">MIN($F$26*AC45/(1-Inputs!$F$92/100*Inputs!$F$73*$F$26),AC46)</f>
        <v>25.1511758572385</v>
      </c>
      <c r="AD47" s="11" t="n">
        <f aca="false">MIN($F$26*AD45/(1-Inputs!$F$92/100*Inputs!$F$73*$F$26),AD46)</f>
        <v>24.0428525916383</v>
      </c>
      <c r="AE47" s="11" t="n">
        <f aca="false">MIN($F$26*AE45/(1-Inputs!$F$92/100*Inputs!$F$73*$F$26),AE46)</f>
        <v>22.684550764706</v>
      </c>
      <c r="AF47" s="11" t="n">
        <f aca="false">MIN($F$26*AF45/(1-Inputs!$F$92/100*Inputs!$F$73*$F$26),AF46)</f>
        <v>20.938592861539</v>
      </c>
      <c r="AG47" s="11" t="n">
        <f aca="false">MIN($F$26*AG45/(1-Inputs!$F$92/100*Inputs!$F$73*$F$26),AG46)</f>
        <v>19.0484719810011</v>
      </c>
      <c r="AH47" s="11" t="n">
        <f aca="false">MIN($F$26*AH45/(1-Inputs!$F$92/100*Inputs!$F$73*$F$26),AH46)</f>
        <v>16.9302426366239</v>
      </c>
      <c r="AI47" s="11" t="n">
        <f aca="false">MIN($F$26*AI45/(1-Inputs!$F$92/100*Inputs!$F$73*$F$26),AI46)</f>
        <v>14.6551644999094</v>
      </c>
      <c r="AJ47" s="11" t="n">
        <f aca="false">MIN($F$26*AJ45/(1-Inputs!$F$92/100*Inputs!$F$73*$F$26),AJ46)</f>
        <v>12.4592451470814</v>
      </c>
      <c r="AK47" s="11" t="n">
        <f aca="false">MIN($F$26*AK45/(1-Inputs!$F$92/100*Inputs!$F$73*$F$26),AK46)</f>
        <v>10.2236164016511</v>
      </c>
      <c r="AL47" s="11" t="n">
        <f aca="false">MIN($F$26*AL45/(1-Inputs!$F$92/100*Inputs!$F$73*$F$26),AL46)</f>
        <v>8.25346744881826</v>
      </c>
      <c r="AM47" s="11" t="n">
        <f aca="false">MIN($F$26*AM45/(1-Inputs!$F$92/100*Inputs!$F$73*$F$26),AM46)</f>
        <v>6.48885518885751</v>
      </c>
      <c r="AN47" s="11" t="n">
        <f aca="false">MIN($F$26*AN45/(1-Inputs!$F$92/100*Inputs!$F$73*$F$26),AN46)</f>
        <v>4.91045999831217</v>
      </c>
      <c r="AO47" s="11" t="n">
        <f aca="false">MIN($F$26*AO45/(1-Inputs!$F$92/100*Inputs!$F$73*$F$26),AO46)</f>
        <v>4.09866362096826</v>
      </c>
      <c r="AP47" s="11" t="n">
        <f aca="false">MIN($F$26*AP45/(1-Inputs!$F$92/100*Inputs!$F$73*$F$26),AP46)</f>
        <v>40.1791961674523</v>
      </c>
      <c r="AQ47" s="11" t="n">
        <f aca="false">MIN($F$26*AQ45/(1-Inputs!$F$92/100*Inputs!$F$73*$F$26),AQ46)</f>
        <v>30.9690830117203</v>
      </c>
      <c r="AR47" s="11" t="n">
        <f aca="false">MIN($F$26*AR45/(1-Inputs!$F$92/100*Inputs!$F$73*$F$26),AR46)</f>
        <v>2.75565214654034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20.6124820039173</v>
      </c>
      <c r="J48" s="11" t="n">
        <f aca="false">Inputs!$F$92/100*Inputs!$F$73*J47</f>
        <v>2.93105811951633</v>
      </c>
      <c r="K48" s="11" t="n">
        <f aca="false">Inputs!$F$92/100*Inputs!$F$73*K47</f>
        <v>0.0602410181753024</v>
      </c>
      <c r="L48" s="11" t="n">
        <f aca="false">Inputs!$F$92/100*Inputs!$F$73*L47</f>
        <v>0.0767896317521412</v>
      </c>
      <c r="M48" s="11" t="n">
        <f aca="false">Inputs!$F$92/100*Inputs!$F$73*M47</f>
        <v>0.108555844965598</v>
      </c>
      <c r="N48" s="11" t="n">
        <f aca="false">Inputs!$F$92/100*Inputs!$F$73*N47</f>
        <v>0.156312356464973</v>
      </c>
      <c r="O48" s="11" t="n">
        <f aca="false">Inputs!$F$92/100*Inputs!$F$73*O47</f>
        <v>0.215400015765607</v>
      </c>
      <c r="P48" s="11" t="n">
        <f aca="false">Inputs!$F$92/100*Inputs!$F$73*P47</f>
        <v>0.280995375996863</v>
      </c>
      <c r="Q48" s="11" t="n">
        <f aca="false">Inputs!$F$92/100*Inputs!$F$73*Q47</f>
        <v>0.356672913859333</v>
      </c>
      <c r="R48" s="11" t="n">
        <f aca="false">Inputs!$F$92/100*Inputs!$F$73*R47</f>
        <v>0.432097171077777</v>
      </c>
      <c r="S48" s="11" t="n">
        <f aca="false">Inputs!$F$92/100*Inputs!$F$73*S47</f>
        <v>0.508898020683282</v>
      </c>
      <c r="T48" s="11" t="n">
        <f aca="false">Inputs!$F$92/100*Inputs!$F$73*T47</f>
        <v>0.580769252171754</v>
      </c>
      <c r="U48" s="11" t="n">
        <f aca="false">Inputs!$F$92/100*Inputs!$F$73*U47</f>
        <v>0.649678698906859</v>
      </c>
      <c r="V48" s="11" t="n">
        <f aca="false">Inputs!$F$92/100*Inputs!$F$73*V47</f>
        <v>0.710263729364825</v>
      </c>
      <c r="W48" s="11" t="n">
        <f aca="false">Inputs!$F$92/100*Inputs!$F$73*W47</f>
        <v>0.760647055638807</v>
      </c>
      <c r="X48" s="11" t="n">
        <f aca="false">Inputs!$F$92/100*Inputs!$F$73*X47</f>
        <v>0.802354865528705</v>
      </c>
      <c r="Y48" s="11" t="n">
        <f aca="false">Inputs!$F$92/100*Inputs!$F$73*Y47</f>
        <v>0.830126825385727</v>
      </c>
      <c r="Z48" s="11" t="n">
        <f aca="false">Inputs!$F$92/100*Inputs!$F$73*Z47</f>
        <v>0.847522915618453</v>
      </c>
      <c r="AA48" s="11" t="n">
        <f aca="false">Inputs!$F$92/100*Inputs!$F$73*AA47</f>
        <v>0.879153371911187</v>
      </c>
      <c r="AB48" s="11" t="n">
        <f aca="false">Inputs!$F$92/100*Inputs!$F$73*AB47</f>
        <v>0.838603421085696</v>
      </c>
      <c r="AC48" s="11" t="n">
        <f aca="false">Inputs!$F$92/100*Inputs!$F$73*AC47</f>
        <v>0.818670774153112</v>
      </c>
      <c r="AD48" s="11" t="n">
        <f aca="false">Inputs!$F$92/100*Inputs!$F$73*AD47</f>
        <v>0.782594851857827</v>
      </c>
      <c r="AE48" s="11" t="n">
        <f aca="false">Inputs!$F$92/100*Inputs!$F$73*AE47</f>
        <v>0.73838212739118</v>
      </c>
      <c r="AF48" s="11" t="n">
        <f aca="false">Inputs!$F$92/100*Inputs!$F$73*AF47</f>
        <v>0.681551197643096</v>
      </c>
      <c r="AG48" s="11" t="n">
        <f aca="false">Inputs!$F$92/100*Inputs!$F$73*AG47</f>
        <v>0.620027762981586</v>
      </c>
      <c r="AH48" s="11" t="n">
        <f aca="false">Inputs!$F$92/100*Inputs!$F$73*AH47</f>
        <v>0.551079397822106</v>
      </c>
      <c r="AI48" s="11" t="n">
        <f aca="false">Inputs!$F$92/100*Inputs!$F$73*AI47</f>
        <v>0.477025604472051</v>
      </c>
      <c r="AJ48" s="11" t="n">
        <f aca="false">Inputs!$F$92/100*Inputs!$F$73*AJ47</f>
        <v>0.405548429537498</v>
      </c>
      <c r="AK48" s="11" t="n">
        <f aca="false">Inputs!$F$92/100*Inputs!$F$73*AK47</f>
        <v>0.332778713873743</v>
      </c>
      <c r="AL48" s="11" t="n">
        <f aca="false">Inputs!$F$92/100*Inputs!$F$73*AL47</f>
        <v>0.268650365459034</v>
      </c>
      <c r="AM48" s="11" t="n">
        <f aca="false">Inputs!$F$92/100*Inputs!$F$73*AM47</f>
        <v>0.211212236397312</v>
      </c>
      <c r="AN48" s="11" t="n">
        <f aca="false">Inputs!$F$92/100*Inputs!$F$73*AN47</f>
        <v>0.159835472945061</v>
      </c>
      <c r="AO48" s="11" t="n">
        <f aca="false">Inputs!$F$92/100*Inputs!$F$73*AO47</f>
        <v>0.133411500862517</v>
      </c>
      <c r="AP48" s="11" t="n">
        <f aca="false">Inputs!$F$92/100*Inputs!$F$73*AP47</f>
        <v>1.30783283525057</v>
      </c>
      <c r="AQ48" s="11" t="n">
        <f aca="false">Inputs!$F$92/100*Inputs!$F$73*AQ47</f>
        <v>1.0080436520315</v>
      </c>
      <c r="AR48" s="11" t="n">
        <f aca="false">Inputs!$F$92/100*Inputs!$F$73*AR47</f>
        <v>0.0896964773698881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855.089743126849</v>
      </c>
      <c r="J49" s="11" t="n">
        <f aca="false">J45+J48</f>
        <v>121.592233969238</v>
      </c>
      <c r="K49" s="11" t="n">
        <f aca="false">K45+K48</f>
        <v>2.49904289776594</v>
      </c>
      <c r="L49" s="11" t="n">
        <f aca="false">L45+L48</f>
        <v>3.18554681950787</v>
      </c>
      <c r="M49" s="11" t="n">
        <f aca="false">M45+M48</f>
        <v>4.50333878127379</v>
      </c>
      <c r="N49" s="11" t="n">
        <f aca="false">N45+N48</f>
        <v>6.484473471549</v>
      </c>
      <c r="O49" s="11" t="n">
        <f aca="false">O45+O48</f>
        <v>8.93567034360652</v>
      </c>
      <c r="P49" s="11" t="n">
        <f aca="false">P45+P48</f>
        <v>11.6568331671712</v>
      </c>
      <c r="Q49" s="11" t="n">
        <f aca="false">Q45+Q48</f>
        <v>14.7962458006907</v>
      </c>
      <c r="R49" s="11" t="n">
        <f aca="false">R45+R48</f>
        <v>17.9251513210542</v>
      </c>
      <c r="S49" s="11" t="n">
        <f aca="false">S45+S48</f>
        <v>21.1111635028289</v>
      </c>
      <c r="T49" s="11" t="n">
        <f aca="false">T45+T48</f>
        <v>24.0926750384124</v>
      </c>
      <c r="U49" s="11" t="n">
        <f aca="false">U45+U48</f>
        <v>26.9513196740528</v>
      </c>
      <c r="V49" s="11" t="n">
        <f aca="false">V45+V48</f>
        <v>29.4646336030492</v>
      </c>
      <c r="W49" s="11" t="n">
        <f aca="false">W45+W48</f>
        <v>31.5547392736476</v>
      </c>
      <c r="X49" s="11" t="n">
        <f aca="false">X45+X48</f>
        <v>33.2849491745396</v>
      </c>
      <c r="Y49" s="11" t="n">
        <f aca="false">Y45+Y48</f>
        <v>34.4370432317112</v>
      </c>
      <c r="Z49" s="11" t="n">
        <f aca="false">Z45+Z48</f>
        <v>35.1587039383493</v>
      </c>
      <c r="AA49" s="11" t="n">
        <f aca="false">AA45+AA48</f>
        <v>36.4708641498754</v>
      </c>
      <c r="AB49" s="11" t="n">
        <f aca="false">AB45+AB48</f>
        <v>34.7886869608991</v>
      </c>
      <c r="AC49" s="11" t="n">
        <f aca="false">AC45+AC48</f>
        <v>33.9617995466526</v>
      </c>
      <c r="AD49" s="11" t="n">
        <f aca="false">AD45+AD48</f>
        <v>32.4652232914168</v>
      </c>
      <c r="AE49" s="11" t="n">
        <f aca="false">AE45+AE48</f>
        <v>30.6310993271151</v>
      </c>
      <c r="AF49" s="11" t="n">
        <f aca="false">AF45+AF48</f>
        <v>28.2735207923849</v>
      </c>
      <c r="AG49" s="11" t="n">
        <f aca="false">AG45+AG48</f>
        <v>25.7212780333133</v>
      </c>
      <c r="AH49" s="11" t="n">
        <f aca="false">AH45+AH48</f>
        <v>22.8610189028491</v>
      </c>
      <c r="AI49" s="11" t="n">
        <f aca="false">AI45+AI48</f>
        <v>19.7889658079704</v>
      </c>
      <c r="AJ49" s="11" t="n">
        <f aca="false">AJ45+AJ48</f>
        <v>16.8238013439043</v>
      </c>
      <c r="AK49" s="11" t="n">
        <f aca="false">AK45+AK48</f>
        <v>13.8050170236799</v>
      </c>
      <c r="AL49" s="11" t="n">
        <f aca="false">AL45+AL48</f>
        <v>11.1447118278932</v>
      </c>
      <c r="AM49" s="11" t="n">
        <f aca="false">AM45+AM48</f>
        <v>8.76194419148052</v>
      </c>
      <c r="AN49" s="11" t="n">
        <f aca="false">AN45+AN48</f>
        <v>6.63062669877275</v>
      </c>
      <c r="AO49" s="11" t="n">
        <f aca="false">AO45+AO48</f>
        <v>5.53445266712731</v>
      </c>
      <c r="AP49" s="11" t="n">
        <f aca="false">AP45+AP48</f>
        <v>54.25423502782</v>
      </c>
      <c r="AQ49" s="11" t="n">
        <f aca="false">AQ45+AQ48</f>
        <v>41.8177581580144</v>
      </c>
      <c r="AR49" s="11" t="n">
        <f aca="false">AR45+AR48</f>
        <v>3.72097536723144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855.089743126826</v>
      </c>
      <c r="J50" s="11" t="n">
        <f aca="false">J47/$F$26</f>
        <v>121.592233969238</v>
      </c>
      <c r="K50" s="11" t="n">
        <f aca="false">K47/$F$26</f>
        <v>2.49904289776594</v>
      </c>
      <c r="L50" s="11" t="n">
        <f aca="false">L47/$F$26</f>
        <v>3.18554681950787</v>
      </c>
      <c r="M50" s="11" t="n">
        <f aca="false">M47/$F$26</f>
        <v>4.50333878127379</v>
      </c>
      <c r="N50" s="11" t="n">
        <f aca="false">N47/$F$26</f>
        <v>6.484473471549</v>
      </c>
      <c r="O50" s="11" t="n">
        <f aca="false">O47/$F$26</f>
        <v>8.93567034360652</v>
      </c>
      <c r="P50" s="11" t="n">
        <f aca="false">P47/$F$26</f>
        <v>11.6568331671712</v>
      </c>
      <c r="Q50" s="11" t="n">
        <f aca="false">Q47/$F$26</f>
        <v>14.7962458006907</v>
      </c>
      <c r="R50" s="11" t="n">
        <f aca="false">R47/$F$26</f>
        <v>17.9251513210542</v>
      </c>
      <c r="S50" s="11" t="n">
        <f aca="false">S47/$F$26</f>
        <v>21.1111635028289</v>
      </c>
      <c r="T50" s="11" t="n">
        <f aca="false">T47/$F$26</f>
        <v>24.0926750384124</v>
      </c>
      <c r="U50" s="11" t="n">
        <f aca="false">U47/$F$26</f>
        <v>26.9513196740528</v>
      </c>
      <c r="V50" s="11" t="n">
        <f aca="false">V47/$F$26</f>
        <v>29.4646336030492</v>
      </c>
      <c r="W50" s="11" t="n">
        <f aca="false">W47/$F$26</f>
        <v>31.5547392736476</v>
      </c>
      <c r="X50" s="11" t="n">
        <f aca="false">X47/$F$26</f>
        <v>33.2849491745396</v>
      </c>
      <c r="Y50" s="11" t="n">
        <f aca="false">Y47/$F$26</f>
        <v>34.4370432317112</v>
      </c>
      <c r="Z50" s="11" t="n">
        <f aca="false">Z47/$F$26</f>
        <v>35.1587039383493</v>
      </c>
      <c r="AA50" s="11" t="n">
        <f aca="false">AA47/$F$26</f>
        <v>36.4708641498754</v>
      </c>
      <c r="AB50" s="11" t="n">
        <f aca="false">AB47/$F$26</f>
        <v>34.7886869608991</v>
      </c>
      <c r="AC50" s="11" t="n">
        <f aca="false">AC47/$F$26</f>
        <v>33.9617995466526</v>
      </c>
      <c r="AD50" s="11" t="n">
        <f aca="false">AD47/$F$26</f>
        <v>32.4652232914168</v>
      </c>
      <c r="AE50" s="11" t="n">
        <f aca="false">AE47/$F$26</f>
        <v>30.6310993271151</v>
      </c>
      <c r="AF50" s="11" t="n">
        <f aca="false">AF47/$F$26</f>
        <v>28.2735207923849</v>
      </c>
      <c r="AG50" s="11" t="n">
        <f aca="false">AG47/$F$26</f>
        <v>25.7212780333133</v>
      </c>
      <c r="AH50" s="11" t="n">
        <f aca="false">AH47/$F$26</f>
        <v>22.8610189028491</v>
      </c>
      <c r="AI50" s="11" t="n">
        <f aca="false">AI47/$F$26</f>
        <v>19.7889658079704</v>
      </c>
      <c r="AJ50" s="11" t="n">
        <f aca="false">AJ47/$F$26</f>
        <v>16.8238013439043</v>
      </c>
      <c r="AK50" s="11" t="n">
        <f aca="false">AK47/$F$26</f>
        <v>13.8050170236799</v>
      </c>
      <c r="AL50" s="11" t="n">
        <f aca="false">AL47/$F$26</f>
        <v>11.1447118278932</v>
      </c>
      <c r="AM50" s="11" t="n">
        <f aca="false">AM47/$F$26</f>
        <v>8.76194419148052</v>
      </c>
      <c r="AN50" s="11" t="n">
        <f aca="false">AN47/$F$26</f>
        <v>6.63062669877275</v>
      </c>
      <c r="AO50" s="11" t="n">
        <f aca="false">AO47/$F$26</f>
        <v>5.53445266712731</v>
      </c>
      <c r="AP50" s="11" t="n">
        <f aca="false">AP47/$F$26</f>
        <v>54.25423502782</v>
      </c>
      <c r="AQ50" s="11" t="n">
        <f aca="false">AQ47/$F$26</f>
        <v>41.8177581580144</v>
      </c>
      <c r="AR50" s="11" t="n">
        <f aca="false">AR47/$F$26</f>
        <v>3.72097536720821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2.32298624780469E-011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1.74223968585352E-011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1.74223968585352E-011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5.80746561951173E-012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5.80746561951173E-012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189.976792662832</v>
      </c>
      <c r="J57" s="11" t="n">
        <f aca="false">Inputs!$F$73*J47</f>
        <v>27.0143605485376</v>
      </c>
      <c r="K57" s="11" t="n">
        <f aca="false">Inputs!$F$73*K47</f>
        <v>0.555216757376059</v>
      </c>
      <c r="L57" s="11" t="n">
        <f aca="false">Inputs!$F$73*L47</f>
        <v>0.707738541494389</v>
      </c>
      <c r="M57" s="11" t="n">
        <f aca="false">Inputs!$F$73*M47</f>
        <v>1.00051470014376</v>
      </c>
      <c r="N57" s="11" t="n">
        <f aca="false">Inputs!$F$73*N47</f>
        <v>1.44066687986151</v>
      </c>
      <c r="O57" s="11" t="n">
        <f aca="false">Inputs!$F$73*O47</f>
        <v>1.98525360152633</v>
      </c>
      <c r="P57" s="11" t="n">
        <f aca="false">Inputs!$F$73*P47</f>
        <v>2.58981913361164</v>
      </c>
      <c r="Q57" s="11" t="n">
        <f aca="false">Inputs!$F$73*Q47</f>
        <v>3.28730796183717</v>
      </c>
      <c r="R57" s="11" t="n">
        <f aca="false">Inputs!$F$73*R47</f>
        <v>3.98246240624679</v>
      </c>
      <c r="S57" s="11" t="n">
        <f aca="false">Inputs!$F$73*S47</f>
        <v>4.69030433809476</v>
      </c>
      <c r="T57" s="11" t="n">
        <f aca="false">Inputs!$F$73*T47</f>
        <v>5.35271200158299</v>
      </c>
      <c r="U57" s="11" t="n">
        <f aca="false">Inputs!$F$73*U47</f>
        <v>5.98782210974063</v>
      </c>
      <c r="V57" s="11" t="n">
        <f aca="false">Inputs!$F$73*V47</f>
        <v>6.54620948723341</v>
      </c>
      <c r="W57" s="11" t="n">
        <f aca="false">Inputs!$F$73*W47</f>
        <v>7.0105719413715</v>
      </c>
      <c r="X57" s="11" t="n">
        <f aca="false">Inputs!$F$73*X47</f>
        <v>7.39497571915857</v>
      </c>
      <c r="Y57" s="11" t="n">
        <f aca="false">Inputs!$F$73*Y47</f>
        <v>7.65093848281776</v>
      </c>
      <c r="Z57" s="11" t="n">
        <f aca="false">Inputs!$F$73*Z47</f>
        <v>7.81127111169081</v>
      </c>
      <c r="AA57" s="11" t="n">
        <f aca="false">Inputs!$F$73*AA47</f>
        <v>8.10279605448099</v>
      </c>
      <c r="AB57" s="11" t="n">
        <f aca="false">Inputs!$F$73*AB47</f>
        <v>7.72906378880826</v>
      </c>
      <c r="AC57" s="11" t="n">
        <f aca="false">Inputs!$F$73*AC47</f>
        <v>7.54535275717154</v>
      </c>
      <c r="AD57" s="11" t="n">
        <f aca="false">Inputs!$F$73*AD47</f>
        <v>7.21285577749149</v>
      </c>
      <c r="AE57" s="11" t="n">
        <f aca="false">Inputs!$F$73*AE47</f>
        <v>6.8053652294118</v>
      </c>
      <c r="AF57" s="11" t="n">
        <f aca="false">Inputs!$F$73*AF47</f>
        <v>6.28157785846171</v>
      </c>
      <c r="AG57" s="11" t="n">
        <f aca="false">Inputs!$F$73*AG47</f>
        <v>5.71454159430033</v>
      </c>
      <c r="AH57" s="11" t="n">
        <f aca="false">Inputs!$F$73*AH47</f>
        <v>5.07907279098716</v>
      </c>
      <c r="AI57" s="11" t="n">
        <f aca="false">Inputs!$F$73*AI47</f>
        <v>4.39654934997282</v>
      </c>
      <c r="AJ57" s="11" t="n">
        <f aca="false">Inputs!$F$73*AJ47</f>
        <v>3.73777354412441</v>
      </c>
      <c r="AK57" s="11" t="n">
        <f aca="false">Inputs!$F$73*AK47</f>
        <v>3.06708492049533</v>
      </c>
      <c r="AL57" s="11" t="n">
        <f aca="false">Inputs!$F$73*AL47</f>
        <v>2.47604023464548</v>
      </c>
      <c r="AM57" s="11" t="n">
        <f aca="false">Inputs!$F$73*AM47</f>
        <v>1.94665655665725</v>
      </c>
      <c r="AN57" s="11" t="n">
        <f aca="false">Inputs!$F$73*AN47</f>
        <v>1.47313799949365</v>
      </c>
      <c r="AO57" s="11" t="n">
        <f aca="false">Inputs!$F$73*AO47</f>
        <v>1.22959908629048</v>
      </c>
      <c r="AP57" s="11" t="n">
        <f aca="false">Inputs!$F$73*AP47</f>
        <v>12.0537588502357</v>
      </c>
      <c r="AQ57" s="11" t="n">
        <f aca="false">Inputs!$F$73*AQ47</f>
        <v>9.29072490351609</v>
      </c>
      <c r="AR57" s="11" t="n">
        <f aca="false">Inputs!$F$73*AR47</f>
        <v>0.826695643962103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139.31631461941</v>
      </c>
      <c r="J58" s="11" t="n">
        <f aca="false">Inputs!$F$74*J47</f>
        <v>19.8105310689276</v>
      </c>
      <c r="K58" s="11" t="n">
        <f aca="false">Inputs!$F$74*K47</f>
        <v>0.40715895540911</v>
      </c>
      <c r="L58" s="11" t="n">
        <f aca="false">Inputs!$F$74*L47</f>
        <v>0.519008263762552</v>
      </c>
      <c r="M58" s="11" t="n">
        <f aca="false">Inputs!$F$74*M47</f>
        <v>0.733710780105425</v>
      </c>
      <c r="N58" s="11" t="n">
        <f aca="false">Inputs!$F$74*N47</f>
        <v>1.05648904523177</v>
      </c>
      <c r="O58" s="11" t="n">
        <f aca="false">Inputs!$F$74*O47</f>
        <v>1.45585264111931</v>
      </c>
      <c r="P58" s="11" t="n">
        <f aca="false">Inputs!$F$74*P47</f>
        <v>1.89920069798187</v>
      </c>
      <c r="Q58" s="11" t="n">
        <f aca="false">Inputs!$F$74*Q47</f>
        <v>2.41069250534726</v>
      </c>
      <c r="R58" s="11" t="n">
        <f aca="false">Inputs!$F$74*R47</f>
        <v>2.92047243124765</v>
      </c>
      <c r="S58" s="11" t="n">
        <f aca="false">Inputs!$F$74*S47</f>
        <v>3.43955651460283</v>
      </c>
      <c r="T58" s="11" t="n">
        <f aca="false">Inputs!$F$74*T47</f>
        <v>3.92532213449419</v>
      </c>
      <c r="U58" s="11" t="n">
        <f aca="false">Inputs!$F$74*U47</f>
        <v>4.39106954714313</v>
      </c>
      <c r="V58" s="11" t="n">
        <f aca="false">Inputs!$F$74*V47</f>
        <v>4.80055362397117</v>
      </c>
      <c r="W58" s="11" t="n">
        <f aca="false">Inputs!$F$74*W47</f>
        <v>5.1410860903391</v>
      </c>
      <c r="X58" s="11" t="n">
        <f aca="false">Inputs!$F$74*X47</f>
        <v>5.42298219404962</v>
      </c>
      <c r="Y58" s="11" t="n">
        <f aca="false">Inputs!$F$74*Y47</f>
        <v>5.61068822073302</v>
      </c>
      <c r="Z58" s="11" t="n">
        <f aca="false">Inputs!$F$74*Z47</f>
        <v>5.72826548190659</v>
      </c>
      <c r="AA58" s="11" t="n">
        <f aca="false">Inputs!$F$74*AA47</f>
        <v>5.94205043995272</v>
      </c>
      <c r="AB58" s="11" t="n">
        <f aca="false">Inputs!$F$74*AB47</f>
        <v>5.66798011179272</v>
      </c>
      <c r="AC58" s="11" t="n">
        <f aca="false">Inputs!$F$74*AC47</f>
        <v>5.53325868859246</v>
      </c>
      <c r="AD58" s="11" t="n">
        <f aca="false">Inputs!$F$74*AD47</f>
        <v>5.28942757016043</v>
      </c>
      <c r="AE58" s="11" t="n">
        <f aca="false">Inputs!$F$74*AE47</f>
        <v>4.99060116823532</v>
      </c>
      <c r="AF58" s="11" t="n">
        <f aca="false">Inputs!$F$74*AF47</f>
        <v>4.60649042953859</v>
      </c>
      <c r="AG58" s="11" t="n">
        <f aca="false">Inputs!$F$74*AG47</f>
        <v>4.19066383582024</v>
      </c>
      <c r="AH58" s="11" t="n">
        <f aca="false">Inputs!$F$74*AH47</f>
        <v>3.72465338005725</v>
      </c>
      <c r="AI58" s="11" t="n">
        <f aca="false">Inputs!$F$74*AI47</f>
        <v>3.22413618998007</v>
      </c>
      <c r="AJ58" s="11" t="n">
        <f aca="false">Inputs!$F$74*AJ47</f>
        <v>2.7410339323579</v>
      </c>
      <c r="AK58" s="11" t="n">
        <f aca="false">Inputs!$F$74*AK47</f>
        <v>2.24919560836324</v>
      </c>
      <c r="AL58" s="11" t="n">
        <f aca="false">Inputs!$F$74*AL47</f>
        <v>1.81576283874002</v>
      </c>
      <c r="AM58" s="11" t="n">
        <f aca="false">Inputs!$F$74*AM47</f>
        <v>1.42754814154865</v>
      </c>
      <c r="AN58" s="11" t="n">
        <f aca="false">Inputs!$F$74*AN47</f>
        <v>1.08030119962868</v>
      </c>
      <c r="AO58" s="11" t="n">
        <f aca="false">Inputs!$F$74*AO47</f>
        <v>0.901705996613016</v>
      </c>
      <c r="AP58" s="11" t="n">
        <f aca="false">Inputs!$F$74*AP47</f>
        <v>8.8394231568395</v>
      </c>
      <c r="AQ58" s="11" t="n">
        <f aca="false">Inputs!$F$74*AQ47</f>
        <v>6.81319826257846</v>
      </c>
      <c r="AR58" s="11" t="n">
        <f aca="false">Inputs!$F$74*AR47</f>
        <v>0.606243472238875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63.3255975542774</v>
      </c>
      <c r="J59" s="11" t="n">
        <f aca="false">Inputs!$F$75*J47</f>
        <v>9.00478684951255</v>
      </c>
      <c r="K59" s="11" t="n">
        <f aca="false">Inputs!$F$75*K47</f>
        <v>0.185072252458686</v>
      </c>
      <c r="L59" s="11" t="n">
        <f aca="false">Inputs!$F$75*L47</f>
        <v>0.235912847164796</v>
      </c>
      <c r="M59" s="11" t="n">
        <f aca="false">Inputs!$F$75*M47</f>
        <v>0.33350490004792</v>
      </c>
      <c r="N59" s="11" t="n">
        <f aca="false">Inputs!$F$75*N47</f>
        <v>0.480222293287169</v>
      </c>
      <c r="O59" s="11" t="n">
        <f aca="false">Inputs!$F$75*O47</f>
        <v>0.661751200508777</v>
      </c>
      <c r="P59" s="11" t="n">
        <f aca="false">Inputs!$F$75*P47</f>
        <v>0.863273044537214</v>
      </c>
      <c r="Q59" s="11" t="n">
        <f aca="false">Inputs!$F$75*Q47</f>
        <v>1.09576932061239</v>
      </c>
      <c r="R59" s="11" t="n">
        <f aca="false">Inputs!$F$75*R47</f>
        <v>1.32748746874893</v>
      </c>
      <c r="S59" s="11" t="n">
        <f aca="false">Inputs!$F$75*S47</f>
        <v>1.56343477936492</v>
      </c>
      <c r="T59" s="11" t="n">
        <f aca="false">Inputs!$F$75*T47</f>
        <v>1.784237333861</v>
      </c>
      <c r="U59" s="11" t="n">
        <f aca="false">Inputs!$F$75*U47</f>
        <v>1.99594070324688</v>
      </c>
      <c r="V59" s="11" t="n">
        <f aca="false">Inputs!$F$75*V47</f>
        <v>2.1820698290778</v>
      </c>
      <c r="W59" s="11" t="n">
        <f aca="false">Inputs!$F$75*W47</f>
        <v>2.3368573137905</v>
      </c>
      <c r="X59" s="11" t="n">
        <f aca="false">Inputs!$F$75*X47</f>
        <v>2.46499190638619</v>
      </c>
      <c r="Y59" s="11" t="n">
        <f aca="false">Inputs!$F$75*Y47</f>
        <v>2.55031282760592</v>
      </c>
      <c r="Z59" s="11" t="n">
        <f aca="false">Inputs!$F$75*Z47</f>
        <v>2.60375703723027</v>
      </c>
      <c r="AA59" s="11" t="n">
        <f aca="false">Inputs!$F$75*AA47</f>
        <v>2.70093201816033</v>
      </c>
      <c r="AB59" s="11" t="n">
        <f aca="false">Inputs!$F$75*AB47</f>
        <v>2.57635459626942</v>
      </c>
      <c r="AC59" s="11" t="n">
        <f aca="false">Inputs!$F$75*AC47</f>
        <v>2.51511758572385</v>
      </c>
      <c r="AD59" s="11" t="n">
        <f aca="false">Inputs!$F$75*AD47</f>
        <v>2.40428525916383</v>
      </c>
      <c r="AE59" s="11" t="n">
        <f aca="false">Inputs!$F$75*AE47</f>
        <v>2.2684550764706</v>
      </c>
      <c r="AF59" s="11" t="n">
        <f aca="false">Inputs!$F$75*AF47</f>
        <v>2.0938592861539</v>
      </c>
      <c r="AG59" s="11" t="n">
        <f aca="false">Inputs!$F$75*AG47</f>
        <v>1.90484719810011</v>
      </c>
      <c r="AH59" s="11" t="n">
        <f aca="false">Inputs!$F$75*AH47</f>
        <v>1.69302426366239</v>
      </c>
      <c r="AI59" s="11" t="n">
        <f aca="false">Inputs!$F$75*AI47</f>
        <v>1.46551644999094</v>
      </c>
      <c r="AJ59" s="11" t="n">
        <f aca="false">Inputs!$F$75*AJ47</f>
        <v>1.24592451470814</v>
      </c>
      <c r="AK59" s="11" t="n">
        <f aca="false">Inputs!$F$75*AK47</f>
        <v>1.02236164016511</v>
      </c>
      <c r="AL59" s="11" t="n">
        <f aca="false">Inputs!$F$75*AL47</f>
        <v>0.825346744881826</v>
      </c>
      <c r="AM59" s="11" t="n">
        <f aca="false">Inputs!$F$75*AM47</f>
        <v>0.648885518885751</v>
      </c>
      <c r="AN59" s="11" t="n">
        <f aca="false">Inputs!$F$75*AN47</f>
        <v>0.491045999831217</v>
      </c>
      <c r="AO59" s="11" t="n">
        <f aca="false">Inputs!$F$75*AO47</f>
        <v>0.409866362096826</v>
      </c>
      <c r="AP59" s="11" t="n">
        <f aca="false">Inputs!$F$75*AP47</f>
        <v>4.01791961674523</v>
      </c>
      <c r="AQ59" s="11" t="n">
        <f aca="false">Inputs!$F$75*AQ47</f>
        <v>3.09690830117203</v>
      </c>
      <c r="AR59" s="11" t="n">
        <f aca="false">Inputs!$F$75*AR47</f>
        <v>0.275565214654034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240.637270706254</v>
      </c>
      <c r="J60" s="11" t="n">
        <f aca="false">Inputs!$F$76*J47</f>
        <v>34.2181900281477</v>
      </c>
      <c r="K60" s="11" t="n">
        <f aca="false">Inputs!$F$76*K47</f>
        <v>0.703274559343008</v>
      </c>
      <c r="L60" s="11" t="n">
        <f aca="false">Inputs!$F$76*L47</f>
        <v>0.896468819226226</v>
      </c>
      <c r="M60" s="11" t="n">
        <f aca="false">Inputs!$F$76*M47</f>
        <v>1.2673186201821</v>
      </c>
      <c r="N60" s="11" t="n">
        <f aca="false">Inputs!$F$76*N47</f>
        <v>1.82484471449124</v>
      </c>
      <c r="O60" s="11" t="n">
        <f aca="false">Inputs!$F$76*O47</f>
        <v>2.51465456193335</v>
      </c>
      <c r="P60" s="11" t="n">
        <f aca="false">Inputs!$F$76*P47</f>
        <v>3.28043756924141</v>
      </c>
      <c r="Q60" s="11" t="n">
        <f aca="false">Inputs!$F$76*Q47</f>
        <v>4.16392341832708</v>
      </c>
      <c r="R60" s="11" t="n">
        <f aca="false">Inputs!$F$76*R47</f>
        <v>5.04445238124594</v>
      </c>
      <c r="S60" s="11" t="n">
        <f aca="false">Inputs!$F$76*S47</f>
        <v>5.9410521615867</v>
      </c>
      <c r="T60" s="11" t="n">
        <f aca="false">Inputs!$F$76*T47</f>
        <v>6.78010186867178</v>
      </c>
      <c r="U60" s="11" t="n">
        <f aca="false">Inputs!$F$76*U47</f>
        <v>7.58457467233813</v>
      </c>
      <c r="V60" s="11" t="n">
        <f aca="false">Inputs!$F$76*V47</f>
        <v>8.29186535049565</v>
      </c>
      <c r="W60" s="11" t="n">
        <f aca="false">Inputs!$F$76*W47</f>
        <v>8.8800577924039</v>
      </c>
      <c r="X60" s="11" t="n">
        <f aca="false">Inputs!$F$76*X47</f>
        <v>9.36696924426753</v>
      </c>
      <c r="Y60" s="11" t="n">
        <f aca="false">Inputs!$F$76*Y47</f>
        <v>9.69118874490249</v>
      </c>
      <c r="Z60" s="11" t="n">
        <f aca="false">Inputs!$F$76*Z47</f>
        <v>9.89427674147503</v>
      </c>
      <c r="AA60" s="11" t="n">
        <f aca="false">Inputs!$F$76*AA47</f>
        <v>10.2635416690092</v>
      </c>
      <c r="AB60" s="11" t="n">
        <f aca="false">Inputs!$F$76*AB47</f>
        <v>9.7901474658238</v>
      </c>
      <c r="AC60" s="11" t="n">
        <f aca="false">Inputs!$F$76*AC47</f>
        <v>9.55744682575062</v>
      </c>
      <c r="AD60" s="11" t="n">
        <f aca="false">Inputs!$F$76*AD47</f>
        <v>9.13628398482256</v>
      </c>
      <c r="AE60" s="11" t="n">
        <f aca="false">Inputs!$F$76*AE47</f>
        <v>8.62012929058828</v>
      </c>
      <c r="AF60" s="11" t="n">
        <f aca="false">Inputs!$F$76*AF47</f>
        <v>7.95666528738484</v>
      </c>
      <c r="AG60" s="11" t="n">
        <f aca="false">Inputs!$F$76*AG47</f>
        <v>7.23841935278042</v>
      </c>
      <c r="AH60" s="11" t="n">
        <f aca="false">Inputs!$F$76*AH47</f>
        <v>6.43349220191706</v>
      </c>
      <c r="AI60" s="11" t="n">
        <f aca="false">Inputs!$F$76*AI47</f>
        <v>5.56896250996557</v>
      </c>
      <c r="AJ60" s="11" t="n">
        <f aca="false">Inputs!$F$76*AJ47</f>
        <v>4.73451315589091</v>
      </c>
      <c r="AK60" s="11" t="n">
        <f aca="false">Inputs!$F$76*AK47</f>
        <v>3.88497423262741</v>
      </c>
      <c r="AL60" s="11" t="n">
        <f aca="false">Inputs!$F$76*AL47</f>
        <v>3.13631763055094</v>
      </c>
      <c r="AM60" s="11" t="n">
        <f aca="false">Inputs!$F$76*AM47</f>
        <v>2.46576497176585</v>
      </c>
      <c r="AN60" s="11" t="n">
        <f aca="false">Inputs!$F$76*AN47</f>
        <v>1.86597479935862</v>
      </c>
      <c r="AO60" s="11" t="n">
        <f aca="false">Inputs!$F$76*AO47</f>
        <v>1.55749217596794</v>
      </c>
      <c r="AP60" s="11" t="n">
        <f aca="false">Inputs!$F$76*AP47</f>
        <v>15.2680945436319</v>
      </c>
      <c r="AQ60" s="11" t="n">
        <f aca="false">Inputs!$F$76*AQ47</f>
        <v>11.7682515444537</v>
      </c>
      <c r="AR60" s="11" t="n">
        <f aca="false">Inputs!$F$76*AR47</f>
        <v>1.04714781568533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27.0143605485376</v>
      </c>
      <c r="K61" s="11" t="n">
        <f aca="false">K28+K57</f>
        <v>27.5695773059137</v>
      </c>
      <c r="L61" s="11" t="n">
        <f aca="false">L28+L57</f>
        <v>28.2773158474081</v>
      </c>
      <c r="M61" s="11" t="n">
        <f aca="false">M28+M57</f>
        <v>29.2778305475518</v>
      </c>
      <c r="N61" s="11" t="n">
        <f aca="false">N28+N57</f>
        <v>30.7184974274133</v>
      </c>
      <c r="O61" s="11" t="n">
        <f aca="false">O28+O57</f>
        <v>32.7037510289397</v>
      </c>
      <c r="P61" s="11" t="n">
        <f aca="false">P28+P57</f>
        <v>35.2935701625513</v>
      </c>
      <c r="Q61" s="11" t="n">
        <f aca="false">Q28+Q57</f>
        <v>38.5808781243885</v>
      </c>
      <c r="R61" s="11" t="n">
        <f aca="false">R28+R57</f>
        <v>42.5633405306353</v>
      </c>
      <c r="S61" s="11" t="n">
        <f aca="false">S28+S57</f>
        <v>47.25364486873</v>
      </c>
      <c r="T61" s="11" t="n">
        <f aca="false">T28+T57</f>
        <v>52.606356870313</v>
      </c>
      <c r="U61" s="11" t="n">
        <f aca="false">U28+U57</f>
        <v>58.5941789800537</v>
      </c>
      <c r="V61" s="11" t="n">
        <f aca="false">V28+V57</f>
        <v>65.1403884672871</v>
      </c>
      <c r="W61" s="11" t="n">
        <f aca="false">W28+W57</f>
        <v>72.1509604086586</v>
      </c>
      <c r="X61" s="11" t="n">
        <f aca="false">X28+X57</f>
        <v>79.5459361278171</v>
      </c>
      <c r="Y61" s="11" t="n">
        <f aca="false">Y28+Y57</f>
        <v>87.1968746106349</v>
      </c>
      <c r="Z61" s="11" t="n">
        <f aca="false">Z28+Z57</f>
        <v>95.0081457223257</v>
      </c>
      <c r="AA61" s="11" t="n">
        <f aca="false">AA28+AA57</f>
        <v>103.110941776807</v>
      </c>
      <c r="AB61" s="11" t="n">
        <f aca="false">AB28+AB57</f>
        <v>110.840005565615</v>
      </c>
      <c r="AC61" s="11" t="n">
        <f aca="false">AC28+AC57</f>
        <v>118.385358322786</v>
      </c>
      <c r="AD61" s="11" t="n">
        <f aca="false">AD28+AD57</f>
        <v>125.598214100278</v>
      </c>
      <c r="AE61" s="11" t="n">
        <f aca="false">AE28+AE57</f>
        <v>132.40357932969</v>
      </c>
      <c r="AF61" s="11" t="n">
        <f aca="false">AF28+AF57</f>
        <v>138.685157188152</v>
      </c>
      <c r="AG61" s="11" t="n">
        <f aca="false">AG28+AG57</f>
        <v>144.399698782452</v>
      </c>
      <c r="AH61" s="11" t="n">
        <f aca="false">AH28+AH57</f>
        <v>149.478771573439</v>
      </c>
      <c r="AI61" s="11" t="n">
        <f aca="false">AI28+AI57</f>
        <v>153.875320923412</v>
      </c>
      <c r="AJ61" s="11" t="n">
        <f aca="false">AJ28+AJ57</f>
        <v>157.613094467536</v>
      </c>
      <c r="AK61" s="11" t="n">
        <f aca="false">AK28+AK57</f>
        <v>160.680179388032</v>
      </c>
      <c r="AL61" s="11" t="n">
        <f aca="false">AL28+AL57</f>
        <v>163.156219622677</v>
      </c>
      <c r="AM61" s="11" t="n">
        <f aca="false">AM28+AM57</f>
        <v>165.102876179334</v>
      </c>
      <c r="AN61" s="11" t="n">
        <f aca="false">AN28+AN57</f>
        <v>166.576014178828</v>
      </c>
      <c r="AO61" s="11" t="n">
        <f aca="false">AO28+AO57</f>
        <v>167.805613265118</v>
      </c>
      <c r="AP61" s="11" t="n">
        <f aca="false">AP28+AP57</f>
        <v>179.859372115354</v>
      </c>
      <c r="AQ61" s="11" t="n">
        <f aca="false">AQ28+AQ57</f>
        <v>189.15009701887</v>
      </c>
      <c r="AR61" s="11" t="n">
        <f aca="false">AR28+AR57</f>
        <v>189.976792662832</v>
      </c>
      <c r="AS61" s="11" t="n">
        <f aca="false">AS28+AS57</f>
        <v>189.976792662832</v>
      </c>
      <c r="AT61" s="11" t="n">
        <f aca="false">AT28+AT57</f>
        <v>189.976792662832</v>
      </c>
      <c r="AU61" s="11" t="n">
        <f aca="false">AU28+AU57</f>
        <v>189.976792662832</v>
      </c>
      <c r="AV61" s="11" t="n">
        <f aca="false">AV28+AV57</f>
        <v>189.976792662832</v>
      </c>
      <c r="AW61" s="11" t="n">
        <f aca="false">AW28+AW57</f>
        <v>189.976792662832</v>
      </c>
      <c r="AX61" s="11" t="n">
        <f aca="false">AX28+AX57</f>
        <v>189.976792662832</v>
      </c>
      <c r="AY61" s="11" t="n">
        <f aca="false">AY28+AY57</f>
        <v>189.976792662832</v>
      </c>
      <c r="AZ61" s="11" t="n">
        <f aca="false">AZ28+AZ57</f>
        <v>189.976792662832</v>
      </c>
      <c r="BA61" s="11" t="n">
        <f aca="false">BA28+BA57</f>
        <v>189.976792662832</v>
      </c>
      <c r="BB61" s="11" t="n">
        <f aca="false">BB28+BB57</f>
        <v>189.976792662832</v>
      </c>
      <c r="BC61" s="11" t="n">
        <f aca="false">BC28+BC57</f>
        <v>189.976792662832</v>
      </c>
      <c r="BD61" s="11" t="n">
        <f aca="false">BD28+BD57</f>
        <v>189.976792662832</v>
      </c>
      <c r="BE61" s="11" t="n">
        <f aca="false">BE28+BE57</f>
        <v>189.976792662832</v>
      </c>
      <c r="BF61" s="11" t="n">
        <f aca="false">BF28+BF57</f>
        <v>189.976792662832</v>
      </c>
      <c r="BG61" s="11" t="n">
        <f aca="false">BG28+BG57</f>
        <v>189.976792662832</v>
      </c>
      <c r="BH61" s="11" t="n">
        <f aca="false">BH28+BH57</f>
        <v>189.976792662832</v>
      </c>
      <c r="BI61" s="11" t="n">
        <f aca="false">BI28+BI57</f>
        <v>189.976792662832</v>
      </c>
      <c r="BJ61" s="11" t="n">
        <f aca="false">BJ28+BJ57</f>
        <v>189.976792662832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19.8105310689276</v>
      </c>
      <c r="K62" s="11" t="n">
        <f aca="false">K29+K58</f>
        <v>20.2176900243367</v>
      </c>
      <c r="L62" s="11" t="n">
        <f aca="false">L29+L58</f>
        <v>20.7366982880993</v>
      </c>
      <c r="M62" s="11" t="n">
        <f aca="false">M29+M58</f>
        <v>21.4704090682047</v>
      </c>
      <c r="N62" s="11" t="n">
        <f aca="false">N29+N58</f>
        <v>22.5268981134365</v>
      </c>
      <c r="O62" s="11" t="n">
        <f aca="false">O29+O58</f>
        <v>23.9827507545558</v>
      </c>
      <c r="P62" s="11" t="n">
        <f aca="false">P29+P58</f>
        <v>25.8819514525376</v>
      </c>
      <c r="Q62" s="11" t="n">
        <f aca="false">Q29+Q58</f>
        <v>28.2926439578849</v>
      </c>
      <c r="R62" s="11" t="n">
        <f aca="false">R29+R58</f>
        <v>31.2131163891325</v>
      </c>
      <c r="S62" s="11" t="n">
        <f aca="false">S29+S58</f>
        <v>34.6526729037354</v>
      </c>
      <c r="T62" s="11" t="n">
        <f aca="false">T29+T58</f>
        <v>38.5779950382296</v>
      </c>
      <c r="U62" s="11" t="n">
        <f aca="false">U29+U58</f>
        <v>42.9690645853727</v>
      </c>
      <c r="V62" s="11" t="n">
        <f aca="false">V29+V58</f>
        <v>47.7696182093439</v>
      </c>
      <c r="W62" s="11" t="n">
        <f aca="false">W29+W58</f>
        <v>52.910704299683</v>
      </c>
      <c r="X62" s="11" t="n">
        <f aca="false">X29+X58</f>
        <v>58.3336864937326</v>
      </c>
      <c r="Y62" s="11" t="n">
        <f aca="false">Y29+Y58</f>
        <v>63.9443747144656</v>
      </c>
      <c r="Z62" s="11" t="n">
        <f aca="false">Z29+Z58</f>
        <v>69.6726401963722</v>
      </c>
      <c r="AA62" s="11" t="n">
        <f aca="false">AA29+AA58</f>
        <v>75.6146906363249</v>
      </c>
      <c r="AB62" s="11" t="n">
        <f aca="false">AB29+AB58</f>
        <v>81.2826707481177</v>
      </c>
      <c r="AC62" s="11" t="n">
        <f aca="false">AC29+AC58</f>
        <v>86.8159294367101</v>
      </c>
      <c r="AD62" s="11" t="n">
        <f aca="false">AD29+AD58</f>
        <v>92.1053570068706</v>
      </c>
      <c r="AE62" s="11" t="n">
        <f aca="false">AE29+AE58</f>
        <v>97.0959581751059</v>
      </c>
      <c r="AF62" s="11" t="n">
        <f aca="false">AF29+AF58</f>
        <v>101.702448604644</v>
      </c>
      <c r="AG62" s="11" t="n">
        <f aca="false">AG29+AG58</f>
        <v>105.893112440465</v>
      </c>
      <c r="AH62" s="11" t="n">
        <f aca="false">AH29+AH58</f>
        <v>109.617765820522</v>
      </c>
      <c r="AI62" s="11" t="n">
        <f aca="false">AI29+AI58</f>
        <v>112.841902010502</v>
      </c>
      <c r="AJ62" s="11" t="n">
        <f aca="false">AJ29+AJ58</f>
        <v>115.58293594286</v>
      </c>
      <c r="AK62" s="11" t="n">
        <f aca="false">AK29+AK58</f>
        <v>117.832131551223</v>
      </c>
      <c r="AL62" s="11" t="n">
        <f aca="false">AL29+AL58</f>
        <v>119.647894389963</v>
      </c>
      <c r="AM62" s="11" t="n">
        <f aca="false">AM29+AM58</f>
        <v>121.075442531512</v>
      </c>
      <c r="AN62" s="11" t="n">
        <f aca="false">AN29+AN58</f>
        <v>122.155743731141</v>
      </c>
      <c r="AO62" s="11" t="n">
        <f aca="false">AO29+AO58</f>
        <v>123.057449727754</v>
      </c>
      <c r="AP62" s="11" t="n">
        <f aca="false">AP29+AP58</f>
        <v>131.896872884593</v>
      </c>
      <c r="AQ62" s="11" t="n">
        <f aca="false">AQ29+AQ58</f>
        <v>138.710071147171</v>
      </c>
      <c r="AR62" s="11" t="n">
        <f aca="false">AR29+AR58</f>
        <v>139.31631461941</v>
      </c>
      <c r="AS62" s="11" t="n">
        <f aca="false">AS29+AS58</f>
        <v>139.31631461941</v>
      </c>
      <c r="AT62" s="11" t="n">
        <f aca="false">AT29+AT58</f>
        <v>139.31631461941</v>
      </c>
      <c r="AU62" s="11" t="n">
        <f aca="false">AU29+AU58</f>
        <v>139.31631461941</v>
      </c>
      <c r="AV62" s="11" t="n">
        <f aca="false">AV29+AV58</f>
        <v>139.31631461941</v>
      </c>
      <c r="AW62" s="11" t="n">
        <f aca="false">AW29+AW58</f>
        <v>139.31631461941</v>
      </c>
      <c r="AX62" s="11" t="n">
        <f aca="false">AX29+AX58</f>
        <v>139.31631461941</v>
      </c>
      <c r="AY62" s="11" t="n">
        <f aca="false">AY29+AY58</f>
        <v>139.31631461941</v>
      </c>
      <c r="AZ62" s="11" t="n">
        <f aca="false">AZ29+AZ58</f>
        <v>139.31631461941</v>
      </c>
      <c r="BA62" s="11" t="n">
        <f aca="false">BA29+BA58</f>
        <v>139.31631461941</v>
      </c>
      <c r="BB62" s="11" t="n">
        <f aca="false">BB29+BB58</f>
        <v>139.31631461941</v>
      </c>
      <c r="BC62" s="11" t="n">
        <f aca="false">BC29+BC58</f>
        <v>139.31631461941</v>
      </c>
      <c r="BD62" s="11" t="n">
        <f aca="false">BD29+BD58</f>
        <v>139.31631461941</v>
      </c>
      <c r="BE62" s="11" t="n">
        <f aca="false">BE29+BE58</f>
        <v>139.31631461941</v>
      </c>
      <c r="BF62" s="11" t="n">
        <f aca="false">BF29+BF58</f>
        <v>139.31631461941</v>
      </c>
      <c r="BG62" s="11" t="n">
        <f aca="false">BG29+BG58</f>
        <v>139.31631461941</v>
      </c>
      <c r="BH62" s="11" t="n">
        <f aca="false">BH29+BH58</f>
        <v>139.31631461941</v>
      </c>
      <c r="BI62" s="11" t="n">
        <f aca="false">BI29+BI58</f>
        <v>139.31631461941</v>
      </c>
      <c r="BJ62" s="11" t="n">
        <f aca="false">BJ29+BJ58</f>
        <v>139.31631461941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9.00478684951255</v>
      </c>
      <c r="K63" s="11" t="n">
        <f aca="false">K30+K59</f>
        <v>9.18985910197123</v>
      </c>
      <c r="L63" s="11" t="n">
        <f aca="false">L30+L59</f>
        <v>9.42577194913603</v>
      </c>
      <c r="M63" s="11" t="n">
        <f aca="false">M30+M59</f>
        <v>9.75927684918395</v>
      </c>
      <c r="N63" s="11" t="n">
        <f aca="false">N30+N59</f>
        <v>10.2394991424711</v>
      </c>
      <c r="O63" s="11" t="n">
        <f aca="false">O30+O59</f>
        <v>10.9012503429799</v>
      </c>
      <c r="P63" s="11" t="n">
        <f aca="false">P30+P59</f>
        <v>11.7645233875171</v>
      </c>
      <c r="Q63" s="11" t="n">
        <f aca="false">Q30+Q59</f>
        <v>12.8602927081295</v>
      </c>
      <c r="R63" s="11" t="n">
        <f aca="false">R30+R59</f>
        <v>14.1877801768784</v>
      </c>
      <c r="S63" s="11" t="n">
        <f aca="false">S30+S59</f>
        <v>15.7512149562433</v>
      </c>
      <c r="T63" s="11" t="n">
        <f aca="false">T30+T59</f>
        <v>17.5354522901043</v>
      </c>
      <c r="U63" s="11" t="n">
        <f aca="false">U30+U59</f>
        <v>19.5313929933512</v>
      </c>
      <c r="V63" s="11" t="n">
        <f aca="false">V30+V59</f>
        <v>21.713462822429</v>
      </c>
      <c r="W63" s="11" t="n">
        <f aca="false">W30+W59</f>
        <v>24.0503201362195</v>
      </c>
      <c r="X63" s="11" t="n">
        <f aca="false">X30+X59</f>
        <v>26.5153120426057</v>
      </c>
      <c r="Y63" s="11" t="n">
        <f aca="false">Y30+Y59</f>
        <v>29.0656248702116</v>
      </c>
      <c r="Z63" s="11" t="n">
        <f aca="false">Z30+Z59</f>
        <v>31.6693819074419</v>
      </c>
      <c r="AA63" s="11" t="n">
        <f aca="false">AA30+AA59</f>
        <v>34.3703139256022</v>
      </c>
      <c r="AB63" s="11" t="n">
        <f aca="false">AB30+AB59</f>
        <v>36.9466685218717</v>
      </c>
      <c r="AC63" s="11" t="n">
        <f aca="false">AC30+AC59</f>
        <v>39.4617861075955</v>
      </c>
      <c r="AD63" s="11" t="n">
        <f aca="false">AD30+AD59</f>
        <v>41.8660713667593</v>
      </c>
      <c r="AE63" s="11" t="n">
        <f aca="false">AE30+AE59</f>
        <v>44.1345264432299</v>
      </c>
      <c r="AF63" s="11" t="n">
        <f aca="false">AF30+AF59</f>
        <v>46.2283857293838</v>
      </c>
      <c r="AG63" s="11" t="n">
        <f aca="false">AG30+AG59</f>
        <v>48.1332329274839</v>
      </c>
      <c r="AH63" s="11" t="n">
        <f aca="false">AH30+AH59</f>
        <v>49.8262571911463</v>
      </c>
      <c r="AI63" s="11" t="n">
        <f aca="false">AI30+AI59</f>
        <v>51.2917736411373</v>
      </c>
      <c r="AJ63" s="11" t="n">
        <f aca="false">AJ30+AJ59</f>
        <v>52.5376981558454</v>
      </c>
      <c r="AK63" s="11" t="n">
        <f aca="false">AK30+AK59</f>
        <v>53.5600597960105</v>
      </c>
      <c r="AL63" s="11" t="n">
        <f aca="false">AL30+AL59</f>
        <v>54.3854065408923</v>
      </c>
      <c r="AM63" s="11" t="n">
        <f aca="false">AM30+AM59</f>
        <v>55.0342920597781</v>
      </c>
      <c r="AN63" s="11" t="n">
        <f aca="false">AN30+AN59</f>
        <v>55.5253380596093</v>
      </c>
      <c r="AO63" s="11" t="n">
        <f aca="false">AO30+AO59</f>
        <v>55.9352044217061</v>
      </c>
      <c r="AP63" s="11" t="n">
        <f aca="false">AP30+AP59</f>
        <v>59.9531240384514</v>
      </c>
      <c r="AQ63" s="11" t="n">
        <f aca="false">AQ30+AQ59</f>
        <v>63.0500323396234</v>
      </c>
      <c r="AR63" s="11" t="n">
        <f aca="false">AR30+AR59</f>
        <v>63.3255975542774</v>
      </c>
      <c r="AS63" s="11" t="n">
        <f aca="false">AS30+AS59</f>
        <v>63.3255975542774</v>
      </c>
      <c r="AT63" s="11" t="n">
        <f aca="false">AT30+AT59</f>
        <v>63.3255975542774</v>
      </c>
      <c r="AU63" s="11" t="n">
        <f aca="false">AU30+AU59</f>
        <v>63.3255975542774</v>
      </c>
      <c r="AV63" s="11" t="n">
        <f aca="false">AV30+AV59</f>
        <v>63.3255975542774</v>
      </c>
      <c r="AW63" s="11" t="n">
        <f aca="false">AW30+AW59</f>
        <v>63.3255975542774</v>
      </c>
      <c r="AX63" s="11" t="n">
        <f aca="false">AX30+AX59</f>
        <v>63.3255975542774</v>
      </c>
      <c r="AY63" s="11" t="n">
        <f aca="false">AY30+AY59</f>
        <v>63.3255975542774</v>
      </c>
      <c r="AZ63" s="11" t="n">
        <f aca="false">AZ30+AZ59</f>
        <v>63.3255975542774</v>
      </c>
      <c r="BA63" s="11" t="n">
        <f aca="false">BA30+BA59</f>
        <v>63.3255975542774</v>
      </c>
      <c r="BB63" s="11" t="n">
        <f aca="false">BB30+BB59</f>
        <v>63.3255975542774</v>
      </c>
      <c r="BC63" s="11" t="n">
        <f aca="false">BC30+BC59</f>
        <v>63.3255975542774</v>
      </c>
      <c r="BD63" s="11" t="n">
        <f aca="false">BD30+BD59</f>
        <v>63.3255975542774</v>
      </c>
      <c r="BE63" s="11" t="n">
        <f aca="false">BE30+BE59</f>
        <v>63.3255975542774</v>
      </c>
      <c r="BF63" s="11" t="n">
        <f aca="false">BF30+BF59</f>
        <v>63.3255975542774</v>
      </c>
      <c r="BG63" s="11" t="n">
        <f aca="false">BG30+BG59</f>
        <v>63.3255975542774</v>
      </c>
      <c r="BH63" s="11" t="n">
        <f aca="false">BH30+BH59</f>
        <v>63.3255975542774</v>
      </c>
      <c r="BI63" s="11" t="n">
        <f aca="false">BI30+BI59</f>
        <v>63.3255975542774</v>
      </c>
      <c r="BJ63" s="11" t="n">
        <f aca="false">BJ30+BJ59</f>
        <v>63.3255975542774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34.2181900281477</v>
      </c>
      <c r="K64" s="11" t="n">
        <f aca="false">K31+K60</f>
        <v>34.9214645874907</v>
      </c>
      <c r="L64" s="11" t="n">
        <f aca="false">L31+L60</f>
        <v>35.8179334067169</v>
      </c>
      <c r="M64" s="11" t="n">
        <f aca="false">M31+M60</f>
        <v>37.085252026899</v>
      </c>
      <c r="N64" s="11" t="n">
        <f aca="false">N31+N60</f>
        <v>38.9100967413902</v>
      </c>
      <c r="O64" s="11" t="n">
        <f aca="false">O31+O60</f>
        <v>41.4247513033236</v>
      </c>
      <c r="P64" s="11" t="n">
        <f aca="false">P31+P60</f>
        <v>44.705188872565</v>
      </c>
      <c r="Q64" s="11" t="n">
        <f aca="false">Q31+Q60</f>
        <v>48.8691122908921</v>
      </c>
      <c r="R64" s="11" t="n">
        <f aca="false">R31+R60</f>
        <v>53.913564672138</v>
      </c>
      <c r="S64" s="11" t="n">
        <f aca="false">S31+S60</f>
        <v>59.8546168337247</v>
      </c>
      <c r="T64" s="11" t="n">
        <f aca="false">T31+T60</f>
        <v>66.6347187023965</v>
      </c>
      <c r="U64" s="11" t="n">
        <f aca="false">U31+U60</f>
        <v>74.2192933747346</v>
      </c>
      <c r="V64" s="11" t="n">
        <f aca="false">V31+V60</f>
        <v>82.5111587252303</v>
      </c>
      <c r="W64" s="11" t="n">
        <f aca="false">W31+W60</f>
        <v>91.3912165176342</v>
      </c>
      <c r="X64" s="11" t="n">
        <f aca="false">X31+X60</f>
        <v>100.758185761902</v>
      </c>
      <c r="Y64" s="11" t="n">
        <f aca="false">Y31+Y60</f>
        <v>110.449374506804</v>
      </c>
      <c r="Z64" s="11" t="n">
        <f aca="false">Z31+Z60</f>
        <v>120.343651248279</v>
      </c>
      <c r="AA64" s="11" t="n">
        <f aca="false">AA31+AA60</f>
        <v>130.607192917288</v>
      </c>
      <c r="AB64" s="11" t="n">
        <f aca="false">AB31+AB60</f>
        <v>140.397340383112</v>
      </c>
      <c r="AC64" s="11" t="n">
        <f aca="false">AC31+AC60</f>
        <v>149.954787208863</v>
      </c>
      <c r="AD64" s="11" t="n">
        <f aca="false">AD31+AD60</f>
        <v>159.091071193685</v>
      </c>
      <c r="AE64" s="11" t="n">
        <f aca="false">AE31+AE60</f>
        <v>167.711200484274</v>
      </c>
      <c r="AF64" s="11" t="n">
        <f aca="false">AF31+AF60</f>
        <v>175.667865771659</v>
      </c>
      <c r="AG64" s="11" t="n">
        <f aca="false">AG31+AG60</f>
        <v>182.906285124439</v>
      </c>
      <c r="AH64" s="11" t="n">
        <f aca="false">AH31+AH60</f>
        <v>189.339777326356</v>
      </c>
      <c r="AI64" s="11" t="n">
        <f aca="false">AI31+AI60</f>
        <v>194.908739836322</v>
      </c>
      <c r="AJ64" s="11" t="n">
        <f aca="false">AJ31+AJ60</f>
        <v>199.643252992213</v>
      </c>
      <c r="AK64" s="11" t="n">
        <f aca="false">AK31+AK60</f>
        <v>203.52822722484</v>
      </c>
      <c r="AL64" s="11" t="n">
        <f aca="false">AL31+AL60</f>
        <v>206.664544855391</v>
      </c>
      <c r="AM64" s="11" t="n">
        <f aca="false">AM31+AM60</f>
        <v>209.130309827157</v>
      </c>
      <c r="AN64" s="11" t="n">
        <f aca="false">AN31+AN60</f>
        <v>210.996284626515</v>
      </c>
      <c r="AO64" s="11" t="n">
        <f aca="false">AO31+AO60</f>
        <v>212.553776802483</v>
      </c>
      <c r="AP64" s="11" t="n">
        <f aca="false">AP31+AP60</f>
        <v>227.821871346115</v>
      </c>
      <c r="AQ64" s="11" t="n">
        <f aca="false">AQ31+AQ60</f>
        <v>239.590122890569</v>
      </c>
      <c r="AR64" s="11" t="n">
        <f aca="false">AR31+AR60</f>
        <v>240.637270706254</v>
      </c>
      <c r="AS64" s="11" t="n">
        <f aca="false">AS31+AS60</f>
        <v>240.637270706254</v>
      </c>
      <c r="AT64" s="11" t="n">
        <f aca="false">AT31+AT60</f>
        <v>240.637270706254</v>
      </c>
      <c r="AU64" s="11" t="n">
        <f aca="false">AU31+AU60</f>
        <v>240.637270706254</v>
      </c>
      <c r="AV64" s="11" t="n">
        <f aca="false">AV31+AV60</f>
        <v>240.637270706254</v>
      </c>
      <c r="AW64" s="11" t="n">
        <f aca="false">AW31+AW60</f>
        <v>240.637270706254</v>
      </c>
      <c r="AX64" s="11" t="n">
        <f aca="false">AX31+AX60</f>
        <v>240.637270706254</v>
      </c>
      <c r="AY64" s="11" t="n">
        <f aca="false">AY31+AY60</f>
        <v>240.637270706254</v>
      </c>
      <c r="AZ64" s="11" t="n">
        <f aca="false">AZ31+AZ60</f>
        <v>240.637270706254</v>
      </c>
      <c r="BA64" s="11" t="n">
        <f aca="false">BA31+BA60</f>
        <v>240.637270706254</v>
      </c>
      <c r="BB64" s="11" t="n">
        <f aca="false">BB31+BB60</f>
        <v>240.637270706254</v>
      </c>
      <c r="BC64" s="11" t="n">
        <f aca="false">BC31+BC60</f>
        <v>240.637270706254</v>
      </c>
      <c r="BD64" s="11" t="n">
        <f aca="false">BD31+BD60</f>
        <v>240.637270706254</v>
      </c>
      <c r="BE64" s="11" t="n">
        <f aca="false">BE31+BE60</f>
        <v>240.637270706254</v>
      </c>
      <c r="BF64" s="11" t="n">
        <f aca="false">BF31+BF60</f>
        <v>240.637270706254</v>
      </c>
      <c r="BG64" s="11" t="n">
        <f aca="false">BG31+BG60</f>
        <v>240.637270706254</v>
      </c>
      <c r="BH64" s="11" t="n">
        <f aca="false">BH31+BH60</f>
        <v>240.637270706254</v>
      </c>
      <c r="BI64" s="11" t="n">
        <f aca="false">BI31+BI60</f>
        <v>240.637270706254</v>
      </c>
      <c r="BJ64" s="11" t="n">
        <f aca="false">BJ31+BJ60</f>
        <v>240.637270706254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1.74223968585352E-011</v>
      </c>
      <c r="AS65" s="11" t="n">
        <f aca="false">AS32+AS55</f>
        <v>1.74223968585352E-011</v>
      </c>
      <c r="AT65" s="11" t="n">
        <f aca="false">AT32+AT55</f>
        <v>1.74223968585352E-011</v>
      </c>
      <c r="AU65" s="11" t="n">
        <f aca="false">AU32+AU55</f>
        <v>1.74223968585352E-011</v>
      </c>
      <c r="AV65" s="11" t="n">
        <f aca="false">AV32+AV55</f>
        <v>1.74223968585352E-011</v>
      </c>
      <c r="AW65" s="11" t="n">
        <f aca="false">AW32+AW55</f>
        <v>1.74223968585352E-011</v>
      </c>
      <c r="AX65" s="11" t="n">
        <f aca="false">AX32+AX55</f>
        <v>1.74223968585352E-011</v>
      </c>
      <c r="AY65" s="11" t="n">
        <f aca="false">AY32+AY55</f>
        <v>1.74223968585352E-011</v>
      </c>
      <c r="AZ65" s="11" t="n">
        <f aca="false">AZ32+AZ55</f>
        <v>1.74223968585352E-011</v>
      </c>
      <c r="BA65" s="11" t="n">
        <f aca="false">BA32+BA55</f>
        <v>1.74223968585352E-011</v>
      </c>
      <c r="BB65" s="11" t="n">
        <f aca="false">BB32+BB55</f>
        <v>1.74223968585352E-011</v>
      </c>
      <c r="BC65" s="11" t="n">
        <f aca="false">BC32+BC55</f>
        <v>1.74223968585352E-011</v>
      </c>
      <c r="BD65" s="11" t="n">
        <f aca="false">BD32+BD55</f>
        <v>1.74223968585352E-011</v>
      </c>
      <c r="BE65" s="11" t="n">
        <f aca="false">BE32+BE55</f>
        <v>1.74223968585352E-011</v>
      </c>
      <c r="BF65" s="11" t="n">
        <f aca="false">BF32+BF55</f>
        <v>1.74223968585352E-011</v>
      </c>
      <c r="BG65" s="11" t="n">
        <f aca="false">BG32+BG55</f>
        <v>1.74223968585352E-011</v>
      </c>
      <c r="BH65" s="11" t="n">
        <f aca="false">BH32+BH55</f>
        <v>1.74223968585352E-011</v>
      </c>
      <c r="BI65" s="11" t="n">
        <f aca="false">BI32+BI55</f>
        <v>1.74223968585352E-011</v>
      </c>
      <c r="BJ65" s="11" t="n">
        <f aca="false">BJ32+BJ55</f>
        <v>1.74223968585352E-011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221.833767584057</v>
      </c>
      <c r="J67" s="11" t="n">
        <f aca="false">J50-J47+J56</f>
        <v>31.5443654741124</v>
      </c>
      <c r="K67" s="11" t="n">
        <f aca="false">K50-K47+K56</f>
        <v>0.648320373179076</v>
      </c>
      <c r="L67" s="11" t="n">
        <f aca="false">L50-L47+L56</f>
        <v>0.826418347859906</v>
      </c>
      <c r="M67" s="11" t="n">
        <f aca="false">M50-M47+M56</f>
        <v>1.16828978079458</v>
      </c>
      <c r="N67" s="11" t="n">
        <f aca="false">N50-N47+N56</f>
        <v>1.68225053867731</v>
      </c>
      <c r="O67" s="11" t="n">
        <f aca="false">O50-O47+O56</f>
        <v>2.31815833851875</v>
      </c>
      <c r="P67" s="11" t="n">
        <f aca="false">P50-P47+P56</f>
        <v>3.0241027217991</v>
      </c>
      <c r="Q67" s="11" t="n">
        <f aca="false">Q50-Q47+Q56</f>
        <v>3.83855259456677</v>
      </c>
      <c r="R67" s="11" t="n">
        <f aca="false">R50-R47+R56</f>
        <v>4.6502766335649</v>
      </c>
      <c r="S67" s="11" t="n">
        <f aca="false">S50-S47+S56</f>
        <v>5.47681570917974</v>
      </c>
      <c r="T67" s="11" t="n">
        <f aca="false">T50-T47+T56</f>
        <v>6.25030169980247</v>
      </c>
      <c r="U67" s="11" t="n">
        <f aca="false">U50-U47+U56</f>
        <v>6.99191264158404</v>
      </c>
      <c r="V67" s="11" t="n">
        <f aca="false">V50-V47+V56</f>
        <v>7.6439353122712</v>
      </c>
      <c r="W67" s="11" t="n">
        <f aca="false">W50-W47+W56</f>
        <v>8.18616613574263</v>
      </c>
      <c r="X67" s="11" t="n">
        <f aca="false">X50-X47+X56</f>
        <v>8.63503011067768</v>
      </c>
      <c r="Y67" s="11" t="n">
        <f aca="false">Y50-Y47+Y56</f>
        <v>8.93391495565196</v>
      </c>
      <c r="Z67" s="11" t="n">
        <f aca="false">Z50-Z47+Z56</f>
        <v>9.1211335660466</v>
      </c>
      <c r="AA67" s="11" t="n">
        <f aca="false">AA50-AA47+AA56</f>
        <v>9.46154396827212</v>
      </c>
      <c r="AB67" s="11" t="n">
        <f aca="false">AB50-AB47+AB56</f>
        <v>9.0251409982049</v>
      </c>
      <c r="AC67" s="11" t="n">
        <f aca="false">AC50-AC47+AC56</f>
        <v>8.81062368941417</v>
      </c>
      <c r="AD67" s="11" t="n">
        <f aca="false">AD50-AD47+AD56</f>
        <v>8.42237069977848</v>
      </c>
      <c r="AE67" s="11" t="n">
        <f aca="false">AE50-AE47+AE56</f>
        <v>7.9465485624091</v>
      </c>
      <c r="AF67" s="11" t="n">
        <f aca="false">AF50-AF47+AF56</f>
        <v>7.33492793084585</v>
      </c>
      <c r="AG67" s="11" t="n">
        <f aca="false">AG50-AG47+AG56</f>
        <v>6.67280605231224</v>
      </c>
      <c r="AH67" s="11" t="n">
        <f aca="false">AH50-AH47+AH56</f>
        <v>5.93077626622527</v>
      </c>
      <c r="AI67" s="11" t="n">
        <f aca="false">AI50-AI47+AI56</f>
        <v>5.13380130806101</v>
      </c>
      <c r="AJ67" s="11" t="n">
        <f aca="false">AJ50-AJ47+AJ56</f>
        <v>4.36455619682293</v>
      </c>
      <c r="AK67" s="11" t="n">
        <f aca="false">AK50-AK47+AK56</f>
        <v>3.58140062202883</v>
      </c>
      <c r="AL67" s="11" t="n">
        <f aca="false">AL50-AL47+AL56</f>
        <v>2.89124437907497</v>
      </c>
      <c r="AM67" s="11" t="n">
        <f aca="false">AM50-AM47+AM56</f>
        <v>2.27308900262301</v>
      </c>
      <c r="AN67" s="11" t="n">
        <f aca="false">AN50-AN47+AN56</f>
        <v>1.72016670046058</v>
      </c>
      <c r="AO67" s="11" t="n">
        <f aca="false">AO50-AO47+AO56</f>
        <v>1.43578904615905</v>
      </c>
      <c r="AP67" s="11" t="n">
        <f aca="false">AP50-AP47+AP56</f>
        <v>14.0750388603677</v>
      </c>
      <c r="AQ67" s="11" t="n">
        <f aca="false">AQ50-AQ47+AQ56</f>
        <v>10.8486751462942</v>
      </c>
      <c r="AR67" s="11" t="n">
        <f aca="false">AR50-AR47+AR56</f>
        <v>0.965323220673674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207.633767584057</v>
      </c>
      <c r="J68" s="11" t="n">
        <f aca="false">J67-IF(Construction!J8=1,Inputs!$F$66,0)</f>
        <v>17.3443654741124</v>
      </c>
      <c r="K68" s="11" t="n">
        <f aca="false">K67-IF(Construction!K8=1,Inputs!$F$66,0)</f>
        <v>0.648320373179076</v>
      </c>
      <c r="L68" s="11" t="n">
        <f aca="false">L67-IF(Construction!L8=1,Inputs!$F$66,0)</f>
        <v>0.826418347859906</v>
      </c>
      <c r="M68" s="11" t="n">
        <f aca="false">M67-IF(Construction!M8=1,Inputs!$F$66,0)</f>
        <v>1.16828978079458</v>
      </c>
      <c r="N68" s="11" t="n">
        <f aca="false">N67-IF(Construction!N8=1,Inputs!$F$66,0)</f>
        <v>1.68225053867731</v>
      </c>
      <c r="O68" s="11" t="n">
        <f aca="false">O67-IF(Construction!O8=1,Inputs!$F$66,0)</f>
        <v>2.31815833851875</v>
      </c>
      <c r="P68" s="11" t="n">
        <f aca="false">P67-IF(Construction!P8=1,Inputs!$F$66,0)</f>
        <v>3.0241027217991</v>
      </c>
      <c r="Q68" s="11" t="n">
        <f aca="false">Q67-IF(Construction!Q8=1,Inputs!$F$66,0)</f>
        <v>3.83855259456677</v>
      </c>
      <c r="R68" s="11" t="n">
        <f aca="false">R67-IF(Construction!R8=1,Inputs!$F$66,0)</f>
        <v>4.6502766335649</v>
      </c>
      <c r="S68" s="11" t="n">
        <f aca="false">S67-IF(Construction!S8=1,Inputs!$F$66,0)</f>
        <v>5.47681570917974</v>
      </c>
      <c r="T68" s="11" t="n">
        <f aca="false">T67-IF(Construction!T8=1,Inputs!$F$66,0)</f>
        <v>6.25030169980247</v>
      </c>
      <c r="U68" s="11" t="n">
        <f aca="false">U67-IF(Construction!U8=1,Inputs!$F$66,0)</f>
        <v>6.99191264158404</v>
      </c>
      <c r="V68" s="11" t="n">
        <f aca="false">V67-IF(Construction!V8=1,Inputs!$F$66,0)</f>
        <v>7.6439353122712</v>
      </c>
      <c r="W68" s="11" t="n">
        <f aca="false">W67-IF(Construction!W8=1,Inputs!$F$66,0)</f>
        <v>8.18616613574263</v>
      </c>
      <c r="X68" s="11" t="n">
        <f aca="false">X67-IF(Construction!X8=1,Inputs!$F$66,0)</f>
        <v>8.63503011067768</v>
      </c>
      <c r="Y68" s="11" t="n">
        <f aca="false">Y67-IF(Construction!Y8=1,Inputs!$F$66,0)</f>
        <v>8.93391495565196</v>
      </c>
      <c r="Z68" s="11" t="n">
        <f aca="false">Z67-IF(Construction!Z8=1,Inputs!$F$66,0)</f>
        <v>9.1211335660466</v>
      </c>
      <c r="AA68" s="11" t="n">
        <f aca="false">AA67-IF(Construction!AA8=1,Inputs!$F$66,0)</f>
        <v>9.46154396827212</v>
      </c>
      <c r="AB68" s="11" t="n">
        <f aca="false">AB67-IF(Construction!AB8=1,Inputs!$F$66,0)</f>
        <v>9.0251409982049</v>
      </c>
      <c r="AC68" s="11" t="n">
        <f aca="false">AC67-IF(Construction!AC8=1,Inputs!$F$66,0)</f>
        <v>8.81062368941417</v>
      </c>
      <c r="AD68" s="11" t="n">
        <f aca="false">AD67-IF(Construction!AD8=1,Inputs!$F$66,0)</f>
        <v>8.42237069977848</v>
      </c>
      <c r="AE68" s="11" t="n">
        <f aca="false">AE67-IF(Construction!AE8=1,Inputs!$F$66,0)</f>
        <v>7.9465485624091</v>
      </c>
      <c r="AF68" s="11" t="n">
        <f aca="false">AF67-IF(Construction!AF8=1,Inputs!$F$66,0)</f>
        <v>7.33492793084585</v>
      </c>
      <c r="AG68" s="11" t="n">
        <f aca="false">AG67-IF(Construction!AG8=1,Inputs!$F$66,0)</f>
        <v>6.67280605231224</v>
      </c>
      <c r="AH68" s="11" t="n">
        <f aca="false">AH67-IF(Construction!AH8=1,Inputs!$F$66,0)</f>
        <v>5.93077626622527</v>
      </c>
      <c r="AI68" s="11" t="n">
        <f aca="false">AI67-IF(Construction!AI8=1,Inputs!$F$66,0)</f>
        <v>5.13380130806101</v>
      </c>
      <c r="AJ68" s="11" t="n">
        <f aca="false">AJ67-IF(Construction!AJ8=1,Inputs!$F$66,0)</f>
        <v>4.36455619682293</v>
      </c>
      <c r="AK68" s="11" t="n">
        <f aca="false">AK67-IF(Construction!AK8=1,Inputs!$F$66,0)</f>
        <v>3.58140062202883</v>
      </c>
      <c r="AL68" s="11" t="n">
        <f aca="false">AL67-IF(Construction!AL8=1,Inputs!$F$66,0)</f>
        <v>2.89124437907497</v>
      </c>
      <c r="AM68" s="11" t="n">
        <f aca="false">AM67-IF(Construction!AM8=1,Inputs!$F$66,0)</f>
        <v>2.27308900262301</v>
      </c>
      <c r="AN68" s="11" t="n">
        <f aca="false">AN67-IF(Construction!AN8=1,Inputs!$F$66,0)</f>
        <v>1.72016670046058</v>
      </c>
      <c r="AO68" s="11" t="n">
        <f aca="false">AO67-IF(Construction!AO8=1,Inputs!$F$66,0)</f>
        <v>1.43578904615905</v>
      </c>
      <c r="AP68" s="11" t="n">
        <f aca="false">AP67-IF(Construction!AP8=1,Inputs!$F$66,0)</f>
        <v>14.0750388603677</v>
      </c>
      <c r="AQ68" s="11" t="n">
        <f aca="false">AQ67-IF(Construction!AQ8=1,Inputs!$F$66,0)</f>
        <v>10.8486751462942</v>
      </c>
      <c r="AR68" s="11" t="n">
        <f aca="false">AR67-IF(Construction!AR8=1,Inputs!$F$66,0)</f>
        <v>0.965323220673674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44.3667535168114</v>
      </c>
      <c r="J69" s="11" t="n">
        <f aca="false">(1-Inputs!$F$52)*J67</f>
        <v>6.30887309482249</v>
      </c>
      <c r="K69" s="11" t="n">
        <f aca="false">(1-Inputs!$F$52)*K67</f>
        <v>0.129664074635815</v>
      </c>
      <c r="L69" s="11" t="n">
        <f aca="false">(1-Inputs!$F$52)*L67</f>
        <v>0.165283669571981</v>
      </c>
      <c r="M69" s="11" t="n">
        <f aca="false">(1-Inputs!$F$52)*M67</f>
        <v>0.233657956158916</v>
      </c>
      <c r="N69" s="11" t="n">
        <f aca="false">(1-Inputs!$F$52)*N67</f>
        <v>0.336450107735463</v>
      </c>
      <c r="O69" s="11" t="n">
        <f aca="false">(1-Inputs!$F$52)*O67</f>
        <v>0.463631667703751</v>
      </c>
      <c r="P69" s="11" t="n">
        <f aca="false">(1-Inputs!$F$52)*P67</f>
        <v>0.60482054435982</v>
      </c>
      <c r="Q69" s="11" t="n">
        <f aca="false">(1-Inputs!$F$52)*Q67</f>
        <v>0.767710518913354</v>
      </c>
      <c r="R69" s="11" t="n">
        <f aca="false">(1-Inputs!$F$52)*R67</f>
        <v>0.93005532671298</v>
      </c>
      <c r="S69" s="11" t="n">
        <f aca="false">(1-Inputs!$F$52)*S67</f>
        <v>1.09536314183595</v>
      </c>
      <c r="T69" s="11" t="n">
        <f aca="false">(1-Inputs!$F$52)*T67</f>
        <v>1.25006033996049</v>
      </c>
      <c r="U69" s="11" t="n">
        <f aca="false">(1-Inputs!$F$52)*U67</f>
        <v>1.39838252831681</v>
      </c>
      <c r="V69" s="11" t="n">
        <f aca="false">(1-Inputs!$F$52)*V67</f>
        <v>1.52878706245424</v>
      </c>
      <c r="W69" s="11" t="n">
        <f aca="false">(1-Inputs!$F$52)*W67</f>
        <v>1.63723322714853</v>
      </c>
      <c r="X69" s="11" t="n">
        <f aca="false">(1-Inputs!$F$52)*X67</f>
        <v>1.72700602213553</v>
      </c>
      <c r="Y69" s="11" t="n">
        <f aca="false">(1-Inputs!$F$52)*Y67</f>
        <v>1.78678299113039</v>
      </c>
      <c r="Z69" s="11" t="n">
        <f aca="false">(1-Inputs!$F$52)*Z67</f>
        <v>1.82422671320932</v>
      </c>
      <c r="AA69" s="11" t="n">
        <f aca="false">(1-Inputs!$F$52)*AA67</f>
        <v>1.89230879365442</v>
      </c>
      <c r="AB69" s="11" t="n">
        <f aca="false">(1-Inputs!$F$52)*AB67</f>
        <v>1.80502819964098</v>
      </c>
      <c r="AC69" s="11" t="n">
        <f aca="false">(1-Inputs!$F$52)*AC67</f>
        <v>1.76212473788283</v>
      </c>
      <c r="AD69" s="11" t="n">
        <f aca="false">(1-Inputs!$F$52)*AD67</f>
        <v>1.6844741399557</v>
      </c>
      <c r="AE69" s="11" t="n">
        <f aca="false">(1-Inputs!$F$52)*AE67</f>
        <v>1.58930971248182</v>
      </c>
      <c r="AF69" s="11" t="n">
        <f aca="false">(1-Inputs!$F$52)*AF67</f>
        <v>1.46698558616917</v>
      </c>
      <c r="AG69" s="11" t="n">
        <f aca="false">(1-Inputs!$F$52)*AG67</f>
        <v>1.33456121046245</v>
      </c>
      <c r="AH69" s="11" t="n">
        <f aca="false">(1-Inputs!$F$52)*AH67</f>
        <v>1.18615525324505</v>
      </c>
      <c r="AI69" s="11" t="n">
        <f aca="false">(1-Inputs!$F$52)*AI67</f>
        <v>1.0267602616122</v>
      </c>
      <c r="AJ69" s="11" t="n">
        <f aca="false">(1-Inputs!$F$52)*AJ67</f>
        <v>0.872911239364585</v>
      </c>
      <c r="AK69" s="11" t="n">
        <f aca="false">(1-Inputs!$F$52)*AK67</f>
        <v>0.716280124405765</v>
      </c>
      <c r="AL69" s="11" t="n">
        <f aca="false">(1-Inputs!$F$52)*AL67</f>
        <v>0.578248875814994</v>
      </c>
      <c r="AM69" s="11" t="n">
        <f aca="false">(1-Inputs!$F$52)*AM67</f>
        <v>0.454617800524601</v>
      </c>
      <c r="AN69" s="11" t="n">
        <f aca="false">(1-Inputs!$F$52)*AN67</f>
        <v>0.344033340092117</v>
      </c>
      <c r="AO69" s="11" t="n">
        <f aca="false">(1-Inputs!$F$52)*AO67</f>
        <v>0.28715780923181</v>
      </c>
      <c r="AP69" s="11" t="n">
        <f aca="false">(1-Inputs!$F$52)*AP67</f>
        <v>2.81500777207354</v>
      </c>
      <c r="AQ69" s="11" t="n">
        <f aca="false">(1-Inputs!$F$52)*AQ67</f>
        <v>2.16973502925883</v>
      </c>
      <c r="AR69" s="11" t="n">
        <f aca="false">(1-Inputs!$F$52)*AR67</f>
        <v>0.193064644134735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177.467014067246</v>
      </c>
      <c r="J70" s="11" t="n">
        <f aca="false">Inputs!$F$52*J67</f>
        <v>25.23549237929</v>
      </c>
      <c r="K70" s="11" t="n">
        <f aca="false">Inputs!$F$52*K67</f>
        <v>0.518656298543261</v>
      </c>
      <c r="L70" s="11" t="n">
        <f aca="false">Inputs!$F$52*L67</f>
        <v>0.661134678287925</v>
      </c>
      <c r="M70" s="11" t="n">
        <f aca="false">Inputs!$F$52*M67</f>
        <v>0.934631824635666</v>
      </c>
      <c r="N70" s="11" t="n">
        <f aca="false">Inputs!$F$52*N67</f>
        <v>1.34580043094185</v>
      </c>
      <c r="O70" s="11" t="n">
        <f aca="false">Inputs!$F$52*O67</f>
        <v>1.854526670815</v>
      </c>
      <c r="P70" s="11" t="n">
        <f aca="false">Inputs!$F$52*P67</f>
        <v>2.41928217743928</v>
      </c>
      <c r="Q70" s="11" t="n">
        <f aca="false">Inputs!$F$52*Q67</f>
        <v>3.07084207565342</v>
      </c>
      <c r="R70" s="11" t="n">
        <f aca="false">Inputs!$F$52*R67</f>
        <v>3.72022130685192</v>
      </c>
      <c r="S70" s="11" t="n">
        <f aca="false">Inputs!$F$52*S67</f>
        <v>4.38145256734379</v>
      </c>
      <c r="T70" s="11" t="n">
        <f aca="false">Inputs!$F$52*T67</f>
        <v>5.00024135984198</v>
      </c>
      <c r="U70" s="11" t="n">
        <f aca="false">Inputs!$F$52*U67</f>
        <v>5.59353011326724</v>
      </c>
      <c r="V70" s="11" t="n">
        <f aca="false">Inputs!$F$52*V67</f>
        <v>6.11514824981696</v>
      </c>
      <c r="W70" s="11" t="n">
        <f aca="false">Inputs!$F$52*W67</f>
        <v>6.54893290859411</v>
      </c>
      <c r="X70" s="11" t="n">
        <f aca="false">Inputs!$F$52*X67</f>
        <v>6.90802408854214</v>
      </c>
      <c r="Y70" s="11" t="n">
        <f aca="false">Inputs!$F$52*Y67</f>
        <v>7.14713196452157</v>
      </c>
      <c r="Z70" s="11" t="n">
        <f aca="false">Inputs!$F$52*Z67</f>
        <v>7.29690685283728</v>
      </c>
      <c r="AA70" s="11" t="n">
        <f aca="false">Inputs!$F$52*AA67</f>
        <v>7.5692351746177</v>
      </c>
      <c r="AB70" s="11" t="n">
        <f aca="false">Inputs!$F$52*AB67</f>
        <v>7.22011279856392</v>
      </c>
      <c r="AC70" s="11" t="n">
        <f aca="false">Inputs!$F$52*AC67</f>
        <v>7.04849895153134</v>
      </c>
      <c r="AD70" s="11" t="n">
        <f aca="false">Inputs!$F$52*AD67</f>
        <v>6.73789655982279</v>
      </c>
      <c r="AE70" s="11" t="n">
        <f aca="false">Inputs!$F$52*AE67</f>
        <v>6.35723884992728</v>
      </c>
      <c r="AF70" s="11" t="n">
        <f aca="false">Inputs!$F$52*AF67</f>
        <v>5.86794234467668</v>
      </c>
      <c r="AG70" s="11" t="n">
        <f aca="false">Inputs!$F$52*AG67</f>
        <v>5.33824484184979</v>
      </c>
      <c r="AH70" s="11" t="n">
        <f aca="false">Inputs!$F$52*AH67</f>
        <v>4.74462101298021</v>
      </c>
      <c r="AI70" s="11" t="n">
        <f aca="false">Inputs!$F$52*AI67</f>
        <v>4.10704104644881</v>
      </c>
      <c r="AJ70" s="11" t="n">
        <f aca="false">Inputs!$F$52*AJ67</f>
        <v>3.49164495745834</v>
      </c>
      <c r="AK70" s="11" t="n">
        <f aca="false">Inputs!$F$52*AK67</f>
        <v>2.86512049762306</v>
      </c>
      <c r="AL70" s="11" t="n">
        <f aca="false">Inputs!$F$52*AL67</f>
        <v>2.31299550325998</v>
      </c>
      <c r="AM70" s="11" t="n">
        <f aca="false">Inputs!$F$52*AM67</f>
        <v>1.8184712020984</v>
      </c>
      <c r="AN70" s="11" t="n">
        <f aca="false">Inputs!$F$52*AN67</f>
        <v>1.37613336036847</v>
      </c>
      <c r="AO70" s="11" t="n">
        <f aca="false">Inputs!$F$52*AO67</f>
        <v>1.14863123692724</v>
      </c>
      <c r="AP70" s="11" t="n">
        <f aca="false">Inputs!$F$52*AP67</f>
        <v>11.2600310882942</v>
      </c>
      <c r="AQ70" s="11" t="n">
        <f aca="false">Inputs!$F$52*AQ67</f>
        <v>8.67894011703532</v>
      </c>
      <c r="AR70" s="11" t="n">
        <f aca="false">Inputs!$F$52*AR67</f>
        <v>0.772258576538939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24.1927046575272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0.197044255564319</v>
      </c>
      <c r="L71" s="11" t="n">
        <f aca="false">IF(Construction!L8&lt;=Time!$F$10,K72*Inputs!$F$102/100*Construction!L11/365,0)</f>
        <v>0.209387022435221</v>
      </c>
      <c r="M71" s="11" t="n">
        <f aca="false">IF(Construction!M8&lt;=Time!$F$10,L72*Inputs!$F$102/100*Construction!M11/365,0)</f>
        <v>0.209429826595189</v>
      </c>
      <c r="N71" s="11" t="n">
        <f aca="false">IF(Construction!N8&lt;=Time!$F$10,M72*Inputs!$F$102/100*Construction!N11/365,0)</f>
        <v>0.225641674411946</v>
      </c>
      <c r="O71" s="11" t="n">
        <f aca="false">IF(Construction!O8&lt;=Time!$F$10,N72*Inputs!$F$102/100*Construction!O11/365,0)</f>
        <v>0.238320844275691</v>
      </c>
      <c r="P71" s="11" t="n">
        <f aca="false">IF(Construction!P8&lt;=Time!$F$10,O72*Inputs!$F$102/100*Construction!P11/365,0)</f>
        <v>0.230509521395664</v>
      </c>
      <c r="Q71" s="11" t="n">
        <f aca="false">IF(Construction!Q8&lt;=Time!$F$10,P72*Inputs!$F$102/100*Construction!Q11/365,0)</f>
        <v>0.27658679628942</v>
      </c>
      <c r="R71" s="11" t="n">
        <f aca="false">IF(Construction!R8&lt;=Time!$F$10,Q72*Inputs!$F$102/100*Construction!R11/365,0)</f>
        <v>0.293802099885576</v>
      </c>
      <c r="S71" s="11" t="n">
        <f aca="false">IF(Construction!S8&lt;=Time!$F$10,R72*Inputs!$F$102/100*Construction!S11/365,0)</f>
        <v>0.335982623579046</v>
      </c>
      <c r="T71" s="11" t="n">
        <f aca="false">IF(Construction!T8&lt;=Time!$F$10,S72*Inputs!$F$102/100*Construction!T11/365,0)</f>
        <v>0.361979242360458</v>
      </c>
      <c r="U71" s="11" t="n">
        <f aca="false">IF(Construction!U8&lt;=Time!$F$10,T72*Inputs!$F$102/100*Construction!U11/365,0)</f>
        <v>0.417310257307139</v>
      </c>
      <c r="V71" s="11" t="n">
        <f aca="false">IF(Construction!V8&lt;=Time!$F$10,U72*Inputs!$F$102/100*Construction!V11/365,0)</f>
        <v>0.465808681666979</v>
      </c>
      <c r="W71" s="11" t="n">
        <f aca="false">IF(Construction!W8&lt;=Time!$F$10,V72*Inputs!$F$102/100*Construction!W11/365,0)</f>
        <v>0.502168149284138</v>
      </c>
      <c r="X71" s="11" t="n">
        <f aca="false">IF(Construction!X8&lt;=Time!$F$10,W72*Inputs!$F$102/100*Construction!X11/365,0)</f>
        <v>0.575798848183887</v>
      </c>
      <c r="Y71" s="11" t="n">
        <f aca="false">IF(Construction!Y8&lt;=Time!$F$10,X72*Inputs!$F$102/100*Construction!Y11/365,0)</f>
        <v>0.615660021570774</v>
      </c>
      <c r="Z71" s="11" t="n">
        <f aca="false">IF(Construction!Z8&lt;=Time!$F$10,Y72*Inputs!$F$102/100*Construction!Z11/365,0)</f>
        <v>0.698816056259778</v>
      </c>
      <c r="AA71" s="11" t="n">
        <f aca="false">IF(Construction!AA8&lt;=Time!$F$10,Z72*Inputs!$F$102/100*Construction!AA11/365,0)</f>
        <v>0.763329491786602</v>
      </c>
      <c r="AB71" s="11" t="n">
        <f aca="false">IF(Construction!AB8&lt;=Time!$F$10,AA72*Inputs!$F$102/100*Construction!AB11/365,0)</f>
        <v>0.776976169323503</v>
      </c>
      <c r="AC71" s="11" t="n">
        <f aca="false">IF(Construction!AC8&lt;=Time!$F$10,AB72*Inputs!$F$102/100*Construction!AC11/365,0)</f>
        <v>0.895085190287942</v>
      </c>
      <c r="AD71" s="11" t="n">
        <f aca="false">IF(Construction!AD8&lt;=Time!$F$10,AC72*Inputs!$F$102/100*Construction!AD11/365,0)</f>
        <v>0.928236720511065</v>
      </c>
      <c r="AE71" s="11" t="n">
        <f aca="false">IF(Construction!AE8&lt;=Time!$F$10,AD72*Inputs!$F$102/100*Construction!AE11/365,0)</f>
        <v>1.02103208839271</v>
      </c>
      <c r="AF71" s="11" t="n">
        <f aca="false">IF(Construction!AF8&lt;=Time!$F$10,AE72*Inputs!$F$102/100*Construction!AF11/365,0)</f>
        <v>1.04570672605398</v>
      </c>
      <c r="AG71" s="11" t="n">
        <f aca="false">IF(Construction!AG8&lt;=Time!$F$10,AF72*Inputs!$F$102/100*Construction!AG11/365,0)</f>
        <v>1.13634634709587</v>
      </c>
      <c r="AH71" s="11" t="n">
        <f aca="false">IF(Construction!AH8&lt;=Time!$F$10,AG72*Inputs!$F$102/100*Construction!AH11/365,0)</f>
        <v>1.18858654175737</v>
      </c>
      <c r="AI71" s="11" t="n">
        <f aca="false">IF(Construction!AI8&lt;=Time!$F$10,AH72*Inputs!$F$102/100*Construction!AI11/365,0)</f>
        <v>1.1965728254268</v>
      </c>
      <c r="AJ71" s="11" t="n">
        <f aca="false">IF(Construction!AJ8&lt;=Time!$F$10,AI72*Inputs!$F$102/100*Construction!AJ11/365,0)</f>
        <v>1.27925075847347</v>
      </c>
      <c r="AK71" s="11" t="n">
        <f aca="false">IF(Construction!AK8&lt;=Time!$F$10,AJ72*Inputs!$F$102/100*Construction!AK11/365,0)</f>
        <v>1.27523680440009</v>
      </c>
      <c r="AL71" s="11" t="n">
        <f aca="false">IF(Construction!AL8&lt;=Time!$F$10,AK72*Inputs!$F$102/100*Construction!AL11/365,0)</f>
        <v>1.35115114241285</v>
      </c>
      <c r="AM71" s="11" t="n">
        <f aca="false">IF(Construction!AM8&lt;=Time!$F$10,AL72*Inputs!$F$102/100*Construction!AM11/365,0)</f>
        <v>1.38071528452657</v>
      </c>
      <c r="AN71" s="11" t="n">
        <f aca="false">IF(Construction!AN8&lt;=Time!$F$10,AM72*Inputs!$F$102/100*Construction!AN11/365,0)</f>
        <v>1.27041229567377</v>
      </c>
      <c r="AO71" s="11" t="n">
        <f aca="false">IF(Construction!AO8&lt;=Time!$F$10,AN72*Inputs!$F$102/100*Construction!AO11/365,0)</f>
        <v>1.42788153428042</v>
      </c>
      <c r="AP71" s="11" t="n">
        <f aca="false">IF(Construction!AP8&lt;=Time!$F$10,AO72*Inputs!$F$102/100*Construction!AP11/365,0)</f>
        <v>1.40193881605893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25.23549237929</v>
      </c>
      <c r="K72" s="11" t="n">
        <f aca="false">J72+K71+K70</f>
        <v>25.9511929333975</v>
      </c>
      <c r="L72" s="11" t="n">
        <f aca="false">K72+L71+L70</f>
        <v>26.8217146341207</v>
      </c>
      <c r="M72" s="11" t="n">
        <f aca="false">L72+M71+M70</f>
        <v>27.9657762853515</v>
      </c>
      <c r="N72" s="11" t="n">
        <f aca="false">M72+N71+N70</f>
        <v>29.5372183907053</v>
      </c>
      <c r="O72" s="11" t="n">
        <f aca="false">N72+O71+O70</f>
        <v>31.630065905796</v>
      </c>
      <c r="P72" s="11" t="n">
        <f aca="false">O72+P71+P70</f>
        <v>34.279857604631</v>
      </c>
      <c r="Q72" s="11" t="n">
        <f aca="false">P72+Q71+Q70</f>
        <v>37.6272864765738</v>
      </c>
      <c r="R72" s="11" t="n">
        <f aca="false">Q72+R71+R70</f>
        <v>41.6413098833113</v>
      </c>
      <c r="S72" s="11" t="n">
        <f aca="false">R72+S71+S70</f>
        <v>46.3587450742341</v>
      </c>
      <c r="T72" s="11" t="n">
        <f aca="false">S72+T71+T70</f>
        <v>51.7209656764366</v>
      </c>
      <c r="U72" s="11" t="n">
        <f aca="false">T72+U71+U70</f>
        <v>57.7318060470109</v>
      </c>
      <c r="V72" s="11" t="n">
        <f aca="false">U72+V71+V70</f>
        <v>64.3127629784949</v>
      </c>
      <c r="W72" s="11" t="n">
        <f aca="false">V72+W71+W70</f>
        <v>71.3638640363731</v>
      </c>
      <c r="X72" s="11" t="n">
        <f aca="false">W72+X71+X70</f>
        <v>78.8476869730991</v>
      </c>
      <c r="Y72" s="11" t="n">
        <f aca="false">X72+Y71+Y70</f>
        <v>86.6104789591915</v>
      </c>
      <c r="Z72" s="11" t="n">
        <f aca="false">Y72+Z71+Z70</f>
        <v>94.6062018682885</v>
      </c>
      <c r="AA72" s="11" t="n">
        <f aca="false">Z72+AA71+AA70</f>
        <v>102.938766534693</v>
      </c>
      <c r="AB72" s="11" t="n">
        <f aca="false">AA72+AB71+AB70</f>
        <v>110.93585550258</v>
      </c>
      <c r="AC72" s="11" t="n">
        <f aca="false">AB72+AC71+AC70</f>
        <v>118.8794396444</v>
      </c>
      <c r="AD72" s="11" t="n">
        <f aca="false">AC72+AD71+AD70</f>
        <v>126.545572924733</v>
      </c>
      <c r="AE72" s="11" t="n">
        <f aca="false">AD72+AE71+AE70</f>
        <v>133.923843863053</v>
      </c>
      <c r="AF72" s="11" t="n">
        <f aca="false">AE72+AF71+AF70</f>
        <v>140.837492933784</v>
      </c>
      <c r="AG72" s="11" t="n">
        <f aca="false">AF72+AG71+AG70</f>
        <v>147.31208412273</v>
      </c>
      <c r="AH72" s="11" t="n">
        <f aca="false">AG72+AH71+AH70</f>
        <v>153.245291677467</v>
      </c>
      <c r="AI72" s="11" t="n">
        <f aca="false">AH72+AI71+AI70</f>
        <v>158.548905549343</v>
      </c>
      <c r="AJ72" s="11" t="n">
        <f aca="false">AI72+AJ71+AJ70</f>
        <v>163.319801265275</v>
      </c>
      <c r="AK72" s="11" t="n">
        <f aca="false">AJ72+AK71+AK70</f>
        <v>167.460158567298</v>
      </c>
      <c r="AL72" s="11" t="n">
        <f aca="false">AK72+AL71+AL70</f>
        <v>171.124305212971</v>
      </c>
      <c r="AM72" s="11" t="n">
        <f aca="false">AL72+AM71+AM70</f>
        <v>174.323491699596</v>
      </c>
      <c r="AN72" s="11" t="n">
        <f aca="false">AM72+AN71+AN70</f>
        <v>176.970037355638</v>
      </c>
      <c r="AO72" s="11" t="n">
        <f aca="false">AN72+AO71+AO70</f>
        <v>179.546550126846</v>
      </c>
      <c r="AP72" s="11" t="n">
        <f aca="false">AO72+AP71+AP70</f>
        <v>192.208520031199</v>
      </c>
      <c r="AQ72" s="11" t="n">
        <f aca="false">AP72+AQ71+AQ70</f>
        <v>200.887460148234</v>
      </c>
      <c r="AR72" s="11" t="n">
        <f aca="false">AQ72+AR71+AR70</f>
        <v>201.659718724773</v>
      </c>
      <c r="AS72" s="11" t="n">
        <f aca="false">AR72+AS71+AS70</f>
        <v>201.659718724773</v>
      </c>
      <c r="AT72" s="11" t="n">
        <f aca="false">AS72+AT71+AT70</f>
        <v>201.659718724773</v>
      </c>
      <c r="AU72" s="11" t="n">
        <f aca="false">AT72+AU71+AU70</f>
        <v>201.659718724773</v>
      </c>
      <c r="AV72" s="11" t="n">
        <f aca="false">AU72+AV71+AV70</f>
        <v>201.659718724773</v>
      </c>
      <c r="AW72" s="11" t="n">
        <f aca="false">AV72+AW71+AW70</f>
        <v>201.659718724773</v>
      </c>
      <c r="AX72" s="11" t="n">
        <f aca="false">AW72+AX71+AX70</f>
        <v>201.659718724773</v>
      </c>
      <c r="AY72" s="11" t="n">
        <f aca="false">AX72+AY71+AY70</f>
        <v>201.659718724773</v>
      </c>
      <c r="AZ72" s="11" t="n">
        <f aca="false">AY72+AZ71+AZ70</f>
        <v>201.659718724773</v>
      </c>
      <c r="BA72" s="11" t="n">
        <f aca="false">AZ72+BA71+BA70</f>
        <v>201.659718724773</v>
      </c>
      <c r="BB72" s="11" t="n">
        <f aca="false">BA72+BB71+BB70</f>
        <v>201.659718724773</v>
      </c>
      <c r="BC72" s="11" t="n">
        <f aca="false">BB72+BC71+BC70</f>
        <v>201.659718724773</v>
      </c>
      <c r="BD72" s="11" t="n">
        <f aca="false">BC72+BD71+BD70</f>
        <v>201.659718724773</v>
      </c>
      <c r="BE72" s="11" t="n">
        <f aca="false">BD72+BE71+BE70</f>
        <v>201.659718724773</v>
      </c>
      <c r="BF72" s="11" t="n">
        <f aca="false">BE72+BF71+BF70</f>
        <v>201.659718724773</v>
      </c>
      <c r="BG72" s="11" t="n">
        <f aca="false">BF72+BG71+BG70</f>
        <v>201.659718724773</v>
      </c>
      <c r="BH72" s="11" t="n">
        <f aca="false">BG72+BH71+BH70</f>
        <v>201.659718724773</v>
      </c>
      <c r="BI72" s="11" t="n">
        <f aca="false">BH72+BI71+BI70</f>
        <v>201.659718724773</v>
      </c>
      <c r="BJ72" s="11" t="n">
        <f aca="false">BI72+BJ71+BJ70</f>
        <v>201.659718724773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633.255975542792</v>
      </c>
      <c r="J73" s="11" t="n">
        <f aca="false">J47+J55</f>
        <v>90.0478684951254</v>
      </c>
      <c r="K73" s="11" t="n">
        <f aca="false">K47+K55</f>
        <v>1.85072252458686</v>
      </c>
      <c r="L73" s="11" t="n">
        <f aca="false">L47+L55</f>
        <v>2.35912847164796</v>
      </c>
      <c r="M73" s="11" t="n">
        <f aca="false">M47+M55</f>
        <v>3.3350490004792</v>
      </c>
      <c r="N73" s="11" t="n">
        <f aca="false">N47+N55</f>
        <v>4.80222293287169</v>
      </c>
      <c r="O73" s="11" t="n">
        <f aca="false">O47+O55</f>
        <v>6.61751200508777</v>
      </c>
      <c r="P73" s="11" t="n">
        <f aca="false">P47+P55</f>
        <v>8.63273044537214</v>
      </c>
      <c r="Q73" s="11" t="n">
        <f aca="false">Q47+Q55</f>
        <v>10.9576932061239</v>
      </c>
      <c r="R73" s="11" t="n">
        <f aca="false">R47+R55</f>
        <v>13.2748746874893</v>
      </c>
      <c r="S73" s="11" t="n">
        <f aca="false">S47+S55</f>
        <v>15.6343477936492</v>
      </c>
      <c r="T73" s="11" t="n">
        <f aca="false">T47+T55</f>
        <v>17.84237333861</v>
      </c>
      <c r="U73" s="11" t="n">
        <f aca="false">U47+U55</f>
        <v>19.9594070324688</v>
      </c>
      <c r="V73" s="11" t="n">
        <f aca="false">V47+V55</f>
        <v>21.820698290778</v>
      </c>
      <c r="W73" s="11" t="n">
        <f aca="false">W47+W55</f>
        <v>23.368573137905</v>
      </c>
      <c r="X73" s="11" t="n">
        <f aca="false">X47+X55</f>
        <v>24.6499190638619</v>
      </c>
      <c r="Y73" s="11" t="n">
        <f aca="false">Y47+Y55</f>
        <v>25.5031282760592</v>
      </c>
      <c r="Z73" s="11" t="n">
        <f aca="false">Z47+Z55</f>
        <v>26.0375703723027</v>
      </c>
      <c r="AA73" s="11" t="n">
        <f aca="false">AA47+AA55</f>
        <v>27.0093201816033</v>
      </c>
      <c r="AB73" s="11" t="n">
        <f aca="false">AB47+AB55</f>
        <v>25.7635459626942</v>
      </c>
      <c r="AC73" s="11" t="n">
        <f aca="false">AC47+AC55</f>
        <v>25.1511758572385</v>
      </c>
      <c r="AD73" s="11" t="n">
        <f aca="false">AD47+AD55</f>
        <v>24.0428525916383</v>
      </c>
      <c r="AE73" s="11" t="n">
        <f aca="false">AE47+AE55</f>
        <v>22.684550764706</v>
      </c>
      <c r="AF73" s="11" t="n">
        <f aca="false">AF47+AF55</f>
        <v>20.938592861539</v>
      </c>
      <c r="AG73" s="11" t="n">
        <f aca="false">AG47+AG55</f>
        <v>19.0484719810011</v>
      </c>
      <c r="AH73" s="11" t="n">
        <f aca="false">AH47+AH55</f>
        <v>16.9302426366239</v>
      </c>
      <c r="AI73" s="11" t="n">
        <f aca="false">AI47+AI55</f>
        <v>14.6551644999094</v>
      </c>
      <c r="AJ73" s="11" t="n">
        <f aca="false">AJ47+AJ55</f>
        <v>12.4592451470814</v>
      </c>
      <c r="AK73" s="11" t="n">
        <f aca="false">AK47+AK55</f>
        <v>10.2236164016511</v>
      </c>
      <c r="AL73" s="11" t="n">
        <f aca="false">AL47+AL55</f>
        <v>8.25346744881826</v>
      </c>
      <c r="AM73" s="11" t="n">
        <f aca="false">AM47+AM55</f>
        <v>6.48885518885751</v>
      </c>
      <c r="AN73" s="11" t="n">
        <f aca="false">AN47+AN55</f>
        <v>4.91045999831217</v>
      </c>
      <c r="AO73" s="11" t="n">
        <f aca="false">AO47+AO55</f>
        <v>4.09866362096826</v>
      </c>
      <c r="AP73" s="11" t="n">
        <f aca="false">AP47+AP55</f>
        <v>40.1791961674523</v>
      </c>
      <c r="AQ73" s="11" t="n">
        <f aca="false">AQ47+AQ55</f>
        <v>30.9690830117203</v>
      </c>
      <c r="AR73" s="11" t="n">
        <f aca="false">AR47+AR55</f>
        <v>2.75565214655776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106.853847689753</v>
      </c>
      <c r="J74" s="11" t="n">
        <f aca="false">J33+J34+J35+J36+J37+J38+J39+J40+J41+J42+J43+J48+Construction!J14*Construction!J36</f>
        <v>13.4806339692379</v>
      </c>
      <c r="K74" s="11" t="n">
        <f aca="false">K33+K34+K35+K36+K37+K38+K39+K40+K41+K42+K43+K48+Construction!K14*Construction!K36</f>
        <v>1.07821351867503</v>
      </c>
      <c r="L74" s="11" t="n">
        <f aca="false">L33+L34+L35+L36+L37+L38+L39+L40+L41+L42+L43+L48+Construction!L14*Construction!L36</f>
        <v>1.13087234950787</v>
      </c>
      <c r="M74" s="11" t="n">
        <f aca="false">M33+M34+M35+M36+M37+M38+M39+M40+M41+M42+M43+M48+Construction!M14*Construction!M36</f>
        <v>1.14634454400106</v>
      </c>
      <c r="N74" s="11" t="n">
        <f aca="false">N33+N34+N35+N36+N37+N38+N39+N40+N41+N42+N43+N48+Construction!N14*Construction!N36</f>
        <v>1.23831167063991</v>
      </c>
      <c r="O74" s="11" t="n">
        <f aca="false">O33+O34+O35+O36+O37+O38+O39+O40+O41+O42+O43+O48+Construction!O14*Construction!O36</f>
        <v>1.32727610633379</v>
      </c>
      <c r="P74" s="11" t="n">
        <f aca="false">P33+P34+P35+P36+P37+P38+P39+P40+P41+P42+P43+P48+Construction!P14*Construction!P36</f>
        <v>1.33867386808033</v>
      </c>
      <c r="Q74" s="11" t="n">
        <f aca="false">Q33+Q34+Q35+Q36+Q37+Q38+Q39+Q40+Q41+Q42+Q43+Q48+Construction!Q14*Construction!Q36</f>
        <v>1.54693944705431</v>
      </c>
      <c r="R74" s="11" t="n">
        <f aca="false">R33+R34+R35+R36+R37+R38+R39+R40+R41+R42+R43+R48+Construction!R14*Construction!R36</f>
        <v>1.64761139650876</v>
      </c>
      <c r="S74" s="11" t="n">
        <f aca="false">S33+S34+S35+S36+S37+S38+S39+S40+S41+S42+S43+S48+Construction!S14*Construction!S36</f>
        <v>1.82455995646531</v>
      </c>
      <c r="T74" s="11" t="n">
        <f aca="false">T33+T34+T35+T36+T37+T38+T39+T40+T41+T42+T43+T48+Construction!T14*Construction!T36</f>
        <v>1.92439527386696</v>
      </c>
      <c r="U74" s="11" t="n">
        <f aca="false">U33+U34+U35+U36+U37+U38+U39+U40+U41+U42+U43+U48+Construction!U14*Construction!U36</f>
        <v>2.125219225871</v>
      </c>
      <c r="V74" s="11" t="n">
        <f aca="false">V33+V34+V35+V36+V37+V38+V39+V40+V41+V42+V43+V48+Construction!V14*Construction!V36</f>
        <v>2.28990519850377</v>
      </c>
      <c r="W74" s="11" t="n">
        <f aca="false">W33+W34+W35+W36+W37+W38+W39+W40+W41+W42+W43+W48+Construction!W14*Construction!W36</f>
        <v>2.41354512364762</v>
      </c>
      <c r="X74" s="11" t="n">
        <f aca="false">X33+X34+X35+X36+X37+X38+X39+X40+X41+X42+X43+X48+Construction!X14*Construction!X36</f>
        <v>2.6163429518123</v>
      </c>
      <c r="Y74" s="11" t="n">
        <f aca="false">Y33+Y34+Y35+Y36+Y37+Y38+Y39+Y40+Y41+Y42+Y43+Y48+Construction!Y14*Construction!Y36</f>
        <v>2.72583913262024</v>
      </c>
      <c r="Z74" s="11" t="n">
        <f aca="false">Z33+Z34+Z35+Z36+Z37+Z38+Z39+Z40+Z41+Z42+Z43+Z48+Construction!Z14*Construction!Z36</f>
        <v>2.91878027562201</v>
      </c>
      <c r="AA74" s="11" t="n">
        <f aca="false">AA33+AA34+AA35+AA36+AA37+AA38+AA39+AA40+AA41+AA42+AA43+AA48+Construction!AA14*Construction!AA36</f>
        <v>3.08794048714812</v>
      </c>
      <c r="AB74" s="11" t="n">
        <f aca="false">AB33+AB34+AB35+AB36+AB37+AB38+AB39+AB40+AB41+AB42+AB43+AB48+Construction!AB14*Construction!AB36</f>
        <v>3.07748286180818</v>
      </c>
      <c r="AC74" s="11" t="n">
        <f aca="false">AC33+AC34+AC35+AC36+AC37+AC38+AC39+AC40+AC41+AC42+AC43+AC48+Construction!AC14*Construction!AC36</f>
        <v>3.29319332392536</v>
      </c>
      <c r="AD74" s="11" t="n">
        <f aca="false">AD33+AD34+AD35+AD36+AD37+AD38+AD39+AD40+AD41+AD42+AD43+AD48+Construction!AD14*Construction!AD36</f>
        <v>3.32402914141679</v>
      </c>
      <c r="AE74" s="11" t="n">
        <f aca="false">AE33+AE34+AE35+AE36+AE37+AE38+AE39+AE40+AE41+AE42+AE43+AE48+Construction!AE14*Construction!AE36</f>
        <v>3.45637092256963</v>
      </c>
      <c r="AF74" s="11" t="n">
        <f aca="false">AF33+AF34+AF35+AF36+AF37+AF38+AF39+AF40+AF41+AF42+AF43+AF48+Construction!AF14*Construction!AF36</f>
        <v>3.44742034420307</v>
      </c>
      <c r="AG74" s="11" t="n">
        <f aca="false">AG33+AG34+AG35+AG36+AG37+AG38+AG39+AG40+AG41+AG42+AG43+AG48+Construction!AG14*Construction!AG36</f>
        <v>3.55299826876788</v>
      </c>
      <c r="AH74" s="11" t="n">
        <f aca="false">AH33+AH34+AH35+AH36+AH37+AH38+AH39+AH40+AH41+AH42+AH43+AH48+Construction!AH14*Construction!AH36</f>
        <v>3.57441535648548</v>
      </c>
      <c r="AI74" s="11" t="n">
        <f aca="false">AI33+AI34+AI35+AI36+AI37+AI38+AI39+AI40+AI41+AI42+AI43+AI48+Construction!AI14*Construction!AI36</f>
        <v>3.51142588342495</v>
      </c>
      <c r="AJ74" s="11" t="n">
        <f aca="false">AJ33+AJ34+AJ35+AJ36+AJ37+AJ38+AJ39+AJ40+AJ41+AJ42+AJ43+AJ48+Construction!AJ14*Construction!AJ36</f>
        <v>3.57449499026792</v>
      </c>
      <c r="AK74" s="11" t="n">
        <f aca="false">AK33+AK34+AK35+AK36+AK37+AK38+AK39+AK40+AK41+AK42+AK43+AK48+Construction!AK14*Construction!AK36</f>
        <v>3.48685772458901</v>
      </c>
      <c r="AL74" s="11" t="n">
        <f aca="false">AL33+AL34+AL35+AL36+AL37+AL38+AL39+AL40+AL41+AL42+AL43+AL48+Construction!AL14*Construction!AL36</f>
        <v>3.5363175906205</v>
      </c>
      <c r="AM74" s="11" t="n">
        <f aca="false">AM33+AM34+AM35+AM36+AM37+AM38+AM39+AM40+AM41+AM42+AM43+AM48+Construction!AM14*Construction!AM36</f>
        <v>3.51578239057142</v>
      </c>
      <c r="AN74" s="11" t="n">
        <f aca="false">AN33+AN34+AN35+AN36+AN37+AN38+AN39+AN40+AN41+AN42+AN43+AN48+Construction!AN14*Construction!AN36</f>
        <v>3.27363246150002</v>
      </c>
      <c r="AO74" s="11" t="n">
        <f aca="false">AO33+AO34+AO35+AO36+AO37+AO38+AO39+AO40+AO41+AO42+AO43+AO48+Construction!AO14*Construction!AO36</f>
        <v>3.47977819712731</v>
      </c>
      <c r="AP74" s="11" t="n">
        <f aca="false">AP33+AP34+AP35+AP36+AP37+AP38+AP39+AP40+AP41+AP42+AP43+AP48+Construction!AP14*Construction!AP36</f>
        <v>4.59540564872908</v>
      </c>
      <c r="AQ74" s="11" t="n">
        <f aca="false">AQ33+AQ34+AQ35+AQ36+AQ37+AQ38+AQ39+AQ40+AQ41+AQ42+AQ43+AQ48+Construction!AQ14*Construction!AQ36</f>
        <v>4.57186272091907</v>
      </c>
      <c r="AR74" s="11" t="n">
        <f aca="false">AR33+AR34+AR35+AR36+AR37+AR38+AR39+AR40+AR41+AR42+AR43+AR48+Construction!AR14*Construction!AR36</f>
        <v>3.72097536723144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855.089743126849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Inputs!$F$49*IF(Time!J17=15,1,0)</f>
        <v>0</v>
      </c>
      <c r="K20" s="9" t="n">
        <f aca="false">Inputs!$F$49*IF(Time!K17=15,1,0)</f>
        <v>0</v>
      </c>
      <c r="L20" s="9" t="n">
        <f aca="false">Inputs!$F$49*IF(Time!L17=15,1,0)</f>
        <v>0</v>
      </c>
      <c r="M20" s="9" t="n">
        <f aca="false">Inputs!$F$49*IF(Time!M17=15,1,0)</f>
        <v>0</v>
      </c>
      <c r="N20" s="9" t="n">
        <f aca="false">Inputs!$F$49*IF(Time!N17=15,1,0)</f>
        <v>0</v>
      </c>
      <c r="O20" s="9" t="n">
        <f aca="false">Inputs!$F$49*IF(Time!O17=15,1,0)</f>
        <v>0</v>
      </c>
      <c r="P20" s="9" t="n">
        <f aca="false">Inputs!$F$49*IF(Time!P17=15,1,0)</f>
        <v>0</v>
      </c>
      <c r="Q20" s="9" t="n">
        <f aca="false">Inputs!$F$49*IF(Time!Q17=15,1,0)</f>
        <v>0</v>
      </c>
      <c r="R20" s="9" t="n">
        <f aca="false">Inputs!$F$49*IF(Time!R17=15,1,0)</f>
        <v>0</v>
      </c>
      <c r="S20" s="9" t="n">
        <f aca="false">Inputs!$F$49*IF(Time!S17=15,1,0)</f>
        <v>0</v>
      </c>
      <c r="T20" s="9" t="n">
        <f aca="false">Inputs!$F$49*IF(Time!T17=15,1,0)</f>
        <v>0</v>
      </c>
      <c r="U20" s="9" t="n">
        <f aca="false">Inputs!$F$49*IF(Time!U17=15,1,0)</f>
        <v>0</v>
      </c>
      <c r="V20" s="9" t="n">
        <f aca="false">Inputs!$F$49*IF(Time!V17=15,1,0)</f>
        <v>0</v>
      </c>
      <c r="W20" s="9" t="n">
        <f aca="false">Inputs!$F$49*IF(Time!W17=15,1,0)</f>
        <v>0</v>
      </c>
      <c r="X20" s="9" t="n">
        <f aca="false">Inputs!$F$49*IF(Time!X17=15,1,0)</f>
        <v>0</v>
      </c>
      <c r="Y20" s="9" t="n">
        <f aca="false">Inputs!$F$49*IF(Time!Y17=15,1,0)</f>
        <v>0</v>
      </c>
      <c r="Z20" s="9" t="n">
        <f aca="false">Inputs!$F$49*IF(Time!Z17=15,1,0)</f>
        <v>0</v>
      </c>
      <c r="AA20" s="9" t="n">
        <f aca="false">Inputs!$F$49*IF(Time!AA17=15,1,0)</f>
        <v>0</v>
      </c>
      <c r="AB20" s="9" t="n">
        <f aca="false">Inputs!$F$49*IF(Time!AB17=15,1,0)</f>
        <v>0</v>
      </c>
      <c r="AC20" s="9" t="n">
        <f aca="false">Inputs!$F$49*IF(Time!AC17=15,1,0)</f>
        <v>0</v>
      </c>
      <c r="AD20" s="9" t="n">
        <f aca="false">Inputs!$F$49*IF(Time!AD17=15,1,0)</f>
        <v>0</v>
      </c>
      <c r="AE20" s="9" t="n">
        <f aca="false">Inputs!$F$49*IF(Time!AE17=15,1,0)</f>
        <v>0</v>
      </c>
      <c r="AF20" s="9" t="n">
        <f aca="false">Inputs!$F$49*IF(Time!AF17=15,1,0)</f>
        <v>0</v>
      </c>
      <c r="AG20" s="9" t="n">
        <f aca="false">Inputs!$F$49*IF(Time!AG17=15,1,0)</f>
        <v>0</v>
      </c>
      <c r="AH20" s="9" t="n">
        <f aca="false">Inputs!$F$49*IF(Time!AH17=15,1,0)</f>
        <v>0</v>
      </c>
      <c r="AI20" s="9" t="n">
        <f aca="false">Inputs!$F$49*IF(Time!AI17=15,1,0)</f>
        <v>0</v>
      </c>
      <c r="AJ20" s="9" t="n">
        <f aca="false">Inputs!$F$49*IF(Time!AJ17=15,1,0)</f>
        <v>0</v>
      </c>
      <c r="AK20" s="9" t="n">
        <f aca="false">Inputs!$F$49*IF(Time!AK17=15,1,0)</f>
        <v>0</v>
      </c>
      <c r="AL20" s="9" t="n">
        <f aca="false">Inputs!$F$49*IF(Time!AL17=15,1,0)</f>
        <v>0</v>
      </c>
      <c r="AM20" s="9" t="n">
        <f aca="false">Inputs!$F$49*IF(Time!AM17=15,1,0)</f>
        <v>0</v>
      </c>
      <c r="AN20" s="9" t="n">
        <f aca="false">Inputs!$F$49*IF(Time!AN17=15,1,0)</f>
        <v>0</v>
      </c>
      <c r="AO20" s="9" t="n">
        <f aca="false">Inputs!$F$49*IF(Time!AO17=15,1,0)</f>
        <v>0</v>
      </c>
      <c r="AP20" s="9" t="n">
        <f aca="false">Inputs!$F$49*IF(Time!AP17=15,1,0)</f>
        <v>0</v>
      </c>
      <c r="AQ20" s="9" t="n">
        <f aca="false">Inputs!$F$49*IF(Time!AQ17=15,1,0)</f>
        <v>0</v>
      </c>
      <c r="AR20" s="9" t="n">
        <f aca="false">Inputs!$F$49*IF(Time!AR17=15,1,0)</f>
        <v>0</v>
      </c>
      <c r="AS20" s="9" t="n">
        <f aca="false">Inputs!$F$49*IF(Time!AS17=15,1,0)</f>
        <v>0</v>
      </c>
      <c r="AT20" s="9" t="n">
        <f aca="false">Inputs!$F$49*IF(Time!AT17=15,1,0)</f>
        <v>0</v>
      </c>
      <c r="AU20" s="9" t="n">
        <f aca="false">Inputs!$F$49*IF(Time!AU17=15,1,0)</f>
        <v>0</v>
      </c>
      <c r="AV20" s="9" t="n">
        <f aca="false">Inputs!$F$49*IF(Time!AV17=15,1,0)</f>
        <v>0</v>
      </c>
      <c r="AW20" s="9" t="n">
        <f aca="false">Inputs!$F$49*IF(Time!AW17=15,1,0)</f>
        <v>0</v>
      </c>
      <c r="AX20" s="9" t="n">
        <f aca="false">Inputs!$F$49*IF(Time!AX17=15,1,0)</f>
        <v>0</v>
      </c>
      <c r="AY20" s="9" t="n">
        <f aca="false">Inputs!$F$49*IF(Time!AY17=15,1,0)</f>
        <v>0</v>
      </c>
      <c r="AZ20" s="9" t="n">
        <f aca="false">Inputs!$F$49*IF(Time!AZ17=15,1,0)</f>
        <v>0</v>
      </c>
      <c r="BA20" s="9" t="n">
        <f aca="false">Inputs!$F$49*IF(Time!BA17=15,1,0)</f>
        <v>0</v>
      </c>
      <c r="BB20" s="9" t="n">
        <f aca="false">Inputs!$F$49*IF(Time!BB17=15,1,0)</f>
        <v>0</v>
      </c>
      <c r="BC20" s="9" t="n">
        <f aca="false">Inputs!$F$49*IF(Time!BC17=15,1,0)</f>
        <v>0</v>
      </c>
      <c r="BD20" s="9" t="n">
        <f aca="false">Inputs!$F$49*IF(Time!BD17=15,1,0)</f>
        <v>0</v>
      </c>
      <c r="BE20" s="9" t="n">
        <f aca="false">Inputs!$F$49*IF(Time!BE17=15,1,0)</f>
        <v>0</v>
      </c>
      <c r="BF20" s="9" t="n">
        <f aca="false">Inputs!$F$49*IF(Time!BF17=15,1,0)</f>
        <v>0</v>
      </c>
      <c r="BG20" s="9" t="n">
        <f aca="false">Inputs!$F$49*IF(Time!BG17=15,1,0)</f>
        <v>0</v>
      </c>
      <c r="BH20" s="9" t="n">
        <f aca="false">Inputs!$F$49*IF(Time!BH17=15,1,0)</f>
        <v>0</v>
      </c>
      <c r="BI20" s="9" t="n">
        <f aca="false">Inputs!$F$49*IF(Time!BI17=15,1,0)</f>
        <v>0</v>
      </c>
      <c r="BJ20" s="9" t="n">
        <f aca="false">Inputs!$F$49*IF(Time!BJ17=15,1,0)</f>
        <v>0</v>
      </c>
      <c r="BK20" s="9" t="n">
        <f aca="false">Inputs!$F$49*IF(Time!BK17=15,1,0)</f>
        <v>0</v>
      </c>
      <c r="BL20" s="9" t="n">
        <f aca="false">Inputs!$F$49*IF(Time!BL17=15,1,0)</f>
        <v>0</v>
      </c>
      <c r="BM20" s="9" t="n">
        <f aca="false">Inputs!$F$49*IF(Time!BM17=15,1,0)</f>
        <v>0</v>
      </c>
      <c r="BN20" s="9" t="n">
        <f aca="false">Inputs!$F$49*IF(Time!BN17=15,1,0)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189.976792662832</v>
      </c>
      <c r="Q25" s="11" t="n">
        <f aca="false">Time!Q30*P38</f>
        <v>185.329878222609</v>
      </c>
      <c r="R25" s="11" t="n">
        <f aca="false">Time!R30*Q38</f>
        <v>180.486298323733</v>
      </c>
      <c r="S25" s="11" t="n">
        <f aca="false">Time!S30*R38</f>
        <v>175.404129920104</v>
      </c>
      <c r="T25" s="11" t="n">
        <f aca="false">Time!T30*S38</f>
        <v>170.172198235414</v>
      </c>
      <c r="U25" s="11" t="n">
        <f aca="false">Time!U30*T38</f>
        <v>164.699599568086</v>
      </c>
      <c r="V25" s="11" t="n">
        <f aca="false">Time!V30*U38</f>
        <v>159.052470095201</v>
      </c>
      <c r="W25" s="11" t="n">
        <f aca="false">Time!W30*V38</f>
        <v>153.036417643677</v>
      </c>
      <c r="X25" s="11" t="n">
        <f aca="false">Time!X30*W38</f>
        <v>146.836458160947</v>
      </c>
      <c r="Y25" s="11" t="n">
        <f aca="false">Time!Y30*X38</f>
        <v>140.808595500226</v>
      </c>
      <c r="Z25" s="11" t="n">
        <f aca="false">Time!Z30*Y38</f>
        <v>134.777896431895</v>
      </c>
      <c r="AA25" s="11" t="n">
        <f aca="false">Time!AA30*Z38</f>
        <v>128.497357834404</v>
      </c>
      <c r="AB25" s="11" t="n">
        <f aca="false">Time!AB30*AA38</f>
        <v>122.033537374499</v>
      </c>
      <c r="AC25" s="11" t="n">
        <f aca="false">Time!AC30*AB38</f>
        <v>115.260912492887</v>
      </c>
      <c r="AD25" s="11" t="n">
        <f aca="false">Time!AD30*AC38</f>
        <v>108.263921004166</v>
      </c>
      <c r="AE25" s="11" t="n">
        <f aca="false">Time!AE30*AD38</f>
        <v>100.623716898676</v>
      </c>
      <c r="AF25" s="11" t="n">
        <f aca="false">Time!AF30*AE38</f>
        <v>92.6551326999459</v>
      </c>
      <c r="AG25" s="11" t="n">
        <f aca="false">Time!AG30*AF38</f>
        <v>84.4069963277574</v>
      </c>
      <c r="AH25" s="11" t="n">
        <f aca="false">Time!AH30*AG38</f>
        <v>76.0049232031011</v>
      </c>
      <c r="AI25" s="11" t="n">
        <f aca="false">Time!AI30*AH38</f>
        <v>67.1810530651313</v>
      </c>
      <c r="AJ25" s="11" t="n">
        <f aca="false">Time!AJ30*AI38</f>
        <v>58.0980918513904</v>
      </c>
      <c r="AK25" s="11" t="n">
        <f aca="false">Time!AK30*AJ38</f>
        <v>48.5766264939361</v>
      </c>
      <c r="AL25" s="11" t="n">
        <f aca="false">Time!AL30*AK38</f>
        <v>38.7469681631514</v>
      </c>
      <c r="AM25" s="11" t="n">
        <f aca="false">Time!AM30*AL38</f>
        <v>28.3242004612286</v>
      </c>
      <c r="AN25" s="11" t="n">
        <f aca="false">Time!AN30*AM38</f>
        <v>17.6847958787081</v>
      </c>
      <c r="AO25" s="11" t="n">
        <f aca="false">Time!AO30*AN38</f>
        <v>8.90741340173067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65.6316640678679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4.31120668149521</v>
      </c>
      <c r="Q27" s="11" t="n">
        <f aca="false">Q25*Q10</f>
        <v>4.15581659705509</v>
      </c>
      <c r="R27" s="11" t="n">
        <f aca="false">R25*R10</f>
        <v>4.11428544045523</v>
      </c>
      <c r="S27" s="11" t="n">
        <f aca="false">S25*S10</f>
        <v>3.94206164984607</v>
      </c>
      <c r="T27" s="11" t="n">
        <f aca="false">T25*T10</f>
        <v>3.88786748901843</v>
      </c>
      <c r="U27" s="11" t="n">
        <f aca="false">U25*U10</f>
        <v>3.72193645090613</v>
      </c>
      <c r="V27" s="11" t="n">
        <f aca="false">V25*V10</f>
        <v>3.63381876677502</v>
      </c>
      <c r="W27" s="11" t="n">
        <f aca="false">W25*W10</f>
        <v>3.4393659561936</v>
      </c>
      <c r="X27" s="11" t="n">
        <f aca="false">X25*X10</f>
        <v>3.35472361411709</v>
      </c>
      <c r="Y27" s="11" t="n">
        <f aca="false">Y25*Y10</f>
        <v>3.16455584337133</v>
      </c>
      <c r="Z27" s="11" t="n">
        <f aca="false">Z25*Z10</f>
        <v>3.07922567381402</v>
      </c>
      <c r="AA27" s="11" t="n">
        <f aca="false">AA25*AA10</f>
        <v>2.88787103619671</v>
      </c>
      <c r="AB27" s="11" t="n">
        <f aca="false">AB25*AB10</f>
        <v>2.78805955054938</v>
      </c>
      <c r="AC27" s="11" t="n">
        <f aca="false">AC25*AC10</f>
        <v>2.60470452081842</v>
      </c>
      <c r="AD27" s="11" t="n">
        <f aca="false">AD25*AD10</f>
        <v>2.47346971520851</v>
      </c>
      <c r="AE27" s="11" t="n">
        <f aca="false">AE25*AE10</f>
        <v>2.26143418420033</v>
      </c>
      <c r="AF27" s="11" t="n">
        <f aca="false">AF25*AF10</f>
        <v>2.11686093175143</v>
      </c>
      <c r="AG27" s="11" t="n">
        <f aca="false">AG25*AG10</f>
        <v>1.89697690330274</v>
      </c>
      <c r="AH27" s="11" t="n">
        <f aca="false">AH25*AH10</f>
        <v>1.73645914544685</v>
      </c>
      <c r="AI27" s="11" t="n">
        <f aca="false">AI25*AI10</f>
        <v>1.50983818342794</v>
      </c>
      <c r="AJ27" s="11" t="n">
        <f aca="false">AJ25*AJ10</f>
        <v>1.3273477384981</v>
      </c>
      <c r="AK27" s="11" t="n">
        <f aca="false">AK25*AK10</f>
        <v>1.0977507977188</v>
      </c>
      <c r="AL27" s="11" t="n">
        <f aca="false">AL25*AL10</f>
        <v>0.885239065967466</v>
      </c>
      <c r="AM27" s="11" t="n">
        <f aca="false">AM25*AM10</f>
        <v>0.636562801865728</v>
      </c>
      <c r="AN27" s="11" t="n">
        <f aca="false">AN25*AN10</f>
        <v>0.404038636508883</v>
      </c>
      <c r="AO27" s="11" t="n">
        <f aca="false">AO25*AO10</f>
        <v>0.200186693359395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189.976792662832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4.64691444022318</v>
      </c>
      <c r="Q28" s="11" t="n">
        <f aca="false">Time!Q30*(Q25-Q26)*Q19</f>
        <v>4.84357989887597</v>
      </c>
      <c r="R28" s="11" t="n">
        <f aca="false">Time!R30*(R25-R26)*R19</f>
        <v>5.08216840362903</v>
      </c>
      <c r="S28" s="11" t="n">
        <f aca="false">Time!S30*(S25-S26)*S19</f>
        <v>5.23193168468981</v>
      </c>
      <c r="T28" s="11" t="n">
        <f aca="false">Time!T30*(T25-T26)*T19</f>
        <v>5.47259866732846</v>
      </c>
      <c r="U28" s="11" t="n">
        <f aca="false">Time!U30*(U25-U26)*U19</f>
        <v>5.64712947288521</v>
      </c>
      <c r="V28" s="11" t="n">
        <f aca="false">Time!V30*(V25-V26)*V19</f>
        <v>6.01605245152385</v>
      </c>
      <c r="W28" s="11" t="n">
        <f aca="false">Time!W30*(W25-W26)*W19</f>
        <v>6.19995948273022</v>
      </c>
      <c r="X28" s="11" t="n">
        <f aca="false">Time!X30*(X25-X26)*X19</f>
        <v>6.02786266072043</v>
      </c>
      <c r="Y28" s="11" t="n">
        <f aca="false">Time!Y30*(Y25-Y26)*Y19</f>
        <v>6.0306990683315</v>
      </c>
      <c r="Z28" s="11" t="n">
        <f aca="false">Time!Z30*(Z25-Z26)*Z19</f>
        <v>6.28053859749039</v>
      </c>
      <c r="AA28" s="11" t="n">
        <f aca="false">Time!AA30*(AA25-AA26)*AA19</f>
        <v>6.46382045990541</v>
      </c>
      <c r="AB28" s="11" t="n">
        <f aca="false">Time!AB30*(AB25-AB26)*AB19</f>
        <v>6.77262488161207</v>
      </c>
      <c r="AC28" s="11" t="n">
        <f aca="false">Time!AC30*(AC25-AC26)*AC19</f>
        <v>6.99699148872078</v>
      </c>
      <c r="AD28" s="11" t="n">
        <f aca="false">Time!AD30*(AD25-AD26)*AD19</f>
        <v>7.64020410548979</v>
      </c>
      <c r="AE28" s="11" t="n">
        <f aca="false">Time!AE30*(AE25-AE26)*AE19</f>
        <v>7.96858419873024</v>
      </c>
      <c r="AF28" s="11" t="n">
        <f aca="false">Time!AF30*(AF25-AF26)*AF19</f>
        <v>8.24813637218856</v>
      </c>
      <c r="AG28" s="11" t="n">
        <f aca="false">Time!AG30*(AG25-AG26)*AG19</f>
        <v>8.40207312465627</v>
      </c>
      <c r="AH28" s="11" t="n">
        <f aca="false">Time!AH30*(AH25-AH26)*AH19</f>
        <v>8.82387013796976</v>
      </c>
      <c r="AI28" s="11" t="n">
        <f aca="false">Time!AI30*(AI25-AI26)*AI19</f>
        <v>9.08296121374094</v>
      </c>
      <c r="AJ28" s="11" t="n">
        <f aca="false">Time!AJ30*(AJ25-AJ26)*AJ19</f>
        <v>9.52146535745423</v>
      </c>
      <c r="AK28" s="11" t="n">
        <f aca="false">Time!AK30*(AK25-AK26)*AK19</f>
        <v>9.82965833078475</v>
      </c>
      <c r="AL28" s="11" t="n">
        <f aca="false">Time!AL30*(AL25-AL26)*AL19</f>
        <v>10.4227677019228</v>
      </c>
      <c r="AM28" s="11" t="n">
        <f aca="false">Time!AM30*(AM25-AM26)*AM19</f>
        <v>10.6394045825205</v>
      </c>
      <c r="AN28" s="11" t="n">
        <f aca="false">Time!AN30*(AN25-AN26)*AN19</f>
        <v>8.77738247697738</v>
      </c>
      <c r="AO28" s="11" t="n">
        <f aca="false">Time!AO30*(AO25-AO26)*AO19</f>
        <v>8.90741340173067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189.976792662832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4.64691444022318</v>
      </c>
      <c r="Q32" s="11" t="n">
        <f aca="false">Q28-Q29+Q31</f>
        <v>4.84357989887597</v>
      </c>
      <c r="R32" s="11" t="n">
        <f aca="false">R28-R29+R31</f>
        <v>5.08216840362903</v>
      </c>
      <c r="S32" s="11" t="n">
        <f aca="false">S28-S29+S31</f>
        <v>5.23193168468981</v>
      </c>
      <c r="T32" s="11" t="n">
        <f aca="false">T28-T29+T31</f>
        <v>5.47259866732846</v>
      </c>
      <c r="U32" s="11" t="n">
        <f aca="false">U28-U29+U31</f>
        <v>5.64712947288521</v>
      </c>
      <c r="V32" s="11" t="n">
        <f aca="false">V28-V29+V31</f>
        <v>6.01605245152385</v>
      </c>
      <c r="W32" s="11" t="n">
        <f aca="false">W28-W29+W31</f>
        <v>6.19995948273022</v>
      </c>
      <c r="X32" s="11" t="n">
        <f aca="false">X28-X29+X31</f>
        <v>6.02786266072043</v>
      </c>
      <c r="Y32" s="11" t="n">
        <f aca="false">Y28-Y29+Y31</f>
        <v>6.0306990683315</v>
      </c>
      <c r="Z32" s="11" t="n">
        <f aca="false">Z28-Z29+Z31</f>
        <v>6.28053859749039</v>
      </c>
      <c r="AA32" s="11" t="n">
        <f aca="false">AA28-AA29+AA31</f>
        <v>6.46382045990541</v>
      </c>
      <c r="AB32" s="11" t="n">
        <f aca="false">AB28-AB29+AB31</f>
        <v>6.77262488161207</v>
      </c>
      <c r="AC32" s="11" t="n">
        <f aca="false">AC28-AC29+AC31</f>
        <v>6.99699148872078</v>
      </c>
      <c r="AD32" s="11" t="n">
        <f aca="false">AD28-AD29+AD31</f>
        <v>7.64020410548979</v>
      </c>
      <c r="AE32" s="11" t="n">
        <f aca="false">AE28-AE29+AE31</f>
        <v>7.96858419873024</v>
      </c>
      <c r="AF32" s="11" t="n">
        <f aca="false">AF28-AF29+AF31</f>
        <v>8.24813637218856</v>
      </c>
      <c r="AG32" s="11" t="n">
        <f aca="false">AG28-AG29+AG31</f>
        <v>8.40207312465627</v>
      </c>
      <c r="AH32" s="11" t="n">
        <f aca="false">AH28-AH29+AH31</f>
        <v>8.82387013796976</v>
      </c>
      <c r="AI32" s="11" t="n">
        <f aca="false">AI28-AI29+AI31</f>
        <v>9.08296121374094</v>
      </c>
      <c r="AJ32" s="11" t="n">
        <f aca="false">AJ28-AJ29+AJ31</f>
        <v>9.52146535745423</v>
      </c>
      <c r="AK32" s="11" t="n">
        <f aca="false">AK28-AK29+AK31</f>
        <v>9.82965833078475</v>
      </c>
      <c r="AL32" s="11" t="n">
        <f aca="false">AL28-AL29+AL31</f>
        <v>10.4227677019228</v>
      </c>
      <c r="AM32" s="11" t="n">
        <f aca="false">AM28-AM29+AM31</f>
        <v>10.6394045825205</v>
      </c>
      <c r="AN32" s="11" t="n">
        <f aca="false">AN28-AN29+AN31</f>
        <v>8.77738247697738</v>
      </c>
      <c r="AO32" s="11" t="n">
        <f aca="false">AO28-AO29+AO31</f>
        <v>8.90741340173067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185.329878222609</v>
      </c>
      <c r="Q36" s="11" t="n">
        <f aca="false">Q25-Q32-Q33-Q34</f>
        <v>180.486298323733</v>
      </c>
      <c r="R36" s="11" t="n">
        <f aca="false">R25-R32-R33-R34</f>
        <v>175.404129920104</v>
      </c>
      <c r="S36" s="11" t="n">
        <f aca="false">S25-S32-S33-S34</f>
        <v>170.172198235414</v>
      </c>
      <c r="T36" s="11" t="n">
        <f aca="false">T25-T32-T33-T34</f>
        <v>164.699599568086</v>
      </c>
      <c r="U36" s="11" t="n">
        <f aca="false">U25-U32-U33-U34</f>
        <v>159.052470095201</v>
      </c>
      <c r="V36" s="11" t="n">
        <f aca="false">V25-V32-V33-V34</f>
        <v>153.036417643677</v>
      </c>
      <c r="W36" s="11" t="n">
        <f aca="false">W25-W32-W33-W34</f>
        <v>146.836458160947</v>
      </c>
      <c r="X36" s="11" t="n">
        <f aca="false">X25-X32-X33-X34</f>
        <v>140.808595500226</v>
      </c>
      <c r="Y36" s="11" t="n">
        <f aca="false">Y25-Y32-Y33-Y34</f>
        <v>134.777896431895</v>
      </c>
      <c r="Z36" s="11" t="n">
        <f aca="false">Z25-Z32-Z33-Z34</f>
        <v>128.497357834404</v>
      </c>
      <c r="AA36" s="11" t="n">
        <f aca="false">AA25-AA32-AA33-AA34</f>
        <v>122.033537374499</v>
      </c>
      <c r="AB36" s="11" t="n">
        <f aca="false">AB25-AB32-AB33-AB34</f>
        <v>115.260912492887</v>
      </c>
      <c r="AC36" s="11" t="n">
        <f aca="false">AC25-AC32-AC33-AC34</f>
        <v>108.263921004166</v>
      </c>
      <c r="AD36" s="11" t="n">
        <f aca="false">AD25-AD32-AD33-AD34</f>
        <v>100.623716898676</v>
      </c>
      <c r="AE36" s="11" t="n">
        <f aca="false">AE25-AE32-AE33-AE34</f>
        <v>92.6551326999459</v>
      </c>
      <c r="AF36" s="11" t="n">
        <f aca="false">AF25-AF32-AF33-AF34</f>
        <v>84.4069963277574</v>
      </c>
      <c r="AG36" s="11" t="n">
        <f aca="false">AG25-AG32-AG33-AG34</f>
        <v>76.0049232031011</v>
      </c>
      <c r="AH36" s="11" t="n">
        <f aca="false">AH25-AH32-AH33-AH34</f>
        <v>67.1810530651313</v>
      </c>
      <c r="AI36" s="11" t="n">
        <f aca="false">AI25-AI32-AI33-AI34</f>
        <v>58.0980918513904</v>
      </c>
      <c r="AJ36" s="11" t="n">
        <f aca="false">AJ25-AJ32-AJ33-AJ34</f>
        <v>48.5766264939361</v>
      </c>
      <c r="AK36" s="11" t="n">
        <f aca="false">AK25-AK32-AK33-AK34</f>
        <v>38.7469681631514</v>
      </c>
      <c r="AL36" s="11" t="n">
        <f aca="false">AL25-AL32-AL33-AL34</f>
        <v>28.3242004612286</v>
      </c>
      <c r="AM36" s="11" t="n">
        <f aca="false">AM25-AM32-AM33-AM34</f>
        <v>17.6847958787081</v>
      </c>
      <c r="AN36" s="11" t="n">
        <f aca="false">AN25-AN32-AN33-AN34</f>
        <v>8.90741340173067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189.976792662832</v>
      </c>
      <c r="P38" s="11" t="n">
        <f aca="false">IF(Time!P29=1,INDEX(Funding!$J$61:$BJ$61,1,Time!$F$13),Time!P30*(P36-P37))</f>
        <v>185.329878222609</v>
      </c>
      <c r="Q38" s="11" t="n">
        <f aca="false">IF(Time!Q29=1,INDEX(Funding!$J$61:$BJ$61,1,Time!$F$13),Time!Q30*(Q36-Q37))</f>
        <v>180.486298323733</v>
      </c>
      <c r="R38" s="11" t="n">
        <f aca="false">IF(Time!R29=1,INDEX(Funding!$J$61:$BJ$61,1,Time!$F$13),Time!R30*(R36-R37))</f>
        <v>175.404129920104</v>
      </c>
      <c r="S38" s="11" t="n">
        <f aca="false">IF(Time!S29=1,INDEX(Funding!$J$61:$BJ$61,1,Time!$F$13),Time!S30*(S36-S37))</f>
        <v>170.172198235414</v>
      </c>
      <c r="T38" s="11" t="n">
        <f aca="false">IF(Time!T29=1,INDEX(Funding!$J$61:$BJ$61,1,Time!$F$13),Time!T30*(T36-T37))</f>
        <v>164.699599568086</v>
      </c>
      <c r="U38" s="11" t="n">
        <f aca="false">IF(Time!U29=1,INDEX(Funding!$J$61:$BJ$61,1,Time!$F$13),Time!U30*(U36-U37))</f>
        <v>159.052470095201</v>
      </c>
      <c r="V38" s="11" t="n">
        <f aca="false">IF(Time!V29=1,INDEX(Funding!$J$61:$BJ$61,1,Time!$F$13),Time!V30*(V36-V37))</f>
        <v>153.036417643677</v>
      </c>
      <c r="W38" s="11" t="n">
        <f aca="false">IF(Time!W29=1,INDEX(Funding!$J$61:$BJ$61,1,Time!$F$13),Time!W30*(W36-W37))</f>
        <v>146.836458160947</v>
      </c>
      <c r="X38" s="11" t="n">
        <f aca="false">IF(Time!X29=1,INDEX(Funding!$J$61:$BJ$61,1,Time!$F$13),Time!X30*(X36-X37))</f>
        <v>140.808595500226</v>
      </c>
      <c r="Y38" s="11" t="n">
        <f aca="false">IF(Time!Y29=1,INDEX(Funding!$J$61:$BJ$61,1,Time!$F$13),Time!Y30*(Y36-Y37))</f>
        <v>134.777896431895</v>
      </c>
      <c r="Z38" s="11" t="n">
        <f aca="false">IF(Time!Z29=1,INDEX(Funding!$J$61:$BJ$61,1,Time!$F$13),Time!Z30*(Z36-Z37))</f>
        <v>128.497357834404</v>
      </c>
      <c r="AA38" s="11" t="n">
        <f aca="false">IF(Time!AA29=1,INDEX(Funding!$J$61:$BJ$61,1,Time!$F$13),Time!AA30*(AA36-AA37))</f>
        <v>122.033537374499</v>
      </c>
      <c r="AB38" s="11" t="n">
        <f aca="false">IF(Time!AB29=1,INDEX(Funding!$J$61:$BJ$61,1,Time!$F$13),Time!AB30*(AB36-AB37))</f>
        <v>115.260912492887</v>
      </c>
      <c r="AC38" s="11" t="n">
        <f aca="false">IF(Time!AC29=1,INDEX(Funding!$J$61:$BJ$61,1,Time!$F$13),Time!AC30*(AC36-AC37))</f>
        <v>108.263921004166</v>
      </c>
      <c r="AD38" s="11" t="n">
        <f aca="false">IF(Time!AD29=1,INDEX(Funding!$J$61:$BJ$61,1,Time!$F$13),Time!AD30*(AD36-AD37))</f>
        <v>100.623716898676</v>
      </c>
      <c r="AE38" s="11" t="n">
        <f aca="false">IF(Time!AE29=1,INDEX(Funding!$J$61:$BJ$61,1,Time!$F$13),Time!AE30*(AE36-AE37))</f>
        <v>92.6551326999459</v>
      </c>
      <c r="AF38" s="11" t="n">
        <f aca="false">IF(Time!AF29=1,INDEX(Funding!$J$61:$BJ$61,1,Time!$F$13),Time!AF30*(AF36-AF37))</f>
        <v>84.4069963277574</v>
      </c>
      <c r="AG38" s="11" t="n">
        <f aca="false">IF(Time!AG29=1,INDEX(Funding!$J$61:$BJ$61,1,Time!$F$13),Time!AG30*(AG36-AG37))</f>
        <v>76.0049232031011</v>
      </c>
      <c r="AH38" s="11" t="n">
        <f aca="false">IF(Time!AH29=1,INDEX(Funding!$J$61:$BJ$61,1,Time!$F$13),Time!AH30*(AH36-AH37))</f>
        <v>67.1810530651313</v>
      </c>
      <c r="AI38" s="11" t="n">
        <f aca="false">IF(Time!AI29=1,INDEX(Funding!$J$61:$BJ$61,1,Time!$F$13),Time!AI30*(AI36-AI37))</f>
        <v>58.0980918513904</v>
      </c>
      <c r="AJ38" s="11" t="n">
        <f aca="false">IF(Time!AJ29=1,INDEX(Funding!$J$61:$BJ$61,1,Time!$F$13),Time!AJ30*(AJ36-AJ37))</f>
        <v>48.5766264939361</v>
      </c>
      <c r="AK38" s="11" t="n">
        <f aca="false">IF(Time!AK29=1,INDEX(Funding!$J$61:$BJ$61,1,Time!$F$13),Time!AK30*(AK36-AK37))</f>
        <v>38.7469681631514</v>
      </c>
      <c r="AL38" s="11" t="n">
        <f aca="false">IF(Time!AL29=1,INDEX(Funding!$J$61:$BJ$61,1,Time!$F$13),Time!AL30*(AL36-AL37))</f>
        <v>28.3242004612286</v>
      </c>
      <c r="AM38" s="11" t="n">
        <f aca="false">IF(Time!AM29=1,INDEX(Funding!$J$61:$BJ$61,1,Time!$F$13),Time!AM30*(AM36-AM37))</f>
        <v>17.6847958787081</v>
      </c>
      <c r="AN38" s="11" t="n">
        <f aca="false">IF(Time!AN29=1,INDEX(Funding!$J$61:$BJ$61,1,Time!$F$13),Time!AN30*(AN36-AN37))</f>
        <v>8.90741340173067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139.31631461941</v>
      </c>
      <c r="Q40" s="11" t="n">
        <f aca="false">Time!Q30*P53</f>
        <v>135.908577363247</v>
      </c>
      <c r="R40" s="11" t="n">
        <f aca="false">Time!R30*Q53</f>
        <v>132.356618770738</v>
      </c>
      <c r="S40" s="11" t="n">
        <f aca="false">Time!S30*R53</f>
        <v>128.629695274743</v>
      </c>
      <c r="T40" s="11" t="n">
        <f aca="false">Time!T30*S53</f>
        <v>124.792945372637</v>
      </c>
      <c r="U40" s="11" t="n">
        <f aca="false">Time!U30*T53</f>
        <v>120.77970634993</v>
      </c>
      <c r="V40" s="11" t="n">
        <f aca="false">Time!V30*U53</f>
        <v>116.638478069814</v>
      </c>
      <c r="W40" s="11" t="n">
        <f aca="false">Time!W30*V53</f>
        <v>112.22670627203</v>
      </c>
      <c r="X40" s="11" t="n">
        <f aca="false">Time!X30*W53</f>
        <v>107.680069318027</v>
      </c>
      <c r="Y40" s="11" t="n">
        <f aca="false">Time!Y30*X53</f>
        <v>103.259636700166</v>
      </c>
      <c r="Z40" s="11" t="n">
        <f aca="false">Time!Z30*Y53</f>
        <v>98.8371240500561</v>
      </c>
      <c r="AA40" s="11" t="n">
        <f aca="false">Time!AA30*Z53</f>
        <v>94.2313957452298</v>
      </c>
      <c r="AB40" s="11" t="n">
        <f aca="false">Time!AB30*AA53</f>
        <v>89.4912607412991</v>
      </c>
      <c r="AC40" s="11" t="n">
        <f aca="false">Time!AC30*AB53</f>
        <v>84.5246691614503</v>
      </c>
      <c r="AD40" s="11" t="n">
        <f aca="false">Time!AD30*AC53</f>
        <v>79.3935420697217</v>
      </c>
      <c r="AE40" s="11" t="n">
        <f aca="false">Time!AE30*AD53</f>
        <v>73.7907257256959</v>
      </c>
      <c r="AF40" s="11" t="n">
        <f aca="false">Time!AF30*AE53</f>
        <v>67.9470973132937</v>
      </c>
      <c r="AG40" s="11" t="n">
        <f aca="false">Time!AG30*AF53</f>
        <v>61.8984639736887</v>
      </c>
      <c r="AH40" s="11" t="n">
        <f aca="false">Time!AH30*AG53</f>
        <v>55.7369436822741</v>
      </c>
      <c r="AI40" s="11" t="n">
        <f aca="false">Time!AI30*AH53</f>
        <v>49.2661055810963</v>
      </c>
      <c r="AJ40" s="11" t="n">
        <f aca="false">Time!AJ30*AI53</f>
        <v>42.6052673576863</v>
      </c>
      <c r="AK40" s="11" t="n">
        <f aca="false">Time!AK30*AJ53</f>
        <v>35.6228594288865</v>
      </c>
      <c r="AL40" s="11" t="n">
        <f aca="false">Time!AL30*AK53</f>
        <v>28.4144433196444</v>
      </c>
      <c r="AM40" s="11" t="n">
        <f aca="false">Time!AM30*AL53</f>
        <v>20.7710803382343</v>
      </c>
      <c r="AN40" s="11" t="n">
        <f aca="false">Time!AN30*AM53</f>
        <v>12.9688503110526</v>
      </c>
      <c r="AO40" s="11" t="n">
        <f aca="false">Time!AO30*AN53</f>
        <v>6.53210316126916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72.9126941093121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4.79929224273355</v>
      </c>
      <c r="Q42" s="11" t="n">
        <f aca="false">Q40*Q11</f>
        <v>4.61923052551595</v>
      </c>
      <c r="R42" s="11" t="n">
        <f aca="false">R40*R11</f>
        <v>4.57306824143873</v>
      </c>
      <c r="S42" s="11" t="n">
        <f aca="false">S40*S11</f>
        <v>4.37830471385589</v>
      </c>
      <c r="T42" s="11" t="n">
        <f aca="false">T40*T11</f>
        <v>4.31811322754963</v>
      </c>
      <c r="U42" s="11" t="n">
        <f aca="false">U40*U11</f>
        <v>4.13381964950006</v>
      </c>
      <c r="V42" s="11" t="n">
        <f aca="false">V40*V11</f>
        <v>4.03595053783349</v>
      </c>
      <c r="W42" s="11" t="n">
        <f aca="false">W40*W11</f>
        <v>3.81997886290436</v>
      </c>
      <c r="X42" s="11" t="n">
        <f aca="false">X40*X11</f>
        <v>3.72596968744668</v>
      </c>
      <c r="Y42" s="11" t="n">
        <f aca="false">Y40*Y11</f>
        <v>3.51475725064673</v>
      </c>
      <c r="Z42" s="11" t="n">
        <f aca="false">Z40*Z11</f>
        <v>3.41998413018538</v>
      </c>
      <c r="AA42" s="11" t="n">
        <f aca="false">AA40*AA11</f>
        <v>3.20745348345367</v>
      </c>
      <c r="AB42" s="11" t="n">
        <f aca="false">AB40*AB11</f>
        <v>3.09659649111726</v>
      </c>
      <c r="AC42" s="11" t="n">
        <f aca="false">AC40*AC11</f>
        <v>2.8929507183497</v>
      </c>
      <c r="AD42" s="11" t="n">
        <f aca="false">AD40*AD11</f>
        <v>2.74719298570586</v>
      </c>
      <c r="AE42" s="11" t="n">
        <f aca="false">AE40*AE11</f>
        <v>2.511692821736</v>
      </c>
      <c r="AF42" s="11" t="n">
        <f aca="false">AF40*AF11</f>
        <v>2.35112056058955</v>
      </c>
      <c r="AG42" s="11" t="n">
        <f aca="false">AG40*AG11</f>
        <v>2.10690335553997</v>
      </c>
      <c r="AH42" s="11" t="n">
        <f aca="false">AH40*AH11</f>
        <v>1.92862211128153</v>
      </c>
      <c r="AI42" s="11" t="n">
        <f aca="false">AI40*AI11</f>
        <v>1.67692243877522</v>
      </c>
      <c r="AJ42" s="11" t="n">
        <f aca="false">AJ40*AJ11</f>
        <v>1.47423692894785</v>
      </c>
      <c r="AK42" s="11" t="n">
        <f aca="false">AK40*AK11</f>
        <v>1.21923194490856</v>
      </c>
      <c r="AL42" s="11" t="n">
        <f aca="false">AL40*AL11</f>
        <v>0.983202882067072</v>
      </c>
      <c r="AM42" s="11" t="n">
        <f aca="false">AM40*AM11</f>
        <v>0.707007186501726</v>
      </c>
      <c r="AN42" s="11" t="n">
        <f aca="false">AN40*AN11</f>
        <v>0.448751040429777</v>
      </c>
      <c r="AO42" s="11" t="n">
        <f aca="false">AO40*AO11</f>
        <v>0.2223400902979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139.31631461941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3.40773725616367</v>
      </c>
      <c r="Q43" s="11" t="n">
        <f aca="false">Time!Q30*(Q40-Q41)*Q19</f>
        <v>3.55195859250905</v>
      </c>
      <c r="R43" s="11" t="n">
        <f aca="false">Time!R30*(R40-R41)*R19</f>
        <v>3.72692349599462</v>
      </c>
      <c r="S43" s="11" t="n">
        <f aca="false">Time!S30*(S40-S41)*S19</f>
        <v>3.83674990210586</v>
      </c>
      <c r="T43" s="11" t="n">
        <f aca="false">Time!T30*(T40-T41)*T19</f>
        <v>4.01323902270754</v>
      </c>
      <c r="U43" s="11" t="n">
        <f aca="false">Time!U30*(U40-U41)*U19</f>
        <v>4.14122828011582</v>
      </c>
      <c r="V43" s="11" t="n">
        <f aca="false">Time!V30*(V40-V41)*V19</f>
        <v>4.41177179778416</v>
      </c>
      <c r="W43" s="11" t="n">
        <f aca="false">Time!W30*(W40-W41)*W19</f>
        <v>4.54663695400217</v>
      </c>
      <c r="X43" s="11" t="n">
        <f aca="false">Time!X30*(X40-X41)*X19</f>
        <v>4.42043261786165</v>
      </c>
      <c r="Y43" s="11" t="n">
        <f aca="false">Time!Y30*(Y40-Y41)*Y19</f>
        <v>4.42251265010977</v>
      </c>
      <c r="Z43" s="11" t="n">
        <f aca="false">Time!Z30*(Z40-Z41)*Z19</f>
        <v>4.60572830482629</v>
      </c>
      <c r="AA43" s="11" t="n">
        <f aca="false">Time!AA30*(AA40-AA41)*AA19</f>
        <v>4.74013500393064</v>
      </c>
      <c r="AB43" s="11" t="n">
        <f aca="false">Time!AB30*(AB40-AB41)*AB19</f>
        <v>4.96659157984885</v>
      </c>
      <c r="AC43" s="11" t="n">
        <f aca="false">Time!AC30*(AC40-AC41)*AC19</f>
        <v>5.13112709172857</v>
      </c>
      <c r="AD43" s="11" t="n">
        <f aca="false">Time!AD30*(AD40-AD41)*AD19</f>
        <v>5.60281634402585</v>
      </c>
      <c r="AE43" s="11" t="n">
        <f aca="false">Time!AE30*(AE40-AE41)*AE19</f>
        <v>5.84362841240218</v>
      </c>
      <c r="AF43" s="11" t="n">
        <f aca="false">Time!AF30*(AF40-AF41)*AF19</f>
        <v>6.04863333960495</v>
      </c>
      <c r="AG43" s="11" t="n">
        <f aca="false">Time!AG30*(AG40-AG41)*AG19</f>
        <v>6.1615202914146</v>
      </c>
      <c r="AH43" s="11" t="n">
        <f aca="false">Time!AH30*(AH40-AH41)*AH19</f>
        <v>6.47083810117782</v>
      </c>
      <c r="AI43" s="11" t="n">
        <f aca="false">Time!AI30*(AI40-AI41)*AI19</f>
        <v>6.66083822341003</v>
      </c>
      <c r="AJ43" s="11" t="n">
        <f aca="false">Time!AJ30*(AJ40-AJ41)*AJ19</f>
        <v>6.98240792879977</v>
      </c>
      <c r="AK43" s="11" t="n">
        <f aca="false">Time!AK30*(AK40-AK41)*AK19</f>
        <v>7.20841610924215</v>
      </c>
      <c r="AL43" s="11" t="n">
        <f aca="false">Time!AL30*(AL40-AL41)*AL19</f>
        <v>7.64336298141007</v>
      </c>
      <c r="AM43" s="11" t="n">
        <f aca="false">Time!AM30*(AM40-AM41)*AM19</f>
        <v>7.80223002718172</v>
      </c>
      <c r="AN43" s="11" t="n">
        <f aca="false">Time!AN30*(AN40-AN41)*AN19</f>
        <v>6.43674714978342</v>
      </c>
      <c r="AO43" s="11" t="n">
        <f aca="false">Time!AO30*(AO40-AO41)*AO19</f>
        <v>6.53210316126916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139.31631461941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3.40773725616367</v>
      </c>
      <c r="Q47" s="11" t="n">
        <f aca="false">Q43-Q44+Q46</f>
        <v>3.55195859250905</v>
      </c>
      <c r="R47" s="11" t="n">
        <f aca="false">R43-R44+R46</f>
        <v>3.72692349599462</v>
      </c>
      <c r="S47" s="11" t="n">
        <f aca="false">S43-S44+S46</f>
        <v>3.83674990210586</v>
      </c>
      <c r="T47" s="11" t="n">
        <f aca="false">T43-T44+T46</f>
        <v>4.01323902270754</v>
      </c>
      <c r="U47" s="11" t="n">
        <f aca="false">U43-U44+U46</f>
        <v>4.14122828011582</v>
      </c>
      <c r="V47" s="11" t="n">
        <f aca="false">V43-V44+V46</f>
        <v>4.41177179778416</v>
      </c>
      <c r="W47" s="11" t="n">
        <f aca="false">W43-W44+W46</f>
        <v>4.54663695400217</v>
      </c>
      <c r="X47" s="11" t="n">
        <f aca="false">X43-X44+X46</f>
        <v>4.42043261786165</v>
      </c>
      <c r="Y47" s="11" t="n">
        <f aca="false">Y43-Y44+Y46</f>
        <v>4.42251265010977</v>
      </c>
      <c r="Z47" s="11" t="n">
        <f aca="false">Z43-Z44+Z46</f>
        <v>4.60572830482629</v>
      </c>
      <c r="AA47" s="11" t="n">
        <f aca="false">AA43-AA44+AA46</f>
        <v>4.74013500393064</v>
      </c>
      <c r="AB47" s="11" t="n">
        <f aca="false">AB43-AB44+AB46</f>
        <v>4.96659157984885</v>
      </c>
      <c r="AC47" s="11" t="n">
        <f aca="false">AC43-AC44+AC46</f>
        <v>5.13112709172857</v>
      </c>
      <c r="AD47" s="11" t="n">
        <f aca="false">AD43-AD44+AD46</f>
        <v>5.60281634402585</v>
      </c>
      <c r="AE47" s="11" t="n">
        <f aca="false">AE43-AE44+AE46</f>
        <v>5.84362841240218</v>
      </c>
      <c r="AF47" s="11" t="n">
        <f aca="false">AF43-AF44+AF46</f>
        <v>6.04863333960495</v>
      </c>
      <c r="AG47" s="11" t="n">
        <f aca="false">AG43-AG44+AG46</f>
        <v>6.1615202914146</v>
      </c>
      <c r="AH47" s="11" t="n">
        <f aca="false">AH43-AH44+AH46</f>
        <v>6.47083810117782</v>
      </c>
      <c r="AI47" s="11" t="n">
        <f aca="false">AI43-AI44+AI46</f>
        <v>6.66083822341003</v>
      </c>
      <c r="AJ47" s="11" t="n">
        <f aca="false">AJ43-AJ44+AJ46</f>
        <v>6.98240792879977</v>
      </c>
      <c r="AK47" s="11" t="n">
        <f aca="false">AK43-AK44+AK46</f>
        <v>7.20841610924215</v>
      </c>
      <c r="AL47" s="11" t="n">
        <f aca="false">AL43-AL44+AL46</f>
        <v>7.64336298141007</v>
      </c>
      <c r="AM47" s="11" t="n">
        <f aca="false">AM43-AM44+AM46</f>
        <v>7.80223002718172</v>
      </c>
      <c r="AN47" s="11" t="n">
        <f aca="false">AN43-AN44+AN46</f>
        <v>6.43674714978342</v>
      </c>
      <c r="AO47" s="11" t="n">
        <f aca="false">AO43-AO44+AO46</f>
        <v>6.53210316126916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135.908577363247</v>
      </c>
      <c r="Q51" s="11" t="n">
        <f aca="false">Q40-Q47-Q48-Q49</f>
        <v>132.356618770738</v>
      </c>
      <c r="R51" s="11" t="n">
        <f aca="false">R40-R47-R48-R49</f>
        <v>128.629695274743</v>
      </c>
      <c r="S51" s="11" t="n">
        <f aca="false">S40-S47-S48-S49</f>
        <v>124.792945372637</v>
      </c>
      <c r="T51" s="11" t="n">
        <f aca="false">T40-T47-T48-T49</f>
        <v>120.77970634993</v>
      </c>
      <c r="U51" s="11" t="n">
        <f aca="false">U40-U47-U48-U49</f>
        <v>116.638478069814</v>
      </c>
      <c r="V51" s="11" t="n">
        <f aca="false">V40-V47-V48-V49</f>
        <v>112.22670627203</v>
      </c>
      <c r="W51" s="11" t="n">
        <f aca="false">W40-W47-W48-W49</f>
        <v>107.680069318027</v>
      </c>
      <c r="X51" s="11" t="n">
        <f aca="false">X40-X47-X48-X49</f>
        <v>103.259636700166</v>
      </c>
      <c r="Y51" s="11" t="n">
        <f aca="false">Y40-Y47-Y48-Y49</f>
        <v>98.8371240500561</v>
      </c>
      <c r="Z51" s="11" t="n">
        <f aca="false">Z40-Z47-Z48-Z49</f>
        <v>94.2313957452298</v>
      </c>
      <c r="AA51" s="11" t="n">
        <f aca="false">AA40-AA47-AA48-AA49</f>
        <v>89.4912607412991</v>
      </c>
      <c r="AB51" s="11" t="n">
        <f aca="false">AB40-AB47-AB48-AB49</f>
        <v>84.5246691614503</v>
      </c>
      <c r="AC51" s="11" t="n">
        <f aca="false">AC40-AC47-AC48-AC49</f>
        <v>79.3935420697217</v>
      </c>
      <c r="AD51" s="11" t="n">
        <f aca="false">AD40-AD47-AD48-AD49</f>
        <v>73.7907257256959</v>
      </c>
      <c r="AE51" s="11" t="n">
        <f aca="false">AE40-AE47-AE48-AE49</f>
        <v>67.9470973132937</v>
      </c>
      <c r="AF51" s="11" t="n">
        <f aca="false">AF40-AF47-AF48-AF49</f>
        <v>61.8984639736887</v>
      </c>
      <c r="AG51" s="11" t="n">
        <f aca="false">AG40-AG47-AG48-AG49</f>
        <v>55.7369436822741</v>
      </c>
      <c r="AH51" s="11" t="n">
        <f aca="false">AH40-AH47-AH48-AH49</f>
        <v>49.2661055810963</v>
      </c>
      <c r="AI51" s="11" t="n">
        <f aca="false">AI40-AI47-AI48-AI49</f>
        <v>42.6052673576863</v>
      </c>
      <c r="AJ51" s="11" t="n">
        <f aca="false">AJ40-AJ47-AJ48-AJ49</f>
        <v>35.6228594288865</v>
      </c>
      <c r="AK51" s="11" t="n">
        <f aca="false">AK40-AK47-AK48-AK49</f>
        <v>28.4144433196444</v>
      </c>
      <c r="AL51" s="11" t="n">
        <f aca="false">AL40-AL47-AL48-AL49</f>
        <v>20.7710803382343</v>
      </c>
      <c r="AM51" s="11" t="n">
        <f aca="false">AM40-AM47-AM48-AM49</f>
        <v>12.9688503110526</v>
      </c>
      <c r="AN51" s="11" t="n">
        <f aca="false">AN40-AN47-AN48-AN49</f>
        <v>6.53210316126916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139.31631461941</v>
      </c>
      <c r="P53" s="11" t="n">
        <f aca="false">IF(Time!P29=1,INDEX(Funding!$J$62:$BJ$62,1,Time!$F$13),Time!P30*(P51-P52))</f>
        <v>135.908577363247</v>
      </c>
      <c r="Q53" s="11" t="n">
        <f aca="false">IF(Time!Q29=1,INDEX(Funding!$J$62:$BJ$62,1,Time!$F$13),Time!Q30*(Q51-Q52))</f>
        <v>132.356618770738</v>
      </c>
      <c r="R53" s="11" t="n">
        <f aca="false">IF(Time!R29=1,INDEX(Funding!$J$62:$BJ$62,1,Time!$F$13),Time!R30*(R51-R52))</f>
        <v>128.629695274743</v>
      </c>
      <c r="S53" s="11" t="n">
        <f aca="false">IF(Time!S29=1,INDEX(Funding!$J$62:$BJ$62,1,Time!$F$13),Time!S30*(S51-S52))</f>
        <v>124.792945372637</v>
      </c>
      <c r="T53" s="11" t="n">
        <f aca="false">IF(Time!T29=1,INDEX(Funding!$J$62:$BJ$62,1,Time!$F$13),Time!T30*(T51-T52))</f>
        <v>120.77970634993</v>
      </c>
      <c r="U53" s="11" t="n">
        <f aca="false">IF(Time!U29=1,INDEX(Funding!$J$62:$BJ$62,1,Time!$F$13),Time!U30*(U51-U52))</f>
        <v>116.638478069814</v>
      </c>
      <c r="V53" s="11" t="n">
        <f aca="false">IF(Time!V29=1,INDEX(Funding!$J$62:$BJ$62,1,Time!$F$13),Time!V30*(V51-V52))</f>
        <v>112.22670627203</v>
      </c>
      <c r="W53" s="11" t="n">
        <f aca="false">IF(Time!W29=1,INDEX(Funding!$J$62:$BJ$62,1,Time!$F$13),Time!W30*(W51-W52))</f>
        <v>107.680069318027</v>
      </c>
      <c r="X53" s="11" t="n">
        <f aca="false">IF(Time!X29=1,INDEX(Funding!$J$62:$BJ$62,1,Time!$F$13),Time!X30*(X51-X52))</f>
        <v>103.259636700166</v>
      </c>
      <c r="Y53" s="11" t="n">
        <f aca="false">IF(Time!Y29=1,INDEX(Funding!$J$62:$BJ$62,1,Time!$F$13),Time!Y30*(Y51-Y52))</f>
        <v>98.8371240500561</v>
      </c>
      <c r="Z53" s="11" t="n">
        <f aca="false">IF(Time!Z29=1,INDEX(Funding!$J$62:$BJ$62,1,Time!$F$13),Time!Z30*(Z51-Z52))</f>
        <v>94.2313957452298</v>
      </c>
      <c r="AA53" s="11" t="n">
        <f aca="false">IF(Time!AA29=1,INDEX(Funding!$J$62:$BJ$62,1,Time!$F$13),Time!AA30*(AA51-AA52))</f>
        <v>89.4912607412991</v>
      </c>
      <c r="AB53" s="11" t="n">
        <f aca="false">IF(Time!AB29=1,INDEX(Funding!$J$62:$BJ$62,1,Time!$F$13),Time!AB30*(AB51-AB52))</f>
        <v>84.5246691614503</v>
      </c>
      <c r="AC53" s="11" t="n">
        <f aca="false">IF(Time!AC29=1,INDEX(Funding!$J$62:$BJ$62,1,Time!$F$13),Time!AC30*(AC51-AC52))</f>
        <v>79.3935420697217</v>
      </c>
      <c r="AD53" s="11" t="n">
        <f aca="false">IF(Time!AD29=1,INDEX(Funding!$J$62:$BJ$62,1,Time!$F$13),Time!AD30*(AD51-AD52))</f>
        <v>73.7907257256959</v>
      </c>
      <c r="AE53" s="11" t="n">
        <f aca="false">IF(Time!AE29=1,INDEX(Funding!$J$62:$BJ$62,1,Time!$F$13),Time!AE30*(AE51-AE52))</f>
        <v>67.9470973132937</v>
      </c>
      <c r="AF53" s="11" t="n">
        <f aca="false">IF(Time!AF29=1,INDEX(Funding!$J$62:$BJ$62,1,Time!$F$13),Time!AF30*(AF51-AF52))</f>
        <v>61.8984639736887</v>
      </c>
      <c r="AG53" s="11" t="n">
        <f aca="false">IF(Time!AG29=1,INDEX(Funding!$J$62:$BJ$62,1,Time!$F$13),Time!AG30*(AG51-AG52))</f>
        <v>55.7369436822741</v>
      </c>
      <c r="AH53" s="11" t="n">
        <f aca="false">IF(Time!AH29=1,INDEX(Funding!$J$62:$BJ$62,1,Time!$F$13),Time!AH30*(AH51-AH52))</f>
        <v>49.2661055810963</v>
      </c>
      <c r="AI53" s="11" t="n">
        <f aca="false">IF(Time!AI29=1,INDEX(Funding!$J$62:$BJ$62,1,Time!$F$13),Time!AI30*(AI51-AI52))</f>
        <v>42.6052673576863</v>
      </c>
      <c r="AJ53" s="11" t="n">
        <f aca="false">IF(Time!AJ29=1,INDEX(Funding!$J$62:$BJ$62,1,Time!$F$13),Time!AJ30*(AJ51-AJ52))</f>
        <v>35.6228594288865</v>
      </c>
      <c r="AK53" s="11" t="n">
        <f aca="false">IF(Time!AK29=1,INDEX(Funding!$J$62:$BJ$62,1,Time!$F$13),Time!AK30*(AK51-AK52))</f>
        <v>28.4144433196444</v>
      </c>
      <c r="AL53" s="11" t="n">
        <f aca="false">IF(Time!AL29=1,INDEX(Funding!$J$62:$BJ$62,1,Time!$F$13),Time!AL30*(AL51-AL52))</f>
        <v>20.7710803382343</v>
      </c>
      <c r="AM53" s="11" t="n">
        <f aca="false">IF(Time!AM29=1,INDEX(Funding!$J$62:$BJ$62,1,Time!$F$13),Time!AM30*(AM51-AM52))</f>
        <v>12.9688503110526</v>
      </c>
      <c r="AN53" s="11" t="n">
        <f aca="false">IF(Time!AN29=1,INDEX(Funding!$J$62:$BJ$62,1,Time!$F$13),Time!AN30*(AN51-AN52))</f>
        <v>6.53210316126916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63.3255975542774</v>
      </c>
      <c r="Q55" s="11" t="n">
        <f aca="false">Time!Q30*P68</f>
        <v>61.776626074203</v>
      </c>
      <c r="R55" s="11" t="n">
        <f aca="false">Time!R30*Q68</f>
        <v>60.1620994412444</v>
      </c>
      <c r="S55" s="11" t="n">
        <f aca="false">Time!S30*R68</f>
        <v>58.4680433067014</v>
      </c>
      <c r="T55" s="11" t="n">
        <f aca="false">Time!T30*S68</f>
        <v>56.7240660784714</v>
      </c>
      <c r="U55" s="11" t="n">
        <f aca="false">Time!U30*T68</f>
        <v>54.8998665226953</v>
      </c>
      <c r="V55" s="11" t="n">
        <f aca="false">Time!V30*U68</f>
        <v>53.0174900317335</v>
      </c>
      <c r="W55" s="11" t="n">
        <f aca="false">Time!W30*V68</f>
        <v>51.0121392145589</v>
      </c>
      <c r="X55" s="11" t="n">
        <f aca="false">Time!X30*W68</f>
        <v>48.9454860536489</v>
      </c>
      <c r="Y55" s="11" t="n">
        <f aca="false">Time!Y30*X68</f>
        <v>46.9361985000754</v>
      </c>
      <c r="Z55" s="11" t="n">
        <f aca="false">Time!Z30*Y68</f>
        <v>44.9259654772982</v>
      </c>
      <c r="AA55" s="11" t="n">
        <f aca="false">Time!AA30*Z68</f>
        <v>42.8324526114681</v>
      </c>
      <c r="AB55" s="11" t="n">
        <f aca="false">Time!AB30*AA68</f>
        <v>40.6778457914996</v>
      </c>
      <c r="AC55" s="11" t="n">
        <f aca="false">Time!AC30*AB68</f>
        <v>38.4203041642956</v>
      </c>
      <c r="AD55" s="11" t="n">
        <f aca="false">Time!AD30*AC68</f>
        <v>36.0879736680553</v>
      </c>
      <c r="AE55" s="11" t="n">
        <f aca="false">Time!AE30*AD68</f>
        <v>33.5412389662254</v>
      </c>
      <c r="AF55" s="11" t="n">
        <f aca="false">Time!AF30*AE68</f>
        <v>30.8850442333153</v>
      </c>
      <c r="AG55" s="11" t="n">
        <f aca="false">Time!AG30*AF68</f>
        <v>28.1356654425858</v>
      </c>
      <c r="AH55" s="11" t="n">
        <f aca="false">Time!AH30*AG68</f>
        <v>25.3349744010337</v>
      </c>
      <c r="AI55" s="11" t="n">
        <f aca="false">Time!AI30*AH68</f>
        <v>22.3936843550438</v>
      </c>
      <c r="AJ55" s="11" t="n">
        <f aca="false">Time!AJ30*AI68</f>
        <v>19.3660306171301</v>
      </c>
      <c r="AK55" s="11" t="n">
        <f aca="false">Time!AK30*AJ68</f>
        <v>16.1922088313121</v>
      </c>
      <c r="AL55" s="11" t="n">
        <f aca="false">Time!AL30*AK68</f>
        <v>12.9156560543838</v>
      </c>
      <c r="AM55" s="11" t="n">
        <f aca="false">Time!AM30*AL68</f>
        <v>9.44140015374286</v>
      </c>
      <c r="AN55" s="11" t="n">
        <f aca="false">Time!AN30*AM68</f>
        <v>5.89493195956935</v>
      </c>
      <c r="AO55" s="11" t="n">
        <f aca="false">Time!AO30*AN68</f>
        <v>2.96913780057689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31.9176866936493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2.10058043265044</v>
      </c>
      <c r="Q57" s="11" t="n">
        <f aca="false">Q55*Q12</f>
        <v>2.02200045193039</v>
      </c>
      <c r="R57" s="11" t="n">
        <f aca="false">R55*R12</f>
        <v>2.00179358874167</v>
      </c>
      <c r="S57" s="11" t="n">
        <f aca="false">S55*S12</f>
        <v>1.91664742408623</v>
      </c>
      <c r="T57" s="11" t="n">
        <f aca="false">T55*T12</f>
        <v>1.89029798869502</v>
      </c>
      <c r="U57" s="11" t="n">
        <f aca="false">U55*U12</f>
        <v>1.80962160029142</v>
      </c>
      <c r="V57" s="11" t="n">
        <f aca="false">V55*V12</f>
        <v>1.76677840114639</v>
      </c>
      <c r="W57" s="11" t="n">
        <f aca="false">W55*W12</f>
        <v>1.67223460360792</v>
      </c>
      <c r="X57" s="11" t="n">
        <f aca="false">X55*X12</f>
        <v>1.63108113080115</v>
      </c>
      <c r="Y57" s="11" t="n">
        <f aca="false">Y55*Y12</f>
        <v>1.53862073816414</v>
      </c>
      <c r="Z57" s="11" t="n">
        <f aca="false">Z55*Z12</f>
        <v>1.49713284066125</v>
      </c>
      <c r="AA57" s="11" t="n">
        <f aca="false">AA55*AA12</f>
        <v>1.40409538821794</v>
      </c>
      <c r="AB57" s="11" t="n">
        <f aca="false">AB55*AB12</f>
        <v>1.35556661219851</v>
      </c>
      <c r="AC57" s="11" t="n">
        <f aca="false">AC55*AC12</f>
        <v>1.26641860370888</v>
      </c>
      <c r="AD57" s="11" t="n">
        <f aca="false">AD55*AD12</f>
        <v>1.20261167361368</v>
      </c>
      <c r="AE57" s="11" t="n">
        <f aca="false">AE55*AE12</f>
        <v>1.09951908135616</v>
      </c>
      <c r="AF57" s="11" t="n">
        <f aca="false">AF55*AF12</f>
        <v>1.02922694071733</v>
      </c>
      <c r="AG57" s="11" t="n">
        <f aca="false">AG55*AG12</f>
        <v>0.922318375058454</v>
      </c>
      <c r="AH57" s="11" t="n">
        <f aca="false">AH55*AH12</f>
        <v>0.84427394692867</v>
      </c>
      <c r="AI57" s="11" t="n">
        <f aca="false">AI55*AI12</f>
        <v>0.734089855029841</v>
      </c>
      <c r="AJ57" s="11" t="n">
        <f aca="false">AJ55*AJ12</f>
        <v>0.645362211409963</v>
      </c>
      <c r="AK57" s="11" t="n">
        <f aca="false">AK55*AK12</f>
        <v>0.533731185766337</v>
      </c>
      <c r="AL57" s="11" t="n">
        <f aca="false">AL55*AL12</f>
        <v>0.430407062647865</v>
      </c>
      <c r="AM57" s="11" t="n">
        <f aca="false">AM55*AM12</f>
        <v>0.309499587484306</v>
      </c>
      <c r="AN57" s="11" t="n">
        <f aca="false">AN55*AN12</f>
        <v>0.196445332590449</v>
      </c>
      <c r="AO57" s="11" t="n">
        <f aca="false">AO55*AO12</f>
        <v>0.0973316361449111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63.3255975542774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1.54897148007439</v>
      </c>
      <c r="Q58" s="11" t="n">
        <f aca="false">Time!Q30*(Q55-Q56)*Q19</f>
        <v>1.61452663295866</v>
      </c>
      <c r="R58" s="11" t="n">
        <f aca="false">Time!R30*(R55-R56)*R19</f>
        <v>1.69405613454301</v>
      </c>
      <c r="S58" s="11" t="n">
        <f aca="false">Time!S30*(S55-S56)*S19</f>
        <v>1.74397722822994</v>
      </c>
      <c r="T58" s="11" t="n">
        <f aca="false">Time!T30*(T55-T56)*T19</f>
        <v>1.82419955577615</v>
      </c>
      <c r="U58" s="11" t="n">
        <f aca="false">Time!U30*(U55-U56)*U19</f>
        <v>1.88237649096174</v>
      </c>
      <c r="V58" s="11" t="n">
        <f aca="false">Time!V30*(V55-V56)*V19</f>
        <v>2.00535081717462</v>
      </c>
      <c r="W58" s="11" t="n">
        <f aca="false">Time!W30*(W55-W56)*W19</f>
        <v>2.06665316091007</v>
      </c>
      <c r="X58" s="11" t="n">
        <f aca="false">Time!X30*(X55-X56)*X19</f>
        <v>2.00928755357348</v>
      </c>
      <c r="Y58" s="11" t="n">
        <f aca="false">Time!Y30*(Y55-Y56)*Y19</f>
        <v>2.01023302277717</v>
      </c>
      <c r="Z58" s="11" t="n">
        <f aca="false">Time!Z30*(Z55-Z56)*Z19</f>
        <v>2.09351286583013</v>
      </c>
      <c r="AA58" s="11" t="n">
        <f aca="false">Time!AA30*(AA55-AA56)*AA19</f>
        <v>2.15460681996847</v>
      </c>
      <c r="AB58" s="11" t="n">
        <f aca="false">Time!AB30*(AB55-AB56)*AB19</f>
        <v>2.25754162720402</v>
      </c>
      <c r="AC58" s="11" t="n">
        <f aca="false">Time!AC30*(AC55-AC56)*AC19</f>
        <v>2.33233049624026</v>
      </c>
      <c r="AD58" s="11" t="n">
        <f aca="false">Time!AD30*(AD55-AD56)*AD19</f>
        <v>2.54673470182993</v>
      </c>
      <c r="AE58" s="11" t="n">
        <f aca="false">Time!AE30*(AE55-AE56)*AE19</f>
        <v>2.65619473291008</v>
      </c>
      <c r="AF58" s="11" t="n">
        <f aca="false">Time!AF30*(AF55-AF56)*AF19</f>
        <v>2.74937879072952</v>
      </c>
      <c r="AG58" s="11" t="n">
        <f aca="false">Time!AG30*(AG55-AG56)*AG19</f>
        <v>2.80069104155209</v>
      </c>
      <c r="AH58" s="11" t="n">
        <f aca="false">Time!AH30*(AH55-AH56)*AH19</f>
        <v>2.94129004598992</v>
      </c>
      <c r="AI58" s="11" t="n">
        <f aca="false">Time!AI30*(AI55-AI56)*AI19</f>
        <v>3.02765373791365</v>
      </c>
      <c r="AJ58" s="11" t="n">
        <f aca="false">Time!AJ30*(AJ55-AJ56)*AJ19</f>
        <v>3.17382178581808</v>
      </c>
      <c r="AK58" s="11" t="n">
        <f aca="false">Time!AK30*(AK55-AK56)*AK19</f>
        <v>3.27655277692825</v>
      </c>
      <c r="AL58" s="11" t="n">
        <f aca="false">Time!AL30*(AL55-AL56)*AL19</f>
        <v>3.47425590064094</v>
      </c>
      <c r="AM58" s="11" t="n">
        <f aca="false">Time!AM30*(AM55-AM56)*AM19</f>
        <v>3.54646819417351</v>
      </c>
      <c r="AN58" s="11" t="n">
        <f aca="false">Time!AN30*(AN55-AN56)*AN19</f>
        <v>2.92579415899246</v>
      </c>
      <c r="AO58" s="11" t="n">
        <f aca="false">Time!AO30*(AO55-AO56)*AO19</f>
        <v>2.96913780057689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63.3255975542774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1.54897148007439</v>
      </c>
      <c r="Q62" s="11" t="n">
        <f aca="false">Q58-Q59+Q61</f>
        <v>1.61452663295866</v>
      </c>
      <c r="R62" s="11" t="n">
        <f aca="false">R58-R59+R61</f>
        <v>1.69405613454301</v>
      </c>
      <c r="S62" s="11" t="n">
        <f aca="false">S58-S59+S61</f>
        <v>1.74397722822994</v>
      </c>
      <c r="T62" s="11" t="n">
        <f aca="false">T58-T59+T61</f>
        <v>1.82419955577615</v>
      </c>
      <c r="U62" s="11" t="n">
        <f aca="false">U58-U59+U61</f>
        <v>1.88237649096174</v>
      </c>
      <c r="V62" s="11" t="n">
        <f aca="false">V58-V59+V61</f>
        <v>2.00535081717462</v>
      </c>
      <c r="W62" s="11" t="n">
        <f aca="false">W58-W59+W61</f>
        <v>2.06665316091007</v>
      </c>
      <c r="X62" s="11" t="n">
        <f aca="false">X58-X59+X61</f>
        <v>2.00928755357348</v>
      </c>
      <c r="Y62" s="11" t="n">
        <f aca="false">Y58-Y59+Y61</f>
        <v>2.01023302277717</v>
      </c>
      <c r="Z62" s="11" t="n">
        <f aca="false">Z58-Z59+Z61</f>
        <v>2.09351286583013</v>
      </c>
      <c r="AA62" s="11" t="n">
        <f aca="false">AA58-AA59+AA61</f>
        <v>2.15460681996847</v>
      </c>
      <c r="AB62" s="11" t="n">
        <f aca="false">AB58-AB59+AB61</f>
        <v>2.25754162720402</v>
      </c>
      <c r="AC62" s="11" t="n">
        <f aca="false">AC58-AC59+AC61</f>
        <v>2.33233049624026</v>
      </c>
      <c r="AD62" s="11" t="n">
        <f aca="false">AD58-AD59+AD61</f>
        <v>2.54673470182993</v>
      </c>
      <c r="AE62" s="11" t="n">
        <f aca="false">AE58-AE59+AE61</f>
        <v>2.65619473291008</v>
      </c>
      <c r="AF62" s="11" t="n">
        <f aca="false">AF58-AF59+AF61</f>
        <v>2.74937879072952</v>
      </c>
      <c r="AG62" s="11" t="n">
        <f aca="false">AG58-AG59+AG61</f>
        <v>2.80069104155209</v>
      </c>
      <c r="AH62" s="11" t="n">
        <f aca="false">AH58-AH59+AH61</f>
        <v>2.94129004598992</v>
      </c>
      <c r="AI62" s="11" t="n">
        <f aca="false">AI58-AI59+AI61</f>
        <v>3.02765373791365</v>
      </c>
      <c r="AJ62" s="11" t="n">
        <f aca="false">AJ58-AJ59+AJ61</f>
        <v>3.17382178581808</v>
      </c>
      <c r="AK62" s="11" t="n">
        <f aca="false">AK58-AK59+AK61</f>
        <v>3.27655277692825</v>
      </c>
      <c r="AL62" s="11" t="n">
        <f aca="false">AL58-AL59+AL61</f>
        <v>3.47425590064094</v>
      </c>
      <c r="AM62" s="11" t="n">
        <f aca="false">AM58-AM59+AM61</f>
        <v>3.54646819417351</v>
      </c>
      <c r="AN62" s="11" t="n">
        <f aca="false">AN58-AN59+AN61</f>
        <v>2.92579415899246</v>
      </c>
      <c r="AO62" s="11" t="n">
        <f aca="false">AO58-AO59+AO61</f>
        <v>2.96913780057689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61.776626074203</v>
      </c>
      <c r="Q66" s="11" t="n">
        <f aca="false">Q55-Q62-Q63-Q64</f>
        <v>60.1620994412444</v>
      </c>
      <c r="R66" s="11" t="n">
        <f aca="false">R55-R62-R63-R64</f>
        <v>58.4680433067014</v>
      </c>
      <c r="S66" s="11" t="n">
        <f aca="false">S55-S62-S63-S64</f>
        <v>56.7240660784714</v>
      </c>
      <c r="T66" s="11" t="n">
        <f aca="false">T55-T62-T63-T64</f>
        <v>54.8998665226953</v>
      </c>
      <c r="U66" s="11" t="n">
        <f aca="false">U55-U62-U63-U64</f>
        <v>53.0174900317335</v>
      </c>
      <c r="V66" s="11" t="n">
        <f aca="false">V55-V62-V63-V64</f>
        <v>51.0121392145589</v>
      </c>
      <c r="W66" s="11" t="n">
        <f aca="false">W55-W62-W63-W64</f>
        <v>48.9454860536489</v>
      </c>
      <c r="X66" s="11" t="n">
        <f aca="false">X55-X62-X63-X64</f>
        <v>46.9361985000754</v>
      </c>
      <c r="Y66" s="11" t="n">
        <f aca="false">Y55-Y62-Y63-Y64</f>
        <v>44.9259654772982</v>
      </c>
      <c r="Z66" s="11" t="n">
        <f aca="false">Z55-Z62-Z63-Z64</f>
        <v>42.8324526114681</v>
      </c>
      <c r="AA66" s="11" t="n">
        <f aca="false">AA55-AA62-AA63-AA64</f>
        <v>40.6778457914996</v>
      </c>
      <c r="AB66" s="11" t="n">
        <f aca="false">AB55-AB62-AB63-AB64</f>
        <v>38.4203041642956</v>
      </c>
      <c r="AC66" s="11" t="n">
        <f aca="false">AC55-AC62-AC63-AC64</f>
        <v>36.0879736680553</v>
      </c>
      <c r="AD66" s="11" t="n">
        <f aca="false">AD55-AD62-AD63-AD64</f>
        <v>33.5412389662254</v>
      </c>
      <c r="AE66" s="11" t="n">
        <f aca="false">AE55-AE62-AE63-AE64</f>
        <v>30.8850442333153</v>
      </c>
      <c r="AF66" s="11" t="n">
        <f aca="false">AF55-AF62-AF63-AF64</f>
        <v>28.1356654425858</v>
      </c>
      <c r="AG66" s="11" t="n">
        <f aca="false">AG55-AG62-AG63-AG64</f>
        <v>25.3349744010337</v>
      </c>
      <c r="AH66" s="11" t="n">
        <f aca="false">AH55-AH62-AH63-AH64</f>
        <v>22.3936843550438</v>
      </c>
      <c r="AI66" s="11" t="n">
        <f aca="false">AI55-AI62-AI63-AI64</f>
        <v>19.3660306171301</v>
      </c>
      <c r="AJ66" s="11" t="n">
        <f aca="false">AJ55-AJ62-AJ63-AJ64</f>
        <v>16.1922088313121</v>
      </c>
      <c r="AK66" s="11" t="n">
        <f aca="false">AK55-AK62-AK63-AK64</f>
        <v>12.9156560543838</v>
      </c>
      <c r="AL66" s="11" t="n">
        <f aca="false">AL55-AL62-AL63-AL64</f>
        <v>9.44140015374286</v>
      </c>
      <c r="AM66" s="11" t="n">
        <f aca="false">AM55-AM62-AM63-AM64</f>
        <v>5.89493195956935</v>
      </c>
      <c r="AN66" s="11" t="n">
        <f aca="false">AN55-AN62-AN63-AN64</f>
        <v>2.96913780057689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63.3255975542774</v>
      </c>
      <c r="P68" s="11" t="n">
        <f aca="false">IF(Time!P29=1,INDEX(Funding!$J$63:$BJ$63,1,Time!$F$13),Time!P30*(P66-P67))</f>
        <v>61.776626074203</v>
      </c>
      <c r="Q68" s="11" t="n">
        <f aca="false">IF(Time!Q29=1,INDEX(Funding!$J$63:$BJ$63,1,Time!$F$13),Time!Q30*(Q66-Q67))</f>
        <v>60.1620994412444</v>
      </c>
      <c r="R68" s="11" t="n">
        <f aca="false">IF(Time!R29=1,INDEX(Funding!$J$63:$BJ$63,1,Time!$F$13),Time!R30*(R66-R67))</f>
        <v>58.4680433067014</v>
      </c>
      <c r="S68" s="11" t="n">
        <f aca="false">IF(Time!S29=1,INDEX(Funding!$J$63:$BJ$63,1,Time!$F$13),Time!S30*(S66-S67))</f>
        <v>56.7240660784714</v>
      </c>
      <c r="T68" s="11" t="n">
        <f aca="false">IF(Time!T29=1,INDEX(Funding!$J$63:$BJ$63,1,Time!$F$13),Time!T30*(T66-T67))</f>
        <v>54.8998665226953</v>
      </c>
      <c r="U68" s="11" t="n">
        <f aca="false">IF(Time!U29=1,INDEX(Funding!$J$63:$BJ$63,1,Time!$F$13),Time!U30*(U66-U67))</f>
        <v>53.0174900317335</v>
      </c>
      <c r="V68" s="11" t="n">
        <f aca="false">IF(Time!V29=1,INDEX(Funding!$J$63:$BJ$63,1,Time!$F$13),Time!V30*(V66-V67))</f>
        <v>51.0121392145589</v>
      </c>
      <c r="W68" s="11" t="n">
        <f aca="false">IF(Time!W29=1,INDEX(Funding!$J$63:$BJ$63,1,Time!$F$13),Time!W30*(W66-W67))</f>
        <v>48.9454860536489</v>
      </c>
      <c r="X68" s="11" t="n">
        <f aca="false">IF(Time!X29=1,INDEX(Funding!$J$63:$BJ$63,1,Time!$F$13),Time!X30*(X66-X67))</f>
        <v>46.9361985000754</v>
      </c>
      <c r="Y68" s="11" t="n">
        <f aca="false">IF(Time!Y29=1,INDEX(Funding!$J$63:$BJ$63,1,Time!$F$13),Time!Y30*(Y66-Y67))</f>
        <v>44.9259654772982</v>
      </c>
      <c r="Z68" s="11" t="n">
        <f aca="false">IF(Time!Z29=1,INDEX(Funding!$J$63:$BJ$63,1,Time!$F$13),Time!Z30*(Z66-Z67))</f>
        <v>42.8324526114681</v>
      </c>
      <c r="AA68" s="11" t="n">
        <f aca="false">IF(Time!AA29=1,INDEX(Funding!$J$63:$BJ$63,1,Time!$F$13),Time!AA30*(AA66-AA67))</f>
        <v>40.6778457914996</v>
      </c>
      <c r="AB68" s="11" t="n">
        <f aca="false">IF(Time!AB29=1,INDEX(Funding!$J$63:$BJ$63,1,Time!$F$13),Time!AB30*(AB66-AB67))</f>
        <v>38.4203041642956</v>
      </c>
      <c r="AC68" s="11" t="n">
        <f aca="false">IF(Time!AC29=1,INDEX(Funding!$J$63:$BJ$63,1,Time!$F$13),Time!AC30*(AC66-AC67))</f>
        <v>36.0879736680553</v>
      </c>
      <c r="AD68" s="11" t="n">
        <f aca="false">IF(Time!AD29=1,INDEX(Funding!$J$63:$BJ$63,1,Time!$F$13),Time!AD30*(AD66-AD67))</f>
        <v>33.5412389662254</v>
      </c>
      <c r="AE68" s="11" t="n">
        <f aca="false">IF(Time!AE29=1,INDEX(Funding!$J$63:$BJ$63,1,Time!$F$13),Time!AE30*(AE66-AE67))</f>
        <v>30.8850442333153</v>
      </c>
      <c r="AF68" s="11" t="n">
        <f aca="false">IF(Time!AF29=1,INDEX(Funding!$J$63:$BJ$63,1,Time!$F$13),Time!AF30*(AF66-AF67))</f>
        <v>28.1356654425858</v>
      </c>
      <c r="AG68" s="11" t="n">
        <f aca="false">IF(Time!AG29=1,INDEX(Funding!$J$63:$BJ$63,1,Time!$F$13),Time!AG30*(AG66-AG67))</f>
        <v>25.3349744010337</v>
      </c>
      <c r="AH68" s="11" t="n">
        <f aca="false">IF(Time!AH29=1,INDEX(Funding!$J$63:$BJ$63,1,Time!$F$13),Time!AH30*(AH66-AH67))</f>
        <v>22.3936843550438</v>
      </c>
      <c r="AI68" s="11" t="n">
        <f aca="false">IF(Time!AI29=1,INDEX(Funding!$J$63:$BJ$63,1,Time!$F$13),Time!AI30*(AI66-AI67))</f>
        <v>19.3660306171301</v>
      </c>
      <c r="AJ68" s="11" t="n">
        <f aca="false">IF(Time!AJ29=1,INDEX(Funding!$J$63:$BJ$63,1,Time!$F$13),Time!AJ30*(AJ66-AJ67))</f>
        <v>16.1922088313121</v>
      </c>
      <c r="AK68" s="11" t="n">
        <f aca="false">IF(Time!AK29=1,INDEX(Funding!$J$63:$BJ$63,1,Time!$F$13),Time!AK30*(AK66-AK67))</f>
        <v>12.9156560543838</v>
      </c>
      <c r="AL68" s="11" t="n">
        <f aca="false">IF(Time!AL29=1,INDEX(Funding!$J$63:$BJ$63,1,Time!$F$13),Time!AL30*(AL66-AL67))</f>
        <v>9.44140015374286</v>
      </c>
      <c r="AM68" s="11" t="n">
        <f aca="false">IF(Time!AM29=1,INDEX(Funding!$J$63:$BJ$63,1,Time!$F$13),Time!AM30*(AM66-AM67))</f>
        <v>5.89493195956935</v>
      </c>
      <c r="AN68" s="11" t="n">
        <f aca="false">IF(Time!AN29=1,INDEX(Funding!$J$63:$BJ$63,1,Time!$F$13),Time!AN30*(AN66-AN67))</f>
        <v>2.96913780057689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240.637270706254</v>
      </c>
      <c r="Q70" s="11" t="n">
        <f aca="false">Time!Q30*P83</f>
        <v>234.751179081972</v>
      </c>
      <c r="R70" s="11" t="n">
        <f aca="false">Time!R30*Q83</f>
        <v>228.615977876729</v>
      </c>
      <c r="S70" s="11" t="n">
        <f aca="false">Time!S30*R83</f>
        <v>222.178564565465</v>
      </c>
      <c r="T70" s="11" t="n">
        <f aca="false">Time!T30*S83</f>
        <v>215.551451098191</v>
      </c>
      <c r="U70" s="11" t="n">
        <f aca="false">Time!U30*T83</f>
        <v>208.619492786242</v>
      </c>
      <c r="V70" s="11" t="n">
        <f aca="false">Time!V30*U83</f>
        <v>201.466462120587</v>
      </c>
      <c r="W70" s="11" t="n">
        <f aca="false">Time!W30*V83</f>
        <v>193.846129015324</v>
      </c>
      <c r="X70" s="11" t="n">
        <f aca="false">Time!X30*W83</f>
        <v>185.992847003866</v>
      </c>
      <c r="Y70" s="11" t="n">
        <f aca="false">Time!Y30*X83</f>
        <v>178.357554300286</v>
      </c>
      <c r="Z70" s="11" t="n">
        <f aca="false">Time!Z30*Y83</f>
        <v>170.718668813733</v>
      </c>
      <c r="AA70" s="11" t="n">
        <f aca="false">Time!AA30*Z83</f>
        <v>162.763319923579</v>
      </c>
      <c r="AB70" s="11" t="n">
        <f aca="false">Time!AB30*AA83</f>
        <v>148.568085007484</v>
      </c>
      <c r="AC70" s="11" t="n">
        <f aca="false">Time!AC30*AB83</f>
        <v>133.329157098822</v>
      </c>
      <c r="AD70" s="11" t="n">
        <f aca="false">Time!AD30*AC83</f>
        <v>118.580231432368</v>
      </c>
      <c r="AE70" s="11" t="n">
        <f aca="false">Time!AE30*AD83</f>
        <v>102.226186265937</v>
      </c>
      <c r="AF70" s="11" t="n">
        <f aca="false">Time!AF30*AE83</f>
        <v>85.5470696660958</v>
      </c>
      <c r="AG70" s="11" t="n">
        <f aca="false">Time!AG30*AF83</f>
        <v>68.4786755052469</v>
      </c>
      <c r="AH70" s="11" t="n">
        <f aca="false">Time!AH30*AG83</f>
        <v>51.7981356825013</v>
      </c>
      <c r="AI70" s="11" t="n">
        <f aca="false">Time!AI30*AH83</f>
        <v>34.5671044696709</v>
      </c>
      <c r="AJ70" s="11" t="n">
        <f aca="false">Time!AJ30*AI83</f>
        <v>17.8324523460271</v>
      </c>
      <c r="AK70" s="11" t="n">
        <f aca="false">Time!AK30*AJ83</f>
        <v>1.00923077643154</v>
      </c>
      <c r="AL70" s="11" t="n">
        <f aca="false">Time!AL30*AK83</f>
        <v>0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134.486318142125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9.82572480412179</v>
      </c>
      <c r="Q72" s="11" t="n">
        <f aca="false">Q70*Q13</f>
        <v>9.45532827820258</v>
      </c>
      <c r="R72" s="11" t="n">
        <f aca="false">R70*R13</f>
        <v>9.36083644723405</v>
      </c>
      <c r="S72" s="11" t="n">
        <f aca="false">S70*S13</f>
        <v>8.96133925140251</v>
      </c>
      <c r="T72" s="11" t="n">
        <f aca="false">T70*T13</f>
        <v>8.83814172083103</v>
      </c>
      <c r="U72" s="11" t="n">
        <f aca="false">U70*U13</f>
        <v>8.46093698459363</v>
      </c>
      <c r="V72" s="11" t="n">
        <f aca="false">V70*V13</f>
        <v>8.2606223949987</v>
      </c>
      <c r="W72" s="11" t="n">
        <f aca="false">W70*W13</f>
        <v>7.81858019505573</v>
      </c>
      <c r="X72" s="11" t="n">
        <f aca="false">X70*X13</f>
        <v>7.62616596875603</v>
      </c>
      <c r="Y72" s="11" t="n">
        <f aca="false">Y70*Y13</f>
        <v>7.69205486959494</v>
      </c>
      <c r="Z72" s="11" t="n">
        <f aca="false">Z70*Z13</f>
        <v>7.48464366285592</v>
      </c>
      <c r="AA72" s="11" t="n">
        <f aca="false">AA70*AA13</f>
        <v>7.01951982085231</v>
      </c>
      <c r="AB72" s="11" t="n">
        <f aca="false">AB70*AB13</f>
        <v>6.51351831455035</v>
      </c>
      <c r="AC72" s="11" t="n">
        <f aca="false">AC70*AC13</f>
        <v>5.78187650895461</v>
      </c>
      <c r="AD72" s="11" t="n">
        <f aca="false">AD70*AD13</f>
        <v>5.19879157855095</v>
      </c>
      <c r="AE72" s="11" t="n">
        <f aca="false">AE70*AE13</f>
        <v>4.40872514176295</v>
      </c>
      <c r="AF72" s="11" t="n">
        <f aca="false">AF70*AF13</f>
        <v>3.75055251602765</v>
      </c>
      <c r="AG72" s="11" t="n">
        <f aca="false">AG70*AG13</f>
        <v>3.14456614167335</v>
      </c>
      <c r="AH72" s="11" t="n">
        <f aca="false">AH70*AH13</f>
        <v>2.41801371163795</v>
      </c>
      <c r="AI72" s="11" t="n">
        <f aca="false">AI70*AI13</f>
        <v>1.58733423987857</v>
      </c>
      <c r="AJ72" s="11" t="n">
        <f aca="false">AJ70*AJ13</f>
        <v>0.832445293960464</v>
      </c>
      <c r="AK72" s="11" t="n">
        <f aca="false">AK70*AK13</f>
        <v>0.0466002966287851</v>
      </c>
      <c r="AL72" s="11" t="n">
        <f aca="false">AL70*AL13</f>
        <v>0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147.109941950516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5.8860916242827</v>
      </c>
      <c r="Q73" s="11" t="n">
        <f aca="false">Time!Q30*(Q70-Q71)*Q19</f>
        <v>6.1352012052429</v>
      </c>
      <c r="R73" s="11" t="n">
        <f aca="false">Time!R30*(R70-R71)*R19</f>
        <v>6.43741331126344</v>
      </c>
      <c r="S73" s="11" t="n">
        <f aca="false">Time!S30*(S70-S71)*S19</f>
        <v>6.62711346727376</v>
      </c>
      <c r="T73" s="11" t="n">
        <f aca="false">Time!T30*(T70-T71)*T19</f>
        <v>6.93195831194939</v>
      </c>
      <c r="U73" s="11" t="n">
        <f aca="false">Time!U30*(U70-U71)*U19</f>
        <v>7.1530306656546</v>
      </c>
      <c r="V73" s="11" t="n">
        <f aca="false">Time!V30*(V70-V71)*V19</f>
        <v>7.62033310526354</v>
      </c>
      <c r="W73" s="11" t="n">
        <f aca="false">Time!W30*(W70-W71)*W19</f>
        <v>7.85328201145828</v>
      </c>
      <c r="X73" s="11" t="n">
        <f aca="false">Time!X30*(X70-X71)*X19</f>
        <v>7.63529270357921</v>
      </c>
      <c r="Y73" s="11" t="n">
        <f aca="false">Time!Y30*(Y70-Y71)*Y19</f>
        <v>7.63888548655323</v>
      </c>
      <c r="Z73" s="11" t="n">
        <f aca="false">Time!Z30*(Z70-Z71)*Z19</f>
        <v>7.9553488901545</v>
      </c>
      <c r="AA73" s="11" t="n">
        <f aca="false">Time!AA30*(AA70-AA71)*AA19</f>
        <v>8.18750591588019</v>
      </c>
      <c r="AB73" s="11" t="n">
        <f aca="false">Time!AB30*(AB70-AB71)*AB19</f>
        <v>8.24524086397097</v>
      </c>
      <c r="AC73" s="11" t="n">
        <f aca="false">Time!AC30*(AC70-AC71)*AC19</f>
        <v>8.09383647276217</v>
      </c>
      <c r="AD73" s="11" t="n">
        <f aca="false">Time!AD30*(AD70-AD71)*AD19</f>
        <v>8.36822796196943</v>
      </c>
      <c r="AE73" s="11" t="n">
        <f aca="false">Time!AE30*(AE70-AE71)*AE19</f>
        <v>8.09548680650974</v>
      </c>
      <c r="AF73" s="11" t="n">
        <f aca="false">Time!AF30*(AF70-AF71)*AF19</f>
        <v>7.61537840685091</v>
      </c>
      <c r="AG73" s="11" t="n">
        <f aca="false">Time!AG30*(AG70-AG71)*AG19</f>
        <v>6.81653019425695</v>
      </c>
      <c r="AH73" s="11" t="n">
        <f aca="false">Time!AH30*(AH70-AH71)*AH19</f>
        <v>6.0135581142549</v>
      </c>
      <c r="AI73" s="11" t="n">
        <f aca="false">Time!AI30*(AI70-AI71)*AI19</f>
        <v>4.67351514816178</v>
      </c>
      <c r="AJ73" s="11" t="n">
        <f aca="false">Time!AJ30*(AJ70-AJ71)*AJ19</f>
        <v>2.92248973831121</v>
      </c>
      <c r="AK73" s="11" t="n">
        <f aca="false">Time!AK30*(AK70-AK71)*AK19</f>
        <v>0.204221544912613</v>
      </c>
      <c r="AL73" s="11" t="n">
        <f aca="false">Time!AL30*(AL70-AL71)*AL19</f>
        <v>0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147.109941950516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5.8860916242827</v>
      </c>
      <c r="Q77" s="11" t="n">
        <f aca="false">Q73-Q74+Q76</f>
        <v>6.1352012052429</v>
      </c>
      <c r="R77" s="11" t="n">
        <f aca="false">R73-R74+R76</f>
        <v>6.43741331126344</v>
      </c>
      <c r="S77" s="11" t="n">
        <f aca="false">S73-S74+S76</f>
        <v>6.62711346727376</v>
      </c>
      <c r="T77" s="11" t="n">
        <f aca="false">T73-T74+T76</f>
        <v>6.93195831194939</v>
      </c>
      <c r="U77" s="11" t="n">
        <f aca="false">U73-U74+U76</f>
        <v>7.1530306656546</v>
      </c>
      <c r="V77" s="11" t="n">
        <f aca="false">V73-V74+V76</f>
        <v>7.62033310526354</v>
      </c>
      <c r="W77" s="11" t="n">
        <f aca="false">W73-W74+W76</f>
        <v>7.85328201145828</v>
      </c>
      <c r="X77" s="11" t="n">
        <f aca="false">X73-X74+X76</f>
        <v>7.63529270357921</v>
      </c>
      <c r="Y77" s="11" t="n">
        <f aca="false">Y73-Y74+Y76</f>
        <v>7.63888548655323</v>
      </c>
      <c r="Z77" s="11" t="n">
        <f aca="false">Z73-Z74+Z76</f>
        <v>7.9553488901545</v>
      </c>
      <c r="AA77" s="11" t="n">
        <f aca="false">AA73-AA74+AA76</f>
        <v>8.18750591588019</v>
      </c>
      <c r="AB77" s="11" t="n">
        <f aca="false">AB73-AB74+AB76</f>
        <v>8.24524086397097</v>
      </c>
      <c r="AC77" s="11" t="n">
        <f aca="false">AC73-AC74+AC76</f>
        <v>8.09383647276217</v>
      </c>
      <c r="AD77" s="11" t="n">
        <f aca="false">AD73-AD74+AD76</f>
        <v>8.36822796196943</v>
      </c>
      <c r="AE77" s="11" t="n">
        <f aca="false">AE73-AE74+AE76</f>
        <v>8.09548680650974</v>
      </c>
      <c r="AF77" s="11" t="n">
        <f aca="false">AF73-AF74+AF76</f>
        <v>7.61537840685091</v>
      </c>
      <c r="AG77" s="11" t="n">
        <f aca="false">AG73-AG74+AG76</f>
        <v>6.81653019425695</v>
      </c>
      <c r="AH77" s="11" t="n">
        <f aca="false">AH73-AH74+AH76</f>
        <v>6.0135581142549</v>
      </c>
      <c r="AI77" s="11" t="n">
        <f aca="false">AI73-AI74+AI76</f>
        <v>4.67351514816178</v>
      </c>
      <c r="AJ77" s="11" t="n">
        <f aca="false">AJ73-AJ74+AJ76</f>
        <v>2.92248973831121</v>
      </c>
      <c r="AK77" s="11" t="n">
        <f aca="false">AK73-AK74+AK76</f>
        <v>0.204221544912613</v>
      </c>
      <c r="AL77" s="11" t="n">
        <f aca="false">AL73-AL74+AL76</f>
        <v>0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234.751179081972</v>
      </c>
      <c r="Q81" s="11" t="n">
        <f aca="false">Q70-Q77-Q78-Q79</f>
        <v>228.615977876729</v>
      </c>
      <c r="R81" s="11" t="n">
        <f aca="false">R70-R77-R78-R79</f>
        <v>222.178564565465</v>
      </c>
      <c r="S81" s="11" t="n">
        <f aca="false">S70-S77-S78-S79</f>
        <v>215.551451098191</v>
      </c>
      <c r="T81" s="11" t="n">
        <f aca="false">T70-T77-T78-T79</f>
        <v>208.619492786242</v>
      </c>
      <c r="U81" s="11" t="n">
        <f aca="false">U70-U77-U78-U79</f>
        <v>201.466462120587</v>
      </c>
      <c r="V81" s="11" t="n">
        <f aca="false">V70-V77-V78-V79</f>
        <v>193.846129015324</v>
      </c>
      <c r="W81" s="11" t="n">
        <f aca="false">W70-W77-W78-W79</f>
        <v>185.992847003866</v>
      </c>
      <c r="X81" s="11" t="n">
        <f aca="false">X70-X77-X78-X79</f>
        <v>178.357554300286</v>
      </c>
      <c r="Y81" s="11" t="n">
        <f aca="false">Y70-Y77-Y78-Y79</f>
        <v>170.718668813733</v>
      </c>
      <c r="Z81" s="11" t="n">
        <f aca="false">Z70-Z77-Z78-Z79</f>
        <v>162.763319923579</v>
      </c>
      <c r="AA81" s="11" t="n">
        <f aca="false">AA70-AA77-AA78-AA79</f>
        <v>154.575814007698</v>
      </c>
      <c r="AB81" s="11" t="n">
        <f aca="false">AB70-AB77-AB78-AB79</f>
        <v>140.322844143513</v>
      </c>
      <c r="AC81" s="11" t="n">
        <f aca="false">AC70-AC77-AC78-AC79</f>
        <v>125.23532062606</v>
      </c>
      <c r="AD81" s="11" t="n">
        <f aca="false">AD70-AD77-AD78-AD79</f>
        <v>110.212003470399</v>
      </c>
      <c r="AE81" s="11" t="n">
        <f aca="false">AE70-AE77-AE78-AE79</f>
        <v>94.1306994594277</v>
      </c>
      <c r="AF81" s="11" t="n">
        <f aca="false">AF70-AF77-AF78-AF79</f>
        <v>77.9316912592449</v>
      </c>
      <c r="AG81" s="11" t="n">
        <f aca="false">AG70-AG77-AG78-AG79</f>
        <v>61.66214531099</v>
      </c>
      <c r="AH81" s="11" t="n">
        <f aca="false">AH70-AH77-AH78-AH79</f>
        <v>45.7845775682464</v>
      </c>
      <c r="AI81" s="11" t="n">
        <f aca="false">AI70-AI77-AI78-AI79</f>
        <v>29.8935893215091</v>
      </c>
      <c r="AJ81" s="11" t="n">
        <f aca="false">AJ70-AJ77-AJ78-AJ79</f>
        <v>14.9099626077159</v>
      </c>
      <c r="AK81" s="11" t="n">
        <f aca="false">AK70-AK77-AK78-AK79</f>
        <v>0.805009231518923</v>
      </c>
      <c r="AL81" s="11" t="n">
        <f aca="false">AL70-AL77-AL78-AL79</f>
        <v>0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93.5273287557378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6.00772900021412</v>
      </c>
      <c r="AB82" s="11" t="n">
        <f aca="false">Waterfall!AB28*AB81/(AB36+AB51+AB66+AB81+AB96+0.000000001)+Waterfall!AB29</f>
        <v>6.99368704469093</v>
      </c>
      <c r="AC82" s="11" t="n">
        <f aca="false">Waterfall!AC28*AC81/(AC36+AC51+AC66+AC81+AC96+0.000000001)+Waterfall!AC29</f>
        <v>6.65508919369183</v>
      </c>
      <c r="AD82" s="11" t="n">
        <f aca="false">Waterfall!AD28*AD81/(AD36+AD51+AD66+AD81+AD96+0.000000001)+Waterfall!AD29</f>
        <v>7.9858172044616</v>
      </c>
      <c r="AE82" s="11" t="n">
        <f aca="false">Waterfall!AE28*AE81/(AE36+AE51+AE66+AE81+AE96+0.000000001)+Waterfall!AE29</f>
        <v>8.58362979333186</v>
      </c>
      <c r="AF82" s="11" t="n">
        <f aca="false">Waterfall!AF28*AF81/(AF36+AF51+AF66+AF81+AF96+0.000000001)+Waterfall!AF29</f>
        <v>9.45301575399795</v>
      </c>
      <c r="AG82" s="11" t="n">
        <f aca="false">Waterfall!AG28*AG81/(AG36+AG51+AG66+AG81+AG96+0.000000001)+Waterfall!AG29</f>
        <v>9.86400962848871</v>
      </c>
      <c r="AH82" s="11" t="n">
        <f aca="false">Waterfall!AH28*AH81/(AH36+AH51+AH66+AH81+AH96+0.000000001)+Waterfall!AH29</f>
        <v>11.2174730985755</v>
      </c>
      <c r="AI82" s="11" t="n">
        <f aca="false">Waterfall!AI28*AI81/(AI36+AI51+AI66+AI81+AI96+0.000000001)+Waterfall!AI29</f>
        <v>12.061136975482</v>
      </c>
      <c r="AJ82" s="11" t="n">
        <f aca="false">Waterfall!AJ28*AJ81/(AJ36+AJ51+AJ66+AJ81+AJ96+0.000000001)+Waterfall!AJ29</f>
        <v>13.9007318312843</v>
      </c>
      <c r="AK82" s="11" t="n">
        <f aca="false">Waterfall!AK28*AK81/(AK36+AK51+AK66+AK81+AK96+0.000000001)+Waterfall!AK29</f>
        <v>0.805009231518923</v>
      </c>
      <c r="AL82" s="11" t="n">
        <f aca="false">Waterfall!AL28*AL81/(AL36+AL51+AL66+AL81+AL96+0.000000001)+Waterfall!AL29</f>
        <v>0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240.637270706254</v>
      </c>
      <c r="P83" s="11" t="n">
        <f aca="false">IF(Time!P29=1,INDEX(Funding!$J$64:$BJ$64,1,Time!$F$13),Time!P30*(P81-P82))</f>
        <v>234.751179081972</v>
      </c>
      <c r="Q83" s="11" t="n">
        <f aca="false">IF(Time!Q29=1,INDEX(Funding!$J$64:$BJ$64,1,Time!$F$13),Time!Q30*(Q81-Q82))</f>
        <v>228.615977876729</v>
      </c>
      <c r="R83" s="11" t="n">
        <f aca="false">IF(Time!R29=1,INDEX(Funding!$J$64:$BJ$64,1,Time!$F$13),Time!R30*(R81-R82))</f>
        <v>222.178564565465</v>
      </c>
      <c r="S83" s="11" t="n">
        <f aca="false">IF(Time!S29=1,INDEX(Funding!$J$64:$BJ$64,1,Time!$F$13),Time!S30*(S81-S82))</f>
        <v>215.551451098191</v>
      </c>
      <c r="T83" s="11" t="n">
        <f aca="false">IF(Time!T29=1,INDEX(Funding!$J$64:$BJ$64,1,Time!$F$13),Time!T30*(T81-T82))</f>
        <v>208.619492786242</v>
      </c>
      <c r="U83" s="11" t="n">
        <f aca="false">IF(Time!U29=1,INDEX(Funding!$J$64:$BJ$64,1,Time!$F$13),Time!U30*(U81-U82))</f>
        <v>201.466462120587</v>
      </c>
      <c r="V83" s="11" t="n">
        <f aca="false">IF(Time!V29=1,INDEX(Funding!$J$64:$BJ$64,1,Time!$F$13),Time!V30*(V81-V82))</f>
        <v>193.846129015324</v>
      </c>
      <c r="W83" s="11" t="n">
        <f aca="false">IF(Time!W29=1,INDEX(Funding!$J$64:$BJ$64,1,Time!$F$13),Time!W30*(W81-W82))</f>
        <v>185.992847003866</v>
      </c>
      <c r="X83" s="11" t="n">
        <f aca="false">IF(Time!X29=1,INDEX(Funding!$J$64:$BJ$64,1,Time!$F$13),Time!X30*(X81-X82))</f>
        <v>178.357554300286</v>
      </c>
      <c r="Y83" s="11" t="n">
        <f aca="false">IF(Time!Y29=1,INDEX(Funding!$J$64:$BJ$64,1,Time!$F$13),Time!Y30*(Y81-Y82))</f>
        <v>170.718668813733</v>
      </c>
      <c r="Z83" s="11" t="n">
        <f aca="false">IF(Time!Z29=1,INDEX(Funding!$J$64:$BJ$64,1,Time!$F$13),Time!Z30*(Z81-Z82))</f>
        <v>162.763319923579</v>
      </c>
      <c r="AA83" s="11" t="n">
        <f aca="false">IF(Time!AA29=1,INDEX(Funding!$J$64:$BJ$64,1,Time!$F$13),Time!AA30*(AA81-AA82))</f>
        <v>148.568085007484</v>
      </c>
      <c r="AB83" s="11" t="n">
        <f aca="false">IF(Time!AB29=1,INDEX(Funding!$J$64:$BJ$64,1,Time!$F$13),Time!AB30*(AB81-AB82))</f>
        <v>133.329157098822</v>
      </c>
      <c r="AC83" s="11" t="n">
        <f aca="false">IF(Time!AC29=1,INDEX(Funding!$J$64:$BJ$64,1,Time!$F$13),Time!AC30*(AC81-AC82))</f>
        <v>118.580231432368</v>
      </c>
      <c r="AD83" s="11" t="n">
        <f aca="false">IF(Time!AD29=1,INDEX(Funding!$J$64:$BJ$64,1,Time!$F$13),Time!AD30*(AD81-AD82))</f>
        <v>102.226186265937</v>
      </c>
      <c r="AE83" s="11" t="n">
        <f aca="false">IF(Time!AE29=1,INDEX(Funding!$J$64:$BJ$64,1,Time!$F$13),Time!AE30*(AE81-AE82))</f>
        <v>85.5470696660958</v>
      </c>
      <c r="AF83" s="11" t="n">
        <f aca="false">IF(Time!AF29=1,INDEX(Funding!$J$64:$BJ$64,1,Time!$F$13),Time!AF30*(AF81-AF82))</f>
        <v>68.4786755052469</v>
      </c>
      <c r="AG83" s="11" t="n">
        <f aca="false">IF(Time!AG29=1,INDEX(Funding!$J$64:$BJ$64,1,Time!$F$13),Time!AG30*(AG81-AG82))</f>
        <v>51.7981356825013</v>
      </c>
      <c r="AH83" s="11" t="n">
        <f aca="false">IF(Time!AH29=1,INDEX(Funding!$J$64:$BJ$64,1,Time!$F$13),Time!AH30*(AH81-AH82))</f>
        <v>34.5671044696709</v>
      </c>
      <c r="AI83" s="11" t="n">
        <f aca="false">IF(Time!AI29=1,INDEX(Funding!$J$64:$BJ$64,1,Time!$F$13),Time!AI30*(AI81-AI82))</f>
        <v>17.8324523460271</v>
      </c>
      <c r="AJ83" s="11" t="n">
        <f aca="false">IF(Time!AJ29=1,INDEX(Funding!$J$64:$BJ$64,1,Time!$F$13),Time!AJ30*(AJ81-AJ82))</f>
        <v>1.00923077643154</v>
      </c>
      <c r="AK83" s="11" t="n">
        <f aca="false">IF(Time!AK29=1,INDEX(Funding!$J$64:$BJ$64,1,Time!$F$13),Time!AK30*(AK81-AK82))</f>
        <v>0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1.74223968585352E-011</v>
      </c>
      <c r="Q85" s="11" t="n">
        <f aca="false">Time!Q30*P98</f>
        <v>1.69962375029085E-011</v>
      </c>
      <c r="R85" s="11" t="n">
        <f aca="false">Time!R30*Q98</f>
        <v>1.6552042346061E-011</v>
      </c>
      <c r="S85" s="11" t="n">
        <f aca="false">Time!S30*R98</f>
        <v>1.60859667081431E-011</v>
      </c>
      <c r="T85" s="11" t="n">
        <f aca="false">Time!T30*S98</f>
        <v>1.56061565751802E-011</v>
      </c>
      <c r="U85" s="11" t="n">
        <f aca="false">Time!U30*T98</f>
        <v>1.51042753480405E-011</v>
      </c>
      <c r="V85" s="11" t="n">
        <f aca="false">Time!V30*U98</f>
        <v>1.45863882450471E-011</v>
      </c>
      <c r="W85" s="11" t="n">
        <f aca="false">Time!W30*V98</f>
        <v>1.40346679435141E-011</v>
      </c>
      <c r="X85" s="11" t="n">
        <f aca="false">Time!X30*W98</f>
        <v>1.3466081890971E-011</v>
      </c>
      <c r="Y85" s="11" t="n">
        <f aca="false">Time!Y30*X98</f>
        <v>1.29132784984524E-011</v>
      </c>
      <c r="Z85" s="11" t="n">
        <f aca="false">Time!Z30*Y98</f>
        <v>1.23602149845876E-011</v>
      </c>
      <c r="AA85" s="11" t="n">
        <f aca="false">Time!AA30*Z98</f>
        <v>1.17842391804006E-011</v>
      </c>
      <c r="AB85" s="11" t="n">
        <f aca="false">Time!AB30*AA98</f>
        <v>1.11914549582001E-011</v>
      </c>
      <c r="AC85" s="11" t="n">
        <f aca="false">Time!AC30*AB98</f>
        <v>1.0570350891711E-011</v>
      </c>
      <c r="AD85" s="11" t="n">
        <f aca="false">Time!AD30*AC98</f>
        <v>9.9286706063267E-012</v>
      </c>
      <c r="AE85" s="11" t="n">
        <f aca="false">Time!AE30*AD98</f>
        <v>9.22800256082339E-012</v>
      </c>
      <c r="AF85" s="11" t="n">
        <f aca="false">Time!AF30*AE98</f>
        <v>8.49721942481516E-012</v>
      </c>
      <c r="AG85" s="11" t="n">
        <f aca="false">Time!AG30*AF98</f>
        <v>7.74079911049483E-012</v>
      </c>
      <c r="AH85" s="11" t="n">
        <f aca="false">Time!AH30*AG98</f>
        <v>6.9702615603005E-012</v>
      </c>
      <c r="AI85" s="11" t="n">
        <f aca="false">Time!AI30*AH98</f>
        <v>6.16104183815933E-012</v>
      </c>
      <c r="AJ85" s="11" t="n">
        <f aca="false">Time!AJ30*AI98</f>
        <v>5.32806138460819E-012</v>
      </c>
      <c r="AK85" s="11" t="n">
        <f aca="false">Time!AK30*AJ98</f>
        <v>4.45486658114198E-012</v>
      </c>
      <c r="AL85" s="11" t="n">
        <f aca="false">Time!AL30*AK98</f>
        <v>3.55340800811153E-012</v>
      </c>
      <c r="AM85" s="11" t="n">
        <f aca="false">Time!AM30*AL98</f>
        <v>2.59755654477251E-012</v>
      </c>
      <c r="AN85" s="11" t="n">
        <f aca="false">Time!AN30*AM98</f>
        <v>1.62183774050692E-012</v>
      </c>
      <c r="AO85" s="11" t="n">
        <f aca="false">Time!AO30*AN98</f>
        <v>8.16881310041973E-013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1.0768444729834E-011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6.90654784622306E-013</v>
      </c>
      <c r="Q87" s="11" t="n">
        <f aca="false">Q85*Q14</f>
        <v>6.64598839154006E-013</v>
      </c>
      <c r="R87" s="11" t="n">
        <f aca="false">R85*R14</f>
        <v>6.57957170105244E-013</v>
      </c>
      <c r="S87" s="11" t="n">
        <f aca="false">S85*S14</f>
        <v>6.29867474412953E-013</v>
      </c>
      <c r="T87" s="11" t="n">
        <f aca="false">T85*T14</f>
        <v>6.21208264527241E-013</v>
      </c>
      <c r="U87" s="11" t="n">
        <f aca="false">U85*U14</f>
        <v>5.9469559851995E-013</v>
      </c>
      <c r="V87" s="11" t="n">
        <f aca="false">V85*V14</f>
        <v>5.80616046223515E-013</v>
      </c>
      <c r="W87" s="11" t="n">
        <f aca="false">W85*W14</f>
        <v>5.49546136218885E-013</v>
      </c>
      <c r="X87" s="11" t="n">
        <f aca="false">X85*X14</f>
        <v>5.36021878364063E-013</v>
      </c>
      <c r="Y87" s="11" t="n">
        <f aca="false">Y85*Y14</f>
        <v>5.27278335535825E-013</v>
      </c>
      <c r="Z87" s="11" t="n">
        <f aca="false">Z85*Z14</f>
        <v>5.13060621580985E-013</v>
      </c>
      <c r="AA87" s="11" t="n">
        <f aca="false">AA85*AA14</f>
        <v>4.8117710938724E-013</v>
      </c>
      <c r="AB87" s="11" t="n">
        <f aca="false">AB85*AB14</f>
        <v>4.6454651835826E-013</v>
      </c>
      <c r="AC87" s="11" t="n">
        <f aca="false">AC85*AC14</f>
        <v>4.33995900933962E-013</v>
      </c>
      <c r="AD87" s="11" t="n">
        <f aca="false">AD85*AD14</f>
        <v>4.12129555926556E-013</v>
      </c>
      <c r="AE87" s="11" t="n">
        <f aca="false">AE85*AE14</f>
        <v>3.76800193008649E-013</v>
      </c>
      <c r="AF87" s="11" t="n">
        <f aca="false">AF85*AF14</f>
        <v>3.52711395816483E-013</v>
      </c>
      <c r="AG87" s="11" t="n">
        <f aca="false">AG85*AG14</f>
        <v>3.29047322070231E-013</v>
      </c>
      <c r="AH87" s="11" t="n">
        <f aca="false">AH85*AH14</f>
        <v>3.01204105700416E-013</v>
      </c>
      <c r="AI87" s="11" t="n">
        <f aca="false">AI85*AI14</f>
        <v>2.61894707390151E-013</v>
      </c>
      <c r="AJ87" s="11" t="n">
        <f aca="false">AJ85*AJ14</f>
        <v>2.30240135263826E-013</v>
      </c>
      <c r="AK87" s="11" t="n">
        <f aca="false">AK85*AK14</f>
        <v>1.9041452727281E-013</v>
      </c>
      <c r="AL87" s="11" t="n">
        <f aca="false">AL85*AL14</f>
        <v>1.53552499000596E-013</v>
      </c>
      <c r="AM87" s="11" t="n">
        <f aca="false">AM85*AM14</f>
        <v>1.1041741463418E-013</v>
      </c>
      <c r="AN87" s="11" t="n">
        <f aca="false">AN85*AN14</f>
        <v>7.00840538040743E-014</v>
      </c>
      <c r="AO87" s="11" t="n">
        <f aca="false">AO85*AO14</f>
        <v>3.47241420015809E-014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1.74223968585352E-011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4.26159355626734E-013</v>
      </c>
      <c r="Q88" s="11" t="n">
        <f aca="false">Time!Q30*(Q85-Q86)*Q19</f>
        <v>4.44195156847443E-013</v>
      </c>
      <c r="R88" s="11" t="n">
        <f aca="false">Time!R30*(R85-R86)*R19</f>
        <v>4.66075637917937E-013</v>
      </c>
      <c r="S88" s="11" t="n">
        <f aca="false">Time!S30*(S85-S86)*S19</f>
        <v>4.79810132962856E-013</v>
      </c>
      <c r="T88" s="11" t="n">
        <f aca="false">Time!T30*(T85-T86)*T19</f>
        <v>5.01881227139704E-013</v>
      </c>
      <c r="U88" s="11" t="n">
        <f aca="false">Time!U30*(U85-U86)*U19</f>
        <v>5.17887102993425E-013</v>
      </c>
      <c r="V88" s="11" t="n">
        <f aca="false">Time!V30*(V85-V86)*V19</f>
        <v>5.5172030153301E-013</v>
      </c>
      <c r="W88" s="11" t="n">
        <f aca="false">Time!W30*(W85-W86)*W19</f>
        <v>5.68586052543131E-013</v>
      </c>
      <c r="X88" s="11" t="n">
        <f aca="false">Time!X30*(X85-X86)*X19</f>
        <v>5.52803392518604E-013</v>
      </c>
      <c r="Y88" s="11" t="n">
        <f aca="false">Time!Y30*(Y85-Y86)*Y19</f>
        <v>5.53063513864796E-013</v>
      </c>
      <c r="Z88" s="11" t="n">
        <f aca="false">Time!Z30*(Z85-Z86)*Z19</f>
        <v>5.75975804186915E-013</v>
      </c>
      <c r="AA88" s="11" t="n">
        <f aca="false">Time!AA30*(AA85-AA86)*AA19</f>
        <v>5.92784222200547E-013</v>
      </c>
      <c r="AB88" s="11" t="n">
        <f aca="false">Time!AB30*(AB85-AB86)*AB19</f>
        <v>6.21104066489067E-013</v>
      </c>
      <c r="AC88" s="11" t="n">
        <f aca="false">Time!AC30*(AC85-AC86)*AC19</f>
        <v>6.41680285384333E-013</v>
      </c>
      <c r="AD88" s="11" t="n">
        <f aca="false">Time!AD30*(AD85-AD86)*AD19</f>
        <v>7.00668045503304E-013</v>
      </c>
      <c r="AE88" s="11" t="n">
        <f aca="false">Time!AE30*(AE85-AE86)*AE19</f>
        <v>7.30783136008236E-013</v>
      </c>
      <c r="AF88" s="11" t="n">
        <f aca="false">Time!AF30*(AF85-AF86)*AF19</f>
        <v>7.56420314320331E-013</v>
      </c>
      <c r="AG88" s="11" t="n">
        <f aca="false">Time!AG30*(AG85-AG86)*AG19</f>
        <v>7.70537550194328E-013</v>
      </c>
      <c r="AH88" s="11" t="n">
        <f aca="false">Time!AH30*(AH85-AH86)*AH19</f>
        <v>8.09219722141165E-013</v>
      </c>
      <c r="AI88" s="11" t="n">
        <f aca="false">Time!AI30*(AI85-AI86)*AI19</f>
        <v>8.32980453551142E-013</v>
      </c>
      <c r="AJ88" s="11" t="n">
        <f aca="false">Time!AJ30*(AJ85-AJ86)*AJ19</f>
        <v>8.73194803466208E-013</v>
      </c>
      <c r="AK88" s="11" t="n">
        <f aca="false">Time!AK30*(AK85-AK86)*AK19</f>
        <v>9.01458573030451E-013</v>
      </c>
      <c r="AL88" s="11" t="n">
        <f aca="false">Time!AL30*(AL85-AL86)*AL19</f>
        <v>9.55851463339023E-013</v>
      </c>
      <c r="AM88" s="11" t="n">
        <f aca="false">Time!AM30*(AM85-AM86)*AM19</f>
        <v>9.7571880426559E-013</v>
      </c>
      <c r="AN88" s="11" t="n">
        <f aca="false">Time!AN30*(AN85-AN86)*AN19</f>
        <v>8.04956430464946E-013</v>
      </c>
      <c r="AO88" s="11" t="n">
        <f aca="false">Time!AO30*(AO85-AO86)*AO19</f>
        <v>8.16881310041973E-013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1.74223968585352E-011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4.26159355626734E-013</v>
      </c>
      <c r="Q92" s="11" t="n">
        <f aca="false">Q88-Q89+Q91</f>
        <v>4.44195156847443E-013</v>
      </c>
      <c r="R92" s="11" t="n">
        <f aca="false">R88-R89+R91</f>
        <v>4.66075637917937E-013</v>
      </c>
      <c r="S92" s="11" t="n">
        <f aca="false">S88-S89+S91</f>
        <v>4.79810132962856E-013</v>
      </c>
      <c r="T92" s="11" t="n">
        <f aca="false">T88-T89+T91</f>
        <v>5.01881227139704E-013</v>
      </c>
      <c r="U92" s="11" t="n">
        <f aca="false">U88-U89+U91</f>
        <v>5.17887102993425E-013</v>
      </c>
      <c r="V92" s="11" t="n">
        <f aca="false">V88-V89+V91</f>
        <v>5.5172030153301E-013</v>
      </c>
      <c r="W92" s="11" t="n">
        <f aca="false">W88-W89+W91</f>
        <v>5.68586052543131E-013</v>
      </c>
      <c r="X92" s="11" t="n">
        <f aca="false">X88-X89+X91</f>
        <v>5.52803392518604E-013</v>
      </c>
      <c r="Y92" s="11" t="n">
        <f aca="false">Y88-Y89+Y91</f>
        <v>5.53063513864796E-013</v>
      </c>
      <c r="Z92" s="11" t="n">
        <f aca="false">Z88-Z89+Z91</f>
        <v>5.75975804186915E-013</v>
      </c>
      <c r="AA92" s="11" t="n">
        <f aca="false">AA88-AA89+AA91</f>
        <v>5.92784222200547E-013</v>
      </c>
      <c r="AB92" s="11" t="n">
        <f aca="false">AB88-AB89+AB91</f>
        <v>6.21104066489067E-013</v>
      </c>
      <c r="AC92" s="11" t="n">
        <f aca="false">AC88-AC89+AC91</f>
        <v>6.41680285384333E-013</v>
      </c>
      <c r="AD92" s="11" t="n">
        <f aca="false">AD88-AD89+AD91</f>
        <v>7.00668045503304E-013</v>
      </c>
      <c r="AE92" s="11" t="n">
        <f aca="false">AE88-AE89+AE91</f>
        <v>7.30783136008236E-013</v>
      </c>
      <c r="AF92" s="11" t="n">
        <f aca="false">AF88-AF89+AF91</f>
        <v>7.56420314320331E-013</v>
      </c>
      <c r="AG92" s="11" t="n">
        <f aca="false">AG88-AG89+AG91</f>
        <v>7.70537550194328E-013</v>
      </c>
      <c r="AH92" s="11" t="n">
        <f aca="false">AH88-AH89+AH91</f>
        <v>8.09219722141165E-013</v>
      </c>
      <c r="AI92" s="11" t="n">
        <f aca="false">AI88-AI89+AI91</f>
        <v>8.32980453551142E-013</v>
      </c>
      <c r="AJ92" s="11" t="n">
        <f aca="false">AJ88-AJ89+AJ91</f>
        <v>8.73194803466208E-013</v>
      </c>
      <c r="AK92" s="11" t="n">
        <f aca="false">AK88-AK89+AK91</f>
        <v>9.01458573030451E-013</v>
      </c>
      <c r="AL92" s="11" t="n">
        <f aca="false">AL88-AL89+AL91</f>
        <v>9.55851463339023E-013</v>
      </c>
      <c r="AM92" s="11" t="n">
        <f aca="false">AM88-AM89+AM91</f>
        <v>9.7571880426559E-013</v>
      </c>
      <c r="AN92" s="11" t="n">
        <f aca="false">AN88-AN89+AN91</f>
        <v>8.04956430464946E-013</v>
      </c>
      <c r="AO92" s="11" t="n">
        <f aca="false">AO88-AO89+AO91</f>
        <v>8.16881310041973E-013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1.69962375029085E-011</v>
      </c>
      <c r="Q96" s="11" t="n">
        <f aca="false">Q85-Q92-Q93-Q94</f>
        <v>1.6552042346061E-011</v>
      </c>
      <c r="R96" s="11" t="n">
        <f aca="false">R85-R92-R93-R94</f>
        <v>1.60859667081431E-011</v>
      </c>
      <c r="S96" s="11" t="n">
        <f aca="false">S85-S92-S93-S94</f>
        <v>1.56061565751802E-011</v>
      </c>
      <c r="T96" s="11" t="n">
        <f aca="false">T85-T92-T93-T94</f>
        <v>1.51042753480405E-011</v>
      </c>
      <c r="U96" s="11" t="n">
        <f aca="false">U85-U92-U93-U94</f>
        <v>1.45863882450471E-011</v>
      </c>
      <c r="V96" s="11" t="n">
        <f aca="false">V85-V92-V93-V94</f>
        <v>1.40346679435141E-011</v>
      </c>
      <c r="W96" s="11" t="n">
        <f aca="false">W85-W92-W93-W94</f>
        <v>1.3466081890971E-011</v>
      </c>
      <c r="X96" s="11" t="n">
        <f aca="false">X85-X92-X93-X94</f>
        <v>1.29132784984524E-011</v>
      </c>
      <c r="Y96" s="11" t="n">
        <f aca="false">Y85-Y92-Y93-Y94</f>
        <v>1.23602149845876E-011</v>
      </c>
      <c r="Z96" s="11" t="n">
        <f aca="false">Z85-Z92-Z93-Z94</f>
        <v>1.17842391804006E-011</v>
      </c>
      <c r="AA96" s="11" t="n">
        <f aca="false">AA85-AA92-AA93-AA94</f>
        <v>1.11914549582001E-011</v>
      </c>
      <c r="AB96" s="11" t="n">
        <f aca="false">AB85-AB92-AB93-AB94</f>
        <v>1.0570350891711E-011</v>
      </c>
      <c r="AC96" s="11" t="n">
        <f aca="false">AC85-AC92-AC93-AC94</f>
        <v>9.9286706063267E-012</v>
      </c>
      <c r="AD96" s="11" t="n">
        <f aca="false">AD85-AD92-AD93-AD94</f>
        <v>9.22800256082339E-012</v>
      </c>
      <c r="AE96" s="11" t="n">
        <f aca="false">AE85-AE92-AE93-AE94</f>
        <v>8.49721942481516E-012</v>
      </c>
      <c r="AF96" s="11" t="n">
        <f aca="false">AF85-AF92-AF93-AF94</f>
        <v>7.74079911049483E-012</v>
      </c>
      <c r="AG96" s="11" t="n">
        <f aca="false">AG85-AG92-AG93-AG94</f>
        <v>6.9702615603005E-012</v>
      </c>
      <c r="AH96" s="11" t="n">
        <f aca="false">AH85-AH92-AH93-AH94</f>
        <v>6.16104183815933E-012</v>
      </c>
      <c r="AI96" s="11" t="n">
        <f aca="false">AI85-AI92-AI93-AI94</f>
        <v>5.32806138460819E-012</v>
      </c>
      <c r="AJ96" s="11" t="n">
        <f aca="false">AJ85-AJ92-AJ93-AJ94</f>
        <v>4.45486658114198E-012</v>
      </c>
      <c r="AK96" s="11" t="n">
        <f aca="false">AK85-AK92-AK93-AK94</f>
        <v>3.55340800811153E-012</v>
      </c>
      <c r="AL96" s="11" t="n">
        <f aca="false">AL85-AL92-AL93-AL94</f>
        <v>2.59755654477251E-012</v>
      </c>
      <c r="AM96" s="11" t="n">
        <f aca="false">AM85-AM92-AM93-AM94</f>
        <v>1.62183774050692E-012</v>
      </c>
      <c r="AN96" s="11" t="n">
        <f aca="false">AN85-AN92-AN93-AN94</f>
        <v>8.16881310041973E-013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1.74223968585352E-011</v>
      </c>
      <c r="P98" s="11" t="n">
        <f aca="false">IF(Time!P29=1,INDEX(Funding!$J$65:$BJ$65,1,Time!$F$13),Time!P30*(P96-P97))</f>
        <v>1.69962375029085E-011</v>
      </c>
      <c r="Q98" s="11" t="n">
        <f aca="false">IF(Time!Q29=1,INDEX(Funding!$J$65:$BJ$65,1,Time!$F$13),Time!Q30*(Q96-Q97))</f>
        <v>1.6552042346061E-011</v>
      </c>
      <c r="R98" s="11" t="n">
        <f aca="false">IF(Time!R29=1,INDEX(Funding!$J$65:$BJ$65,1,Time!$F$13),Time!R30*(R96-R97))</f>
        <v>1.60859667081431E-011</v>
      </c>
      <c r="S98" s="11" t="n">
        <f aca="false">IF(Time!S29=1,INDEX(Funding!$J$65:$BJ$65,1,Time!$F$13),Time!S30*(S96-S97))</f>
        <v>1.56061565751802E-011</v>
      </c>
      <c r="T98" s="11" t="n">
        <f aca="false">IF(Time!T29=1,INDEX(Funding!$J$65:$BJ$65,1,Time!$F$13),Time!T30*(T96-T97))</f>
        <v>1.51042753480405E-011</v>
      </c>
      <c r="U98" s="11" t="n">
        <f aca="false">IF(Time!U29=1,INDEX(Funding!$J$65:$BJ$65,1,Time!$F$13),Time!U30*(U96-U97))</f>
        <v>1.45863882450471E-011</v>
      </c>
      <c r="V98" s="11" t="n">
        <f aca="false">IF(Time!V29=1,INDEX(Funding!$J$65:$BJ$65,1,Time!$F$13),Time!V30*(V96-V97))</f>
        <v>1.40346679435141E-011</v>
      </c>
      <c r="W98" s="11" t="n">
        <f aca="false">IF(Time!W29=1,INDEX(Funding!$J$65:$BJ$65,1,Time!$F$13),Time!W30*(W96-W97))</f>
        <v>1.3466081890971E-011</v>
      </c>
      <c r="X98" s="11" t="n">
        <f aca="false">IF(Time!X29=1,INDEX(Funding!$J$65:$BJ$65,1,Time!$F$13),Time!X30*(X96-X97))</f>
        <v>1.29132784984524E-011</v>
      </c>
      <c r="Y98" s="11" t="n">
        <f aca="false">IF(Time!Y29=1,INDEX(Funding!$J$65:$BJ$65,1,Time!$F$13),Time!Y30*(Y96-Y97))</f>
        <v>1.23602149845876E-011</v>
      </c>
      <c r="Z98" s="11" t="n">
        <f aca="false">IF(Time!Z29=1,INDEX(Funding!$J$65:$BJ$65,1,Time!$F$13),Time!Z30*(Z96-Z97))</f>
        <v>1.17842391804006E-011</v>
      </c>
      <c r="AA98" s="11" t="n">
        <f aca="false">IF(Time!AA29=1,INDEX(Funding!$J$65:$BJ$65,1,Time!$F$13),Time!AA30*(AA96-AA97))</f>
        <v>1.11914549582001E-011</v>
      </c>
      <c r="AB98" s="11" t="n">
        <f aca="false">IF(Time!AB29=1,INDEX(Funding!$J$65:$BJ$65,1,Time!$F$13),Time!AB30*(AB96-AB97))</f>
        <v>1.0570350891711E-011</v>
      </c>
      <c r="AC98" s="11" t="n">
        <f aca="false">IF(Time!AC29=1,INDEX(Funding!$J$65:$BJ$65,1,Time!$F$13),Time!AC30*(AC96-AC97))</f>
        <v>9.9286706063267E-012</v>
      </c>
      <c r="AD98" s="11" t="n">
        <f aca="false">IF(Time!AD29=1,INDEX(Funding!$J$65:$BJ$65,1,Time!$F$13),Time!AD30*(AD96-AD97))</f>
        <v>9.22800256082339E-012</v>
      </c>
      <c r="AE98" s="11" t="n">
        <f aca="false">IF(Time!AE29=1,INDEX(Funding!$J$65:$BJ$65,1,Time!$F$13),Time!AE30*(AE96-AE97))</f>
        <v>8.49721942481516E-012</v>
      </c>
      <c r="AF98" s="11" t="n">
        <f aca="false">IF(Time!AF29=1,INDEX(Funding!$J$65:$BJ$65,1,Time!$F$13),Time!AF30*(AF96-AF97))</f>
        <v>7.74079911049483E-012</v>
      </c>
      <c r="AG98" s="11" t="n">
        <f aca="false">IF(Time!AG29=1,INDEX(Funding!$J$65:$BJ$65,1,Time!$F$13),Time!AG30*(AG96-AG97))</f>
        <v>6.9702615603005E-012</v>
      </c>
      <c r="AH98" s="11" t="n">
        <f aca="false">IF(Time!AH29=1,INDEX(Funding!$J$65:$BJ$65,1,Time!$F$13),Time!AH30*(AH96-AH97))</f>
        <v>6.16104183815933E-012</v>
      </c>
      <c r="AI98" s="11" t="n">
        <f aca="false">IF(Time!AI29=1,INDEX(Funding!$J$65:$BJ$65,1,Time!$F$13),Time!AI30*(AI96-AI97))</f>
        <v>5.32806138460819E-012</v>
      </c>
      <c r="AJ98" s="11" t="n">
        <f aca="false">IF(Time!AJ29=1,INDEX(Funding!$J$65:$BJ$65,1,Time!$F$13),Time!AJ30*(AJ96-AJ97))</f>
        <v>4.45486658114198E-012</v>
      </c>
      <c r="AK98" s="11" t="n">
        <f aca="false">IF(Time!AK29=1,INDEX(Funding!$J$65:$BJ$65,1,Time!$F$13),Time!AK30*(AK96-AK97))</f>
        <v>3.55340800811153E-012</v>
      </c>
      <c r="AL98" s="11" t="n">
        <f aca="false">IF(Time!AL29=1,INDEX(Funding!$J$65:$BJ$65,1,Time!$F$13),Time!AL30*(AL96-AL97))</f>
        <v>2.59755654477251E-012</v>
      </c>
      <c r="AM98" s="11" t="n">
        <f aca="false">IF(Time!AM29=1,INDEX(Funding!$J$65:$BJ$65,1,Time!$F$13),Time!AM30*(AM96-AM97))</f>
        <v>1.62183774050692E-012</v>
      </c>
      <c r="AN98" s="11" t="n">
        <f aca="false">IF(Time!AN29=1,INDEX(Funding!$J$65:$BJ$65,1,Time!$F$13),Time!AN30*(AN96-AN97))</f>
        <v>8.16881310041973E-013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IF(Time!J17&gt;15,(1+Inputs!$F$199/200)^-(Time!J17-15),0)</f>
        <v>0</v>
      </c>
      <c r="K106" s="10" t="n">
        <f aca="false">IF(Time!K17&gt;15,(1+Inputs!$F$199/200)^-(Time!K17-15),0)</f>
        <v>0</v>
      </c>
      <c r="L106" s="10" t="n">
        <f aca="false">IF(Time!L17&gt;15,(1+Inputs!$F$199/200)^-(Time!L17-15),0)</f>
        <v>0</v>
      </c>
      <c r="M106" s="10" t="n">
        <f aca="false">IF(Time!M17&gt;15,(1+Inputs!$F$199/200)^-(Time!M17-15),0)</f>
        <v>0</v>
      </c>
      <c r="N106" s="10" t="n">
        <f aca="false">IF(Time!N17&gt;15,(1+Inputs!$F$199/200)^-(Time!N17-15),0)</f>
        <v>0</v>
      </c>
      <c r="O106" s="10" t="n">
        <f aca="false">IF(Time!O17&gt;15,(1+Inputs!$F$199/200)^-(Time!O17-15),0)</f>
        <v>0</v>
      </c>
      <c r="P106" s="10" t="n">
        <f aca="false">IF(Time!P17&gt;15,(1+Inputs!$F$199/200)^-(Time!P17-15),0)</f>
        <v>0</v>
      </c>
      <c r="Q106" s="10" t="n">
        <f aca="false">IF(Time!Q17&gt;15,(1+Inputs!$F$199/200)^-(Time!Q17-15),0)</f>
        <v>0</v>
      </c>
      <c r="R106" s="10" t="n">
        <f aca="false">IF(Time!R17&gt;15,(1+Inputs!$F$199/200)^-(Time!R17-15),0)</f>
        <v>0</v>
      </c>
      <c r="S106" s="10" t="n">
        <f aca="false">IF(Time!S17&gt;15,(1+Inputs!$F$199/200)^-(Time!S17-15),0)</f>
        <v>0</v>
      </c>
      <c r="T106" s="10" t="n">
        <f aca="false">IF(Time!T17&gt;15,(1+Inputs!$F$199/200)^-(Time!T17-15),0)</f>
        <v>0</v>
      </c>
      <c r="U106" s="10" t="n">
        <f aca="false">IF(Time!U17&gt;15,(1+Inputs!$F$199/200)^-(Time!U17-15),0)</f>
        <v>0</v>
      </c>
      <c r="V106" s="10" t="n">
        <f aca="false">IF(Time!V17&gt;15,(1+Inputs!$F$199/200)^-(Time!V17-15),0)</f>
        <v>0</v>
      </c>
      <c r="W106" s="10" t="n">
        <f aca="false">IF(Time!W17&gt;15,(1+Inputs!$F$199/200)^-(Time!W17-15),0)</f>
        <v>0</v>
      </c>
      <c r="X106" s="10" t="n">
        <f aca="false">IF(Time!X17&gt;15,(1+Inputs!$F$199/200)^-(Time!X17-15),0)</f>
        <v>0</v>
      </c>
      <c r="Y106" s="10" t="n">
        <f aca="false">IF(Time!Y17&gt;15,(1+Inputs!$F$199/200)^-(Time!Y17-15),0)</f>
        <v>0.981932443047918</v>
      </c>
      <c r="Z106" s="10" t="n">
        <f aca="false">IF(Time!Z17&gt;15,(1+Inputs!$F$199/200)^-(Time!Z17-15),0)</f>
        <v>0.964191322710053</v>
      </c>
      <c r="AA106" s="10" t="n">
        <f aca="false">IF(Time!AA17&gt;15,(1+Inputs!$F$199/200)^-(Time!AA17-15),0)</f>
        <v>0.946770741074287</v>
      </c>
      <c r="AB106" s="10" t="n">
        <f aca="false">IF(Time!AB17&gt;15,(1+Inputs!$F$199/200)^-(Time!AB17-15),0)</f>
        <v>0.929664906789362</v>
      </c>
      <c r="AC106" s="10" t="n">
        <f aca="false">IF(Time!AC17&gt;15,(1+Inputs!$F$199/200)^-(Time!AC17-15),0)</f>
        <v>0.912868133139594</v>
      </c>
      <c r="AD106" s="10" t="n">
        <f aca="false">IF(Time!AD17&gt;15,(1+Inputs!$F$199/200)^-(Time!AD17-15),0)</f>
        <v>0.896374836154354</v>
      </c>
      <c r="AE106" s="10" t="n">
        <f aca="false">IF(Time!AE17&gt;15,(1+Inputs!$F$199/200)^-(Time!AE17-15),0)</f>
        <v>0.880179532751722</v>
      </c>
      <c r="AF106" s="10" t="n">
        <f aca="false">IF(Time!AF17&gt;15,(1+Inputs!$F$199/200)^-(Time!AF17-15),0)</f>
        <v>0.864276838915674</v>
      </c>
      <c r="AG106" s="10" t="n">
        <f aca="false">IF(Time!AG17&gt;15,(1+Inputs!$F$199/200)^-(Time!AG17-15),0)</f>
        <v>0.8486614679062</v>
      </c>
      <c r="AH106" s="10" t="n">
        <f aca="false">IF(Time!AH17&gt;15,(1+Inputs!$F$199/200)^-(Time!AH17-15),0)</f>
        <v>0.833328228501767</v>
      </c>
      <c r="AI106" s="10" t="n">
        <f aca="false">IF(Time!AI17&gt;15,(1+Inputs!$F$199/200)^-(Time!AI17-15),0)</f>
        <v>0.818272023273534</v>
      </c>
      <c r="AJ106" s="10" t="n">
        <f aca="false">IF(Time!AJ17&gt;15,(1+Inputs!$F$199/200)^-(Time!AJ17-15),0)</f>
        <v>0.803487846890745</v>
      </c>
      <c r="AK106" s="10" t="n">
        <f aca="false">IF(Time!AK17&gt;15,(1+Inputs!$F$199/200)^-(Time!AK17-15),0)</f>
        <v>0.78897078445674</v>
      </c>
      <c r="AL106" s="10" t="n">
        <f aca="false">IF(Time!AL17&gt;15,(1+Inputs!$F$199/200)^-(Time!AL17-15),0)</f>
        <v>0.77471600987504</v>
      </c>
      <c r="AM106" s="10" t="n">
        <f aca="false">IF(Time!AM17&gt;15,(1+Inputs!$F$199/200)^-(Time!AM17-15),0)</f>
        <v>0.760718784244933</v>
      </c>
      <c r="AN106" s="10" t="n">
        <f aca="false">IF(Time!AN17&gt;15,(1+Inputs!$F$199/200)^-(Time!AN17-15),0)</f>
        <v>0.746974454286069</v>
      </c>
      <c r="AO106" s="10" t="n">
        <f aca="false">IF(Time!AO17&gt;15,(1+Inputs!$F$199/200)^-(Time!AO17-15),0)</f>
        <v>0.733478450791506</v>
      </c>
      <c r="AP106" s="10" t="n">
        <f aca="false">IF(Time!AP17&gt;15,(1+Inputs!$F$199/200)^-(Time!AP17-15),0)</f>
        <v>0.720226287108706</v>
      </c>
      <c r="AQ106" s="10" t="n">
        <f aca="false">IF(Time!AQ17&gt;15,(1+Inputs!$F$199/200)^-(Time!AQ17-15),0)</f>
        <v>0.707213557647983</v>
      </c>
      <c r="AR106" s="10" t="n">
        <f aca="false">IF(Time!AR17&gt;15,(1+Inputs!$F$199/200)^-(Time!AR17-15),0)</f>
        <v>0.694435936417893</v>
      </c>
      <c r="AS106" s="10" t="n">
        <f aca="false">IF(Time!AS17&gt;15,(1+Inputs!$F$199/200)^-(Time!AS17-15),0)</f>
        <v>0.681889175587091</v>
      </c>
      <c r="AT106" s="10" t="n">
        <f aca="false">IF(Time!AT17&gt;15,(1+Inputs!$F$199/200)^-(Time!AT17-15),0)</f>
        <v>0.669569104072163</v>
      </c>
      <c r="AU106" s="10" t="n">
        <f aca="false">IF(Time!AU17&gt;15,(1+Inputs!$F$199/200)^-(Time!AU17-15),0)</f>
        <v>0.657471626150985</v>
      </c>
      <c r="AV106" s="10" t="n">
        <f aca="false">IF(Time!AV17&gt;15,(1+Inputs!$F$199/200)^-(Time!AV17-15),0)</f>
        <v>0.645592720101125</v>
      </c>
      <c r="AW106" s="10" t="n">
        <f aca="false">IF(Time!AW17&gt;15,(1+Inputs!$F$199/200)^-(Time!AW17-15),0)</f>
        <v>0.633928436862848</v>
      </c>
      <c r="AX106" s="10" t="n">
        <f aca="false">IF(Time!AX17&gt;15,(1+Inputs!$F$199/200)^-(Time!AX17-15),0)</f>
        <v>0.622474898726284</v>
      </c>
      <c r="AY106" s="10" t="n">
        <f aca="false">IF(Time!AY17&gt;15,(1+Inputs!$F$199/200)^-(Time!AY17-15),0)</f>
        <v>0.611228298042306</v>
      </c>
      <c r="AZ106" s="10" t="n">
        <f aca="false">IF(Time!AZ17&gt;15,(1+Inputs!$F$199/200)^-(Time!AZ17-15),0)</f>
        <v>0.600184895956703</v>
      </c>
      <c r="BA106" s="10" t="n">
        <f aca="false">IF(Time!BA17&gt;15,(1+Inputs!$F$199/200)^-(Time!BA17-15),0)</f>
        <v>0.589341021167226</v>
      </c>
      <c r="BB106" s="10" t="n">
        <f aca="false">IF(Time!BB17&gt;15,(1+Inputs!$F$199/200)^-(Time!BB17-15),0)</f>
        <v>0.578693068703089</v>
      </c>
      <c r="BC106" s="10" t="n">
        <f aca="false">IF(Time!BC17&gt;15,(1+Inputs!$F$199/200)^-(Time!BC17-15),0)</f>
        <v>0.568237498726521</v>
      </c>
      <c r="BD106" s="10" t="n">
        <f aca="false">IF(Time!BD17&gt;15,(1+Inputs!$F$199/200)^-(Time!BD17-15),0)</f>
        <v>0.557970835355971</v>
      </c>
      <c r="BE106" s="10" t="n">
        <f aca="false">IF(Time!BE17&gt;15,(1+Inputs!$F$199/200)^-(Time!BE17-15),0)</f>
        <v>0.547889665510577</v>
      </c>
      <c r="BF106" s="10" t="n">
        <f aca="false">IF(Time!BF17&gt;15,(1+Inputs!$F$199/200)^-(Time!BF17-15),0)</f>
        <v>0.537990637775507</v>
      </c>
      <c r="BG106" s="10" t="n">
        <f aca="false">IF(Time!BG17&gt;15,(1+Inputs!$F$199/200)^-(Time!BG17-15),0)</f>
        <v>0.528270461287812</v>
      </c>
      <c r="BH106" s="10" t="n">
        <f aca="false">IF(Time!BH17&gt;15,(1+Inputs!$F$199/200)^-(Time!BH17-15),0)</f>
        <v>0.518725904642391</v>
      </c>
      <c r="BI106" s="10" t="n">
        <f aca="false">IF(Time!BI17&gt;15,(1+Inputs!$F$199/200)^-(Time!BI17-15),0)</f>
        <v>0.509353794817745</v>
      </c>
      <c r="BJ106" s="10" t="n">
        <f aca="false">IF(Time!BJ17&gt;15,(1+Inputs!$F$199/200)^-(Time!BJ17-15),0)</f>
        <v>0.500151016121117</v>
      </c>
      <c r="BK106" s="10" t="n">
        <f aca="false">IF(Time!BK17&gt;15,(1+Inputs!$F$199/200)^-(Time!BK17-15),0)</f>
        <v>0.491114509152707</v>
      </c>
      <c r="BL106" s="10" t="n">
        <f aca="false">IF(Time!BL17&gt;15,(1+Inputs!$F$199/200)^-(Time!BL17-15),0)</f>
        <v>0.482241269788597</v>
      </c>
      <c r="BM106" s="10" t="n">
        <f aca="false">IF(Time!BM17&gt;15,(1+Inputs!$F$199/200)^-(Time!BM17-15),0)</f>
        <v>0.473528348182047</v>
      </c>
      <c r="BN106" s="10" t="n">
        <f aca="false">IF(Time!BN17&gt;15,(1+Inputs!$F$199/200)^-(Time!BN17-15),0)</f>
        <v>0.464972847782843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IF(AND(Inputs!$F$49=1,Time!J17&gt;15),Inputs!$F$201,1)</f>
        <v>1</v>
      </c>
      <c r="K113" s="11" t="n">
        <f aca="false">IF(AND(Inputs!$F$49=1,Time!K17&gt;15),Inputs!$F$201,1)</f>
        <v>1</v>
      </c>
      <c r="L113" s="11" t="n">
        <f aca="false">IF(AND(Inputs!$F$49=1,Time!L17&gt;15),Inputs!$F$201,1)</f>
        <v>1</v>
      </c>
      <c r="M113" s="11" t="n">
        <f aca="false">IF(AND(Inputs!$F$49=1,Time!M17&gt;15),Inputs!$F$201,1)</f>
        <v>1</v>
      </c>
      <c r="N113" s="11" t="n">
        <f aca="false">IF(AND(Inputs!$F$49=1,Time!N17&gt;15),Inputs!$F$201,1)</f>
        <v>1</v>
      </c>
      <c r="O113" s="11" t="n">
        <f aca="false">IF(AND(Inputs!$F$49=1,Time!O17&gt;15),Inputs!$F$201,1)</f>
        <v>1</v>
      </c>
      <c r="P113" s="11" t="n">
        <f aca="false">IF(AND(Inputs!$F$49=1,Time!P17&gt;15),Inputs!$F$201,1)</f>
        <v>1</v>
      </c>
      <c r="Q113" s="11" t="n">
        <f aca="false">IF(AND(Inputs!$F$49=1,Time!Q17&gt;15),Inputs!$F$201,1)</f>
        <v>1</v>
      </c>
      <c r="R113" s="11" t="n">
        <f aca="false">IF(AND(Inputs!$F$49=1,Time!R17&gt;15),Inputs!$F$201,1)</f>
        <v>1</v>
      </c>
      <c r="S113" s="11" t="n">
        <f aca="false">IF(AND(Inputs!$F$49=1,Time!S17&gt;15),Inputs!$F$201,1)</f>
        <v>1</v>
      </c>
      <c r="T113" s="11" t="n">
        <f aca="false">IF(AND(Inputs!$F$49=1,Time!T17&gt;15),Inputs!$F$201,1)</f>
        <v>1</v>
      </c>
      <c r="U113" s="11" t="n">
        <f aca="false">IF(AND(Inputs!$F$49=1,Time!U17&gt;15),Inputs!$F$201,1)</f>
        <v>1</v>
      </c>
      <c r="V113" s="11" t="n">
        <f aca="false">IF(AND(Inputs!$F$49=1,Time!V17&gt;15),Inputs!$F$201,1)</f>
        <v>1</v>
      </c>
      <c r="W113" s="11" t="n">
        <f aca="false">IF(AND(Inputs!$F$49=1,Time!W17&gt;15),Inputs!$F$201,1)</f>
        <v>1</v>
      </c>
      <c r="X113" s="11" t="n">
        <f aca="false">IF(AND(Inputs!$F$49=1,Time!X17&gt;15),Inputs!$F$201,1)</f>
        <v>1</v>
      </c>
      <c r="Y113" s="11" t="n">
        <f aca="false">IF(AND(Inputs!$F$49=1,Time!Y17&gt;15),Inputs!$F$201,1)</f>
        <v>1</v>
      </c>
      <c r="Z113" s="11" t="n">
        <f aca="false">IF(AND(Inputs!$F$49=1,Time!Z17&gt;15),Inputs!$F$201,1)</f>
        <v>1</v>
      </c>
      <c r="AA113" s="11" t="n">
        <f aca="false">IF(AND(Inputs!$F$49=1,Time!AA17&gt;15),Inputs!$F$201,1)</f>
        <v>1</v>
      </c>
      <c r="AB113" s="11" t="n">
        <f aca="false">IF(AND(Inputs!$F$49=1,Time!AB17&gt;15),Inputs!$F$201,1)</f>
        <v>1</v>
      </c>
      <c r="AC113" s="11" t="n">
        <f aca="false">IF(AND(Inputs!$F$49=1,Time!AC17&gt;15),Inputs!$F$201,1)</f>
        <v>1</v>
      </c>
      <c r="AD113" s="11" t="n">
        <f aca="false">IF(AND(Inputs!$F$49=1,Time!AD17&gt;15),Inputs!$F$201,1)</f>
        <v>1</v>
      </c>
      <c r="AE113" s="11" t="n">
        <f aca="false">IF(AND(Inputs!$F$49=1,Time!AE17&gt;15),Inputs!$F$201,1)</f>
        <v>1</v>
      </c>
      <c r="AF113" s="11" t="n">
        <f aca="false">IF(AND(Inputs!$F$49=1,Time!AF17&gt;15),Inputs!$F$201,1)</f>
        <v>1</v>
      </c>
      <c r="AG113" s="11" t="n">
        <f aca="false">IF(AND(Inputs!$F$49=1,Time!AG17&gt;15),Inputs!$F$201,1)</f>
        <v>1</v>
      </c>
      <c r="AH113" s="11" t="n">
        <f aca="false">IF(AND(Inputs!$F$49=1,Time!AH17&gt;15),Inputs!$F$201,1)</f>
        <v>1</v>
      </c>
      <c r="AI113" s="11" t="n">
        <f aca="false">IF(AND(Inputs!$F$49=1,Time!AI17&gt;15),Inputs!$F$201,1)</f>
        <v>1</v>
      </c>
      <c r="AJ113" s="11" t="n">
        <f aca="false">IF(AND(Inputs!$F$49=1,Time!AJ17&gt;15),Inputs!$F$201,1)</f>
        <v>1</v>
      </c>
      <c r="AK113" s="11" t="n">
        <f aca="false">IF(AND(Inputs!$F$49=1,Time!AK17&gt;15),Inputs!$F$201,1)</f>
        <v>1</v>
      </c>
      <c r="AL113" s="11" t="n">
        <f aca="false">IF(AND(Inputs!$F$49=1,Time!AL17&gt;15),Inputs!$F$201,1)</f>
        <v>1</v>
      </c>
      <c r="AM113" s="11" t="n">
        <f aca="false">IF(AND(Inputs!$F$49=1,Time!AM17&gt;15),Inputs!$F$201,1)</f>
        <v>1</v>
      </c>
      <c r="AN113" s="11" t="n">
        <f aca="false">IF(AND(Inputs!$F$49=1,Time!AN17&gt;15),Inputs!$F$201,1)</f>
        <v>1</v>
      </c>
      <c r="AO113" s="11" t="n">
        <f aca="false">IF(AND(Inputs!$F$49=1,Time!AO17&gt;15),Inputs!$F$201,1)</f>
        <v>1</v>
      </c>
      <c r="AP113" s="11" t="n">
        <f aca="false">IF(AND(Inputs!$F$49=1,Time!AP17&gt;15),Inputs!$F$201,1)</f>
        <v>1</v>
      </c>
      <c r="AQ113" s="11" t="n">
        <f aca="false">IF(AND(Inputs!$F$49=1,Time!AQ17&gt;15),Inputs!$F$201,1)</f>
        <v>1</v>
      </c>
      <c r="AR113" s="11" t="n">
        <f aca="false">IF(AND(Inputs!$F$49=1,Time!AR17&gt;15),Inputs!$F$201,1)</f>
        <v>1</v>
      </c>
      <c r="AS113" s="11" t="n">
        <f aca="false">IF(AND(Inputs!$F$49=1,Time!AS17&gt;15),Inputs!$F$201,1)</f>
        <v>1</v>
      </c>
      <c r="AT113" s="11" t="n">
        <f aca="false">IF(AND(Inputs!$F$49=1,Time!AT17&gt;15),Inputs!$F$201,1)</f>
        <v>1</v>
      </c>
      <c r="AU113" s="11" t="n">
        <f aca="false">IF(AND(Inputs!$F$49=1,Time!AU17&gt;15),Inputs!$F$201,1)</f>
        <v>1</v>
      </c>
      <c r="AV113" s="11" t="n">
        <f aca="false">IF(AND(Inputs!$F$49=1,Time!AV17&gt;15),Inputs!$F$201,1)</f>
        <v>1</v>
      </c>
      <c r="AW113" s="11" t="n">
        <f aca="false">IF(AND(Inputs!$F$49=1,Time!AW17&gt;15),Inputs!$F$201,1)</f>
        <v>1</v>
      </c>
      <c r="AX113" s="11" t="n">
        <f aca="false">IF(AND(Inputs!$F$49=1,Time!AX17&gt;15),Inputs!$F$201,1)</f>
        <v>1</v>
      </c>
      <c r="AY113" s="11" t="n">
        <f aca="false">IF(AND(Inputs!$F$49=1,Time!AY17&gt;15),Inputs!$F$201,1)</f>
        <v>1</v>
      </c>
      <c r="AZ113" s="11" t="n">
        <f aca="false">IF(AND(Inputs!$F$49=1,Time!AZ17&gt;15),Inputs!$F$201,1)</f>
        <v>1</v>
      </c>
      <c r="BA113" s="11" t="n">
        <f aca="false">IF(AND(Inputs!$F$49=1,Time!BA17&gt;15),Inputs!$F$201,1)</f>
        <v>1</v>
      </c>
      <c r="BB113" s="11" t="n">
        <f aca="false">IF(AND(Inputs!$F$49=1,Time!BB17&gt;15),Inputs!$F$201,1)</f>
        <v>1</v>
      </c>
      <c r="BC113" s="11" t="n">
        <f aca="false">IF(AND(Inputs!$F$49=1,Time!BC17&gt;15),Inputs!$F$201,1)</f>
        <v>1</v>
      </c>
      <c r="BD113" s="11" t="n">
        <f aca="false">IF(AND(Inputs!$F$49=1,Time!BD17&gt;15),Inputs!$F$201,1)</f>
        <v>1</v>
      </c>
      <c r="BE113" s="11" t="n">
        <f aca="false">IF(AND(Inputs!$F$49=1,Time!BE17&gt;15),Inputs!$F$201,1)</f>
        <v>1</v>
      </c>
      <c r="BF113" s="11" t="n">
        <f aca="false">IF(AND(Inputs!$F$49=1,Time!BF17&gt;15),Inputs!$F$201,1)</f>
        <v>1</v>
      </c>
      <c r="BG113" s="11" t="n">
        <f aca="false">IF(AND(Inputs!$F$49=1,Time!BG17&gt;15),Inputs!$F$201,1)</f>
        <v>1</v>
      </c>
      <c r="BH113" s="11" t="n">
        <f aca="false">IF(AND(Inputs!$F$49=1,Time!BH17&gt;15),Inputs!$F$201,1)</f>
        <v>1</v>
      </c>
      <c r="BI113" s="11" t="n">
        <f aca="false">IF(AND(Inputs!$F$49=1,Time!BI17&gt;15),Inputs!$F$201,1)</f>
        <v>1</v>
      </c>
      <c r="BJ113" s="11" t="n">
        <f aca="false">IF(AND(Inputs!$F$49=1,Time!BJ17&gt;15),Inputs!$F$201,1)</f>
        <v>1</v>
      </c>
      <c r="BK113" s="11" t="n">
        <f aca="false">IF(AND(Inputs!$F$49=1,Time!BK17&gt;15),Inputs!$F$201,1)</f>
        <v>1</v>
      </c>
      <c r="BL113" s="11" t="n">
        <f aca="false">IF(AND(Inputs!$F$49=1,Time!BL17&gt;15),Inputs!$F$201,1)</f>
        <v>1</v>
      </c>
      <c r="BM113" s="11" t="n">
        <f aca="false">IF(AND(Inputs!$F$49=1,Time!BM17&gt;15),Inputs!$F$201,1)</f>
        <v>1</v>
      </c>
      <c r="BN113" s="11" t="n">
        <f aca="false">IF(AND(Inputs!$F$49=1,Time!BN17&gt;15),Inputs!$F$201,1)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16.603176890245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1.2555332009123</v>
      </c>
      <c r="Q115" s="11" t="n">
        <f aca="false">(Inputs!$F$93/100*Inputs!$F$94/100)*Q70*Time!Q20/365</f>
        <v>1.20485238721428</v>
      </c>
      <c r="R115" s="11" t="n">
        <f aca="false">(Inputs!$F$93/100*Inputs!$F$94/100)*R70*Time!R20/365</f>
        <v>1.19281169388614</v>
      </c>
      <c r="S115" s="11" t="n">
        <f aca="false">(Inputs!$F$93/100*Inputs!$F$94/100)*S70*Time!S20/365</f>
        <v>1.1403238737773</v>
      </c>
      <c r="T115" s="11" t="n">
        <f aca="false">(Inputs!$F$93/100*Inputs!$F$94/100)*T70*Time!T20/365</f>
        <v>1.12464707800382</v>
      </c>
      <c r="U115" s="11" t="n">
        <f aca="false">(Inputs!$F$93/100*Inputs!$F$94/100)*U70*Time!U20/365</f>
        <v>1.07664805085327</v>
      </c>
      <c r="V115" s="11" t="n">
        <f aca="false">(Inputs!$F$93/100*Inputs!$F$94/100)*V70*Time!V20/365</f>
        <v>1.05115816565054</v>
      </c>
      <c r="W115" s="11" t="n">
        <f aca="false">(Inputs!$F$93/100*Inputs!$F$94/100)*W70*Time!W20/365</f>
        <v>0.994908618605088</v>
      </c>
      <c r="X115" s="11" t="n">
        <f aca="false">(Inputs!$F$93/100*Inputs!$F$94/100)*X70*Time!X20/365</f>
        <v>0.970424048860717</v>
      </c>
      <c r="Y115" s="11" t="n">
        <f aca="false">(Inputs!$F$93/100*Inputs!$F$94/100)*Y70*Time!Y20/365</f>
        <v>0.915414039310799</v>
      </c>
      <c r="Z115" s="11" t="n">
        <f aca="false">(Inputs!$F$93/100*Inputs!$F$94/100)*Z70*Time!Z20/365</f>
        <v>0.890730501065407</v>
      </c>
      <c r="AA115" s="11" t="n">
        <f aca="false">(Inputs!$F$93/100*Inputs!$F$94/100)*AA70*Time!AA20/365</f>
        <v>0.835377165421469</v>
      </c>
      <c r="AB115" s="11" t="n">
        <f aca="false">(Inputs!$F$93/100*Inputs!$F$94/100)*AB70*Time!AB20/365</f>
        <v>0.775159071474666</v>
      </c>
      <c r="AC115" s="11" t="n">
        <f aca="false">(Inputs!$F$93/100*Inputs!$F$94/100)*AC70*Time!AC20/365</f>
        <v>0.688088036238498</v>
      </c>
      <c r="AD115" s="11" t="n">
        <f aca="false">(Inputs!$F$93/100*Inputs!$F$94/100)*AD70*Time!AD20/365</f>
        <v>0.618696418465212</v>
      </c>
      <c r="AE115" s="11" t="n">
        <f aca="false">(Inputs!$F$93/100*Inputs!$F$94/100)*AE70*Time!AE20/365</f>
        <v>0.524672400113134</v>
      </c>
      <c r="AF115" s="11" t="n">
        <f aca="false">(Inputs!$F$93/100*Inputs!$F$94/100)*AF70*Time!AF20/365</f>
        <v>0.446344765677021</v>
      </c>
      <c r="AG115" s="11" t="n">
        <f aca="false">(Inputs!$F$93/100*Inputs!$F$94/100)*AG70*Time!AG20/365</f>
        <v>0.35146445687056</v>
      </c>
      <c r="AH115" s="11" t="n">
        <f aca="false">(Inputs!$F$93/100*Inputs!$F$94/100)*AH70*Time!AH20/365</f>
        <v>0.270258546832207</v>
      </c>
      <c r="AI115" s="11" t="n">
        <f aca="false">(Inputs!$F$93/100*Inputs!$F$94/100)*AI70*Time!AI20/365</f>
        <v>0.177414479885638</v>
      </c>
      <c r="AJ115" s="11" t="n">
        <f aca="false">(Inputs!$F$93/100*Inputs!$F$94/100)*AJ70*Time!AJ20/365</f>
        <v>0.0930414308158191</v>
      </c>
      <c r="AK115" s="11" t="n">
        <f aca="false">(Inputs!$F$93/100*Inputs!$F$94/100)*AK70*Time!AK20/365</f>
        <v>0.00520846031113448</v>
      </c>
      <c r="AL115" s="11" t="n">
        <f aca="false">(Inputs!$F$93/100*Inputs!$F$94/100)*AL70*Time!AL20/365</f>
        <v>0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304.948363012965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21.0368041610017</v>
      </c>
      <c r="Q118" s="11" t="n">
        <f aca="false">Q27+Q42+Q57+Q72+Q87+Q101</f>
        <v>20.2523758527047</v>
      </c>
      <c r="R118" s="11" t="n">
        <f aca="false">R27+R42+R57+R72+R87+R101</f>
        <v>20.0499837178703</v>
      </c>
      <c r="S118" s="11" t="n">
        <f aca="false">S27+S42+S57+S72+S87+S101</f>
        <v>19.1983530391913</v>
      </c>
      <c r="T118" s="11" t="n">
        <f aca="false">T27+T42+T57+T72+T87+T101</f>
        <v>18.9344204260947</v>
      </c>
      <c r="U118" s="11" t="n">
        <f aca="false">U27+U42+U57+U72+U87+U101</f>
        <v>18.1263146852918</v>
      </c>
      <c r="V118" s="11" t="n">
        <f aca="false">V27+V42+V57+V72+V87+V101</f>
        <v>17.6971701007542</v>
      </c>
      <c r="W118" s="11" t="n">
        <f aca="false">W27+W42+W57+W72+W87+W101</f>
        <v>16.7501596177622</v>
      </c>
      <c r="X118" s="11" t="n">
        <f aca="false">X27+X42+X57+X72+X87+X101</f>
        <v>16.3379404011215</v>
      </c>
      <c r="Y118" s="11" t="n">
        <f aca="false">Y27+Y42+Y57+Y72+Y87+Y101</f>
        <v>15.9099887017777</v>
      </c>
      <c r="Z118" s="11" t="n">
        <f aca="false">Z27+Z42+Z57+Z72+Z87+Z101</f>
        <v>15.4809863075171</v>
      </c>
      <c r="AA118" s="11" t="n">
        <f aca="false">AA27+AA42+AA57+AA72+AA87+AA101</f>
        <v>14.5189397287211</v>
      </c>
      <c r="AB118" s="11" t="n">
        <f aca="false">AB27+AB42+AB57+AB72+AB87+AB101</f>
        <v>13.753740968416</v>
      </c>
      <c r="AC118" s="11" t="n">
        <f aca="false">AC27+AC42+AC57+AC72+AC87+AC101</f>
        <v>12.5459503518321</v>
      </c>
      <c r="AD118" s="11" t="n">
        <f aca="false">AD27+AD42+AD57+AD72+AD87+AD101</f>
        <v>11.6220659530794</v>
      </c>
      <c r="AE118" s="11" t="n">
        <f aca="false">AE27+AE42+AE57+AE72+AE87+AE101</f>
        <v>10.2813712290558</v>
      </c>
      <c r="AF118" s="11" t="n">
        <f aca="false">AF27+AF42+AF57+AF72+AF87+AF101</f>
        <v>9.2477609490863</v>
      </c>
      <c r="AG118" s="11" t="n">
        <f aca="false">AG27+AG42+AG57+AG72+AG87+AG101</f>
        <v>8.07076477557484</v>
      </c>
      <c r="AH118" s="11" t="n">
        <f aca="false">AH27+AH42+AH57+AH72+AH87+AH101</f>
        <v>6.9273689152953</v>
      </c>
      <c r="AI118" s="11" t="n">
        <f aca="false">AI27+AI42+AI57+AI72+AI87+AI101</f>
        <v>5.50818471711184</v>
      </c>
      <c r="AJ118" s="11" t="n">
        <f aca="false">AJ27+AJ42+AJ57+AJ72+AJ87+AJ101</f>
        <v>4.27939217281661</v>
      </c>
      <c r="AK118" s="11" t="n">
        <f aca="false">AK27+AK42+AK57+AK72+AK87+AK101</f>
        <v>2.89731422502267</v>
      </c>
      <c r="AL118" s="11" t="n">
        <f aca="false">AL27+AL42+AL57+AL72+AL87+AL101</f>
        <v>2.29884901068256</v>
      </c>
      <c r="AM118" s="11" t="n">
        <f aca="false">AM27+AM42+AM57+AM72+AM87+AM101</f>
        <v>1.65306957585187</v>
      </c>
      <c r="AN118" s="11" t="n">
        <f aca="false">AN27+AN42+AN57+AN72+AN87+AN101</f>
        <v>1.04923500952918</v>
      </c>
      <c r="AO118" s="11" t="n">
        <f aca="false">AO27+AO42+AO57+AO72+AO87+AO101</f>
        <v>0.519858419802241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313.217336300225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21.7561806363521</v>
      </c>
      <c r="Q119" s="11" t="n">
        <f aca="false">Q118+Q114+Q115+Q116</f>
        <v>21.0117501255587</v>
      </c>
      <c r="R119" s="11" t="n">
        <f aca="false">R118+R114+R115+R116</f>
        <v>20.6842237422474</v>
      </c>
      <c r="S119" s="11" t="n">
        <f aca="false">S118+S114+S115+S116</f>
        <v>19.8935402102571</v>
      </c>
      <c r="T119" s="11" t="n">
        <f aca="false">T118+T114+T115+T116</f>
        <v>19.5092222239857</v>
      </c>
      <c r="U119" s="11" t="n">
        <f aca="false">U118+U114+U115+U116</f>
        <v>18.7469278452348</v>
      </c>
      <c r="V119" s="11" t="n">
        <f aca="false">V118+V114+V115+V116</f>
        <v>18.2344120634116</v>
      </c>
      <c r="W119" s="11" t="n">
        <f aca="false">W118+W114+W115+W116</f>
        <v>17.3566958167685</v>
      </c>
      <c r="X119" s="11" t="n">
        <f aca="false">X118+X114+X115+X116</f>
        <v>16.8339195388541</v>
      </c>
      <c r="Y119" s="11" t="n">
        <f aca="false">Y118+Y114+Y115+Y116</f>
        <v>16.4680618167729</v>
      </c>
      <c r="Z119" s="11" t="n">
        <f aca="false">Z118+Z114+Z115+Z116</f>
        <v>15.9362344502122</v>
      </c>
      <c r="AA119" s="11" t="n">
        <f aca="false">AA118+AA114+AA115+AA116</f>
        <v>15.0282191551691</v>
      </c>
      <c r="AB119" s="11" t="n">
        <f aca="false">AB118+AB114+AB115+AB116</f>
        <v>14.1345961216442</v>
      </c>
      <c r="AC119" s="11" t="n">
        <f aca="false">AC118+AC114+AC115+AC116</f>
        <v>12.9148937283825</v>
      </c>
      <c r="AD119" s="11" t="n">
        <f aca="false">AD118+AD114+AD115+AD116</f>
        <v>11.8909496137151</v>
      </c>
      <c r="AE119" s="11" t="n">
        <f aca="false">AE118+AE114+AE115+AE116</f>
        <v>10.5506829966955</v>
      </c>
      <c r="AF119" s="11" t="n">
        <f aca="false">AF118+AF114+AF115+AF116</f>
        <v>9.39472668621711</v>
      </c>
      <c r="AG119" s="11" t="n">
        <f aca="false">AG118+AG114+AG115+AG116</f>
        <v>8.20802303303473</v>
      </c>
      <c r="AH119" s="11" t="n">
        <f aca="false">AH118+AH114+AH115+AH116</f>
        <v>6.95204711044898</v>
      </c>
      <c r="AI119" s="11" t="n">
        <f aca="false">AI118+AI114+AI115+AI116</f>
        <v>5.51510861356753</v>
      </c>
      <c r="AJ119" s="11" t="n">
        <f aca="false">AJ118+AJ114+AJ115+AJ116</f>
        <v>4.18471221365628</v>
      </c>
      <c r="AK119" s="11" t="n">
        <f aca="false">AK118+AK114+AK115+AK116</f>
        <v>2.76801940407481</v>
      </c>
      <c r="AL119" s="11" t="n">
        <f aca="false">AL118+AL114+AL115+AL116</f>
        <v>2.17365325142159</v>
      </c>
      <c r="AM119" s="11" t="n">
        <f aca="false">AM118+AM114+AM115+AM116</f>
        <v>1.58118904940136</v>
      </c>
      <c r="AN119" s="11" t="n">
        <f aca="false">AN118+AN114+AN115+AN116</f>
        <v>0.992093469110137</v>
      </c>
      <c r="AO119" s="11" t="n">
        <f aca="false">AO118+AO114+AO115+AO116</f>
        <v>0.497253384030616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539.728646787054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15.4897148007444</v>
      </c>
      <c r="Q120" s="11" t="n">
        <f aca="false">Q32+Q47+Q62+Q77+Q92+Q102</f>
        <v>16.145266329587</v>
      </c>
      <c r="R120" s="11" t="n">
        <f aca="false">R32+R47+R62+R77+R92+R102</f>
        <v>16.9405613454306</v>
      </c>
      <c r="S120" s="11" t="n">
        <f aca="false">S32+S47+S62+S77+S92+S102</f>
        <v>17.4397722822998</v>
      </c>
      <c r="T120" s="11" t="n">
        <f aca="false">T32+T47+T62+T77+T92+T102</f>
        <v>18.241995557762</v>
      </c>
      <c r="U120" s="11" t="n">
        <f aca="false">U32+U47+U62+U77+U92+U102</f>
        <v>18.8237649096179</v>
      </c>
      <c r="V120" s="11" t="n">
        <f aca="false">V32+V47+V62+V77+V92+V102</f>
        <v>20.0535081717467</v>
      </c>
      <c r="W120" s="11" t="n">
        <f aca="false">W32+W47+W62+W77+W92+W102</f>
        <v>20.6665316091013</v>
      </c>
      <c r="X120" s="11" t="n">
        <f aca="false">X32+X47+X62+X77+X92+X102</f>
        <v>20.0928755357353</v>
      </c>
      <c r="Y120" s="11" t="n">
        <f aca="false">Y32+Y47+Y62+Y77+Y92+Y102</f>
        <v>20.1023302277722</v>
      </c>
      <c r="Z120" s="11" t="n">
        <f aca="false">Z32+Z47+Z62+Z77+Z92+Z102</f>
        <v>20.9351286583019</v>
      </c>
      <c r="AA120" s="11" t="n">
        <f aca="false">AA32+AA47+AA62+AA77+AA92+AA102</f>
        <v>21.5460681996853</v>
      </c>
      <c r="AB120" s="11" t="n">
        <f aca="false">AB32+AB47+AB62+AB77+AB92+AB102</f>
        <v>22.2419989526365</v>
      </c>
      <c r="AC120" s="11" t="n">
        <f aca="false">AC32+AC47+AC62+AC77+AC92+AC102</f>
        <v>22.5542855494524</v>
      </c>
      <c r="AD120" s="11" t="n">
        <f aca="false">AD32+AD47+AD62+AD77+AD92+AD102</f>
        <v>24.1579831133157</v>
      </c>
      <c r="AE120" s="11" t="n">
        <f aca="false">AE32+AE47+AE62+AE77+AE92+AE102</f>
        <v>24.563894150553</v>
      </c>
      <c r="AF120" s="11" t="n">
        <f aca="false">AF32+AF47+AF62+AF77+AF92+AF102</f>
        <v>24.6615269093747</v>
      </c>
      <c r="AG120" s="11" t="n">
        <f aca="false">AG32+AG47+AG62+AG77+AG92+AG102</f>
        <v>24.1808146518807</v>
      </c>
      <c r="AH120" s="11" t="n">
        <f aca="false">AH32+AH47+AH62+AH77+AH92+AH102</f>
        <v>24.2495563993932</v>
      </c>
      <c r="AI120" s="11" t="n">
        <f aca="false">AI32+AI47+AI62+AI77+AI92+AI102</f>
        <v>23.4449683232272</v>
      </c>
      <c r="AJ120" s="11" t="n">
        <f aca="false">AJ32+AJ47+AJ62+AJ77+AJ92+AJ102</f>
        <v>22.6001848103842</v>
      </c>
      <c r="AK120" s="11" t="n">
        <f aca="false">AK32+AK47+AK62+AK77+AK92+AK102</f>
        <v>20.5188487618687</v>
      </c>
      <c r="AL120" s="11" t="n">
        <f aca="false">AL32+AL47+AL62+AL77+AL92+AL102</f>
        <v>21.5403865839748</v>
      </c>
      <c r="AM120" s="11" t="n">
        <f aca="false">AM32+AM47+AM62+AM77+AM92+AM102</f>
        <v>21.9881028038767</v>
      </c>
      <c r="AN120" s="11" t="n">
        <f aca="false">AN32+AN47+AN62+AN77+AN92+AN102</f>
        <v>18.1399237857541</v>
      </c>
      <c r="AO120" s="11" t="n">
        <f aca="false">AO32+AO47+AO62+AO77+AO92+AO102</f>
        <v>18.4086543635775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852.945983087279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37.2458954370965</v>
      </c>
      <c r="Q121" s="11" t="n">
        <f aca="false">Q119+Q120</f>
        <v>37.1570164551458</v>
      </c>
      <c r="R121" s="11" t="n">
        <f aca="false">R119+R120</f>
        <v>37.624785087678</v>
      </c>
      <c r="S121" s="11" t="n">
        <f aca="false">S119+S120</f>
        <v>37.333312492557</v>
      </c>
      <c r="T121" s="11" t="n">
        <f aca="false">T119+T120</f>
        <v>37.7512177817478</v>
      </c>
      <c r="U121" s="11" t="n">
        <f aca="false">U119+U120</f>
        <v>37.5706927548527</v>
      </c>
      <c r="V121" s="11" t="n">
        <f aca="false">V119+V120</f>
        <v>38.2879202351583</v>
      </c>
      <c r="W121" s="11" t="n">
        <f aca="false">W119+W120</f>
        <v>38.0232274258698</v>
      </c>
      <c r="X121" s="11" t="n">
        <f aca="false">X119+X120</f>
        <v>36.9267950745894</v>
      </c>
      <c r="Y121" s="11" t="n">
        <f aca="false">Y119+Y120</f>
        <v>36.5703920445452</v>
      </c>
      <c r="Z121" s="11" t="n">
        <f aca="false">Z119+Z120</f>
        <v>36.8713631085141</v>
      </c>
      <c r="AA121" s="11" t="n">
        <f aca="false">AA119+AA120</f>
        <v>36.5742873548545</v>
      </c>
      <c r="AB121" s="11" t="n">
        <f aca="false">AB119+AB120</f>
        <v>36.3765950742807</v>
      </c>
      <c r="AC121" s="11" t="n">
        <f aca="false">AC119+AC120</f>
        <v>35.469179277835</v>
      </c>
      <c r="AD121" s="11" t="n">
        <f aca="false">AD119+AD120</f>
        <v>36.0489327270308</v>
      </c>
      <c r="AE121" s="11" t="n">
        <f aca="false">AE119+AE120</f>
        <v>35.1145771472485</v>
      </c>
      <c r="AF121" s="11" t="n">
        <f aca="false">AF119+AF120</f>
        <v>34.0562535955918</v>
      </c>
      <c r="AG121" s="11" t="n">
        <f aca="false">AG119+AG120</f>
        <v>32.3888376849154</v>
      </c>
      <c r="AH121" s="11" t="n">
        <f aca="false">AH119+AH120</f>
        <v>31.2016035098422</v>
      </c>
      <c r="AI121" s="11" t="n">
        <f aca="false">AI119+AI120</f>
        <v>28.9600769367948</v>
      </c>
      <c r="AJ121" s="11" t="n">
        <f aca="false">AJ119+AJ120</f>
        <v>26.7848970240404</v>
      </c>
      <c r="AK121" s="11" t="n">
        <f aca="false">AK119+AK120</f>
        <v>23.2868681659435</v>
      </c>
      <c r="AL121" s="11" t="n">
        <f aca="false">AL119+AL120</f>
        <v>23.7140398353964</v>
      </c>
      <c r="AM121" s="11" t="n">
        <f aca="false">AM119+AM120</f>
        <v>23.5692918532781</v>
      </c>
      <c r="AN121" s="11" t="n">
        <f aca="false">AN119+AN120</f>
        <v>19.1320172548642</v>
      </c>
      <c r="AO121" s="11" t="n">
        <f aca="false">AO119+AO120</f>
        <v>18.9059077476081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633.255975542792</v>
      </c>
      <c r="Q122" s="11" t="n">
        <f aca="false">Q25+Q40+Q55+Q70+Q85+Q100</f>
        <v>617.766260742047</v>
      </c>
      <c r="R122" s="11" t="n">
        <f aca="false">R25+R40+R55+R70+R85+R100</f>
        <v>601.62099441246</v>
      </c>
      <c r="S122" s="11" t="n">
        <f aca="false">S25+S40+S55+S70+S85+S100</f>
        <v>584.68043306703</v>
      </c>
      <c r="T122" s="11" t="n">
        <f aca="false">T25+T40+T55+T70+T85+T100</f>
        <v>567.24066078473</v>
      </c>
      <c r="U122" s="11" t="n">
        <f aca="false">U25+U40+U55+U70+U85+U100</f>
        <v>548.998665226968</v>
      </c>
      <c r="V122" s="11" t="n">
        <f aca="false">V25+V40+V55+V70+V85+V100</f>
        <v>530.17490031735</v>
      </c>
      <c r="W122" s="11" t="n">
        <f aca="false">W25+W40+W55+W70+W85+W100</f>
        <v>510.121392145603</v>
      </c>
      <c r="X122" s="11" t="n">
        <f aca="false">X25+X40+X55+X70+X85+X100</f>
        <v>489.454860536502</v>
      </c>
      <c r="Y122" s="11" t="n">
        <f aca="false">Y25+Y40+Y55+Y70+Y85+Y100</f>
        <v>469.361985000767</v>
      </c>
      <c r="Z122" s="11" t="n">
        <f aca="false">Z25+Z40+Z55+Z70+Z85+Z100</f>
        <v>449.259654772994</v>
      </c>
      <c r="AA122" s="11" t="n">
        <f aca="false">AA25+AA40+AA55+AA70+AA85+AA100</f>
        <v>428.324526114692</v>
      </c>
      <c r="AB122" s="11" t="n">
        <f aca="false">AB25+AB40+AB55+AB70+AB85+AB100</f>
        <v>400.770728914793</v>
      </c>
      <c r="AC122" s="11" t="n">
        <f aca="false">AC25+AC40+AC55+AC70+AC85+AC100</f>
        <v>371.535042917466</v>
      </c>
      <c r="AD122" s="11" t="n">
        <f aca="false">AD25+AD40+AD55+AD70+AD85+AD100</f>
        <v>342.325668174321</v>
      </c>
      <c r="AE122" s="11" t="n">
        <f aca="false">AE25+AE40+AE55+AE70+AE85+AE100</f>
        <v>310.181867856544</v>
      </c>
      <c r="AF122" s="11" t="n">
        <f aca="false">AF25+AF40+AF55+AF70+AF85+AF100</f>
        <v>277.034343912659</v>
      </c>
      <c r="AG122" s="11" t="n">
        <f aca="false">AG25+AG40+AG55+AG70+AG85+AG100</f>
        <v>242.919801249287</v>
      </c>
      <c r="AH122" s="11" t="n">
        <f aca="false">AH25+AH40+AH55+AH70+AH85+AH100</f>
        <v>208.874976968917</v>
      </c>
      <c r="AI122" s="11" t="n">
        <f aca="false">AI25+AI40+AI55+AI70+AI85+AI100</f>
        <v>173.407947470948</v>
      </c>
      <c r="AJ122" s="11" t="n">
        <f aca="false">AJ25+AJ40+AJ55+AJ70+AJ85+AJ100</f>
        <v>137.901842172239</v>
      </c>
      <c r="AK122" s="11" t="n">
        <f aca="false">AK25+AK40+AK55+AK70+AK85+AK100</f>
        <v>101.400925530571</v>
      </c>
      <c r="AL122" s="11" t="n">
        <f aca="false">AL25+AL40+AL55+AL70+AL85+AL100</f>
        <v>80.0770675371831</v>
      </c>
      <c r="AM122" s="11" t="n">
        <f aca="false">AM25+AM40+AM55+AM70+AM85+AM100</f>
        <v>58.5366809532083</v>
      </c>
      <c r="AN122" s="11" t="n">
        <f aca="false">AN25+AN40+AN55+AN70+AN85+AN100</f>
        <v>36.5485781493316</v>
      </c>
      <c r="AO122" s="11" t="n">
        <f aca="false">AO25+AO40+AO55+AO70+AO85+AO100</f>
        <v>18.4086543635775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633.255975542792</v>
      </c>
      <c r="P123" s="11" t="n">
        <f aca="false">P38+P53+P68+P83+P98+P104</f>
        <v>617.766260742047</v>
      </c>
      <c r="Q123" s="11" t="n">
        <f aca="false">Q38+Q53+Q68+Q83+Q98+Q104</f>
        <v>601.62099441246</v>
      </c>
      <c r="R123" s="11" t="n">
        <f aca="false">R38+R53+R68+R83+R98+R104</f>
        <v>584.68043306703</v>
      </c>
      <c r="S123" s="11" t="n">
        <f aca="false">S38+S53+S68+S83+S98+S104</f>
        <v>567.24066078473</v>
      </c>
      <c r="T123" s="11" t="n">
        <f aca="false">T38+T53+T68+T83+T98+T104</f>
        <v>548.998665226968</v>
      </c>
      <c r="U123" s="11" t="n">
        <f aca="false">U38+U53+U68+U83+U98+U104</f>
        <v>530.17490031735</v>
      </c>
      <c r="V123" s="11" t="n">
        <f aca="false">V38+V53+V68+V83+V98+V104</f>
        <v>510.121392145603</v>
      </c>
      <c r="W123" s="11" t="n">
        <f aca="false">W38+W53+W68+W83+W98+W104</f>
        <v>489.454860536502</v>
      </c>
      <c r="X123" s="11" t="n">
        <f aca="false">X38+X53+X68+X83+X98+X104</f>
        <v>469.361985000767</v>
      </c>
      <c r="Y123" s="11" t="n">
        <f aca="false">Y38+Y53+Y68+Y83+Y98+Y104</f>
        <v>449.259654772994</v>
      </c>
      <c r="Z123" s="11" t="n">
        <f aca="false">Z38+Z53+Z68+Z83+Z98+Z104</f>
        <v>428.324526114692</v>
      </c>
      <c r="AA123" s="11" t="n">
        <f aca="false">AA38+AA53+AA68+AA83+AA98+AA104</f>
        <v>400.770728914793</v>
      </c>
      <c r="AB123" s="11" t="n">
        <f aca="false">AB38+AB53+AB68+AB83+AB98+AB104</f>
        <v>371.535042917466</v>
      </c>
      <c r="AC123" s="11" t="n">
        <f aca="false">AC38+AC53+AC68+AC83+AC98+AC104</f>
        <v>342.325668174321</v>
      </c>
      <c r="AD123" s="11" t="n">
        <f aca="false">AD38+AD53+AD68+AD83+AD98+AD104</f>
        <v>310.181867856544</v>
      </c>
      <c r="AE123" s="11" t="n">
        <f aca="false">AE38+AE53+AE68+AE83+AE98+AE104</f>
        <v>277.034343912659</v>
      </c>
      <c r="AF123" s="11" t="n">
        <f aca="false">AF38+AF53+AF68+AF83+AF98+AF104</f>
        <v>242.919801249287</v>
      </c>
      <c r="AG123" s="11" t="n">
        <f aca="false">AG38+AG53+AG68+AG83+AG98+AG104</f>
        <v>208.874976968917</v>
      </c>
      <c r="AH123" s="11" t="n">
        <f aca="false">AH38+AH53+AH68+AH83+AH98+AH104</f>
        <v>173.407947470948</v>
      </c>
      <c r="AI123" s="11" t="n">
        <f aca="false">AI38+AI53+AI68+AI83+AI98+AI104</f>
        <v>137.901842172239</v>
      </c>
      <c r="AJ123" s="11" t="n">
        <f aca="false">AJ38+AJ53+AJ68+AJ83+AJ98+AJ104</f>
        <v>101.400925530571</v>
      </c>
      <c r="AK123" s="11" t="n">
        <f aca="false">AK38+AK53+AK68+AK83+AK98+AK104</f>
        <v>80.0770675371831</v>
      </c>
      <c r="AL123" s="11" t="n">
        <f aca="false">AL38+AL53+AL68+AL83+AL98+AL104</f>
        <v>58.5366809532083</v>
      </c>
      <c r="AM123" s="11" t="n">
        <f aca="false">AM38+AM53+AM68+AM83+AM98+AM104</f>
        <v>36.5485781493316</v>
      </c>
      <c r="AN123" s="11" t="n">
        <f aca="false">AN38+AN53+AN68+AN83+AN98+AN104</f>
        <v>18.4086543635775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240.637270706254</v>
      </c>
      <c r="P125" s="11" t="n">
        <f aca="false">IF(Time!P29=1,P83,P81)</f>
        <v>234.751179081972</v>
      </c>
      <c r="Q125" s="11" t="n">
        <f aca="false">IF(Time!Q29=1,Q83,Q81)</f>
        <v>228.615977876729</v>
      </c>
      <c r="R125" s="11" t="n">
        <f aca="false">IF(Time!R29=1,R83,R81)</f>
        <v>222.178564565465</v>
      </c>
      <c r="S125" s="11" t="n">
        <f aca="false">IF(Time!S29=1,S83,S81)</f>
        <v>215.551451098191</v>
      </c>
      <c r="T125" s="11" t="n">
        <f aca="false">IF(Time!T29=1,T83,T81)</f>
        <v>208.619492786242</v>
      </c>
      <c r="U125" s="11" t="n">
        <f aca="false">IF(Time!U29=1,U83,U81)</f>
        <v>201.466462120587</v>
      </c>
      <c r="V125" s="11" t="n">
        <f aca="false">IF(Time!V29=1,V83,V81)</f>
        <v>193.846129015324</v>
      </c>
      <c r="W125" s="11" t="n">
        <f aca="false">IF(Time!W29=1,W83,W81)</f>
        <v>185.992847003866</v>
      </c>
      <c r="X125" s="11" t="n">
        <f aca="false">IF(Time!X29=1,X83,X81)</f>
        <v>178.357554300286</v>
      </c>
      <c r="Y125" s="11" t="n">
        <f aca="false">IF(Time!Y29=1,Y83,Y81)</f>
        <v>170.718668813733</v>
      </c>
      <c r="Z125" s="11" t="n">
        <f aca="false">IF(Time!Z29=1,Z83,Z81)</f>
        <v>162.763319923579</v>
      </c>
      <c r="AA125" s="11" t="n">
        <f aca="false">IF(Time!AA29=1,AA83,AA81)</f>
        <v>154.575814007698</v>
      </c>
      <c r="AB125" s="11" t="n">
        <f aca="false">IF(Time!AB29=1,AB83,AB81)</f>
        <v>140.322844143513</v>
      </c>
      <c r="AC125" s="11" t="n">
        <f aca="false">IF(Time!AC29=1,AC83,AC81)</f>
        <v>125.23532062606</v>
      </c>
      <c r="AD125" s="11" t="n">
        <f aca="false">IF(Time!AD29=1,AD83,AD81)</f>
        <v>110.212003470399</v>
      </c>
      <c r="AE125" s="11" t="n">
        <f aca="false">IF(Time!AE29=1,AE83,AE81)</f>
        <v>94.1306994594277</v>
      </c>
      <c r="AF125" s="11" t="n">
        <f aca="false">IF(Time!AF29=1,AF83,AF81)</f>
        <v>77.9316912592449</v>
      </c>
      <c r="AG125" s="11" t="n">
        <f aca="false">IF(Time!AG29=1,AG83,AG81)</f>
        <v>61.66214531099</v>
      </c>
      <c r="AH125" s="11" t="n">
        <f aca="false">IF(Time!AH29=1,AH83,AH81)</f>
        <v>45.7845775682464</v>
      </c>
      <c r="AI125" s="11" t="n">
        <f aca="false">IF(Time!AI29=1,AI83,AI81)</f>
        <v>29.8935893215091</v>
      </c>
      <c r="AJ125" s="11" t="n">
        <f aca="false">IF(Time!AJ29=1,AJ83,AJ81)</f>
        <v>14.9099626077159</v>
      </c>
      <c r="AK125" s="11" t="n">
        <f aca="false">IF(Time!AK29=1,AK83,AK81)</f>
        <v>0.805009231518923</v>
      </c>
      <c r="AL125" s="11" t="n">
        <f aca="false">IF(Time!AL29=1,AL83,AL81)</f>
        <v>0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8.95812112171839</v>
      </c>
      <c r="P126" s="11" t="n">
        <f aca="false">IF(AND(Time!P17&gt;=Time!$F$11,Time!P17&lt;57),(IF(Time!P29=1,P38,P36)-P35)*Q19+IF(Time!P29=1,P38,P36)*Q10,0)</f>
        <v>8.99939649593107</v>
      </c>
      <c r="Q126" s="11" t="n">
        <f aca="false">IF(AND(Time!Q17&gt;=Time!$F$11,Time!Q17&lt;57),(IF(Time!Q29=1,Q38,Q36)-Q35)*R19+IF(Time!Q29=1,Q38,Q36)*R10,0)</f>
        <v>9.19645384408426</v>
      </c>
      <c r="R126" s="11" t="n">
        <f aca="false">IF(AND(Time!R17&gt;=Time!$F$11,Time!R17&lt;57),(IF(Time!R29=1,R38,R36)-R35)*S19+IF(Time!R29=1,R38,R36)*S10,0)</f>
        <v>9.17399333453588</v>
      </c>
      <c r="S126" s="11" t="n">
        <f aca="false">IF(AND(Time!S17&gt;=Time!$F$11,Time!S17&lt;57),(IF(Time!S29=1,S38,S36)-S35)*T19+IF(Time!S29=1,S38,S36)*T10,0)</f>
        <v>9.3604661563469</v>
      </c>
      <c r="T126" s="11" t="n">
        <f aca="false">IF(AND(Time!T17&gt;=Time!$F$11,Time!T17&lt;57),(IF(Time!T29=1,T38,T36)-T35)*U19+U22*MIN($F$30/4,T35)+IF(Time!T29=1,T38,T36)*U10,0)</f>
        <v>9.36906592379133</v>
      </c>
      <c r="U126" s="11" t="n">
        <f aca="false">IF(AND(Time!U17&gt;=Time!$F$11,Time!U17&lt;57),(IF(Time!U29=1,U38,U36)-U35)*V19+V22*MIN($F$30/4,U35)+IF(Time!U29=1,U38,U36)*V10,0)</f>
        <v>9.64987121829886</v>
      </c>
      <c r="V126" s="11" t="n">
        <f aca="false">IF(AND(Time!V17&gt;=Time!$F$11,Time!V17&lt;57),(IF(Time!V29=1,V38,V36)-V35)*W19+W22*MIN($F$30/4,V35)+IF(Time!V29=1,V38,V36)*W10,0)</f>
        <v>9.63932543892382</v>
      </c>
      <c r="W126" s="11" t="n">
        <f aca="false">IF(AND(Time!W17&gt;=Time!$F$11,Time!W17&lt;57),(IF(Time!W29=1,W38,W36)-W35)*X19+X22*MIN($F$30/4,W35)+IF(Time!W29=1,W38,W36)*X10,0)</f>
        <v>9.38258627483752</v>
      </c>
      <c r="X126" s="11" t="n">
        <f aca="false">IF(AND(Time!X17&gt;=Time!$F$11,Time!X17&lt;57),(IF(Time!X29=1,X38,X36)-X35)*Y19+IF(Time!X29=1,X38,X36)*Y10,0)</f>
        <v>9.19525491170283</v>
      </c>
      <c r="Y126" s="11" t="n">
        <f aca="false">IF(AND(Time!Y17&gt;=Time!$F$11,Time!Y17&lt;57),(IF(Time!Y29=1,Y38,Y36)-Y35)*Z19+IF(Time!Y29=1,Y38,Y36)*Z10,0)</f>
        <v>9.35976427130441</v>
      </c>
      <c r="Z126" s="11" t="n">
        <f aca="false">IF(AND(Time!Z17&gt;=Time!$F$11,Time!Z17&lt;57),(IF(Time!Z29=1,Z38,Z36)-Z35)*AA19+IF(Time!Z29=1,Z38,Z36)*AA10,0)</f>
        <v>9.35169149610212</v>
      </c>
      <c r="AA126" s="11" t="n">
        <f aca="false">IF(AND(Time!AA17&gt;=Time!$F$11,Time!AA17&lt;57),(IF(Time!AA29=1,AA38,AA36)-AA35)*AB19+IF(Time!AA29=1,AA38,AA36)*AB10,0)</f>
        <v>9.56068443216145</v>
      </c>
      <c r="AB126" s="11" t="n">
        <f aca="false">IF(AND(Time!AB17&gt;=Time!$F$11,Time!AB17&lt;57),(IF(Time!AB29=1,AB38,AB36)-AB35)*AC19+IF(Time!AB29=1,AB38,AB36)*AC10,0)</f>
        <v>9.6016960095392</v>
      </c>
      <c r="AC126" s="11" t="n">
        <f aca="false">IF(AND(Time!AC17&gt;=Time!$F$11,Time!AC17&lt;57),(IF(Time!AC29=1,AC38,AC36)-AC35)*AD19+IF(Time!AC29=1,AC38,AC36)*AD10,0)</f>
        <v>10.1136738206983</v>
      </c>
      <c r="AD126" s="11" t="n">
        <f aca="false">IF(AND(Time!AD17&gt;=Time!$F$11,Time!AD17&lt;57),(IF(Time!AD29=1,AD38,AD36)-AD35)*AE19+IF(Time!AD29=1,AD38,AD36)*AE10,0)</f>
        <v>10.2300183829306</v>
      </c>
      <c r="AE126" s="11" t="n">
        <f aca="false">IF(AND(Time!AE17&gt;=Time!$F$11,Time!AE17&lt;57),(IF(Time!AE29=1,AE38,AE36)-AE35)*AF19+IF(Time!AE29=1,AE38,AE36)*AF10,0)</f>
        <v>10.36499730394</v>
      </c>
      <c r="AF126" s="11" t="n">
        <f aca="false">IF(AND(Time!AF17&gt;=Time!$F$11,Time!AF17&lt;57),(IF(Time!AF29=1,AF38,AF36)-AF35)*AG19+IF(Time!AF29=1,AF38,AF36)*AG10,0)</f>
        <v>10.299050027959</v>
      </c>
      <c r="AG126" s="11" t="n">
        <f aca="false">IF(AND(Time!AG17&gt;=Time!$F$11,Time!AG17&lt;57),(IF(Time!AG29=1,AG38,AG36)-AG35)*AH19+IF(Time!AG29=1,AG38,AG36)*AH10,0)</f>
        <v>10.5603292834166</v>
      </c>
      <c r="AH126" s="11" t="n">
        <f aca="false">IF(AND(Time!AH17&gt;=Time!$F$11,Time!AH17&lt;57),(IF(Time!AH29=1,AH38,AH36)-AH35)*AI19+IF(Time!AH29=1,AH38,AH36)*AI10,0)</f>
        <v>10.5927993971689</v>
      </c>
      <c r="AI126" s="11" t="n">
        <f aca="false">IF(AND(Time!AI17&gt;=Time!$F$11,Time!AI17&lt;57),(IF(Time!AI29=1,AI38,AI36)-AI35)*AJ19+IF(Time!AI29=1,AI38,AI36)*AJ10,0)</f>
        <v>10.8488130959523</v>
      </c>
      <c r="AJ126" s="11" t="n">
        <f aca="false">IF(AND(Time!AJ17&gt;=Time!$F$11,Time!AJ17&lt;57),(IF(Time!AJ29=1,AJ38,AJ36)-AJ35)*AK19+IF(Time!AJ29=1,AJ38,AJ36)*AK10,0)</f>
        <v>10.9274091285036</v>
      </c>
      <c r="AK126" s="11" t="n">
        <f aca="false">IF(AND(Time!AK17&gt;=Time!$F$11,Time!AK17&lt;57),(IF(Time!AK29=1,AK38,AK36)-AK35)*AL19+IF(Time!AK29=1,AK38,AK36)*AL10,0)</f>
        <v>11.3080067678903</v>
      </c>
      <c r="AL126" s="11" t="n">
        <f aca="false">IF(AND(Time!AL17&gt;=Time!$F$11,Time!AL17&lt;57),(IF(Time!AL29=1,AL38,AL36)-AL35)*AM19+IF(Time!AL29=1,AL38,AL36)*AM10,0)</f>
        <v>11.2759673843862</v>
      </c>
      <c r="AM126" s="11" t="n">
        <f aca="false">IF(AND(Time!AM17&gt;=Time!$F$11,Time!AM17&lt;57),(IF(Time!AM29=1,AM38,AM36)-AM35)*AN19+IF(Time!AM29=1,AM38,AM36)*AN10,0)</f>
        <v>9.18142111348627</v>
      </c>
      <c r="AN126" s="11" t="n">
        <f aca="false">IF(AND(Time!AN17&gt;=Time!$F$11,Time!AN17&lt;57),(IF(Time!AN29=1,AN38,AN36)-AN35)*AO19+IF(Time!AN29=1,AN38,AN36)*AO10,0)</f>
        <v>9.10760009509006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8.20702949889722</v>
      </c>
      <c r="P127" s="11" t="n">
        <f aca="false">IF(AND(Time!P17&gt;=Time!$F$11,Time!P17&lt;57),(IF(Time!P29=1,P53,P51)-P50)*Q19+IF(Time!P29=1,P53,P51)*Q11,0)</f>
        <v>8.17118911802499</v>
      </c>
      <c r="Q127" s="11" t="n">
        <f aca="false">IF(AND(Time!Q17&gt;=Time!$F$11,Time!Q17&lt;57),(IF(Time!Q29=1,Q53,Q51)-Q50)*R19+IF(Time!Q29=1,Q53,Q51)*R11,0)</f>
        <v>8.29999173743335</v>
      </c>
      <c r="R127" s="11" t="n">
        <f aca="false">IF(AND(Time!R17&gt;=Time!$F$11,Time!R17&lt;57),(IF(Time!R29=1,R53,R51)-R50)*S19+IF(Time!R29=1,R53,R51)*S11,0)</f>
        <v>8.21505461596175</v>
      </c>
      <c r="S127" s="11" t="n">
        <f aca="false">IF(AND(Time!S17&gt;=Time!$F$11,Time!S17&lt;57),(IF(Time!S29=1,S53,S51)-S50)*T19+IF(Time!S29=1,S53,S51)*T11,0)</f>
        <v>8.33135225025717</v>
      </c>
      <c r="T127" s="11" t="n">
        <f aca="false">IF(AND(Time!T17&gt;=Time!$F$11,Time!T17&lt;57),(IF(Time!T29=1,T53,T51)-T50)*U19+U22*MIN($F$45/4,T50)+IF(Time!T29=1,T53,T51)*U11,0)</f>
        <v>8.27504792961588</v>
      </c>
      <c r="U127" s="11" t="n">
        <f aca="false">IF(AND(Time!U17&gt;=Time!$F$11,Time!U17&lt;57),(IF(Time!U29=1,U53,U51)-U50)*V19+V22*MIN($F$45/4,U50)+IF(Time!U29=1,U53,U51)*V11,0)</f>
        <v>8.44772233561765</v>
      </c>
      <c r="V127" s="11" t="n">
        <f aca="false">IF(AND(Time!V17&gt;=Time!$F$11,Time!V17&lt;57),(IF(Time!V29=1,V53,V51)-V50)*W19+W22*MIN($F$45/4,V50)+IF(Time!V29=1,V53,V51)*W11,0)</f>
        <v>8.36661581690652</v>
      </c>
      <c r="W127" s="11" t="n">
        <f aca="false">IF(AND(Time!W17&gt;=Time!$F$11,Time!W17&lt;57),(IF(Time!W29=1,W53,W51)-W50)*X19+X22*MIN($F$45/4,W50)+IF(Time!W29=1,W53,W51)*X11,0)</f>
        <v>8.14640230530833</v>
      </c>
      <c r="X127" s="11" t="n">
        <f aca="false">IF(AND(Time!X17&gt;=Time!$F$11,Time!X17&lt;57),(IF(Time!X29=1,X53,X51)-X50)*Y19+IF(Time!X29=1,X53,X51)*Y11,0)</f>
        <v>7.93726990075649</v>
      </c>
      <c r="Y127" s="11" t="n">
        <f aca="false">IF(AND(Time!Y17&gt;=Time!$F$11,Time!Y17&lt;57),(IF(Time!Y29=1,Y53,Y51)-Y50)*Z19+IF(Time!Y29=1,Y53,Y51)*Z11,0)</f>
        <v>8.02571243501167</v>
      </c>
      <c r="Z127" s="11" t="n">
        <f aca="false">IF(AND(Time!Z17&gt;=Time!$F$11,Time!Z17&lt;57),(IF(Time!Z29=1,Z53,Z51)-Z50)*AA19+IF(Time!Z29=1,Z53,Z51)*AA11,0)</f>
        <v>7.94758848738431</v>
      </c>
      <c r="AA127" s="11" t="n">
        <f aca="false">IF(AND(Time!AA17&gt;=Time!$F$11,Time!AA17&lt;57),(IF(Time!AA29=1,AA53,AA51)-AA50)*AB19+IF(Time!AA29=1,AA53,AA51)*AB11,0)</f>
        <v>8.06318807096612</v>
      </c>
      <c r="AB127" s="11" t="n">
        <f aca="false">IF(AND(Time!AB17&gt;=Time!$F$11,Time!AB17&lt;57),(IF(Time!AB29=1,AB53,AB51)-AB50)*AC19+IF(Time!AB29=1,AB53,AB51)*AC11,0)</f>
        <v>8.02407781007828</v>
      </c>
      <c r="AC127" s="11" t="n">
        <f aca="false">IF(AND(Time!AC17&gt;=Time!$F$11,Time!AC17&lt;57),(IF(Time!AC29=1,AC53,AC51)-AC50)*AD19+IF(Time!AC29=1,AC53,AC51)*AD11,0)</f>
        <v>8.35000932973171</v>
      </c>
      <c r="AD127" s="11" t="n">
        <f aca="false">IF(AND(Time!AD17&gt;=Time!$F$11,Time!AD17&lt;57),(IF(Time!AD29=1,AD53,AD51)-AD50)*AE19+IF(Time!AD29=1,AD53,AD51)*AE11,0)</f>
        <v>8.35532123413818</v>
      </c>
      <c r="AE127" s="11" t="n">
        <f aca="false">IF(AND(Time!AE17&gt;=Time!$F$11,Time!AE17&lt;57),(IF(Time!AE29=1,AE53,AE51)-AE50)*AF19+IF(Time!AE29=1,AE53,AE51)*AF11,0)</f>
        <v>8.39975390019449</v>
      </c>
      <c r="AF127" s="11" t="n">
        <f aca="false">IF(AND(Time!AF17&gt;=Time!$F$11,Time!AF17&lt;57),(IF(Time!AF29=1,AF53,AF51)-AF50)*AG19+IF(Time!AF29=1,AF53,AF51)*AG11,0)</f>
        <v>8.26842364695457</v>
      </c>
      <c r="AG127" s="11" t="n">
        <f aca="false">IF(AND(Time!AG17&gt;=Time!$F$11,Time!AG17&lt;57),(IF(Time!AG29=1,AG53,AG51)-AG50)*AH19+IF(Time!AG29=1,AG53,AG51)*AH11,0)</f>
        <v>8.39946021245935</v>
      </c>
      <c r="AH127" s="11" t="n">
        <f aca="false">IF(AND(Time!AH17&gt;=Time!$F$11,Time!AH17&lt;57),(IF(Time!AH29=1,AH53,AH51)-AH50)*AI19+IF(Time!AH29=1,AH53,AH51)*AI11,0)</f>
        <v>8.33776066218525</v>
      </c>
      <c r="AI127" s="11" t="n">
        <f aca="false">IF(AND(Time!AI17&gt;=Time!$F$11,Time!AI17&lt;57),(IF(Time!AI29=1,AI53,AI51)-AI50)*AJ19+IF(Time!AI29=1,AI53,AI51)*AJ11,0)</f>
        <v>8.45664485774763</v>
      </c>
      <c r="AJ127" s="11" t="n">
        <f aca="false">IF(AND(Time!AJ17&gt;=Time!$F$11,Time!AJ17&lt;57),(IF(Time!AJ29=1,AJ53,AJ51)-AJ50)*AK19+IF(Time!AJ29=1,AJ53,AJ51)*AK11,0)</f>
        <v>8.42764805415072</v>
      </c>
      <c r="AK127" s="11" t="n">
        <f aca="false">IF(AND(Time!AK17&gt;=Time!$F$11,Time!AK17&lt;57),(IF(Time!AK29=1,AK53,AK51)-AK50)*AL19+IF(Time!AK29=1,AK53,AK51)*AL11,0)</f>
        <v>8.62656586347714</v>
      </c>
      <c r="AL127" s="11" t="n">
        <f aca="false">IF(AND(Time!AL17&gt;=Time!$F$11,Time!AL17&lt;57),(IF(Time!AL29=1,AL53,AL51)-AL50)*AM19+IF(Time!AL29=1,AL53,AL51)*AM11,0)</f>
        <v>8.50923721368344</v>
      </c>
      <c r="AM127" s="11" t="n">
        <f aca="false">IF(AND(Time!AM17&gt;=Time!$F$11,Time!AM17&lt;57),(IF(Time!AM29=1,AM53,AM51)-AM50)*AN19+IF(Time!AM29=1,AM53,AM51)*AN11,0)</f>
        <v>6.88549819021319</v>
      </c>
      <c r="AN127" s="11" t="n">
        <f aca="false">IF(AND(Time!AN17&gt;=Time!$F$11,Time!AN17&lt;57),(IF(Time!AN29=1,AN53,AN51)-AN50)*AO19+IF(Time!AN29=1,AN53,AN51)*AO11,0)</f>
        <v>6.75444325156706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3.64955191272484</v>
      </c>
      <c r="P128" s="11" t="n">
        <f aca="false">IF(AND(Time!P17&gt;=Time!$F$11,Time!P17&lt;57),(IF(Time!P29=1,P68,P66)-P65)*Q19+IF(Time!P29=1,P68,P66)*Q12,0)</f>
        <v>3.63652708488905</v>
      </c>
      <c r="Q128" s="11" t="n">
        <f aca="false">IF(AND(Time!Q17&gt;=Time!$F$11,Time!Q17&lt;57),(IF(Time!Q29=1,Q68,Q66)-Q65)*R19+IF(Time!Q29=1,Q68,Q66)*R12,0)</f>
        <v>3.69584972328468</v>
      </c>
      <c r="R128" s="11" t="n">
        <f aca="false">IF(AND(Time!R17&gt;=Time!$F$11,Time!R17&lt;57),(IF(Time!R29=1,R68,R66)-R65)*S19+IF(Time!R29=1,R68,R66)*S12,0)</f>
        <v>3.66062465231617</v>
      </c>
      <c r="S128" s="11" t="n">
        <f aca="false">IF(AND(Time!S17&gt;=Time!$F$11,Time!S17&lt;57),(IF(Time!S29=1,S68,S66)-S65)*T19+IF(Time!S29=1,S68,S66)*T12,0)</f>
        <v>3.71449754447117</v>
      </c>
      <c r="T128" s="11" t="n">
        <f aca="false">IF(AND(Time!T17&gt;=Time!$F$11,Time!T17&lt;57),(IF(Time!T29=1,T68,T66)-T65)*U19+U22*MIN($F$60/4,T65)+IF(Time!T29=1,T68,T66)*U12,0)</f>
        <v>3.69199809125316</v>
      </c>
      <c r="U128" s="11" t="n">
        <f aca="false">IF(AND(Time!U17&gt;=Time!$F$11,Time!U17&lt;57),(IF(Time!U29=1,U68,U66)-U65)*V19+V22*MIN($F$60/4,U65)+IF(Time!U29=1,U68,U66)*V12,0)</f>
        <v>3.77212921832101</v>
      </c>
      <c r="V128" s="11" t="n">
        <f aca="false">IF(AND(Time!V17&gt;=Time!$F$11,Time!V17&lt;57),(IF(Time!V29=1,V68,V66)-V65)*W19+W22*MIN($F$60/4,V65)+IF(Time!V29=1,V68,V66)*W12,0)</f>
        <v>3.738887764518</v>
      </c>
      <c r="W128" s="11" t="n">
        <f aca="false">IF(AND(Time!W17&gt;=Time!$F$11,Time!W17&lt;57),(IF(Time!W29=1,W68,W66)-W65)*X19+X22*MIN($F$60/4,W65)+IF(Time!W29=1,W68,W66)*X12,0)</f>
        <v>3.64036868437463</v>
      </c>
      <c r="X128" s="11" t="n">
        <f aca="false">IF(AND(Time!X17&gt;=Time!$F$11,Time!X17&lt;57),(IF(Time!X29=1,X68,X66)-X65)*Y19+IF(Time!X29=1,X68,X66)*Y12,0)</f>
        <v>3.5488537609413</v>
      </c>
      <c r="Y128" s="11" t="n">
        <f aca="false">IF(AND(Time!Y17&gt;=Time!$F$11,Time!Y17&lt;57),(IF(Time!Y29=1,Y68,Y66)-Y65)*Z19+IF(Time!Y29=1,Y68,Y66)*Z12,0)</f>
        <v>3.59064570649138</v>
      </c>
      <c r="Z128" s="11" t="n">
        <f aca="false">IF(AND(Time!Z17&gt;=Time!$F$11,Time!Z17&lt;57),(IF(Time!Z29=1,Z68,Z66)-Z65)*AA19+IF(Time!Z29=1,Z68,Z66)*AA12,0)</f>
        <v>3.55870220818641</v>
      </c>
      <c r="AA128" s="11" t="n">
        <f aca="false">IF(AND(Time!AA17&gt;=Time!$F$11,Time!AA17&lt;57),(IF(Time!AA29=1,AA68,AA66)-AA65)*AB19+IF(Time!AA29=1,AA68,AA66)*AB12,0)</f>
        <v>3.61310823940253</v>
      </c>
      <c r="AB128" s="11" t="n">
        <f aca="false">IF(AND(Time!AB17&gt;=Time!$F$11,Time!AB17&lt;57),(IF(Time!AB29=1,AB68,AB66)-AB65)*AC19+IF(Time!AB29=1,AB68,AB66)*AC12,0)</f>
        <v>3.59874909994914</v>
      </c>
      <c r="AC128" s="11" t="n">
        <f aca="false">IF(AND(Time!AC17&gt;=Time!$F$11,Time!AC17&lt;57),(IF(Time!AC29=1,AC68,AC66)-AC65)*AD19+IF(Time!AC29=1,AC68,AC66)*AD12,0)</f>
        <v>3.74934637544361</v>
      </c>
      <c r="AD128" s="11" t="n">
        <f aca="false">IF(AND(Time!AD17&gt;=Time!$F$11,Time!AD17&lt;57),(IF(Time!AD29=1,AD68,AD66)-AD65)*AE19+IF(Time!AD29=1,AD68,AD66)*AE12,0)</f>
        <v>3.75571381426625</v>
      </c>
      <c r="AE128" s="11" t="n">
        <f aca="false">IF(AND(Time!AE17&gt;=Time!$F$11,Time!AE17&lt;57),(IF(Time!AE29=1,AE68,AE66)-AE65)*AF19+IF(Time!AE29=1,AE68,AE66)*AF12,0)</f>
        <v>3.77860573144685</v>
      </c>
      <c r="AF128" s="11" t="n">
        <f aca="false">IF(AND(Time!AF17&gt;=Time!$F$11,Time!AF17&lt;57),(IF(Time!AF29=1,AF68,AF66)-AF65)*AG19+IF(Time!AF29=1,AF68,AF66)*AG12,0)</f>
        <v>3.72300941661055</v>
      </c>
      <c r="AG128" s="11" t="n">
        <f aca="false">IF(AND(Time!AG17&gt;=Time!$F$11,Time!AG17&lt;57),(IF(Time!AG29=1,AG68,AG66)-AG65)*AH19+IF(Time!AG29=1,AG68,AG66)*AH12,0)</f>
        <v>3.78556399291859</v>
      </c>
      <c r="AH128" s="11" t="n">
        <f aca="false">IF(AND(Time!AH17&gt;=Time!$F$11,Time!AH17&lt;57),(IF(Time!AH29=1,AH68,AH66)-AH65)*AI19+IF(Time!AH29=1,AH68,AH66)*AI12,0)</f>
        <v>3.76174359294349</v>
      </c>
      <c r="AI128" s="11" t="n">
        <f aca="false">IF(AND(Time!AI17&gt;=Time!$F$11,Time!AI17&lt;57),(IF(Time!AI29=1,AI68,AI66)-AI65)*AJ19+IF(Time!AI29=1,AI68,AI66)*AJ12,0)</f>
        <v>3.81918399722804</v>
      </c>
      <c r="AJ128" s="11" t="n">
        <f aca="false">IF(AND(Time!AJ17&gt;=Time!$F$11,Time!AJ17&lt;57),(IF(Time!AJ29=1,AJ68,AJ66)-AJ65)*AK19+IF(Time!AJ29=1,AJ68,AJ66)*AK12,0)</f>
        <v>3.81028396269459</v>
      </c>
      <c r="AK128" s="11" t="n">
        <f aca="false">IF(AND(Time!AK17&gt;=Time!$F$11,Time!AK17&lt;57),(IF(Time!AK29=1,AK68,AK66)-AK65)*AL19+IF(Time!AK29=1,AK68,AK66)*AL12,0)</f>
        <v>3.90466296328881</v>
      </c>
      <c r="AL128" s="11" t="n">
        <f aca="false">IF(AND(Time!AL17&gt;=Time!$F$11,Time!AL17&lt;57),(IF(Time!AL29=1,AL68,AL66)-AL65)*AM19+IF(Time!AL29=1,AL68,AL66)*AM12,0)</f>
        <v>3.85596778165781</v>
      </c>
      <c r="AM128" s="11" t="n">
        <f aca="false">IF(AND(Time!AM17&gt;=Time!$F$11,Time!AM17&lt;57),(IF(Time!AM29=1,AM68,AM66)-AM65)*AN19+IF(Time!AM29=1,AM68,AM66)*AN12,0)</f>
        <v>3.12223949158291</v>
      </c>
      <c r="AN128" s="11" t="n">
        <f aca="false">IF(AND(Time!AN17&gt;=Time!$F$11,Time!AN17&lt;57),(IF(Time!AN29=1,AN68,AN66)-AN65)*AO19+IF(Time!AN29=1,AN68,AN66)*AO12,0)</f>
        <v>3.0664694367218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15.7118164284045</v>
      </c>
      <c r="P129" s="11" t="n">
        <f aca="false">IF(AND(Time!P17&gt;=Time!$F$11,Time!P17&lt;57),(IF(Time!P29=1,P83,P81)-P80)*Q19+IF(Time!P29=1,P83,P81)*Q13,0)</f>
        <v>15.5905294834455</v>
      </c>
      <c r="Q129" s="11" t="n">
        <f aca="false">IF(AND(Time!Q17&gt;=Time!$F$11,Time!Q17&lt;57),(IF(Time!Q29=1,Q83,Q81)-Q80)*R19+IF(Time!Q29=1,Q83,Q81)*R13,0)</f>
        <v>15.7982497584975</v>
      </c>
      <c r="R129" s="11" t="n">
        <f aca="false">IF(AND(Time!R17&gt;=Time!$F$11,Time!R17&lt;57),(IF(Time!R29=1,R83,R81)-R80)*S19+IF(Time!R29=1,R83,R81)*S13,0)</f>
        <v>15.5884527186763</v>
      </c>
      <c r="S129" s="11" t="n">
        <f aca="false">IF(AND(Time!S17&gt;=Time!$F$11,Time!S17&lt;57),(IF(Time!S29=1,S83,S81)-S80)*T19+IF(Time!S29=1,S83,S81)*T13,0)</f>
        <v>15.7701000327804</v>
      </c>
      <c r="T129" s="11" t="n">
        <f aca="false">IF(AND(Time!T17&gt;=Time!$F$11,Time!T17&lt;57),(IF(Time!T29=1,T83,T81)-T80)*U19+U22*MIN($F$75/4,T80)+IF(Time!T29=1,T83,T81)*U13,0)</f>
        <v>15.6139676502482</v>
      </c>
      <c r="U129" s="11" t="n">
        <f aca="false">IF(AND(Time!U17&gt;=Time!$F$11,Time!U17&lt;57),(IF(Time!U29=1,U83,U81)-U80)*V19+V22*MIN($F$75/4,U80)+IF(Time!U29=1,U83,U81)*V13,0)</f>
        <v>15.8809555002622</v>
      </c>
      <c r="V129" s="11" t="n">
        <f aca="false">IF(AND(Time!V17&gt;=Time!$F$11,Time!V17&lt;57),(IF(Time!V29=1,V83,V81)-V80)*W19+W22*MIN($F$75/4,V80)+IF(Time!V29=1,V83,V81)*W13,0)</f>
        <v>15.671862206514</v>
      </c>
      <c r="W129" s="11" t="n">
        <f aca="false">IF(AND(Time!W17&gt;=Time!$F$11,Time!W17&lt;57),(IF(Time!W29=1,W83,W81)-W80)*X19+X22*MIN($F$75/4,W80)+IF(Time!W29=1,W83,W81)*X13,0)</f>
        <v>15.2614586723352</v>
      </c>
      <c r="X129" s="11" t="n">
        <f aca="false">IF(AND(Time!X17&gt;=Time!$F$11,Time!X17&lt;57),(IF(Time!X29=1,X83,X81)-X80)*Y19+IF(Time!X29=1,X83,X81)*Y13,0)</f>
        <v>15.3309403561482</v>
      </c>
      <c r="Y129" s="11" t="n">
        <f aca="false">IF(AND(Time!Y17&gt;=Time!$F$11,Time!Y17&lt;57),(IF(Time!Y29=1,Y83,Y81)-Y80)*Z19+IF(Time!Y29=1,Y83,Y81)*Z13,0)</f>
        <v>15.4399925530104</v>
      </c>
      <c r="Z129" s="11" t="n">
        <f aca="false">IF(AND(Time!Z17&gt;=Time!$F$11,Time!Z17&lt;57),(IF(Time!Z29=1,Z83,Z81)-Z80)*AA19+IF(Time!Z29=1,Z83,Z81)*AA13,0)</f>
        <v>15.2070257367325</v>
      </c>
      <c r="AA129" s="11" t="n">
        <f aca="false">IF(AND(Time!AA17&gt;=Time!$F$11,Time!AA17&lt;57),(IF(Time!AA29=1,AA83,AA81)-AA80)*AB19+IF(Time!AA29=1,AA83,AA81)*AB13,0)</f>
        <v>15.355567204414</v>
      </c>
      <c r="AB129" s="11" t="n">
        <f aca="false">IF(AND(Time!AB17&gt;=Time!$F$11,Time!AB17&lt;57),(IF(Time!AB29=1,AB83,AB81)-AB80)*AC19+IF(Time!AB29=1,AB83,AB81)*AC13,0)</f>
        <v>14.6035537348399</v>
      </c>
      <c r="AC129" s="11" t="n">
        <f aca="false">IF(AND(Time!AC17&gt;=Time!$F$11,Time!AC17&lt;57),(IF(Time!AC29=1,AC83,AC81)-AC80)*AD19+IF(Time!AC29=1,AC83,AC81)*AD13,0)</f>
        <v>14.3284426212825</v>
      </c>
      <c r="AD129" s="11" t="n">
        <f aca="false">IF(AND(Time!AD17&gt;=Time!$F$11,Time!AD17&lt;57),(IF(Time!AD29=1,AD83,AD81)-AD80)*AE19+IF(Time!AD29=1,AD83,AD81)*AE13,0)</f>
        <v>13.4810296752392</v>
      </c>
      <c r="AE129" s="11" t="n">
        <f aca="false">IF(AND(Time!AE17&gt;=Time!$F$11,Time!AE17&lt;57),(IF(Time!AE29=1,AE83,AE81)-AE80)*AF19+IF(Time!AE29=1,AE83,AE81)*AF13,0)</f>
        <v>12.5063667517079</v>
      </c>
      <c r="AF129" s="11" t="n">
        <f aca="false">IF(AND(Time!AF17&gt;=Time!$F$11,Time!AF17&lt;57),(IF(Time!AF29=1,AF83,AF81)-AF80)*AG19+IF(Time!AF29=1,AF83,AF81)*AG13,0)</f>
        <v>11.336157986815</v>
      </c>
      <c r="AG129" s="11" t="n">
        <f aca="false">IF(AND(Time!AG17&gt;=Time!$F$11,Time!AG17&lt;57),(IF(Time!AG29=1,AG83,AG81)-AG80)*AH19+IF(Time!AG29=1,AG83,AG81)*AH13,0)</f>
        <v>10.0372108045559</v>
      </c>
      <c r="AH129" s="11" t="n">
        <f aca="false">IF(AND(Time!AH17&gt;=Time!$F$11,Time!AH17&lt;57),(IF(Time!AH29=1,AH83,AH81)-AH80)*AI19+IF(Time!AH29=1,AH83,AH81)*AI13,0)</f>
        <v>8.29257610226937</v>
      </c>
      <c r="AI129" s="11" t="n">
        <f aca="false">IF(AND(Time!AI17&gt;=Time!$F$11,Time!AI17&lt;57),(IF(Time!AI29=1,AI83,AI81)-AI80)*AJ19+IF(Time!AI29=1,AI83,AI81)*AJ13,0)</f>
        <v>6.29461857548072</v>
      </c>
      <c r="AJ129" s="11" t="n">
        <f aca="false">IF(AND(Time!AJ17&gt;=Time!$F$11,Time!AJ17&lt;57),(IF(Time!AJ29=1,AJ83,AJ81)-AJ80)*AK19+IF(Time!AJ29=1,AJ83,AJ81)*AK13,0)</f>
        <v>3.70553927398426</v>
      </c>
      <c r="AK129" s="11" t="n">
        <f aca="false">IF(AND(Time!AK17&gt;=Time!$F$11,Time!AK17&lt;57),(IF(Time!AK29=1,AK83,AK81)-AK80)*AL19+IF(Time!AK29=1,AK83,AK81)*AL13,0)</f>
        <v>0.254123042737751</v>
      </c>
      <c r="AL129" s="11" t="n">
        <f aca="false">IF(AND(Time!AL17&gt;=Time!$F$11,Time!AL17&lt;57),(IF(Time!AL29=1,AL83,AL81)-AL80)*AM19+IF(Time!AL29=1,AL83,AL81)*AM13,0)</f>
        <v>0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1.11681414024904E-012</v>
      </c>
      <c r="P130" s="11" t="n">
        <f aca="false">IF(AND(Time!P17&gt;=Time!$F$11,Time!P17&lt;57),(IF(Time!P29=1,P98,P96)-P95)*Q19+IF(Time!P29=1,P98,P96)*Q14,0)</f>
        <v>1.10879399600145E-012</v>
      </c>
      <c r="Q130" s="11" t="n">
        <f aca="false">IF(AND(Time!Q17&gt;=Time!$F$11,Time!Q17&lt;57),(IF(Time!Q29=1,Q98,Q96)-Q95)*R19+IF(Time!Q29=1,Q98,Q96)*R14,0)</f>
        <v>1.12403280802318E-012</v>
      </c>
      <c r="R130" s="11" t="n">
        <f aca="false">IF(AND(Time!R17&gt;=Time!$F$11,Time!R17&lt;57),(IF(Time!R29=1,R98,R96)-R95)*S19+IF(Time!R29=1,R98,R96)*S14,0)</f>
        <v>1.10967760737581E-012</v>
      </c>
      <c r="S130" s="11" t="n">
        <f aca="false">IF(AND(Time!S17&gt;=Time!$F$11,Time!S17&lt;57),(IF(Time!S29=1,S98,S96)-S95)*T19+IF(Time!S29=1,S98,S96)*T14,0)</f>
        <v>1.12308949166694E-012</v>
      </c>
      <c r="T130" s="11" t="n">
        <f aca="false">IF(AND(Time!T17&gt;=Time!$F$11,Time!T17&lt;57),(IF(Time!T29=1,T98,T96)-T95)*U19+U22*MIN($F$90/4,T95)+IF(Time!T29=1,T98,T96)*U14,0)</f>
        <v>1.11258270151338E-012</v>
      </c>
      <c r="U130" s="11" t="n">
        <f aca="false">IF(AND(Time!U17&gt;=Time!$F$11,Time!U17&lt;57),(IF(Time!U29=1,U98,U96)-U95)*V19+V22*MIN($F$90/4,U95)+IF(Time!U29=1,U98,U96)*V14,0)</f>
        <v>1.13233634775653E-012</v>
      </c>
      <c r="V130" s="11" t="n">
        <f aca="false">IF(AND(Time!V17&gt;=Time!$F$11,Time!V17&lt;57),(IF(Time!V29=1,V98,V96)-V95)*W19+W22*MIN($F$90/4,V95)+IF(Time!V29=1,V98,V96)*W14,0)</f>
        <v>1.11813218876202E-012</v>
      </c>
      <c r="W130" s="11" t="n">
        <f aca="false">IF(AND(Time!W17&gt;=Time!$F$11,Time!W17&lt;57),(IF(Time!W29=1,W98,W96)-W95)*X19+X22*MIN($F$90/4,W95)+IF(Time!W29=1,W98,W96)*X14,0)</f>
        <v>1.08882527088267E-012</v>
      </c>
      <c r="X130" s="11" t="n">
        <f aca="false">IF(AND(Time!X17&gt;=Time!$F$11,Time!X17&lt;57),(IF(Time!X29=1,X98,X96)-X95)*Y19+IF(Time!X29=1,X98,X96)*Y14,0)</f>
        <v>1.08034184940062E-012</v>
      </c>
      <c r="Y130" s="11" t="n">
        <f aca="false">IF(AND(Time!Y17&gt;=Time!$F$11,Time!Y17&lt;57),(IF(Time!Y29=1,Y98,Y96)-Y95)*Z19+IF(Time!Y29=1,Y98,Y96)*Z14,0)</f>
        <v>1.0890364257679E-012</v>
      </c>
      <c r="Z130" s="11" t="n">
        <f aca="false">IF(AND(Time!Z17&gt;=Time!$F$11,Time!Z17&lt;57),(IF(Time!Z29=1,Z98,Z96)-Z95)*AA19+IF(Time!Z29=1,Z98,Z96)*AA14,0)</f>
        <v>1.07396133158779E-012</v>
      </c>
      <c r="AA130" s="11" t="n">
        <f aca="false">IF(AND(Time!AA17&gt;=Time!$F$11,Time!AA17&lt;57),(IF(Time!AA29=1,AA98,AA96)-AA95)*AB19+IF(Time!AA29=1,AA98,AA96)*AB14,0)</f>
        <v>1.08565058484733E-012</v>
      </c>
      <c r="AB130" s="11" t="n">
        <f aca="false">IF(AND(Time!AB17&gt;=Time!$F$11,Time!AB17&lt;57),(IF(Time!AB29=1,AB98,AB96)-AB95)*AC19+IF(Time!AB29=1,AB98,AB96)*AC14,0)</f>
        <v>1.07567618631829E-012</v>
      </c>
      <c r="AC130" s="11" t="n">
        <f aca="false">IF(AND(Time!AC17&gt;=Time!$F$11,Time!AC17&lt;57),(IF(Time!AC29=1,AC98,AC96)-AC95)*AD19+IF(Time!AC29=1,AC98,AC96)*AD14,0)</f>
        <v>1.11279760142986E-012</v>
      </c>
      <c r="AD130" s="11" t="n">
        <f aca="false">IF(AND(Time!AD17&gt;=Time!$F$11,Time!AD17&lt;57),(IF(Time!AD29=1,AD98,AD96)-AD95)*AE19+IF(Time!AD29=1,AD98,AD96)*AE14,0)</f>
        <v>1.10758332901689E-012</v>
      </c>
      <c r="AE130" s="11" t="n">
        <f aca="false">IF(AND(Time!AE17&gt;=Time!$F$11,Time!AE17&lt;57),(IF(Time!AE29=1,AE98,AE96)-AE95)*AF19+IF(Time!AE29=1,AE98,AE96)*AF14,0)</f>
        <v>1.10913171013681E-012</v>
      </c>
      <c r="AF130" s="11" t="n">
        <f aca="false">IF(AND(Time!AF17&gt;=Time!$F$11,Time!AF17&lt;57),(IF(Time!AF29=1,AF98,AF96)-AF95)*AG19+IF(Time!AF29=1,AF98,AF96)*AG14,0)</f>
        <v>1.09958487226456E-012</v>
      </c>
      <c r="AG130" s="11" t="n">
        <f aca="false">IF(AND(Time!AG17&gt;=Time!$F$11,Time!AG17&lt;57),(IF(Time!AG29=1,AG98,AG96)-AG95)*AH19+IF(Time!AG29=1,AG98,AG96)*AH14,0)</f>
        <v>1.11042382784158E-012</v>
      </c>
      <c r="AH130" s="11" t="n">
        <f aca="false">IF(AND(Time!AH17&gt;=Time!$F$11,Time!AH17&lt;57),(IF(Time!AH29=1,AH98,AH96)-AH95)*AI19+IF(Time!AH29=1,AH98,AH96)*AI14,0)</f>
        <v>1.09487516094129E-012</v>
      </c>
      <c r="AI130" s="11" t="n">
        <f aca="false">IF(AND(Time!AI17&gt;=Time!$F$11,Time!AI17&lt;57),(IF(Time!AI29=1,AI98,AI96)-AI95)*AJ19+IF(Time!AI29=1,AI98,AI96)*AJ14,0)</f>
        <v>1.10343493873003E-012</v>
      </c>
      <c r="AJ130" s="11" t="n">
        <f aca="false">IF(AND(Time!AJ17&gt;=Time!$F$11,Time!AJ17&lt;57),(IF(Time!AJ29=1,AJ98,AJ96)-AJ95)*AK19+IF(Time!AJ29=1,AJ98,AJ96)*AK14,0)</f>
        <v>1.09187310030326E-012</v>
      </c>
      <c r="AK130" s="11" t="n">
        <f aca="false">IF(AND(Time!AK17&gt;=Time!$F$11,Time!AK17&lt;57),(IF(Time!AK29=1,AK98,AK96)-AK95)*AL19+IF(Time!AK29=1,AK98,AK96)*AL14,0)</f>
        <v>1.10940396233962E-012</v>
      </c>
      <c r="AL130" s="11" t="n">
        <f aca="false">IF(AND(Time!AL17&gt;=Time!$F$11,Time!AL17&lt;57),(IF(Time!AL29=1,AL98,AL96)-AL95)*AM19+IF(Time!AL29=1,AL98,AL96)*AM14,0)</f>
        <v>1.08613621889977E-012</v>
      </c>
      <c r="AM130" s="11" t="n">
        <f aca="false">IF(AND(Time!AM17&gt;=Time!$F$11,Time!AM17&lt;57),(IF(Time!AM29=1,AM98,AM96)-AM95)*AN19+IF(Time!AM29=1,AM98,AM96)*AN14,0)</f>
        <v>8.75040484269021E-013</v>
      </c>
      <c r="AN130" s="11" t="n">
        <f aca="false">IF(AND(Time!AN17&gt;=Time!$F$11,Time!AN17&lt;57),(IF(Time!AN29=1,AN98,AN96)-AN95)*AO19+IF(Time!AN29=1,AN98,AN96)*AO14,0)</f>
        <v>8.51605452043554E-013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37.2458954370965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37.1570164551458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37.624785087678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37.333312492557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37.7512177817478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37.5706927548527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38.2879202351583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38.0232274258698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36.9267950745894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36.5703920445452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36.8713631085141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36.5742873548545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37.0047486319762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36.2331132043446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36.845078963575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36.13238180753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35.2414748068277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33.8124166154241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32.8587082965504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31.0493769475422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29.3875099624717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26.8133247998948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23.9723630413684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23.5692918532781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19.1320172548642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18.9059077476081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0.0343560605451908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0.0340124598263424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0.0343808210390786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0.034024638221434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0.0343932012860226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0.0341474925762968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0.0343932012860226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0.034024638221434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0.0343932012860226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0.0350860579745204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0.0354722136317016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0.0350860579745204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0.0354722136317016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0.0352147765269141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0.0354722136317016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0.0350860579745204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0.0354722136317016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0.0361474777276068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0.0365512259773806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0.0361474777276068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0.0365512259773806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0.0362820604775314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0.0365512259773806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0.0361474777276068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0.0365512259773806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0.0361474777276068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850.404940829408</v>
      </c>
      <c r="Q136" s="11" t="n">
        <f aca="false">IF(Q134=1,(Waterfall!Q7+R136)/(1+Q135),0)</f>
        <v>829.669120642732</v>
      </c>
      <c r="R136" s="11" t="n">
        <f aca="false">IF(R134=1,(Waterfall!R7+S136)/(1+R135),0)</f>
        <v>808.055615194082</v>
      </c>
      <c r="S136" s="11" t="n">
        <f aca="false">IF(S134=1,(Waterfall!S7+T136)/(1+S135),0)</f>
        <v>785.377818059724</v>
      </c>
      <c r="T136" s="11" t="n">
        <f aca="false">IF(T134=1,(Waterfall!T7+U136)/(1+T135),0)</f>
        <v>762.03348163089</v>
      </c>
      <c r="U136" s="11" t="n">
        <f aca="false">IF(U134=1,(Waterfall!U7+V136)/(1+U135),0)</f>
        <v>737.619958282118</v>
      </c>
      <c r="V136" s="11" t="n">
        <f aca="false">IF(V134=1,(Waterfall!V7+W136)/(1+V135),0)</f>
        <v>712.42715521794</v>
      </c>
      <c r="W136" s="11" t="n">
        <f aca="false">IF(W134=1,(Waterfall!W7+X136)/(1+W135),0)</f>
        <v>685.579691661122</v>
      </c>
      <c r="X136" s="11" t="n">
        <f aca="false">IF(X134=1,(Waterfall!X7+Y136)/(1+X135),0)</f>
        <v>657.913658181935</v>
      </c>
      <c r="Y136" s="11" t="n">
        <f aca="false">IF(Y134=1,(Waterfall!Y7+Z136)/(1+Y135),0)</f>
        <v>631.042436217134</v>
      </c>
      <c r="Z136" s="11" t="n">
        <f aca="false">IF(Z134=1,(Waterfall!Z7+AA136)/(1+Z135),0)</f>
        <v>604.16559975664</v>
      </c>
      <c r="AA136" s="11" t="n">
        <f aca="false">IF(AA134=1,(Waterfall!AA7+AB136)/(1+AA135),0)</f>
        <v>576.176133057884</v>
      </c>
      <c r="AB136" s="11" t="n">
        <f aca="false">IF(AB134=1,(Waterfall!AB7+AC136)/(1+AB135),0)</f>
        <v>547.371675633483</v>
      </c>
      <c r="AC136" s="11" t="n">
        <f aca="false">IF(AC134=1,(Waterfall!AC7+AD136)/(1+AC135),0)</f>
        <v>517.195826911466</v>
      </c>
      <c r="AD136" s="11" t="n">
        <f aca="false">IF(AD134=1,(Waterfall!AD7+AE136)/(1+AD135),0)</f>
        <v>486.017438952357</v>
      </c>
      <c r="AE136" s="11" t="n">
        <f aca="false">IF(AE134=1,(Waterfall!AE7+AF136)/(1+AE135),0)</f>
        <v>451.949683395698</v>
      </c>
      <c r="AF136" s="11" t="n">
        <f aca="false">IF(AF134=1,(Waterfall!AF7+AG136)/(1+AF135),0)</f>
        <v>416.415886455676</v>
      </c>
      <c r="AG136" s="11" t="n">
        <f aca="false">IF(AG134=1,(Waterfall!AG7+AH136)/(1+AG135),0)</f>
        <v>379.653852827482</v>
      </c>
      <c r="AH136" s="11" t="n">
        <f aca="false">IF(AH134=1,(Waterfall!AH7+AI136)/(1+AH135),0)</f>
        <v>342.214233393744</v>
      </c>
      <c r="AI136" s="11" t="n">
        <f aca="false">IF(AI134=1,(Waterfall!AI7+AJ136)/(1+AI135),0)</f>
        <v>302.89536481321</v>
      </c>
      <c r="AJ136" s="11" t="n">
        <f aca="false">IF(AJ134=1,(Waterfall!AJ7+AK136)/(1+AJ135),0)</f>
        <v>262.423784363902</v>
      </c>
      <c r="AK136" s="11" t="n">
        <f aca="false">IF(AK134=1,(Waterfall!AK7+AL136)/(1+AK135),0)</f>
        <v>220.003519883995</v>
      </c>
      <c r="AL136" s="11" t="n">
        <f aca="false">IF(AL134=1,(Waterfall!AL7+AM136)/(1+AL135),0)</f>
        <v>176.209154253992</v>
      </c>
      <c r="AM136" s="11" t="n">
        <f aca="false">IF(AM134=1,(Waterfall!AM7+AN136)/(1+AM135),0)</f>
        <v>129.760939618839</v>
      </c>
      <c r="AN136" s="11" t="n">
        <f aca="false">IF(AN134=1,(Waterfall!AN7+AO136)/(1+AN135),0)</f>
        <v>81.9385380504007</v>
      </c>
      <c r="AO136" s="11" t="n">
        <f aca="false">IF(AO134=1,(Waterfall!AO7+AP136)/(1+AO135),0)</f>
        <v>39.9881885532101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1.34290867149025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629.929585799562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642.908338550588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IF(J134=1,Waterfall!J7/$F$137,0)</f>
        <v>0</v>
      </c>
      <c r="K140" s="11" t="n">
        <f aca="false">IF(K134=1,Waterfall!K7/$F$137,0)</f>
        <v>0</v>
      </c>
      <c r="L140" s="11" t="n">
        <f aca="false">IF(L134=1,Waterfall!L7/$F$137,0)</f>
        <v>0</v>
      </c>
      <c r="M140" s="11" t="n">
        <f aca="false">IF(M134=1,Waterfall!M7/$F$137,0)</f>
        <v>0</v>
      </c>
      <c r="N140" s="11" t="n">
        <f aca="false">IF(N134=1,Waterfall!N7/$F$137,0)</f>
        <v>0</v>
      </c>
      <c r="O140" s="11" t="n">
        <f aca="false">IF(O134=1,Waterfall!O7/$F$137,0)</f>
        <v>0</v>
      </c>
      <c r="P140" s="11" t="n">
        <f aca="false">IF(P134=1,Waterfall!P7/$F$137,0)</f>
        <v>37.1971563533859</v>
      </c>
      <c r="Q140" s="11" t="n">
        <f aca="false">IF(Q134=1,Waterfall!Q7/$F$137,0)</f>
        <v>37.1079539075197</v>
      </c>
      <c r="R140" s="11" t="n">
        <f aca="false">IF(R134=1,Waterfall!R7/$F$137,0)</f>
        <v>37.5747165099264</v>
      </c>
      <c r="S140" s="11" t="n">
        <f aca="false">IF(S134=1,Waterfall!S7/$F$137,0)</f>
        <v>37.2821574678607</v>
      </c>
      <c r="T140" s="11" t="n">
        <f aca="false">IF(T134=1,Waterfall!T7/$F$137,0)</f>
        <v>37.6960066934529</v>
      </c>
      <c r="U140" s="11" t="n">
        <f aca="false">IF(U134=1,Waterfall!U7/$F$137,0)</f>
        <v>37.5160844391871</v>
      </c>
      <c r="V140" s="11" t="n">
        <f aca="false">IF(V134=1,Waterfall!V7/$F$137,0)</f>
        <v>38.2379793935447</v>
      </c>
      <c r="W140" s="11" t="n">
        <f aca="false">IF(W134=1,Waterfall!W7/$F$137,0)</f>
        <v>37.9717813597347</v>
      </c>
      <c r="X140" s="11" t="n">
        <f aca="false">IF(X134=1,Waterfall!X7/$F$137,0)</f>
        <v>36.8595273009487</v>
      </c>
      <c r="Y140" s="11" t="n">
        <f aca="false">IF(Y134=1,Waterfall!Y7/$F$137,0)</f>
        <v>36.5010882740041</v>
      </c>
      <c r="Z140" s="11" t="n">
        <f aca="false">IF(Z134=1,Waterfall!Z7/$F$137,0)</f>
        <v>36.8011309863729</v>
      </c>
      <c r="AA140" s="11" t="n">
        <f aca="false">IF(AA134=1,Waterfall!AA7/$F$137,0)</f>
        <v>36.5030084867989</v>
      </c>
      <c r="AB140" s="11" t="n">
        <f aca="false">IF(AB134=1,Waterfall!AB7/$F$137,0)</f>
        <v>36.9290442372359</v>
      </c>
      <c r="AC140" s="11" t="n">
        <f aca="false">IF(AC134=1,Waterfall!AC7/$F$137,0)</f>
        <v>36.7793614510201</v>
      </c>
      <c r="AD140" s="11" t="n">
        <f aca="false">IF(AD134=1,Waterfall!AD7/$F$137,0)</f>
        <v>38.2065222074795</v>
      </c>
      <c r="AE140" s="11" t="n">
        <f aca="false">IF(AE134=1,Waterfall!AE7/$F$137,0)</f>
        <v>38.2683728419004</v>
      </c>
      <c r="AF140" s="11" t="n">
        <f aca="false">IF(AF134=1,Waterfall!AF7/$F$137,0)</f>
        <v>38.3743347602311</v>
      </c>
      <c r="AG140" s="11" t="n">
        <f aca="false">IF(AG134=1,Waterfall!AG7/$F$137,0)</f>
        <v>38.098755119544</v>
      </c>
      <c r="AH140" s="11" t="n">
        <f aca="false">IF(AH134=1,Waterfall!AH7/$F$137,0)</f>
        <v>38.5932561597591</v>
      </c>
      <c r="AI140" s="11" t="n">
        <f aca="false">IF(AI134=1,Waterfall!AI7/$F$137,0)</f>
        <v>38.2903804214967</v>
      </c>
      <c r="AJ140" s="11" t="n">
        <f aca="false">IF(AJ134=1,Waterfall!AJ7/$F$137,0)</f>
        <v>38.7309849345998</v>
      </c>
      <c r="AK140" s="11" t="n">
        <f aca="false">IF(AK134=1,Waterfall!AK7/$F$137,0)</f>
        <v>38.5555233523407</v>
      </c>
      <c r="AL140" s="11" t="n">
        <f aca="false">IF(AL134=1,Waterfall!AL7/$F$137,0)</f>
        <v>39.3838213829406</v>
      </c>
      <c r="AM140" s="11" t="n">
        <f aca="false">IF(AM134=1,Waterfall!AM7/$F$137,0)</f>
        <v>39.1038745657582</v>
      </c>
      <c r="AN140" s="11" t="n">
        <f aca="false">IF(AN134=1,Waterfall!AN7/$F$137,0)</f>
        <v>33.4686226039857</v>
      </c>
      <c r="AO140" s="11" t="n">
        <f aca="false">IF(AO134=1,Waterfall!AO7/$F$137,0)</f>
        <v>30.8536697900126</v>
      </c>
      <c r="AP140" s="11" t="n">
        <f aca="false">IF(AP134=1,Waterfall!AP7/$F$137,0)</f>
        <v>0</v>
      </c>
      <c r="AQ140" s="11" t="n">
        <f aca="false">IF(AQ134=1,Waterfall!AQ7/$F$137,0)</f>
        <v>0</v>
      </c>
      <c r="AR140" s="11" t="n">
        <f aca="false">IF(AR134=1,Waterfall!AR7/$F$137,0)</f>
        <v>0</v>
      </c>
      <c r="AS140" s="11" t="n">
        <f aca="false">IF(AS134=1,Waterfall!AS7/$F$137,0)</f>
        <v>0</v>
      </c>
      <c r="AT140" s="11" t="n">
        <f aca="false">IF(AT134=1,Waterfall!AT7/$F$137,0)</f>
        <v>0</v>
      </c>
      <c r="AU140" s="11" t="n">
        <f aca="false">IF(AU134=1,Waterfall!AU7/$F$137,0)</f>
        <v>0</v>
      </c>
      <c r="AV140" s="11" t="n">
        <f aca="false">IF(AV134=1,Waterfall!AV7/$F$137,0)</f>
        <v>0</v>
      </c>
      <c r="AW140" s="11" t="n">
        <f aca="false">IF(AW134=1,Waterfall!AW7/$F$137,0)</f>
        <v>0</v>
      </c>
      <c r="AX140" s="11" t="n">
        <f aca="false">IF(AX134=1,Waterfall!AX7/$F$137,0)</f>
        <v>0</v>
      </c>
      <c r="AY140" s="11" t="n">
        <f aca="false">IF(AY134=1,Waterfall!AY7/$F$137,0)</f>
        <v>0</v>
      </c>
      <c r="AZ140" s="11" t="n">
        <f aca="false">IF(AZ134=1,Waterfall!AZ7/$F$137,0)</f>
        <v>0</v>
      </c>
      <c r="BA140" s="11" t="n">
        <f aca="false">IF(BA134=1,Waterfall!BA7/$F$137,0)</f>
        <v>0</v>
      </c>
      <c r="BB140" s="11" t="n">
        <f aca="false">IF(BB134=1,Waterfall!BB7/$F$137,0)</f>
        <v>0</v>
      </c>
      <c r="BC140" s="11" t="n">
        <f aca="false">IF(BC134=1,Waterfall!BC7/$F$137,0)</f>
        <v>0</v>
      </c>
      <c r="BD140" s="11" t="n">
        <f aca="false">IF(BD134=1,Waterfall!BD7/$F$137,0)</f>
        <v>0</v>
      </c>
      <c r="BE140" s="11" t="n">
        <f aca="false">IF(BE134=1,Waterfall!BE7/$F$137,0)</f>
        <v>0</v>
      </c>
      <c r="BF140" s="11" t="n">
        <f aca="false">IF(BF134=1,Waterfall!BF7/$F$137,0)</f>
        <v>0</v>
      </c>
      <c r="BG140" s="11" t="n">
        <f aca="false">IF(BG134=1,Waterfall!BG7/$F$137,0)</f>
        <v>0</v>
      </c>
      <c r="BH140" s="11" t="n">
        <f aca="false">IF(BH134=1,Waterfall!BH7/$F$137,0)</f>
        <v>0</v>
      </c>
      <c r="BI140" s="11" t="n">
        <f aca="false">IF(BI134=1,Waterfall!BI7/$F$137,0)</f>
        <v>0</v>
      </c>
      <c r="BJ140" s="11" t="n">
        <f aca="false">IF(BJ134=1,Waterfall!BJ7/$F$137,0)</f>
        <v>0</v>
      </c>
      <c r="BK140" s="11" t="n">
        <f aca="false">IF(BK134=1,Waterfall!BK7/$F$137,0)</f>
        <v>0</v>
      </c>
      <c r="BL140" s="11" t="n">
        <f aca="false">IF(BL134=1,Waterfall!BL7/$F$137,0)</f>
        <v>0</v>
      </c>
      <c r="BM140" s="11" t="n">
        <f aca="false">IF(BM134=1,Waterfall!BM7/$F$137,0)</f>
        <v>0</v>
      </c>
      <c r="BN140" s="11" t="n">
        <f aca="false">IF(BN134=1,Waterfall!BN7/$F$137,0)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633.255975542774</v>
      </c>
      <c r="Q141" s="11" t="n">
        <f aca="false">IF(Q134=1,IF(Time!Q17=Time!$F$12,Funding!$F$25,P141-P142),0)</f>
        <v>617.81499982574</v>
      </c>
      <c r="R141" s="11" t="n">
        <f aca="false">IF(R134=1,IF(Time!R17=Time!$F$12,Funding!$F$25,Q141-Q142),0)</f>
        <v>601.720453779905</v>
      </c>
      <c r="S141" s="11" t="n">
        <f aca="false">IF(S134=1,IF(Time!S17=Time!$F$12,Funding!$F$25,R141-R142),0)</f>
        <v>584.833380506939</v>
      </c>
      <c r="T141" s="11" t="n">
        <f aca="false">IF(T134=1,IF(Time!T17=Time!$F$12,Funding!$F$25,S141-S142),0)</f>
        <v>567.449967230645</v>
      </c>
      <c r="U141" s="11" t="n">
        <f aca="false">IF(U134=1,IF(Time!U17=Time!$F$12,Funding!$F$25,T141-T142),0)</f>
        <v>549.270381479902</v>
      </c>
      <c r="V141" s="11" t="n">
        <f aca="false">IF(V134=1,IF(Time!V17=Time!$F$12,Funding!$F$25,U141-U142),0)</f>
        <v>530.51050331468</v>
      </c>
      <c r="W141" s="11" t="n">
        <f aca="false">IF(W134=1,IF(Time!W17=Time!$F$12,Funding!$F$25,V141-V142),0)</f>
        <v>510.518478445986</v>
      </c>
      <c r="X141" s="11" t="n">
        <f aca="false">IF(X134=1,IF(Time!X17=Time!$F$12,Funding!$F$25,W141-W142),0)</f>
        <v>489.916903620733</v>
      </c>
      <c r="Y141" s="11" t="n">
        <f aca="false">IF(Y134=1,IF(Time!Y17=Time!$F$12,Funding!$F$25,X141-X142),0)</f>
        <v>469.907186999437</v>
      </c>
      <c r="Z141" s="11" t="n">
        <f aca="false">IF(Z134=1,IF(Time!Z17=Time!$F$12,Funding!$F$25,Y141-Y142),0)</f>
        <v>449.893289531139</v>
      </c>
      <c r="AA141" s="11" t="n">
        <f aca="false">IF(AA134=1,IF(Time!AA17=Time!$F$12,Funding!$F$25,Z141-Z142),0)</f>
        <v>429.050869422484</v>
      </c>
      <c r="AB141" s="11" t="n">
        <f aca="false">IF(AB134=1,IF(Time!AB17=Time!$F$12,Funding!$F$25,AA141-AA142),0)</f>
        <v>407.60156461426</v>
      </c>
      <c r="AC141" s="11" t="n">
        <f aca="false">IF(AC134=1,IF(Time!AC17=Time!$F$12,Funding!$F$25,AB141-AB142),0)</f>
        <v>385.131050153637</v>
      </c>
      <c r="AD141" s="11" t="n">
        <f aca="false">IF(AD134=1,IF(Time!AD17=Time!$F$12,Funding!$F$25,AC141-AC142),0)</f>
        <v>361.913992567353</v>
      </c>
      <c r="AE141" s="11" t="n">
        <f aca="false">IF(AE134=1,IF(Time!AE17=Time!$F$12,Funding!$F$25,AD141-AD142),0)</f>
        <v>336.545360820525</v>
      </c>
      <c r="AF141" s="11" t="n">
        <f aca="false">IF(AF134=1,IF(Time!AF17=Time!$F$12,Funding!$F$25,AE141-AE142),0)</f>
        <v>310.08503801943</v>
      </c>
      <c r="AG141" s="11" t="n">
        <f aca="false">IF(AG134=1,IF(Time!AG17=Time!$F$12,Funding!$F$25,AF141-AF142),0)</f>
        <v>282.710105971818</v>
      </c>
      <c r="AH141" s="11" t="n">
        <f aca="false">IF(AH134=1,IF(Time!AH17=Time!$F$12,Funding!$F$25,AG141-AG142),0)</f>
        <v>254.83060811126</v>
      </c>
      <c r="AI141" s="11" t="n">
        <f aca="false">IF(AI134=1,IF(Time!AI17=Time!$F$12,Funding!$F$25,AH141-AH142),0)</f>
        <v>225.551723094528</v>
      </c>
      <c r="AJ141" s="11" t="n">
        <f aca="false">IF(AJ134=1,IF(Time!AJ17=Time!$F$12,Funding!$F$25,AI141-AI142),0)</f>
        <v>195.414468560014</v>
      </c>
      <c r="AK141" s="11" t="n">
        <f aca="false">IF(AK134=1,IF(Time!AK17=Time!$F$12,Funding!$F$25,AJ141-AJ142),0)</f>
        <v>163.826122025002</v>
      </c>
      <c r="AL141" s="11" t="n">
        <f aca="false">IF(AL134=1,IF(Time!AL17=Time!$F$12,Funding!$F$25,AK141-AK142),0)</f>
        <v>131.214547939771</v>
      </c>
      <c r="AM141" s="11" t="n">
        <f aca="false">IF(AM134=1,IF(Time!AM17=Time!$F$12,Funding!$F$25,AL141-AL142),0)</f>
        <v>96.6267791500971</v>
      </c>
      <c r="AN141" s="11" t="n">
        <f aca="false">IF(AN134=1,IF(Time!AN17=Time!$F$12,Funding!$F$25,AM141-AM142),0)</f>
        <v>61.0157189315574</v>
      </c>
      <c r="AO141" s="11" t="n">
        <f aca="false">IF(AO134=1,IF(Time!AO17=Time!$F$12,Funding!$F$25,AN141-AN142),0)</f>
        <v>29.7772956584114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15.4409757170345</v>
      </c>
      <c r="Q142" s="11" t="n">
        <f aca="false">Q140-Q141*Q135</f>
        <v>16.0945460458349</v>
      </c>
      <c r="R142" s="11" t="n">
        <f aca="false">R140-R141*R135</f>
        <v>16.8870732729663</v>
      </c>
      <c r="S142" s="11" t="n">
        <f aca="false">S140-S141*S135</f>
        <v>17.3834132762939</v>
      </c>
      <c r="T142" s="11" t="n">
        <f aca="false">T140-T141*T135</f>
        <v>18.1795857507424</v>
      </c>
      <c r="U142" s="11" t="n">
        <f aca="false">U140-U141*U135</f>
        <v>18.7598781652224</v>
      </c>
      <c r="V142" s="11" t="n">
        <f aca="false">V140-V141*V135</f>
        <v>19.9920248686938</v>
      </c>
      <c r="W142" s="11" t="n">
        <f aca="false">W140-W141*W135</f>
        <v>20.6015748252531</v>
      </c>
      <c r="X142" s="11" t="n">
        <f aca="false">X140-X141*X135</f>
        <v>20.0097166212959</v>
      </c>
      <c r="Y142" s="11" t="n">
        <f aca="false">Y140-Y141*Y135</f>
        <v>20.013897468298</v>
      </c>
      <c r="Z142" s="11" t="n">
        <f aca="false">Z140-Z141*Z135</f>
        <v>20.8424201086554</v>
      </c>
      <c r="AA142" s="11" t="n">
        <f aca="false">AA140-AA141*AA135</f>
        <v>21.4493048082233</v>
      </c>
      <c r="AB142" s="11" t="n">
        <f aca="false">AB140-AB141*AB135</f>
        <v>22.470514460623</v>
      </c>
      <c r="AC142" s="11" t="n">
        <f aca="false">AC140-AC141*AC135</f>
        <v>23.217057586284</v>
      </c>
      <c r="AD142" s="11" t="n">
        <f aca="false">AD140-AD141*AD135</f>
        <v>25.3686317468283</v>
      </c>
      <c r="AE142" s="11" t="n">
        <f aca="false">AE140-AE141*AE135</f>
        <v>26.4603228010955</v>
      </c>
      <c r="AF142" s="11" t="n">
        <f aca="false">AF140-AF141*AF135</f>
        <v>27.3749320476116</v>
      </c>
      <c r="AG142" s="11" t="n">
        <f aca="false">AG140-AG141*AG135</f>
        <v>27.8794978605584</v>
      </c>
      <c r="AH142" s="11" t="n">
        <f aca="false">AH140-AH141*AH135</f>
        <v>29.2788850167312</v>
      </c>
      <c r="AI142" s="11" t="n">
        <f aca="false">AI140-AI141*AI135</f>
        <v>30.1372545345139</v>
      </c>
      <c r="AJ142" s="11" t="n">
        <f aca="false">AJ140-AJ141*AJ135</f>
        <v>31.588346535013</v>
      </c>
      <c r="AK142" s="11" t="n">
        <f aca="false">AK140-AK141*AK135</f>
        <v>32.6115740852302</v>
      </c>
      <c r="AL142" s="11" t="n">
        <f aca="false">AL140-AL141*AL135</f>
        <v>34.5877687896742</v>
      </c>
      <c r="AM142" s="11" t="n">
        <f aca="false">AM140-AM141*AM135</f>
        <v>35.6110602185397</v>
      </c>
      <c r="AN142" s="11" t="n">
        <f aca="false">AN140-AN141*AN135</f>
        <v>31.2384232731461</v>
      </c>
      <c r="AO142" s="11" t="n">
        <f aca="false">AO140-AO141*AO135</f>
        <v>29.7772956584118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37.2458954370954</v>
      </c>
      <c r="P9" s="11" t="n">
        <f aca="false">IF(Time!P29=1,SUM(Funding!$J$44:$BJ$44),O13)</f>
        <v>37.2458954370965</v>
      </c>
      <c r="Q9" s="11" t="n">
        <f aca="false">IF(Time!Q29=1,SUM(Funding!$J$44:$BJ$44),P13)</f>
        <v>37.1570164551458</v>
      </c>
      <c r="R9" s="11" t="n">
        <f aca="false">IF(Time!R29=1,SUM(Funding!$J$44:$BJ$44),Q13)</f>
        <v>37.624785087678</v>
      </c>
      <c r="S9" s="11" t="n">
        <f aca="false">IF(Time!S29=1,SUM(Funding!$J$44:$BJ$44),R13)</f>
        <v>37.333312492557</v>
      </c>
      <c r="T9" s="11" t="n">
        <f aca="false">IF(Time!T29=1,SUM(Funding!$J$44:$BJ$44),S13)</f>
        <v>37.7512177817478</v>
      </c>
      <c r="U9" s="11" t="n">
        <f aca="false">IF(Time!U29=1,SUM(Funding!$J$44:$BJ$44),T13)</f>
        <v>37.5706927548527</v>
      </c>
      <c r="V9" s="11" t="n">
        <f aca="false">IF(Time!V29=1,SUM(Funding!$J$44:$BJ$44),U13)</f>
        <v>38.2879202351583</v>
      </c>
      <c r="W9" s="11" t="n">
        <f aca="false">IF(Time!W29=1,SUM(Funding!$J$44:$BJ$44),V13)</f>
        <v>38.0232274258698</v>
      </c>
      <c r="X9" s="11" t="n">
        <f aca="false">IF(Time!X29=1,SUM(Funding!$J$44:$BJ$44),W13)</f>
        <v>36.9267950745894</v>
      </c>
      <c r="Y9" s="11" t="n">
        <f aca="false">IF(Time!Y29=1,SUM(Funding!$J$44:$BJ$44),X13)</f>
        <v>36.5703920445452</v>
      </c>
      <c r="Z9" s="11" t="n">
        <f aca="false">IF(Time!Z29=1,SUM(Funding!$J$44:$BJ$44),Y13)</f>
        <v>36.8713631085141</v>
      </c>
      <c r="AA9" s="11" t="n">
        <f aca="false">IF(Time!AA29=1,SUM(Funding!$J$44:$BJ$44),Z13)</f>
        <v>36.5742873548545</v>
      </c>
      <c r="AB9" s="11" t="n">
        <f aca="false">IF(Time!AB29=1,SUM(Funding!$J$44:$BJ$44),AA13)</f>
        <v>37.0047486319762</v>
      </c>
      <c r="AC9" s="11" t="n">
        <f aca="false">IF(Time!AC29=1,SUM(Funding!$J$44:$BJ$44),AB13)</f>
        <v>36.2331132043446</v>
      </c>
      <c r="AD9" s="11" t="n">
        <f aca="false">IF(Time!AD29=1,SUM(Funding!$J$44:$BJ$44),AC13)</f>
        <v>36.845078963575</v>
      </c>
      <c r="AE9" s="11" t="n">
        <f aca="false">IF(Time!AE29=1,SUM(Funding!$J$44:$BJ$44),AD13)</f>
        <v>36.13238180753</v>
      </c>
      <c r="AF9" s="11" t="n">
        <f aca="false">IF(Time!AF29=1,SUM(Funding!$J$44:$BJ$44),AE13)</f>
        <v>35.2414748068277</v>
      </c>
      <c r="AG9" s="11" t="n">
        <f aca="false">IF(Time!AG29=1,SUM(Funding!$J$44:$BJ$44),AF13)</f>
        <v>33.8124166154241</v>
      </c>
      <c r="AH9" s="11" t="n">
        <f aca="false">IF(Time!AH29=1,SUM(Funding!$J$44:$BJ$44),AG13)</f>
        <v>32.8587082965504</v>
      </c>
      <c r="AI9" s="11" t="n">
        <f aca="false">IF(Time!AI29=1,SUM(Funding!$J$44:$BJ$44),AH13)</f>
        <v>31.0493769475422</v>
      </c>
      <c r="AJ9" s="11" t="n">
        <f aca="false">IF(Time!AJ29=1,SUM(Funding!$J$44:$BJ$44),AI13)</f>
        <v>29.3875099624717</v>
      </c>
      <c r="AK9" s="11" t="n">
        <f aca="false">IF(Time!AK29=1,SUM(Funding!$J$44:$BJ$44),AJ13)</f>
        <v>26.8133247998948</v>
      </c>
      <c r="AL9" s="11" t="n">
        <f aca="false">IF(Time!AL29=1,SUM(Funding!$J$44:$BJ$44),AK13)</f>
        <v>23.9723630413684</v>
      </c>
      <c r="AM9" s="11" t="n">
        <f aca="false">IF(Time!AM29=1,SUM(Funding!$J$44:$BJ$44),AL13)</f>
        <v>23.5692918532781</v>
      </c>
      <c r="AN9" s="11" t="n">
        <f aca="false">IF(Time!AN29=1,SUM(Funding!$J$44:$BJ$44),AM13)</f>
        <v>19.1320172548642</v>
      </c>
      <c r="AO9" s="11" t="n">
        <f aca="false">IF(Time!AO29=1,SUM(Funding!$J$44:$BJ$44),AN13)</f>
        <v>18.9059077476081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2.94629950235088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1.11555209514336E-012</v>
      </c>
      <c r="P11" s="11" t="n">
        <f aca="false">MIN(Waterfall!P13,MAX(0,Debt!P132-(P9-P10)))</f>
        <v>0</v>
      </c>
      <c r="Q11" s="11" t="n">
        <f aca="false">MIN(Waterfall!Q13,MAX(0,Debt!Q132-(Q9-Q10)))</f>
        <v>0.467768632532213</v>
      </c>
      <c r="R11" s="11" t="n">
        <f aca="false">MIN(Waterfall!R13,MAX(0,Debt!R132-(R9-R10)))</f>
        <v>0</v>
      </c>
      <c r="S11" s="11" t="n">
        <f aca="false">MIN(Waterfall!S13,MAX(0,Debt!S132-(S9-S10)))</f>
        <v>0.417905289190834</v>
      </c>
      <c r="T11" s="11" t="n">
        <f aca="false">MIN(Waterfall!T13,MAX(0,Debt!T132-(T9-T10)))</f>
        <v>0</v>
      </c>
      <c r="U11" s="11" t="n">
        <f aca="false">MIN(Waterfall!U13,MAX(0,Debt!U132-(U9-U10)))</f>
        <v>0.717227480305631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0.300971063968952</v>
      </c>
      <c r="Z11" s="11" t="n">
        <f aca="false">MIN(Waterfall!Z13,MAX(0,Debt!Z132-(Z9-Z10)))</f>
        <v>0</v>
      </c>
      <c r="AA11" s="11" t="n">
        <f aca="false">MIN(Waterfall!AA13,MAX(0,Debt!AA132-(AA9-AA10)))</f>
        <v>0.430461277121729</v>
      </c>
      <c r="AB11" s="11" t="n">
        <f aca="false">MIN(Waterfall!AB13,MAX(0,Debt!AB132-(AB9-AB10)))</f>
        <v>0</v>
      </c>
      <c r="AC11" s="11" t="n">
        <f aca="false">MIN(Waterfall!AC13,MAX(0,Debt!AC132-(AC9-AC10)))</f>
        <v>0.611965759230401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40.1921949394462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0.088878981950721</v>
      </c>
      <c r="Q12" s="11" t="n">
        <f aca="false">MAX(0,Q9-Q10-Debt!Q132)</f>
        <v>0</v>
      </c>
      <c r="R12" s="11" t="n">
        <f aca="false">MAX(0,R9-R10-Debt!R132)</f>
        <v>0.291472595121029</v>
      </c>
      <c r="S12" s="11" t="n">
        <f aca="false">MAX(0,S9-S10-Debt!S132)</f>
        <v>0</v>
      </c>
      <c r="T12" s="11" t="n">
        <f aca="false">MAX(0,T9-T10-Debt!T132)</f>
        <v>0.180525026895069</v>
      </c>
      <c r="U12" s="11" t="n">
        <f aca="false">MAX(0,U9-U10-Debt!U132)</f>
        <v>0</v>
      </c>
      <c r="V12" s="11" t="n">
        <f aca="false">MAX(0,V9-V10-Debt!V132)</f>
        <v>0.264692809288562</v>
      </c>
      <c r="W12" s="11" t="n">
        <f aca="false">MAX(0,W9-W10-Debt!W132)</f>
        <v>1.0964323512804</v>
      </c>
      <c r="X12" s="11" t="n">
        <f aca="false">MAX(0,X9-X10-Debt!X132)</f>
        <v>0.356403030044227</v>
      </c>
      <c r="Y12" s="11" t="n">
        <f aca="false">MAX(0,Y9-Y10-Debt!Y132)</f>
        <v>0</v>
      </c>
      <c r="Z12" s="11" t="n">
        <f aca="false">MAX(0,Z9-Z10-Debt!Z132)</f>
        <v>0.297075753659662</v>
      </c>
      <c r="AA12" s="11" t="n">
        <f aca="false">MAX(0,AA9-AA10-Debt!AA132)</f>
        <v>0</v>
      </c>
      <c r="AB12" s="11" t="n">
        <f aca="false">MAX(0,AB9-AB10-Debt!AB132)</f>
        <v>0.771635427631544</v>
      </c>
      <c r="AC12" s="11" t="n">
        <f aca="false">MAX(0,AC9-AC10-Debt!AC132)</f>
        <v>0</v>
      </c>
      <c r="AD12" s="11" t="n">
        <f aca="false">MAX(0,AD9-AD10-Debt!AD132)</f>
        <v>0.712697156045024</v>
      </c>
      <c r="AE12" s="11" t="n">
        <f aca="false">MAX(0,AE9-AE10-Debt!AE132)</f>
        <v>0.890907000702271</v>
      </c>
      <c r="AF12" s="11" t="n">
        <f aca="false">MAX(0,AF9-AF10-Debt!AF132)</f>
        <v>1.42905819140368</v>
      </c>
      <c r="AG12" s="11" t="n">
        <f aca="false">MAX(0,AG9-AG10-Debt!AG132)</f>
        <v>0.953708318873652</v>
      </c>
      <c r="AH12" s="11" t="n">
        <f aca="false">MAX(0,AH9-AH10-Debt!AH132)</f>
        <v>1.80933134900823</v>
      </c>
      <c r="AI12" s="11" t="n">
        <f aca="false">MAX(0,AI9-AI10-Debt!AI132)</f>
        <v>1.66186698507047</v>
      </c>
      <c r="AJ12" s="11" t="n">
        <f aca="false">MAX(0,AJ9-AJ10-Debt!AJ132)</f>
        <v>2.57418516257691</v>
      </c>
      <c r="AK12" s="11" t="n">
        <f aca="false">MAX(0,AK9-AK10-Debt!AK132)</f>
        <v>2.84096175852642</v>
      </c>
      <c r="AL12" s="11" t="n">
        <f aca="false">MAX(0,AL9-AL10-Debt!AL132)</f>
        <v>0.403071188090312</v>
      </c>
      <c r="AM12" s="11" t="n">
        <f aca="false">MAX(0,AM9-AM10-Debt!AM132)</f>
        <v>4.43727459841388</v>
      </c>
      <c r="AN12" s="11" t="n">
        <f aca="false">MAX(0,AN9-AN10-Debt!AN132)</f>
        <v>0.226109507256052</v>
      </c>
      <c r="AO12" s="11" t="n">
        <f aca="false">MAX(0,AO9-AO10-Debt!AO132)</f>
        <v>18.9059077476081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37.2458954370965</v>
      </c>
      <c r="P13" s="11" t="n">
        <f aca="false">(1-Time!P32)*(P9-P10+P11-P12)</f>
        <v>37.1570164551458</v>
      </c>
      <c r="Q13" s="11" t="n">
        <f aca="false">(1-Time!Q32)*(Q9-Q10+Q11-Q12)</f>
        <v>37.624785087678</v>
      </c>
      <c r="R13" s="11" t="n">
        <f aca="false">(1-Time!R32)*(R9-R10+R11-R12)</f>
        <v>37.333312492557</v>
      </c>
      <c r="S13" s="11" t="n">
        <f aca="false">(1-Time!S32)*(S9-S10+S11-S12)</f>
        <v>37.7512177817478</v>
      </c>
      <c r="T13" s="11" t="n">
        <f aca="false">(1-Time!T32)*(T9-T10+T11-T12)</f>
        <v>37.5706927548527</v>
      </c>
      <c r="U13" s="11" t="n">
        <f aca="false">(1-Time!U32)*(U9-U10+U11-U12)</f>
        <v>38.2879202351583</v>
      </c>
      <c r="V13" s="11" t="n">
        <f aca="false">(1-Time!V32)*(V9-V10+V11-V12)</f>
        <v>38.0232274258698</v>
      </c>
      <c r="W13" s="11" t="n">
        <f aca="false">(1-Time!W32)*(W9-W10+W11-W12)</f>
        <v>36.9267950745894</v>
      </c>
      <c r="X13" s="11" t="n">
        <f aca="false">(1-Time!X32)*(X9-X10+X11-X12)</f>
        <v>36.5703920445452</v>
      </c>
      <c r="Y13" s="11" t="n">
        <f aca="false">(1-Time!Y32)*(Y9-Y10+Y11-Y12)</f>
        <v>36.8713631085141</v>
      </c>
      <c r="Z13" s="11" t="n">
        <f aca="false">(1-Time!Z32)*(Z9-Z10+Z11-Z12)</f>
        <v>36.5742873548545</v>
      </c>
      <c r="AA13" s="11" t="n">
        <f aca="false">(1-Time!AA32)*(AA9-AA10+AA11-AA12)</f>
        <v>37.0047486319762</v>
      </c>
      <c r="AB13" s="11" t="n">
        <f aca="false">(1-Time!AB32)*(AB9-AB10+AB11-AB12)</f>
        <v>36.2331132043446</v>
      </c>
      <c r="AC13" s="11" t="n">
        <f aca="false">(1-Time!AC32)*(AC9-AC10+AC11-AC12)</f>
        <v>36.845078963575</v>
      </c>
      <c r="AD13" s="11" t="n">
        <f aca="false">(1-Time!AD32)*(AD9-AD10+AD11-AD12)</f>
        <v>36.13238180753</v>
      </c>
      <c r="AE13" s="11" t="n">
        <f aca="false">(1-Time!AE32)*(AE9-AE10+AE11-AE12)</f>
        <v>35.2414748068277</v>
      </c>
      <c r="AF13" s="11" t="n">
        <f aca="false">(1-Time!AF32)*(AF9-AF10+AF11-AF12)</f>
        <v>33.8124166154241</v>
      </c>
      <c r="AG13" s="11" t="n">
        <f aca="false">(1-Time!AG32)*(AG9-AG10+AG11-AG12)</f>
        <v>32.8587082965504</v>
      </c>
      <c r="AH13" s="11" t="n">
        <f aca="false">(1-Time!AH32)*(AH9-AH10+AH11-AH12)</f>
        <v>31.0493769475422</v>
      </c>
      <c r="AI13" s="11" t="n">
        <f aca="false">(1-Time!AI32)*(AI9-AI10+AI11-AI12)</f>
        <v>29.3875099624717</v>
      </c>
      <c r="AJ13" s="11" t="n">
        <f aca="false">(1-Time!AJ32)*(AJ9-AJ10+AJ11-AJ12)</f>
        <v>26.8133247998948</v>
      </c>
      <c r="AK13" s="11" t="n">
        <f aca="false">(1-Time!AK32)*(AK9-AK10+AK11-AK12)</f>
        <v>23.9723630413684</v>
      </c>
      <c r="AL13" s="11" t="n">
        <f aca="false">(1-Time!AL32)*(AL9-AL10+AL11-AL12)</f>
        <v>23.5692918532781</v>
      </c>
      <c r="AM13" s="11" t="n">
        <f aca="false">(1-Time!AM32)*(AM9-AM10+AM11-AM12)</f>
        <v>19.1320172548642</v>
      </c>
      <c r="AN13" s="11" t="n">
        <f aca="false">(1-Time!AN32)*(AN9-AN10+AN11-AN12)</f>
        <v>18.9059077476081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2292.22477658308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1.86586721000271</v>
      </c>
      <c r="P7" s="11" t="n">
        <f aca="false">Operations!P79-Tax!P27-Operations!P91-Reserves!P7+Operations!P74+Operations!P92</f>
        <v>49.9523838217405</v>
      </c>
      <c r="Q7" s="11" t="n">
        <f aca="false">Operations!Q79-Tax!Q27-Operations!Q91-Reserves!Q7+Operations!Q74+Operations!Q92</f>
        <v>49.8325930836686</v>
      </c>
      <c r="R7" s="11" t="n">
        <f aca="false">Operations!R79-Tax!R27-Operations!R91-Reserves!R7+Operations!R74+Operations!R92</f>
        <v>50.4594126299679</v>
      </c>
      <c r="S7" s="11" t="n">
        <f aca="false">Operations!S79-Tax!S27-Operations!S91-Reserves!S7+Operations!S74+Operations!S92</f>
        <v>50.0665325554551</v>
      </c>
      <c r="T7" s="11" t="n">
        <f aca="false">Operations!T79-Tax!T27-Operations!T91-Reserves!T7+Operations!T74+Operations!T92</f>
        <v>50.6222942691923</v>
      </c>
      <c r="U7" s="11" t="n">
        <f aca="false">Operations!U79-Tax!U27-Operations!U91-Reserves!U7+Operations!U74+Operations!U92</f>
        <v>50.3806751137447</v>
      </c>
      <c r="V7" s="11" t="n">
        <f aca="false">Operations!V79-Tax!V27-Operations!V91-Reserves!V7+Operations!V74+Operations!V92</f>
        <v>51.3501141078566</v>
      </c>
      <c r="W7" s="11" t="n">
        <f aca="false">Operations!W79-Tax!W27-Operations!W91-Reserves!W7+Operations!W74+Operations!W92</f>
        <v>50.9926344599196</v>
      </c>
      <c r="X7" s="11" t="n">
        <f aca="false">Operations!X79-Tax!X27-Operations!X91-Reserves!X7+Operations!X74+Operations!X92</f>
        <v>49.4989788394756</v>
      </c>
      <c r="Y7" s="11" t="n">
        <f aca="false">Operations!Y79-Tax!Y27-Operations!Y91-Reserves!Y7+Operations!Y74+Operations!Y92</f>
        <v>49.0176279619911</v>
      </c>
      <c r="Z7" s="11" t="n">
        <f aca="false">Operations!Z79-Tax!Z27-Operations!Z91-Reserves!Z7+Operations!Z74+Operations!Z92</f>
        <v>49.4205579222486</v>
      </c>
      <c r="AA7" s="11" t="n">
        <f aca="false">Operations!AA79-Tax!AA27-Operations!AA91-Reserves!AA7+Operations!AA74+Operations!AA92</f>
        <v>49.0202066324044</v>
      </c>
      <c r="AB7" s="11" t="n">
        <f aca="false">Operations!AB79-Tax!AB27-Operations!AB91-Reserves!AB7+Operations!AB74+Operations!AB92</f>
        <v>49.592333736031</v>
      </c>
      <c r="AC7" s="11" t="n">
        <f aca="false">Operations!AC79-Tax!AC27-Operations!AC91-Reserves!AC7+Operations!AC74+Operations!AC92</f>
        <v>49.391323424449</v>
      </c>
      <c r="AD7" s="11" t="n">
        <f aca="false">Operations!AD79-Tax!AD27-Operations!AD91-Reserves!AD7+Operations!AD74+Operations!AD92</f>
        <v>51.3078699799089</v>
      </c>
      <c r="AE7" s="11" t="n">
        <f aca="false">Operations!AE79-Tax!AE27-Operations!AE91-Reserves!AE7+Operations!AE74+Operations!AE92</f>
        <v>51.3909297332099</v>
      </c>
      <c r="AF7" s="11" t="n">
        <f aca="false">Operations!AF79-Tax!AF27-Operations!AF91-Reserves!AF7+Operations!AF74+Operations!AF92</f>
        <v>51.533226912184</v>
      </c>
      <c r="AG7" s="11" t="n">
        <f aca="false">Operations!AG79-Tax!AG27-Operations!AG91-Reserves!AG7+Operations!AG74+Operations!AG92</f>
        <v>51.1631486230192</v>
      </c>
      <c r="AH7" s="11" t="n">
        <f aca="false">Operations!AH79-Tax!AH27-Operations!AH91-Reserves!AH7+Operations!AH74+Operations!AH92</f>
        <v>51.827218357985</v>
      </c>
      <c r="AI7" s="11" t="n">
        <f aca="false">Operations!AI79-Tax!AI27-Operations!AI91-Reserves!AI7+Operations!AI74+Operations!AI92</f>
        <v>51.4204839026883</v>
      </c>
      <c r="AJ7" s="11" t="n">
        <f aca="false">Operations!AJ79-Tax!AJ27-Operations!AJ91-Reserves!AJ7+Operations!AJ74+Operations!AJ92</f>
        <v>52.0121755240322</v>
      </c>
      <c r="AK7" s="11" t="n">
        <f aca="false">Operations!AK79-Tax!AK27-Operations!AK91-Reserves!AK7+Operations!AK74+Operations!AK92</f>
        <v>51.7765466437032</v>
      </c>
      <c r="AL7" s="11" t="n">
        <f aca="false">Operations!AL79-Tax!AL27-Operations!AL91-Reserves!AL7+Operations!AL74+Operations!AL92</f>
        <v>52.888875251574</v>
      </c>
      <c r="AM7" s="11" t="n">
        <f aca="false">Operations!AM79-Tax!AM27-Operations!AM91-Reserves!AM7+Operations!AM74+Operations!AM92</f>
        <v>52.5129322432236</v>
      </c>
      <c r="AN7" s="11" t="n">
        <f aca="false">Operations!AN79-Tax!AN27-Operations!AN91-Reserves!AN7+Operations!AN74+Operations!AN92</f>
        <v>44.945303517727</v>
      </c>
      <c r="AO7" s="11" t="n">
        <f aca="false">Operations!AO79-Tax!AO27-Operations!AO91-Reserves!AO7+Operations!AO74+Operations!AO92</f>
        <v>41.4336607083046</v>
      </c>
      <c r="AP7" s="11" t="n">
        <f aca="false">Operations!AP79-Tax!AP27-Operations!AP91-Reserves!AP7+Operations!AP74+Operations!AP92</f>
        <v>41.3696749509332</v>
      </c>
      <c r="AQ7" s="11" t="n">
        <f aca="false">Operations!AQ79-Tax!AQ27-Operations!AQ91-Reserves!AQ7+Operations!AQ74+Operations!AQ92</f>
        <v>40.887875310738</v>
      </c>
      <c r="AR7" s="11" t="n">
        <f aca="false">Operations!AR79-Tax!AR27-Operations!AR91-Reserves!AR7+Operations!AR74+Operations!AR92</f>
        <v>41.4757192835089</v>
      </c>
      <c r="AS7" s="11" t="n">
        <f aca="false">Operations!AS79-Tax!AS27-Operations!AS91-Reserves!AS7+Operations!AS74+Operations!AS92</f>
        <v>41.2137543270468</v>
      </c>
      <c r="AT7" s="11" t="n">
        <f aca="false">Operations!AT79-Tax!AT27-Operations!AT91-Reserves!AT7+Operations!AT74+Operations!AT92</f>
        <v>47.9496062254955</v>
      </c>
      <c r="AU7" s="11" t="n">
        <f aca="false">Operations!AU79-Tax!AU27-Operations!AU91-Reserves!AU7+Operations!AU74+Operations!AU92</f>
        <v>43.5155217917493</v>
      </c>
      <c r="AV7" s="11" t="n">
        <f aca="false">Operations!AV79-Tax!AV27-Operations!AV91-Reserves!AV7+Operations!AV74+Operations!AV92</f>
        <v>43.623361666322</v>
      </c>
      <c r="AW7" s="11" t="n">
        <f aca="false">Operations!AW79-Tax!AW27-Operations!AW91-Reserves!AW7+Operations!AW74+Operations!AW92</f>
        <v>43.1966272325465</v>
      </c>
      <c r="AX7" s="11" t="n">
        <f aca="false">Operations!AX79-Tax!AX27-Operations!AX91-Reserves!AX7+Operations!AX74+Operations!AX92</f>
        <v>43.8655381025356</v>
      </c>
      <c r="AY7" s="11" t="n">
        <f aca="false">Operations!AY79-Tax!AY27-Operations!AY91-Reserves!AY7+Operations!AY74+Operations!AY92</f>
        <v>43.4110588434027</v>
      </c>
      <c r="AZ7" s="11" t="n">
        <f aca="false">Operations!AZ79-Tax!AZ27-Operations!AZ91-Reserves!AZ7+Operations!AZ74+Operations!AZ92</f>
        <v>44.019806723715</v>
      </c>
      <c r="BA7" s="11" t="n">
        <f aca="false">Operations!BA79-Tax!BA27-Operations!BA91-Reserves!BA7+Operations!BA74+Operations!BA92</f>
        <v>43.724613320615</v>
      </c>
      <c r="BB7" s="11" t="n">
        <f aca="false">Operations!BB79-Tax!BB27-Operations!BB91-Reserves!BB7+Operations!BB74+Operations!BB92</f>
        <v>45.9713357711061</v>
      </c>
      <c r="BC7" s="11" t="n">
        <f aca="false">Operations!BC79-Tax!BC27-Operations!BC91-Reserves!BC7+Operations!BC74+Operations!BC92</f>
        <v>42.5748602889876</v>
      </c>
      <c r="BD7" s="11" t="n">
        <f aca="false">Operations!BD79-Tax!BD27-Operations!BD91-Reserves!BD7+Operations!BD74+Operations!BD92</f>
        <v>36.4622230381377</v>
      </c>
      <c r="BE7" s="11" t="n">
        <f aca="false">Operations!BE79-Tax!BE27-Operations!BE91-Reserves!BE7+Operations!BE74+Operations!BE92</f>
        <v>36.0287189605431</v>
      </c>
      <c r="BF7" s="11" t="n">
        <f aca="false">Operations!BF79-Tax!BF27-Operations!BF91-Reserves!BF7+Operations!BF74+Operations!BF92</f>
        <v>36.7266544074192</v>
      </c>
      <c r="BG7" s="11" t="n">
        <f aca="false">Operations!BG79-Tax!BG27-Operations!BG91-Reserves!BG7+Operations!BG74+Operations!BG92</f>
        <v>36.2616498928744</v>
      </c>
      <c r="BH7" s="11" t="n">
        <f aca="false">Operations!BH79-Tax!BH27-Operations!BH91-Reserves!BH7+Operations!BH74+Operations!BH92</f>
        <v>36.893000883972</v>
      </c>
      <c r="BI7" s="11" t="n">
        <f aca="false">Operations!BI79-Tax!BI27-Operations!BI91-Reserves!BI7+Operations!BI74+Operations!BI92</f>
        <v>36.6358063328638</v>
      </c>
      <c r="BJ7" s="11" t="n">
        <f aca="false">Operations!BJ79-Tax!BJ27-Operations!BJ91-Reserves!BJ7+Operations!BJ74+Operations!BJ92</f>
        <v>44.6627905239125</v>
      </c>
      <c r="BK7" s="11" t="n">
        <f aca="false">Operations!BK79-Tax!BK27-Operations!BK91-Reserves!BK7+Operations!BK74+Operations!BK92</f>
        <v>39.4167108427891</v>
      </c>
      <c r="BL7" s="11" t="n">
        <f aca="false">Operations!BL79-Tax!BL27-Operations!BL91-Reserves!BL7+Operations!BL74+Operations!BL92</f>
        <v>40.1468329157625</v>
      </c>
      <c r="BM7" s="11" t="n">
        <f aca="false">Operations!BM79-Tax!BM27-Operations!BM91-Reserves!BM7+Operations!BM74+Operations!BM92</f>
        <v>36.5151277803975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1.86586721000159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1.86586721000271</v>
      </c>
      <c r="P9" s="11" t="n">
        <f aca="false">P7+P8</f>
        <v>51.8182510317421</v>
      </c>
      <c r="Q9" s="11" t="n">
        <f aca="false">Q7+Q8</f>
        <v>49.8325930836686</v>
      </c>
      <c r="R9" s="11" t="n">
        <f aca="false">R7+R8</f>
        <v>50.4594126299679</v>
      </c>
      <c r="S9" s="11" t="n">
        <f aca="false">S7+S8</f>
        <v>50.0665325554551</v>
      </c>
      <c r="T9" s="11" t="n">
        <f aca="false">T7+T8</f>
        <v>50.6222942691923</v>
      </c>
      <c r="U9" s="11" t="n">
        <f aca="false">U7+U8</f>
        <v>50.3806751137447</v>
      </c>
      <c r="V9" s="11" t="n">
        <f aca="false">V7+V8</f>
        <v>51.3501141078566</v>
      </c>
      <c r="W9" s="11" t="n">
        <f aca="false">W7+W8</f>
        <v>50.9926344599196</v>
      </c>
      <c r="X9" s="11" t="n">
        <f aca="false">X7+X8</f>
        <v>49.4989788394756</v>
      </c>
      <c r="Y9" s="11" t="n">
        <f aca="false">Y7+Y8</f>
        <v>49.0176279619911</v>
      </c>
      <c r="Z9" s="11" t="n">
        <f aca="false">Z7+Z8</f>
        <v>49.4205579222486</v>
      </c>
      <c r="AA9" s="11" t="n">
        <f aca="false">AA7+AA8</f>
        <v>49.0202066324044</v>
      </c>
      <c r="AB9" s="11" t="n">
        <f aca="false">AB7+AB8</f>
        <v>49.592333736031</v>
      </c>
      <c r="AC9" s="11" t="n">
        <f aca="false">AC7+AC8</f>
        <v>49.391323424449</v>
      </c>
      <c r="AD9" s="11" t="n">
        <f aca="false">AD7+AD8</f>
        <v>51.3078699799089</v>
      </c>
      <c r="AE9" s="11" t="n">
        <f aca="false">AE7+AE8</f>
        <v>51.3909297332099</v>
      </c>
      <c r="AF9" s="11" t="n">
        <f aca="false">AF7+AF8</f>
        <v>51.533226912184</v>
      </c>
      <c r="AG9" s="11" t="n">
        <f aca="false">AG7+AG8</f>
        <v>51.1631486230192</v>
      </c>
      <c r="AH9" s="11" t="n">
        <f aca="false">AH7+AH8</f>
        <v>51.827218357985</v>
      </c>
      <c r="AI9" s="11" t="n">
        <f aca="false">AI7+AI8</f>
        <v>51.4204839026883</v>
      </c>
      <c r="AJ9" s="11" t="n">
        <f aca="false">AJ7+AJ8</f>
        <v>52.0121755240322</v>
      </c>
      <c r="AK9" s="11" t="n">
        <f aca="false">AK7+AK8</f>
        <v>51.7765466437032</v>
      </c>
      <c r="AL9" s="11" t="n">
        <f aca="false">AL7+AL8</f>
        <v>52.888875251574</v>
      </c>
      <c r="AM9" s="11" t="n">
        <f aca="false">AM7+AM8</f>
        <v>52.5129322432236</v>
      </c>
      <c r="AN9" s="11" t="n">
        <f aca="false">AN7+AN8</f>
        <v>44.945303517727</v>
      </c>
      <c r="AO9" s="11" t="n">
        <f aca="false">AO7+AO8</f>
        <v>41.4336607083046</v>
      </c>
      <c r="AP9" s="11" t="n">
        <f aca="false">AP7+AP8</f>
        <v>41.3696749509332</v>
      </c>
      <c r="AQ9" s="11" t="n">
        <f aca="false">AQ7+AQ8</f>
        <v>40.887875310738</v>
      </c>
      <c r="AR9" s="11" t="n">
        <f aca="false">AR7+AR8</f>
        <v>41.4757192835089</v>
      </c>
      <c r="AS9" s="11" t="n">
        <f aca="false">AS7+AS8</f>
        <v>41.2137543270468</v>
      </c>
      <c r="AT9" s="11" t="n">
        <f aca="false">AT7+AT8</f>
        <v>47.9496062254955</v>
      </c>
      <c r="AU9" s="11" t="n">
        <f aca="false">AU7+AU8</f>
        <v>43.5155217917493</v>
      </c>
      <c r="AV9" s="11" t="n">
        <f aca="false">AV7+AV8</f>
        <v>43.623361666322</v>
      </c>
      <c r="AW9" s="11" t="n">
        <f aca="false">AW7+AW8</f>
        <v>43.1966272325465</v>
      </c>
      <c r="AX9" s="11" t="n">
        <f aca="false">AX7+AX8</f>
        <v>43.8655381025356</v>
      </c>
      <c r="AY9" s="11" t="n">
        <f aca="false">AY7+AY8</f>
        <v>43.4110588434027</v>
      </c>
      <c r="AZ9" s="11" t="n">
        <f aca="false">AZ7+AZ8</f>
        <v>44.019806723715</v>
      </c>
      <c r="BA9" s="11" t="n">
        <f aca="false">BA7+BA8</f>
        <v>43.724613320615</v>
      </c>
      <c r="BB9" s="11" t="n">
        <f aca="false">BB7+BB8</f>
        <v>45.9713357711061</v>
      </c>
      <c r="BC9" s="11" t="n">
        <f aca="false">BC7+BC8</f>
        <v>42.5748602889876</v>
      </c>
      <c r="BD9" s="11" t="n">
        <f aca="false">BD7+BD8</f>
        <v>36.4622230381377</v>
      </c>
      <c r="BE9" s="11" t="n">
        <f aca="false">BE7+BE8</f>
        <v>36.0287189605431</v>
      </c>
      <c r="BF9" s="11" t="n">
        <f aca="false">BF7+BF8</f>
        <v>36.7266544074192</v>
      </c>
      <c r="BG9" s="11" t="n">
        <f aca="false">BG7+BG8</f>
        <v>36.2616498928744</v>
      </c>
      <c r="BH9" s="11" t="n">
        <f aca="false">BH7+BH8</f>
        <v>36.893000883972</v>
      </c>
      <c r="BI9" s="11" t="n">
        <f aca="false">BI7+BI8</f>
        <v>36.6358063328638</v>
      </c>
      <c r="BJ9" s="11" t="n">
        <f aca="false">BJ7+BJ8</f>
        <v>44.6627905239125</v>
      </c>
      <c r="BK9" s="11" t="n">
        <f aca="false">BK7+BK8</f>
        <v>39.4167108427891</v>
      </c>
      <c r="BL9" s="11" t="n">
        <f aca="false">BL7+BL8</f>
        <v>40.1468329157625</v>
      </c>
      <c r="BM9" s="11" t="n">
        <f aca="false">BM7+BM8</f>
        <v>36.5151277803975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852.945983087279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37.2458954370965</v>
      </c>
      <c r="Q10" s="11" t="n">
        <f aca="false">Debt!Q121+Debt!Q117</f>
        <v>37.1570164551458</v>
      </c>
      <c r="R10" s="11" t="n">
        <f aca="false">Debt!R121+Debt!R117</f>
        <v>37.624785087678</v>
      </c>
      <c r="S10" s="11" t="n">
        <f aca="false">Debt!S121+Debt!S117</f>
        <v>37.333312492557</v>
      </c>
      <c r="T10" s="11" t="n">
        <f aca="false">Debt!T121+Debt!T117</f>
        <v>37.7512177817478</v>
      </c>
      <c r="U10" s="11" t="n">
        <f aca="false">Debt!U121+Debt!U117</f>
        <v>37.5706927548527</v>
      </c>
      <c r="V10" s="11" t="n">
        <f aca="false">Debt!V121+Debt!V117</f>
        <v>38.2879202351583</v>
      </c>
      <c r="W10" s="11" t="n">
        <f aca="false">Debt!W121+Debt!W117</f>
        <v>38.0232274258698</v>
      </c>
      <c r="X10" s="11" t="n">
        <f aca="false">Debt!X121+Debt!X117</f>
        <v>36.9267950745894</v>
      </c>
      <c r="Y10" s="11" t="n">
        <f aca="false">Debt!Y121+Debt!Y117</f>
        <v>36.5703920445452</v>
      </c>
      <c r="Z10" s="11" t="n">
        <f aca="false">Debt!Z121+Debt!Z117</f>
        <v>36.8713631085141</v>
      </c>
      <c r="AA10" s="11" t="n">
        <f aca="false">Debt!AA121+Debt!AA117</f>
        <v>36.5742873548545</v>
      </c>
      <c r="AB10" s="11" t="n">
        <f aca="false">Debt!AB121+Debt!AB117</f>
        <v>36.3765950742807</v>
      </c>
      <c r="AC10" s="11" t="n">
        <f aca="false">Debt!AC121+Debt!AC117</f>
        <v>35.469179277835</v>
      </c>
      <c r="AD10" s="11" t="n">
        <f aca="false">Debt!AD121+Debt!AD117</f>
        <v>36.0489327270308</v>
      </c>
      <c r="AE10" s="11" t="n">
        <f aca="false">Debt!AE121+Debt!AE117</f>
        <v>35.1145771472485</v>
      </c>
      <c r="AF10" s="11" t="n">
        <f aca="false">Debt!AF121+Debt!AF117</f>
        <v>34.0562535955918</v>
      </c>
      <c r="AG10" s="11" t="n">
        <f aca="false">Debt!AG121+Debt!AG117</f>
        <v>32.3888376849154</v>
      </c>
      <c r="AH10" s="11" t="n">
        <f aca="false">Debt!AH121+Debt!AH117</f>
        <v>31.2016035098422</v>
      </c>
      <c r="AI10" s="11" t="n">
        <f aca="false">Debt!AI121+Debt!AI117</f>
        <v>28.9600769367948</v>
      </c>
      <c r="AJ10" s="11" t="n">
        <f aca="false">Debt!AJ121+Debt!AJ117</f>
        <v>26.7848970240404</v>
      </c>
      <c r="AK10" s="11" t="n">
        <f aca="false">Debt!AK121+Debt!AK117</f>
        <v>23.2868681659435</v>
      </c>
      <c r="AL10" s="11" t="n">
        <f aca="false">Debt!AL121+Debt!AL117</f>
        <v>23.7140398353964</v>
      </c>
      <c r="AM10" s="11" t="n">
        <f aca="false">Debt!AM121+Debt!AM117</f>
        <v>23.5692918532781</v>
      </c>
      <c r="AN10" s="11" t="n">
        <f aca="false">Debt!AN121+Debt!AN117</f>
        <v>19.1320172548642</v>
      </c>
      <c r="AO10" s="11" t="n">
        <f aca="false">Debt!AO121+Debt!AO117</f>
        <v>18.9059077476081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1.86586721000271</v>
      </c>
      <c r="P13" s="11" t="n">
        <f aca="false">MAX(0,P9-P10)</f>
        <v>14.5723555946456</v>
      </c>
      <c r="Q13" s="11" t="n">
        <f aca="false">MAX(0,Q9-Q10)</f>
        <v>12.6755766285228</v>
      </c>
      <c r="R13" s="11" t="n">
        <f aca="false">MAX(0,R9-R10)</f>
        <v>12.8346275422899</v>
      </c>
      <c r="S13" s="11" t="n">
        <f aca="false">MAX(0,S9-S10)</f>
        <v>12.7332200628981</v>
      </c>
      <c r="T13" s="11" t="n">
        <f aca="false">MAX(0,T9-T10)</f>
        <v>12.8710764874445</v>
      </c>
      <c r="U13" s="11" t="n">
        <f aca="false">MAX(0,U9-U10)</f>
        <v>12.809982358892</v>
      </c>
      <c r="V13" s="11" t="n">
        <f aca="false">MAX(0,V9-V10)</f>
        <v>13.0621938726983</v>
      </c>
      <c r="W13" s="11" t="n">
        <f aca="false">MAX(0,W9-W10)</f>
        <v>12.9694070340498</v>
      </c>
      <c r="X13" s="11" t="n">
        <f aca="false">MAX(0,X9-X10)</f>
        <v>12.5721837648862</v>
      </c>
      <c r="Y13" s="11" t="n">
        <f aca="false">MAX(0,Y9-Y10)</f>
        <v>12.4472359174459</v>
      </c>
      <c r="Z13" s="11" t="n">
        <f aca="false">MAX(0,Z9-Z10)</f>
        <v>12.5491948137345</v>
      </c>
      <c r="AA13" s="11" t="n">
        <f aca="false">MAX(0,AA9-AA10)</f>
        <v>12.44591927755</v>
      </c>
      <c r="AB13" s="11" t="n">
        <f aca="false">MAX(0,AB9-AB10)</f>
        <v>13.2157386617503</v>
      </c>
      <c r="AC13" s="11" t="n">
        <f aca="false">MAX(0,AC9-AC10)</f>
        <v>13.9221441466141</v>
      </c>
      <c r="AD13" s="11" t="n">
        <f aca="false">MAX(0,AD9-AD10)</f>
        <v>15.2589372528782</v>
      </c>
      <c r="AE13" s="11" t="n">
        <f aca="false">MAX(0,AE9-AE10)</f>
        <v>16.2763525859615</v>
      </c>
      <c r="AF13" s="11" t="n">
        <f aca="false">MAX(0,AF9-AF10)</f>
        <v>17.4769733165922</v>
      </c>
      <c r="AG13" s="11" t="n">
        <f aca="false">MAX(0,AG9-AG10)</f>
        <v>18.7743109381038</v>
      </c>
      <c r="AH13" s="11" t="n">
        <f aca="false">MAX(0,AH9-AH10)</f>
        <v>20.6256148481428</v>
      </c>
      <c r="AI13" s="11" t="n">
        <f aca="false">MAX(0,AI9-AI10)</f>
        <v>22.4604069658936</v>
      </c>
      <c r="AJ13" s="11" t="n">
        <f aca="false">MAX(0,AJ9-AJ10)</f>
        <v>25.2272784999918</v>
      </c>
      <c r="AK13" s="11" t="n">
        <f aca="false">MAX(0,AK9-AK10)</f>
        <v>28.4896784777597</v>
      </c>
      <c r="AL13" s="11" t="n">
        <f aca="false">MAX(0,AL9-AL10)</f>
        <v>29.1748354161777</v>
      </c>
      <c r="AM13" s="11" t="n">
        <f aca="false">MAX(0,AM9-AM10)</f>
        <v>28.9436403899456</v>
      </c>
      <c r="AN13" s="11" t="n">
        <f aca="false">MAX(0,AN9-AN10)</f>
        <v>25.8132862628628</v>
      </c>
      <c r="AO13" s="11" t="n">
        <f aca="false">MAX(0,AO9-AO10)</f>
        <v>22.5277529606965</v>
      </c>
      <c r="AP13" s="11" t="n">
        <f aca="false">MAX(0,AP9-AP10)</f>
        <v>41.3696749509332</v>
      </c>
      <c r="AQ13" s="11" t="n">
        <f aca="false">MAX(0,AQ9-AQ10)</f>
        <v>40.887875310738</v>
      </c>
      <c r="AR13" s="11" t="n">
        <f aca="false">MAX(0,AR9-AR10)</f>
        <v>41.4757192835089</v>
      </c>
      <c r="AS13" s="11" t="n">
        <f aca="false">MAX(0,AS9-AS10)</f>
        <v>41.2137543270468</v>
      </c>
      <c r="AT13" s="11" t="n">
        <f aca="false">MAX(0,AT9-AT10)</f>
        <v>47.9496062254955</v>
      </c>
      <c r="AU13" s="11" t="n">
        <f aca="false">MAX(0,AU9-AU10)</f>
        <v>43.5155217917493</v>
      </c>
      <c r="AV13" s="11" t="n">
        <f aca="false">MAX(0,AV9-AV10)</f>
        <v>43.623361666322</v>
      </c>
      <c r="AW13" s="11" t="n">
        <f aca="false">MAX(0,AW9-AW10)</f>
        <v>43.1966272325465</v>
      </c>
      <c r="AX13" s="11" t="n">
        <f aca="false">MAX(0,AX9-AX10)</f>
        <v>43.8655381025356</v>
      </c>
      <c r="AY13" s="11" t="n">
        <f aca="false">MAX(0,AY9-AY10)</f>
        <v>43.4110588434027</v>
      </c>
      <c r="AZ13" s="11" t="n">
        <f aca="false">MAX(0,AZ9-AZ10)</f>
        <v>44.019806723715</v>
      </c>
      <c r="BA13" s="11" t="n">
        <f aca="false">MAX(0,BA9-BA10)</f>
        <v>43.724613320615</v>
      </c>
      <c r="BB13" s="11" t="n">
        <f aca="false">MAX(0,BB9-BB10)</f>
        <v>45.9713357711061</v>
      </c>
      <c r="BC13" s="11" t="n">
        <f aca="false">MAX(0,BC9-BC10)</f>
        <v>42.5748602889876</v>
      </c>
      <c r="BD13" s="11" t="n">
        <f aca="false">MAX(0,BD9-BD10)</f>
        <v>36.4622230381377</v>
      </c>
      <c r="BE13" s="11" t="n">
        <f aca="false">MAX(0,BE9-BE10)</f>
        <v>36.0287189605431</v>
      </c>
      <c r="BF13" s="11" t="n">
        <f aca="false">MAX(0,BF9-BF10)</f>
        <v>36.7266544074192</v>
      </c>
      <c r="BG13" s="11" t="n">
        <f aca="false">MAX(0,BG9-BG10)</f>
        <v>36.2616498928744</v>
      </c>
      <c r="BH13" s="11" t="n">
        <f aca="false">MAX(0,BH9-BH10)</f>
        <v>36.893000883972</v>
      </c>
      <c r="BI13" s="11" t="n">
        <f aca="false">MAX(0,BI9-BI10)</f>
        <v>36.6358063328638</v>
      </c>
      <c r="BJ13" s="11" t="n">
        <f aca="false">MAX(0,BJ9-BJ10)</f>
        <v>44.6627905239125</v>
      </c>
      <c r="BK13" s="11" t="n">
        <f aca="false">MAX(0,BK9-BK10)</f>
        <v>39.4167108427891</v>
      </c>
      <c r="BL13" s="11" t="n">
        <f aca="false">MAX(0,BL9-BL10)</f>
        <v>40.1468329157625</v>
      </c>
      <c r="BM13" s="11" t="n">
        <f aca="false">MAX(0,BM9-BM10)</f>
        <v>36.5151277803975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1.86586721000159</v>
      </c>
      <c r="P14" s="11" t="n">
        <f aca="false">P13-Reserves!P11+Reserves!P12</f>
        <v>14.6612345765964</v>
      </c>
      <c r="Q14" s="11" t="n">
        <f aca="false">Q13-Reserves!Q11+Reserves!Q12</f>
        <v>12.2078079959906</v>
      </c>
      <c r="R14" s="11" t="n">
        <f aca="false">R13-Reserves!R11+Reserves!R12</f>
        <v>13.126100137411</v>
      </c>
      <c r="S14" s="11" t="n">
        <f aca="false">S13-Reserves!S11+Reserves!S12</f>
        <v>12.3153147737073</v>
      </c>
      <c r="T14" s="11" t="n">
        <f aca="false">T13-Reserves!T11+Reserves!T12</f>
        <v>13.0516015143396</v>
      </c>
      <c r="U14" s="11" t="n">
        <f aca="false">U13-Reserves!U11+Reserves!U12</f>
        <v>12.0927548785864</v>
      </c>
      <c r="V14" s="11" t="n">
        <f aca="false">V13-Reserves!V11+Reserves!V12</f>
        <v>13.3268866819869</v>
      </c>
      <c r="W14" s="11" t="n">
        <f aca="false">W13-Reserves!W11+Reserves!W12</f>
        <v>14.0658393853302</v>
      </c>
      <c r="X14" s="11" t="n">
        <f aca="false">X13-Reserves!X11+Reserves!X12</f>
        <v>12.9285867949304</v>
      </c>
      <c r="Y14" s="11" t="n">
        <f aca="false">Y13-Reserves!Y11+Reserves!Y12</f>
        <v>12.146264853477</v>
      </c>
      <c r="Z14" s="11" t="n">
        <f aca="false">Z13-Reserves!Z11+Reserves!Z12</f>
        <v>12.8462705673942</v>
      </c>
      <c r="AA14" s="11" t="n">
        <f aca="false">AA13-Reserves!AA11+Reserves!AA12</f>
        <v>12.0154580004282</v>
      </c>
      <c r="AB14" s="11" t="n">
        <f aca="false">AB13-Reserves!AB11+Reserves!AB12</f>
        <v>13.9873740893819</v>
      </c>
      <c r="AC14" s="11" t="n">
        <f aca="false">AC13-Reserves!AC11+Reserves!AC12</f>
        <v>13.3101783873837</v>
      </c>
      <c r="AD14" s="11" t="n">
        <f aca="false">AD13-Reserves!AD11+Reserves!AD12</f>
        <v>15.9716344089232</v>
      </c>
      <c r="AE14" s="11" t="n">
        <f aca="false">AE13-Reserves!AE11+Reserves!AE12</f>
        <v>17.1672595866637</v>
      </c>
      <c r="AF14" s="11" t="n">
        <f aca="false">AF13-Reserves!AF11+Reserves!AF12</f>
        <v>18.9060315079959</v>
      </c>
      <c r="AG14" s="11" t="n">
        <f aca="false">AG13-Reserves!AG11+Reserves!AG12</f>
        <v>19.7280192569774</v>
      </c>
      <c r="AH14" s="11" t="n">
        <f aca="false">AH13-Reserves!AH11+Reserves!AH12</f>
        <v>22.434946197151</v>
      </c>
      <c r="AI14" s="11" t="n">
        <f aca="false">AI13-Reserves!AI11+Reserves!AI12</f>
        <v>24.122273950964</v>
      </c>
      <c r="AJ14" s="11" t="n">
        <f aca="false">AJ13-Reserves!AJ11+Reserves!AJ12</f>
        <v>27.8014636625687</v>
      </c>
      <c r="AK14" s="11" t="n">
        <f aca="false">AK13-Reserves!AK11+Reserves!AK12</f>
        <v>31.3306402362861</v>
      </c>
      <c r="AL14" s="11" t="n">
        <f aca="false">AL13-Reserves!AL11+Reserves!AL12</f>
        <v>29.577906604268</v>
      </c>
      <c r="AM14" s="11" t="n">
        <f aca="false">AM13-Reserves!AM11+Reserves!AM12</f>
        <v>33.3809149883595</v>
      </c>
      <c r="AN14" s="11" t="n">
        <f aca="false">AN13-Reserves!AN11+Reserves!AN12</f>
        <v>26.0393957701188</v>
      </c>
      <c r="AO14" s="11" t="n">
        <f aca="false">AO13-Reserves!AO11+Reserves!AO12</f>
        <v>41.4336607083046</v>
      </c>
      <c r="AP14" s="11" t="n">
        <f aca="false">AP13-Reserves!AP11+Reserves!AP12</f>
        <v>41.3696749509332</v>
      </c>
      <c r="AQ14" s="11" t="n">
        <f aca="false">AQ13-Reserves!AQ11+Reserves!AQ12</f>
        <v>40.887875310738</v>
      </c>
      <c r="AR14" s="11" t="n">
        <f aca="false">AR13-Reserves!AR11+Reserves!AR12</f>
        <v>41.4757192835089</v>
      </c>
      <c r="AS14" s="11" t="n">
        <f aca="false">AS13-Reserves!AS11+Reserves!AS12</f>
        <v>41.2137543270468</v>
      </c>
      <c r="AT14" s="11" t="n">
        <f aca="false">AT13-Reserves!AT11+Reserves!AT12</f>
        <v>47.9496062254955</v>
      </c>
      <c r="AU14" s="11" t="n">
        <f aca="false">AU13-Reserves!AU11+Reserves!AU12</f>
        <v>43.5155217917493</v>
      </c>
      <c r="AV14" s="11" t="n">
        <f aca="false">AV13-Reserves!AV11+Reserves!AV12</f>
        <v>43.623361666322</v>
      </c>
      <c r="AW14" s="11" t="n">
        <f aca="false">AW13-Reserves!AW11+Reserves!AW12</f>
        <v>43.1966272325465</v>
      </c>
      <c r="AX14" s="11" t="n">
        <f aca="false">AX13-Reserves!AX11+Reserves!AX12</f>
        <v>43.8655381025356</v>
      </c>
      <c r="AY14" s="11" t="n">
        <f aca="false">AY13-Reserves!AY11+Reserves!AY12</f>
        <v>43.4110588434027</v>
      </c>
      <c r="AZ14" s="11" t="n">
        <f aca="false">AZ13-Reserves!AZ11+Reserves!AZ12</f>
        <v>44.019806723715</v>
      </c>
      <c r="BA14" s="11" t="n">
        <f aca="false">BA13-Reserves!BA11+Reserves!BA12</f>
        <v>43.724613320615</v>
      </c>
      <c r="BB14" s="11" t="n">
        <f aca="false">BB13-Reserves!BB11+Reserves!BB12</f>
        <v>45.9713357711061</v>
      </c>
      <c r="BC14" s="11" t="n">
        <f aca="false">BC13-Reserves!BC11+Reserves!BC12</f>
        <v>42.5748602889876</v>
      </c>
      <c r="BD14" s="11" t="n">
        <f aca="false">BD13-Reserves!BD11+Reserves!BD12</f>
        <v>36.4622230381377</v>
      </c>
      <c r="BE14" s="11" t="n">
        <f aca="false">BE13-Reserves!BE11+Reserves!BE12</f>
        <v>36.0287189605431</v>
      </c>
      <c r="BF14" s="11" t="n">
        <f aca="false">BF13-Reserves!BF11+Reserves!BF12</f>
        <v>36.7266544074192</v>
      </c>
      <c r="BG14" s="11" t="n">
        <f aca="false">BG13-Reserves!BG11+Reserves!BG12</f>
        <v>36.2616498928744</v>
      </c>
      <c r="BH14" s="11" t="n">
        <f aca="false">BH13-Reserves!BH11+Reserves!BH12</f>
        <v>36.893000883972</v>
      </c>
      <c r="BI14" s="11" t="n">
        <f aca="false">BI13-Reserves!BI11+Reserves!BI12</f>
        <v>36.6358063328638</v>
      </c>
      <c r="BJ14" s="11" t="n">
        <f aca="false">BJ13-Reserves!BJ11+Reserves!BJ12</f>
        <v>44.6627905239125</v>
      </c>
      <c r="BK14" s="11" t="n">
        <f aca="false">BK13-Reserves!BK11+Reserves!BK12</f>
        <v>39.4167108427891</v>
      </c>
      <c r="BL14" s="11" t="n">
        <f aca="false">BL13-Reserves!BL11+Reserves!BL12</f>
        <v>40.1468329157625</v>
      </c>
      <c r="BM14" s="11" t="n">
        <f aca="false">BM13-Reserves!BM11+Reserves!BM12</f>
        <v>36.5151277803975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1.86586721000159</v>
      </c>
      <c r="P15" s="11" t="n">
        <f aca="false">P14-Reserves!P14+Reserves!P15</f>
        <v>14.6612345765964</v>
      </c>
      <c r="Q15" s="11" t="n">
        <f aca="false">Q14-Reserves!Q14+Reserves!Q15</f>
        <v>12.2078079959906</v>
      </c>
      <c r="R15" s="11" t="n">
        <f aca="false">R14-Reserves!R14+Reserves!R15</f>
        <v>13.126100137411</v>
      </c>
      <c r="S15" s="11" t="n">
        <f aca="false">S14-Reserves!S14+Reserves!S15</f>
        <v>12.3153147737073</v>
      </c>
      <c r="T15" s="11" t="n">
        <f aca="false">T14-Reserves!T14+Reserves!T15</f>
        <v>13.0516015143396</v>
      </c>
      <c r="U15" s="11" t="n">
        <f aca="false">U14-Reserves!U14+Reserves!U15</f>
        <v>12.0927548785864</v>
      </c>
      <c r="V15" s="11" t="n">
        <f aca="false">V14-Reserves!V14+Reserves!V15</f>
        <v>13.3268866819869</v>
      </c>
      <c r="W15" s="11" t="n">
        <f aca="false">W14-Reserves!W14+Reserves!W15</f>
        <v>14.0658393853302</v>
      </c>
      <c r="X15" s="11" t="n">
        <f aca="false">X14-Reserves!X14+Reserves!X15</f>
        <v>12.9285867949304</v>
      </c>
      <c r="Y15" s="11" t="n">
        <f aca="false">Y14-Reserves!Y14+Reserves!Y15</f>
        <v>12.146264853477</v>
      </c>
      <c r="Z15" s="11" t="n">
        <f aca="false">Z14-Reserves!Z14+Reserves!Z15</f>
        <v>12.8462705673942</v>
      </c>
      <c r="AA15" s="11" t="n">
        <f aca="false">AA14-Reserves!AA14+Reserves!AA15</f>
        <v>12.0154580004282</v>
      </c>
      <c r="AB15" s="11" t="n">
        <f aca="false">AB14-Reserves!AB14+Reserves!AB15</f>
        <v>13.9873740893819</v>
      </c>
      <c r="AC15" s="11" t="n">
        <f aca="false">AC14-Reserves!AC14+Reserves!AC15</f>
        <v>13.3101783873837</v>
      </c>
      <c r="AD15" s="11" t="n">
        <f aca="false">AD14-Reserves!AD14+Reserves!AD15</f>
        <v>15.9716344089232</v>
      </c>
      <c r="AE15" s="11" t="n">
        <f aca="false">AE14-Reserves!AE14+Reserves!AE15</f>
        <v>17.1672595866637</v>
      </c>
      <c r="AF15" s="11" t="n">
        <f aca="false">AF14-Reserves!AF14+Reserves!AF15</f>
        <v>18.9060315079959</v>
      </c>
      <c r="AG15" s="11" t="n">
        <f aca="false">AG14-Reserves!AG14+Reserves!AG15</f>
        <v>19.7280192569774</v>
      </c>
      <c r="AH15" s="11" t="n">
        <f aca="false">AH14-Reserves!AH14+Reserves!AH15</f>
        <v>22.434946197151</v>
      </c>
      <c r="AI15" s="11" t="n">
        <f aca="false">AI14-Reserves!AI14+Reserves!AI15</f>
        <v>24.122273950964</v>
      </c>
      <c r="AJ15" s="11" t="n">
        <f aca="false">AJ14-Reserves!AJ14+Reserves!AJ15</f>
        <v>27.8014636625687</v>
      </c>
      <c r="AK15" s="11" t="n">
        <f aca="false">AK14-Reserves!AK14+Reserves!AK15</f>
        <v>31.3306402362861</v>
      </c>
      <c r="AL15" s="11" t="n">
        <f aca="false">AL14-Reserves!AL14+Reserves!AL15</f>
        <v>29.577906604268</v>
      </c>
      <c r="AM15" s="11" t="n">
        <f aca="false">AM14-Reserves!AM14+Reserves!AM15</f>
        <v>33.3809149883595</v>
      </c>
      <c r="AN15" s="11" t="n">
        <f aca="false">AN14-Reserves!AN14+Reserves!AN15</f>
        <v>26.0393957701188</v>
      </c>
      <c r="AO15" s="11" t="n">
        <f aca="false">AO14-Reserves!AO14+Reserves!AO15</f>
        <v>41.4336607083046</v>
      </c>
      <c r="AP15" s="11" t="n">
        <f aca="false">AP14-Reserves!AP14+Reserves!AP15</f>
        <v>41.3696749509332</v>
      </c>
      <c r="AQ15" s="11" t="n">
        <f aca="false">AQ14-Reserves!AQ14+Reserves!AQ15</f>
        <v>40.887875310738</v>
      </c>
      <c r="AR15" s="11" t="n">
        <f aca="false">AR14-Reserves!AR14+Reserves!AR15</f>
        <v>41.4757192835089</v>
      </c>
      <c r="AS15" s="11" t="n">
        <f aca="false">AS14-Reserves!AS14+Reserves!AS15</f>
        <v>41.2137543270468</v>
      </c>
      <c r="AT15" s="11" t="n">
        <f aca="false">AT14-Reserves!AT14+Reserves!AT15</f>
        <v>47.9496062254955</v>
      </c>
      <c r="AU15" s="11" t="n">
        <f aca="false">AU14-Reserves!AU14+Reserves!AU15</f>
        <v>43.5155217917493</v>
      </c>
      <c r="AV15" s="11" t="n">
        <f aca="false">AV14-Reserves!AV14+Reserves!AV15</f>
        <v>43.623361666322</v>
      </c>
      <c r="AW15" s="11" t="n">
        <f aca="false">AW14-Reserves!AW14+Reserves!AW15</f>
        <v>43.1966272325465</v>
      </c>
      <c r="AX15" s="11" t="n">
        <f aca="false">AX14-Reserves!AX14+Reserves!AX15</f>
        <v>43.8655381025356</v>
      </c>
      <c r="AY15" s="11" t="n">
        <f aca="false">AY14-Reserves!AY14+Reserves!AY15</f>
        <v>43.4110588434027</v>
      </c>
      <c r="AZ15" s="11" t="n">
        <f aca="false">AZ14-Reserves!AZ14+Reserves!AZ15</f>
        <v>44.019806723715</v>
      </c>
      <c r="BA15" s="11" t="n">
        <f aca="false">BA14-Reserves!BA14+Reserves!BA15</f>
        <v>43.2296449340063</v>
      </c>
      <c r="BB15" s="11" t="n">
        <f aca="false">BB14-Reserves!BB14+Reserves!BB15</f>
        <v>44.4701855164617</v>
      </c>
      <c r="BC15" s="11" t="n">
        <f aca="false">BC14-Reserves!BC14+Reserves!BC15</f>
        <v>41.0572872156454</v>
      </c>
      <c r="BD15" s="11" t="n">
        <f aca="false">BD14-Reserves!BD14+Reserves!BD15</f>
        <v>34.9280474778911</v>
      </c>
      <c r="BE15" s="11" t="n">
        <f aca="false">BE14-Reserves!BE14+Reserves!BE15</f>
        <v>34.4777592795873</v>
      </c>
      <c r="BF15" s="11" t="n">
        <f aca="false">BF14-Reserves!BF14+Reserves!BF15</f>
        <v>35.1587269848472</v>
      </c>
      <c r="BG15" s="11" t="n">
        <f aca="false">BG14-Reserves!BG14+Reserves!BG15</f>
        <v>34.6765690989376</v>
      </c>
      <c r="BH15" s="11" t="n">
        <f aca="false">BH14-Reserves!BH14+Reserves!BH15</f>
        <v>35.2905790581034</v>
      </c>
      <c r="BI15" s="11" t="n">
        <f aca="false">BI14-Reserves!BI14+Reserves!BI15</f>
        <v>35.0158537614604</v>
      </c>
      <c r="BJ15" s="11" t="n">
        <f aca="false">BJ14-Reserves!BJ14+Reserves!BJ15</f>
        <v>43.0251154178748</v>
      </c>
      <c r="BK15" s="11" t="n">
        <f aca="false">BK14-Reserves!BK14+Reserves!BK15</f>
        <v>37.7611193148148</v>
      </c>
      <c r="BL15" s="11" t="n">
        <f aca="false">BL14-Reserves!BL14+Reserves!BL15</f>
        <v>38.4731289573919</v>
      </c>
      <c r="BM15" s="11" t="n">
        <f aca="false">BM14-Reserves!BM14+Reserves!BM15</f>
        <v>54.4563079423586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1.34115137347426</v>
      </c>
      <c r="Q17" s="6" t="n">
        <f aca="false">IF(Debt!Q121&gt;0.000000001,Q7/Debt!Q121,0)</f>
        <v>1.34113547958901</v>
      </c>
      <c r="R17" s="6" t="n">
        <f aca="false">IF(Debt!R121&gt;0.000000001,R7/Debt!R121,0)</f>
        <v>1.34112161736954</v>
      </c>
      <c r="S17" s="6" t="n">
        <f aca="false">IF(Debt!S121&gt;0.000000001,S7/Debt!S121,0)</f>
        <v>1.34106858493836</v>
      </c>
      <c r="T17" s="6" t="n">
        <f aca="false">IF(Debt!T121&gt;0.000000001,T7/Debt!T121,0)</f>
        <v>1.34094466996685</v>
      </c>
      <c r="U17" s="6" t="n">
        <f aca="false">IF(Debt!U121&gt;0.000000001,U7/Debt!U121,0)</f>
        <v>1.34095677826535</v>
      </c>
      <c r="V17" s="6" t="n">
        <f aca="false">IF(Debt!V121&gt;0.000000001,V7/Debt!V121,0)</f>
        <v>1.3411570488152</v>
      </c>
      <c r="W17" s="6" t="n">
        <f aca="false">IF(Debt!W121&gt;0.000000001,W7/Debt!W121,0)</f>
        <v>1.34109169347434</v>
      </c>
      <c r="X17" s="6" t="n">
        <f aca="false">IF(Debt!X121&gt;0.000000001,X7/Debt!X121,0)</f>
        <v>1.34046235909429</v>
      </c>
      <c r="Y17" s="6" t="n">
        <f aca="false">IF(Debt!Y121&gt;0.000000001,Y7/Debt!Y121,0)</f>
        <v>1.34036375388824</v>
      </c>
      <c r="Z17" s="6" t="n">
        <f aca="false">IF(Debt!Z121&gt;0.000000001,Z7/Debt!Z121,0)</f>
        <v>1.34035071545366</v>
      </c>
      <c r="AA17" s="6" t="n">
        <f aca="false">IF(Debt!AA121&gt;0.000000001,AA7/Debt!AA121,0)</f>
        <v>1.34029150470646</v>
      </c>
      <c r="AB17" s="6" t="n">
        <f aca="false">IF(Debt!AB121&gt;0.000000001,AB7/Debt!AB121,0)</f>
        <v>1.36330334476781</v>
      </c>
      <c r="AC17" s="6" t="n">
        <f aca="false">IF(Debt!AC121&gt;0.000000001,AC7/Debt!AC121,0)</f>
        <v>1.39251385090024</v>
      </c>
      <c r="AD17" s="6" t="n">
        <f aca="false">IF(Debt!AD121&gt;0.000000001,AD7/Debt!AD121,0)</f>
        <v>1.42328402253741</v>
      </c>
      <c r="AE17" s="6" t="n">
        <f aca="false">IF(Debt!AE121&gt;0.000000001,AE7/Debt!AE121,0)</f>
        <v>1.46352124696557</v>
      </c>
      <c r="AF17" s="6" t="n">
        <f aca="false">IF(Debt!AF121&gt;0.000000001,AF7/Debt!AF121,0)</f>
        <v>1.51317956238306</v>
      </c>
      <c r="AG17" s="6" t="n">
        <f aca="false">IF(Debt!AG121&gt;0.000000001,AG7/Debt!AG121,0)</f>
        <v>1.5796537412285</v>
      </c>
      <c r="AH17" s="6" t="n">
        <f aca="false">IF(Debt!AH121&gt;0.000000001,AH7/Debt!AH121,0)</f>
        <v>1.66104342495208</v>
      </c>
      <c r="AI17" s="6" t="n">
        <f aca="false">IF(Debt!AI121&gt;0.000000001,AI7/Debt!AI121,0)</f>
        <v>1.77556447846852</v>
      </c>
      <c r="AJ17" s="6" t="n">
        <f aca="false">IF(Debt!AJ121&gt;0.000000001,AJ7/Debt!AJ121,0)</f>
        <v>1.94184713412747</v>
      </c>
      <c r="AK17" s="6" t="n">
        <f aca="false">IF(Debt!AK121&gt;0.000000001,AK7/Debt!AK121,0)</f>
        <v>2.22342250038694</v>
      </c>
      <c r="AL17" s="6" t="n">
        <f aca="false">IF(Debt!AL121&gt;0.000000001,AL7/Debt!AL121,0)</f>
        <v>2.23027690004258</v>
      </c>
      <c r="AM17" s="6" t="n">
        <f aca="false">IF(Debt!AM121&gt;0.000000001,AM7/Debt!AM121,0)</f>
        <v>2.22802333519919</v>
      </c>
      <c r="AN17" s="6" t="n">
        <f aca="false">IF(Debt!AN121&gt;0.000000001,AN7/Debt!AN121,0)</f>
        <v>2.34921926522411</v>
      </c>
      <c r="AO17" s="6" t="n">
        <f aca="false">IF(Debt!AO121&gt;0.000000001,AO7/Debt!AO121,0)</f>
        <v>2.19157214038276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1.34115137347426</v>
      </c>
      <c r="Q18" s="6" t="n">
        <f aca="false">IF(Debt!Q121&gt;0.000000001,IF(Debt!P121&gt;0.000000001,(Q7+P7)/(Debt!Q121+Debt!P121),Q17),0)</f>
        <v>1.34114343602476</v>
      </c>
      <c r="R18" s="6" t="n">
        <f aca="false">IF(Debt!R121&gt;0.000000001,IF(Debt!Q121&gt;0.000000001,(R7+Q7)/(Debt!R121+Debt!Q121),R17),0)</f>
        <v>1.3411285051244</v>
      </c>
      <c r="S18" s="6" t="n">
        <f aca="false">IF(Debt!S121&gt;0.000000001,IF(Debt!R121&gt;0.000000001,(S7+R7)/(Debt!S121+Debt!R121),S17),0)</f>
        <v>1.34109520426156</v>
      </c>
      <c r="T18" s="6" t="n">
        <f aca="false">IF(Debt!T121&gt;0.000000001,IF(Debt!S121&gt;0.000000001,(T7+S7)/(Debt!T121+Debt!S121),T17),0)</f>
        <v>1.34100628260979</v>
      </c>
      <c r="U18" s="6" t="n">
        <f aca="false">IF(Debt!U121&gt;0.000000001,IF(Debt!T121&gt;0.000000001,(U7+T7)/(Debt!U121+Debt!T121),U17),0)</f>
        <v>1.34095070960604</v>
      </c>
      <c r="V18" s="6" t="n">
        <f aca="false">IF(Debt!V121&gt;0.000000001,IF(Debt!U121&gt;0.000000001,(V7+U7)/(Debt!V121+Debt!U121),V17),0)</f>
        <v>1.34105786029857</v>
      </c>
      <c r="W18" s="6" t="n">
        <f aca="false">IF(Debt!W121&gt;0.000000001,IF(Debt!V121&gt;0.000000001,(W7+V7)/(Debt!W121+Debt!V121),W17),0)</f>
        <v>1.34112448449052</v>
      </c>
      <c r="X18" s="6" t="n">
        <f aca="false">IF(Debt!X121&gt;0.000000001,IF(Debt!W121&gt;0.000000001,(X7+W7)/(Debt!X121+Debt!W121),X17),0)</f>
        <v>1.34078162950224</v>
      </c>
      <c r="Y18" s="6" t="n">
        <f aca="false">IF(Debt!Y121&gt;0.000000001,IF(Debt!X121&gt;0.000000001,(Y7+X7)/(Debt!Y121+Debt!X121),Y17),0)</f>
        <v>1.34041329556976</v>
      </c>
      <c r="Z18" s="6" t="n">
        <f aca="false">IF(Debt!Z121&gt;0.000000001,IF(Debt!Y121&gt;0.000000001,(Z7+Y7)/(Debt!Z121+Debt!Y121),Z17),0)</f>
        <v>1.3403572079546</v>
      </c>
      <c r="AA18" s="6" t="n">
        <f aca="false">IF(Debt!AA121&gt;0.000000001,IF(Debt!Z121&gt;0.000000001,(AA7+Z7)/(Debt!AA121+Debt!Z121),AA17),0)</f>
        <v>1.340321229829</v>
      </c>
      <c r="AB18" s="6" t="n">
        <f aca="false">IF(Debt!AB121&gt;0.000000001,IF(Debt!AA121&gt;0.000000001,(AB7+AA7)/(Debt!AB121+Debt!AA121),AB17),0)</f>
        <v>1.35176624442108</v>
      </c>
      <c r="AC18" s="6" t="n">
        <f aca="false">IF(Debt!AC121&gt;0.000000001,IF(Debt!AB121&gt;0.000000001,(AC7+AB7)/(Debt!AC121+Debt!AB121),AC17),0)</f>
        <v>1.37772413274247</v>
      </c>
      <c r="AD18" s="6" t="n">
        <f aca="false">IF(Debt!AD121&gt;0.000000001,IF(Debt!AC121&gt;0.000000001,(AD7+AC7)/(Debt!AD121+Debt!AC121),AD17),0)</f>
        <v>1.40802365416899</v>
      </c>
      <c r="AE18" s="6" t="n">
        <f aca="false">IF(Debt!AE121&gt;0.000000001,IF(Debt!AD121&gt;0.000000001,(AE7+AD7)/(Debt!AE121+Debt!AD121),AE17),0)</f>
        <v>1.44313848339621</v>
      </c>
      <c r="AF18" s="6" t="n">
        <f aca="false">IF(Debt!AF121&gt;0.000000001,IF(Debt!AE121&gt;0.000000001,(AF7+AE7)/(Debt!AF121+Debt!AE121),AF17),0)</f>
        <v>1.4879705150288</v>
      </c>
      <c r="AG18" s="6" t="n">
        <f aca="false">IF(Debt!AG121&gt;0.000000001,IF(Debt!AF121&gt;0.000000001,(AG7+AF7)/(Debt!AG121+Debt!AF121),AG17),0)</f>
        <v>1.5455825788794</v>
      </c>
      <c r="AH18" s="6" t="n">
        <f aca="false">IF(Debt!AH121&gt;0.000000001,IF(Debt!AG121&gt;0.000000001,(AH7+AG7)/(Debt!AH121+Debt!AG121),AH17),0)</f>
        <v>1.61958880998446</v>
      </c>
      <c r="AI18" s="6" t="n">
        <f aca="false">IF(Debt!AI121&gt;0.000000001,IF(Debt!AH121&gt;0.000000001,(AI7+AH7)/(Debt!AI121+Debt!AH121),AI17),0)</f>
        <v>1.71617051741521</v>
      </c>
      <c r="AJ18" s="6" t="n">
        <f aca="false">IF(Debt!AJ121&gt;0.000000001,IF(Debt!AI121&gt;0.000000001,(AJ7+AI7)/(Debt!AJ121+Debt!AI121),AJ17),0)</f>
        <v>1.85546161523709</v>
      </c>
      <c r="AK18" s="6" t="n">
        <f aca="false">IF(Debt!AK121&gt;0.000000001,IF(Debt!AJ121&gt;0.000000001,(AK7+AJ7)/(Debt!AK121+Debt!AJ121),AK17),0)</f>
        <v>2.0727993465766</v>
      </c>
      <c r="AL18" s="6" t="n">
        <f aca="false">IF(Debt!AL121&gt;0.000000001,IF(Debt!AK121&gt;0.000000001,(AL7+AK7)/(Debt!AL121+Debt!AK121),AL17),0)</f>
        <v>2.22688084860602</v>
      </c>
      <c r="AM18" s="6" t="n">
        <f aca="false">IF(Debt!AM121&gt;0.000000001,IF(Debt!AL121&gt;0.000000001,(AM7+AL7)/(Debt!AM121+Debt!AL121),AM17),0)</f>
        <v>2.22915356702844</v>
      </c>
      <c r="AN18" s="6" t="n">
        <f aca="false">IF(Debt!AN121&gt;0.000000001,IF(Debt!AM121&gt;0.000000001,(AN7+AM7)/(Debt!AN121+Debt!AM121),AN17),0)</f>
        <v>2.28232430800037</v>
      </c>
      <c r="AO18" s="6" t="n">
        <f aca="false">IF(Debt!AO121&gt;0.000000001,IF(Debt!AN121&gt;0.000000001,(AO7+AN7)/(Debt!AO121+Debt!AN121),AO17),0)</f>
        <v>2.27086425509323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93.5273287557378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6.00772900021412</v>
      </c>
      <c r="AB29" s="11" t="n">
        <f aca="false">IF(AND(AB24=1,Time!AB21&gt;=2027,Inputs!$F$51=1),MIN(Inputs!$F$109*AB15,Debt!AB81),0)</f>
        <v>6.99368704469093</v>
      </c>
      <c r="AC29" s="11" t="n">
        <f aca="false">IF(AND(AC24=1,Time!AC21&gt;=2027,Inputs!$F$51=1),MIN(Inputs!$F$109*AC15,Debt!AC81),0)</f>
        <v>6.65508919369183</v>
      </c>
      <c r="AD29" s="11" t="n">
        <f aca="false">IF(AND(AD24=1,Time!AD21&gt;=2027,Inputs!$F$51=1),MIN(Inputs!$F$109*AD15,Debt!AD81),0)</f>
        <v>7.9858172044616</v>
      </c>
      <c r="AE29" s="11" t="n">
        <f aca="false">IF(AND(AE24=1,Time!AE21&gt;=2027,Inputs!$F$51=1),MIN(Inputs!$F$109*AE15,Debt!AE81),0)</f>
        <v>8.58362979333186</v>
      </c>
      <c r="AF29" s="11" t="n">
        <f aca="false">IF(AND(AF24=1,Time!AF21&gt;=2027,Inputs!$F$51=1),MIN(Inputs!$F$109*AF15,Debt!AF81),0)</f>
        <v>9.45301575399795</v>
      </c>
      <c r="AG29" s="11" t="n">
        <f aca="false">IF(AND(AG24=1,Time!AG21&gt;=2027,Inputs!$F$51=1),MIN(Inputs!$F$109*AG15,Debt!AG81),0)</f>
        <v>9.86400962848871</v>
      </c>
      <c r="AH29" s="11" t="n">
        <f aca="false">IF(AND(AH24=1,Time!AH21&gt;=2027,Inputs!$F$51=1),MIN(Inputs!$F$109*AH15,Debt!AH81),0)</f>
        <v>11.2174730985755</v>
      </c>
      <c r="AI29" s="11" t="n">
        <f aca="false">IF(AND(AI24=1,Time!AI21&gt;=2027,Inputs!$F$51=1),MIN(Inputs!$F$109*AI15,Debt!AI81),0)</f>
        <v>12.061136975482</v>
      </c>
      <c r="AJ29" s="11" t="n">
        <f aca="false">IF(AND(AJ24=1,Time!AJ21&gt;=2027,Inputs!$F$51=1),MIN(Inputs!$F$109*AJ15,Debt!AJ81),0)</f>
        <v>13.9007318312843</v>
      </c>
      <c r="AK29" s="11" t="n">
        <f aca="false">IF(AND(AK24=1,Time!AK21&gt;=2027,Inputs!$F$51=1),MIN(Inputs!$F$109*AK15,Debt!AK81),0)</f>
        <v>0.805009231518923</v>
      </c>
      <c r="AL29" s="11" t="n">
        <f aca="false">IF(AND(AL24=1,Time!AL21&gt;=2027,Inputs!$F$51=1),MIN(Inputs!$F$109*AL15,Debt!AL81),0)</f>
        <v>0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1.86586721000159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1382.99736017716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14.6612345765964</v>
      </c>
      <c r="Q31" s="11" t="n">
        <f aca="false">IF(Q24=1,Q15-Q29,0)</f>
        <v>12.2078079959906</v>
      </c>
      <c r="R31" s="11" t="n">
        <f aca="false">IF(R24=1,R15-R29,0)</f>
        <v>13.126100137411</v>
      </c>
      <c r="S31" s="11" t="n">
        <f aca="false">IF(S24=1,S15-S29,0)</f>
        <v>12.3153147737073</v>
      </c>
      <c r="T31" s="11" t="n">
        <f aca="false">IF(T24=1,T15-T29,0)</f>
        <v>13.0516015143396</v>
      </c>
      <c r="U31" s="11" t="n">
        <f aca="false">IF(U24=1,U15-U29,0)</f>
        <v>12.0927548785864</v>
      </c>
      <c r="V31" s="11" t="n">
        <f aca="false">IF(V24=1,V15-V29,0)</f>
        <v>13.3268866819869</v>
      </c>
      <c r="W31" s="11" t="n">
        <f aca="false">IF(W24=1,W15-W29,0)</f>
        <v>14.0658393853302</v>
      </c>
      <c r="X31" s="11" t="n">
        <f aca="false">IF(X24=1,X15-X29,0)</f>
        <v>12.9285867949304</v>
      </c>
      <c r="Y31" s="11" t="n">
        <f aca="false">IF(Y24=1,Y15-Y29,0)</f>
        <v>12.146264853477</v>
      </c>
      <c r="Z31" s="11" t="n">
        <f aca="false">IF(Z24=1,Z15-Z29,0)</f>
        <v>12.8462705673942</v>
      </c>
      <c r="AA31" s="11" t="n">
        <f aca="false">IF(AA24=1,AA15-AA29,0)</f>
        <v>6.00772900021412</v>
      </c>
      <c r="AB31" s="11" t="n">
        <f aca="false">IF(AB24=1,AB15-AB29,0)</f>
        <v>6.99368704469093</v>
      </c>
      <c r="AC31" s="11" t="n">
        <f aca="false">IF(AC24=1,AC15-AC29,0)</f>
        <v>6.65508919369183</v>
      </c>
      <c r="AD31" s="11" t="n">
        <f aca="false">IF(AD24=1,AD15-AD29,0)</f>
        <v>7.9858172044616</v>
      </c>
      <c r="AE31" s="11" t="n">
        <f aca="false">IF(AE24=1,AE15-AE29,0)</f>
        <v>8.58362979333186</v>
      </c>
      <c r="AF31" s="11" t="n">
        <f aca="false">IF(AF24=1,AF15-AF29,0)</f>
        <v>9.45301575399795</v>
      </c>
      <c r="AG31" s="11" t="n">
        <f aca="false">IF(AG24=1,AG15-AG29,0)</f>
        <v>9.86400962848871</v>
      </c>
      <c r="AH31" s="11" t="n">
        <f aca="false">IF(AH24=1,AH15-AH29,0)</f>
        <v>11.2174730985755</v>
      </c>
      <c r="AI31" s="11" t="n">
        <f aca="false">IF(AI24=1,AI15-AI29,0)</f>
        <v>12.061136975482</v>
      </c>
      <c r="AJ31" s="11" t="n">
        <f aca="false">IF(AJ24=1,AJ15-AJ29,0)</f>
        <v>13.9007318312843</v>
      </c>
      <c r="AK31" s="11" t="n">
        <f aca="false">IF(AK24=1,AK15-AK29,0)</f>
        <v>30.5256310047672</v>
      </c>
      <c r="AL31" s="11" t="n">
        <f aca="false">IF(AL24=1,AL15-AL29,0)</f>
        <v>29.577906604268</v>
      </c>
      <c r="AM31" s="11" t="n">
        <f aca="false">IF(AM24=1,AM15-AM29,0)</f>
        <v>33.3809149883595</v>
      </c>
      <c r="AN31" s="11" t="n">
        <f aca="false">IF(AN24=1,AN15-AN29,0)</f>
        <v>26.0393957701188</v>
      </c>
      <c r="AO31" s="11" t="n">
        <f aca="false">IF(AO24=1,AO15-AO29,0)</f>
        <v>41.4336607083046</v>
      </c>
      <c r="AP31" s="11" t="n">
        <f aca="false">IF(AP24=1,AP15-AP29,0)</f>
        <v>41.3696749509332</v>
      </c>
      <c r="AQ31" s="11" t="n">
        <f aca="false">IF(AQ24=1,AQ15-AQ29,0)</f>
        <v>40.887875310738</v>
      </c>
      <c r="AR31" s="11" t="n">
        <f aca="false">IF(AR24=1,AR15-AR29,0)</f>
        <v>41.4757192835089</v>
      </c>
      <c r="AS31" s="11" t="n">
        <f aca="false">IF(AS24=1,AS15-AS29,0)</f>
        <v>41.2137543270468</v>
      </c>
      <c r="AT31" s="11" t="n">
        <f aca="false">IF(AT24=1,AT15-AT29,0)</f>
        <v>47.9496062254955</v>
      </c>
      <c r="AU31" s="11" t="n">
        <f aca="false">IF(AU24=1,AU15-AU29,0)</f>
        <v>43.5155217917493</v>
      </c>
      <c r="AV31" s="11" t="n">
        <f aca="false">IF(AV24=1,AV15-AV29,0)</f>
        <v>43.623361666322</v>
      </c>
      <c r="AW31" s="11" t="n">
        <f aca="false">IF(AW24=1,AW15-AW29,0)</f>
        <v>43.1966272325465</v>
      </c>
      <c r="AX31" s="11" t="n">
        <f aca="false">IF(AX24=1,AX15-AX29,0)</f>
        <v>43.8655381025356</v>
      </c>
      <c r="AY31" s="11" t="n">
        <f aca="false">IF(AY24=1,AY15-AY29,0)</f>
        <v>43.4110588434027</v>
      </c>
      <c r="AZ31" s="11" t="n">
        <f aca="false">IF(AZ24=1,AZ15-AZ29,0)</f>
        <v>44.019806723715</v>
      </c>
      <c r="BA31" s="11" t="n">
        <f aca="false">IF(BA24=1,BA15-BA29,0)</f>
        <v>43.2296449340063</v>
      </c>
      <c r="BB31" s="11" t="n">
        <f aca="false">IF(BB24=1,BB15-BB29,0)</f>
        <v>44.4701855164617</v>
      </c>
      <c r="BC31" s="11" t="n">
        <f aca="false">IF(BC24=1,BC15-BC29,0)</f>
        <v>41.0572872156454</v>
      </c>
      <c r="BD31" s="11" t="n">
        <f aca="false">IF(BD24=1,BD15-BD29,0)</f>
        <v>34.9280474778911</v>
      </c>
      <c r="BE31" s="11" t="n">
        <f aca="false">IF(BE24=1,BE15-BE29,0)</f>
        <v>34.4777592795873</v>
      </c>
      <c r="BF31" s="11" t="n">
        <f aca="false">IF(BF24=1,BF15-BF29,0)</f>
        <v>35.1587269848472</v>
      </c>
      <c r="BG31" s="11" t="n">
        <f aca="false">IF(BG24=1,BG15-BG29,0)</f>
        <v>34.6765690989376</v>
      </c>
      <c r="BH31" s="11" t="n">
        <f aca="false">IF(BH24=1,BH15-BH29,0)</f>
        <v>35.2905790581034</v>
      </c>
      <c r="BI31" s="11" t="n">
        <f aca="false">IF(BI24=1,BI15-BI29,0)</f>
        <v>35.0158537614604</v>
      </c>
      <c r="BJ31" s="11" t="n">
        <f aca="false">IF(BJ24=1,BJ15-BJ29,0)</f>
        <v>43.0251154178748</v>
      </c>
      <c r="BK31" s="11" t="n">
        <f aca="false">IF(BK24=1,BK15-BK29,0)</f>
        <v>37.7611193148148</v>
      </c>
      <c r="BL31" s="11" t="n">
        <f aca="false">IF(BL24=1,BL15-BL29,0)</f>
        <v>38.4731289573919</v>
      </c>
      <c r="BM31" s="11" t="n">
        <f aca="false">IF(BM24=1,BM15-BM29,0)</f>
        <v>54.4563079423586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44.3667535168114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201.659718724773</v>
      </c>
      <c r="P33" s="11" t="n">
        <f aca="false">IF(Time!P17&lt;Time!$F$11,0,IF(Time!P29=1,INDEX(Funding!$J$72:$BJ$72,1,Time!$F$13),O36))</f>
        <v>204.861412067266</v>
      </c>
      <c r="Q33" s="11" t="n">
        <f aca="false">IF(Time!Q17&lt;Time!$F$11,0,IF(Time!Q29=1,INDEX(Funding!$J$72:$BJ$72,1,Time!$F$13),P36))</f>
        <v>200.011074704193</v>
      </c>
      <c r="R33" s="11" t="n">
        <f aca="false">IF(Time!R17&lt;Time!$F$11,0,IF(Time!R29=1,INDEX(Funding!$J$72:$BJ$72,1,Time!$F$13),Q36))</f>
        <v>197.225706241184</v>
      </c>
      <c r="S33" s="11" t="n">
        <f aca="false">IF(Time!S17&lt;Time!$F$11,0,IF(Time!S29=1,INDEX(Funding!$J$72:$BJ$72,1,Time!$F$13),R36))</f>
        <v>193.544826227324</v>
      </c>
      <c r="T33" s="11" t="n">
        <f aca="false">IF(Time!T17&lt;Time!$F$11,0,IF(Time!T29=1,INDEX(Funding!$J$72:$BJ$72,1,Time!$F$13),S36))</f>
        <v>190.347328678216</v>
      </c>
      <c r="U33" s="11" t="n">
        <f aca="false">IF(Time!U17&lt;Time!$F$11,0,IF(Time!U29=1,INDEX(Funding!$J$72:$BJ$72,1,Time!$F$13),T36))</f>
        <v>186.411538959206</v>
      </c>
      <c r="V33" s="11" t="n">
        <f aca="false">IF(Time!V17&lt;Time!$F$11,0,IF(Time!V29=1,INDEX(Funding!$J$72:$BJ$72,1,Time!$F$13),U36))</f>
        <v>183.14907314529</v>
      </c>
      <c r="W33" s="11" t="n">
        <f aca="false">IF(Time!W17&lt;Time!$F$11,0,IF(Time!W29=1,INDEX(Funding!$J$72:$BJ$72,1,Time!$F$13),V36))</f>
        <v>178.593270842973</v>
      </c>
      <c r="X33" s="11" t="n">
        <f aca="false">IF(Time!X17&lt;Time!$F$11,0,IF(Time!X29=1,INDEX(Funding!$J$72:$BJ$72,1,Time!$F$13),W36))</f>
        <v>172.940887052561</v>
      </c>
      <c r="Y33" s="11" t="n">
        <f aca="false">IF(Time!Y17&lt;Time!$F$11,0,IF(Time!Y29=1,INDEX(Funding!$J$72:$BJ$72,1,Time!$F$13),X36))</f>
        <v>168.294510410175</v>
      </c>
      <c r="Z33" s="11" t="n">
        <f aca="false">IF(Time!Z17&lt;Time!$F$11,0,IF(Time!Z29=1,INDEX(Funding!$J$72:$BJ$72,1,Time!$F$13),Y36))</f>
        <v>164.076530779994</v>
      </c>
      <c r="AA33" s="11" t="n">
        <f aca="false">IF(Time!AA17&lt;Time!$F$11,0,IF(Time!AA29=1,INDEX(Funding!$J$72:$BJ$72,1,Time!$F$13),Z36))</f>
        <v>159.087952700365</v>
      </c>
      <c r="AB33" s="11" t="n">
        <f aca="false">IF(Time!AB17&lt;Time!$F$11,0,IF(Time!AB29=1,INDEX(Funding!$J$72:$BJ$72,1,Time!$F$13),AA36))</f>
        <v>160.574791773254</v>
      </c>
      <c r="AC33" s="11" t="n">
        <f aca="false">IF(Time!AC17&lt;Time!$F$11,0,IF(Time!AC29=1,INDEX(Funding!$J$72:$BJ$72,1,Time!$F$13),AB36))</f>
        <v>161.271097496225</v>
      </c>
      <c r="AD33" s="11" t="n">
        <f aca="false">IF(Time!AD17&lt;Time!$F$11,0,IF(Time!AD29=1,INDEX(Funding!$J$72:$BJ$72,1,Time!$F$13),AC36))</f>
        <v>162.255398098998</v>
      </c>
      <c r="AE33" s="11" t="n">
        <f aca="false">IF(Time!AE17&lt;Time!$F$11,0,IF(Time!AE29=1,INDEX(Funding!$J$72:$BJ$72,1,Time!$F$13),AD36))</f>
        <v>162.040058589798</v>
      </c>
      <c r="AF33" s="11" t="n">
        <f aca="false">IF(Time!AF17&lt;Time!$F$11,0,IF(Time!AF29=1,INDEX(Funding!$J$72:$BJ$72,1,Time!$F$13),AE36))</f>
        <v>161.090069364827</v>
      </c>
      <c r="AG33" s="11" t="n">
        <f aca="false">IF(Time!AG17&lt;Time!$F$11,0,IF(Time!AG29=1,INDEX(Funding!$J$72:$BJ$72,1,Time!$F$13),AF36))</f>
        <v>159.351723234109</v>
      </c>
      <c r="AH33" s="11" t="n">
        <f aca="false">IF(Time!AH17&lt;Time!$F$11,0,IF(Time!AH29=1,INDEX(Funding!$J$72:$BJ$72,1,Time!$F$13),AG36))</f>
        <v>156.994707800169</v>
      </c>
      <c r="AI33" s="11" t="n">
        <f aca="false">IF(Time!AI17&lt;Time!$F$11,0,IF(Time!AI29=1,INDEX(Funding!$J$72:$BJ$72,1,Time!$F$13),AH36))</f>
        <v>153.295775776517</v>
      </c>
      <c r="AJ33" s="11" t="n">
        <f aca="false">IF(Time!AJ17&lt;Time!$F$11,0,IF(Time!AJ29=1,INDEX(Funding!$J$72:$BJ$72,1,Time!$F$13),AI36))</f>
        <v>148.456339799603</v>
      </c>
      <c r="AK33" s="11" t="n">
        <f aca="false">IF(Time!AK17&lt;Time!$F$11,0,IF(Time!AK29=1,INDEX(Funding!$J$72:$BJ$72,1,Time!$F$13),AJ36))</f>
        <v>141.665243090776</v>
      </c>
      <c r="AL33" s="11" t="n">
        <f aca="false">IF(Time!AL17&lt;Time!$F$11,0,IF(Time!AL29=1,INDEX(Funding!$J$72:$BJ$72,1,Time!$F$13),AK36))</f>
        <v>117.850275245021</v>
      </c>
      <c r="AM33" s="11" t="n">
        <f aca="false">IF(Time!AM17&lt;Time!$F$11,0,IF(Time!AM29=1,INDEX(Funding!$J$72:$BJ$72,1,Time!$F$13),AL36))</f>
        <v>93.916266753857</v>
      </c>
      <c r="AN33" s="11" t="n">
        <f aca="false">IF(Time!AN17&lt;Time!$F$11,0,IF(Time!AN29=1,INDEX(Funding!$J$72:$BJ$72,1,Time!$F$13),AM36))</f>
        <v>64.9597084965457</v>
      </c>
      <c r="AO33" s="11" t="n">
        <f aca="false">IF(Time!AO17&lt;Time!$F$11,0,IF(Time!AO29=1,INDEX(Funding!$J$72:$BJ$72,1,Time!$F$13),AN36))</f>
        <v>42.0312598620971</v>
      </c>
      <c r="AP33" s="11" t="n">
        <f aca="false">IF(Time!AP17&lt;Time!$F$11,0,IF(Time!AP29=1,INDEX(Funding!$J$72:$BJ$72,1,Time!$F$13),AO36))</f>
        <v>2.57767453277536</v>
      </c>
      <c r="AQ33" s="11" t="n">
        <f aca="false">IF(Time!AQ17&lt;Time!$F$11,0,IF(Time!AQ29=1,INDEX(Funding!$J$72:$BJ$72,1,Time!$F$13),AP36))</f>
        <v>0</v>
      </c>
      <c r="AR33" s="11" t="n">
        <f aca="false">IF(Time!AR17&lt;Time!$F$11,0,IF(Time!AR29=1,INDEX(Funding!$J$72:$BJ$72,1,Time!$F$13),AQ36))</f>
        <v>0</v>
      </c>
      <c r="AS33" s="11" t="n">
        <f aca="false">IF(Time!AS17&lt;Time!$F$11,0,IF(Time!AS29=1,INDEX(Funding!$J$72:$BJ$72,1,Time!$F$13),AR36))</f>
        <v>0</v>
      </c>
      <c r="AT33" s="11" t="n">
        <f aca="false">IF(Time!AT17&lt;Time!$F$11,0,IF(Time!AT29=1,INDEX(Funding!$J$72:$BJ$72,1,Time!$F$13),AS36))</f>
        <v>0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191.120753719356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9.81089721352277</v>
      </c>
      <c r="Q34" s="11" t="n">
        <f aca="false">Q24*MIN(Q31,Tax!Q13)</f>
        <v>9.42243953298245</v>
      </c>
      <c r="R34" s="11" t="n">
        <f aca="false">R24*MIN(R31,Tax!R13)</f>
        <v>9.44522012355042</v>
      </c>
      <c r="S34" s="11" t="n">
        <f aca="false">S24*MIN(S31,Tax!S13)</f>
        <v>9.11781722459955</v>
      </c>
      <c r="T34" s="11" t="n">
        <f aca="false">T24*MIN(T31,Tax!T13)</f>
        <v>9.11581179532936</v>
      </c>
      <c r="U34" s="11" t="n">
        <f aca="false">U24*MIN(U31,Tax!U13)</f>
        <v>8.83028906467033</v>
      </c>
      <c r="V34" s="11" t="n">
        <f aca="false">V24*MIN(V31,Tax!V13)</f>
        <v>8.77108437967032</v>
      </c>
      <c r="W34" s="11" t="n">
        <f aca="false">W24*MIN(W31,Tax!W13)</f>
        <v>8.41345559491761</v>
      </c>
      <c r="X34" s="11" t="n">
        <f aca="false">X24*MIN(X31,Tax!X13)</f>
        <v>8.28221015254456</v>
      </c>
      <c r="Y34" s="11" t="n">
        <f aca="false">Y24*MIN(Y31,Tax!Y13)</f>
        <v>7.92828522329578</v>
      </c>
      <c r="Z34" s="11" t="n">
        <f aca="false">Z24*MIN(Z31,Tax!Z13)</f>
        <v>7.85769248776518</v>
      </c>
      <c r="AA34" s="11" t="n">
        <f aca="false">AA24*MIN(AA31,Tax!AA13)</f>
        <v>6.00772900021412</v>
      </c>
      <c r="AB34" s="11" t="n">
        <f aca="false">AB24*MIN(AB31,Tax!AB13)</f>
        <v>6.99368704469093</v>
      </c>
      <c r="AC34" s="11" t="n">
        <f aca="false">AC24*MIN(AC31,Tax!AC13)</f>
        <v>6.65508919369183</v>
      </c>
      <c r="AD34" s="11" t="n">
        <f aca="false">AD24*MIN(AD31,Tax!AD13)</f>
        <v>7.7704776952616</v>
      </c>
      <c r="AE34" s="11" t="n">
        <f aca="false">AE24*MIN(AE31,Tax!AE13)</f>
        <v>7.63364056836048</v>
      </c>
      <c r="AF34" s="11" t="n">
        <f aca="false">AF24*MIN(AF31,Tax!AF13)</f>
        <v>7.71466962327992</v>
      </c>
      <c r="AG34" s="11" t="n">
        <f aca="false">AG24*MIN(AG31,Tax!AG13)</f>
        <v>7.50699419454931</v>
      </c>
      <c r="AH34" s="11" t="n">
        <f aca="false">AH24*MIN(AH31,Tax!AH13)</f>
        <v>7.51854107492317</v>
      </c>
      <c r="AI34" s="11" t="n">
        <f aca="false">AI24*MIN(AI31,Tax!AI13)</f>
        <v>7.22170099856769</v>
      </c>
      <c r="AJ34" s="11" t="n">
        <f aca="false">AJ24*MIN(AJ31,Tax!AJ13)</f>
        <v>7.10963512245768</v>
      </c>
      <c r="AK34" s="11" t="n">
        <f aca="false">AK24*MIN(AK31,Tax!AK13)</f>
        <v>6.71066315901237</v>
      </c>
      <c r="AL34" s="11" t="n">
        <f aca="false">AL24*MIN(AL31,Tax!AL13)</f>
        <v>5.64389811310402</v>
      </c>
      <c r="AM34" s="11" t="n">
        <f aca="false">AM24*MIN(AM31,Tax!AM13)</f>
        <v>4.42435673104814</v>
      </c>
      <c r="AN34" s="11" t="n">
        <f aca="false">AN24*MIN(AN31,Tax!AN13)</f>
        <v>3.11094713567019</v>
      </c>
      <c r="AO34" s="11" t="n">
        <f aca="false">AO24*MIN(AO31,Tax!AO13)</f>
        <v>1.9800753789829</v>
      </c>
      <c r="AP34" s="11" t="n">
        <f aca="false">AP24*MIN(AP31,Tax!AP13)</f>
        <v>0.123445892692913</v>
      </c>
      <c r="AQ34" s="11" t="n">
        <f aca="false">AQ24*MIN(AQ31,Tax!AQ13)</f>
        <v>0</v>
      </c>
      <c r="AR34" s="11" t="n">
        <f aca="false">AR24*MIN(AR31,Tax!AR13)</f>
        <v>0</v>
      </c>
      <c r="AS34" s="11" t="n">
        <f aca="false">AS24*MIN(AS31,Tax!AS13)</f>
        <v>0</v>
      </c>
      <c r="AT34" s="11" t="n">
        <f aca="false">AT24*MIN(AT31,Tax!AT13)</f>
        <v>0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208.028857465899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4.85033736307358</v>
      </c>
      <c r="Q35" s="11" t="n">
        <f aca="false">Q24*MIN(Q31-Q34,Q33+Tax!Q13-Q34)</f>
        <v>2.78536846300819</v>
      </c>
      <c r="R35" s="11" t="n">
        <f aca="false">R24*MIN(R31-R34,R33+Tax!R13-R34)</f>
        <v>3.68088001386054</v>
      </c>
      <c r="S35" s="11" t="n">
        <f aca="false">S24*MIN(S31-S34,S33+Tax!S13-S34)</f>
        <v>3.19749754910773</v>
      </c>
      <c r="T35" s="11" t="n">
        <f aca="false">T24*MIN(T31-T34,T33+Tax!T13-T34)</f>
        <v>3.93578971901022</v>
      </c>
      <c r="U35" s="11" t="n">
        <f aca="false">U24*MIN(U31-U34,U33+Tax!U13-U34)</f>
        <v>3.26246581391603</v>
      </c>
      <c r="V35" s="11" t="n">
        <f aca="false">V24*MIN(V31-V34,V33+Tax!V13-V34)</f>
        <v>4.55580230231653</v>
      </c>
      <c r="W35" s="11" t="n">
        <f aca="false">W24*MIN(W31-W34,W33+Tax!W13-W34)</f>
        <v>5.65238379041256</v>
      </c>
      <c r="X35" s="11" t="n">
        <f aca="false">X24*MIN(X31-X34,X33+Tax!X13-X34)</f>
        <v>4.64637664238586</v>
      </c>
      <c r="Y35" s="11" t="n">
        <f aca="false">Y24*MIN(Y31-Y34,Y33+Tax!Y13-Y34)</f>
        <v>4.21797963018118</v>
      </c>
      <c r="Z35" s="11" t="n">
        <f aca="false">Z24*MIN(Z31-Z34,Z33+Tax!Z13-Z34)</f>
        <v>4.98857807962901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0.215339509199995</v>
      </c>
      <c r="AE35" s="11" t="n">
        <f aca="false">AE24*MIN(AE31-AE34,AE33+Tax!AE13-AE34)</f>
        <v>0.949989224971379</v>
      </c>
      <c r="AF35" s="11" t="n">
        <f aca="false">AF24*MIN(AF31-AF34,AF33+Tax!AF13-AF34)</f>
        <v>1.73834613071803</v>
      </c>
      <c r="AG35" s="11" t="n">
        <f aca="false">AG24*MIN(AG31-AG34,AG33+Tax!AG13-AG34)</f>
        <v>2.35701543393941</v>
      </c>
      <c r="AH35" s="11" t="n">
        <f aca="false">AH24*MIN(AH31-AH34,AH33+Tax!AH13-AH34)</f>
        <v>3.69893202365234</v>
      </c>
      <c r="AI35" s="11" t="n">
        <f aca="false">AI24*MIN(AI31-AI34,AI33+Tax!AI13-AI34)</f>
        <v>4.83943597691433</v>
      </c>
      <c r="AJ35" s="11" t="n">
        <f aca="false">AJ24*MIN(AJ31-AJ34,AJ33+Tax!AJ13-AJ34)</f>
        <v>6.79109670882667</v>
      </c>
      <c r="AK35" s="11" t="n">
        <f aca="false">AK24*MIN(AK31-AK34,AK33+Tax!AK13-AK34)</f>
        <v>23.8149678457548</v>
      </c>
      <c r="AL35" s="11" t="n">
        <f aca="false">AL24*MIN(AL31-AL34,AL33+Tax!AL13-AL34)</f>
        <v>23.9340084911639</v>
      </c>
      <c r="AM35" s="11" t="n">
        <f aca="false">AM24*MIN(AM31-AM34,AM33+Tax!AM13-AM34)</f>
        <v>28.9565582573113</v>
      </c>
      <c r="AN35" s="11" t="n">
        <f aca="false">AN24*MIN(AN31-AN34,AN33+Tax!AN13-AN34)</f>
        <v>22.9284486344487</v>
      </c>
      <c r="AO35" s="11" t="n">
        <f aca="false">AO24*MIN(AO31-AO34,AO33+Tax!AO13-AO34)</f>
        <v>39.4535853293217</v>
      </c>
      <c r="AP35" s="11" t="n">
        <f aca="false">AP24*MIN(AP31-AP34,AP33+Tax!AP13-AP34)</f>
        <v>2.57767453277536</v>
      </c>
      <c r="AQ35" s="11" t="n">
        <f aca="false">AQ24*MIN(AQ31-AQ34,AQ33+Tax!AQ13-AQ34)</f>
        <v>0</v>
      </c>
      <c r="AR35" s="11" t="n">
        <f aca="false">AR24*MIN(AR31-AR34,AR33+Tax!AR13-AR34)</f>
        <v>0</v>
      </c>
      <c r="AS35" s="11" t="n">
        <f aca="false">AS24*MIN(AS31-AS34,AS33+Tax!AS13-AS34)</f>
        <v>0</v>
      </c>
      <c r="AT35" s="11" t="n">
        <f aca="false">AT24*MIN(AT31-AT34,AT33+Tax!AT13-AT34)</f>
        <v>0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204.861412067266</v>
      </c>
      <c r="P36" s="11" t="n">
        <f aca="false">P33+Tax!P13-P34-P35</f>
        <v>200.011074704193</v>
      </c>
      <c r="Q36" s="11" t="n">
        <f aca="false">Q33+Tax!Q13-Q34-Q35</f>
        <v>197.225706241184</v>
      </c>
      <c r="R36" s="11" t="n">
        <f aca="false">R33+Tax!R13-R34-R35</f>
        <v>193.544826227324</v>
      </c>
      <c r="S36" s="11" t="n">
        <f aca="false">S33+Tax!S13-S34-S35</f>
        <v>190.347328678216</v>
      </c>
      <c r="T36" s="11" t="n">
        <f aca="false">T33+Tax!T13-T34-T35</f>
        <v>186.411538959206</v>
      </c>
      <c r="U36" s="11" t="n">
        <f aca="false">U33+Tax!U13-U34-U35</f>
        <v>183.14907314529</v>
      </c>
      <c r="V36" s="11" t="n">
        <f aca="false">V33+Tax!V13-V34-V35</f>
        <v>178.593270842973</v>
      </c>
      <c r="W36" s="11" t="n">
        <f aca="false">W33+Tax!W13-W34-W35</f>
        <v>172.940887052561</v>
      </c>
      <c r="X36" s="11" t="n">
        <f aca="false">X33+Tax!X13-X34-X35</f>
        <v>168.294510410175</v>
      </c>
      <c r="Y36" s="11" t="n">
        <f aca="false">Y33+Tax!Y13-Y34-Y35</f>
        <v>164.076530779994</v>
      </c>
      <c r="Z36" s="11" t="n">
        <f aca="false">Z33+Tax!Z13-Z34-Z35</f>
        <v>159.087952700365</v>
      </c>
      <c r="AA36" s="11" t="n">
        <f aca="false">AA33+Tax!AA13-AA34-AA35</f>
        <v>160.574791773254</v>
      </c>
      <c r="AB36" s="11" t="n">
        <f aca="false">AB33+Tax!AB13-AB34-AB35</f>
        <v>161.271097496225</v>
      </c>
      <c r="AC36" s="11" t="n">
        <f aca="false">AC33+Tax!AC13-AC34-AC35</f>
        <v>162.255398098998</v>
      </c>
      <c r="AD36" s="11" t="n">
        <f aca="false">AD33+Tax!AD13-AD34-AD35</f>
        <v>162.040058589798</v>
      </c>
      <c r="AE36" s="11" t="n">
        <f aca="false">AE33+Tax!AE13-AE34-AE35</f>
        <v>161.090069364827</v>
      </c>
      <c r="AF36" s="11" t="n">
        <f aca="false">AF33+Tax!AF13-AF34-AF35</f>
        <v>159.351723234109</v>
      </c>
      <c r="AG36" s="11" t="n">
        <f aca="false">AG33+Tax!AG13-AG34-AG35</f>
        <v>156.994707800169</v>
      </c>
      <c r="AH36" s="11" t="n">
        <f aca="false">AH33+Tax!AH13-AH34-AH35</f>
        <v>153.295775776517</v>
      </c>
      <c r="AI36" s="11" t="n">
        <f aca="false">AI33+Tax!AI13-AI34-AI35</f>
        <v>148.456339799603</v>
      </c>
      <c r="AJ36" s="11" t="n">
        <f aca="false">AJ33+Tax!AJ13-AJ34-AJ35</f>
        <v>141.665243090776</v>
      </c>
      <c r="AK36" s="11" t="n">
        <f aca="false">AK33+Tax!AK13-AK34-AK35</f>
        <v>117.850275245021</v>
      </c>
      <c r="AL36" s="11" t="n">
        <f aca="false">AL33+Tax!AL13-AL34-AL35</f>
        <v>93.916266753857</v>
      </c>
      <c r="AM36" s="11" t="n">
        <f aca="false">AM33+Tax!AM13-AM34-AM35</f>
        <v>64.9597084965457</v>
      </c>
      <c r="AN36" s="11" t="n">
        <f aca="false">AN33+Tax!AN13-AN34-AN35</f>
        <v>42.0312598620971</v>
      </c>
      <c r="AO36" s="11" t="n">
        <f aca="false">AO33+Tax!AO13-AO34-AO35</f>
        <v>2.57767453277536</v>
      </c>
      <c r="AP36" s="11" t="n">
        <f aca="false">AP33+Tax!AP13-AP34-AP35</f>
        <v>0</v>
      </c>
      <c r="AQ36" s="11" t="n">
        <f aca="false">AQ33+Tax!AQ13-AQ34-AQ35</f>
        <v>0</v>
      </c>
      <c r="AR36" s="11" t="n">
        <f aca="false">AR33+Tax!AR13-AR34-AR35</f>
        <v>0</v>
      </c>
      <c r="AS36" s="11" t="n">
        <f aca="false">AS33+Tax!AS13-AS34-AS35</f>
        <v>0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9.66974093420674</v>
      </c>
      <c r="P37" s="11" t="n">
        <f aca="false">MAX(0,O43+Financials!P14)</f>
        <v>16.7218259651569</v>
      </c>
      <c r="Q37" s="11" t="n">
        <f aca="false">MAX(0,P43+Financials!Q14)</f>
        <v>25.1116267446882</v>
      </c>
      <c r="R37" s="11" t="n">
        <f aca="false">MAX(0,Q43+Financials!R14)</f>
        <v>33.9525395958559</v>
      </c>
      <c r="S37" s="11" t="n">
        <f aca="false">MAX(0,R43+Financials!S14)</f>
        <v>44.0015590942171</v>
      </c>
      <c r="T37" s="11" t="n">
        <f aca="false">MAX(0,S43+Financials!T14)</f>
        <v>54.5091708766813</v>
      </c>
      <c r="U37" s="11" t="n">
        <f aca="false">MAX(0,T43+Financials!U14)</f>
        <v>66.2300724342667</v>
      </c>
      <c r="V37" s="11" t="n">
        <f aca="false">MAX(0,U43+Financials!V14)</f>
        <v>76.2501601553203</v>
      </c>
      <c r="W37" s="11" t="n">
        <f aca="false">MAX(0,V43+Financials!W14)</f>
        <v>90.0550855128283</v>
      </c>
      <c r="X37" s="11" t="n">
        <f aca="false">MAX(0,W43+Financials!X14)</f>
        <v>104.503241326065</v>
      </c>
      <c r="Y37" s="11" t="n">
        <f aca="false">MAX(0,X43+Financials!Y14)</f>
        <v>116.981516670493</v>
      </c>
      <c r="Z37" s="11" t="n">
        <f aca="false">MAX(0,Y43+Financials!Z14)</f>
        <v>124.345988509605</v>
      </c>
      <c r="AA37" s="11" t="n">
        <f aca="false">MAX(0,Z43+Financials!AA14)</f>
        <v>132.66598732449</v>
      </c>
      <c r="AB37" s="11" t="n">
        <f aca="false">MAX(0,AA43+Financials!AB14)</f>
        <v>141.527417454106</v>
      </c>
      <c r="AC37" s="11" t="n">
        <f aca="false">MAX(0,AB43+Financials!AC14)</f>
        <v>151.430119195262</v>
      </c>
      <c r="AD37" s="11" t="n">
        <f aca="false">MAX(0,AC43+Financials!AD14)</f>
        <v>153.159929651556</v>
      </c>
      <c r="AE37" s="11" t="n">
        <f aca="false">MAX(0,AD43+Financials!AE14)</f>
        <v>165.036335790718</v>
      </c>
      <c r="AF37" s="11" t="n">
        <f aca="false">MAX(0,AE43+Financials!AF14)</f>
        <v>177.518823278793</v>
      </c>
      <c r="AG37" s="11" t="n">
        <f aca="false">MAX(0,AF43+Financials!AG14)</f>
        <v>191.073105487444</v>
      </c>
      <c r="AH37" s="11" t="n">
        <f aca="false">MAX(0,AG43+Financials!AH14)</f>
        <v>205.60897211636</v>
      </c>
      <c r="AI37" s="11" t="n">
        <f aca="false">MAX(0,AH43+Financials!AI14)</f>
        <v>221.428834181706</v>
      </c>
      <c r="AJ37" s="11" t="n">
        <f aca="false">MAX(0,AI43+Financials!AJ14)</f>
        <v>238.315256320752</v>
      </c>
      <c r="AK37" s="11" t="n">
        <f aca="false">MAX(0,AJ43+Financials!AK14)</f>
        <v>256.608650813513</v>
      </c>
      <c r="AL37" s="11" t="n">
        <f aca="false">MAX(0,AK43+Financials!AL14)</f>
        <v>274.173957212665</v>
      </c>
      <c r="AM37" s="11" t="n">
        <f aca="false">MAX(0,AL43+Financials!AM14)</f>
        <v>295.125276131684</v>
      </c>
      <c r="AN37" s="11" t="n">
        <f aca="false">MAX(0,AM43+Financials!AN14)</f>
        <v>317.770232992702</v>
      </c>
      <c r="AO37" s="11" t="n">
        <f aca="false">MAX(0,AN43+Financials!AO14)</f>
        <v>341.658425557131</v>
      </c>
      <c r="AP37" s="11" t="n">
        <f aca="false">MAX(0,AO43+Financials!AP14)</f>
        <v>367.31679715087</v>
      </c>
      <c r="AQ37" s="11" t="n">
        <f aca="false">MAX(0,AP43+Financials!AQ14)</f>
        <v>354.470391774101</v>
      </c>
      <c r="AR37" s="11" t="n">
        <f aca="false">MAX(0,AQ43+Financials!AR14)</f>
        <v>339.468213012173</v>
      </c>
      <c r="AS37" s="11" t="n">
        <f aca="false">MAX(0,AR43+Financials!AS14)</f>
        <v>324.060785779841</v>
      </c>
      <c r="AT37" s="11" t="n">
        <f aca="false">MAX(0,AS43+Financials!AT14)</f>
        <v>298.615075316625</v>
      </c>
      <c r="AU37" s="11" t="n">
        <f aca="false">MAX(0,AT43+Financials!AU14)</f>
        <v>277.018892831213</v>
      </c>
      <c r="AV37" s="11" t="n">
        <f aca="false">MAX(0,AU43+Financials!AV14)</f>
        <v>259.772655137022</v>
      </c>
      <c r="AW37" s="11" t="n">
        <f aca="false">MAX(0,AV43+Financials!AW14)</f>
        <v>242.532394186415</v>
      </c>
      <c r="AX37" s="11" t="n">
        <f aca="false">MAX(0,AW43+Financials!AX14)</f>
        <v>225.852813683555</v>
      </c>
      <c r="AY37" s="11" t="n">
        <f aca="false">MAX(0,AX43+Financials!AY14)</f>
        <v>208.587173325947</v>
      </c>
      <c r="AZ37" s="11" t="n">
        <f aca="false">MAX(0,AY43+Financials!AZ14)</f>
        <v>191.844578845284</v>
      </c>
      <c r="BA37" s="11" t="n">
        <f aca="false">MAX(0,AZ43+Financials!BA14)</f>
        <v>174.656033223309</v>
      </c>
      <c r="BB37" s="11" t="n">
        <f aca="false">MAX(0,BA43+Financials!BB14)</f>
        <v>156.011785076308</v>
      </c>
      <c r="BC37" s="11" t="n">
        <f aca="false">MAX(0,BB43+Financials!BC14)</f>
        <v>138.645427403063</v>
      </c>
      <c r="BD37" s="11" t="n">
        <f aca="false">MAX(0,BC43+Financials!BD14)</f>
        <v>124.672019644686</v>
      </c>
      <c r="BE37" s="11" t="n">
        <f aca="false">MAX(0,BD43+Financials!BE14)</f>
        <v>116.950962897023</v>
      </c>
      <c r="BF37" s="11" t="n">
        <f aca="false">MAX(0,BE43+Financials!BF14)</f>
        <v>109.826688975554</v>
      </c>
      <c r="BG37" s="11" t="n">
        <f aca="false">MAX(0,BF43+Financials!BG14)</f>
        <v>102.11017819102</v>
      </c>
      <c r="BH37" s="11" t="n">
        <f aca="false">MAX(0,BG43+Financials!BH14)</f>
        <v>94.949807348311</v>
      </c>
      <c r="BI37" s="11" t="n">
        <f aca="false">MAX(0,BH43+Financials!BI14)</f>
        <v>87.3933883427407</v>
      </c>
      <c r="BJ37" s="11" t="n">
        <f aca="false">MAX(0,BI43+Financials!BJ14)</f>
        <v>67.9367409606646</v>
      </c>
      <c r="BK37" s="11" t="n">
        <f aca="false">MAX(0,BJ43+Financials!BK14)</f>
        <v>52.9853970475364</v>
      </c>
      <c r="BL37" s="11" t="n">
        <f aca="false">MAX(0,BK43+Financials!BL14)</f>
        <v>43.1903952569391</v>
      </c>
      <c r="BM37" s="11" t="n">
        <f aca="false">MAX(0,BL43+Financials!BM14)</f>
        <v>10.089554425547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38.668554525465</v>
      </c>
      <c r="AQ38" s="11" t="n">
        <f aca="false">AQ24*MIN(AQ31-AQ34-AQ35,AQ37)</f>
        <v>40.887875310738</v>
      </c>
      <c r="AR38" s="11" t="n">
        <f aca="false">AR24*MIN(AR31-AR34-AR35,AR37)</f>
        <v>41.4757192835089</v>
      </c>
      <c r="AS38" s="11" t="n">
        <f aca="false">AS24*MIN(AS31-AS34-AS35,AS37)</f>
        <v>41.2137543270468</v>
      </c>
      <c r="AT38" s="11" t="n">
        <f aca="false">AT24*MIN(AT31-AT34-AT35,AT37)</f>
        <v>47.9496062254955</v>
      </c>
      <c r="AU38" s="11" t="n">
        <f aca="false">AU24*MIN(AU31-AU34-AU35,AU37)</f>
        <v>43.5155217917493</v>
      </c>
      <c r="AV38" s="11" t="n">
        <f aca="false">AV24*MIN(AV31-AV34-AV35,AV37)</f>
        <v>43.623361666322</v>
      </c>
      <c r="AW38" s="11" t="n">
        <f aca="false">AW24*MIN(AW31-AW34-AW35,AW37)</f>
        <v>43.1966272325465</v>
      </c>
      <c r="AX38" s="11" t="n">
        <f aca="false">AX24*MIN(AX31-AX34-AX35,AX37)</f>
        <v>43.8655381025356</v>
      </c>
      <c r="AY38" s="11" t="n">
        <f aca="false">AY24*MIN(AY31-AY34-AY35,AY37)</f>
        <v>43.4110588434027</v>
      </c>
      <c r="AZ38" s="11" t="n">
        <f aca="false">AZ24*MIN(AZ31-AZ34-AZ35,AZ37)</f>
        <v>44.019806723715</v>
      </c>
      <c r="BA38" s="11" t="n">
        <f aca="false">BA24*MIN(BA31-BA34-BA35,BA37)</f>
        <v>43.2296449340063</v>
      </c>
      <c r="BB38" s="11" t="n">
        <f aca="false">BB24*MIN(BB31-BB34-BB35,BB37)</f>
        <v>44.4701855164617</v>
      </c>
      <c r="BC38" s="11" t="n">
        <f aca="false">BC24*MIN(BC31-BC34-BC35,BC37)</f>
        <v>41.0572872156454</v>
      </c>
      <c r="BD38" s="11" t="n">
        <f aca="false">BD24*MIN(BD31-BD34-BD35,BD37)</f>
        <v>34.9280474778911</v>
      </c>
      <c r="BE38" s="11" t="n">
        <f aca="false">BE24*MIN(BE31-BE34-BE35,BE37)</f>
        <v>34.4777592795873</v>
      </c>
      <c r="BF38" s="11" t="n">
        <f aca="false">BF24*MIN(BF31-BF34-BF35,BF37)</f>
        <v>35.1587269848472</v>
      </c>
      <c r="BG38" s="11" t="n">
        <f aca="false">BG24*MIN(BG31-BG34-BG35,BG37)</f>
        <v>34.6765690989376</v>
      </c>
      <c r="BH38" s="11" t="n">
        <f aca="false">BH24*MIN(BH31-BH34-BH35,BH37)</f>
        <v>35.2905790581034</v>
      </c>
      <c r="BI38" s="11" t="n">
        <f aca="false">BI24*MIN(BI31-BI34-BI35,BI37)</f>
        <v>35.0158537614604</v>
      </c>
      <c r="BJ38" s="11" t="n">
        <f aca="false">BJ24*MIN(BJ31-BJ34-BJ35,BJ37)</f>
        <v>43.0251154178748</v>
      </c>
      <c r="BK38" s="11" t="n">
        <f aca="false">BK24*MIN(BK31-BK34-BK35,BK37)</f>
        <v>37.7611193148148</v>
      </c>
      <c r="BL38" s="11" t="n">
        <f aca="false">BL24*MIN(BL31-BL34-BL35,BL37)</f>
        <v>38.4731289573919</v>
      </c>
      <c r="BM38" s="11" t="n">
        <f aca="false">BM24*MIN(BM31-BM34-BM35,BM37)</f>
        <v>10.089554425547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44.3667535168116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44.3667535168116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44.3667535168116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983.847748991906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38.668554525465</v>
      </c>
      <c r="AQ41" s="11" t="n">
        <f aca="false">AQ38+AQ40</f>
        <v>40.887875310738</v>
      </c>
      <c r="AR41" s="11" t="n">
        <f aca="false">AR38+AR40</f>
        <v>41.4757192835089</v>
      </c>
      <c r="AS41" s="11" t="n">
        <f aca="false">AS38+AS40</f>
        <v>41.2137543270468</v>
      </c>
      <c r="AT41" s="11" t="n">
        <f aca="false">AT38+AT40</f>
        <v>47.9496062254955</v>
      </c>
      <c r="AU41" s="11" t="n">
        <f aca="false">AU38+AU40</f>
        <v>43.5155217917493</v>
      </c>
      <c r="AV41" s="11" t="n">
        <f aca="false">AV38+AV40</f>
        <v>43.623361666322</v>
      </c>
      <c r="AW41" s="11" t="n">
        <f aca="false">AW38+AW40</f>
        <v>43.1966272325465</v>
      </c>
      <c r="AX41" s="11" t="n">
        <f aca="false">AX38+AX40</f>
        <v>43.8655381025356</v>
      </c>
      <c r="AY41" s="11" t="n">
        <f aca="false">AY38+AY40</f>
        <v>43.4110588434027</v>
      </c>
      <c r="AZ41" s="11" t="n">
        <f aca="false">AZ38+AZ40</f>
        <v>44.019806723715</v>
      </c>
      <c r="BA41" s="11" t="n">
        <f aca="false">BA38+BA40</f>
        <v>43.2296449340063</v>
      </c>
      <c r="BB41" s="11" t="n">
        <f aca="false">BB38+BB40</f>
        <v>44.4701855164617</v>
      </c>
      <c r="BC41" s="11" t="n">
        <f aca="false">BC38+BC40</f>
        <v>41.0572872156454</v>
      </c>
      <c r="BD41" s="11" t="n">
        <f aca="false">BD38+BD40</f>
        <v>34.9280474778911</v>
      </c>
      <c r="BE41" s="11" t="n">
        <f aca="false">BE38+BE40</f>
        <v>34.4777592795873</v>
      </c>
      <c r="BF41" s="11" t="n">
        <f aca="false">BF38+BF40</f>
        <v>35.1587269848472</v>
      </c>
      <c r="BG41" s="11" t="n">
        <f aca="false">BG38+BG40</f>
        <v>34.6765690989376</v>
      </c>
      <c r="BH41" s="11" t="n">
        <f aca="false">BH38+BH40</f>
        <v>35.2905790581034</v>
      </c>
      <c r="BI41" s="11" t="n">
        <f aca="false">BI38+BI40</f>
        <v>35.0158537614604</v>
      </c>
      <c r="BJ41" s="11" t="n">
        <f aca="false">BJ38+BJ40</f>
        <v>43.0251154178748</v>
      </c>
      <c r="BK41" s="11" t="n">
        <f aca="false">BK38+BK40</f>
        <v>37.7611193148148</v>
      </c>
      <c r="BL41" s="11" t="n">
        <f aca="false">BL38+BL40</f>
        <v>38.4731289573919</v>
      </c>
      <c r="BM41" s="11" t="n">
        <f aca="false">BM38+BM40</f>
        <v>54.4563079423586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9.66974093420674</v>
      </c>
      <c r="P43" s="11" t="n">
        <f aca="false">IF(Time!P17&lt;Time!$F$11,0,O43+Financials!P14-P41)</f>
        <v>16.7218259651569</v>
      </c>
      <c r="Q43" s="11" t="n">
        <f aca="false">IF(Time!Q17&lt;Time!$F$11,0,P43+Financials!Q14-Q41)</f>
        <v>25.1116267446882</v>
      </c>
      <c r="R43" s="11" t="n">
        <f aca="false">IF(Time!R17&lt;Time!$F$11,0,Q43+Financials!R14-R41)</f>
        <v>33.9525395958559</v>
      </c>
      <c r="S43" s="11" t="n">
        <f aca="false">IF(Time!S17&lt;Time!$F$11,0,R43+Financials!S14-S41)</f>
        <v>44.0015590942171</v>
      </c>
      <c r="T43" s="11" t="n">
        <f aca="false">IF(Time!T17&lt;Time!$F$11,0,S43+Financials!T14-T41)</f>
        <v>54.5091708766813</v>
      </c>
      <c r="U43" s="11" t="n">
        <f aca="false">IF(Time!U17&lt;Time!$F$11,0,T43+Financials!U14-U41)</f>
        <v>66.2300724342667</v>
      </c>
      <c r="V43" s="11" t="n">
        <f aca="false">IF(Time!V17&lt;Time!$F$11,0,U43+Financials!V14-V41)</f>
        <v>76.2501601553203</v>
      </c>
      <c r="W43" s="11" t="n">
        <f aca="false">IF(Time!W17&lt;Time!$F$11,0,V43+Financials!W14-W41)</f>
        <v>90.0550855128283</v>
      </c>
      <c r="X43" s="11" t="n">
        <f aca="false">IF(Time!X17&lt;Time!$F$11,0,W43+Financials!X14-X41)</f>
        <v>104.503241326065</v>
      </c>
      <c r="Y43" s="11" t="n">
        <f aca="false">IF(Time!Y17&lt;Time!$F$11,0,X43+Financials!Y14-Y41)</f>
        <v>116.981516670493</v>
      </c>
      <c r="Z43" s="11" t="n">
        <f aca="false">IF(Time!Z17&lt;Time!$F$11,0,Y43+Financials!Z14-Z41)</f>
        <v>124.345988509605</v>
      </c>
      <c r="AA43" s="11" t="n">
        <f aca="false">IF(Time!AA17&lt;Time!$F$11,0,Z43+Financials!AA14-AA41)</f>
        <v>132.66598732449</v>
      </c>
      <c r="AB43" s="11" t="n">
        <f aca="false">IF(Time!AB17&lt;Time!$F$11,0,AA43+Financials!AB14-AB41)</f>
        <v>141.527417454106</v>
      </c>
      <c r="AC43" s="11" t="n">
        <f aca="false">IF(Time!AC17&lt;Time!$F$11,0,AB43+Financials!AC14-AC41)</f>
        <v>151.430119195262</v>
      </c>
      <c r="AD43" s="11" t="n">
        <f aca="false">IF(Time!AD17&lt;Time!$F$11,0,AC43+Financials!AD14-AD41)</f>
        <v>153.159929651556</v>
      </c>
      <c r="AE43" s="11" t="n">
        <f aca="false">IF(Time!AE17&lt;Time!$F$11,0,AD43+Financials!AE14-AE41)</f>
        <v>165.036335790718</v>
      </c>
      <c r="AF43" s="11" t="n">
        <f aca="false">IF(Time!AF17&lt;Time!$F$11,0,AE43+Financials!AF14-AF41)</f>
        <v>177.518823278793</v>
      </c>
      <c r="AG43" s="11" t="n">
        <f aca="false">IF(Time!AG17&lt;Time!$F$11,0,AF43+Financials!AG14-AG41)</f>
        <v>191.073105487444</v>
      </c>
      <c r="AH43" s="11" t="n">
        <f aca="false">IF(Time!AH17&lt;Time!$F$11,0,AG43+Financials!AH14-AH41)</f>
        <v>205.60897211636</v>
      </c>
      <c r="AI43" s="11" t="n">
        <f aca="false">IF(Time!AI17&lt;Time!$F$11,0,AH43+Financials!AI14-AI41)</f>
        <v>221.428834181706</v>
      </c>
      <c r="AJ43" s="11" t="n">
        <f aca="false">IF(Time!AJ17&lt;Time!$F$11,0,AI43+Financials!AJ14-AJ41)</f>
        <v>238.315256320752</v>
      </c>
      <c r="AK43" s="11" t="n">
        <f aca="false">IF(Time!AK17&lt;Time!$F$11,0,AJ43+Financials!AK14-AK41)</f>
        <v>256.608650813513</v>
      </c>
      <c r="AL43" s="11" t="n">
        <f aca="false">IF(Time!AL17&lt;Time!$F$11,0,AK43+Financials!AL14-AL41)</f>
        <v>274.173957212665</v>
      </c>
      <c r="AM43" s="11" t="n">
        <f aca="false">IF(Time!AM17&lt;Time!$F$11,0,AL43+Financials!AM14-AM41)</f>
        <v>295.125276131684</v>
      </c>
      <c r="AN43" s="11" t="n">
        <f aca="false">IF(Time!AN17&lt;Time!$F$11,0,AM43+Financials!AN14-AN41)</f>
        <v>317.770232992702</v>
      </c>
      <c r="AO43" s="11" t="n">
        <f aca="false">IF(Time!AO17&lt;Time!$F$11,0,AN43+Financials!AO14-AO41)</f>
        <v>341.658425557131</v>
      </c>
      <c r="AP43" s="11" t="n">
        <f aca="false">IF(Time!AP17&lt;Time!$F$11,0,AO43+Financials!AP14-AP41)</f>
        <v>328.648242625405</v>
      </c>
      <c r="AQ43" s="11" t="n">
        <f aca="false">IF(Time!AQ17&lt;Time!$F$11,0,AP43+Financials!AQ14-AQ41)</f>
        <v>313.582516463363</v>
      </c>
      <c r="AR43" s="11" t="n">
        <f aca="false">IF(Time!AR17&lt;Time!$F$11,0,AQ43+Financials!AR14-AR41)</f>
        <v>297.992493728665</v>
      </c>
      <c r="AS43" s="11" t="n">
        <f aca="false">IF(Time!AS17&lt;Time!$F$11,0,AR43+Financials!AS14-AS41)</f>
        <v>282.847031452794</v>
      </c>
      <c r="AT43" s="11" t="n">
        <f aca="false">IF(Time!AT17&lt;Time!$F$11,0,AS43+Financials!AT14-AT41)</f>
        <v>250.66546909113</v>
      </c>
      <c r="AU43" s="11" t="n">
        <f aca="false">IF(Time!AU17&lt;Time!$F$11,0,AT43+Financials!AU14-AU41)</f>
        <v>233.503371039464</v>
      </c>
      <c r="AV43" s="11" t="n">
        <f aca="false">IF(Time!AV17&lt;Time!$F$11,0,AU43+Financials!AV14-AV41)</f>
        <v>216.1492934707</v>
      </c>
      <c r="AW43" s="11" t="n">
        <f aca="false">IF(Time!AW17&lt;Time!$F$11,0,AV43+Financials!AW14-AW41)</f>
        <v>199.335766953868</v>
      </c>
      <c r="AX43" s="11" t="n">
        <f aca="false">IF(Time!AX17&lt;Time!$F$11,0,AW43+Financials!AX14-AX41)</f>
        <v>181.98727558102</v>
      </c>
      <c r="AY43" s="11" t="n">
        <f aca="false">IF(Time!AY17&lt;Time!$F$11,0,AX43+Financials!AY14-AY41)</f>
        <v>165.176114482544</v>
      </c>
      <c r="AZ43" s="11" t="n">
        <f aca="false">IF(Time!AZ17&lt;Time!$F$11,0,AY43+Financials!AZ14-AZ41)</f>
        <v>147.824772121569</v>
      </c>
      <c r="BA43" s="11" t="n">
        <f aca="false">IF(Time!BA17&lt;Time!$F$11,0,AZ43+Financials!BA14-BA41)</f>
        <v>131.426388289303</v>
      </c>
      <c r="BB43" s="11" t="n">
        <f aca="false">IF(Time!BB17&lt;Time!$F$11,0,BA43+Financials!BB14-BB41)</f>
        <v>111.541599559846</v>
      </c>
      <c r="BC43" s="11" t="n">
        <f aca="false">IF(Time!BC17&lt;Time!$F$11,0,BB43+Financials!BC14-BC41)</f>
        <v>97.5881401874173</v>
      </c>
      <c r="BD43" s="11" t="n">
        <f aca="false">IF(Time!BD17&lt;Time!$F$11,0,BC43+Financials!BD14-BD41)</f>
        <v>89.7439721667947</v>
      </c>
      <c r="BE43" s="11" t="n">
        <f aca="false">IF(Time!BE17&lt;Time!$F$11,0,BD43+Financials!BE14-BE41)</f>
        <v>82.4732036174355</v>
      </c>
      <c r="BF43" s="11" t="n">
        <f aca="false">IF(Time!BF17&lt;Time!$F$11,0,BE43+Financials!BF14-BF41)</f>
        <v>74.6679619907065</v>
      </c>
      <c r="BG43" s="11" t="n">
        <f aca="false">IF(Time!BG17&lt;Time!$F$11,0,BF43+Financials!BG14-BG41)</f>
        <v>67.4336090920827</v>
      </c>
      <c r="BH43" s="11" t="n">
        <f aca="false">IF(Time!BH17&lt;Time!$F$11,0,BG43+Financials!BH14-BH41)</f>
        <v>59.6592282902077</v>
      </c>
      <c r="BI43" s="11" t="n">
        <f aca="false">IF(Time!BI17&lt;Time!$F$11,0,BH43+Financials!BI14-BI41)</f>
        <v>52.3775345812804</v>
      </c>
      <c r="BJ43" s="11" t="n">
        <f aca="false">IF(Time!BJ17&lt;Time!$F$11,0,BI43+Financials!BJ14-BJ41)</f>
        <v>24.9116255427898</v>
      </c>
      <c r="BK43" s="11" t="n">
        <f aca="false">IF(Time!BK17&lt;Time!$F$11,0,BJ43+Financials!BK14-BK41)</f>
        <v>15.2242777327216</v>
      </c>
      <c r="BL43" s="11" t="n">
        <f aca="false">IF(Time!BL17&lt;Time!$F$11,0,BK43+Financials!BL14-BL41)</f>
        <v>4.7172662995472</v>
      </c>
      <c r="BM43" s="11" t="n">
        <f aca="false">IF(Time!BM17&lt;Time!$F$11,0,BL43+Financials!BM14-BM41)</f>
        <v>-44.3667535168116</v>
      </c>
      <c r="BN43" s="11" t="n">
        <f aca="false">IF(Time!BN17&lt;Time!$F$11,0,BM43+Financials!BN14-BN41)</f>
        <v>-44.3667535168116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1382.99736017716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14.6612345765964</v>
      </c>
      <c r="Q44" s="11" t="n">
        <f aca="false">Q34+Q35+Q41</f>
        <v>12.2078079959906</v>
      </c>
      <c r="R44" s="11" t="n">
        <f aca="false">R34+R35+R41</f>
        <v>13.126100137411</v>
      </c>
      <c r="S44" s="11" t="n">
        <f aca="false">S34+S35+S41</f>
        <v>12.3153147737073</v>
      </c>
      <c r="T44" s="11" t="n">
        <f aca="false">T34+T35+T41</f>
        <v>13.0516015143396</v>
      </c>
      <c r="U44" s="11" t="n">
        <f aca="false">U34+U35+U41</f>
        <v>12.0927548785864</v>
      </c>
      <c r="V44" s="11" t="n">
        <f aca="false">V34+V35+V41</f>
        <v>13.3268866819869</v>
      </c>
      <c r="W44" s="11" t="n">
        <f aca="false">W34+W35+W41</f>
        <v>14.0658393853302</v>
      </c>
      <c r="X44" s="11" t="n">
        <f aca="false">X34+X35+X41</f>
        <v>12.9285867949304</v>
      </c>
      <c r="Y44" s="11" t="n">
        <f aca="false">Y34+Y35+Y41</f>
        <v>12.146264853477</v>
      </c>
      <c r="Z44" s="11" t="n">
        <f aca="false">Z34+Z35+Z41</f>
        <v>12.8462705673942</v>
      </c>
      <c r="AA44" s="11" t="n">
        <f aca="false">AA34+AA35+AA41</f>
        <v>6.00772900021412</v>
      </c>
      <c r="AB44" s="11" t="n">
        <f aca="false">AB34+AB35+AB41</f>
        <v>6.99368704469093</v>
      </c>
      <c r="AC44" s="11" t="n">
        <f aca="false">AC34+AC35+AC41</f>
        <v>6.65508919369183</v>
      </c>
      <c r="AD44" s="11" t="n">
        <f aca="false">AD34+AD35+AD41</f>
        <v>7.9858172044616</v>
      </c>
      <c r="AE44" s="11" t="n">
        <f aca="false">AE34+AE35+AE41</f>
        <v>8.58362979333186</v>
      </c>
      <c r="AF44" s="11" t="n">
        <f aca="false">AF34+AF35+AF41</f>
        <v>9.45301575399795</v>
      </c>
      <c r="AG44" s="11" t="n">
        <f aca="false">AG34+AG35+AG41</f>
        <v>9.86400962848871</v>
      </c>
      <c r="AH44" s="11" t="n">
        <f aca="false">AH34+AH35+AH41</f>
        <v>11.2174730985755</v>
      </c>
      <c r="AI44" s="11" t="n">
        <f aca="false">AI34+AI35+AI41</f>
        <v>12.061136975482</v>
      </c>
      <c r="AJ44" s="11" t="n">
        <f aca="false">AJ34+AJ35+AJ41</f>
        <v>13.9007318312843</v>
      </c>
      <c r="AK44" s="11" t="n">
        <f aca="false">AK34+AK35+AK41</f>
        <v>30.5256310047672</v>
      </c>
      <c r="AL44" s="11" t="n">
        <f aca="false">AL34+AL35+AL41</f>
        <v>29.577906604268</v>
      </c>
      <c r="AM44" s="11" t="n">
        <f aca="false">AM34+AM35+AM41</f>
        <v>33.3809149883595</v>
      </c>
      <c r="AN44" s="11" t="n">
        <f aca="false">AN34+AN35+AN41</f>
        <v>26.0393957701188</v>
      </c>
      <c r="AO44" s="11" t="n">
        <f aca="false">AO34+AO35+AO41</f>
        <v>41.4336607083046</v>
      </c>
      <c r="AP44" s="11" t="n">
        <f aca="false">AP34+AP35+AP41</f>
        <v>41.3696749509332</v>
      </c>
      <c r="AQ44" s="11" t="n">
        <f aca="false">AQ34+AQ35+AQ41</f>
        <v>40.887875310738</v>
      </c>
      <c r="AR44" s="11" t="n">
        <f aca="false">AR34+AR35+AR41</f>
        <v>41.4757192835089</v>
      </c>
      <c r="AS44" s="11" t="n">
        <f aca="false">AS34+AS35+AS41</f>
        <v>41.2137543270468</v>
      </c>
      <c r="AT44" s="11" t="n">
        <f aca="false">AT34+AT35+AT41</f>
        <v>47.9496062254955</v>
      </c>
      <c r="AU44" s="11" t="n">
        <f aca="false">AU34+AU35+AU41</f>
        <v>43.5155217917493</v>
      </c>
      <c r="AV44" s="11" t="n">
        <f aca="false">AV34+AV35+AV41</f>
        <v>43.623361666322</v>
      </c>
      <c r="AW44" s="11" t="n">
        <f aca="false">AW34+AW35+AW41</f>
        <v>43.1966272325465</v>
      </c>
      <c r="AX44" s="11" t="n">
        <f aca="false">AX34+AX35+AX41</f>
        <v>43.8655381025356</v>
      </c>
      <c r="AY44" s="11" t="n">
        <f aca="false">AY34+AY35+AY41</f>
        <v>43.4110588434027</v>
      </c>
      <c r="AZ44" s="11" t="n">
        <f aca="false">AZ34+AZ35+AZ41</f>
        <v>44.019806723715</v>
      </c>
      <c r="BA44" s="11" t="n">
        <f aca="false">BA34+BA35+BA41</f>
        <v>43.2296449340063</v>
      </c>
      <c r="BB44" s="11" t="n">
        <f aca="false">BB34+BB35+BB41</f>
        <v>44.4701855164617</v>
      </c>
      <c r="BC44" s="11" t="n">
        <f aca="false">BC34+BC35+BC41</f>
        <v>41.0572872156454</v>
      </c>
      <c r="BD44" s="11" t="n">
        <f aca="false">BD34+BD35+BD41</f>
        <v>34.9280474778911</v>
      </c>
      <c r="BE44" s="11" t="n">
        <f aca="false">BE34+BE35+BE41</f>
        <v>34.4777592795873</v>
      </c>
      <c r="BF44" s="11" t="n">
        <f aca="false">BF34+BF35+BF41</f>
        <v>35.1587269848472</v>
      </c>
      <c r="BG44" s="11" t="n">
        <f aca="false">BG34+BG35+BG41</f>
        <v>34.6765690989376</v>
      </c>
      <c r="BH44" s="11" t="n">
        <f aca="false">BH34+BH35+BH41</f>
        <v>35.2905790581034</v>
      </c>
      <c r="BI44" s="11" t="n">
        <f aca="false">BI34+BI35+BI41</f>
        <v>35.0158537614604</v>
      </c>
      <c r="BJ44" s="11" t="n">
        <f aca="false">BJ34+BJ35+BJ41</f>
        <v>43.0251154178748</v>
      </c>
      <c r="BK44" s="11" t="n">
        <f aca="false">BK34+BK35+BK41</f>
        <v>37.7611193148148</v>
      </c>
      <c r="BL44" s="11" t="n">
        <f aca="false">BL34+BL35+BL41</f>
        <v>38.4731289573919</v>
      </c>
      <c r="BM44" s="11" t="n">
        <f aca="false">BM34+BM35+BM41</f>
        <v>54.4563079423586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836.686552347281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5.57791034898187</v>
      </c>
      <c r="P8" s="11" t="n">
        <f aca="false">Funding!$F$76/300*Time!P25</f>
        <v>16.7337310469456</v>
      </c>
      <c r="Q8" s="11" t="n">
        <f aca="false">Funding!$F$76/300*Time!Q25</f>
        <v>16.7337310469456</v>
      </c>
      <c r="R8" s="11" t="n">
        <f aca="false">Funding!$F$76/300*Time!R25</f>
        <v>16.7337310469456</v>
      </c>
      <c r="S8" s="11" t="n">
        <f aca="false">Funding!$F$76/300*Time!S25</f>
        <v>16.7337310469456</v>
      </c>
      <c r="T8" s="11" t="n">
        <f aca="false">Funding!$F$76/300*Time!T25</f>
        <v>16.7337310469456</v>
      </c>
      <c r="U8" s="11" t="n">
        <f aca="false">Funding!$F$76/300*Time!U25</f>
        <v>16.7337310469456</v>
      </c>
      <c r="V8" s="11" t="n">
        <f aca="false">Funding!$F$76/300*Time!V25</f>
        <v>16.7337310469456</v>
      </c>
      <c r="W8" s="11" t="n">
        <f aca="false">Funding!$F$76/300*Time!W25</f>
        <v>16.7337310469456</v>
      </c>
      <c r="X8" s="11" t="n">
        <f aca="false">Funding!$F$76/300*Time!X25</f>
        <v>16.7337310469456</v>
      </c>
      <c r="Y8" s="11" t="n">
        <f aca="false">Funding!$F$76/300*Time!Y25</f>
        <v>16.7337310469456</v>
      </c>
      <c r="Z8" s="11" t="n">
        <f aca="false">Funding!$F$76/300*Time!Z25</f>
        <v>16.7337310469456</v>
      </c>
      <c r="AA8" s="11" t="n">
        <f aca="false">Funding!$F$76/300*Time!AA25</f>
        <v>16.7337310469456</v>
      </c>
      <c r="AB8" s="11" t="n">
        <f aca="false">Funding!$F$76/300*Time!AB25</f>
        <v>16.7337310469456</v>
      </c>
      <c r="AC8" s="11" t="n">
        <f aca="false">Funding!$F$76/300*Time!AC25</f>
        <v>16.7337310469456</v>
      </c>
      <c r="AD8" s="11" t="n">
        <f aca="false">Funding!$F$76/300*Time!AD25</f>
        <v>16.7337310469456</v>
      </c>
      <c r="AE8" s="11" t="n">
        <f aca="false">Funding!$F$76/300*Time!AE25</f>
        <v>16.7337310469456</v>
      </c>
      <c r="AF8" s="11" t="n">
        <f aca="false">Funding!$F$76/300*Time!AF25</f>
        <v>16.7337310469456</v>
      </c>
      <c r="AG8" s="11" t="n">
        <f aca="false">Funding!$F$76/300*Time!AG25</f>
        <v>16.7337310469456</v>
      </c>
      <c r="AH8" s="11" t="n">
        <f aca="false">Funding!$F$76/300*Time!AH25</f>
        <v>16.7337310469456</v>
      </c>
      <c r="AI8" s="11" t="n">
        <f aca="false">Funding!$F$76/300*Time!AI25</f>
        <v>16.7337310469456</v>
      </c>
      <c r="AJ8" s="11" t="n">
        <f aca="false">Funding!$F$76/300*Time!AJ25</f>
        <v>16.7337310469456</v>
      </c>
      <c r="AK8" s="11" t="n">
        <f aca="false">Funding!$F$76/300*Time!AK25</f>
        <v>16.7337310469456</v>
      </c>
      <c r="AL8" s="11" t="n">
        <f aca="false">Funding!$F$76/300*Time!AL25</f>
        <v>16.7337310469456</v>
      </c>
      <c r="AM8" s="11" t="n">
        <f aca="false">Funding!$F$76/300*Time!AM25</f>
        <v>16.7337310469456</v>
      </c>
      <c r="AN8" s="11" t="n">
        <f aca="false">Funding!$F$76/300*Time!AN25</f>
        <v>16.7337310469456</v>
      </c>
      <c r="AO8" s="11" t="n">
        <f aca="false">Funding!$F$76/300*Time!AO25</f>
        <v>16.7337310469456</v>
      </c>
      <c r="AP8" s="11" t="n">
        <f aca="false">Funding!$F$76/300*Time!AP25</f>
        <v>16.7337310469456</v>
      </c>
      <c r="AQ8" s="11" t="n">
        <f aca="false">Funding!$F$76/300*Time!AQ25</f>
        <v>16.7337310469456</v>
      </c>
      <c r="AR8" s="11" t="n">
        <f aca="false">Funding!$F$76/300*Time!AR25</f>
        <v>16.7337310469456</v>
      </c>
      <c r="AS8" s="11" t="n">
        <f aca="false">Funding!$F$76/300*Time!AS25</f>
        <v>16.7337310469456</v>
      </c>
      <c r="AT8" s="11" t="n">
        <f aca="false">Funding!$F$76/300*Time!AT25</f>
        <v>16.7337310469456</v>
      </c>
      <c r="AU8" s="11" t="n">
        <f aca="false">Funding!$F$76/300*Time!AU25</f>
        <v>16.7337310469456</v>
      </c>
      <c r="AV8" s="11" t="n">
        <f aca="false">Funding!$F$76/300*Time!AV25</f>
        <v>16.7337310469456</v>
      </c>
      <c r="AW8" s="11" t="n">
        <f aca="false">Funding!$F$76/300*Time!AW25</f>
        <v>16.7337310469456</v>
      </c>
      <c r="AX8" s="11" t="n">
        <f aca="false">Funding!$F$76/300*Time!AX25</f>
        <v>16.7337310469456</v>
      </c>
      <c r="AY8" s="11" t="n">
        <f aca="false">Funding!$F$76/300*Time!AY25</f>
        <v>16.7337310469456</v>
      </c>
      <c r="AZ8" s="11" t="n">
        <f aca="false">Funding!$F$76/300*Time!AZ25</f>
        <v>16.7337310469456</v>
      </c>
      <c r="BA8" s="11" t="n">
        <f aca="false">Funding!$F$76/300*Time!BA25</f>
        <v>16.7337310469456</v>
      </c>
      <c r="BB8" s="11" t="n">
        <f aca="false">Funding!$F$76/300*Time!BB25</f>
        <v>16.7337310469456</v>
      </c>
      <c r="BC8" s="11" t="n">
        <f aca="false">Funding!$F$76/300*Time!BC25</f>
        <v>16.7337310469456</v>
      </c>
      <c r="BD8" s="11" t="n">
        <f aca="false">Funding!$F$76/300*Time!BD25</f>
        <v>16.7337310469456</v>
      </c>
      <c r="BE8" s="11" t="n">
        <f aca="false">Funding!$F$76/300*Time!BE25</f>
        <v>16.7337310469456</v>
      </c>
      <c r="BF8" s="11" t="n">
        <f aca="false">Funding!$F$76/300*Time!BF25</f>
        <v>16.7337310469456</v>
      </c>
      <c r="BG8" s="11" t="n">
        <f aca="false">Funding!$F$76/300*Time!BG25</f>
        <v>16.7337310469456</v>
      </c>
      <c r="BH8" s="11" t="n">
        <f aca="false">Funding!$F$76/300*Time!BH25</f>
        <v>16.7337310469456</v>
      </c>
      <c r="BI8" s="11" t="n">
        <f aca="false">Funding!$F$76/300*Time!BI25</f>
        <v>16.7337310469456</v>
      </c>
      <c r="BJ8" s="11" t="n">
        <f aca="false">Funding!$F$76/300*Time!BJ25</f>
        <v>16.7337310469456</v>
      </c>
      <c r="BK8" s="11" t="n">
        <f aca="false">Funding!$F$76/300*Time!BK25</f>
        <v>16.7337310469456</v>
      </c>
      <c r="BL8" s="11" t="n">
        <f aca="false">Funding!$F$76/300*Time!BL25</f>
        <v>16.7337310469456</v>
      </c>
      <c r="BM8" s="11" t="n">
        <f aca="false">Funding!$F$76/300*Time!BM25</f>
        <v>11.1558206979637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510.707228760707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3.20169334249331</v>
      </c>
      <c r="P9" s="11" t="n">
        <f aca="false">Debt!P119+Debt!P117+Debt!P111-Debt!P110+Tax!P13</f>
        <v>31.5670778498749</v>
      </c>
      <c r="Q9" s="11" t="n">
        <f aca="false">Debt!Q119+Debt!Q117+Debt!Q111-Debt!Q110+Tax!Q13</f>
        <v>30.4341896585412</v>
      </c>
      <c r="R9" s="11" t="n">
        <f aca="false">Debt!R119+Debt!R117+Debt!R111-Debt!R110+Tax!R13</f>
        <v>30.1294438657978</v>
      </c>
      <c r="S9" s="11" t="n">
        <f aca="false">Debt!S119+Debt!S117+Debt!S111-Debt!S110+Tax!S13</f>
        <v>29.0113574348567</v>
      </c>
      <c r="T9" s="11" t="n">
        <f aca="false">Debt!T119+Debt!T117+Debt!T111-Debt!T110+Tax!T13</f>
        <v>28.6250340193151</v>
      </c>
      <c r="U9" s="11" t="n">
        <f aca="false">Debt!U119+Debt!U117+Debt!U111-Debt!U110+Tax!U13</f>
        <v>27.5772169099052</v>
      </c>
      <c r="V9" s="11" t="n">
        <f aca="false">Debt!V119+Debt!V117+Debt!V111-Debt!V110+Tax!V13</f>
        <v>27.005496443082</v>
      </c>
      <c r="W9" s="11" t="n">
        <f aca="false">Debt!W119+Debt!W117+Debt!W111-Debt!W110+Tax!W13</f>
        <v>25.7701514116861</v>
      </c>
      <c r="X9" s="11" t="n">
        <f aca="false">Debt!X119+Debt!X117+Debt!X111-Debt!X110+Tax!X13</f>
        <v>25.1161296913986</v>
      </c>
      <c r="Y9" s="11" t="n">
        <f aca="false">Debt!Y119+Debt!Y117+Debt!Y111-Debt!Y110+Tax!Y13</f>
        <v>24.3963470400687</v>
      </c>
      <c r="Z9" s="11" t="n">
        <f aca="false">Debt!Z119+Debt!Z117+Debt!Z111-Debt!Z110+Tax!Z13</f>
        <v>23.7939269379774</v>
      </c>
      <c r="AA9" s="11" t="n">
        <f aca="false">Debt!AA119+Debt!AA117+Debt!AA111-Debt!AA110+Tax!AA13</f>
        <v>22.5227872282726</v>
      </c>
      <c r="AB9" s="11" t="n">
        <f aca="false">Debt!AB119+Debt!AB117+Debt!AB111-Debt!AB110+Tax!AB13</f>
        <v>21.8245888893058</v>
      </c>
      <c r="AC9" s="11" t="n">
        <f aca="false">Debt!AC119+Debt!AC117+Debt!AC111-Debt!AC110+Tax!AC13</f>
        <v>20.5542835248475</v>
      </c>
      <c r="AD9" s="11" t="n">
        <f aca="false">Debt!AD119+Debt!AD117+Debt!AD111-Debt!AD110+Tax!AD13</f>
        <v>19.6614273089767</v>
      </c>
      <c r="AE9" s="11" t="n">
        <f aca="false">Debt!AE119+Debt!AE117+Debt!AE111-Debt!AE110+Tax!AE13</f>
        <v>18.184323565056</v>
      </c>
      <c r="AF9" s="11" t="n">
        <f aca="false">Debt!AF119+Debt!AF117+Debt!AF111-Debt!AF110+Tax!AF13</f>
        <v>17.109396309497</v>
      </c>
      <c r="AG9" s="11" t="n">
        <f aca="false">Debt!AG119+Debt!AG117+Debt!AG111-Debt!AG110+Tax!AG13</f>
        <v>15.715017227584</v>
      </c>
      <c r="AH9" s="11" t="n">
        <f aca="false">Debt!AH119+Debt!AH117+Debt!AH111-Debt!AH110+Tax!AH13</f>
        <v>14.4705881853721</v>
      </c>
      <c r="AI9" s="11" t="n">
        <f aca="false">Debt!AI119+Debt!AI117+Debt!AI111-Debt!AI110+Tax!AI13</f>
        <v>12.7368096121352</v>
      </c>
      <c r="AJ9" s="11" t="n">
        <f aca="false">Debt!AJ119+Debt!AJ117+Debt!AJ111-Debt!AJ110+Tax!AJ13</f>
        <v>11.294347336114</v>
      </c>
      <c r="AK9" s="11" t="n">
        <f aca="false">Debt!AK119+Debt!AK117+Debt!AK111-Debt!AK110+Tax!AK13</f>
        <v>9.47868256308717</v>
      </c>
      <c r="AL9" s="11" t="n">
        <f aca="false">Debt!AL119+Debt!AL117+Debt!AL111-Debt!AL110+Tax!AL13</f>
        <v>7.81755136452561</v>
      </c>
      <c r="AM9" s="11" t="n">
        <f aca="false">Debt!AM119+Debt!AM117+Debt!AM111-Debt!AM110+Tax!AM13</f>
        <v>6.0055457804495</v>
      </c>
      <c r="AN9" s="11" t="n">
        <f aca="false">Debt!AN119+Debt!AN117+Debt!AN111-Debt!AN110+Tax!AN13</f>
        <v>4.10304060478033</v>
      </c>
      <c r="AO9" s="11" t="n">
        <f aca="false">Debt!AO119+Debt!AO117+Debt!AO111-Debt!AO110+Tax!AO13</f>
        <v>2.47732876301352</v>
      </c>
      <c r="AP9" s="11" t="n">
        <f aca="false">Debt!AP119+Debt!AP117+Debt!AP111-Debt!AP110+Tax!AP13</f>
        <v>0.123445892692913</v>
      </c>
      <c r="AQ9" s="11" t="n">
        <f aca="false">Debt!AQ119+Debt!AQ117+Debt!AQ111-Debt!AQ110+Tax!AQ13</f>
        <v>0</v>
      </c>
      <c r="AR9" s="11" t="n">
        <f aca="false">Debt!AR119+Debt!AR117+Debt!AR111-Debt!AR110+Tax!AR13</f>
        <v>0</v>
      </c>
      <c r="AS9" s="11" t="n">
        <f aca="false">Debt!AS119+Debt!AS117+Debt!AS111-Debt!AS110+Tax!AS13</f>
        <v>0</v>
      </c>
      <c r="AT9" s="11" t="n">
        <f aca="false">Debt!AT119+Debt!AT117+Debt!AT111-Debt!AT110+Tax!AT13</f>
        <v>0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836.686552347281</v>
      </c>
      <c r="K10" s="11" t="n">
        <f aca="false">Funding!$F$76-SUM(Tax!$J$10:K$10)</f>
        <v>836.686552347281</v>
      </c>
      <c r="L10" s="11" t="n">
        <f aca="false">Funding!$F$76-SUM(Tax!$J$10:L$10)</f>
        <v>836.686552347281</v>
      </c>
      <c r="M10" s="11" t="n">
        <f aca="false">Funding!$F$76-SUM(Tax!$J$10:M$10)</f>
        <v>836.686552347281</v>
      </c>
      <c r="N10" s="11" t="n">
        <f aca="false">Funding!$F$76-SUM(Tax!$J$10:N$10)</f>
        <v>836.686552347281</v>
      </c>
      <c r="O10" s="11" t="n">
        <f aca="false">Funding!$F$76-SUM(Tax!$J$10:O$10)</f>
        <v>829.156373376155</v>
      </c>
      <c r="P10" s="11" t="n">
        <f aca="false">Funding!$F$76-SUM(Tax!$J$10:P$10)</f>
        <v>806.565836462779</v>
      </c>
      <c r="Q10" s="11" t="n">
        <f aca="false">Funding!$F$76-SUM(Tax!$J$10:Q$10)</f>
        <v>783.975299549402</v>
      </c>
      <c r="R10" s="11" t="n">
        <f aca="false">Funding!$F$76-SUM(Tax!$J$10:R$10)</f>
        <v>761.384762636025</v>
      </c>
      <c r="S10" s="11" t="n">
        <f aca="false">Funding!$F$76-SUM(Tax!$J$10:S$10)</f>
        <v>738.794225722649</v>
      </c>
      <c r="T10" s="11" t="n">
        <f aca="false">Funding!$F$76-SUM(Tax!$J$10:T$10)</f>
        <v>716.203688809272</v>
      </c>
      <c r="U10" s="11" t="n">
        <f aca="false">Funding!$F$76-SUM(Tax!$J$10:U$10)</f>
        <v>693.613151895896</v>
      </c>
      <c r="V10" s="11" t="n">
        <f aca="false">Funding!$F$76-SUM(Tax!$J$10:V$10)</f>
        <v>671.022614982519</v>
      </c>
      <c r="W10" s="11" t="n">
        <f aca="false">Funding!$F$76-SUM(Tax!$J$10:W$10)</f>
        <v>648.432078069142</v>
      </c>
      <c r="X10" s="11" t="n">
        <f aca="false">Funding!$F$76-SUM(Tax!$J$10:X$10)</f>
        <v>625.841541155766</v>
      </c>
      <c r="Y10" s="11" t="n">
        <f aca="false">Funding!$F$76-SUM(Tax!$J$10:Y$10)</f>
        <v>604.087690794737</v>
      </c>
      <c r="Z10" s="11" t="n">
        <f aca="false">Funding!$F$76-SUM(Tax!$J$10:Z$10)</f>
        <v>584.007213538402</v>
      </c>
      <c r="AA10" s="11" t="n">
        <f aca="false">Funding!$F$76-SUM(Tax!$J$10:AA$10)</f>
        <v>563.926736282067</v>
      </c>
      <c r="AB10" s="11" t="n">
        <f aca="false">Funding!$F$76-SUM(Tax!$J$10:AB$10)</f>
        <v>543.846259025732</v>
      </c>
      <c r="AC10" s="11" t="n">
        <f aca="false">Funding!$F$76-SUM(Tax!$J$10:AC$10)</f>
        <v>523.765781769398</v>
      </c>
      <c r="AD10" s="11" t="n">
        <f aca="false">Funding!$F$76-SUM(Tax!$J$10:AD$10)</f>
        <v>503.685304513063</v>
      </c>
      <c r="AE10" s="11" t="n">
        <f aca="false">Funding!$F$76-SUM(Tax!$J$10:AE$10)</f>
        <v>483.604827256728</v>
      </c>
      <c r="AF10" s="11" t="n">
        <f aca="false">Funding!$F$76-SUM(Tax!$J$10:AF$10)</f>
        <v>463.524350000393</v>
      </c>
      <c r="AG10" s="11" t="n">
        <f aca="false">Funding!$F$76-SUM(Tax!$J$10:AG$10)</f>
        <v>443.443872744059</v>
      </c>
      <c r="AH10" s="11" t="n">
        <f aca="false">Funding!$F$76-SUM(Tax!$J$10:AH$10)</f>
        <v>423.363395487724</v>
      </c>
      <c r="AI10" s="11" t="n">
        <f aca="false">Funding!$F$76-SUM(Tax!$J$10:AI$10)</f>
        <v>403.282918231389</v>
      </c>
      <c r="AJ10" s="11" t="n">
        <f aca="false">Funding!$F$76-SUM(Tax!$J$10:AJ$10)</f>
        <v>383.202440975054</v>
      </c>
      <c r="AK10" s="11" t="n">
        <f aca="false">Funding!$F$76-SUM(Tax!$J$10:AK$10)</f>
        <v>363.12196371872</v>
      </c>
      <c r="AL10" s="11" t="n">
        <f aca="false">Funding!$F$76-SUM(Tax!$J$10:AL$10)</f>
        <v>343.041486462385</v>
      </c>
      <c r="AM10" s="11" t="n">
        <f aca="false">Funding!$F$76-SUM(Tax!$J$10:AM$10)</f>
        <v>322.96100920605</v>
      </c>
      <c r="AN10" s="11" t="n">
        <f aca="false">Funding!$F$76-SUM(Tax!$J$10:AN$10)</f>
        <v>302.880531949716</v>
      </c>
      <c r="AO10" s="11" t="n">
        <f aca="false">Funding!$F$76-SUM(Tax!$J$10:AO$10)</f>
        <v>282.800054693381</v>
      </c>
      <c r="AP10" s="11" t="n">
        <f aca="false">Funding!$F$76-SUM(Tax!$J$10:AP$10)</f>
        <v>262.719577437046</v>
      </c>
      <c r="AQ10" s="11" t="n">
        <f aca="false">Funding!$F$76-SUM(Tax!$J$10:AQ$10)</f>
        <v>242.639100180711</v>
      </c>
      <c r="AR10" s="11" t="n">
        <f aca="false">Funding!$F$76-SUM(Tax!$J$10:AR$10)</f>
        <v>222.558622924377</v>
      </c>
      <c r="AS10" s="11" t="n">
        <f aca="false">Funding!$F$76-SUM(Tax!$J$10:AS$10)</f>
        <v>202.478145668042</v>
      </c>
      <c r="AT10" s="11" t="n">
        <f aca="false">Funding!$F$76-SUM(Tax!$J$10:AT$10)</f>
        <v>182.397668411707</v>
      </c>
      <c r="AU10" s="11" t="n">
        <f aca="false">Funding!$F$76-SUM(Tax!$J$10:AU$10)</f>
        <v>162.317191155372</v>
      </c>
      <c r="AV10" s="11" t="n">
        <f aca="false">Funding!$F$76-SUM(Tax!$J$10:AV$10)</f>
        <v>142.236713899038</v>
      </c>
      <c r="AW10" s="11" t="n">
        <f aca="false">Funding!$F$76-SUM(Tax!$J$10:AW$10)</f>
        <v>122.156236642703</v>
      </c>
      <c r="AX10" s="11" t="n">
        <f aca="false">Funding!$F$76-SUM(Tax!$J$10:AX$10)</f>
        <v>102.075759386368</v>
      </c>
      <c r="AY10" s="11" t="n">
        <f aca="false">Funding!$F$76-SUM(Tax!$J$10:AY$10)</f>
        <v>81.9952821300335</v>
      </c>
      <c r="AZ10" s="11" t="n">
        <f aca="false">Funding!$F$76-SUM(Tax!$J$10:AZ$10)</f>
        <v>61.9148048736987</v>
      </c>
      <c r="BA10" s="11" t="n">
        <f aca="false">Funding!$F$76-SUM(Tax!$J$10:BA$10)</f>
        <v>41.834327617364</v>
      </c>
      <c r="BB10" s="11" t="n">
        <f aca="false">Funding!$F$76-SUM(Tax!$J$10:BB$10)</f>
        <v>21.7538503610292</v>
      </c>
      <c r="BC10" s="11" t="n">
        <f aca="false">Funding!$F$76-SUM(Tax!$J$10:BC$10)</f>
        <v>8.08797000602363</v>
      </c>
      <c r="BD10" s="11" t="n">
        <f aca="false">Funding!$F$76-SUM(Tax!$J$10:BD$10)</f>
        <v>7.25128345367637</v>
      </c>
      <c r="BE10" s="11" t="n">
        <f aca="false">Funding!$F$76-SUM(Tax!$J$10:BE$10)</f>
        <v>6.41459690132911</v>
      </c>
      <c r="BF10" s="11" t="n">
        <f aca="false">Funding!$F$76-SUM(Tax!$J$10:BF$10)</f>
        <v>5.57791034898173</v>
      </c>
      <c r="BG10" s="11" t="n">
        <f aca="false">Funding!$F$76-SUM(Tax!$J$10:BG$10)</f>
        <v>4.74122379663447</v>
      </c>
      <c r="BH10" s="11" t="n">
        <f aca="false">Funding!$F$76-SUM(Tax!$J$10:BH$10)</f>
        <v>3.90453724428721</v>
      </c>
      <c r="BI10" s="11" t="n">
        <f aca="false">Funding!$F$76-SUM(Tax!$J$10:BI$10)</f>
        <v>3.06785069193995</v>
      </c>
      <c r="BJ10" s="11" t="n">
        <f aca="false">Funding!$F$76-SUM(Tax!$J$10:BJ$10)</f>
        <v>2.23116413959269</v>
      </c>
      <c r="BK10" s="11" t="n">
        <f aca="false">Funding!$F$76-SUM(Tax!$J$10:BK$10)</f>
        <v>1.39447758724543</v>
      </c>
      <c r="BL10" s="11" t="n">
        <f aca="false">Funding!$F$76-SUM(Tax!$J$10:BL$10)</f>
        <v>0.55779103489806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836.686552347281</v>
      </c>
      <c r="K11" s="11" t="n">
        <f aca="false">Funding!$F$76-SUM($J$8:K$8)</f>
        <v>836.686552347281</v>
      </c>
      <c r="L11" s="11" t="n">
        <f aca="false">Funding!$F$76-SUM($J$8:L$8)</f>
        <v>836.686552347281</v>
      </c>
      <c r="M11" s="11" t="n">
        <f aca="false">Funding!$F$76-SUM($J$8:M$8)</f>
        <v>836.686552347281</v>
      </c>
      <c r="N11" s="11" t="n">
        <f aca="false">Funding!$F$76-SUM($J$8:N$8)</f>
        <v>836.686552347281</v>
      </c>
      <c r="O11" s="11" t="n">
        <f aca="false">Funding!$F$76-SUM($J$8:O$8)</f>
        <v>831.108641998299</v>
      </c>
      <c r="P11" s="11" t="n">
        <f aca="false">Funding!$F$76-SUM($J$8:P$8)</f>
        <v>814.374910951353</v>
      </c>
      <c r="Q11" s="11" t="n">
        <f aca="false">Funding!$F$76-SUM($J$8:Q$8)</f>
        <v>797.641179904408</v>
      </c>
      <c r="R11" s="11" t="n">
        <f aca="false">Funding!$F$76-SUM($J$8:R$8)</f>
        <v>780.907448857462</v>
      </c>
      <c r="S11" s="11" t="n">
        <f aca="false">Funding!$F$76-SUM($J$8:S$8)</f>
        <v>764.173717810516</v>
      </c>
      <c r="T11" s="11" t="n">
        <f aca="false">Funding!$F$76-SUM($J$8:T$8)</f>
        <v>747.439986763571</v>
      </c>
      <c r="U11" s="11" t="n">
        <f aca="false">Funding!$F$76-SUM($J$8:U$8)</f>
        <v>730.706255716625</v>
      </c>
      <c r="V11" s="11" t="n">
        <f aca="false">Funding!$F$76-SUM($J$8:V$8)</f>
        <v>713.97252466968</v>
      </c>
      <c r="W11" s="11" t="n">
        <f aca="false">Funding!$F$76-SUM($J$8:W$8)</f>
        <v>697.238793622734</v>
      </c>
      <c r="X11" s="11" t="n">
        <f aca="false">Funding!$F$76-SUM($J$8:X$8)</f>
        <v>680.505062575788</v>
      </c>
      <c r="Y11" s="11" t="n">
        <f aca="false">Funding!$F$76-SUM($J$8:Y$8)</f>
        <v>663.771331528843</v>
      </c>
      <c r="Z11" s="11" t="n">
        <f aca="false">Funding!$F$76-SUM($J$8:Z$8)</f>
        <v>647.037600481897</v>
      </c>
      <c r="AA11" s="11" t="n">
        <f aca="false">Funding!$F$76-SUM($J$8:AA$8)</f>
        <v>630.303869434951</v>
      </c>
      <c r="AB11" s="11" t="n">
        <f aca="false">Funding!$F$76-SUM($J$8:AB$8)</f>
        <v>613.570138388006</v>
      </c>
      <c r="AC11" s="11" t="n">
        <f aca="false">Funding!$F$76-SUM($J$8:AC$8)</f>
        <v>596.83640734106</v>
      </c>
      <c r="AD11" s="11" t="n">
        <f aca="false">Funding!$F$76-SUM($J$8:AD$8)</f>
        <v>580.102676294115</v>
      </c>
      <c r="AE11" s="11" t="n">
        <f aca="false">Funding!$F$76-SUM($J$8:AE$8)</f>
        <v>563.368945247169</v>
      </c>
      <c r="AF11" s="11" t="n">
        <f aca="false">Funding!$F$76-SUM($J$8:AF$8)</f>
        <v>546.635214200223</v>
      </c>
      <c r="AG11" s="11" t="n">
        <f aca="false">Funding!$F$76-SUM($J$8:AG$8)</f>
        <v>529.901483153278</v>
      </c>
      <c r="AH11" s="11" t="n">
        <f aca="false">Funding!$F$76-SUM($J$8:AH$8)</f>
        <v>513.167752106332</v>
      </c>
      <c r="AI11" s="11" t="n">
        <f aca="false">Funding!$F$76-SUM($J$8:AI$8)</f>
        <v>496.434021059387</v>
      </c>
      <c r="AJ11" s="11" t="n">
        <f aca="false">Funding!$F$76-SUM($J$8:AJ$8)</f>
        <v>479.700290012441</v>
      </c>
      <c r="AK11" s="11" t="n">
        <f aca="false">Funding!$F$76-SUM($J$8:AK$8)</f>
        <v>462.966558965495</v>
      </c>
      <c r="AL11" s="11" t="n">
        <f aca="false">Funding!$F$76-SUM($J$8:AL$8)</f>
        <v>446.23282791855</v>
      </c>
      <c r="AM11" s="11" t="n">
        <f aca="false">Funding!$F$76-SUM($J$8:AM$8)</f>
        <v>429.499096871604</v>
      </c>
      <c r="AN11" s="11" t="n">
        <f aca="false">Funding!$F$76-SUM($J$8:AN$8)</f>
        <v>412.765365824659</v>
      </c>
      <c r="AO11" s="11" t="n">
        <f aca="false">Funding!$F$76-SUM($J$8:AO$8)</f>
        <v>396.031634777713</v>
      </c>
      <c r="AP11" s="11" t="n">
        <f aca="false">Funding!$F$76-SUM($J$8:AP$8)</f>
        <v>379.297903730767</v>
      </c>
      <c r="AQ11" s="11" t="n">
        <f aca="false">Funding!$F$76-SUM($J$8:AQ$8)</f>
        <v>362.564172683822</v>
      </c>
      <c r="AR11" s="11" t="n">
        <f aca="false">Funding!$F$76-SUM($J$8:AR$8)</f>
        <v>345.830441636876</v>
      </c>
      <c r="AS11" s="11" t="n">
        <f aca="false">Funding!$F$76-SUM($J$8:AS$8)</f>
        <v>329.09671058993</v>
      </c>
      <c r="AT11" s="11" t="n">
        <f aca="false">Funding!$F$76-SUM($J$8:AT$8)</f>
        <v>312.362979542985</v>
      </c>
      <c r="AU11" s="11" t="n">
        <f aca="false">Funding!$F$76-SUM($J$8:AU$8)</f>
        <v>295.629248496039</v>
      </c>
      <c r="AV11" s="11" t="n">
        <f aca="false">Funding!$F$76-SUM($J$8:AV$8)</f>
        <v>278.895517449094</v>
      </c>
      <c r="AW11" s="11" t="n">
        <f aca="false">Funding!$F$76-SUM($J$8:AW$8)</f>
        <v>262.161786402148</v>
      </c>
      <c r="AX11" s="11" t="n">
        <f aca="false">Funding!$F$76-SUM($J$8:AX$8)</f>
        <v>245.428055355202</v>
      </c>
      <c r="AY11" s="11" t="n">
        <f aca="false">Funding!$F$76-SUM($J$8:AY$8)</f>
        <v>228.694324308257</v>
      </c>
      <c r="AZ11" s="11" t="n">
        <f aca="false">Funding!$F$76-SUM($J$8:AZ$8)</f>
        <v>211.960593261311</v>
      </c>
      <c r="BA11" s="11" t="n">
        <f aca="false">Funding!$F$76-SUM($J$8:BA$8)</f>
        <v>195.226862214365</v>
      </c>
      <c r="BB11" s="11" t="n">
        <f aca="false">Funding!$F$76-SUM($J$8:BB$8)</f>
        <v>178.49313116742</v>
      </c>
      <c r="BC11" s="11" t="n">
        <f aca="false">Funding!$F$76-SUM($J$8:BC$8)</f>
        <v>161.759400120474</v>
      </c>
      <c r="BD11" s="11" t="n">
        <f aca="false">Funding!$F$76-SUM($J$8:BD$8)</f>
        <v>145.025669073529</v>
      </c>
      <c r="BE11" s="11" t="n">
        <f aca="false">Funding!$F$76-SUM($J$8:BE$8)</f>
        <v>128.291938026583</v>
      </c>
      <c r="BF11" s="11" t="n">
        <f aca="false">Funding!$F$76-SUM($J$8:BF$8)</f>
        <v>111.558206979637</v>
      </c>
      <c r="BG11" s="11" t="n">
        <f aca="false">Funding!$F$76-SUM($J$8:BG$8)</f>
        <v>94.8244759326917</v>
      </c>
      <c r="BH11" s="11" t="n">
        <f aca="false">Funding!$F$76-SUM($J$8:BH$8)</f>
        <v>78.0907448857462</v>
      </c>
      <c r="BI11" s="11" t="n">
        <f aca="false">Funding!$F$76-SUM($J$8:BI$8)</f>
        <v>61.3570138388005</v>
      </c>
      <c r="BJ11" s="11" t="n">
        <f aca="false">Funding!$F$76-SUM($J$8:BJ$8)</f>
        <v>44.6232827918549</v>
      </c>
      <c r="BK11" s="11" t="n">
        <f aca="false">Funding!$F$76-SUM($J$8:BK$8)</f>
        <v>27.8895517449092</v>
      </c>
      <c r="BL11" s="11" t="n">
        <f aca="false">Funding!$F$76-SUM($J$8:BL$8)</f>
        <v>11.1558206979637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-1.67337310469454</v>
      </c>
      <c r="P12" s="11" t="n">
        <f aca="false">IF(Time!P17&gt;=Time!$F$11,Inputs!$F$181/100*(P11-P10-Tax!P21),0)</f>
        <v>-6.69349241877824</v>
      </c>
      <c r="Q12" s="11" t="n">
        <f aca="false">IF(Time!Q17&gt;=Time!$F$11,Inputs!$F$181/100*(Q11-Q10-Tax!Q21),0)</f>
        <v>-11.7136117328619</v>
      </c>
      <c r="R12" s="11" t="n">
        <f aca="false">IF(Time!R17&gt;=Time!$F$11,Inputs!$F$181/100*(R11-R10-Tax!R21),0)</f>
        <v>-16.7337310469456</v>
      </c>
      <c r="S12" s="11" t="n">
        <f aca="false">IF(Time!S17&gt;=Time!$F$11,Inputs!$F$181/100*(S11-S10-Tax!S21),0)</f>
        <v>-21.7538503610293</v>
      </c>
      <c r="T12" s="11" t="n">
        <f aca="false">IF(Time!T17&gt;=Time!$F$11,Inputs!$F$181/100*(T11-T10-Tax!T21),0)</f>
        <v>-26.773969675113</v>
      </c>
      <c r="U12" s="11" t="n">
        <f aca="false">IF(Time!U17&gt;=Time!$F$11,Inputs!$F$181/100*(U11-U10-Tax!U21),0)</f>
        <v>-31.7940889891967</v>
      </c>
      <c r="V12" s="11" t="n">
        <f aca="false">IF(Time!V17&gt;=Time!$F$11,Inputs!$F$181/100*(V11-V10-Tax!V21),0)</f>
        <v>-36.8142083032803</v>
      </c>
      <c r="W12" s="11" t="n">
        <f aca="false">IF(Time!W17&gt;=Time!$F$11,Inputs!$F$181/100*(W11-W10-Tax!W21),0)</f>
        <v>-41.834327617364</v>
      </c>
      <c r="X12" s="11" t="n">
        <f aca="false">IF(Time!X17&gt;=Time!$F$11,Inputs!$F$181/100*(X11-X10-Tax!X21),0)</f>
        <v>-46.8544469314477</v>
      </c>
      <c r="Y12" s="11" t="n">
        <f aca="false">IF(Time!Y17&gt;=Time!$F$11,Inputs!$F$181/100*(Y11-Y10-Tax!Y21),0)</f>
        <v>-49.173553321399</v>
      </c>
      <c r="Z12" s="11" t="n">
        <f aca="false">IF(Time!Z17&gt;=Time!$F$11,Inputs!$F$181/100*(Z11-Z10-Tax!Z21),0)</f>
        <v>-45.8660513772071</v>
      </c>
      <c r="AA12" s="11" t="n">
        <f aca="false">IF(Time!AA17&gt;=Time!$F$11,Inputs!$F$181/100*(AA11-AA10-Tax!AA21),0)</f>
        <v>-42.1482913072383</v>
      </c>
      <c r="AB12" s="11" t="n">
        <f aca="false">IF(Time!AB17&gt;=Time!$F$11,Inputs!$F$181/100*(AB11-AB10-Tax!AB21),0)</f>
        <v>-38.1976785751346</v>
      </c>
      <c r="AC12" s="11" t="n">
        <f aca="false">IF(Time!AC17&gt;=Time!$F$11,Inputs!$F$181/100*(AC11-AC10-Tax!AC21),0)</f>
        <v>-33.8004164432244</v>
      </c>
      <c r="AD12" s="11" t="n">
        <f aca="false">IF(Time!AD17&gt;=Time!$F$11,Inputs!$F$181/100*(AD11-AD10-Tax!AD21),0)</f>
        <v>-32.7963925804076</v>
      </c>
      <c r="AE12" s="11" t="n">
        <f aca="false">IF(Time!AE17&gt;=Time!$F$11,Inputs!$F$181/100*(AE11-AE10-Tax!AE21),0)</f>
        <v>-27.6634808116549</v>
      </c>
      <c r="AF12" s="11" t="n">
        <f aca="false">IF(Time!AF17&gt;=Time!$F$11,Inputs!$F$181/100*(AF11-AF10-Tax!AF21),0)</f>
        <v>-22.1581076607716</v>
      </c>
      <c r="AG12" s="11" t="n">
        <f aca="false">IF(Time!AG17&gt;=Time!$F$11,Inputs!$F$181/100*(AG11-AG10-Tax!AG21),0)</f>
        <v>-16.1927132708724</v>
      </c>
      <c r="AH12" s="11" t="n">
        <f aca="false">IF(Time!AH17&gt;=Time!$F$11,Inputs!$F$181/100*(AH11-AH10-Tax!AH21),0)</f>
        <v>-9.80601149451718</v>
      </c>
      <c r="AI12" s="11" t="n">
        <f aca="false">IF(Time!AI17&gt;=Time!$F$11,Inputs!$F$181/100*(AI11-AI10-Tax!AI21),0)</f>
        <v>-2.86821307780563</v>
      </c>
      <c r="AJ12" s="11" t="n">
        <f aca="false">IF(Time!AJ17&gt;=Time!$F$11,Inputs!$F$181/100*(AJ11-AJ10-Tax!AJ21),0)</f>
        <v>4.52756494230534</v>
      </c>
      <c r="AK12" s="11" t="n">
        <f aca="false">IF(Time!AK17&gt;=Time!$F$11,Inputs!$F$181/100*(AK11-AK10-Tax!AK21),0)</f>
        <v>12.5268860630386</v>
      </c>
      <c r="AL12" s="11" t="n">
        <f aca="false">IF(Time!AL17&gt;=Time!$F$11,Inputs!$F$181/100*(AL11-AL10-Tax!AL21),0)</f>
        <v>20.2145096659201</v>
      </c>
      <c r="AM12" s="11" t="n">
        <f aca="false">IF(Time!AM17&gt;=Time!$F$11,Inputs!$F$181/100*(AM11-AM10-Tax!AM21),0)</f>
        <v>29.3542836254743</v>
      </c>
      <c r="AN12" s="11" t="n">
        <f aca="false">IF(Time!AN17&gt;=Time!$F$11,Inputs!$F$181/100*(AN11-AN10-Tax!AN21),0)</f>
        <v>32.9654501624829</v>
      </c>
      <c r="AO12" s="11" t="n">
        <f aca="false">IF(Time!AO17&gt;=Time!$F$11,Inputs!$F$181/100*(AO11-AO10-Tax!AO21),0)</f>
        <v>33.9694740252996</v>
      </c>
      <c r="AP12" s="11" t="n">
        <f aca="false">IF(Time!AP17&gt;=Time!$F$11,Inputs!$F$181/100*(AP11-AP10-Tax!AP21),0)</f>
        <v>34.9734978881163</v>
      </c>
      <c r="AQ12" s="11" t="n">
        <f aca="false">IF(Time!AQ17&gt;=Time!$F$11,Inputs!$F$181/100*(AQ11-AQ10-Tax!AQ21),0)</f>
        <v>35.9775217509331</v>
      </c>
      <c r="AR12" s="11" t="n">
        <f aca="false">IF(Time!AR17&gt;=Time!$F$11,Inputs!$F$181/100*(AR11-AR10-Tax!AR21),0)</f>
        <v>36.9815456137498</v>
      </c>
      <c r="AS12" s="11" t="n">
        <f aca="false">IF(Time!AS17&gt;=Time!$F$11,Inputs!$F$181/100*(AS11-AS10-Tax!AS21),0)</f>
        <v>37.9855694765666</v>
      </c>
      <c r="AT12" s="11" t="n">
        <f aca="false">IF(Time!AT17&gt;=Time!$F$11,Inputs!$F$181/100*(AT11-AT10-Tax!AT21),0)</f>
        <v>38.9895933393833</v>
      </c>
      <c r="AU12" s="11" t="n">
        <f aca="false">IF(Time!AU17&gt;=Time!$F$11,Inputs!$F$181/100*(AU11-AU10-Tax!AU21),0)</f>
        <v>39.9936172022</v>
      </c>
      <c r="AV12" s="11" t="n">
        <f aca="false">IF(Time!AV17&gt;=Time!$F$11,Inputs!$F$181/100*(AV11-AV10-Tax!AV21),0)</f>
        <v>40.9976410650168</v>
      </c>
      <c r="AW12" s="11" t="n">
        <f aca="false">IF(Time!AW17&gt;=Time!$F$11,Inputs!$F$181/100*(AW11-AW10-Tax!AW21),0)</f>
        <v>42.0016649278335</v>
      </c>
      <c r="AX12" s="11" t="n">
        <f aca="false">IF(Time!AX17&gt;=Time!$F$11,Inputs!$F$181/100*(AX11-AX10-Tax!AX21),0)</f>
        <v>43.0056887906502</v>
      </c>
      <c r="AY12" s="11" t="n">
        <f aca="false">IF(Time!AY17&gt;=Time!$F$11,Inputs!$F$181/100*(AY11-AY10-Tax!AY21),0)</f>
        <v>44.009712653467</v>
      </c>
      <c r="AZ12" s="11" t="n">
        <f aca="false">IF(Time!AZ17&gt;=Time!$F$11,Inputs!$F$181/100*(AZ11-AZ10-Tax!AZ21),0)</f>
        <v>45.0137365162837</v>
      </c>
      <c r="BA12" s="11" t="n">
        <f aca="false">IF(Time!BA17&gt;=Time!$F$11,Inputs!$F$181/100*(BA11-BA10-Tax!BA21),0)</f>
        <v>46.0177603791004</v>
      </c>
      <c r="BB12" s="11" t="n">
        <f aca="false">IF(Time!BB17&gt;=Time!$F$11,Inputs!$F$181/100*(BB11-BB10-Tax!BB21),0)</f>
        <v>47.0217842419172</v>
      </c>
      <c r="BC12" s="11" t="n">
        <f aca="false">IF(Time!BC17&gt;=Time!$F$11,Inputs!$F$181/100*(BC11-BC10-Tax!BC21),0)</f>
        <v>46.1014290343352</v>
      </c>
      <c r="BD12" s="11" t="n">
        <f aca="false">IF(Time!BD17&gt;=Time!$F$11,Inputs!$F$181/100*(BD11-BD10-Tax!BD21),0)</f>
        <v>41.3323156859557</v>
      </c>
      <c r="BE12" s="11" t="n">
        <f aca="false">IF(Time!BE17&gt;=Time!$F$11,Inputs!$F$181/100*(BE11-BE10-Tax!BE21),0)</f>
        <v>36.5632023375762</v>
      </c>
      <c r="BF12" s="11" t="n">
        <f aca="false">IF(Time!BF17&gt;=Time!$F$11,Inputs!$F$181/100*(BF11-BF10-Tax!BF21),0)</f>
        <v>31.7940889891967</v>
      </c>
      <c r="BG12" s="11" t="n">
        <f aca="false">IF(Time!BG17&gt;=Time!$F$11,Inputs!$F$181/100*(BG11-BG10-Tax!BG21),0)</f>
        <v>27.0249756408172</v>
      </c>
      <c r="BH12" s="11" t="n">
        <f aca="false">IF(Time!BH17&gt;=Time!$F$11,Inputs!$F$181/100*(BH11-BH10-Tax!BH21),0)</f>
        <v>22.2558622924377</v>
      </c>
      <c r="BI12" s="11" t="n">
        <f aca="false">IF(Time!BI17&gt;=Time!$F$11,Inputs!$F$181/100*(BI11-BI10-Tax!BI21),0)</f>
        <v>17.4867489440582</v>
      </c>
      <c r="BJ12" s="11" t="n">
        <f aca="false">IF(Time!BJ17&gt;=Time!$F$11,Inputs!$F$181/100*(BJ11-BJ10-Tax!BJ21),0)</f>
        <v>12.7176355956787</v>
      </c>
      <c r="BK12" s="11" t="n">
        <f aca="false">IF(Time!BK17&gt;=Time!$F$11,Inputs!$F$181/100*(BK11-BK10-Tax!BK21),0)</f>
        <v>7.94852224729914</v>
      </c>
      <c r="BL12" s="11" t="n">
        <f aca="false">IF(Time!BL17&gt;=Time!$F$11,Inputs!$F$181/100*(BL11-BL10-Tax!BL21),0)</f>
        <v>3.17940889891969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-1.67337310469454</v>
      </c>
      <c r="P13" s="11" t="n">
        <f aca="false">P12-O12</f>
        <v>-5.02011931408369</v>
      </c>
      <c r="Q13" s="11" t="n">
        <f aca="false">Q12-P12</f>
        <v>-5.02011931408369</v>
      </c>
      <c r="R13" s="11" t="n">
        <f aca="false">R12-Q12</f>
        <v>-5.02011931408366</v>
      </c>
      <c r="S13" s="11" t="n">
        <f aca="false">S12-R12</f>
        <v>-5.0201193140837</v>
      </c>
      <c r="T13" s="11" t="n">
        <f aca="false">T12-S12</f>
        <v>-5.02011931408369</v>
      </c>
      <c r="U13" s="11" t="n">
        <f aca="false">U12-T12</f>
        <v>-5.02011931408369</v>
      </c>
      <c r="V13" s="11" t="n">
        <f aca="false">V12-U12</f>
        <v>-5.02011931408366</v>
      </c>
      <c r="W13" s="11" t="n">
        <f aca="false">W12-V12</f>
        <v>-5.02011931408369</v>
      </c>
      <c r="X13" s="11" t="n">
        <f aca="false">X12-W12</f>
        <v>-5.02011931408367</v>
      </c>
      <c r="Y13" s="11" t="n">
        <f aca="false">Y12-X12</f>
        <v>-2.31910638995132</v>
      </c>
      <c r="Z13" s="11" t="n">
        <f aca="false">Z12-Y12</f>
        <v>3.30750194419193</v>
      </c>
      <c r="AA13" s="11" t="n">
        <f aca="false">AA12-Z12</f>
        <v>3.7177600699688</v>
      </c>
      <c r="AB13" s="11" t="n">
        <f aca="false">AB12-AA12</f>
        <v>3.95061273210369</v>
      </c>
      <c r="AC13" s="11" t="n">
        <f aca="false">AC12-AB12</f>
        <v>4.39726213191022</v>
      </c>
      <c r="AD13" s="11" t="n">
        <f aca="false">AD12-AC12</f>
        <v>1.00402386281673</v>
      </c>
      <c r="AE13" s="11" t="n">
        <f aca="false">AE12-AD12</f>
        <v>5.13291176875274</v>
      </c>
      <c r="AF13" s="11" t="n">
        <f aca="false">AF12-AE12</f>
        <v>5.50537315088328</v>
      </c>
      <c r="AG13" s="11" t="n">
        <f aca="false">AG12-AF12</f>
        <v>5.96539438989924</v>
      </c>
      <c r="AH13" s="11" t="n">
        <f aca="false">AH12-AG12</f>
        <v>6.3867017763552</v>
      </c>
      <c r="AI13" s="11" t="n">
        <f aca="false">AI12-AH12</f>
        <v>6.93779841671155</v>
      </c>
      <c r="AJ13" s="11" t="n">
        <f aca="false">AJ12-AI12</f>
        <v>7.39577802011097</v>
      </c>
      <c r="AK13" s="11" t="n">
        <f aca="false">AK12-AJ12</f>
        <v>7.99932112073328</v>
      </c>
      <c r="AL13" s="11" t="n">
        <f aca="false">AL12-AK12</f>
        <v>7.68762360288152</v>
      </c>
      <c r="AM13" s="11" t="n">
        <f aca="false">AM12-AL12</f>
        <v>9.13977395955421</v>
      </c>
      <c r="AN13" s="11" t="n">
        <f aca="false">AN12-AM12</f>
        <v>3.61116653700854</v>
      </c>
      <c r="AO13" s="11" t="n">
        <f aca="false">AO12-AN12</f>
        <v>1.00402386281671</v>
      </c>
      <c r="AP13" s="11" t="n">
        <f aca="false">AP12-AO12</f>
        <v>1.00402386281673</v>
      </c>
      <c r="AQ13" s="11" t="n">
        <f aca="false">AQ12-AP12</f>
        <v>1.00402386281674</v>
      </c>
      <c r="AR13" s="11" t="n">
        <f aca="false">AR12-AQ12</f>
        <v>1.00402386281673</v>
      </c>
      <c r="AS13" s="11" t="n">
        <f aca="false">AS12-AR12</f>
        <v>1.00402386281676</v>
      </c>
      <c r="AT13" s="11" t="n">
        <f aca="false">AT12-AS12</f>
        <v>1.00402386281669</v>
      </c>
      <c r="AU13" s="11" t="n">
        <f aca="false">AU12-AT12</f>
        <v>1.00402386281675</v>
      </c>
      <c r="AV13" s="11" t="n">
        <f aca="false">AV12-AU12</f>
        <v>1.00402386281674</v>
      </c>
      <c r="AW13" s="11" t="n">
        <f aca="false">AW12-AV12</f>
        <v>1.00402386281674</v>
      </c>
      <c r="AX13" s="11" t="n">
        <f aca="false">AX12-AW12</f>
        <v>1.00402386281671</v>
      </c>
      <c r="AY13" s="11" t="n">
        <f aca="false">AY12-AX12</f>
        <v>1.00402386281675</v>
      </c>
      <c r="AZ13" s="11" t="n">
        <f aca="false">AZ12-AY12</f>
        <v>1.00402386281674</v>
      </c>
      <c r="BA13" s="11" t="n">
        <f aca="false">BA12-AZ12</f>
        <v>1.00402386281671</v>
      </c>
      <c r="BB13" s="11" t="n">
        <f aca="false">BB12-BA12</f>
        <v>1.00402386281678</v>
      </c>
      <c r="BC13" s="11" t="n">
        <f aca="false">BC12-BB12</f>
        <v>-0.92035520758202</v>
      </c>
      <c r="BD13" s="11" t="n">
        <f aca="false">BD12-BC12</f>
        <v>-4.76911334837951</v>
      </c>
      <c r="BE13" s="11" t="n">
        <f aca="false">BE12-BD12</f>
        <v>-4.76911334837948</v>
      </c>
      <c r="BF13" s="11" t="n">
        <f aca="false">BF12-BE12</f>
        <v>-4.76911334837948</v>
      </c>
      <c r="BG13" s="11" t="n">
        <f aca="false">BG12-BF12</f>
        <v>-4.76911334837952</v>
      </c>
      <c r="BH13" s="11" t="n">
        <f aca="false">BH12-BG12</f>
        <v>-4.76911334837948</v>
      </c>
      <c r="BI13" s="11" t="n">
        <f aca="false">BI12-BH12</f>
        <v>-4.76911334837952</v>
      </c>
      <c r="BJ13" s="11" t="n">
        <f aca="false">BJ12-BI12</f>
        <v>-4.76911334837952</v>
      </c>
      <c r="BK13" s="11" t="n">
        <f aca="false">BK12-BJ12</f>
        <v>-4.76911334837952</v>
      </c>
      <c r="BL13" s="11" t="n">
        <f aca="false">BL12-BK12</f>
        <v>-4.76911334837945</v>
      </c>
      <c r="BM13" s="11" t="n">
        <f aca="false">BM12-BL12</f>
        <v>-3.17940889891969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939.480995475094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9.66974093420674</v>
      </c>
      <c r="P14" s="11" t="n">
        <f aca="false">Operations!P79-P8-P9-Tax!P27-P13</f>
        <v>7.05208503095014</v>
      </c>
      <c r="Q14" s="11" t="n">
        <f aca="false">Operations!Q79-Q8-Q9-Tax!Q27-Q13</f>
        <v>8.38980077953137</v>
      </c>
      <c r="R14" s="11" t="n">
        <f aca="false">Operations!R79-R8-R9-Tax!R27-R13</f>
        <v>8.8409128511677</v>
      </c>
      <c r="S14" s="11" t="n">
        <f aca="false">Operations!S79-S8-S9-Tax!S27-S13</f>
        <v>10.0490194983611</v>
      </c>
      <c r="T14" s="11" t="n">
        <f aca="false">Operations!T79-T8-T9-Tax!T27-T13</f>
        <v>10.5076117824643</v>
      </c>
      <c r="U14" s="11" t="n">
        <f aca="false">Operations!U79-U8-U9-Tax!U27-U13</f>
        <v>11.7209015575853</v>
      </c>
      <c r="V14" s="11" t="n">
        <f aca="false">Operations!V79-V8-V9-Tax!V27-V13</f>
        <v>10.0200877210537</v>
      </c>
      <c r="W14" s="11" t="n">
        <f aca="false">Operations!W79-W8-W9-Tax!W27-W13</f>
        <v>13.8049253575079</v>
      </c>
      <c r="X14" s="11" t="n">
        <f aca="false">Operations!X79-X8-X9-Tax!X27-X13</f>
        <v>14.4481558132371</v>
      </c>
      <c r="Y14" s="11" t="n">
        <f aca="false">Operations!Y79-Y8-Y9-Tax!Y27-Y13</f>
        <v>12.4782753444281</v>
      </c>
      <c r="Z14" s="11" t="n">
        <f aca="false">Operations!Z79-Z8-Z9-Tax!Z27-Z13</f>
        <v>7.36447183911142</v>
      </c>
      <c r="AA14" s="11" t="n">
        <f aca="false">Operations!AA79-AA8-AA9-Tax!AA27-AA13</f>
        <v>8.3199988148852</v>
      </c>
      <c r="AB14" s="11" t="n">
        <f aca="false">Operations!AB79-AB8-AB9-Tax!AB27-AB13</f>
        <v>8.86143012961603</v>
      </c>
      <c r="AC14" s="11" t="n">
        <f aca="false">Operations!AC79-AC8-AC9-Tax!AC27-AC13</f>
        <v>9.90270174115605</v>
      </c>
      <c r="AD14" s="11" t="n">
        <f aca="false">Operations!AD79-AD8-AD9-Tax!AD27-AD13</f>
        <v>1.72981045629381</v>
      </c>
      <c r="AE14" s="11" t="n">
        <f aca="false">Operations!AE79-AE8-AE9-Tax!AE27-AE13</f>
        <v>11.8764061391622</v>
      </c>
      <c r="AF14" s="11" t="n">
        <f aca="false">Operations!AF79-AF8-AF9-Tax!AF27-AF13</f>
        <v>12.4824874880749</v>
      </c>
      <c r="AG14" s="11" t="n">
        <f aca="false">Operations!AG79-AG8-AG9-Tax!AG27-AG13</f>
        <v>13.5542822086511</v>
      </c>
      <c r="AH14" s="11" t="n">
        <f aca="false">Operations!AH79-AH8-AH9-Tax!AH27-AH13</f>
        <v>14.5358666289152</v>
      </c>
      <c r="AI14" s="11" t="n">
        <f aca="false">Operations!AI79-AI8-AI9-Tax!AI27-AI13</f>
        <v>15.8198620653462</v>
      </c>
      <c r="AJ14" s="11" t="n">
        <f aca="false">Operations!AJ79-AJ8-AJ9-Tax!AJ27-AJ13</f>
        <v>16.886422139046</v>
      </c>
      <c r="AK14" s="11" t="n">
        <f aca="false">Operations!AK79-AK8-AK9-Tax!AK27-AK13</f>
        <v>18.2933944927612</v>
      </c>
      <c r="AL14" s="11" t="n">
        <f aca="false">Operations!AL79-AL8-AL9-Tax!AL27-AL13</f>
        <v>17.5653063991523</v>
      </c>
      <c r="AM14" s="11" t="n">
        <f aca="false">Operations!AM79-AM8-AM9-Tax!AM27-AM13</f>
        <v>20.9513189190191</v>
      </c>
      <c r="AN14" s="11" t="n">
        <f aca="false">Operations!AN79-AN8-AN9-Tax!AN27-AN13</f>
        <v>22.6449568610174</v>
      </c>
      <c r="AO14" s="11" t="n">
        <f aca="false">Operations!AO79-AO8-AO9-Tax!AO27-AO13</f>
        <v>23.8881925644293</v>
      </c>
      <c r="AP14" s="11" t="n">
        <f aca="false">Operations!AP79-AP8-AP9-Tax!AP27-AP13</f>
        <v>25.6583715937392</v>
      </c>
      <c r="AQ14" s="11" t="n">
        <f aca="false">Operations!AQ79-AQ8-AQ9-Tax!AQ27-AQ13</f>
        <v>25.8221491486957</v>
      </c>
      <c r="AR14" s="11" t="n">
        <f aca="false">Operations!AR79-AR8-AR9-Tax!AR27-AR13</f>
        <v>25.8856965488106</v>
      </c>
      <c r="AS14" s="11" t="n">
        <f aca="false">Operations!AS79-AS8-AS9-Tax!AS27-AS13</f>
        <v>26.0682920511761</v>
      </c>
      <c r="AT14" s="11" t="n">
        <f aca="false">Operations!AT79-AT8-AT9-Tax!AT27-AT13</f>
        <v>15.7680438638311</v>
      </c>
      <c r="AU14" s="11" t="n">
        <f aca="false">Operations!AU79-AU8-AU9-Tax!AU27-AU13</f>
        <v>26.3534237400837</v>
      </c>
      <c r="AV14" s="11" t="n">
        <f aca="false">Operations!AV79-AV8-AV9-Tax!AV27-AV13</f>
        <v>26.2692840975583</v>
      </c>
      <c r="AW14" s="11" t="n">
        <f aca="false">Operations!AW79-AW8-AW9-Tax!AW27-AW13</f>
        <v>26.3831007157147</v>
      </c>
      <c r="AX14" s="11" t="n">
        <f aca="false">Operations!AX79-AX8-AX9-Tax!AX27-AX13</f>
        <v>26.5170467296869</v>
      </c>
      <c r="AY14" s="11" t="n">
        <f aca="false">Operations!AY79-AY8-AY9-Tax!AY27-AY13</f>
        <v>26.5998977449273</v>
      </c>
      <c r="AZ14" s="11" t="n">
        <f aca="false">Operations!AZ79-AZ8-AZ9-Tax!AZ27-AZ13</f>
        <v>26.6684643627399</v>
      </c>
      <c r="BA14" s="11" t="n">
        <f aca="false">Operations!BA79-BA8-BA9-Tax!BA27-BA13</f>
        <v>26.8312611017398</v>
      </c>
      <c r="BB14" s="11" t="n">
        <f aca="false">Operations!BB79-BB8-BB9-Tax!BB27-BB13</f>
        <v>24.5853967870053</v>
      </c>
      <c r="BC14" s="11" t="n">
        <f aca="false">Operations!BC79-BC8-BC9-Tax!BC27-BC13</f>
        <v>27.1038278432165</v>
      </c>
      <c r="BD14" s="11" t="n">
        <f aca="false">Operations!BD79-BD8-BD9-Tax!BD27-BD13</f>
        <v>27.0838794572685</v>
      </c>
      <c r="BE14" s="11" t="n">
        <f aca="false">Operations!BE79-BE8-BE9-Tax!BE27-BE13</f>
        <v>27.2069907302281</v>
      </c>
      <c r="BF14" s="11" t="n">
        <f aca="false">Operations!BF79-BF8-BF9-Tax!BF27-BF13</f>
        <v>27.3534853581182</v>
      </c>
      <c r="BG14" s="11" t="n">
        <f aca="false">Operations!BG79-BG8-BG9-Tax!BG27-BG13</f>
        <v>27.4422162003138</v>
      </c>
      <c r="BH14" s="11" t="n">
        <f aca="false">Operations!BH79-BH8-BH9-Tax!BH27-BH13</f>
        <v>27.5161982562284</v>
      </c>
      <c r="BI14" s="11" t="n">
        <f aca="false">Operations!BI79-BI8-BI9-Tax!BI27-BI13</f>
        <v>27.734160052533</v>
      </c>
      <c r="BJ14" s="11" t="n">
        <f aca="false">Operations!BJ79-BJ8-BJ9-Tax!BJ27-BJ13</f>
        <v>15.5592063793843</v>
      </c>
      <c r="BK14" s="11" t="n">
        <f aca="false">Operations!BK79-BK8-BK9-Tax!BK27-BK13</f>
        <v>28.0737715047466</v>
      </c>
      <c r="BL14" s="11" t="n">
        <f aca="false">Operations!BL79-BL8-BL9-Tax!BL27-BL13</f>
        <v>27.9661175242175</v>
      </c>
      <c r="BM14" s="11" t="n">
        <f aca="false">Operations!BM79-BM8-BM9-Tax!BM27-BM13</f>
        <v>5.3722881259998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139.106138718341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239.361059019891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433.488009929513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635.509570384213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753.08150774339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831.108641998299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814.374910951353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797.641179904408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780.907448857462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764.173717810516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747.439986763571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730.706255716625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713.97252466968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697.238793622734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680.505062575788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663.771331528843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647.037600481897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630.303869434951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613.570138388006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596.83640734106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580.102676294115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563.368945247169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546.635214200223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529.901483153278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513.167752106332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496.434021059387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479.700290012441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462.966558965495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446.23282791855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429.499096871604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412.765365824659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396.031634777713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379.297903730767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362.564172683822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345.830441636876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329.09671058993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312.362979542985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295.629248496039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278.895517449094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262.161786402148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245.428055355202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228.694324308257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211.960593261311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195.226862214365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178.49313116742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161.759400120474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145.025669073529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128.291938026583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111.558206979637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94.8244759326917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78.0907448857462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61.3570138388005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44.6232827918549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27.8895517449092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11.1558206979637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39.1117626470981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37.5732847576006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38.4573216925877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38.5821173999215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39.4162909915672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39.652034267127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40.7855300498875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38.0232274258698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36.9267950745894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38.5431345881786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40.816848195781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42.4925149857548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44.89571880651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46.0968259225119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48.6815342253758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36.13238180753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35.2414748068277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34.30784457034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33.8495642063822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32.5356608122899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31.3692217821354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29.2904645744744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26.9449307708639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23.5692918532781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19.1320172548642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21.2537968330951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37.8441713697267</v>
      </c>
      <c r="P18" s="11" t="n">
        <f aca="false">Operations!P83+Operations!P84</f>
        <v>37.721553496701</v>
      </c>
      <c r="Q18" s="11" t="n">
        <f aca="false">Operations!Q83+Operations!Q84</f>
        <v>38.7137760113576</v>
      </c>
      <c r="R18" s="11" t="n">
        <f aca="false">Operations!R83+Operations!R84</f>
        <v>38.0651174742496</v>
      </c>
      <c r="S18" s="11" t="n">
        <f aca="false">Operations!S83+Operations!S84</f>
        <v>39.2024247487371</v>
      </c>
      <c r="T18" s="11" t="n">
        <f aca="false">Operations!T83+Operations!T84</f>
        <v>38.8128599558197</v>
      </c>
      <c r="U18" s="11" t="n">
        <f aca="false">Operations!U83+Operations!U84</f>
        <v>39.4590663818828</v>
      </c>
      <c r="V18" s="11" t="n">
        <f aca="false">Operations!V83+Operations!V84</f>
        <v>38.6472593707992</v>
      </c>
      <c r="W18" s="11" t="n">
        <f aca="false">Operations!W83+Operations!W84</f>
        <v>39.9848213953675</v>
      </c>
      <c r="X18" s="11" t="n">
        <f aca="false">Operations!X83+Operations!X84</f>
        <v>39.947148638543</v>
      </c>
      <c r="Y18" s="11" t="n">
        <f aca="false">Operations!Y83+Operations!Y84</f>
        <v>41.0061428770442</v>
      </c>
      <c r="Z18" s="11" t="n">
        <f aca="false">Operations!Z83+Operations!Z84</f>
        <v>40.3183695500722</v>
      </c>
      <c r="AA18" s="11" t="n">
        <f aca="false">Operations!AA83+Operations!AA84</f>
        <v>41.5340684291454</v>
      </c>
      <c r="AB18" s="11" t="n">
        <f aca="false">Operations!AB83+Operations!AB84</f>
        <v>41.1261154832341</v>
      </c>
      <c r="AC18" s="11" t="n">
        <f aca="false">Operations!AC83+Operations!AC84</f>
        <v>41.6584917069633</v>
      </c>
      <c r="AD18" s="11" t="n">
        <f aca="false">Operations!AD83+Operations!AD84</f>
        <v>40.2559801813169</v>
      </c>
      <c r="AE18" s="11" t="n">
        <f aca="false">Operations!AE83+Operations!AE84</f>
        <v>42.0574610386383</v>
      </c>
      <c r="AF18" s="11" t="n">
        <f aca="false">Operations!AF83+Operations!AF84</f>
        <v>42.3515233763904</v>
      </c>
      <c r="AG18" s="11" t="n">
        <f aca="false">Operations!AG83+Operations!AG84</f>
        <v>43.4826728123053</v>
      </c>
      <c r="AH18" s="11" t="n">
        <f aca="false">Operations!AH83+Operations!AH84</f>
        <v>42.7526431637962</v>
      </c>
      <c r="AI18" s="11" t="n">
        <f aca="false">Operations!AI83+Operations!AI84</f>
        <v>44.0530415819263</v>
      </c>
      <c r="AJ18" s="11" t="n">
        <f aca="false">Operations!AJ83+Operations!AJ84</f>
        <v>43.6252047939135</v>
      </c>
      <c r="AK18" s="11" t="n">
        <f aca="false">Operations!AK83+Operations!AK84</f>
        <v>44.3613561114493</v>
      </c>
      <c r="AL18" s="11" t="n">
        <f aca="false">Operations!AL83+Operations!AL84</f>
        <v>43.4324945400244</v>
      </c>
      <c r="AM18" s="11" t="n">
        <f aca="false">Operations!AM83+Operations!AM84</f>
        <v>44.9665060193528</v>
      </c>
      <c r="AN18" s="11" t="n">
        <f aca="false">Operations!AN83+Operations!AN84</f>
        <v>44.9490645464332</v>
      </c>
      <c r="AO18" s="11" t="n">
        <f aca="false">Operations!AO83+Operations!AO84</f>
        <v>46.1581860367072</v>
      </c>
      <c r="AP18" s="11" t="n">
        <f aca="false">Operations!AP83+Operations!AP84</f>
        <v>45.3825078466358</v>
      </c>
      <c r="AQ18" s="11" t="n">
        <f aca="false">Operations!AQ83+Operations!AQ84</f>
        <v>46.7744200892235</v>
      </c>
      <c r="AR18" s="11" t="n">
        <f aca="false">Operations!AR83+Operations!AR84</f>
        <v>46.3250826327762</v>
      </c>
      <c r="AS18" s="11" t="n">
        <f aca="false">Operations!AS83+Operations!AS84</f>
        <v>46.9285462965675</v>
      </c>
      <c r="AT18" s="11" t="n">
        <f aca="false">Operations!AT83+Operations!AT84</f>
        <v>45.332691751714</v>
      </c>
      <c r="AU18" s="11" t="n">
        <f aca="false">Operations!AU83+Operations!AU84</f>
        <v>47.3859696186786</v>
      </c>
      <c r="AV18" s="11" t="n">
        <f aca="false">Operations!AV83+Operations!AV84</f>
        <v>47.7553172058303</v>
      </c>
      <c r="AW18" s="11" t="n">
        <f aca="false">Operations!AW83+Operations!AW84</f>
        <v>49.0486957943364</v>
      </c>
      <c r="AX18" s="11" t="n">
        <f aca="false">Operations!AX83+Operations!AX84</f>
        <v>48.2237062976678</v>
      </c>
      <c r="AY18" s="11" t="n">
        <f aca="false">Operations!AY83+Operations!AY84</f>
        <v>49.7144935094476</v>
      </c>
      <c r="AZ18" s="11" t="n">
        <f aca="false">Operations!AZ83+Operations!AZ84</f>
        <v>49.2419076552215</v>
      </c>
      <c r="BA18" s="11" t="n">
        <f aca="false">Operations!BA83+Operations!BA84</f>
        <v>50.0830994271112</v>
      </c>
      <c r="BB18" s="11" t="n">
        <f aca="false">Operations!BB83+Operations!BB84</f>
        <v>49.0178412447673</v>
      </c>
      <c r="BC18" s="11" t="n">
        <f aca="false">Operations!BC83+Operations!BC84</f>
        <v>50.7811180089831</v>
      </c>
      <c r="BD18" s="11" t="n">
        <f aca="false">Operations!BD83+Operations!BD84</f>
        <v>50.7870778113947</v>
      </c>
      <c r="BE18" s="11" t="n">
        <f aca="false">Operations!BE83+Operations!BE84</f>
        <v>52.1715043184322</v>
      </c>
      <c r="BF18" s="11" t="n">
        <f aca="false">Operations!BF83+Operations!BF84</f>
        <v>51.2932487890968</v>
      </c>
      <c r="BG18" s="11" t="n">
        <f aca="false">Operations!BG83+Operations!BG84</f>
        <v>52.8908627094085</v>
      </c>
      <c r="BH18" s="11" t="n">
        <f aca="false">Operations!BH83+Operations!BH84</f>
        <v>52.3931392758677</v>
      </c>
      <c r="BI18" s="11" t="n">
        <f aca="false">Operations!BI83+Operations!BI84</f>
        <v>53.0796986244794</v>
      </c>
      <c r="BJ18" s="11" t="n">
        <f aca="false">Operations!BJ83+Operations!BJ84</f>
        <v>51.2581966474904</v>
      </c>
      <c r="BK18" s="11" t="n">
        <f aca="false">Operations!BK83+Operations!BK84</f>
        <v>53.6056331274875</v>
      </c>
      <c r="BL18" s="11" t="n">
        <f aca="false">Operations!BL83+Operations!BL84</f>
        <v>54.0624948826174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5.35</v>
      </c>
      <c r="P19" s="11" t="n">
        <f aca="false">IF(Time!P17&lt;Time!$F$11,SUMIFS(Construction!$J$28:$BJ$28,Construction!$J$12:$BJ$12,"&lt;="&amp;Time!P17),IF(Time!P17&lt;Time!$F$14,Inputs!$F$65*Inputs!$F$35,0))</f>
        <v>5.35</v>
      </c>
      <c r="Q19" s="11" t="n">
        <f aca="false">IF(Time!Q17&lt;Time!$F$11,SUMIFS(Construction!$J$28:$BJ$28,Construction!$J$12:$BJ$12,"&lt;="&amp;Time!Q17),IF(Time!Q17&lt;Time!$F$14,Inputs!$F$65*Inputs!$F$35,0))</f>
        <v>5.35</v>
      </c>
      <c r="R19" s="11" t="n">
        <f aca="false">IF(Time!R17&lt;Time!$F$11,SUMIFS(Construction!$J$28:$BJ$28,Construction!$J$12:$BJ$12,"&lt;="&amp;Time!R17),IF(Time!R17&lt;Time!$F$14,Inputs!$F$65*Inputs!$F$35,0))</f>
        <v>5.35</v>
      </c>
      <c r="S19" s="11" t="n">
        <f aca="false">IF(Time!S17&lt;Time!$F$11,SUMIFS(Construction!$J$28:$BJ$28,Construction!$J$12:$BJ$12,"&lt;="&amp;Time!S17),IF(Time!S17&lt;Time!$F$14,Inputs!$F$65*Inputs!$F$35,0))</f>
        <v>5.35</v>
      </c>
      <c r="T19" s="11" t="n">
        <f aca="false">IF(Time!T17&lt;Time!$F$11,SUMIFS(Construction!$J$28:$BJ$28,Construction!$J$12:$BJ$12,"&lt;="&amp;Time!T17),IF(Time!T17&lt;Time!$F$14,Inputs!$F$65*Inputs!$F$35,0))</f>
        <v>5.35</v>
      </c>
      <c r="U19" s="11" t="n">
        <f aca="false">IF(Time!U17&lt;Time!$F$11,SUMIFS(Construction!$J$28:$BJ$28,Construction!$J$12:$BJ$12,"&lt;="&amp;Time!U17),IF(Time!U17&lt;Time!$F$14,Inputs!$F$65*Inputs!$F$35,0))</f>
        <v>5.35</v>
      </c>
      <c r="V19" s="11" t="n">
        <f aca="false">IF(Time!V17&lt;Time!$F$11,SUMIFS(Construction!$J$28:$BJ$28,Construction!$J$12:$BJ$12,"&lt;="&amp;Time!V17),IF(Time!V17&lt;Time!$F$14,Inputs!$F$65*Inputs!$F$35,0))</f>
        <v>5.35</v>
      </c>
      <c r="W19" s="11" t="n">
        <f aca="false">IF(Time!W17&lt;Time!$F$11,SUMIFS(Construction!$J$28:$BJ$28,Construction!$J$12:$BJ$12,"&lt;="&amp;Time!W17),IF(Time!W17&lt;Time!$F$14,Inputs!$F$65*Inputs!$F$35,0))</f>
        <v>5.35</v>
      </c>
      <c r="X19" s="11" t="n">
        <f aca="false">IF(Time!X17&lt;Time!$F$11,SUMIFS(Construction!$J$28:$BJ$28,Construction!$J$12:$BJ$12,"&lt;="&amp;Time!X17),IF(Time!X17&lt;Time!$F$14,Inputs!$F$65*Inputs!$F$35,0))</f>
        <v>5.35</v>
      </c>
      <c r="Y19" s="11" t="n">
        <f aca="false">IF(Time!Y17&lt;Time!$F$11,SUMIFS(Construction!$J$28:$BJ$28,Construction!$J$12:$BJ$12,"&lt;="&amp;Time!Y17),IF(Time!Y17&lt;Time!$F$14,Inputs!$F$65*Inputs!$F$35,0))</f>
        <v>5.35</v>
      </c>
      <c r="Z19" s="11" t="n">
        <f aca="false">IF(Time!Z17&lt;Time!$F$11,SUMIFS(Construction!$J$28:$BJ$28,Construction!$J$12:$BJ$12,"&lt;="&amp;Time!Z17),IF(Time!Z17&lt;Time!$F$14,Inputs!$F$65*Inputs!$F$35,0))</f>
        <v>5.35</v>
      </c>
      <c r="AA19" s="11" t="n">
        <f aca="false">IF(Time!AA17&lt;Time!$F$11,SUMIFS(Construction!$J$28:$BJ$28,Construction!$J$12:$BJ$12,"&lt;="&amp;Time!AA17),IF(Time!AA17&lt;Time!$F$14,Inputs!$F$65*Inputs!$F$35,0))</f>
        <v>5.35</v>
      </c>
      <c r="AB19" s="11" t="n">
        <f aca="false">IF(Time!AB17&lt;Time!$F$11,SUMIFS(Construction!$J$28:$BJ$28,Construction!$J$12:$BJ$12,"&lt;="&amp;Time!AB17),IF(Time!AB17&lt;Time!$F$14,Inputs!$F$65*Inputs!$F$35,0))</f>
        <v>5.35</v>
      </c>
      <c r="AC19" s="11" t="n">
        <f aca="false">IF(Time!AC17&lt;Time!$F$11,SUMIFS(Construction!$J$28:$BJ$28,Construction!$J$12:$BJ$12,"&lt;="&amp;Time!AC17),IF(Time!AC17&lt;Time!$F$14,Inputs!$F$65*Inputs!$F$35,0))</f>
        <v>5.35</v>
      </c>
      <c r="AD19" s="11" t="n">
        <f aca="false">IF(Time!AD17&lt;Time!$F$11,SUMIFS(Construction!$J$28:$BJ$28,Construction!$J$12:$BJ$12,"&lt;="&amp;Time!AD17),IF(Time!AD17&lt;Time!$F$14,Inputs!$F$65*Inputs!$F$35,0))</f>
        <v>5.35</v>
      </c>
      <c r="AE19" s="11" t="n">
        <f aca="false">IF(Time!AE17&lt;Time!$F$11,SUMIFS(Construction!$J$28:$BJ$28,Construction!$J$12:$BJ$12,"&lt;="&amp;Time!AE17),IF(Time!AE17&lt;Time!$F$14,Inputs!$F$65*Inputs!$F$35,0))</f>
        <v>5.35</v>
      </c>
      <c r="AF19" s="11" t="n">
        <f aca="false">IF(Time!AF17&lt;Time!$F$11,SUMIFS(Construction!$J$28:$BJ$28,Construction!$J$12:$BJ$12,"&lt;="&amp;Time!AF17),IF(Time!AF17&lt;Time!$F$14,Inputs!$F$65*Inputs!$F$35,0))</f>
        <v>5.35</v>
      </c>
      <c r="AG19" s="11" t="n">
        <f aca="false">IF(Time!AG17&lt;Time!$F$11,SUMIFS(Construction!$J$28:$BJ$28,Construction!$J$12:$BJ$12,"&lt;="&amp;Time!AG17),IF(Time!AG17&lt;Time!$F$14,Inputs!$F$65*Inputs!$F$35,0))</f>
        <v>5.35</v>
      </c>
      <c r="AH19" s="11" t="n">
        <f aca="false">IF(Time!AH17&lt;Time!$F$11,SUMIFS(Construction!$J$28:$BJ$28,Construction!$J$12:$BJ$12,"&lt;="&amp;Time!AH17),IF(Time!AH17&lt;Time!$F$14,Inputs!$F$65*Inputs!$F$35,0))</f>
        <v>5.35</v>
      </c>
      <c r="AI19" s="11" t="n">
        <f aca="false">IF(Time!AI17&lt;Time!$F$11,SUMIFS(Construction!$J$28:$BJ$28,Construction!$J$12:$BJ$12,"&lt;="&amp;Time!AI17),IF(Time!AI17&lt;Time!$F$14,Inputs!$F$65*Inputs!$F$35,0))</f>
        <v>5.35</v>
      </c>
      <c r="AJ19" s="11" t="n">
        <f aca="false">IF(Time!AJ17&lt;Time!$F$11,SUMIFS(Construction!$J$28:$BJ$28,Construction!$J$12:$BJ$12,"&lt;="&amp;Time!AJ17),IF(Time!AJ17&lt;Time!$F$14,Inputs!$F$65*Inputs!$F$35,0))</f>
        <v>5.35</v>
      </c>
      <c r="AK19" s="11" t="n">
        <f aca="false">IF(Time!AK17&lt;Time!$F$11,SUMIFS(Construction!$J$28:$BJ$28,Construction!$J$12:$BJ$12,"&lt;="&amp;Time!AK17),IF(Time!AK17&lt;Time!$F$14,Inputs!$F$65*Inputs!$F$35,0))</f>
        <v>5.35</v>
      </c>
      <c r="AL19" s="11" t="n">
        <f aca="false">IF(Time!AL17&lt;Time!$F$11,SUMIFS(Construction!$J$28:$BJ$28,Construction!$J$12:$BJ$12,"&lt;="&amp;Time!AL17),IF(Time!AL17&lt;Time!$F$14,Inputs!$F$65*Inputs!$F$35,0))</f>
        <v>5.35</v>
      </c>
      <c r="AM19" s="11" t="n">
        <f aca="false">IF(Time!AM17&lt;Time!$F$11,SUMIFS(Construction!$J$28:$BJ$28,Construction!$J$12:$BJ$12,"&lt;="&amp;Time!AM17),IF(Time!AM17&lt;Time!$F$14,Inputs!$F$65*Inputs!$F$35,0))</f>
        <v>5.35</v>
      </c>
      <c r="AN19" s="11" t="n">
        <f aca="false">IF(Time!AN17&lt;Time!$F$11,SUMIFS(Construction!$J$28:$BJ$28,Construction!$J$12:$BJ$12,"&lt;="&amp;Time!AN17),IF(Time!AN17&lt;Time!$F$14,Inputs!$F$65*Inputs!$F$35,0))</f>
        <v>5.35</v>
      </c>
      <c r="AO19" s="11" t="n">
        <f aca="false">IF(Time!AO17&lt;Time!$F$11,SUMIFS(Construction!$J$28:$BJ$28,Construction!$J$12:$BJ$12,"&lt;="&amp;Time!AO17),IF(Time!AO17&lt;Time!$F$14,Inputs!$F$65*Inputs!$F$35,0))</f>
        <v>5.35</v>
      </c>
      <c r="AP19" s="11" t="n">
        <f aca="false">IF(Time!AP17&lt;Time!$F$11,SUMIFS(Construction!$J$28:$BJ$28,Construction!$J$12:$BJ$12,"&lt;="&amp;Time!AP17),IF(Time!AP17&lt;Time!$F$14,Inputs!$F$65*Inputs!$F$35,0))</f>
        <v>5.35</v>
      </c>
      <c r="AQ19" s="11" t="n">
        <f aca="false">IF(Time!AQ17&lt;Time!$F$11,SUMIFS(Construction!$J$28:$BJ$28,Construction!$J$12:$BJ$12,"&lt;="&amp;Time!AQ17),IF(Time!AQ17&lt;Time!$F$14,Inputs!$F$65*Inputs!$F$35,0))</f>
        <v>5.35</v>
      </c>
      <c r="AR19" s="11" t="n">
        <f aca="false">IF(Time!AR17&lt;Time!$F$11,SUMIFS(Construction!$J$28:$BJ$28,Construction!$J$12:$BJ$12,"&lt;="&amp;Time!AR17),IF(Time!AR17&lt;Time!$F$14,Inputs!$F$65*Inputs!$F$35,0))</f>
        <v>5.35</v>
      </c>
      <c r="AS19" s="11" t="n">
        <f aca="false">IF(Time!AS17&lt;Time!$F$11,SUMIFS(Construction!$J$28:$BJ$28,Construction!$J$12:$BJ$12,"&lt;="&amp;Time!AS17),IF(Time!AS17&lt;Time!$F$14,Inputs!$F$65*Inputs!$F$35,0))</f>
        <v>5.35</v>
      </c>
      <c r="AT19" s="11" t="n">
        <f aca="false">IF(Time!AT17&lt;Time!$F$11,SUMIFS(Construction!$J$28:$BJ$28,Construction!$J$12:$BJ$12,"&lt;="&amp;Time!AT17),IF(Time!AT17&lt;Time!$F$14,Inputs!$F$65*Inputs!$F$35,0))</f>
        <v>5.35</v>
      </c>
      <c r="AU19" s="11" t="n">
        <f aca="false">IF(Time!AU17&lt;Time!$F$11,SUMIFS(Construction!$J$28:$BJ$28,Construction!$J$12:$BJ$12,"&lt;="&amp;Time!AU17),IF(Time!AU17&lt;Time!$F$14,Inputs!$F$65*Inputs!$F$35,0))</f>
        <v>5.35</v>
      </c>
      <c r="AV19" s="11" t="n">
        <f aca="false">IF(Time!AV17&lt;Time!$F$11,SUMIFS(Construction!$J$28:$BJ$28,Construction!$J$12:$BJ$12,"&lt;="&amp;Time!AV17),IF(Time!AV17&lt;Time!$F$14,Inputs!$F$65*Inputs!$F$35,0))</f>
        <v>5.35</v>
      </c>
      <c r="AW19" s="11" t="n">
        <f aca="false">IF(Time!AW17&lt;Time!$F$11,SUMIFS(Construction!$J$28:$BJ$28,Construction!$J$12:$BJ$12,"&lt;="&amp;Time!AW17),IF(Time!AW17&lt;Time!$F$14,Inputs!$F$65*Inputs!$F$35,0))</f>
        <v>5.35</v>
      </c>
      <c r="AX19" s="11" t="n">
        <f aca="false">IF(Time!AX17&lt;Time!$F$11,SUMIFS(Construction!$J$28:$BJ$28,Construction!$J$12:$BJ$12,"&lt;="&amp;Time!AX17),IF(Time!AX17&lt;Time!$F$14,Inputs!$F$65*Inputs!$F$35,0))</f>
        <v>5.35</v>
      </c>
      <c r="AY19" s="11" t="n">
        <f aca="false">IF(Time!AY17&lt;Time!$F$11,SUMIFS(Construction!$J$28:$BJ$28,Construction!$J$12:$BJ$12,"&lt;="&amp;Time!AY17),IF(Time!AY17&lt;Time!$F$14,Inputs!$F$65*Inputs!$F$35,0))</f>
        <v>5.35</v>
      </c>
      <c r="AZ19" s="11" t="n">
        <f aca="false">IF(Time!AZ17&lt;Time!$F$11,SUMIFS(Construction!$J$28:$BJ$28,Construction!$J$12:$BJ$12,"&lt;="&amp;Time!AZ17),IF(Time!AZ17&lt;Time!$F$14,Inputs!$F$65*Inputs!$F$35,0))</f>
        <v>5.35</v>
      </c>
      <c r="BA19" s="11" t="n">
        <f aca="false">IF(Time!BA17&lt;Time!$F$11,SUMIFS(Construction!$J$28:$BJ$28,Construction!$J$12:$BJ$12,"&lt;="&amp;Time!BA17),IF(Time!BA17&lt;Time!$F$14,Inputs!$F$65*Inputs!$F$35,0))</f>
        <v>5.35</v>
      </c>
      <c r="BB19" s="11" t="n">
        <f aca="false">IF(Time!BB17&lt;Time!$F$11,SUMIFS(Construction!$J$28:$BJ$28,Construction!$J$12:$BJ$12,"&lt;="&amp;Time!BB17),IF(Time!BB17&lt;Time!$F$14,Inputs!$F$65*Inputs!$F$35,0))</f>
        <v>5.35</v>
      </c>
      <c r="BC19" s="11" t="n">
        <f aca="false">IF(Time!BC17&lt;Time!$F$11,SUMIFS(Construction!$J$28:$BJ$28,Construction!$J$12:$BJ$12,"&lt;="&amp;Time!BC17),IF(Time!BC17&lt;Time!$F$14,Inputs!$F$65*Inputs!$F$35,0))</f>
        <v>5.35</v>
      </c>
      <c r="BD19" s="11" t="n">
        <f aca="false">IF(Time!BD17&lt;Time!$F$11,SUMIFS(Construction!$J$28:$BJ$28,Construction!$J$12:$BJ$12,"&lt;="&amp;Time!BD17),IF(Time!BD17&lt;Time!$F$14,Inputs!$F$65*Inputs!$F$35,0))</f>
        <v>5.35</v>
      </c>
      <c r="BE19" s="11" t="n">
        <f aca="false">IF(Time!BE17&lt;Time!$F$11,SUMIFS(Construction!$J$28:$BJ$28,Construction!$J$12:$BJ$12,"&lt;="&amp;Time!BE17),IF(Time!BE17&lt;Time!$F$14,Inputs!$F$65*Inputs!$F$35,0))</f>
        <v>5.35</v>
      </c>
      <c r="BF19" s="11" t="n">
        <f aca="false">IF(Time!BF17&lt;Time!$F$11,SUMIFS(Construction!$J$28:$BJ$28,Construction!$J$12:$BJ$12,"&lt;="&amp;Time!BF17),IF(Time!BF17&lt;Time!$F$14,Inputs!$F$65*Inputs!$F$35,0))</f>
        <v>5.35</v>
      </c>
      <c r="BG19" s="11" t="n">
        <f aca="false">IF(Time!BG17&lt;Time!$F$11,SUMIFS(Construction!$J$28:$BJ$28,Construction!$J$12:$BJ$12,"&lt;="&amp;Time!BG17),IF(Time!BG17&lt;Time!$F$14,Inputs!$F$65*Inputs!$F$35,0))</f>
        <v>5.35</v>
      </c>
      <c r="BH19" s="11" t="n">
        <f aca="false">IF(Time!BH17&lt;Time!$F$11,SUMIFS(Construction!$J$28:$BJ$28,Construction!$J$12:$BJ$12,"&lt;="&amp;Time!BH17),IF(Time!BH17&lt;Time!$F$14,Inputs!$F$65*Inputs!$F$35,0))</f>
        <v>5.35</v>
      </c>
      <c r="BI19" s="11" t="n">
        <f aca="false">IF(Time!BI17&lt;Time!$F$11,SUMIFS(Construction!$J$28:$BJ$28,Construction!$J$12:$BJ$12,"&lt;="&amp;Time!BI17),IF(Time!BI17&lt;Time!$F$14,Inputs!$F$65*Inputs!$F$35,0))</f>
        <v>5.35</v>
      </c>
      <c r="BJ19" s="11" t="n">
        <f aca="false">IF(Time!BJ17&lt;Time!$F$11,SUMIFS(Construction!$J$28:$BJ$28,Construction!$J$12:$BJ$12,"&lt;="&amp;Time!BJ17),IF(Time!BJ17&lt;Time!$F$14,Inputs!$F$65*Inputs!$F$35,0))</f>
        <v>5.35</v>
      </c>
      <c r="BK19" s="11" t="n">
        <f aca="false">IF(Time!BK17&lt;Time!$F$11,SUMIFS(Construction!$J$28:$BJ$28,Construction!$J$12:$BJ$12,"&lt;="&amp;Time!BK17),IF(Time!BK17&lt;Time!$F$14,Inputs!$F$65*Inputs!$F$35,0))</f>
        <v>5.35</v>
      </c>
      <c r="BL19" s="11" t="n">
        <f aca="false">IF(Time!BL17&lt;Time!$F$11,SUMIFS(Construction!$J$28:$BJ$28,Construction!$J$12:$BJ$12,"&lt;="&amp;Time!BL17),IF(Time!BL17&lt;Time!$F$14,Inputs!$F$65*Inputs!$F$35,0))</f>
        <v>5.35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1.67337310469454</v>
      </c>
      <c r="P20" s="11" t="n">
        <f aca="false">MAX(0,-P12)</f>
        <v>6.69349241877824</v>
      </c>
      <c r="Q20" s="11" t="n">
        <f aca="false">MAX(0,-Q12)</f>
        <v>11.7136117328619</v>
      </c>
      <c r="R20" s="11" t="n">
        <f aca="false">MAX(0,-R12)</f>
        <v>16.7337310469456</v>
      </c>
      <c r="S20" s="11" t="n">
        <f aca="false">MAX(0,-S12)</f>
        <v>21.7538503610293</v>
      </c>
      <c r="T20" s="11" t="n">
        <f aca="false">MAX(0,-T12)</f>
        <v>26.773969675113</v>
      </c>
      <c r="U20" s="11" t="n">
        <f aca="false">MAX(0,-U12)</f>
        <v>31.7940889891967</v>
      </c>
      <c r="V20" s="11" t="n">
        <f aca="false">MAX(0,-V12)</f>
        <v>36.8142083032803</v>
      </c>
      <c r="W20" s="11" t="n">
        <f aca="false">MAX(0,-W12)</f>
        <v>41.834327617364</v>
      </c>
      <c r="X20" s="11" t="n">
        <f aca="false">MAX(0,-X12)</f>
        <v>46.8544469314477</v>
      </c>
      <c r="Y20" s="11" t="n">
        <f aca="false">MAX(0,-Y12)</f>
        <v>49.173553321399</v>
      </c>
      <c r="Z20" s="11" t="n">
        <f aca="false">MAX(0,-Z12)</f>
        <v>45.8660513772071</v>
      </c>
      <c r="AA20" s="11" t="n">
        <f aca="false">MAX(0,-AA12)</f>
        <v>42.1482913072383</v>
      </c>
      <c r="AB20" s="11" t="n">
        <f aca="false">MAX(0,-AB12)</f>
        <v>38.1976785751346</v>
      </c>
      <c r="AC20" s="11" t="n">
        <f aca="false">MAX(0,-AC12)</f>
        <v>33.8004164432244</v>
      </c>
      <c r="AD20" s="11" t="n">
        <f aca="false">MAX(0,-AD12)</f>
        <v>32.7963925804076</v>
      </c>
      <c r="AE20" s="11" t="n">
        <f aca="false">MAX(0,-AE12)</f>
        <v>27.6634808116549</v>
      </c>
      <c r="AF20" s="11" t="n">
        <f aca="false">MAX(0,-AF12)</f>
        <v>22.1581076607716</v>
      </c>
      <c r="AG20" s="11" t="n">
        <f aca="false">MAX(0,-AG12)</f>
        <v>16.1927132708724</v>
      </c>
      <c r="AH20" s="11" t="n">
        <f aca="false">MAX(0,-AH12)</f>
        <v>9.80601149451718</v>
      </c>
      <c r="AI20" s="11" t="n">
        <f aca="false">MAX(0,-AI12)</f>
        <v>2.86821307780563</v>
      </c>
      <c r="AJ20" s="11" t="n">
        <f aca="false">MAX(0,-AJ12)</f>
        <v>0</v>
      </c>
      <c r="AK20" s="11" t="n">
        <f aca="false">MAX(0,-AK12)</f>
        <v>0</v>
      </c>
      <c r="AL20" s="11" t="n">
        <f aca="false">MAX(0,-AL12)</f>
        <v>0</v>
      </c>
      <c r="AM20" s="11" t="n">
        <f aca="false">MAX(0,-AM12)</f>
        <v>0</v>
      </c>
      <c r="AN20" s="11" t="n">
        <f aca="false">MAX(0,-AN12)</f>
        <v>0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139.106138718341</v>
      </c>
      <c r="K21" s="11" t="n">
        <f aca="false">K16+K17+K18+K19+K20</f>
        <v>239.361059019891</v>
      </c>
      <c r="L21" s="11" t="n">
        <f aca="false">L16+L17+L18+L19+L20</f>
        <v>433.488009929513</v>
      </c>
      <c r="M21" s="11" t="n">
        <f aca="false">M16+M17+M18+M19+M20</f>
        <v>635.509570384213</v>
      </c>
      <c r="N21" s="11" t="n">
        <f aca="false">N16+N17+N18+N19+N20</f>
        <v>753.08150774339</v>
      </c>
      <c r="O21" s="11" t="n">
        <f aca="false">O16+O17+O18+O19+O20</f>
        <v>915.087949119818</v>
      </c>
      <c r="P21" s="11" t="n">
        <f aca="false">P16+P17+P18+P19+P20</f>
        <v>901.713241624433</v>
      </c>
      <c r="Q21" s="11" t="n">
        <f aca="false">Q16+Q17+Q18+Q19+Q20</f>
        <v>891.875889341215</v>
      </c>
      <c r="R21" s="11" t="n">
        <f aca="false">R16+R17+R18+R19+R20</f>
        <v>879.638414778579</v>
      </c>
      <c r="S21" s="11" t="n">
        <f aca="false">S16+S17+S18+S19+S20</f>
        <v>869.89628391185</v>
      </c>
      <c r="T21" s="11" t="n">
        <f aca="false">T16+T17+T18+T19+T20</f>
        <v>858.02885066163</v>
      </c>
      <c r="U21" s="11" t="n">
        <f aca="false">U16+U17+U18+U19+U20</f>
        <v>848.094941137592</v>
      </c>
      <c r="V21" s="11" t="n">
        <f aca="false">V16+V17+V18+V19+V20</f>
        <v>832.807219769629</v>
      </c>
      <c r="W21" s="11" t="n">
        <f aca="false">W16+W17+W18+W19+W20</f>
        <v>821.334737710055</v>
      </c>
      <c r="X21" s="11" t="n">
        <f aca="false">X16+X17+X18+X19+X20</f>
        <v>811.199792733958</v>
      </c>
      <c r="Y21" s="11" t="n">
        <f aca="false">Y16+Y17+Y18+Y19+Y20</f>
        <v>800.117875923067</v>
      </c>
      <c r="Z21" s="11" t="n">
        <f aca="false">Z16+Z17+Z18+Z19+Z20</f>
        <v>781.064536394931</v>
      </c>
      <c r="AA21" s="11" t="n">
        <f aca="false">AA16+AA17+AA18+AA19+AA20</f>
        <v>764.231947977845</v>
      </c>
      <c r="AB21" s="11" t="n">
        <f aca="false">AB16+AB17+AB18+AB19+AB20</f>
        <v>744.340758368886</v>
      </c>
      <c r="AC21" s="11" t="n">
        <f aca="false">AC16+AC17+AC18+AC19+AC20</f>
        <v>726.326849716624</v>
      </c>
      <c r="AD21" s="11" t="n">
        <f aca="false">AD16+AD17+AD18+AD19+AD20</f>
        <v>694.637430863369</v>
      </c>
      <c r="AE21" s="11" t="n">
        <f aca="false">AE16+AE17+AE18+AE19+AE20</f>
        <v>673.68136190429</v>
      </c>
      <c r="AF21" s="11" t="n">
        <f aca="false">AF16+AF17+AF18+AF19+AF20</f>
        <v>650.802689807725</v>
      </c>
      <c r="AG21" s="11" t="n">
        <f aca="false">AG16+AG17+AG18+AG19+AG20</f>
        <v>628.776433442838</v>
      </c>
      <c r="AH21" s="11" t="n">
        <f aca="false">AH16+AH17+AH18+AH19+AH20</f>
        <v>603.612067576936</v>
      </c>
      <c r="AI21" s="11" t="n">
        <f aca="false">AI16+AI17+AI18+AI19+AI20</f>
        <v>580.074497501254</v>
      </c>
      <c r="AJ21" s="11" t="n">
        <f aca="false">AJ16+AJ17+AJ18+AJ19+AJ20</f>
        <v>557.965959380829</v>
      </c>
      <c r="AK21" s="11" t="n">
        <f aca="false">AK16+AK17+AK18+AK19+AK20</f>
        <v>539.622845847809</v>
      </c>
      <c r="AL21" s="11" t="n">
        <f aca="false">AL16+AL17+AL18+AL19+AL20</f>
        <v>518.584614311852</v>
      </c>
      <c r="AM21" s="11" t="n">
        <f aca="false">AM16+AM17+AM18+AM19+AM20</f>
        <v>498.947620145821</v>
      </c>
      <c r="AN21" s="11" t="n">
        <f aca="false">AN16+AN17+AN18+AN19+AN20</f>
        <v>484.318227204187</v>
      </c>
      <c r="AO21" s="11" t="n">
        <f aca="false">AO16+AO17+AO18+AO19+AO20</f>
        <v>452.235598985394</v>
      </c>
      <c r="AP21" s="11" t="n">
        <f aca="false">AP16+AP17+AP18+AP19+AP20</f>
        <v>437.074078833864</v>
      </c>
      <c r="AQ21" s="11" t="n">
        <f aca="false">AQ16+AQ17+AQ18+AQ19+AQ20</f>
        <v>424.080149114993</v>
      </c>
      <c r="AR21" s="11" t="n">
        <f aca="false">AR16+AR17+AR18+AR19+AR20</f>
        <v>409.244969697087</v>
      </c>
      <c r="AS21" s="11" t="n">
        <f aca="false">AS16+AS17+AS18+AS19+AS20</f>
        <v>395.46259139942</v>
      </c>
      <c r="AT21" s="11" t="n">
        <f aca="false">AT16+AT17+AT18+AT19+AT20</f>
        <v>363.045671294699</v>
      </c>
      <c r="AU21" s="11" t="n">
        <f aca="false">AU16+AU17+AU18+AU19+AU20</f>
        <v>348.365218114718</v>
      </c>
      <c r="AV21" s="11" t="n">
        <f aca="false">AV16+AV17+AV18+AV19+AV20</f>
        <v>332.590475655847</v>
      </c>
      <c r="AW21" s="11" t="n">
        <f aca="false">AW16+AW17+AW18+AW19+AW20</f>
        <v>317.739764198331</v>
      </c>
      <c r="AX21" s="11" t="n">
        <f aca="false">AX16+AX17+AX18+AX19+AX20</f>
        <v>300.77068465564</v>
      </c>
      <c r="AY21" s="11" t="n">
        <f aca="false">AY16+AY17+AY18+AY19+AY20</f>
        <v>286.117381821398</v>
      </c>
      <c r="AZ21" s="11" t="n">
        <f aca="false">AZ16+AZ17+AZ18+AZ19+AZ20</f>
        <v>269.50070592115</v>
      </c>
      <c r="BA21" s="11" t="n">
        <f aca="false">BA16+BA17+BA18+BA19+BA20</f>
        <v>254.692776033626</v>
      </c>
      <c r="BB21" s="11" t="n">
        <f aca="false">BB16+BB17+BB18+BB19+BB20</f>
        <v>234.85709105344</v>
      </c>
      <c r="BC21" s="11" t="n">
        <f aca="false">BC16+BC17+BC18+BC19+BC20</f>
        <v>221.404209844053</v>
      </c>
      <c r="BD21" s="11" t="n">
        <f aca="false">BD16+BD17+BD18+BD19+BD20</f>
        <v>209.004989520878</v>
      </c>
      <c r="BE21" s="11" t="n">
        <f aca="false">BE16+BE17+BE18+BE19+BE20</f>
        <v>198.001020023039</v>
      </c>
      <c r="BF21" s="11" t="n">
        <f aca="false">BF16+BF17+BF18+BF19+BF20</f>
        <v>184.751336230443</v>
      </c>
      <c r="BG21" s="11" t="n">
        <f aca="false">BG16+BG17+BG18+BG19+BG20</f>
        <v>173.994675258859</v>
      </c>
      <c r="BH21" s="11" t="n">
        <f aca="false">BH16+BH17+BH18+BH19+BH20</f>
        <v>161.160017965354</v>
      </c>
      <c r="BI21" s="11" t="n">
        <f aca="false">BI16+BI17+BI18+BI19+BI20</f>
        <v>149.527174199536</v>
      </c>
      <c r="BJ21" s="11" t="n">
        <f aca="false">BJ16+BJ17+BJ18+BJ19+BJ20</f>
        <v>115.843364114961</v>
      </c>
      <c r="BK21" s="11" t="n">
        <f aca="false">BK16+BK17+BK18+BK19+BK20</f>
        <v>103.112661075987</v>
      </c>
      <c r="BL21" s="11" t="n">
        <f aca="false">BL16+BL17+BL18+BL19+BL20</f>
        <v>88.5094957425421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102.394991424711</v>
      </c>
      <c r="K22" s="11" t="n">
        <f aca="false">IF(Time!K17&lt;Time!$F$11,SUMIFS(Funding!$J$73:$BJ$73,Construction!$J$12:$BJ$12,"&lt;="&amp;Time!K17),Debt!K123)</f>
        <v>175.354522901043</v>
      </c>
      <c r="L22" s="11" t="n">
        <f aca="false">IF(Time!L17&lt;Time!$F$11,SUMIFS(Funding!$J$73:$BJ$73,Construction!$J$12:$BJ$12,"&lt;="&amp;Time!L17),Debt!L123)</f>
        <v>316.693819074419</v>
      </c>
      <c r="M22" s="11" t="n">
        <f aca="false">IF(Time!M17&lt;Time!$F$11,SUMIFS(Funding!$J$73:$BJ$73,Construction!$J$12:$BJ$12,"&lt;="&amp;Time!M17),Debt!M123)</f>
        <v>462.283857293838</v>
      </c>
      <c r="N22" s="11" t="n">
        <f aca="false">IF(Time!N17&lt;Time!$F$11,SUMIFS(Funding!$J$73:$BJ$73,Construction!$J$12:$BJ$12,"&lt;="&amp;Time!N17),Debt!N123)</f>
        <v>543.854065408923</v>
      </c>
      <c r="O22" s="11" t="n">
        <f aca="false">IF(Time!O17&lt;Time!$F$11,SUMIFS(Funding!$J$73:$BJ$73,Construction!$J$12:$BJ$12,"&lt;="&amp;Time!O17),Debt!O123)</f>
        <v>633.255975542792</v>
      </c>
      <c r="P22" s="11" t="n">
        <f aca="false">IF(Time!P17&lt;Time!$F$11,SUMIFS(Funding!$J$73:$BJ$73,Construction!$J$12:$BJ$12,"&lt;="&amp;Time!P17),Debt!P123)</f>
        <v>617.766260742047</v>
      </c>
      <c r="Q22" s="11" t="n">
        <f aca="false">IF(Time!Q17&lt;Time!$F$11,SUMIFS(Funding!$J$73:$BJ$73,Construction!$J$12:$BJ$12,"&lt;="&amp;Time!Q17),Debt!Q123)</f>
        <v>601.62099441246</v>
      </c>
      <c r="R22" s="11" t="n">
        <f aca="false">IF(Time!R17&lt;Time!$F$11,SUMIFS(Funding!$J$73:$BJ$73,Construction!$J$12:$BJ$12,"&lt;="&amp;Time!R17),Debt!R123)</f>
        <v>584.68043306703</v>
      </c>
      <c r="S22" s="11" t="n">
        <f aca="false">IF(Time!S17&lt;Time!$F$11,SUMIFS(Funding!$J$73:$BJ$73,Construction!$J$12:$BJ$12,"&lt;="&amp;Time!S17),Debt!S123)</f>
        <v>567.24066078473</v>
      </c>
      <c r="T22" s="11" t="n">
        <f aca="false">IF(Time!T17&lt;Time!$F$11,SUMIFS(Funding!$J$73:$BJ$73,Construction!$J$12:$BJ$12,"&lt;="&amp;Time!T17),Debt!T123)</f>
        <v>548.998665226968</v>
      </c>
      <c r="U22" s="11" t="n">
        <f aca="false">IF(Time!U17&lt;Time!$F$11,SUMIFS(Funding!$J$73:$BJ$73,Construction!$J$12:$BJ$12,"&lt;="&amp;Time!U17),Debt!U123)</f>
        <v>530.17490031735</v>
      </c>
      <c r="V22" s="11" t="n">
        <f aca="false">IF(Time!V17&lt;Time!$F$11,SUMIFS(Funding!$J$73:$BJ$73,Construction!$J$12:$BJ$12,"&lt;="&amp;Time!V17),Debt!V123)</f>
        <v>510.121392145603</v>
      </c>
      <c r="W22" s="11" t="n">
        <f aca="false">IF(Time!W17&lt;Time!$F$11,SUMIFS(Funding!$J$73:$BJ$73,Construction!$J$12:$BJ$12,"&lt;="&amp;Time!W17),Debt!W123)</f>
        <v>489.454860536502</v>
      </c>
      <c r="X22" s="11" t="n">
        <f aca="false">IF(Time!X17&lt;Time!$F$11,SUMIFS(Funding!$J$73:$BJ$73,Construction!$J$12:$BJ$12,"&lt;="&amp;Time!X17),Debt!X123)</f>
        <v>469.361985000767</v>
      </c>
      <c r="Y22" s="11" t="n">
        <f aca="false">IF(Time!Y17&lt;Time!$F$11,SUMIFS(Funding!$J$73:$BJ$73,Construction!$J$12:$BJ$12,"&lt;="&amp;Time!Y17),Debt!Y123)</f>
        <v>449.259654772994</v>
      </c>
      <c r="Z22" s="11" t="n">
        <f aca="false">IF(Time!Z17&lt;Time!$F$11,SUMIFS(Funding!$J$73:$BJ$73,Construction!$J$12:$BJ$12,"&lt;="&amp;Time!Z17),Debt!Z123)</f>
        <v>428.324526114692</v>
      </c>
      <c r="AA22" s="11" t="n">
        <f aca="false">IF(Time!AA17&lt;Time!$F$11,SUMIFS(Funding!$J$73:$BJ$73,Construction!$J$12:$BJ$12,"&lt;="&amp;Time!AA17),Debt!AA123)</f>
        <v>400.770728914793</v>
      </c>
      <c r="AB22" s="11" t="n">
        <f aca="false">IF(Time!AB17&lt;Time!$F$11,SUMIFS(Funding!$J$73:$BJ$73,Construction!$J$12:$BJ$12,"&lt;="&amp;Time!AB17),Debt!AB123)</f>
        <v>371.535042917466</v>
      </c>
      <c r="AC22" s="11" t="n">
        <f aca="false">IF(Time!AC17&lt;Time!$F$11,SUMIFS(Funding!$J$73:$BJ$73,Construction!$J$12:$BJ$12,"&lt;="&amp;Time!AC17),Debt!AC123)</f>
        <v>342.325668174321</v>
      </c>
      <c r="AD22" s="11" t="n">
        <f aca="false">IF(Time!AD17&lt;Time!$F$11,SUMIFS(Funding!$J$73:$BJ$73,Construction!$J$12:$BJ$12,"&lt;="&amp;Time!AD17),Debt!AD123)</f>
        <v>310.181867856544</v>
      </c>
      <c r="AE22" s="11" t="n">
        <f aca="false">IF(Time!AE17&lt;Time!$F$11,SUMIFS(Funding!$J$73:$BJ$73,Construction!$J$12:$BJ$12,"&lt;="&amp;Time!AE17),Debt!AE123)</f>
        <v>277.034343912659</v>
      </c>
      <c r="AF22" s="11" t="n">
        <f aca="false">IF(Time!AF17&lt;Time!$F$11,SUMIFS(Funding!$J$73:$BJ$73,Construction!$J$12:$BJ$12,"&lt;="&amp;Time!AF17),Debt!AF123)</f>
        <v>242.919801249287</v>
      </c>
      <c r="AG22" s="11" t="n">
        <f aca="false">IF(Time!AG17&lt;Time!$F$11,SUMIFS(Funding!$J$73:$BJ$73,Construction!$J$12:$BJ$12,"&lt;="&amp;Time!AG17),Debt!AG123)</f>
        <v>208.874976968917</v>
      </c>
      <c r="AH22" s="11" t="n">
        <f aca="false">IF(Time!AH17&lt;Time!$F$11,SUMIFS(Funding!$J$73:$BJ$73,Construction!$J$12:$BJ$12,"&lt;="&amp;Time!AH17),Debt!AH123)</f>
        <v>173.407947470948</v>
      </c>
      <c r="AI22" s="11" t="n">
        <f aca="false">IF(Time!AI17&lt;Time!$F$11,SUMIFS(Funding!$J$73:$BJ$73,Construction!$J$12:$BJ$12,"&lt;="&amp;Time!AI17),Debt!AI123)</f>
        <v>137.901842172239</v>
      </c>
      <c r="AJ22" s="11" t="n">
        <f aca="false">IF(Time!AJ17&lt;Time!$F$11,SUMIFS(Funding!$J$73:$BJ$73,Construction!$J$12:$BJ$12,"&lt;="&amp;Time!AJ17),Debt!AJ123)</f>
        <v>101.400925530571</v>
      </c>
      <c r="AK22" s="11" t="n">
        <f aca="false">IF(Time!AK17&lt;Time!$F$11,SUMIFS(Funding!$J$73:$BJ$73,Construction!$J$12:$BJ$12,"&lt;="&amp;Time!AK17),Debt!AK123)</f>
        <v>80.0770675371831</v>
      </c>
      <c r="AL22" s="11" t="n">
        <f aca="false">IF(Time!AL17&lt;Time!$F$11,SUMIFS(Funding!$J$73:$BJ$73,Construction!$J$12:$BJ$12,"&lt;="&amp;Time!AL17),Debt!AL123)</f>
        <v>58.5366809532083</v>
      </c>
      <c r="AM22" s="11" t="n">
        <f aca="false">IF(Time!AM17&lt;Time!$F$11,SUMIFS(Funding!$J$73:$BJ$73,Construction!$J$12:$BJ$12,"&lt;="&amp;Time!AM17),Debt!AM123)</f>
        <v>36.5485781493316</v>
      </c>
      <c r="AN22" s="11" t="n">
        <f aca="false">IF(Time!AN17&lt;Time!$F$11,SUMIFS(Funding!$J$73:$BJ$73,Construction!$J$12:$BJ$12,"&lt;="&amp;Time!AN17),Debt!AN123)</f>
        <v>18.4086543635775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29.5372183907053</v>
      </c>
      <c r="K23" s="11" t="n">
        <f aca="false">IF(Time!K17&lt;Time!$F$11,SUMIFS(Funding!$J$70:$BJ$70,Construction!$J$12:$BJ$12,"&lt;="&amp;Time!K17)+SUMIFS(Funding!$J$71:$BJ$71,Construction!$J$12:$BJ$12,"&lt;="&amp;Time!K17),Waterfall!K36)</f>
        <v>51.7209656764366</v>
      </c>
      <c r="L23" s="11" t="n">
        <f aca="false">IF(Time!L17&lt;Time!$F$11,SUMIFS(Funding!$J$70:$BJ$70,Construction!$J$12:$BJ$12,"&lt;="&amp;Time!L17)+SUMIFS(Funding!$J$71:$BJ$71,Construction!$J$12:$BJ$12,"&lt;="&amp;Time!L17),Waterfall!L36)</f>
        <v>94.6062018682886</v>
      </c>
      <c r="M23" s="11" t="n">
        <f aca="false">IF(Time!M17&lt;Time!$F$11,SUMIFS(Funding!$J$70:$BJ$70,Construction!$J$12:$BJ$12,"&lt;="&amp;Time!M17)+SUMIFS(Funding!$J$71:$BJ$71,Construction!$J$12:$BJ$12,"&lt;="&amp;Time!M17),Waterfall!M36)</f>
        <v>140.837492933784</v>
      </c>
      <c r="N23" s="11" t="n">
        <f aca="false">IF(Time!N17&lt;Time!$F$11,SUMIFS(Funding!$J$70:$BJ$70,Construction!$J$12:$BJ$12,"&lt;="&amp;Time!N17)+SUMIFS(Funding!$J$71:$BJ$71,Construction!$J$12:$BJ$12,"&lt;="&amp;Time!N17),Waterfall!N36)</f>
        <v>171.124305212971</v>
      </c>
      <c r="O23" s="11" t="n">
        <f aca="false">IF(Time!O17&lt;Time!$F$11,SUMIFS(Funding!$J$70:$BJ$70,Construction!$J$12:$BJ$12,"&lt;="&amp;Time!O17)+SUMIFS(Funding!$J$71:$BJ$71,Construction!$J$12:$BJ$12,"&lt;="&amp;Time!O17),Waterfall!O36)</f>
        <v>204.861412067266</v>
      </c>
      <c r="P23" s="11" t="n">
        <f aca="false">IF(Time!P17&lt;Time!$F$11,SUMIFS(Funding!$J$70:$BJ$70,Construction!$J$12:$BJ$12,"&lt;="&amp;Time!P17)+SUMIFS(Funding!$J$71:$BJ$71,Construction!$J$12:$BJ$12,"&lt;="&amp;Time!P17),Waterfall!P36)</f>
        <v>200.011074704193</v>
      </c>
      <c r="Q23" s="11" t="n">
        <f aca="false">IF(Time!Q17&lt;Time!$F$11,SUMIFS(Funding!$J$70:$BJ$70,Construction!$J$12:$BJ$12,"&lt;="&amp;Time!Q17)+SUMIFS(Funding!$J$71:$BJ$71,Construction!$J$12:$BJ$12,"&lt;="&amp;Time!Q17),Waterfall!Q36)</f>
        <v>197.225706241184</v>
      </c>
      <c r="R23" s="11" t="n">
        <f aca="false">IF(Time!R17&lt;Time!$F$11,SUMIFS(Funding!$J$70:$BJ$70,Construction!$J$12:$BJ$12,"&lt;="&amp;Time!R17)+SUMIFS(Funding!$J$71:$BJ$71,Construction!$J$12:$BJ$12,"&lt;="&amp;Time!R17),Waterfall!R36)</f>
        <v>193.544826227324</v>
      </c>
      <c r="S23" s="11" t="n">
        <f aca="false">IF(Time!S17&lt;Time!$F$11,SUMIFS(Funding!$J$70:$BJ$70,Construction!$J$12:$BJ$12,"&lt;="&amp;Time!S17)+SUMIFS(Funding!$J$71:$BJ$71,Construction!$J$12:$BJ$12,"&lt;="&amp;Time!S17),Waterfall!S36)</f>
        <v>190.347328678216</v>
      </c>
      <c r="T23" s="11" t="n">
        <f aca="false">IF(Time!T17&lt;Time!$F$11,SUMIFS(Funding!$J$70:$BJ$70,Construction!$J$12:$BJ$12,"&lt;="&amp;Time!T17)+SUMIFS(Funding!$J$71:$BJ$71,Construction!$J$12:$BJ$12,"&lt;="&amp;Time!T17),Waterfall!T36)</f>
        <v>186.411538959206</v>
      </c>
      <c r="U23" s="11" t="n">
        <f aca="false">IF(Time!U17&lt;Time!$F$11,SUMIFS(Funding!$J$70:$BJ$70,Construction!$J$12:$BJ$12,"&lt;="&amp;Time!U17)+SUMIFS(Funding!$J$71:$BJ$71,Construction!$J$12:$BJ$12,"&lt;="&amp;Time!U17),Waterfall!U36)</f>
        <v>183.14907314529</v>
      </c>
      <c r="V23" s="11" t="n">
        <f aca="false">IF(Time!V17&lt;Time!$F$11,SUMIFS(Funding!$J$70:$BJ$70,Construction!$J$12:$BJ$12,"&lt;="&amp;Time!V17)+SUMIFS(Funding!$J$71:$BJ$71,Construction!$J$12:$BJ$12,"&lt;="&amp;Time!V17),Waterfall!V36)</f>
        <v>178.593270842973</v>
      </c>
      <c r="W23" s="11" t="n">
        <f aca="false">IF(Time!W17&lt;Time!$F$11,SUMIFS(Funding!$J$70:$BJ$70,Construction!$J$12:$BJ$12,"&lt;="&amp;Time!W17)+SUMIFS(Funding!$J$71:$BJ$71,Construction!$J$12:$BJ$12,"&lt;="&amp;Time!W17),Waterfall!W36)</f>
        <v>172.940887052561</v>
      </c>
      <c r="X23" s="11" t="n">
        <f aca="false">IF(Time!X17&lt;Time!$F$11,SUMIFS(Funding!$J$70:$BJ$70,Construction!$J$12:$BJ$12,"&lt;="&amp;Time!X17)+SUMIFS(Funding!$J$71:$BJ$71,Construction!$J$12:$BJ$12,"&lt;="&amp;Time!X17),Waterfall!X36)</f>
        <v>168.294510410175</v>
      </c>
      <c r="Y23" s="11" t="n">
        <f aca="false">IF(Time!Y17&lt;Time!$F$11,SUMIFS(Funding!$J$70:$BJ$70,Construction!$J$12:$BJ$12,"&lt;="&amp;Time!Y17)+SUMIFS(Funding!$J$71:$BJ$71,Construction!$J$12:$BJ$12,"&lt;="&amp;Time!Y17),Waterfall!Y36)</f>
        <v>164.076530779994</v>
      </c>
      <c r="Z23" s="11" t="n">
        <f aca="false">IF(Time!Z17&lt;Time!$F$11,SUMIFS(Funding!$J$70:$BJ$70,Construction!$J$12:$BJ$12,"&lt;="&amp;Time!Z17)+SUMIFS(Funding!$J$71:$BJ$71,Construction!$J$12:$BJ$12,"&lt;="&amp;Time!Z17),Waterfall!Z36)</f>
        <v>159.087952700365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160.574791773254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161.271097496225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162.255398098998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162.040058589798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161.090069364827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159.351723234109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156.994707800169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153.295775776517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148.456339799603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141.665243090776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117.850275245021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93.916266753857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64.9597084965457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42.0312598620971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2.57767453277536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0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0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0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0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22.934067058742</v>
      </c>
      <c r="P24" s="11" t="n">
        <f aca="false">Operations!P85+Operations!P86+Operations!P87+Operations!P88+Operations!P89</f>
        <v>22.8473266962248</v>
      </c>
      <c r="Q24" s="11" t="n">
        <f aca="false">Operations!Q85+Operations!Q86+Operations!Q87+Operations!Q88+Operations!Q89</f>
        <v>23.5508084260703</v>
      </c>
      <c r="R24" s="11" t="n">
        <f aca="false">Operations!R85+Operations!R86+Operations!R87+Operations!R88+Operations!R89</f>
        <v>23.0938623715576</v>
      </c>
      <c r="S24" s="11" t="n">
        <f aca="false">Operations!S85+Operations!S86+Operations!S87+Operations!S88+Operations!S89</f>
        <v>23.9399818378754</v>
      </c>
      <c r="T24" s="11" t="n">
        <f aca="false">Operations!T85+Operations!T86+Operations!T87+Operations!T88+Operations!T89</f>
        <v>23.7427220819638</v>
      </c>
      <c r="U24" s="11" t="n">
        <f aca="false">Operations!U85+Operations!U86+Operations!U87+Operations!U88+Operations!U89</f>
        <v>24.1741417238741</v>
      </c>
      <c r="V24" s="11" t="n">
        <f aca="false">Operations!V85+Operations!V86+Operations!V87+Operations!V88+Operations!V89</f>
        <v>23.4756431089203</v>
      </c>
      <c r="W24" s="11" t="n">
        <f aca="false">Operations!W85+Operations!W86+Operations!W87+Operations!W88+Operations!W89</f>
        <v>24.5171510913523</v>
      </c>
      <c r="X24" s="11" t="n">
        <f aca="false">Operations!X85+Operations!X86+Operations!X87+Operations!X88+Operations!X89</f>
        <v>24.6733024801391</v>
      </c>
      <c r="Y24" s="11" t="n">
        <f aca="false">Operations!Y85+Operations!Y86+Operations!Y87+Operations!Y88+Operations!Y89</f>
        <v>25.4334201827738</v>
      </c>
      <c r="Z24" s="11" t="n">
        <f aca="false">Operations!Z85+Operations!Z86+Operations!Z87+Operations!Z88+Operations!Z89</f>
        <v>24.9393155534575</v>
      </c>
      <c r="AA24" s="11" t="n">
        <f aca="false">Operations!AA85+Operations!AA86+Operations!AA87+Operations!AA88+Operations!AA89</f>
        <v>25.8536864484963</v>
      </c>
      <c r="AB24" s="11" t="n">
        <f aca="false">Operations!AB85+Operations!AB86+Operations!AB87+Operations!AB88+Operations!AB89</f>
        <v>25.6404469842784</v>
      </c>
      <c r="AC24" s="11" t="n">
        <f aca="false">Operations!AC85+Operations!AC86+Operations!AC87+Operations!AC88+Operations!AC89</f>
        <v>25.9489107312306</v>
      </c>
      <c r="AD24" s="11" t="n">
        <f aca="false">Operations!AD85+Operations!AD86+Operations!AD87+Operations!AD88+Operations!AD89</f>
        <v>24.8888212486597</v>
      </c>
      <c r="AE24" s="11" t="n">
        <f aca="false">Operations!AE85+Operations!AE86+Operations!AE87+Operations!AE88+Operations!AE89</f>
        <v>26.1538593192744</v>
      </c>
      <c r="AF24" s="11" t="n">
        <f aca="false">Operations!AF85+Operations!AF86+Operations!AF87+Operations!AF88+Operations!AF89</f>
        <v>26.6455885287255</v>
      </c>
      <c r="AG24" s="11" t="n">
        <f aca="false">Operations!AG85+Operations!AG86+Operations!AG87+Operations!AG88+Operations!AG89</f>
        <v>27.4668896694955</v>
      </c>
      <c r="AH24" s="11" t="n">
        <f aca="false">Operations!AH85+Operations!AH86+Operations!AH87+Operations!AH88+Operations!AH89</f>
        <v>26.9326186962991</v>
      </c>
      <c r="AI24" s="11" t="n">
        <f aca="false">Operations!AI85+Operations!AI86+Operations!AI87+Operations!AI88+Operations!AI89</f>
        <v>27.9207278308949</v>
      </c>
      <c r="AJ24" s="11" t="n">
        <f aca="false">Operations!AJ85+Operations!AJ86+Operations!AJ87+Operations!AJ88+Operations!AJ89</f>
        <v>27.6902159796137</v>
      </c>
      <c r="AK24" s="11" t="n">
        <f aca="false">Operations!AK85+Operations!AK86+Operations!AK87+Operations!AK88+Operations!AK89</f>
        <v>28.1932126722413</v>
      </c>
      <c r="AL24" s="11" t="n">
        <f aca="false">Operations!AL85+Operations!AL86+Operations!AL87+Operations!AL88+Operations!AL89</f>
        <v>27.3764462093899</v>
      </c>
      <c r="AM24" s="11" t="n">
        <f aca="false">Operations!AM85+Operations!AM86+Operations!AM87+Operations!AM88+Operations!AM89</f>
        <v>28.5930202259736</v>
      </c>
      <c r="AN24" s="11" t="n">
        <f aca="false">Operations!AN85+Operations!AN86+Operations!AN87+Operations!AN88+Operations!AN89</f>
        <v>28.775876306516</v>
      </c>
      <c r="AO24" s="11" t="n">
        <f aca="false">Operations!AO85+Operations!AO86+Operations!AO87+Operations!AO88+Operations!AO89</f>
        <v>29.6632713533764</v>
      </c>
      <c r="AP24" s="11" t="n">
        <f aca="false">Operations!AP85+Operations!AP86+Operations!AP87+Operations!AP88+Operations!AP89</f>
        <v>29.0855848035307</v>
      </c>
      <c r="AQ24" s="11" t="n">
        <f aca="false">Operations!AQ85+Operations!AQ86+Operations!AQ87+Operations!AQ88+Operations!AQ89</f>
        <v>30.1533573838853</v>
      </c>
      <c r="AR24" s="11" t="n">
        <f aca="false">Operations!AR85+Operations!AR86+Operations!AR87+Operations!AR88+Operations!AR89</f>
        <v>29.9041768378609</v>
      </c>
      <c r="AS24" s="11" t="n">
        <f aca="false">Operations!AS85+Operations!AS86+Operations!AS87+Operations!AS88+Operations!AS89</f>
        <v>30.2632369532474</v>
      </c>
      <c r="AT24" s="11" t="n">
        <f aca="false">Operations!AT85+Operations!AT86+Operations!AT87+Operations!AT88+Operations!AT89</f>
        <v>29.0238553473744</v>
      </c>
      <c r="AU24" s="11" t="n">
        <f aca="false">Operations!AU85+Operations!AU86+Operations!AU87+Operations!AU88+Operations!AU89</f>
        <v>30.5014763562422</v>
      </c>
      <c r="AV24" s="11" t="n">
        <f aca="false">Operations!AV85+Operations!AV86+Operations!AV87+Operations!AV88+Operations!AV89</f>
        <v>31.0767876033187</v>
      </c>
      <c r="AW24" s="11" t="n">
        <f aca="false">Operations!AW85+Operations!AW86+Operations!AW87+Operations!AW88+Operations!AW89</f>
        <v>32.0355787998176</v>
      </c>
      <c r="AX24" s="11" t="n">
        <f aca="false">Operations!AX85+Operations!AX86+Operations!AX87+Operations!AX88+Operations!AX89</f>
        <v>31.4109667671588</v>
      </c>
      <c r="AY24" s="11" t="n">
        <f aca="false">Operations!AY85+Operations!AY86+Operations!AY87+Operations!AY88+Operations!AY89</f>
        <v>32.5648011685751</v>
      </c>
      <c r="AZ24" s="11" t="n">
        <f aca="false">Operations!AZ85+Operations!AZ86+Operations!AZ87+Operations!AZ88+Operations!AZ89</f>
        <v>32.2954437664852</v>
      </c>
      <c r="BA24" s="11" t="n">
        <f aca="false">Operations!BA85+Operations!BA86+Operations!BA87+Operations!BA88+Operations!BA89</f>
        <v>32.8818738484111</v>
      </c>
      <c r="BB24" s="11" t="n">
        <f aca="false">Operations!BB85+Operations!BB86+Operations!BB87+Operations!BB88+Operations!BB89</f>
        <v>31.9269537348653</v>
      </c>
      <c r="BC24" s="11" t="n">
        <f aca="false">Operations!BC85+Operations!BC86+Operations!BC87+Operations!BC88+Operations!BC89</f>
        <v>33.3478871054886</v>
      </c>
      <c r="BD24" s="11" t="n">
        <f aca="false">Operations!BD85+Operations!BD86+Operations!BD87+Operations!BD88+Operations!BD89</f>
        <v>33.5619481513163</v>
      </c>
      <c r="BE24" s="11" t="n">
        <f aca="false">Operations!BE85+Operations!BE86+Operations!BE87+Operations!BE88+Operations!BE89</f>
        <v>34.5978605512157</v>
      </c>
      <c r="BF24" s="11" t="n">
        <f aca="false">Operations!BF85+Operations!BF86+Operations!BF87+Operations!BF88+Operations!BF89</f>
        <v>33.9225317337282</v>
      </c>
      <c r="BG24" s="11" t="n">
        <f aca="false">Operations!BG85+Operations!BG86+Operations!BG87+Operations!BG88+Operations!BG89</f>
        <v>35.1693370091474</v>
      </c>
      <c r="BH24" s="11" t="n">
        <f aca="false">Operations!BH85+Operations!BH86+Operations!BH87+Operations!BH88+Operations!BH89</f>
        <v>34.878173865897</v>
      </c>
      <c r="BI24" s="11" t="n">
        <f aca="false">Operations!BI85+Operations!BI86+Operations!BI87+Operations!BI88+Operations!BI89</f>
        <v>35.2961371573864</v>
      </c>
      <c r="BJ24" s="11" t="n">
        <f aca="false">Operations!BJ85+Operations!BJ86+Operations!BJ87+Operations!BJ88+Operations!BJ89</f>
        <v>33.8473494596815</v>
      </c>
      <c r="BK24" s="11" t="n">
        <f aca="false">Operations!BK85+Operations!BK86+Operations!BK87+Operations!BK88+Operations!BK89</f>
        <v>35.573107579155</v>
      </c>
      <c r="BL24" s="11" t="n">
        <f aca="false">Operations!BL85+Operations!BL86+Operations!BL87+Operations!BL88+Operations!BL89</f>
        <v>36.2460670272637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4.52756494230534</v>
      </c>
      <c r="AK25" s="11" t="n">
        <f aca="false">MAX(0,AK12)</f>
        <v>12.5268860630386</v>
      </c>
      <c r="AL25" s="11" t="n">
        <f aca="false">MAX(0,AL12)</f>
        <v>20.2145096659201</v>
      </c>
      <c r="AM25" s="11" t="n">
        <f aca="false">MAX(0,AM12)</f>
        <v>29.3542836254743</v>
      </c>
      <c r="AN25" s="11" t="n">
        <f aca="false">MAX(0,AN12)</f>
        <v>32.9654501624829</v>
      </c>
      <c r="AO25" s="11" t="n">
        <f aca="false">MAX(0,AO12)</f>
        <v>33.9694740252996</v>
      </c>
      <c r="AP25" s="11" t="n">
        <f aca="false">MAX(0,AP12)</f>
        <v>34.9734978881163</v>
      </c>
      <c r="AQ25" s="11" t="n">
        <f aca="false">MAX(0,AQ12)</f>
        <v>35.9775217509331</v>
      </c>
      <c r="AR25" s="11" t="n">
        <f aca="false">MAX(0,AR12)</f>
        <v>36.9815456137498</v>
      </c>
      <c r="AS25" s="11" t="n">
        <f aca="false">MAX(0,AS12)</f>
        <v>37.9855694765666</v>
      </c>
      <c r="AT25" s="11" t="n">
        <f aca="false">MAX(0,AT12)</f>
        <v>38.9895933393833</v>
      </c>
      <c r="AU25" s="11" t="n">
        <f aca="false">MAX(0,AU12)</f>
        <v>39.9936172022</v>
      </c>
      <c r="AV25" s="11" t="n">
        <f aca="false">MAX(0,AV12)</f>
        <v>40.9976410650168</v>
      </c>
      <c r="AW25" s="11" t="n">
        <f aca="false">MAX(0,AW12)</f>
        <v>42.0016649278335</v>
      </c>
      <c r="AX25" s="11" t="n">
        <f aca="false">MAX(0,AX12)</f>
        <v>43.0056887906502</v>
      </c>
      <c r="AY25" s="11" t="n">
        <f aca="false">MAX(0,AY12)</f>
        <v>44.009712653467</v>
      </c>
      <c r="AZ25" s="11" t="n">
        <f aca="false">MAX(0,AZ12)</f>
        <v>45.0137365162837</v>
      </c>
      <c r="BA25" s="11" t="n">
        <f aca="false">MAX(0,BA12)</f>
        <v>46.0177603791004</v>
      </c>
      <c r="BB25" s="11" t="n">
        <f aca="false">MAX(0,BB12)</f>
        <v>47.0217842419172</v>
      </c>
      <c r="BC25" s="11" t="n">
        <f aca="false">MAX(0,BC12)</f>
        <v>46.1014290343352</v>
      </c>
      <c r="BD25" s="11" t="n">
        <f aca="false">MAX(0,BD12)</f>
        <v>41.3323156859557</v>
      </c>
      <c r="BE25" s="11" t="n">
        <f aca="false">MAX(0,BE12)</f>
        <v>36.5632023375762</v>
      </c>
      <c r="BF25" s="11" t="n">
        <f aca="false">MAX(0,BF12)</f>
        <v>31.7940889891967</v>
      </c>
      <c r="BG25" s="11" t="n">
        <f aca="false">MAX(0,BG12)</f>
        <v>27.0249756408172</v>
      </c>
      <c r="BH25" s="11" t="n">
        <f aca="false">MAX(0,BH12)</f>
        <v>22.2558622924377</v>
      </c>
      <c r="BI25" s="11" t="n">
        <f aca="false">MAX(0,BI12)</f>
        <v>17.4867489440582</v>
      </c>
      <c r="BJ25" s="11" t="n">
        <f aca="false">MAX(0,BJ12)</f>
        <v>12.7176355956787</v>
      </c>
      <c r="BK25" s="11" t="n">
        <f aca="false">MAX(0,BK12)</f>
        <v>7.94852224729914</v>
      </c>
      <c r="BL25" s="11" t="n">
        <f aca="false">MAX(0,BL12)</f>
        <v>3.17940889891969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7.17392890292466</v>
      </c>
      <c r="K26" s="11" t="n">
        <f aca="false">SUMIFS(Funding!$J$69:$BJ$69,Construction!$J$12:$BJ$12,"&lt;="&amp;Time!K17)</f>
        <v>12.285570442411</v>
      </c>
      <c r="L26" s="11" t="n">
        <f aca="false">SUMIFS(Funding!$J$69:$BJ$69,Construction!$J$12:$BJ$12,"&lt;="&amp;Time!L17)</f>
        <v>22.1879889868058</v>
      </c>
      <c r="M26" s="11" t="n">
        <f aca="false">SUMIFS(Funding!$J$69:$BJ$69,Construction!$J$12:$BJ$12,"&lt;="&amp;Time!M17)</f>
        <v>32.3882201565908</v>
      </c>
      <c r="N26" s="11" t="n">
        <f aca="false">SUMIFS(Funding!$J$69:$BJ$69,Construction!$J$12:$BJ$12,"&lt;="&amp;Time!N17)</f>
        <v>38.1031371214958</v>
      </c>
      <c r="O26" s="11" t="n">
        <f aca="false">SUMIFS(Funding!$J$69:$BJ$69,Construction!$J$12:$BJ$12,"&lt;="&amp;Time!O17)</f>
        <v>44.3667535168114</v>
      </c>
      <c r="P26" s="11" t="n">
        <f aca="false">SUMIFS(Funding!$J$69:$BJ$69,Construction!$J$12:$BJ$12,"&lt;="&amp;Time!P17)</f>
        <v>44.3667535168114</v>
      </c>
      <c r="Q26" s="11" t="n">
        <f aca="false">SUMIFS(Funding!$J$69:$BJ$69,Construction!$J$12:$BJ$12,"&lt;="&amp;Time!Q17)</f>
        <v>44.3667535168114</v>
      </c>
      <c r="R26" s="11" t="n">
        <f aca="false">SUMIFS(Funding!$J$69:$BJ$69,Construction!$J$12:$BJ$12,"&lt;="&amp;Time!R17)</f>
        <v>44.3667535168114</v>
      </c>
      <c r="S26" s="11" t="n">
        <f aca="false">SUMIFS(Funding!$J$69:$BJ$69,Construction!$J$12:$BJ$12,"&lt;="&amp;Time!S17)</f>
        <v>44.3667535168114</v>
      </c>
      <c r="T26" s="11" t="n">
        <f aca="false">SUMIFS(Funding!$J$69:$BJ$69,Construction!$J$12:$BJ$12,"&lt;="&amp;Time!T17)</f>
        <v>44.3667535168114</v>
      </c>
      <c r="U26" s="11" t="n">
        <f aca="false">SUMIFS(Funding!$J$69:$BJ$69,Construction!$J$12:$BJ$12,"&lt;="&amp;Time!U17)</f>
        <v>44.3667535168114</v>
      </c>
      <c r="V26" s="11" t="n">
        <f aca="false">SUMIFS(Funding!$J$69:$BJ$69,Construction!$J$12:$BJ$12,"&lt;="&amp;Time!V17)</f>
        <v>44.3667535168114</v>
      </c>
      <c r="W26" s="11" t="n">
        <f aca="false">SUMIFS(Funding!$J$69:$BJ$69,Construction!$J$12:$BJ$12,"&lt;="&amp;Time!W17)</f>
        <v>44.3667535168114</v>
      </c>
      <c r="X26" s="11" t="n">
        <f aca="false">SUMIFS(Funding!$J$69:$BJ$69,Construction!$J$12:$BJ$12,"&lt;="&amp;Time!X17)</f>
        <v>44.3667535168114</v>
      </c>
      <c r="Y26" s="11" t="n">
        <f aca="false">SUMIFS(Funding!$J$69:$BJ$69,Construction!$J$12:$BJ$12,"&lt;="&amp;Time!Y17)</f>
        <v>44.3667535168114</v>
      </c>
      <c r="Z26" s="11" t="n">
        <f aca="false">SUMIFS(Funding!$J$69:$BJ$69,Construction!$J$12:$BJ$12,"&lt;="&amp;Time!Z17)</f>
        <v>44.3667535168114</v>
      </c>
      <c r="AA26" s="11" t="n">
        <f aca="false">SUMIFS(Funding!$J$69:$BJ$69,Construction!$J$12:$BJ$12,"&lt;="&amp;Time!AA17)</f>
        <v>44.3667535168114</v>
      </c>
      <c r="AB26" s="11" t="n">
        <f aca="false">SUMIFS(Funding!$J$69:$BJ$69,Construction!$J$12:$BJ$12,"&lt;="&amp;Time!AB17)</f>
        <v>44.3667535168114</v>
      </c>
      <c r="AC26" s="11" t="n">
        <f aca="false">SUMIFS(Funding!$J$69:$BJ$69,Construction!$J$12:$BJ$12,"&lt;="&amp;Time!AC17)</f>
        <v>44.3667535168114</v>
      </c>
      <c r="AD26" s="11" t="n">
        <f aca="false">SUMIFS(Funding!$J$69:$BJ$69,Construction!$J$12:$BJ$12,"&lt;="&amp;Time!AD17)</f>
        <v>44.3667535168114</v>
      </c>
      <c r="AE26" s="11" t="n">
        <f aca="false">SUMIFS(Funding!$J$69:$BJ$69,Construction!$J$12:$BJ$12,"&lt;="&amp;Time!AE17)</f>
        <v>44.3667535168114</v>
      </c>
      <c r="AF26" s="11" t="n">
        <f aca="false">SUMIFS(Funding!$J$69:$BJ$69,Construction!$J$12:$BJ$12,"&lt;="&amp;Time!AF17)</f>
        <v>44.3667535168114</v>
      </c>
      <c r="AG26" s="11" t="n">
        <f aca="false">SUMIFS(Funding!$J$69:$BJ$69,Construction!$J$12:$BJ$12,"&lt;="&amp;Time!AG17)</f>
        <v>44.3667535168114</v>
      </c>
      <c r="AH26" s="11" t="n">
        <f aca="false">SUMIFS(Funding!$J$69:$BJ$69,Construction!$J$12:$BJ$12,"&lt;="&amp;Time!AH17)</f>
        <v>44.3667535168114</v>
      </c>
      <c r="AI26" s="11" t="n">
        <f aca="false">SUMIFS(Funding!$J$69:$BJ$69,Construction!$J$12:$BJ$12,"&lt;="&amp;Time!AI17)</f>
        <v>44.3667535168114</v>
      </c>
      <c r="AJ26" s="11" t="n">
        <f aca="false">SUMIFS(Funding!$J$69:$BJ$69,Construction!$J$12:$BJ$12,"&lt;="&amp;Time!AJ17)</f>
        <v>44.3667535168114</v>
      </c>
      <c r="AK26" s="11" t="n">
        <f aca="false">SUMIFS(Funding!$J$69:$BJ$69,Construction!$J$12:$BJ$12,"&lt;="&amp;Time!AK17)</f>
        <v>44.3667535168114</v>
      </c>
      <c r="AL26" s="11" t="n">
        <f aca="false">SUMIFS(Funding!$J$69:$BJ$69,Construction!$J$12:$BJ$12,"&lt;="&amp;Time!AL17)</f>
        <v>44.3667535168114</v>
      </c>
      <c r="AM26" s="11" t="n">
        <f aca="false">SUMIFS(Funding!$J$69:$BJ$69,Construction!$J$12:$BJ$12,"&lt;="&amp;Time!AM17)</f>
        <v>44.3667535168114</v>
      </c>
      <c r="AN26" s="11" t="n">
        <f aca="false">SUMIFS(Funding!$J$69:$BJ$69,Construction!$J$12:$BJ$12,"&lt;="&amp;Time!AN17)</f>
        <v>44.3667535168114</v>
      </c>
      <c r="AO26" s="11" t="n">
        <f aca="false">SUMIFS(Funding!$J$69:$BJ$69,Construction!$J$12:$BJ$12,"&lt;="&amp;Time!AO17)</f>
        <v>44.3667535168114</v>
      </c>
      <c r="AP26" s="11" t="n">
        <f aca="false">SUMIFS(Funding!$J$69:$BJ$69,Construction!$J$12:$BJ$12,"&lt;="&amp;Time!AP17)</f>
        <v>44.3667535168114</v>
      </c>
      <c r="AQ26" s="11" t="n">
        <f aca="false">SUMIFS(Funding!$J$69:$BJ$69,Construction!$J$12:$BJ$12,"&lt;="&amp;Time!AQ17)</f>
        <v>44.3667535168114</v>
      </c>
      <c r="AR26" s="11" t="n">
        <f aca="false">SUMIFS(Funding!$J$69:$BJ$69,Construction!$J$12:$BJ$12,"&lt;="&amp;Time!AR17)</f>
        <v>44.3667535168114</v>
      </c>
      <c r="AS26" s="11" t="n">
        <f aca="false">SUMIFS(Funding!$J$69:$BJ$69,Construction!$J$12:$BJ$12,"&lt;="&amp;Time!AS17)</f>
        <v>44.3667535168114</v>
      </c>
      <c r="AT26" s="11" t="n">
        <f aca="false">SUMIFS(Funding!$J$69:$BJ$69,Construction!$J$12:$BJ$12,"&lt;="&amp;Time!AT17)</f>
        <v>44.3667535168114</v>
      </c>
      <c r="AU26" s="11" t="n">
        <f aca="false">SUMIFS(Funding!$J$69:$BJ$69,Construction!$J$12:$BJ$12,"&lt;="&amp;Time!AU17)</f>
        <v>44.3667535168114</v>
      </c>
      <c r="AV26" s="11" t="n">
        <f aca="false">SUMIFS(Funding!$J$69:$BJ$69,Construction!$J$12:$BJ$12,"&lt;="&amp;Time!AV17)</f>
        <v>44.3667535168114</v>
      </c>
      <c r="AW26" s="11" t="n">
        <f aca="false">SUMIFS(Funding!$J$69:$BJ$69,Construction!$J$12:$BJ$12,"&lt;="&amp;Time!AW17)</f>
        <v>44.3667535168114</v>
      </c>
      <c r="AX26" s="11" t="n">
        <f aca="false">SUMIFS(Funding!$J$69:$BJ$69,Construction!$J$12:$BJ$12,"&lt;="&amp;Time!AX17)</f>
        <v>44.3667535168114</v>
      </c>
      <c r="AY26" s="11" t="n">
        <f aca="false">SUMIFS(Funding!$J$69:$BJ$69,Construction!$J$12:$BJ$12,"&lt;="&amp;Time!AY17)</f>
        <v>44.3667535168114</v>
      </c>
      <c r="AZ26" s="11" t="n">
        <f aca="false">SUMIFS(Funding!$J$69:$BJ$69,Construction!$J$12:$BJ$12,"&lt;="&amp;Time!AZ17)</f>
        <v>44.3667535168114</v>
      </c>
      <c r="BA26" s="11" t="n">
        <f aca="false">SUMIFS(Funding!$J$69:$BJ$69,Construction!$J$12:$BJ$12,"&lt;="&amp;Time!BA17)</f>
        <v>44.3667535168114</v>
      </c>
      <c r="BB26" s="11" t="n">
        <f aca="false">SUMIFS(Funding!$J$69:$BJ$69,Construction!$J$12:$BJ$12,"&lt;="&amp;Time!BB17)</f>
        <v>44.3667535168114</v>
      </c>
      <c r="BC26" s="11" t="n">
        <f aca="false">SUMIFS(Funding!$J$69:$BJ$69,Construction!$J$12:$BJ$12,"&lt;="&amp;Time!BC17)</f>
        <v>44.3667535168114</v>
      </c>
      <c r="BD26" s="11" t="n">
        <f aca="false">SUMIFS(Funding!$J$69:$BJ$69,Construction!$J$12:$BJ$12,"&lt;="&amp;Time!BD17)</f>
        <v>44.3667535168114</v>
      </c>
      <c r="BE26" s="11" t="n">
        <f aca="false">SUMIFS(Funding!$J$69:$BJ$69,Construction!$J$12:$BJ$12,"&lt;="&amp;Time!BE17)</f>
        <v>44.3667535168114</v>
      </c>
      <c r="BF26" s="11" t="n">
        <f aca="false">SUMIFS(Funding!$J$69:$BJ$69,Construction!$J$12:$BJ$12,"&lt;="&amp;Time!BF17)</f>
        <v>44.3667535168114</v>
      </c>
      <c r="BG26" s="11" t="n">
        <f aca="false">SUMIFS(Funding!$J$69:$BJ$69,Construction!$J$12:$BJ$12,"&lt;="&amp;Time!BG17)</f>
        <v>44.3667535168114</v>
      </c>
      <c r="BH26" s="11" t="n">
        <f aca="false">SUMIFS(Funding!$J$69:$BJ$69,Construction!$J$12:$BJ$12,"&lt;="&amp;Time!BH17)</f>
        <v>44.3667535168114</v>
      </c>
      <c r="BI26" s="11" t="n">
        <f aca="false">SUMIFS(Funding!$J$69:$BJ$69,Construction!$J$12:$BJ$12,"&lt;="&amp;Time!BI17)</f>
        <v>44.3667535168114</v>
      </c>
      <c r="BJ26" s="11" t="n">
        <f aca="false">SUMIFS(Funding!$J$69:$BJ$69,Construction!$J$12:$BJ$12,"&lt;="&amp;Time!BJ17)</f>
        <v>44.3667535168114</v>
      </c>
      <c r="BK26" s="11" t="n">
        <f aca="false">SUMIFS(Funding!$J$69:$BJ$69,Construction!$J$12:$BJ$12,"&lt;="&amp;Time!BK17)</f>
        <v>44.3667535168114</v>
      </c>
      <c r="BL26" s="11" t="n">
        <f aca="false">SUMIFS(Funding!$J$69:$BJ$69,Construction!$J$12:$BJ$12,"&lt;="&amp;Time!BL17)</f>
        <v>44.3667535168114</v>
      </c>
      <c r="BM26" s="11" t="n">
        <f aca="false">SUMIFS(Funding!$J$69:$BJ$69,Construction!$J$12:$BJ$12,"&lt;="&amp;Time!BM17)</f>
        <v>44.3667535168114</v>
      </c>
      <c r="BN26" s="11" t="n">
        <f aca="false">SUMIFS(Funding!$J$69:$BJ$69,Construction!$J$12:$BJ$12,"&lt;="&amp;Time!BN17)</f>
        <v>44.3667535168114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9.66974093420674</v>
      </c>
      <c r="P27" s="16" t="n">
        <f aca="false">Waterfall!P43</f>
        <v>16.7218259651569</v>
      </c>
      <c r="Q27" s="16" t="n">
        <f aca="false">Waterfall!Q43</f>
        <v>25.1116267446882</v>
      </c>
      <c r="R27" s="16" t="n">
        <f aca="false">Waterfall!R43</f>
        <v>33.9525395958559</v>
      </c>
      <c r="S27" s="16" t="n">
        <f aca="false">Waterfall!S43</f>
        <v>44.0015590942171</v>
      </c>
      <c r="T27" s="16" t="n">
        <f aca="false">Waterfall!T43</f>
        <v>54.5091708766813</v>
      </c>
      <c r="U27" s="16" t="n">
        <f aca="false">Waterfall!U43</f>
        <v>66.2300724342667</v>
      </c>
      <c r="V27" s="16" t="n">
        <f aca="false">Waterfall!V43</f>
        <v>76.2501601553203</v>
      </c>
      <c r="W27" s="16" t="n">
        <f aca="false">Waterfall!W43</f>
        <v>90.0550855128283</v>
      </c>
      <c r="X27" s="16" t="n">
        <f aca="false">Waterfall!X43</f>
        <v>104.503241326065</v>
      </c>
      <c r="Y27" s="16" t="n">
        <f aca="false">Waterfall!Y43</f>
        <v>116.981516670493</v>
      </c>
      <c r="Z27" s="16" t="n">
        <f aca="false">Waterfall!Z43</f>
        <v>124.345988509605</v>
      </c>
      <c r="AA27" s="16" t="n">
        <f aca="false">Waterfall!AA43</f>
        <v>132.66598732449</v>
      </c>
      <c r="AB27" s="16" t="n">
        <f aca="false">Waterfall!AB43</f>
        <v>141.527417454106</v>
      </c>
      <c r="AC27" s="16" t="n">
        <f aca="false">Waterfall!AC43</f>
        <v>151.430119195262</v>
      </c>
      <c r="AD27" s="16" t="n">
        <f aca="false">Waterfall!AD43</f>
        <v>153.159929651556</v>
      </c>
      <c r="AE27" s="16" t="n">
        <f aca="false">Waterfall!AE43</f>
        <v>165.036335790718</v>
      </c>
      <c r="AF27" s="16" t="n">
        <f aca="false">Waterfall!AF43</f>
        <v>177.518823278793</v>
      </c>
      <c r="AG27" s="16" t="n">
        <f aca="false">Waterfall!AG43</f>
        <v>191.073105487444</v>
      </c>
      <c r="AH27" s="16" t="n">
        <f aca="false">Waterfall!AH43</f>
        <v>205.60897211636</v>
      </c>
      <c r="AI27" s="16" t="n">
        <f aca="false">Waterfall!AI43</f>
        <v>221.428834181706</v>
      </c>
      <c r="AJ27" s="16" t="n">
        <f aca="false">Waterfall!AJ43</f>
        <v>238.315256320752</v>
      </c>
      <c r="AK27" s="16" t="n">
        <f aca="false">Waterfall!AK43</f>
        <v>256.608650813513</v>
      </c>
      <c r="AL27" s="16" t="n">
        <f aca="false">Waterfall!AL43</f>
        <v>274.173957212665</v>
      </c>
      <c r="AM27" s="16" t="n">
        <f aca="false">Waterfall!AM43</f>
        <v>295.125276131684</v>
      </c>
      <c r="AN27" s="16" t="n">
        <f aca="false">Waterfall!AN43</f>
        <v>317.770232992702</v>
      </c>
      <c r="AO27" s="16" t="n">
        <f aca="false">Waterfall!AO43</f>
        <v>341.658425557131</v>
      </c>
      <c r="AP27" s="16" t="n">
        <f aca="false">Waterfall!AP43</f>
        <v>328.648242625405</v>
      </c>
      <c r="AQ27" s="16" t="n">
        <f aca="false">Waterfall!AQ43</f>
        <v>313.582516463363</v>
      </c>
      <c r="AR27" s="16" t="n">
        <f aca="false">Waterfall!AR43</f>
        <v>297.992493728665</v>
      </c>
      <c r="AS27" s="16" t="n">
        <f aca="false">Waterfall!AS43</f>
        <v>282.847031452794</v>
      </c>
      <c r="AT27" s="16" t="n">
        <f aca="false">Waterfall!AT43</f>
        <v>250.66546909113</v>
      </c>
      <c r="AU27" s="16" t="n">
        <f aca="false">Waterfall!AU43</f>
        <v>233.503371039464</v>
      </c>
      <c r="AV27" s="16" t="n">
        <f aca="false">Waterfall!AV43</f>
        <v>216.1492934707</v>
      </c>
      <c r="AW27" s="16" t="n">
        <f aca="false">Waterfall!AW43</f>
        <v>199.335766953868</v>
      </c>
      <c r="AX27" s="16" t="n">
        <f aca="false">Waterfall!AX43</f>
        <v>181.98727558102</v>
      </c>
      <c r="AY27" s="16" t="n">
        <f aca="false">Waterfall!AY43</f>
        <v>165.176114482544</v>
      </c>
      <c r="AZ27" s="16" t="n">
        <f aca="false">Waterfall!AZ43</f>
        <v>147.824772121569</v>
      </c>
      <c r="BA27" s="16" t="n">
        <f aca="false">Waterfall!BA43</f>
        <v>131.426388289303</v>
      </c>
      <c r="BB27" s="16" t="n">
        <f aca="false">Waterfall!BB43</f>
        <v>111.541599559846</v>
      </c>
      <c r="BC27" s="16" t="n">
        <f aca="false">Waterfall!BC43</f>
        <v>97.5881401874173</v>
      </c>
      <c r="BD27" s="16" t="n">
        <f aca="false">Waterfall!BD43</f>
        <v>89.7439721667947</v>
      </c>
      <c r="BE27" s="16" t="n">
        <f aca="false">Waterfall!BE43</f>
        <v>82.4732036174355</v>
      </c>
      <c r="BF27" s="16" t="n">
        <f aca="false">Waterfall!BF43</f>
        <v>74.6679619907065</v>
      </c>
      <c r="BG27" s="16" t="n">
        <f aca="false">Waterfall!BG43</f>
        <v>67.4336090920827</v>
      </c>
      <c r="BH27" s="16" t="n">
        <f aca="false">Waterfall!BH43</f>
        <v>59.6592282902077</v>
      </c>
      <c r="BI27" s="16" t="n">
        <f aca="false">Waterfall!BI43</f>
        <v>52.3775345812804</v>
      </c>
      <c r="BJ27" s="16" t="n">
        <f aca="false">Waterfall!BJ43</f>
        <v>24.9116255427898</v>
      </c>
      <c r="BK27" s="16" t="n">
        <f aca="false">Waterfall!BK43</f>
        <v>15.2242777327216</v>
      </c>
      <c r="BL27" s="16" t="n">
        <f aca="false">Waterfall!BL43</f>
        <v>4.7172662995472</v>
      </c>
      <c r="BM27" s="16" t="n">
        <f aca="false">Waterfall!BM43</f>
        <v>-44.3667535168116</v>
      </c>
      <c r="BN27" s="16" t="n">
        <f aca="false">Waterfall!BN43</f>
        <v>-44.3667535168116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139.106138718341</v>
      </c>
      <c r="K28" s="11" t="n">
        <f aca="false">K22+K23+K24+K25+K26+K27</f>
        <v>239.361059019891</v>
      </c>
      <c r="L28" s="11" t="n">
        <f aca="false">L22+L23+L24+L25+L26+L27</f>
        <v>433.488009929513</v>
      </c>
      <c r="M28" s="11" t="n">
        <f aca="false">M22+M23+M24+M25+M26+M27</f>
        <v>635.509570384213</v>
      </c>
      <c r="N28" s="11" t="n">
        <f aca="false">N22+N23+N24+N25+N26+N27</f>
        <v>753.08150774339</v>
      </c>
      <c r="O28" s="11" t="n">
        <f aca="false">O22+O23+O24+O25+O26+O27</f>
        <v>915.087949119818</v>
      </c>
      <c r="P28" s="11" t="n">
        <f aca="false">P22+P23+P24+P25+P26+P27</f>
        <v>901.713241624433</v>
      </c>
      <c r="Q28" s="11" t="n">
        <f aca="false">Q22+Q23+Q24+Q25+Q26+Q27</f>
        <v>891.875889341215</v>
      </c>
      <c r="R28" s="11" t="n">
        <f aca="false">R22+R23+R24+R25+R26+R27</f>
        <v>879.638414778578</v>
      </c>
      <c r="S28" s="11" t="n">
        <f aca="false">S22+S23+S24+S25+S26+S27</f>
        <v>869.89628391185</v>
      </c>
      <c r="T28" s="11" t="n">
        <f aca="false">T22+T23+T24+T25+T26+T27</f>
        <v>858.02885066163</v>
      </c>
      <c r="U28" s="11" t="n">
        <f aca="false">U22+U23+U24+U25+U26+U27</f>
        <v>848.094941137592</v>
      </c>
      <c r="V28" s="11" t="n">
        <f aca="false">V22+V23+V24+V25+V26+V27</f>
        <v>832.807219769629</v>
      </c>
      <c r="W28" s="11" t="n">
        <f aca="false">W22+W23+W24+W25+W26+W27</f>
        <v>821.334737710055</v>
      </c>
      <c r="X28" s="11" t="n">
        <f aca="false">X22+X23+X24+X25+X26+X27</f>
        <v>811.199792733957</v>
      </c>
      <c r="Y28" s="11" t="n">
        <f aca="false">Y22+Y23+Y24+Y25+Y26+Y27</f>
        <v>800.117875923067</v>
      </c>
      <c r="Z28" s="11" t="n">
        <f aca="false">Z22+Z23+Z24+Z25+Z26+Z27</f>
        <v>781.064536394931</v>
      </c>
      <c r="AA28" s="11" t="n">
        <f aca="false">AA22+AA23+AA24+AA25+AA26+AA27</f>
        <v>764.231947977845</v>
      </c>
      <c r="AB28" s="11" t="n">
        <f aca="false">AB22+AB23+AB24+AB25+AB26+AB27</f>
        <v>744.340758368886</v>
      </c>
      <c r="AC28" s="11" t="n">
        <f aca="false">AC22+AC23+AC24+AC25+AC26+AC27</f>
        <v>726.326849716623</v>
      </c>
      <c r="AD28" s="11" t="n">
        <f aca="false">AD22+AD23+AD24+AD25+AD26+AD27</f>
        <v>694.637430863369</v>
      </c>
      <c r="AE28" s="11" t="n">
        <f aca="false">AE22+AE23+AE24+AE25+AE26+AE27</f>
        <v>673.68136190429</v>
      </c>
      <c r="AF28" s="11" t="n">
        <f aca="false">AF22+AF23+AF24+AF25+AF26+AF27</f>
        <v>650.802689807725</v>
      </c>
      <c r="AG28" s="11" t="n">
        <f aca="false">AG22+AG23+AG24+AG25+AG26+AG27</f>
        <v>628.776433442838</v>
      </c>
      <c r="AH28" s="11" t="n">
        <f aca="false">AH22+AH23+AH24+AH25+AH26+AH27</f>
        <v>603.612067576935</v>
      </c>
      <c r="AI28" s="11" t="n">
        <f aca="false">AI22+AI23+AI24+AI25+AI26+AI27</f>
        <v>580.074497501254</v>
      </c>
      <c r="AJ28" s="11" t="n">
        <f aca="false">AJ22+AJ23+AJ24+AJ25+AJ26+AJ27</f>
        <v>557.965959380829</v>
      </c>
      <c r="AK28" s="11" t="n">
        <f aca="false">AK22+AK23+AK24+AK25+AK26+AK27</f>
        <v>539.622845847808</v>
      </c>
      <c r="AL28" s="11" t="n">
        <f aca="false">AL22+AL23+AL24+AL25+AL26+AL27</f>
        <v>518.584614311852</v>
      </c>
      <c r="AM28" s="11" t="n">
        <f aca="false">AM22+AM23+AM24+AM25+AM26+AM27</f>
        <v>498.947620145821</v>
      </c>
      <c r="AN28" s="11" t="n">
        <f aca="false">AN22+AN23+AN24+AN25+AN26+AN27</f>
        <v>484.318227204187</v>
      </c>
      <c r="AO28" s="11" t="n">
        <f aca="false">AO22+AO23+AO24+AO25+AO26+AO27</f>
        <v>452.235598985394</v>
      </c>
      <c r="AP28" s="11" t="n">
        <f aca="false">AP22+AP23+AP24+AP25+AP26+AP27</f>
        <v>437.074078833864</v>
      </c>
      <c r="AQ28" s="11" t="n">
        <f aca="false">AQ22+AQ23+AQ24+AQ25+AQ26+AQ27</f>
        <v>424.080149114993</v>
      </c>
      <c r="AR28" s="11" t="n">
        <f aca="false">AR22+AR23+AR24+AR25+AR26+AR27</f>
        <v>409.244969697087</v>
      </c>
      <c r="AS28" s="11" t="n">
        <f aca="false">AS22+AS23+AS24+AS25+AS26+AS27</f>
        <v>395.462591399419</v>
      </c>
      <c r="AT28" s="11" t="n">
        <f aca="false">AT22+AT23+AT24+AT25+AT26+AT27</f>
        <v>363.045671294699</v>
      </c>
      <c r="AU28" s="11" t="n">
        <f aca="false">AU22+AU23+AU24+AU25+AU26+AU27</f>
        <v>348.365218114718</v>
      </c>
      <c r="AV28" s="11" t="n">
        <f aca="false">AV22+AV23+AV24+AV25+AV26+AV27</f>
        <v>332.590475655847</v>
      </c>
      <c r="AW28" s="11" t="n">
        <f aca="false">AW22+AW23+AW24+AW25+AW26+AW27</f>
        <v>317.739764198331</v>
      </c>
      <c r="AX28" s="11" t="n">
        <f aca="false">AX22+AX23+AX24+AX25+AX26+AX27</f>
        <v>300.77068465564</v>
      </c>
      <c r="AY28" s="11" t="n">
        <f aca="false">AY22+AY23+AY24+AY25+AY26+AY27</f>
        <v>286.117381821398</v>
      </c>
      <c r="AZ28" s="11" t="n">
        <f aca="false">AZ22+AZ23+AZ24+AZ25+AZ26+AZ27</f>
        <v>269.500705921149</v>
      </c>
      <c r="BA28" s="11" t="n">
        <f aca="false">BA22+BA23+BA24+BA25+BA26+BA27</f>
        <v>254.692776033626</v>
      </c>
      <c r="BB28" s="11" t="n">
        <f aca="false">BB22+BB23+BB24+BB25+BB26+BB27</f>
        <v>234.85709105344</v>
      </c>
      <c r="BC28" s="11" t="n">
        <f aca="false">BC22+BC23+BC24+BC25+BC26+BC27</f>
        <v>221.404209844053</v>
      </c>
      <c r="BD28" s="11" t="n">
        <f aca="false">BD22+BD23+BD24+BD25+BD26+BD27</f>
        <v>209.004989520878</v>
      </c>
      <c r="BE28" s="11" t="n">
        <f aca="false">BE22+BE23+BE24+BE25+BE26+BE27</f>
        <v>198.001020023039</v>
      </c>
      <c r="BF28" s="11" t="n">
        <f aca="false">BF22+BF23+BF24+BF25+BF26+BF27</f>
        <v>184.751336230443</v>
      </c>
      <c r="BG28" s="11" t="n">
        <f aca="false">BG22+BG23+BG24+BG25+BG26+BG27</f>
        <v>173.994675258859</v>
      </c>
      <c r="BH28" s="11" t="n">
        <f aca="false">BH22+BH23+BH24+BH25+BH26+BH27</f>
        <v>161.160017965354</v>
      </c>
      <c r="BI28" s="11" t="n">
        <f aca="false">BI22+BI23+BI24+BI25+BI26+BI27</f>
        <v>149.527174199536</v>
      </c>
      <c r="BJ28" s="11" t="n">
        <f aca="false">BJ22+BJ23+BJ24+BJ25+BJ26+BJ27</f>
        <v>115.843364114961</v>
      </c>
      <c r="BK28" s="11" t="n">
        <f aca="false">BK22+BK23+BK24+BK25+BK26+BK27</f>
        <v>103.112661075987</v>
      </c>
      <c r="BL28" s="11" t="n">
        <f aca="false">BL22+BL23+BL24+BL25+BL26+BL27</f>
        <v>88.509495742542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0.034356060545191</v>
      </c>
      <c r="Q7" s="14" t="n">
        <f aca="false">IF(Debt!Q122&gt;0.000000001,Debt!Q119/Debt!Q122,0)</f>
        <v>0.0340124598263425</v>
      </c>
      <c r="R7" s="14" t="n">
        <f aca="false">IF(Debt!R122&gt;0.000000001,Debt!R119/Debt!R122,0)</f>
        <v>0.0343808210390788</v>
      </c>
      <c r="S7" s="14" t="n">
        <f aca="false">IF(Debt!S122&gt;0.000000001,Debt!S119/Debt!S122,0)</f>
        <v>0.0340246382214341</v>
      </c>
      <c r="T7" s="14" t="n">
        <f aca="false">IF(Debt!T122&gt;0.000000001,Debt!T119/Debt!T122,0)</f>
        <v>0.0343932012860227</v>
      </c>
      <c r="U7" s="14" t="n">
        <f aca="false">IF(Debt!U122&gt;0.000000001,Debt!U119/Debt!U122,0)</f>
        <v>0.034147492576297</v>
      </c>
      <c r="V7" s="14" t="n">
        <f aca="false">IF(Debt!V122&gt;0.000000001,Debt!V119/Debt!V122,0)</f>
        <v>0.0343932012860227</v>
      </c>
      <c r="W7" s="14" t="n">
        <f aca="false">IF(Debt!W122&gt;0.000000001,Debt!W119/Debt!W122,0)</f>
        <v>0.0340246382214341</v>
      </c>
      <c r="X7" s="14" t="n">
        <f aca="false">IF(Debt!X122&gt;0.000000001,Debt!X119/Debt!X122,0)</f>
        <v>0.0343932012860227</v>
      </c>
      <c r="Y7" s="14" t="n">
        <f aca="false">IF(Debt!Y122&gt;0.000000001,Debt!Y119/Debt!Y122,0)</f>
        <v>0.0350860579745206</v>
      </c>
      <c r="Z7" s="14" t="n">
        <f aca="false">IF(Debt!Z122&gt;0.000000001,Debt!Z119/Debt!Z122,0)</f>
        <v>0.0354722136317017</v>
      </c>
      <c r="AA7" s="14" t="n">
        <f aca="false">IF(Debt!AA122&gt;0.000000001,Debt!AA119/Debt!AA122,0)</f>
        <v>0.0350860579745206</v>
      </c>
      <c r="AB7" s="14" t="n">
        <f aca="false">IF(Debt!AB122&gt;0.000000001,Debt!AB119/Debt!AB122,0)</f>
        <v>0.0352685341065647</v>
      </c>
      <c r="AC7" s="14" t="n">
        <f aca="false">IF(Debt!AC122&gt;0.000000001,Debt!AC119/Debt!AC122,0)</f>
        <v>0.0347609033779661</v>
      </c>
      <c r="AD7" s="14" t="n">
        <f aca="false">IF(Debt!AD122&gt;0.000000001,Debt!AD119/Debt!AD122,0)</f>
        <v>0.03473578150634</v>
      </c>
      <c r="AE7" s="14" t="n">
        <f aca="false">IF(Debt!AE122&gt;0.000000001,Debt!AE119/Debt!AE122,0)</f>
        <v>0.0340145059722675</v>
      </c>
      <c r="AF7" s="14" t="n">
        <f aca="false">IF(Debt!AF122&gt;0.000000001,Debt!AF119/Debt!AF122,0)</f>
        <v>0.0339117762568059</v>
      </c>
      <c r="AG7" s="14" t="n">
        <f aca="false">IF(Debt!AG122&gt;0.000000001,Debt!AG119/Debt!AG122,0)</f>
        <v>0.0337890241586835</v>
      </c>
      <c r="AH7" s="14" t="n">
        <f aca="false">IF(Debt!AH122&gt;0.000000001,Debt!AH119/Debt!AH122,0)</f>
        <v>0.0332832932471539</v>
      </c>
      <c r="AI7" s="14" t="n">
        <f aca="false">IF(Debt!AI122&gt;0.000000001,Debt!AI119/Debt!AI122,0)</f>
        <v>0.0318042436578144</v>
      </c>
      <c r="AJ7" s="14" t="n">
        <f aca="false">IF(Debt!AJ122&gt;0.000000001,Debt!AJ119/Debt!AJ122,0)</f>
        <v>0.03034558601784</v>
      </c>
      <c r="AK7" s="14" t="n">
        <f aca="false">IF(Debt!AK122&gt;0.000000001,Debt!AK119/Debt!AK122,0)</f>
        <v>0.0272977725754613</v>
      </c>
      <c r="AL7" s="14" t="n">
        <f aca="false">IF(Debt!AL122&gt;0.000000001,Debt!AL119/Debt!AL122,0)</f>
        <v>0.0271445161301926</v>
      </c>
      <c r="AM7" s="14" t="n">
        <f aca="false">IF(Debt!AM122&gt;0.000000001,Debt!AM119/Debt!AM122,0)</f>
        <v>0.0270119354847825</v>
      </c>
      <c r="AN7" s="14" t="n">
        <f aca="false">IF(Debt!AN122&gt;0.000000001,Debt!AN119/Debt!AN122,0)</f>
        <v>0.0271445161301926</v>
      </c>
      <c r="AO7" s="14" t="n">
        <f aca="false">IF(Debt!AO122&gt;0.000000001,Debt!AO119/Debt!AO122,0)</f>
        <v>0.0270119354847825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0.0270119354847825</v>
      </c>
      <c r="K10" s="14" t="n">
        <f aca="false">IF(K7&gt;0,K7,$F$9)</f>
        <v>0.0270119354847825</v>
      </c>
      <c r="L10" s="14" t="n">
        <f aca="false">IF(L7&gt;0,L7,$F$9)</f>
        <v>0.0270119354847825</v>
      </c>
      <c r="M10" s="14" t="n">
        <f aca="false">IF(M7&gt;0,M7,$F$9)</f>
        <v>0.0270119354847825</v>
      </c>
      <c r="N10" s="14" t="n">
        <f aca="false">IF(N7&gt;0,N7,$F$9)</f>
        <v>0.0270119354847825</v>
      </c>
      <c r="O10" s="14" t="n">
        <f aca="false">IF(O7&gt;0,O7,$F$9)</f>
        <v>0.0270119354847825</v>
      </c>
      <c r="P10" s="14" t="n">
        <f aca="false">IF(P7&gt;0,P7,$F$9)</f>
        <v>0.034356060545191</v>
      </c>
      <c r="Q10" s="14" t="n">
        <f aca="false">IF(Q7&gt;0,Q7,$F$9)</f>
        <v>0.0340124598263425</v>
      </c>
      <c r="R10" s="14" t="n">
        <f aca="false">IF(R7&gt;0,R7,$F$9)</f>
        <v>0.0343808210390788</v>
      </c>
      <c r="S10" s="14" t="n">
        <f aca="false">IF(S7&gt;0,S7,$F$9)</f>
        <v>0.0340246382214341</v>
      </c>
      <c r="T10" s="14" t="n">
        <f aca="false">IF(T7&gt;0,T7,$F$9)</f>
        <v>0.0343932012860227</v>
      </c>
      <c r="U10" s="14" t="n">
        <f aca="false">IF(U7&gt;0,U7,$F$9)</f>
        <v>0.034147492576297</v>
      </c>
      <c r="V10" s="14" t="n">
        <f aca="false">IF(V7&gt;0,V7,$F$9)</f>
        <v>0.0343932012860227</v>
      </c>
      <c r="W10" s="14" t="n">
        <f aca="false">IF(W7&gt;0,W7,$F$9)</f>
        <v>0.0340246382214341</v>
      </c>
      <c r="X10" s="14" t="n">
        <f aca="false">IF(X7&gt;0,X7,$F$9)</f>
        <v>0.0343932012860227</v>
      </c>
      <c r="Y10" s="14" t="n">
        <f aca="false">IF(Y7&gt;0,Y7,$F$9)</f>
        <v>0.0350860579745206</v>
      </c>
      <c r="Z10" s="14" t="n">
        <f aca="false">IF(Z7&gt;0,Z7,$F$9)</f>
        <v>0.0354722136317017</v>
      </c>
      <c r="AA10" s="14" t="n">
        <f aca="false">IF(AA7&gt;0,AA7,$F$9)</f>
        <v>0.0350860579745206</v>
      </c>
      <c r="AB10" s="14" t="n">
        <f aca="false">IF(AB7&gt;0,AB7,$F$9)</f>
        <v>0.0352685341065647</v>
      </c>
      <c r="AC10" s="14" t="n">
        <f aca="false">IF(AC7&gt;0,AC7,$F$9)</f>
        <v>0.0347609033779661</v>
      </c>
      <c r="AD10" s="14" t="n">
        <f aca="false">IF(AD7&gt;0,AD7,$F$9)</f>
        <v>0.03473578150634</v>
      </c>
      <c r="AE10" s="14" t="n">
        <f aca="false">IF(AE7&gt;0,AE7,$F$9)</f>
        <v>0.0340145059722675</v>
      </c>
      <c r="AF10" s="14" t="n">
        <f aca="false">IF(AF7&gt;0,AF7,$F$9)</f>
        <v>0.0339117762568059</v>
      </c>
      <c r="AG10" s="14" t="n">
        <f aca="false">IF(AG7&gt;0,AG7,$F$9)</f>
        <v>0.0337890241586835</v>
      </c>
      <c r="AH10" s="14" t="n">
        <f aca="false">IF(AH7&gt;0,AH7,$F$9)</f>
        <v>0.0332832932471539</v>
      </c>
      <c r="AI10" s="14" t="n">
        <f aca="false">IF(AI7&gt;0,AI7,$F$9)</f>
        <v>0.0318042436578144</v>
      </c>
      <c r="AJ10" s="14" t="n">
        <f aca="false">IF(AJ7&gt;0,AJ7,$F$9)</f>
        <v>0.03034558601784</v>
      </c>
      <c r="AK10" s="14" t="n">
        <f aca="false">IF(AK7&gt;0,AK7,$F$9)</f>
        <v>0.0272977725754613</v>
      </c>
      <c r="AL10" s="14" t="n">
        <f aca="false">IF(AL7&gt;0,AL7,$F$9)</f>
        <v>0.0271445161301926</v>
      </c>
      <c r="AM10" s="14" t="n">
        <f aca="false">IF(AM7&gt;0,AM7,$F$9)</f>
        <v>0.0270119354847825</v>
      </c>
      <c r="AN10" s="14" t="n">
        <f aca="false">IF(AN7&gt;0,AN7,$F$9)</f>
        <v>0.0271445161301926</v>
      </c>
      <c r="AO10" s="14" t="n">
        <f aca="false">IF(AO7&gt;0,AO7,$F$9)</f>
        <v>0.0270119354847825</v>
      </c>
      <c r="AP10" s="14" t="n">
        <f aca="false">IF(AP7&gt;0,AP7,$F$9)</f>
        <v>0.0270119354847825</v>
      </c>
      <c r="AQ10" s="14" t="n">
        <f aca="false">IF(AQ7&gt;0,AQ7,$F$9)</f>
        <v>0.0270119354847825</v>
      </c>
      <c r="AR10" s="14" t="n">
        <f aca="false">IF(AR7&gt;0,AR7,$F$9)</f>
        <v>0.0270119354847825</v>
      </c>
      <c r="AS10" s="14" t="n">
        <f aca="false">IF(AS7&gt;0,AS7,$F$9)</f>
        <v>0.0270119354847825</v>
      </c>
      <c r="AT10" s="14" t="n">
        <f aca="false">IF(AT7&gt;0,AT7,$F$9)</f>
        <v>0.0270119354847825</v>
      </c>
      <c r="AU10" s="14" t="n">
        <f aca="false">IF(AU7&gt;0,AU7,$F$9)</f>
        <v>0.0270119354847825</v>
      </c>
      <c r="AV10" s="14" t="n">
        <f aca="false">IF(AV7&gt;0,AV7,$F$9)</f>
        <v>0.0270119354847825</v>
      </c>
      <c r="AW10" s="14" t="n">
        <f aca="false">IF(AW7&gt;0,AW7,$F$9)</f>
        <v>0.0270119354847825</v>
      </c>
      <c r="AX10" s="14" t="n">
        <f aca="false">IF(AX7&gt;0,AX7,$F$9)</f>
        <v>0.0270119354847825</v>
      </c>
      <c r="AY10" s="14" t="n">
        <f aca="false">IF(AY7&gt;0,AY7,$F$9)</f>
        <v>0.0270119354847825</v>
      </c>
      <c r="AZ10" s="14" t="n">
        <f aca="false">IF(AZ7&gt;0,AZ7,$F$9)</f>
        <v>0.0270119354847825</v>
      </c>
      <c r="BA10" s="14" t="n">
        <f aca="false">IF(BA7&gt;0,BA7,$F$9)</f>
        <v>0.0270119354847825</v>
      </c>
      <c r="BB10" s="14" t="n">
        <f aca="false">IF(BB7&gt;0,BB7,$F$9)</f>
        <v>0.0270119354847825</v>
      </c>
      <c r="BC10" s="14" t="n">
        <f aca="false">IF(BC7&gt;0,BC7,$F$9)</f>
        <v>0.0270119354847825</v>
      </c>
      <c r="BD10" s="14" t="n">
        <f aca="false">IF(BD7&gt;0,BD7,$F$9)</f>
        <v>0.0270119354847825</v>
      </c>
      <c r="BE10" s="14" t="n">
        <f aca="false">IF(BE7&gt;0,BE7,$F$9)</f>
        <v>0.0270119354847825</v>
      </c>
      <c r="BF10" s="14" t="n">
        <f aca="false">IF(BF7&gt;0,BF7,$F$9)</f>
        <v>0.0270119354847825</v>
      </c>
      <c r="BG10" s="14" t="n">
        <f aca="false">IF(BG7&gt;0,BG7,$F$9)</f>
        <v>0.0270119354847825</v>
      </c>
      <c r="BH10" s="14" t="n">
        <f aca="false">IF(BH7&gt;0,BH7,$F$9)</f>
        <v>0.0270119354847825</v>
      </c>
      <c r="BI10" s="14" t="n">
        <f aca="false">IF(BI7&gt;0,BI7,$F$9)</f>
        <v>0.0270119354847825</v>
      </c>
      <c r="BJ10" s="14" t="n">
        <f aca="false">IF(BJ7&gt;0,BJ7,$F$9)</f>
        <v>0.0270119354847825</v>
      </c>
      <c r="BK10" s="14" t="n">
        <f aca="false">IF(BK7&gt;0,BK7,$F$9)</f>
        <v>0.0270119354847825</v>
      </c>
      <c r="BL10" s="14" t="n">
        <f aca="false">IF(BL7&gt;0,BL7,$F$9)</f>
        <v>0.0270119354847825</v>
      </c>
      <c r="BM10" s="14" t="n">
        <f aca="false">IF(BM7&gt;0,BM7,$F$9)</f>
        <v>0.0270119354847825</v>
      </c>
      <c r="BN10" s="14" t="n">
        <f aca="false">IF(BN7&gt;0,BN7,$F$9)</f>
        <v>0.0270119354847825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731.769330919171</v>
      </c>
      <c r="K11" s="11" t="n">
        <f aca="false">IF(Time!K17&lt;=$F$8,(Waterfall!K7+L11)/(1+K10),0)</f>
        <v>751.535836875702</v>
      </c>
      <c r="L11" s="11" t="n">
        <f aca="false">IF(Time!L17&lt;=$F$8,(Waterfall!L7+M11)/(1+L10),0)</f>
        <v>771.83627441589</v>
      </c>
      <c r="M11" s="11" t="n">
        <f aca="false">IF(Time!M17&lt;=$F$8,(Waterfall!M7+N11)/(1+M10),0)</f>
        <v>792.685066065227</v>
      </c>
      <c r="N11" s="11" t="n">
        <f aca="false">IF(Time!N17&lt;=$F$8,(Waterfall!N7+O11)/(1+N10),0)</f>
        <v>814.097023929532</v>
      </c>
      <c r="O11" s="11" t="n">
        <f aca="false">IF(Time!O17&lt;=$F$8,(Waterfall!O7+P11)/(1+O10),0)</f>
        <v>836.08736021827</v>
      </c>
      <c r="P11" s="11" t="n">
        <f aca="false">IF(Time!P17&lt;=$F$8,(Waterfall!P7+Q11)/(1+P10),0)</f>
        <v>856.805830842125</v>
      </c>
      <c r="Q11" s="11" t="n">
        <f aca="false">IF(Time!Q17&lt;=$F$8,(Waterfall!Q7+R11)/(1+Q10),0)</f>
        <v>836.289920020269</v>
      </c>
      <c r="R11" s="11" t="n">
        <f aca="false">IF(Time!R17&lt;=$F$8,(Waterfall!R7+S11)/(1+R10),0)</f>
        <v>814.901604244465</v>
      </c>
      <c r="S11" s="11" t="n">
        <f aca="false">IF(Time!S17&lt;=$F$8,(Waterfall!S7+T11)/(1+S10),0)</f>
        <v>792.459177834484</v>
      </c>
      <c r="T11" s="11" t="n">
        <f aca="false">IF(Time!T17&lt;=$F$8,(Waterfall!T7+U11)/(1+T10),0)</f>
        <v>769.355782110102</v>
      </c>
      <c r="U11" s="11" t="n">
        <f aca="false">IF(Time!U17&lt;=$F$8,(Waterfall!U7+V11)/(1+U10),0)</f>
        <v>745.194096115588</v>
      </c>
      <c r="V11" s="11" t="n">
        <f aca="false">IF(Time!V17&lt;=$F$8,(Waterfall!V7+W11)/(1+V10),0)</f>
        <v>720.259930866851</v>
      </c>
      <c r="W11" s="11" t="n">
        <f aca="false">IF(Time!W17&lt;=$F$8,(Waterfall!W7+X11)/(1+W10),0)</f>
        <v>693.681861539555</v>
      </c>
      <c r="X11" s="11" t="n">
        <f aca="false">IF(Time!X17&lt;=$F$8,(Waterfall!X7+Y11)/(1+X10),0)</f>
        <v>666.291501459289</v>
      </c>
      <c r="Y11" s="11" t="n">
        <f aca="false">IF(Time!Y17&lt;=$F$8,(Waterfall!Y7+Z11)/(1+Y10),0)</f>
        <v>639.708420344669</v>
      </c>
      <c r="Z11" s="11" t="n">
        <f aca="false">IF(Time!Z17&lt;=$F$8,(Waterfall!Z7+AA11)/(1+Z10),0)</f>
        <v>613.13563910568</v>
      </c>
      <c r="AA11" s="11" t="n">
        <f aca="false">IF(Time!AA17&lt;=$F$8,(Waterfall!AA7+AB11)/(1+AA10),0)</f>
        <v>585.464359558998</v>
      </c>
      <c r="AB11" s="11" t="n">
        <f aca="false">IF(Time!AB17&lt;=$F$8,(Waterfall!AB7+AC11)/(1+AB10),0)</f>
        <v>556.985789388097</v>
      </c>
      <c r="AC11" s="11" t="n">
        <f aca="false">IF(Time!AC17&lt;=$F$8,(Waterfall!AC7+AD11)/(1+AC10),0)</f>
        <v>527.037527961971</v>
      </c>
      <c r="AD11" s="11" t="n">
        <f aca="false">IF(Time!AD17&lt;=$F$8,(Waterfall!AD7+AE11)/(1+AD10),0)</f>
        <v>495.966505123571</v>
      </c>
      <c r="AE11" s="11" t="n">
        <f aca="false">IF(Time!AE17&lt;=$F$8,(Waterfall!AE7+AF11)/(1+AE10),0)</f>
        <v>461.886419300097</v>
      </c>
      <c r="AF11" s="11" t="n">
        <f aca="false">IF(Time!AF17&lt;=$F$8,(Waterfall!AF7+AG11)/(1+AF10),0)</f>
        <v>426.206327934679</v>
      </c>
      <c r="AG11" s="11" t="n">
        <f aca="false">IF(Time!AG17&lt;=$F$8,(Waterfall!AG7+AH11)/(1+AG10),0)</f>
        <v>389.126514654651</v>
      </c>
      <c r="AH11" s="11" t="n">
        <f aca="false">IF(Time!AH17&lt;=$F$8,(Waterfall!AH7+AI11)/(1+AH10),0)</f>
        <v>351.111571236082</v>
      </c>
      <c r="AI11" s="11" t="n">
        <f aca="false">IF(Time!AI17&lt;=$F$8,(Waterfall!AI7+AJ11)/(1+AI10),0)</f>
        <v>310.970502266017</v>
      </c>
      <c r="AJ11" s="11" t="n">
        <f aca="false">IF(Time!AJ17&lt;=$F$8,(Waterfall!AJ7+AK11)/(1+AJ10),0)</f>
        <v>269.44019998779</v>
      </c>
      <c r="AK11" s="11" t="n">
        <f aca="false">IF(Time!AK17&lt;=$F$8,(Waterfall!AK7+AL11)/(1+AK10),0)</f>
        <v>225.604345229151</v>
      </c>
      <c r="AL11" s="11" t="n">
        <f aca="false">IF(Time!AL17&lt;=$F$8,(Waterfall!AL7+AM11)/(1+AL10),0)</f>
        <v>179.986294693549</v>
      </c>
      <c r="AM11" s="11" t="n">
        <f aca="false">IF(Time!AM17&lt;=$F$8,(Waterfall!AM7+AN11)/(1+AM10),0)</f>
        <v>131.983060321498</v>
      </c>
      <c r="AN11" s="11" t="n">
        <f aca="false">IF(Time!AN17&lt;=$F$8,(Waterfall!AN7+AO11)/(1+AN10),0)</f>
        <v>83.0352459887626</v>
      </c>
      <c r="AO11" s="11" t="n">
        <f aca="false">IF(Time!AO17&lt;=$F$8,(Waterfall!AO7+AP11)/(1+AO10),0)</f>
        <v>40.3438940451521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999.029105043127</v>
      </c>
      <c r="K12" s="11" t="n">
        <f aca="false">IF(Time!K17&lt;=Time!$F$14,(Waterfall!K7+L12)/(1+K10),0)</f>
        <v>1026.01481477597</v>
      </c>
      <c r="L12" s="11" t="n">
        <f aca="false">IF(Time!L17&lt;=Time!$F$14,(Waterfall!L7+M12)/(1+L10),0)</f>
        <v>1053.72946075913</v>
      </c>
      <c r="M12" s="11" t="n">
        <f aca="false">IF(Time!M17&lt;=Time!$F$14,(Waterfall!M7+N12)/(1+M10),0)</f>
        <v>1082.19273297157</v>
      </c>
      <c r="N12" s="11" t="n">
        <f aca="false">IF(Time!N17&lt;=Time!$F$14,(Waterfall!N7+O12)/(1+N10),0)</f>
        <v>1111.4248532567</v>
      </c>
      <c r="O12" s="11" t="n">
        <f aca="false">IF(Time!O17&lt;=Time!$F$14,(Waterfall!O7+P12)/(1+O10),0)</f>
        <v>1141.44658968905</v>
      </c>
      <c r="P12" s="11" t="n">
        <f aca="false">IF(Time!P17&lt;=Time!$F$14,(Waterfall!P7+Q12)/(1+P10),0)</f>
        <v>1170.41340411906</v>
      </c>
      <c r="Q12" s="11" t="n">
        <f aca="false">IF(Time!Q17&lt;=Time!$F$14,(Waterfall!Q7+R12)/(1+Q10),0)</f>
        <v>1160.67181407213</v>
      </c>
      <c r="R12" s="11" t="n">
        <f aca="false">IF(Time!R17&lt;=Time!$F$14,(Waterfall!R7+S12)/(1+R10),0)</f>
        <v>1150.31652443616</v>
      </c>
      <c r="S12" s="11" t="n">
        <f aca="false">IF(Time!S17&lt;=Time!$F$14,(Waterfall!S7+T12)/(1+S10),0)</f>
        <v>1139.40593837113</v>
      </c>
      <c r="T12" s="11" t="n">
        <f aca="false">IF(Time!T17&lt;=Time!$F$14,(Waterfall!T7+U12)/(1+T10),0)</f>
        <v>1128.1072806561</v>
      </c>
      <c r="U12" s="11" t="n">
        <f aca="false">IF(Time!U17&lt;=Time!$F$14,(Waterfall!U7+V12)/(1+U10),0)</f>
        <v>1116.28420716275</v>
      </c>
      <c r="V12" s="11" t="n">
        <f aca="false">IF(Time!V17&lt;=Time!$F$14,(Waterfall!V7+W12)/(1+V10),0)</f>
        <v>1104.02183872613</v>
      </c>
      <c r="W12" s="11" t="n">
        <f aca="false">IF(Time!W17&lt;=Time!$F$14,(Waterfall!W7+X12)/(1+W10),0)</f>
        <v>1090.64256994174</v>
      </c>
      <c r="X12" s="11" t="n">
        <f aca="false">IF(Time!X17&lt;=Time!$F$14,(Waterfall!X7+Y12)/(1+X10),0)</f>
        <v>1076.75865435299</v>
      </c>
      <c r="Y12" s="11" t="n">
        <f aca="false">IF(Time!Y17&lt;=Time!$F$14,(Waterfall!Y7+Z12)/(1+Y10),0)</f>
        <v>1064.29285264914</v>
      </c>
      <c r="Z12" s="11" t="n">
        <f aca="false">IF(Time!Z17&lt;=Time!$F$14,(Waterfall!Z7+AA12)/(1+Z10),0)</f>
        <v>1052.61706541707</v>
      </c>
      <c r="AA12" s="11" t="n">
        <f aca="false">IF(Time!AA17&lt;=Time!$F$14,(Waterfall!AA7+AB12)/(1+AA10),0)</f>
        <v>1040.53516491167</v>
      </c>
      <c r="AB12" s="11" t="n">
        <f aca="false">IF(Time!AB17&lt;=Time!$F$14,(Waterfall!AB7+AC12)/(1+AB10),0)</f>
        <v>1028.02323539988</v>
      </c>
      <c r="AC12" s="11" t="n">
        <f aca="false">IF(Time!AC17&lt;=Time!$F$14,(Waterfall!AC7+AD12)/(1+AC10),0)</f>
        <v>1014.68777420389</v>
      </c>
      <c r="AD12" s="11" t="n">
        <f aca="false">IF(Time!AD17&lt;=Time!$F$14,(Waterfall!AD7+AE12)/(1+AD10),0)</f>
        <v>1000.56791445735</v>
      </c>
      <c r="AE12" s="11" t="n">
        <f aca="false">IF(Time!AE17&lt;=Time!$F$14,(Waterfall!AE7+AF12)/(1+AE10),0)</f>
        <v>984.015552936282</v>
      </c>
      <c r="AF12" s="11" t="n">
        <f aca="false">IF(Time!AF17&lt;=Time!$F$14,(Waterfall!AF7+AG12)/(1+AF10),0)</f>
        <v>966.095426105227</v>
      </c>
      <c r="AG12" s="11" t="n">
        <f aca="false">IF(Time!AG17&lt;=Time!$F$14,(Waterfall!AG7+AH12)/(1+AG10),0)</f>
        <v>947.324211125848</v>
      </c>
      <c r="AH12" s="11" t="n">
        <f aca="false">IF(Time!AH17&lt;=Time!$F$14,(Waterfall!AH7+AI12)/(1+AH10),0)</f>
        <v>928.170223158665</v>
      </c>
      <c r="AI12" s="11" t="n">
        <f aca="false">IF(Time!AI17&lt;=Time!$F$14,(Waterfall!AI7+AJ12)/(1+AI10),0)</f>
        <v>907.235566521347</v>
      </c>
      <c r="AJ12" s="11" t="n">
        <f aca="false">IF(Time!AJ17&lt;=Time!$F$14,(Waterfall!AJ7+AK12)/(1+AJ10),0)</f>
        <v>884.669023631339</v>
      </c>
      <c r="AK12" s="11" t="n">
        <f aca="false">IF(Time!AK17&lt;=Time!$F$14,(Waterfall!AK7+AL12)/(1+AK10),0)</f>
        <v>859.50264806123</v>
      </c>
      <c r="AL12" s="11" t="n">
        <f aca="false">IF(Time!AL17&lt;=Time!$F$14,(Waterfall!AL7+AM12)/(1+AL10),0)</f>
        <v>831.188609232309</v>
      </c>
      <c r="AM12" s="11" t="n">
        <f aca="false">IF(Time!AM17&lt;=Time!$F$14,(Waterfall!AM7+AN12)/(1+AM10),0)</f>
        <v>800.861946591273</v>
      </c>
      <c r="AN12" s="11" t="n">
        <f aca="false">IF(Time!AN17&lt;=Time!$F$14,(Waterfall!AN7+AO12)/(1+AN10),0)</f>
        <v>769.981845581591</v>
      </c>
      <c r="AO12" s="11" t="n">
        <f aca="false">IF(Time!AO17&lt;=Time!$F$14,(Waterfall!AO7+AP12)/(1+AO10),0)</f>
        <v>745.937326691209</v>
      </c>
      <c r="AP12" s="11" t="n">
        <f aca="false">IF(Time!AP17&lt;=Time!$F$14,(Waterfall!AP7+AQ12)/(1+AP10),0)</f>
        <v>724.652876927178</v>
      </c>
      <c r="AQ12" s="11" t="n">
        <f aca="false">IF(Time!AQ17&lt;=Time!$F$14,(Waterfall!AQ7+AR12)/(1+AQ10),0)</f>
        <v>702.857478736664</v>
      </c>
      <c r="AR12" s="11" t="n">
        <f aca="false">IF(Time!AR17&lt;=Time!$F$14,(Waterfall!AR7+AS12)/(1+AR10),0)</f>
        <v>680.955144296557</v>
      </c>
      <c r="AS12" s="11" t="n">
        <f aca="false">IF(Time!AS17&lt;=Time!$F$14,(Waterfall!AS7+AT12)/(1+AS10),0)</f>
        <v>657.873341438818</v>
      </c>
      <c r="AT12" s="11" t="n">
        <f aca="false">IF(Time!AT17&lt;=Time!$F$14,(Waterfall!AT7+AU12)/(1+AT10),0)</f>
        <v>634.430019367874</v>
      </c>
      <c r="AU12" s="11" t="n">
        <f aca="false">IF(Time!AU17&lt;=Time!$F$14,(Waterfall!AU7+AV12)/(1+AU10),0)</f>
        <v>603.617595895153</v>
      </c>
      <c r="AV12" s="11" t="n">
        <f aca="false">IF(Time!AV17&lt;=Time!$F$14,(Waterfall!AV7+AW12)/(1+AV10),0)</f>
        <v>576.406953661203</v>
      </c>
      <c r="AW12" s="11" t="n">
        <f aca="false">IF(Time!AW17&lt;=Time!$F$14,(Waterfall!AW7+AX12)/(1+AW10),0)</f>
        <v>548.353459440158</v>
      </c>
      <c r="AX12" s="11" t="n">
        <f aca="false">IF(Time!AX17&lt;=Time!$F$14,(Waterfall!AX7+AY12)/(1+AX10),0)</f>
        <v>519.968920476866</v>
      </c>
      <c r="AY12" s="11" t="n">
        <f aca="false">IF(Time!AY17&lt;=Time!$F$14,(Waterfall!AY7+AZ12)/(1+AY10),0)</f>
        <v>490.148749308343</v>
      </c>
      <c r="AZ12" s="11" t="n">
        <f aca="false">IF(Time!AZ17&lt;=Time!$F$14,(Waterfall!AZ7+BA12)/(1+AZ10),0)</f>
        <v>459.977556859204</v>
      </c>
      <c r="BA12" s="11" t="n">
        <f aca="false">IF(Time!BA17&lt;=Time!$F$14,(Waterfall!BA7+BB12)/(1+BA10),0)</f>
        <v>428.382634225818</v>
      </c>
      <c r="BB12" s="11" t="n">
        <f aca="false">IF(Time!BB17&lt;=Time!$F$14,(Waterfall!BB7+BC12)/(1+BB10),0)</f>
        <v>396.229464983712</v>
      </c>
      <c r="BC12" s="11" t="n">
        <f aca="false">IF(Time!BC17&lt;=Time!$F$14,(Waterfall!BC7+BD12)/(1+BC10),0)</f>
        <v>360.961053957916</v>
      </c>
      <c r="BD12" s="11" t="n">
        <f aca="false">IF(Time!BD17&lt;=Time!$F$14,(Waterfall!BD7+BE12)/(1+BD10),0)</f>
        <v>328.136450370958</v>
      </c>
      <c r="BE12" s="11" t="n">
        <f aca="false">IF(Time!BE17&lt;=Time!$F$14,(Waterfall!BE7+BF12)/(1+BE10),0)</f>
        <v>300.537827960447</v>
      </c>
      <c r="BF12" s="11" t="n">
        <f aca="false">IF(Time!BF17&lt;=Time!$F$14,(Waterfall!BF7+BG12)/(1+BF10),0)</f>
        <v>272.627217419508</v>
      </c>
      <c r="BG12" s="11" t="n">
        <f aca="false">IF(Time!BG17&lt;=Time!$F$14,(Waterfall!BG7+BH12)/(1+BG10),0)</f>
        <v>243.26475182042</v>
      </c>
      <c r="BH12" s="11" t="n">
        <f aca="false">IF(Time!BH17&lt;=Time!$F$14,(Waterfall!BH7+BI12)/(1+BH10),0)</f>
        <v>213.57415370944</v>
      </c>
      <c r="BI12" s="11" t="n">
        <f aca="false">IF(Time!BI17&lt;=Time!$F$14,(Waterfall!BI7+BJ12)/(1+BI10),0)</f>
        <v>182.450204086685</v>
      </c>
      <c r="BJ12" s="11" t="n">
        <f aca="false">IF(Time!BJ17&lt;=Time!$F$14,(Waterfall!BJ7+BK12)/(1+BJ10),0)</f>
        <v>150.742730895796</v>
      </c>
      <c r="BK12" s="11" t="n">
        <f aca="false">IF(Time!BK17&lt;=Time!$F$14,(Waterfall!BK7+BL12)/(1+BK10),0)</f>
        <v>110.151793293641</v>
      </c>
      <c r="BL12" s="11" t="n">
        <f aca="false">IF(Time!BL17&lt;=Time!$F$14,(Waterfall!BL7+BM12)/(1+BL10),0)</f>
        <v>73.7104955848325</v>
      </c>
      <c r="BM12" s="11" t="n">
        <f aca="false">IF(Time!BM17&lt;=Time!$F$14,(Waterfall!BM7+BN12)/(1+BM10),0)</f>
        <v>35.5547258203589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1.41183306720934</v>
      </c>
      <c r="Q13" s="6" t="n">
        <f aca="false">IF(Debt!Q122&gt;0.000000001,(Q11+Reserves!Q9)/Debt!Q122,0)</f>
        <v>1.41387931323127</v>
      </c>
      <c r="R13" s="6" t="n">
        <f aca="false">IF(Debt!R122&gt;0.000000001,(R11+Reserves!R9)/Debt!R122,0)</f>
        <v>1.41704893487754</v>
      </c>
      <c r="S13" s="6" t="n">
        <f aca="false">IF(Debt!S122&gt;0.000000001,(S11+Reserves!S9)/Debt!S122,0)</f>
        <v>1.4192239784291</v>
      </c>
      <c r="T13" s="6" t="n">
        <f aca="false">IF(Debt!T122&gt;0.000000001,(T11+Reserves!T9)/Debt!T122,0)</f>
        <v>1.42286520641042</v>
      </c>
      <c r="U13" s="6" t="n">
        <f aca="false">IF(Debt!U122&gt;0.000000001,(U11+Reserves!U9)/Debt!U122,0)</f>
        <v>1.42580453915462</v>
      </c>
      <c r="V13" s="6" t="n">
        <f aca="false">IF(Debt!V122&gt;0.000000001,(V11+Reserves!V9)/Debt!V122,0)</f>
        <v>1.43075021214313</v>
      </c>
      <c r="W13" s="6" t="n">
        <f aca="false">IF(Debt!W122&gt;0.000000001,(W11+Reserves!W9)/Debt!W122,0)</f>
        <v>1.43437444543901</v>
      </c>
      <c r="X13" s="6" t="n">
        <f aca="false">IF(Debt!X122&gt;0.000000001,(X11+Reserves!X9)/Debt!X122,0)</f>
        <v>1.43673779388577</v>
      </c>
      <c r="Y13" s="6" t="n">
        <f aca="false">IF(Debt!Y122&gt;0.000000001,(Y11+Reserves!Y9)/Debt!Y122,0)</f>
        <v>1.44084700934634</v>
      </c>
      <c r="Z13" s="6" t="n">
        <f aca="false">IF(Debt!Z122&gt;0.000000001,(Z11+Reserves!Z9)/Debt!Z122,0)</f>
        <v>1.44684036349232</v>
      </c>
      <c r="AA13" s="6" t="n">
        <f aca="false">IF(Debt!AA122&gt;0.000000001,(AA11+Reserves!AA9)/Debt!AA122,0)</f>
        <v>1.45226016487155</v>
      </c>
      <c r="AB13" s="6" t="n">
        <f aca="false">IF(Debt!AB122&gt;0.000000001,(AB11+Reserves!AB9)/Debt!AB122,0)</f>
        <v>1.4821205621191</v>
      </c>
      <c r="AC13" s="6" t="n">
        <f aca="false">IF(Debt!AC122&gt;0.000000001,(AC11+Reserves!AC9)/Debt!AC122,0)</f>
        <v>1.51606329444257</v>
      </c>
      <c r="AD13" s="6" t="n">
        <f aca="false">IF(Debt!AD122&gt;0.000000001,(AD11+Reserves!AD9)/Debt!AD122,0)</f>
        <v>1.55644648830664</v>
      </c>
      <c r="AE13" s="6" t="n">
        <f aca="false">IF(Debt!AE122&gt;0.000000001,(AE11+Reserves!AE9)/Debt!AE122,0)</f>
        <v>1.60557032088657</v>
      </c>
      <c r="AF13" s="6" t="n">
        <f aca="false">IF(Debt!AF122&gt;0.000000001,(AF11+Reserves!AF9)/Debt!AF122,0)</f>
        <v>1.66567002568818</v>
      </c>
      <c r="AG13" s="6" t="n">
        <f aca="false">IF(Debt!AG122&gt;0.000000001,(AG11+Reserves!AG9)/Debt!AG122,0)</f>
        <v>1.74106404292687</v>
      </c>
      <c r="AH13" s="6" t="n">
        <f aca="false">IF(Debt!AH122&gt;0.000000001,(AH11+Reserves!AH9)/Debt!AH122,0)</f>
        <v>1.83827802211929</v>
      </c>
      <c r="AI13" s="6" t="n">
        <f aca="false">IF(Debt!AI122&gt;0.000000001,(AI11+Reserves!AI9)/Debt!AI122,0)</f>
        <v>1.9723425840725</v>
      </c>
      <c r="AJ13" s="6" t="n">
        <f aca="false">IF(Debt!AJ122&gt;0.000000001,(AJ11+Reserves!AJ9)/Debt!AJ122,0)</f>
        <v>2.16695952166488</v>
      </c>
      <c r="AK13" s="6" t="n">
        <f aca="false">IF(Debt!AK122&gt;0.000000001,(AK11+Reserves!AK9)/Debt!AK122,0)</f>
        <v>2.489303413241</v>
      </c>
      <c r="AL13" s="6" t="n">
        <f aca="false">IF(Debt!AL122&gt;0.000000001,(AL11+Reserves!AL9)/Debt!AL122,0)</f>
        <v>2.54702955549928</v>
      </c>
      <c r="AM13" s="6" t="n">
        <f aca="false">IF(Debt!AM122&gt;0.000000001,(AM11+Reserves!AM9)/Debt!AM122,0)</f>
        <v>2.65734834366707</v>
      </c>
      <c r="AN13" s="6" t="n">
        <f aca="false">IF(Debt!AN122&gt;0.000000001,(AN11+Reserves!AN9)/Debt!AN122,0)</f>
        <v>2.79538270479874</v>
      </c>
      <c r="AO13" s="6" t="n">
        <f aca="false">IF(Debt!AO122&gt;0.000000001,(AO11+Reserves!AO9)/Debt!AO122,0)</f>
        <v>3.21858407586754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1.35301657454984</v>
      </c>
      <c r="Q14" s="6" t="n">
        <f aca="false">IF(Debt!Q122&gt;0.000000001,Q11/Debt!Q122,0)</f>
        <v>1.35373194226524</v>
      </c>
      <c r="R14" s="6" t="n">
        <f aca="false">IF(Debt!R122&gt;0.000000001,R11/Debt!R122,0)</f>
        <v>1.35450991872432</v>
      </c>
      <c r="S14" s="6" t="n">
        <f aca="false">IF(Debt!S122&gt;0.000000001,S11/Debt!S122,0)</f>
        <v>1.35537146963773</v>
      </c>
      <c r="T14" s="6" t="n">
        <f aca="false">IF(Debt!T122&gt;0.000000001,T11/Debt!T122,0)</f>
        <v>1.35631282328344</v>
      </c>
      <c r="U14" s="6" t="n">
        <f aca="false">IF(Debt!U122&gt;0.000000001,U11/Debt!U122,0)</f>
        <v>1.35736959543883</v>
      </c>
      <c r="V14" s="6" t="n">
        <f aca="false">IF(Debt!V122&gt;0.000000001,V11/Debt!V122,0)</f>
        <v>1.35853268503605</v>
      </c>
      <c r="W14" s="6" t="n">
        <f aca="false">IF(Debt!W122&gt;0.000000001,W11/Debt!W122,0)</f>
        <v>1.35983683927052</v>
      </c>
      <c r="X14" s="6" t="n">
        <f aca="false">IF(Debt!X122&gt;0.000000001,X11/Debt!X122,0)</f>
        <v>1.36129305311005</v>
      </c>
      <c r="Y14" s="6" t="n">
        <f aca="false">IF(Debt!Y122&gt;0.000000001,Y11/Debt!Y122,0)</f>
        <v>1.36293189646286</v>
      </c>
      <c r="Z14" s="6" t="n">
        <f aca="false">IF(Debt!Z122&gt;0.000000001,Z11/Debt!Z122,0)</f>
        <v>1.36476897622933</v>
      </c>
      <c r="AA14" s="6" t="n">
        <f aca="false">IF(Debt!AA122&gt;0.000000001,AA11/Debt!AA122,0)</f>
        <v>1.36687096783766</v>
      </c>
      <c r="AB14" s="6" t="n">
        <f aca="false">IF(Debt!AB122&gt;0.000000001,AB11/Debt!AB122,0)</f>
        <v>1.38978660167199</v>
      </c>
      <c r="AC14" s="6" t="n">
        <f aca="false">IF(Debt!AC122&gt;0.000000001,AC11/Debt!AC122,0)</f>
        <v>1.41854056032892</v>
      </c>
      <c r="AD14" s="6" t="n">
        <f aca="false">IF(Debt!AD122&gt;0.000000001,AD11/Debt!AD122,0)</f>
        <v>1.44881483111869</v>
      </c>
      <c r="AE14" s="6" t="n">
        <f aca="false">IF(Debt!AE122&gt;0.000000001,AE11/Debt!AE122,0)</f>
        <v>1.48908259045533</v>
      </c>
      <c r="AF14" s="6" t="n">
        <f aca="false">IF(Debt!AF122&gt;0.000000001,AF11/Debt!AF122,0)</f>
        <v>1.53846025700355</v>
      </c>
      <c r="AG14" s="6" t="n">
        <f aca="false">IF(Debt!AG122&gt;0.000000001,AG11/Debt!AG122,0)</f>
        <v>1.60187235726957</v>
      </c>
      <c r="AH14" s="6" t="n">
        <f aca="false">IF(Debt!AH122&gt;0.000000001,AH11/Debt!AH122,0)</f>
        <v>1.68096521819524</v>
      </c>
      <c r="AI14" s="6" t="n">
        <f aca="false">IF(Debt!AI122&gt;0.000000001,AI11/Debt!AI122,0)</f>
        <v>1.7932886398884</v>
      </c>
      <c r="AJ14" s="6" t="n">
        <f aca="false">IF(Debt!AJ122&gt;0.000000001,AJ11/Debt!AJ122,0)</f>
        <v>1.95385497208412</v>
      </c>
      <c r="AK14" s="6" t="n">
        <f aca="false">IF(Debt!AK122&gt;0.000000001,AK11/Debt!AK122,0)</f>
        <v>2.22487461577592</v>
      </c>
      <c r="AL14" s="6" t="n">
        <f aca="false">IF(Debt!AL122&gt;0.000000001,AL11/Debt!AL122,0)</f>
        <v>2.24766341012643</v>
      </c>
      <c r="AM14" s="6" t="n">
        <f aca="false">IF(Debt!AM122&gt;0.000000001,AM11/Debt!AM122,0)</f>
        <v>2.25470693200045</v>
      </c>
      <c r="AN14" s="6" t="n">
        <f aca="false">IF(Debt!AN122&gt;0.000000001,AN11/Debt!AN122,0)</f>
        <v>2.27191453657907</v>
      </c>
      <c r="AO14" s="6" t="n">
        <f aca="false">IF(Debt!AO122&gt;0.000000001,AO11/Debt!AO122,0)</f>
        <v>2.19157214038276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1.84824691644772</v>
      </c>
      <c r="Q15" s="6" t="n">
        <f aca="false">IF(Debt!Q122&gt;0.000000001,Q12/Debt!Q122,0)</f>
        <v>1.87882033680175</v>
      </c>
      <c r="R15" s="6" t="n">
        <f aca="false">IF(Debt!R122&gt;0.000000001,R12/Debt!R122,0)</f>
        <v>1.91202856136953</v>
      </c>
      <c r="S15" s="6" t="n">
        <f aca="false">IF(Debt!S122&gt;0.000000001,S12/Debt!S122,0)</f>
        <v>1.94876700831975</v>
      </c>
      <c r="T15" s="6" t="n">
        <f aca="false">IF(Debt!T122&gt;0.000000001,T12/Debt!T122,0)</f>
        <v>1.98876307473351</v>
      </c>
      <c r="U15" s="6" t="n">
        <f aca="false">IF(Debt!U122&gt;0.000000001,U12/Debt!U122,0)</f>
        <v>2.03330951032686</v>
      </c>
      <c r="V15" s="6" t="n">
        <f aca="false">IF(Debt!V122&gt;0.000000001,V12/Debt!V122,0)</f>
        <v>2.082372888768</v>
      </c>
      <c r="W15" s="6" t="n">
        <f aca="false">IF(Debt!W122&gt;0.000000001,W12/Debt!W122,0)</f>
        <v>2.1380059466913</v>
      </c>
      <c r="X15" s="6" t="n">
        <f aca="false">IF(Debt!X122&gt;0.000000001,X12/Debt!X122,0)</f>
        <v>2.19991411092073</v>
      </c>
      <c r="Y15" s="6" t="n">
        <f aca="false">IF(Debt!Y122&gt;0.000000001,Y12/Debt!Y122,0)</f>
        <v>2.26753100306452</v>
      </c>
      <c r="Z15" s="6" t="n">
        <f aca="false">IF(Debt!Z122&gt;0.000000001,Z12/Debt!Z122,0)</f>
        <v>2.34300377127998</v>
      </c>
      <c r="AA15" s="6" t="n">
        <f aca="false">IF(Debt!AA122&gt;0.000000001,AA12/Debt!AA122,0)</f>
        <v>2.42931492704913</v>
      </c>
      <c r="AB15" s="6" t="n">
        <f aca="false">IF(Debt!AB122&gt;0.000000001,AB12/Debt!AB122,0)</f>
        <v>2.56511556665718</v>
      </c>
      <c r="AC15" s="6" t="n">
        <f aca="false">IF(Debt!AC122&gt;0.000000001,AC12/Debt!AC122,0)</f>
        <v>2.73106882795252</v>
      </c>
      <c r="AD15" s="6" t="n">
        <f aca="false">IF(Debt!AD122&gt;0.000000001,AD12/Debt!AD122,0)</f>
        <v>2.92285390047886</v>
      </c>
      <c r="AE15" s="6" t="n">
        <f aca="false">IF(Debt!AE122&gt;0.000000001,AE12/Debt!AE122,0)</f>
        <v>3.17238257586152</v>
      </c>
      <c r="AF15" s="6" t="n">
        <f aca="false">IF(Debt!AF122&gt;0.000000001,AF12/Debt!AF122,0)</f>
        <v>3.48727674865398</v>
      </c>
      <c r="AG15" s="6" t="n">
        <f aca="false">IF(Debt!AG122&gt;0.000000001,AG12/Debt!AG122,0)</f>
        <v>3.8997405985595</v>
      </c>
      <c r="AH15" s="6" t="n">
        <f aca="false">IF(Debt!AH122&gt;0.000000001,AH12/Debt!AH122,0)</f>
        <v>4.44366403591172</v>
      </c>
      <c r="AI15" s="6" t="n">
        <f aca="false">IF(Debt!AI122&gt;0.000000001,AI12/Debt!AI122,0)</f>
        <v>5.23179923269283</v>
      </c>
      <c r="AJ15" s="6" t="n">
        <f aca="false">IF(Debt!AJ122&gt;0.000000001,AJ12/Debt!AJ122,0)</f>
        <v>6.41520816325563</v>
      </c>
      <c r="AK15" s="6" t="n">
        <f aca="false">IF(Debt!AK122&gt;0.000000001,AK12/Debt!AK122,0)</f>
        <v>8.47628010852923</v>
      </c>
      <c r="AL15" s="6" t="n">
        <f aca="false">IF(Debt!AL122&gt;0.000000001,AL12/Debt!AL122,0)</f>
        <v>10.379858239019</v>
      </c>
      <c r="AM15" s="6" t="n">
        <f aca="false">IF(Debt!AM122&gt;0.000000001,AM12/Debt!AM122,0)</f>
        <v>13.6813692466002</v>
      </c>
      <c r="AN15" s="6" t="n">
        <f aca="false">IF(Debt!AN122&gt;0.000000001,AN12/Debt!AN122,0)</f>
        <v>21.0673543150042</v>
      </c>
      <c r="AO15" s="6" t="n">
        <f aca="false">IF(Debt!AO122&gt;0.000000001,AO12/Debt!AO122,0)</f>
        <v>40.5210132125183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e">
        <f aca="false">MIN(IF(Debt!$J$121:$BN$121&gt;0.000000001,Waterfall!$J$17:$BN$17,999))</f>
        <v>#VALUE!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e">
        <f aca="false">SUM(Waterfall!$J$7:$BN$7*(Debt!$J$121:$BN$121&gt;0.000000001))/SUM(Debt!$J$121:$BN$121)</f>
        <v>#VALUE!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1.41183306720934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1.84824691644772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1161.1635925931</v>
      </c>
      <c r="J8" s="11" t="n">
        <f aca="false">-Inputs!$F$66</f>
        <v>-14.2</v>
      </c>
      <c r="K8" s="11" t="n">
        <f aca="false">-Funding!J68</f>
        <v>-17.3443654741124</v>
      </c>
      <c r="L8" s="11" t="n">
        <f aca="false">-Funding!K68</f>
        <v>-0.648320373179076</v>
      </c>
      <c r="M8" s="11" t="n">
        <f aca="false">-Funding!L68</f>
        <v>-0.826418347859906</v>
      </c>
      <c r="N8" s="11" t="n">
        <f aca="false">-Funding!M68</f>
        <v>-1.16828978079458</v>
      </c>
      <c r="O8" s="11" t="n">
        <f aca="false">-Funding!N68</f>
        <v>-1.68225053867731</v>
      </c>
      <c r="P8" s="11" t="n">
        <f aca="false">-Funding!O68</f>
        <v>-2.31815833851875</v>
      </c>
      <c r="Q8" s="11" t="n">
        <f aca="false">-Funding!P68</f>
        <v>-3.0241027217991</v>
      </c>
      <c r="R8" s="11" t="n">
        <f aca="false">-Funding!Q68</f>
        <v>-3.83855259456677</v>
      </c>
      <c r="S8" s="11" t="n">
        <f aca="false">-Funding!R68</f>
        <v>-4.6502766335649</v>
      </c>
      <c r="T8" s="11" t="n">
        <f aca="false">-Funding!S68</f>
        <v>-5.47681570917974</v>
      </c>
      <c r="U8" s="11" t="n">
        <f aca="false">-Funding!T68</f>
        <v>-6.25030169980247</v>
      </c>
      <c r="V8" s="11" t="n">
        <f aca="false">-Funding!U68</f>
        <v>-6.99191264158404</v>
      </c>
      <c r="W8" s="11" t="n">
        <f aca="false">-Funding!V68</f>
        <v>-7.6439353122712</v>
      </c>
      <c r="X8" s="11" t="n">
        <f aca="false">-Funding!W68</f>
        <v>-8.18616613574263</v>
      </c>
      <c r="Y8" s="11" t="n">
        <f aca="false">-Funding!X68</f>
        <v>-8.63503011067768</v>
      </c>
      <c r="Z8" s="11" t="n">
        <f aca="false">-Funding!Y68</f>
        <v>-8.93391495565196</v>
      </c>
      <c r="AA8" s="11" t="n">
        <f aca="false">-Funding!Z68</f>
        <v>-9.1211335660466</v>
      </c>
      <c r="AB8" s="11" t="n">
        <f aca="false">-Funding!AA68</f>
        <v>-9.46154396827212</v>
      </c>
      <c r="AC8" s="11" t="n">
        <f aca="false">-Funding!AB68</f>
        <v>-9.0251409982049</v>
      </c>
      <c r="AD8" s="11" t="n">
        <f aca="false">-Funding!AC68</f>
        <v>-8.81062368941417</v>
      </c>
      <c r="AE8" s="11" t="n">
        <f aca="false">-Funding!AD68</f>
        <v>-8.42237069977848</v>
      </c>
      <c r="AF8" s="11" t="n">
        <f aca="false">-Funding!AE68</f>
        <v>-7.9465485624091</v>
      </c>
      <c r="AG8" s="11" t="n">
        <f aca="false">-Funding!AF68</f>
        <v>-7.33492793084585</v>
      </c>
      <c r="AH8" s="11" t="n">
        <f aca="false">-Funding!AG68</f>
        <v>-6.67280605231224</v>
      </c>
      <c r="AI8" s="11" t="n">
        <f aca="false">-Funding!AH68</f>
        <v>-5.93077626622527</v>
      </c>
      <c r="AJ8" s="11" t="n">
        <f aca="false">-Funding!AI68</f>
        <v>-5.13380130806101</v>
      </c>
      <c r="AK8" s="11" t="n">
        <f aca="false">-Funding!AJ68</f>
        <v>-4.36455619682293</v>
      </c>
      <c r="AL8" s="11" t="n">
        <f aca="false">-Funding!AK68</f>
        <v>-3.58140062202883</v>
      </c>
      <c r="AM8" s="11" t="n">
        <f aca="false">-Funding!AL68</f>
        <v>-2.89124437907497</v>
      </c>
      <c r="AN8" s="11" t="n">
        <f aca="false">-Funding!AM68</f>
        <v>-2.27308900262301</v>
      </c>
      <c r="AO8" s="11" t="n">
        <f aca="false">-Funding!AN68</f>
        <v>-1.72016670046058</v>
      </c>
      <c r="AP8" s="11" t="n">
        <f aca="false">-Funding!AO68</f>
        <v>-1.43578904615905</v>
      </c>
      <c r="AQ8" s="11" t="n">
        <f aca="false">-Funding!AP68</f>
        <v>-14.0750388603677</v>
      </c>
      <c r="AR8" s="11" t="n">
        <f aca="false">-Funding!AQ68</f>
        <v>-10.8486751462942</v>
      </c>
      <c r="AS8" s="11" t="n">
        <f aca="false">-Funding!AR68</f>
        <v>-0.965323220673674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14.6612345765964</v>
      </c>
      <c r="BS8" s="16" t="n">
        <f aca="false">Waterfall!Q44</f>
        <v>12.2078079959906</v>
      </c>
      <c r="BT8" s="16" t="n">
        <f aca="false">Waterfall!R44</f>
        <v>13.126100137411</v>
      </c>
      <c r="BU8" s="16" t="n">
        <f aca="false">Waterfall!S44</f>
        <v>12.3153147737073</v>
      </c>
      <c r="BV8" s="16" t="n">
        <f aca="false">Waterfall!T44</f>
        <v>13.0516015143396</v>
      </c>
      <c r="BW8" s="16" t="n">
        <f aca="false">Waterfall!U44</f>
        <v>12.0927548785864</v>
      </c>
      <c r="BX8" s="16" t="n">
        <f aca="false">Waterfall!V44</f>
        <v>13.3268866819869</v>
      </c>
      <c r="BY8" s="16" t="n">
        <f aca="false">Waterfall!W44</f>
        <v>14.0658393853302</v>
      </c>
      <c r="BZ8" s="16" t="n">
        <f aca="false">Waterfall!X44</f>
        <v>12.9285867949304</v>
      </c>
      <c r="CA8" s="16" t="n">
        <f aca="false">Waterfall!Y44</f>
        <v>12.146264853477</v>
      </c>
      <c r="CB8" s="16" t="n">
        <f aca="false">Waterfall!Z44</f>
        <v>12.8462705673942</v>
      </c>
      <c r="CC8" s="16" t="n">
        <f aca="false">Waterfall!AA44</f>
        <v>6.00772900021412</v>
      </c>
      <c r="CD8" s="16" t="n">
        <f aca="false">Waterfall!AB44</f>
        <v>6.99368704469093</v>
      </c>
      <c r="CE8" s="16" t="n">
        <f aca="false">Waterfall!AC44</f>
        <v>6.65508919369183</v>
      </c>
      <c r="CF8" s="16" t="n">
        <f aca="false">Waterfall!AD44</f>
        <v>7.9858172044616</v>
      </c>
      <c r="CG8" s="16" t="n">
        <f aca="false">Waterfall!AE44</f>
        <v>8.58362979333186</v>
      </c>
      <c r="CH8" s="16" t="n">
        <f aca="false">Waterfall!AF44</f>
        <v>9.45301575399795</v>
      </c>
      <c r="CI8" s="16" t="n">
        <f aca="false">Waterfall!AG44</f>
        <v>9.86400962848871</v>
      </c>
      <c r="CJ8" s="16" t="n">
        <f aca="false">Waterfall!AH44</f>
        <v>11.2174730985755</v>
      </c>
      <c r="CK8" s="16" t="n">
        <f aca="false">Waterfall!AI44</f>
        <v>12.061136975482</v>
      </c>
      <c r="CL8" s="16" t="n">
        <f aca="false">Waterfall!AJ44</f>
        <v>13.9007318312843</v>
      </c>
      <c r="CM8" s="16" t="n">
        <f aca="false">Waterfall!AK44</f>
        <v>30.5256310047672</v>
      </c>
      <c r="CN8" s="16" t="n">
        <f aca="false">Waterfall!AL44</f>
        <v>29.577906604268</v>
      </c>
      <c r="CO8" s="16" t="n">
        <f aca="false">Waterfall!AM44</f>
        <v>33.3809149883595</v>
      </c>
      <c r="CP8" s="16" t="n">
        <f aca="false">Waterfall!AN44</f>
        <v>26.0393957701188</v>
      </c>
      <c r="CQ8" s="16" t="n">
        <f aca="false">Waterfall!AO44</f>
        <v>41.4336607083046</v>
      </c>
      <c r="CR8" s="16" t="n">
        <f aca="false">Waterfall!AP44</f>
        <v>41.3696749509332</v>
      </c>
      <c r="CS8" s="16" t="n">
        <f aca="false">Waterfall!AQ44</f>
        <v>40.887875310738</v>
      </c>
      <c r="CT8" s="16" t="n">
        <f aca="false">Waterfall!AR44</f>
        <v>41.4757192835089</v>
      </c>
      <c r="CU8" s="16" t="n">
        <f aca="false">Waterfall!AS44</f>
        <v>41.2137543270468</v>
      </c>
      <c r="CV8" s="16" t="n">
        <f aca="false">Waterfall!AT44</f>
        <v>47.9496062254955</v>
      </c>
      <c r="CW8" s="16" t="n">
        <f aca="false">Waterfall!AU44</f>
        <v>43.5155217917493</v>
      </c>
      <c r="CX8" s="16" t="n">
        <f aca="false">Waterfall!AV44</f>
        <v>43.623361666322</v>
      </c>
      <c r="CY8" s="16" t="n">
        <f aca="false">Waterfall!AW44</f>
        <v>43.1966272325465</v>
      </c>
      <c r="CZ8" s="16" t="n">
        <f aca="false">Waterfall!AX44</f>
        <v>43.8655381025356</v>
      </c>
      <c r="DA8" s="16" t="n">
        <f aca="false">Waterfall!AY44</f>
        <v>43.4110588434027</v>
      </c>
      <c r="DB8" s="16" t="n">
        <f aca="false">Waterfall!AZ44</f>
        <v>44.019806723715</v>
      </c>
      <c r="DC8" s="16" t="n">
        <f aca="false">Waterfall!BA44</f>
        <v>43.2296449340063</v>
      </c>
      <c r="DD8" s="16" t="n">
        <f aca="false">Waterfall!BB44</f>
        <v>44.4701855164617</v>
      </c>
      <c r="DE8" s="16" t="n">
        <f aca="false">Waterfall!BC44</f>
        <v>41.0572872156454</v>
      </c>
      <c r="DF8" s="16" t="n">
        <f aca="false">Waterfall!BD44</f>
        <v>34.9280474778911</v>
      </c>
      <c r="DG8" s="16" t="n">
        <f aca="false">Waterfall!BE44</f>
        <v>34.4777592795873</v>
      </c>
      <c r="DH8" s="16" t="n">
        <f aca="false">Waterfall!BF44</f>
        <v>35.1587269848472</v>
      </c>
      <c r="DI8" s="16" t="n">
        <f aca="false">Waterfall!BG44</f>
        <v>34.6765690989376</v>
      </c>
      <c r="DJ8" s="16" t="n">
        <f aca="false">Waterfall!BH44</f>
        <v>35.2905790581034</v>
      </c>
      <c r="DK8" s="16" t="n">
        <f aca="false">Waterfall!BI44</f>
        <v>35.0158537614604</v>
      </c>
      <c r="DL8" s="16" t="n">
        <f aca="false">Waterfall!BJ44</f>
        <v>43.0251154178748</v>
      </c>
      <c r="DM8" s="16" t="n">
        <f aca="false">Waterfall!BK44</f>
        <v>37.7611193148148</v>
      </c>
      <c r="DN8" s="16" t="n">
        <f aca="false">Waterfall!BL44</f>
        <v>38.4731289573919</v>
      </c>
      <c r="DO8" s="16" t="n">
        <f aca="false">Waterfall!BM44</f>
        <v>54.4563079423586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1581.23477658308</v>
      </c>
      <c r="J9" s="11" t="n">
        <f aca="false">0</f>
        <v>0</v>
      </c>
      <c r="K9" s="11" t="n">
        <f aca="false">-Construction!J30</f>
        <v>-108.1116</v>
      </c>
      <c r="L9" s="11" t="n">
        <f aca="false">-Construction!K30</f>
        <v>-1.42082937909091</v>
      </c>
      <c r="M9" s="11" t="n">
        <f aca="false">-Construction!L30</f>
        <v>-2.05467447</v>
      </c>
      <c r="N9" s="11" t="n">
        <f aca="false">-Construction!M30</f>
        <v>-3.35699423727273</v>
      </c>
      <c r="O9" s="11" t="n">
        <f aca="false">-Construction!N30</f>
        <v>-5.24616180090909</v>
      </c>
      <c r="P9" s="11" t="n">
        <f aca="false">-Construction!O30</f>
        <v>-7.60839423727273</v>
      </c>
      <c r="Q9" s="11" t="n">
        <f aca="false">-Construction!P30</f>
        <v>-10.3181592990909</v>
      </c>
      <c r="R9" s="11" t="n">
        <f aca="false">-Construction!Q30</f>
        <v>-13.2493063536364</v>
      </c>
      <c r="S9" s="11" t="n">
        <f aca="false">-Construction!R30</f>
        <v>-16.2775399245455</v>
      </c>
      <c r="T9" s="11" t="n">
        <f aca="false">-Construction!S30</f>
        <v>-19.2866035463636</v>
      </c>
      <c r="U9" s="11" t="n">
        <f aca="false">-Construction!T30</f>
        <v>-22.1682797645455</v>
      </c>
      <c r="V9" s="11" t="n">
        <f aca="false">-Construction!U30</f>
        <v>-24.8261004481818</v>
      </c>
      <c r="W9" s="11" t="n">
        <f aca="false">-Construction!V30</f>
        <v>-27.1747284045455</v>
      </c>
      <c r="X9" s="11" t="n">
        <f aca="false">-Construction!W30</f>
        <v>-29.14119415</v>
      </c>
      <c r="Y9" s="11" t="n">
        <f aca="false">-Construction!X30</f>
        <v>-30.6686062227273</v>
      </c>
      <c r="Z9" s="11" t="n">
        <f aca="false">-Construction!Y30</f>
        <v>-31.7112040990909</v>
      </c>
      <c r="AA9" s="11" t="n">
        <f aca="false">-Construction!Z30</f>
        <v>-32.2399236627273</v>
      </c>
      <c r="AB9" s="11" t="n">
        <f aca="false">-Construction!AA30</f>
        <v>-33.3829236627273</v>
      </c>
      <c r="AC9" s="11" t="n">
        <f aca="false">-Construction!AB30</f>
        <v>-31.7112040990909</v>
      </c>
      <c r="AD9" s="11" t="n">
        <f aca="false">-Construction!AC30</f>
        <v>-30.6686062227273</v>
      </c>
      <c r="AE9" s="11" t="n">
        <f aca="false">-Construction!AD30</f>
        <v>-29.14119415</v>
      </c>
      <c r="AF9" s="11" t="n">
        <f aca="false">-Construction!AE30</f>
        <v>-27.1747284045455</v>
      </c>
      <c r="AG9" s="11" t="n">
        <f aca="false">-Construction!AF30</f>
        <v>-24.8261004481818</v>
      </c>
      <c r="AH9" s="11" t="n">
        <f aca="false">-Construction!AG30</f>
        <v>-22.1682797645455</v>
      </c>
      <c r="AI9" s="11" t="n">
        <f aca="false">-Construction!AH30</f>
        <v>-19.2866035463636</v>
      </c>
      <c r="AJ9" s="11" t="n">
        <f aca="false">-Construction!AI30</f>
        <v>-16.2775399245455</v>
      </c>
      <c r="AK9" s="11" t="n">
        <f aca="false">-Construction!AJ30</f>
        <v>-13.2493063536364</v>
      </c>
      <c r="AL9" s="11" t="n">
        <f aca="false">-Construction!AK30</f>
        <v>-10.3181592990909</v>
      </c>
      <c r="AM9" s="11" t="n">
        <f aca="false">-Construction!AL30</f>
        <v>-7.60839423727273</v>
      </c>
      <c r="AN9" s="11" t="n">
        <f aca="false">-Construction!AM30</f>
        <v>-5.24616180090909</v>
      </c>
      <c r="AO9" s="11" t="n">
        <f aca="false">-Construction!AN30</f>
        <v>-3.35699423727273</v>
      </c>
      <c r="AP9" s="11" t="n">
        <f aca="false">-Construction!AO30</f>
        <v>-2.05467447</v>
      </c>
      <c r="AQ9" s="11" t="n">
        <f aca="false">-Construction!AP30</f>
        <v>-49.6588293790909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1.86586721000271</v>
      </c>
      <c r="BR9" s="16" t="n">
        <f aca="false">Waterfall!P7</f>
        <v>49.9523838217405</v>
      </c>
      <c r="BS9" s="16" t="n">
        <f aca="false">Waterfall!Q7</f>
        <v>49.8325930836686</v>
      </c>
      <c r="BT9" s="16" t="n">
        <f aca="false">Waterfall!R7</f>
        <v>50.4594126299679</v>
      </c>
      <c r="BU9" s="16" t="n">
        <f aca="false">Waterfall!S7</f>
        <v>50.0665325554551</v>
      </c>
      <c r="BV9" s="16" t="n">
        <f aca="false">Waterfall!T7</f>
        <v>50.6222942691923</v>
      </c>
      <c r="BW9" s="16" t="n">
        <f aca="false">Waterfall!U7</f>
        <v>50.3806751137447</v>
      </c>
      <c r="BX9" s="16" t="n">
        <f aca="false">Waterfall!V7</f>
        <v>51.3501141078566</v>
      </c>
      <c r="BY9" s="16" t="n">
        <f aca="false">Waterfall!W7</f>
        <v>50.9926344599196</v>
      </c>
      <c r="BZ9" s="16" t="n">
        <f aca="false">Waterfall!X7</f>
        <v>49.4989788394756</v>
      </c>
      <c r="CA9" s="16" t="n">
        <f aca="false">Waterfall!Y7</f>
        <v>49.0176279619911</v>
      </c>
      <c r="CB9" s="16" t="n">
        <f aca="false">Waterfall!Z7</f>
        <v>49.4205579222486</v>
      </c>
      <c r="CC9" s="16" t="n">
        <f aca="false">Waterfall!AA7</f>
        <v>49.0202066324044</v>
      </c>
      <c r="CD9" s="16" t="n">
        <f aca="false">Waterfall!AB7</f>
        <v>49.592333736031</v>
      </c>
      <c r="CE9" s="16" t="n">
        <f aca="false">Waterfall!AC7</f>
        <v>49.391323424449</v>
      </c>
      <c r="CF9" s="16" t="n">
        <f aca="false">Waterfall!AD7</f>
        <v>51.3078699799089</v>
      </c>
      <c r="CG9" s="16" t="n">
        <f aca="false">Waterfall!AE7</f>
        <v>51.3909297332099</v>
      </c>
      <c r="CH9" s="16" t="n">
        <f aca="false">Waterfall!AF7</f>
        <v>51.533226912184</v>
      </c>
      <c r="CI9" s="16" t="n">
        <f aca="false">Waterfall!AG7</f>
        <v>51.1631486230192</v>
      </c>
      <c r="CJ9" s="16" t="n">
        <f aca="false">Waterfall!AH7</f>
        <v>51.827218357985</v>
      </c>
      <c r="CK9" s="16" t="n">
        <f aca="false">Waterfall!AI7</f>
        <v>51.4204839026883</v>
      </c>
      <c r="CL9" s="16" t="n">
        <f aca="false">Waterfall!AJ7</f>
        <v>52.0121755240322</v>
      </c>
      <c r="CM9" s="16" t="n">
        <f aca="false">Waterfall!AK7</f>
        <v>51.7765466437032</v>
      </c>
      <c r="CN9" s="16" t="n">
        <f aca="false">Waterfall!AL7</f>
        <v>52.888875251574</v>
      </c>
      <c r="CO9" s="16" t="n">
        <f aca="false">Waterfall!AM7</f>
        <v>52.5129322432236</v>
      </c>
      <c r="CP9" s="16" t="n">
        <f aca="false">Waterfall!AN7</f>
        <v>44.945303517727</v>
      </c>
      <c r="CQ9" s="16" t="n">
        <f aca="false">Waterfall!AO7</f>
        <v>41.4336607083046</v>
      </c>
      <c r="CR9" s="16" t="n">
        <f aca="false">Waterfall!AP7</f>
        <v>41.3696749509332</v>
      </c>
      <c r="CS9" s="16" t="n">
        <f aca="false">Waterfall!AQ7</f>
        <v>40.887875310738</v>
      </c>
      <c r="CT9" s="16" t="n">
        <f aca="false">Waterfall!AR7</f>
        <v>41.4757192835089</v>
      </c>
      <c r="CU9" s="16" t="n">
        <f aca="false">Waterfall!AS7</f>
        <v>41.2137543270468</v>
      </c>
      <c r="CV9" s="16" t="n">
        <f aca="false">Waterfall!AT7</f>
        <v>47.9496062254955</v>
      </c>
      <c r="CW9" s="16" t="n">
        <f aca="false">Waterfall!AU7</f>
        <v>43.5155217917493</v>
      </c>
      <c r="CX9" s="16" t="n">
        <f aca="false">Waterfall!AV7</f>
        <v>43.623361666322</v>
      </c>
      <c r="CY9" s="16" t="n">
        <f aca="false">Waterfall!AW7</f>
        <v>43.1966272325465</v>
      </c>
      <c r="CZ9" s="16" t="n">
        <f aca="false">Waterfall!AX7</f>
        <v>43.8655381025356</v>
      </c>
      <c r="DA9" s="16" t="n">
        <f aca="false">Waterfall!AY7</f>
        <v>43.4110588434027</v>
      </c>
      <c r="DB9" s="16" t="n">
        <f aca="false">Waterfall!AZ7</f>
        <v>44.019806723715</v>
      </c>
      <c r="DC9" s="16" t="n">
        <f aca="false">Waterfall!BA7</f>
        <v>43.724613320615</v>
      </c>
      <c r="DD9" s="16" t="n">
        <f aca="false">Waterfall!BB7</f>
        <v>45.9713357711061</v>
      </c>
      <c r="DE9" s="16" t="n">
        <f aca="false">Waterfall!BC7</f>
        <v>42.5748602889876</v>
      </c>
      <c r="DF9" s="16" t="n">
        <f aca="false">Waterfall!BD7</f>
        <v>36.4622230381377</v>
      </c>
      <c r="DG9" s="16" t="n">
        <f aca="false">Waterfall!BE7</f>
        <v>36.0287189605431</v>
      </c>
      <c r="DH9" s="16" t="n">
        <f aca="false">Waterfall!BF7</f>
        <v>36.7266544074192</v>
      </c>
      <c r="DI9" s="16" t="n">
        <f aca="false">Waterfall!BG7</f>
        <v>36.2616498928744</v>
      </c>
      <c r="DJ9" s="16" t="n">
        <f aca="false">Waterfall!BH7</f>
        <v>36.893000883972</v>
      </c>
      <c r="DK9" s="16" t="n">
        <f aca="false">Waterfall!BI7</f>
        <v>36.6358063328638</v>
      </c>
      <c r="DL9" s="16" t="n">
        <f aca="false">Waterfall!BJ7</f>
        <v>44.6627905239125</v>
      </c>
      <c r="DM9" s="16" t="n">
        <f aca="false">Waterfall!BK7</f>
        <v>39.4167108427891</v>
      </c>
      <c r="DN9" s="16" t="n">
        <f aca="false">Waterfall!BL7</f>
        <v>40.1468329157625</v>
      </c>
      <c r="DO9" s="16" t="n">
        <f aca="false">Waterfall!BM7</f>
        <v>36.5151277803975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1891.94660067715</v>
      </c>
      <c r="J10" s="11" t="n">
        <f aca="false">0</f>
        <v>0</v>
      </c>
      <c r="K10" s="11" t="n">
        <f aca="false">-Construction!J30</f>
        <v>-108.1116</v>
      </c>
      <c r="L10" s="11" t="n">
        <f aca="false">-Construction!K30</f>
        <v>-1.42082937909091</v>
      </c>
      <c r="M10" s="11" t="n">
        <f aca="false">-Construction!L30</f>
        <v>-2.05467447</v>
      </c>
      <c r="N10" s="11" t="n">
        <f aca="false">-Construction!M30</f>
        <v>-3.35699423727273</v>
      </c>
      <c r="O10" s="11" t="n">
        <f aca="false">-Construction!N30</f>
        <v>-5.24616180090909</v>
      </c>
      <c r="P10" s="11" t="n">
        <f aca="false">-Construction!O30</f>
        <v>-7.60839423727273</v>
      </c>
      <c r="Q10" s="11" t="n">
        <f aca="false">-Construction!P30</f>
        <v>-10.3181592990909</v>
      </c>
      <c r="R10" s="11" t="n">
        <f aca="false">-Construction!Q30</f>
        <v>-13.2493063536364</v>
      </c>
      <c r="S10" s="11" t="n">
        <f aca="false">-Construction!R30</f>
        <v>-16.2775399245455</v>
      </c>
      <c r="T10" s="11" t="n">
        <f aca="false">-Construction!S30</f>
        <v>-19.2866035463636</v>
      </c>
      <c r="U10" s="11" t="n">
        <f aca="false">-Construction!T30</f>
        <v>-22.1682797645455</v>
      </c>
      <c r="V10" s="11" t="n">
        <f aca="false">-Construction!U30</f>
        <v>-24.8261004481818</v>
      </c>
      <c r="W10" s="11" t="n">
        <f aca="false">-Construction!V30</f>
        <v>-27.1747284045455</v>
      </c>
      <c r="X10" s="11" t="n">
        <f aca="false">-Construction!W30</f>
        <v>-29.14119415</v>
      </c>
      <c r="Y10" s="11" t="n">
        <f aca="false">-Construction!X30</f>
        <v>-30.6686062227273</v>
      </c>
      <c r="Z10" s="11" t="n">
        <f aca="false">-Construction!Y30</f>
        <v>-31.7112040990909</v>
      </c>
      <c r="AA10" s="11" t="n">
        <f aca="false">-Construction!Z30</f>
        <v>-32.2399236627273</v>
      </c>
      <c r="AB10" s="11" t="n">
        <f aca="false">-Construction!AA30</f>
        <v>-33.3829236627273</v>
      </c>
      <c r="AC10" s="11" t="n">
        <f aca="false">-Construction!AB30</f>
        <v>-31.7112040990909</v>
      </c>
      <c r="AD10" s="11" t="n">
        <f aca="false">-Construction!AC30</f>
        <v>-30.6686062227273</v>
      </c>
      <c r="AE10" s="11" t="n">
        <f aca="false">-Construction!AD30</f>
        <v>-29.14119415</v>
      </c>
      <c r="AF10" s="11" t="n">
        <f aca="false">-Construction!AE30</f>
        <v>-27.1747284045455</v>
      </c>
      <c r="AG10" s="11" t="n">
        <f aca="false">-Construction!AF30</f>
        <v>-24.8261004481818</v>
      </c>
      <c r="AH10" s="11" t="n">
        <f aca="false">-Construction!AG30</f>
        <v>-22.1682797645455</v>
      </c>
      <c r="AI10" s="11" t="n">
        <f aca="false">-Construction!AH30</f>
        <v>-19.2866035463636</v>
      </c>
      <c r="AJ10" s="11" t="n">
        <f aca="false">-Construction!AI30</f>
        <v>-16.2775399245455</v>
      </c>
      <c r="AK10" s="11" t="n">
        <f aca="false">-Construction!AJ30</f>
        <v>-13.2493063536364</v>
      </c>
      <c r="AL10" s="11" t="n">
        <f aca="false">-Construction!AK30</f>
        <v>-10.3181592990909</v>
      </c>
      <c r="AM10" s="11" t="n">
        <f aca="false">-Construction!AL30</f>
        <v>-7.60839423727273</v>
      </c>
      <c r="AN10" s="11" t="n">
        <f aca="false">-Construction!AM30</f>
        <v>-5.24616180090909</v>
      </c>
      <c r="AO10" s="11" t="n">
        <f aca="false">-Construction!AN30</f>
        <v>-3.35699423727273</v>
      </c>
      <c r="AP10" s="11" t="n">
        <f aca="false">-Construction!AO30</f>
        <v>-2.05467447</v>
      </c>
      <c r="AQ10" s="11" t="n">
        <f aca="false">-Construction!AP30</f>
        <v>-49.6588293790909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1.86586721000271</v>
      </c>
      <c r="BR10" s="11" t="n">
        <f aca="false">Waterfall!P7+Tax!P27</f>
        <v>49.9523838217405</v>
      </c>
      <c r="BS10" s="11" t="n">
        <f aca="false">Waterfall!Q7+Tax!Q27</f>
        <v>49.8325930836686</v>
      </c>
      <c r="BT10" s="11" t="n">
        <f aca="false">Waterfall!R7+Tax!R27</f>
        <v>50.4594126299679</v>
      </c>
      <c r="BU10" s="11" t="n">
        <f aca="false">Waterfall!S7+Tax!S27</f>
        <v>50.0665325554551</v>
      </c>
      <c r="BV10" s="11" t="n">
        <f aca="false">Waterfall!T7+Tax!T27</f>
        <v>50.6222942691923</v>
      </c>
      <c r="BW10" s="11" t="n">
        <f aca="false">Waterfall!U7+Tax!U27</f>
        <v>50.3806751137447</v>
      </c>
      <c r="BX10" s="11" t="n">
        <f aca="false">Waterfall!V7+Tax!V27</f>
        <v>51.3501141078566</v>
      </c>
      <c r="BY10" s="11" t="n">
        <f aca="false">Waterfall!W7+Tax!W27</f>
        <v>50.9926344599196</v>
      </c>
      <c r="BZ10" s="11" t="n">
        <f aca="false">Waterfall!X7+Tax!X27</f>
        <v>49.4989788394756</v>
      </c>
      <c r="CA10" s="11" t="n">
        <f aca="false">Waterfall!Y7+Tax!Y27</f>
        <v>49.1348572018923</v>
      </c>
      <c r="CB10" s="11" t="n">
        <f aca="false">Waterfall!Z7+Tax!Z27</f>
        <v>49.7735906195852</v>
      </c>
      <c r="CC10" s="11" t="n">
        <f aca="false">Waterfall!AA7+Tax!AA27</f>
        <v>49.3749813141132</v>
      </c>
      <c r="CD10" s="11" t="n">
        <f aca="false">Waterfall!AB7+Tax!AB27</f>
        <v>49.9489999813234</v>
      </c>
      <c r="CE10" s="11" t="n">
        <f aca="false">Waterfall!AC7+Tax!AC27</f>
        <v>49.7488999910834</v>
      </c>
      <c r="CF10" s="11" t="n">
        <f aca="false">Waterfall!AD7+Tax!AD27</f>
        <v>51.661007478984</v>
      </c>
      <c r="CG10" s="11" t="n">
        <f aca="false">Waterfall!AE7+Tax!AE27</f>
        <v>51.751092112341</v>
      </c>
      <c r="CH10" s="11" t="n">
        <f aca="false">Waterfall!AF7+Tax!AF27</f>
        <v>51.8966101095034</v>
      </c>
      <c r="CI10" s="11" t="n">
        <f aca="false">Waterfall!AG7+Tax!AG27</f>
        <v>51.5281199907997</v>
      </c>
      <c r="CJ10" s="11" t="n">
        <f aca="false">Waterfall!AH7+Tax!AH27</f>
        <v>52.1936558738985</v>
      </c>
      <c r="CK10" s="11" t="n">
        <f aca="false">Waterfall!AI7+Tax!AI27</f>
        <v>51.7888181430024</v>
      </c>
      <c r="CL10" s="11" t="n">
        <f aca="false">Waterfall!AJ7+Tax!AJ27</f>
        <v>52.3825687652451</v>
      </c>
      <c r="CM10" s="11" t="n">
        <f aca="false">Waterfall!AK7+Tax!AK27</f>
        <v>52.1482347659863</v>
      </c>
      <c r="CN10" s="11" t="n">
        <f aca="false">Waterfall!AL7+Tax!AL27</f>
        <v>53.2613572591454</v>
      </c>
      <c r="CO10" s="11" t="n">
        <f aca="false">Waterfall!AM7+Tax!AM27</f>
        <v>52.8877525631644</v>
      </c>
      <c r="CP10" s="11" t="n">
        <f aca="false">Waterfall!AN7+Tax!AN27</f>
        <v>51.0391184925831</v>
      </c>
      <c r="CQ10" s="11" t="n">
        <f aca="false">Waterfall!AO7+Tax!AO27</f>
        <v>50.6674336588147</v>
      </c>
      <c r="CR10" s="11" t="n">
        <f aca="false">Waterfall!AP7+Tax!AP27</f>
        <v>51.3620960568619</v>
      </c>
      <c r="CS10" s="11" t="n">
        <f aca="false">Waterfall!AQ7+Tax!AQ27</f>
        <v>50.9504867973623</v>
      </c>
      <c r="CT10" s="11" t="n">
        <f aca="false">Waterfall!AR7+Tax!AR27</f>
        <v>51.5655653701824</v>
      </c>
      <c r="CU10" s="11" t="n">
        <f aca="false">Waterfall!AS7+Tax!AS27</f>
        <v>51.3818556290198</v>
      </c>
      <c r="CV10" s="11" t="n">
        <f aca="false">Waterfall!AT7+Tax!AT27</f>
        <v>53.7033154471778</v>
      </c>
      <c r="CW10" s="11" t="n">
        <f aca="false">Waterfall!AU7+Tax!AU27</f>
        <v>53.8058223889685</v>
      </c>
      <c r="CX10" s="11" t="n">
        <f aca="false">Waterfall!AV7+Tax!AV27</f>
        <v>53.8776024167445</v>
      </c>
      <c r="CY10" s="11" t="n">
        <f aca="false">Waterfall!AW7+Tax!AW27</f>
        <v>53.4996465336075</v>
      </c>
      <c r="CZ10" s="11" t="n">
        <f aca="false">Waterfall!AX7+Tax!AX27</f>
        <v>54.225962838156</v>
      </c>
      <c r="DA10" s="11" t="n">
        <f aca="false">Waterfall!AY7+Tax!AY27</f>
        <v>53.8069911569834</v>
      </c>
      <c r="DB10" s="11" t="n">
        <f aca="false">Waterfall!AZ7+Tax!AZ27</f>
        <v>54.4451247306439</v>
      </c>
      <c r="DC10" s="11" t="n">
        <f aca="false">Waterfall!BA7+Tax!BA27</f>
        <v>54.2197013585439</v>
      </c>
      <c r="DD10" s="11" t="n">
        <f aca="false">Waterfall!BB7+Tax!BB27</f>
        <v>55.5039105312917</v>
      </c>
      <c r="DE10" s="11" t="n">
        <f aca="false">Waterfall!BC7+Tax!BC27</f>
        <v>55.111141715091</v>
      </c>
      <c r="DF10" s="11" t="n">
        <f aca="false">Waterfall!BD7+Tax!BD27</f>
        <v>52.8387132967751</v>
      </c>
      <c r="DG10" s="11" t="n">
        <f aca="false">Waterfall!BE7+Tax!BE27</f>
        <v>52.457971193306</v>
      </c>
      <c r="DH10" s="11" t="n">
        <f aca="false">Waterfall!BF7+Tax!BF27</f>
        <v>53.218690052135</v>
      </c>
      <c r="DI10" s="11" t="n">
        <f aca="false">Waterfall!BG7+Tax!BG27</f>
        <v>52.7917130413884</v>
      </c>
      <c r="DJ10" s="11" t="n">
        <f aca="false">Waterfall!BH7+Tax!BH27</f>
        <v>53.4547706278779</v>
      </c>
      <c r="DK10" s="11" t="n">
        <f aca="false">Waterfall!BI7+Tax!BI27</f>
        <v>53.290988275186</v>
      </c>
      <c r="DL10" s="11" t="n">
        <f aca="false">Waterfall!BJ7+Tax!BJ27</f>
        <v>56.1001351777424</v>
      </c>
      <c r="DM10" s="11" t="n">
        <f aca="false">Waterfall!BK7+Tax!BK27</f>
        <v>56.2174405503457</v>
      </c>
      <c r="DN10" s="11" t="n">
        <f aca="false">Waterfall!BL7+Tax!BL27</f>
        <v>56.9014252030923</v>
      </c>
      <c r="DO10" s="11" t="n">
        <f aca="false">Waterfall!BM7+Tax!BM27</f>
        <v>41.9969458761743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-31.5443654741124</v>
      </c>
      <c r="L11" s="11" t="n">
        <f aca="false">K11+L8</f>
        <v>-32.1926858472915</v>
      </c>
      <c r="M11" s="11" t="n">
        <f aca="false">L11+M8</f>
        <v>-33.0191041951514</v>
      </c>
      <c r="N11" s="11" t="n">
        <f aca="false">M11+N8</f>
        <v>-34.187393975946</v>
      </c>
      <c r="O11" s="11" t="n">
        <f aca="false">N11+O8</f>
        <v>-35.8696445146233</v>
      </c>
      <c r="P11" s="11" t="n">
        <f aca="false">O11+P8</f>
        <v>-38.1878028531421</v>
      </c>
      <c r="Q11" s="11" t="n">
        <f aca="false">P11+Q8</f>
        <v>-41.2119055749412</v>
      </c>
      <c r="R11" s="11" t="n">
        <f aca="false">Q11+R8</f>
        <v>-45.0504581695079</v>
      </c>
      <c r="S11" s="11" t="n">
        <f aca="false">R11+S8</f>
        <v>-49.7007348030728</v>
      </c>
      <c r="T11" s="11" t="n">
        <f aca="false">S11+T8</f>
        <v>-55.1775505122526</v>
      </c>
      <c r="U11" s="11" t="n">
        <f aca="false">T11+U8</f>
        <v>-61.4278522120551</v>
      </c>
      <c r="V11" s="11" t="n">
        <f aca="false">U11+V8</f>
        <v>-68.4197648536391</v>
      </c>
      <c r="W11" s="11" t="n">
        <f aca="false">V11+W8</f>
        <v>-76.0637001659103</v>
      </c>
      <c r="X11" s="11" t="n">
        <f aca="false">W11+X8</f>
        <v>-84.2498663016529</v>
      </c>
      <c r="Y11" s="11" t="n">
        <f aca="false">X11+Y8</f>
        <v>-92.8848964123306</v>
      </c>
      <c r="Z11" s="11" t="n">
        <f aca="false">Y11+Z8</f>
        <v>-101.818811367983</v>
      </c>
      <c r="AA11" s="11" t="n">
        <f aca="false">Z11+AA8</f>
        <v>-110.939944934029</v>
      </c>
      <c r="AB11" s="11" t="n">
        <f aca="false">AA11+AB8</f>
        <v>-120.401488902301</v>
      </c>
      <c r="AC11" s="11" t="n">
        <f aca="false">AB11+AC8</f>
        <v>-129.426629900506</v>
      </c>
      <c r="AD11" s="11" t="n">
        <f aca="false">AC11+AD8</f>
        <v>-138.23725358992</v>
      </c>
      <c r="AE11" s="11" t="n">
        <f aca="false">AD11+AE8</f>
        <v>-146.659624289699</v>
      </c>
      <c r="AF11" s="11" t="n">
        <f aca="false">AE11+AF8</f>
        <v>-154.606172852108</v>
      </c>
      <c r="AG11" s="11" t="n">
        <f aca="false">AF11+AG8</f>
        <v>-161.941100782954</v>
      </c>
      <c r="AH11" s="11" t="n">
        <f aca="false">AG11+AH8</f>
        <v>-168.613906835266</v>
      </c>
      <c r="AI11" s="11" t="n">
        <f aca="false">AH11+AI8</f>
        <v>-174.544683101491</v>
      </c>
      <c r="AJ11" s="11" t="n">
        <f aca="false">AI11+AJ8</f>
        <v>-179.678484409552</v>
      </c>
      <c r="AK11" s="11" t="n">
        <f aca="false">AJ11+AK8</f>
        <v>-184.043040606375</v>
      </c>
      <c r="AL11" s="11" t="n">
        <f aca="false">AK11+AL8</f>
        <v>-187.624441228404</v>
      </c>
      <c r="AM11" s="11" t="n">
        <f aca="false">AL11+AM8</f>
        <v>-190.515685607479</v>
      </c>
      <c r="AN11" s="11" t="n">
        <f aca="false">AM11+AN8</f>
        <v>-192.788774610102</v>
      </c>
      <c r="AO11" s="11" t="n">
        <f aca="false">AN11+AO8</f>
        <v>-194.508941310563</v>
      </c>
      <c r="AP11" s="11" t="n">
        <f aca="false">AO11+AP8</f>
        <v>-195.944730356722</v>
      </c>
      <c r="AQ11" s="11" t="n">
        <f aca="false">AP11+AQ8</f>
        <v>-210.019769217089</v>
      </c>
      <c r="AR11" s="11" t="n">
        <f aca="false">AQ11+AR8</f>
        <v>-220.868444363384</v>
      </c>
      <c r="AS11" s="11" t="n">
        <f aca="false">AR11+AS8</f>
        <v>-221.833767584057</v>
      </c>
      <c r="AT11" s="11" t="n">
        <f aca="false">AS11+AT8</f>
        <v>-221.833767584057</v>
      </c>
      <c r="AU11" s="11" t="n">
        <f aca="false">AT11+AU8</f>
        <v>-221.833767584057</v>
      </c>
      <c r="AV11" s="11" t="n">
        <f aca="false">AU11+AV8</f>
        <v>-221.833767584057</v>
      </c>
      <c r="AW11" s="11" t="n">
        <f aca="false">AV11+AW8</f>
        <v>-221.833767584057</v>
      </c>
      <c r="AX11" s="11" t="n">
        <f aca="false">AW11+AX8</f>
        <v>-221.833767584057</v>
      </c>
      <c r="AY11" s="11" t="n">
        <f aca="false">AX11+AY8</f>
        <v>-221.833767584057</v>
      </c>
      <c r="AZ11" s="11" t="n">
        <f aca="false">AY11+AZ8</f>
        <v>-221.833767584057</v>
      </c>
      <c r="BA11" s="11" t="n">
        <f aca="false">AZ11+BA8</f>
        <v>-221.833767584057</v>
      </c>
      <c r="BB11" s="11" t="n">
        <f aca="false">BA11+BB8</f>
        <v>-221.833767584057</v>
      </c>
      <c r="BC11" s="11" t="n">
        <f aca="false">BB11+BC8</f>
        <v>-221.833767584057</v>
      </c>
      <c r="BD11" s="11" t="n">
        <f aca="false">BC11+BD8</f>
        <v>-221.833767584057</v>
      </c>
      <c r="BE11" s="11" t="n">
        <f aca="false">BD11+BE8</f>
        <v>-221.833767584057</v>
      </c>
      <c r="BF11" s="11" t="n">
        <f aca="false">BE11+BF8</f>
        <v>-221.833767584057</v>
      </c>
      <c r="BG11" s="11" t="n">
        <f aca="false">BF11+BG8</f>
        <v>-221.833767584057</v>
      </c>
      <c r="BH11" s="11" t="n">
        <f aca="false">BG11+BH8</f>
        <v>-221.833767584057</v>
      </c>
      <c r="BI11" s="11" t="n">
        <f aca="false">BH11+BI8</f>
        <v>-221.833767584057</v>
      </c>
      <c r="BJ11" s="11" t="n">
        <f aca="false">BI11+BJ8</f>
        <v>-221.833767584057</v>
      </c>
      <c r="BK11" s="11" t="n">
        <f aca="false">BJ11+BK8</f>
        <v>-221.833767584057</v>
      </c>
      <c r="BL11" s="11" t="n">
        <f aca="false">BK11+BL8</f>
        <v>-221.833767584057</v>
      </c>
      <c r="BM11" s="11" t="n">
        <f aca="false">BL11+BM8</f>
        <v>-221.833767584057</v>
      </c>
      <c r="BN11" s="11" t="n">
        <f aca="false">BM11+BN8</f>
        <v>-221.833767584057</v>
      </c>
      <c r="BO11" s="11" t="n">
        <f aca="false">BN11+BO8</f>
        <v>-221.833767584057</v>
      </c>
      <c r="BP11" s="11" t="n">
        <f aca="false">BO11+BP8</f>
        <v>-221.833767584057</v>
      </c>
      <c r="BQ11" s="11" t="n">
        <f aca="false">BP11+BQ8</f>
        <v>-221.833767584057</v>
      </c>
      <c r="BR11" s="11" t="n">
        <f aca="false">BQ11+BR8</f>
        <v>-207.172533007461</v>
      </c>
      <c r="BS11" s="11" t="n">
        <f aca="false">BR11+BS8</f>
        <v>-194.96472501147</v>
      </c>
      <c r="BT11" s="11" t="n">
        <f aca="false">BS11+BT8</f>
        <v>-181.838624874059</v>
      </c>
      <c r="BU11" s="11" t="n">
        <f aca="false">BT11+BU8</f>
        <v>-169.523310100352</v>
      </c>
      <c r="BV11" s="11" t="n">
        <f aca="false">BU11+BV8</f>
        <v>-156.471708586012</v>
      </c>
      <c r="BW11" s="11" t="n">
        <f aca="false">BV11+BW8</f>
        <v>-144.378953707426</v>
      </c>
      <c r="BX11" s="11" t="n">
        <f aca="false">BW11+BX8</f>
        <v>-131.052067025439</v>
      </c>
      <c r="BY11" s="11" t="n">
        <f aca="false">BX11+BY8</f>
        <v>-116.986227640109</v>
      </c>
      <c r="BZ11" s="11" t="n">
        <f aca="false">BY11+BZ8</f>
        <v>-104.057640845179</v>
      </c>
      <c r="CA11" s="11" t="n">
        <f aca="false">BZ11+CA8</f>
        <v>-91.9113759917017</v>
      </c>
      <c r="CB11" s="11" t="n">
        <f aca="false">CA11+CB8</f>
        <v>-79.0651054243075</v>
      </c>
      <c r="CC11" s="11" t="n">
        <f aca="false">CB11+CC8</f>
        <v>-73.0573764240934</v>
      </c>
      <c r="CD11" s="11" t="n">
        <f aca="false">CC11+CD8</f>
        <v>-66.0636893794025</v>
      </c>
      <c r="CE11" s="11" t="n">
        <f aca="false">CD11+CE8</f>
        <v>-59.4086001857106</v>
      </c>
      <c r="CF11" s="11" t="n">
        <f aca="false">CE11+CF8</f>
        <v>-51.422782981249</v>
      </c>
      <c r="CG11" s="11" t="n">
        <f aca="false">CF11+CG8</f>
        <v>-42.8391531879172</v>
      </c>
      <c r="CH11" s="11" t="n">
        <f aca="false">CG11+CH8</f>
        <v>-33.3861374339192</v>
      </c>
      <c r="CI11" s="11" t="n">
        <f aca="false">CH11+CI8</f>
        <v>-23.5221278054305</v>
      </c>
      <c r="CJ11" s="11" t="n">
        <f aca="false">CI11+CJ8</f>
        <v>-12.304654706855</v>
      </c>
      <c r="CK11" s="11" t="n">
        <f aca="false">CJ11+CK8</f>
        <v>-0.243517731372995</v>
      </c>
      <c r="CL11" s="11" t="n">
        <f aca="false">CK11+CL8</f>
        <v>13.6572140999113</v>
      </c>
      <c r="CM11" s="11" t="n">
        <f aca="false">CL11+CM8</f>
        <v>44.1828451046785</v>
      </c>
      <c r="CN11" s="11" t="n">
        <f aca="false">CM11+CN8</f>
        <v>73.7607517089465</v>
      </c>
      <c r="CO11" s="11" t="n">
        <f aca="false">CN11+CO8</f>
        <v>107.141666697306</v>
      </c>
      <c r="CP11" s="11" t="n">
        <f aca="false">CO11+CP8</f>
        <v>133.181062467425</v>
      </c>
      <c r="CQ11" s="11" t="n">
        <f aca="false">CP11+CQ8</f>
        <v>174.614723175729</v>
      </c>
      <c r="CR11" s="11" t="n">
        <f aca="false">CQ11+CR8</f>
        <v>215.984398126663</v>
      </c>
      <c r="CS11" s="11" t="n">
        <f aca="false">CR11+CS8</f>
        <v>256.872273437401</v>
      </c>
      <c r="CT11" s="11" t="n">
        <f aca="false">CS11+CT8</f>
        <v>298.34799272091</v>
      </c>
      <c r="CU11" s="11" t="n">
        <f aca="false">CT11+CU8</f>
        <v>339.561747047956</v>
      </c>
      <c r="CV11" s="11" t="n">
        <f aca="false">CU11+CV8</f>
        <v>387.511353273452</v>
      </c>
      <c r="CW11" s="11" t="n">
        <f aca="false">CV11+CW8</f>
        <v>431.026875065201</v>
      </c>
      <c r="CX11" s="11" t="n">
        <f aca="false">CW11+CX8</f>
        <v>474.650236731523</v>
      </c>
      <c r="CY11" s="11" t="n">
        <f aca="false">CX11+CY8</f>
        <v>517.84686396407</v>
      </c>
      <c r="CZ11" s="11" t="n">
        <f aca="false">CY11+CZ8</f>
        <v>561.712402066605</v>
      </c>
      <c r="DA11" s="11" t="n">
        <f aca="false">CZ11+DA8</f>
        <v>605.123460910008</v>
      </c>
      <c r="DB11" s="11" t="n">
        <f aca="false">DA11+DB8</f>
        <v>649.143267633723</v>
      </c>
      <c r="DC11" s="11" t="n">
        <f aca="false">DB11+DC8</f>
        <v>692.372912567729</v>
      </c>
      <c r="DD11" s="11" t="n">
        <f aca="false">DC11+DD8</f>
        <v>736.843098084191</v>
      </c>
      <c r="DE11" s="11" t="n">
        <f aca="false">DD11+DE8</f>
        <v>777.900385299836</v>
      </c>
      <c r="DF11" s="11" t="n">
        <f aca="false">DE11+DF8</f>
        <v>812.828432777728</v>
      </c>
      <c r="DG11" s="11" t="n">
        <f aca="false">DF11+DG8</f>
        <v>847.306192057315</v>
      </c>
      <c r="DH11" s="11" t="n">
        <f aca="false">DG11+DH8</f>
        <v>882.464919042162</v>
      </c>
      <c r="DI11" s="11" t="n">
        <f aca="false">DH11+DI8</f>
        <v>917.1414881411</v>
      </c>
      <c r="DJ11" s="11" t="n">
        <f aca="false">DI11+DJ8</f>
        <v>952.432067199203</v>
      </c>
      <c r="DK11" s="11" t="n">
        <f aca="false">DJ11+DK8</f>
        <v>987.447920960663</v>
      </c>
      <c r="DL11" s="11" t="n">
        <f aca="false">DK11+DL8</f>
        <v>1030.47303637854</v>
      </c>
      <c r="DM11" s="11" t="n">
        <f aca="false">DL11+DM8</f>
        <v>1068.23415569335</v>
      </c>
      <c r="DN11" s="11" t="n">
        <f aca="false">DM11+DN8</f>
        <v>1106.70728465075</v>
      </c>
      <c r="DO11" s="11" t="n">
        <f aca="false">DN11+DO8</f>
        <v>1161.1635925931</v>
      </c>
      <c r="DP11" s="11" t="n">
        <f aca="false">DO11+DP8</f>
        <v>1161.1635925931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0.131134366480167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0.108900748292062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0.11501435684762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-45.4913761306221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855.089743126849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633.255975542774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221.833767584057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20.6124820039173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37.2458954370954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1.74223968585352E-011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5.80746561951173E-012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e">
        <f aca="false">Ratios!$F$16</f>
        <v>#VALUE!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e">
        <f aca="false">Ratios!$F$17</f>
        <v>#VALUE!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1.41183306720934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1.84824691644772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0.131134366480167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0.108900748292062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-45.4913761306221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2026-10-03T20:47:33Z</dcterms:created>
  <dc:creator>openpyxl</dc:creator>
  <dc:description/>
  <dc:language>en-US</dc:language>
  <cp:lastModifiedBy/>
  <dcterms:modified xsi:type="dcterms:W3CDTF">2026-10-03T20:47:33Z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