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<sst xmlns="http://schemas.openxmlformats.org/spreadsheetml/2006/main" count="2268" uniqueCount="840">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</sst>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6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1.1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307.295598966072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1.53884550107693</v>
      </c>
      <c r="P55" s="11" t="n">
        <f aca="false">Inputs!$F$148*(Inputs!$F$149*P19+(1-Inputs!$F$149)*P23*Inputs!$F$150/P11)*Time!P25/12*Inputs!$F$39</f>
        <v>4.66704213500875</v>
      </c>
      <c r="Q55" s="11" t="n">
        <f aca="false">Inputs!$F$148*(Inputs!$F$149*Q19+(1-Inputs!$F$149)*Q23*Inputs!$F$150/Q11)*Time!Q25/12*Inputs!$F$39</f>
        <v>4.71810030630188</v>
      </c>
      <c r="R55" s="11" t="n">
        <f aca="false">Inputs!$F$148*(Inputs!$F$149*R19+(1-Inputs!$F$149)*R23*Inputs!$F$150/R11)*Time!R25/12*Inputs!$F$39</f>
        <v>4.76971706197895</v>
      </c>
      <c r="S55" s="11" t="n">
        <f aca="false">Inputs!$F$148*(Inputs!$F$149*S19+(1-Inputs!$F$149)*S23*Inputs!$F$150/S11)*Time!S25/12*Inputs!$F$39</f>
        <v>4.82189851304052</v>
      </c>
      <c r="T55" s="11" t="n">
        <f aca="false">Inputs!$F$148*(Inputs!$F$149*T19+(1-Inputs!$F$149)*T23*Inputs!$F$150/T11)*Time!T25/12*Inputs!$F$39</f>
        <v>4.87465083734248</v>
      </c>
      <c r="U55" s="11" t="n">
        <f aca="false">Inputs!$F$148*(Inputs!$F$149*U19+(1-Inputs!$F$149)*U23*Inputs!$F$150/U11)*Time!U25/12*Inputs!$F$39</f>
        <v>4.92798028032741</v>
      </c>
      <c r="V55" s="11" t="n">
        <f aca="false">Inputs!$F$148*(Inputs!$F$149*V19+(1-Inputs!$F$149)*V23*Inputs!$F$150/V11)*Time!V25/12*Inputs!$F$39</f>
        <v>4.98189315576401</v>
      </c>
      <c r="W55" s="11" t="n">
        <f aca="false">Inputs!$F$148*(Inputs!$F$149*W19+(1-Inputs!$F$149)*W23*Inputs!$F$150/W11)*Time!W25/12*Inputs!$F$39</f>
        <v>5.03639584649461</v>
      </c>
      <c r="X55" s="11" t="n">
        <f aca="false">Inputs!$F$148*(Inputs!$F$149*X19+(1-Inputs!$F$149)*X23*Inputs!$F$150/X11)*Time!X25/12*Inputs!$F$39</f>
        <v>5.09149480519082</v>
      </c>
      <c r="Y55" s="11" t="n">
        <f aca="false">Inputs!$F$148*(Inputs!$F$149*Y19+(1-Inputs!$F$149)*Y23*Inputs!$F$150/Y11)*Time!Y25/12*Inputs!$F$39</f>
        <v>5.14719655511749</v>
      </c>
      <c r="Z55" s="11" t="n">
        <f aca="false">Inputs!$F$148*(Inputs!$F$149*Z19+(1-Inputs!$F$149)*Z23*Inputs!$F$150/Z11)*Time!Z25/12*Inputs!$F$39</f>
        <v>5.20350769090502</v>
      </c>
      <c r="AA55" s="11" t="n">
        <f aca="false">Inputs!$F$148*(Inputs!$F$149*AA19+(1-Inputs!$F$149)*AA23*Inputs!$F$150/AA11)*Time!AA25/12*Inputs!$F$39</f>
        <v>5.26043487933008</v>
      </c>
      <c r="AB55" s="11" t="n">
        <f aca="false">Inputs!$F$148*(Inputs!$F$149*AB19+(1-Inputs!$F$149)*AB23*Inputs!$F$150/AB11)*Time!AB25/12*Inputs!$F$39</f>
        <v>5.31798486010493</v>
      </c>
      <c r="AC55" s="11" t="n">
        <f aca="false">Inputs!$F$148*(Inputs!$F$149*AC19+(1-Inputs!$F$149)*AC23*Inputs!$F$150/AC11)*Time!AC25/12*Inputs!$F$39</f>
        <v>5.37616444667534</v>
      </c>
      <c r="AD55" s="11" t="n">
        <f aca="false">Inputs!$F$148*(Inputs!$F$149*AD19+(1-Inputs!$F$149)*AD23*Inputs!$F$150/AD11)*Time!AD25/12*Inputs!$F$39</f>
        <v>5.43498052702724</v>
      </c>
      <c r="AE55" s="11" t="n">
        <f aca="false">Inputs!$F$148*(Inputs!$F$149*AE19+(1-Inputs!$F$149)*AE23*Inputs!$F$150/AE11)*Time!AE25/12*Inputs!$F$39</f>
        <v>5.4944400645022</v>
      </c>
      <c r="AF55" s="11" t="n">
        <f aca="false">Inputs!$F$148*(Inputs!$F$149*AF19+(1-Inputs!$F$149)*AF23*Inputs!$F$150/AF11)*Time!AF25/12*Inputs!$F$39</f>
        <v>5.55455009862183</v>
      </c>
      <c r="AG55" s="11" t="n">
        <f aca="false">Inputs!$F$148*(Inputs!$F$149*AG19+(1-Inputs!$F$149)*AG23*Inputs!$F$150/AG11)*Time!AG25/12*Inputs!$F$39</f>
        <v>5.61531774592124</v>
      </c>
      <c r="AH55" s="11" t="n">
        <f aca="false">Inputs!$F$148*(Inputs!$F$149*AH19+(1-Inputs!$F$149)*AH23*Inputs!$F$150/AH11)*Time!AH25/12*Inputs!$F$39</f>
        <v>5.67675020079151</v>
      </c>
      <c r="AI55" s="11" t="n">
        <f aca="false">Inputs!$F$148*(Inputs!$F$149*AI19+(1-Inputs!$F$149)*AI23*Inputs!$F$150/AI11)*Time!AI25/12*Inputs!$F$39</f>
        <v>5.73885473633151</v>
      </c>
      <c r="AJ55" s="11" t="n">
        <f aca="false">Inputs!$F$148*(Inputs!$F$149*AJ19+(1-Inputs!$F$149)*AJ23*Inputs!$F$150/AJ11)*Time!AJ25/12*Inputs!$F$39</f>
        <v>5.80163870520893</v>
      </c>
      <c r="AK55" s="11" t="n">
        <f aca="false">Inputs!$F$148*(Inputs!$F$149*AK19+(1-Inputs!$F$149)*AK23*Inputs!$F$150/AK11)*Time!AK25/12*Inputs!$F$39</f>
        <v>5.8651095405308</v>
      </c>
      <c r="AL55" s="11" t="n">
        <f aca="false">Inputs!$F$148*(Inputs!$F$149*AL19+(1-Inputs!$F$149)*AL23*Inputs!$F$150/AL11)*Time!AL25/12*Inputs!$F$39</f>
        <v>5.92927475672352</v>
      </c>
      <c r="AM55" s="11" t="n">
        <f aca="false">Inputs!$F$148*(Inputs!$F$149*AM19+(1-Inputs!$F$149)*AM23*Inputs!$F$150/AM11)*Time!AM25/12*Inputs!$F$39</f>
        <v>5.99414195042248</v>
      </c>
      <c r="AN55" s="11" t="n">
        <f aca="false">Inputs!$F$148*(Inputs!$F$149*AN19+(1-Inputs!$F$149)*AN23*Inputs!$F$150/AN11)*Time!AN25/12*Inputs!$F$39</f>
        <v>6.05971880137144</v>
      </c>
      <c r="AO55" s="11" t="n">
        <f aca="false">Inputs!$F$148*(Inputs!$F$149*AO19+(1-Inputs!$F$149)*AO23*Inputs!$F$150/AO11)*Time!AO25/12*Inputs!$F$39</f>
        <v>6.12601307333177</v>
      </c>
      <c r="AP55" s="11" t="n">
        <f aca="false">Inputs!$F$148*(Inputs!$F$149*AP19+(1-Inputs!$F$149)*AP23*Inputs!$F$150/AP11)*Time!AP25/12*Inputs!$F$39</f>
        <v>6.19303261500161</v>
      </c>
      <c r="AQ55" s="11" t="n">
        <f aca="false">Inputs!$F$148*(Inputs!$F$149*AQ19+(1-Inputs!$F$149)*AQ23*Inputs!$F$150/AQ11)*Time!AQ25/12*Inputs!$F$39</f>
        <v>6.26078536094507</v>
      </c>
      <c r="AR55" s="11" t="n">
        <f aca="false">Inputs!$F$148*(Inputs!$F$149*AR19+(1-Inputs!$F$149)*AR23*Inputs!$F$150/AR11)*Time!AR25/12*Inputs!$F$39</f>
        <v>6.32927933253165</v>
      </c>
      <c r="AS55" s="11" t="n">
        <f aca="false">Inputs!$F$148*(Inputs!$F$149*AS19+(1-Inputs!$F$149)*AS23*Inputs!$F$150/AS11)*Time!AS25/12*Inputs!$F$39</f>
        <v>6.39852263888586</v>
      </c>
      <c r="AT55" s="11" t="n">
        <f aca="false">Inputs!$F$148*(Inputs!$F$149*AT19+(1-Inputs!$F$149)*AT23*Inputs!$F$150/AT11)*Time!AT25/12*Inputs!$F$39</f>
        <v>6.46852347784734</v>
      </c>
      <c r="AU55" s="11" t="n">
        <f aca="false">Inputs!$F$148*(Inputs!$F$149*AU19+(1-Inputs!$F$149)*AU23*Inputs!$F$150/AU11)*Time!AU25/12*Inputs!$F$39</f>
        <v>6.53929013694135</v>
      </c>
      <c r="AV55" s="11" t="n">
        <f aca="false">Inputs!$F$148*(Inputs!$F$149*AV19+(1-Inputs!$F$149)*AV23*Inputs!$F$150/AV11)*Time!AV25/12*Inputs!$F$39</f>
        <v>6.61083099435998</v>
      </c>
      <c r="AW55" s="11" t="n">
        <f aca="false">Inputs!$F$148*(Inputs!$F$149*AW19+(1-Inputs!$F$149)*AW23*Inputs!$F$150/AW11)*Time!AW25/12*Inputs!$F$39</f>
        <v>6.68315451995406</v>
      </c>
      <c r="AX55" s="11" t="n">
        <f aca="false">Inputs!$F$148*(Inputs!$F$149*AX19+(1-Inputs!$F$149)*AX23*Inputs!$F$150/AX11)*Time!AX25/12*Inputs!$F$39</f>
        <v>6.7562692762359</v>
      </c>
      <c r="AY55" s="11" t="n">
        <f aca="false">Inputs!$F$148*(Inputs!$F$149*AY19+(1-Inputs!$F$149)*AY23*Inputs!$F$150/AY11)*Time!AY25/12*Inputs!$F$39</f>
        <v>6.83018391939305</v>
      </c>
      <c r="AZ55" s="11" t="n">
        <f aca="false">Inputs!$F$148*(Inputs!$F$149*AZ19+(1-Inputs!$F$149)*AZ23*Inputs!$F$150/AZ11)*Time!AZ25/12*Inputs!$F$39</f>
        <v>6.90490720031309</v>
      </c>
      <c r="BA55" s="11" t="n">
        <f aca="false">Inputs!$F$148*(Inputs!$F$149*BA19+(1-Inputs!$F$149)*BA23*Inputs!$F$150/BA11)*Time!BA25/12*Inputs!$F$39</f>
        <v>6.98044796561969</v>
      </c>
      <c r="BB55" s="11" t="n">
        <f aca="false">Inputs!$F$148*(Inputs!$F$149*BB19+(1-Inputs!$F$149)*BB23*Inputs!$F$150/BB11)*Time!BB25/12*Inputs!$F$39</f>
        <v>7.05681515871998</v>
      </c>
      <c r="BC55" s="11" t="n">
        <f aca="false">Inputs!$F$148*(Inputs!$F$149*BC19+(1-Inputs!$F$149)*BC23*Inputs!$F$150/BC11)*Time!BC25/12*Inputs!$F$39</f>
        <v>7.13401782086333</v>
      </c>
      <c r="BD55" s="11" t="n">
        <f aca="false">Inputs!$F$148*(Inputs!$F$149*BD19+(1-Inputs!$F$149)*BD23*Inputs!$F$150/BD11)*Time!BD25/12*Inputs!$F$39</f>
        <v>7.21206509221181</v>
      </c>
      <c r="BE55" s="11" t="n">
        <f aca="false">Inputs!$F$148*(Inputs!$F$149*BE19+(1-Inputs!$F$149)*BE23*Inputs!$F$150/BE11)*Time!BE25/12*Inputs!$F$39</f>
        <v>7.29096621292232</v>
      </c>
      <c r="BF55" s="11" t="n">
        <f aca="false">Inputs!$F$148*(Inputs!$F$149*BF19+(1-Inputs!$F$149)*BF23*Inputs!$F$150/BF11)*Time!BF25/12*Inputs!$F$39</f>
        <v>7.37073052424047</v>
      </c>
      <c r="BG55" s="11" t="n">
        <f aca="false">Inputs!$F$148*(Inputs!$F$149*BG19+(1-Inputs!$F$149)*BG23*Inputs!$F$150/BG11)*Time!BG25/12*Inputs!$F$39</f>
        <v>7.45136746960661</v>
      </c>
      <c r="BH55" s="11" t="n">
        <f aca="false">Inputs!$F$148*(Inputs!$F$149*BH19+(1-Inputs!$F$149)*BH23*Inputs!$F$150/BH11)*Time!BH25/12*Inputs!$F$39</f>
        <v>7.53288659577376</v>
      </c>
      <c r="BI55" s="11" t="n">
        <f aca="false">Inputs!$F$148*(Inputs!$F$149*BI19+(1-Inputs!$F$149)*BI23*Inputs!$F$150/BI11)*Time!BI25/12*Inputs!$F$39</f>
        <v>7.61529755393795</v>
      </c>
      <c r="BJ55" s="11" t="n">
        <f aca="false">Inputs!$F$148*(Inputs!$F$149*BJ19+(1-Inputs!$F$149)*BJ23*Inputs!$F$150/BJ11)*Time!BJ25/12*Inputs!$F$39</f>
        <v>7.69861010088078</v>
      </c>
      <c r="BK55" s="11" t="n">
        <f aca="false">Inputs!$F$148*(Inputs!$F$149*BK19+(1-Inputs!$F$149)*BK23*Inputs!$F$150/BK11)*Time!BK25/12*Inputs!$F$39</f>
        <v>7.78283410012458</v>
      </c>
      <c r="BL55" s="11" t="n">
        <f aca="false">Inputs!$F$148*(Inputs!$F$149*BL19+(1-Inputs!$F$149)*BL23*Inputs!$F$150/BL11)*Time!BL25/12*Inputs!$F$39</f>
        <v>7.86797952310016</v>
      </c>
      <c r="BM55" s="11" t="n">
        <f aca="false">Inputs!$F$148*(Inputs!$F$149*BM19+(1-Inputs!$F$149)*BM23*Inputs!$F$150/BM11)*Time!BM25/12*Inputs!$F$39</f>
        <v>5.30270430021822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102.611644135199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0.513848774492185</v>
      </c>
      <c r="P57" s="11" t="n">
        <f aca="false">Inputs!$F$152*P19*Time!P25/12*Inputs!$F$39</f>
        <v>1.5584110814889</v>
      </c>
      <c r="Q57" s="11" t="n">
        <f aca="false">Inputs!$F$152*Q19*Time!Q25/12*Inputs!$F$39</f>
        <v>1.57546034259304</v>
      </c>
      <c r="R57" s="11" t="n">
        <f aca="false">Inputs!$F$152*R19*Time!R25/12*Inputs!$F$39</f>
        <v>1.59269612528166</v>
      </c>
      <c r="S57" s="11" t="n">
        <f aca="false">Inputs!$F$152*S19*Time!S25/12*Inputs!$F$39</f>
        <v>1.61012047013009</v>
      </c>
      <c r="T57" s="11" t="n">
        <f aca="false">Inputs!$F$152*T19*Time!T25/12*Inputs!$F$39</f>
        <v>1.62773544003786</v>
      </c>
      <c r="U57" s="11" t="n">
        <f aca="false">Inputs!$F$152*U19*Time!U25/12*Inputs!$F$39</f>
        <v>1.64554312047295</v>
      </c>
      <c r="V57" s="11" t="n">
        <f aca="false">Inputs!$F$152*V19*Time!V25/12*Inputs!$F$39</f>
        <v>1.66354561971869</v>
      </c>
      <c r="W57" s="11" t="n">
        <f aca="false">Inputs!$F$152*W19*Time!W25/12*Inputs!$F$39</f>
        <v>1.68174506912335</v>
      </c>
      <c r="X57" s="11" t="n">
        <f aca="false">Inputs!$F$152*X19*Time!X25/12*Inputs!$F$39</f>
        <v>1.7001436233525</v>
      </c>
      <c r="Y57" s="11" t="n">
        <f aca="false">Inputs!$F$152*Y19*Time!Y25/12*Inputs!$F$39</f>
        <v>1.71874346064407</v>
      </c>
      <c r="Z57" s="11" t="n">
        <f aca="false">Inputs!$F$152*Z19*Time!Z25/12*Inputs!$F$39</f>
        <v>1.73754678306625</v>
      </c>
      <c r="AA57" s="11" t="n">
        <f aca="false">Inputs!$F$152*AA19*Time!AA25/12*Inputs!$F$39</f>
        <v>1.75655581677823</v>
      </c>
      <c r="AB57" s="11" t="n">
        <f aca="false">Inputs!$F$152*AB19*Time!AB25/12*Inputs!$F$39</f>
        <v>1.77577281229371</v>
      </c>
      <c r="AC57" s="11" t="n">
        <f aca="false">Inputs!$F$152*AC19*Time!AC25/12*Inputs!$F$39</f>
        <v>1.79520004474736</v>
      </c>
      <c r="AD57" s="11" t="n">
        <f aca="false">Inputs!$F$152*AD19*Time!AD25/12*Inputs!$F$39</f>
        <v>1.81483981416417</v>
      </c>
      <c r="AE57" s="11" t="n">
        <f aca="false">Inputs!$F$152*AE19*Time!AE25/12*Inputs!$F$39</f>
        <v>1.8346944457318</v>
      </c>
      <c r="AF57" s="11" t="n">
        <f aca="false">Inputs!$F$152*AF19*Time!AF25/12*Inputs!$F$39</f>
        <v>1.85476629007578</v>
      </c>
      <c r="AG57" s="11" t="n">
        <f aca="false">Inputs!$F$152*AG19*Time!AG25/12*Inputs!$F$39</f>
        <v>1.8750577235379</v>
      </c>
      <c r="AH57" s="11" t="n">
        <f aca="false">Inputs!$F$152*AH19*Time!AH25/12*Inputs!$F$39</f>
        <v>1.89557114845745</v>
      </c>
      <c r="AI57" s="11" t="n">
        <f aca="false">Inputs!$F$152*AI19*Time!AI25/12*Inputs!$F$39</f>
        <v>1.91630899345573</v>
      </c>
      <c r="AJ57" s="11" t="n">
        <f aca="false">Inputs!$F$152*AJ19*Time!AJ25/12*Inputs!$F$39</f>
        <v>1.93727371372351</v>
      </c>
      <c r="AK57" s="11" t="n">
        <f aca="false">Inputs!$F$152*AK19*Time!AK25/12*Inputs!$F$39</f>
        <v>1.95846779131175</v>
      </c>
      <c r="AL57" s="11" t="n">
        <f aca="false">Inputs!$F$152*AL19*Time!AL25/12*Inputs!$F$39</f>
        <v>1.97989373542543</v>
      </c>
      <c r="AM57" s="11" t="n">
        <f aca="false">Inputs!$F$152*AM19*Time!AM25/12*Inputs!$F$39</f>
        <v>2.00155408272061</v>
      </c>
      <c r="AN57" s="11" t="n">
        <f aca="false">Inputs!$F$152*AN19*Time!AN25/12*Inputs!$F$39</f>
        <v>2.02345139760479</v>
      </c>
      <c r="AO57" s="11" t="n">
        <f aca="false">Inputs!$F$152*AO19*Time!AO25/12*Inputs!$F$39</f>
        <v>2.04558827254047</v>
      </c>
      <c r="AP57" s="11" t="n">
        <f aca="false">Inputs!$F$152*AP19*Time!AP25/12*Inputs!$F$39</f>
        <v>2.0679673283521</v>
      </c>
      <c r="AQ57" s="11" t="n">
        <f aca="false">Inputs!$F$152*AQ19*Time!AQ25/12*Inputs!$F$39</f>
        <v>2.09059121453636</v>
      </c>
      <c r="AR57" s="11" t="n">
        <f aca="false">Inputs!$F$152*AR19*Time!AR25/12*Inputs!$F$39</f>
        <v>2.11346260957584</v>
      </c>
      <c r="AS57" s="11" t="n">
        <f aca="false">Inputs!$F$152*AS19*Time!AS25/12*Inputs!$F$39</f>
        <v>2.13658422125616</v>
      </c>
      <c r="AT57" s="11" t="n">
        <f aca="false">Inputs!$F$152*AT19*Time!AT25/12*Inputs!$F$39</f>
        <v>2.15995878698651</v>
      </c>
      <c r="AU57" s="11" t="n">
        <f aca="false">Inputs!$F$152*AU19*Time!AU25/12*Inputs!$F$39</f>
        <v>2.18358907412379</v>
      </c>
      <c r="AV57" s="11" t="n">
        <f aca="false">Inputs!$F$152*AV19*Time!AV25/12*Inputs!$F$39</f>
        <v>2.20747788030021</v>
      </c>
      <c r="AW57" s="11" t="n">
        <f aca="false">Inputs!$F$152*AW19*Time!AW25/12*Inputs!$F$39</f>
        <v>2.23162803375451</v>
      </c>
      <c r="AX57" s="11" t="n">
        <f aca="false">Inputs!$F$152*AX19*Time!AX25/12*Inputs!$F$39</f>
        <v>2.25604239366682</v>
      </c>
      <c r="AY57" s="11" t="n">
        <f aca="false">Inputs!$F$152*AY19*Time!AY25/12*Inputs!$F$39</f>
        <v>2.28072385049711</v>
      </c>
      <c r="AZ57" s="11" t="n">
        <f aca="false">Inputs!$F$152*AZ19*Time!AZ25/12*Inputs!$F$39</f>
        <v>2.30567532632749</v>
      </c>
      <c r="BA57" s="11" t="n">
        <f aca="false">Inputs!$F$152*BA19*Time!BA25/12*Inputs!$F$39</f>
        <v>2.33089977520805</v>
      </c>
      <c r="BB57" s="11" t="n">
        <f aca="false">Inputs!$F$152*BB19*Time!BB25/12*Inputs!$F$39</f>
        <v>2.35640018350669</v>
      </c>
      <c r="BC57" s="11" t="n">
        <f aca="false">Inputs!$F$152*BC19*Time!BC25/12*Inputs!$F$39</f>
        <v>2.38217957026263</v>
      </c>
      <c r="BD57" s="11" t="n">
        <f aca="false">Inputs!$F$152*BD19*Time!BD25/12*Inputs!$F$39</f>
        <v>2.40824098754384</v>
      </c>
      <c r="BE57" s="11" t="n">
        <f aca="false">Inputs!$F$152*BE19*Time!BE25/12*Inputs!$F$39</f>
        <v>2.4345875208084</v>
      </c>
      <c r="BF57" s="11" t="n">
        <f aca="false">Inputs!$F$152*BF19*Time!BF25/12*Inputs!$F$39</f>
        <v>2.4612222892698</v>
      </c>
      <c r="BG57" s="11" t="n">
        <f aca="false">Inputs!$F$152*BG19*Time!BG25/12*Inputs!$F$39</f>
        <v>2.48814844626619</v>
      </c>
      <c r="BH57" s="11" t="n">
        <f aca="false">Inputs!$F$152*BH19*Time!BH25/12*Inputs!$F$39</f>
        <v>2.51536917963374</v>
      </c>
      <c r="BI57" s="11" t="n">
        <f aca="false">Inputs!$F$152*BI19*Time!BI25/12*Inputs!$F$39</f>
        <v>2.54288771208404</v>
      </c>
      <c r="BJ57" s="11" t="n">
        <f aca="false">Inputs!$F$152*BJ19*Time!BJ25/12*Inputs!$F$39</f>
        <v>2.57070730158568</v>
      </c>
      <c r="BK57" s="11" t="n">
        <f aca="false">Inputs!$F$152*BK19*Time!BK25/12*Inputs!$F$39</f>
        <v>2.59883124174989</v>
      </c>
      <c r="BL57" s="11" t="n">
        <f aca="false">Inputs!$F$152*BL19*Time!BL25/12*Inputs!$F$39</f>
        <v>2.62726286222056</v>
      </c>
      <c r="BM57" s="11" t="n">
        <f aca="false">Inputs!$F$152*BM19*Time!BM25/12*Inputs!$F$39</f>
        <v>1.77067035271226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169.853365481371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0.850575433534413</v>
      </c>
      <c r="P60" s="11" t="n">
        <f aca="false">Inputs!$F$154*P19*Time!P25/12*(1+Inputs!$F$155*Inputs!$F$45*IF(Time!P17&gt;=9,1,0))*Inputs!$F$39</f>
        <v>2.5796425856464</v>
      </c>
      <c r="Q60" s="11" t="n">
        <f aca="false">Inputs!$F$154*Q19*Time!Q25/12*(1+Inputs!$F$155*Inputs!$F$45*IF(Time!Q17&gt;=9,1,0))*Inputs!$F$39</f>
        <v>2.60786427921651</v>
      </c>
      <c r="R60" s="11" t="n">
        <f aca="false">Inputs!$F$154*R19*Time!R25/12*(1+Inputs!$F$155*Inputs!$F$45*IF(Time!R17&gt;=9,1,0))*Inputs!$F$39</f>
        <v>2.63639472253063</v>
      </c>
      <c r="S60" s="11" t="n">
        <f aca="false">Inputs!$F$154*S19*Time!S25/12*(1+Inputs!$F$155*Inputs!$F$45*IF(Time!S17&gt;=9,1,0))*Inputs!$F$39</f>
        <v>2.66523729335927</v>
      </c>
      <c r="T60" s="11" t="n">
        <f aca="false">Inputs!$F$154*T19*Time!T25/12*(1+Inputs!$F$155*Inputs!$F$45*IF(Time!T17&gt;=9,1,0))*Inputs!$F$39</f>
        <v>2.6943954064263</v>
      </c>
      <c r="U60" s="11" t="n">
        <f aca="false">Inputs!$F$154*U19*Time!U25/12*(1+Inputs!$F$155*Inputs!$F$45*IF(Time!U17&gt;=9,1,0))*Inputs!$F$39</f>
        <v>2.72387251381317</v>
      </c>
      <c r="V60" s="11" t="n">
        <f aca="false">Inputs!$F$154*V19*Time!V25/12*(1+Inputs!$F$155*Inputs!$F$45*IF(Time!V17&gt;=9,1,0))*Inputs!$F$39</f>
        <v>2.75367210536768</v>
      </c>
      <c r="W60" s="11" t="n">
        <f aca="false">Inputs!$F$154*W19*Time!W25/12*(1+Inputs!$F$155*Inputs!$F$45*IF(Time!W17&gt;=9,1,0))*Inputs!$F$39</f>
        <v>2.78379770911706</v>
      </c>
      <c r="X60" s="11" t="n">
        <f aca="false">Inputs!$F$154*X19*Time!X25/12*(1+Inputs!$F$155*Inputs!$F$45*IF(Time!X17&gt;=9,1,0))*Inputs!$F$39</f>
        <v>2.81425289168576</v>
      </c>
      <c r="Y60" s="11" t="n">
        <f aca="false">Inputs!$F$154*Y19*Time!Y25/12*(1+Inputs!$F$155*Inputs!$F$45*IF(Time!Y17&gt;=9,1,0))*Inputs!$F$39</f>
        <v>2.84504125871764</v>
      </c>
      <c r="Z60" s="11" t="n">
        <f aca="false">Inputs!$F$154*Z19*Time!Z25/12*(1+Inputs!$F$155*Inputs!$F$45*IF(Time!Z17&gt;=9,1,0))*Inputs!$F$39</f>
        <v>2.87616645530285</v>
      </c>
      <c r="AA60" s="11" t="n">
        <f aca="false">Inputs!$F$154*AA19*Time!AA25/12*(1+Inputs!$F$155*Inputs!$F$45*IF(Time!AA17&gt;=9,1,0))*Inputs!$F$39</f>
        <v>2.90763216640943</v>
      </c>
      <c r="AB60" s="11" t="n">
        <f aca="false">Inputs!$F$154*AB19*Time!AB25/12*(1+Inputs!$F$155*Inputs!$F$45*IF(Time!AB17&gt;=9,1,0))*Inputs!$F$39</f>
        <v>2.93944211731951</v>
      </c>
      <c r="AC60" s="11" t="n">
        <f aca="false">Inputs!$F$154*AC19*Time!AC25/12*(1+Inputs!$F$155*Inputs!$F$45*IF(Time!AC17&gt;=9,1,0))*Inputs!$F$39</f>
        <v>2.97160007407043</v>
      </c>
      <c r="AD60" s="11" t="n">
        <f aca="false">Inputs!$F$154*AD19*Time!AD25/12*(1+Inputs!$F$155*Inputs!$F$45*IF(Time!AD17&gt;=9,1,0))*Inputs!$F$39</f>
        <v>3.00410984390054</v>
      </c>
      <c r="AE60" s="11" t="n">
        <f aca="false">Inputs!$F$154*AE19*Time!AE25/12*(1+Inputs!$F$155*Inputs!$F$45*IF(Time!AE17&gt;=9,1,0))*Inputs!$F$39</f>
        <v>3.03697527569998</v>
      </c>
      <c r="AF60" s="11" t="n">
        <f aca="false">Inputs!$F$154*AF19*Time!AF25/12*(1+Inputs!$F$155*Inputs!$F$45*IF(Time!AF17&gt;=9,1,0))*Inputs!$F$39</f>
        <v>3.07020026046635</v>
      </c>
      <c r="AG60" s="11" t="n">
        <f aca="false">Inputs!$F$154*AG19*Time!AG25/12*(1+Inputs!$F$155*Inputs!$F$45*IF(Time!AG17&gt;=9,1,0))*Inputs!$F$39</f>
        <v>3.10378873176538</v>
      </c>
      <c r="AH60" s="11" t="n">
        <f aca="false">Inputs!$F$154*AH19*Time!AH25/12*(1+Inputs!$F$155*Inputs!$F$45*IF(Time!AH17&gt;=9,1,0))*Inputs!$F$39</f>
        <v>3.13774466619661</v>
      </c>
      <c r="AI60" s="11" t="n">
        <f aca="false">Inputs!$F$154*AI19*Time!AI25/12*(1+Inputs!$F$155*Inputs!$F$45*IF(Time!AI17&gt;=9,1,0))*Inputs!$F$39</f>
        <v>3.17207208386422</v>
      </c>
      <c r="AJ60" s="11" t="n">
        <f aca="false">Inputs!$F$154*AJ19*Time!AJ25/12*(1+Inputs!$F$155*Inputs!$F$45*IF(Time!AJ17&gt;=9,1,0))*Inputs!$F$39</f>
        <v>3.20677504885294</v>
      </c>
      <c r="AK60" s="11" t="n">
        <f aca="false">Inputs!$F$154*AK19*Time!AK25/12*(1+Inputs!$F$155*Inputs!$F$45*IF(Time!AK17&gt;=9,1,0))*Inputs!$F$39</f>
        <v>3.24185766970923</v>
      </c>
      <c r="AL60" s="11" t="n">
        <f aca="false">Inputs!$F$154*AL19*Time!AL25/12*(1+Inputs!$F$155*Inputs!$F$45*IF(Time!AL17&gt;=9,1,0))*Inputs!$F$39</f>
        <v>3.2773240999277</v>
      </c>
      <c r="AM60" s="11" t="n">
        <f aca="false">Inputs!$F$154*AM19*Time!AM25/12*(1+Inputs!$F$155*Inputs!$F$45*IF(Time!AM17&gt;=9,1,0))*Inputs!$F$39</f>
        <v>3.31317853844283</v>
      </c>
      <c r="AN60" s="11" t="n">
        <f aca="false">Inputs!$F$154*AN19*Time!AN25/12*(1+Inputs!$F$155*Inputs!$F$45*IF(Time!AN17&gt;=9,1,0))*Inputs!$F$39</f>
        <v>3.34942523012611</v>
      </c>
      <c r="AO60" s="11" t="n">
        <f aca="false">Inputs!$F$154*AO19*Time!AO25/12*(1+Inputs!$F$155*Inputs!$F$45*IF(Time!AO17&gt;=9,1,0))*Inputs!$F$39</f>
        <v>3.38606846628857</v>
      </c>
      <c r="AP60" s="11" t="n">
        <f aca="false">Inputs!$F$154*AP19*Time!AP25/12*(1+Inputs!$F$155*Inputs!$F$45*IF(Time!AP17&gt;=9,1,0))*Inputs!$F$39</f>
        <v>3.42311258518888</v>
      </c>
      <c r="AQ60" s="11" t="n">
        <f aca="false">Inputs!$F$154*AQ19*Time!AQ25/12*(1+Inputs!$F$155*Inputs!$F$45*IF(Time!AQ17&gt;=9,1,0))*Inputs!$F$39</f>
        <v>3.46056197254692</v>
      </c>
      <c r="AR60" s="11" t="n">
        <f aca="false">Inputs!$F$154*AR19*Time!AR25/12*(1+Inputs!$F$155*Inputs!$F$45*IF(Time!AR17&gt;=9,1,0))*Inputs!$F$39</f>
        <v>3.49842106206304</v>
      </c>
      <c r="AS60" s="11" t="n">
        <f aca="false">Inputs!$F$154*AS19*Time!AS25/12*(1+Inputs!$F$155*Inputs!$F$45*IF(Time!AS17&gt;=9,1,0))*Inputs!$F$39</f>
        <v>3.53669433594295</v>
      </c>
      <c r="AT60" s="11" t="n">
        <f aca="false">Inputs!$F$154*AT19*Time!AT25/12*(1+Inputs!$F$155*Inputs!$F$45*IF(Time!AT17&gt;=9,1,0))*Inputs!$F$39</f>
        <v>3.57538632542843</v>
      </c>
      <c r="AU60" s="11" t="n">
        <f aca="false">Inputs!$F$154*AU19*Time!AU25/12*(1+Inputs!$F$155*Inputs!$F$45*IF(Time!AU17&gt;=9,1,0))*Inputs!$F$39</f>
        <v>3.6145016113337</v>
      </c>
      <c r="AV60" s="11" t="n">
        <f aca="false">Inputs!$F$154*AV19*Time!AV25/12*(1+Inputs!$F$155*Inputs!$F$45*IF(Time!AV17&gt;=9,1,0))*Inputs!$F$39</f>
        <v>3.65404482458785</v>
      </c>
      <c r="AW60" s="11" t="n">
        <f aca="false">Inputs!$F$154*AW19*Time!AW25/12*(1+Inputs!$F$155*Inputs!$F$45*IF(Time!AW17&gt;=9,1,0))*Inputs!$F$39</f>
        <v>3.69402064678304</v>
      </c>
      <c r="AX60" s="11" t="n">
        <f aca="false">Inputs!$F$154*AX19*Time!AX25/12*(1+Inputs!$F$155*Inputs!$F$45*IF(Time!AX17&gt;=9,1,0))*Inputs!$F$39</f>
        <v>3.73443381072878</v>
      </c>
      <c r="AY60" s="11" t="n">
        <f aca="false">Inputs!$F$154*AY19*Time!AY25/12*(1+Inputs!$F$155*Inputs!$F$45*IF(Time!AY17&gt;=9,1,0))*Inputs!$F$39</f>
        <v>3.77528910101227</v>
      </c>
      <c r="AZ60" s="11" t="n">
        <f aca="false">Inputs!$F$154*AZ19*Time!AZ25/12*(1+Inputs!$F$155*Inputs!$F$45*IF(Time!AZ17&gt;=9,1,0))*Inputs!$F$39</f>
        <v>3.81659135456481</v>
      </c>
      <c r="BA60" s="11" t="n">
        <f aca="false">Inputs!$F$154*BA19*Time!BA25/12*(1+Inputs!$F$155*Inputs!$F$45*IF(Time!BA17&gt;=9,1,0))*Inputs!$F$39</f>
        <v>3.85834546123453</v>
      </c>
      <c r="BB60" s="11" t="n">
        <f aca="false">Inputs!$F$154*BB19*Time!BB25/12*(1+Inputs!$F$155*Inputs!$F$45*IF(Time!BB17&gt;=9,1,0))*Inputs!$F$39</f>
        <v>3.90055636436524</v>
      </c>
      <c r="BC60" s="11" t="n">
        <f aca="false">Inputs!$F$154*BC19*Time!BC25/12*(1+Inputs!$F$155*Inputs!$F$45*IF(Time!BC17&gt;=9,1,0))*Inputs!$F$39</f>
        <v>3.94322906138169</v>
      </c>
      <c r="BD60" s="11" t="n">
        <f aca="false">Inputs!$F$154*BD19*Time!BD25/12*(1+Inputs!$F$155*Inputs!$F$45*IF(Time!BD17&gt;=9,1,0))*Inputs!$F$39</f>
        <v>3.98636860438127</v>
      </c>
      <c r="BE60" s="11" t="n">
        <f aca="false">Inputs!$F$154*BE19*Time!BE25/12*(1+Inputs!$F$155*Inputs!$F$45*IF(Time!BE17&gt;=9,1,0))*Inputs!$F$39</f>
        <v>4.02998010073209</v>
      </c>
      <c r="BF60" s="11" t="n">
        <f aca="false">Inputs!$F$154*BF19*Time!BF25/12*(1+Inputs!$F$155*Inputs!$F$45*IF(Time!BF17&gt;=9,1,0))*Inputs!$F$39</f>
        <v>4.07406871367766</v>
      </c>
      <c r="BG60" s="11" t="n">
        <f aca="false">Inputs!$F$154*BG19*Time!BG25/12*(1+Inputs!$F$155*Inputs!$F$45*IF(Time!BG17&gt;=9,1,0))*Inputs!$F$39</f>
        <v>4.11863966294819</v>
      </c>
      <c r="BH60" s="11" t="n">
        <f aca="false">Inputs!$F$154*BH19*Time!BH25/12*(1+Inputs!$F$155*Inputs!$F$45*IF(Time!BH17&gt;=9,1,0))*Inputs!$F$39</f>
        <v>4.16369822537857</v>
      </c>
      <c r="BI60" s="11" t="n">
        <f aca="false">Inputs!$F$154*BI19*Time!BI25/12*(1+Inputs!$F$155*Inputs!$F$45*IF(Time!BI17&gt;=9,1,0))*Inputs!$F$39</f>
        <v>4.20924973553306</v>
      </c>
      <c r="BJ60" s="11" t="n">
        <f aca="false">Inputs!$F$154*BJ19*Time!BJ25/12*(1+Inputs!$F$155*Inputs!$F$45*IF(Time!BJ17&gt;=9,1,0))*Inputs!$F$39</f>
        <v>4.2552995863369</v>
      </c>
      <c r="BK60" s="11" t="n">
        <f aca="false">Inputs!$F$154*BK19*Time!BK25/12*(1+Inputs!$F$155*Inputs!$F$45*IF(Time!BK17&gt;=9,1,0))*Inputs!$F$39</f>
        <v>4.30185322971478</v>
      </c>
      <c r="BL60" s="11" t="n">
        <f aca="false">Inputs!$F$154*BL19*Time!BL25/12*(1+Inputs!$F$155*Inputs!$F$45*IF(Time!BL17&gt;=9,1,0))*Inputs!$F$39</f>
        <v>4.34891617723631</v>
      </c>
      <c r="BM60" s="11" t="n">
        <f aca="false">Inputs!$F$154*BM19*Time!BM25/12*(1+Inputs!$F$155*Inputs!$F$45*IF(Time!BM17&gt;=9,1,0))*Inputs!$F$39</f>
        <v>2.93099600051234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123.291031601221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0.617405032616886</v>
      </c>
      <c r="P61" s="11" t="n">
        <f aca="false">Inputs!$F$156*(0.5*P19+0.5*P23*Inputs!$F$150/P11)*Time!P25/12*Inputs!$F$39</f>
        <v>1.8724786208706</v>
      </c>
      <c r="Q61" s="11" t="n">
        <f aca="false">Inputs!$F$156*(0.5*Q19+0.5*Q23*Inputs!$F$150/Q11)*Time!Q25/12*Inputs!$F$39</f>
        <v>1.89296383000337</v>
      </c>
      <c r="R61" s="11" t="n">
        <f aca="false">Inputs!$F$156*(0.5*R19+0.5*R23*Inputs!$F$150/R11)*Time!R25/12*Inputs!$F$39</f>
        <v>1.91367315052975</v>
      </c>
      <c r="S61" s="11" t="n">
        <f aca="false">Inputs!$F$156*(0.5*S19+0.5*S23*Inputs!$F$150/S11)*Time!S25/12*Inputs!$F$39</f>
        <v>1.93460903426345</v>
      </c>
      <c r="T61" s="11" t="n">
        <f aca="false">Inputs!$F$156*(0.5*T19+0.5*T23*Inputs!$F$150/T11)*Time!T25/12*Inputs!$F$39</f>
        <v>1.9557739598414</v>
      </c>
      <c r="U61" s="11" t="n">
        <f aca="false">Inputs!$F$156*(0.5*U19+0.5*U23*Inputs!$F$150/U11)*Time!U25/12*Inputs!$F$39</f>
        <v>1.97717043301724</v>
      </c>
      <c r="V61" s="11" t="n">
        <f aca="false">Inputs!$F$156*(0.5*V19+0.5*V23*Inputs!$F$150/V11)*Time!V25/12*Inputs!$F$39</f>
        <v>1.99880098695791</v>
      </c>
      <c r="W61" s="11" t="n">
        <f aca="false">Inputs!$F$156*(0.5*W19+0.5*W23*Inputs!$F$150/W11)*Time!W25/12*Inputs!$F$39</f>
        <v>2.02066818254362</v>
      </c>
      <c r="X61" s="11" t="n">
        <f aca="false">Inputs!$F$156*(0.5*X19+0.5*X23*Inputs!$F$150/X11)*Time!X25/12*Inputs!$F$39</f>
        <v>2.04277460867099</v>
      </c>
      <c r="Y61" s="11" t="n">
        <f aca="false">Inputs!$F$156*(0.5*Y19+0.5*Y23*Inputs!$F$150/Y11)*Time!Y25/12*Inputs!$F$39</f>
        <v>2.06512288255958</v>
      </c>
      <c r="Z61" s="11" t="n">
        <f aca="false">Inputs!$F$156*(0.5*Z19+0.5*Z23*Inputs!$F$150/Z11)*Time!Z25/12*Inputs!$F$39</f>
        <v>2.08771565006175</v>
      </c>
      <c r="AA61" s="11" t="n">
        <f aca="false">Inputs!$F$156*(0.5*AA19+0.5*AA23*Inputs!$F$150/AA11)*Time!AA25/12*Inputs!$F$39</f>
        <v>2.11055558597589</v>
      </c>
      <c r="AB61" s="11" t="n">
        <f aca="false">Inputs!$F$156*(0.5*AB19+0.5*AB23*Inputs!$F$150/AB11)*Time!AB25/12*Inputs!$F$39</f>
        <v>2.13364539436311</v>
      </c>
      <c r="AC61" s="11" t="n">
        <f aca="false">Inputs!$F$156*(0.5*AC19+0.5*AC23*Inputs!$F$150/AC11)*Time!AC25/12*Inputs!$F$39</f>
        <v>2.15698780886736</v>
      </c>
      <c r="AD61" s="11" t="n">
        <f aca="false">Inputs!$F$156*(0.5*AD19+0.5*AD23*Inputs!$F$150/AD11)*Time!AD25/12*Inputs!$F$39</f>
        <v>2.1805855930391</v>
      </c>
      <c r="AE61" s="11" t="n">
        <f aca="false">Inputs!$F$156*(0.5*AE19+0.5*AE23*Inputs!$F$150/AE11)*Time!AE25/12*Inputs!$F$39</f>
        <v>2.20444154066244</v>
      </c>
      <c r="AF61" s="11" t="n">
        <f aca="false">Inputs!$F$156*(0.5*AF19+0.5*AF23*Inputs!$F$150/AF11)*Time!AF25/12*Inputs!$F$39</f>
        <v>2.22855847608596</v>
      </c>
      <c r="AG61" s="11" t="n">
        <f aca="false">Inputs!$F$156*(0.5*AG19+0.5*AG23*Inputs!$F$150/AG11)*Time!AG25/12*Inputs!$F$39</f>
        <v>2.25293925455702</v>
      </c>
      <c r="AH61" s="11" t="n">
        <f aca="false">Inputs!$F$156*(0.5*AH19+0.5*AH23*Inputs!$F$150/AH11)*Time!AH25/12*Inputs!$F$39</f>
        <v>2.27758676255985</v>
      </c>
      <c r="AI61" s="11" t="n">
        <f aca="false">Inputs!$F$156*(0.5*AI19+0.5*AI23*Inputs!$F$150/AI11)*Time!AI25/12*Inputs!$F$39</f>
        <v>2.30250391815727</v>
      </c>
      <c r="AJ61" s="11" t="n">
        <f aca="false">Inputs!$F$156*(0.5*AJ19+0.5*AJ23*Inputs!$F$150/AJ11)*Time!AJ25/12*Inputs!$F$39</f>
        <v>2.32769367133616</v>
      </c>
      <c r="AK61" s="11" t="n">
        <f aca="false">Inputs!$F$156*(0.5*AK19+0.5*AK23*Inputs!$F$150/AK11)*Time!AK25/12*Inputs!$F$39</f>
        <v>2.35315900435673</v>
      </c>
      <c r="AL61" s="11" t="n">
        <f aca="false">Inputs!$F$156*(0.5*AL19+0.5*AL23*Inputs!$F$150/AL11)*Time!AL25/12*Inputs!$F$39</f>
        <v>2.37890293210556</v>
      </c>
      <c r="AM61" s="11" t="n">
        <f aca="false">Inputs!$F$156*(0.5*AM19+0.5*AM23*Inputs!$F$150/AM11)*Time!AM25/12*Inputs!$F$39</f>
        <v>2.40492850245258</v>
      </c>
      <c r="AN61" s="11" t="n">
        <f aca="false">Inputs!$F$156*(0.5*AN19+0.5*AN23*Inputs!$F$150/AN11)*Time!AN25/12*Inputs!$F$39</f>
        <v>2.43123879661188</v>
      </c>
      <c r="AO61" s="11" t="n">
        <f aca="false">Inputs!$F$156*(0.5*AO19+0.5*AO23*Inputs!$F$150/AO11)*Time!AO25/12*Inputs!$F$39</f>
        <v>2.45783692950653</v>
      </c>
      <c r="AP61" s="11" t="n">
        <f aca="false">Inputs!$F$156*(0.5*AP19+0.5*AP23*Inputs!$F$150/AP11)*Time!AP25/12*Inputs!$F$39</f>
        <v>2.48472605013734</v>
      </c>
      <c r="AQ61" s="11" t="n">
        <f aca="false">Inputs!$F$156*(0.5*AQ19+0.5*AQ23*Inputs!$F$150/AQ11)*Time!AQ25/12*Inputs!$F$39</f>
        <v>2.51190934195568</v>
      </c>
      <c r="AR61" s="11" t="n">
        <f aca="false">Inputs!$F$156*(0.5*AR19+0.5*AR23*Inputs!$F$150/AR11)*Time!AR25/12*Inputs!$F$39</f>
        <v>2.53939002324036</v>
      </c>
      <c r="AS61" s="11" t="n">
        <f aca="false">Inputs!$F$156*(0.5*AS19+0.5*AS23*Inputs!$F$150/AS11)*Time!AS25/12*Inputs!$F$39</f>
        <v>2.5671713474787</v>
      </c>
      <c r="AT61" s="11" t="n">
        <f aca="false">Inputs!$F$156*(0.5*AT19+0.5*AT23*Inputs!$F$150/AT11)*Time!AT25/12*Inputs!$F$39</f>
        <v>2.59525660375165</v>
      </c>
      <c r="AU61" s="11" t="n">
        <f aca="false">Inputs!$F$156*(0.5*AU19+0.5*AU23*Inputs!$F$150/AU11)*Time!AU25/12*Inputs!$F$39</f>
        <v>2.62364911712323</v>
      </c>
      <c r="AV61" s="11" t="n">
        <f aca="false">Inputs!$F$156*(0.5*AV19+0.5*AV23*Inputs!$F$150/AV11)*Time!AV25/12*Inputs!$F$39</f>
        <v>2.65235224903419</v>
      </c>
      <c r="AW61" s="11" t="n">
        <f aca="false">Inputs!$F$156*(0.5*AW19+0.5*AW23*Inputs!$F$150/AW11)*Time!AW25/12*Inputs!$F$39</f>
        <v>2.68136939769994</v>
      </c>
      <c r="AX61" s="11" t="n">
        <f aca="false">Inputs!$F$156*(0.5*AX19+0.5*AX23*Inputs!$F$150/AX11)*Time!AX25/12*Inputs!$F$39</f>
        <v>2.71070399851294</v>
      </c>
      <c r="AY61" s="11" t="n">
        <f aca="false">Inputs!$F$156*(0.5*AY19+0.5*AY23*Inputs!$F$150/AY11)*Time!AY25/12*Inputs!$F$39</f>
        <v>2.74035952444934</v>
      </c>
      <c r="AZ61" s="11" t="n">
        <f aca="false">Inputs!$F$156*(0.5*AZ19+0.5*AZ23*Inputs!$F$150/AZ11)*Time!AZ25/12*Inputs!$F$39</f>
        <v>2.77033948648022</v>
      </c>
      <c r="BA61" s="11" t="n">
        <f aca="false">Inputs!$F$156*(0.5*BA19+0.5*BA23*Inputs!$F$150/BA11)*Time!BA25/12*Inputs!$F$39</f>
        <v>2.80064743398723</v>
      </c>
      <c r="BB61" s="11" t="n">
        <f aca="false">Inputs!$F$156*(0.5*BB19+0.5*BB23*Inputs!$F$150/BB11)*Time!BB25/12*Inputs!$F$39</f>
        <v>2.83128695518279</v>
      </c>
      <c r="BC61" s="11" t="n">
        <f aca="false">Inputs!$F$156*(0.5*BC19+0.5*BC23*Inputs!$F$150/BC11)*Time!BC25/12*Inputs!$F$39</f>
        <v>2.86226167753495</v>
      </c>
      <c r="BD61" s="11" t="n">
        <f aca="false">Inputs!$F$156*(0.5*BD19+0.5*BD23*Inputs!$F$150/BD11)*Time!BD25/12*Inputs!$F$39</f>
        <v>2.89357526819681</v>
      </c>
      <c r="BE61" s="11" t="n">
        <f aca="false">Inputs!$F$156*(0.5*BE19+0.5*BE23*Inputs!$F$150/BE11)*Time!BE25/12*Inputs!$F$39</f>
        <v>2.92523143444072</v>
      </c>
      <c r="BF61" s="11" t="n">
        <f aca="false">Inputs!$F$156*(0.5*BF19+0.5*BF23*Inputs!$F$150/BF11)*Time!BF25/12*Inputs!$F$39</f>
        <v>2.95723392409714</v>
      </c>
      <c r="BG61" s="11" t="n">
        <f aca="false">Inputs!$F$156*(0.5*BG19+0.5*BG23*Inputs!$F$150/BG11)*Time!BG25/12*Inputs!$F$39</f>
        <v>2.98958652599841</v>
      </c>
      <c r="BH61" s="11" t="n">
        <f aca="false">Inputs!$F$156*(0.5*BH19+0.5*BH23*Inputs!$F$150/BH11)*Time!BH25/12*Inputs!$F$39</f>
        <v>3.02229307042728</v>
      </c>
      <c r="BI61" s="11" t="n">
        <f aca="false">Inputs!$F$156*(0.5*BI19+0.5*BI23*Inputs!$F$150/BI11)*Time!BI25/12*Inputs!$F$39</f>
        <v>3.05535742957037</v>
      </c>
      <c r="BJ61" s="11" t="n">
        <f aca="false">Inputs!$F$156*(0.5*BJ19+0.5*BJ23*Inputs!$F$150/BJ11)*Time!BJ25/12*Inputs!$F$39</f>
        <v>3.08878351797668</v>
      </c>
      <c r="BK61" s="11" t="n">
        <f aca="false">Inputs!$F$156*(0.5*BK19+0.5*BK23*Inputs!$F$150/BK11)*Time!BK25/12*Inputs!$F$39</f>
        <v>3.12257529302092</v>
      </c>
      <c r="BL61" s="11" t="n">
        <f aca="false">Inputs!$F$156*(0.5*BL19+0.5*BL23*Inputs!$F$150/BL11)*Time!BL25/12*Inputs!$F$39</f>
        <v>3.15673675537216</v>
      </c>
      <c r="BM61" s="11" t="n">
        <f aca="false">Inputs!$F$156*(0.5*BM19+0.5*BM23*Inputs!$F$150/BM11)*Time!BM25/12*Inputs!$F$39</f>
        <v>2.12751463297826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27.5383929605207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0.137904129628829</v>
      </c>
      <c r="P62" s="11" t="n">
        <f aca="false">Inputs!$F$157*P23/P11*Time!P25/12*Inputs!$F$39</f>
        <v>0.418238467161933</v>
      </c>
      <c r="Q62" s="11" t="n">
        <f aca="false">Inputs!$F$157*Q23/Q11*Time!Q25/12*Inputs!$F$39</f>
        <v>0.422814061441989</v>
      </c>
      <c r="R62" s="11" t="n">
        <f aca="false">Inputs!$F$157*R23/R11*Time!R25/12*Inputs!$F$39</f>
        <v>0.427439713439496</v>
      </c>
      <c r="S62" s="11" t="n">
        <f aca="false">Inputs!$F$157*S23/S11*Time!S25/12*Inputs!$F$39</f>
        <v>0.432115970793713</v>
      </c>
      <c r="T62" s="11" t="n">
        <f aca="false">Inputs!$F$157*T23/T11*Time!T25/12*Inputs!$F$39</f>
        <v>0.436843387135164</v>
      </c>
      <c r="U62" s="11" t="n">
        <f aca="false">Inputs!$F$157*U23/U11*Time!U25/12*Inputs!$F$39</f>
        <v>0.441622522151175</v>
      </c>
      <c r="V62" s="11" t="n">
        <f aca="false">Inputs!$F$157*V23/V11*Time!V25/12*Inputs!$F$39</f>
        <v>0.446453941652138</v>
      </c>
      <c r="W62" s="11" t="n">
        <f aca="false">Inputs!$F$157*W23/W11*Time!W25/12*Inputs!$F$39</f>
        <v>0.451338217638501</v>
      </c>
      <c r="X62" s="11" t="n">
        <f aca="false">Inputs!$F$157*X23/X11*Time!X25/12*Inputs!$F$39</f>
        <v>0.456275928368485</v>
      </c>
      <c r="Y62" s="11" t="n">
        <f aca="false">Inputs!$F$157*Y23/Y11*Time!Y25/12*Inputs!$F$39</f>
        <v>0.461267658426548</v>
      </c>
      <c r="Z62" s="11" t="n">
        <f aca="false">Inputs!$F$157*Z23/Z11*Time!Z25/12*Inputs!$F$39</f>
        <v>0.466313998792592</v>
      </c>
      <c r="AA62" s="11" t="n">
        <f aca="false">Inputs!$F$157*AA23/AA11*Time!AA25/12*Inputs!$F$39</f>
        <v>0.471415546911932</v>
      </c>
      <c r="AB62" s="11" t="n">
        <f aca="false">Inputs!$F$157*AB23/AB11*Time!AB25/12*Inputs!$F$39</f>
        <v>0.476572906766029</v>
      </c>
      <c r="AC62" s="11" t="n">
        <f aca="false">Inputs!$F$157*AC23/AC11*Time!AC25/12*Inputs!$F$39</f>
        <v>0.481786688943994</v>
      </c>
      <c r="AD62" s="11" t="n">
        <f aca="false">Inputs!$F$157*AD23/AD11*Time!AD25/12*Inputs!$F$39</f>
        <v>0.487057510714881</v>
      </c>
      <c r="AE62" s="11" t="n">
        <f aca="false">Inputs!$F$157*AE23/AE11*Time!AE25/12*Inputs!$F$39</f>
        <v>0.492385996100762</v>
      </c>
      <c r="AF62" s="11" t="n">
        <f aca="false">Inputs!$F$157*AF23/AF11*Time!AF25/12*Inputs!$F$39</f>
        <v>0.497772775950609</v>
      </c>
      <c r="AG62" s="11" t="n">
        <f aca="false">Inputs!$F$157*AG23/AG11*Time!AG25/12*Inputs!$F$39</f>
        <v>0.503218488014979</v>
      </c>
      <c r="AH62" s="11" t="n">
        <f aca="false">Inputs!$F$157*AH23/AH11*Time!AH25/12*Inputs!$F$39</f>
        <v>0.508723777021522</v>
      </c>
      <c r="AI62" s="11" t="n">
        <f aca="false">Inputs!$F$157*AI23/AI11*Time!AI25/12*Inputs!$F$39</f>
        <v>0.514289294751309</v>
      </c>
      <c r="AJ62" s="11" t="n">
        <f aca="false">Inputs!$F$157*AJ23/AJ11*Time!AJ25/12*Inputs!$F$39</f>
        <v>0.519915700115996</v>
      </c>
      <c r="AK62" s="11" t="n">
        <f aca="false">Inputs!$F$157*AK23/AK11*Time!AK25/12*Inputs!$F$39</f>
        <v>0.525603659235837</v>
      </c>
      <c r="AL62" s="11" t="n">
        <f aca="false">Inputs!$F$157*AL23/AL11*Time!AL25/12*Inputs!$F$39</f>
        <v>0.531353845518548</v>
      </c>
      <c r="AM62" s="11" t="n">
        <f aca="false">Inputs!$F$157*AM23/AM11*Time!AM25/12*Inputs!$F$39</f>
        <v>0.537166939739026</v>
      </c>
      <c r="AN62" s="11" t="n">
        <f aca="false">Inputs!$F$157*AN23/AN11*Time!AN25/12*Inputs!$F$39</f>
        <v>0.543043630119956</v>
      </c>
      <c r="AO62" s="11" t="n">
        <f aca="false">Inputs!$F$157*AO23/AO11*Time!AO25/12*Inputs!$F$39</f>
        <v>0.548984612413284</v>
      </c>
      <c r="AP62" s="11" t="n">
        <f aca="false">Inputs!$F$157*AP23/AP11*Time!AP25/12*Inputs!$F$39</f>
        <v>0.554990589982595</v>
      </c>
      <c r="AQ62" s="11" t="n">
        <f aca="false">Inputs!$F$157*AQ23/AQ11*Time!AQ25/12*Inputs!$F$39</f>
        <v>0.561062273886377</v>
      </c>
      <c r="AR62" s="11" t="n">
        <f aca="false">Inputs!$F$157*AR23/AR11*Time!AR25/12*Inputs!$F$39</f>
        <v>0.567200382962212</v>
      </c>
      <c r="AS62" s="11" t="n">
        <f aca="false">Inputs!$F$157*AS23/AS11*Time!AS25/12*Inputs!$F$39</f>
        <v>0.573405643911877</v>
      </c>
      <c r="AT62" s="11" t="n">
        <f aca="false">Inputs!$F$157*AT23/AT11*Time!AT25/12*Inputs!$F$39</f>
        <v>0.57967879138738</v>
      </c>
      <c r="AU62" s="11" t="n">
        <f aca="false">Inputs!$F$157*AU23/AU11*Time!AU25/12*Inputs!$F$39</f>
        <v>0.586020568077938</v>
      </c>
      <c r="AV62" s="11" t="n">
        <f aca="false">Inputs!$F$157*AV23/AV11*Time!AV25/12*Inputs!$F$39</f>
        <v>0.592431724797903</v>
      </c>
      <c r="AW62" s="11" t="n">
        <f aca="false">Inputs!$F$157*AW23/AW11*Time!AW25/12*Inputs!$F$39</f>
        <v>0.598913020575653</v>
      </c>
      <c r="AX62" s="11" t="n">
        <f aca="false">Inputs!$F$157*AX23/AX11*Time!AX25/12*Inputs!$F$39</f>
        <v>0.605465222743457</v>
      </c>
      <c r="AY62" s="11" t="n">
        <f aca="false">Inputs!$F$157*AY23/AY11*Time!AY25/12*Inputs!$F$39</f>
        <v>0.612089107028317</v>
      </c>
      <c r="AZ62" s="11" t="n">
        <f aca="false">Inputs!$F$157*AZ23/AZ11*Time!AZ25/12*Inputs!$F$39</f>
        <v>0.618785457643813</v>
      </c>
      <c r="BA62" s="11" t="n">
        <f aca="false">Inputs!$F$157*BA23/BA11*Time!BA25/12*Inputs!$F$39</f>
        <v>0.62555506738294</v>
      </c>
      <c r="BB62" s="11" t="n">
        <f aca="false">Inputs!$F$157*BB23/BB11*Time!BB25/12*Inputs!$F$39</f>
        <v>0.632398737711976</v>
      </c>
      <c r="BC62" s="11" t="n">
        <f aca="false">Inputs!$F$157*BC23/BC11*Time!BC25/12*Inputs!$F$39</f>
        <v>0.639317278865365</v>
      </c>
      <c r="BD62" s="11" t="n">
        <f aca="false">Inputs!$F$157*BD23/BD11*Time!BD25/12*Inputs!$F$39</f>
        <v>0.64631150994164</v>
      </c>
      <c r="BE62" s="11" t="n">
        <f aca="false">Inputs!$F$157*BE23/BE11*Time!BE25/12*Inputs!$F$39</f>
        <v>0.653382259000403</v>
      </c>
      <c r="BF62" s="11" t="n">
        <f aca="false">Inputs!$F$157*BF23/BF11*Time!BF25/12*Inputs!$F$39</f>
        <v>0.660530363160356</v>
      </c>
      <c r="BG62" s="11" t="n">
        <f aca="false">Inputs!$F$157*BG23/BG11*Time!BG25/12*Inputs!$F$39</f>
        <v>0.667756668698412</v>
      </c>
      <c r="BH62" s="11" t="n">
        <f aca="false">Inputs!$F$157*BH23/BH11*Time!BH25/12*Inputs!$F$39</f>
        <v>0.675062031149884</v>
      </c>
      <c r="BI62" s="11" t="n">
        <f aca="false">Inputs!$F$157*BI23/BI11*Time!BI25/12*Inputs!$F$39</f>
        <v>0.682447315409777</v>
      </c>
      <c r="BJ62" s="11" t="n">
        <f aca="false">Inputs!$F$157*BJ23/BJ11*Time!BJ25/12*Inputs!$F$39</f>
        <v>0.689913395835181</v>
      </c>
      <c r="BK62" s="11" t="n">
        <f aca="false">Inputs!$F$157*BK23/BK11*Time!BK25/12*Inputs!$F$39</f>
        <v>0.697461156348792</v>
      </c>
      <c r="BL62" s="11" t="n">
        <f aca="false">Inputs!$F$157*BL23/BL11*Time!BL25/12*Inputs!$F$39</f>
        <v>0.705091490543555</v>
      </c>
      <c r="BM62" s="11" t="n">
        <f aca="false">Inputs!$F$157*BM23/BM11*Time!BM25/12*Inputs!$F$39</f>
        <v>0.475203534525644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1194.5772845175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6.09096207058998</v>
      </c>
      <c r="P67" s="11" t="n">
        <f aca="false">P55+P56+P57+P59+P60+P61+P62+P63+P64+P65+P66</f>
        <v>18.4661761563198</v>
      </c>
      <c r="Q67" s="11" t="n">
        <f aca="false">Q55+Q56+Q57+Q59+Q60+Q61+Q62+Q63+Q64+Q65+Q66</f>
        <v>18.6214944268034</v>
      </c>
      <c r="R67" s="11" t="n">
        <f aca="false">R55+R56+R57+R59+R60+R61+R62+R63+R64+R65+R66</f>
        <v>18.7381166614321</v>
      </c>
      <c r="S67" s="11" t="n">
        <f aca="false">S55+S56+S57+S59+S60+S61+S62+S63+S64+S65+S66</f>
        <v>18.9763055715266</v>
      </c>
      <c r="T67" s="11" t="n">
        <f aca="false">T55+T56+T57+T59+T60+T61+T62+T63+T64+T65+T66</f>
        <v>19.2583368341248</v>
      </c>
      <c r="U67" s="11" t="n">
        <f aca="false">U55+U56+U57+U59+U60+U61+U62+U63+U64+U65+U66</f>
        <v>19.3150576029779</v>
      </c>
      <c r="V67" s="11" t="n">
        <f aca="false">V55+V56+V57+V59+V60+V61+V62+V63+V64+V65+V66</f>
        <v>19.2225096458005</v>
      </c>
      <c r="W67" s="11" t="n">
        <f aca="false">W55+W56+W57+W59+W60+W61+W62+W63+W64+W65+W66</f>
        <v>19.5754871143286</v>
      </c>
      <c r="X67" s="11" t="n">
        <f aca="false">X55+X56+X57+X59+X60+X61+X62+X63+X64+X65+X66</f>
        <v>20.0854347705409</v>
      </c>
      <c r="Y67" s="11" t="n">
        <f aca="false">Y55+Y56+Y57+Y59+Y60+Y61+Y62+Y63+Y64+Y65+Y66</f>
        <v>20.2547697299564</v>
      </c>
      <c r="Z67" s="11" t="n">
        <f aca="false">Z55+Z56+Z57+Z59+Z60+Z61+Z62+Z63+Z64+Z65+Z66</f>
        <v>20.3819349152024</v>
      </c>
      <c r="AA67" s="11" t="n">
        <f aca="false">AA55+AA56+AA57+AA59+AA60+AA61+AA62+AA63+AA64+AA65+AA66</f>
        <v>20.6415829721431</v>
      </c>
      <c r="AB67" s="11" t="n">
        <f aca="false">AB55+AB56+AB57+AB59+AB60+AB61+AB62+AB63+AB64+AB65+AB66</f>
        <v>20.9490107152439</v>
      </c>
      <c r="AC67" s="11" t="n">
        <f aca="false">AC55+AC56+AC57+AC59+AC60+AC61+AC62+AC63+AC64+AC65+AC66</f>
        <v>20.9159617429166</v>
      </c>
      <c r="AD67" s="11" t="n">
        <f aca="false">AD55+AD56+AD57+AD59+AD60+AD61+AD62+AD63+AD64+AD65+AD66</f>
        <v>20.6546621190511</v>
      </c>
      <c r="AE67" s="11" t="n">
        <f aca="false">AE55+AE56+AE57+AE59+AE60+AE61+AE62+AE63+AE64+AE65+AE66</f>
        <v>21.1008630174322</v>
      </c>
      <c r="AF67" s="11" t="n">
        <f aca="false">AF55+AF56+AF57+AF59+AF60+AF61+AF62+AF63+AF64+AF65+AF66</f>
        <v>21.8506733605622</v>
      </c>
      <c r="AG67" s="11" t="n">
        <f aca="false">AG55+AG56+AG57+AG59+AG60+AG61+AG62+AG63+AG64+AG65+AG66</f>
        <v>22.0352898677298</v>
      </c>
      <c r="AH67" s="11" t="n">
        <f aca="false">AH55+AH56+AH57+AH59+AH60+AH61+AH62+AH63+AH64+AH65+AH66</f>
        <v>22.1739510789604</v>
      </c>
      <c r="AI67" s="11" t="n">
        <f aca="false">AI55+AI56+AI57+AI59+AI60+AI61+AI62+AI63+AI64+AI65+AI66</f>
        <v>22.4569914274109</v>
      </c>
      <c r="AJ67" s="11" t="n">
        <f aca="false">AJ55+AJ56+AJ57+AJ59+AJ60+AJ61+AJ62+AJ63+AJ64+AJ65+AJ66</f>
        <v>22.7921023373227</v>
      </c>
      <c r="AK67" s="11" t="n">
        <f aca="false">AK55+AK56+AK57+AK59+AK60+AK61+AK62+AK63+AK64+AK65+AK66</f>
        <v>22.859627332066</v>
      </c>
      <c r="AL67" s="11" t="n">
        <f aca="false">AL55+AL56+AL57+AL59+AL60+AL61+AL62+AL63+AL64+AL65+AL66</f>
        <v>22.7498768118758</v>
      </c>
      <c r="AM67" s="11" t="n">
        <f aca="false">AM55+AM56+AM57+AM59+AM60+AM61+AM62+AM63+AM64+AM65+AM66</f>
        <v>23.1692513586069</v>
      </c>
      <c r="AN67" s="11" t="n">
        <f aca="false">AN55+AN56+AN57+AN59+AN60+AN61+AN62+AN63+AN64+AN65+AN66</f>
        <v>23.7750513427846</v>
      </c>
      <c r="AO67" s="11" t="n">
        <f aca="false">AO55+AO56+AO57+AO59+AO60+AO61+AO62+AO63+AO64+AO65+AO66</f>
        <v>23.976328389723</v>
      </c>
      <c r="AP67" s="11" t="n">
        <f aca="false">AP55+AP56+AP57+AP59+AP60+AP61+AP62+AP63+AP64+AP65+AP66</f>
        <v>24.1275248564917</v>
      </c>
      <c r="AQ67" s="11" t="n">
        <f aca="false">AQ55+AQ56+AQ57+AQ59+AQ60+AQ61+AQ62+AQ63+AQ64+AQ65+AQ66</f>
        <v>24.4360647722775</v>
      </c>
      <c r="AR67" s="11" t="n">
        <f aca="false">AR55+AR56+AR57+AR59+AR60+AR61+AR62+AR63+AR64+AR65+AR66</f>
        <v>24.8013514064839</v>
      </c>
      <c r="AS67" s="11" t="n">
        <f aca="false">AS55+AS56+AS57+AS59+AS60+AS61+AS62+AS63+AS64+AS65+AS66</f>
        <v>24.7622772789594</v>
      </c>
      <c r="AT67" s="11" t="n">
        <f aca="false">AT55+AT56+AT57+AT59+AT60+AT61+AT62+AT63+AT64+AT65+AT66</f>
        <v>24.4528212230199</v>
      </c>
      <c r="AU67" s="11" t="n">
        <f aca="false">AU55+AU56+AU57+AU59+AU60+AU61+AU62+AU63+AU64+AU65+AU66</f>
        <v>24.9822308375229</v>
      </c>
      <c r="AV67" s="11" t="n">
        <f aca="false">AV55+AV56+AV57+AV59+AV60+AV61+AV62+AV63+AV64+AV65+AV66</f>
        <v>25.8729143000697</v>
      </c>
      <c r="AW67" s="11" t="n">
        <f aca="false">AW55+AW56+AW57+AW59+AW60+AW61+AW62+AW63+AW64+AW65+AW66</f>
        <v>26.0923553100415</v>
      </c>
      <c r="AX67" s="11" t="n">
        <f aca="false">AX55+AX56+AX57+AX59+AX60+AX61+AX62+AX63+AX64+AX65+AX66</f>
        <v>26.2572202037918</v>
      </c>
      <c r="AY67" s="11" t="n">
        <f aca="false">AY55+AY56+AY57+AY59+AY60+AY61+AY62+AY63+AY64+AY65+AY66</f>
        <v>26.5935567775844</v>
      </c>
      <c r="AZ67" s="11" t="n">
        <f aca="false">AZ55+AZ56+AZ57+AZ59+AZ60+AZ61+AZ62+AZ63+AZ64+AZ65+AZ66</f>
        <v>26.9917360974788</v>
      </c>
      <c r="BA67" s="11" t="n">
        <f aca="false">BA55+BA56+BA57+BA59+BA60+BA61+BA62+BA63+BA64+BA65+BA66</f>
        <v>27.0721233116523</v>
      </c>
      <c r="BB67" s="11" t="n">
        <f aca="false">BB55+BB56+BB57+BB59+BB60+BB61+BB62+BB63+BB64+BB65+BB66</f>
        <v>26.9419743641717</v>
      </c>
      <c r="BC67" s="11" t="n">
        <f aca="false">BC55+BC56+BC57+BC59+BC60+BC61+BC62+BC63+BC64+BC65+BC66</f>
        <v>27.4402341619802</v>
      </c>
      <c r="BD67" s="11" t="n">
        <f aca="false">BD55+BD56+BD57+BD59+BD60+BD61+BD62+BD63+BD64+BD65+BD66</f>
        <v>28.1599008920775</v>
      </c>
      <c r="BE67" s="11" t="n">
        <f aca="false">BE55+BE56+BE57+BE59+BE60+BE61+BE62+BE63+BE64+BE65+BE66</f>
        <v>28.3991449467511</v>
      </c>
      <c r="BF67" s="11" t="n">
        <f aca="false">BF55+BF56+BF57+BF59+BF60+BF61+BF62+BF63+BF64+BF65+BF66</f>
        <v>28.5789138724442</v>
      </c>
      <c r="BG67" s="11" t="n">
        <f aca="false">BG55+BG56+BG57+BG59+BG60+BG61+BG62+BG63+BG64+BG65+BG66</f>
        <v>28.9455511059135</v>
      </c>
      <c r="BH67" s="11" t="n">
        <f aca="false">BH55+BH56+BH57+BH59+BH60+BH61+BH62+BH63+BH64+BH65+BH66</f>
        <v>29.3795846776916</v>
      </c>
      <c r="BI67" s="11" t="n">
        <f aca="false">BI55+BI56+BI57+BI59+BI60+BI61+BI62+BI63+BI64+BI65+BI66</f>
        <v>29.3333889886534</v>
      </c>
      <c r="BJ67" s="11" t="n">
        <f aca="false">BJ55+BJ56+BJ57+BJ59+BJ60+BJ61+BJ62+BJ63+BJ64+BJ65+BJ66</f>
        <v>28.9667939538026</v>
      </c>
      <c r="BK67" s="11" t="n">
        <f aca="false">BK55+BK56+BK57+BK59+BK60+BK61+BK62+BK63+BK64+BK65+BK66</f>
        <v>29.5950397321077</v>
      </c>
      <c r="BL67" s="11" t="n">
        <f aca="false">BL55+BL56+BL57+BL59+BL60+BL61+BL62+BL63+BL64+BL65+BL66</f>
        <v>30.6530594007466</v>
      </c>
      <c r="BM67" s="11" t="n">
        <f aca="false">BM55+BM56+BM57+BM59+BM60+BM61+BM62+BM63+BM64+BM65+BM66</f>
        <v>20.6537126723536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6992.78586244317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36.4603562697022</v>
      </c>
      <c r="P78" s="11" t="n">
        <f aca="false">P67+P69+P70+P71+P74+P77</f>
        <v>109.727577409911</v>
      </c>
      <c r="Q78" s="11" t="n">
        <f aca="false">Q67+Q69+Q70+Q71+Q74+Q77</f>
        <v>111.087816665622</v>
      </c>
      <c r="R78" s="11" t="n">
        <f aca="false">R67+R69+R70+R71+R74+R77</f>
        <v>110.850425000411</v>
      </c>
      <c r="S78" s="11" t="n">
        <f aca="false">S67+S69+S70+S71+S74+S77</f>
        <v>112.9189696011</v>
      </c>
      <c r="T78" s="11" t="n">
        <f aca="false">T67+T69+T70+T71+T74+T77</f>
        <v>113.911288370084</v>
      </c>
      <c r="U78" s="11" t="n">
        <f aca="false">U67+U69+U70+U71+U74+U77</f>
        <v>114.685113878368</v>
      </c>
      <c r="V78" s="11" t="n">
        <f aca="false">V67+V69+V70+V71+V74+V77</f>
        <v>115.288229316892</v>
      </c>
      <c r="W78" s="11" t="n">
        <f aca="false">W67+W69+W70+W71+W74+W77</f>
        <v>115.708877928134</v>
      </c>
      <c r="X78" s="11" t="n">
        <f aca="false">X67+X69+X70+X71+X74+X77</f>
        <v>118.362035680286</v>
      </c>
      <c r="Y78" s="11" t="n">
        <f aca="false">Y67+Y69+Y70+Y71+Y74+Y77</f>
        <v>119.925967863615</v>
      </c>
      <c r="Z78" s="11" t="n">
        <f aca="false">Z67+Z69+Z70+Z71+Z74+Z77</f>
        <v>119.68014263715</v>
      </c>
      <c r="AA78" s="11" t="n">
        <f aca="false">AA67+AA69+AA70+AA71+AA74+AA77</f>
        <v>121.917304113857</v>
      </c>
      <c r="AB78" s="11" t="n">
        <f aca="false">AB67+AB69+AB70+AB71+AB74+AB77</f>
        <v>122.987796378808</v>
      </c>
      <c r="AC78" s="11" t="n">
        <f aca="false">AC67+AC69+AC70+AC71+AC74+AC77</f>
        <v>123.112350166373</v>
      </c>
      <c r="AD78" s="11" t="n">
        <f aca="false">AD67+AD69+AD70+AD71+AD74+AD77</f>
        <v>131.506092632557</v>
      </c>
      <c r="AE78" s="11" t="n">
        <f aca="false">AE67+AE69+AE70+AE71+AE74+AE77</f>
        <v>123.478839503728</v>
      </c>
      <c r="AF78" s="11" t="n">
        <f aca="false">AF67+AF69+AF70+AF71+AF74+AF77</f>
        <v>127.795453375187</v>
      </c>
      <c r="AG78" s="11" t="n">
        <f aca="false">AG67+AG69+AG70+AG71+AG74+AG77</f>
        <v>129.486705918808</v>
      </c>
      <c r="AH78" s="11" t="n">
        <f aca="false">AH67+AH69+AH70+AH71+AH74+AH77</f>
        <v>129.217849098941</v>
      </c>
      <c r="AI78" s="11" t="n">
        <f aca="false">AI67+AI69+AI70+AI71+AI74+AI77</f>
        <v>131.637273988888</v>
      </c>
      <c r="AJ78" s="11" t="n">
        <f aca="false">AJ67+AJ69+AJ70+AJ71+AJ74+AJ77</f>
        <v>132.792159909335</v>
      </c>
      <c r="AK78" s="11" t="n">
        <f aca="false">AK67+AK69+AK70+AK71+AK74+AK77</f>
        <v>133.693906844919</v>
      </c>
      <c r="AL78" s="11" t="n">
        <f aca="false">AL67+AL69+AL70+AL71+AL74+AL77</f>
        <v>134.446681598864</v>
      </c>
      <c r="AM78" s="11" t="n">
        <f aca="false">AM67+AM69+AM70+AM71+AM74+AM77</f>
        <v>134.887582583069</v>
      </c>
      <c r="AN78" s="11" t="n">
        <f aca="false">AN67+AN69+AN70+AN71+AN74+AN77</f>
        <v>137.98535014177</v>
      </c>
      <c r="AO78" s="11" t="n">
        <f aca="false">AO67+AO69+AO70+AO71+AO74+AO77</f>
        <v>139.814208167224</v>
      </c>
      <c r="AP78" s="11" t="n">
        <f aca="false">AP67+AP69+AP70+AP71+AP74+AP77</f>
        <v>139.520320891353</v>
      </c>
      <c r="AQ78" s="11" t="n">
        <f aca="false">AQ67+AQ69+AQ70+AQ71+AQ74+AQ77</f>
        <v>142.136751775817</v>
      </c>
      <c r="AR78" s="11" t="n">
        <f aca="false">AR67+AR69+AR70+AR71+AR74+AR77</f>
        <v>143.382750157225</v>
      </c>
      <c r="AS78" s="11" t="n">
        <f aca="false">AS67+AS69+AS70+AS71+AS74+AS77</f>
        <v>143.524608599235</v>
      </c>
      <c r="AT78" s="11" t="n">
        <f aca="false">AT67+AT69+AT70+AT71+AT74+AT77</f>
        <v>153.582241535107</v>
      </c>
      <c r="AU78" s="11" t="n">
        <f aca="false">AU67+AU69+AU70+AU71+AU74+AU77</f>
        <v>143.949112679135</v>
      </c>
      <c r="AV78" s="11" t="n">
        <f aca="false">AV67+AV69+AV70+AV71+AV74+AV77</f>
        <v>148.992389397685</v>
      </c>
      <c r="AW78" s="11" t="n">
        <f aca="false">AW67+AW69+AW70+AW71+AW74+AW77</f>
        <v>150.969962075045</v>
      </c>
      <c r="AX78" s="11" t="n">
        <f aca="false">AX67+AX69+AX70+AX71+AX74+AX77</f>
        <v>150.648881247526</v>
      </c>
      <c r="AY78" s="11" t="n">
        <f aca="false">AY67+AY69+AY70+AY71+AY74+AY77</f>
        <v>153.47824405573</v>
      </c>
      <c r="AZ78" s="11" t="n">
        <f aca="false">AZ67+AZ69+AZ70+AZ71+AZ74+AZ77</f>
        <v>154.822612541559</v>
      </c>
      <c r="BA78" s="11" t="n">
        <f aca="false">BA67+BA69+BA70+BA71+BA74+BA77</f>
        <v>155.873319713678</v>
      </c>
      <c r="BB78" s="11" t="n">
        <f aca="false">BB67+BB69+BB70+BB71+BB74+BB77</f>
        <v>156.810942140517</v>
      </c>
      <c r="BC78" s="11" t="n">
        <f aca="false">BC67+BC69+BC70+BC71+BC74+BC77</f>
        <v>157.265190802059</v>
      </c>
      <c r="BD78" s="11" t="n">
        <f aca="false">BD67+BD69+BD70+BD71+BD74+BD77</f>
        <v>160.882091846293</v>
      </c>
      <c r="BE78" s="11" t="n">
        <f aca="false">BE67+BE69+BE70+BE71+BE74+BE77</f>
        <v>163.020377831652</v>
      </c>
      <c r="BF78" s="11" t="n">
        <f aca="false">BF67+BF69+BF70+BF71+BF74+BF77</f>
        <v>162.669763253107</v>
      </c>
      <c r="BG78" s="11" t="n">
        <f aca="false">BG67+BG69+BG70+BG71+BG74+BG77</f>
        <v>165.72926145668</v>
      </c>
      <c r="BH78" s="11" t="n">
        <f aca="false">BH67+BH69+BH70+BH71+BH74+BH77</f>
        <v>167.179839972427</v>
      </c>
      <c r="BI78" s="11" t="n">
        <f aca="false">BI67+BI69+BI70+BI71+BI74+BI77</f>
        <v>167.341316971921</v>
      </c>
      <c r="BJ78" s="11" t="n">
        <f aca="false">BJ67+BJ69+BJ70+BJ71+BJ74+BJ77</f>
        <v>179.391753971148</v>
      </c>
      <c r="BK78" s="11" t="n">
        <f aca="false">BK67+BK69+BK70+BK71+BK74+BK77</f>
        <v>167.833209721818</v>
      </c>
      <c r="BL78" s="11" t="n">
        <f aca="false">BL67+BL69+BL70+BL71+BL74+BL77</f>
        <v>173.725223307795</v>
      </c>
      <c r="BM78" s="11" t="n">
        <f aca="false">BM67+BM69+BM70+BM71+BM74+BM77</f>
        <v>136.68934145506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2551.43649970451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16.5523212779918</v>
      </c>
      <c r="P79" s="11" t="n">
        <f aca="false">P51-P78+P53</f>
        <v>49.6539257804251</v>
      </c>
      <c r="Q79" s="11" t="n">
        <f aca="false">Q51-Q78+Q53</f>
        <v>49.8496278435432</v>
      </c>
      <c r="R79" s="11" t="n">
        <f aca="false">R51-R78+R53</f>
        <v>49.9855261309871</v>
      </c>
      <c r="S79" s="11" t="n">
        <f aca="false">S51-S78+S53</f>
        <v>50.0683403618542</v>
      </c>
      <c r="T79" s="11" t="n">
        <f aca="false">T51-T78+T53</f>
        <v>50.1342780766878</v>
      </c>
      <c r="U79" s="11" t="n">
        <f aca="false">U51-U78+U53</f>
        <v>50.2873669910437</v>
      </c>
      <c r="V79" s="11" t="n">
        <f aca="false">V51-V78+V53</f>
        <v>47.9982048838494</v>
      </c>
      <c r="W79" s="11" t="n">
        <f aca="false">W51-W78+W53</f>
        <v>50.5429067435296</v>
      </c>
      <c r="X79" s="11" t="n">
        <f aca="false">X51-X78+X53</f>
        <v>50.5312101782456</v>
      </c>
      <c r="Y79" s="11" t="n">
        <f aca="false">Y51-Y78+Y53</f>
        <v>50.6497606175813</v>
      </c>
      <c r="Z79" s="11" t="n">
        <f aca="false">Z51-Z78+Z53</f>
        <v>50.7845551226955</v>
      </c>
      <c r="AA79" s="11" t="n">
        <f aca="false">AA51-AA78+AA53</f>
        <v>50.8729674087152</v>
      </c>
      <c r="AB79" s="11" t="n">
        <f aca="false">AB51-AB78+AB53</f>
        <v>50.9439836399245</v>
      </c>
      <c r="AC79" s="11" t="n">
        <f aca="false">AC51-AC78+AC53</f>
        <v>51.1464809099471</v>
      </c>
      <c r="AD79" s="11" t="n">
        <f aca="false">AD51-AD78+AD53</f>
        <v>38.659991944834</v>
      </c>
      <c r="AE79" s="11" t="n">
        <f aca="false">AE51-AE78+AE53</f>
        <v>51.462474595561</v>
      </c>
      <c r="AF79" s="11" t="n">
        <f aca="false">AF51-AF78+AF53</f>
        <v>51.3732395284939</v>
      </c>
      <c r="AG79" s="11" t="n">
        <f aca="false">AG51-AG78+AG53</f>
        <v>51.5012459115863</v>
      </c>
      <c r="AH79" s="11" t="n">
        <f aca="false">AH51-AH78+AH53</f>
        <v>51.6487727622894</v>
      </c>
      <c r="AI79" s="11" t="n">
        <f aca="false">AI51-AI78+AI53</f>
        <v>51.7431611362602</v>
      </c>
      <c r="AJ79" s="11" t="n">
        <f aca="false">AJ51-AJ78+AJ53</f>
        <v>51.8196452036536</v>
      </c>
      <c r="AK79" s="11" t="n">
        <f aca="false">AK51-AK78+AK53</f>
        <v>52.0010024208087</v>
      </c>
      <c r="AL79" s="11" t="n">
        <f aca="false">AL51-AL78+AL53</f>
        <v>49.28137515465</v>
      </c>
      <c r="AM79" s="11" t="n">
        <f aca="false">AM51-AM78+AM53</f>
        <v>52.3038051568255</v>
      </c>
      <c r="AN79" s="11" t="n">
        <f aca="false">AN51-AN78+AN53</f>
        <v>52.2838954097963</v>
      </c>
      <c r="AO79" s="11" t="n">
        <f aca="false">AO51-AO78+AO53</f>
        <v>52.4221306844942</v>
      </c>
      <c r="AP79" s="11" t="n">
        <f aca="false">AP51-AP78+AP53</f>
        <v>52.5835744072127</v>
      </c>
      <c r="AQ79" s="11" t="n">
        <f aca="false">AQ51-AQ78+AQ53</f>
        <v>52.6843425998417</v>
      </c>
      <c r="AR79" s="11" t="n">
        <f aca="false">AR51-AR78+AR53</f>
        <v>52.7667134135945</v>
      </c>
      <c r="AS79" s="11" t="n">
        <f aca="false">AS51-AS78+AS53</f>
        <v>53.0085353837365</v>
      </c>
      <c r="AT79" s="11" t="n">
        <f aca="false">AT51-AT78+AT53</f>
        <v>38.2669512783856</v>
      </c>
      <c r="AU79" s="11" t="n">
        <f aca="false">AU51-AU78+AU53</f>
        <v>53.3849584066187</v>
      </c>
      <c r="AV79" s="11" t="n">
        <f aca="false">AV51-AV78+AV53</f>
        <v>53.2688521893509</v>
      </c>
      <c r="AW79" s="11" t="n">
        <f aca="false">AW51-AW78+AW53</f>
        <v>53.4181541054966</v>
      </c>
      <c r="AX79" s="11" t="n">
        <f aca="false">AX51-AX78+AX53</f>
        <v>53.5948081578694</v>
      </c>
      <c r="AY79" s="11" t="n">
        <f aca="false">AY51-AY78+AY53</f>
        <v>53.7023873765837</v>
      </c>
      <c r="AZ79" s="11" t="n">
        <f aca="false">AZ51-AZ78+AZ53</f>
        <v>53.7910956541367</v>
      </c>
      <c r="BA79" s="11" t="n">
        <f aca="false">BA51-BA78+BA53</f>
        <v>54.0060069280155</v>
      </c>
      <c r="BB79" s="11" t="n">
        <f aca="false">BB51-BB78+BB53</f>
        <v>50.7747418357152</v>
      </c>
      <c r="BC79" s="11" t="n">
        <f aca="false">BC51-BC78+BC53</f>
        <v>54.3648657475741</v>
      </c>
      <c r="BD79" s="11" t="n">
        <f aca="false">BD51-BD78+BD53</f>
        <v>54.334259954828</v>
      </c>
      <c r="BE79" s="11" t="n">
        <f aca="false">BE51-BE78+BE53</f>
        <v>54.4955366303577</v>
      </c>
      <c r="BF79" s="11" t="n">
        <f aca="false">BF51-BF78+BF53</f>
        <v>54.68881332903</v>
      </c>
      <c r="BG79" s="11" t="n">
        <f aca="false">BG51-BG78+BG53</f>
        <v>54.8036641640375</v>
      </c>
      <c r="BH79" s="11" t="n">
        <f aca="false">BH51-BH78+BH53</f>
        <v>54.8991948092379</v>
      </c>
      <c r="BI79" s="11" t="n">
        <f aca="false">BI51-BI78+BI53</f>
        <v>55.1879788679709</v>
      </c>
      <c r="BJ79" s="11" t="n">
        <f aca="false">BJ51-BJ78+BJ53</f>
        <v>37.7636995154369</v>
      </c>
      <c r="BK79" s="11" t="n">
        <f aca="false">BK51-BK78+BK53</f>
        <v>55.6363755214916</v>
      </c>
      <c r="BL79" s="11" t="n">
        <f aca="false">BL51-BL78+BL53</f>
        <v>55.4867849036399</v>
      </c>
      <c r="BM79" s="11" t="n">
        <f aca="false">BM51-BM78+BM53</f>
        <v>18.0220086480719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1.75466759050047</v>
      </c>
      <c r="P87" s="11" t="n">
        <f aca="false">(1-P81)*(P55+P56+P57+P59)/MAX(Time!P26,1)*Inputs!$F$168</f>
        <v>1.76422336369604</v>
      </c>
      <c r="Q87" s="11" t="n">
        <f aca="false">(1-Q81)*(Q55+Q56+Q57+Q59)/MAX(Time!Q26,1)*Inputs!$F$168</f>
        <v>1.80769025290166</v>
      </c>
      <c r="R87" s="11" t="n">
        <f aca="false">(1-R81)*(R55+R56+R57+R59)/MAX(Time!R26,1)*Inputs!$F$168</f>
        <v>1.78694048951067</v>
      </c>
      <c r="S87" s="11" t="n">
        <f aca="false">(1-S81)*(S55+S56+S57+S59)/MAX(Time!S26,1)*Inputs!$F$168</f>
        <v>1.84194557904082</v>
      </c>
      <c r="T87" s="11" t="n">
        <f aca="false">(1-T81)*(T55+T56+T57+T59)/MAX(Time!T26,1)*Inputs!$F$168</f>
        <v>1.84270307580669</v>
      </c>
      <c r="U87" s="11" t="n">
        <f aca="false">(1-U81)*(U55+U56+U57+U59)/MAX(Time!U26,1)*Inputs!$F$168</f>
        <v>1.86340750152737</v>
      </c>
      <c r="V87" s="11" t="n">
        <f aca="false">(1-V81)*(V55+V56+V57+V59)/MAX(Time!V26,1)*Inputs!$F$168</f>
        <v>1.82346727866241</v>
      </c>
      <c r="W87" s="11" t="n">
        <f aca="false">(1-W81)*(W55+W56+W57+W59)/MAX(Time!W26,1)*Inputs!$F$168</f>
        <v>1.89444709222591</v>
      </c>
      <c r="X87" s="11" t="n">
        <f aca="false">(1-X81)*(X55+X56+X57+X59)/MAX(Time!X26,1)*Inputs!$F$168</f>
        <v>1.92467387943088</v>
      </c>
      <c r="Y87" s="11" t="n">
        <f aca="false">(1-Y81)*(Y55+Y56+Y57+Y59)/MAX(Time!Y26,1)*Inputs!$F$168</f>
        <v>1.97209394425697</v>
      </c>
      <c r="Z87" s="11" t="n">
        <f aca="false">(1-Z81)*(Z55+Z56+Z57+Z59)/MAX(Time!Z26,1)*Inputs!$F$168</f>
        <v>1.94945705574</v>
      </c>
      <c r="AA87" s="11" t="n">
        <f aca="false">(1-AA81)*(AA55+AA56+AA57+AA59)/MAX(Time!AA26,1)*Inputs!$F$168</f>
        <v>2.00946468359086</v>
      </c>
      <c r="AB87" s="11" t="n">
        <f aca="false">(1-AB81)*(AB55+AB56+AB57+AB59)/MAX(Time!AB26,1)*Inputs!$F$168</f>
        <v>2.01029107228348</v>
      </c>
      <c r="AC87" s="11" t="n">
        <f aca="false">(1-AC81)*(AC55+AC56+AC57+AC59)/MAX(Time!AC26,1)*Inputs!$F$168</f>
        <v>2.01997140658409</v>
      </c>
      <c r="AD87" s="11" t="n">
        <f aca="false">(1-AD81)*(AD55+AD56+AD57+AD59)/MAX(Time!AD26,1)*Inputs!$F$168</f>
        <v>1.95670002272078</v>
      </c>
      <c r="AE87" s="11" t="n">
        <f aca="false">(1-AE81)*(AE55+AE56+AE57+AE59)/MAX(Time!AE26,1)*Inputs!$F$168</f>
        <v>2.04021318676345</v>
      </c>
      <c r="AF87" s="11" t="n">
        <f aca="false">(1-AF81)*(AF55+AF56+AF57+AF59)/MAX(Time!AF26,1)*Inputs!$F$168</f>
        <v>2.09971686034294</v>
      </c>
      <c r="AG87" s="11" t="n">
        <f aca="false">(1-AG81)*(AG55+AG56+AG57+AG59)/MAX(Time!AG26,1)*Inputs!$F$168</f>
        <v>2.15144962956582</v>
      </c>
      <c r="AH87" s="11" t="n">
        <f aca="false">(1-AH81)*(AH55+AH56+AH57+AH59)/MAX(Time!AH26,1)*Inputs!$F$168</f>
        <v>2.12675398788192</v>
      </c>
      <c r="AI87" s="11" t="n">
        <f aca="false">(1-AI81)*(AI55+AI56+AI57+AI59)/MAX(Time!AI26,1)*Inputs!$F$168</f>
        <v>2.19221911903696</v>
      </c>
      <c r="AJ87" s="11" t="n">
        <f aca="false">(1-AJ81)*(AJ55+AJ56+AJ57+AJ59)/MAX(Time!AJ26,1)*Inputs!$F$168</f>
        <v>2.19312066515843</v>
      </c>
      <c r="AK87" s="11" t="n">
        <f aca="false">(1-AK81)*(AK55+AK56+AK57+AK59)/MAX(Time!AK26,1)*Inputs!$F$168</f>
        <v>2.21776234753495</v>
      </c>
      <c r="AL87" s="11" t="n">
        <f aca="false">(1-AL81)*(AL55+AL56+AL57+AL59)/MAX(Time!AL26,1)*Inputs!$F$168</f>
        <v>2.17022689307882</v>
      </c>
      <c r="AM87" s="11" t="n">
        <f aca="false">(1-AM81)*(AM55+AM56+AM57+AM59)/MAX(Time!AM26,1)*Inputs!$F$168</f>
        <v>2.25470458130705</v>
      </c>
      <c r="AN87" s="11" t="n">
        <f aca="false">(1-AN81)*(AN55+AN56+AN57+AN59)/MAX(Time!AN26,1)*Inputs!$F$168</f>
        <v>2.29067944482734</v>
      </c>
      <c r="AO87" s="11" t="n">
        <f aca="false">(1-AO81)*(AO55+AO56+AO57+AO59)/MAX(Time!AO26,1)*Inputs!$F$168</f>
        <v>2.34711714522448</v>
      </c>
      <c r="AP87" s="11" t="n">
        <f aca="false">(1-AP81)*(AP55+AP56+AP57+AP59)/MAX(Time!AP26,1)*Inputs!$F$168</f>
        <v>2.32017551330707</v>
      </c>
      <c r="AQ87" s="11" t="n">
        <f aca="false">(1-AQ81)*(AQ55+AQ56+AQ57+AQ59)/MAX(Time!AQ26,1)*Inputs!$F$168</f>
        <v>2.3915944903711</v>
      </c>
      <c r="AR87" s="11" t="n">
        <f aca="false">(1-AR81)*(AR55+AR56+AR57+AR59)/MAX(Time!AR26,1)*Inputs!$F$168</f>
        <v>2.39257802925104</v>
      </c>
      <c r="AS87" s="11" t="n">
        <f aca="false">(1-AS81)*(AS55+AS56+AS57+AS59)/MAX(Time!AS26,1)*Inputs!$F$168</f>
        <v>2.40409922410823</v>
      </c>
      <c r="AT87" s="11" t="n">
        <f aca="false">(1-AT81)*(AT55+AT56+AT57+AT59)/MAX(Time!AT26,1)*Inputs!$F$168</f>
        <v>2.32879583894236</v>
      </c>
      <c r="AU87" s="11" t="n">
        <f aca="false">(1-AU81)*(AU55+AU56+AU57+AU59)/MAX(Time!AU26,1)*Inputs!$F$168</f>
        <v>2.42819028196437</v>
      </c>
      <c r="AV87" s="11" t="n">
        <f aca="false">(1-AV81)*(AV55+AV56+AV57+AV59)/MAX(Time!AV26,1)*Inputs!$F$168</f>
        <v>2.49900947030424</v>
      </c>
      <c r="AW87" s="11" t="n">
        <f aca="false">(1-AW81)*(AW55+AW56+AW57+AW59)/MAX(Time!AW26,1)*Inputs!$F$168</f>
        <v>2.56058000043368</v>
      </c>
      <c r="AX87" s="11" t="n">
        <f aca="false">(1-AX81)*(AX55+AX56+AX57+AX59)/MAX(Time!AX26,1)*Inputs!$F$168</f>
        <v>2.53118811259923</v>
      </c>
      <c r="AY87" s="11" t="n">
        <f aca="false">(1-AY81)*(AY55+AY56+AY57+AY59)/MAX(Time!AY26,1)*Inputs!$F$168</f>
        <v>2.60910241896168</v>
      </c>
      <c r="AZ87" s="11" t="n">
        <f aca="false">(1-AZ81)*(AZ55+AZ56+AZ57+AZ59)/MAX(Time!AZ26,1)*Inputs!$F$168</f>
        <v>2.61017540758125</v>
      </c>
      <c r="BA87" s="11" t="n">
        <f aca="false">(1-BA81)*(BA55+BA56+BA57+BA59)/MAX(Time!BA26,1)*Inputs!$F$168</f>
        <v>2.63950307493784</v>
      </c>
      <c r="BB87" s="11" t="n">
        <f aca="false">(1-BB81)*(BB55+BB56+BB57+BB59)/MAX(Time!BB26,1)*Inputs!$F$168</f>
        <v>2.58292804184424</v>
      </c>
      <c r="BC87" s="11" t="n">
        <f aca="false">(1-BC81)*(BC55+BC56+BC57+BC59)/MAX(Time!BC26,1)*Inputs!$F$168</f>
        <v>2.68347042777206</v>
      </c>
      <c r="BD87" s="11" t="n">
        <f aca="false">(1-BD81)*(BD55+BD56+BD57+BD59)/MAX(Time!BD26,1)*Inputs!$F$168</f>
        <v>2.7262864504121</v>
      </c>
      <c r="BE87" s="11" t="n">
        <f aca="false">(1-BE81)*(BE55+BE56+BE57+BE59)/MAX(Time!BE26,1)*Inputs!$F$168</f>
        <v>2.79345662484771</v>
      </c>
      <c r="BF87" s="11" t="n">
        <f aca="false">(1-BF81)*(BF55+BF56+BF57+BF59)/MAX(Time!BF26,1)*Inputs!$F$168</f>
        <v>2.76139163809705</v>
      </c>
      <c r="BG87" s="11" t="n">
        <f aca="false">(1-BG81)*(BG55+BG56+BG57+BG59)/MAX(Time!BG26,1)*Inputs!$F$168</f>
        <v>2.8463920033431</v>
      </c>
      <c r="BH87" s="11" t="n">
        <f aca="false">(1-BH81)*(BH55+BH56+BH57+BH59)/MAX(Time!BH26,1)*Inputs!$F$168</f>
        <v>2.84756257687223</v>
      </c>
      <c r="BI87" s="11" t="n">
        <f aca="false">(1-BI81)*(BI55+BI56+BI57+BI59)/MAX(Time!BI26,1)*Inputs!$F$168</f>
        <v>2.86127469949273</v>
      </c>
      <c r="BJ87" s="11" t="n">
        <f aca="false">(1-BJ81)*(BJ55+BJ56+BJ57+BJ59)/MAX(Time!BJ26,1)*Inputs!$F$168</f>
        <v>2.77165124776469</v>
      </c>
      <c r="BK87" s="11" t="n">
        <f aca="false">(1-BK81)*(BK55+BK56+BK57+BK59)/MAX(Time!BK26,1)*Inputs!$F$168</f>
        <v>2.88994703282928</v>
      </c>
      <c r="BL87" s="11" t="n">
        <f aca="false">(1-BL81)*(BL55+BL56+BL57+BL59)/MAX(Time!BL26,1)*Inputs!$F$168</f>
        <v>2.97423355054181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1.24088752618313</v>
      </c>
      <c r="P88" s="11" t="n">
        <f aca="false">(1-P81)*(P60+P61+P62+P63+P64+P65+P66)/MAX(Time!P26,1)*Inputs!$F$169</f>
        <v>1.24656622700827</v>
      </c>
      <c r="Q88" s="11" t="n">
        <f aca="false">(1-Q81)*(Q60+Q61+Q62+Q63+Q64+Q65+Q66)/MAX(Time!Q26,1)*Inputs!$F$169</f>
        <v>1.27874528745249</v>
      </c>
      <c r="R88" s="11" t="n">
        <f aca="false">(1-R81)*(R60+R61+R62+R63+R64+R65+R66)/MAX(Time!R26,1)*Inputs!$F$169</f>
        <v>1.26818722702717</v>
      </c>
      <c r="S88" s="11" t="n">
        <f aca="false">(1-S81)*(S60+S61+S62+S63+S64+S65+S66)/MAX(Time!S26,1)*Inputs!$F$169</f>
        <v>1.30329843833927</v>
      </c>
      <c r="T88" s="11" t="n">
        <f aca="false">(1-T81)*(T60+T61+T62+T63+T64+T65+T66)/MAX(Time!T26,1)*Inputs!$F$169</f>
        <v>1.29724314714844</v>
      </c>
      <c r="U88" s="11" t="n">
        <f aca="false">(1-U81)*(U60+U61+U62+U63+U64+U65+U66)/MAX(Time!U26,1)*Inputs!$F$169</f>
        <v>1.32039320226019</v>
      </c>
      <c r="V88" s="11" t="n">
        <f aca="false">(1-V81)*(V60+V61+V62+V63+V64+V65+V66)/MAX(Time!V26,1)*Inputs!$F$169</f>
        <v>1.31063755489201</v>
      </c>
      <c r="W88" s="11" t="n">
        <f aca="false">(1-W81)*(W60+W61+W62+W63+W64+W65+W66)/MAX(Time!W26,1)*Inputs!$F$169</f>
        <v>1.35010878307717</v>
      </c>
      <c r="X88" s="11" t="n">
        <f aca="false">(1-X81)*(X60+X61+X62+X63+X64+X65+X66)/MAX(Time!X26,1)*Inputs!$F$169</f>
        <v>1.35012526793992</v>
      </c>
      <c r="Y88" s="11" t="n">
        <f aca="false">(1-Y81)*(Y60+Y61+Y62+Y63+Y64+Y65+Y66)/MAX(Time!Y26,1)*Inputs!$F$169</f>
        <v>1.38505020987945</v>
      </c>
      <c r="Z88" s="11" t="n">
        <f aca="false">(1-Z81)*(Z60+Z61+Z62+Z63+Z64+Z65+Z66)/MAX(Time!Z26,1)*Inputs!$F$169</f>
        <v>1.37368450652126</v>
      </c>
      <c r="AA88" s="11" t="n">
        <f aca="false">(1-AA81)*(AA60+AA61+AA62+AA63+AA64+AA65+AA66)/MAX(Time!AA26,1)*Inputs!$F$169</f>
        <v>1.4117921626207</v>
      </c>
      <c r="AB88" s="11" t="n">
        <f aca="false">(1-AB81)*(AB60+AB61+AB62+AB63+AB64+AB65+AB66)/MAX(Time!AB26,1)*Inputs!$F$169</f>
        <v>1.40530850085411</v>
      </c>
      <c r="AC88" s="11" t="n">
        <f aca="false">(1-AC81)*(AC60+AC61+AC62+AC63+AC64+AC65+AC66)/MAX(Time!AC26,1)*Inputs!$F$169</f>
        <v>1.42771459499557</v>
      </c>
      <c r="AD88" s="11" t="n">
        <f aca="false">(1-AD81)*(AD60+AD61+AD62+AD63+AD64+AD65+AD66)/MAX(Time!AD26,1)*Inputs!$F$169</f>
        <v>1.41090793147233</v>
      </c>
      <c r="AE88" s="11" t="n">
        <f aca="false">(1-AE81)*(AE60+AE61+AE62+AE63+AE64+AE65+AE66)/MAX(Time!AE26,1)*Inputs!$F$169</f>
        <v>1.45716742386068</v>
      </c>
      <c r="AF88" s="11" t="n">
        <f aca="false">(1-AF81)*(AF60+AF61+AF62+AF63+AF64+AF65+AF66)/MAX(Time!AF26,1)*Inputs!$F$169</f>
        <v>1.46289292670524</v>
      </c>
      <c r="AG88" s="11" t="n">
        <f aca="false">(1-AG81)*(AG60+AG61+AG62+AG63+AG64+AG65+AG66)/MAX(Time!AG26,1)*Inputs!$F$169</f>
        <v>1.50080835956067</v>
      </c>
      <c r="AH88" s="11" t="n">
        <f aca="false">(1-AH81)*(AH60+AH61+AH62+AH63+AH64+AH65+AH66)/MAX(Time!AH26,1)*Inputs!$F$169</f>
        <v>1.48856412281814</v>
      </c>
      <c r="AI88" s="11" t="n">
        <f aca="false">(1-AI81)*(AI60+AI61+AI62+AI63+AI64+AI65+AI66)/MAX(Time!AI26,1)*Inputs!$F$169</f>
        <v>1.52993415622452</v>
      </c>
      <c r="AJ88" s="11" t="n">
        <f aca="false">(1-AJ81)*(AJ60+AJ61+AJ62+AJ63+AJ64+AJ65+AJ66)/MAX(Time!AJ26,1)*Inputs!$F$169</f>
        <v>1.52298297679635</v>
      </c>
      <c r="AK88" s="11" t="n">
        <f aca="false">(1-AK81)*(AK60+AK61+AK62+AK63+AK64+AK65+AK66)/MAX(Time!AK26,1)*Inputs!$F$169</f>
        <v>1.55030809181658</v>
      </c>
      <c r="AL88" s="11" t="n">
        <f aca="false">(1-AL81)*(AL60+AL61+AL62+AL63+AL64+AL65+AL66)/MAX(Time!AL26,1)*Inputs!$F$169</f>
        <v>1.53899215233571</v>
      </c>
      <c r="AM88" s="11" t="n">
        <f aca="false">(1-AM81)*(AM60+AM61+AM62+AM63+AM64+AM65+AM66)/MAX(Time!AM26,1)*Inputs!$F$169</f>
        <v>1.58550282619686</v>
      </c>
      <c r="AN88" s="11" t="n">
        <f aca="false">(1-AN81)*(AN60+AN61+AN62+AN63+AN64+AN65+AN66)/MAX(Time!AN26,1)*Inputs!$F$169</f>
        <v>1.58568762193101</v>
      </c>
      <c r="AO88" s="11" t="n">
        <f aca="false">(1-AO81)*(AO60+AO61+AO62+AO63+AO64+AO65+AO66)/MAX(Time!AO26,1)*Inputs!$F$169</f>
        <v>1.62685993594508</v>
      </c>
      <c r="AP88" s="11" t="n">
        <f aca="false">(1-AP81)*(AP60+AP61+AP62+AP63+AP64+AP65+AP66)/MAX(Time!AP26,1)*Inputs!$F$169</f>
        <v>1.61366006112092</v>
      </c>
      <c r="AQ88" s="11" t="n">
        <f aca="false">(1-AQ81)*(AQ60+AQ61+AQ62+AQ63+AQ64+AQ65+AQ66)/MAX(Time!AQ26,1)*Inputs!$F$169</f>
        <v>1.65858199122185</v>
      </c>
      <c r="AR88" s="11" t="n">
        <f aca="false">(1-AR81)*(AR60+AR61+AR62+AR63+AR64+AR65+AR66)/MAX(Time!AR26,1)*Inputs!$F$169</f>
        <v>1.65112056963221</v>
      </c>
      <c r="AS88" s="11" t="n">
        <f aca="false">(1-AS81)*(AS60+AS61+AS62+AS63+AS64+AS65+AS66)/MAX(Time!AS26,1)*Inputs!$F$169</f>
        <v>1.6775948328631</v>
      </c>
      <c r="AT88" s="11" t="n">
        <f aca="false">(1-AT81)*(AT60+AT61+AT62+AT63+AT64+AT65+AT66)/MAX(Time!AT26,1)*Inputs!$F$169</f>
        <v>1.65807718655002</v>
      </c>
      <c r="AU88" s="11" t="n">
        <f aca="false">(1-AU81)*(AU60+AU61+AU62+AU63+AU64+AU65+AU66)/MAX(Time!AU26,1)*Inputs!$F$169</f>
        <v>1.71251096182396</v>
      </c>
      <c r="AV88" s="11" t="n">
        <f aca="false">(1-AV81)*(AV60+AV61+AV62+AV63+AV64+AV65+AV66)/MAX(Time!AV26,1)*Inputs!$F$169</f>
        <v>1.71940046992452</v>
      </c>
      <c r="AW88" s="11" t="n">
        <f aca="false">(1-AW81)*(AW60+AW61+AW62+AW63+AW64+AW65+AW66)/MAX(Time!AW26,1)*Inputs!$F$169</f>
        <v>1.76411977471132</v>
      </c>
      <c r="AX88" s="11" t="n">
        <f aca="false">(1-AX81)*(AX60+AX61+AX62+AX63+AX64+AX65+AX66)/MAX(Time!AX26,1)*Inputs!$F$169</f>
        <v>1.74988039888856</v>
      </c>
      <c r="AY88" s="11" t="n">
        <f aca="false">(1-AY81)*(AY60+AY61+AY62+AY63+AY64+AY65+AY66)/MAX(Time!AY26,1)*Inputs!$F$169</f>
        <v>1.79866942262689</v>
      </c>
      <c r="AZ88" s="11" t="n">
        <f aca="false">(1-AZ81)*(AZ60+AZ61+AZ62+AZ63+AZ64+AZ65+AZ66)/MAX(Time!AZ26,1)*Inputs!$F$169</f>
        <v>1.79065113005115</v>
      </c>
      <c r="BA88" s="11" t="n">
        <f aca="false">(1-BA81)*(BA60+BA61+BA62+BA63+BA64+BA65+BA66)/MAX(Time!BA26,1)*Inputs!$F$169</f>
        <v>1.82293483357627</v>
      </c>
      <c r="BB88" s="11" t="n">
        <f aca="false">(1-BB81)*(BB60+BB61+BB62+BB63+BB64+BB65+BB66)/MAX(Time!BB26,1)*Inputs!$F$169</f>
        <v>1.80978516970549</v>
      </c>
      <c r="BC88" s="11" t="n">
        <f aca="false">(1-BC81)*(BC60+BC61+BC62+BC63+BC64+BC65+BC66)/MAX(Time!BC26,1)*Inputs!$F$169</f>
        <v>1.86463468194842</v>
      </c>
      <c r="BD88" s="11" t="n">
        <f aca="false">(1-BD81)*(BD60+BD61+BD62+BD63+BD64+BD65+BD66)/MAX(Time!BD26,1)*Inputs!$F$169</f>
        <v>1.86500173851359</v>
      </c>
      <c r="BE88" s="11" t="n">
        <f aca="false">(1-BE81)*(BE60+BE61+BE62+BE63+BE64+BE65+BE66)/MAX(Time!BE26,1)*Inputs!$F$169</f>
        <v>1.91358397406131</v>
      </c>
      <c r="BF88" s="11" t="n">
        <f aca="false">(1-BF81)*(BF60+BF61+BF62+BF63+BF64+BF65+BF66)/MAX(Time!BF26,1)*Inputs!$F$169</f>
        <v>1.89821388458407</v>
      </c>
      <c r="BG88" s="11" t="n">
        <f aca="false">(1-BG81)*(BG60+BG61+BG62+BG63+BG64+BG65+BG66)/MAX(Time!BG26,1)*Inputs!$F$169</f>
        <v>1.95121315233318</v>
      </c>
      <c r="BH88" s="11" t="n">
        <f aca="false">(1-BH81)*(BH60+BH61+BH62+BH63+BH64+BH65+BH66)/MAX(Time!BH26,1)*Inputs!$F$169</f>
        <v>1.94258709883836</v>
      </c>
      <c r="BI88" s="11" t="n">
        <f aca="false">(1-BI81)*(BI60+BI61+BI62+BI63+BI64+BI65+BI66)/MAX(Time!BI26,1)*Inputs!$F$169</f>
        <v>1.97389930962597</v>
      </c>
      <c r="BJ88" s="11" t="n">
        <f aca="false">(1-BJ81)*(BJ60+BJ61+BJ62+BJ63+BJ64+BJ65+BJ66)/MAX(Time!BJ26,1)*Inputs!$F$169</f>
        <v>1.95119559252922</v>
      </c>
      <c r="BK88" s="11" t="n">
        <f aca="false">(1-BK81)*(BK60+BK61+BK62+BK63+BK64+BK65+BK66)/MAX(Time!BK26,1)*Inputs!$F$169</f>
        <v>2.01530817138747</v>
      </c>
      <c r="BL88" s="11" t="n">
        <f aca="false">(1-BL81)*(BL60+BL61+BL62+BL63+BL64+BL65+BL66)/MAX(Time!BL26,1)*Inputs!$F$169</f>
        <v>2.02354787349296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14.8490993335396</v>
      </c>
      <c r="P90" s="11" t="n">
        <f aca="false">P83+P84-P85-P86-P87-P88-P89</f>
        <v>14.812617425715</v>
      </c>
      <c r="Q90" s="11" t="n">
        <f aca="false">Q83+Q84-Q85-Q86-Q87-Q88-Q89</f>
        <v>15.0991954631663</v>
      </c>
      <c r="R90" s="11" t="n">
        <f aca="false">R83+R84-R85-R86-R87-R88-R89</f>
        <v>14.9068321036233</v>
      </c>
      <c r="S90" s="11" t="n">
        <f aca="false">S83+S84-S85-S86-S87-S88-S89</f>
        <v>15.1964572046035</v>
      </c>
      <c r="T90" s="11" t="n">
        <f aca="false">T83+T84-T85-T86-T87-T88-T89</f>
        <v>15.0048621049099</v>
      </c>
      <c r="U90" s="11" t="n">
        <f aca="false">U83+U84-U85-U86-U87-U88-U89</f>
        <v>15.2168460138086</v>
      </c>
      <c r="V90" s="11" t="n">
        <f aca="false">V83+V84-V85-V86-V87-V88-V89</f>
        <v>15.1007374027577</v>
      </c>
      <c r="W90" s="11" t="n">
        <f aca="false">W83+W84-W85-W86-W87-W88-W89</f>
        <v>15.3959652864817</v>
      </c>
      <c r="X90" s="11" t="n">
        <f aca="false">X83+X84-X85-X86-X87-X88-X89</f>
        <v>15.2047088213932</v>
      </c>
      <c r="Y90" s="11" t="n">
        <f aca="false">Y83+Y84-Y85-Y86-Y87-Y88-Y89</f>
        <v>15.5011708843685</v>
      </c>
      <c r="Z90" s="11" t="n">
        <f aca="false">Z83+Z84-Z85-Z86-Z87-Z88-Z89</f>
        <v>15.3068328671949</v>
      </c>
      <c r="AA90" s="11" t="n">
        <f aca="false">AA83+AA84-AA85-AA86-AA87-AA88-AA89</f>
        <v>15.6063877479015</v>
      </c>
      <c r="AB90" s="11" t="n">
        <f aca="false">AB83+AB84-AB85-AB86-AB87-AB88-AB89</f>
        <v>15.4124646265206</v>
      </c>
      <c r="AC90" s="11" t="n">
        <f aca="false">AC83+AC84-AC85-AC86-AC87-AC88-AC89</f>
        <v>15.6325033188066</v>
      </c>
      <c r="AD90" s="11" t="n">
        <f aca="false">AD83+AD84-AD85-AD86-AD87-AD88-AD89</f>
        <v>15.2855233891793</v>
      </c>
      <c r="AE90" s="11" t="n">
        <f aca="false">AE83+AE84-AE85-AE86-AE87-AE88-AE89</f>
        <v>15.8217220337375</v>
      </c>
      <c r="AF90" s="11" t="n">
        <f aca="false">AF83+AF84-AF85-AF86-AF87-AF88-AF89</f>
        <v>15.6284492047053</v>
      </c>
      <c r="AG90" s="11" t="n">
        <f aca="false">AG83+AG84-AG85-AG86-AG87-AG88-AG89</f>
        <v>15.9356046420195</v>
      </c>
      <c r="AH90" s="11" t="n">
        <f aca="false">AH83+AH84-AH85-AH86-AH87-AH88-AH89</f>
        <v>15.7391592866354</v>
      </c>
      <c r="AI90" s="11" t="n">
        <f aca="false">AI83+AI84-AI85-AI86-AI87-AI88-AI89</f>
        <v>16.0494412385915</v>
      </c>
      <c r="AJ90" s="11" t="n">
        <f aca="false">AJ83+AJ84-AJ85-AJ86-AJ87-AJ88-AJ89</f>
        <v>15.8529954012674</v>
      </c>
      <c r="AK90" s="11" t="n">
        <f aca="false">AK83+AK84-AK85-AK86-AK87-AK88-AK89</f>
        <v>16.0827517413122</v>
      </c>
      <c r="AL90" s="11" t="n">
        <f aca="false">AL83+AL84-AL85-AL86-AL87-AL88-AL89</f>
        <v>15.9674617457883</v>
      </c>
      <c r="AM90" s="11" t="n">
        <f aca="false">AM83+AM84-AM85-AM86-AM87-AM88-AM89</f>
        <v>16.2837299949409</v>
      </c>
      <c r="AN90" s="11" t="n">
        <f aca="false">AN83+AN84-AN85-AN86-AN87-AN88-AN89</f>
        <v>16.0864497726137</v>
      </c>
      <c r="AO90" s="11" t="n">
        <f aca="false">AO83+AO84-AO85-AO86-AO87-AO88-AO89</f>
        <v>16.405175634045</v>
      </c>
      <c r="AP90" s="11" t="n">
        <f aca="false">AP83+AP84-AP85-AP86-AP87-AP88-AP89</f>
        <v>16.2064813174056</v>
      </c>
      <c r="AQ90" s="11" t="n">
        <f aca="false">AQ83+AQ84-AQ85-AQ86-AQ87-AQ88-AQ89</f>
        <v>16.5283530995288</v>
      </c>
      <c r="AR90" s="11" t="n">
        <f aca="false">AR83+AR84-AR85-AR86-AR87-AR88-AR89</f>
        <v>16.3291731597034</v>
      </c>
      <c r="AS90" s="11" t="n">
        <f aca="false">AS83+AS84-AS85-AS86-AS87-AS88-AS89</f>
        <v>16.5689316461976</v>
      </c>
      <c r="AT90" s="11" t="n">
        <f aca="false">AT83+AT84-AT85-AT86-AT87-AT88-AT89</f>
        <v>16.2072443780136</v>
      </c>
      <c r="AU90" s="11" t="n">
        <f aca="false">AU83+AU84-AU85-AU86-AU87-AU88-AU89</f>
        <v>16.7823822315999</v>
      </c>
      <c r="AV90" s="11" t="n">
        <f aca="false">AV83+AV84-AV85-AV86-AV87-AV88-AV89</f>
        <v>16.5815412857921</v>
      </c>
      <c r="AW90" s="11" t="n">
        <f aca="false">AW83+AW84-AW85-AW86-AW87-AW88-AW89</f>
        <v>16.9127880917969</v>
      </c>
      <c r="AX90" s="11" t="n">
        <f aca="false">AX83+AX84-AX85-AX86-AX87-AX88-AX89</f>
        <v>16.7116936391023</v>
      </c>
      <c r="AY90" s="11" t="n">
        <f aca="false">AY83+AY84-AY85-AY86-AY87-AY88-AY89</f>
        <v>17.046088964332</v>
      </c>
      <c r="AZ90" s="11" t="n">
        <f aca="false">AZ83+AZ84-AZ85-AZ86-AZ87-AZ88-AZ89</f>
        <v>16.8439453794947</v>
      </c>
      <c r="BA90" s="11" t="n">
        <f aca="false">BA83+BA84-BA85-BA86-BA87-BA88-BA89</f>
        <v>17.0945915930339</v>
      </c>
      <c r="BB90" s="11" t="n">
        <f aca="false">BB83+BB84-BB85-BB86-BB87-BB88-BB89</f>
        <v>16.9806084766722</v>
      </c>
      <c r="BC90" s="11" t="n">
        <f aca="false">BC83+BC84-BC85-BC86-BC87-BC88-BC89</f>
        <v>17.3213477822828</v>
      </c>
      <c r="BD90" s="11" t="n">
        <f aca="false">BD83+BD84-BD85-BD86-BD87-BD88-BD89</f>
        <v>17.1167928242471</v>
      </c>
      <c r="BE90" s="11" t="n">
        <f aca="false">BE83+BE84-BE85-BE86-BE87-BE88-BE89</f>
        <v>17.4615908351219</v>
      </c>
      <c r="BF90" s="11" t="n">
        <f aca="false">BF83+BF84-BF85-BF86-BF87-BF88-BF89</f>
        <v>17.2579348681029</v>
      </c>
      <c r="BG90" s="11" t="n">
        <f aca="false">BG83+BG84-BG85-BG86-BG87-BG88-BG89</f>
        <v>17.6058643580662</v>
      </c>
      <c r="BH90" s="11" t="n">
        <f aca="false">BH83+BH84-BH85-BH86-BH87-BH88-BH89</f>
        <v>17.4005078352967</v>
      </c>
      <c r="BI90" s="11" t="n">
        <f aca="false">BI83+BI84-BI85-BI86-BI87-BI88-BI89</f>
        <v>17.6635364282377</v>
      </c>
      <c r="BJ90" s="11" t="n">
        <f aca="false">BJ83+BJ84-BJ85-BJ86-BJ87-BJ88-BJ89</f>
        <v>17.2848566411904</v>
      </c>
      <c r="BK90" s="11" t="n">
        <f aca="false">BK83+BK84-BK85-BK86-BK87-BK88-BK89</f>
        <v>17.9056561229142</v>
      </c>
      <c r="BL90" s="11" t="n">
        <f aca="false">BL83+BL84-BL85-BL86-BL87-BL88-BL89</f>
        <v>17.6955321654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14.8490993335396</v>
      </c>
      <c r="P91" s="11" t="n">
        <f aca="false">P90-O90</f>
        <v>-0.0364819078246192</v>
      </c>
      <c r="Q91" s="11" t="n">
        <f aca="false">Q90-P90</f>
        <v>0.286578037451354</v>
      </c>
      <c r="R91" s="11" t="n">
        <f aca="false">R90-Q90</f>
        <v>-0.192363359543045</v>
      </c>
      <c r="S91" s="11" t="n">
        <f aca="false">S90-R90</f>
        <v>0.289625100980267</v>
      </c>
      <c r="T91" s="11" t="n">
        <f aca="false">T90-S90</f>
        <v>-0.19159509969364</v>
      </c>
      <c r="U91" s="11" t="n">
        <f aca="false">U90-T90</f>
        <v>0.211983908898659</v>
      </c>
      <c r="V91" s="11" t="n">
        <f aca="false">V90-U90</f>
        <v>-0.116108611050844</v>
      </c>
      <c r="W91" s="11" t="n">
        <f aca="false">W90-V90</f>
        <v>0.295227883724026</v>
      </c>
      <c r="X91" s="11" t="n">
        <f aca="false">X90-W90</f>
        <v>-0.191256465088566</v>
      </c>
      <c r="Y91" s="11" t="n">
        <f aca="false">Y90-X90</f>
        <v>0.296462062975291</v>
      </c>
      <c r="Z91" s="11" t="n">
        <f aca="false">Z90-Y90</f>
        <v>-0.194338017173557</v>
      </c>
      <c r="AA91" s="11" t="n">
        <f aca="false">AA90-Z90</f>
        <v>0.299554880706555</v>
      </c>
      <c r="AB91" s="11" t="n">
        <f aca="false">AB90-AA90</f>
        <v>-0.193923121380903</v>
      </c>
      <c r="AC91" s="11" t="n">
        <f aca="false">AC90-AB90</f>
        <v>0.220038692286087</v>
      </c>
      <c r="AD91" s="11" t="n">
        <f aca="false">AD90-AC90</f>
        <v>-0.346979929627327</v>
      </c>
      <c r="AE91" s="11" t="n">
        <f aca="false">AE90-AD90</f>
        <v>0.536198644558228</v>
      </c>
      <c r="AF91" s="11" t="n">
        <f aca="false">AF90-AE90</f>
        <v>-0.193272829032221</v>
      </c>
      <c r="AG91" s="11" t="n">
        <f aca="false">AG90-AF90</f>
        <v>0.307155437314188</v>
      </c>
      <c r="AH91" s="11" t="n">
        <f aca="false">AH90-AG90</f>
        <v>-0.196445355384149</v>
      </c>
      <c r="AI91" s="11" t="n">
        <f aca="false">AI90-AH90</f>
        <v>0.310281951956132</v>
      </c>
      <c r="AJ91" s="11" t="n">
        <f aca="false">AJ90-AI90</f>
        <v>-0.196445837324099</v>
      </c>
      <c r="AK91" s="11" t="n">
        <f aca="false">AK90-AJ90</f>
        <v>0.22975634004478</v>
      </c>
      <c r="AL91" s="11" t="n">
        <f aca="false">AL90-AK90</f>
        <v>-0.115289995523828</v>
      </c>
      <c r="AM91" s="11" t="n">
        <f aca="false">AM90-AL90</f>
        <v>0.316268249152568</v>
      </c>
      <c r="AN91" s="11" t="n">
        <f aca="false">AN90-AM90</f>
        <v>-0.197280222327176</v>
      </c>
      <c r="AO91" s="11" t="n">
        <f aca="false">AO90-AN90</f>
        <v>0.318725861431247</v>
      </c>
      <c r="AP91" s="11" t="n">
        <f aca="false">AP90-AO90</f>
        <v>-0.198694316639347</v>
      </c>
      <c r="AQ91" s="11" t="n">
        <f aca="false">AQ90-AP90</f>
        <v>0.321871782123143</v>
      </c>
      <c r="AR91" s="11" t="n">
        <f aca="false">AR90-AQ90</f>
        <v>-0.199179939825424</v>
      </c>
      <c r="AS91" s="11" t="n">
        <f aca="false">AS90-AR90</f>
        <v>0.239758486494253</v>
      </c>
      <c r="AT91" s="11" t="n">
        <f aca="false">AT90-AS90</f>
        <v>-0.361687268183964</v>
      </c>
      <c r="AU91" s="11" t="n">
        <f aca="false">AU90-AT90</f>
        <v>0.575137853586256</v>
      </c>
      <c r="AV91" s="11" t="n">
        <f aca="false">AV90-AU90</f>
        <v>-0.200840945807826</v>
      </c>
      <c r="AW91" s="11" t="n">
        <f aca="false">AW90-AV90</f>
        <v>0.331246806004831</v>
      </c>
      <c r="AX91" s="11" t="n">
        <f aca="false">AX90-AW90</f>
        <v>-0.201094452694583</v>
      </c>
      <c r="AY91" s="11" t="n">
        <f aca="false">AY90-AX90</f>
        <v>0.334395325229661</v>
      </c>
      <c r="AZ91" s="11" t="n">
        <f aca="false">AZ90-AY90</f>
        <v>-0.202143584837284</v>
      </c>
      <c r="BA91" s="11" t="n">
        <f aca="false">BA90-AZ90</f>
        <v>0.25064621353922</v>
      </c>
      <c r="BB91" s="11" t="n">
        <f aca="false">BB90-BA90</f>
        <v>-0.113983116361727</v>
      </c>
      <c r="BC91" s="11" t="n">
        <f aca="false">BC90-BB90</f>
        <v>0.340739305610637</v>
      </c>
      <c r="BD91" s="11" t="n">
        <f aca="false">BD90-BC90</f>
        <v>-0.204554958035779</v>
      </c>
      <c r="BE91" s="11" t="n">
        <f aca="false">BE90-BD90</f>
        <v>0.34479801087485</v>
      </c>
      <c r="BF91" s="11" t="n">
        <f aca="false">BF90-BE90</f>
        <v>-0.203655967019031</v>
      </c>
      <c r="BG91" s="11" t="n">
        <f aca="false">BG90-BF90</f>
        <v>0.347929489963292</v>
      </c>
      <c r="BH91" s="11" t="n">
        <f aca="false">BH90-BG90</f>
        <v>-0.205356522769481</v>
      </c>
      <c r="BI91" s="11" t="n">
        <f aca="false">BI90-BH90</f>
        <v>0.263028592940987</v>
      </c>
      <c r="BJ91" s="11" t="n">
        <f aca="false">BJ90-BI90</f>
        <v>-0.378679787047233</v>
      </c>
      <c r="BK91" s="11" t="n">
        <f aca="false">BK90-BJ90</f>
        <v>0.620799481723747</v>
      </c>
      <c r="BL91" s="11" t="n">
        <f aca="false">BL90-BK90</f>
        <v>-0.210123957514188</v>
      </c>
      <c r="BM91" s="11" t="n">
        <f aca="false">BM90-BL90</f>
        <v>-17.6955321654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215.573095615837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9.46205350124882</v>
      </c>
      <c r="R13" s="11" t="n">
        <f aca="false">IF(Time!R17&gt;=Time!$F$11,Waterfall!R33*Inputs!$F$102/100*Time!R26/365,0)</f>
        <v>9.52023160455426</v>
      </c>
      <c r="S13" s="11" t="n">
        <f aca="false">IF(Time!S17&gt;=Time!$F$11,Waterfall!S33*Inputs!$F$102/100*Time!S26/365,0)</f>
        <v>9.22801212043356</v>
      </c>
      <c r="T13" s="11" t="n">
        <f aca="false">IF(Time!T17&gt;=Time!$F$11,Waterfall!T33*Inputs!$F$102/100*Time!T26/365,0)</f>
        <v>9.26682935334032</v>
      </c>
      <c r="U13" s="11" t="n">
        <f aca="false">IF(Time!U17&gt;=Time!$F$11,Waterfall!U33*Inputs!$F$102/100*Time!U26/365,0)</f>
        <v>9.02057880754621</v>
      </c>
      <c r="V13" s="11" t="n">
        <f aca="false">IF(Time!V17&gt;=Time!$F$11,Waterfall!V33*Inputs!$F$102/100*Time!V26/365,0)</f>
        <v>9.00713409353886</v>
      </c>
      <c r="W13" s="11" t="n">
        <f aca="false">IF(Time!W17&gt;=Time!$F$11,Waterfall!W33*Inputs!$F$102/100*Time!W26/365,0)</f>
        <v>8.69155274229901</v>
      </c>
      <c r="X13" s="11" t="n">
        <f aca="false">IF(Time!X17&gt;=Time!$F$11,Waterfall!X33*Inputs!$F$102/100*Time!X26/365,0)</f>
        <v>8.61391106142037</v>
      </c>
      <c r="Y13" s="11" t="n">
        <f aca="false">IF(Time!Y17&gt;=Time!$F$11,Waterfall!Y33*Inputs!$F$102/100*Time!Y26/365,0)</f>
        <v>8.30550134155863</v>
      </c>
      <c r="Z13" s="11" t="n">
        <f aca="false">IF(Time!Z17&gt;=Time!$F$11,Waterfall!Z33*Inputs!$F$102/100*Time!Z26/365,0)</f>
        <v>8.29538874294604</v>
      </c>
      <c r="AA13" s="11" t="n">
        <f aca="false">IF(Time!AA17&gt;=Time!$F$11,Waterfall!AA33*Inputs!$F$102/100*Time!AA26/365,0)</f>
        <v>7.98201728593425</v>
      </c>
      <c r="AB13" s="11" t="n">
        <f aca="false">IF(Time!AB17&gt;=Time!$F$11,Waterfall!AB33*Inputs!$F$102/100*Time!AB26/365,0)</f>
        <v>8.22746610478524</v>
      </c>
      <c r="AC13" s="11" t="n">
        <f aca="false">IF(Time!AC17&gt;=Time!$F$11,Waterfall!AC33*Inputs!$F$102/100*Time!AC26/365,0)</f>
        <v>8.21701711010383</v>
      </c>
      <c r="AD13" s="11" t="n">
        <f aca="false">IF(Time!AD17&gt;=Time!$F$11,Waterfall!AD33*Inputs!$F$102/100*Time!AD26/365,0)</f>
        <v>8.40450422695543</v>
      </c>
      <c r="AE13" s="11" t="n">
        <f aca="false">IF(Time!AE17&gt;=Time!$F$11,Waterfall!AE33*Inputs!$F$102/100*Time!AE26/365,0)</f>
        <v>8.31123340962763</v>
      </c>
      <c r="AF13" s="11" t="n">
        <f aca="false">IF(Time!AF17&gt;=Time!$F$11,Waterfall!AF33*Inputs!$F$102/100*Time!AF26/365,0)</f>
        <v>8.46231461372684</v>
      </c>
      <c r="AG13" s="11" t="n">
        <f aca="false">IF(Time!AG17&gt;=Time!$F$11,Waterfall!AG33*Inputs!$F$102/100*Time!AG26/365,0)</f>
        <v>8.30563832528807</v>
      </c>
      <c r="AH13" s="11" t="n">
        <f aca="false">IF(Time!AH17&gt;=Time!$F$11,Waterfall!AH33*Inputs!$F$102/100*Time!AH26/365,0)</f>
        <v>8.3996967747957</v>
      </c>
      <c r="AI13" s="11" t="n">
        <f aca="false">IF(Time!AI17&gt;=Time!$F$11,Waterfall!AI33*Inputs!$F$102/100*Time!AI26/365,0)</f>
        <v>8.16365524571496</v>
      </c>
      <c r="AJ13" s="11" t="n">
        <f aca="false">IF(Time!AJ17&gt;=Time!$F$11,Waterfall!AJ33*Inputs!$F$102/100*Time!AJ26/365,0)</f>
        <v>8.15049882387435</v>
      </c>
      <c r="AK13" s="11" t="n">
        <f aca="false">IF(Time!AK17&gt;=Time!$F$11,Waterfall!AK33*Inputs!$F$102/100*Time!AK26/365,0)</f>
        <v>7.83222543344809</v>
      </c>
      <c r="AL13" s="11" t="n">
        <f aca="false">IF(Time!AL17&gt;=Time!$F$11,Waterfall!AL33*Inputs!$F$102/100*Time!AL26/365,0)</f>
        <v>7.08228794553218</v>
      </c>
      <c r="AM13" s="11" t="n">
        <f aca="false">IF(Time!AM17&gt;=Time!$F$11,Waterfall!AM33*Inputs!$F$102/100*Time!AM26/365,0)</f>
        <v>5.90191212579568</v>
      </c>
      <c r="AN13" s="11" t="n">
        <f aca="false">IF(Time!AN17&gt;=Time!$F$11,Waterfall!AN33*Inputs!$F$102/100*Time!AN26/365,0)</f>
        <v>4.72699736176433</v>
      </c>
      <c r="AO13" s="11" t="n">
        <f aca="false">IF(Time!AO17&gt;=Time!$F$11,Waterfall!AO33*Inputs!$F$102/100*Time!AO26/365,0)</f>
        <v>3.41943315688086</v>
      </c>
      <c r="AP13" s="11" t="n">
        <f aca="false">IF(Time!AP17&gt;=Time!$F$11,Waterfall!AP33*Inputs!$F$102/100*Time!AP26/365,0)</f>
        <v>1.5624137467072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0.788037781224799</v>
      </c>
      <c r="Q14" s="6" t="n">
        <f aca="false">IF(Waterfall!Q33&gt;0,MIN(1,Inputs!$F$180*(Waterfall!$F$32+MAX(0,Waterfall!P43))/Waterfall!Q33),1)</f>
        <v>0.898961788854771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211.449028319906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7.73135767196905</v>
      </c>
      <c r="Q15" s="11" t="n">
        <f aca="false">Q13*Q14</f>
        <v>8.50602454172218</v>
      </c>
      <c r="R15" s="11" t="n">
        <f aca="false">R13*R14</f>
        <v>9.52023160455426</v>
      </c>
      <c r="S15" s="11" t="n">
        <f aca="false">S13*S14</f>
        <v>9.22801212043356</v>
      </c>
      <c r="T15" s="11" t="n">
        <f aca="false">T13*T14</f>
        <v>9.26682935334032</v>
      </c>
      <c r="U15" s="11" t="n">
        <f aca="false">U13*U14</f>
        <v>9.02057880754621</v>
      </c>
      <c r="V15" s="11" t="n">
        <f aca="false">V13*V14</f>
        <v>9.00713409353886</v>
      </c>
      <c r="W15" s="11" t="n">
        <f aca="false">W13*W14</f>
        <v>8.69155274229901</v>
      </c>
      <c r="X15" s="11" t="n">
        <f aca="false">X13*X14</f>
        <v>8.61391106142037</v>
      </c>
      <c r="Y15" s="11" t="n">
        <f aca="false">Y13*Y14</f>
        <v>8.30550134155863</v>
      </c>
      <c r="Z15" s="11" t="n">
        <f aca="false">Z13*Z14</f>
        <v>8.29538874294604</v>
      </c>
      <c r="AA15" s="11" t="n">
        <f aca="false">AA13*AA14</f>
        <v>7.98201728593425</v>
      </c>
      <c r="AB15" s="11" t="n">
        <f aca="false">AB13*AB14</f>
        <v>8.22746610478524</v>
      </c>
      <c r="AC15" s="11" t="n">
        <f aca="false">AC13*AC14</f>
        <v>8.21701711010383</v>
      </c>
      <c r="AD15" s="11" t="n">
        <f aca="false">AD13*AD14</f>
        <v>8.40450422695543</v>
      </c>
      <c r="AE15" s="11" t="n">
        <f aca="false">AE13*AE14</f>
        <v>8.31123340962763</v>
      </c>
      <c r="AF15" s="11" t="n">
        <f aca="false">AF13*AF14</f>
        <v>8.46231461372684</v>
      </c>
      <c r="AG15" s="11" t="n">
        <f aca="false">AG13*AG14</f>
        <v>8.30563832528807</v>
      </c>
      <c r="AH15" s="11" t="n">
        <f aca="false">AH13*AH14</f>
        <v>8.3996967747957</v>
      </c>
      <c r="AI15" s="11" t="n">
        <f aca="false">AI13*AI14</f>
        <v>8.16365524571496</v>
      </c>
      <c r="AJ15" s="11" t="n">
        <f aca="false">AJ13*AJ14</f>
        <v>8.15049882387435</v>
      </c>
      <c r="AK15" s="11" t="n">
        <f aca="false">AK13*AK14</f>
        <v>7.83222543344809</v>
      </c>
      <c r="AL15" s="11" t="n">
        <f aca="false">AL13*AL14</f>
        <v>7.08228794553218</v>
      </c>
      <c r="AM15" s="11" t="n">
        <f aca="false">AM13*AM14</f>
        <v>5.90191212579568</v>
      </c>
      <c r="AN15" s="11" t="n">
        <f aca="false">AN13*AN14</f>
        <v>4.72699736176433</v>
      </c>
      <c r="AO15" s="11" t="n">
        <f aca="false">AO13*AO14</f>
        <v>3.41943315688086</v>
      </c>
      <c r="AP15" s="11" t="n">
        <f aca="false">AP13*AP14</f>
        <v>1.5624137467072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314.346268805812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14.1536509138625</v>
      </c>
      <c r="AC16" s="11" t="n">
        <f aca="false">Debt!AC119+Debt!AC117+Debt!AC111-Debt!AC110</f>
        <v>12.9537327583995</v>
      </c>
      <c r="AD16" s="11" t="n">
        <f aca="false">Debt!AD119+Debt!AD117+Debt!AD111-Debt!AD110</f>
        <v>11.9507671988758</v>
      </c>
      <c r="AE16" s="11" t="n">
        <f aca="false">Debt!AE119+Debt!AE117+Debt!AE111-Debt!AE110</f>
        <v>10.6299944936419</v>
      </c>
      <c r="AF16" s="11" t="n">
        <f aca="false">Debt!AF119+Debt!AF117+Debt!AF111-Debt!AF110</f>
        <v>9.49598270721416</v>
      </c>
      <c r="AG16" s="11" t="n">
        <f aca="false">Debt!AG119+Debt!AG117+Debt!AG111-Debt!AG110</f>
        <v>8.3343219043428</v>
      </c>
      <c r="AH16" s="11" t="n">
        <f aca="false">Debt!AH119+Debt!AH117+Debt!AH111-Debt!AH110</f>
        <v>7.10128291699513</v>
      </c>
      <c r="AI16" s="11" t="n">
        <f aca="false">Debt!AI119+Debt!AI117+Debt!AI111-Debt!AI110</f>
        <v>5.68133935210668</v>
      </c>
      <c r="AJ16" s="11" t="n">
        <f aca="false">Debt!AJ119+Debt!AJ117+Debt!AJ111-Debt!AJ110</f>
        <v>4.37223376790057</v>
      </c>
      <c r="AK16" s="11" t="n">
        <f aca="false">Debt!AK119+Debt!AK117+Debt!AK111-Debt!AK110</f>
        <v>2.96938601368469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1187.73121153809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1.93190673430498</v>
      </c>
      <c r="Z18" s="11" t="n">
        <f aca="false">(Operations!Z79-Z16-Z15)*Z17-Z12</f>
        <v>6.47245467320248</v>
      </c>
      <c r="AA18" s="11" t="n">
        <f aca="false">(Operations!AA79-AA16-AA15)*AA17-AA12</f>
        <v>7.78225371127704</v>
      </c>
      <c r="AB18" s="11" t="n">
        <f aca="false">(Operations!AB79-AB16-AB15)*AB17-AB12</f>
        <v>8.48238936494211</v>
      </c>
      <c r="AC18" s="11" t="n">
        <f aca="false">(Operations!AC79-AC16-AC15)*AC17-AC12</f>
        <v>9.89525378510903</v>
      </c>
      <c r="AD18" s="11" t="n">
        <f aca="false">(Operations!AD79-AD16-AD15)*AD17-AD12</f>
        <v>-1.77575673733201</v>
      </c>
      <c r="AE18" s="11" t="n">
        <f aca="false">(Operations!AE79-AE16-AE15)*AE17-AE12</f>
        <v>12.4407694359567</v>
      </c>
      <c r="AF18" s="11" t="n">
        <f aca="false">(Operations!AF79-AF16-AF15)*AF17-AF12</f>
        <v>13.3344649512182</v>
      </c>
      <c r="AG18" s="11" t="n">
        <f aca="false">(Operations!AG79-AG16-AG15)*AG17-AG12</f>
        <v>14.7808084256207</v>
      </c>
      <c r="AH18" s="11" t="n">
        <f aca="false">(Operations!AH79-AH16-AH15)*AH17-AH12</f>
        <v>16.0673158141639</v>
      </c>
      <c r="AI18" s="11" t="n">
        <f aca="false">(Operations!AI79-AI16-AI15)*AI17-AI12</f>
        <v>17.8176892821038</v>
      </c>
      <c r="AJ18" s="11" t="n">
        <f aca="false">(Operations!AJ79-AJ16-AJ15)*AJ17-AJ12</f>
        <v>19.2164353555439</v>
      </c>
      <c r="AK18" s="11" t="n">
        <f aca="false">(Operations!AK79-AK16-AK15)*AK17-AK12</f>
        <v>21.1189137173412</v>
      </c>
      <c r="AL18" s="11" t="n">
        <f aca="false">(Operations!AL79-AL16-AL15)*AL17-AL12</f>
        <v>19.9449567013615</v>
      </c>
      <c r="AM18" s="11" t="n">
        <f aca="false">(Operations!AM79-AM16-AM15)*AM17-AM12</f>
        <v>24.7402267252937</v>
      </c>
      <c r="AN18" s="11" t="n">
        <f aca="false">(Operations!AN79-AN16-AN15)*AN17-AN12</f>
        <v>26.4843273225871</v>
      </c>
      <c r="AO18" s="11" t="n">
        <f aca="false">(Operations!AO79-AO16-AO15)*AO17-AO12</f>
        <v>28.424966887248</v>
      </c>
      <c r="AP18" s="11" t="n">
        <f aca="false">(Operations!AP79-AP16-AP15)*AP17-AP12</f>
        <v>30.9406834041708</v>
      </c>
      <c r="AQ18" s="11" t="n">
        <f aca="false">(Operations!AQ79-AQ16-AQ15)*AQ17-AQ12</f>
        <v>32.603865343507</v>
      </c>
      <c r="AR18" s="11" t="n">
        <f aca="false">(Operations!AR79-AR16-AR15)*AR17-AR12</f>
        <v>32.6862361572598</v>
      </c>
      <c r="AS18" s="11" t="n">
        <f aca="false">(Operations!AS79-AS16-AS15)*AS17-AS12</f>
        <v>32.9280581274018</v>
      </c>
      <c r="AT18" s="11" t="n">
        <f aca="false">(Operations!AT79-AT16-AT15)*AT17-AT12</f>
        <v>18.1864740220509</v>
      </c>
      <c r="AU18" s="11" t="n">
        <f aca="false">(Operations!AU79-AU16-AU15)*AU17-AU12</f>
        <v>33.304481150284</v>
      </c>
      <c r="AV18" s="11" t="n">
        <f aca="false">(Operations!AV79-AV16-AV15)*AV17-AV12</f>
        <v>33.1883749330162</v>
      </c>
      <c r="AW18" s="11" t="n">
        <f aca="false">(Operations!AW79-AW16-AW15)*AW17-AW12</f>
        <v>33.3376768491619</v>
      </c>
      <c r="AX18" s="11" t="n">
        <f aca="false">(Operations!AX79-AX16-AX15)*AX17-AX12</f>
        <v>33.5143309015346</v>
      </c>
      <c r="AY18" s="11" t="n">
        <f aca="false">(Operations!AY79-AY16-AY15)*AY17-AY12</f>
        <v>33.621910120249</v>
      </c>
      <c r="AZ18" s="11" t="n">
        <f aca="false">(Operations!AZ79-AZ16-AZ15)*AZ17-AZ12</f>
        <v>33.710618397802</v>
      </c>
      <c r="BA18" s="11" t="n">
        <f aca="false">(Operations!BA79-BA16-BA15)*BA17-BA12</f>
        <v>33.9255296716808</v>
      </c>
      <c r="BB18" s="11" t="n">
        <f aca="false">(Operations!BB79-BB16-BB15)*BB17-BB12</f>
        <v>30.6942645793804</v>
      </c>
      <c r="BC18" s="11" t="n">
        <f aca="false">(Operations!BC79-BC16-BC15)*BC17-BC12</f>
        <v>40.6989853925685</v>
      </c>
      <c r="BD18" s="11" t="n">
        <f aca="false">(Operations!BD79-BD16-BD15)*BD17-BD12</f>
        <v>53.4975734024807</v>
      </c>
      <c r="BE18" s="11" t="n">
        <f aca="false">(Operations!BE79-BE16-BE15)*BE17-BE12</f>
        <v>53.6588500780104</v>
      </c>
      <c r="BF18" s="11" t="n">
        <f aca="false">(Operations!BF79-BF16-BF15)*BF17-BF12</f>
        <v>53.8521267766827</v>
      </c>
      <c r="BG18" s="11" t="n">
        <f aca="false">(Operations!BG79-BG16-BG15)*BG17-BG12</f>
        <v>53.9669776116903</v>
      </c>
      <c r="BH18" s="11" t="n">
        <f aca="false">(Operations!BH79-BH16-BH15)*BH17-BH12</f>
        <v>54.0625082568907</v>
      </c>
      <c r="BI18" s="11" t="n">
        <f aca="false">(Operations!BI79-BI16-BI15)*BI17-BI12</f>
        <v>54.3512923156236</v>
      </c>
      <c r="BJ18" s="11" t="n">
        <f aca="false">(Operations!BJ79-BJ16-BJ15)*BJ17-BJ12</f>
        <v>36.9270129630896</v>
      </c>
      <c r="BK18" s="11" t="n">
        <f aca="false">(Operations!BK79-BK16-BK15)*BK17-BK12</f>
        <v>54.7996889691443</v>
      </c>
      <c r="BL18" s="11" t="n">
        <f aca="false">(Operations!BL79-BL16-BL15)*BL17-BL12</f>
        <v>54.6500983512926</v>
      </c>
      <c r="BM18" s="11" t="n">
        <f aca="false">(Operations!BM79-BM16-BM15)*BM17-BM12</f>
        <v>17.4642176131737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1.77575673733201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1.77575673733201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1.93190673430498</v>
      </c>
      <c r="Z20" s="11" t="n">
        <f aca="false">MIN(Y21,MAX(0,Z18-Z19))</f>
        <v>6.47245467320248</v>
      </c>
      <c r="AA20" s="11" t="n">
        <f aca="false">MIN(Z21,MAX(0,AA18-AA19))</f>
        <v>7.78225371127704</v>
      </c>
      <c r="AB20" s="11" t="n">
        <f aca="false">MIN(AA21,MAX(0,AB18-AB19))</f>
        <v>8.48238936494211</v>
      </c>
      <c r="AC20" s="11" t="n">
        <f aca="false">MIN(AB21,MAX(0,AC18-AC19))</f>
        <v>9.89525378510903</v>
      </c>
      <c r="AD20" s="11" t="n">
        <f aca="false">MIN(AC21,MAX(0,AD18-AD19))</f>
        <v>0</v>
      </c>
      <c r="AE20" s="11" t="n">
        <f aca="false">MIN(AD21,MAX(0,AE18-AE19))</f>
        <v>10.6650126986247</v>
      </c>
      <c r="AF20" s="11" t="n">
        <f aca="false">MIN(AE21,MAX(0,AF18-AF19))</f>
        <v>13.3344649512182</v>
      </c>
      <c r="AG20" s="11" t="n">
        <f aca="false">MIN(AF21,MAX(0,AG18-AG19))</f>
        <v>14.7808084256207</v>
      </c>
      <c r="AH20" s="11" t="n">
        <f aca="false">MIN(AG21,MAX(0,AH18-AH19))</f>
        <v>16.0673158141639</v>
      </c>
      <c r="AI20" s="11" t="n">
        <f aca="false">MIN(AH21,MAX(0,AI18-AI19))</f>
        <v>17.8176892821038</v>
      </c>
      <c r="AJ20" s="11" t="n">
        <f aca="false">MIN(AI21,MAX(0,AJ18-AJ19))</f>
        <v>19.2164353555439</v>
      </c>
      <c r="AK20" s="11" t="n">
        <f aca="false">MIN(AJ21,MAX(0,AK18-AK19))</f>
        <v>21.1189137173412</v>
      </c>
      <c r="AL20" s="11" t="n">
        <f aca="false">MIN(AK21,MAX(0,AL18-AL19))</f>
        <v>19.9449567013615</v>
      </c>
      <c r="AM20" s="11" t="n">
        <f aca="false">MIN(AL21,MAX(0,AM18-AM19))</f>
        <v>24.7402267252937</v>
      </c>
      <c r="AN20" s="11" t="n">
        <f aca="false">MIN(AM21,MAX(0,AN18-AN19))</f>
        <v>26.4843273225871</v>
      </c>
      <c r="AO20" s="11" t="n">
        <f aca="false">MIN(AN21,MAX(0,AO18-AO19))</f>
        <v>7.17095987107146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223.973462399461</v>
      </c>
      <c r="Z21" s="11" t="n">
        <f aca="false">Y21+Z11-Z20</f>
        <v>217.501007726258</v>
      </c>
      <c r="AA21" s="11" t="n">
        <f aca="false">Z21+AA11-AA20</f>
        <v>209.718754014981</v>
      </c>
      <c r="AB21" s="11" t="n">
        <f aca="false">AA21+AB11-AB20</f>
        <v>201.236364650039</v>
      </c>
      <c r="AC21" s="11" t="n">
        <f aca="false">AB21+AC11-AC20</f>
        <v>191.34111086493</v>
      </c>
      <c r="AD21" s="11" t="n">
        <f aca="false">AC21+AD11-AD20</f>
        <v>191.34111086493</v>
      </c>
      <c r="AE21" s="11" t="n">
        <f aca="false">AD21+AE11-AE20</f>
        <v>180.676098166305</v>
      </c>
      <c r="AF21" s="11" t="n">
        <f aca="false">AE21+AF11-AF20</f>
        <v>167.341633215087</v>
      </c>
      <c r="AG21" s="11" t="n">
        <f aca="false">AF21+AG11-AG20</f>
        <v>152.560824789467</v>
      </c>
      <c r="AH21" s="11" t="n">
        <f aca="false">AG21+AH11-AH20</f>
        <v>136.493508975303</v>
      </c>
      <c r="AI21" s="11" t="n">
        <f aca="false">AH21+AI11-AI20</f>
        <v>118.675819693199</v>
      </c>
      <c r="AJ21" s="11" t="n">
        <f aca="false">AI21+AJ11-AJ20</f>
        <v>99.459384337655</v>
      </c>
      <c r="AK21" s="11" t="n">
        <f aca="false">AJ21+AK11-AK20</f>
        <v>78.3404706203138</v>
      </c>
      <c r="AL21" s="11" t="n">
        <f aca="false">AK21+AL11-AL20</f>
        <v>58.3955139189523</v>
      </c>
      <c r="AM21" s="11" t="n">
        <f aca="false">AL21+AM11-AM20</f>
        <v>33.6552871936585</v>
      </c>
      <c r="AN21" s="11" t="n">
        <f aca="false">AM21+AN11-AN20</f>
        <v>7.17095987107146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1.77575673733201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961.825842404323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21.2540070161765</v>
      </c>
      <c r="AP23" s="11" t="n">
        <f aca="false">MAX(0,AP18-AP19-AP20)</f>
        <v>30.9406834041708</v>
      </c>
      <c r="AQ23" s="11" t="n">
        <f aca="false">MAX(0,AQ18-AQ19-AQ20)</f>
        <v>32.603865343507</v>
      </c>
      <c r="AR23" s="11" t="n">
        <f aca="false">MAX(0,AR18-AR19-AR20)</f>
        <v>32.6862361572598</v>
      </c>
      <c r="AS23" s="11" t="n">
        <f aca="false">MAX(0,AS18-AS19-AS20)</f>
        <v>32.9280581274018</v>
      </c>
      <c r="AT23" s="11" t="n">
        <f aca="false">MAX(0,AT18-AT19-AT20)</f>
        <v>18.1864740220509</v>
      </c>
      <c r="AU23" s="11" t="n">
        <f aca="false">MAX(0,AU18-AU19-AU20)</f>
        <v>33.304481150284</v>
      </c>
      <c r="AV23" s="11" t="n">
        <f aca="false">MAX(0,AV18-AV19-AV20)</f>
        <v>33.1883749330162</v>
      </c>
      <c r="AW23" s="11" t="n">
        <f aca="false">MAX(0,AW18-AW19-AW20)</f>
        <v>33.3376768491619</v>
      </c>
      <c r="AX23" s="11" t="n">
        <f aca="false">MAX(0,AX18-AX19-AX20)</f>
        <v>33.5143309015346</v>
      </c>
      <c r="AY23" s="11" t="n">
        <f aca="false">MAX(0,AY18-AY19-AY20)</f>
        <v>33.621910120249</v>
      </c>
      <c r="AZ23" s="11" t="n">
        <f aca="false">MAX(0,AZ18-AZ19-AZ20)</f>
        <v>33.710618397802</v>
      </c>
      <c r="BA23" s="11" t="n">
        <f aca="false">MAX(0,BA18-BA19-BA20)</f>
        <v>33.9255296716808</v>
      </c>
      <c r="BB23" s="11" t="n">
        <f aca="false">MAX(0,BB18-BB19-BB20)</f>
        <v>30.6942645793804</v>
      </c>
      <c r="BC23" s="11" t="n">
        <f aca="false">MAX(0,BC18-BC19-BC20)</f>
        <v>40.6989853925685</v>
      </c>
      <c r="BD23" s="11" t="n">
        <f aca="false">MAX(0,BD18-BD19-BD20)</f>
        <v>53.4975734024807</v>
      </c>
      <c r="BE23" s="11" t="n">
        <f aca="false">MAX(0,BE18-BE19-BE20)</f>
        <v>53.6588500780104</v>
      </c>
      <c r="BF23" s="11" t="n">
        <f aca="false">MAX(0,BF18-BF19-BF20)</f>
        <v>53.8521267766827</v>
      </c>
      <c r="BG23" s="11" t="n">
        <f aca="false">MAX(0,BG18-BG19-BG20)</f>
        <v>53.9669776116903</v>
      </c>
      <c r="BH23" s="11" t="n">
        <f aca="false">MAX(0,BH18-BH19-BH20)</f>
        <v>54.0625082568907</v>
      </c>
      <c r="BI23" s="11" t="n">
        <f aca="false">MAX(0,BI18-BI19-BI20)</f>
        <v>54.3512923156236</v>
      </c>
      <c r="BJ23" s="11" t="n">
        <f aca="false">MAX(0,BJ18-BJ19-BJ20)</f>
        <v>36.9270129630896</v>
      </c>
      <c r="BK23" s="11" t="n">
        <f aca="false">MAX(0,BK18-BK19-BK20)</f>
        <v>54.7996889691443</v>
      </c>
      <c r="BL23" s="11" t="n">
        <f aca="false">MAX(0,BL18-BL19-BL20)</f>
        <v>54.6500983512926</v>
      </c>
      <c r="BM23" s="11" t="n">
        <f aca="false">MAX(0,BM18-BM19-BM20)</f>
        <v>17.4642176131737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288.547752721297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6.37620210485296</v>
      </c>
      <c r="AP25" s="11" t="n">
        <f aca="false">AP23*AP24</f>
        <v>9.28220502125123</v>
      </c>
      <c r="AQ25" s="11" t="n">
        <f aca="false">AQ23*AQ24</f>
        <v>9.78115960305209</v>
      </c>
      <c r="AR25" s="11" t="n">
        <f aca="false">AR23*AR24</f>
        <v>9.80587084717793</v>
      </c>
      <c r="AS25" s="11" t="n">
        <f aca="false">AS23*AS24</f>
        <v>9.87841743822054</v>
      </c>
      <c r="AT25" s="11" t="n">
        <f aca="false">AT23*AT24</f>
        <v>5.45594220661526</v>
      </c>
      <c r="AU25" s="11" t="n">
        <f aca="false">AU23*AU24</f>
        <v>9.99134434508519</v>
      </c>
      <c r="AV25" s="11" t="n">
        <f aca="false">AV23*AV24</f>
        <v>9.95651247990486</v>
      </c>
      <c r="AW25" s="11" t="n">
        <f aca="false">AW23*AW24</f>
        <v>10.0013030547486</v>
      </c>
      <c r="AX25" s="11" t="n">
        <f aca="false">AX23*AX24</f>
        <v>10.0542992704604</v>
      </c>
      <c r="AY25" s="11" t="n">
        <f aca="false">AY23*AY24</f>
        <v>10.0865730360747</v>
      </c>
      <c r="AZ25" s="11" t="n">
        <f aca="false">AZ23*AZ24</f>
        <v>10.1131855193406</v>
      </c>
      <c r="BA25" s="11" t="n">
        <f aca="false">BA23*BA24</f>
        <v>10.1776589015042</v>
      </c>
      <c r="BB25" s="11" t="n">
        <f aca="false">BB23*BB24</f>
        <v>9.20827937381413</v>
      </c>
      <c r="BC25" s="11" t="n">
        <f aca="false">BC23*BC24</f>
        <v>12.2096956177706</v>
      </c>
      <c r="BD25" s="11" t="n">
        <f aca="false">BD23*BD24</f>
        <v>16.0492720207442</v>
      </c>
      <c r="BE25" s="11" t="n">
        <f aca="false">BE23*BE24</f>
        <v>16.0976550234031</v>
      </c>
      <c r="BF25" s="11" t="n">
        <f aca="false">BF23*BF24</f>
        <v>16.1556380330048</v>
      </c>
      <c r="BG25" s="11" t="n">
        <f aca="false">BG23*BG24</f>
        <v>16.1900932835071</v>
      </c>
      <c r="BH25" s="11" t="n">
        <f aca="false">BH23*BH24</f>
        <v>16.2187524770672</v>
      </c>
      <c r="BI25" s="11" t="n">
        <f aca="false">BI23*BI24</f>
        <v>16.3053876946871</v>
      </c>
      <c r="BJ25" s="11" t="n">
        <f aca="false">BJ23*BJ24</f>
        <v>11.0781038889269</v>
      </c>
      <c r="BK25" s="11" t="n">
        <f aca="false">BK23*BK24</f>
        <v>16.4399066907433</v>
      </c>
      <c r="BL25" s="11" t="n">
        <f aca="false">BL23*BL24</f>
        <v>16.3950295053878</v>
      </c>
      <c r="BM25" s="11" t="n">
        <f aca="false">BM23*BM24</f>
        <v>5.23926528395211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294.170815353234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6.37620210485296</v>
      </c>
      <c r="AP27" s="11" t="n">
        <f aca="false">MAX(AP25,AP26)</f>
        <v>9.28220502125123</v>
      </c>
      <c r="AQ27" s="11" t="n">
        <f aca="false">MAX(AQ25,AQ26)</f>
        <v>9.78115960305209</v>
      </c>
      <c r="AR27" s="11" t="n">
        <f aca="false">MAX(AR25,AR26)</f>
        <v>9.80587084717793</v>
      </c>
      <c r="AS27" s="11" t="n">
        <f aca="false">MAX(AS25,AS26)</f>
        <v>9.87841743822054</v>
      </c>
      <c r="AT27" s="11" t="n">
        <f aca="false">MAX(AT25,AT26)</f>
        <v>5.45594220661526</v>
      </c>
      <c r="AU27" s="11" t="n">
        <f aca="false">MAX(AU25,AU26)</f>
        <v>9.99134434508519</v>
      </c>
      <c r="AV27" s="11" t="n">
        <f aca="false">MAX(AV25,AV26)</f>
        <v>9.95651247990486</v>
      </c>
      <c r="AW27" s="11" t="n">
        <f aca="false">MAX(AW25,AW26)</f>
        <v>10.0013030547486</v>
      </c>
      <c r="AX27" s="11" t="n">
        <f aca="false">MAX(AX25,AX26)</f>
        <v>10.0542992704604</v>
      </c>
      <c r="AY27" s="11" t="n">
        <f aca="false">MAX(AY25,AY26)</f>
        <v>10.0865730360747</v>
      </c>
      <c r="AZ27" s="11" t="n">
        <f aca="false">MAX(AZ25,AZ26)</f>
        <v>10.1131855193406</v>
      </c>
      <c r="BA27" s="11" t="n">
        <f aca="false">MAX(BA25,BA26)</f>
        <v>10.1776589015042</v>
      </c>
      <c r="BB27" s="11" t="n">
        <f aca="false">MAX(BB25,BB26)</f>
        <v>9.20827937381413</v>
      </c>
      <c r="BC27" s="11" t="n">
        <f aca="false">MAX(BC25,BC26)</f>
        <v>12.2096956177706</v>
      </c>
      <c r="BD27" s="11" t="n">
        <f aca="false">MAX(BD25,BD26)</f>
        <v>16.0492720207442</v>
      </c>
      <c r="BE27" s="11" t="n">
        <f aca="false">MAX(BE25,BE26)</f>
        <v>16.0976550234031</v>
      </c>
      <c r="BF27" s="11" t="n">
        <f aca="false">MAX(BF25,BF26)</f>
        <v>16.1556380330048</v>
      </c>
      <c r="BG27" s="11" t="n">
        <f aca="false">MAX(BG25,BG26)</f>
        <v>16.1900932835071</v>
      </c>
      <c r="BH27" s="11" t="n">
        <f aca="false">MAX(BH25,BH26)</f>
        <v>16.2187524770672</v>
      </c>
      <c r="BI27" s="11" t="n">
        <f aca="false">MAX(BI25,BI26)</f>
        <v>16.3053876946871</v>
      </c>
      <c r="BJ27" s="11" t="n">
        <f aca="false">MAX(BJ25,BJ26)</f>
        <v>11.0781038889269</v>
      </c>
      <c r="BK27" s="11" t="n">
        <f aca="false">MAX(BK25,BK26)</f>
        <v>16.4399066907433</v>
      </c>
      <c r="BL27" s="11" t="n">
        <f aca="false">MAX(BL25,BL26)</f>
        <v>16.3950295053878</v>
      </c>
      <c r="BM27" s="11" t="n">
        <f aca="false">MAX(BM25,BM26)</f>
        <v>5.23926528395211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4.12406729593047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2.07953954155372</v>
      </c>
      <c r="Q28" s="11" t="n">
        <f aca="false">Q13-Q15</f>
        <v>0.956028959526634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148.956486611802</v>
      </c>
      <c r="AC70" s="11" t="n">
        <f aca="false">Time!AC30*AB83</f>
        <v>134.129528584404</v>
      </c>
      <c r="AD70" s="11" t="n">
        <f aca="false">Time!AD30*AC83</f>
        <v>119.799517676831</v>
      </c>
      <c r="AE70" s="11" t="n">
        <f aca="false">Time!AE30*AD83</f>
        <v>103.869619982975</v>
      </c>
      <c r="AF70" s="11" t="n">
        <f aca="false">Time!AF30*AE83</f>
        <v>87.6110124554765</v>
      </c>
      <c r="AG70" s="11" t="n">
        <f aca="false">Time!AG30*AF83</f>
        <v>70.952561010879</v>
      </c>
      <c r="AH70" s="11" t="n">
        <f aca="false">Time!AH30*AG83</f>
        <v>54.6736392821866</v>
      </c>
      <c r="AI70" s="11" t="n">
        <f aca="false">Time!AI30*AH83</f>
        <v>37.8231574367591</v>
      </c>
      <c r="AJ70" s="11" t="n">
        <f aca="false">Time!AJ30*AI83</f>
        <v>21.4456529359356</v>
      </c>
      <c r="AK70" s="11" t="n">
        <f aca="false">Time!AK30*AJ83</f>
        <v>4.93183752802069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135.500020722936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6.53054660809668</v>
      </c>
      <c r="AC72" s="11" t="n">
        <f aca="false">AC70*AC13</f>
        <v>5.8165849642664</v>
      </c>
      <c r="AD72" s="11" t="n">
        <f aca="false">AD70*AD13</f>
        <v>5.25224749597484</v>
      </c>
      <c r="AE72" s="11" t="n">
        <f aca="false">AE70*AE13</f>
        <v>4.47960177143861</v>
      </c>
      <c r="AF72" s="11" t="n">
        <f aca="false">AF70*AF13</f>
        <v>3.84103984483813</v>
      </c>
      <c r="AG72" s="11" t="n">
        <f aca="false">AG70*AG13</f>
        <v>3.25816788034586</v>
      </c>
      <c r="AH72" s="11" t="n">
        <f aca="false">AH70*AH13</f>
        <v>2.55224647967659</v>
      </c>
      <c r="AI72" s="11" t="n">
        <f aca="false">AI70*AI13</f>
        <v>1.73685339807281</v>
      </c>
      <c r="AJ72" s="11" t="n">
        <f aca="false">AJ70*AJ13</f>
        <v>1.00111485038716</v>
      </c>
      <c r="AK72" s="11" t="n">
        <f aca="false">AK70*AK13</f>
        <v>0.227723031340126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149.986228455854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8.26679640047391</v>
      </c>
      <c r="AC73" s="11" t="n">
        <f aca="false">Time!AC30*(AC70-AC71)*AC19</f>
        <v>8.14242356400854</v>
      </c>
      <c r="AD73" s="11" t="n">
        <f aca="false">Time!AD30*(AD70-AD71)*AD19</f>
        <v>8.45427320847727</v>
      </c>
      <c r="AE73" s="11" t="n">
        <f aca="false">Time!AE30*(AE70-AE71)*AE19</f>
        <v>8.22563345933548</v>
      </c>
      <c r="AF73" s="11" t="n">
        <f aca="false">Time!AF30*(AF70-AF71)*AF19</f>
        <v>7.79911006957851</v>
      </c>
      <c r="AG73" s="11" t="n">
        <f aca="false">Time!AG30*(AG70-AG71)*AG19</f>
        <v>7.06278664010458</v>
      </c>
      <c r="AH73" s="11" t="n">
        <f aca="false">Time!AH30*(AH70-AH71)*AH19</f>
        <v>6.34739267753819</v>
      </c>
      <c r="AI73" s="11" t="n">
        <f aca="false">Time!AI30*(AI70-AI71)*AI19</f>
        <v>5.11373752427244</v>
      </c>
      <c r="AJ73" s="11" t="n">
        <f aca="false">Time!AJ30*(AJ70-AJ71)*AJ19</f>
        <v>3.51464282200192</v>
      </c>
      <c r="AK73" s="11" t="n">
        <f aca="false">Time!AK30*(AK70-AK71)*AK19</f>
        <v>0.99797539150721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149.986228455854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8.26679640047391</v>
      </c>
      <c r="AC77" s="11" t="n">
        <f aca="false">AC73-AC74+AC76</f>
        <v>8.14242356400854</v>
      </c>
      <c r="AD77" s="11" t="n">
        <f aca="false">AD73-AD74+AD76</f>
        <v>8.45427320847727</v>
      </c>
      <c r="AE77" s="11" t="n">
        <f aca="false">AE73-AE74+AE76</f>
        <v>8.22563345933548</v>
      </c>
      <c r="AF77" s="11" t="n">
        <f aca="false">AF73-AF74+AF76</f>
        <v>7.79911006957851</v>
      </c>
      <c r="AG77" s="11" t="n">
        <f aca="false">AG73-AG74+AG76</f>
        <v>7.06278664010458</v>
      </c>
      <c r="AH77" s="11" t="n">
        <f aca="false">AH73-AH74+AH76</f>
        <v>6.34739267753819</v>
      </c>
      <c r="AI77" s="11" t="n">
        <f aca="false">AI73-AI74+AI76</f>
        <v>5.11373752427244</v>
      </c>
      <c r="AJ77" s="11" t="n">
        <f aca="false">AJ73-AJ74+AJ76</f>
        <v>3.51464282200192</v>
      </c>
      <c r="AK77" s="11" t="n">
        <f aca="false">AK73-AK74+AK76</f>
        <v>0.99797539150721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140.689690211328</v>
      </c>
      <c r="AC81" s="11" t="n">
        <f aca="false">AC70-AC77-AC78-AC79</f>
        <v>125.987105020396</v>
      </c>
      <c r="AD81" s="11" t="n">
        <f aca="false">AD70-AD77-AD78-AD79</f>
        <v>111.345244468354</v>
      </c>
      <c r="AE81" s="11" t="n">
        <f aca="false">AE70-AE77-AE78-AE79</f>
        <v>95.6439865236398</v>
      </c>
      <c r="AF81" s="11" t="n">
        <f aca="false">AF70-AF77-AF78-AF79</f>
        <v>79.811902385898</v>
      </c>
      <c r="AG81" s="11" t="n">
        <f aca="false">AG70-AG77-AG78-AG79</f>
        <v>63.8897743707744</v>
      </c>
      <c r="AH81" s="11" t="n">
        <f aca="false">AH70-AH77-AH78-AH79</f>
        <v>48.3262466046484</v>
      </c>
      <c r="AI81" s="11" t="n">
        <f aca="false">AI70-AI77-AI78-AI79</f>
        <v>32.7094199124867</v>
      </c>
      <c r="AJ81" s="11" t="n">
        <f aca="false">AJ70-AJ77-AJ78-AJ79</f>
        <v>17.9310101139337</v>
      </c>
      <c r="AK81" s="11" t="n">
        <f aca="false">AK70-AK77-AK78-AK79</f>
        <v>3.93386213651348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90.6510422504004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5.61932739589651</v>
      </c>
      <c r="AB82" s="11" t="n">
        <f aca="false">Waterfall!AB28*AB81/(AB36+AB51+AB66+AB81+AB96+0.000000001)+Waterfall!AB29</f>
        <v>6.56016162692373</v>
      </c>
      <c r="AC82" s="11" t="n">
        <f aca="false">Waterfall!AC28*AC81/(AC36+AC51+AC66+AC81+AC96+0.000000001)+Waterfall!AC29</f>
        <v>6.18758734356492</v>
      </c>
      <c r="AD82" s="11" t="n">
        <f aca="false">Waterfall!AD28*AD81/(AD36+AD51+AD66+AD81+AD96+0.000000001)+Waterfall!AD29</f>
        <v>7.4756244853783</v>
      </c>
      <c r="AE82" s="11" t="n">
        <f aca="false">Waterfall!AE28*AE81/(AE36+AE51+AE66+AE81+AE96+0.000000001)+Waterfall!AE29</f>
        <v>8.03297406816327</v>
      </c>
      <c r="AF82" s="11" t="n">
        <f aca="false">Waterfall!AF28*AF81/(AF36+AF51+AF66+AF81+AF96+0.000000001)+Waterfall!AF29</f>
        <v>8.85934137501908</v>
      </c>
      <c r="AG82" s="11" t="n">
        <f aca="false">Waterfall!AG28*AG81/(AG36+AG51+AG66+AG81+AG96+0.000000001)+Waterfall!AG29</f>
        <v>9.21613508858781</v>
      </c>
      <c r="AH82" s="11" t="n">
        <f aca="false">Waterfall!AH28*AH81/(AH36+AH51+AH66+AH81+AH96+0.000000001)+Waterfall!AH29</f>
        <v>10.5030891678893</v>
      </c>
      <c r="AI82" s="11" t="n">
        <f aca="false">Waterfall!AI28*AI81/(AI36+AI51+AI66+AI81+AI96+0.000000001)+Waterfall!AI29</f>
        <v>11.2637669765511</v>
      </c>
      <c r="AJ82" s="11" t="n">
        <f aca="false">Waterfall!AJ28*AJ81/(AJ36+AJ51+AJ66+AJ81+AJ96+0.000000001)+Waterfall!AJ29</f>
        <v>12.999172585913</v>
      </c>
      <c r="AK82" s="11" t="n">
        <f aca="false">Waterfall!AK28*AK81/(AK36+AK51+AK66+AK81+AK96+0.000000001)+Waterfall!AK29</f>
        <v>3.93386213651348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148.956486611802</v>
      </c>
      <c r="AB83" s="11" t="n">
        <f aca="false">IF(Time!AB29=1,INDEX(Funding!$J$64:$BJ$64,1,Time!$F$13),Time!AB30*(AB81-AB82))</f>
        <v>134.129528584404</v>
      </c>
      <c r="AC83" s="11" t="n">
        <f aca="false">IF(Time!AC29=1,INDEX(Funding!$J$64:$BJ$64,1,Time!$F$13),Time!AC30*(AC81-AC82))</f>
        <v>119.799517676831</v>
      </c>
      <c r="AD83" s="11" t="n">
        <f aca="false">IF(Time!AD29=1,INDEX(Funding!$J$64:$BJ$64,1,Time!$F$13),Time!AD30*(AD81-AD82))</f>
        <v>103.869619982975</v>
      </c>
      <c r="AE83" s="11" t="n">
        <f aca="false">IF(Time!AE29=1,INDEX(Funding!$J$64:$BJ$64,1,Time!$F$13),Time!AE30*(AE81-AE82))</f>
        <v>87.6110124554765</v>
      </c>
      <c r="AF83" s="11" t="n">
        <f aca="false">IF(Time!AF29=1,INDEX(Funding!$J$64:$BJ$64,1,Time!$F$13),Time!AF30*(AF81-AF82))</f>
        <v>70.952561010879</v>
      </c>
      <c r="AG83" s="11" t="n">
        <f aca="false">IF(Time!AG29=1,INDEX(Funding!$J$64:$BJ$64,1,Time!$F$13),Time!AG30*(AG81-AG82))</f>
        <v>54.6736392821866</v>
      </c>
      <c r="AH83" s="11" t="n">
        <f aca="false">IF(Time!AH29=1,INDEX(Funding!$J$64:$BJ$64,1,Time!$F$13),Time!AH30*(AH81-AH82))</f>
        <v>37.8231574367591</v>
      </c>
      <c r="AI83" s="11" t="n">
        <f aca="false">IF(Time!AI29=1,INDEX(Funding!$J$64:$BJ$64,1,Time!$F$13),Time!AI30*(AI81-AI82))</f>
        <v>21.4456529359356</v>
      </c>
      <c r="AJ83" s="11" t="n">
        <f aca="false">IF(Time!AJ29=1,INDEX(Funding!$J$64:$BJ$64,1,Time!$F$13),Time!AJ30*(AJ81-AJ82))</f>
        <v>4.93183752802069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16.7184068150204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0.777185570146618</v>
      </c>
      <c r="AC115" s="11" t="n">
        <f aca="false">(Inputs!$F$93/100*Inputs!$F$94/100)*AC70*Time!AC20/365</f>
        <v>0.692218610943678</v>
      </c>
      <c r="AD115" s="11" t="n">
        <f aca="false">(Inputs!$F$93/100*Inputs!$F$94/100)*AD70*Time!AD20/365</f>
        <v>0.625058086202073</v>
      </c>
      <c r="AE115" s="11" t="n">
        <f aca="false">(Inputs!$F$93/100*Inputs!$F$94/100)*AE70*Time!AE20/365</f>
        <v>0.533107267383854</v>
      </c>
      <c r="AF115" s="11" t="n">
        <f aca="false">(Inputs!$F$93/100*Inputs!$F$94/100)*AF70*Time!AF20/365</f>
        <v>0.457113457863588</v>
      </c>
      <c r="AG115" s="11" t="n">
        <f aca="false">(Inputs!$F$93/100*Inputs!$F$94/100)*AG70*Time!AG20/365</f>
        <v>0.36416158950611</v>
      </c>
      <c r="AH115" s="11" t="n">
        <f aca="false">(Inputs!$F$93/100*Inputs!$F$94/100)*AH70*Time!AH20/365</f>
        <v>0.285261585339715</v>
      </c>
      <c r="AI115" s="11" t="n">
        <f aca="false">(Inputs!$F$93/100*Inputs!$F$94/100)*AI70*Time!AI20/365</f>
        <v>0.194126060230555</v>
      </c>
      <c r="AJ115" s="11" t="n">
        <f aca="false">(Inputs!$F$93/100*Inputs!$F$94/100)*AJ70*Time!AJ20/365</f>
        <v>0.111893428633413</v>
      </c>
      <c r="AK115" s="11" t="n">
        <f aca="false">(Inputs!$F$93/100*Inputs!$F$94/100)*AK70*Time!AK20/365</f>
        <v>0.0254523352096783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305.962065593777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13.7707692619623</v>
      </c>
      <c r="AC118" s="11" t="n">
        <f aca="false">AC27+AC42+AC57+AC72+AC87+AC101</f>
        <v>12.5806588071438</v>
      </c>
      <c r="AD118" s="11" t="n">
        <f aca="false">AD27+AD42+AD57+AD72+AD87+AD101</f>
        <v>11.6755218705033</v>
      </c>
      <c r="AE118" s="11" t="n">
        <f aca="false">AE27+AE42+AE57+AE72+AE87+AE101</f>
        <v>10.3522478587315</v>
      </c>
      <c r="AF118" s="11" t="n">
        <f aca="false">AF27+AF42+AF57+AF72+AF87+AF101</f>
        <v>9.33824827789678</v>
      </c>
      <c r="AG118" s="11" t="n">
        <f aca="false">AG27+AG42+AG57+AG72+AG87+AG101</f>
        <v>8.18436651424736</v>
      </c>
      <c r="AH118" s="11" t="n">
        <f aca="false">AH27+AH42+AH57+AH72+AH87+AH101</f>
        <v>7.06160168333395</v>
      </c>
      <c r="AI118" s="11" t="n">
        <f aca="false">AI27+AI42+AI57+AI72+AI87+AI101</f>
        <v>5.65770387530607</v>
      </c>
      <c r="AJ118" s="11" t="n">
        <f aca="false">AJ27+AJ42+AJ57+AJ72+AJ87+AJ101</f>
        <v>4.4480617292433</v>
      </c>
      <c r="AK118" s="11" t="n">
        <f aca="false">AK27+AK42+AK57+AK72+AK87+AK101</f>
        <v>3.07843695973402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314.346268805812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14.1536509138625</v>
      </c>
      <c r="AC119" s="11" t="n">
        <f aca="false">AC118+AC114+AC115+AC116</f>
        <v>12.9537327583995</v>
      </c>
      <c r="AD119" s="11" t="n">
        <f aca="false">AD118+AD114+AD115+AD116</f>
        <v>11.9507671988758</v>
      </c>
      <c r="AE119" s="11" t="n">
        <f aca="false">AE118+AE114+AE115+AE116</f>
        <v>10.6299944936419</v>
      </c>
      <c r="AF119" s="11" t="n">
        <f aca="false">AF118+AF114+AF115+AF116</f>
        <v>9.49598270721416</v>
      </c>
      <c r="AG119" s="11" t="n">
        <f aca="false">AG118+AG114+AG115+AG116</f>
        <v>8.3343219043428</v>
      </c>
      <c r="AH119" s="11" t="n">
        <f aca="false">AH118+AH114+AH115+AH116</f>
        <v>7.10128291699513</v>
      </c>
      <c r="AI119" s="11" t="n">
        <f aca="false">AI118+AI114+AI115+AI116</f>
        <v>5.68133935210668</v>
      </c>
      <c r="AJ119" s="11" t="n">
        <f aca="false">AJ118+AJ114+AJ115+AJ116</f>
        <v>4.37223376790057</v>
      </c>
      <c r="AK119" s="11" t="n">
        <f aca="false">AK118+AK114+AK115+AK116</f>
        <v>2.96938601368469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542.604933292391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22.2635544891395</v>
      </c>
      <c r="AC120" s="11" t="n">
        <f aca="false">AC32+AC47+AC62+AC77+AC92+AC102</f>
        <v>22.6028726406988</v>
      </c>
      <c r="AD120" s="11" t="n">
        <f aca="false">AD32+AD47+AD62+AD77+AD92+AD102</f>
        <v>24.2440283598235</v>
      </c>
      <c r="AE120" s="11" t="n">
        <f aca="false">AE32+AE47+AE62+AE77+AE92+AE102</f>
        <v>24.6940408033787</v>
      </c>
      <c r="AF120" s="11" t="n">
        <f aca="false">AF32+AF47+AF62+AF77+AF92+AF102</f>
        <v>24.8452585721023</v>
      </c>
      <c r="AG120" s="11" t="n">
        <f aca="false">AG32+AG47+AG62+AG77+AG92+AG102</f>
        <v>24.4270710977283</v>
      </c>
      <c r="AH120" s="11" t="n">
        <f aca="false">AH32+AH47+AH62+AH77+AH92+AH102</f>
        <v>24.5833909626765</v>
      </c>
      <c r="AI120" s="11" t="n">
        <f aca="false">AI32+AI47+AI62+AI77+AI92+AI102</f>
        <v>23.8851906993379</v>
      </c>
      <c r="AJ120" s="11" t="n">
        <f aca="false">AJ32+AJ47+AJ62+AJ77+AJ92+AJ102</f>
        <v>23.1923378940749</v>
      </c>
      <c r="AK120" s="11" t="n">
        <f aca="false">AK32+AK47+AK62+AK77+AK92+AK102</f>
        <v>21.3126026084633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856.951202098203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36.4172054030019</v>
      </c>
      <c r="AC121" s="11" t="n">
        <f aca="false">AC119+AC120</f>
        <v>35.5566053990983</v>
      </c>
      <c r="AD121" s="11" t="n">
        <f aca="false">AD119+AD120</f>
        <v>36.1947955586994</v>
      </c>
      <c r="AE121" s="11" t="n">
        <f aca="false">AE119+AE120</f>
        <v>35.3240352970206</v>
      </c>
      <c r="AF121" s="11" t="n">
        <f aca="false">AF119+AF120</f>
        <v>34.3412412793165</v>
      </c>
      <c r="AG121" s="11" t="n">
        <f aca="false">AG119+AG120</f>
        <v>32.7613930020711</v>
      </c>
      <c r="AH121" s="11" t="n">
        <f aca="false">AH119+AH120</f>
        <v>31.6846738796716</v>
      </c>
      <c r="AI121" s="11" t="n">
        <f aca="false">AI119+AI120</f>
        <v>29.5665300514446</v>
      </c>
      <c r="AJ121" s="11" t="n">
        <f aca="false">AJ119+AJ120</f>
        <v>27.5645716619754</v>
      </c>
      <c r="AK121" s="11" t="n">
        <f aca="false">AK119+AK120</f>
        <v>24.281988622148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401.159130519111</v>
      </c>
      <c r="AC122" s="11" t="n">
        <f aca="false">AC25+AC40+AC55+AC70+AC85+AC100</f>
        <v>372.335414403048</v>
      </c>
      <c r="AD122" s="11" t="n">
        <f aca="false">AD25+AD40+AD55+AD70+AD85+AD100</f>
        <v>343.544954418784</v>
      </c>
      <c r="AE122" s="11" t="n">
        <f aca="false">AE25+AE40+AE55+AE70+AE85+AE100</f>
        <v>311.825301573582</v>
      </c>
      <c r="AF122" s="11" t="n">
        <f aca="false">AF25+AF40+AF55+AF70+AF85+AF100</f>
        <v>279.09828670204</v>
      </c>
      <c r="AG122" s="11" t="n">
        <f aca="false">AG25+AG40+AG55+AG70+AG85+AG100</f>
        <v>245.393686754919</v>
      </c>
      <c r="AH122" s="11" t="n">
        <f aca="false">AH25+AH40+AH55+AH70+AH85+AH100</f>
        <v>211.750480568602</v>
      </c>
      <c r="AI122" s="11" t="n">
        <f aca="false">AI25+AI40+AI55+AI70+AI85+AI100</f>
        <v>176.664000438037</v>
      </c>
      <c r="AJ122" s="11" t="n">
        <f aca="false">AJ25+AJ40+AJ55+AJ70+AJ85+AJ100</f>
        <v>141.515042762148</v>
      </c>
      <c r="AK122" s="11" t="n">
        <f aca="false">AK25+AK40+AK55+AK70+AK85+AK100</f>
        <v>105.32353228216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401.159130519111</v>
      </c>
      <c r="AB123" s="11" t="n">
        <f aca="false">AB38+AB53+AB68+AB83+AB98+AB104</f>
        <v>372.335414403048</v>
      </c>
      <c r="AC123" s="11" t="n">
        <f aca="false">AC38+AC53+AC68+AC83+AC98+AC104</f>
        <v>343.544954418784</v>
      </c>
      <c r="AD123" s="11" t="n">
        <f aca="false">AD38+AD53+AD68+AD83+AD98+AD104</f>
        <v>311.825301573582</v>
      </c>
      <c r="AE123" s="11" t="n">
        <f aca="false">AE38+AE53+AE68+AE83+AE98+AE104</f>
        <v>279.09828670204</v>
      </c>
      <c r="AF123" s="11" t="n">
        <f aca="false">AF38+AF53+AF68+AF83+AF98+AF104</f>
        <v>245.393686754919</v>
      </c>
      <c r="AG123" s="11" t="n">
        <f aca="false">AG38+AG53+AG68+AG83+AG98+AG104</f>
        <v>211.750480568602</v>
      </c>
      <c r="AH123" s="11" t="n">
        <f aca="false">AH38+AH53+AH68+AH83+AH98+AH104</f>
        <v>176.664000438037</v>
      </c>
      <c r="AI123" s="11" t="n">
        <f aca="false">AI38+AI53+AI68+AI83+AI98+AI104</f>
        <v>141.515042762148</v>
      </c>
      <c r="AJ123" s="11" t="n">
        <f aca="false">AJ38+AJ53+AJ68+AJ83+AJ98+AJ104</f>
        <v>105.32353228216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140.689690211328</v>
      </c>
      <c r="AC125" s="11" t="n">
        <f aca="false">IF(Time!AC29=1,AC83,AC81)</f>
        <v>125.987105020396</v>
      </c>
      <c r="AD125" s="11" t="n">
        <f aca="false">IF(Time!AD29=1,AD83,AD81)</f>
        <v>111.345244468354</v>
      </c>
      <c r="AE125" s="11" t="n">
        <f aca="false">IF(Time!AE29=1,AE83,AE81)</f>
        <v>95.6439865236398</v>
      </c>
      <c r="AF125" s="11" t="n">
        <f aca="false">IF(Time!AF29=1,AF83,AF81)</f>
        <v>79.811902385898</v>
      </c>
      <c r="AG125" s="11" t="n">
        <f aca="false">IF(Time!AG29=1,AG83,AG81)</f>
        <v>63.8897743707744</v>
      </c>
      <c r="AH125" s="11" t="n">
        <f aca="false">IF(Time!AH29=1,AH83,AH81)</f>
        <v>48.3262466046484</v>
      </c>
      <c r="AI125" s="11" t="n">
        <f aca="false">IF(Time!AI29=1,AI83,AI81)</f>
        <v>32.7094199124867</v>
      </c>
      <c r="AJ125" s="11" t="n">
        <f aca="false">IF(Time!AJ29=1,AJ83,AJ81)</f>
        <v>17.9310101139337</v>
      </c>
      <c r="AK125" s="11" t="n">
        <f aca="false">IF(Time!AK29=1,AK83,AK81)</f>
        <v>3.93386213651348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14.6417318112355</v>
      </c>
      <c r="AC129" s="11" t="n">
        <f aca="false">IF(AND(Time!AC17&gt;=Time!$F$11,Time!AC17&lt;57),(IF(Time!AC29=1,AC83,AC81)-AC80)*AD19+IF(Time!AC29=1,AC83,AC81)*AD13,0)</f>
        <v>14.414455892171</v>
      </c>
      <c r="AD129" s="11" t="n">
        <f aca="false">IF(AND(Time!AD17&gt;=Time!$F$11,Time!AD17&lt;57),(IF(Time!AD29=1,AD83,AD81)-AD80)*AE19+IF(Time!AD29=1,AD83,AD81)*AE13,0)</f>
        <v>13.6196466592479</v>
      </c>
      <c r="AE129" s="11" t="n">
        <f aca="false">IF(AND(Time!AE17&gt;=Time!$F$11,Time!AE17&lt;57),(IF(Time!AE29=1,AE83,AE81)-AE80)*AF19+IF(Time!AE29=1,AE83,AE81)*AF13,0)</f>
        <v>12.7074246757894</v>
      </c>
      <c r="AF129" s="11" t="n">
        <f aca="false">IF(AND(Time!AF17&gt;=Time!$F$11,Time!AF17&lt;57),(IF(Time!AF29=1,AF83,AF81)-AF80)*AG19+IF(Time!AF29=1,AF83,AF81)*AG13,0)</f>
        <v>11.6096586645996</v>
      </c>
      <c r="AG129" s="11" t="n">
        <f aca="false">IF(AND(Time!AG17&gt;=Time!$F$11,Time!AG17&lt;57),(IF(Time!AG29=1,AG83,AG81)-AG80)*AH19+IF(Time!AG29=1,AG83,AG81)*AH13,0)</f>
        <v>10.3998187280176</v>
      </c>
      <c r="AH129" s="11" t="n">
        <f aca="false">IF(AND(Time!AH17&gt;=Time!$F$11,Time!AH17&lt;57),(IF(Time!AH29=1,AH83,AH81)-AH80)*AI19+IF(Time!AH29=1,AH83,AH81)*AI13,0)</f>
        <v>8.75292727357215</v>
      </c>
      <c r="AI129" s="11" t="n">
        <f aca="false">IF(AND(Time!AI17&gt;=Time!$F$11,Time!AI17&lt;57),(IF(Time!AI29=1,AI83,AI81)-AI80)*AJ19+IF(Time!AI29=1,AI83,AI81)*AJ13,0)</f>
        <v>6.88754100285284</v>
      </c>
      <c r="AJ129" s="11" t="n">
        <f aca="false">IF(AND(Time!AJ17&gt;=Time!$F$11,Time!AJ17&lt;57),(IF(Time!AJ29=1,AJ83,AJ81)-AJ80)*AK19+IF(Time!AJ29=1,AJ83,AJ81)*AK13,0)</f>
        <v>4.45635337576269</v>
      </c>
      <c r="AK129" s="11" t="n">
        <f aca="false">IF(AND(Time!AK17&gt;=Time!$F$11,Time!AK17&lt;57),(IF(Time!AK29=1,AK83,AK81)-AK80)*AL19+IF(Time!AK29=1,AK83,AK81)*AL13,0)</f>
        <v>1.24183049920482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36.2731845079674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36.935014695287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36.2768151121511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35.4504283579917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34.0955674124255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33.2329389509202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31.5227731481308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29.9951240823848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27.5797299898581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24.9763953950198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840.805936360334</v>
      </c>
      <c r="Q136" s="11" t="n">
        <f aca="false">IF(Q134=1,(Waterfall!Q7+R136)/(1+Q135),0)</f>
        <v>820.418576630891</v>
      </c>
      <c r="R136" s="11" t="n">
        <f aca="false">IF(R134=1,(Waterfall!R7+S136)/(1+R135),0)</f>
        <v>799.176249005697</v>
      </c>
      <c r="S136" s="11" t="n">
        <f aca="false">IF(S134=1,(Waterfall!S7+T136)/(1+S135),0)</f>
        <v>776.890963413369</v>
      </c>
      <c r="T136" s="11" t="n">
        <f aca="false">IF(T134=1,(Waterfall!T7+U136)/(1+T135),0)</f>
        <v>753.961950422591</v>
      </c>
      <c r="U136" s="11" t="n">
        <f aca="false">IF(U134=1,(Waterfall!U7+V136)/(1+U135),0)</f>
        <v>729.98351067155</v>
      </c>
      <c r="V136" s="11" t="n">
        <f aca="false">IF(V134=1,(Waterfall!V7+W136)/(1+V135),0)</f>
        <v>705.251502403336</v>
      </c>
      <c r="W136" s="11" t="n">
        <f aca="false">IF(W134=1,(Waterfall!W7+X136)/(1+W135),0)</f>
        <v>678.895435973135</v>
      </c>
      <c r="X136" s="11" t="n">
        <f aca="false">IF(X134=1,(Waterfall!X7+Y136)/(1+X135),0)</f>
        <v>651.746928712498</v>
      </c>
      <c r="Y136" s="11" t="n">
        <f aca="false">IF(Y134=1,(Waterfall!Y7+Z136)/(1+Y135),0)</f>
        <v>625.412867919553</v>
      </c>
      <c r="Z136" s="11" t="n">
        <f aca="false">IF(Z134=1,(Waterfall!Z7+AA136)/(1+Z135),0)</f>
        <v>599.093629886337</v>
      </c>
      <c r="AA136" s="11" t="n">
        <f aca="false">IF(AA134=1,(Waterfall!AA7+AB136)/(1+AA135),0)</f>
        <v>571.694148049495</v>
      </c>
      <c r="AB136" s="11" t="n">
        <f aca="false">IF(AB134=1,(Waterfall!AB7+AC136)/(1+AB135),0)</f>
        <v>543.509238647884</v>
      </c>
      <c r="AC136" s="11" t="n">
        <f aca="false">IF(AC134=1,(Waterfall!AC7+AD136)/(1+AC135),0)</f>
        <v>513.982749939165</v>
      </c>
      <c r="AD136" s="11" t="n">
        <f aca="false">IF(AD134=1,(Waterfall!AD7+AE136)/(1+AD135),0)</f>
        <v>483.488927343414</v>
      </c>
      <c r="AE136" s="11" t="n">
        <f aca="false">IF(AE134=1,(Waterfall!AE7+AF136)/(1+AE135),0)</f>
        <v>450.151504916382</v>
      </c>
      <c r="AF136" s="11" t="n">
        <f aca="false">IF(AF134=1,(Waterfall!AF7+AG136)/(1+AF135),0)</f>
        <v>415.381950036008</v>
      </c>
      <c r="AG136" s="11" t="n">
        <f aca="false">IF(AG134=1,(Waterfall!AG7+AH136)/(1+AG135),0)</f>
        <v>379.411404222649</v>
      </c>
      <c r="AH136" s="11" t="n">
        <f aca="false">IF(AH134=1,(Waterfall!AH7+AI136)/(1+AH135),0)</f>
        <v>342.795134788646</v>
      </c>
      <c r="AI136" s="11" t="n">
        <f aca="false">IF(AI134=1,(Waterfall!AI7+AJ136)/(1+AI135),0)</f>
        <v>304.344030811592</v>
      </c>
      <c r="AJ136" s="11" t="n">
        <f aca="false">IF(AJ134=1,(Waterfall!AJ7+AK136)/(1+AJ135),0)</f>
        <v>264.778884948083</v>
      </c>
      <c r="AK136" s="11" t="n">
        <f aca="false">IF(AK134=1,(Waterfall!AK7+AL136)/(1+AK135),0)</f>
        <v>223.309355064585</v>
      </c>
      <c r="AL136" s="11" t="n">
        <f aca="false">IF(AL134=1,(Waterfall!AL7+AM136)/(1+AL135),0)</f>
        <v>180.510092071086</v>
      </c>
      <c r="AM136" s="11" t="n">
        <f aca="false">IF(AM134=1,(Waterfall!AM7+AN136)/(1+AM135),0)</f>
        <v>135.113913993511</v>
      </c>
      <c r="AN136" s="11" t="n">
        <f aca="false">IF(AN134=1,(Waterfall!AN7+AO136)/(1+AN135),0)</f>
        <v>88.3879919657977</v>
      </c>
      <c r="AO136" s="11" t="n">
        <f aca="false">IF(AO134=1,(Waterfall!AO7+AP136)/(1+AO135),0)</f>
        <v>41.8659646094579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1.32775049716612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622.819212118766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37.1109929847234</v>
      </c>
      <c r="Q140" s="11" t="n">
        <f aca="false">IF(Q134=1,Waterfall!Q7/$F$137,0)</f>
        <v>37.0150729436994</v>
      </c>
      <c r="R140" s="11" t="n">
        <f aca="false">IF(R134=1,Waterfall!R7/$F$137,0)</f>
        <v>37.4781416345043</v>
      </c>
      <c r="S140" s="11" t="n">
        <f aca="false">IF(S134=1,Waterfall!S7/$F$137,0)</f>
        <v>37.177502146507</v>
      </c>
      <c r="T140" s="11" t="n">
        <f aca="false">IF(T134=1,Waterfall!T7/$F$137,0)</f>
        <v>37.5895960727946</v>
      </c>
      <c r="U140" s="11" t="n">
        <f aca="false">IF(U134=1,Waterfall!U7/$F$137,0)</f>
        <v>37.4009385691664</v>
      </c>
      <c r="V140" s="11" t="n">
        <f aca="false">IF(V134=1,Waterfall!V7/$F$137,0)</f>
        <v>38.1185496956339</v>
      </c>
      <c r="W140" s="11" t="n">
        <f aca="false">IF(W134=1,Waterfall!W7/$F$137,0)</f>
        <v>37.8442176953062</v>
      </c>
      <c r="X140" s="11" t="n">
        <f aca="false">IF(X134=1,Waterfall!X7/$F$137,0)</f>
        <v>36.716027750507</v>
      </c>
      <c r="Y140" s="11" t="n">
        <f aca="false">IF(Y134=1,Waterfall!Y7/$F$137,0)</f>
        <v>36.3490808537155</v>
      </c>
      <c r="Z140" s="11" t="n">
        <f aca="false">IF(Z134=1,Waterfall!Z7/$F$137,0)</f>
        <v>36.6414165653858</v>
      </c>
      <c r="AA140" s="11" t="n">
        <f aca="false">IF(AA134=1,Waterfall!AA7/$F$137,0)</f>
        <v>36.3346905361643</v>
      </c>
      <c r="AB140" s="11" t="n">
        <f aca="false">IF(AB134=1,Waterfall!AB7/$F$137,0)</f>
        <v>36.7583854323606</v>
      </c>
      <c r="AC140" s="11" t="n">
        <f aca="false">IF(AC134=1,Waterfall!AC7/$F$137,0)</f>
        <v>36.5984500681893</v>
      </c>
      <c r="AD140" s="11" t="n">
        <f aca="false">IF(AD134=1,Waterfall!AD7/$F$137,0)</f>
        <v>38.0250996358719</v>
      </c>
      <c r="AE140" s="11" t="n">
        <f aca="false">IF(AE134=1,Waterfall!AE7/$F$137,0)</f>
        <v>38.0821523223738</v>
      </c>
      <c r="AF140" s="11" t="n">
        <f aca="false">IF(AF134=1,Waterfall!AF7/$F$137,0)</f>
        <v>38.1886982471561</v>
      </c>
      <c r="AG140" s="11" t="n">
        <f aca="false">IF(AG134=1,Waterfall!AG7/$F$137,0)</f>
        <v>37.9069974555953</v>
      </c>
      <c r="AH140" s="11" t="n">
        <f aca="false">IF(AH134=1,Waterfall!AH7/$F$137,0)</f>
        <v>38.3962849356647</v>
      </c>
      <c r="AI140" s="11" t="n">
        <f aca="false">IF(AI134=1,Waterfall!AI7/$F$137,0)</f>
        <v>38.0842749046052</v>
      </c>
      <c r="AJ140" s="11" t="n">
        <f aca="false">IF(AJ134=1,Waterfall!AJ7/$F$137,0)</f>
        <v>38.521938308772</v>
      </c>
      <c r="AK140" s="11" t="n">
        <f aca="false">IF(AK134=1,Waterfall!AK7/$F$137,0)</f>
        <v>38.3365599393804</v>
      </c>
      <c r="AL140" s="11" t="n">
        <f aca="false">IF(AL134=1,Waterfall!AL7/$F$137,0)</f>
        <v>39.1594982303044</v>
      </c>
      <c r="AM140" s="11" t="n">
        <f aca="false">IF(AM134=1,Waterfall!AM7/$F$137,0)</f>
        <v>38.8702164560565</v>
      </c>
      <c r="AN140" s="11" t="n">
        <f aca="false">IF(AN134=1,Waterfall!AN7/$F$137,0)</f>
        <v>37.4714352813711</v>
      </c>
      <c r="AO140" s="11" t="n">
        <f aca="false">IF(AO134=1,Waterfall!AO7/$F$137,0)</f>
        <v>32.6712840441857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617.901163194402</v>
      </c>
      <c r="R141" s="11" t="n">
        <f aca="false">IF(R134=1,IF(Time!R17=Time!$F$12,Funding!$F$25,Q141-Q142),0)</f>
        <v>601.902428740503</v>
      </c>
      <c r="S141" s="11" t="n">
        <f aca="false">IF(S134=1,IF(Time!S17=Time!$F$12,Funding!$F$25,R141-R142),0)</f>
        <v>585.118186791513</v>
      </c>
      <c r="T141" s="11" t="n">
        <f aca="false">IF(T134=1,IF(Time!T17=Time!$F$12,Funding!$F$25,S141-S142),0)</f>
        <v>567.849119267368</v>
      </c>
      <c r="U141" s="11" t="n">
        <f aca="false">IF(U134=1,IF(Time!U17=Time!$F$12,Funding!$F$25,T141-T142),0)</f>
        <v>549.789672253627</v>
      </c>
      <c r="V141" s="11" t="n">
        <f aca="false">IF(V134=1,IF(Time!V17=Time!$F$12,Funding!$F$25,U141-U142),0)</f>
        <v>531.162672436266</v>
      </c>
      <c r="W141" s="11" t="n">
        <f aca="false">IF(W134=1,IF(Time!W17=Time!$F$12,Funding!$F$25,V141-V142),0)</f>
        <v>511.312507449354</v>
      </c>
      <c r="X141" s="11" t="n">
        <f aca="false">IF(X134=1,IF(Time!X17=Time!$F$12,Funding!$F$25,W141-W142),0)</f>
        <v>490.865512838106</v>
      </c>
      <c r="Y141" s="11" t="n">
        <f aca="false">IF(Y134=1,IF(Time!Y17=Time!$F$12,Funding!$F$25,X141-X142),0)</f>
        <v>471.031921475007</v>
      </c>
      <c r="Z141" s="11" t="n">
        <f aca="false">IF(Z134=1,IF(Time!Z17=Time!$F$12,Funding!$F$25,Y141-Y142),0)</f>
        <v>451.209493926013</v>
      </c>
      <c r="AA141" s="11" t="n">
        <f aca="false">IF(AA134=1,IF(Time!AA17=Time!$F$12,Funding!$F$25,Z141-Z142),0)</f>
        <v>430.573476921823</v>
      </c>
      <c r="AB141" s="11" t="n">
        <f aca="false">IF(AB134=1,IF(Time!AB17=Time!$F$12,Funding!$F$25,AA141-AA142),0)</f>
        <v>409.345912359229</v>
      </c>
      <c r="AC141" s="11" t="n">
        <f aca="false">IF(AC134=1,IF(Time!AC17=Time!$F$12,Funding!$F$25,AB141-AB142),0)</f>
        <v>387.107932579338</v>
      </c>
      <c r="AD141" s="11" t="n">
        <f aca="false">IF(AD134=1,IF(Time!AD17=Time!$F$12,Funding!$F$25,AC141-AC142),0)</f>
        <v>364.141401848726</v>
      </c>
      <c r="AE141" s="11" t="n">
        <f aca="false">IF(AE134=1,IF(Time!AE17=Time!$F$12,Funding!$F$25,AD141-AD142),0)</f>
        <v>339.03320381138</v>
      </c>
      <c r="AF141" s="11" t="n">
        <f aca="false">IF(AF134=1,IF(Time!AF17=Time!$F$12,Funding!$F$25,AE141-AE142),0)</f>
        <v>312.846390133219</v>
      </c>
      <c r="AG141" s="11" t="n">
        <f aca="false">IF(AG134=1,IF(Time!AG17=Time!$F$12,Funding!$F$25,AF141-AF142),0)</f>
        <v>285.755045870775</v>
      </c>
      <c r="AH141" s="11" t="n">
        <f aca="false">IF(AH134=1,IF(Time!AH17=Time!$F$12,Funding!$F$25,AG141-AG142),0)</f>
        <v>258.177372571345</v>
      </c>
      <c r="AI141" s="11" t="n">
        <f aca="false">IF(AI134=1,IF(Time!AI17=Time!$F$12,Funding!$F$25,AH141-AH142),0)</f>
        <v>229.217787122782</v>
      </c>
      <c r="AJ141" s="11" t="n">
        <f aca="false">IF(AJ134=1,IF(Time!AJ17=Time!$F$12,Funding!$F$25,AI141-AI142),0)</f>
        <v>199.419157072969</v>
      </c>
      <c r="AK141" s="11" t="n">
        <f aca="false">IF(AK134=1,IF(Time!AK17=Time!$F$12,Funding!$F$25,AJ141-AJ142),0)</f>
        <v>168.18623343859</v>
      </c>
      <c r="AL141" s="11" t="n">
        <f aca="false">IF(AL134=1,IF(Time!AL17=Time!$F$12,Funding!$F$25,AK141-AK142),0)</f>
        <v>135.951816592317</v>
      </c>
      <c r="AM141" s="11" t="n">
        <f aca="false">IF(AM134=1,IF(Time!AM17=Time!$F$12,Funding!$F$25,AL141-AL142),0)</f>
        <v>101.761523932313</v>
      </c>
      <c r="AN141" s="11" t="n">
        <f aca="false">IF(AN134=1,IF(Time!AN17=Time!$F$12,Funding!$F$25,AM141-AM142),0)</f>
        <v>66.5697298961275</v>
      </c>
      <c r="AO141" s="11" t="n">
        <f aca="false">IF(AO134=1,IF(Time!AO17=Time!$F$12,Funding!$F$25,AN141-AN142),0)</f>
        <v>31.5314998554429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15.354812348372</v>
      </c>
      <c r="Q142" s="11" t="n">
        <f aca="false">Q140-Q141*Q135</f>
        <v>15.9987344538995</v>
      </c>
      <c r="R142" s="11" t="n">
        <f aca="false">R140-R141*R135</f>
        <v>16.7842419489903</v>
      </c>
      <c r="S142" s="11" t="n">
        <f aca="false">S140-S141*S135</f>
        <v>17.2690675241443</v>
      </c>
      <c r="T142" s="11" t="n">
        <f aca="false">T140-T141*T135</f>
        <v>18.0594470137413</v>
      </c>
      <c r="U142" s="11" t="n">
        <f aca="false">U140-U141*U135</f>
        <v>18.626999817361</v>
      </c>
      <c r="V142" s="11" t="n">
        <f aca="false">V140-V141*V135</f>
        <v>19.8501649869118</v>
      </c>
      <c r="W142" s="11" t="n">
        <f aca="false">W140-W141*W135</f>
        <v>20.4469946112476</v>
      </c>
      <c r="X142" s="11" t="n">
        <f aca="false">X140-X141*X135</f>
        <v>19.8335913630993</v>
      </c>
      <c r="Y142" s="11" t="n">
        <f aca="false">Y140-Y141*Y135</f>
        <v>19.8224275489936</v>
      </c>
      <c r="Z142" s="11" t="n">
        <f aca="false">Z140-Z141*Z135</f>
        <v>20.6360170041904</v>
      </c>
      <c r="AA142" s="11" t="n">
        <f aca="false">AA140-AA141*AA135</f>
        <v>21.2275645625944</v>
      </c>
      <c r="AB142" s="11" t="n">
        <f aca="false">AB140-AB141*AB135</f>
        <v>22.2379797798902</v>
      </c>
      <c r="AC142" s="11" t="n">
        <f aca="false">AC140-AC141*AC135</f>
        <v>22.9665307306121</v>
      </c>
      <c r="AD142" s="11" t="n">
        <f aca="false">AD140-AD141*AD135</f>
        <v>25.1081980373466</v>
      </c>
      <c r="AE142" s="11" t="n">
        <f aca="false">AE140-AE141*AE135</f>
        <v>26.1868136781604</v>
      </c>
      <c r="AF142" s="11" t="n">
        <f aca="false">AF140-AF141*AF135</f>
        <v>27.0913442624439</v>
      </c>
      <c r="AG142" s="11" t="n">
        <f aca="false">AG140-AG141*AG135</f>
        <v>27.5776732994301</v>
      </c>
      <c r="AH142" s="11" t="n">
        <f aca="false">AH140-AH141*AH135</f>
        <v>28.9595854485631</v>
      </c>
      <c r="AI142" s="11" t="n">
        <f aca="false">AI140-AI141*AI135</f>
        <v>29.7986300498131</v>
      </c>
      <c r="AJ142" s="11" t="n">
        <f aca="false">AJ140-AJ141*AJ135</f>
        <v>31.2329236343792</v>
      </c>
      <c r="AK142" s="11" t="n">
        <f aca="false">AK140-AK141*AK135</f>
        <v>32.2344168462732</v>
      </c>
      <c r="AL142" s="11" t="n">
        <f aca="false">AL140-AL141*AL135</f>
        <v>34.1902926600032</v>
      </c>
      <c r="AM142" s="11" t="n">
        <f aca="false">AM140-AM141*AM135</f>
        <v>35.1917940361859</v>
      </c>
      <c r="AN142" s="11" t="n">
        <f aca="false">AN140-AN141*AN135</f>
        <v>35.0382300406846</v>
      </c>
      <c r="AO142" s="11" t="n">
        <f aca="false">AO140-AO141*AO135</f>
        <v>31.531499855443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36.2731845079674</v>
      </c>
      <c r="AD9" s="11" t="n">
        <f aca="false">IF(Time!AD29=1,SUM(Funding!$J$44:$BJ$44),AC13)</f>
        <v>36.935014695287</v>
      </c>
      <c r="AE9" s="11" t="n">
        <f aca="false">IF(Time!AE29=1,SUM(Funding!$J$44:$BJ$44),AD13)</f>
        <v>36.2768151121511</v>
      </c>
      <c r="AF9" s="11" t="n">
        <f aca="false">IF(Time!AF29=1,SUM(Funding!$J$44:$BJ$44),AE13)</f>
        <v>35.4504283579917</v>
      </c>
      <c r="AG9" s="11" t="n">
        <f aca="false">IF(Time!AG29=1,SUM(Funding!$J$44:$BJ$44),AF13)</f>
        <v>34.0955674124255</v>
      </c>
      <c r="AH9" s="11" t="n">
        <f aca="false">IF(Time!AH29=1,SUM(Funding!$J$44:$BJ$44),AG13)</f>
        <v>33.2329389509202</v>
      </c>
      <c r="AI9" s="11" t="n">
        <f aca="false">IF(Time!AI29=1,SUM(Funding!$J$44:$BJ$44),AH13)</f>
        <v>31.5227731481308</v>
      </c>
      <c r="AJ9" s="11" t="n">
        <f aca="false">IF(Time!AJ29=1,SUM(Funding!$J$44:$BJ$44),AI13)</f>
        <v>29.9951240823848</v>
      </c>
      <c r="AK9" s="11" t="n">
        <f aca="false">IF(Time!AK29=1,SUM(Funding!$J$44:$BJ$44),AJ13)</f>
        <v>27.5797299898581</v>
      </c>
      <c r="AL9" s="11" t="n">
        <f aca="false">IF(Time!AL29=1,SUM(Funding!$J$44:$BJ$44),AK13)</f>
        <v>24.9763953950198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2.99616393044006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0.661830187319588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40.2420593675354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0.731564124008791</v>
      </c>
      <c r="AC12" s="11" t="n">
        <f aca="false">MAX(0,AC9-AC10-Debt!AC132)</f>
        <v>0</v>
      </c>
      <c r="AD12" s="11" t="n">
        <f aca="false">MAX(0,AD9-AD10-Debt!AD132)</f>
        <v>0.658199583135882</v>
      </c>
      <c r="AE12" s="11" t="n">
        <f aca="false">MAX(0,AE9-AE10-Debt!AE132)</f>
        <v>0.826386754159429</v>
      </c>
      <c r="AF12" s="11" t="n">
        <f aca="false">MAX(0,AF9-AF10-Debt!AF132)</f>
        <v>1.35486094556619</v>
      </c>
      <c r="AG12" s="11" t="n">
        <f aca="false">MAX(0,AG9-AG10-Debt!AG132)</f>
        <v>0.862628461505302</v>
      </c>
      <c r="AH12" s="11" t="n">
        <f aca="false">MAX(0,AH9-AH10-Debt!AH132)</f>
        <v>1.71016580278934</v>
      </c>
      <c r="AI12" s="11" t="n">
        <f aca="false">MAX(0,AI9-AI10-Debt!AI132)</f>
        <v>1.52764906574603</v>
      </c>
      <c r="AJ12" s="11" t="n">
        <f aca="false">MAX(0,AJ9-AJ10-Debt!AJ132)</f>
        <v>2.41539409252674</v>
      </c>
      <c r="AK12" s="11" t="n">
        <f aca="false">MAX(0,AK9-AK10-Debt!AK132)</f>
        <v>2.60333459483831</v>
      </c>
      <c r="AL12" s="11" t="n">
        <f aca="false">MAX(0,AL9-AL10-Debt!AL132)</f>
        <v>1.40710354174169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36.2731845079674</v>
      </c>
      <c r="AC13" s="11" t="n">
        <f aca="false">(1-Time!AC32)*(AC9-AC10+AC11-AC12)</f>
        <v>36.935014695287</v>
      </c>
      <c r="AD13" s="11" t="n">
        <f aca="false">(1-Time!AD32)*(AD9-AD10+AD11-AD12)</f>
        <v>36.2768151121511</v>
      </c>
      <c r="AE13" s="11" t="n">
        <f aca="false">(1-Time!AE32)*(AE9-AE10+AE11-AE12)</f>
        <v>35.4504283579917</v>
      </c>
      <c r="AF13" s="11" t="n">
        <f aca="false">(1-Time!AF32)*(AF9-AF10+AF11-AF12)</f>
        <v>34.0955674124255</v>
      </c>
      <c r="AG13" s="11" t="n">
        <f aca="false">(1-Time!AG32)*(AG9-AG10+AG11-AG12)</f>
        <v>33.2329389509202</v>
      </c>
      <c r="AH13" s="11" t="n">
        <f aca="false">(1-Time!AH32)*(AH9-AH10+AH11-AH12)</f>
        <v>31.5227731481308</v>
      </c>
      <c r="AI13" s="11" t="n">
        <f aca="false">(1-Time!AI32)*(AI9-AI10+AI11-AI12)</f>
        <v>29.9951240823848</v>
      </c>
      <c r="AJ13" s="11" t="n">
        <f aca="false">(1-Time!AJ32)*(AJ9-AJ10+AJ11-AJ12)</f>
        <v>27.5797299898581</v>
      </c>
      <c r="AK13" s="11" t="n">
        <f aca="false">(1-Time!AK32)*(AK9-AK10+AK11-AK12)</f>
        <v>24.9763953950198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2262.61568435127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1.70322194445222</v>
      </c>
      <c r="P7" s="11" t="n">
        <f aca="false">Operations!P79-Tax!P27-Operations!P91-Reserves!P7+Operations!P74+Operations!P92</f>
        <v>49.2741393857949</v>
      </c>
      <c r="Q7" s="11" t="n">
        <f aca="false">Operations!Q79-Tax!Q27-Operations!Q91-Reserves!Q7+Operations!Q74+Operations!Q92</f>
        <v>49.146781503637</v>
      </c>
      <c r="R7" s="11" t="n">
        <f aca="false">Operations!R79-Tax!R27-Operations!R91-Reserves!R7+Operations!R74+Operations!R92</f>
        <v>49.7616211880753</v>
      </c>
      <c r="S7" s="11" t="n">
        <f aca="false">Operations!S79-Tax!S27-Operations!S91-Reserves!S7+Operations!S74+Operations!S92</f>
        <v>49.3624469584191</v>
      </c>
      <c r="T7" s="11" t="n">
        <f aca="false">Operations!T79-Tax!T27-Operations!T91-Reserves!T7+Operations!T74+Operations!T92</f>
        <v>49.9096048739266</v>
      </c>
      <c r="U7" s="11" t="n">
        <f aca="false">Operations!U79-Tax!U27-Operations!U91-Reserves!U7+Operations!U74+Operations!U92</f>
        <v>49.6591147796902</v>
      </c>
      <c r="V7" s="11" t="n">
        <f aca="false">Operations!V79-Tax!V27-Operations!V91-Reserves!V7+Operations!V74+Operations!V92</f>
        <v>50.6119233096294</v>
      </c>
      <c r="W7" s="11" t="n">
        <f aca="false">Operations!W79-Tax!W27-Operations!W91-Reserves!W7+Operations!W74+Operations!W92</f>
        <v>50.2476788598056</v>
      </c>
      <c r="X7" s="11" t="n">
        <f aca="false">Operations!X79-Tax!X27-Operations!X91-Reserves!X7+Operations!X74+Operations!X92</f>
        <v>48.7497240997007</v>
      </c>
      <c r="Y7" s="11" t="n">
        <f aca="false">Operations!Y79-Tax!Y27-Operations!Y91-Reserves!Y7+Operations!Y74+Operations!Y92</f>
        <v>48.2625101750522</v>
      </c>
      <c r="Z7" s="11" t="n">
        <f aca="false">Operations!Z79-Tax!Z27-Operations!Z91-Reserves!Z7+Operations!Z74+Operations!Z92</f>
        <v>48.6506590615619</v>
      </c>
      <c r="AA7" s="11" t="n">
        <f aca="false">Operations!AA79-Tax!AA27-Operations!AA91-Reserves!AA7+Operations!AA74+Operations!AA92</f>
        <v>48.2434034237692</v>
      </c>
      <c r="AB7" s="11" t="n">
        <f aca="false">Operations!AB79-Tax!AB27-Operations!AB91-Reserves!AB7+Operations!AB74+Operations!AB92</f>
        <v>48.8059645328406</v>
      </c>
      <c r="AC7" s="11" t="n">
        <f aca="false">Operations!AC79-Tax!AC27-Operations!AC91-Reserves!AC7+Operations!AC74+Operations!AC92</f>
        <v>48.5936102735477</v>
      </c>
      <c r="AD7" s="11" t="n">
        <f aca="false">Operations!AD79-Tax!AD27-Operations!AD91-Reserves!AD7+Operations!AD74+Operations!AD92</f>
        <v>50.4878449463201</v>
      </c>
      <c r="AE7" s="11" t="n">
        <f aca="false">Operations!AE79-Tax!AE27-Operations!AE91-Reserves!AE7+Operations!AE74+Operations!AE92</f>
        <v>50.5635966791877</v>
      </c>
      <c r="AF7" s="11" t="n">
        <f aca="false">Operations!AF79-Tax!AF27-Operations!AF91-Reserves!AF7+Operations!AF74+Operations!AF92</f>
        <v>50.7050630837884</v>
      </c>
      <c r="AG7" s="11" t="n">
        <f aca="false">Operations!AG79-Tax!AG27-Operations!AG91-Reserves!AG7+Operations!AG74+Operations!AG92</f>
        <v>50.3310347177414</v>
      </c>
      <c r="AH7" s="11" t="n">
        <f aca="false">Operations!AH79-Tax!AH27-Operations!AH91-Reserves!AH7+Operations!AH74+Operations!AH92</f>
        <v>50.9806864126608</v>
      </c>
      <c r="AI7" s="11" t="n">
        <f aca="false">Operations!AI79-Tax!AI27-Operations!AI91-Reserves!AI7+Operations!AI74+Operations!AI92</f>
        <v>50.5664149388007</v>
      </c>
      <c r="AJ7" s="11" t="n">
        <f aca="false">Operations!AJ79-Tax!AJ27-Operations!AJ91-Reserves!AJ7+Operations!AJ74+Operations!AJ92</f>
        <v>51.1475227412747</v>
      </c>
      <c r="AK7" s="11" t="n">
        <f aca="false">Operations!AK79-Tax!AK27-Operations!AK91-Reserves!AK7+Operations!AK74+Operations!AK92</f>
        <v>50.901386519151</v>
      </c>
      <c r="AL7" s="11" t="n">
        <f aca="false">Operations!AL79-Tax!AL27-Operations!AL91-Reserves!AL7+Operations!AL74+Operations!AL92</f>
        <v>51.9940432440624</v>
      </c>
      <c r="AM7" s="11" t="n">
        <f aca="false">Operations!AM79-Tax!AM27-Operations!AM91-Reserves!AM7+Operations!AM74+Operations!AM92</f>
        <v>51.6099492244837</v>
      </c>
      <c r="AN7" s="11" t="n">
        <f aca="false">Operations!AN79-Tax!AN27-Operations!AN91-Reserves!AN7+Operations!AN74+Operations!AN92</f>
        <v>49.7527168243686</v>
      </c>
      <c r="AO7" s="11" t="n">
        <f aca="false">Operations!AO79-Tax!AO27-Operations!AO91-Reserves!AO7+Operations!AO74+Operations!AO92</f>
        <v>43.3793136327231</v>
      </c>
      <c r="AP7" s="11" t="n">
        <f aca="false">Operations!AP79-Tax!AP27-Operations!AP91-Reserves!AP7+Operations!AP74+Operations!AP92</f>
        <v>41.1521746171139</v>
      </c>
      <c r="AQ7" s="11" t="n">
        <f aca="false">Operations!AQ79-Tax!AQ27-Operations!AQ91-Reserves!AQ7+Operations!AQ74+Operations!AQ92</f>
        <v>40.2334221291795</v>
      </c>
      <c r="AR7" s="11" t="n">
        <f aca="false">Operations!AR79-Tax!AR27-Operations!AR91-Reserves!AR7+Operations!AR74+Operations!AR92</f>
        <v>40.812133420755</v>
      </c>
      <c r="AS7" s="11" t="n">
        <f aca="false">Operations!AS79-Tax!AS27-Operations!AS91-Reserves!AS7+Operations!AS74+Operations!AS92</f>
        <v>40.5424703735348</v>
      </c>
      <c r="AT7" s="11" t="n">
        <f aca="false">Operations!AT79-Tax!AT27-Operations!AT91-Reserves!AT7+Operations!AT74+Operations!AT92</f>
        <v>47.260030852876</v>
      </c>
      <c r="AU7" s="11" t="n">
        <f aca="false">Operations!AU79-Tax!AU27-Operations!AU91-Reserves!AU7+Operations!AU74+Operations!AU92</f>
        <v>42.8184762079473</v>
      </c>
      <c r="AV7" s="11" t="n">
        <f aca="false">Operations!AV79-Tax!AV27-Operations!AV91-Reserves!AV7+Operations!AV74+Operations!AV92</f>
        <v>42.9235396543305</v>
      </c>
      <c r="AW7" s="11" t="n">
        <f aca="false">Operations!AW79-Tax!AW27-Operations!AW91-Reserves!AW7+Operations!AW74+Operations!AW92</f>
        <v>42.4959632438198</v>
      </c>
      <c r="AX7" s="11" t="n">
        <f aca="false">Operations!AX79-Tax!AX27-Operations!AX91-Reserves!AX7+Operations!AX74+Operations!AX92</f>
        <v>43.1519623391802</v>
      </c>
      <c r="AY7" s="11" t="n">
        <f aca="false">Operations!AY79-Tax!AY27-Operations!AY91-Reserves!AY7+Operations!AY74+Operations!AY92</f>
        <v>42.691778014356</v>
      </c>
      <c r="AZ7" s="11" t="n">
        <f aca="false">Operations!AZ79-Tax!AZ27-Operations!AZ91-Reserves!AZ7+Operations!AZ74+Operations!AZ92</f>
        <v>43.29041271871</v>
      </c>
      <c r="BA7" s="11" t="n">
        <f aca="false">Operations!BA79-Tax!BA27-Operations!BA91-Reserves!BA7+Operations!BA74+Operations!BA92</f>
        <v>42.9880608120487</v>
      </c>
      <c r="BB7" s="11" t="n">
        <f aca="false">Operations!BB79-Tax!BB27-Operations!BB91-Reserves!BB7+Operations!BB74+Operations!BB92</f>
        <v>45.2182915838031</v>
      </c>
      <c r="BC7" s="11" t="n">
        <f aca="false">Operations!BC79-Tax!BC27-Operations!BC91-Reserves!BC7+Operations!BC74+Operations!BC92</f>
        <v>41.8144308241929</v>
      </c>
      <c r="BD7" s="11" t="n">
        <f aca="false">Operations!BD79-Tax!BD27-Operations!BD91-Reserves!BD7+Operations!BD74+Operations!BD92</f>
        <v>35.6951675310066</v>
      </c>
      <c r="BE7" s="11" t="n">
        <f aca="false">Operations!BE79-Tax!BE27-Operations!BE91-Reserves!BE7+Operations!BE74+Operations!BE92</f>
        <v>35.2587082349667</v>
      </c>
      <c r="BF7" s="11" t="n">
        <f aca="false">Operations!BF79-Tax!BF27-Operations!BF91-Reserves!BF7+Operations!BF74+Operations!BF92</f>
        <v>35.9424559019312</v>
      </c>
      <c r="BG7" s="11" t="n">
        <f aca="false">Operations!BG79-Tax!BG27-Operations!BG91-Reserves!BG7+Operations!BG74+Operations!BG92</f>
        <v>35.4712660294542</v>
      </c>
      <c r="BH7" s="11" t="n">
        <f aca="false">Operations!BH79-Tax!BH27-Operations!BH91-Reserves!BH7+Operations!BH74+Operations!BH92</f>
        <v>36.0914234938272</v>
      </c>
      <c r="BI7" s="11" t="n">
        <f aca="false">Operations!BI79-Tax!BI27-Operations!BI91-Reserves!BI7+Operations!BI74+Operations!BI92</f>
        <v>35.8251872192298</v>
      </c>
      <c r="BJ7" s="11" t="n">
        <f aca="false">Operations!BJ79-Tax!BJ27-Operations!BJ91-Reserves!BJ7+Operations!BJ74+Operations!BJ92</f>
        <v>43.8305275802351</v>
      </c>
      <c r="BK7" s="11" t="n">
        <f aca="false">Operations!BK79-Tax!BK27-Operations!BK91-Reserves!BK7+Operations!BK74+Operations!BK92</f>
        <v>38.5756693490245</v>
      </c>
      <c r="BL7" s="11" t="n">
        <f aca="false">Operations!BL79-Tax!BL27-Operations!BL91-Reserves!BL7+Operations!BL74+Operations!BL92</f>
        <v>39.3018793557663</v>
      </c>
      <c r="BM7" s="11" t="n">
        <f aca="false">Operations!BM79-Tax!BM27-Operations!BM91-Reserves!BM7+Operations!BM74+Operations!BM92</f>
        <v>35.8282755295198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1.7032219444511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1.70322194445222</v>
      </c>
      <c r="P9" s="11" t="n">
        <f aca="false">P7+P8</f>
        <v>50.977361330246</v>
      </c>
      <c r="Q9" s="11" t="n">
        <f aca="false">Q7+Q8</f>
        <v>49.146781503637</v>
      </c>
      <c r="R9" s="11" t="n">
        <f aca="false">R7+R8</f>
        <v>49.7616211880753</v>
      </c>
      <c r="S9" s="11" t="n">
        <f aca="false">S7+S8</f>
        <v>49.3624469584191</v>
      </c>
      <c r="T9" s="11" t="n">
        <f aca="false">T7+T8</f>
        <v>49.9096048739266</v>
      </c>
      <c r="U9" s="11" t="n">
        <f aca="false">U7+U8</f>
        <v>49.6591147796902</v>
      </c>
      <c r="V9" s="11" t="n">
        <f aca="false">V7+V8</f>
        <v>50.6119233096294</v>
      </c>
      <c r="W9" s="11" t="n">
        <f aca="false">W7+W8</f>
        <v>50.2476788598056</v>
      </c>
      <c r="X9" s="11" t="n">
        <f aca="false">X7+X8</f>
        <v>48.7497240997007</v>
      </c>
      <c r="Y9" s="11" t="n">
        <f aca="false">Y7+Y8</f>
        <v>48.2625101750522</v>
      </c>
      <c r="Z9" s="11" t="n">
        <f aca="false">Z7+Z8</f>
        <v>48.6506590615619</v>
      </c>
      <c r="AA9" s="11" t="n">
        <f aca="false">AA7+AA8</f>
        <v>48.2434034237692</v>
      </c>
      <c r="AB9" s="11" t="n">
        <f aca="false">AB7+AB8</f>
        <v>48.8059645328406</v>
      </c>
      <c r="AC9" s="11" t="n">
        <f aca="false">AC7+AC8</f>
        <v>48.5936102735477</v>
      </c>
      <c r="AD9" s="11" t="n">
        <f aca="false">AD7+AD8</f>
        <v>50.4878449463201</v>
      </c>
      <c r="AE9" s="11" t="n">
        <f aca="false">AE7+AE8</f>
        <v>50.5635966791877</v>
      </c>
      <c r="AF9" s="11" t="n">
        <f aca="false">AF7+AF8</f>
        <v>50.7050630837884</v>
      </c>
      <c r="AG9" s="11" t="n">
        <f aca="false">AG7+AG8</f>
        <v>50.3310347177414</v>
      </c>
      <c r="AH9" s="11" t="n">
        <f aca="false">AH7+AH8</f>
        <v>50.9806864126608</v>
      </c>
      <c r="AI9" s="11" t="n">
        <f aca="false">AI7+AI8</f>
        <v>50.5664149388007</v>
      </c>
      <c r="AJ9" s="11" t="n">
        <f aca="false">AJ7+AJ8</f>
        <v>51.1475227412747</v>
      </c>
      <c r="AK9" s="11" t="n">
        <f aca="false">AK7+AK8</f>
        <v>50.901386519151</v>
      </c>
      <c r="AL9" s="11" t="n">
        <f aca="false">AL7+AL8</f>
        <v>51.9940432440624</v>
      </c>
      <c r="AM9" s="11" t="n">
        <f aca="false">AM7+AM8</f>
        <v>51.6099492244837</v>
      </c>
      <c r="AN9" s="11" t="n">
        <f aca="false">AN7+AN8</f>
        <v>49.7527168243686</v>
      </c>
      <c r="AO9" s="11" t="n">
        <f aca="false">AO7+AO8</f>
        <v>43.3793136327231</v>
      </c>
      <c r="AP9" s="11" t="n">
        <f aca="false">AP7+AP8</f>
        <v>41.1521746171139</v>
      </c>
      <c r="AQ9" s="11" t="n">
        <f aca="false">AQ7+AQ8</f>
        <v>40.2334221291795</v>
      </c>
      <c r="AR9" s="11" t="n">
        <f aca="false">AR7+AR8</f>
        <v>40.812133420755</v>
      </c>
      <c r="AS9" s="11" t="n">
        <f aca="false">AS7+AS8</f>
        <v>40.5424703735348</v>
      </c>
      <c r="AT9" s="11" t="n">
        <f aca="false">AT7+AT8</f>
        <v>47.260030852876</v>
      </c>
      <c r="AU9" s="11" t="n">
        <f aca="false">AU7+AU8</f>
        <v>42.8184762079473</v>
      </c>
      <c r="AV9" s="11" t="n">
        <f aca="false">AV7+AV8</f>
        <v>42.9235396543305</v>
      </c>
      <c r="AW9" s="11" t="n">
        <f aca="false">AW7+AW8</f>
        <v>42.4959632438198</v>
      </c>
      <c r="AX9" s="11" t="n">
        <f aca="false">AX7+AX8</f>
        <v>43.1519623391802</v>
      </c>
      <c r="AY9" s="11" t="n">
        <f aca="false">AY7+AY8</f>
        <v>42.691778014356</v>
      </c>
      <c r="AZ9" s="11" t="n">
        <f aca="false">AZ7+AZ8</f>
        <v>43.29041271871</v>
      </c>
      <c r="BA9" s="11" t="n">
        <f aca="false">BA7+BA8</f>
        <v>42.9880608120487</v>
      </c>
      <c r="BB9" s="11" t="n">
        <f aca="false">BB7+BB8</f>
        <v>45.2182915838031</v>
      </c>
      <c r="BC9" s="11" t="n">
        <f aca="false">BC7+BC8</f>
        <v>41.8144308241929</v>
      </c>
      <c r="BD9" s="11" t="n">
        <f aca="false">BD7+BD8</f>
        <v>35.6951675310066</v>
      </c>
      <c r="BE9" s="11" t="n">
        <f aca="false">BE7+BE8</f>
        <v>35.2587082349667</v>
      </c>
      <c r="BF9" s="11" t="n">
        <f aca="false">BF7+BF8</f>
        <v>35.9424559019312</v>
      </c>
      <c r="BG9" s="11" t="n">
        <f aca="false">BG7+BG8</f>
        <v>35.4712660294542</v>
      </c>
      <c r="BH9" s="11" t="n">
        <f aca="false">BH7+BH8</f>
        <v>36.0914234938272</v>
      </c>
      <c r="BI9" s="11" t="n">
        <f aca="false">BI7+BI8</f>
        <v>35.8251872192298</v>
      </c>
      <c r="BJ9" s="11" t="n">
        <f aca="false">BJ7+BJ8</f>
        <v>43.8305275802351</v>
      </c>
      <c r="BK9" s="11" t="n">
        <f aca="false">BK7+BK8</f>
        <v>38.5756693490245</v>
      </c>
      <c r="BL9" s="11" t="n">
        <f aca="false">BL7+BL8</f>
        <v>39.3018793557663</v>
      </c>
      <c r="BM9" s="11" t="n">
        <f aca="false">BM7+BM8</f>
        <v>35.8282755295198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856.951202098203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36.4172054030019</v>
      </c>
      <c r="AC10" s="11" t="n">
        <f aca="false">Debt!AC121+Debt!AC117</f>
        <v>35.5566053990983</v>
      </c>
      <c r="AD10" s="11" t="n">
        <f aca="false">Debt!AD121+Debt!AD117</f>
        <v>36.1947955586994</v>
      </c>
      <c r="AE10" s="11" t="n">
        <f aca="false">Debt!AE121+Debt!AE117</f>
        <v>35.3240352970206</v>
      </c>
      <c r="AF10" s="11" t="n">
        <f aca="false">Debt!AF121+Debt!AF117</f>
        <v>34.3412412793165</v>
      </c>
      <c r="AG10" s="11" t="n">
        <f aca="false">Debt!AG121+Debt!AG117</f>
        <v>32.7613930020711</v>
      </c>
      <c r="AH10" s="11" t="n">
        <f aca="false">Debt!AH121+Debt!AH117</f>
        <v>31.6846738796716</v>
      </c>
      <c r="AI10" s="11" t="n">
        <f aca="false">Debt!AI121+Debt!AI117</f>
        <v>29.5665300514446</v>
      </c>
      <c r="AJ10" s="11" t="n">
        <f aca="false">Debt!AJ121+Debt!AJ117</f>
        <v>27.5645716619754</v>
      </c>
      <c r="AK10" s="11" t="n">
        <f aca="false">Debt!AK121+Debt!AK117</f>
        <v>24.281988622148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1.70322194445222</v>
      </c>
      <c r="P13" s="11" t="n">
        <f aca="false">MAX(0,P9-P10)</f>
        <v>13.7314658931495</v>
      </c>
      <c r="Q13" s="11" t="n">
        <f aca="false">MAX(0,Q9-Q10)</f>
        <v>11.9897650484913</v>
      </c>
      <c r="R13" s="11" t="n">
        <f aca="false">MAX(0,R9-R10)</f>
        <v>12.1368361003973</v>
      </c>
      <c r="S13" s="11" t="n">
        <f aca="false">MAX(0,S9-S10)</f>
        <v>12.0291344658621</v>
      </c>
      <c r="T13" s="11" t="n">
        <f aca="false">MAX(0,T9-T10)</f>
        <v>12.1583870921788</v>
      </c>
      <c r="U13" s="11" t="n">
        <f aca="false">MAX(0,U9-U10)</f>
        <v>12.0884220248374</v>
      </c>
      <c r="V13" s="11" t="n">
        <f aca="false">MAX(0,V9-V10)</f>
        <v>12.3240030744711</v>
      </c>
      <c r="W13" s="11" t="n">
        <f aca="false">MAX(0,W9-W10)</f>
        <v>12.2244514339358</v>
      </c>
      <c r="X13" s="11" t="n">
        <f aca="false">MAX(0,X9-X10)</f>
        <v>11.8229290251113</v>
      </c>
      <c r="Y13" s="11" t="n">
        <f aca="false">MAX(0,Y9-Y10)</f>
        <v>11.692118130507</v>
      </c>
      <c r="Z13" s="11" t="n">
        <f aca="false">MAX(0,Z9-Z10)</f>
        <v>11.7792959530478</v>
      </c>
      <c r="AA13" s="11" t="n">
        <f aca="false">MAX(0,AA9-AA10)</f>
        <v>11.6691160689147</v>
      </c>
      <c r="AB13" s="11" t="n">
        <f aca="false">MAX(0,AB9-AB10)</f>
        <v>12.3887591298387</v>
      </c>
      <c r="AC13" s="11" t="n">
        <f aca="false">MAX(0,AC9-AC10)</f>
        <v>13.0370048744494</v>
      </c>
      <c r="AD13" s="11" t="n">
        <f aca="false">MAX(0,AD9-AD10)</f>
        <v>14.2930493876207</v>
      </c>
      <c r="AE13" s="11" t="n">
        <f aca="false">MAX(0,AE9-AE10)</f>
        <v>15.2395613821671</v>
      </c>
      <c r="AF13" s="11" t="n">
        <f aca="false">MAX(0,AF9-AF10)</f>
        <v>16.363821804472</v>
      </c>
      <c r="AG13" s="11" t="n">
        <f aca="false">MAX(0,AG9-AG10)</f>
        <v>17.5696417156703</v>
      </c>
      <c r="AH13" s="11" t="n">
        <f aca="false">MAX(0,AH9-AH10)</f>
        <v>19.2960125329892</v>
      </c>
      <c r="AI13" s="11" t="n">
        <f aca="false">MAX(0,AI9-AI10)</f>
        <v>20.9998848873562</v>
      </c>
      <c r="AJ13" s="11" t="n">
        <f aca="false">MAX(0,AJ9-AJ10)</f>
        <v>23.5829510792992</v>
      </c>
      <c r="AK13" s="11" t="n">
        <f aca="false">MAX(0,AK9-AK10)</f>
        <v>26.619397897003</v>
      </c>
      <c r="AL13" s="11" t="n">
        <f aca="false">MAX(0,AL9-AL10)</f>
        <v>28.2800034086661</v>
      </c>
      <c r="AM13" s="11" t="n">
        <f aca="false">MAX(0,AM9-AM10)</f>
        <v>28.0406573712056</v>
      </c>
      <c r="AN13" s="11" t="n">
        <f aca="false">MAX(0,AN9-AN10)</f>
        <v>30.6206995695044</v>
      </c>
      <c r="AO13" s="11" t="n">
        <f aca="false">MAX(0,AO9-AO10)</f>
        <v>24.4734058851149</v>
      </c>
      <c r="AP13" s="11" t="n">
        <f aca="false">MAX(0,AP9-AP10)</f>
        <v>41.1521746171139</v>
      </c>
      <c r="AQ13" s="11" t="n">
        <f aca="false">MAX(0,AQ9-AQ10)</f>
        <v>40.2334221291795</v>
      </c>
      <c r="AR13" s="11" t="n">
        <f aca="false">MAX(0,AR9-AR10)</f>
        <v>40.812133420755</v>
      </c>
      <c r="AS13" s="11" t="n">
        <f aca="false">MAX(0,AS9-AS10)</f>
        <v>40.5424703735348</v>
      </c>
      <c r="AT13" s="11" t="n">
        <f aca="false">MAX(0,AT9-AT10)</f>
        <v>47.260030852876</v>
      </c>
      <c r="AU13" s="11" t="n">
        <f aca="false">MAX(0,AU9-AU10)</f>
        <v>42.8184762079473</v>
      </c>
      <c r="AV13" s="11" t="n">
        <f aca="false">MAX(0,AV9-AV10)</f>
        <v>42.9235396543305</v>
      </c>
      <c r="AW13" s="11" t="n">
        <f aca="false">MAX(0,AW9-AW10)</f>
        <v>42.4959632438198</v>
      </c>
      <c r="AX13" s="11" t="n">
        <f aca="false">MAX(0,AX9-AX10)</f>
        <v>43.1519623391802</v>
      </c>
      <c r="AY13" s="11" t="n">
        <f aca="false">MAX(0,AY9-AY10)</f>
        <v>42.691778014356</v>
      </c>
      <c r="AZ13" s="11" t="n">
        <f aca="false">MAX(0,AZ9-AZ10)</f>
        <v>43.29041271871</v>
      </c>
      <c r="BA13" s="11" t="n">
        <f aca="false">MAX(0,BA9-BA10)</f>
        <v>42.9880608120487</v>
      </c>
      <c r="BB13" s="11" t="n">
        <f aca="false">MAX(0,BB9-BB10)</f>
        <v>45.2182915838031</v>
      </c>
      <c r="BC13" s="11" t="n">
        <f aca="false">MAX(0,BC9-BC10)</f>
        <v>41.8144308241929</v>
      </c>
      <c r="BD13" s="11" t="n">
        <f aca="false">MAX(0,BD9-BD10)</f>
        <v>35.6951675310066</v>
      </c>
      <c r="BE13" s="11" t="n">
        <f aca="false">MAX(0,BE9-BE10)</f>
        <v>35.2587082349667</v>
      </c>
      <c r="BF13" s="11" t="n">
        <f aca="false">MAX(0,BF9-BF10)</f>
        <v>35.9424559019312</v>
      </c>
      <c r="BG13" s="11" t="n">
        <f aca="false">MAX(0,BG9-BG10)</f>
        <v>35.4712660294542</v>
      </c>
      <c r="BH13" s="11" t="n">
        <f aca="false">MAX(0,BH9-BH10)</f>
        <v>36.0914234938272</v>
      </c>
      <c r="BI13" s="11" t="n">
        <f aca="false">MAX(0,BI9-BI10)</f>
        <v>35.8251872192298</v>
      </c>
      <c r="BJ13" s="11" t="n">
        <f aca="false">MAX(0,BJ9-BJ10)</f>
        <v>43.8305275802351</v>
      </c>
      <c r="BK13" s="11" t="n">
        <f aca="false">MAX(0,BK9-BK10)</f>
        <v>38.5756693490245</v>
      </c>
      <c r="BL13" s="11" t="n">
        <f aca="false">MAX(0,BL9-BL10)</f>
        <v>39.3018793557663</v>
      </c>
      <c r="BM13" s="11" t="n">
        <f aca="false">MAX(0,BM9-BM10)</f>
        <v>35.8282755295198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1.7032219444511</v>
      </c>
      <c r="P14" s="11" t="n">
        <f aca="false">P13-Reserves!P11+Reserves!P12</f>
        <v>13.8203448751002</v>
      </c>
      <c r="Q14" s="11" t="n">
        <f aca="false">Q13-Reserves!Q11+Reserves!Q12</f>
        <v>11.5219964159591</v>
      </c>
      <c r="R14" s="11" t="n">
        <f aca="false">R13-Reserves!R11+Reserves!R12</f>
        <v>12.4283086955183</v>
      </c>
      <c r="S14" s="11" t="n">
        <f aca="false">S13-Reserves!S11+Reserves!S12</f>
        <v>11.6112291766713</v>
      </c>
      <c r="T14" s="11" t="n">
        <f aca="false">T13-Reserves!T11+Reserves!T12</f>
        <v>12.3389121190739</v>
      </c>
      <c r="U14" s="11" t="n">
        <f aca="false">U13-Reserves!U11+Reserves!U12</f>
        <v>11.3711945445318</v>
      </c>
      <c r="V14" s="11" t="n">
        <f aca="false">V13-Reserves!V11+Reserves!V12</f>
        <v>12.5886958837596</v>
      </c>
      <c r="W14" s="11" t="n">
        <f aca="false">W13-Reserves!W11+Reserves!W12</f>
        <v>13.3208837852162</v>
      </c>
      <c r="X14" s="11" t="n">
        <f aca="false">X13-Reserves!X11+Reserves!X12</f>
        <v>12.1793320551556</v>
      </c>
      <c r="Y14" s="11" t="n">
        <f aca="false">Y13-Reserves!Y11+Reserves!Y12</f>
        <v>11.3911470665381</v>
      </c>
      <c r="Z14" s="11" t="n">
        <f aca="false">Z13-Reserves!Z11+Reserves!Z12</f>
        <v>12.0763717067075</v>
      </c>
      <c r="AA14" s="11" t="n">
        <f aca="false">AA13-Reserves!AA11+Reserves!AA12</f>
        <v>11.238654791793</v>
      </c>
      <c r="AB14" s="11" t="n">
        <f aca="false">AB13-Reserves!AB11+Reserves!AB12</f>
        <v>13.1203232538475</v>
      </c>
      <c r="AC14" s="11" t="n">
        <f aca="false">AC13-Reserves!AC11+Reserves!AC12</f>
        <v>12.3751746871298</v>
      </c>
      <c r="AD14" s="11" t="n">
        <f aca="false">AD13-Reserves!AD11+Reserves!AD12</f>
        <v>14.9512489707566</v>
      </c>
      <c r="AE14" s="11" t="n">
        <f aca="false">AE13-Reserves!AE11+Reserves!AE12</f>
        <v>16.0659481363265</v>
      </c>
      <c r="AF14" s="11" t="n">
        <f aca="false">AF13-Reserves!AF11+Reserves!AF12</f>
        <v>17.7186827500382</v>
      </c>
      <c r="AG14" s="11" t="n">
        <f aca="false">AG13-Reserves!AG11+Reserves!AG12</f>
        <v>18.4322701771756</v>
      </c>
      <c r="AH14" s="11" t="n">
        <f aca="false">AH13-Reserves!AH11+Reserves!AH12</f>
        <v>21.0061783357785</v>
      </c>
      <c r="AI14" s="11" t="n">
        <f aca="false">AI13-Reserves!AI11+Reserves!AI12</f>
        <v>22.5275339531022</v>
      </c>
      <c r="AJ14" s="11" t="n">
        <f aca="false">AJ13-Reserves!AJ11+Reserves!AJ12</f>
        <v>25.9983451718259</v>
      </c>
      <c r="AK14" s="11" t="n">
        <f aca="false">AK13-Reserves!AK11+Reserves!AK12</f>
        <v>29.2227324918413</v>
      </c>
      <c r="AL14" s="11" t="n">
        <f aca="false">AL13-Reserves!AL11+Reserves!AL12</f>
        <v>29.6871069504077</v>
      </c>
      <c r="AM14" s="11" t="n">
        <f aca="false">AM13-Reserves!AM11+Reserves!AM12</f>
        <v>32.4779319696195</v>
      </c>
      <c r="AN14" s="11" t="n">
        <f aca="false">AN13-Reserves!AN11+Reserves!AN12</f>
        <v>30.8468090767604</v>
      </c>
      <c r="AO14" s="11" t="n">
        <f aca="false">AO13-Reserves!AO11+Reserves!AO12</f>
        <v>43.3793136327231</v>
      </c>
      <c r="AP14" s="11" t="n">
        <f aca="false">AP13-Reserves!AP11+Reserves!AP12</f>
        <v>41.1521746171139</v>
      </c>
      <c r="AQ14" s="11" t="n">
        <f aca="false">AQ13-Reserves!AQ11+Reserves!AQ12</f>
        <v>40.2334221291795</v>
      </c>
      <c r="AR14" s="11" t="n">
        <f aca="false">AR13-Reserves!AR11+Reserves!AR12</f>
        <v>40.812133420755</v>
      </c>
      <c r="AS14" s="11" t="n">
        <f aca="false">AS13-Reserves!AS11+Reserves!AS12</f>
        <v>40.5424703735348</v>
      </c>
      <c r="AT14" s="11" t="n">
        <f aca="false">AT13-Reserves!AT11+Reserves!AT12</f>
        <v>47.260030852876</v>
      </c>
      <c r="AU14" s="11" t="n">
        <f aca="false">AU13-Reserves!AU11+Reserves!AU12</f>
        <v>42.8184762079473</v>
      </c>
      <c r="AV14" s="11" t="n">
        <f aca="false">AV13-Reserves!AV11+Reserves!AV12</f>
        <v>42.9235396543305</v>
      </c>
      <c r="AW14" s="11" t="n">
        <f aca="false">AW13-Reserves!AW11+Reserves!AW12</f>
        <v>42.4959632438198</v>
      </c>
      <c r="AX14" s="11" t="n">
        <f aca="false">AX13-Reserves!AX11+Reserves!AX12</f>
        <v>43.1519623391802</v>
      </c>
      <c r="AY14" s="11" t="n">
        <f aca="false">AY13-Reserves!AY11+Reserves!AY12</f>
        <v>42.691778014356</v>
      </c>
      <c r="AZ14" s="11" t="n">
        <f aca="false">AZ13-Reserves!AZ11+Reserves!AZ12</f>
        <v>43.29041271871</v>
      </c>
      <c r="BA14" s="11" t="n">
        <f aca="false">BA13-Reserves!BA11+Reserves!BA12</f>
        <v>42.9880608120487</v>
      </c>
      <c r="BB14" s="11" t="n">
        <f aca="false">BB13-Reserves!BB11+Reserves!BB12</f>
        <v>45.2182915838031</v>
      </c>
      <c r="BC14" s="11" t="n">
        <f aca="false">BC13-Reserves!BC11+Reserves!BC12</f>
        <v>41.8144308241929</v>
      </c>
      <c r="BD14" s="11" t="n">
        <f aca="false">BD13-Reserves!BD11+Reserves!BD12</f>
        <v>35.6951675310066</v>
      </c>
      <c r="BE14" s="11" t="n">
        <f aca="false">BE13-Reserves!BE11+Reserves!BE12</f>
        <v>35.2587082349667</v>
      </c>
      <c r="BF14" s="11" t="n">
        <f aca="false">BF13-Reserves!BF11+Reserves!BF12</f>
        <v>35.9424559019312</v>
      </c>
      <c r="BG14" s="11" t="n">
        <f aca="false">BG13-Reserves!BG11+Reserves!BG12</f>
        <v>35.4712660294542</v>
      </c>
      <c r="BH14" s="11" t="n">
        <f aca="false">BH13-Reserves!BH11+Reserves!BH12</f>
        <v>36.0914234938272</v>
      </c>
      <c r="BI14" s="11" t="n">
        <f aca="false">BI13-Reserves!BI11+Reserves!BI12</f>
        <v>35.8251872192298</v>
      </c>
      <c r="BJ14" s="11" t="n">
        <f aca="false">BJ13-Reserves!BJ11+Reserves!BJ12</f>
        <v>43.8305275802351</v>
      </c>
      <c r="BK14" s="11" t="n">
        <f aca="false">BK13-Reserves!BK11+Reserves!BK12</f>
        <v>38.5756693490245</v>
      </c>
      <c r="BL14" s="11" t="n">
        <f aca="false">BL13-Reserves!BL11+Reserves!BL12</f>
        <v>39.3018793557663</v>
      </c>
      <c r="BM14" s="11" t="n">
        <f aca="false">BM13-Reserves!BM11+Reserves!BM12</f>
        <v>35.8282755295198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1.7032219444511</v>
      </c>
      <c r="P15" s="11" t="n">
        <f aca="false">P14-Reserves!P14+Reserves!P15</f>
        <v>13.8203448751002</v>
      </c>
      <c r="Q15" s="11" t="n">
        <f aca="false">Q14-Reserves!Q14+Reserves!Q15</f>
        <v>11.5219964159591</v>
      </c>
      <c r="R15" s="11" t="n">
        <f aca="false">R14-Reserves!R14+Reserves!R15</f>
        <v>12.4283086955183</v>
      </c>
      <c r="S15" s="11" t="n">
        <f aca="false">S14-Reserves!S14+Reserves!S15</f>
        <v>11.6112291766713</v>
      </c>
      <c r="T15" s="11" t="n">
        <f aca="false">T14-Reserves!T14+Reserves!T15</f>
        <v>12.3389121190739</v>
      </c>
      <c r="U15" s="11" t="n">
        <f aca="false">U14-Reserves!U14+Reserves!U15</f>
        <v>11.3711945445318</v>
      </c>
      <c r="V15" s="11" t="n">
        <f aca="false">V14-Reserves!V14+Reserves!V15</f>
        <v>12.5886958837596</v>
      </c>
      <c r="W15" s="11" t="n">
        <f aca="false">W14-Reserves!W14+Reserves!W15</f>
        <v>13.3208837852162</v>
      </c>
      <c r="X15" s="11" t="n">
        <f aca="false">X14-Reserves!X14+Reserves!X15</f>
        <v>12.1793320551556</v>
      </c>
      <c r="Y15" s="11" t="n">
        <f aca="false">Y14-Reserves!Y14+Reserves!Y15</f>
        <v>11.3911470665381</v>
      </c>
      <c r="Z15" s="11" t="n">
        <f aca="false">Z14-Reserves!Z14+Reserves!Z15</f>
        <v>12.0763717067075</v>
      </c>
      <c r="AA15" s="11" t="n">
        <f aca="false">AA14-Reserves!AA14+Reserves!AA15</f>
        <v>11.238654791793</v>
      </c>
      <c r="AB15" s="11" t="n">
        <f aca="false">AB14-Reserves!AB14+Reserves!AB15</f>
        <v>13.1203232538475</v>
      </c>
      <c r="AC15" s="11" t="n">
        <f aca="false">AC14-Reserves!AC14+Reserves!AC15</f>
        <v>12.3751746871298</v>
      </c>
      <c r="AD15" s="11" t="n">
        <f aca="false">AD14-Reserves!AD14+Reserves!AD15</f>
        <v>14.9512489707566</v>
      </c>
      <c r="AE15" s="11" t="n">
        <f aca="false">AE14-Reserves!AE14+Reserves!AE15</f>
        <v>16.0659481363265</v>
      </c>
      <c r="AF15" s="11" t="n">
        <f aca="false">AF14-Reserves!AF14+Reserves!AF15</f>
        <v>17.7186827500382</v>
      </c>
      <c r="AG15" s="11" t="n">
        <f aca="false">AG14-Reserves!AG14+Reserves!AG15</f>
        <v>18.4322701771756</v>
      </c>
      <c r="AH15" s="11" t="n">
        <f aca="false">AH14-Reserves!AH14+Reserves!AH15</f>
        <v>21.0061783357785</v>
      </c>
      <c r="AI15" s="11" t="n">
        <f aca="false">AI14-Reserves!AI14+Reserves!AI15</f>
        <v>22.5275339531022</v>
      </c>
      <c r="AJ15" s="11" t="n">
        <f aca="false">AJ14-Reserves!AJ14+Reserves!AJ15</f>
        <v>25.9983451718259</v>
      </c>
      <c r="AK15" s="11" t="n">
        <f aca="false">AK14-Reserves!AK14+Reserves!AK15</f>
        <v>29.2227324918413</v>
      </c>
      <c r="AL15" s="11" t="n">
        <f aca="false">AL14-Reserves!AL14+Reserves!AL15</f>
        <v>29.6871069504077</v>
      </c>
      <c r="AM15" s="11" t="n">
        <f aca="false">AM14-Reserves!AM14+Reserves!AM15</f>
        <v>32.4779319696195</v>
      </c>
      <c r="AN15" s="11" t="n">
        <f aca="false">AN14-Reserves!AN14+Reserves!AN15</f>
        <v>30.8468090767604</v>
      </c>
      <c r="AO15" s="11" t="n">
        <f aca="false">AO14-Reserves!AO14+Reserves!AO15</f>
        <v>43.3793136327231</v>
      </c>
      <c r="AP15" s="11" t="n">
        <f aca="false">AP14-Reserves!AP14+Reserves!AP15</f>
        <v>41.1521746171139</v>
      </c>
      <c r="AQ15" s="11" t="n">
        <f aca="false">AQ14-Reserves!AQ14+Reserves!AQ15</f>
        <v>40.2334221291795</v>
      </c>
      <c r="AR15" s="11" t="n">
        <f aca="false">AR14-Reserves!AR14+Reserves!AR15</f>
        <v>40.812133420755</v>
      </c>
      <c r="AS15" s="11" t="n">
        <f aca="false">AS14-Reserves!AS14+Reserves!AS15</f>
        <v>40.5424703735348</v>
      </c>
      <c r="AT15" s="11" t="n">
        <f aca="false">AT14-Reserves!AT14+Reserves!AT15</f>
        <v>47.260030852876</v>
      </c>
      <c r="AU15" s="11" t="n">
        <f aca="false">AU14-Reserves!AU14+Reserves!AU15</f>
        <v>42.8184762079473</v>
      </c>
      <c r="AV15" s="11" t="n">
        <f aca="false">AV14-Reserves!AV14+Reserves!AV15</f>
        <v>42.9235396543305</v>
      </c>
      <c r="AW15" s="11" t="n">
        <f aca="false">AW14-Reserves!AW14+Reserves!AW15</f>
        <v>42.4959632438198</v>
      </c>
      <c r="AX15" s="11" t="n">
        <f aca="false">AX14-Reserves!AX14+Reserves!AX15</f>
        <v>43.1519623391802</v>
      </c>
      <c r="AY15" s="11" t="n">
        <f aca="false">AY14-Reserves!AY14+Reserves!AY15</f>
        <v>42.691778014356</v>
      </c>
      <c r="AZ15" s="11" t="n">
        <f aca="false">AZ14-Reserves!AZ14+Reserves!AZ15</f>
        <v>43.29041271871</v>
      </c>
      <c r="BA15" s="11" t="n">
        <f aca="false">BA14-Reserves!BA14+Reserves!BA15</f>
        <v>42.49309242544</v>
      </c>
      <c r="BB15" s="11" t="n">
        <f aca="false">BB14-Reserves!BB14+Reserves!BB15</f>
        <v>43.7171413291587</v>
      </c>
      <c r="BC15" s="11" t="n">
        <f aca="false">BC14-Reserves!BC14+Reserves!BC15</f>
        <v>40.2968577508507</v>
      </c>
      <c r="BD15" s="11" t="n">
        <f aca="false">BD14-Reserves!BD14+Reserves!BD15</f>
        <v>34.16099197076</v>
      </c>
      <c r="BE15" s="11" t="n">
        <f aca="false">BE14-Reserves!BE14+Reserves!BE15</f>
        <v>33.707748554011</v>
      </c>
      <c r="BF15" s="11" t="n">
        <f aca="false">BF14-Reserves!BF14+Reserves!BF15</f>
        <v>34.3745284793592</v>
      </c>
      <c r="BG15" s="11" t="n">
        <f aca="false">BG14-Reserves!BG14+Reserves!BG15</f>
        <v>33.8861852355174</v>
      </c>
      <c r="BH15" s="11" t="n">
        <f aca="false">BH14-Reserves!BH14+Reserves!BH15</f>
        <v>34.4890016679586</v>
      </c>
      <c r="BI15" s="11" t="n">
        <f aca="false">BI14-Reserves!BI14+Reserves!BI15</f>
        <v>34.2052346478264</v>
      </c>
      <c r="BJ15" s="11" t="n">
        <f aca="false">BJ14-Reserves!BJ14+Reserves!BJ15</f>
        <v>42.1928524741974</v>
      </c>
      <c r="BK15" s="11" t="n">
        <f aca="false">BK14-Reserves!BK14+Reserves!BK15</f>
        <v>36.9200778210503</v>
      </c>
      <c r="BL15" s="11" t="n">
        <f aca="false">BL14-Reserves!BL14+Reserves!BL15</f>
        <v>37.6281753973958</v>
      </c>
      <c r="BM15" s="11" t="n">
        <f aca="false">BM14-Reserves!BM14+Reserves!BM15</f>
        <v>53.7694556914808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1.32294146261063</v>
      </c>
      <c r="Q17" s="6" t="n">
        <f aca="false">IF(Debt!Q121&gt;0.000000001,Q7/Debt!Q121,0)</f>
        <v>1.3226783577461</v>
      </c>
      <c r="R17" s="6" t="n">
        <f aca="false">IF(Debt!R121&gt;0.000000001,R7/Debt!R121,0)</f>
        <v>1.32257555949129</v>
      </c>
      <c r="S17" s="6" t="n">
        <f aca="false">IF(Debt!S121&gt;0.000000001,S7/Debt!S121,0)</f>
        <v>1.32220913877547</v>
      </c>
      <c r="T17" s="6" t="n">
        <f aca="false">IF(Debt!T121&gt;0.000000001,T7/Debt!T121,0)</f>
        <v>1.32206608969465</v>
      </c>
      <c r="U17" s="6" t="n">
        <f aca="false">IF(Debt!U121&gt;0.000000001,U7/Debt!U121,0)</f>
        <v>1.32175137423507</v>
      </c>
      <c r="V17" s="6" t="n">
        <f aca="false">IF(Debt!V121&gt;0.000000001,V7/Debt!V121,0)</f>
        <v>1.3218770567526</v>
      </c>
      <c r="W17" s="6" t="n">
        <f aca="false">IF(Debt!W121&gt;0.000000001,W7/Debt!W121,0)</f>
        <v>1.32149957437907</v>
      </c>
      <c r="X17" s="6" t="n">
        <f aca="false">IF(Debt!X121&gt;0.000000001,X7/Debt!X121,0)</f>
        <v>1.32017208645456</v>
      </c>
      <c r="Y17" s="6" t="n">
        <f aca="false">IF(Debt!Y121&gt;0.000000001,Y7/Debt!Y121,0)</f>
        <v>1.31971541667547</v>
      </c>
      <c r="Z17" s="6" t="n">
        <f aca="false">IF(Debt!Z121&gt;0.000000001,Z7/Debt!Z121,0)</f>
        <v>1.31947004287259</v>
      </c>
      <c r="AA17" s="6" t="n">
        <f aca="false">IF(Debt!AA121&gt;0.000000001,AA7/Debt!AA121,0)</f>
        <v>1.31905245222409</v>
      </c>
      <c r="AB17" s="6" t="n">
        <f aca="false">IF(Debt!AB121&gt;0.000000001,AB7/Debt!AB121,0)</f>
        <v>1.34018972605782</v>
      </c>
      <c r="AC17" s="6" t="n">
        <f aca="false">IF(Debt!AC121&gt;0.000000001,AC7/Debt!AC121,0)</f>
        <v>1.36665493592873</v>
      </c>
      <c r="AD17" s="6" t="n">
        <f aca="false">IF(Debt!AD121&gt;0.000000001,AD7/Debt!AD121,0)</f>
        <v>1.39489239176502</v>
      </c>
      <c r="AE17" s="6" t="n">
        <f aca="false">IF(Debt!AE121&gt;0.000000001,AE7/Debt!AE121,0)</f>
        <v>1.43142187052034</v>
      </c>
      <c r="AF17" s="6" t="n">
        <f aca="false">IF(Debt!AF121&gt;0.000000001,AF7/Debt!AF121,0)</f>
        <v>1.47650641604291</v>
      </c>
      <c r="AG17" s="6" t="n">
        <f aca="false">IF(Debt!AG121&gt;0.000000001,AG7/Debt!AG121,0)</f>
        <v>1.53629104582212</v>
      </c>
      <c r="AH17" s="6" t="n">
        <f aca="false">IF(Debt!AH121&gt;0.000000001,AH7/Debt!AH121,0)</f>
        <v>1.60900145623305</v>
      </c>
      <c r="AI17" s="6" t="n">
        <f aca="false">IF(Debt!AI121&gt;0.000000001,AI7/Debt!AI121,0)</f>
        <v>1.71025868949847</v>
      </c>
      <c r="AJ17" s="6" t="n">
        <f aca="false">IF(Debt!AJ121&gt;0.000000001,AJ7/Debt!AJ121,0)</f>
        <v>1.85555296735596</v>
      </c>
      <c r="AK17" s="6" t="n">
        <f aca="false">IF(Debt!AK121&gt;0.000000001,AK7/Debt!AK121,0)</f>
        <v>2.09626103163244</v>
      </c>
      <c r="AL17" s="6" t="n">
        <f aca="false">IF(Debt!AL121&gt;0.000000001,AL7/Debt!AL121,0)</f>
        <v>2.19254262896423</v>
      </c>
      <c r="AM17" s="6" t="n">
        <f aca="false">IF(Debt!AM121&gt;0.000000001,AM7/Debt!AM121,0)</f>
        <v>2.18971149179035</v>
      </c>
      <c r="AN17" s="6" t="n">
        <f aca="false">IF(Debt!AN121&gt;0.000000001,AN7/Debt!AN121,0)</f>
        <v>2.60049508431837</v>
      </c>
      <c r="AO17" s="6" t="n">
        <f aca="false">IF(Debt!AO121&gt;0.000000001,AO7/Debt!AO121,0)</f>
        <v>2.29448457126906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1.32294146261063</v>
      </c>
      <c r="Q18" s="6" t="n">
        <f aca="false">IF(Debt!Q121&gt;0.000000001,IF(Debt!P121&gt;0.000000001,(Q7+P7)/(Debt!Q121+Debt!P121),Q17),0)</f>
        <v>1.32281006732606</v>
      </c>
      <c r="R18" s="6" t="n">
        <f aca="false">IF(Debt!R121&gt;0.000000001,IF(Debt!Q121&gt;0.000000001,(R7+Q7)/(Debt!R121+Debt!Q121),R17),0)</f>
        <v>1.32262663711134</v>
      </c>
      <c r="S18" s="6" t="n">
        <f aca="false">IF(Debt!S121&gt;0.000000001,IF(Debt!R121&gt;0.000000001,(S7+R7)/(Debt!S121+Debt!R121),S17),0)</f>
        <v>1.32239306154205</v>
      </c>
      <c r="T18" s="6" t="n">
        <f aca="false">IF(Debt!T121&gt;0.000000001,IF(Debt!S121&gt;0.000000001,(T7+S7)/(Debt!T121+Debt!S121),T17),0)</f>
        <v>1.32213721614395</v>
      </c>
      <c r="U18" s="6" t="n">
        <f aca="false">IF(Debt!U121&gt;0.000000001,IF(Debt!T121&gt;0.000000001,(U7+T7)/(Debt!U121+Debt!T121),U17),0)</f>
        <v>1.32190910910623</v>
      </c>
      <c r="V18" s="6" t="n">
        <f aca="false">IF(Debt!V121&gt;0.000000001,IF(Debt!U121&gt;0.000000001,(V7+U7)/(Debt!V121+Debt!U121),V17),0)</f>
        <v>1.32181480964493</v>
      </c>
      <c r="W18" s="6" t="n">
        <f aca="false">IF(Debt!W121&gt;0.000000001,IF(Debt!V121&gt;0.000000001,(W7+V7)/(Debt!W121+Debt!V121),W17),0)</f>
        <v>1.32168897023342</v>
      </c>
      <c r="X18" s="6" t="n">
        <f aca="false">IF(Debt!X121&gt;0.000000001,IF(Debt!W121&gt;0.000000001,(X7+W7)/(Debt!X121+Debt!W121),X17),0)</f>
        <v>1.32084554022515</v>
      </c>
      <c r="Y18" s="6" t="n">
        <f aca="false">IF(Debt!Y121&gt;0.000000001,IF(Debt!X121&gt;0.000000001,(Y7+X7)/(Debt!Y121+Debt!X121),Y17),0)</f>
        <v>1.31994485880802</v>
      </c>
      <c r="Z18" s="6" t="n">
        <f aca="false">IF(Debt!Z121&gt;0.000000001,IF(Debt!Y121&gt;0.000000001,(Z7+Y7)/(Debt!Z121+Debt!Y121),Z17),0)</f>
        <v>1.31959222699183</v>
      </c>
      <c r="AA18" s="6" t="n">
        <f aca="false">IF(Debt!AA121&gt;0.000000001,IF(Debt!Z121&gt;0.000000001,(AA7+Z7)/(Debt!AA121+Debt!Z121),AA17),0)</f>
        <v>1.31926209209159</v>
      </c>
      <c r="AB18" s="6" t="n">
        <f aca="false">IF(Debt!AB121&gt;0.000000001,IF(Debt!AA121&gt;0.000000001,(AB7+AA7)/(Debt!AB121+Debt!AA121),AB17),0)</f>
        <v>1.32959834481757</v>
      </c>
      <c r="AC18" s="6" t="n">
        <f aca="false">IF(Debt!AC121&gt;0.000000001,IF(Debt!AB121&gt;0.000000001,(AC7+AB7)/(Debt!AC121+Debt!AB121),AC17),0)</f>
        <v>1.35326410705415</v>
      </c>
      <c r="AD18" s="6" t="n">
        <f aca="false">IF(Debt!AD121&gt;0.000000001,IF(Debt!AC121&gt;0.000000001,(AD7+AC7)/(Debt!AD121+Debt!AC121),AD17),0)</f>
        <v>1.38089924234573</v>
      </c>
      <c r="AE18" s="6" t="n">
        <f aca="false">IF(Debt!AE121&gt;0.000000001,IF(Debt!AD121&gt;0.000000001,(AE7+AD7)/(Debt!AE121+Debt!AD121),AE17),0)</f>
        <v>1.41293475321718</v>
      </c>
      <c r="AF18" s="6" t="n">
        <f aca="false">IF(Debt!AF121&gt;0.000000001,IF(Debt!AE121&gt;0.000000001,(AF7+AE7)/(Debt!AF121+Debt!AE121),AF17),0)</f>
        <v>1.45364613103931</v>
      </c>
      <c r="AG18" s="6" t="n">
        <f aca="false">IF(Debt!AG121&gt;0.000000001,IF(Debt!AF121&gt;0.000000001,(AG7+AF7)/(Debt!AG121+Debt!AF121),AG17),0)</f>
        <v>1.50569495346257</v>
      </c>
      <c r="AH18" s="6" t="n">
        <f aca="false">IF(Debt!AH121&gt;0.000000001,IF(Debt!AG121&gt;0.000000001,(AH7+AG7)/(Debt!AH121+Debt!AG121),AH17),0)</f>
        <v>1.57203885407479</v>
      </c>
      <c r="AI18" s="6" t="n">
        <f aca="false">IF(Debt!AI121&gt;0.000000001,IF(Debt!AH121&gt;0.000000001,(AI7+AH7)/(Debt!AI121+Debt!AH121),AI17),0)</f>
        <v>1.6578792714942</v>
      </c>
      <c r="AJ18" s="6" t="n">
        <f aca="false">IF(Debt!AJ121&gt;0.000000001,IF(Debt!AI121&gt;0.000000001,(AJ7+AI7)/(Debt!AJ121+Debt!AI121),AJ17),0)</f>
        <v>1.78036016512146</v>
      </c>
      <c r="AK18" s="6" t="n">
        <f aca="false">IF(Debt!AK121&gt;0.000000001,IF(Debt!AJ121&gt;0.000000001,(AK7+AJ7)/(Debt!AK121+Debt!AJ121),AK17),0)</f>
        <v>1.96828697412498</v>
      </c>
      <c r="AL18" s="6" t="n">
        <f aca="false">IF(Debt!AL121&gt;0.000000001,IF(Debt!AK121&gt;0.000000001,(AL7+AK7)/(Debt!AL121+Debt!AK121),AL17),0)</f>
        <v>2.14383216841017</v>
      </c>
      <c r="AM18" s="6" t="n">
        <f aca="false">IF(Debt!AM121&gt;0.000000001,IF(Debt!AL121&gt;0.000000001,(AM7+AL7)/(Debt!AM121+Debt!AL121),AM17),0)</f>
        <v>2.191131393843</v>
      </c>
      <c r="AN18" s="6" t="n">
        <f aca="false">IF(Debt!AN121&gt;0.000000001,IF(Debt!AM121&gt;0.000000001,(AN7+AM7)/(Debt!AN121+Debt!AM121),AN17),0)</f>
        <v>2.37376015316412</v>
      </c>
      <c r="AO18" s="6" t="n">
        <f aca="false">IF(Debt!AO121&gt;0.000000001,IF(Debt!AN121&gt;0.000000001,(AO7+AN7)/(Debt!AO121+Debt!AN121),AO17),0)</f>
        <v>2.44839933963376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90.6510422504004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5.61932739589651</v>
      </c>
      <c r="AB29" s="11" t="n">
        <f aca="false">IF(AND(AB24=1,Time!AB21&gt;=2027,Inputs!$F$51=1),MIN(Inputs!$F$109*AB15,Debt!AB81),0)</f>
        <v>6.56016162692373</v>
      </c>
      <c r="AC29" s="11" t="n">
        <f aca="false">IF(AND(AC24=1,Time!AC21&gt;=2027,Inputs!$F$51=1),MIN(Inputs!$F$109*AC15,Debt!AC81),0)</f>
        <v>6.18758734356492</v>
      </c>
      <c r="AD29" s="11" t="n">
        <f aca="false">IF(AND(AD24=1,Time!AD21&gt;=2027,Inputs!$F$51=1),MIN(Inputs!$F$109*AD15,Debt!AD81),0)</f>
        <v>7.4756244853783</v>
      </c>
      <c r="AE29" s="11" t="n">
        <f aca="false">IF(AND(AE24=1,Time!AE21&gt;=2027,Inputs!$F$51=1),MIN(Inputs!$F$109*AE15,Debt!AE81),0)</f>
        <v>8.03297406816327</v>
      </c>
      <c r="AF29" s="11" t="n">
        <f aca="false">IF(AND(AF24=1,Time!AF21&gt;=2027,Inputs!$F$51=1),MIN(Inputs!$F$109*AF15,Debt!AF81),0)</f>
        <v>8.85934137501908</v>
      </c>
      <c r="AG29" s="11" t="n">
        <f aca="false">IF(AND(AG24=1,Time!AG21&gt;=2027,Inputs!$F$51=1),MIN(Inputs!$F$109*AG15,Debt!AG81),0)</f>
        <v>9.21613508858781</v>
      </c>
      <c r="AH29" s="11" t="n">
        <f aca="false">IF(AND(AH24=1,Time!AH21&gt;=2027,Inputs!$F$51=1),MIN(Inputs!$F$109*AH15,Debt!AH81),0)</f>
        <v>10.5030891678893</v>
      </c>
      <c r="AI29" s="11" t="n">
        <f aca="false">IF(AND(AI24=1,Time!AI21&gt;=2027,Inputs!$F$51=1),MIN(Inputs!$F$109*AI15,Debt!AI81),0)</f>
        <v>11.2637669765511</v>
      </c>
      <c r="AJ29" s="11" t="n">
        <f aca="false">IF(AND(AJ24=1,Time!AJ21&gt;=2027,Inputs!$F$51=1),MIN(Inputs!$F$109*AJ15,Debt!AJ81),0)</f>
        <v>12.999172585913</v>
      </c>
      <c r="AK29" s="11" t="n">
        <f aca="false">IF(AND(AK24=1,Time!AK21&gt;=2027,Inputs!$F$51=1),MIN(Inputs!$F$109*AK15,Debt!AK81),0)</f>
        <v>3.93386213651348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1.7032219444511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1352.25933543977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13.8203448751002</v>
      </c>
      <c r="Q31" s="11" t="n">
        <f aca="false">IF(Q24=1,Q15-Q29,0)</f>
        <v>11.5219964159591</v>
      </c>
      <c r="R31" s="11" t="n">
        <f aca="false">IF(R24=1,R15-R29,0)</f>
        <v>12.4283086955183</v>
      </c>
      <c r="S31" s="11" t="n">
        <f aca="false">IF(S24=1,S15-S29,0)</f>
        <v>11.6112291766713</v>
      </c>
      <c r="T31" s="11" t="n">
        <f aca="false">IF(T24=1,T15-T29,0)</f>
        <v>12.3389121190739</v>
      </c>
      <c r="U31" s="11" t="n">
        <f aca="false">IF(U24=1,U15-U29,0)</f>
        <v>11.3711945445318</v>
      </c>
      <c r="V31" s="11" t="n">
        <f aca="false">IF(V24=1,V15-V29,0)</f>
        <v>12.5886958837596</v>
      </c>
      <c r="W31" s="11" t="n">
        <f aca="false">IF(W24=1,W15-W29,0)</f>
        <v>13.3208837852162</v>
      </c>
      <c r="X31" s="11" t="n">
        <f aca="false">IF(X24=1,X15-X29,0)</f>
        <v>12.1793320551556</v>
      </c>
      <c r="Y31" s="11" t="n">
        <f aca="false">IF(Y24=1,Y15-Y29,0)</f>
        <v>11.3911470665381</v>
      </c>
      <c r="Z31" s="11" t="n">
        <f aca="false">IF(Z24=1,Z15-Z29,0)</f>
        <v>12.0763717067075</v>
      </c>
      <c r="AA31" s="11" t="n">
        <f aca="false">IF(AA24=1,AA15-AA29,0)</f>
        <v>5.61932739589651</v>
      </c>
      <c r="AB31" s="11" t="n">
        <f aca="false">IF(AB24=1,AB15-AB29,0)</f>
        <v>6.56016162692373</v>
      </c>
      <c r="AC31" s="11" t="n">
        <f aca="false">IF(AC24=1,AC15-AC29,0)</f>
        <v>6.18758734356492</v>
      </c>
      <c r="AD31" s="11" t="n">
        <f aca="false">IF(AD24=1,AD15-AD29,0)</f>
        <v>7.4756244853783</v>
      </c>
      <c r="AE31" s="11" t="n">
        <f aca="false">IF(AE24=1,AE15-AE29,0)</f>
        <v>8.03297406816327</v>
      </c>
      <c r="AF31" s="11" t="n">
        <f aca="false">IF(AF24=1,AF15-AF29,0)</f>
        <v>8.85934137501908</v>
      </c>
      <c r="AG31" s="11" t="n">
        <f aca="false">IF(AG24=1,AG15-AG29,0)</f>
        <v>9.21613508858781</v>
      </c>
      <c r="AH31" s="11" t="n">
        <f aca="false">IF(AH24=1,AH15-AH29,0)</f>
        <v>10.5030891678893</v>
      </c>
      <c r="AI31" s="11" t="n">
        <f aca="false">IF(AI24=1,AI15-AI29,0)</f>
        <v>11.2637669765511</v>
      </c>
      <c r="AJ31" s="11" t="n">
        <f aca="false">IF(AJ24=1,AJ15-AJ29,0)</f>
        <v>12.999172585913</v>
      </c>
      <c r="AK31" s="11" t="n">
        <f aca="false">IF(AK24=1,AK15-AK29,0)</f>
        <v>25.2888703553279</v>
      </c>
      <c r="AL31" s="11" t="n">
        <f aca="false">IF(AL24=1,AL15-AL29,0)</f>
        <v>29.6871069504077</v>
      </c>
      <c r="AM31" s="11" t="n">
        <f aca="false">IF(AM24=1,AM15-AM29,0)</f>
        <v>32.4779319696195</v>
      </c>
      <c r="AN31" s="11" t="n">
        <f aca="false">IF(AN24=1,AN15-AN29,0)</f>
        <v>30.8468090767604</v>
      </c>
      <c r="AO31" s="11" t="n">
        <f aca="false">IF(AO24=1,AO15-AO29,0)</f>
        <v>43.3793136327231</v>
      </c>
      <c r="AP31" s="11" t="n">
        <f aca="false">IF(AP24=1,AP15-AP29,0)</f>
        <v>41.1521746171139</v>
      </c>
      <c r="AQ31" s="11" t="n">
        <f aca="false">IF(AQ24=1,AQ15-AQ29,0)</f>
        <v>40.2334221291795</v>
      </c>
      <c r="AR31" s="11" t="n">
        <f aca="false">IF(AR24=1,AR15-AR29,0)</f>
        <v>40.812133420755</v>
      </c>
      <c r="AS31" s="11" t="n">
        <f aca="false">IF(AS24=1,AS15-AS29,0)</f>
        <v>40.5424703735348</v>
      </c>
      <c r="AT31" s="11" t="n">
        <f aca="false">IF(AT24=1,AT15-AT29,0)</f>
        <v>47.260030852876</v>
      </c>
      <c r="AU31" s="11" t="n">
        <f aca="false">IF(AU24=1,AU15-AU29,0)</f>
        <v>42.8184762079473</v>
      </c>
      <c r="AV31" s="11" t="n">
        <f aca="false">IF(AV24=1,AV15-AV29,0)</f>
        <v>42.9235396543305</v>
      </c>
      <c r="AW31" s="11" t="n">
        <f aca="false">IF(AW24=1,AW15-AW29,0)</f>
        <v>42.4959632438198</v>
      </c>
      <c r="AX31" s="11" t="n">
        <f aca="false">IF(AX24=1,AX15-AX29,0)</f>
        <v>43.1519623391802</v>
      </c>
      <c r="AY31" s="11" t="n">
        <f aca="false">IF(AY24=1,AY15-AY29,0)</f>
        <v>42.691778014356</v>
      </c>
      <c r="AZ31" s="11" t="n">
        <f aca="false">IF(AZ24=1,AZ15-AZ29,0)</f>
        <v>43.29041271871</v>
      </c>
      <c r="BA31" s="11" t="n">
        <f aca="false">IF(BA24=1,BA15-BA29,0)</f>
        <v>42.49309242544</v>
      </c>
      <c r="BB31" s="11" t="n">
        <f aca="false">IF(BB24=1,BB15-BB29,0)</f>
        <v>43.7171413291587</v>
      </c>
      <c r="BC31" s="11" t="n">
        <f aca="false">IF(BC24=1,BC15-BC29,0)</f>
        <v>40.2968577508507</v>
      </c>
      <c r="BD31" s="11" t="n">
        <f aca="false">IF(BD24=1,BD15-BD29,0)</f>
        <v>34.16099197076</v>
      </c>
      <c r="BE31" s="11" t="n">
        <f aca="false">IF(BE24=1,BE15-BE29,0)</f>
        <v>33.707748554011</v>
      </c>
      <c r="BF31" s="11" t="n">
        <f aca="false">IF(BF24=1,BF15-BF29,0)</f>
        <v>34.3745284793592</v>
      </c>
      <c r="BG31" s="11" t="n">
        <f aca="false">IF(BG24=1,BG15-BG29,0)</f>
        <v>33.8861852355174</v>
      </c>
      <c r="BH31" s="11" t="n">
        <f aca="false">IF(BH24=1,BH15-BH29,0)</f>
        <v>34.4890016679586</v>
      </c>
      <c r="BI31" s="11" t="n">
        <f aca="false">IF(BI24=1,BI15-BI29,0)</f>
        <v>34.2052346478264</v>
      </c>
      <c r="BJ31" s="11" t="n">
        <f aca="false">IF(BJ24=1,BJ15-BJ29,0)</f>
        <v>42.1928524741974</v>
      </c>
      <c r="BK31" s="11" t="n">
        <f aca="false">IF(BK24=1,BK15-BK29,0)</f>
        <v>36.9200778210503</v>
      </c>
      <c r="BL31" s="11" t="n">
        <f aca="false">IF(BL24=1,BL15-BL29,0)</f>
        <v>37.6281753973958</v>
      </c>
      <c r="BM31" s="11" t="n">
        <f aca="false">IF(BM24=1,BM15-BM29,0)</f>
        <v>53.7694556914808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200.851964405689</v>
      </c>
      <c r="R33" s="11" t="n">
        <f aca="false">IF(Time!R17&lt;Time!$F$11,0,IF(Time!R29=1,INDEX(Funding!$J$72:$BJ$72,1,Time!$F$13),Q36))</f>
        <v>198.792021490979</v>
      </c>
      <c r="S33" s="11" t="n">
        <f aca="false">IF(Time!S17&lt;Time!$F$11,0,IF(Time!S29=1,INDEX(Funding!$J$72:$BJ$72,1,Time!$F$13),R36))</f>
        <v>195.883944400014</v>
      </c>
      <c r="T33" s="11" t="n">
        <f aca="false">IF(Time!T17&lt;Time!$F$11,0,IF(Time!T29=1,INDEX(Funding!$J$72:$BJ$72,1,Time!$F$13),S36))</f>
        <v>193.500727343777</v>
      </c>
      <c r="U33" s="11" t="n">
        <f aca="false">IF(Time!U17&lt;Time!$F$11,0,IF(Time!U29=1,INDEX(Funding!$J$72:$BJ$72,1,Time!$F$13),T36))</f>
        <v>190.428644578043</v>
      </c>
      <c r="V33" s="11" t="n">
        <f aca="false">IF(Time!V17&lt;Time!$F$11,0,IF(Time!V29=1,INDEX(Funding!$J$72:$BJ$72,1,Time!$F$13),U36))</f>
        <v>188.078028841058</v>
      </c>
      <c r="W33" s="11" t="n">
        <f aca="false">IF(Time!W17&lt;Time!$F$11,0,IF(Time!W29=1,INDEX(Funding!$J$72:$BJ$72,1,Time!$F$13),V36))</f>
        <v>184.496467050837</v>
      </c>
      <c r="X33" s="11" t="n">
        <f aca="false">IF(Time!X17&lt;Time!$F$11,0,IF(Time!X29=1,INDEX(Funding!$J$72:$BJ$72,1,Time!$F$13),W36))</f>
        <v>179.86713600792</v>
      </c>
      <c r="Y33" s="11" t="n">
        <f aca="false">IF(Time!Y17&lt;Time!$F$11,0,IF(Time!Y29=1,INDEX(Funding!$J$72:$BJ$72,1,Time!$F$13),X36))</f>
        <v>176.301715014184</v>
      </c>
      <c r="Z33" s="11" t="n">
        <f aca="false">IF(Time!Z17&lt;Time!$F$11,0,IF(Time!Z29=1,INDEX(Funding!$J$72:$BJ$72,1,Time!$F$13),Y36))</f>
        <v>173.216069289205</v>
      </c>
      <c r="AA33" s="11" t="n">
        <f aca="false">IF(Time!AA17&lt;Time!$F$11,0,IF(Time!AA29=1,INDEX(Funding!$J$72:$BJ$72,1,Time!$F$13),Z36))</f>
        <v>169.435086325444</v>
      </c>
      <c r="AB33" s="11" t="n">
        <f aca="false">IF(Time!AB17&lt;Time!$F$11,0,IF(Time!AB29=1,INDEX(Funding!$J$72:$BJ$72,1,Time!$F$13),AA36))</f>
        <v>171.797776215481</v>
      </c>
      <c r="AC33" s="11" t="n">
        <f aca="false">IF(Time!AC17&lt;Time!$F$11,0,IF(Time!AC29=1,INDEX(Funding!$J$72:$BJ$72,1,Time!$F$13),AB36))</f>
        <v>173.465080693343</v>
      </c>
      <c r="AD33" s="11" t="n">
        <f aca="false">IF(Time!AD17&lt;Time!$F$11,0,IF(Time!AD29=1,INDEX(Funding!$J$72:$BJ$72,1,Time!$F$13),AC36))</f>
        <v>175.494510459882</v>
      </c>
      <c r="AE33" s="11" t="n">
        <f aca="false">IF(Time!AE17&lt;Time!$F$11,0,IF(Time!AE29=1,INDEX(Funding!$J$72:$BJ$72,1,Time!$F$13),AD36))</f>
        <v>176.423390201459</v>
      </c>
      <c r="AF33" s="11" t="n">
        <f aca="false">IF(Time!AF17&lt;Time!$F$11,0,IF(Time!AF29=1,INDEX(Funding!$J$72:$BJ$72,1,Time!$F$13),AE36))</f>
        <v>176.701649542923</v>
      </c>
      <c r="AG33" s="11" t="n">
        <f aca="false">IF(Time!AG17&lt;Time!$F$11,0,IF(Time!AG29=1,INDEX(Funding!$J$72:$BJ$72,1,Time!$F$13),AF36))</f>
        <v>176.304622781631</v>
      </c>
      <c r="AH33" s="11" t="n">
        <f aca="false">IF(Time!AH17&lt;Time!$F$11,0,IF(Time!AH29=1,INDEX(Funding!$J$72:$BJ$72,1,Time!$F$13),AG36))</f>
        <v>175.394126018331</v>
      </c>
      <c r="AI33" s="11" t="n">
        <f aca="false">IF(Time!AI17&lt;Time!$F$11,0,IF(Time!AI29=1,INDEX(Funding!$J$72:$BJ$72,1,Time!$F$13),AH36))</f>
        <v>173.290733625238</v>
      </c>
      <c r="AJ33" s="11" t="n">
        <f aca="false">IF(Time!AJ17&lt;Time!$F$11,0,IF(Time!AJ29=1,INDEX(Funding!$J$72:$BJ$72,1,Time!$F$13),AI36))</f>
        <v>170.190621894402</v>
      </c>
      <c r="AK33" s="11" t="n">
        <f aca="false">IF(Time!AK17&lt;Time!$F$11,0,IF(Time!AK29=1,INDEX(Funding!$J$72:$BJ$72,1,Time!$F$13),AJ36))</f>
        <v>165.341948132363</v>
      </c>
      <c r="AL33" s="11" t="n">
        <f aca="false">IF(Time!AL17&lt;Time!$F$11,0,IF(Time!AL29=1,INDEX(Funding!$J$72:$BJ$72,1,Time!$F$13),AK36))</f>
        <v>147.885303210483</v>
      </c>
      <c r="AM33" s="11" t="n">
        <f aca="false">IF(Time!AM17&lt;Time!$F$11,0,IF(Time!AM29=1,INDEX(Funding!$J$72:$BJ$72,1,Time!$F$13),AL36))</f>
        <v>125.280484205608</v>
      </c>
      <c r="AN33" s="11" t="n">
        <f aca="false">IF(Time!AN17&lt;Time!$F$11,0,IF(Time!AN29=1,INDEX(Funding!$J$72:$BJ$72,1,Time!$F$13),AM36))</f>
        <v>98.7044643617838</v>
      </c>
      <c r="AO33" s="11" t="n">
        <f aca="false">IF(Time!AO17&lt;Time!$F$11,0,IF(Time!AO29=1,INDEX(Funding!$J$72:$BJ$72,1,Time!$F$13),AN36))</f>
        <v>72.5846526467877</v>
      </c>
      <c r="AP33" s="11" t="n">
        <f aca="false">IF(Time!AP17&lt;Time!$F$11,0,IF(Time!AP29=1,INDEX(Funding!$J$72:$BJ$72,1,Time!$F$13),AO36))</f>
        <v>32.6247721709455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205.104839055864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9.46205350124882</v>
      </c>
      <c r="R34" s="11" t="n">
        <f aca="false">R24*MIN(R31,Tax!R13)</f>
        <v>9.52023160455426</v>
      </c>
      <c r="S34" s="11" t="n">
        <f aca="false">S24*MIN(S31,Tax!S13)</f>
        <v>9.22801212043356</v>
      </c>
      <c r="T34" s="11" t="n">
        <f aca="false">T24*MIN(T31,Tax!T13)</f>
        <v>9.26682935334032</v>
      </c>
      <c r="U34" s="11" t="n">
        <f aca="false">U24*MIN(U31,Tax!U13)</f>
        <v>9.02057880754621</v>
      </c>
      <c r="V34" s="11" t="n">
        <f aca="false">V24*MIN(V31,Tax!V13)</f>
        <v>9.00713409353886</v>
      </c>
      <c r="W34" s="11" t="n">
        <f aca="false">W24*MIN(W31,Tax!W13)</f>
        <v>8.69155274229901</v>
      </c>
      <c r="X34" s="11" t="n">
        <f aca="false">X24*MIN(X31,Tax!X13)</f>
        <v>8.61391106142037</v>
      </c>
      <c r="Y34" s="11" t="n">
        <f aca="false">Y24*MIN(Y31,Tax!Y13)</f>
        <v>8.30550134155863</v>
      </c>
      <c r="Z34" s="11" t="n">
        <f aca="false">Z24*MIN(Z31,Tax!Z13)</f>
        <v>8.29538874294604</v>
      </c>
      <c r="AA34" s="11" t="n">
        <f aca="false">AA24*MIN(AA31,Tax!AA13)</f>
        <v>5.61932739589651</v>
      </c>
      <c r="AB34" s="11" t="n">
        <f aca="false">AB24*MIN(AB31,Tax!AB13)</f>
        <v>6.56016162692373</v>
      </c>
      <c r="AC34" s="11" t="n">
        <f aca="false">AC24*MIN(AC31,Tax!AC13)</f>
        <v>6.18758734356492</v>
      </c>
      <c r="AD34" s="11" t="n">
        <f aca="false">AD24*MIN(AD31,Tax!AD13)</f>
        <v>7.4756244853783</v>
      </c>
      <c r="AE34" s="11" t="n">
        <f aca="false">AE24*MIN(AE31,Tax!AE13)</f>
        <v>8.03297406816327</v>
      </c>
      <c r="AF34" s="11" t="n">
        <f aca="false">AF24*MIN(AF31,Tax!AF13)</f>
        <v>8.46231461372684</v>
      </c>
      <c r="AG34" s="11" t="n">
        <f aca="false">AG24*MIN(AG31,Tax!AG13)</f>
        <v>8.30563832528807</v>
      </c>
      <c r="AH34" s="11" t="n">
        <f aca="false">AH24*MIN(AH31,Tax!AH13)</f>
        <v>8.3996967747957</v>
      </c>
      <c r="AI34" s="11" t="n">
        <f aca="false">AI24*MIN(AI31,Tax!AI13)</f>
        <v>8.16365524571496</v>
      </c>
      <c r="AJ34" s="11" t="n">
        <f aca="false">AJ24*MIN(AJ31,Tax!AJ13)</f>
        <v>8.15049882387435</v>
      </c>
      <c r="AK34" s="11" t="n">
        <f aca="false">AK24*MIN(AK31,Tax!AK13)</f>
        <v>7.83222543344809</v>
      </c>
      <c r="AL34" s="11" t="n">
        <f aca="false">AL24*MIN(AL31,Tax!AL13)</f>
        <v>7.08228794553218</v>
      </c>
      <c r="AM34" s="11" t="n">
        <f aca="false">AM24*MIN(AM31,Tax!AM13)</f>
        <v>5.90191212579568</v>
      </c>
      <c r="AN34" s="11" t="n">
        <f aca="false">AN24*MIN(AN31,Tax!AN13)</f>
        <v>4.72699736176433</v>
      </c>
      <c r="AO34" s="11" t="n">
        <f aca="false">AO24*MIN(AO31,Tax!AO13)</f>
        <v>3.41943315688086</v>
      </c>
      <c r="AP34" s="11" t="n">
        <f aca="false">AP24*MIN(AP31,Tax!AP13)</f>
        <v>1.5624137467072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212.127975284746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4.00944766157745</v>
      </c>
      <c r="Q35" s="11" t="n">
        <f aca="false">Q24*MIN(Q31-Q34,Q33+Tax!Q13-Q34)</f>
        <v>2.05994291471024</v>
      </c>
      <c r="R35" s="11" t="n">
        <f aca="false">R24*MIN(R31-R34,R33+Tax!R13-R34)</f>
        <v>2.90807709096406</v>
      </c>
      <c r="S35" s="11" t="n">
        <f aca="false">S24*MIN(S31-S34,S33+Tax!S13-S34)</f>
        <v>2.38321705623774</v>
      </c>
      <c r="T35" s="11" t="n">
        <f aca="false">T24*MIN(T31-T34,T33+Tax!T13-T34)</f>
        <v>3.07208276573355</v>
      </c>
      <c r="U35" s="11" t="n">
        <f aca="false">U24*MIN(U31-U34,U33+Tax!U13-U34)</f>
        <v>2.3506157369856</v>
      </c>
      <c r="V35" s="11" t="n">
        <f aca="false">V24*MIN(V31-V34,V33+Tax!V13-V34)</f>
        <v>3.58156179022075</v>
      </c>
      <c r="W35" s="11" t="n">
        <f aca="false">W24*MIN(W31-W34,W33+Tax!W13-W34)</f>
        <v>4.62933104291722</v>
      </c>
      <c r="X35" s="11" t="n">
        <f aca="false">X24*MIN(X31-X34,X33+Tax!X13-X34)</f>
        <v>3.56542099373519</v>
      </c>
      <c r="Y35" s="11" t="n">
        <f aca="false">Y24*MIN(Y31-Y34,Y33+Tax!Y13-Y34)</f>
        <v>3.08564572497944</v>
      </c>
      <c r="Z35" s="11" t="n">
        <f aca="false">Z24*MIN(Z31-Z34,Z33+Tax!Z13-Z34)</f>
        <v>3.78098296376145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0.397026761292235</v>
      </c>
      <c r="AG35" s="11" t="n">
        <f aca="false">AG24*MIN(AG31-AG34,AG33+Tax!AG13-AG34)</f>
        <v>0.91049676329974</v>
      </c>
      <c r="AH35" s="11" t="n">
        <f aca="false">AH24*MIN(AH31-AH34,AH33+Tax!AH13-AH34)</f>
        <v>2.10339239309357</v>
      </c>
      <c r="AI35" s="11" t="n">
        <f aca="false">AI24*MIN(AI31-AI34,AI33+Tax!AI13-AI34)</f>
        <v>3.10011173083613</v>
      </c>
      <c r="AJ35" s="11" t="n">
        <f aca="false">AJ24*MIN(AJ31-AJ34,AJ33+Tax!AJ13-AJ34)</f>
        <v>4.84867376203862</v>
      </c>
      <c r="AK35" s="11" t="n">
        <f aca="false">AK24*MIN(AK31-AK34,AK33+Tax!AK13-AK34)</f>
        <v>17.4566449218798</v>
      </c>
      <c r="AL35" s="11" t="n">
        <f aca="false">AL24*MIN(AL31-AL34,AL33+Tax!AL13-AL34)</f>
        <v>22.6048190048756</v>
      </c>
      <c r="AM35" s="11" t="n">
        <f aca="false">AM24*MIN(AM31-AM34,AM33+Tax!AM13-AM34)</f>
        <v>26.5760198438238</v>
      </c>
      <c r="AN35" s="11" t="n">
        <f aca="false">AN24*MIN(AN31-AN34,AN33+Tax!AN13-AN34)</f>
        <v>26.1198117149961</v>
      </c>
      <c r="AO35" s="11" t="n">
        <f aca="false">AO24*MIN(AO31-AO34,AO33+Tax!AO13-AO34)</f>
        <v>39.9598804758422</v>
      </c>
      <c r="AP35" s="11" t="n">
        <f aca="false">AP24*MIN(AP31-AP34,AP33+Tax!AP13-AP34)</f>
        <v>32.6247721709455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200.851964405689</v>
      </c>
      <c r="Q36" s="11" t="n">
        <f aca="false">Q33+Tax!Q13-Q34-Q35</f>
        <v>198.792021490979</v>
      </c>
      <c r="R36" s="11" t="n">
        <f aca="false">R33+Tax!R13-R34-R35</f>
        <v>195.883944400014</v>
      </c>
      <c r="S36" s="11" t="n">
        <f aca="false">S33+Tax!S13-S34-S35</f>
        <v>193.500727343777</v>
      </c>
      <c r="T36" s="11" t="n">
        <f aca="false">T33+Tax!T13-T34-T35</f>
        <v>190.428644578043</v>
      </c>
      <c r="U36" s="11" t="n">
        <f aca="false">U33+Tax!U13-U34-U35</f>
        <v>188.078028841058</v>
      </c>
      <c r="V36" s="11" t="n">
        <f aca="false">V33+Tax!V13-V34-V35</f>
        <v>184.496467050837</v>
      </c>
      <c r="W36" s="11" t="n">
        <f aca="false">W33+Tax!W13-W34-W35</f>
        <v>179.86713600792</v>
      </c>
      <c r="X36" s="11" t="n">
        <f aca="false">X33+Tax!X13-X34-X35</f>
        <v>176.301715014184</v>
      </c>
      <c r="Y36" s="11" t="n">
        <f aca="false">Y33+Tax!Y13-Y34-Y35</f>
        <v>173.216069289205</v>
      </c>
      <c r="Z36" s="11" t="n">
        <f aca="false">Z33+Tax!Z13-Z34-Z35</f>
        <v>169.435086325444</v>
      </c>
      <c r="AA36" s="11" t="n">
        <f aca="false">AA33+Tax!AA13-AA34-AA35</f>
        <v>171.797776215481</v>
      </c>
      <c r="AB36" s="11" t="n">
        <f aca="false">AB33+Tax!AB13-AB34-AB35</f>
        <v>173.465080693343</v>
      </c>
      <c r="AC36" s="11" t="n">
        <f aca="false">AC33+Tax!AC13-AC34-AC35</f>
        <v>175.494510459882</v>
      </c>
      <c r="AD36" s="11" t="n">
        <f aca="false">AD33+Tax!AD13-AD34-AD35</f>
        <v>176.423390201459</v>
      </c>
      <c r="AE36" s="11" t="n">
        <f aca="false">AE33+Tax!AE13-AE34-AE35</f>
        <v>176.701649542923</v>
      </c>
      <c r="AF36" s="11" t="n">
        <f aca="false">AF33+Tax!AF13-AF34-AF35</f>
        <v>176.304622781631</v>
      </c>
      <c r="AG36" s="11" t="n">
        <f aca="false">AG33+Tax!AG13-AG34-AG35</f>
        <v>175.394126018331</v>
      </c>
      <c r="AH36" s="11" t="n">
        <f aca="false">AH33+Tax!AH13-AH34-AH35</f>
        <v>173.290733625238</v>
      </c>
      <c r="AI36" s="11" t="n">
        <f aca="false">AI33+Tax!AI13-AI34-AI35</f>
        <v>170.190621894402</v>
      </c>
      <c r="AJ36" s="11" t="n">
        <f aca="false">AJ33+Tax!AJ13-AJ34-AJ35</f>
        <v>165.341948132363</v>
      </c>
      <c r="AK36" s="11" t="n">
        <f aca="false">AK33+Tax!AK13-AK34-AK35</f>
        <v>147.885303210483</v>
      </c>
      <c r="AL36" s="11" t="n">
        <f aca="false">AL33+Tax!AL13-AL34-AL35</f>
        <v>125.280484205608</v>
      </c>
      <c r="AM36" s="11" t="n">
        <f aca="false">AM33+Tax!AM13-AM34-AM35</f>
        <v>98.7044643617838</v>
      </c>
      <c r="AN36" s="11" t="n">
        <f aca="false">AN33+Tax!AN13-AN34-AN35</f>
        <v>72.5846526467877</v>
      </c>
      <c r="AO36" s="11" t="n">
        <f aca="false">AO33+Tax!AO13-AO34-AO35</f>
        <v>32.6247721709455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9.44609069121115</v>
      </c>
      <c r="P37" s="11" t="n">
        <f aca="false">MAX(0,O43+Financials!P14)</f>
        <v>15.8193268888995</v>
      </c>
      <c r="Q37" s="11" t="n">
        <f aca="false">MAX(0,P43+Financials!Q14)</f>
        <v>23.4815393727732</v>
      </c>
      <c r="R37" s="11" t="n">
        <f aca="false">MAX(0,Q43+Financials!R14)</f>
        <v>31.5489984240967</v>
      </c>
      <c r="S37" s="11" t="n">
        <f aca="false">MAX(0,R43+Financials!S14)</f>
        <v>40.7821747223983</v>
      </c>
      <c r="T37" s="11" t="n">
        <f aca="false">MAX(0,S43+Financials!T14)</f>
        <v>50.4267894888981</v>
      </c>
      <c r="U37" s="11" t="n">
        <f aca="false">MAX(0,T43+Financials!U14)</f>
        <v>61.2330380942989</v>
      </c>
      <c r="V37" s="11" t="n">
        <f aca="false">MAX(0,U43+Financials!V14)</f>
        <v>70.2760850883358</v>
      </c>
      <c r="W37" s="11" t="n">
        <f aca="false">MAX(0,V43+Financials!W14)</f>
        <v>83.057131539936</v>
      </c>
      <c r="X37" s="11" t="n">
        <f aca="false">MAX(0,W43+Financials!X14)</f>
        <v>96.4268993850452</v>
      </c>
      <c r="Y37" s="11" t="n">
        <f aca="false">MAX(0,X43+Financials!Y14)</f>
        <v>107.883819529588</v>
      </c>
      <c r="Z37" s="11" t="n">
        <f aca="false">MAX(0,Y43+Financials!Z14)</f>
        <v>114.401768612728</v>
      </c>
      <c r="AA37" s="11" t="n">
        <f aca="false">MAX(0,Z43+Financials!AA14)</f>
        <v>121.834801996589</v>
      </c>
      <c r="AB37" s="11" t="n">
        <f aca="false">MAX(0,AA43+Financials!AB14)</f>
        <v>129.755997213789</v>
      </c>
      <c r="AC37" s="11" t="n">
        <f aca="false">MAX(0,AB43+Financials!AC14)</f>
        <v>138.665307809458</v>
      </c>
      <c r="AD37" s="11" t="n">
        <f aca="false">MAX(0,AC43+Financials!AD14)</f>
        <v>138.876691228756</v>
      </c>
      <c r="AE37" s="11" t="n">
        <f aca="false">MAX(0,AD43+Financials!AE14)</f>
        <v>150.097999929883</v>
      </c>
      <c r="AF37" s="11" t="n">
        <f aca="false">MAX(0,AE43+Financials!AF14)</f>
        <v>161.408826423486</v>
      </c>
      <c r="AG37" s="11" t="n">
        <f aca="false">MAX(0,AF43+Financials!AG14)</f>
        <v>173.730486866378</v>
      </c>
      <c r="AH37" s="11" t="n">
        <f aca="false">MAX(0,AG43+Financials!AH14)</f>
        <v>186.951226532769</v>
      </c>
      <c r="AI37" s="11" t="n">
        <f aca="false">MAX(0,AH43+Financials!AI14)</f>
        <v>201.395295086226</v>
      </c>
      <c r="AJ37" s="11" t="n">
        <f aca="false">MAX(0,AI43+Financials!AJ14)</f>
        <v>216.816381836892</v>
      </c>
      <c r="AK37" s="11" t="n">
        <f aca="false">MAX(0,AJ43+Financials!AK14)</f>
        <v>233.567912178906</v>
      </c>
      <c r="AL37" s="11" t="n">
        <f aca="false">MAX(0,AK43+Financials!AL14)</f>
        <v>249.496914580825</v>
      </c>
      <c r="AM37" s="11" t="n">
        <f aca="false">MAX(0,AL43+Financials!AM14)</f>
        <v>268.780207951914</v>
      </c>
      <c r="AN37" s="11" t="n">
        <f aca="false">MAX(0,AM43+Financials!AN14)</f>
        <v>289.281389702029</v>
      </c>
      <c r="AO37" s="11" t="n">
        <f aca="false">MAX(0,AN43+Financials!AO14)</f>
        <v>311.521588869675</v>
      </c>
      <c r="AP37" s="11" t="n">
        <f aca="false">MAX(0,AO43+Financials!AP14)</f>
        <v>335.522789599167</v>
      </c>
      <c r="AQ37" s="11" t="n">
        <f aca="false">MAX(0,AP43+Financials!AQ14)</f>
        <v>353.723228986733</v>
      </c>
      <c r="AR37" s="11" t="n">
        <f aca="false">MAX(0,AQ43+Financials!AR14)</f>
        <v>338.712894514208</v>
      </c>
      <c r="AS37" s="11" t="n">
        <f aca="false">MAX(0,AR43+Financials!AS14)</f>
        <v>323.293124129206</v>
      </c>
      <c r="AT37" s="11" t="n">
        <f aca="false">MAX(0,AS43+Financials!AT14)</f>
        <v>297.82390791768</v>
      </c>
      <c r="AU37" s="11" t="n">
        <f aca="false">MAX(0,AT43+Financials!AU14)</f>
        <v>276.219736216575</v>
      </c>
      <c r="AV37" s="11" t="n">
        <f aca="false">MAX(0,AU43+Financials!AV14)</f>
        <v>258.975844808311</v>
      </c>
      <c r="AW37" s="11" t="n">
        <f aca="false">MAX(0,AV43+Financials!AW14)</f>
        <v>241.731401294966</v>
      </c>
      <c r="AX37" s="11" t="n">
        <f aca="false">MAX(0,AW43+Financials!AX14)</f>
        <v>225.038192028793</v>
      </c>
      <c r="AY37" s="11" t="n">
        <f aca="false">MAX(0,AX43+Financials!AY14)</f>
        <v>207.76428912036</v>
      </c>
      <c r="AZ37" s="11" t="n">
        <f aca="false">MAX(0,AY43+Financials!AZ14)</f>
        <v>191.012666331037</v>
      </c>
      <c r="BA37" s="11" t="n">
        <f aca="false">MAX(0,AZ43+Financials!BA14)</f>
        <v>173.812846729076</v>
      </c>
      <c r="BB37" s="11" t="n">
        <f aca="false">MAX(0,BA43+Financials!BB14)</f>
        <v>155.148461855775</v>
      </c>
      <c r="BC37" s="11" t="n">
        <f aca="false">MAX(0,BB43+Financials!BC14)</f>
        <v>137.773114817056</v>
      </c>
      <c r="BD37" s="11" t="n">
        <f aca="false">MAX(0,BC43+Financials!BD14)</f>
        <v>123.796627301723</v>
      </c>
      <c r="BE37" s="11" t="n">
        <f aca="false">MAX(0,BD43+Financials!BE14)</f>
        <v>116.068899239352</v>
      </c>
      <c r="BF37" s="11" t="n">
        <f aca="false">MAX(0,BE43+Financials!BF14)</f>
        <v>108.9297082828</v>
      </c>
      <c r="BG37" s="11" t="n">
        <f aca="false">MAX(0,BF43+Financials!BG14)</f>
        <v>101.204132985405</v>
      </c>
      <c r="BH37" s="11" t="n">
        <f aca="false">MAX(0,BG43+Financials!BH14)</f>
        <v>94.0337723834923</v>
      </c>
      <c r="BI37" s="11" t="n">
        <f aca="false">MAX(0,BH43+Financials!BI14)</f>
        <v>86.4627441902514</v>
      </c>
      <c r="BJ37" s="11" t="n">
        <f aca="false">MAX(0,BI43+Financials!BJ14)</f>
        <v>66.9784874703688</v>
      </c>
      <c r="BK37" s="11" t="n">
        <f aca="false">MAX(0,BJ43+Financials!BK14)</f>
        <v>52.0174861283536</v>
      </c>
      <c r="BL37" s="11" t="n">
        <f aca="false">MAX(0,BK43+Financials!BL14)</f>
        <v>42.2245460069892</v>
      </c>
      <c r="BM37" s="11" t="n">
        <f aca="false">MAX(0,BL43+Financials!BM14)</f>
        <v>9.40270217466921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6.96498869946122</v>
      </c>
      <c r="AQ38" s="11" t="n">
        <f aca="false">AQ24*MIN(AQ31-AQ34-AQ35,AQ37)</f>
        <v>40.2334221291795</v>
      </c>
      <c r="AR38" s="11" t="n">
        <f aca="false">AR24*MIN(AR31-AR34-AR35,AR37)</f>
        <v>40.812133420755</v>
      </c>
      <c r="AS38" s="11" t="n">
        <f aca="false">AS24*MIN(AS31-AS34-AS35,AS37)</f>
        <v>40.5424703735348</v>
      </c>
      <c r="AT38" s="11" t="n">
        <f aca="false">AT24*MIN(AT31-AT34-AT35,AT37)</f>
        <v>47.260030852876</v>
      </c>
      <c r="AU38" s="11" t="n">
        <f aca="false">AU24*MIN(AU31-AU34-AU35,AU37)</f>
        <v>42.8184762079473</v>
      </c>
      <c r="AV38" s="11" t="n">
        <f aca="false">AV24*MIN(AV31-AV34-AV35,AV37)</f>
        <v>42.9235396543305</v>
      </c>
      <c r="AW38" s="11" t="n">
        <f aca="false">AW24*MIN(AW31-AW34-AW35,AW37)</f>
        <v>42.4959632438198</v>
      </c>
      <c r="AX38" s="11" t="n">
        <f aca="false">AX24*MIN(AX31-AX34-AX35,AX37)</f>
        <v>43.1519623391802</v>
      </c>
      <c r="AY38" s="11" t="n">
        <f aca="false">AY24*MIN(AY31-AY34-AY35,AY37)</f>
        <v>42.691778014356</v>
      </c>
      <c r="AZ38" s="11" t="n">
        <f aca="false">AZ24*MIN(AZ31-AZ34-AZ35,AZ37)</f>
        <v>43.29041271871</v>
      </c>
      <c r="BA38" s="11" t="n">
        <f aca="false">BA24*MIN(BA31-BA34-BA35,BA37)</f>
        <v>42.49309242544</v>
      </c>
      <c r="BB38" s="11" t="n">
        <f aca="false">BB24*MIN(BB31-BB34-BB35,BB37)</f>
        <v>43.7171413291587</v>
      </c>
      <c r="BC38" s="11" t="n">
        <f aca="false">BC24*MIN(BC31-BC34-BC35,BC37)</f>
        <v>40.2968577508507</v>
      </c>
      <c r="BD38" s="11" t="n">
        <f aca="false">BD24*MIN(BD31-BD34-BD35,BD37)</f>
        <v>34.16099197076</v>
      </c>
      <c r="BE38" s="11" t="n">
        <f aca="false">BE24*MIN(BE31-BE34-BE35,BE37)</f>
        <v>33.707748554011</v>
      </c>
      <c r="BF38" s="11" t="n">
        <f aca="false">BF24*MIN(BF31-BF34-BF35,BF37)</f>
        <v>34.3745284793592</v>
      </c>
      <c r="BG38" s="11" t="n">
        <f aca="false">BG24*MIN(BG31-BG34-BG35,BG37)</f>
        <v>33.8861852355174</v>
      </c>
      <c r="BH38" s="11" t="n">
        <f aca="false">BH24*MIN(BH31-BH34-BH35,BH37)</f>
        <v>34.4890016679586</v>
      </c>
      <c r="BI38" s="11" t="n">
        <f aca="false">BI24*MIN(BI31-BI34-BI35,BI37)</f>
        <v>34.2052346478264</v>
      </c>
      <c r="BJ38" s="11" t="n">
        <f aca="false">BJ24*MIN(BJ31-BJ34-BJ35,BJ37)</f>
        <v>42.1928524741974</v>
      </c>
      <c r="BK38" s="11" t="n">
        <f aca="false">BK24*MIN(BK31-BK34-BK35,BK37)</f>
        <v>36.9200778210503</v>
      </c>
      <c r="BL38" s="11" t="n">
        <f aca="false">BL24*MIN(BL31-BL34-BL35,BL37)</f>
        <v>37.6281753973958</v>
      </c>
      <c r="BM38" s="11" t="n">
        <f aca="false">BM24*MIN(BM31-BM34-BM35,BM37)</f>
        <v>9.40270217466921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935.026521099157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6.96498869946122</v>
      </c>
      <c r="AQ41" s="11" t="n">
        <f aca="false">AQ38+AQ40</f>
        <v>40.2334221291795</v>
      </c>
      <c r="AR41" s="11" t="n">
        <f aca="false">AR38+AR40</f>
        <v>40.812133420755</v>
      </c>
      <c r="AS41" s="11" t="n">
        <f aca="false">AS38+AS40</f>
        <v>40.5424703735348</v>
      </c>
      <c r="AT41" s="11" t="n">
        <f aca="false">AT38+AT40</f>
        <v>47.260030852876</v>
      </c>
      <c r="AU41" s="11" t="n">
        <f aca="false">AU38+AU40</f>
        <v>42.8184762079473</v>
      </c>
      <c r="AV41" s="11" t="n">
        <f aca="false">AV38+AV40</f>
        <v>42.9235396543305</v>
      </c>
      <c r="AW41" s="11" t="n">
        <f aca="false">AW38+AW40</f>
        <v>42.4959632438198</v>
      </c>
      <c r="AX41" s="11" t="n">
        <f aca="false">AX38+AX40</f>
        <v>43.1519623391802</v>
      </c>
      <c r="AY41" s="11" t="n">
        <f aca="false">AY38+AY40</f>
        <v>42.691778014356</v>
      </c>
      <c r="AZ41" s="11" t="n">
        <f aca="false">AZ38+AZ40</f>
        <v>43.29041271871</v>
      </c>
      <c r="BA41" s="11" t="n">
        <f aca="false">BA38+BA40</f>
        <v>42.49309242544</v>
      </c>
      <c r="BB41" s="11" t="n">
        <f aca="false">BB38+BB40</f>
        <v>43.7171413291587</v>
      </c>
      <c r="BC41" s="11" t="n">
        <f aca="false">BC38+BC40</f>
        <v>40.2968577508507</v>
      </c>
      <c r="BD41" s="11" t="n">
        <f aca="false">BD38+BD40</f>
        <v>34.16099197076</v>
      </c>
      <c r="BE41" s="11" t="n">
        <f aca="false">BE38+BE40</f>
        <v>33.707748554011</v>
      </c>
      <c r="BF41" s="11" t="n">
        <f aca="false">BF38+BF40</f>
        <v>34.3745284793592</v>
      </c>
      <c r="BG41" s="11" t="n">
        <f aca="false">BG38+BG40</f>
        <v>33.8861852355174</v>
      </c>
      <c r="BH41" s="11" t="n">
        <f aca="false">BH38+BH40</f>
        <v>34.4890016679586</v>
      </c>
      <c r="BI41" s="11" t="n">
        <f aca="false">BI38+BI40</f>
        <v>34.2052346478264</v>
      </c>
      <c r="BJ41" s="11" t="n">
        <f aca="false">BJ38+BJ40</f>
        <v>42.1928524741974</v>
      </c>
      <c r="BK41" s="11" t="n">
        <f aca="false">BK38+BK40</f>
        <v>36.9200778210503</v>
      </c>
      <c r="BL41" s="11" t="n">
        <f aca="false">BL38+BL40</f>
        <v>37.6281753973958</v>
      </c>
      <c r="BM41" s="11" t="n">
        <f aca="false">BM38+BM40</f>
        <v>53.7694556914808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9.44609069121115</v>
      </c>
      <c r="P43" s="11" t="n">
        <f aca="false">IF(Time!P17&lt;Time!$F$11,0,O43+Financials!P14-P41)</f>
        <v>15.8193268888995</v>
      </c>
      <c r="Q43" s="11" t="n">
        <f aca="false">IF(Time!Q17&lt;Time!$F$11,0,P43+Financials!Q14-Q41)</f>
        <v>23.4815393727732</v>
      </c>
      <c r="R43" s="11" t="n">
        <f aca="false">IF(Time!R17&lt;Time!$F$11,0,Q43+Financials!R14-R41)</f>
        <v>31.5489984240967</v>
      </c>
      <c r="S43" s="11" t="n">
        <f aca="false">IF(Time!S17&lt;Time!$F$11,0,R43+Financials!S14-S41)</f>
        <v>40.7821747223983</v>
      </c>
      <c r="T43" s="11" t="n">
        <f aca="false">IF(Time!T17&lt;Time!$F$11,0,S43+Financials!T14-T41)</f>
        <v>50.4267894888981</v>
      </c>
      <c r="U43" s="11" t="n">
        <f aca="false">IF(Time!U17&lt;Time!$F$11,0,T43+Financials!U14-U41)</f>
        <v>61.2330380942989</v>
      </c>
      <c r="V43" s="11" t="n">
        <f aca="false">IF(Time!V17&lt;Time!$F$11,0,U43+Financials!V14-V41)</f>
        <v>70.2760850883358</v>
      </c>
      <c r="W43" s="11" t="n">
        <f aca="false">IF(Time!W17&lt;Time!$F$11,0,V43+Financials!W14-W41)</f>
        <v>83.057131539936</v>
      </c>
      <c r="X43" s="11" t="n">
        <f aca="false">IF(Time!X17&lt;Time!$F$11,0,W43+Financials!X14-X41)</f>
        <v>96.4268993850452</v>
      </c>
      <c r="Y43" s="11" t="n">
        <f aca="false">IF(Time!Y17&lt;Time!$F$11,0,X43+Financials!Y14-Y41)</f>
        <v>107.883819529588</v>
      </c>
      <c r="Z43" s="11" t="n">
        <f aca="false">IF(Time!Z17&lt;Time!$F$11,0,Y43+Financials!Z14-Z41)</f>
        <v>114.401768612728</v>
      </c>
      <c r="AA43" s="11" t="n">
        <f aca="false">IF(Time!AA17&lt;Time!$F$11,0,Z43+Financials!AA14-AA41)</f>
        <v>121.834801996589</v>
      </c>
      <c r="AB43" s="11" t="n">
        <f aca="false">IF(Time!AB17&lt;Time!$F$11,0,AA43+Financials!AB14-AB41)</f>
        <v>129.755997213789</v>
      </c>
      <c r="AC43" s="11" t="n">
        <f aca="false">IF(Time!AC17&lt;Time!$F$11,0,AB43+Financials!AC14-AC41)</f>
        <v>138.665307809458</v>
      </c>
      <c r="AD43" s="11" t="n">
        <f aca="false">IF(Time!AD17&lt;Time!$F$11,0,AC43+Financials!AD14-AD41)</f>
        <v>138.876691228756</v>
      </c>
      <c r="AE43" s="11" t="n">
        <f aca="false">IF(Time!AE17&lt;Time!$F$11,0,AD43+Financials!AE14-AE41)</f>
        <v>150.097999929883</v>
      </c>
      <c r="AF43" s="11" t="n">
        <f aca="false">IF(Time!AF17&lt;Time!$F$11,0,AE43+Financials!AF14-AF41)</f>
        <v>161.408826423486</v>
      </c>
      <c r="AG43" s="11" t="n">
        <f aca="false">IF(Time!AG17&lt;Time!$F$11,0,AF43+Financials!AG14-AG41)</f>
        <v>173.730486866378</v>
      </c>
      <c r="AH43" s="11" t="n">
        <f aca="false">IF(Time!AH17&lt;Time!$F$11,0,AG43+Financials!AH14-AH41)</f>
        <v>186.951226532769</v>
      </c>
      <c r="AI43" s="11" t="n">
        <f aca="false">IF(Time!AI17&lt;Time!$F$11,0,AH43+Financials!AI14-AI41)</f>
        <v>201.395295086226</v>
      </c>
      <c r="AJ43" s="11" t="n">
        <f aca="false">IF(Time!AJ17&lt;Time!$F$11,0,AI43+Financials!AJ14-AJ41)</f>
        <v>216.816381836892</v>
      </c>
      <c r="AK43" s="11" t="n">
        <f aca="false">IF(Time!AK17&lt;Time!$F$11,0,AJ43+Financials!AK14-AK41)</f>
        <v>233.567912178906</v>
      </c>
      <c r="AL43" s="11" t="n">
        <f aca="false">IF(Time!AL17&lt;Time!$F$11,0,AK43+Financials!AL14-AL41)</f>
        <v>249.496914580825</v>
      </c>
      <c r="AM43" s="11" t="n">
        <f aca="false">IF(Time!AM17&lt;Time!$F$11,0,AL43+Financials!AM14-AM41)</f>
        <v>268.780207951914</v>
      </c>
      <c r="AN43" s="11" t="n">
        <f aca="false">IF(Time!AN17&lt;Time!$F$11,0,AM43+Financials!AN14-AN41)</f>
        <v>289.281389702029</v>
      </c>
      <c r="AO43" s="11" t="n">
        <f aca="false">IF(Time!AO17&lt;Time!$F$11,0,AN43+Financials!AO14-AO41)</f>
        <v>311.521588869675</v>
      </c>
      <c r="AP43" s="11" t="n">
        <f aca="false">IF(Time!AP17&lt;Time!$F$11,0,AO43+Financials!AP14-AP41)</f>
        <v>328.557800899706</v>
      </c>
      <c r="AQ43" s="11" t="n">
        <f aca="false">IF(Time!AQ17&lt;Time!$F$11,0,AP43+Financials!AQ14-AQ41)</f>
        <v>313.489806857554</v>
      </c>
      <c r="AR43" s="11" t="n">
        <f aca="false">IF(Time!AR17&lt;Time!$F$11,0,AQ43+Financials!AR14-AR41)</f>
        <v>297.900761093453</v>
      </c>
      <c r="AS43" s="11" t="n">
        <f aca="false">IF(Time!AS17&lt;Time!$F$11,0,AR43+Financials!AS14-AS41)</f>
        <v>282.750653755671</v>
      </c>
      <c r="AT43" s="11" t="n">
        <f aca="false">IF(Time!AT17&lt;Time!$F$11,0,AS43+Financials!AT14-AT41)</f>
        <v>250.563877064804</v>
      </c>
      <c r="AU43" s="11" t="n">
        <f aca="false">IF(Time!AU17&lt;Time!$F$11,0,AT43+Financials!AU14-AU41)</f>
        <v>233.401260008627</v>
      </c>
      <c r="AV43" s="11" t="n">
        <f aca="false">IF(Time!AV17&lt;Time!$F$11,0,AU43+Financials!AV14-AV41)</f>
        <v>216.052305153981</v>
      </c>
      <c r="AW43" s="11" t="n">
        <f aca="false">IF(Time!AW17&lt;Time!$F$11,0,AV43+Financials!AW14-AW41)</f>
        <v>199.235438051147</v>
      </c>
      <c r="AX43" s="11" t="n">
        <f aca="false">IF(Time!AX17&lt;Time!$F$11,0,AW43+Financials!AX14-AX41)</f>
        <v>181.886229689613</v>
      </c>
      <c r="AY43" s="11" t="n">
        <f aca="false">IF(Time!AY17&lt;Time!$F$11,0,AX43+Financials!AY14-AY41)</f>
        <v>165.072511106004</v>
      </c>
      <c r="AZ43" s="11" t="n">
        <f aca="false">IF(Time!AZ17&lt;Time!$F$11,0,AY43+Financials!AZ14-AZ41)</f>
        <v>147.722253612327</v>
      </c>
      <c r="BA43" s="11" t="n">
        <f aca="false">IF(Time!BA17&lt;Time!$F$11,0,AZ43+Financials!BA14-BA41)</f>
        <v>131.319754303636</v>
      </c>
      <c r="BB43" s="11" t="n">
        <f aca="false">IF(Time!BB17&lt;Time!$F$11,0,BA43+Financials!BB14-BB41)</f>
        <v>111.431320526616</v>
      </c>
      <c r="BC43" s="11" t="n">
        <f aca="false">IF(Time!BC17&lt;Time!$F$11,0,BB43+Financials!BC14-BC41)</f>
        <v>97.4762570662057</v>
      </c>
      <c r="BD43" s="11" t="n">
        <f aca="false">IF(Time!BD17&lt;Time!$F$11,0,BC43+Financials!BD14-BD41)</f>
        <v>89.6356353309634</v>
      </c>
      <c r="BE43" s="11" t="n">
        <f aca="false">IF(Time!BE17&lt;Time!$F$11,0,BD43+Financials!BE14-BE41)</f>
        <v>82.3611506853409</v>
      </c>
      <c r="BF43" s="11" t="n">
        <f aca="false">IF(Time!BF17&lt;Time!$F$11,0,BE43+Financials!BF14-BF41)</f>
        <v>74.5551798034407</v>
      </c>
      <c r="BG43" s="11" t="n">
        <f aca="false">IF(Time!BG17&lt;Time!$F$11,0,BF43+Financials!BG14-BG41)</f>
        <v>67.3179477498877</v>
      </c>
      <c r="BH43" s="11" t="n">
        <f aca="false">IF(Time!BH17&lt;Time!$F$11,0,BG43+Financials!BH14-BH41)</f>
        <v>59.5447707155337</v>
      </c>
      <c r="BI43" s="11" t="n">
        <f aca="false">IF(Time!BI17&lt;Time!$F$11,0,BH43+Financials!BI14-BI41)</f>
        <v>52.2575095424249</v>
      </c>
      <c r="BJ43" s="11" t="n">
        <f aca="false">IF(Time!BJ17&lt;Time!$F$11,0,BI43+Financials!BJ14-BJ41)</f>
        <v>24.7856349961714</v>
      </c>
      <c r="BK43" s="11" t="n">
        <f aca="false">IF(Time!BK17&lt;Time!$F$11,0,BJ43+Financials!BK14-BK41)</f>
        <v>15.0974083073033</v>
      </c>
      <c r="BL43" s="11" t="n">
        <f aca="false">IF(Time!BL17&lt;Time!$F$11,0,BK43+Financials!BL14-BL41)</f>
        <v>4.59637060959349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1352.25933543977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13.8203448751002</v>
      </c>
      <c r="Q44" s="11" t="n">
        <f aca="false">Q34+Q35+Q41</f>
        <v>11.5219964159591</v>
      </c>
      <c r="R44" s="11" t="n">
        <f aca="false">R34+R35+R41</f>
        <v>12.4283086955183</v>
      </c>
      <c r="S44" s="11" t="n">
        <f aca="false">S34+S35+S41</f>
        <v>11.6112291766713</v>
      </c>
      <c r="T44" s="11" t="n">
        <f aca="false">T34+T35+T41</f>
        <v>12.3389121190739</v>
      </c>
      <c r="U44" s="11" t="n">
        <f aca="false">U34+U35+U41</f>
        <v>11.3711945445318</v>
      </c>
      <c r="V44" s="11" t="n">
        <f aca="false">V34+V35+V41</f>
        <v>12.5886958837596</v>
      </c>
      <c r="W44" s="11" t="n">
        <f aca="false">W34+W35+W41</f>
        <v>13.3208837852162</v>
      </c>
      <c r="X44" s="11" t="n">
        <f aca="false">X34+X35+X41</f>
        <v>12.1793320551556</v>
      </c>
      <c r="Y44" s="11" t="n">
        <f aca="false">Y34+Y35+Y41</f>
        <v>11.3911470665381</v>
      </c>
      <c r="Z44" s="11" t="n">
        <f aca="false">Z34+Z35+Z41</f>
        <v>12.0763717067075</v>
      </c>
      <c r="AA44" s="11" t="n">
        <f aca="false">AA34+AA35+AA41</f>
        <v>5.61932739589651</v>
      </c>
      <c r="AB44" s="11" t="n">
        <f aca="false">AB34+AB35+AB41</f>
        <v>6.56016162692373</v>
      </c>
      <c r="AC44" s="11" t="n">
        <f aca="false">AC34+AC35+AC41</f>
        <v>6.18758734356492</v>
      </c>
      <c r="AD44" s="11" t="n">
        <f aca="false">AD34+AD35+AD41</f>
        <v>7.4756244853783</v>
      </c>
      <c r="AE44" s="11" t="n">
        <f aca="false">AE34+AE35+AE41</f>
        <v>8.03297406816327</v>
      </c>
      <c r="AF44" s="11" t="n">
        <f aca="false">AF34+AF35+AF41</f>
        <v>8.85934137501908</v>
      </c>
      <c r="AG44" s="11" t="n">
        <f aca="false">AG34+AG35+AG41</f>
        <v>9.21613508858781</v>
      </c>
      <c r="AH44" s="11" t="n">
        <f aca="false">AH34+AH35+AH41</f>
        <v>10.5030891678893</v>
      </c>
      <c r="AI44" s="11" t="n">
        <f aca="false">AI34+AI35+AI41</f>
        <v>11.2637669765511</v>
      </c>
      <c r="AJ44" s="11" t="n">
        <f aca="false">AJ34+AJ35+AJ41</f>
        <v>12.999172585913</v>
      </c>
      <c r="AK44" s="11" t="n">
        <f aca="false">AK34+AK35+AK41</f>
        <v>25.2888703553279</v>
      </c>
      <c r="AL44" s="11" t="n">
        <f aca="false">AL34+AL35+AL41</f>
        <v>29.6871069504077</v>
      </c>
      <c r="AM44" s="11" t="n">
        <f aca="false">AM34+AM35+AM41</f>
        <v>32.4779319696195</v>
      </c>
      <c r="AN44" s="11" t="n">
        <f aca="false">AN34+AN35+AN41</f>
        <v>30.8468090767604</v>
      </c>
      <c r="AO44" s="11" t="n">
        <f aca="false">AO34+AO35+AO41</f>
        <v>43.3793136327231</v>
      </c>
      <c r="AP44" s="11" t="n">
        <f aca="false">AP34+AP35+AP41</f>
        <v>41.1521746171139</v>
      </c>
      <c r="AQ44" s="11" t="n">
        <f aca="false">AQ34+AQ35+AQ41</f>
        <v>40.2334221291795</v>
      </c>
      <c r="AR44" s="11" t="n">
        <f aca="false">AR34+AR35+AR41</f>
        <v>40.812133420755</v>
      </c>
      <c r="AS44" s="11" t="n">
        <f aca="false">AS34+AS35+AS41</f>
        <v>40.5424703735348</v>
      </c>
      <c r="AT44" s="11" t="n">
        <f aca="false">AT34+AT35+AT41</f>
        <v>47.260030852876</v>
      </c>
      <c r="AU44" s="11" t="n">
        <f aca="false">AU34+AU35+AU41</f>
        <v>42.8184762079473</v>
      </c>
      <c r="AV44" s="11" t="n">
        <f aca="false">AV34+AV35+AV41</f>
        <v>42.9235396543305</v>
      </c>
      <c r="AW44" s="11" t="n">
        <f aca="false">AW34+AW35+AW41</f>
        <v>42.4959632438198</v>
      </c>
      <c r="AX44" s="11" t="n">
        <f aca="false">AX34+AX35+AX41</f>
        <v>43.1519623391802</v>
      </c>
      <c r="AY44" s="11" t="n">
        <f aca="false">AY34+AY35+AY41</f>
        <v>42.691778014356</v>
      </c>
      <c r="AZ44" s="11" t="n">
        <f aca="false">AZ34+AZ35+AZ41</f>
        <v>43.29041271871</v>
      </c>
      <c r="BA44" s="11" t="n">
        <f aca="false">BA34+BA35+BA41</f>
        <v>42.49309242544</v>
      </c>
      <c r="BB44" s="11" t="n">
        <f aca="false">BB34+BB35+BB41</f>
        <v>43.7171413291587</v>
      </c>
      <c r="BC44" s="11" t="n">
        <f aca="false">BC34+BC35+BC41</f>
        <v>40.2968577508507</v>
      </c>
      <c r="BD44" s="11" t="n">
        <f aca="false">BD34+BD35+BD41</f>
        <v>34.16099197076</v>
      </c>
      <c r="BE44" s="11" t="n">
        <f aca="false">BE34+BE35+BE41</f>
        <v>33.707748554011</v>
      </c>
      <c r="BF44" s="11" t="n">
        <f aca="false">BF34+BF35+BF41</f>
        <v>34.3745284793592</v>
      </c>
      <c r="BG44" s="11" t="n">
        <f aca="false">BG34+BG35+BG41</f>
        <v>33.8861852355174</v>
      </c>
      <c r="BH44" s="11" t="n">
        <f aca="false">BH34+BH35+BH41</f>
        <v>34.4890016679586</v>
      </c>
      <c r="BI44" s="11" t="n">
        <f aca="false">BI34+BI35+BI41</f>
        <v>34.2052346478264</v>
      </c>
      <c r="BJ44" s="11" t="n">
        <f aca="false">BJ34+BJ35+BJ41</f>
        <v>42.1928524741974</v>
      </c>
      <c r="BK44" s="11" t="n">
        <f aca="false">BK34+BK35+BK41</f>
        <v>36.9200778210503</v>
      </c>
      <c r="BL44" s="11" t="n">
        <f aca="false">BL34+BL35+BL41</f>
        <v>37.6281753973958</v>
      </c>
      <c r="BM44" s="11" t="n">
        <f aca="false">BM34+BM35+BM41</f>
        <v>53.7694556914808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529.919364421649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30.4738036268076</v>
      </c>
      <c r="R9" s="11" t="n">
        <f aca="false">Debt!R119+Debt!R117+Debt!R111-Debt!R110+Tax!R13</f>
        <v>30.2044553468017</v>
      </c>
      <c r="S9" s="11" t="n">
        <f aca="false">Debt!S119+Debt!S117+Debt!S111-Debt!S110+Tax!S13</f>
        <v>29.1215523306907</v>
      </c>
      <c r="T9" s="11" t="n">
        <f aca="false">Debt!T119+Debt!T117+Debt!T111-Debt!T110+Tax!T13</f>
        <v>28.7760515773261</v>
      </c>
      <c r="U9" s="11" t="n">
        <f aca="false">Debt!U119+Debt!U117+Debt!U111-Debt!U110+Tax!U13</f>
        <v>27.767506652781</v>
      </c>
      <c r="V9" s="11" t="n">
        <f aca="false">Debt!V119+Debt!V117+Debt!V111-Debt!V110+Tax!V13</f>
        <v>27.2415461569505</v>
      </c>
      <c r="W9" s="11" t="n">
        <f aca="false">Debt!W119+Debt!W117+Debt!W111-Debt!W110+Tax!W13</f>
        <v>26.0482485590675</v>
      </c>
      <c r="X9" s="11" t="n">
        <f aca="false">Debt!X119+Debt!X117+Debt!X111-Debt!X110+Tax!X13</f>
        <v>25.4478306002745</v>
      </c>
      <c r="Y9" s="11" t="n">
        <f aca="false">Debt!Y119+Debt!Y117+Debt!Y111-Debt!Y110+Tax!Y13</f>
        <v>24.7735631583316</v>
      </c>
      <c r="Z9" s="11" t="n">
        <f aca="false">Debt!Z119+Debt!Z117+Debt!Z111-Debt!Z110+Tax!Z13</f>
        <v>24.2316231931583</v>
      </c>
      <c r="AA9" s="11" t="n">
        <f aca="false">Debt!AA119+Debt!AA117+Debt!AA111-Debt!AA110+Tax!AA13</f>
        <v>23.0102364411034</v>
      </c>
      <c r="AB9" s="11" t="n">
        <f aca="false">Debt!AB119+Debt!AB117+Debt!AB111-Debt!AB110+Tax!AB13</f>
        <v>22.3811170186477</v>
      </c>
      <c r="AC9" s="11" t="n">
        <f aca="false">Debt!AC119+Debt!AC117+Debt!AC111-Debt!AC110+Tax!AC13</f>
        <v>21.1707498685033</v>
      </c>
      <c r="AD9" s="11" t="n">
        <f aca="false">Debt!AD119+Debt!AD117+Debt!AD111-Debt!AD110+Tax!AD13</f>
        <v>20.3552714258313</v>
      </c>
      <c r="AE9" s="11" t="n">
        <f aca="false">Debt!AE119+Debt!AE117+Debt!AE111-Debt!AE110+Tax!AE13</f>
        <v>18.9412279032695</v>
      </c>
      <c r="AF9" s="11" t="n">
        <f aca="false">Debt!AF119+Debt!AF117+Debt!AF111-Debt!AF110+Tax!AF13</f>
        <v>17.958297320941</v>
      </c>
      <c r="AG9" s="11" t="n">
        <f aca="false">Debt!AG119+Debt!AG117+Debt!AG111-Debt!AG110+Tax!AG13</f>
        <v>16.6399602296309</v>
      </c>
      <c r="AH9" s="11" t="n">
        <f aca="false">Debt!AH119+Debt!AH117+Debt!AH111-Debt!AH110+Tax!AH13</f>
        <v>15.5009796917908</v>
      </c>
      <c r="AI9" s="11" t="n">
        <f aca="false">Debt!AI119+Debt!AI117+Debt!AI111-Debt!AI110+Tax!AI13</f>
        <v>13.8449945978216</v>
      </c>
      <c r="AJ9" s="11" t="n">
        <f aca="false">Debt!AJ119+Debt!AJ117+Debt!AJ111-Debt!AJ110+Tax!AJ13</f>
        <v>12.5227325917749</v>
      </c>
      <c r="AK9" s="11" t="n">
        <f aca="false">Debt!AK119+Debt!AK117+Debt!AK111-Debt!AK110+Tax!AK13</f>
        <v>10.8016114471328</v>
      </c>
      <c r="AL9" s="11" t="n">
        <f aca="false">Debt!AL119+Debt!AL117+Debt!AL111-Debt!AL110+Tax!AL13</f>
        <v>9.25594119695377</v>
      </c>
      <c r="AM9" s="11" t="n">
        <f aca="false">Debt!AM119+Debt!AM117+Debt!AM111-Debt!AM110+Tax!AM13</f>
        <v>7.48310117519703</v>
      </c>
      <c r="AN9" s="11" t="n">
        <f aca="false">Debt!AN119+Debt!AN117+Debt!AN111-Debt!AN110+Tax!AN13</f>
        <v>5.71909083087447</v>
      </c>
      <c r="AO9" s="11" t="n">
        <f aca="false">Debt!AO119+Debt!AO117+Debt!AO111-Debt!AO110+Tax!AO13</f>
        <v>3.91668654091147</v>
      </c>
      <c r="AP9" s="11" t="n">
        <f aca="false">Debt!AP119+Debt!AP117+Debt!AP111-Debt!AP110+Tax!AP13</f>
        <v>1.5624137467072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-49.2869464996064</v>
      </c>
      <c r="Z12" s="11" t="n">
        <f aca="false">IF(Time!Z17&gt;=Time!$F$11,Inputs!$F$181/100*(Z11-Z10-Tax!Z21),0)</f>
        <v>-46.3411862348289</v>
      </c>
      <c r="AA12" s="11" t="n">
        <f aca="false">IF(Time!AA17&gt;=Time!$F$11,Inputs!$F$181/100*(AA11-AA10-Tax!AA21),0)</f>
        <v>-43.0024862586291</v>
      </c>
      <c r="AB12" s="11" t="n">
        <f aca="false">IF(Time!AB17&gt;=Time!$F$11,Inputs!$F$181/100*(AB11-AB10-Tax!AB21),0)</f>
        <v>-39.4537455863297</v>
      </c>
      <c r="AC12" s="11" t="n">
        <f aca="false">IF(Time!AC17&gt;=Time!$F$11,Inputs!$F$181/100*(AC11-AC10-Tax!AC21),0)</f>
        <v>-35.4811455879802</v>
      </c>
      <c r="AD12" s="11" t="n">
        <f aca="false">IF(Time!AD17&gt;=Time!$F$11,Inputs!$F$181/100*(AD11-AD10-Tax!AD21),0)</f>
        <v>-34.4771217251635</v>
      </c>
      <c r="AE12" s="11" t="n">
        <f aca="false">IF(Time!AE17&gt;=Time!$F$11,Inputs!$F$181/100*(AE11-AE10-Tax!AE21),0)</f>
        <v>-30.2735940527594</v>
      </c>
      <c r="AF12" s="11" t="n">
        <f aca="false">IF(Time!AF17&gt;=Time!$F$11,Inputs!$F$181/100*(AF11-AF10-Tax!AF21),0)</f>
        <v>-25.2692307045772</v>
      </c>
      <c r="AG12" s="11" t="n">
        <f aca="false">IF(Time!AG17&gt;=Time!$F$11,Inputs!$F$181/100*(AG11-AG10-Tax!AG21),0)</f>
        <v>-19.8309643140743</v>
      </c>
      <c r="AH12" s="11" t="n">
        <f aca="false">IF(Time!AH17&gt;=Time!$F$11,Inputs!$F$181/100*(AH11-AH10-Tax!AH21),0)</f>
        <v>-14.0067457070083</v>
      </c>
      <c r="AI12" s="11" t="n">
        <f aca="false">IF(Time!AI17&gt;=Time!$F$11,Inputs!$F$181/100*(AI11-AI10-Tax!AI21),0)</f>
        <v>-7.65741505956047</v>
      </c>
      <c r="AJ12" s="11" t="n">
        <f aca="false">IF(Time!AJ17&gt;=Time!$F$11,Inputs!$F$181/100*(AJ11-AJ10-Tax!AJ21),0)</f>
        <v>-0.888460590080557</v>
      </c>
      <c r="AK12" s="11" t="n">
        <f aca="false">IF(Time!AK17&gt;=Time!$F$11,Inputs!$F$181/100*(AK11-AK10-Tax!AK21),0)</f>
        <v>6.45123738793855</v>
      </c>
      <c r="AL12" s="11" t="n">
        <f aca="false">IF(Time!AL17&gt;=Time!$F$11,Inputs!$F$181/100*(AL11-AL10-Tax!AL21),0)</f>
        <v>13.4387482611637</v>
      </c>
      <c r="AM12" s="11" t="n">
        <f aca="false">IF(Time!AM17&gt;=Time!$F$11,Inputs!$F$181/100*(AM11-AM10-Tax!AM21),0)</f>
        <v>21.8648401415686</v>
      </c>
      <c r="AN12" s="11" t="n">
        <f aca="false">IF(Time!AN17&gt;=Time!$F$11,Inputs!$F$181/100*(AN11-AN10-Tax!AN21),0)</f>
        <v>30.8141622011614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-2.43249956815871</v>
      </c>
      <c r="Z13" s="11" t="n">
        <f aca="false">Z12-Y12</f>
        <v>2.94576026477746</v>
      </c>
      <c r="AA13" s="11" t="n">
        <f aca="false">AA12-Z12</f>
        <v>3.33869997619983</v>
      </c>
      <c r="AB13" s="11" t="n">
        <f aca="false">AB12-AA12</f>
        <v>3.54874067229942</v>
      </c>
      <c r="AC13" s="11" t="n">
        <f aca="false">AC12-AB12</f>
        <v>3.97259999834946</v>
      </c>
      <c r="AD13" s="11" t="n">
        <f aca="false">AD12-AC12</f>
        <v>1.00402386281673</v>
      </c>
      <c r="AE13" s="11" t="n">
        <f aca="false">AE12-AD12</f>
        <v>4.20352767240414</v>
      </c>
      <c r="AF13" s="11" t="n">
        <f aca="false">AF12-AE12</f>
        <v>5.00436334818219</v>
      </c>
      <c r="AG13" s="11" t="n">
        <f aca="false">AG12-AF12</f>
        <v>5.43826639050293</v>
      </c>
      <c r="AH13" s="11" t="n">
        <f aca="false">AH12-AG12</f>
        <v>5.82421860706592</v>
      </c>
      <c r="AI13" s="11" t="n">
        <f aca="false">AI12-AH12</f>
        <v>6.34933064744786</v>
      </c>
      <c r="AJ13" s="11" t="n">
        <f aca="false">AJ12-AI12</f>
        <v>6.76895446947991</v>
      </c>
      <c r="AK13" s="11" t="n">
        <f aca="false">AK12-AJ12</f>
        <v>7.33969797801911</v>
      </c>
      <c r="AL13" s="11" t="n">
        <f aca="false">AL12-AK12</f>
        <v>6.98751087322517</v>
      </c>
      <c r="AM13" s="11" t="n">
        <f aca="false">AM12-AL12</f>
        <v>8.42609188040485</v>
      </c>
      <c r="AN13" s="11" t="n">
        <f aca="false">AN12-AM12</f>
        <v>8.94932205959288</v>
      </c>
      <c r="AO13" s="11" t="n">
        <f aca="false">AO12-AN12</f>
        <v>3.15531182413815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890.659767582345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9.44609069121115</v>
      </c>
      <c r="P14" s="11" t="n">
        <f aca="false">Operations!P79-P8-P9-Tax!P27-P13</f>
        <v>6.3732361976883</v>
      </c>
      <c r="Q14" s="11" t="n">
        <f aca="false">Operations!Q79-Q8-Q9-Tax!Q27-Q13</f>
        <v>7.66221248387377</v>
      </c>
      <c r="R14" s="11" t="n">
        <f aca="false">Operations!R79-R8-R9-Tax!R27-R13</f>
        <v>8.06745905132346</v>
      </c>
      <c r="S14" s="11" t="n">
        <f aca="false">Operations!S79-S8-S9-Tax!S27-S13</f>
        <v>9.23317629830163</v>
      </c>
      <c r="T14" s="11" t="n">
        <f aca="false">Operations!T79-T8-T9-Tax!T27-T13</f>
        <v>9.64461476649982</v>
      </c>
      <c r="U14" s="11" t="n">
        <f aca="false">Operations!U79-U8-U9-Tax!U27-U13</f>
        <v>10.8062486054007</v>
      </c>
      <c r="V14" s="11" t="n">
        <f aca="false">Operations!V79-V8-V9-Tax!V27-V13</f>
        <v>9.04304699403693</v>
      </c>
      <c r="W14" s="11" t="n">
        <f aca="false">Operations!W79-W8-W9-Tax!W27-W13</f>
        <v>12.7810464516002</v>
      </c>
      <c r="X14" s="11" t="n">
        <f aca="false">Operations!X79-X8-X9-Tax!X27-X13</f>
        <v>13.3697678451092</v>
      </c>
      <c r="Y14" s="11" t="n">
        <f aca="false">Operations!Y79-Y8-Y9-Tax!Y27-Y13</f>
        <v>11.4569201445425</v>
      </c>
      <c r="Z14" s="11" t="n">
        <f aca="false">Operations!Z79-Z8-Z9-Tax!Z27-Z13</f>
        <v>6.51794908314051</v>
      </c>
      <c r="AA14" s="11" t="n">
        <f aca="false">Operations!AA79-AA8-AA9-Tax!AA27-AA13</f>
        <v>7.43303338386037</v>
      </c>
      <c r="AB14" s="11" t="n">
        <f aca="false">Operations!AB79-AB8-AB9-Tax!AB27-AB13</f>
        <v>7.92119521720044</v>
      </c>
      <c r="AC14" s="11" t="n">
        <f aca="false">Operations!AC79-AC8-AC9-Tax!AC27-AC13</f>
        <v>8.90931059566886</v>
      </c>
      <c r="AD14" s="11" t="n">
        <f aca="false">Operations!AD79-AD8-AD9-Tax!AD27-AD13</f>
        <v>0.211383419298381</v>
      </c>
      <c r="AE14" s="11" t="n">
        <f aca="false">Operations!AE79-AE8-AE9-Tax!AE27-AE13</f>
        <v>11.2213087011267</v>
      </c>
      <c r="AF14" s="11" t="n">
        <f aca="false">Operations!AF79-AF8-AF9-Tax!AF27-AF13</f>
        <v>11.3108264936033</v>
      </c>
      <c r="AG14" s="11" t="n">
        <f aca="false">Operations!AG79-AG8-AG9-Tax!AG27-AG13</f>
        <v>12.3216604428921</v>
      </c>
      <c r="AH14" s="11" t="n">
        <f aca="false">Operations!AH79-AH8-AH9-Tax!AH27-AH13</f>
        <v>13.2207396663902</v>
      </c>
      <c r="AI14" s="11" t="n">
        <f aca="false">Operations!AI79-AI8-AI9-Tax!AI27-AI13</f>
        <v>14.4440685534577</v>
      </c>
      <c r="AJ14" s="11" t="n">
        <f aca="false">Operations!AJ79-AJ8-AJ9-Tax!AJ27-AJ13</f>
        <v>15.421086750666</v>
      </c>
      <c r="AK14" s="11" t="n">
        <f aca="false">Operations!AK79-AK8-AK9-Tax!AK27-AK13</f>
        <v>16.7515303420142</v>
      </c>
      <c r="AL14" s="11" t="n">
        <f aca="false">Operations!AL79-AL8-AL9-Tax!AL27-AL13</f>
        <v>15.9290024019186</v>
      </c>
      <c r="AM14" s="11" t="n">
        <f aca="false">Operations!AM79-AM8-AM9-Tax!AM27-AM13</f>
        <v>19.2832933710887</v>
      </c>
      <c r="AN14" s="11" t="n">
        <f aca="false">Operations!AN79-AN8-AN9-Tax!AN27-AN13</f>
        <v>20.5011817501154</v>
      </c>
      <c r="AO14" s="11" t="n">
        <f aca="false">Operations!AO79-AO8-AO9-Tax!AO27-AO13</f>
        <v>22.240199167646</v>
      </c>
      <c r="AP14" s="11" t="n">
        <f aca="false">Operations!AP79-AP8-AP9-Tax!AP27-AP13</f>
        <v>24.0012007294919</v>
      </c>
      <c r="AQ14" s="11" t="n">
        <f aca="false">Operations!AQ79-AQ8-AQ9-Tax!AQ27-AQ13</f>
        <v>25.1654280870273</v>
      </c>
      <c r="AR14" s="11" t="n">
        <f aca="false">Operations!AR79-AR8-AR9-Tax!AR27-AR13</f>
        <v>25.2230876566542</v>
      </c>
      <c r="AS14" s="11" t="n">
        <f aca="false">Operations!AS79-AS8-AS9-Tax!AS27-AS13</f>
        <v>25.3923630357536</v>
      </c>
      <c r="AT14" s="11" t="n">
        <f aca="false">Operations!AT79-AT8-AT9-Tax!AT27-AT13</f>
        <v>15.073254162008</v>
      </c>
      <c r="AU14" s="11" t="n">
        <f aca="false">Operations!AU79-AU8-AU9-Tax!AU27-AU13</f>
        <v>25.6558591517712</v>
      </c>
      <c r="AV14" s="11" t="n">
        <f aca="false">Operations!AV79-AV8-AV9-Tax!AV27-AV13</f>
        <v>25.5745847996837</v>
      </c>
      <c r="AW14" s="11" t="n">
        <f aca="false">Operations!AW79-AW8-AW9-Tax!AW27-AW13</f>
        <v>25.6790961409857</v>
      </c>
      <c r="AX14" s="11" t="n">
        <f aca="false">Operations!AX79-AX8-AX9-Tax!AX27-AX13</f>
        <v>25.8027539776467</v>
      </c>
      <c r="AY14" s="11" t="n">
        <f aca="false">Operations!AY79-AY8-AY9-Tax!AY27-AY13</f>
        <v>25.8780594307467</v>
      </c>
      <c r="AZ14" s="11" t="n">
        <f aca="false">Operations!AZ79-AZ8-AZ9-Tax!AZ27-AZ13</f>
        <v>25.9401552250338</v>
      </c>
      <c r="BA14" s="11" t="n">
        <f aca="false">Operations!BA79-BA8-BA9-Tax!BA27-BA13</f>
        <v>26.0905931167489</v>
      </c>
      <c r="BB14" s="11" t="n">
        <f aca="false">Operations!BB79-BB8-BB9-Tax!BB27-BB13</f>
        <v>23.8287075521386</v>
      </c>
      <c r="BC14" s="11" t="n">
        <f aca="false">Operations!BC79-BC8-BC9-Tax!BC27-BC13</f>
        <v>26.34179429044</v>
      </c>
      <c r="BD14" s="11" t="n">
        <f aca="false">Operations!BD79-BD8-BD9-Tax!BD27-BD13</f>
        <v>26.3203702355177</v>
      </c>
      <c r="BE14" s="11" t="n">
        <f aca="false">Operations!BE79-BE8-BE9-Tax!BE27-BE13</f>
        <v>26.4332639083884</v>
      </c>
      <c r="BF14" s="11" t="n">
        <f aca="false">Operations!BF79-BF8-BF9-Tax!BF27-BF13</f>
        <v>26.5685575974591</v>
      </c>
      <c r="BG14" s="11" t="n">
        <f aca="false">Operations!BG79-BG8-BG9-Tax!BG27-BG13</f>
        <v>26.6489531819644</v>
      </c>
      <c r="BH14" s="11" t="n">
        <f aca="false">Operations!BH79-BH8-BH9-Tax!BH27-BH13</f>
        <v>26.7158246336046</v>
      </c>
      <c r="BI14" s="11" t="n">
        <f aca="false">Operations!BI79-BI8-BI9-Tax!BI27-BI13</f>
        <v>26.9179734747177</v>
      </c>
      <c r="BJ14" s="11" t="n">
        <f aca="false">Operations!BJ79-BJ8-BJ9-Tax!BJ27-BJ13</f>
        <v>14.7209779279439</v>
      </c>
      <c r="BK14" s="11" t="n">
        <f aca="false">Operations!BK79-BK8-BK9-Tax!BK27-BK13</f>
        <v>27.2318511321822</v>
      </c>
      <c r="BL14" s="11" t="n">
        <f aca="false">Operations!BL79-BL8-BL9-Tax!BL27-BL13</f>
        <v>27.1271376996859</v>
      </c>
      <c r="BM14" s="11" t="n">
        <f aca="false">Operations!BM79-BM8-BM9-Tax!BM27-BM13</f>
        <v>4.80633156507572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38.9491173815476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46.1368972261347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48.7714699570877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36.2768151121511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35.4504283579917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34.5909953673414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34.223794860752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33.0090570128786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31.9768359020485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30.0568697644376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27.9489631245152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49.2869464996064</v>
      </c>
      <c r="Z20" s="11" t="n">
        <f aca="false">MAX(0,-Z12)</f>
        <v>46.3411862348289</v>
      </c>
      <c r="AA20" s="11" t="n">
        <f aca="false">MAX(0,-AA12)</f>
        <v>43.0024862586291</v>
      </c>
      <c r="AB20" s="11" t="n">
        <f aca="false">MAX(0,-AB12)</f>
        <v>39.4537455863297</v>
      </c>
      <c r="AC20" s="11" t="n">
        <f aca="false">MAX(0,-AC12)</f>
        <v>35.4811455879802</v>
      </c>
      <c r="AD20" s="11" t="n">
        <f aca="false">MAX(0,-AD12)</f>
        <v>34.4771217251635</v>
      </c>
      <c r="AE20" s="11" t="n">
        <f aca="false">MAX(0,-AE12)</f>
        <v>30.2735940527594</v>
      </c>
      <c r="AF20" s="11" t="n">
        <f aca="false">MAX(0,-AF12)</f>
        <v>25.2692307045772</v>
      </c>
      <c r="AG20" s="11" t="n">
        <f aca="false">MAX(0,-AG12)</f>
        <v>19.8309643140743</v>
      </c>
      <c r="AH20" s="11" t="n">
        <f aca="false">MAX(0,-AH12)</f>
        <v>14.0067457070083</v>
      </c>
      <c r="AI20" s="11" t="n">
        <f aca="false">MAX(0,-AI12)</f>
        <v>7.65741505956047</v>
      </c>
      <c r="AJ20" s="11" t="n">
        <f aca="false">MAX(0,-AJ12)</f>
        <v>0.888460590080557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916.188845429561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801.63345650961</v>
      </c>
      <c r="Z21" s="11" t="n">
        <f aca="false">Z16+Z17+Z18+Z19+Z20</f>
        <v>782.91103756766</v>
      </c>
      <c r="AA21" s="11" t="n">
        <f aca="false">AA16+AA17+AA18+AA19+AA20</f>
        <v>766.510981784708</v>
      </c>
      <c r="AB21" s="11" t="n">
        <f aca="false">AB16+AB17+AB18+AB19+AB20</f>
        <v>747.048444792008</v>
      </c>
      <c r="AC21" s="11" t="n">
        <f aca="false">AC16+AC17+AC18+AC19+AC20</f>
        <v>729.524997602801</v>
      </c>
      <c r="AD21" s="11" t="n">
        <f aca="false">AD16+AD17+AD18+AD19+AD20</f>
        <v>697.823318598726</v>
      </c>
      <c r="AE21" s="11" t="n">
        <f aca="false">AE16+AE17+AE18+AE19+AE20</f>
        <v>677.936664533434</v>
      </c>
      <c r="AF21" s="11" t="n">
        <f aca="false">AF16+AF17+AF18+AF19+AF20</f>
        <v>655.663870601847</v>
      </c>
      <c r="AG21" s="11" t="n">
        <f aca="false">AG16+AG17+AG18+AG19+AG20</f>
        <v>634.303246926821</v>
      </c>
      <c r="AH21" s="11" t="n">
        <f aca="false">AH16+AH17+AH18+AH19+AH20</f>
        <v>609.767239520542</v>
      </c>
      <c r="AI21" s="11" t="n">
        <f aca="false">AI16+AI17+AI18+AI19+AI20</f>
        <v>587.010092908463</v>
      </c>
      <c r="AJ21" s="11" t="n">
        <f aca="false">AJ16+AJ17+AJ18+AJ19+AJ20</f>
        <v>561.145246617418</v>
      </c>
      <c r="AK21" s="11" t="n">
        <f aca="false">AK16+AK17+AK18+AK19+AK20</f>
        <v>542.179098556811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401.159130519111</v>
      </c>
      <c r="AB22" s="11" t="n">
        <f aca="false">IF(Time!AB17&lt;Time!$F$11,SUMIFS(Funding!$J$73:$BJ$73,Construction!$J$12:$BJ$12,"&lt;="&amp;Time!AB17),Debt!AB123)</f>
        <v>372.335414403048</v>
      </c>
      <c r="AC22" s="11" t="n">
        <f aca="false">IF(Time!AC17&lt;Time!$F$11,SUMIFS(Funding!$J$73:$BJ$73,Construction!$J$12:$BJ$12,"&lt;="&amp;Time!AC17),Debt!AC123)</f>
        <v>343.544954418784</v>
      </c>
      <c r="AD22" s="11" t="n">
        <f aca="false">IF(Time!AD17&lt;Time!$F$11,SUMIFS(Funding!$J$73:$BJ$73,Construction!$J$12:$BJ$12,"&lt;="&amp;Time!AD17),Debt!AD123)</f>
        <v>311.825301573582</v>
      </c>
      <c r="AE22" s="11" t="n">
        <f aca="false">IF(Time!AE17&lt;Time!$F$11,SUMIFS(Funding!$J$73:$BJ$73,Construction!$J$12:$BJ$12,"&lt;="&amp;Time!AE17),Debt!AE123)</f>
        <v>279.09828670204</v>
      </c>
      <c r="AF22" s="11" t="n">
        <f aca="false">IF(Time!AF17&lt;Time!$F$11,SUMIFS(Funding!$J$73:$BJ$73,Construction!$J$12:$BJ$12,"&lt;="&amp;Time!AF17),Debt!AF123)</f>
        <v>245.393686754919</v>
      </c>
      <c r="AG22" s="11" t="n">
        <f aca="false">IF(Time!AG17&lt;Time!$F$11,SUMIFS(Funding!$J$73:$BJ$73,Construction!$J$12:$BJ$12,"&lt;="&amp;Time!AG17),Debt!AG123)</f>
        <v>211.750480568602</v>
      </c>
      <c r="AH22" s="11" t="n">
        <f aca="false">IF(Time!AH17&lt;Time!$F$11,SUMIFS(Funding!$J$73:$BJ$73,Construction!$J$12:$BJ$12,"&lt;="&amp;Time!AH17),Debt!AH123)</f>
        <v>176.664000438037</v>
      </c>
      <c r="AI22" s="11" t="n">
        <f aca="false">IF(Time!AI17&lt;Time!$F$11,SUMIFS(Funding!$J$73:$BJ$73,Construction!$J$12:$BJ$12,"&lt;="&amp;Time!AI17),Debt!AI123)</f>
        <v>141.515042762148</v>
      </c>
      <c r="AJ22" s="11" t="n">
        <f aca="false">IF(Time!AJ17&lt;Time!$F$11,SUMIFS(Funding!$J$73:$BJ$73,Construction!$J$12:$BJ$12,"&lt;="&amp;Time!AJ17),Debt!AJ123)</f>
        <v>105.32353228216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200.851964405689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198.792021490979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195.883944400014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193.500727343777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190.428644578043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188.078028841058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184.496467050837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179.86713600792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176.301715014184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173.216069289205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169.435086325444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171.797776215481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173.465080693343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175.494510459882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176.423390201459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176.701649542923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176.304622781631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175.394126018331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173.290733625238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170.190621894402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165.341948132363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147.885303210483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125.280484205608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98.7044643617838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72.5846526467877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32.6247721709455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24.2586136114806</v>
      </c>
      <c r="P24" s="11" t="n">
        <f aca="false">Operations!P85+Operations!P86+Operations!P87+Operations!P88+Operations!P89</f>
        <v>24.1665545501825</v>
      </c>
      <c r="Q24" s="11" t="n">
        <f aca="false">Operations!Q85+Operations!Q86+Operations!Q87+Operations!Q88+Operations!Q89</f>
        <v>24.9128763761288</v>
      </c>
      <c r="R24" s="11" t="n">
        <f aca="false">Operations!R85+Operations!R86+Operations!R87+Operations!R88+Operations!R89</f>
        <v>24.4280472491643</v>
      </c>
      <c r="S24" s="11" t="n">
        <f aca="false">Operations!S85+Operations!S86+Operations!S87+Operations!S88+Operations!S89</f>
        <v>25.3252496922635</v>
      </c>
      <c r="T24" s="11" t="n">
        <f aca="false">Operations!T85+Operations!T86+Operations!T87+Operations!T88+Operations!T89</f>
        <v>25.1149775152245</v>
      </c>
      <c r="U24" s="11" t="n">
        <f aca="false">Operations!U85+Operations!U86+Operations!U87+Operations!U88+Operations!U89</f>
        <v>25.5730531022548</v>
      </c>
      <c r="V24" s="11" t="n">
        <f aca="false">Operations!V85+Operations!V86+Operations!V87+Operations!V88+Operations!V89</f>
        <v>24.8334448745975</v>
      </c>
      <c r="W24" s="11" t="n">
        <f aca="false">Operations!W85+Operations!W86+Operations!W87+Operations!W88+Operations!W89</f>
        <v>25.9373513445947</v>
      </c>
      <c r="X24" s="11" t="n">
        <f aca="false">Operations!X85+Operations!X86+Operations!X87+Operations!X88+Operations!X89</f>
        <v>26.1007045679217</v>
      </c>
      <c r="Y24" s="11" t="n">
        <f aca="false">Operations!Y85+Operations!Y86+Operations!Y87+Operations!Y88+Operations!Y89</f>
        <v>26.9071594010118</v>
      </c>
      <c r="Z24" s="11" t="n">
        <f aca="false">Operations!Z85+Operations!Z86+Operations!Z87+Operations!Z88+Operations!Z89</f>
        <v>26.3829029979847</v>
      </c>
      <c r="AA24" s="11" t="n">
        <f aca="false">Operations!AA85+Operations!AA86+Operations!AA87+Operations!AA88+Operations!AA89</f>
        <v>27.3525195367158</v>
      </c>
      <c r="AB24" s="11" t="n">
        <f aca="false">Operations!AB85+Operations!AB86+Operations!AB87+Operations!AB88+Operations!AB89</f>
        <v>27.1251989650173</v>
      </c>
      <c r="AC24" s="11" t="n">
        <f aca="false">Operations!AC85+Operations!AC86+Operations!AC87+Operations!AC88+Operations!AC89</f>
        <v>27.453471397866</v>
      </c>
      <c r="AD24" s="11" t="n">
        <f aca="false">Operations!AD85+Operations!AD86+Operations!AD87+Operations!AD88+Operations!AD89</f>
        <v>26.3311820781173</v>
      </c>
      <c r="AE24" s="11" t="n">
        <f aca="false">Operations!AE85+Operations!AE86+Operations!AE87+Operations!AE88+Operations!AE89</f>
        <v>27.6719748417764</v>
      </c>
      <c r="AF24" s="11" t="n">
        <f aca="false">Operations!AF85+Operations!AF86+Operations!AF87+Operations!AF88+Operations!AF89</f>
        <v>28.1899811249992</v>
      </c>
      <c r="AG24" s="11" t="n">
        <f aca="false">Operations!AG85+Operations!AG86+Operations!AG87+Operations!AG88+Operations!AG89</f>
        <v>29.0613999566973</v>
      </c>
      <c r="AH24" s="11" t="n">
        <f aca="false">Operations!AH85+Operations!AH86+Operations!AH87+Operations!AH88+Operations!AH89</f>
        <v>28.4945254076874</v>
      </c>
      <c r="AI24" s="11" t="n">
        <f aca="false">Operations!AI85+Operations!AI86+Operations!AI87+Operations!AI88+Operations!AI89</f>
        <v>29.5423796488763</v>
      </c>
      <c r="AJ24" s="11" t="n">
        <f aca="false">Operations!AJ85+Operations!AJ86+Operations!AJ87+Operations!AJ88+Operations!AJ89</f>
        <v>29.2966308491916</v>
      </c>
      <c r="AK24" s="11" t="n">
        <f aca="false">Operations!AK85+Operations!AK86+Operations!AK87+Operations!AK88+Operations!AK89</f>
        <v>29.8308247254886</v>
      </c>
      <c r="AL24" s="11" t="n">
        <f aca="false">Operations!AL85+Operations!AL86+Operations!AL87+Operations!AL88+Operations!AL89</f>
        <v>28.9660303950168</v>
      </c>
      <c r="AM24" s="11" t="n">
        <f aca="false">Operations!AM85+Operations!AM86+Operations!AM87+Operations!AM88+Operations!AM89</f>
        <v>30.2555652995079</v>
      </c>
      <c r="AN24" s="11" t="n">
        <f aca="false">Operations!AN85+Operations!AN86+Operations!AN87+Operations!AN88+Operations!AN89</f>
        <v>30.4467896285846</v>
      </c>
      <c r="AO24" s="11" t="n">
        <f aca="false">Operations!AO85+Operations!AO86+Operations!AO87+Operations!AO88+Operations!AO89</f>
        <v>31.3883892738407</v>
      </c>
      <c r="AP24" s="11" t="n">
        <f aca="false">Operations!AP85+Operations!AP86+Operations!AP87+Operations!AP88+Operations!AP89</f>
        <v>30.7754495980045</v>
      </c>
      <c r="AQ24" s="11" t="n">
        <f aca="false">Operations!AQ85+Operations!AQ86+Operations!AQ87+Operations!AQ88+Operations!AQ89</f>
        <v>31.9078305850272</v>
      </c>
      <c r="AR24" s="11" t="n">
        <f aca="false">Operations!AR85+Operations!AR86+Operations!AR87+Operations!AR88+Operations!AR89</f>
        <v>31.6421630396818</v>
      </c>
      <c r="AS24" s="11" t="n">
        <f aca="false">Operations!AS85+Operations!AS86+Operations!AS87+Operations!AS88+Operations!AS89</f>
        <v>32.0244281298117</v>
      </c>
      <c r="AT24" s="11" t="n">
        <f aca="false">Operations!AT85+Operations!AT86+Operations!AT87+Operations!AT88+Operations!AT89</f>
        <v>30.7123951687644</v>
      </c>
      <c r="AU24" s="11" t="n">
        <f aca="false">Operations!AU85+Operations!AU86+Operations!AU87+Operations!AU88+Operations!AU89</f>
        <v>32.2785746681732</v>
      </c>
      <c r="AV24" s="11" t="n">
        <f aca="false">Operations!AV85+Operations!AV86+Operations!AV87+Operations!AV88+Operations!AV89</f>
        <v>32.8845232327764</v>
      </c>
      <c r="AW24" s="11" t="n">
        <f aca="false">Operations!AW85+Operations!AW86+Operations!AW87+Operations!AW88+Operations!AW89</f>
        <v>33.9019369254648</v>
      </c>
      <c r="AX24" s="11" t="n">
        <f aca="false">Operations!AX85+Operations!AX86+Operations!AX87+Operations!AX88+Operations!AX89</f>
        <v>33.2392086611303</v>
      </c>
      <c r="AY24" s="11" t="n">
        <f aca="false">Operations!AY85+Operations!AY86+Operations!AY87+Operations!AY88+Operations!AY89</f>
        <v>34.4629078006078</v>
      </c>
      <c r="AZ24" s="11" t="n">
        <f aca="false">Operations!AZ85+Operations!AZ86+Operations!AZ87+Operations!AZ88+Operations!AZ89</f>
        <v>34.1757115161918</v>
      </c>
      <c r="BA24" s="11" t="n">
        <f aca="false">Operations!BA85+Operations!BA86+Operations!BA87+Operations!BA88+Operations!BA89</f>
        <v>34.7986485106814</v>
      </c>
      <c r="BB24" s="11" t="n">
        <f aca="false">Operations!BB85+Operations!BB86+Operations!BB87+Operations!BB88+Operations!BB89</f>
        <v>33.7876294522977</v>
      </c>
      <c r="BC24" s="11" t="n">
        <f aca="false">Operations!BC85+Operations!BC86+Operations!BC87+Operations!BC88+Operations!BC89</f>
        <v>35.2938596471839</v>
      </c>
      <c r="BD24" s="11" t="n">
        <f aca="false">Operations!BD85+Operations!BD86+Operations!BD87+Operations!BD88+Operations!BD89</f>
        <v>35.5176410401575</v>
      </c>
      <c r="BE24" s="11" t="n">
        <f aca="false">Operations!BE85+Operations!BE86+Operations!BE87+Operations!BE88+Operations!BE89</f>
        <v>36.6169514344385</v>
      </c>
      <c r="BF24" s="11" t="n">
        <f aca="false">Operations!BF85+Operations!BF86+Operations!BF87+Operations!BF88+Operations!BF89</f>
        <v>35.9004126655721</v>
      </c>
      <c r="BG24" s="11" t="n">
        <f aca="false">Operations!BG85+Operations!BG86+Operations!BG87+Operations!BG88+Operations!BG89</f>
        <v>37.2227635586869</v>
      </c>
      <c r="BH24" s="11" t="n">
        <f aca="false">Operations!BH85+Operations!BH86+Operations!BH87+Operations!BH88+Operations!BH89</f>
        <v>36.9122995841322</v>
      </c>
      <c r="BI24" s="11" t="n">
        <f aca="false">Operations!BI85+Operations!BI86+Operations!BI87+Operations!BI88+Operations!BI89</f>
        <v>37.357443312395</v>
      </c>
      <c r="BJ24" s="11" t="n">
        <f aca="false">Operations!BJ85+Operations!BJ86+Operations!BJ87+Operations!BJ88+Operations!BJ89</f>
        <v>35.8238140484636</v>
      </c>
      <c r="BK24" s="11" t="n">
        <f aca="false">Operations!BK85+Operations!BK86+Operations!BK87+Operations!BK88+Operations!BK89</f>
        <v>37.653080539787</v>
      </c>
      <c r="BL24" s="11" t="n">
        <f aca="false">Operations!BL85+Operations!BL86+Operations!BL87+Operations!BL88+Operations!BL89</f>
        <v>38.3617524515271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6.45123738793855</v>
      </c>
      <c r="AL25" s="11" t="n">
        <f aca="false">MAX(0,AL12)</f>
        <v>13.4387482611637</v>
      </c>
      <c r="AM25" s="11" t="n">
        <f aca="false">MAX(0,AM12)</f>
        <v>21.8648401415686</v>
      </c>
      <c r="AN25" s="11" t="n">
        <f aca="false">MAX(0,AN12)</f>
        <v>30.8141622011614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9.44609069121115</v>
      </c>
      <c r="P27" s="16" t="n">
        <f aca="false">Waterfall!P43</f>
        <v>15.8193268888995</v>
      </c>
      <c r="Q27" s="16" t="n">
        <f aca="false">Waterfall!Q43</f>
        <v>23.4815393727732</v>
      </c>
      <c r="R27" s="16" t="n">
        <f aca="false">Waterfall!R43</f>
        <v>31.5489984240967</v>
      </c>
      <c r="S27" s="16" t="n">
        <f aca="false">Waterfall!S43</f>
        <v>40.7821747223983</v>
      </c>
      <c r="T27" s="16" t="n">
        <f aca="false">Waterfall!T43</f>
        <v>50.4267894888981</v>
      </c>
      <c r="U27" s="16" t="n">
        <f aca="false">Waterfall!U43</f>
        <v>61.2330380942989</v>
      </c>
      <c r="V27" s="16" t="n">
        <f aca="false">Waterfall!V43</f>
        <v>70.2760850883358</v>
      </c>
      <c r="W27" s="16" t="n">
        <f aca="false">Waterfall!W43</f>
        <v>83.057131539936</v>
      </c>
      <c r="X27" s="16" t="n">
        <f aca="false">Waterfall!X43</f>
        <v>96.4268993850452</v>
      </c>
      <c r="Y27" s="16" t="n">
        <f aca="false">Waterfall!Y43</f>
        <v>107.883819529588</v>
      </c>
      <c r="Z27" s="16" t="n">
        <f aca="false">Waterfall!Z43</f>
        <v>114.401768612728</v>
      </c>
      <c r="AA27" s="16" t="n">
        <f aca="false">Waterfall!AA43</f>
        <v>121.834801996589</v>
      </c>
      <c r="AB27" s="16" t="n">
        <f aca="false">Waterfall!AB43</f>
        <v>129.755997213789</v>
      </c>
      <c r="AC27" s="16" t="n">
        <f aca="false">Waterfall!AC43</f>
        <v>138.665307809458</v>
      </c>
      <c r="AD27" s="16" t="n">
        <f aca="false">Waterfall!AD43</f>
        <v>138.876691228756</v>
      </c>
      <c r="AE27" s="16" t="n">
        <f aca="false">Waterfall!AE43</f>
        <v>150.097999929883</v>
      </c>
      <c r="AF27" s="16" t="n">
        <f aca="false">Waterfall!AF43</f>
        <v>161.408826423486</v>
      </c>
      <c r="AG27" s="16" t="n">
        <f aca="false">Waterfall!AG43</f>
        <v>173.730486866378</v>
      </c>
      <c r="AH27" s="16" t="n">
        <f aca="false">Waterfall!AH43</f>
        <v>186.951226532769</v>
      </c>
      <c r="AI27" s="16" t="n">
        <f aca="false">Waterfall!AI43</f>
        <v>201.395295086226</v>
      </c>
      <c r="AJ27" s="16" t="n">
        <f aca="false">Waterfall!AJ43</f>
        <v>216.816381836892</v>
      </c>
      <c r="AK27" s="16" t="n">
        <f aca="false">Waterfall!AK43</f>
        <v>233.567912178906</v>
      </c>
      <c r="AL27" s="16" t="n">
        <f aca="false">Waterfall!AL43</f>
        <v>249.496914580825</v>
      </c>
      <c r="AM27" s="16" t="n">
        <f aca="false">Waterfall!AM43</f>
        <v>268.780207951914</v>
      </c>
      <c r="AN27" s="16" t="n">
        <f aca="false">Waterfall!AN43</f>
        <v>289.281389702029</v>
      </c>
      <c r="AO27" s="16" t="n">
        <f aca="false">Waterfall!AO43</f>
        <v>311.521588869675</v>
      </c>
      <c r="AP27" s="16" t="n">
        <f aca="false">Waterfall!AP43</f>
        <v>328.557800899706</v>
      </c>
      <c r="AQ27" s="16" t="n">
        <f aca="false">Waterfall!AQ43</f>
        <v>313.489806857554</v>
      </c>
      <c r="AR27" s="16" t="n">
        <f aca="false">Waterfall!AR43</f>
        <v>297.900761093453</v>
      </c>
      <c r="AS27" s="16" t="n">
        <f aca="false">Waterfall!AS43</f>
        <v>282.750653755671</v>
      </c>
      <c r="AT27" s="16" t="n">
        <f aca="false">Waterfall!AT43</f>
        <v>250.563877064804</v>
      </c>
      <c r="AU27" s="16" t="n">
        <f aca="false">Waterfall!AU43</f>
        <v>233.401260008627</v>
      </c>
      <c r="AV27" s="16" t="n">
        <f aca="false">Waterfall!AV43</f>
        <v>216.052305153981</v>
      </c>
      <c r="AW27" s="16" t="n">
        <f aca="false">Waterfall!AW43</f>
        <v>199.235438051147</v>
      </c>
      <c r="AX27" s="16" t="n">
        <f aca="false">Waterfall!AX43</f>
        <v>181.886229689613</v>
      </c>
      <c r="AY27" s="16" t="n">
        <f aca="false">Waterfall!AY43</f>
        <v>165.072511106004</v>
      </c>
      <c r="AZ27" s="16" t="n">
        <f aca="false">Waterfall!AZ43</f>
        <v>147.722253612327</v>
      </c>
      <c r="BA27" s="16" t="n">
        <f aca="false">Waterfall!BA43</f>
        <v>131.319754303636</v>
      </c>
      <c r="BB27" s="16" t="n">
        <f aca="false">Waterfall!BB43</f>
        <v>111.431320526616</v>
      </c>
      <c r="BC27" s="16" t="n">
        <f aca="false">Waterfall!BC43</f>
        <v>97.4762570662057</v>
      </c>
      <c r="BD27" s="16" t="n">
        <f aca="false">Waterfall!BD43</f>
        <v>89.6356353309634</v>
      </c>
      <c r="BE27" s="16" t="n">
        <f aca="false">Waterfall!BE43</f>
        <v>82.3611506853409</v>
      </c>
      <c r="BF27" s="16" t="n">
        <f aca="false">Waterfall!BF43</f>
        <v>74.5551798034407</v>
      </c>
      <c r="BG27" s="16" t="n">
        <f aca="false">Waterfall!BG43</f>
        <v>67.3179477498877</v>
      </c>
      <c r="BH27" s="16" t="n">
        <f aca="false">Waterfall!BH43</f>
        <v>59.5447707155337</v>
      </c>
      <c r="BI27" s="16" t="n">
        <f aca="false">Waterfall!BI43</f>
        <v>52.2575095424249</v>
      </c>
      <c r="BJ27" s="16" t="n">
        <f aca="false">Waterfall!BJ43</f>
        <v>24.7856349961714</v>
      </c>
      <c r="BK27" s="16" t="n">
        <f aca="false">Waterfall!BK43</f>
        <v>15.0974083073033</v>
      </c>
      <c r="BL27" s="16" t="n">
        <f aca="false">Waterfall!BL43</f>
        <v>4.59637060959349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916.188845429561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880.908176657116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801.63345650961</v>
      </c>
      <c r="Z28" s="11" t="n">
        <f aca="false">Z22+Z23+Z24+Z25+Z26+Z27</f>
        <v>782.91103756766</v>
      </c>
      <c r="AA28" s="11" t="n">
        <f aca="false">AA22+AA23+AA24+AA25+AA26+AA27</f>
        <v>766.510981784708</v>
      </c>
      <c r="AB28" s="11" t="n">
        <f aca="false">AB22+AB23+AB24+AB25+AB26+AB27</f>
        <v>747.048444792008</v>
      </c>
      <c r="AC28" s="11" t="n">
        <f aca="false">AC22+AC23+AC24+AC25+AC26+AC27</f>
        <v>729.524997602801</v>
      </c>
      <c r="AD28" s="11" t="n">
        <f aca="false">AD22+AD23+AD24+AD25+AD26+AD27</f>
        <v>697.823318598726</v>
      </c>
      <c r="AE28" s="11" t="n">
        <f aca="false">AE22+AE23+AE24+AE25+AE26+AE27</f>
        <v>677.936664533434</v>
      </c>
      <c r="AF28" s="11" t="n">
        <f aca="false">AF22+AF23+AF24+AF25+AF26+AF27</f>
        <v>655.663870601846</v>
      </c>
      <c r="AG28" s="11" t="n">
        <f aca="false">AG22+AG23+AG24+AG25+AG26+AG27</f>
        <v>634.303246926821</v>
      </c>
      <c r="AH28" s="11" t="n">
        <f aca="false">AH22+AH23+AH24+AH25+AH26+AH27</f>
        <v>609.767239520542</v>
      </c>
      <c r="AI28" s="11" t="n">
        <f aca="false">AI22+AI23+AI24+AI25+AI26+AI27</f>
        <v>587.010092908463</v>
      </c>
      <c r="AJ28" s="11" t="n">
        <f aca="false">AJ22+AJ23+AJ24+AJ25+AJ26+AJ27</f>
        <v>561.145246617418</v>
      </c>
      <c r="AK28" s="11" t="n">
        <f aca="false">AK22+AK23+AK24+AK25+AK26+AK27</f>
        <v>542.179098556811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0.0352818865061036</v>
      </c>
      <c r="AC7" s="14" t="n">
        <f aca="false">IF(Debt!AC122&gt;0.000000001,Debt!AC119/Debt!AC122,0)</f>
        <v>0.0347904933490352</v>
      </c>
      <c r="AD7" s="14" t="n">
        <f aca="false">IF(Debt!AD122&gt;0.000000001,Debt!AD119/Debt!AD122,0)</f>
        <v>0.0347866183018009</v>
      </c>
      <c r="AE7" s="14" t="n">
        <f aca="false">IF(Debt!AE122&gt;0.000000001,Debt!AE119/Debt!AE122,0)</f>
        <v>0.034089582981237</v>
      </c>
      <c r="AF7" s="14" t="n">
        <f aca="false">IF(Debt!AF122&gt;0.000000001,Debt!AF119/Debt!AF122,0)</f>
        <v>0.0340237943393465</v>
      </c>
      <c r="AG7" s="14" t="n">
        <f aca="false">IF(Debt!AG122&gt;0.000000001,Debt!AG119/Debt!AG122,0)</f>
        <v>0.033963065694785</v>
      </c>
      <c r="AH7" s="14" t="n">
        <f aca="false">IF(Debt!AH122&gt;0.000000001,Debt!AH119/Debt!AH122,0)</f>
        <v>0.0335360887867949</v>
      </c>
      <c r="AI7" s="14" t="n">
        <f aca="false">IF(Debt!AI122&gt;0.000000001,Debt!AI119/Debt!AI122,0)</f>
        <v>0.0321590099738479</v>
      </c>
      <c r="AJ7" s="14" t="n">
        <f aca="false">IF(Debt!AJ122&gt;0.000000001,Debt!AJ119/Debt!AJ122,0)</f>
        <v>0.0308958940516962</v>
      </c>
      <c r="AK7" s="14" t="n">
        <f aca="false">IF(Debt!AK122&gt;0.000000001,Debt!AK119/Debt!AK122,0)</f>
        <v>0.0281929968483184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0.0352818865061036</v>
      </c>
      <c r="AC10" s="14" t="n">
        <f aca="false">IF(AC7&gt;0,AC7,$F$9)</f>
        <v>0.0347904933490352</v>
      </c>
      <c r="AD10" s="14" t="n">
        <f aca="false">IF(AD7&gt;0,AD7,$F$9)</f>
        <v>0.0347866183018009</v>
      </c>
      <c r="AE10" s="14" t="n">
        <f aca="false">IF(AE7&gt;0,AE7,$F$9)</f>
        <v>0.034089582981237</v>
      </c>
      <c r="AF10" s="14" t="n">
        <f aca="false">IF(AF7&gt;0,AF7,$F$9)</f>
        <v>0.0340237943393465</v>
      </c>
      <c r="AG10" s="14" t="n">
        <f aca="false">IF(AG7&gt;0,AG7,$F$9)</f>
        <v>0.033963065694785</v>
      </c>
      <c r="AH10" s="14" t="n">
        <f aca="false">IF(AH7&gt;0,AH7,$F$9)</f>
        <v>0.0335360887867949</v>
      </c>
      <c r="AI10" s="14" t="n">
        <f aca="false">IF(AI7&gt;0,AI7,$F$9)</f>
        <v>0.0321590099738479</v>
      </c>
      <c r="AJ10" s="14" t="n">
        <f aca="false">IF(AJ7&gt;0,AJ7,$F$9)</f>
        <v>0.0308958940516962</v>
      </c>
      <c r="AK10" s="14" t="n">
        <f aca="false">IF(AK7&gt;0,AK7,$F$9)</f>
        <v>0.0281929968483184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723.201328585832</v>
      </c>
      <c r="K11" s="11" t="n">
        <f aca="false">IF(Time!K17&lt;=$F$8,(Waterfall!K7+L11)/(1+K10),0)</f>
        <v>742.736396216101</v>
      </c>
      <c r="L11" s="11" t="n">
        <f aca="false">IF(Time!L17&lt;=$F$8,(Waterfall!L7+M11)/(1+L10),0)</f>
        <v>762.79914383289</v>
      </c>
      <c r="M11" s="11" t="n">
        <f aca="false">IF(Time!M17&lt;=$F$8,(Waterfall!M7+N11)/(1+M10),0)</f>
        <v>783.403825093951</v>
      </c>
      <c r="N11" s="11" t="n">
        <f aca="false">IF(Time!N17&lt;=$F$8,(Waterfall!N7+O11)/(1+N10),0)</f>
        <v>804.565078675921</v>
      </c>
      <c r="O11" s="11" t="n">
        <f aca="false">IF(Time!O17&lt;=$F$8,(Waterfall!O7+P11)/(1+O10),0)</f>
        <v>826.297938674424</v>
      </c>
      <c r="P11" s="11" t="n">
        <f aca="false">IF(Time!P17&lt;=$F$8,(Waterfall!P7+Q11)/(1+P10),0)</f>
        <v>846.914623340654</v>
      </c>
      <c r="Q11" s="11" t="n">
        <f aca="false">IF(Time!Q17&lt;=$F$8,(Waterfall!Q7+R11)/(1+Q10),0)</f>
        <v>826.737134030958</v>
      </c>
      <c r="R11" s="11" t="n">
        <f aca="false">IF(Time!R17&lt;=$F$8,(Waterfall!R7+S11)/(1+R10),0)</f>
        <v>805.709716085494</v>
      </c>
      <c r="S11" s="11" t="n">
        <f aca="false">IF(Time!S17&lt;=$F$8,(Waterfall!S7+T11)/(1+S10),0)</f>
        <v>783.649056455602</v>
      </c>
      <c r="T11" s="11" t="n">
        <f aca="false">IF(Time!T17&lt;=$F$8,(Waterfall!T7+U11)/(1+T10),0)</f>
        <v>760.949985135653</v>
      </c>
      <c r="U11" s="11" t="n">
        <f aca="false">IF(Time!U17&lt;=$F$8,(Waterfall!U7+V11)/(1+U10),0)</f>
        <v>737.211886269092</v>
      </c>
      <c r="V11" s="11" t="n">
        <f aca="false">IF(Time!V17&lt;=$F$8,(Waterfall!V7+W11)/(1+V10),0)</f>
        <v>712.726708902934</v>
      </c>
      <c r="W11" s="11" t="n">
        <f aca="false">IF(Time!W17&lt;=$F$8,(Waterfall!W7+X11)/(1+W10),0)</f>
        <v>686.627738754528</v>
      </c>
      <c r="X11" s="11" t="n">
        <f aca="false">IF(Time!X17&lt;=$F$8,(Waterfall!X7+Y11)/(1+X10),0)</f>
        <v>659.742320298646</v>
      </c>
      <c r="Y11" s="11" t="n">
        <f aca="false">IF(Time!Y17&lt;=$F$8,(Waterfall!Y7+Z11)/(1+Y10),0)</f>
        <v>633.683246617885</v>
      </c>
      <c r="Z11" s="11" t="n">
        <f aca="false">IF(Time!Z17&lt;=$F$8,(Waterfall!Z7+AA11)/(1+Z10),0)</f>
        <v>607.65418357115</v>
      </c>
      <c r="AA11" s="11" t="n">
        <f aca="false">IF(Time!AA17&lt;=$F$8,(Waterfall!AA7+AB11)/(1+AA10),0)</f>
        <v>580.558363523421</v>
      </c>
      <c r="AB11" s="11" t="n">
        <f aca="false">IF(Time!AB17&lt;=$F$8,(Waterfall!AB7+AC11)/(1+AB10),0)</f>
        <v>552.684464499827</v>
      </c>
      <c r="AC11" s="11" t="n">
        <f aca="false">IF(Time!AC17&lt;=$F$8,(Waterfall!AC7+AD11)/(1+AC10),0)</f>
        <v>523.378250517156</v>
      </c>
      <c r="AD11" s="11" t="n">
        <f aca="false">IF(Time!AD17&lt;=$F$8,(Waterfall!AD7+AE11)/(1+AD10),0)</f>
        <v>492.993227787256</v>
      </c>
      <c r="AE11" s="11" t="n">
        <f aca="false">IF(Time!AE17&lt;=$F$8,(Waterfall!AE7+AF11)/(1+AE10),0)</f>
        <v>459.654950081344</v>
      </c>
      <c r="AF11" s="11" t="n">
        <f aca="false">IF(Time!AF17&lt;=$F$8,(Waterfall!AF7+AG11)/(1+AF10),0)</f>
        <v>424.76079896569</v>
      </c>
      <c r="AG11" s="11" t="n">
        <f aca="false">IF(Time!AG17&lt;=$F$8,(Waterfall!AG7+AH11)/(1+AG10),0)</f>
        <v>388.507709949327</v>
      </c>
      <c r="AH11" s="11" t="n">
        <f aca="false">IF(Time!AH17&lt;=$F$8,(Waterfall!AH7+AI11)/(1+AH10),0)</f>
        <v>351.371588107525</v>
      </c>
      <c r="AI11" s="11" t="n">
        <f aca="false">IF(Time!AI17&lt;=$F$8,(Waterfall!AI7+AJ11)/(1+AI10),0)</f>
        <v>312.174530470795</v>
      </c>
      <c r="AJ11" s="11" t="n">
        <f aca="false">IF(Time!AJ17&lt;=$F$8,(Waterfall!AJ7+AK11)/(1+AJ10),0)</f>
        <v>271.647339370986</v>
      </c>
      <c r="AK11" s="11" t="n">
        <f aca="false">IF(Time!AK17&lt;=$F$8,(Waterfall!AK7+AL11)/(1+AK10),0)</f>
        <v>228.892604046342</v>
      </c>
      <c r="AL11" s="11" t="n">
        <f aca="false">IF(Time!AL17&lt;=$F$8,(Waterfall!AL7+AM11)/(1+AL10),0)</f>
        <v>184.444385991673</v>
      </c>
      <c r="AM11" s="11" t="n">
        <f aca="false">IF(Time!AM17&lt;=$F$8,(Waterfall!AM7+AN11)/(1+AM10),0)</f>
        <v>137.456996358285</v>
      </c>
      <c r="AN11" s="11" t="n">
        <f aca="false">IF(Time!AN17&lt;=$F$8,(Waterfall!AN7+AO11)/(1+AN10),0)</f>
        <v>89.5600266513636</v>
      </c>
      <c r="AO11" s="11" t="n">
        <f aca="false">IF(Time!AO17&lt;=$F$8,(Waterfall!AO7+AP11)/(1+AO10),0)</f>
        <v>42.2383734150535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985.261602482617</v>
      </c>
      <c r="K12" s="11" t="n">
        <f aca="false">IF(Time!K17&lt;=Time!$F$14,(Waterfall!K7+L12)/(1+K10),0)</f>
        <v>1011.87542532451</v>
      </c>
      <c r="L12" s="11" t="n">
        <f aca="false">IF(Time!L17&lt;=Time!$F$14,(Waterfall!L7+M12)/(1+L10),0)</f>
        <v>1039.20813903201</v>
      </c>
      <c r="M12" s="11" t="n">
        <f aca="false">IF(Time!M17&lt;=Time!$F$14,(Waterfall!M7+N12)/(1+M10),0)</f>
        <v>1067.27916223881</v>
      </c>
      <c r="N12" s="11" t="n">
        <f aca="false">IF(Time!N17&lt;=Time!$F$14,(Waterfall!N7+O12)/(1+N10),0)</f>
        <v>1096.10843811345</v>
      </c>
      <c r="O12" s="11" t="n">
        <f aca="false">IF(Time!O17&lt;=Time!$F$14,(Waterfall!O7+P12)/(1+O10),0)</f>
        <v>1125.7164485281</v>
      </c>
      <c r="P12" s="11" t="n">
        <f aca="false">IF(Time!P17&lt;=Time!$F$14,(Waterfall!P7+Q12)/(1+P10),0)</f>
        <v>1154.42100666545</v>
      </c>
      <c r="Q12" s="11" t="n">
        <f aca="false">IF(Time!Q17&lt;=Time!$F$14,(Waterfall!Q7+R12)/(1+Q10),0)</f>
        <v>1144.80822527929</v>
      </c>
      <c r="R12" s="11" t="n">
        <f aca="false">IF(Time!R17&lt;=Time!$F$14,(Waterfall!R7+S12)/(1+R10),0)</f>
        <v>1134.59918754683</v>
      </c>
      <c r="S12" s="11" t="n">
        <f aca="false">IF(Time!S17&lt;=Time!$F$14,(Waterfall!S7+T12)/(1+S10),0)</f>
        <v>1123.84601797689</v>
      </c>
      <c r="T12" s="11" t="n">
        <f aca="false">IF(Time!T17&lt;=Time!$F$14,(Waterfall!T7+U12)/(1+T10),0)</f>
        <v>1112.72202519673</v>
      </c>
      <c r="U12" s="11" t="n">
        <f aca="false">IF(Time!U17&lt;=Time!$F$14,(Waterfall!U7+V12)/(1+U10),0)</f>
        <v>1101.08249291079</v>
      </c>
      <c r="V12" s="11" t="n">
        <f aca="false">IF(Time!V17&lt;=Time!$F$14,(Waterfall!V7+W12)/(1+V10),0)</f>
        <v>1089.02258438366</v>
      </c>
      <c r="W12" s="11" t="n">
        <f aca="false">IF(Time!W17&lt;=Time!$F$14,(Waterfall!W7+X12)/(1+W10),0)</f>
        <v>1075.86563402376</v>
      </c>
      <c r="X12" s="11" t="n">
        <f aca="false">IF(Time!X17&lt;=Time!$F$14,(Waterfall!X7+Y12)/(1+X10),0)</f>
        <v>1062.22389413649</v>
      </c>
      <c r="Y12" s="11" t="n">
        <f aca="false">IF(Time!Y17&lt;=Time!$F$14,(Waterfall!Y7+Z12)/(1+Y10),0)</f>
        <v>1050.00745023865</v>
      </c>
      <c r="Z12" s="11" t="n">
        <f aca="false">IF(Time!Z17&lt;=Time!$F$14,(Waterfall!Z7+AA12)/(1+Z10),0)</f>
        <v>1038.58556233635</v>
      </c>
      <c r="AA12" s="11" t="n">
        <f aca="false">IF(Time!AA17&lt;=Time!$F$14,(Waterfall!AA7+AB12)/(1+AA10),0)</f>
        <v>1026.77583221678</v>
      </c>
      <c r="AB12" s="11" t="n">
        <f aca="false">IF(Time!AB17&lt;=Time!$F$14,(Waterfall!AB7+AC12)/(1+AB10),0)</f>
        <v>1014.55794516901</v>
      </c>
      <c r="AC12" s="11" t="n">
        <f aca="false">IF(Time!AC17&lt;=Time!$F$14,(Waterfall!AC7+AD12)/(1+AC10),0)</f>
        <v>1001.54749891148</v>
      </c>
      <c r="AD12" s="11" t="n">
        <f aca="false">IF(Time!AD17&lt;=Time!$F$14,(Waterfall!AD7+AE12)/(1+AD10),0)</f>
        <v>987.79822023756</v>
      </c>
      <c r="AE12" s="11" t="n">
        <f aca="false">IF(Time!AE17&lt;=Time!$F$14,(Waterfall!AE7+AF12)/(1+AE10),0)</f>
        <v>971.672534937842</v>
      </c>
      <c r="AF12" s="11" t="n">
        <f aca="false">IF(Time!AF17&lt;=Time!$F$14,(Waterfall!AF7+AG12)/(1+AF10),0)</f>
        <v>954.232849769006</v>
      </c>
      <c r="AG12" s="11" t="n">
        <f aca="false">IF(Time!AG17&lt;=Time!$F$14,(Waterfall!AG7+AH12)/(1+AG10),0)</f>
        <v>935.994408917607</v>
      </c>
      <c r="AH12" s="11" t="n">
        <f aca="false">IF(Time!AH17&lt;=Time!$F$14,(Waterfall!AH7+AI12)/(1+AH10),0)</f>
        <v>917.452613799886</v>
      </c>
      <c r="AI12" s="11" t="n">
        <f aca="false">IF(Time!AI17&lt;=Time!$F$14,(Waterfall!AI7+AJ12)/(1+AI10),0)</f>
        <v>897.239699701295</v>
      </c>
      <c r="AJ12" s="11" t="n">
        <f aca="false">IF(Time!AJ17&lt;=Time!$F$14,(Waterfall!AJ7+AK12)/(1+AJ10),0)</f>
        <v>875.52762521412</v>
      </c>
      <c r="AK12" s="11" t="n">
        <f aca="false">IF(Time!AK17&lt;=Time!$F$14,(Waterfall!AK7+AL12)/(1+AK10),0)</f>
        <v>851.430311220794</v>
      </c>
      <c r="AL12" s="11" t="n">
        <f aca="false">IF(Time!AL17&lt;=Time!$F$14,(Waterfall!AL7+AM12)/(1+AL10),0)</f>
        <v>824.533296782454</v>
      </c>
      <c r="AM12" s="11" t="n">
        <f aca="false">IF(Time!AM17&lt;=Time!$F$14,(Waterfall!AM7+AN12)/(1+AM10),0)</f>
        <v>794.920810912784</v>
      </c>
      <c r="AN12" s="11" t="n">
        <f aca="false">IF(Time!AN17&lt;=Time!$F$14,(Waterfall!AN7+AO12)/(1+AN10),0)</f>
        <v>764.783211348187</v>
      </c>
      <c r="AO12" s="11" t="n">
        <f aca="false">IF(Time!AO17&lt;=Time!$F$14,(Waterfall!AO7+AP12)/(1+AO10),0)</f>
        <v>735.79016474036</v>
      </c>
      <c r="AP12" s="11" t="n">
        <f aca="false">IF(Time!AP17&lt;=Time!$F$14,(Waterfall!AP7+AQ12)/(1+AP10),0)</f>
        <v>712.285967567941</v>
      </c>
      <c r="AQ12" s="11" t="n">
        <f aca="false">IF(Time!AQ17&lt;=Time!$F$14,(Waterfall!AQ7+AR12)/(1+AQ10),0)</f>
        <v>690.374015553488</v>
      </c>
      <c r="AR12" s="11" t="n">
        <f aca="false">IF(Time!AR17&lt;=Time!$F$14,(Waterfall!AR7+AS12)/(1+AR10),0)</f>
        <v>668.788931792809</v>
      </c>
      <c r="AS12" s="11" t="n">
        <f aca="false">IF(Time!AS17&lt;=Time!$F$14,(Waterfall!AS7+AT12)/(1+AS10),0)</f>
        <v>646.042081850578</v>
      </c>
      <c r="AT12" s="11" t="n">
        <f aca="false">IF(Time!AT17&lt;=Time!$F$14,(Waterfall!AT7+AU12)/(1+AT10),0)</f>
        <v>622.950458512446</v>
      </c>
      <c r="AU12" s="11" t="n">
        <f aca="false">IF(Time!AU17&lt;=Time!$F$14,(Waterfall!AU7+AV12)/(1+AU10),0)</f>
        <v>592.517525255124</v>
      </c>
      <c r="AV12" s="11" t="n">
        <f aca="false">IF(Time!AV17&lt;=Time!$F$14,(Waterfall!AV7+AW12)/(1+AV10),0)</f>
        <v>565.704094212971</v>
      </c>
      <c r="AW12" s="11" t="n">
        <f aca="false">IF(Time!AW17&lt;=Time!$F$14,(Waterfall!AW7+AX12)/(1+AW10),0)</f>
        <v>538.061317054998</v>
      </c>
      <c r="AX12" s="11" t="n">
        <f aca="false">IF(Time!AX17&lt;=Time!$F$14,(Waterfall!AX7+AY12)/(1+AX10),0)</f>
        <v>510.099431394325</v>
      </c>
      <c r="AY12" s="11" t="n">
        <f aca="false">IF(Time!AY17&lt;=Time!$F$14,(Waterfall!AY7+AZ12)/(1+AY10),0)</f>
        <v>480.726241986793</v>
      </c>
      <c r="AZ12" s="11" t="n">
        <f aca="false">IF(Time!AZ17&lt;=Time!$F$14,(Waterfall!AZ7+BA12)/(1+AZ10),0)</f>
        <v>451.019810206826</v>
      </c>
      <c r="BA12" s="11" t="n">
        <f aca="false">IF(Time!BA17&lt;=Time!$F$14,(Waterfall!BA7+BB12)/(1+BA10),0)</f>
        <v>419.912315503781</v>
      </c>
      <c r="BB12" s="11" t="n">
        <f aca="false">IF(Time!BB17&lt;=Time!$F$14,(Waterfall!BB7+BC12)/(1+BB10),0)</f>
        <v>388.266899067387</v>
      </c>
      <c r="BC12" s="11" t="n">
        <f aca="false">IF(Time!BC17&lt;=Time!$F$14,(Waterfall!BC7+BD12)/(1+BC10),0)</f>
        <v>353.536447912068</v>
      </c>
      <c r="BD12" s="11" t="n">
        <f aca="false">IF(Time!BD17&lt;=Time!$F$14,(Waterfall!BD7+BE12)/(1+BD10),0)</f>
        <v>321.271720810395</v>
      </c>
      <c r="BE12" s="11" t="n">
        <f aca="false">IF(Time!BE17&lt;=Time!$F$14,(Waterfall!BE7+BF12)/(1+BE10),0)</f>
        <v>294.254724275004</v>
      </c>
      <c r="BF12" s="11" t="n">
        <f aca="false">IF(Time!BF17&lt;=Time!$F$14,(Waterfall!BF7+BG12)/(1+BF10),0)</f>
        <v>266.944405668246</v>
      </c>
      <c r="BG12" s="11" t="n">
        <f aca="false">IF(Time!BG17&lt;=Time!$F$14,(Waterfall!BG7+BH12)/(1+BG10),0)</f>
        <v>238.212634830249</v>
      </c>
      <c r="BH12" s="11" t="n">
        <f aca="false">IF(Time!BH17&lt;=Time!$F$14,(Waterfall!BH7+BI12)/(1+BH10),0)</f>
        <v>209.17595312449</v>
      </c>
      <c r="BI12" s="11" t="n">
        <f aca="false">IF(Time!BI17&lt;=Time!$F$14,(Waterfall!BI7+BJ12)/(1+BI10),0)</f>
        <v>178.734776981429</v>
      </c>
      <c r="BJ12" s="11" t="n">
        <f aca="false">IF(Time!BJ17&lt;=Time!$F$14,(Waterfall!BJ7+BK12)/(1+BJ10),0)</f>
        <v>147.737562026909</v>
      </c>
      <c r="BK12" s="11" t="n">
        <f aca="false">IF(Time!BK17&lt;=Time!$F$14,(Waterfall!BK7+BL12)/(1+BK10),0)</f>
        <v>107.897711940823</v>
      </c>
      <c r="BL12" s="11" t="n">
        <f aca="false">IF(Time!BL17&lt;=Time!$F$14,(Waterfall!BL7+BM12)/(1+BL10),0)</f>
        <v>72.2365686257</v>
      </c>
      <c r="BM12" s="11" t="n">
        <f aca="false">IF(Time!BM17&lt;=Time!$F$14,(Waterfall!BM7+BN12)/(1+BM10),0)</f>
        <v>34.8859388012932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1.39621346331536</v>
      </c>
      <c r="Q13" s="6" t="n">
        <f aca="false">IF(Debt!Q122&gt;0.000000001,(Q11+Reserves!Q9)/Debt!Q122,0)</f>
        <v>1.39841588216296</v>
      </c>
      <c r="R13" s="6" t="n">
        <f aca="false">IF(Debt!R122&gt;0.000000001,(R11+Reserves!R9)/Debt!R122,0)</f>
        <v>1.40177039864902</v>
      </c>
      <c r="S13" s="6" t="n">
        <f aca="false">IF(Debt!S122&gt;0.000000001,(S11+Reserves!S9)/Debt!S122,0)</f>
        <v>1.40415571056752</v>
      </c>
      <c r="T13" s="6" t="n">
        <f aca="false">IF(Debt!T122&gt;0.000000001,(T11+Reserves!T9)/Debt!T122,0)</f>
        <v>1.40804645741098</v>
      </c>
      <c r="U13" s="6" t="n">
        <f aca="false">IF(Debt!U122&gt;0.000000001,(U11+Reserves!U9)/Debt!U122,0)</f>
        <v>1.41126495945784</v>
      </c>
      <c r="V13" s="6" t="n">
        <f aca="false">IF(Debt!V122&gt;0.000000001,(V11+Reserves!V9)/Debt!V122,0)</f>
        <v>1.41654127475396</v>
      </c>
      <c r="W13" s="6" t="n">
        <f aca="false">IF(Debt!W122&gt;0.000000001,(W11+Reserves!W9)/Debt!W122,0)</f>
        <v>1.42054612360495</v>
      </c>
      <c r="X13" s="6" t="n">
        <f aca="false">IF(Debt!X122&gt;0.000000001,(X11+Reserves!X9)/Debt!X122,0)</f>
        <v>1.42335723177741</v>
      </c>
      <c r="Y13" s="6" t="n">
        <f aca="false">IF(Debt!Y122&gt;0.000000001,(Y11+Reserves!Y9)/Debt!Y122,0)</f>
        <v>1.42801006489977</v>
      </c>
      <c r="Z13" s="6" t="n">
        <f aca="false">IF(Debt!Z122&gt;0.000000001,(Z11+Reserves!Z9)/Debt!Z122,0)</f>
        <v>1.4346392778255</v>
      </c>
      <c r="AA13" s="6" t="n">
        <f aca="false">IF(Debt!AA122&gt;0.000000001,(AA11+Reserves!AA9)/Debt!AA122,0)</f>
        <v>1.44080624211798</v>
      </c>
      <c r="AB13" s="6" t="n">
        <f aca="false">IF(Debt!AB122&gt;0.000000001,(AB11+Reserves!AB9)/Debt!AB122,0)</f>
        <v>1.46996333442225</v>
      </c>
      <c r="AC13" s="6" t="n">
        <f aca="false">IF(Debt!AC122&gt;0.000000001,(AC11+Reserves!AC9)/Debt!AC122,0)</f>
        <v>1.50308408326507</v>
      </c>
      <c r="AD13" s="6" t="n">
        <f aca="false">IF(Debt!AD122&gt;0.000000001,(AD11+Reserves!AD9)/Debt!AD122,0)</f>
        <v>1.54252954574485</v>
      </c>
      <c r="AE13" s="6" t="n">
        <f aca="false">IF(Debt!AE122&gt;0.000000001,(AE11+Reserves!AE9)/Debt!AE122,0)</f>
        <v>1.59041541109989</v>
      </c>
      <c r="AF13" s="6" t="n">
        <f aca="false">IF(Debt!AF122&gt;0.000000001,(AF11+Reserves!AF9)/Debt!AF122,0)</f>
        <v>1.64892172131101</v>
      </c>
      <c r="AG13" s="6" t="n">
        <f aca="false">IF(Debt!AG122&gt;0.000000001,(AG11+Reserves!AG9)/Debt!AG122,0)</f>
        <v>1.7221440492225</v>
      </c>
      <c r="AH13" s="6" t="n">
        <f aca="false">IF(Debt!AH122&gt;0.000000001,(AH11+Reserves!AH9)/Debt!AH122,0)</f>
        <v>1.81631005523901</v>
      </c>
      <c r="AI13" s="6" t="n">
        <f aca="false">IF(Debt!AI122&gt;0.000000001,(AI11+Reserves!AI9)/Debt!AI122,0)</f>
        <v>1.94548579657843</v>
      </c>
      <c r="AJ13" s="6" t="n">
        <f aca="false">IF(Debt!AJ122&gt;0.000000001,(AJ11+Reserves!AJ9)/Debt!AJ122,0)</f>
        <v>2.13152225774583</v>
      </c>
      <c r="AK13" s="6" t="n">
        <f aca="false">IF(Debt!AK122&gt;0.000000001,(AK11+Reserves!AK9)/Debt!AK122,0)</f>
        <v>2.4350905109137</v>
      </c>
      <c r="AL13" s="6" t="n">
        <f aca="false">IF(Debt!AL122&gt;0.000000001,(AL11+Reserves!AL9)/Debt!AL122,0)</f>
        <v>2.61524039063307</v>
      </c>
      <c r="AM13" s="6" t="n">
        <f aca="false">IF(Debt!AM122&gt;0.000000001,(AM11+Reserves!AM9)/Debt!AM122,0)</f>
        <v>2.75086126492687</v>
      </c>
      <c r="AN13" s="6" t="n">
        <f aca="false">IF(Debt!AN122&gt;0.000000001,(AN11+Reserves!AN9)/Debt!AN122,0)</f>
        <v>2.9739062204316</v>
      </c>
      <c r="AO13" s="6" t="n">
        <f aca="false">IF(Debt!AO122&gt;0.000000001,(AO11+Reserves!AO9)/Debt!AO122,0)</f>
        <v>3.32149650675384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1.33739697065586</v>
      </c>
      <c r="Q14" s="6" t="n">
        <f aca="false">IF(Debt!Q122&gt;0.000000001,Q11/Debt!Q122,0)</f>
        <v>1.33826851119694</v>
      </c>
      <c r="R14" s="6" t="n">
        <f aca="false">IF(Debt!R122&gt;0.000000001,R11/Debt!R122,0)</f>
        <v>1.3392313824958</v>
      </c>
      <c r="S14" s="6" t="n">
        <f aca="false">IF(Debt!S122&gt;0.000000001,S11/Debt!S122,0)</f>
        <v>1.34030320177614</v>
      </c>
      <c r="T14" s="6" t="n">
        <f aca="false">IF(Debt!T122&gt;0.000000001,T11/Debt!T122,0)</f>
        <v>1.34149407428399</v>
      </c>
      <c r="U14" s="6" t="n">
        <f aca="false">IF(Debt!U122&gt;0.000000001,U11/Debt!U122,0)</f>
        <v>1.34283001574205</v>
      </c>
      <c r="V14" s="6" t="n">
        <f aca="false">IF(Debt!V122&gt;0.000000001,V11/Debt!V122,0)</f>
        <v>1.34432374764689</v>
      </c>
      <c r="W14" s="6" t="n">
        <f aca="false">IF(Debt!W122&gt;0.000000001,W11/Debt!W122,0)</f>
        <v>1.34600851743646</v>
      </c>
      <c r="X14" s="6" t="n">
        <f aca="false">IF(Debt!X122&gt;0.000000001,X11/Debt!X122,0)</f>
        <v>1.3479124910017</v>
      </c>
      <c r="Y14" s="6" t="n">
        <f aca="false">IF(Debt!Y122&gt;0.000000001,Y11/Debt!Y122,0)</f>
        <v>1.3500949520163</v>
      </c>
      <c r="Z14" s="6" t="n">
        <f aca="false">IF(Debt!Z122&gt;0.000000001,Z11/Debt!Z122,0)</f>
        <v>1.35256789056251</v>
      </c>
      <c r="AA14" s="6" t="n">
        <f aca="false">IF(Debt!AA122&gt;0.000000001,AA11/Debt!AA122,0)</f>
        <v>1.35541704508409</v>
      </c>
      <c r="AB14" s="6" t="n">
        <f aca="false">IF(Debt!AB122&gt;0.000000001,AB11/Debt!AB122,0)</f>
        <v>1.37771877156239</v>
      </c>
      <c r="AC14" s="6" t="n">
        <f aca="false">IF(Debt!AC122&gt;0.000000001,AC11/Debt!AC122,0)</f>
        <v>1.40566336231076</v>
      </c>
      <c r="AD14" s="6" t="n">
        <f aca="false">IF(Debt!AD122&gt;0.000000001,AD11/Debt!AD122,0)</f>
        <v>1.43501810009497</v>
      </c>
      <c r="AE14" s="6" t="n">
        <f aca="false">IF(Debt!AE122&gt;0.000000001,AE11/Debt!AE122,0)</f>
        <v>1.47407842712493</v>
      </c>
      <c r="AF14" s="6" t="n">
        <f aca="false">IF(Debt!AF122&gt;0.000000001,AF11/Debt!AF122,0)</f>
        <v>1.52190400014586</v>
      </c>
      <c r="AG14" s="6" t="n">
        <f aca="false">IF(Debt!AG122&gt;0.000000001,AG11/Debt!AG122,0)</f>
        <v>1.58320173223258</v>
      </c>
      <c r="AH14" s="6" t="n">
        <f aca="false">IF(Debt!AH122&gt;0.000000001,AH11/Debt!AH122,0)</f>
        <v>1.6593661896965</v>
      </c>
      <c r="AI14" s="6" t="n">
        <f aca="false">IF(Debt!AI122&gt;0.000000001,AI11/Debt!AI122,0)</f>
        <v>1.76705231228072</v>
      </c>
      <c r="AJ14" s="6" t="n">
        <f aca="false">IF(Debt!AJ122&gt;0.000000001,AJ11/Debt!AJ122,0)</f>
        <v>1.9195651152617</v>
      </c>
      <c r="AK14" s="6" t="n">
        <f aca="false">IF(Debt!AK122&gt;0.000000001,AK11/Debt!AK122,0)</f>
        <v>2.17323326598222</v>
      </c>
      <c r="AL14" s="6" t="n">
        <f aca="false">IF(Debt!AL122&gt;0.000000001,AL11/Debt!AL122,0)</f>
        <v>2.30333591956309</v>
      </c>
      <c r="AM14" s="6" t="n">
        <f aca="false">IF(Debt!AM122&gt;0.000000001,AM11/Debt!AM122,0)</f>
        <v>2.34821985326026</v>
      </c>
      <c r="AN14" s="6" t="n">
        <f aca="false">IF(Debt!AN122&gt;0.000000001,AN11/Debt!AN122,0)</f>
        <v>2.45043805221193</v>
      </c>
      <c r="AO14" s="6" t="n">
        <f aca="false">IF(Debt!AO122&gt;0.000000001,AO11/Debt!AO122,0)</f>
        <v>2.29448457126906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1.82299267792292</v>
      </c>
      <c r="Q15" s="6" t="n">
        <f aca="false">IF(Debt!Q122&gt;0.000000001,Q12/Debt!Q122,0)</f>
        <v>1.85314138700966</v>
      </c>
      <c r="R15" s="6" t="n">
        <f aca="false">IF(Debt!R122&gt;0.000000001,R12/Debt!R122,0)</f>
        <v>1.88590358063364</v>
      </c>
      <c r="S15" s="6" t="n">
        <f aca="false">IF(Debt!S122&gt;0.000000001,S12/Debt!S122,0)</f>
        <v>1.92215431613058</v>
      </c>
      <c r="T15" s="6" t="n">
        <f aca="false">IF(Debt!T122&gt;0.000000001,T12/Debt!T122,0)</f>
        <v>1.96164009762166</v>
      </c>
      <c r="U15" s="6" t="n">
        <f aca="false">IF(Debt!U122&gt;0.000000001,U12/Debt!U122,0)</f>
        <v>2.00561961740941</v>
      </c>
      <c r="V15" s="6" t="n">
        <f aca="false">IF(Debt!V122&gt;0.000000001,V12/Debt!V122,0)</f>
        <v>2.05408174497095</v>
      </c>
      <c r="W15" s="6" t="n">
        <f aca="false">IF(Debt!W122&gt;0.000000001,W12/Debt!W122,0)</f>
        <v>2.10903845749068</v>
      </c>
      <c r="X15" s="6" t="n">
        <f aca="false">IF(Debt!X122&gt;0.000000001,X12/Debt!X122,0)</f>
        <v>2.17021829749972</v>
      </c>
      <c r="Y15" s="6" t="n">
        <f aca="false">IF(Debt!Y122&gt;0.000000001,Y12/Debt!Y122,0)</f>
        <v>2.23709521391455</v>
      </c>
      <c r="Z15" s="6" t="n">
        <f aca="false">IF(Debt!Z122&gt;0.000000001,Z12/Debt!Z122,0)</f>
        <v>2.3117712692477</v>
      </c>
      <c r="AA15" s="6" t="n">
        <f aca="false">IF(Debt!AA122&gt;0.000000001,AA12/Debt!AA122,0)</f>
        <v>2.39719131082828</v>
      </c>
      <c r="AB15" s="6" t="n">
        <f aca="false">IF(Debt!AB122&gt;0.000000001,AB12/Debt!AB122,0)</f>
        <v>2.52906606875965</v>
      </c>
      <c r="AC15" s="6" t="n">
        <f aca="false">IF(Debt!AC122&gt;0.000000001,AC12/Debt!AC122,0)</f>
        <v>2.68990662764978</v>
      </c>
      <c r="AD15" s="6" t="n">
        <f aca="false">IF(Debt!AD122&gt;0.000000001,AD12/Debt!AD122,0)</f>
        <v>2.87530993406303</v>
      </c>
      <c r="AE15" s="6" t="n">
        <f aca="false">IF(Debt!AE122&gt;0.000000001,AE12/Debt!AE122,0)</f>
        <v>3.11607983712173</v>
      </c>
      <c r="AF15" s="6" t="n">
        <f aca="false">IF(Debt!AF122&gt;0.000000001,AF12/Debt!AF122,0)</f>
        <v>3.41898497853456</v>
      </c>
      <c r="AG15" s="6" t="n">
        <f aca="false">IF(Debt!AG122&gt;0.000000001,AG12/Debt!AG122,0)</f>
        <v>3.81425627242159</v>
      </c>
      <c r="AH15" s="6" t="n">
        <f aca="false">IF(Debt!AH122&gt;0.000000001,AH12/Debt!AH122,0)</f>
        <v>4.33270617066039</v>
      </c>
      <c r="AI15" s="6" t="n">
        <f aca="false">IF(Debt!AI122&gt;0.000000001,AI12/Debt!AI122,0)</f>
        <v>5.07879192974572</v>
      </c>
      <c r="AJ15" s="6" t="n">
        <f aca="false">IF(Debt!AJ122&gt;0.000000001,AJ12/Debt!AJ122,0)</f>
        <v>6.18681666715579</v>
      </c>
      <c r="AK15" s="6" t="n">
        <f aca="false">IF(Debt!AK122&gt;0.000000001,AK12/Debt!AK122,0)</f>
        <v>8.08395135229445</v>
      </c>
      <c r="AL15" s="6" t="n">
        <f aca="false">IF(Debt!AL122&gt;0.000000001,AL12/Debt!AL122,0)</f>
        <v>10.2967468982251</v>
      </c>
      <c r="AM15" s="6" t="n">
        <f aca="false">IF(Debt!AM122&gt;0.000000001,AM12/Debt!AM122,0)</f>
        <v>13.5798750111611</v>
      </c>
      <c r="AN15" s="6" t="n">
        <f aca="false">IF(Debt!AN122&gt;0.000000001,AN12/Debt!AN122,0)</f>
        <v>20.9251152869314</v>
      </c>
      <c r="AO15" s="6" t="n">
        <f aca="false">IF(Debt!AO122&gt;0.000000001,AO12/Debt!AO122,0)</f>
        <v>39.9697962821312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1.39621346331536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1.82299267792292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1130.42556785571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13.8203448751002</v>
      </c>
      <c r="BS8" s="16" t="n">
        <f aca="false">Waterfall!Q44</f>
        <v>11.5219964159591</v>
      </c>
      <c r="BT8" s="16" t="n">
        <f aca="false">Waterfall!R44</f>
        <v>12.4283086955183</v>
      </c>
      <c r="BU8" s="16" t="n">
        <f aca="false">Waterfall!S44</f>
        <v>11.6112291766713</v>
      </c>
      <c r="BV8" s="16" t="n">
        <f aca="false">Waterfall!T44</f>
        <v>12.3389121190739</v>
      </c>
      <c r="BW8" s="16" t="n">
        <f aca="false">Waterfall!U44</f>
        <v>11.3711945445318</v>
      </c>
      <c r="BX8" s="16" t="n">
        <f aca="false">Waterfall!V44</f>
        <v>12.5886958837596</v>
      </c>
      <c r="BY8" s="16" t="n">
        <f aca="false">Waterfall!W44</f>
        <v>13.3208837852162</v>
      </c>
      <c r="BZ8" s="16" t="n">
        <f aca="false">Waterfall!X44</f>
        <v>12.1793320551556</v>
      </c>
      <c r="CA8" s="16" t="n">
        <f aca="false">Waterfall!Y44</f>
        <v>11.3911470665381</v>
      </c>
      <c r="CB8" s="16" t="n">
        <f aca="false">Waterfall!Z44</f>
        <v>12.0763717067075</v>
      </c>
      <c r="CC8" s="16" t="n">
        <f aca="false">Waterfall!AA44</f>
        <v>5.61932739589651</v>
      </c>
      <c r="CD8" s="16" t="n">
        <f aca="false">Waterfall!AB44</f>
        <v>6.56016162692373</v>
      </c>
      <c r="CE8" s="16" t="n">
        <f aca="false">Waterfall!AC44</f>
        <v>6.18758734356492</v>
      </c>
      <c r="CF8" s="16" t="n">
        <f aca="false">Waterfall!AD44</f>
        <v>7.4756244853783</v>
      </c>
      <c r="CG8" s="16" t="n">
        <f aca="false">Waterfall!AE44</f>
        <v>8.03297406816327</v>
      </c>
      <c r="CH8" s="16" t="n">
        <f aca="false">Waterfall!AF44</f>
        <v>8.85934137501908</v>
      </c>
      <c r="CI8" s="16" t="n">
        <f aca="false">Waterfall!AG44</f>
        <v>9.21613508858781</v>
      </c>
      <c r="CJ8" s="16" t="n">
        <f aca="false">Waterfall!AH44</f>
        <v>10.5030891678893</v>
      </c>
      <c r="CK8" s="16" t="n">
        <f aca="false">Waterfall!AI44</f>
        <v>11.2637669765511</v>
      </c>
      <c r="CL8" s="16" t="n">
        <f aca="false">Waterfall!AJ44</f>
        <v>12.999172585913</v>
      </c>
      <c r="CM8" s="16" t="n">
        <f aca="false">Waterfall!AK44</f>
        <v>25.2888703553279</v>
      </c>
      <c r="CN8" s="16" t="n">
        <f aca="false">Waterfall!AL44</f>
        <v>29.6871069504077</v>
      </c>
      <c r="CO8" s="16" t="n">
        <f aca="false">Waterfall!AM44</f>
        <v>32.4779319696195</v>
      </c>
      <c r="CP8" s="16" t="n">
        <f aca="false">Waterfall!AN44</f>
        <v>30.8468090767604</v>
      </c>
      <c r="CQ8" s="16" t="n">
        <f aca="false">Waterfall!AO44</f>
        <v>43.3793136327231</v>
      </c>
      <c r="CR8" s="16" t="n">
        <f aca="false">Waterfall!AP44</f>
        <v>41.1521746171139</v>
      </c>
      <c r="CS8" s="16" t="n">
        <f aca="false">Waterfall!AQ44</f>
        <v>40.2334221291795</v>
      </c>
      <c r="CT8" s="16" t="n">
        <f aca="false">Waterfall!AR44</f>
        <v>40.812133420755</v>
      </c>
      <c r="CU8" s="16" t="n">
        <f aca="false">Waterfall!AS44</f>
        <v>40.5424703735348</v>
      </c>
      <c r="CV8" s="16" t="n">
        <f aca="false">Waterfall!AT44</f>
        <v>47.260030852876</v>
      </c>
      <c r="CW8" s="16" t="n">
        <f aca="false">Waterfall!AU44</f>
        <v>42.8184762079473</v>
      </c>
      <c r="CX8" s="16" t="n">
        <f aca="false">Waterfall!AV44</f>
        <v>42.9235396543305</v>
      </c>
      <c r="CY8" s="16" t="n">
        <f aca="false">Waterfall!AW44</f>
        <v>42.4959632438198</v>
      </c>
      <c r="CZ8" s="16" t="n">
        <f aca="false">Waterfall!AX44</f>
        <v>43.1519623391802</v>
      </c>
      <c r="DA8" s="16" t="n">
        <f aca="false">Waterfall!AY44</f>
        <v>42.691778014356</v>
      </c>
      <c r="DB8" s="16" t="n">
        <f aca="false">Waterfall!AZ44</f>
        <v>43.29041271871</v>
      </c>
      <c r="DC8" s="16" t="n">
        <f aca="false">Waterfall!BA44</f>
        <v>42.49309242544</v>
      </c>
      <c r="DD8" s="16" t="n">
        <f aca="false">Waterfall!BB44</f>
        <v>43.7171413291587</v>
      </c>
      <c r="DE8" s="16" t="n">
        <f aca="false">Waterfall!BC44</f>
        <v>40.2968577508507</v>
      </c>
      <c r="DF8" s="16" t="n">
        <f aca="false">Waterfall!BD44</f>
        <v>34.16099197076</v>
      </c>
      <c r="DG8" s="16" t="n">
        <f aca="false">Waterfall!BE44</f>
        <v>33.707748554011</v>
      </c>
      <c r="DH8" s="16" t="n">
        <f aca="false">Waterfall!BF44</f>
        <v>34.3745284793592</v>
      </c>
      <c r="DI8" s="16" t="n">
        <f aca="false">Waterfall!BG44</f>
        <v>33.8861852355174</v>
      </c>
      <c r="DJ8" s="16" t="n">
        <f aca="false">Waterfall!BH44</f>
        <v>34.4890016679586</v>
      </c>
      <c r="DK8" s="16" t="n">
        <f aca="false">Waterfall!BI44</f>
        <v>34.2052346478264</v>
      </c>
      <c r="DL8" s="16" t="n">
        <f aca="false">Waterfall!BJ44</f>
        <v>42.1928524741974</v>
      </c>
      <c r="DM8" s="16" t="n">
        <f aca="false">Waterfall!BK44</f>
        <v>36.9200778210503</v>
      </c>
      <c r="DN8" s="16" t="n">
        <f aca="false">Waterfall!BL44</f>
        <v>37.6281753973958</v>
      </c>
      <c r="DO8" s="16" t="n">
        <f aca="false">Waterfall!BM44</f>
        <v>53.7694556914808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1551.62568435127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1.70322194445222</v>
      </c>
      <c r="BR9" s="16" t="n">
        <f aca="false">Waterfall!P7</f>
        <v>49.2741393857949</v>
      </c>
      <c r="BS9" s="16" t="n">
        <f aca="false">Waterfall!Q7</f>
        <v>49.146781503637</v>
      </c>
      <c r="BT9" s="16" t="n">
        <f aca="false">Waterfall!R7</f>
        <v>49.7616211880753</v>
      </c>
      <c r="BU9" s="16" t="n">
        <f aca="false">Waterfall!S7</f>
        <v>49.3624469584191</v>
      </c>
      <c r="BV9" s="16" t="n">
        <f aca="false">Waterfall!T7</f>
        <v>49.9096048739266</v>
      </c>
      <c r="BW9" s="16" t="n">
        <f aca="false">Waterfall!U7</f>
        <v>49.6591147796902</v>
      </c>
      <c r="BX9" s="16" t="n">
        <f aca="false">Waterfall!V7</f>
        <v>50.6119233096294</v>
      </c>
      <c r="BY9" s="16" t="n">
        <f aca="false">Waterfall!W7</f>
        <v>50.2476788598056</v>
      </c>
      <c r="BZ9" s="16" t="n">
        <f aca="false">Waterfall!X7</f>
        <v>48.7497240997007</v>
      </c>
      <c r="CA9" s="16" t="n">
        <f aca="false">Waterfall!Y7</f>
        <v>48.2625101750522</v>
      </c>
      <c r="CB9" s="16" t="n">
        <f aca="false">Waterfall!Z7</f>
        <v>48.6506590615619</v>
      </c>
      <c r="CC9" s="16" t="n">
        <f aca="false">Waterfall!AA7</f>
        <v>48.2434034237692</v>
      </c>
      <c r="CD9" s="16" t="n">
        <f aca="false">Waterfall!AB7</f>
        <v>48.8059645328406</v>
      </c>
      <c r="CE9" s="16" t="n">
        <f aca="false">Waterfall!AC7</f>
        <v>48.5936102735477</v>
      </c>
      <c r="CF9" s="16" t="n">
        <f aca="false">Waterfall!AD7</f>
        <v>50.4878449463201</v>
      </c>
      <c r="CG9" s="16" t="n">
        <f aca="false">Waterfall!AE7</f>
        <v>50.5635966791877</v>
      </c>
      <c r="CH9" s="16" t="n">
        <f aca="false">Waterfall!AF7</f>
        <v>50.7050630837884</v>
      </c>
      <c r="CI9" s="16" t="n">
        <f aca="false">Waterfall!AG7</f>
        <v>50.3310347177414</v>
      </c>
      <c r="CJ9" s="16" t="n">
        <f aca="false">Waterfall!AH7</f>
        <v>50.9806864126608</v>
      </c>
      <c r="CK9" s="16" t="n">
        <f aca="false">Waterfall!AI7</f>
        <v>50.5664149388007</v>
      </c>
      <c r="CL9" s="16" t="n">
        <f aca="false">Waterfall!AJ7</f>
        <v>51.1475227412747</v>
      </c>
      <c r="CM9" s="16" t="n">
        <f aca="false">Waterfall!AK7</f>
        <v>50.901386519151</v>
      </c>
      <c r="CN9" s="16" t="n">
        <f aca="false">Waterfall!AL7</f>
        <v>51.9940432440624</v>
      </c>
      <c r="CO9" s="16" t="n">
        <f aca="false">Waterfall!AM7</f>
        <v>51.6099492244837</v>
      </c>
      <c r="CP9" s="16" t="n">
        <f aca="false">Waterfall!AN7</f>
        <v>49.7527168243686</v>
      </c>
      <c r="CQ9" s="16" t="n">
        <f aca="false">Waterfall!AO7</f>
        <v>43.3793136327231</v>
      </c>
      <c r="CR9" s="16" t="n">
        <f aca="false">Waterfall!AP7</f>
        <v>41.1521746171139</v>
      </c>
      <c r="CS9" s="16" t="n">
        <f aca="false">Waterfall!AQ7</f>
        <v>40.2334221291795</v>
      </c>
      <c r="CT9" s="16" t="n">
        <f aca="false">Waterfall!AR7</f>
        <v>40.812133420755</v>
      </c>
      <c r="CU9" s="16" t="n">
        <f aca="false">Waterfall!AS7</f>
        <v>40.5424703735348</v>
      </c>
      <c r="CV9" s="16" t="n">
        <f aca="false">Waterfall!AT7</f>
        <v>47.260030852876</v>
      </c>
      <c r="CW9" s="16" t="n">
        <f aca="false">Waterfall!AU7</f>
        <v>42.8184762079473</v>
      </c>
      <c r="CX9" s="16" t="n">
        <f aca="false">Waterfall!AV7</f>
        <v>42.9235396543305</v>
      </c>
      <c r="CY9" s="16" t="n">
        <f aca="false">Waterfall!AW7</f>
        <v>42.4959632438198</v>
      </c>
      <c r="CZ9" s="16" t="n">
        <f aca="false">Waterfall!AX7</f>
        <v>43.1519623391802</v>
      </c>
      <c r="DA9" s="16" t="n">
        <f aca="false">Waterfall!AY7</f>
        <v>42.691778014356</v>
      </c>
      <c r="DB9" s="16" t="n">
        <f aca="false">Waterfall!AZ7</f>
        <v>43.29041271871</v>
      </c>
      <c r="DC9" s="16" t="n">
        <f aca="false">Waterfall!BA7</f>
        <v>42.9880608120487</v>
      </c>
      <c r="DD9" s="16" t="n">
        <f aca="false">Waterfall!BB7</f>
        <v>45.2182915838031</v>
      </c>
      <c r="DE9" s="16" t="n">
        <f aca="false">Waterfall!BC7</f>
        <v>41.8144308241929</v>
      </c>
      <c r="DF9" s="16" t="n">
        <f aca="false">Waterfall!BD7</f>
        <v>35.6951675310066</v>
      </c>
      <c r="DG9" s="16" t="n">
        <f aca="false">Waterfall!BE7</f>
        <v>35.2587082349667</v>
      </c>
      <c r="DH9" s="16" t="n">
        <f aca="false">Waterfall!BF7</f>
        <v>35.9424559019312</v>
      </c>
      <c r="DI9" s="16" t="n">
        <f aca="false">Waterfall!BG7</f>
        <v>35.4712660294542</v>
      </c>
      <c r="DJ9" s="16" t="n">
        <f aca="false">Waterfall!BH7</f>
        <v>36.0914234938272</v>
      </c>
      <c r="DK9" s="16" t="n">
        <f aca="false">Waterfall!BI7</f>
        <v>35.8251872192298</v>
      </c>
      <c r="DL9" s="16" t="n">
        <f aca="false">Waterfall!BJ7</f>
        <v>43.8305275802351</v>
      </c>
      <c r="DM9" s="16" t="n">
        <f aca="false">Waterfall!BK7</f>
        <v>38.5756693490245</v>
      </c>
      <c r="DN9" s="16" t="n">
        <f aca="false">Waterfall!BL7</f>
        <v>39.3018793557663</v>
      </c>
      <c r="DO9" s="16" t="n">
        <f aca="false">Waterfall!BM7</f>
        <v>35.8282755295198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1845.79649970451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1.70322194445222</v>
      </c>
      <c r="BR10" s="11" t="n">
        <f aca="false">Waterfall!P7+Tax!P27</f>
        <v>49.2741393857949</v>
      </c>
      <c r="BS10" s="11" t="n">
        <f aca="false">Waterfall!Q7+Tax!Q27</f>
        <v>49.146781503637</v>
      </c>
      <c r="BT10" s="11" t="n">
        <f aca="false">Waterfall!R7+Tax!R27</f>
        <v>49.7616211880753</v>
      </c>
      <c r="BU10" s="11" t="n">
        <f aca="false">Waterfall!S7+Tax!S27</f>
        <v>49.3624469584191</v>
      </c>
      <c r="BV10" s="11" t="n">
        <f aca="false">Waterfall!T7+Tax!T27</f>
        <v>49.9096048739266</v>
      </c>
      <c r="BW10" s="11" t="n">
        <f aca="false">Waterfall!U7+Tax!U27</f>
        <v>49.6591147796902</v>
      </c>
      <c r="BX10" s="11" t="n">
        <f aca="false">Waterfall!V7+Tax!V27</f>
        <v>50.6119233096294</v>
      </c>
      <c r="BY10" s="11" t="n">
        <f aca="false">Waterfall!W7+Tax!W27</f>
        <v>50.2476788598056</v>
      </c>
      <c r="BZ10" s="11" t="n">
        <f aca="false">Waterfall!X7+Tax!X27</f>
        <v>48.7497240997007</v>
      </c>
      <c r="CA10" s="11" t="n">
        <f aca="false">Waterfall!Y7+Tax!Y27</f>
        <v>48.3805560109725</v>
      </c>
      <c r="CB10" s="11" t="n">
        <f aca="false">Waterfall!Z7+Tax!Z27</f>
        <v>49.0061505962356</v>
      </c>
      <c r="CC10" s="11" t="n">
        <f aca="false">Waterfall!AA7+Tax!AA27</f>
        <v>48.6006699843752</v>
      </c>
      <c r="CD10" s="11" t="n">
        <f aca="false">Waterfall!AB7+Tax!AB27</f>
        <v>49.165164217672</v>
      </c>
      <c r="CE10" s="11" t="n">
        <f aca="false">Waterfall!AC7+Tax!AC27</f>
        <v>48.9536996740275</v>
      </c>
      <c r="CF10" s="11" t="n">
        <f aca="false">Waterfall!AD7+Tax!AD27</f>
        <v>50.8434271362621</v>
      </c>
      <c r="CG10" s="11" t="n">
        <f aca="false">Waterfall!AE7+Tax!AE27</f>
        <v>50.9262759510027</v>
      </c>
      <c r="CH10" s="11" t="n">
        <f aca="false">Waterfall!AF7+Tax!AF27</f>
        <v>51.0710844026103</v>
      </c>
      <c r="CI10" s="11" t="n">
        <f aca="false">Waterfall!AG7+Tax!AG27</f>
        <v>50.6986625193562</v>
      </c>
      <c r="CJ10" s="11" t="n">
        <f aca="false">Waterfall!AH7+Tax!AH27</f>
        <v>51.3497901627577</v>
      </c>
      <c r="CK10" s="11" t="n">
        <f aca="false">Waterfall!AI7+Tax!AI27</f>
        <v>50.9374512293881</v>
      </c>
      <c r="CL10" s="11" t="n">
        <f aca="false">Waterfall!AJ7+Tax!AJ27</f>
        <v>51.5206630860617</v>
      </c>
      <c r="CM10" s="11" t="n">
        <f aca="false">Waterfall!AK7+Tax!AK27</f>
        <v>51.275818125848</v>
      </c>
      <c r="CN10" s="11" t="n">
        <f aca="false">Waterfall!AL7+Tax!AL27</f>
        <v>52.3692328796693</v>
      </c>
      <c r="CO10" s="11" t="n">
        <f aca="false">Waterfall!AM7+Tax!AM27</f>
        <v>51.987536907673</v>
      </c>
      <c r="CP10" s="11" t="n">
        <f aca="false">Waterfall!AN7+Tax!AN27</f>
        <v>50.1332865466365</v>
      </c>
      <c r="CQ10" s="11" t="n">
        <f aca="false">Waterfall!AO7+Tax!AO27</f>
        <v>49.755515737576</v>
      </c>
      <c r="CR10" s="11" t="n">
        <f aca="false">Waterfall!AP7+Tax!AP27</f>
        <v>50.4343796383651</v>
      </c>
      <c r="CS10" s="11" t="n">
        <f aca="false">Waterfall!AQ7+Tax!AQ27</f>
        <v>50.0145817322316</v>
      </c>
      <c r="CT10" s="11" t="n">
        <f aca="false">Waterfall!AR7+Tax!AR27</f>
        <v>50.618004267933</v>
      </c>
      <c r="CU10" s="11" t="n">
        <f aca="false">Waterfall!AS7+Tax!AS27</f>
        <v>50.4208878117553</v>
      </c>
      <c r="CV10" s="11" t="n">
        <f aca="false">Waterfall!AT7+Tax!AT27</f>
        <v>52.7159730594912</v>
      </c>
      <c r="CW10" s="11" t="n">
        <f aca="false">Waterfall!AU7+Tax!AU27</f>
        <v>52.8098205530325</v>
      </c>
      <c r="CX10" s="11" t="n">
        <f aca="false">Waterfall!AV7+Tax!AV27</f>
        <v>52.8800521342354</v>
      </c>
      <c r="CY10" s="11" t="n">
        <f aca="false">Waterfall!AW7+Tax!AW27</f>
        <v>52.4972662985684</v>
      </c>
      <c r="CZ10" s="11" t="n">
        <f aca="false">Waterfall!AX7+Tax!AX27</f>
        <v>53.2062616096406</v>
      </c>
      <c r="DA10" s="11" t="n">
        <f aca="false">Waterfall!AY7+Tax!AY27</f>
        <v>52.7783510504307</v>
      </c>
      <c r="DB10" s="11" t="n">
        <f aca="false">Waterfall!AZ7+Tax!AZ27</f>
        <v>53.4035982380506</v>
      </c>
      <c r="DC10" s="11" t="n">
        <f aca="false">Waterfall!BA7+Tax!BA27</f>
        <v>53.1657197135529</v>
      </c>
      <c r="DD10" s="11" t="n">
        <f aca="false">Waterfall!BB7+Tax!BB27</f>
        <v>54.4265709576172</v>
      </c>
      <c r="DE10" s="11" t="n">
        <f aca="false">Waterfall!BC7+Tax!BC27</f>
        <v>54.0241264419635</v>
      </c>
      <c r="DF10" s="11" t="n">
        <f aca="false">Waterfall!BD7+Tax!BD27</f>
        <v>51.7444395517508</v>
      </c>
      <c r="DG10" s="11" t="n">
        <f aca="false">Waterfall!BE7+Tax!BE27</f>
        <v>51.3563632583698</v>
      </c>
      <c r="DH10" s="11" t="n">
        <f aca="false">Waterfall!BF7+Tax!BF27</f>
        <v>52.0980939349361</v>
      </c>
      <c r="DI10" s="11" t="n">
        <f aca="false">Waterfall!BG7+Tax!BG27</f>
        <v>51.6613593129613</v>
      </c>
      <c r="DJ10" s="11" t="n">
        <f aca="false">Waterfall!BH7+Tax!BH27</f>
        <v>52.3101759708944</v>
      </c>
      <c r="DK10" s="11" t="n">
        <f aca="false">Waterfall!BI7+Tax!BI27</f>
        <v>52.1305749139169</v>
      </c>
      <c r="DL10" s="11" t="n">
        <f aca="false">Waterfall!BJ7+Tax!BJ27</f>
        <v>54.908631469162</v>
      </c>
      <c r="DM10" s="11" t="n">
        <f aca="false">Waterfall!BK7+Tax!BK27</f>
        <v>55.0155760397678</v>
      </c>
      <c r="DN10" s="11" t="n">
        <f aca="false">Waterfall!BL7+Tax!BL27</f>
        <v>55.6969088611541</v>
      </c>
      <c r="DO10" s="11" t="n">
        <f aca="false">Waterfall!BM7+Tax!BM27</f>
        <v>41.0675408134719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-208.013422708957</v>
      </c>
      <c r="BS11" s="11" t="n">
        <f aca="false">BR11+BS8</f>
        <v>-196.491426292998</v>
      </c>
      <c r="BT11" s="11" t="n">
        <f aca="false">BS11+BT8</f>
        <v>-184.06311759748</v>
      </c>
      <c r="BU11" s="11" t="n">
        <f aca="false">BT11+BU8</f>
        <v>-172.451888420808</v>
      </c>
      <c r="BV11" s="11" t="n">
        <f aca="false">BU11+BV8</f>
        <v>-160.112976301734</v>
      </c>
      <c r="BW11" s="11" t="n">
        <f aca="false">BV11+BW8</f>
        <v>-148.741781757203</v>
      </c>
      <c r="BX11" s="11" t="n">
        <f aca="false">BW11+BX8</f>
        <v>-136.153085873443</v>
      </c>
      <c r="BY11" s="11" t="n">
        <f aca="false">BX11+BY8</f>
        <v>-122.832202088227</v>
      </c>
      <c r="BZ11" s="11" t="n">
        <f aca="false">BY11+BZ8</f>
        <v>-110.652870033071</v>
      </c>
      <c r="CA11" s="11" t="n">
        <f aca="false">BZ11+CA8</f>
        <v>-99.2617229665332</v>
      </c>
      <c r="CB11" s="11" t="n">
        <f aca="false">CA11+CB8</f>
        <v>-87.1853512598257</v>
      </c>
      <c r="CC11" s="11" t="n">
        <f aca="false">CB11+CC8</f>
        <v>-81.5660238639292</v>
      </c>
      <c r="CD11" s="11" t="n">
        <f aca="false">CC11+CD8</f>
        <v>-75.0058622370055</v>
      </c>
      <c r="CE11" s="11" t="n">
        <f aca="false">CD11+CE8</f>
        <v>-68.8182748934406</v>
      </c>
      <c r="CF11" s="11" t="n">
        <f aca="false">CE11+CF8</f>
        <v>-61.3426504080623</v>
      </c>
      <c r="CG11" s="11" t="n">
        <f aca="false">CF11+CG8</f>
        <v>-53.309676339899</v>
      </c>
      <c r="CH11" s="11" t="n">
        <f aca="false">CG11+CH8</f>
        <v>-44.4503349648799</v>
      </c>
      <c r="CI11" s="11" t="n">
        <f aca="false">CH11+CI8</f>
        <v>-35.2341998762921</v>
      </c>
      <c r="CJ11" s="11" t="n">
        <f aca="false">CI11+CJ8</f>
        <v>-24.7311107084028</v>
      </c>
      <c r="CK11" s="11" t="n">
        <f aca="false">CJ11+CK8</f>
        <v>-13.4673437318517</v>
      </c>
      <c r="CL11" s="11" t="n">
        <f aca="false">CK11+CL8</f>
        <v>-0.46817114593876</v>
      </c>
      <c r="CM11" s="11" t="n">
        <f aca="false">CL11+CM8</f>
        <v>24.8206992093891</v>
      </c>
      <c r="CN11" s="11" t="n">
        <f aca="false">CM11+CN8</f>
        <v>54.5078061597968</v>
      </c>
      <c r="CO11" s="11" t="n">
        <f aca="false">CN11+CO8</f>
        <v>86.9857381294163</v>
      </c>
      <c r="CP11" s="11" t="n">
        <f aca="false">CO11+CP8</f>
        <v>117.832547206177</v>
      </c>
      <c r="CQ11" s="11" t="n">
        <f aca="false">CP11+CQ8</f>
        <v>161.2118608389</v>
      </c>
      <c r="CR11" s="11" t="n">
        <f aca="false">CQ11+CR8</f>
        <v>202.364035456014</v>
      </c>
      <c r="CS11" s="11" t="n">
        <f aca="false">CR11+CS8</f>
        <v>242.597457585193</v>
      </c>
      <c r="CT11" s="11" t="n">
        <f aca="false">CS11+CT8</f>
        <v>283.409591005948</v>
      </c>
      <c r="CU11" s="11" t="n">
        <f aca="false">CT11+CU8</f>
        <v>323.952061379483</v>
      </c>
      <c r="CV11" s="11" t="n">
        <f aca="false">CU11+CV8</f>
        <v>371.212092232359</v>
      </c>
      <c r="CW11" s="11" t="n">
        <f aca="false">CV11+CW8</f>
        <v>414.030568440306</v>
      </c>
      <c r="CX11" s="11" t="n">
        <f aca="false">CW11+CX8</f>
        <v>456.954108094637</v>
      </c>
      <c r="CY11" s="11" t="n">
        <f aca="false">CX11+CY8</f>
        <v>499.450071338457</v>
      </c>
      <c r="CZ11" s="11" t="n">
        <f aca="false">CY11+CZ8</f>
        <v>542.602033677637</v>
      </c>
      <c r="DA11" s="11" t="n">
        <f aca="false">CZ11+DA8</f>
        <v>585.293811691993</v>
      </c>
      <c r="DB11" s="11" t="n">
        <f aca="false">DA11+DB8</f>
        <v>628.584224410703</v>
      </c>
      <c r="DC11" s="11" t="n">
        <f aca="false">DB11+DC8</f>
        <v>671.077316836143</v>
      </c>
      <c r="DD11" s="11" t="n">
        <f aca="false">DC11+DD8</f>
        <v>714.794458165302</v>
      </c>
      <c r="DE11" s="11" t="n">
        <f aca="false">DD11+DE8</f>
        <v>755.091315916152</v>
      </c>
      <c r="DF11" s="11" t="n">
        <f aca="false">DE11+DF8</f>
        <v>789.252307886912</v>
      </c>
      <c r="DG11" s="11" t="n">
        <f aca="false">DF11+DG8</f>
        <v>822.960056440923</v>
      </c>
      <c r="DH11" s="11" t="n">
        <f aca="false">DG11+DH8</f>
        <v>857.334584920282</v>
      </c>
      <c r="DI11" s="11" t="n">
        <f aca="false">DH11+DI8</f>
        <v>891.2207701558</v>
      </c>
      <c r="DJ11" s="11" t="n">
        <f aca="false">DI11+DJ8</f>
        <v>925.709771823758</v>
      </c>
      <c r="DK11" s="11" t="n">
        <f aca="false">DJ11+DK8</f>
        <v>959.915006471585</v>
      </c>
      <c r="DL11" s="11" t="n">
        <f aca="false">DK11+DL8</f>
        <v>1002.10785894578</v>
      </c>
      <c r="DM11" s="11" t="n">
        <f aca="false">DL11+DM8</f>
        <v>1039.02793676683</v>
      </c>
      <c r="DN11" s="11" t="n">
        <f aca="false">DM11+DN8</f>
        <v>1076.65611216423</v>
      </c>
      <c r="DO11" s="11" t="n">
        <f aca="false">DN11+DO8</f>
        <v>1130.42556785571</v>
      </c>
      <c r="DP11" s="11" t="n">
        <f aca="false">DO11+DP8</f>
        <v>1130.42556785571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0.127789379319677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0.10733810057655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0.113117763438359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-50.7974703672303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1.39621346331536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1.82299267792292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0.127789379319677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0.10733810057655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-50.7974703672303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2026-10-03T20:47:43Z</dcterms:created>
  <dc:creator>openpyxl</dc:creator>
  <dc:description/>
  <dc:language>en-US</dc:language>
  <cp:lastModifiedBy/>
  <dcterms:modified xsi:type="dcterms:W3CDTF">2026-10-03T20:47:43Z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