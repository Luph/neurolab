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<sst xmlns="http://schemas.openxmlformats.org/spreadsheetml/2006/main" count="2268" uniqueCount="840">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</sst>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6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0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1.1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1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44317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7.5108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0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571.84</v>
      </c>
      <c r="J22" s="11" t="n">
        <f aca="false">IF(Inputs!$F$33=2,J20/100*Inputs!$F$56+J20/100*Inputs!$F$57*Inputs!$F$58/J16,Inputs!$F$55*Inputs!$F$35*J20/100)</f>
        <v>57.184</v>
      </c>
      <c r="K22" s="11" t="n">
        <f aca="false">IF(Inputs!$F$33=2,K20/100*Inputs!$F$56+K20/100*Inputs!$F$57*Inputs!$F$58/K16,Inputs!$F$55*Inputs!$F$35*K20/100)</f>
        <v>0.06175872</v>
      </c>
      <c r="L22" s="11" t="n">
        <f aca="false">IF(Inputs!$F$33=2,L20/100*Inputs!$F$56+L20/100*Inputs!$F$57*Inputs!$F$58/L16,Inputs!$F$55*Inputs!$F$35*L20/100)</f>
        <v>0.64789472</v>
      </c>
      <c r="M22" s="11" t="n">
        <f aca="false">IF(Inputs!$F$33=2,M20/100*Inputs!$F$56+M20/100*Inputs!$F$57*Inputs!$F$58/M16,Inputs!$F$55*Inputs!$F$35*M20/100)</f>
        <v>1.85218976</v>
      </c>
      <c r="N22" s="11" t="n">
        <f aca="false">IF(Inputs!$F$33=2,N20/100*Inputs!$F$56+N20/100*Inputs!$F$57*Inputs!$F$58/N16,Inputs!$F$55*Inputs!$F$35*N20/100)</f>
        <v>3.59916096</v>
      </c>
      <c r="O22" s="11" t="n">
        <f aca="false">IF(Inputs!$F$33=2,O20/100*Inputs!$F$56+O20/100*Inputs!$F$57*Inputs!$F$58/O16,Inputs!$F$55*Inputs!$F$35*O20/100)</f>
        <v>5.78358976</v>
      </c>
      <c r="P22" s="11" t="n">
        <f aca="false">IF(Inputs!$F$33=2,P20/100*Inputs!$F$56+P20/100*Inputs!$F$57*Inputs!$F$58/P16,Inputs!$F$55*Inputs!$F$35*P20/100)</f>
        <v>8.28939264</v>
      </c>
      <c r="Q22" s="11" t="n">
        <f aca="false">IF(Inputs!$F$33=2,Q20/100*Inputs!$F$56+Q20/100*Inputs!$F$57*Inputs!$F$58/Q16,Inputs!$F$55*Inputs!$F$35*Q20/100)</f>
        <v>10.99991424</v>
      </c>
      <c r="R22" s="11" t="n">
        <f aca="false">IF(Inputs!$F$33=2,R20/100*Inputs!$F$56+R20/100*Inputs!$F$57*Inputs!$F$58/R16,Inputs!$F$55*Inputs!$F$35*R20/100)</f>
        <v>13.80021472</v>
      </c>
      <c r="S22" s="11" t="n">
        <f aca="false">IF(Inputs!$F$33=2,S20/100*Inputs!$F$56+S20/100*Inputs!$F$57*Inputs!$F$58/S16,Inputs!$F$55*Inputs!$F$35*S20/100)</f>
        <v>16.58278816</v>
      </c>
      <c r="T22" s="11" t="n">
        <f aca="false">IF(Inputs!$F$33=2,T20/100*Inputs!$F$56+T20/100*Inputs!$F$57*Inputs!$F$58/T16,Inputs!$F$55*Inputs!$F$35*T20/100)</f>
        <v>19.24756256</v>
      </c>
      <c r="U22" s="11" t="n">
        <f aca="false">IF(Inputs!$F$33=2,U20/100*Inputs!$F$56+U20/100*Inputs!$F$57*Inputs!$F$58/U16,Inputs!$F$55*Inputs!$F$35*U20/100)</f>
        <v>21.70533088</v>
      </c>
      <c r="V22" s="11" t="n">
        <f aca="false">IF(Inputs!$F$33=2,V20/100*Inputs!$F$56+V20/100*Inputs!$F$57*Inputs!$F$58/V16,Inputs!$F$55*Inputs!$F$35*V20/100)</f>
        <v>23.8771792</v>
      </c>
      <c r="W22" s="11" t="n">
        <f aca="false">IF(Inputs!$F$33=2,W20/100*Inputs!$F$56+W20/100*Inputs!$F$57*Inputs!$F$58/W16,Inputs!$F$55*Inputs!$F$35*W20/100)</f>
        <v>25.6956304</v>
      </c>
      <c r="X22" s="11" t="n">
        <f aca="false">IF(Inputs!$F$33=2,X20/100*Inputs!$F$56+X20/100*Inputs!$F$57*Inputs!$F$58/X16,Inputs!$F$55*Inputs!$F$35*X20/100)</f>
        <v>27.1080752</v>
      </c>
      <c r="Y22" s="11" t="n">
        <f aca="false">IF(Inputs!$F$33=2,Y20/100*Inputs!$F$56+Y20/100*Inputs!$F$57*Inputs!$F$58/Y16,Inputs!$F$55*Inputs!$F$35*Y20/100)</f>
        <v>28.07219744</v>
      </c>
      <c r="Z22" s="11" t="n">
        <f aca="false">IF(Inputs!$F$33=2,Z20/100*Inputs!$F$56+Z20/100*Inputs!$F$57*Inputs!$F$58/Z16,Inputs!$F$55*Inputs!$F$35*Z20/100)</f>
        <v>28.56112064</v>
      </c>
      <c r="AA22" s="11" t="n">
        <f aca="false">IF(Inputs!$F$33=2,AA20/100*Inputs!$F$56+AA20/100*Inputs!$F$57*Inputs!$F$58/AA16,Inputs!$F$55*Inputs!$F$35*AA20/100)</f>
        <v>28.56112064</v>
      </c>
      <c r="AB22" s="11" t="n">
        <f aca="false">IF(Inputs!$F$33=2,AB20/100*Inputs!$F$56+AB20/100*Inputs!$F$57*Inputs!$F$58/AB16,Inputs!$F$55*Inputs!$F$35*AB20/100)</f>
        <v>28.07219744</v>
      </c>
      <c r="AC22" s="11" t="n">
        <f aca="false">IF(Inputs!$F$33=2,AC20/100*Inputs!$F$56+AC20/100*Inputs!$F$57*Inputs!$F$58/AC16,Inputs!$F$55*Inputs!$F$35*AC20/100)</f>
        <v>27.1080752</v>
      </c>
      <c r="AD22" s="11" t="n">
        <f aca="false">IF(Inputs!$F$33=2,AD20/100*Inputs!$F$56+AD20/100*Inputs!$F$57*Inputs!$F$58/AD16,Inputs!$F$55*Inputs!$F$35*AD20/100)</f>
        <v>25.6956304</v>
      </c>
      <c r="AE22" s="11" t="n">
        <f aca="false">IF(Inputs!$F$33=2,AE20/100*Inputs!$F$56+AE20/100*Inputs!$F$57*Inputs!$F$58/AE16,Inputs!$F$55*Inputs!$F$35*AE20/100)</f>
        <v>23.8771792</v>
      </c>
      <c r="AF22" s="11" t="n">
        <f aca="false">IF(Inputs!$F$33=2,AF20/100*Inputs!$F$56+AF20/100*Inputs!$F$57*Inputs!$F$58/AF16,Inputs!$F$55*Inputs!$F$35*AF20/100)</f>
        <v>21.70533088</v>
      </c>
      <c r="AG22" s="11" t="n">
        <f aca="false">IF(Inputs!$F$33=2,AG20/100*Inputs!$F$56+AG20/100*Inputs!$F$57*Inputs!$F$58/AG16,Inputs!$F$55*Inputs!$F$35*AG20/100)</f>
        <v>19.24756256</v>
      </c>
      <c r="AH22" s="11" t="n">
        <f aca="false">IF(Inputs!$F$33=2,AH20/100*Inputs!$F$56+AH20/100*Inputs!$F$57*Inputs!$F$58/AH16,Inputs!$F$55*Inputs!$F$35*AH20/100)</f>
        <v>16.58278816</v>
      </c>
      <c r="AI22" s="11" t="n">
        <f aca="false">IF(Inputs!$F$33=2,AI20/100*Inputs!$F$56+AI20/100*Inputs!$F$57*Inputs!$F$58/AI16,Inputs!$F$55*Inputs!$F$35*AI20/100)</f>
        <v>13.80021472</v>
      </c>
      <c r="AJ22" s="11" t="n">
        <f aca="false">IF(Inputs!$F$33=2,AJ20/100*Inputs!$F$56+AJ20/100*Inputs!$F$57*Inputs!$F$58/AJ16,Inputs!$F$55*Inputs!$F$35*AJ20/100)</f>
        <v>10.99991424</v>
      </c>
      <c r="AK22" s="11" t="n">
        <f aca="false">IF(Inputs!$F$33=2,AK20/100*Inputs!$F$56+AK20/100*Inputs!$F$57*Inputs!$F$58/AK16,Inputs!$F$55*Inputs!$F$35*AK20/100)</f>
        <v>8.28939264</v>
      </c>
      <c r="AL22" s="11" t="n">
        <f aca="false">IF(Inputs!$F$33=2,AL20/100*Inputs!$F$56+AL20/100*Inputs!$F$57*Inputs!$F$58/AL16,Inputs!$F$55*Inputs!$F$35*AL20/100)</f>
        <v>5.78358976</v>
      </c>
      <c r="AM22" s="11" t="n">
        <f aca="false">IF(Inputs!$F$33=2,AM20/100*Inputs!$F$56+AM20/100*Inputs!$F$57*Inputs!$F$58/AM16,Inputs!$F$55*Inputs!$F$35*AM20/100)</f>
        <v>3.59916096</v>
      </c>
      <c r="AN22" s="11" t="n">
        <f aca="false">IF(Inputs!$F$33=2,AN20/100*Inputs!$F$56+AN20/100*Inputs!$F$57*Inputs!$F$58/AN16,Inputs!$F$55*Inputs!$F$35*AN20/100)</f>
        <v>1.85218976</v>
      </c>
      <c r="AO22" s="11" t="n">
        <f aca="false">IF(Inputs!$F$33=2,AO20/100*Inputs!$F$56+AO20/100*Inputs!$F$57*Inputs!$F$58/AO16,Inputs!$F$55*Inputs!$F$35*AO20/100)</f>
        <v>0.64789472</v>
      </c>
      <c r="AP22" s="11" t="n">
        <f aca="false">IF(Inputs!$F$33=2,AP20/100*Inputs!$F$56+AP20/100*Inputs!$F$57*Inputs!$F$58/AP16,Inputs!$F$55*Inputs!$F$35*AP20/100)</f>
        <v>42.94975872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0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46.18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0</v>
      </c>
      <c r="AR23" s="11" t="n">
        <f aca="false">Inputs!$F$59*IF(Inputs!$F$33=1,Inputs!$F$35,1)*(Inputs!AR227+IF(AND(Inputs!$F$33=1,AR8&gt;33,AR8&lt;=Time!$F$10),2.75,0))/100+IF(AND(Inputs!$F$33=2,AR8&gt;=34,AR8&lt;=40),Inputs!$F$67/7,0)</f>
        <v>0</v>
      </c>
      <c r="AS23" s="11" t="n">
        <f aca="false">Inputs!$F$59*IF(Inputs!$F$33=1,Inputs!$F$35,1)*(Inputs!AS227+IF(AND(Inputs!$F$33=1,AS8&gt;33,AS8&lt;=Time!$F$10),2.75,0))/100+IF(AND(Inputs!$F$33=2,AS8&gt;=34,AS8&lt;=40),Inputs!$F$67/7,0)</f>
        <v>0</v>
      </c>
      <c r="AT23" s="11" t="n">
        <f aca="false">Inputs!$F$59*IF(Inputs!$F$33=1,Inputs!$F$35,1)*(Inputs!AT227+IF(AND(Inputs!$F$33=1,AT8&gt;33,AT8&lt;=Time!$F$10),2.75,0))/100+IF(AND(Inputs!$F$33=2,AT8&gt;=34,AT8&lt;=40),Inputs!$F$67/7,0)</f>
        <v>0</v>
      </c>
      <c r="AU23" s="11" t="n">
        <f aca="false">Inputs!$F$59*IF(Inputs!$F$33=1,Inputs!$F$35,1)*(Inputs!AU227+IF(AND(Inputs!$F$33=1,AU8&gt;33,AU8&lt;=Time!$F$10),2.75,0))/100+IF(AND(Inputs!$F$33=2,AU8&gt;=34,AU8&lt;=40),Inputs!$F$67/7,0)</f>
        <v>0</v>
      </c>
      <c r="AV23" s="11" t="n">
        <f aca="false">Inputs!$F$59*IF(Inputs!$F$33=1,Inputs!$F$35,1)*(Inputs!AV227+IF(AND(Inputs!$F$33=1,AV8&gt;33,AV8&lt;=Time!$F$10),2.75,0))/100+IF(AND(Inputs!$F$33=2,AV8&gt;=34,AV8&lt;=40),Inputs!$F$67/7,0)</f>
        <v>0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0.08409375</v>
      </c>
      <c r="L26" s="11" t="n">
        <f aca="false">Inputs!$F$63*Inputs!$F$35*(0.7*IF(L8=1,1,0)+0.3/(Time!$F$10-1)*IF(AND(L8&gt;=2,L8&lt;=Time!$F$10),1,0))</f>
        <v>0.08409375</v>
      </c>
      <c r="M26" s="11" t="n">
        <f aca="false">Inputs!$F$63*Inputs!$F$35*(0.7*IF(M8=1,1,0)+0.3/(Time!$F$10-1)*IF(AND(M8&gt;=2,M8&lt;=Time!$F$10),1,0))</f>
        <v>0.08409375</v>
      </c>
      <c r="N26" s="11" t="n">
        <f aca="false">Inputs!$F$63*Inputs!$F$35*(0.7*IF(N8=1,1,0)+0.3/(Time!$F$10-1)*IF(AND(N8&gt;=2,N8&lt;=Time!$F$10),1,0))</f>
        <v>0.08409375</v>
      </c>
      <c r="O26" s="11" t="n">
        <f aca="false">Inputs!$F$63*Inputs!$F$35*(0.7*IF(O8=1,1,0)+0.3/(Time!$F$10-1)*IF(AND(O8&gt;=2,O8&lt;=Time!$F$10),1,0))</f>
        <v>0.08409375</v>
      </c>
      <c r="P26" s="11" t="n">
        <f aca="false">Inputs!$F$63*Inputs!$F$35*(0.7*IF(P8=1,1,0)+0.3/(Time!$F$10-1)*IF(AND(P8&gt;=2,P8&lt;=Time!$F$10),1,0))</f>
        <v>0.08409375</v>
      </c>
      <c r="Q26" s="11" t="n">
        <f aca="false">Inputs!$F$63*Inputs!$F$35*(0.7*IF(Q8=1,1,0)+0.3/(Time!$F$10-1)*IF(AND(Q8&gt;=2,Q8&lt;=Time!$F$10),1,0))</f>
        <v>0.08409375</v>
      </c>
      <c r="R26" s="11" t="n">
        <f aca="false">Inputs!$F$63*Inputs!$F$35*(0.7*IF(R8=1,1,0)+0.3/(Time!$F$10-1)*IF(AND(R8&gt;=2,R8&lt;=Time!$F$10),1,0))</f>
        <v>0.08409375</v>
      </c>
      <c r="S26" s="11" t="n">
        <f aca="false">Inputs!$F$63*Inputs!$F$35*(0.7*IF(S8=1,1,0)+0.3/(Time!$F$10-1)*IF(AND(S8&gt;=2,S8&lt;=Time!$F$10),1,0))</f>
        <v>0.08409375</v>
      </c>
      <c r="T26" s="11" t="n">
        <f aca="false">Inputs!$F$63*Inputs!$F$35*(0.7*IF(T8=1,1,0)+0.3/(Time!$F$10-1)*IF(AND(T8&gt;=2,T8&lt;=Time!$F$10),1,0))</f>
        <v>0.08409375</v>
      </c>
      <c r="U26" s="11" t="n">
        <f aca="false">Inputs!$F$63*Inputs!$F$35*(0.7*IF(U8=1,1,0)+0.3/(Time!$F$10-1)*IF(AND(U8&gt;=2,U8&lt;=Time!$F$10),1,0))</f>
        <v>0.08409375</v>
      </c>
      <c r="V26" s="11" t="n">
        <f aca="false">Inputs!$F$63*Inputs!$F$35*(0.7*IF(V8=1,1,0)+0.3/(Time!$F$10-1)*IF(AND(V8&gt;=2,V8&lt;=Time!$F$10),1,0))</f>
        <v>0.08409375</v>
      </c>
      <c r="W26" s="11" t="n">
        <f aca="false">Inputs!$F$63*Inputs!$F$35*(0.7*IF(W8=1,1,0)+0.3/(Time!$F$10-1)*IF(AND(W8&gt;=2,W8&lt;=Time!$F$10),1,0))</f>
        <v>0.08409375</v>
      </c>
      <c r="X26" s="11" t="n">
        <f aca="false">Inputs!$F$63*Inputs!$F$35*(0.7*IF(X8=1,1,0)+0.3/(Time!$F$10-1)*IF(AND(X8&gt;=2,X8&lt;=Time!$F$10),1,0))</f>
        <v>0.08409375</v>
      </c>
      <c r="Y26" s="11" t="n">
        <f aca="false">Inputs!$F$63*Inputs!$F$35*(0.7*IF(Y8=1,1,0)+0.3/(Time!$F$10-1)*IF(AND(Y8&gt;=2,Y8&lt;=Time!$F$10),1,0))</f>
        <v>0.08409375</v>
      </c>
      <c r="Z26" s="11" t="n">
        <f aca="false">Inputs!$F$63*Inputs!$F$35*(0.7*IF(Z8=1,1,0)+0.3/(Time!$F$10-1)*IF(AND(Z8&gt;=2,Z8&lt;=Time!$F$10),1,0))</f>
        <v>0.08409375</v>
      </c>
      <c r="AA26" s="11" t="n">
        <f aca="false">Inputs!$F$63*Inputs!$F$35*(0.7*IF(AA8=1,1,0)+0.3/(Time!$F$10-1)*IF(AND(AA8&gt;=2,AA8&lt;=Time!$F$10),1,0))</f>
        <v>0.08409375</v>
      </c>
      <c r="AB26" s="11" t="n">
        <f aca="false">Inputs!$F$63*Inputs!$F$35*(0.7*IF(AB8=1,1,0)+0.3/(Time!$F$10-1)*IF(AND(AB8&gt;=2,AB8&lt;=Time!$F$10),1,0))</f>
        <v>0.08409375</v>
      </c>
      <c r="AC26" s="11" t="n">
        <f aca="false">Inputs!$F$63*Inputs!$F$35*(0.7*IF(AC8=1,1,0)+0.3/(Time!$F$10-1)*IF(AND(AC8&gt;=2,AC8&lt;=Time!$F$10),1,0))</f>
        <v>0.08409375</v>
      </c>
      <c r="AD26" s="11" t="n">
        <f aca="false">Inputs!$F$63*Inputs!$F$35*(0.7*IF(AD8=1,1,0)+0.3/(Time!$F$10-1)*IF(AND(AD8&gt;=2,AD8&lt;=Time!$F$10),1,0))</f>
        <v>0.08409375</v>
      </c>
      <c r="AE26" s="11" t="n">
        <f aca="false">Inputs!$F$63*Inputs!$F$35*(0.7*IF(AE8=1,1,0)+0.3/(Time!$F$10-1)*IF(AND(AE8&gt;=2,AE8&lt;=Time!$F$10),1,0))</f>
        <v>0.08409375</v>
      </c>
      <c r="AF26" s="11" t="n">
        <f aca="false">Inputs!$F$63*Inputs!$F$35*(0.7*IF(AF8=1,1,0)+0.3/(Time!$F$10-1)*IF(AND(AF8&gt;=2,AF8&lt;=Time!$F$10),1,0))</f>
        <v>0.08409375</v>
      </c>
      <c r="AG26" s="11" t="n">
        <f aca="false">Inputs!$F$63*Inputs!$F$35*(0.7*IF(AG8=1,1,0)+0.3/(Time!$F$10-1)*IF(AND(AG8&gt;=2,AG8&lt;=Time!$F$10),1,0))</f>
        <v>0.08409375</v>
      </c>
      <c r="AH26" s="11" t="n">
        <f aca="false">Inputs!$F$63*Inputs!$F$35*(0.7*IF(AH8=1,1,0)+0.3/(Time!$F$10-1)*IF(AND(AH8&gt;=2,AH8&lt;=Time!$F$10),1,0))</f>
        <v>0.08409375</v>
      </c>
      <c r="AI26" s="11" t="n">
        <f aca="false">Inputs!$F$63*Inputs!$F$35*(0.7*IF(AI8=1,1,0)+0.3/(Time!$F$10-1)*IF(AND(AI8&gt;=2,AI8&lt;=Time!$F$10),1,0))</f>
        <v>0.08409375</v>
      </c>
      <c r="AJ26" s="11" t="n">
        <f aca="false">Inputs!$F$63*Inputs!$F$35*(0.7*IF(AJ8=1,1,0)+0.3/(Time!$F$10-1)*IF(AND(AJ8&gt;=2,AJ8&lt;=Time!$F$10),1,0))</f>
        <v>0.08409375</v>
      </c>
      <c r="AK26" s="11" t="n">
        <f aca="false">Inputs!$F$63*Inputs!$F$35*(0.7*IF(AK8=1,1,0)+0.3/(Time!$F$10-1)*IF(AND(AK8&gt;=2,AK8&lt;=Time!$F$10),1,0))</f>
        <v>0.08409375</v>
      </c>
      <c r="AL26" s="11" t="n">
        <f aca="false">Inputs!$F$63*Inputs!$F$35*(0.7*IF(AL8=1,1,0)+0.3/(Time!$F$10-1)*IF(AND(AL8&gt;=2,AL8&lt;=Time!$F$10),1,0))</f>
        <v>0.08409375</v>
      </c>
      <c r="AM26" s="11" t="n">
        <f aca="false">Inputs!$F$63*Inputs!$F$35*(0.7*IF(AM8=1,1,0)+0.3/(Time!$F$10-1)*IF(AND(AM8&gt;=2,AM8&lt;=Time!$F$10),1,0))</f>
        <v>0.08409375</v>
      </c>
      <c r="AN26" s="11" t="n">
        <f aca="false">Inputs!$F$63*Inputs!$F$35*(0.7*IF(AN8=1,1,0)+0.3/(Time!$F$10-1)*IF(AND(AN8&gt;=2,AN8&lt;=Time!$F$10),1,0))</f>
        <v>0.08409375</v>
      </c>
      <c r="AO26" s="11" t="n">
        <f aca="false">Inputs!$F$63*Inputs!$F$35*(0.7*IF(AO8=1,1,0)+0.3/(Time!$F$10-1)*IF(AND(AO8&gt;=2,AO8&lt;=Time!$F$10),1,0))</f>
        <v>0.08409375</v>
      </c>
      <c r="AP26" s="11" t="n">
        <f aca="false">Inputs!$F$63*Inputs!$F$35*(0.7*IF(AP8=1,1,0)+0.3/(Time!$F$10-1)*IF(AND(AP8&gt;=2,AP8&lt;=Time!$F$10),1,0))</f>
        <v>0.08409375</v>
      </c>
      <c r="AQ26" s="11" t="n">
        <f aca="false">Inputs!$F$63*Inputs!$F$35*(0.7*IF(AQ8=1,1,0)+0.3/(Time!$F$10-1)*IF(AND(AQ8&gt;=2,AQ8&lt;=Time!$F$10),1,0))</f>
        <v>0</v>
      </c>
      <c r="AR26" s="11" t="n">
        <f aca="false">Inputs!$F$63*Inputs!$F$35*(0.7*IF(AR8=1,1,0)+0.3/(Time!$F$10-1)*IF(AND(AR8&gt;=2,AR8&lt;=Time!$F$10),1,0))</f>
        <v>0</v>
      </c>
      <c r="AS26" s="11" t="n">
        <f aca="false">Inputs!$F$63*Inputs!$F$35*(0.7*IF(AS8=1,1,0)+0.3/(Time!$F$10-1)*IF(AND(AS8&gt;=2,AS8&lt;=Time!$F$10),1,0))</f>
        <v>0</v>
      </c>
      <c r="AT26" s="11" t="n">
        <f aca="false">Inputs!$F$63*Inputs!$F$35*(0.7*IF(AT8=1,1,0)+0.3/(Time!$F$10-1)*IF(AND(AT8&gt;=2,AT8&lt;=Time!$F$10),1,0))</f>
        <v>0</v>
      </c>
      <c r="AU26" s="11" t="n">
        <f aca="false">Inputs!$F$63*Inputs!$F$35*(0.7*IF(AU8=1,1,0)+0.3/(Time!$F$10-1)*IF(AND(AU8&gt;=2,AU8&lt;=Time!$F$10),1,0))</f>
        <v>0</v>
      </c>
      <c r="AV26" s="11" t="n">
        <f aca="false">Inputs!$F$63*Inputs!$F$35*(0.7*IF(AV8=1,1,0)+0.3/(Time!$F$10-1)*IF(AND(AV8&gt;=2,AV8&lt;=Time!$F$10),1,0))</f>
        <v>0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38.4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0.00502690909090909</v>
      </c>
      <c r="L27" s="11" t="n">
        <f aca="false">IF(Inputs!$F$33=1,Inputs!$F$64*Inputs!$F$35*L21/SUM($J$21:$BJ$21),0)</f>
        <v>0.052736</v>
      </c>
      <c r="M27" s="11" t="n">
        <f aca="false">IF(Inputs!$F$33=1,Inputs!$F$64*Inputs!$F$35*M21/SUM($J$21:$BJ$21),0)</f>
        <v>0.150760727272727</v>
      </c>
      <c r="N27" s="11" t="n">
        <f aca="false">IF(Inputs!$F$33=1,Inputs!$F$64*Inputs!$F$35*N21/SUM($J$21:$BJ$21),0)</f>
        <v>0.292957090909091</v>
      </c>
      <c r="O27" s="11" t="n">
        <f aca="false">IF(Inputs!$F$33=1,Inputs!$F$64*Inputs!$F$35*O21/SUM($J$21:$BJ$21),0)</f>
        <v>0.470760727272727</v>
      </c>
      <c r="P27" s="11" t="n">
        <f aca="false">IF(Inputs!$F$33=1,Inputs!$F$64*Inputs!$F$35*P21/SUM($J$21:$BJ$21),0)</f>
        <v>0.674722909090909</v>
      </c>
      <c r="Q27" s="11" t="n">
        <f aca="false">IF(Inputs!$F$33=1,Inputs!$F$64*Inputs!$F$35*Q21/SUM($J$21:$BJ$21),0)</f>
        <v>0.895348363636364</v>
      </c>
      <c r="R27" s="11" t="n">
        <f aca="false">IF(Inputs!$F$33=1,Inputs!$F$64*Inputs!$F$35*R21/SUM($J$21:$BJ$21),0)</f>
        <v>1.12328145454545</v>
      </c>
      <c r="S27" s="11" t="n">
        <f aca="false">IF(Inputs!$F$33=1,Inputs!$F$64*Inputs!$F$35*S21/SUM($J$21:$BJ$21),0)</f>
        <v>1.34977163636364</v>
      </c>
      <c r="T27" s="11" t="n">
        <f aca="false">IF(Inputs!$F$33=1,Inputs!$F$64*Inputs!$F$35*T21/SUM($J$21:$BJ$21),0)</f>
        <v>1.56667345454545</v>
      </c>
      <c r="U27" s="11" t="n">
        <f aca="false">IF(Inputs!$F$33=1,Inputs!$F$64*Inputs!$F$35*U21/SUM($J$21:$BJ$21),0)</f>
        <v>1.76672581818182</v>
      </c>
      <c r="V27" s="11" t="n">
        <f aca="false">IF(Inputs!$F$33=1,Inputs!$F$64*Inputs!$F$35*V21/SUM($J$21:$BJ$21),0)</f>
        <v>1.94350545454545</v>
      </c>
      <c r="W27" s="11" t="n">
        <f aca="false">IF(Inputs!$F$33=1,Inputs!$F$64*Inputs!$F$35*W21/SUM($J$21:$BJ$21),0)</f>
        <v>2.09152</v>
      </c>
      <c r="X27" s="11" t="n">
        <f aca="false">IF(Inputs!$F$33=1,Inputs!$F$64*Inputs!$F$35*X21/SUM($J$21:$BJ$21),0)</f>
        <v>2.20648727272727</v>
      </c>
      <c r="Y27" s="11" t="n">
        <f aca="false">IF(Inputs!$F$33=1,Inputs!$F$64*Inputs!$F$35*Y21/SUM($J$21:$BJ$21),0)</f>
        <v>2.28496290909091</v>
      </c>
      <c r="Z27" s="11" t="n">
        <f aca="false">IF(Inputs!$F$33=1,Inputs!$F$64*Inputs!$F$35*Z21/SUM($J$21:$BJ$21),0)</f>
        <v>2.32475927272727</v>
      </c>
      <c r="AA27" s="11" t="n">
        <f aca="false">IF(Inputs!$F$33=1,Inputs!$F$64*Inputs!$F$35*AA21/SUM($J$21:$BJ$21),0)</f>
        <v>2.32475927272727</v>
      </c>
      <c r="AB27" s="11" t="n">
        <f aca="false">IF(Inputs!$F$33=1,Inputs!$F$64*Inputs!$F$35*AB21/SUM($J$21:$BJ$21),0)</f>
        <v>2.28496290909091</v>
      </c>
      <c r="AC27" s="11" t="n">
        <f aca="false">IF(Inputs!$F$33=1,Inputs!$F$64*Inputs!$F$35*AC21/SUM($J$21:$BJ$21),0)</f>
        <v>2.20648727272727</v>
      </c>
      <c r="AD27" s="11" t="n">
        <f aca="false">IF(Inputs!$F$33=1,Inputs!$F$64*Inputs!$F$35*AD21/SUM($J$21:$BJ$21),0)</f>
        <v>2.09152</v>
      </c>
      <c r="AE27" s="11" t="n">
        <f aca="false">IF(Inputs!$F$33=1,Inputs!$F$64*Inputs!$F$35*AE21/SUM($J$21:$BJ$21),0)</f>
        <v>1.94350545454545</v>
      </c>
      <c r="AF27" s="11" t="n">
        <f aca="false">IF(Inputs!$F$33=1,Inputs!$F$64*Inputs!$F$35*AF21/SUM($J$21:$BJ$21),0)</f>
        <v>1.76672581818182</v>
      </c>
      <c r="AG27" s="11" t="n">
        <f aca="false">IF(Inputs!$F$33=1,Inputs!$F$64*Inputs!$F$35*AG21/SUM($J$21:$BJ$21),0)</f>
        <v>1.56667345454545</v>
      </c>
      <c r="AH27" s="11" t="n">
        <f aca="false">IF(Inputs!$F$33=1,Inputs!$F$64*Inputs!$F$35*AH21/SUM($J$21:$BJ$21),0)</f>
        <v>1.34977163636364</v>
      </c>
      <c r="AI27" s="11" t="n">
        <f aca="false">IF(Inputs!$F$33=1,Inputs!$F$64*Inputs!$F$35*AI21/SUM($J$21:$BJ$21),0)</f>
        <v>1.12328145454545</v>
      </c>
      <c r="AJ27" s="11" t="n">
        <f aca="false">IF(Inputs!$F$33=1,Inputs!$F$64*Inputs!$F$35*AJ21/SUM($J$21:$BJ$21),0)</f>
        <v>0.895348363636364</v>
      </c>
      <c r="AK27" s="11" t="n">
        <f aca="false">IF(Inputs!$F$33=1,Inputs!$F$64*Inputs!$F$35*AK21/SUM($J$21:$BJ$21),0)</f>
        <v>0.674722909090909</v>
      </c>
      <c r="AL27" s="11" t="n">
        <f aca="false">IF(Inputs!$F$33=1,Inputs!$F$64*Inputs!$F$35*AL21/SUM($J$21:$BJ$21),0)</f>
        <v>0.470760727272727</v>
      </c>
      <c r="AM27" s="11" t="n">
        <f aca="false">IF(Inputs!$F$33=1,Inputs!$F$64*Inputs!$F$35*AM21/SUM($J$21:$BJ$21),0)</f>
        <v>0.292957090909091</v>
      </c>
      <c r="AN27" s="11" t="n">
        <f aca="false">IF(Inputs!$F$33=1,Inputs!$F$64*Inputs!$F$35*AN21/SUM($J$21:$BJ$21),0)</f>
        <v>0.150760727272727</v>
      </c>
      <c r="AO27" s="11" t="n">
        <f aca="false">IF(Inputs!$F$33=1,Inputs!$F$64*Inputs!$F$35*AO21/SUM($J$21:$BJ$21),0)</f>
        <v>0.052736</v>
      </c>
      <c r="AP27" s="11" t="n">
        <f aca="false">IF(Inputs!$F$33=1,Inputs!$F$64*Inputs!$F$35*AP21/SUM($J$21:$BJ$21),0)</f>
        <v>0.00502690909090895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5.35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4.637390184</v>
      </c>
      <c r="L32" s="11" t="n">
        <f aca="false">L20/100*Inputs!$F$57*Inputs!$F$58*Inputs!$F$35</f>
        <v>48.649658134</v>
      </c>
      <c r="M32" s="11" t="n">
        <f aca="false">M20/100*Inputs!$F$57*Inputs!$F$58*Inputs!$F$35</f>
        <v>139.078766722</v>
      </c>
      <c r="N32" s="11" t="n">
        <f aca="false">N20/100*Inputs!$F$57*Inputs!$F$58*Inputs!$F$35</f>
        <v>270.256794612</v>
      </c>
      <c r="O32" s="11" t="n">
        <f aca="false">O20/100*Inputs!$F$57*Inputs!$F$58*Inputs!$F$35</f>
        <v>434.283002972</v>
      </c>
      <c r="P32" s="11" t="n">
        <f aca="false">P20/100*Inputs!$F$57*Inputs!$F$58*Inputs!$F$35</f>
        <v>622.440815808</v>
      </c>
      <c r="Q32" s="11" t="n">
        <f aca="false">Q20/100*Inputs!$F$57*Inputs!$F$58*Inputs!$F$35</f>
        <v>825.970718328</v>
      </c>
      <c r="R32" s="11" t="n">
        <f aca="false">R20/100*Inputs!$F$57*Inputs!$F$58*Inputs!$F$35</f>
        <v>1036.242012134</v>
      </c>
      <c r="S32" s="11" t="n">
        <f aca="false">S20/100*Inputs!$F$57*Inputs!$F$58*Inputs!$F$35</f>
        <v>1245.182203202</v>
      </c>
      <c r="T32" s="11" t="n">
        <f aca="false">T20/100*Inputs!$F$57*Inputs!$F$58*Inputs!$F$35</f>
        <v>1445.277001882</v>
      </c>
      <c r="U32" s="11" t="n">
        <f aca="false">U20/100*Inputs!$F$57*Inputs!$F$58*Inputs!$F$35</f>
        <v>1629.827955686</v>
      </c>
      <c r="V32" s="11" t="n">
        <f aca="false">V20/100*Inputs!$F$57*Inputs!$F$58*Inputs!$F$35</f>
        <v>1792.90951049</v>
      </c>
      <c r="W32" s="11" t="n">
        <f aca="false">W20/100*Inputs!$F$57*Inputs!$F$58*Inputs!$F$35</f>
        <v>1929.45488813</v>
      </c>
      <c r="X32" s="11" t="n">
        <f aca="false">X20/100*Inputs!$F$57*Inputs!$F$58*Inputs!$F$35</f>
        <v>2035.51371919</v>
      </c>
      <c r="Y32" s="11" t="n">
        <f aca="false">Y20/100*Inputs!$F$57*Inputs!$F$58*Inputs!$F$35</f>
        <v>2107.908532618</v>
      </c>
      <c r="Z32" s="11" t="n">
        <f aca="false">Z20/100*Inputs!$F$57*Inputs!$F$58*Inputs!$F$35</f>
        <v>2144.621204908</v>
      </c>
      <c r="AA32" s="11" t="n">
        <f aca="false">AA20/100*Inputs!$F$57*Inputs!$F$58*Inputs!$F$35</f>
        <v>2144.621204908</v>
      </c>
      <c r="AB32" s="11" t="n">
        <f aca="false">AB20/100*Inputs!$F$57*Inputs!$F$58*Inputs!$F$35</f>
        <v>2107.908532618</v>
      </c>
      <c r="AC32" s="11" t="n">
        <f aca="false">AC20/100*Inputs!$F$57*Inputs!$F$58*Inputs!$F$35</f>
        <v>2035.51371919</v>
      </c>
      <c r="AD32" s="11" t="n">
        <f aca="false">AD20/100*Inputs!$F$57*Inputs!$F$58*Inputs!$F$35</f>
        <v>1929.45488813</v>
      </c>
      <c r="AE32" s="11" t="n">
        <f aca="false">AE20/100*Inputs!$F$57*Inputs!$F$58*Inputs!$F$35</f>
        <v>1792.90951049</v>
      </c>
      <c r="AF32" s="11" t="n">
        <f aca="false">AF20/100*Inputs!$F$57*Inputs!$F$58*Inputs!$F$35</f>
        <v>1629.827955686</v>
      </c>
      <c r="AG32" s="11" t="n">
        <f aca="false">AG20/100*Inputs!$F$57*Inputs!$F$58*Inputs!$F$35</f>
        <v>1445.277001882</v>
      </c>
      <c r="AH32" s="11" t="n">
        <f aca="false">AH20/100*Inputs!$F$57*Inputs!$F$58*Inputs!$F$35</f>
        <v>1245.182203202</v>
      </c>
      <c r="AI32" s="11" t="n">
        <f aca="false">AI20/100*Inputs!$F$57*Inputs!$F$58*Inputs!$F$35</f>
        <v>1036.242012134</v>
      </c>
      <c r="AJ32" s="11" t="n">
        <f aca="false">AJ20/100*Inputs!$F$57*Inputs!$F$58*Inputs!$F$35</f>
        <v>825.970718328</v>
      </c>
      <c r="AK32" s="11" t="n">
        <f aca="false">AK20/100*Inputs!$F$57*Inputs!$F$58*Inputs!$F$35</f>
        <v>622.440815808</v>
      </c>
      <c r="AL32" s="11" t="n">
        <f aca="false">AL20/100*Inputs!$F$57*Inputs!$F$58*Inputs!$F$35</f>
        <v>434.283002972</v>
      </c>
      <c r="AM32" s="11" t="n">
        <f aca="false">AM20/100*Inputs!$F$57*Inputs!$F$58*Inputs!$F$35</f>
        <v>270.256794612</v>
      </c>
      <c r="AN32" s="11" t="n">
        <f aca="false">AN20/100*Inputs!$F$57*Inputs!$F$58*Inputs!$F$35</f>
        <v>139.078766722</v>
      </c>
      <c r="AO32" s="11" t="n">
        <f aca="false">AO20/100*Inputs!$F$57*Inputs!$F$58*Inputs!$F$35</f>
        <v>48.649658134</v>
      </c>
      <c r="AP32" s="11" t="n">
        <f aca="false">AP20/100*Inputs!$F$57*Inputs!$F$58*Inputs!$F$35</f>
        <v>3225.047240184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0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0.83473023312</v>
      </c>
      <c r="L33" s="11" t="n">
        <f aca="false">Inputs!$F$68/100*L32</f>
        <v>8.75693846412</v>
      </c>
      <c r="M33" s="11" t="n">
        <f aca="false">Inputs!$F$68/100*M32</f>
        <v>25.03417800996</v>
      </c>
      <c r="N33" s="11" t="n">
        <f aca="false">Inputs!$F$68/100*N32</f>
        <v>48.64622303016</v>
      </c>
      <c r="O33" s="11" t="n">
        <f aca="false">Inputs!$F$68/100*O32</f>
        <v>78.17094053496</v>
      </c>
      <c r="P33" s="11" t="n">
        <f aca="false">Inputs!$F$68/100*P32</f>
        <v>112.03934684544</v>
      </c>
      <c r="Q33" s="11" t="n">
        <f aca="false">Inputs!$F$68/100*Q32</f>
        <v>148.67472929904</v>
      </c>
      <c r="R33" s="11" t="n">
        <f aca="false">Inputs!$F$68/100*R32</f>
        <v>186.52356218412</v>
      </c>
      <c r="S33" s="11" t="n">
        <f aca="false">Inputs!$F$68/100*S32</f>
        <v>224.13279657636</v>
      </c>
      <c r="T33" s="11" t="n">
        <f aca="false">Inputs!$F$68/100*T32</f>
        <v>260.14986033876</v>
      </c>
      <c r="U33" s="11" t="n">
        <f aca="false">Inputs!$F$68/100*U32</f>
        <v>293.36903202348</v>
      </c>
      <c r="V33" s="11" t="n">
        <f aca="false">Inputs!$F$68/100*V32</f>
        <v>322.7237118882</v>
      </c>
      <c r="W33" s="11" t="n">
        <f aca="false">Inputs!$F$68/100*W32</f>
        <v>347.3018798634</v>
      </c>
      <c r="X33" s="11" t="n">
        <f aca="false">Inputs!$F$68/100*X32</f>
        <v>366.3924694542</v>
      </c>
      <c r="Y33" s="11" t="n">
        <f aca="false">Inputs!$F$68/100*Y32</f>
        <v>379.42353587124</v>
      </c>
      <c r="Z33" s="11" t="n">
        <f aca="false">Inputs!$F$68/100*Z32</f>
        <v>386.03181688344</v>
      </c>
      <c r="AA33" s="11" t="n">
        <f aca="false">Inputs!$F$68/100*AA32</f>
        <v>386.03181688344</v>
      </c>
      <c r="AB33" s="11" t="n">
        <f aca="false">Inputs!$F$68/100*AB32</f>
        <v>379.42353587124</v>
      </c>
      <c r="AC33" s="11" t="n">
        <f aca="false">Inputs!$F$68/100*AC32</f>
        <v>366.3924694542</v>
      </c>
      <c r="AD33" s="11" t="n">
        <f aca="false">Inputs!$F$68/100*AD32</f>
        <v>347.3018798634</v>
      </c>
      <c r="AE33" s="11" t="n">
        <f aca="false">Inputs!$F$68/100*AE32</f>
        <v>322.7237118882</v>
      </c>
      <c r="AF33" s="11" t="n">
        <f aca="false">Inputs!$F$68/100*AF32</f>
        <v>293.36903202348</v>
      </c>
      <c r="AG33" s="11" t="n">
        <f aca="false">Inputs!$F$68/100*AG32</f>
        <v>260.14986033876</v>
      </c>
      <c r="AH33" s="11" t="n">
        <f aca="false">Inputs!$F$68/100*AH32</f>
        <v>224.13279657636</v>
      </c>
      <c r="AI33" s="11" t="n">
        <f aca="false">Inputs!$F$68/100*AI32</f>
        <v>186.52356218412</v>
      </c>
      <c r="AJ33" s="11" t="n">
        <f aca="false">Inputs!$F$68/100*AJ32</f>
        <v>148.67472929904</v>
      </c>
      <c r="AK33" s="11" t="n">
        <f aca="false">Inputs!$F$68/100*AK32</f>
        <v>112.03934684544</v>
      </c>
      <c r="AL33" s="11" t="n">
        <f aca="false">Inputs!$F$68/100*AL32</f>
        <v>78.17094053496</v>
      </c>
      <c r="AM33" s="11" t="n">
        <f aca="false">Inputs!$F$68/100*AM32</f>
        <v>48.64622303016</v>
      </c>
      <c r="AN33" s="11" t="n">
        <f aca="false">Inputs!$F$68/100*AN32</f>
        <v>25.03417800996</v>
      </c>
      <c r="AO33" s="11" t="n">
        <f aca="false">Inputs!$F$68/100*AO32</f>
        <v>8.75693846412</v>
      </c>
      <c r="AP33" s="11" t="n">
        <f aca="false">Inputs!$F$68/100*AP32</f>
        <v>580.50850323312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0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1.63486709417751</v>
      </c>
      <c r="J36" s="11" t="n">
        <f aca="false">0*(J18+Inputs!$F$69)/100*J11/365/J16</f>
        <v>0</v>
      </c>
      <c r="K36" s="11" t="n">
        <f aca="false">J35*(K18+Inputs!$F$69)/100*K11/365/K16</f>
        <v>0.0194457240997733</v>
      </c>
      <c r="L36" s="11" t="n">
        <f aca="false">K35*(L18+Inputs!$F$69)/100*L11/365/L16</f>
        <v>0.0200310422177048</v>
      </c>
      <c r="M36" s="11" t="n">
        <f aca="false">L35*(M18+Inputs!$F$69)/100*M11/365/M16</f>
        <v>0.0195218490832966</v>
      </c>
      <c r="N36" s="11" t="n">
        <f aca="false">M35*(N18+Inputs!$F$69)/100*N11/365/N16</f>
        <v>0.0207304309549175</v>
      </c>
      <c r="O36" s="11" t="n">
        <f aca="false">N35*(O18+Inputs!$F$69)/100*O11/365/O16</f>
        <v>0.021886847272568</v>
      </c>
      <c r="P36" s="11" t="n">
        <f aca="false">O35*(P18+Inputs!$F$69)/100*P11/365/P16</f>
        <v>0.0214830085816359</v>
      </c>
      <c r="Q36" s="11" t="n">
        <f aca="false">P35*(Q18+Inputs!$F$69)/100*Q11/365/Q16</f>
        <v>0.026524860951246</v>
      </c>
      <c r="R36" s="11" t="n">
        <f aca="false">Q35*(R18+Inputs!$F$69)/100*R11/365/R16</f>
        <v>0.0291931666812582</v>
      </c>
      <c r="S36" s="11" t="n">
        <f aca="false">R35*(S18+Inputs!$F$69)/100*S11/365/S16</f>
        <v>0.034727979703444</v>
      </c>
      <c r="T36" s="11" t="n">
        <f aca="false">S35*(T18+Inputs!$F$69)/100*T11/365/T16</f>
        <v>0.0201735014177452</v>
      </c>
      <c r="U36" s="11" t="n">
        <f aca="false">T35*(U18+Inputs!$F$69)/100*U11/365/U16</f>
        <v>0.0272218707388594</v>
      </c>
      <c r="V36" s="11" t="n">
        <f aca="false">U35*(V18+Inputs!$F$69)/100*V11/365/V16</f>
        <v>0.0341716965606389</v>
      </c>
      <c r="W36" s="11" t="n">
        <f aca="false">V35*(W18+Inputs!$F$69)/100*W11/365/W16</f>
        <v>0.0400508015468132</v>
      </c>
      <c r="X36" s="11" t="n">
        <f aca="false">W35*(X18+Inputs!$F$69)/100*X11/365/X16</f>
        <v>0.0485624723651726</v>
      </c>
      <c r="Y36" s="11" t="n">
        <f aca="false">X35*(Y18+Inputs!$F$69)/100*Y11/365/Y16</f>
        <v>0.0536344918211279</v>
      </c>
      <c r="Z36" s="11" t="n">
        <f aca="false">Y35*(Z18+Inputs!$F$69)/100*Z11/365/Z16</f>
        <v>0.0617150481464958</v>
      </c>
      <c r="AA36" s="11" t="n">
        <f aca="false">Z35*(AA18+Inputs!$F$69)/100*AA11/365/AA16</f>
        <v>0.0672241360452611</v>
      </c>
      <c r="AB36" s="11" t="n">
        <f aca="false">AA35*(AB18+Inputs!$F$69)/100*AB11/365/AB16</f>
        <v>0.0671395125097447</v>
      </c>
      <c r="AC36" s="11" t="n">
        <f aca="false">AB35*(AC18+Inputs!$F$69)/100*AC11/365/AC16</f>
        <v>0.0752104847039138</v>
      </c>
      <c r="AD36" s="11" t="n">
        <f aca="false">AC35*(AD18+Inputs!$F$69)/100*AD11/365/AD16</f>
        <v>0.0749456956637847</v>
      </c>
      <c r="AE36" s="11" t="n">
        <f aca="false">AD35*(AE18+Inputs!$F$69)/100*AE11/365/AE16</f>
        <v>0.0784071220767009</v>
      </c>
      <c r="AF36" s="11" t="n">
        <f aca="false">AE35*(AF18+Inputs!$F$69)/100*AF11/365/AF16</f>
        <v>0.0755588391382728</v>
      </c>
      <c r="AG36" s="11" t="n">
        <f aca="false">AF35*(AG18+Inputs!$F$69)/100*AG11/365/AG16</f>
        <v>0.0764711712832112</v>
      </c>
      <c r="AH36" s="11" t="n">
        <f aca="false">AG35*(AH18+Inputs!$F$69)/100*AH11/365/AH16</f>
        <v>0.0736426487589338</v>
      </c>
      <c r="AI36" s="11" t="n">
        <f aca="false">AH35*(AI18+Inputs!$F$69)/100*AI11/365/AI16</f>
        <v>0.0674361640987342</v>
      </c>
      <c r="AJ36" s="11" t="n">
        <f aca="false">AI35*(AJ18+Inputs!$F$69)/100*AJ11/365/AJ16</f>
        <v>0.0647227636214697</v>
      </c>
      <c r="AK36" s="11" t="n">
        <f aca="false">AJ35*(AK18+Inputs!$F$69)/100*AK11/365/AK16</f>
        <v>0.0570194287412817</v>
      </c>
      <c r="AL36" s="11" t="n">
        <f aca="false">AK35*(AL18+Inputs!$F$69)/100*AL11/365/AL16</f>
        <v>0.0524683302432578</v>
      </c>
      <c r="AM36" s="11" t="n">
        <f aca="false">AL35*(AM18+Inputs!$F$69)/100*AM11/365/AM16</f>
        <v>0.0455883452314648</v>
      </c>
      <c r="AN36" s="11" t="n">
        <f aca="false">AM35*(AN18+Inputs!$F$69)/100*AN11/365/AN16</f>
        <v>0.0347969703795965</v>
      </c>
      <c r="AO36" s="11" t="n">
        <f aca="false">AN35*(AO18+Inputs!$F$69)/100*AO11/365/AO16</f>
        <v>0.031542810815562</v>
      </c>
      <c r="AP36" s="11" t="n">
        <f aca="false">AO35*(AP18+Inputs!$F$69)/100*AP11/365/AP16</f>
        <v>0.0241130298367733</v>
      </c>
      <c r="AQ36" s="11" t="n">
        <f aca="false">AP35*(AQ18+Inputs!$F$69)/100*AQ11/365/AQ16</f>
        <v>0.0320902559722956</v>
      </c>
      <c r="AR36" s="11" t="n">
        <f aca="false">AQ35*(AR18+Inputs!$F$69)/100*AR11/365/AR16</f>
        <v>0.0260174305983059</v>
      </c>
      <c r="AS36" s="11" t="n">
        <f aca="false">AR35*(AS18+Inputs!$F$69)/100*AS11/365/AS16</f>
        <v>0.0225695793708405</v>
      </c>
      <c r="AT36" s="11" t="n">
        <f aca="false">AS35*(AT18+Inputs!$F$69)/100*AT11/365/AT16</f>
        <v>0.0191393761731925</v>
      </c>
      <c r="AU36" s="11" t="n">
        <f aca="false">AT35*(AU18+Inputs!$F$69)/100*AU11/365/AU16</f>
        <v>0.0160219611596398</v>
      </c>
      <c r="AV36" s="11" t="n">
        <f aca="false">AU35*(AV18+Inputs!$F$69)/100*AV11/365/AV16</f>
        <v>0.0147474767274442</v>
      </c>
      <c r="AW36" s="11" t="n">
        <f aca="false">AV35*(AW18+Inputs!$F$69)/100*AW11/365/AW16</f>
        <v>0.013168905401365</v>
      </c>
      <c r="AX36" s="11" t="n">
        <f aca="false">AW35*(AX18+Inputs!$F$69)/100*AX11/365/AX16</f>
        <v>0.0129984343551899</v>
      </c>
      <c r="AY36" s="11" t="n">
        <f aca="false">AX35*(AY18+Inputs!$F$69)/100*AY11/365/AY16</f>
        <v>0.0127514291285803</v>
      </c>
      <c r="AZ36" s="11" t="n">
        <f aca="false">AY35*(AZ18+Inputs!$F$69)/100*AZ11/365/AZ16</f>
        <v>0</v>
      </c>
      <c r="BA36" s="11" t="n">
        <f aca="false">AZ35*(BA18+Inputs!$F$69)/100*BA11/365/BA16</f>
        <v>0</v>
      </c>
      <c r="BB36" s="11" t="n">
        <f aca="false">BA35*(BB18+Inputs!$F$69)/100*BB11/365/BB16</f>
        <v>0</v>
      </c>
      <c r="BC36" s="11" t="n">
        <f aca="false">BB35*(BC18+Inputs!$F$69)/100*BC11/365/BC16</f>
        <v>0</v>
      </c>
      <c r="BD36" s="11" t="n">
        <f aca="false">BC35*(BD18+Inputs!$F$69)/100*BD11/365/BD16</f>
        <v>0</v>
      </c>
      <c r="BE36" s="11" t="n">
        <f aca="false">BD35*(BE18+Inputs!$F$69)/100*BE11/365/BE16</f>
        <v>0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3.11</v>
      </c>
      <c r="R9" s="11" t="n">
        <f aca="false">R8+Inputs!$F$41*Time!R34</f>
        <v>3.11</v>
      </c>
      <c r="S9" s="11" t="n">
        <f aca="false">S8+Inputs!$F$41*Time!S34</f>
        <v>3.12</v>
      </c>
      <c r="T9" s="11" t="n">
        <f aca="false">T8+Inputs!$F$41*Time!T34</f>
        <v>3.12</v>
      </c>
      <c r="U9" s="11" t="n">
        <f aca="false">U8+Inputs!$F$41*Time!U34</f>
        <v>3.12</v>
      </c>
      <c r="V9" s="11" t="n">
        <f aca="false">V8+Inputs!$F$41*Time!V34</f>
        <v>3.12</v>
      </c>
      <c r="W9" s="11" t="n">
        <f aca="false">W8+Inputs!$F$41*Time!W34</f>
        <v>3.12</v>
      </c>
      <c r="X9" s="11" t="n">
        <f aca="false">X8+Inputs!$F$41*Time!X34</f>
        <v>3.12</v>
      </c>
      <c r="Y9" s="11" t="n">
        <f aca="false">Y8+Inputs!$F$41*Time!Y34</f>
        <v>3.12</v>
      </c>
      <c r="Z9" s="11" t="n">
        <f aca="false">Z8+Inputs!$F$41*Time!Z34</f>
        <v>3.12</v>
      </c>
      <c r="AA9" s="11" t="n">
        <f aca="false">AA8+Inputs!$F$41*Time!AA34</f>
        <v>3.12</v>
      </c>
      <c r="AB9" s="11" t="n">
        <f aca="false">AB8+Inputs!$F$41*Time!AB34</f>
        <v>3.12</v>
      </c>
      <c r="AC9" s="11" t="n">
        <f aca="false">AC8+Inputs!$F$41*Time!AC34</f>
        <v>3.12</v>
      </c>
      <c r="AD9" s="11" t="n">
        <f aca="false">AD8+Inputs!$F$41*Time!AD34</f>
        <v>3.12</v>
      </c>
      <c r="AE9" s="11" t="n">
        <f aca="false">AE8+Inputs!$F$41*Time!AE34</f>
        <v>3.12</v>
      </c>
      <c r="AF9" s="11" t="n">
        <f aca="false">AF8+Inputs!$F$41*Time!AF34</f>
        <v>3.12</v>
      </c>
      <c r="AG9" s="11" t="n">
        <f aca="false">AG8+Inputs!$F$41*Time!AG34</f>
        <v>3.12</v>
      </c>
      <c r="AH9" s="11" t="n">
        <f aca="false">AH8+Inputs!$F$41*Time!AH34</f>
        <v>3.12</v>
      </c>
      <c r="AI9" s="11" t="n">
        <f aca="false">AI8+Inputs!$F$41*Time!AI34</f>
        <v>3.12</v>
      </c>
      <c r="AJ9" s="11" t="n">
        <f aca="false">AJ8+Inputs!$F$41*Time!AJ34</f>
        <v>3.12</v>
      </c>
      <c r="AK9" s="11" t="n">
        <f aca="false">AK8+Inputs!$F$41*Time!AK34</f>
        <v>3.12</v>
      </c>
      <c r="AL9" s="11" t="n">
        <f aca="false">AL8+Inputs!$F$41*Time!AL34</f>
        <v>3.12</v>
      </c>
      <c r="AM9" s="11" t="n">
        <f aca="false">AM8+Inputs!$F$41*Time!AM34</f>
        <v>3.12</v>
      </c>
      <c r="AN9" s="11" t="n">
        <f aca="false">AN8+Inputs!$F$41*Time!AN34</f>
        <v>3.12</v>
      </c>
      <c r="AO9" s="11" t="n">
        <f aca="false">AO8+Inputs!$F$41*Time!AO34</f>
        <v>3.12</v>
      </c>
      <c r="AP9" s="11" t="n">
        <f aca="false">AP8+Inputs!$F$41*Time!AP34</f>
        <v>3.12</v>
      </c>
      <c r="AQ9" s="11" t="n">
        <f aca="false">AQ8+Inputs!$F$41*Time!AQ34</f>
        <v>3.12</v>
      </c>
      <c r="AR9" s="11" t="n">
        <f aca="false">AR8+Inputs!$F$41*Time!AR34</f>
        <v>3.12</v>
      </c>
      <c r="AS9" s="11" t="n">
        <f aca="false">AS8+Inputs!$F$41*Time!AS34</f>
        <v>3.12</v>
      </c>
      <c r="AT9" s="11" t="n">
        <f aca="false">AT8+Inputs!$F$41*Time!AT34</f>
        <v>3.12</v>
      </c>
      <c r="AU9" s="11" t="n">
        <f aca="false">AU8+Inputs!$F$41*Time!AU34</f>
        <v>3.12</v>
      </c>
      <c r="AV9" s="11" t="n">
        <f aca="false">AV8+Inputs!$F$41*Time!AV34</f>
        <v>3.12</v>
      </c>
      <c r="AW9" s="11" t="n">
        <f aca="false">AW8+Inputs!$F$41*Time!AW34</f>
        <v>3.12</v>
      </c>
      <c r="AX9" s="11" t="n">
        <f aca="false">AX8+Inputs!$F$41*Time!AX34</f>
        <v>3.12</v>
      </c>
      <c r="AY9" s="11" t="n">
        <f aca="false">AY8+Inputs!$F$41*Time!AY34</f>
        <v>3.12</v>
      </c>
      <c r="AZ9" s="11" t="n">
        <f aca="false">AZ8+Inputs!$F$41*Time!AZ34</f>
        <v>3.12</v>
      </c>
      <c r="BA9" s="11" t="n">
        <f aca="false">BA8+Inputs!$F$41*Time!BA34</f>
        <v>3.12</v>
      </c>
      <c r="BB9" s="11" t="n">
        <f aca="false">BB8+Inputs!$F$41*Time!BB34</f>
        <v>3.12</v>
      </c>
      <c r="BC9" s="11" t="n">
        <f aca="false">BC8+Inputs!$F$41*Time!BC34</f>
        <v>3.12</v>
      </c>
      <c r="BD9" s="11" t="n">
        <f aca="false">BD8+Inputs!$F$41*Time!BD34</f>
        <v>3.12</v>
      </c>
      <c r="BE9" s="11" t="n">
        <f aca="false">BE8+Inputs!$F$41*Time!BE34</f>
        <v>3.12</v>
      </c>
      <c r="BF9" s="11" t="n">
        <f aca="false">BF8+Inputs!$F$41*Time!BF34</f>
        <v>3.12</v>
      </c>
      <c r="BG9" s="11" t="n">
        <f aca="false">BG8+Inputs!$F$41*Time!BG34</f>
        <v>3.12</v>
      </c>
      <c r="BH9" s="11" t="n">
        <f aca="false">BH8+Inputs!$F$41*Time!BH34</f>
        <v>3.12</v>
      </c>
      <c r="BI9" s="11" t="n">
        <f aca="false">BI8+Inputs!$F$41*Time!BI34</f>
        <v>3.12</v>
      </c>
      <c r="BJ9" s="11" t="n">
        <f aca="false">BJ8+Inputs!$F$41*Time!BJ34</f>
        <v>3.12</v>
      </c>
      <c r="BK9" s="11" t="n">
        <f aca="false">BK8+Inputs!$F$41*Time!BK34</f>
        <v>3.12</v>
      </c>
      <c r="BL9" s="11" t="n">
        <f aca="false">BL8+Inputs!$F$41*Time!BL34</f>
        <v>3.12</v>
      </c>
      <c r="BM9" s="11" t="n">
        <f aca="false">BM8+Inputs!$F$41*Time!BM34</f>
        <v>3.12</v>
      </c>
      <c r="BN9" s="11" t="n">
        <f aca="false">BN8+Inputs!$F$41*Time!BN34</f>
        <v>3.12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627.831102964142</v>
      </c>
      <c r="R11" s="11" t="n">
        <f aca="false">R10/(1-Inputs!$F$42*Time!R34)</f>
        <v>643.904723877956</v>
      </c>
      <c r="S11" s="11" t="n">
        <f aca="false">S10/(1-Inputs!$F$42*Time!S34)</f>
        <v>660.389858793006</v>
      </c>
      <c r="T11" s="11" t="n">
        <f aca="false">T10/(1-Inputs!$F$42*Time!T34)</f>
        <v>677.297043218007</v>
      </c>
      <c r="U11" s="11" t="n">
        <f aca="false">U10/(1-Inputs!$F$42*Time!U34)</f>
        <v>694.637082389903</v>
      </c>
      <c r="V11" s="11" t="n">
        <f aca="false">V10/(1-Inputs!$F$42*Time!V34)</f>
        <v>712.42105817941</v>
      </c>
      <c r="W11" s="11" t="n">
        <f aca="false">W10/(1-Inputs!$F$42*Time!W34)</f>
        <v>730.660336173333</v>
      </c>
      <c r="X11" s="11" t="n">
        <f aca="false">X10/(1-Inputs!$F$42*Time!X34)</f>
        <v>749.366572938224</v>
      </c>
      <c r="Y11" s="11" t="n">
        <f aca="false">Y10/(1-Inputs!$F$42*Time!Y34)</f>
        <v>768.551723469993</v>
      </c>
      <c r="Z11" s="11" t="n">
        <f aca="false">Z10/(1-Inputs!$F$42*Time!Z34)</f>
        <v>788.228048834238</v>
      </c>
      <c r="AA11" s="11" t="n">
        <f aca="false">AA10/(1-Inputs!$F$42*Time!AA34)</f>
        <v>808.408124002194</v>
      </c>
      <c r="AB11" s="11" t="n">
        <f aca="false">AB10/(1-Inputs!$F$42*Time!AB34)</f>
        <v>829.104845887285</v>
      </c>
      <c r="AC11" s="11" t="n">
        <f aca="false">AC10/(1-Inputs!$F$42*Time!AC34)</f>
        <v>850.331441587435</v>
      </c>
      <c r="AD11" s="11" t="n">
        <f aca="false">AD10/(1-Inputs!$F$42*Time!AD34)</f>
        <v>872.101476838387</v>
      </c>
      <c r="AE11" s="11" t="n">
        <f aca="false">AE10/(1-Inputs!$F$42*Time!AE34)</f>
        <v>894.428864683456</v>
      </c>
      <c r="AF11" s="11" t="n">
        <f aca="false">AF10/(1-Inputs!$F$42*Time!AF34)</f>
        <v>917.327874365231</v>
      </c>
      <c r="AG11" s="11" t="n">
        <f aca="false">AG10/(1-Inputs!$F$42*Time!AG34)</f>
        <v>940.813140444927</v>
      </c>
      <c r="AH11" s="11" t="n">
        <f aca="false">AH10/(1-Inputs!$F$42*Time!AH34)</f>
        <v>964.899672155209</v>
      </c>
      <c r="AI11" s="11" t="n">
        <f aca="false">AI10/(1-Inputs!$F$42*Time!AI34)</f>
        <v>989.602862992462</v>
      </c>
      <c r="AJ11" s="11" t="n">
        <f aca="false">AJ10/(1-Inputs!$F$42*Time!AJ34)</f>
        <v>1014.93850055465</v>
      </c>
      <c r="AK11" s="11" t="n">
        <f aca="false">AK10/(1-Inputs!$F$42*Time!AK34)</f>
        <v>1040.92277663101</v>
      </c>
      <c r="AL11" s="11" t="n">
        <f aca="false">AL10/(1-Inputs!$F$42*Time!AL34)</f>
        <v>1067.57229755014</v>
      </c>
      <c r="AM11" s="11" t="n">
        <f aca="false">AM10/(1-Inputs!$F$42*Time!AM34)</f>
        <v>1094.9040947929</v>
      </c>
      <c r="AN11" s="11" t="n">
        <f aca="false">AN10/(1-Inputs!$F$42*Time!AN34)</f>
        <v>1122.93563587711</v>
      </c>
      <c r="AO11" s="11" t="n">
        <f aca="false">AO10/(1-Inputs!$F$42*Time!AO34)</f>
        <v>1151.6848355209</v>
      </c>
      <c r="AP11" s="11" t="n">
        <f aca="false">AP10/(1-Inputs!$F$42*Time!AP34)</f>
        <v>1181.17006709187</v>
      </c>
      <c r="AQ11" s="11" t="n">
        <f aca="false">AQ10/(1-Inputs!$F$42*Time!AQ34)</f>
        <v>1211.41017434929</v>
      </c>
      <c r="AR11" s="11" t="n">
        <f aca="false">AR10/(1-Inputs!$F$42*Time!AR34)</f>
        <v>1242.42448348704</v>
      </c>
      <c r="AS11" s="11" t="n">
        <f aca="false">AS10/(1-Inputs!$F$42*Time!AS34)</f>
        <v>1274.23281548482</v>
      </c>
      <c r="AT11" s="11" t="n">
        <f aca="false">AT10/(1-Inputs!$F$42*Time!AT34)</f>
        <v>1306.85549877551</v>
      </c>
      <c r="AU11" s="11" t="n">
        <f aca="false">AU10/(1-Inputs!$F$42*Time!AU34)</f>
        <v>1340.31338223697</v>
      </c>
      <c r="AV11" s="11" t="n">
        <f aca="false">AV10/(1-Inputs!$F$42*Time!AV34)</f>
        <v>1374.62784851631</v>
      </c>
      <c r="AW11" s="11" t="n">
        <f aca="false">AW10/(1-Inputs!$F$42*Time!AW34)</f>
        <v>1409.82082769544</v>
      </c>
      <c r="AX11" s="11" t="n">
        <f aca="false">AX10/(1-Inputs!$F$42*Time!AX34)</f>
        <v>1445.9148113063</v>
      </c>
      <c r="AY11" s="11" t="n">
        <f aca="false">AY10/(1-Inputs!$F$42*Time!AY34)</f>
        <v>1482.93286670508</v>
      </c>
      <c r="AZ11" s="11" t="n">
        <f aca="false">AZ10/(1-Inputs!$F$42*Time!AZ34)</f>
        <v>1520.89865181436</v>
      </c>
      <c r="BA11" s="11" t="n">
        <f aca="false">BA10/(1-Inputs!$F$42*Time!BA34)</f>
        <v>1559.83643024263</v>
      </c>
      <c r="BB11" s="11" t="n">
        <f aca="false">BB10/(1-Inputs!$F$42*Time!BB34)</f>
        <v>1599.77108679103</v>
      </c>
      <c r="BC11" s="11" t="n">
        <f aca="false">BC10/(1-Inputs!$F$42*Time!BC34)</f>
        <v>1640.72814335697</v>
      </c>
      <c r="BD11" s="11" t="n">
        <f aca="false">BD10/(1-Inputs!$F$42*Time!BD34)</f>
        <v>1682.73377524497</v>
      </c>
      <c r="BE11" s="11" t="n">
        <f aca="false">BE10/(1-Inputs!$F$42*Time!BE34)</f>
        <v>1725.81482789505</v>
      </c>
      <c r="BF11" s="11" t="n">
        <f aca="false">BF10/(1-Inputs!$F$42*Time!BF34)</f>
        <v>1769.99883403947</v>
      </c>
      <c r="BG11" s="11" t="n">
        <f aca="false">BG10/(1-Inputs!$F$42*Time!BG34)</f>
        <v>1815.31403129861</v>
      </c>
      <c r="BH11" s="11" t="n">
        <f aca="false">BH10/(1-Inputs!$F$42*Time!BH34)</f>
        <v>1861.78938022743</v>
      </c>
      <c r="BI11" s="11" t="n">
        <f aca="false">BI10/(1-Inputs!$F$42*Time!BI34)</f>
        <v>1909.45458282388</v>
      </c>
      <c r="BJ11" s="11" t="n">
        <f aca="false">BJ10/(1-Inputs!$F$42*Time!BJ34)</f>
        <v>1958.34010151124</v>
      </c>
      <c r="BK11" s="11" t="n">
        <f aca="false">BK10/(1-Inputs!$F$42*Time!BK34)</f>
        <v>2008.47717860633</v>
      </c>
      <c r="BL11" s="11" t="n">
        <f aca="false">BL10/(1-Inputs!$F$42*Time!BL34)</f>
        <v>2059.89785628628</v>
      </c>
      <c r="BM11" s="11" t="n">
        <f aca="false">BM10/(1-Inputs!$F$42*Time!BM34)</f>
        <v>2112.63499706635</v>
      </c>
      <c r="BN11" s="11" t="n">
        <f aca="false">BN10/(1-Inputs!$F$42*Time!BN34)</f>
        <v>2166.72230480211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93.8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93.5</v>
      </c>
      <c r="R27" s="11" t="n">
        <f aca="false">IF(Time!R25&gt;0,(R26*INDEX(Inputs!$J$223:$Q$223,1,MOD(R25-1,8)+1)+(Time!R25-R26)*INDEX(Inputs!$J$223:$Q$223,1,MOD(R25,8)+1))/Time!R25,0)</f>
        <v>92.9</v>
      </c>
      <c r="S27" s="11" t="n">
        <f aca="false">IF(Time!S25&gt;0,(S26*INDEX(Inputs!$J$223:$Q$223,1,MOD(S25-1,8)+1)+(Time!S25-S26)*INDEX(Inputs!$J$223:$Q$223,1,MOD(S25,8)+1))/Time!S25,0)</f>
        <v>93.2</v>
      </c>
      <c r="T27" s="11" t="n">
        <f aca="false">IF(Time!T25&gt;0,(T26*INDEX(Inputs!$J$223:$Q$223,1,MOD(T25-1,8)+1)+(Time!T25-T26)*INDEX(Inputs!$J$223:$Q$223,1,MOD(T25,8)+1))/Time!T25,0)</f>
        <v>93.8</v>
      </c>
      <c r="U27" s="11" t="n">
        <f aca="false">IF(Time!U25&gt;0,(U26*INDEX(Inputs!$J$223:$Q$223,1,MOD(U25-1,8)+1)+(Time!U25-U26)*INDEX(Inputs!$J$223:$Q$223,1,MOD(U25,8)+1))/Time!U25,0)</f>
        <v>92.7333333333333</v>
      </c>
      <c r="V27" s="11" t="n">
        <f aca="false">IF(Time!V25&gt;0,(V26*INDEX(Inputs!$J$223:$Q$223,1,MOD(V25-1,8)+1)+(Time!V25-V26)*INDEX(Inputs!$J$223:$Q$223,1,MOD(V25,8)+1))/Time!V25,0)</f>
        <v>90.6</v>
      </c>
      <c r="W27" s="11" t="n">
        <f aca="false">IF(Time!W25&gt;0,(W26*INDEX(Inputs!$J$223:$Q$223,1,MOD(W25-1,8)+1)+(Time!W25-W26)*INDEX(Inputs!$J$223:$Q$223,1,MOD(W25,8)+1))/Time!W25,0)</f>
        <v>91.6666666666667</v>
      </c>
      <c r="X27" s="11" t="n">
        <f aca="false">IF(Time!X25&gt;0,(X26*INDEX(Inputs!$J$223:$Q$223,1,MOD(X25-1,8)+1)+(Time!X25-X26)*INDEX(Inputs!$J$223:$Q$223,1,MOD(X25,8)+1))/Time!X25,0)</f>
        <v>93.8</v>
      </c>
      <c r="Y27" s="11" t="n">
        <f aca="false">IF(Time!Y25&gt;0,(Y26*INDEX(Inputs!$J$223:$Q$223,1,MOD(Y25-1,8)+1)+(Time!Y25-Y26)*INDEX(Inputs!$J$223:$Q$223,1,MOD(Y25,8)+1))/Time!Y25,0)</f>
        <v>93.5</v>
      </c>
      <c r="Z27" s="11" t="n">
        <f aca="false">IF(Time!Z25&gt;0,(Z26*INDEX(Inputs!$J$223:$Q$223,1,MOD(Z25-1,8)+1)+(Time!Z25-Z26)*INDEX(Inputs!$J$223:$Q$223,1,MOD(Z25,8)+1))/Time!Z25,0)</f>
        <v>92.9</v>
      </c>
      <c r="AA27" s="11" t="n">
        <f aca="false">IF(Time!AA25&gt;0,(AA26*INDEX(Inputs!$J$223:$Q$223,1,MOD(AA25-1,8)+1)+(Time!AA25-AA26)*INDEX(Inputs!$J$223:$Q$223,1,MOD(AA25,8)+1))/Time!AA25,0)</f>
        <v>93.2</v>
      </c>
      <c r="AB27" s="11" t="n">
        <f aca="false">IF(Time!AB25&gt;0,(AB26*INDEX(Inputs!$J$223:$Q$223,1,MOD(AB25-1,8)+1)+(Time!AB25-AB26)*INDEX(Inputs!$J$223:$Q$223,1,MOD(AB25,8)+1))/Time!AB25,0)</f>
        <v>93.8</v>
      </c>
      <c r="AC27" s="11" t="n">
        <f aca="false">IF(Time!AC25&gt;0,(AC26*INDEX(Inputs!$J$223:$Q$223,1,MOD(AC25-1,8)+1)+(Time!AC25-AC26)*INDEX(Inputs!$J$223:$Q$223,1,MOD(AC25,8)+1))/Time!AC25,0)</f>
        <v>92.1</v>
      </c>
      <c r="AD27" s="11" t="n">
        <f aca="false">IF(Time!AD25&gt;0,(AD26*INDEX(Inputs!$J$223:$Q$223,1,MOD(AD25-1,8)+1)+(Time!AD25-AD26)*INDEX(Inputs!$J$223:$Q$223,1,MOD(AD25,8)+1))/Time!AD25,0)</f>
        <v>88.7</v>
      </c>
      <c r="AE27" s="11" t="n">
        <f aca="false">IF(Time!AE25&gt;0,(AE26*INDEX(Inputs!$J$223:$Q$223,1,MOD(AE25-1,8)+1)+(Time!AE25-AE26)*INDEX(Inputs!$J$223:$Q$223,1,MOD(AE25,8)+1))/Time!AE25,0)</f>
        <v>90.4</v>
      </c>
      <c r="AF27" s="11" t="n">
        <f aca="false">IF(Time!AF25&gt;0,(AF26*INDEX(Inputs!$J$223:$Q$223,1,MOD(AF25-1,8)+1)+(Time!AF25-AF26)*INDEX(Inputs!$J$223:$Q$223,1,MOD(AF25,8)+1))/Time!AF25,0)</f>
        <v>93.8</v>
      </c>
      <c r="AG27" s="11" t="n">
        <f aca="false">IF(Time!AG25&gt;0,(AG26*INDEX(Inputs!$J$223:$Q$223,1,MOD(AG25-1,8)+1)+(Time!AG25-AG26)*INDEX(Inputs!$J$223:$Q$223,1,MOD(AG25,8)+1))/Time!AG25,0)</f>
        <v>93.5</v>
      </c>
      <c r="AH27" s="11" t="n">
        <f aca="false">IF(Time!AH25&gt;0,(AH26*INDEX(Inputs!$J$223:$Q$223,1,MOD(AH25-1,8)+1)+(Time!AH25-AH26)*INDEX(Inputs!$J$223:$Q$223,1,MOD(AH25,8)+1))/Time!AH25,0)</f>
        <v>92.9</v>
      </c>
      <c r="AI27" s="11" t="n">
        <f aca="false">IF(Time!AI25&gt;0,(AI26*INDEX(Inputs!$J$223:$Q$223,1,MOD(AI25-1,8)+1)+(Time!AI25-AI26)*INDEX(Inputs!$J$223:$Q$223,1,MOD(AI25,8)+1))/Time!AI25,0)</f>
        <v>93.2</v>
      </c>
      <c r="AJ27" s="11" t="n">
        <f aca="false">IF(Time!AJ25&gt;0,(AJ26*INDEX(Inputs!$J$223:$Q$223,1,MOD(AJ25-1,8)+1)+(Time!AJ25-AJ26)*INDEX(Inputs!$J$223:$Q$223,1,MOD(AJ25,8)+1))/Time!AJ25,0)</f>
        <v>93.8</v>
      </c>
      <c r="AK27" s="11" t="n">
        <f aca="false">IF(Time!AK25&gt;0,(AK26*INDEX(Inputs!$J$223:$Q$223,1,MOD(AK25-1,8)+1)+(Time!AK25-AK26)*INDEX(Inputs!$J$223:$Q$223,1,MOD(AK25,8)+1))/Time!AK25,0)</f>
        <v>92.7333333333333</v>
      </c>
      <c r="AL27" s="11" t="n">
        <f aca="false">IF(Time!AL25&gt;0,(AL26*INDEX(Inputs!$J$223:$Q$223,1,MOD(AL25-1,8)+1)+(Time!AL25-AL26)*INDEX(Inputs!$J$223:$Q$223,1,MOD(AL25,8)+1))/Time!AL25,0)</f>
        <v>90.6</v>
      </c>
      <c r="AM27" s="11" t="n">
        <f aca="false">IF(Time!AM25&gt;0,(AM26*INDEX(Inputs!$J$223:$Q$223,1,MOD(AM25-1,8)+1)+(Time!AM25-AM26)*INDEX(Inputs!$J$223:$Q$223,1,MOD(AM25,8)+1))/Time!AM25,0)</f>
        <v>91.6666666666667</v>
      </c>
      <c r="AN27" s="11" t="n">
        <f aca="false">IF(Time!AN25&gt;0,(AN26*INDEX(Inputs!$J$223:$Q$223,1,MOD(AN25-1,8)+1)+(Time!AN25-AN26)*INDEX(Inputs!$J$223:$Q$223,1,MOD(AN25,8)+1))/Time!AN25,0)</f>
        <v>93.8</v>
      </c>
      <c r="AO27" s="11" t="n">
        <f aca="false">IF(Time!AO25&gt;0,(AO26*INDEX(Inputs!$J$223:$Q$223,1,MOD(AO25-1,8)+1)+(Time!AO25-AO26)*INDEX(Inputs!$J$223:$Q$223,1,MOD(AO25,8)+1))/Time!AO25,0)</f>
        <v>93.5</v>
      </c>
      <c r="AP27" s="11" t="n">
        <f aca="false">IF(Time!AP25&gt;0,(AP26*INDEX(Inputs!$J$223:$Q$223,1,MOD(AP25-1,8)+1)+(Time!AP25-AP26)*INDEX(Inputs!$J$223:$Q$223,1,MOD(AP25,8)+1))/Time!AP25,0)</f>
        <v>92.9</v>
      </c>
      <c r="AQ27" s="11" t="n">
        <f aca="false">IF(Time!AQ25&gt;0,(AQ26*INDEX(Inputs!$J$223:$Q$223,1,MOD(AQ25-1,8)+1)+(Time!AQ25-AQ26)*INDEX(Inputs!$J$223:$Q$223,1,MOD(AQ25,8)+1))/Time!AQ25,0)</f>
        <v>93.2</v>
      </c>
      <c r="AR27" s="11" t="n">
        <f aca="false">IF(Time!AR25&gt;0,(AR26*INDEX(Inputs!$J$223:$Q$223,1,MOD(AR25-1,8)+1)+(Time!AR25-AR26)*INDEX(Inputs!$J$223:$Q$223,1,MOD(AR25,8)+1))/Time!AR25,0)</f>
        <v>93.8</v>
      </c>
      <c r="AS27" s="11" t="n">
        <f aca="false">IF(Time!AS25&gt;0,(AS26*INDEX(Inputs!$J$223:$Q$223,1,MOD(AS25-1,8)+1)+(Time!AS25-AS26)*INDEX(Inputs!$J$223:$Q$223,1,MOD(AS25,8)+1))/Time!AS25,0)</f>
        <v>92.1</v>
      </c>
      <c r="AT27" s="11" t="n">
        <f aca="false">IF(Time!AT25&gt;0,(AT26*INDEX(Inputs!$J$223:$Q$223,1,MOD(AT25-1,8)+1)+(Time!AT25-AT26)*INDEX(Inputs!$J$223:$Q$223,1,MOD(AT25,8)+1))/Time!AT25,0)</f>
        <v>88.7</v>
      </c>
      <c r="AU27" s="11" t="n">
        <f aca="false">IF(Time!AU25&gt;0,(AU26*INDEX(Inputs!$J$223:$Q$223,1,MOD(AU25-1,8)+1)+(Time!AU25-AU26)*INDEX(Inputs!$J$223:$Q$223,1,MOD(AU25,8)+1))/Time!AU25,0)</f>
        <v>90.4</v>
      </c>
      <c r="AV27" s="11" t="n">
        <f aca="false">IF(Time!AV25&gt;0,(AV26*INDEX(Inputs!$J$223:$Q$223,1,MOD(AV25-1,8)+1)+(Time!AV25-AV26)*INDEX(Inputs!$J$223:$Q$223,1,MOD(AV25,8)+1))/Time!AV25,0)</f>
        <v>93.8</v>
      </c>
      <c r="AW27" s="11" t="n">
        <f aca="false">IF(Time!AW25&gt;0,(AW26*INDEX(Inputs!$J$223:$Q$223,1,MOD(AW25-1,8)+1)+(Time!AW25-AW26)*INDEX(Inputs!$J$223:$Q$223,1,MOD(AW25,8)+1))/Time!AW25,0)</f>
        <v>93.5</v>
      </c>
      <c r="AX27" s="11" t="n">
        <f aca="false">IF(Time!AX25&gt;0,(AX26*INDEX(Inputs!$J$223:$Q$223,1,MOD(AX25-1,8)+1)+(Time!AX25-AX26)*INDEX(Inputs!$J$223:$Q$223,1,MOD(AX25,8)+1))/Time!AX25,0)</f>
        <v>92.9</v>
      </c>
      <c r="AY27" s="11" t="n">
        <f aca="false">IF(Time!AY25&gt;0,(AY26*INDEX(Inputs!$J$223:$Q$223,1,MOD(AY25-1,8)+1)+(Time!AY25-AY26)*INDEX(Inputs!$J$223:$Q$223,1,MOD(AY25,8)+1))/Time!AY25,0)</f>
        <v>93.2</v>
      </c>
      <c r="AZ27" s="11" t="n">
        <f aca="false">IF(Time!AZ25&gt;0,(AZ26*INDEX(Inputs!$J$223:$Q$223,1,MOD(AZ25-1,8)+1)+(Time!AZ25-AZ26)*INDEX(Inputs!$J$223:$Q$223,1,MOD(AZ25,8)+1))/Time!AZ25,0)</f>
        <v>93.8</v>
      </c>
      <c r="BA27" s="11" t="n">
        <f aca="false">IF(Time!BA25&gt;0,(BA26*INDEX(Inputs!$J$223:$Q$223,1,MOD(BA25-1,8)+1)+(Time!BA25-BA26)*INDEX(Inputs!$J$223:$Q$223,1,MOD(BA25,8)+1))/Time!BA25,0)</f>
        <v>92.7333333333333</v>
      </c>
      <c r="BB27" s="11" t="n">
        <f aca="false">IF(Time!BB25&gt;0,(BB26*INDEX(Inputs!$J$223:$Q$223,1,MOD(BB25-1,8)+1)+(Time!BB25-BB26)*INDEX(Inputs!$J$223:$Q$223,1,MOD(BB25,8)+1))/Time!BB25,0)</f>
        <v>90.6</v>
      </c>
      <c r="BC27" s="11" t="n">
        <f aca="false">IF(Time!BC25&gt;0,(BC26*INDEX(Inputs!$J$223:$Q$223,1,MOD(BC25-1,8)+1)+(Time!BC25-BC26)*INDEX(Inputs!$J$223:$Q$223,1,MOD(BC25,8)+1))/Time!BC25,0)</f>
        <v>91.6666666666667</v>
      </c>
      <c r="BD27" s="11" t="n">
        <f aca="false">IF(Time!BD25&gt;0,(BD26*INDEX(Inputs!$J$223:$Q$223,1,MOD(BD25-1,8)+1)+(Time!BD25-BD26)*INDEX(Inputs!$J$223:$Q$223,1,MOD(BD25,8)+1))/Time!BD25,0)</f>
        <v>93.8</v>
      </c>
      <c r="BE27" s="11" t="n">
        <f aca="false">IF(Time!BE25&gt;0,(BE26*INDEX(Inputs!$J$223:$Q$223,1,MOD(BE25-1,8)+1)+(Time!BE25-BE26)*INDEX(Inputs!$J$223:$Q$223,1,MOD(BE25,8)+1))/Time!BE25,0)</f>
        <v>93.5</v>
      </c>
      <c r="BF27" s="11" t="n">
        <f aca="false">IF(Time!BF25&gt;0,(BF26*INDEX(Inputs!$J$223:$Q$223,1,MOD(BF25-1,8)+1)+(Time!BF25-BF26)*INDEX(Inputs!$J$223:$Q$223,1,MOD(BF25,8)+1))/Time!BF25,0)</f>
        <v>92.9</v>
      </c>
      <c r="BG27" s="11" t="n">
        <f aca="false">IF(Time!BG25&gt;0,(BG26*INDEX(Inputs!$J$223:$Q$223,1,MOD(BG25-1,8)+1)+(Time!BG25-BG26)*INDEX(Inputs!$J$223:$Q$223,1,MOD(BG25,8)+1))/Time!BG25,0)</f>
        <v>93.2</v>
      </c>
      <c r="BH27" s="11" t="n">
        <f aca="false">IF(Time!BH25&gt;0,(BH26*INDEX(Inputs!$J$223:$Q$223,1,MOD(BH25-1,8)+1)+(Time!BH25-BH26)*INDEX(Inputs!$J$223:$Q$223,1,MOD(BH25,8)+1))/Time!BH25,0)</f>
        <v>93.8</v>
      </c>
      <c r="BI27" s="11" t="n">
        <f aca="false">IF(Time!BI25&gt;0,(BI26*INDEX(Inputs!$J$223:$Q$223,1,MOD(BI25-1,8)+1)+(Time!BI25-BI26)*INDEX(Inputs!$J$223:$Q$223,1,MOD(BI25,8)+1))/Time!BI25,0)</f>
        <v>92.1</v>
      </c>
      <c r="BJ27" s="11" t="n">
        <f aca="false">IF(Time!BJ25&gt;0,(BJ26*INDEX(Inputs!$J$223:$Q$223,1,MOD(BJ25-1,8)+1)+(Time!BJ25-BJ26)*INDEX(Inputs!$J$223:$Q$223,1,MOD(BJ25,8)+1))/Time!BJ25,0)</f>
        <v>88.7</v>
      </c>
      <c r="BK27" s="11" t="n">
        <f aca="false">IF(Time!BK25&gt;0,(BK26*INDEX(Inputs!$J$223:$Q$223,1,MOD(BK25-1,8)+1)+(Time!BK25-BK26)*INDEX(Inputs!$J$223:$Q$223,1,MOD(BK25,8)+1))/Time!BK25,0)</f>
        <v>90.4</v>
      </c>
      <c r="BL27" s="11" t="n">
        <f aca="false">IF(Time!BL25&gt;0,(BL26*INDEX(Inputs!$J$223:$Q$223,1,MOD(BL25-1,8)+1)+(Time!BL25-BL26)*INDEX(Inputs!$J$223:$Q$223,1,MOD(BL25,8)+1))/Time!BL25,0)</f>
        <v>93.8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0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93.8</v>
      </c>
      <c r="P28" s="11" t="n">
        <f aca="false">IF(Time!P25&gt;0,P27+Inputs!$F$36,0)</f>
        <v>93.8</v>
      </c>
      <c r="Q28" s="11" t="n">
        <f aca="false">IF(Time!Q25&gt;0,Q27+Inputs!$F$36,0)</f>
        <v>93.5</v>
      </c>
      <c r="R28" s="11" t="n">
        <f aca="false">IF(Time!R25&gt;0,R27+Inputs!$F$36,0)</f>
        <v>92.9</v>
      </c>
      <c r="S28" s="11" t="n">
        <f aca="false">IF(Time!S25&gt;0,S27+Inputs!$F$36,0)</f>
        <v>93.2</v>
      </c>
      <c r="T28" s="11" t="n">
        <f aca="false">IF(Time!T25&gt;0,T27+Inputs!$F$36,0)</f>
        <v>93.8</v>
      </c>
      <c r="U28" s="11" t="n">
        <f aca="false">IF(Time!U25&gt;0,U27+Inputs!$F$36,0)</f>
        <v>92.7333333333333</v>
      </c>
      <c r="V28" s="11" t="n">
        <f aca="false">IF(Time!V25&gt;0,V27+Inputs!$F$36,0)</f>
        <v>90.6</v>
      </c>
      <c r="W28" s="11" t="n">
        <f aca="false">IF(Time!W25&gt;0,W27+Inputs!$F$36,0)</f>
        <v>91.6666666666667</v>
      </c>
      <c r="X28" s="11" t="n">
        <f aca="false">IF(Time!X25&gt;0,X27+Inputs!$F$36,0)</f>
        <v>93.8</v>
      </c>
      <c r="Y28" s="11" t="n">
        <f aca="false">IF(Time!Y25&gt;0,Y27+Inputs!$F$36,0)</f>
        <v>93.5</v>
      </c>
      <c r="Z28" s="11" t="n">
        <f aca="false">IF(Time!Z25&gt;0,Z27+Inputs!$F$36,0)</f>
        <v>92.9</v>
      </c>
      <c r="AA28" s="11" t="n">
        <f aca="false">IF(Time!AA25&gt;0,AA27+Inputs!$F$36,0)</f>
        <v>93.2</v>
      </c>
      <c r="AB28" s="11" t="n">
        <f aca="false">IF(Time!AB25&gt;0,AB27+Inputs!$F$36,0)</f>
        <v>93.8</v>
      </c>
      <c r="AC28" s="11" t="n">
        <f aca="false">IF(Time!AC25&gt;0,AC27+Inputs!$F$36,0)</f>
        <v>92.1</v>
      </c>
      <c r="AD28" s="11" t="n">
        <f aca="false">IF(Time!AD25&gt;0,AD27+Inputs!$F$36,0)</f>
        <v>88.7</v>
      </c>
      <c r="AE28" s="11" t="n">
        <f aca="false">IF(Time!AE25&gt;0,AE27+Inputs!$F$36,0)</f>
        <v>90.4</v>
      </c>
      <c r="AF28" s="11" t="n">
        <f aca="false">IF(Time!AF25&gt;0,AF27+Inputs!$F$36,0)</f>
        <v>93.8</v>
      </c>
      <c r="AG28" s="11" t="n">
        <f aca="false">IF(Time!AG25&gt;0,AG27+Inputs!$F$36,0)</f>
        <v>93.5</v>
      </c>
      <c r="AH28" s="11" t="n">
        <f aca="false">IF(Time!AH25&gt;0,AH27+Inputs!$F$36,0)</f>
        <v>92.9</v>
      </c>
      <c r="AI28" s="11" t="n">
        <f aca="false">IF(Time!AI25&gt;0,AI27+Inputs!$F$36,0)</f>
        <v>93.2</v>
      </c>
      <c r="AJ28" s="11" t="n">
        <f aca="false">IF(Time!AJ25&gt;0,AJ27+Inputs!$F$36,0)</f>
        <v>93.8</v>
      </c>
      <c r="AK28" s="11" t="n">
        <f aca="false">IF(Time!AK25&gt;0,AK27+Inputs!$F$36,0)</f>
        <v>92.7333333333333</v>
      </c>
      <c r="AL28" s="11" t="n">
        <f aca="false">IF(Time!AL25&gt;0,AL27+Inputs!$F$36,0)</f>
        <v>90.6</v>
      </c>
      <c r="AM28" s="11" t="n">
        <f aca="false">IF(Time!AM25&gt;0,AM27+Inputs!$F$36,0)</f>
        <v>91.6666666666667</v>
      </c>
      <c r="AN28" s="11" t="n">
        <f aca="false">IF(Time!AN25&gt;0,AN27+Inputs!$F$36,0)</f>
        <v>93.8</v>
      </c>
      <c r="AO28" s="11" t="n">
        <f aca="false">IF(Time!AO25&gt;0,AO27+Inputs!$F$36,0)</f>
        <v>93.5</v>
      </c>
      <c r="AP28" s="11" t="n">
        <f aca="false">IF(Time!AP25&gt;0,AP27+Inputs!$F$36,0)</f>
        <v>92.9</v>
      </c>
      <c r="AQ28" s="11" t="n">
        <f aca="false">IF(Time!AQ25&gt;0,AQ27+Inputs!$F$36,0)</f>
        <v>93.2</v>
      </c>
      <c r="AR28" s="11" t="n">
        <f aca="false">IF(Time!AR25&gt;0,AR27+Inputs!$F$36,0)</f>
        <v>93.8</v>
      </c>
      <c r="AS28" s="11" t="n">
        <f aca="false">IF(Time!AS25&gt;0,AS27+Inputs!$F$36,0)</f>
        <v>92.1</v>
      </c>
      <c r="AT28" s="11" t="n">
        <f aca="false">IF(Time!AT25&gt;0,AT27+Inputs!$F$36,0)</f>
        <v>88.7</v>
      </c>
      <c r="AU28" s="11" t="n">
        <f aca="false">IF(Time!AU25&gt;0,AU27+Inputs!$F$36,0)</f>
        <v>90.4</v>
      </c>
      <c r="AV28" s="11" t="n">
        <f aca="false">IF(Time!AV25&gt;0,AV27+Inputs!$F$36,0)</f>
        <v>93.8</v>
      </c>
      <c r="AW28" s="11" t="n">
        <f aca="false">IF(Time!AW25&gt;0,AW27+Inputs!$F$36,0)</f>
        <v>93.5</v>
      </c>
      <c r="AX28" s="11" t="n">
        <f aca="false">IF(Time!AX25&gt;0,AX27+Inputs!$F$36,0)</f>
        <v>92.9</v>
      </c>
      <c r="AY28" s="11" t="n">
        <f aca="false">IF(Time!AY25&gt;0,AY27+Inputs!$F$36,0)</f>
        <v>93.2</v>
      </c>
      <c r="AZ28" s="11" t="n">
        <f aca="false">IF(Time!AZ25&gt;0,AZ27+Inputs!$F$36,0)</f>
        <v>93.8</v>
      </c>
      <c r="BA28" s="11" t="n">
        <f aca="false">IF(Time!BA25&gt;0,BA27+Inputs!$F$36,0)</f>
        <v>92.7333333333333</v>
      </c>
      <c r="BB28" s="11" t="n">
        <f aca="false">IF(Time!BB25&gt;0,BB27+Inputs!$F$36,0)</f>
        <v>90.6</v>
      </c>
      <c r="BC28" s="11" t="n">
        <f aca="false">IF(Time!BC25&gt;0,BC27+Inputs!$F$36,0)</f>
        <v>91.6666666666667</v>
      </c>
      <c r="BD28" s="11" t="n">
        <f aca="false">IF(Time!BD25&gt;0,BD27+Inputs!$F$36,0)</f>
        <v>93.8</v>
      </c>
      <c r="BE28" s="11" t="n">
        <f aca="false">IF(Time!BE25&gt;0,BE27+Inputs!$F$36,0)</f>
        <v>93.5</v>
      </c>
      <c r="BF28" s="11" t="n">
        <f aca="false">IF(Time!BF25&gt;0,BF27+Inputs!$F$36,0)</f>
        <v>92.9</v>
      </c>
      <c r="BG28" s="11" t="n">
        <f aca="false">IF(Time!BG25&gt;0,BG27+Inputs!$F$36,0)</f>
        <v>93.2</v>
      </c>
      <c r="BH28" s="11" t="n">
        <f aca="false">IF(Time!BH25&gt;0,BH27+Inputs!$F$36,0)</f>
        <v>93.8</v>
      </c>
      <c r="BI28" s="11" t="n">
        <f aca="false">IF(Time!BI25&gt;0,BI27+Inputs!$F$36,0)</f>
        <v>92.1</v>
      </c>
      <c r="BJ28" s="11" t="n">
        <f aca="false">IF(Time!BJ25&gt;0,BJ27+Inputs!$F$36,0)</f>
        <v>88.7</v>
      </c>
      <c r="BK28" s="11" t="n">
        <f aca="false">IF(Time!BK25&gt;0,BK27+Inputs!$F$36,0)</f>
        <v>90.4</v>
      </c>
      <c r="BL28" s="11" t="n">
        <f aca="false">IF(Time!BL25&gt;0,BL27+Inputs!$F$36,0)</f>
        <v>93.8</v>
      </c>
      <c r="BM28" s="11" t="n">
        <f aca="false">IF(Time!BM25&gt;0,BM27+Inputs!$F$36,0)</f>
        <v>93.8</v>
      </c>
      <c r="BN28" s="11" t="n">
        <f aca="false">IF(Time!BN25&gt;0,BN27+Inputs!$F$36,0)</f>
        <v>0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0.98987625</v>
      </c>
      <c r="P32" s="11" t="n">
        <f aca="false">(1-Inputs!$F$123/100*P29)*(1-Inputs!$F$124/100)</f>
        <v>0.98938125</v>
      </c>
      <c r="Q32" s="11" t="n">
        <f aca="false">(1-Inputs!$F$123/100*Q29)*(1-Inputs!$F$124/100)</f>
        <v>0.98863875</v>
      </c>
      <c r="R32" s="11" t="n">
        <f aca="false">(1-Inputs!$F$123/100*R29)*(1-Inputs!$F$124/100)</f>
        <v>0.98789625</v>
      </c>
      <c r="S32" s="11" t="n">
        <f aca="false">(1-Inputs!$F$123/100*S29)*(1-Inputs!$F$124/100)</f>
        <v>0.98715375</v>
      </c>
      <c r="T32" s="11" t="n">
        <f aca="false">(1-Inputs!$F$123/100*T29)*(1-Inputs!$F$124/100)</f>
        <v>0.98641125</v>
      </c>
      <c r="U32" s="11" t="n">
        <f aca="false">(1-Inputs!$F$123/100*U29)*(1-Inputs!$F$124/100)</f>
        <v>0.98566875</v>
      </c>
      <c r="V32" s="11" t="n">
        <f aca="false">(1-Inputs!$F$123/100*V29)*(1-Inputs!$F$124/100)</f>
        <v>0.98492625</v>
      </c>
      <c r="W32" s="11" t="n">
        <f aca="false">(1-Inputs!$F$123/100*W29)*(1-Inputs!$F$124/100)</f>
        <v>0.98418375</v>
      </c>
      <c r="X32" s="11" t="n">
        <f aca="false">(1-Inputs!$F$123/100*X29)*(1-Inputs!$F$124/100)</f>
        <v>0.98344125</v>
      </c>
      <c r="Y32" s="11" t="n">
        <f aca="false">(1-Inputs!$F$123/100*Y29)*(1-Inputs!$F$124/100)</f>
        <v>0.98269875</v>
      </c>
      <c r="Z32" s="11" t="n">
        <f aca="false">(1-Inputs!$F$123/100*Z29)*(1-Inputs!$F$124/100)</f>
        <v>0.98195625</v>
      </c>
      <c r="AA32" s="11" t="n">
        <f aca="false">(1-Inputs!$F$123/100*AA29)*(1-Inputs!$F$124/100)</f>
        <v>0.98121375</v>
      </c>
      <c r="AB32" s="11" t="n">
        <f aca="false">(1-Inputs!$F$123/100*AB29)*(1-Inputs!$F$124/100)</f>
        <v>0.98047125</v>
      </c>
      <c r="AC32" s="11" t="n">
        <f aca="false">(1-Inputs!$F$123/100*AC29)*(1-Inputs!$F$124/100)</f>
        <v>0.97972875</v>
      </c>
      <c r="AD32" s="11" t="n">
        <f aca="false">(1-Inputs!$F$123/100*AD29)*(1-Inputs!$F$124/100)</f>
        <v>0.97898625</v>
      </c>
      <c r="AE32" s="11" t="n">
        <f aca="false">(1-Inputs!$F$123/100*AE29)*(1-Inputs!$F$124/100)</f>
        <v>0.97824375</v>
      </c>
      <c r="AF32" s="11" t="n">
        <f aca="false">(1-Inputs!$F$123/100*AF29)*(1-Inputs!$F$124/100)</f>
        <v>0.97750125</v>
      </c>
      <c r="AG32" s="11" t="n">
        <f aca="false">(1-Inputs!$F$123/100*AG29)*(1-Inputs!$F$124/100)</f>
        <v>0.97675875</v>
      </c>
      <c r="AH32" s="11" t="n">
        <f aca="false">(1-Inputs!$F$123/100*AH29)*(1-Inputs!$F$124/100)</f>
        <v>0.97601625</v>
      </c>
      <c r="AI32" s="11" t="n">
        <f aca="false">(1-Inputs!$F$123/100*AI29)*(1-Inputs!$F$124/100)</f>
        <v>0.97527375</v>
      </c>
      <c r="AJ32" s="11" t="n">
        <f aca="false">(1-Inputs!$F$123/100*AJ29)*(1-Inputs!$F$124/100)</f>
        <v>0.97453125</v>
      </c>
      <c r="AK32" s="11" t="n">
        <f aca="false">(1-Inputs!$F$123/100*AK29)*(1-Inputs!$F$124/100)</f>
        <v>0.97378875</v>
      </c>
      <c r="AL32" s="11" t="n">
        <f aca="false">(1-Inputs!$F$123/100*AL29)*(1-Inputs!$F$124/100)</f>
        <v>0.97304625</v>
      </c>
      <c r="AM32" s="11" t="n">
        <f aca="false">(1-Inputs!$F$123/100*AM29)*(1-Inputs!$F$124/100)</f>
        <v>0.97230375</v>
      </c>
      <c r="AN32" s="11" t="n">
        <f aca="false">(1-Inputs!$F$123/100*AN29)*(1-Inputs!$F$124/100)</f>
        <v>0.97156125</v>
      </c>
      <c r="AO32" s="11" t="n">
        <f aca="false">(1-Inputs!$F$123/100*AO29)*(1-Inputs!$F$124/100)</f>
        <v>0.97081875</v>
      </c>
      <c r="AP32" s="11" t="n">
        <f aca="false">(1-Inputs!$F$123/100*AP29)*(1-Inputs!$F$124/100)</f>
        <v>0.97007625</v>
      </c>
      <c r="AQ32" s="11" t="n">
        <f aca="false">(1-Inputs!$F$123/100*AQ29)*(1-Inputs!$F$124/100)</f>
        <v>0.96933375</v>
      </c>
      <c r="AR32" s="11" t="n">
        <f aca="false">(1-Inputs!$F$123/100*AR29)*(1-Inputs!$F$124/100)</f>
        <v>0.96859125</v>
      </c>
      <c r="AS32" s="11" t="n">
        <f aca="false">(1-Inputs!$F$123/100*AS29)*(1-Inputs!$F$124/100)</f>
        <v>0.96784875</v>
      </c>
      <c r="AT32" s="11" t="n">
        <f aca="false">(1-Inputs!$F$123/100*AT29)*(1-Inputs!$F$124/100)</f>
        <v>0.96710625</v>
      </c>
      <c r="AU32" s="11" t="n">
        <f aca="false">(1-Inputs!$F$123/100*AU29)*(1-Inputs!$F$124/100)</f>
        <v>0.96636375</v>
      </c>
      <c r="AV32" s="11" t="n">
        <f aca="false">(1-Inputs!$F$123/100*AV29)*(1-Inputs!$F$124/100)</f>
        <v>0.96562125</v>
      </c>
      <c r="AW32" s="11" t="n">
        <f aca="false">(1-Inputs!$F$123/100*AW29)*(1-Inputs!$F$124/100)</f>
        <v>0.96487875</v>
      </c>
      <c r="AX32" s="11" t="n">
        <f aca="false">(1-Inputs!$F$123/100*AX29)*(1-Inputs!$F$124/100)</f>
        <v>0.96413625</v>
      </c>
      <c r="AY32" s="11" t="n">
        <f aca="false">(1-Inputs!$F$123/100*AY29)*(1-Inputs!$F$124/100)</f>
        <v>0.96339375</v>
      </c>
      <c r="AZ32" s="11" t="n">
        <f aca="false">(1-Inputs!$F$123/100*AZ29)*(1-Inputs!$F$124/100)</f>
        <v>0.96265125</v>
      </c>
      <c r="BA32" s="11" t="n">
        <f aca="false">(1-Inputs!$F$123/100*BA29)*(1-Inputs!$F$124/100)</f>
        <v>0.96190875</v>
      </c>
      <c r="BB32" s="11" t="n">
        <f aca="false">(1-Inputs!$F$123/100*BB29)*(1-Inputs!$F$124/100)</f>
        <v>0.96116625</v>
      </c>
      <c r="BC32" s="11" t="n">
        <f aca="false">(1-Inputs!$F$123/100*BC29)*(1-Inputs!$F$124/100)</f>
        <v>0.96042375</v>
      </c>
      <c r="BD32" s="11" t="n">
        <f aca="false">(1-Inputs!$F$123/100*BD29)*(1-Inputs!$F$124/100)</f>
        <v>0.95968125</v>
      </c>
      <c r="BE32" s="11" t="n">
        <f aca="false">(1-Inputs!$F$123/100*BE29)*(1-Inputs!$F$124/100)</f>
        <v>0.95893875</v>
      </c>
      <c r="BF32" s="11" t="n">
        <f aca="false">(1-Inputs!$F$123/100*BF29)*(1-Inputs!$F$124/100)</f>
        <v>0.95819625</v>
      </c>
      <c r="BG32" s="11" t="n">
        <f aca="false">(1-Inputs!$F$123/100*BG29)*(1-Inputs!$F$124/100)</f>
        <v>0.95745375</v>
      </c>
      <c r="BH32" s="11" t="n">
        <f aca="false">(1-Inputs!$F$123/100*BH29)*(1-Inputs!$F$124/100)</f>
        <v>0.95671125</v>
      </c>
      <c r="BI32" s="11" t="n">
        <f aca="false">(1-Inputs!$F$123/100*BI29)*(1-Inputs!$F$124/100)</f>
        <v>0.95596875</v>
      </c>
      <c r="BJ32" s="11" t="n">
        <f aca="false">(1-Inputs!$F$123/100*BJ29)*(1-Inputs!$F$124/100)</f>
        <v>0.95522625</v>
      </c>
      <c r="BK32" s="11" t="n">
        <f aca="false">(1-Inputs!$F$123/100*BK29)*(1-Inputs!$F$124/100)</f>
        <v>0.95448375</v>
      </c>
      <c r="BL32" s="11" t="n">
        <f aca="false">(1-Inputs!$F$123/100*BL29)*(1-Inputs!$F$124/100)</f>
        <v>0.95374125</v>
      </c>
      <c r="BM32" s="11" t="n">
        <f aca="false">(1-Inputs!$F$123/100*BM29)*(1-Inputs!$F$124/100)</f>
        <v>0.9531225</v>
      </c>
      <c r="BN32" s="11" t="n">
        <f aca="false">(1-Inputs!$F$123/100*BN29)*(1-Inputs!$F$124/100)</f>
        <v>0.99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610197.884664083</v>
      </c>
      <c r="P33" s="13" t="n">
        <f aca="false">$F$30*730*Time!P25*P28/100*Inputs!$F$37/100*P32</f>
        <v>1829678.24273885</v>
      </c>
      <c r="Q33" s="13" t="n">
        <f aca="false">$F$30*730*Time!Q25*Q28/100*Inputs!$F$37/100*Q32</f>
        <v>1822457.66810013</v>
      </c>
      <c r="R33" s="13" t="n">
        <f aca="false">$F$30*730*Time!R25*R28/100*Inputs!$F$37/100*R32</f>
        <v>1809402.81059825</v>
      </c>
      <c r="S33" s="13" t="n">
        <f aca="false">$F$30*730*Time!S25*S28/100*Inputs!$F$37/100*S32</f>
        <v>1813881.54310857</v>
      </c>
      <c r="T33" s="13" t="n">
        <f aca="false">$F$30*730*Time!T25*T28/100*Inputs!$F$37/100*T32</f>
        <v>1824185.77521843</v>
      </c>
      <c r="U33" s="13" t="n">
        <f aca="false">$F$30*730*Time!U25*U28/100*Inputs!$F$37/100*U32</f>
        <v>1802084.15618238</v>
      </c>
      <c r="V33" s="13" t="n">
        <f aca="false">$F$30*730*Time!V25*V28/100*Inputs!$F$37/100*V32</f>
        <v>1759300.87906306</v>
      </c>
      <c r="W33" s="13" t="n">
        <f aca="false">$F$30*730*Time!W25*W28/100*Inputs!$F$37/100*W32</f>
        <v>1778671.87902979</v>
      </c>
      <c r="X33" s="13" t="n">
        <f aca="false">$F$30*730*Time!X25*X28/100*Inputs!$F$37/100*X32</f>
        <v>1818693.30769801</v>
      </c>
      <c r="Y33" s="13" t="n">
        <f aca="false">$F$30*730*Time!Y25*Y28/100*Inputs!$F$37/100*Y32</f>
        <v>1811507.8661138</v>
      </c>
      <c r="Z33" s="13" t="n">
        <f aca="false">$F$30*730*Time!Z25*Z28/100*Inputs!$F$37/100*Z32</f>
        <v>1798523.27472092</v>
      </c>
      <c r="AA33" s="13" t="n">
        <f aca="false">$F$30*730*Time!AA25*AA28/100*Inputs!$F$37/100*AA32</f>
        <v>1802966.87417673</v>
      </c>
      <c r="AB33" s="13" t="n">
        <f aca="false">$F$30*730*Time!AB25*AB28/100*Inputs!$F$37/100*AB32</f>
        <v>1813200.8401776</v>
      </c>
      <c r="AC33" s="13" t="n">
        <f aca="false">$F$30*730*Time!AC25*AC28/100*Inputs!$F$37/100*AC32</f>
        <v>1778990.7602953</v>
      </c>
      <c r="AD33" s="13" t="n">
        <f aca="false">$F$30*730*Time!AD25*AD28/100*Inputs!$F$37/100*AD32</f>
        <v>1712018.37515162</v>
      </c>
      <c r="AE33" s="13" t="n">
        <f aca="false">$F$30*730*Time!AE25*AE28/100*Inputs!$F$37/100*AE32</f>
        <v>1743507.10718732</v>
      </c>
      <c r="AF33" s="13" t="n">
        <f aca="false">$F$30*730*Time!AF25*AF28/100*Inputs!$F$37/100*AF32</f>
        <v>1807708.37265718</v>
      </c>
      <c r="AG33" s="13" t="n">
        <f aca="false">$F$30*730*Time!AG25*AG28/100*Inputs!$F$37/100*AG32</f>
        <v>1800558.06412747</v>
      </c>
      <c r="AH33" s="13" t="n">
        <f aca="false">$F$30*730*Time!AH25*AH28/100*Inputs!$F$37/100*AH32</f>
        <v>1787643.73884359</v>
      </c>
      <c r="AI33" s="13" t="n">
        <f aca="false">$F$30*730*Time!AI25*AI28/100*Inputs!$F$37/100*AI32</f>
        <v>1792052.2052449</v>
      </c>
      <c r="AJ33" s="13" t="n">
        <f aca="false">$F$30*730*Time!AJ25*AJ28/100*Inputs!$F$37/100*AJ32</f>
        <v>1802215.90513676</v>
      </c>
      <c r="AK33" s="13" t="n">
        <f aca="false">$F$30*730*Time!AK25*AK28/100*Inputs!$F$37/100*AK32</f>
        <v>1780364.12115495</v>
      </c>
      <c r="AL33" s="13" t="n">
        <f aca="false">$F$30*730*Time!AL25*AL28/100*Inputs!$F$37/100*AL32</f>
        <v>1738080.51414409</v>
      </c>
      <c r="AM33" s="13" t="n">
        <f aca="false">$F$30*730*Time!AM25*AM28/100*Inputs!$F$37/100*AM32</f>
        <v>1757201.67905659</v>
      </c>
      <c r="AN33" s="13" t="n">
        <f aca="false">$F$30*730*Time!AN25*AN28/100*Inputs!$F$37/100*AN32</f>
        <v>1796723.43761635</v>
      </c>
      <c r="AO33" s="13" t="n">
        <f aca="false">$F$30*730*Time!AO25*AO28/100*Inputs!$F$37/100*AO32</f>
        <v>1789608.26214114</v>
      </c>
      <c r="AP33" s="13" t="n">
        <f aca="false">$F$30*730*Time!AP25*AP28/100*Inputs!$F$37/100*AP32</f>
        <v>1776764.20296626</v>
      </c>
      <c r="AQ33" s="13" t="n">
        <f aca="false">$F$30*730*Time!AQ25*AQ28/100*Inputs!$F$37/100*AQ32</f>
        <v>1781137.53631307</v>
      </c>
      <c r="AR33" s="13" t="n">
        <f aca="false">$F$30*730*Time!AR25*AR28/100*Inputs!$F$37/100*AR32</f>
        <v>1791230.97009593</v>
      </c>
      <c r="AS33" s="13" t="n">
        <f aca="false">$F$30*730*Time!AS25*AS28/100*Inputs!$F$37/100*AS32</f>
        <v>1757419.06483132</v>
      </c>
      <c r="AT33" s="13" t="n">
        <f aca="false">$F$30*730*Time!AT25*AT28/100*Inputs!$F$37/100*AT32</f>
        <v>1691243.02892301</v>
      </c>
      <c r="AU33" s="13" t="n">
        <f aca="false">$F$30*730*Time!AU25*AU28/100*Inputs!$F$37/100*AU32</f>
        <v>1722333.58634102</v>
      </c>
      <c r="AV33" s="13" t="n">
        <f aca="false">$F$30*730*Time!AV25*AV28/100*Inputs!$F$37/100*AV32</f>
        <v>1785738.50257551</v>
      </c>
      <c r="AW33" s="13" t="n">
        <f aca="false">$F$30*730*Time!AW25*AW28/100*Inputs!$F$37/100*AW32</f>
        <v>1778658.4601548</v>
      </c>
      <c r="AX33" s="13" t="n">
        <f aca="false">$F$30*730*Time!AX25*AX28/100*Inputs!$F$37/100*AX32</f>
        <v>1765884.66708893</v>
      </c>
      <c r="AY33" s="13" t="n">
        <f aca="false">$F$30*730*Time!AY25*AY28/100*Inputs!$F$37/100*AY32</f>
        <v>1770222.86738124</v>
      </c>
      <c r="AZ33" s="13" t="n">
        <f aca="false">$F$30*730*Time!AZ25*AZ28/100*Inputs!$F$37/100*AZ32</f>
        <v>1780246.0350551</v>
      </c>
      <c r="BA33" s="13" t="n">
        <f aca="false">$F$30*730*Time!BA25*BA28/100*Inputs!$F$37/100*BA32</f>
        <v>1758644.08612751</v>
      </c>
      <c r="BB33" s="13" t="n">
        <f aca="false">$F$30*730*Time!BB25*BB28/100*Inputs!$F$37/100*BB32</f>
        <v>1716860.14922513</v>
      </c>
      <c r="BC33" s="13" t="n">
        <f aca="false">$F$30*730*Time!BC25*BC28/100*Inputs!$F$37/100*BC32</f>
        <v>1735731.47908339</v>
      </c>
      <c r="BD33" s="13" t="n">
        <f aca="false">$F$30*730*Time!BD25*BD28/100*Inputs!$F$37/100*BD32</f>
        <v>1774753.56753468</v>
      </c>
      <c r="BE33" s="13" t="n">
        <f aca="false">$F$30*730*Time!BE25*BE28/100*Inputs!$F$37/100*BE32</f>
        <v>1767708.65816847</v>
      </c>
      <c r="BF33" s="13" t="n">
        <f aca="false">$F$30*730*Time!BF25*BF28/100*Inputs!$F$37/100*BF32</f>
        <v>1755005.1312116</v>
      </c>
      <c r="BG33" s="13" t="n">
        <f aca="false">$F$30*730*Time!BG25*BG28/100*Inputs!$F$37/100*BG32</f>
        <v>1759308.19844941</v>
      </c>
      <c r="BH33" s="13" t="n">
        <f aca="false">$F$30*730*Time!BH25*BH28/100*Inputs!$F$37/100*BH32</f>
        <v>1769261.10001426</v>
      </c>
      <c r="BI33" s="13" t="n">
        <f aca="false">$F$30*730*Time!BI25*BI28/100*Inputs!$F$37/100*BI32</f>
        <v>1735847.36936733</v>
      </c>
      <c r="BJ33" s="13" t="n">
        <f aca="false">$F$30*730*Time!BJ25*BJ28/100*Inputs!$F$37/100*BJ32</f>
        <v>1670467.6826944</v>
      </c>
      <c r="BK33" s="13" t="n">
        <f aca="false">$F$30*730*Time!BK25*BK28/100*Inputs!$F$37/100*BK32</f>
        <v>1701160.06549472</v>
      </c>
      <c r="BL33" s="13" t="n">
        <f aca="false">$F$30*730*Time!BL25*BL28/100*Inputs!$F$37/100*BL32</f>
        <v>1763768.63249384</v>
      </c>
      <c r="BM33" s="13" t="n">
        <f aca="false">$F$30*730*Time!BM25*BM28/100*Inputs!$F$37/100*BM32</f>
        <v>1175082.91228473</v>
      </c>
      <c r="BN33" s="13" t="n">
        <f aca="false">$F$30*730*Time!BN25*BN28/100*Inputs!$F$37/100*BN32</f>
        <v>0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6456.243024</v>
      </c>
      <c r="K34" s="11" t="n">
        <f aca="false">$F$31*(1+Inputs!$F$125/100*K29)*(1+Inputs!$F$126/100)*(1+Inputs!$F$120/100)*Inputs!$F$38</f>
        <v>6456.243024</v>
      </c>
      <c r="L34" s="11" t="n">
        <f aca="false">$F$31*(1+Inputs!$F$125/100*L29)*(1+Inputs!$F$126/100)*(1+Inputs!$F$120/100)*Inputs!$F$38</f>
        <v>6456.243024</v>
      </c>
      <c r="M34" s="11" t="n">
        <f aca="false">$F$31*(1+Inputs!$F$125/100*M29)*(1+Inputs!$F$126/100)*(1+Inputs!$F$120/100)*Inputs!$F$38</f>
        <v>6456.243024</v>
      </c>
      <c r="N34" s="11" t="n">
        <f aca="false">$F$31*(1+Inputs!$F$125/100*N29)*(1+Inputs!$F$126/100)*(1+Inputs!$F$120/100)*Inputs!$F$38</f>
        <v>6456.243024</v>
      </c>
      <c r="O34" s="11" t="n">
        <f aca="false">$F$31*(1+Inputs!$F$125/100*O29)*(1+Inputs!$F$126/100)*(1+Inputs!$F$120/100)*Inputs!$F$38</f>
        <v>6456.8886483024</v>
      </c>
      <c r="P34" s="11" t="n">
        <f aca="false">$F$31*(1+Inputs!$F$125/100*P29)*(1+Inputs!$F$126/100)*(1+Inputs!$F$120/100)*Inputs!$F$38</f>
        <v>6459.471145512</v>
      </c>
      <c r="Q34" s="11" t="n">
        <f aca="false">$F$31*(1+Inputs!$F$125/100*Q29)*(1+Inputs!$F$126/100)*(1+Inputs!$F$120/100)*Inputs!$F$38</f>
        <v>6463.3448913264</v>
      </c>
      <c r="R34" s="11" t="n">
        <f aca="false">$F$31*(1+Inputs!$F$125/100*R29)*(1+Inputs!$F$126/100)*(1+Inputs!$F$120/100)*Inputs!$F$38</f>
        <v>6467.2186371408</v>
      </c>
      <c r="S34" s="11" t="n">
        <f aca="false">$F$31*(1+Inputs!$F$125/100*S29)*(1+Inputs!$F$126/100)*(1+Inputs!$F$120/100)*Inputs!$F$38</f>
        <v>6471.0923829552</v>
      </c>
      <c r="T34" s="11" t="n">
        <f aca="false">$F$31*(1+Inputs!$F$125/100*T29)*(1+Inputs!$F$126/100)*(1+Inputs!$F$120/100)*Inputs!$F$38</f>
        <v>6474.9661287696</v>
      </c>
      <c r="U34" s="11" t="n">
        <f aca="false">$F$31*(1+Inputs!$F$125/100*U29)*(1+Inputs!$F$126/100)*(1+Inputs!$F$120/100)*Inputs!$F$38</f>
        <v>6478.839874584</v>
      </c>
      <c r="V34" s="11" t="n">
        <f aca="false">$F$31*(1+Inputs!$F$125/100*V29)*(1+Inputs!$F$126/100)*(1+Inputs!$F$120/100)*Inputs!$F$38</f>
        <v>6482.7136203984</v>
      </c>
      <c r="W34" s="11" t="n">
        <f aca="false">$F$31*(1+Inputs!$F$125/100*W29)*(1+Inputs!$F$126/100)*(1+Inputs!$F$120/100)*Inputs!$F$38</f>
        <v>6486.5873662128</v>
      </c>
      <c r="X34" s="11" t="n">
        <f aca="false">$F$31*(1+Inputs!$F$125/100*X29)*(1+Inputs!$F$126/100)*(1+Inputs!$F$120/100)*Inputs!$F$38</f>
        <v>6490.4611120272</v>
      </c>
      <c r="Y34" s="11" t="n">
        <f aca="false">$F$31*(1+Inputs!$F$125/100*Y29)*(1+Inputs!$F$126/100)*(1+Inputs!$F$120/100)*Inputs!$F$38</f>
        <v>6494.3348578416</v>
      </c>
      <c r="Z34" s="11" t="n">
        <f aca="false">$F$31*(1+Inputs!$F$125/100*Z29)*(1+Inputs!$F$126/100)*(1+Inputs!$F$120/100)*Inputs!$F$38</f>
        <v>6498.208603656</v>
      </c>
      <c r="AA34" s="11" t="n">
        <f aca="false">$F$31*(1+Inputs!$F$125/100*AA29)*(1+Inputs!$F$126/100)*(1+Inputs!$F$120/100)*Inputs!$F$38</f>
        <v>6502.0823494704</v>
      </c>
      <c r="AB34" s="11" t="n">
        <f aca="false">$F$31*(1+Inputs!$F$125/100*AB29)*(1+Inputs!$F$126/100)*(1+Inputs!$F$120/100)*Inputs!$F$38</f>
        <v>6505.9560952848</v>
      </c>
      <c r="AC34" s="11" t="n">
        <f aca="false">$F$31*(1+Inputs!$F$125/100*AC29)*(1+Inputs!$F$126/100)*(1+Inputs!$F$120/100)*Inputs!$F$38</f>
        <v>6509.8298410992</v>
      </c>
      <c r="AD34" s="11" t="n">
        <f aca="false">$F$31*(1+Inputs!$F$125/100*AD29)*(1+Inputs!$F$126/100)*(1+Inputs!$F$120/100)*Inputs!$F$38</f>
        <v>6513.7035869136</v>
      </c>
      <c r="AE34" s="11" t="n">
        <f aca="false">$F$31*(1+Inputs!$F$125/100*AE29)*(1+Inputs!$F$126/100)*(1+Inputs!$F$120/100)*Inputs!$F$38</f>
        <v>6517.577332728</v>
      </c>
      <c r="AF34" s="11" t="n">
        <f aca="false">$F$31*(1+Inputs!$F$125/100*AF29)*(1+Inputs!$F$126/100)*(1+Inputs!$F$120/100)*Inputs!$F$38</f>
        <v>6521.4510785424</v>
      </c>
      <c r="AG34" s="11" t="n">
        <f aca="false">$F$31*(1+Inputs!$F$125/100*AG29)*(1+Inputs!$F$126/100)*(1+Inputs!$F$120/100)*Inputs!$F$38</f>
        <v>6525.3248243568</v>
      </c>
      <c r="AH34" s="11" t="n">
        <f aca="false">$F$31*(1+Inputs!$F$125/100*AH29)*(1+Inputs!$F$126/100)*(1+Inputs!$F$120/100)*Inputs!$F$38</f>
        <v>6529.1985701712</v>
      </c>
      <c r="AI34" s="11" t="n">
        <f aca="false">$F$31*(1+Inputs!$F$125/100*AI29)*(1+Inputs!$F$126/100)*(1+Inputs!$F$120/100)*Inputs!$F$38</f>
        <v>6533.0723159856</v>
      </c>
      <c r="AJ34" s="11" t="n">
        <f aca="false">$F$31*(1+Inputs!$F$125/100*AJ29)*(1+Inputs!$F$126/100)*(1+Inputs!$F$120/100)*Inputs!$F$38</f>
        <v>6536.9460618</v>
      </c>
      <c r="AK34" s="11" t="n">
        <f aca="false">$F$31*(1+Inputs!$F$125/100*AK29)*(1+Inputs!$F$126/100)*(1+Inputs!$F$120/100)*Inputs!$F$38</f>
        <v>6540.8198076144</v>
      </c>
      <c r="AL34" s="11" t="n">
        <f aca="false">$F$31*(1+Inputs!$F$125/100*AL29)*(1+Inputs!$F$126/100)*(1+Inputs!$F$120/100)*Inputs!$F$38</f>
        <v>6544.6935534288</v>
      </c>
      <c r="AM34" s="11" t="n">
        <f aca="false">$F$31*(1+Inputs!$F$125/100*AM29)*(1+Inputs!$F$126/100)*(1+Inputs!$F$120/100)*Inputs!$F$38</f>
        <v>6548.5672992432</v>
      </c>
      <c r="AN34" s="11" t="n">
        <f aca="false">$F$31*(1+Inputs!$F$125/100*AN29)*(1+Inputs!$F$126/100)*(1+Inputs!$F$120/100)*Inputs!$F$38</f>
        <v>6552.4410450576</v>
      </c>
      <c r="AO34" s="11" t="n">
        <f aca="false">$F$31*(1+Inputs!$F$125/100*AO29)*(1+Inputs!$F$126/100)*(1+Inputs!$F$120/100)*Inputs!$F$38</f>
        <v>6556.314790872</v>
      </c>
      <c r="AP34" s="11" t="n">
        <f aca="false">$F$31*(1+Inputs!$F$125/100*AP29)*(1+Inputs!$F$126/100)*(1+Inputs!$F$120/100)*Inputs!$F$38</f>
        <v>6560.1885366864</v>
      </c>
      <c r="AQ34" s="11" t="n">
        <f aca="false">$F$31*(1+Inputs!$F$125/100*AQ29)*(1+Inputs!$F$126/100)*(1+Inputs!$F$120/100)*Inputs!$F$38</f>
        <v>6564.0622825008</v>
      </c>
      <c r="AR34" s="11" t="n">
        <f aca="false">$F$31*(1+Inputs!$F$125/100*AR29)*(1+Inputs!$F$126/100)*(1+Inputs!$F$120/100)*Inputs!$F$38</f>
        <v>6567.9360283152</v>
      </c>
      <c r="AS34" s="11" t="n">
        <f aca="false">$F$31*(1+Inputs!$F$125/100*AS29)*(1+Inputs!$F$126/100)*(1+Inputs!$F$120/100)*Inputs!$F$38</f>
        <v>6571.8097741296</v>
      </c>
      <c r="AT34" s="11" t="n">
        <f aca="false">$F$31*(1+Inputs!$F$125/100*AT29)*(1+Inputs!$F$126/100)*(1+Inputs!$F$120/100)*Inputs!$F$38</f>
        <v>6575.683519944</v>
      </c>
      <c r="AU34" s="11" t="n">
        <f aca="false">$F$31*(1+Inputs!$F$125/100*AU29)*(1+Inputs!$F$126/100)*(1+Inputs!$F$120/100)*Inputs!$F$38</f>
        <v>6579.5572657584</v>
      </c>
      <c r="AV34" s="11" t="n">
        <f aca="false">$F$31*(1+Inputs!$F$125/100*AV29)*(1+Inputs!$F$126/100)*(1+Inputs!$F$120/100)*Inputs!$F$38</f>
        <v>6583.4310115728</v>
      </c>
      <c r="AW34" s="11" t="n">
        <f aca="false">$F$31*(1+Inputs!$F$125/100*AW29)*(1+Inputs!$F$126/100)*(1+Inputs!$F$120/100)*Inputs!$F$38</f>
        <v>6587.3047573872</v>
      </c>
      <c r="AX34" s="11" t="n">
        <f aca="false">$F$31*(1+Inputs!$F$125/100*AX29)*(1+Inputs!$F$126/100)*(1+Inputs!$F$120/100)*Inputs!$F$38</f>
        <v>6591.1785032016</v>
      </c>
      <c r="AY34" s="11" t="n">
        <f aca="false">$F$31*(1+Inputs!$F$125/100*AY29)*(1+Inputs!$F$126/100)*(1+Inputs!$F$120/100)*Inputs!$F$38</f>
        <v>6595.052249016</v>
      </c>
      <c r="AZ34" s="11" t="n">
        <f aca="false">$F$31*(1+Inputs!$F$125/100*AZ29)*(1+Inputs!$F$126/100)*(1+Inputs!$F$120/100)*Inputs!$F$38</f>
        <v>6598.9259948304</v>
      </c>
      <c r="BA34" s="11" t="n">
        <f aca="false">$F$31*(1+Inputs!$F$125/100*BA29)*(1+Inputs!$F$126/100)*(1+Inputs!$F$120/100)*Inputs!$F$38</f>
        <v>6602.7997406448</v>
      </c>
      <c r="BB34" s="11" t="n">
        <f aca="false">$F$31*(1+Inputs!$F$125/100*BB29)*(1+Inputs!$F$126/100)*(1+Inputs!$F$120/100)*Inputs!$F$38</f>
        <v>6606.6734864592</v>
      </c>
      <c r="BC34" s="11" t="n">
        <f aca="false">$F$31*(1+Inputs!$F$125/100*BC29)*(1+Inputs!$F$126/100)*(1+Inputs!$F$120/100)*Inputs!$F$38</f>
        <v>6610.5472322736</v>
      </c>
      <c r="BD34" s="11" t="n">
        <f aca="false">$F$31*(1+Inputs!$F$125/100*BD29)*(1+Inputs!$F$126/100)*(1+Inputs!$F$120/100)*Inputs!$F$38</f>
        <v>6614.420978088</v>
      </c>
      <c r="BE34" s="11" t="n">
        <f aca="false">$F$31*(1+Inputs!$F$125/100*BE29)*(1+Inputs!$F$126/100)*(1+Inputs!$F$120/100)*Inputs!$F$38</f>
        <v>6618.2947239024</v>
      </c>
      <c r="BF34" s="11" t="n">
        <f aca="false">$F$31*(1+Inputs!$F$125/100*BF29)*(1+Inputs!$F$126/100)*(1+Inputs!$F$120/100)*Inputs!$F$38</f>
        <v>6622.1684697168</v>
      </c>
      <c r="BG34" s="11" t="n">
        <f aca="false">$F$31*(1+Inputs!$F$125/100*BG29)*(1+Inputs!$F$126/100)*(1+Inputs!$F$120/100)*Inputs!$F$38</f>
        <v>6626.0422155312</v>
      </c>
      <c r="BH34" s="11" t="n">
        <f aca="false">$F$31*(1+Inputs!$F$125/100*BH29)*(1+Inputs!$F$126/100)*(1+Inputs!$F$120/100)*Inputs!$F$38</f>
        <v>6629.9159613456</v>
      </c>
      <c r="BI34" s="11" t="n">
        <f aca="false">$F$31*(1+Inputs!$F$125/100*BI29)*(1+Inputs!$F$126/100)*(1+Inputs!$F$120/100)*Inputs!$F$38</f>
        <v>6633.78970716</v>
      </c>
      <c r="BJ34" s="11" t="n">
        <f aca="false">$F$31*(1+Inputs!$F$125/100*BJ29)*(1+Inputs!$F$126/100)*(1+Inputs!$F$120/100)*Inputs!$F$38</f>
        <v>6637.6634529744</v>
      </c>
      <c r="BK34" s="11" t="n">
        <f aca="false">$F$31*(1+Inputs!$F$125/100*BK29)*(1+Inputs!$F$126/100)*(1+Inputs!$F$120/100)*Inputs!$F$38</f>
        <v>6641.5371987888</v>
      </c>
      <c r="BL34" s="11" t="n">
        <f aca="false">$F$31*(1+Inputs!$F$125/100*BL29)*(1+Inputs!$F$126/100)*(1+Inputs!$F$120/100)*Inputs!$F$38</f>
        <v>6645.4109446032</v>
      </c>
      <c r="BM34" s="11" t="n">
        <f aca="false">$F$31*(1+Inputs!$F$125/100*BM29)*(1+Inputs!$F$126/100)*(1+Inputs!$F$120/100)*Inputs!$F$38</f>
        <v>6648.6390661152</v>
      </c>
      <c r="BN34" s="11" t="n">
        <f aca="false">$F$31*(1+Inputs!$F$125/100*BN29)*(1+Inputs!$F$126/100)*(1+Inputs!$F$120/100)*Inputs!$F$38</f>
        <v>6456.243024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6468.96803575</v>
      </c>
      <c r="P35" s="11" t="n">
        <f aca="false">Inputs!$F$118*(1+Inputs!$F$119/100*P29)*(1+Inputs!$F$120/100)</f>
        <v>6471.12417875</v>
      </c>
      <c r="Q35" s="11" t="n">
        <f aca="false">Inputs!$F$118*(1+Inputs!$F$119/100*Q29)*(1+Inputs!$F$120/100)</f>
        <v>6474.35839325</v>
      </c>
      <c r="R35" s="11" t="n">
        <f aca="false">Inputs!$F$118*(1+Inputs!$F$119/100*R29)*(1+Inputs!$F$120/100)</f>
        <v>6477.59260775</v>
      </c>
      <c r="S35" s="11" t="n">
        <f aca="false">Inputs!$F$118*(1+Inputs!$F$119/100*S29)*(1+Inputs!$F$120/100)</f>
        <v>6480.82682225</v>
      </c>
      <c r="T35" s="11" t="n">
        <f aca="false">Inputs!$F$118*(1+Inputs!$F$119/100*T29)*(1+Inputs!$F$120/100)</f>
        <v>6484.06103675</v>
      </c>
      <c r="U35" s="11" t="n">
        <f aca="false">Inputs!$F$118*(1+Inputs!$F$119/100*U29)*(1+Inputs!$F$120/100)</f>
        <v>6487.29525125</v>
      </c>
      <c r="V35" s="11" t="n">
        <f aca="false">Inputs!$F$118*(1+Inputs!$F$119/100*V29)*(1+Inputs!$F$120/100)</f>
        <v>6490.52946575</v>
      </c>
      <c r="W35" s="11" t="n">
        <f aca="false">Inputs!$F$118*(1+Inputs!$F$119/100*W29)*(1+Inputs!$F$120/100)</f>
        <v>6493.76368025</v>
      </c>
      <c r="X35" s="11" t="n">
        <f aca="false">Inputs!$F$118*(1+Inputs!$F$119/100*X29)*(1+Inputs!$F$120/100)</f>
        <v>6496.99789475</v>
      </c>
      <c r="Y35" s="11" t="n">
        <f aca="false">Inputs!$F$118*(1+Inputs!$F$119/100*Y29)*(1+Inputs!$F$120/100)</f>
        <v>6500.23210925</v>
      </c>
      <c r="Z35" s="11" t="n">
        <f aca="false">Inputs!$F$118*(1+Inputs!$F$119/100*Z29)*(1+Inputs!$F$120/100)</f>
        <v>6503.46632375</v>
      </c>
      <c r="AA35" s="11" t="n">
        <f aca="false">Inputs!$F$118*(1+Inputs!$F$119/100*AA29)*(1+Inputs!$F$120/100)</f>
        <v>6506.70053825</v>
      </c>
      <c r="AB35" s="11" t="n">
        <f aca="false">Inputs!$F$118*(1+Inputs!$F$119/100*AB29)*(1+Inputs!$F$120/100)</f>
        <v>6509.93475275</v>
      </c>
      <c r="AC35" s="11" t="n">
        <f aca="false">Inputs!$F$118*(1+Inputs!$F$119/100*AC29)*(1+Inputs!$F$120/100)</f>
        <v>6513.16896725</v>
      </c>
      <c r="AD35" s="11" t="n">
        <f aca="false">Inputs!$F$118*(1+Inputs!$F$119/100*AD29)*(1+Inputs!$F$120/100)</f>
        <v>6516.40318175</v>
      </c>
      <c r="AE35" s="11" t="n">
        <f aca="false">Inputs!$F$118*(1+Inputs!$F$119/100*AE29)*(1+Inputs!$F$120/100)</f>
        <v>6519.63739625</v>
      </c>
      <c r="AF35" s="11" t="n">
        <f aca="false">Inputs!$F$118*(1+Inputs!$F$119/100*AF29)*(1+Inputs!$F$120/100)</f>
        <v>6522.87161075</v>
      </c>
      <c r="AG35" s="11" t="n">
        <f aca="false">Inputs!$F$118*(1+Inputs!$F$119/100*AG29)*(1+Inputs!$F$120/100)</f>
        <v>6526.10582525</v>
      </c>
      <c r="AH35" s="11" t="n">
        <f aca="false">Inputs!$F$118*(1+Inputs!$F$119/100*AH29)*(1+Inputs!$F$120/100)</f>
        <v>6529.34003975</v>
      </c>
      <c r="AI35" s="11" t="n">
        <f aca="false">Inputs!$F$118*(1+Inputs!$F$119/100*AI29)*(1+Inputs!$F$120/100)</f>
        <v>6532.57425425</v>
      </c>
      <c r="AJ35" s="11" t="n">
        <f aca="false">Inputs!$F$118*(1+Inputs!$F$119/100*AJ29)*(1+Inputs!$F$120/100)</f>
        <v>6535.80846875</v>
      </c>
      <c r="AK35" s="11" t="n">
        <f aca="false">Inputs!$F$118*(1+Inputs!$F$119/100*AK29)*(1+Inputs!$F$120/100)</f>
        <v>6539.04268325</v>
      </c>
      <c r="AL35" s="11" t="n">
        <f aca="false">Inputs!$F$118*(1+Inputs!$F$119/100*AL29)*(1+Inputs!$F$120/100)</f>
        <v>6542.27689775</v>
      </c>
      <c r="AM35" s="11" t="n">
        <f aca="false">Inputs!$F$118*(1+Inputs!$F$119/100*AM29)*(1+Inputs!$F$120/100)</f>
        <v>6545.51111225</v>
      </c>
      <c r="AN35" s="11" t="n">
        <f aca="false">Inputs!$F$118*(1+Inputs!$F$119/100*AN29)*(1+Inputs!$F$120/100)</f>
        <v>6548.74532675</v>
      </c>
      <c r="AO35" s="11" t="n">
        <f aca="false">Inputs!$F$118*(1+Inputs!$F$119/100*AO29)*(1+Inputs!$F$120/100)</f>
        <v>6551.97954125</v>
      </c>
      <c r="AP35" s="11" t="n">
        <f aca="false">Inputs!$F$118*(1+Inputs!$F$119/100*AP29)*(1+Inputs!$F$120/100)</f>
        <v>6555.21375575</v>
      </c>
      <c r="AQ35" s="11" t="n">
        <f aca="false">Inputs!$F$118*(1+Inputs!$F$119/100*AQ29)*(1+Inputs!$F$120/100)</f>
        <v>6558.44797025</v>
      </c>
      <c r="AR35" s="11" t="n">
        <f aca="false">Inputs!$F$118*(1+Inputs!$F$119/100*AR29)*(1+Inputs!$F$120/100)</f>
        <v>6561.68218475</v>
      </c>
      <c r="AS35" s="11" t="n">
        <f aca="false">Inputs!$F$118*(1+Inputs!$F$119/100*AS29)*(1+Inputs!$F$120/100)</f>
        <v>6564.91639925</v>
      </c>
      <c r="AT35" s="11" t="n">
        <f aca="false">Inputs!$F$118*(1+Inputs!$F$119/100*AT29)*(1+Inputs!$F$120/100)</f>
        <v>6568.15061375</v>
      </c>
      <c r="AU35" s="11" t="n">
        <f aca="false">Inputs!$F$118*(1+Inputs!$F$119/100*AU29)*(1+Inputs!$F$120/100)</f>
        <v>6571.38482825</v>
      </c>
      <c r="AV35" s="11" t="n">
        <f aca="false">Inputs!$F$118*(1+Inputs!$F$119/100*AV29)*(1+Inputs!$F$120/100)</f>
        <v>6574.61904275</v>
      </c>
      <c r="AW35" s="11" t="n">
        <f aca="false">Inputs!$F$118*(1+Inputs!$F$119/100*AW29)*(1+Inputs!$F$120/100)</f>
        <v>6577.85325725</v>
      </c>
      <c r="AX35" s="11" t="n">
        <f aca="false">Inputs!$F$118*(1+Inputs!$F$119/100*AX29)*(1+Inputs!$F$120/100)</f>
        <v>6581.08747175</v>
      </c>
      <c r="AY35" s="11" t="n">
        <f aca="false">Inputs!$F$118*(1+Inputs!$F$119/100*AY29)*(1+Inputs!$F$120/100)</f>
        <v>6584.32168625</v>
      </c>
      <c r="AZ35" s="11" t="n">
        <f aca="false">Inputs!$F$118*(1+Inputs!$F$119/100*AZ29)*(1+Inputs!$F$120/100)</f>
        <v>6587.55590075</v>
      </c>
      <c r="BA35" s="11" t="n">
        <f aca="false">Inputs!$F$118*(1+Inputs!$F$119/100*BA29)*(1+Inputs!$F$120/100)</f>
        <v>6590.79011525</v>
      </c>
      <c r="BB35" s="11" t="n">
        <f aca="false">Inputs!$F$118*(1+Inputs!$F$119/100*BB29)*(1+Inputs!$F$120/100)</f>
        <v>6594.02432975</v>
      </c>
      <c r="BC35" s="11" t="n">
        <f aca="false">Inputs!$F$118*(1+Inputs!$F$119/100*BC29)*(1+Inputs!$F$120/100)</f>
        <v>6597.25854425</v>
      </c>
      <c r="BD35" s="11" t="n">
        <f aca="false">Inputs!$F$118*(1+Inputs!$F$119/100*BD29)*(1+Inputs!$F$120/100)</f>
        <v>6600.49275875</v>
      </c>
      <c r="BE35" s="11" t="n">
        <f aca="false">Inputs!$F$118*(1+Inputs!$F$119/100*BE29)*(1+Inputs!$F$120/100)</f>
        <v>6603.72697325</v>
      </c>
      <c r="BF35" s="11" t="n">
        <f aca="false">Inputs!$F$118*(1+Inputs!$F$119/100*BF29)*(1+Inputs!$F$120/100)</f>
        <v>6606.96118775</v>
      </c>
      <c r="BG35" s="11" t="n">
        <f aca="false">Inputs!$F$118*(1+Inputs!$F$119/100*BG29)*(1+Inputs!$F$120/100)</f>
        <v>6610.19540225</v>
      </c>
      <c r="BH35" s="11" t="n">
        <f aca="false">Inputs!$F$118*(1+Inputs!$F$119/100*BH29)*(1+Inputs!$F$120/100)</f>
        <v>6613.42961675</v>
      </c>
      <c r="BI35" s="11" t="n">
        <f aca="false">Inputs!$F$118*(1+Inputs!$F$119/100*BI29)*(1+Inputs!$F$120/100)</f>
        <v>6616.66383125</v>
      </c>
      <c r="BJ35" s="11" t="n">
        <f aca="false">Inputs!$F$118*(1+Inputs!$F$119/100*BJ29)*(1+Inputs!$F$120/100)</f>
        <v>6619.89804575</v>
      </c>
      <c r="BK35" s="11" t="n">
        <f aca="false">Inputs!$F$118*(1+Inputs!$F$119/100*BK29)*(1+Inputs!$F$120/100)</f>
        <v>6623.13226025</v>
      </c>
      <c r="BL35" s="11" t="n">
        <f aca="false">Inputs!$F$118*(1+Inputs!$F$119/100*BL29)*(1+Inputs!$F$120/100)</f>
        <v>6626.36647475</v>
      </c>
      <c r="BM35" s="11" t="n">
        <f aca="false">Inputs!$F$118*(1+Inputs!$F$119/100*BM29)*(1+Inputs!$F$120/100)</f>
        <v>6629.0616535</v>
      </c>
      <c r="BN35" s="11" t="n">
        <f aca="false">Inputs!$F$118*(1+Inputs!$F$119/100*BN29)*(1+Inputs!$F$120/100)</f>
        <v>6468.429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4137692.79785515</v>
      </c>
      <c r="P37" s="13" t="n">
        <f aca="false">P33*P34*(1000*Inputs!$F$121/Inputs!$F$122)</f>
        <v>12411833.3306604</v>
      </c>
      <c r="Q37" s="13" t="n">
        <f aca="false">Q33*Q34*(1000*Inputs!$F$121/Inputs!$F$122)</f>
        <v>12370265.7340664</v>
      </c>
      <c r="R37" s="13" t="n">
        <f aca="false">R33*R34*(1000*Inputs!$F$121/Inputs!$F$122)</f>
        <v>12289014.3890996</v>
      </c>
      <c r="S37" s="13" t="n">
        <f aca="false">S33*S34*(1000*Inputs!$F$121/Inputs!$F$122)</f>
        <v>12326811.9428824</v>
      </c>
      <c r="T37" s="13" t="n">
        <f aca="false">T33*T34*(1000*Inputs!$F$121/Inputs!$F$122)</f>
        <v>12404258.6807638</v>
      </c>
      <c r="U37" s="13" t="n">
        <f aca="false">U33*U34*(1000*Inputs!$F$121/Inputs!$F$122)</f>
        <v>12261301.2719524</v>
      </c>
      <c r="V37" s="13" t="n">
        <f aca="false">V33*V34*(1000*Inputs!$F$121/Inputs!$F$122)</f>
        <v>11977362.8114126</v>
      </c>
      <c r="W37" s="13" t="n">
        <f aca="false">W33*W34*(1000*Inputs!$F$121/Inputs!$F$122)</f>
        <v>12116476.923861</v>
      </c>
      <c r="X37" s="13" t="n">
        <f aca="false">X33*X34*(1000*Inputs!$F$121/Inputs!$F$122)</f>
        <v>12396505.2780672</v>
      </c>
      <c r="Y37" s="13" t="n">
        <f aca="false">Y33*Y34*(1000*Inputs!$F$121/Inputs!$F$122)</f>
        <v>12354897.6145475</v>
      </c>
      <c r="Z37" s="13" t="n">
        <f aca="false">Z33*Z34*(1000*Inputs!$F$121/Inputs!$F$122)</f>
        <v>12273656.3696857</v>
      </c>
      <c r="AA37" s="13" t="n">
        <f aca="false">AA33*AA34*(1000*Inputs!$F$121/Inputs!$F$122)</f>
        <v>12311315.5234461</v>
      </c>
      <c r="AB37" s="13" t="n">
        <f aca="false">AB33*AB34*(1000*Inputs!$F$121/Inputs!$F$122)</f>
        <v>12388573.1225706</v>
      </c>
      <c r="AC37" s="13" t="n">
        <f aca="false">AC33*AC34*(1000*Inputs!$F$121/Inputs!$F$122)</f>
        <v>12162072.2211507</v>
      </c>
      <c r="AD37" s="13" t="n">
        <f aca="false">AD33*AD34*(1000*Inputs!$F$121/Inputs!$F$122)</f>
        <v>11711180.1610953</v>
      </c>
      <c r="AE37" s="13" t="n">
        <f aca="false">AE33*AE34*(1000*Inputs!$F$121/Inputs!$F$122)</f>
        <v>11933673.8339858</v>
      </c>
      <c r="AF37" s="13" t="n">
        <f aca="false">AF33*AF34*(1000*Inputs!$F$121/Inputs!$F$122)</f>
        <v>12380462.2142742</v>
      </c>
      <c r="AG37" s="13" t="n">
        <f aca="false">AG33*AG34*(1000*Inputs!$F$121/Inputs!$F$122)</f>
        <v>12338816.7706452</v>
      </c>
      <c r="AH37" s="13" t="n">
        <f aca="false">AH33*AH34*(1000*Inputs!$F$121/Inputs!$F$122)</f>
        <v>12257590.1995206</v>
      </c>
      <c r="AI37" s="13" t="n">
        <f aca="false">AI33*AI34*(1000*Inputs!$F$121/Inputs!$F$122)</f>
        <v>12295108.6664425</v>
      </c>
      <c r="AJ37" s="13" t="n">
        <f aca="false">AJ33*AJ34*(1000*Inputs!$F$121/Inputs!$F$122)</f>
        <v>12372172.5531778</v>
      </c>
      <c r="AK37" s="13" t="n">
        <f aca="false">AK33*AK34*(1000*Inputs!$F$121/Inputs!$F$122)</f>
        <v>12229403.2985218</v>
      </c>
      <c r="AL37" s="13" t="n">
        <f aca="false">AL33*AL34*(1000*Inputs!$F$121/Inputs!$F$122)</f>
        <v>11946025.9972694</v>
      </c>
      <c r="AM37" s="13" t="n">
        <f aca="false">AM33*AM34*(1000*Inputs!$F$121/Inputs!$F$122)</f>
        <v>12084596.482688</v>
      </c>
      <c r="AN37" s="13" t="n">
        <f aca="false">AN33*AN34*(1000*Inputs!$F$121/Inputs!$F$122)</f>
        <v>12363704.1392815</v>
      </c>
      <c r="AO37" s="13" t="n">
        <f aca="false">AO33*AO34*(1000*Inputs!$F$121/Inputs!$F$122)</f>
        <v>12322023.2023594</v>
      </c>
      <c r="AP37" s="13" t="n">
        <f aca="false">AP33*AP34*(1000*Inputs!$F$121/Inputs!$F$122)</f>
        <v>12240815.8786045</v>
      </c>
      <c r="AQ37" s="13" t="n">
        <f aca="false">AQ33*AQ34*(1000*Inputs!$F$121/Inputs!$F$122)</f>
        <v>12278191.3718717</v>
      </c>
      <c r="AR37" s="13" t="n">
        <f aca="false">AR33*AR34*(1000*Inputs!$F$121/Inputs!$F$122)</f>
        <v>12355056.9725853</v>
      </c>
      <c r="AS37" s="13" t="n">
        <f aca="false">AS33*AS34*(1000*Inputs!$F$121/Inputs!$F$122)</f>
        <v>12128987.9935759</v>
      </c>
      <c r="AT37" s="13" t="n">
        <f aca="false">AT33*AT34*(1000*Inputs!$F$121/Inputs!$F$122)</f>
        <v>11679148.2501102</v>
      </c>
      <c r="AU37" s="13" t="n">
        <f aca="false">AU33*AU34*(1000*Inputs!$F$121/Inputs!$F$122)</f>
        <v>11900855.7346466</v>
      </c>
      <c r="AV37" s="13" t="n">
        <f aca="false">AV33*AV34*(1000*Inputs!$F$121/Inputs!$F$122)</f>
        <v>12346231.0530892</v>
      </c>
      <c r="AW37" s="13" t="n">
        <f aca="false">AW33*AW34*(1000*Inputs!$F$121/Inputs!$F$122)</f>
        <v>12304516.9096901</v>
      </c>
      <c r="AX37" s="13" t="n">
        <f aca="false">AX33*AX34*(1000*Inputs!$F$121/Inputs!$F$122)</f>
        <v>12223333.4069373</v>
      </c>
      <c r="AY37" s="13" t="n">
        <f aca="false">AY33*AY34*(1000*Inputs!$F$121/Inputs!$F$122)</f>
        <v>12260563.6397335</v>
      </c>
      <c r="AZ37" s="13" t="n">
        <f aca="false">AZ33*AZ34*(1000*Inputs!$F$121/Inputs!$F$122)</f>
        <v>12337226.3807931</v>
      </c>
      <c r="BA37" s="13" t="n">
        <f aca="false">BA33*BA34*(1000*Inputs!$F$121/Inputs!$F$122)</f>
        <v>12194677.8039008</v>
      </c>
      <c r="BB37" s="13" t="n">
        <f aca="false">BB33*BB34*(1000*Inputs!$F$121/Inputs!$F$122)</f>
        <v>11911926.7091521</v>
      </c>
      <c r="BC37" s="13" t="n">
        <f aca="false">BC33*BC34*(1000*Inputs!$F$121/Inputs!$F$122)</f>
        <v>12049921.0439328</v>
      </c>
      <c r="BD37" s="13" t="n">
        <f aca="false">BD33*BD34*(1000*Inputs!$F$121/Inputs!$F$122)</f>
        <v>12328042.9556971</v>
      </c>
      <c r="BE37" s="13" t="n">
        <f aca="false">BE33*BE34*(1000*Inputs!$F$121/Inputs!$F$122)</f>
        <v>12286297.8926373</v>
      </c>
      <c r="BF37" s="13" t="n">
        <f aca="false">BF33*BF34*(1000*Inputs!$F$121/Inputs!$F$122)</f>
        <v>12205142.7845191</v>
      </c>
      <c r="BG37" s="13" t="n">
        <f aca="false">BG33*BG34*(1000*Inputs!$F$121/Inputs!$F$122)</f>
        <v>12242225.4700281</v>
      </c>
      <c r="BH37" s="13" t="n">
        <f aca="false">BH33*BH34*(1000*Inputs!$F$121/Inputs!$F$122)</f>
        <v>12318680.7778012</v>
      </c>
      <c r="BI37" s="13" t="n">
        <f aca="false">BI33*BI34*(1000*Inputs!$F$121/Inputs!$F$122)</f>
        <v>12093095.5557029</v>
      </c>
      <c r="BJ37" s="13" t="n">
        <f aca="false">BJ33*BJ34*(1000*Inputs!$F$121/Inputs!$F$122)</f>
        <v>11644411.7978281</v>
      </c>
      <c r="BK37" s="13" t="n">
        <f aca="false">BK33*BK34*(1000*Inputs!$F$121/Inputs!$F$122)</f>
        <v>11865281.2595099</v>
      </c>
      <c r="BL37" s="13" t="n">
        <f aca="false">BL33*BL34*(1000*Inputs!$F$121/Inputs!$F$122)</f>
        <v>12309139.8471054</v>
      </c>
      <c r="BM37" s="13" t="n">
        <f aca="false">BM33*BM34*(1000*Inputs!$F$121/Inputs!$F$122)</f>
        <v>8204753.10262872</v>
      </c>
      <c r="BN37" s="13" t="n">
        <f aca="false">BN33*BN34*(1000*Inputs!$F$121/Inputs!$F$122)</f>
        <v>0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3533120</v>
      </c>
      <c r="P38" s="13" t="n">
        <f aca="false">Inputs!$F$142*Inputs!$F$141*Time!P26</f>
        <v>10657280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6950400</v>
      </c>
      <c r="BN38" s="13" t="n">
        <f aca="false">Inputs!$F$142*Inputs!$F$141*Time!BN26</f>
        <v>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2.51170328386162</v>
      </c>
      <c r="R41" s="11" t="n">
        <f aca="false">Inputs!$F$133*(Inputs!$F$134*R18/100+(1-Inputs!$F$134)*R22/100*Inputs!$F$135/R11)</f>
        <v>2.53918171083852</v>
      </c>
      <c r="S41" s="11" t="n">
        <f aca="false">Inputs!$F$133*(Inputs!$F$134*S18/100+(1-Inputs!$F$134)*S22/100*Inputs!$F$135/S11)</f>
        <v>2.56696075610658</v>
      </c>
      <c r="T41" s="11" t="n">
        <f aca="false">Inputs!$F$133*(Inputs!$F$134*T18/100+(1-Inputs!$F$134)*T22/100*Inputs!$F$135/T11)</f>
        <v>2.59504370847696</v>
      </c>
      <c r="U41" s="11" t="n">
        <f aca="false">Inputs!$F$133*(Inputs!$F$134*U18/100+(1-Inputs!$F$134)*U22/100*Inputs!$F$135/U11)</f>
        <v>2.62343389274092</v>
      </c>
      <c r="V41" s="11" t="n">
        <f aca="false">Inputs!$F$133*(Inputs!$F$134*V18/100+(1-Inputs!$F$134)*V22/100*Inputs!$F$135/V11)</f>
        <v>2.65213467006346</v>
      </c>
      <c r="W41" s="11" t="n">
        <f aca="false">Inputs!$F$133*(Inputs!$F$134*W18/100+(1-Inputs!$F$134)*W22/100*Inputs!$F$135/W11)</f>
        <v>2.68114943838122</v>
      </c>
      <c r="X41" s="11" t="n">
        <f aca="false">Inputs!$F$133*(Inputs!$F$134*X18/100+(1-Inputs!$F$134)*X22/100*Inputs!$F$135/X11)</f>
        <v>2.71048163280485</v>
      </c>
      <c r="Y41" s="11" t="n">
        <f aca="false">Inputs!$F$133*(Inputs!$F$134*Y18/100+(1-Inputs!$F$134)*Y22/100*Inputs!$F$135/Y11)</f>
        <v>2.74013472602561</v>
      </c>
      <c r="Z41" s="11" t="n">
        <f aca="false">Inputs!$F$133*(Inputs!$F$134*Z18/100+(1-Inputs!$F$134)*Z22/100*Inputs!$F$135/Z11)</f>
        <v>2.77011222872656</v>
      </c>
      <c r="AA41" s="11" t="n">
        <f aca="false">Inputs!$F$133*(Inputs!$F$134*AA18/100+(1-Inputs!$F$134)*AA22/100*Inputs!$F$135/AA11)</f>
        <v>2.80041768999817</v>
      </c>
      <c r="AB41" s="11" t="n">
        <f aca="false">Inputs!$F$133*(Inputs!$F$134*AB18/100+(1-Inputs!$F$134)*AB22/100*Inputs!$F$135/AB11)</f>
        <v>2.83105469775854</v>
      </c>
      <c r="AC41" s="11" t="n">
        <f aca="false">Inputs!$F$133*(Inputs!$F$134*AC18/100+(1-Inputs!$F$134)*AC22/100*Inputs!$F$135/AC11)</f>
        <v>2.86202687917813</v>
      </c>
      <c r="AD41" s="11" t="n">
        <f aca="false">Inputs!$F$133*(Inputs!$F$134*AD18/100+(1-Inputs!$F$134)*AD22/100*Inputs!$F$135/AD11)</f>
        <v>2.89333790110923</v>
      </c>
      <c r="AE41" s="11" t="n">
        <f aca="false">Inputs!$F$133*(Inputs!$F$134*AE18/100+(1-Inputs!$F$134)*AE22/100*Inputs!$F$135/AE11)</f>
        <v>2.92499147052005</v>
      </c>
      <c r="AF41" s="11" t="n">
        <f aca="false">Inputs!$F$133*(Inputs!$F$134*AF18/100+(1-Inputs!$F$134)*AF22/100*Inputs!$F$135/AF11)</f>
        <v>2.95699133493363</v>
      </c>
      <c r="AG41" s="11" t="n">
        <f aca="false">Inputs!$F$133*(Inputs!$F$134*AG18/100+(1-Inputs!$F$134)*AG22/100*Inputs!$F$135/AG11)</f>
        <v>2.98934128287149</v>
      </c>
      <c r="AH41" s="11" t="n">
        <f aca="false">Inputs!$F$133*(Inputs!$F$134*AH18/100+(1-Inputs!$F$134)*AH22/100*Inputs!$F$135/AH11)</f>
        <v>3.02204514430217</v>
      </c>
      <c r="AI41" s="11" t="n">
        <f aca="false">Inputs!$F$133*(Inputs!$F$134*AI18/100+(1-Inputs!$F$134)*AI22/100*Inputs!$F$135/AI11)</f>
        <v>3.05510679109467</v>
      </c>
      <c r="AJ41" s="11" t="n">
        <f aca="false">Inputs!$F$133*(Inputs!$F$134*AJ18/100+(1-Inputs!$F$134)*AJ22/100*Inputs!$F$135/AJ11)</f>
        <v>3.08853013747682</v>
      </c>
      <c r="AK41" s="11" t="n">
        <f aca="false">Inputs!$F$133*(Inputs!$F$134*AK18/100+(1-Inputs!$F$134)*AK22/100*Inputs!$F$135/AK11)</f>
        <v>3.12231914049875</v>
      </c>
      <c r="AL41" s="11" t="n">
        <f aca="false">Inputs!$F$133*(Inputs!$F$134*AL18/100+(1-Inputs!$F$134)*AL22/100*Inputs!$F$135/AL11)</f>
        <v>3.15647780050131</v>
      </c>
      <c r="AM41" s="11" t="n">
        <f aca="false">Inputs!$F$133*(Inputs!$F$134*AM18/100+(1-Inputs!$F$134)*AM22/100*Inputs!$F$135/AM11)</f>
        <v>3.19101016158972</v>
      </c>
      <c r="AN41" s="11" t="n">
        <f aca="false">Inputs!$F$133*(Inputs!$F$134*AN18/100+(1-Inputs!$F$134)*AN22/100*Inputs!$F$135/AN11)</f>
        <v>3.22592031211234</v>
      </c>
      <c r="AO41" s="11" t="n">
        <f aca="false">Inputs!$F$133*(Inputs!$F$134*AO18/100+(1-Inputs!$F$134)*AO22/100*Inputs!$F$135/AO11)</f>
        <v>3.26121238514469</v>
      </c>
      <c r="AP41" s="11" t="n">
        <f aca="false">Inputs!$F$133*(Inputs!$F$134*AP18/100+(1-Inputs!$F$134)*AP22/100*Inputs!$F$135/AP11)</f>
        <v>3.29689055897881</v>
      </c>
      <c r="AQ41" s="11" t="n">
        <f aca="false">Inputs!$F$133*(Inputs!$F$134*AQ18/100+(1-Inputs!$F$134)*AQ22/100*Inputs!$F$135/AQ11)</f>
        <v>3.33295905761788</v>
      </c>
      <c r="AR41" s="11" t="n">
        <f aca="false">Inputs!$F$133*(Inputs!$F$134*AR18/100+(1-Inputs!$F$134)*AR22/100*Inputs!$F$135/AR11)</f>
        <v>3.36942215127634</v>
      </c>
      <c r="AS41" s="11" t="n">
        <f aca="false">Inputs!$F$133*(Inputs!$F$134*AS18/100+(1-Inputs!$F$134)*AS22/100*Inputs!$F$135/AS11)</f>
        <v>3.40628415688547</v>
      </c>
      <c r="AT41" s="11" t="n">
        <f aca="false">Inputs!$F$133*(Inputs!$F$134*AT18/100+(1-Inputs!$F$134)*AT22/100*Inputs!$F$135/AT11)</f>
        <v>3.44354943860442</v>
      </c>
      <c r="AU41" s="11" t="n">
        <f aca="false">Inputs!$F$133*(Inputs!$F$134*AU18/100+(1-Inputs!$F$134)*AU22/100*Inputs!$F$135/AU11)</f>
        <v>3.48122240833695</v>
      </c>
      <c r="AV41" s="11" t="n">
        <f aca="false">Inputs!$F$133*(Inputs!$F$134*AV18/100+(1-Inputs!$F$134)*AV22/100*Inputs!$F$135/AV11)</f>
        <v>3.51930752625372</v>
      </c>
      <c r="AW41" s="11" t="n">
        <f aca="false">Inputs!$F$133*(Inputs!$F$134*AW18/100+(1-Inputs!$F$134)*AW22/100*Inputs!$F$135/AW11)</f>
        <v>3.55780930132036</v>
      </c>
      <c r="AX41" s="11" t="n">
        <f aca="false">Inputs!$F$133*(Inputs!$F$134*AX18/100+(1-Inputs!$F$134)*AX22/100*Inputs!$F$135/AX11)</f>
        <v>3.5967322918313</v>
      </c>
      <c r="AY41" s="11" t="n">
        <f aca="false">Inputs!$F$133*(Inputs!$F$134*AY18/100+(1-Inputs!$F$134)*AY22/100*Inputs!$F$135/AY11)</f>
        <v>3.63608110594941</v>
      </c>
      <c r="AZ41" s="11" t="n">
        <f aca="false">Inputs!$F$133*(Inputs!$F$134*AZ18/100+(1-Inputs!$F$134)*AZ22/100*Inputs!$F$135/AZ11)</f>
        <v>3.67586040225159</v>
      </c>
      <c r="BA41" s="11" t="n">
        <f aca="false">Inputs!$F$133*(Inputs!$F$134*BA18/100+(1-Inputs!$F$134)*BA22/100*Inputs!$F$135/BA11)</f>
        <v>3.7160748902803</v>
      </c>
      <c r="BB41" s="11" t="n">
        <f aca="false">Inputs!$F$133*(Inputs!$F$134*BB18/100+(1-Inputs!$F$134)*BB22/100*Inputs!$F$135/BB11)</f>
        <v>3.75672933110112</v>
      </c>
      <c r="BC41" s="11" t="n">
        <f aca="false">Inputs!$F$133*(Inputs!$F$134*BC18/100+(1-Inputs!$F$134)*BC22/100*Inputs!$F$135/BC11)</f>
        <v>3.79782853786646</v>
      </c>
      <c r="BD41" s="11" t="n">
        <f aca="false">Inputs!$F$133*(Inputs!$F$134*BD18/100+(1-Inputs!$F$134)*BD22/100*Inputs!$F$135/BD11)</f>
        <v>3.83937737638535</v>
      </c>
      <c r="BE41" s="11" t="n">
        <f aca="false">Inputs!$F$133*(Inputs!$F$134*BE18/100+(1-Inputs!$F$134)*BE22/100*Inputs!$F$135/BE11)</f>
        <v>3.88138076569952</v>
      </c>
      <c r="BF41" s="11" t="n">
        <f aca="false">Inputs!$F$133*(Inputs!$F$134*BF18/100+(1-Inputs!$F$134)*BF22/100*Inputs!$F$135/BF11)</f>
        <v>3.92384367866582</v>
      </c>
      <c r="BG41" s="11" t="n">
        <f aca="false">Inputs!$F$133*(Inputs!$F$134*BG18/100+(1-Inputs!$F$134)*BG22/100*Inputs!$F$135/BG11)</f>
        <v>3.96677114254491</v>
      </c>
      <c r="BH41" s="11" t="n">
        <f aca="false">Inputs!$F$133*(Inputs!$F$134*BH18/100+(1-Inputs!$F$134)*BH22/100*Inputs!$F$135/BH11)</f>
        <v>4.01016823959647</v>
      </c>
      <c r="BI41" s="11" t="n">
        <f aca="false">Inputs!$F$133*(Inputs!$F$134*BI18/100+(1-Inputs!$F$134)*BI22/100*Inputs!$F$135/BI11)</f>
        <v>4.0540401076809</v>
      </c>
      <c r="BJ41" s="11" t="n">
        <f aca="false">Inputs!$F$133*(Inputs!$F$134*BJ18/100+(1-Inputs!$F$134)*BJ22/100*Inputs!$F$135/BJ11)</f>
        <v>4.09839194086759</v>
      </c>
      <c r="BK41" s="11" t="n">
        <f aca="false">Inputs!$F$133*(Inputs!$F$134*BK18/100+(1-Inputs!$F$134)*BK22/100*Inputs!$F$135/BK11)</f>
        <v>4.14322899004988</v>
      </c>
      <c r="BL41" s="11" t="n">
        <f aca="false">Inputs!$F$133*(Inputs!$F$134*BL18/100+(1-Inputs!$F$134)*BL22/100*Inputs!$F$135/BL11)</f>
        <v>4.18855656356668</v>
      </c>
      <c r="BM41" s="11" t="n">
        <f aca="false">Inputs!$F$133*(Inputs!$F$134*BM18/100+(1-Inputs!$F$134)*BM22/100*Inputs!$F$135/BM11)</f>
        <v>4.23438002783098</v>
      </c>
      <c r="BN41" s="11" t="n">
        <f aca="false">Inputs!$F$133*(Inputs!$F$134*BN18/100+(1-Inputs!$F$134)*BN22/100*Inputs!$F$135/BN11)</f>
        <v>4.28070480796515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1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1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1</v>
      </c>
      <c r="V42" s="11" t="n">
        <f aca="false">MIN(1,V28/Inputs!$F$130)</f>
        <v>1</v>
      </c>
      <c r="W42" s="11" t="n">
        <f aca="false">MIN(1,W28/Inputs!$F$130)</f>
        <v>1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1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1</v>
      </c>
      <c r="AD42" s="11" t="n">
        <f aca="false">MIN(1,AD28/Inputs!$F$130)</f>
        <v>0.985555555555556</v>
      </c>
      <c r="AE42" s="11" t="n">
        <f aca="false">MIN(1,AE28/Inputs!$F$130)</f>
        <v>1</v>
      </c>
      <c r="AF42" s="11" t="n">
        <f aca="false">MIN(1,AF28/Inputs!$F$130)</f>
        <v>1</v>
      </c>
      <c r="AG42" s="11" t="n">
        <f aca="false">MIN(1,AG28/Inputs!$F$130)</f>
        <v>1</v>
      </c>
      <c r="AH42" s="11" t="n">
        <f aca="false">MIN(1,AH28/Inputs!$F$130)</f>
        <v>1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1</v>
      </c>
      <c r="AL42" s="11" t="n">
        <f aca="false">MIN(1,AL28/Inputs!$F$130)</f>
        <v>1</v>
      </c>
      <c r="AM42" s="11" t="n">
        <f aca="false">MIN(1,AM28/Inputs!$F$130)</f>
        <v>1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1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1</v>
      </c>
      <c r="AT42" s="11" t="n">
        <f aca="false">MIN(1,AT28/Inputs!$F$130)</f>
        <v>0.985555555555556</v>
      </c>
      <c r="AU42" s="11" t="n">
        <f aca="false">MIN(1,AU28/Inputs!$F$130)</f>
        <v>1</v>
      </c>
      <c r="AV42" s="11" t="n">
        <f aca="false">MIN(1,AV28/Inputs!$F$130)</f>
        <v>1</v>
      </c>
      <c r="AW42" s="11" t="n">
        <f aca="false">MIN(1,AW28/Inputs!$F$130)</f>
        <v>1</v>
      </c>
      <c r="AX42" s="11" t="n">
        <f aca="false">MIN(1,AX28/Inputs!$F$130)</f>
        <v>1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1</v>
      </c>
      <c r="BB42" s="11" t="n">
        <f aca="false">MIN(1,BB28/Inputs!$F$130)</f>
        <v>1</v>
      </c>
      <c r="BC42" s="11" t="n">
        <f aca="false">MIN(1,BC28/Inputs!$F$130)</f>
        <v>1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1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1</v>
      </c>
      <c r="BJ42" s="11" t="n">
        <f aca="false">MIN(1,BJ28/Inputs!$F$130)</f>
        <v>0.985555555555556</v>
      </c>
      <c r="BK42" s="11" t="n">
        <f aca="false">MIN(1,BK28/Inputs!$F$130)</f>
        <v>1</v>
      </c>
      <c r="BL42" s="11" t="n">
        <f aca="false">MIN(1,BL28/Inputs!$F$130)</f>
        <v>1</v>
      </c>
      <c r="BM42" s="11" t="n">
        <f aca="false">MIN(1,BM28/Inputs!$F$130)</f>
        <v>1</v>
      </c>
      <c r="BN42" s="11" t="n">
        <f aca="false">MIN(1,BN28/Inputs!$F$130)</f>
        <v>0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3334.80820236449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20.0787247448473</v>
      </c>
      <c r="P43" s="11" t="n">
        <f aca="false">$F$30*1000*Time!P25*(P40+P41)*P42/1000000</f>
        <v>60.4514649070976</v>
      </c>
      <c r="Q43" s="11" t="n">
        <f aca="false">$F$30*1000*Time!Q25*(Q40+Q41)*Q42/1000000</f>
        <v>60.6691108933017</v>
      </c>
      <c r="R43" s="11" t="n">
        <f aca="false">$F$30*1000*Time!R25*(R40+R41)*R42/1000000</f>
        <v>60.8891379606538</v>
      </c>
      <c r="S43" s="11" t="n">
        <f aca="false">$F$30*1000*Time!S25*(S40+S41)*S42/1000000</f>
        <v>61.1115721585543</v>
      </c>
      <c r="T43" s="11" t="n">
        <f aca="false">$F$30*1000*Time!T25*(T40+T41)*T42/1000000</f>
        <v>61.3364398213882</v>
      </c>
      <c r="U43" s="11" t="n">
        <f aca="false">$F$30*1000*Time!U25*(U40+U41)*U42/1000000</f>
        <v>61.5637675716425</v>
      </c>
      <c r="V43" s="11" t="n">
        <f aca="false">$F$30*1000*Time!V25*(V40+V41)*V42/1000000</f>
        <v>61.7935823230587</v>
      </c>
      <c r="W43" s="11" t="n">
        <f aca="false">$F$30*1000*Time!W25*(W40+W41)*W42/1000000</f>
        <v>62.0259112838186</v>
      </c>
      <c r="X43" s="11" t="n">
        <f aca="false">$F$30*1000*Time!X25*(X40+X41)*X42/1000000</f>
        <v>62.260781959766</v>
      </c>
      <c r="Y43" s="11" t="n">
        <f aca="false">$F$30*1000*Time!Y25*(Y40+Y41)*Y42/1000000</f>
        <v>62.4982221576627</v>
      </c>
      <c r="Z43" s="11" t="n">
        <f aca="false">$F$30*1000*Time!Z25*(Z40+Z41)*Z42/1000000</f>
        <v>62.7382599884808</v>
      </c>
      <c r="AA43" s="11" t="n">
        <f aca="false">$F$30*1000*Time!AA25*(AA40+AA41)*AA42/1000000</f>
        <v>62.9809238707312</v>
      </c>
      <c r="AB43" s="11" t="n">
        <f aca="false">$F$30*1000*Time!AB25*(AB40+AB41)*AB42/1000000</f>
        <v>63.2262425338274</v>
      </c>
      <c r="AC43" s="11" t="n">
        <f aca="false">$F$30*1000*Time!AC25*(AC40+AC41)*AC42/1000000</f>
        <v>63.4742450214873</v>
      </c>
      <c r="AD43" s="11" t="n">
        <f aca="false">$F$30*1000*Time!AD25*(AD40+AD41)*AD42/1000000</f>
        <v>62.8044890406858</v>
      </c>
      <c r="AE43" s="11" t="n">
        <f aca="false">$F$30*1000*Time!AE25*(AE40+AE41)*AE42/1000000</f>
        <v>63.97841923756</v>
      </c>
      <c r="AF43" s="11" t="n">
        <f aca="false">$F$30*1000*Time!AF25*(AF40+AF41)*AF42/1000000</f>
        <v>64.2346506560654</v>
      </c>
      <c r="AG43" s="11" t="n">
        <f aca="false">$F$30*1000*Time!AG25*(AG40+AG41)*AG42/1000000</f>
        <v>64.4936852863863</v>
      </c>
      <c r="AH43" s="11" t="n">
        <f aca="false">$F$30*1000*Time!AH25*(AH40+AH41)*AH42/1000000</f>
        <v>64.7555537960988</v>
      </c>
      <c r="AI43" s="11" t="n">
        <f aca="false">$F$30*1000*Time!AI25*(AI40+AI41)*AI42/1000000</f>
        <v>65.0202871882868</v>
      </c>
      <c r="AJ43" s="11" t="n">
        <f aca="false">$F$30*1000*Time!AJ25*(AJ40+AJ41)*AJ42/1000000</f>
        <v>65.287916805213</v>
      </c>
      <c r="AK43" s="11" t="n">
        <f aca="false">$F$30*1000*Time!AK25*(AK40+AK41)*AK42/1000000</f>
        <v>65.5584743320291</v>
      </c>
      <c r="AL43" s="11" t="n">
        <f aca="false">$F$30*1000*Time!AL25*(AL40+AL41)*AL42/1000000</f>
        <v>65.8319918005277</v>
      </c>
      <c r="AM43" s="11" t="n">
        <f aca="false">$F$30*1000*Time!AM25*(AM40+AM41)*AM42/1000000</f>
        <v>66.1085015929338</v>
      </c>
      <c r="AN43" s="11" t="n">
        <f aca="false">$F$30*1000*Time!AN25*(AN40+AN41)*AN42/1000000</f>
        <v>66.3880364457393</v>
      </c>
      <c r="AO43" s="11" t="n">
        <f aca="false">$F$30*1000*Time!AO25*(AO40+AO41)*AO42/1000000</f>
        <v>66.6706294535783</v>
      </c>
      <c r="AP43" s="11" t="n">
        <f aca="false">$F$30*1000*Time!AP25*(AP40+AP41)*AP42/1000000</f>
        <v>66.9563140731455</v>
      </c>
      <c r="AQ43" s="11" t="n">
        <f aca="false">$F$30*1000*Time!AQ25*(AQ40+AQ41)*AQ42/1000000</f>
        <v>67.245124127157</v>
      </c>
      <c r="AR43" s="11" t="n">
        <f aca="false">$F$30*1000*Time!AR25*(AR40+AR41)*AR42/1000000</f>
        <v>67.5370938083547</v>
      </c>
      <c r="AS43" s="11" t="n">
        <f aca="false">$F$30*1000*Time!AS25*(AS40+AS41)*AS42/1000000</f>
        <v>67.8322576835545</v>
      </c>
      <c r="AT43" s="11" t="n">
        <f aca="false">$F$30*1000*Time!AT25*(AT40+AT41)*AT42/1000000</f>
        <v>67.1465412987712</v>
      </c>
      <c r="AU43" s="11" t="n">
        <f aca="false">$F$30*1000*Time!AU25*(AU40+AU41)*AU42/1000000</f>
        <v>68.4323081781927</v>
      </c>
      <c r="AV43" s="11" t="n">
        <f aca="false">$F$30*1000*Time!AV25*(AV40+AV41)*AV42/1000000</f>
        <v>68.7372658386888</v>
      </c>
      <c r="AW43" s="11" t="n">
        <f aca="false">$F$30*1000*Time!AW25*(AW40+AW41)*AW42/1000000</f>
        <v>69.0455597837129</v>
      </c>
      <c r="AX43" s="11" t="n">
        <f aca="false">$F$30*1000*Time!AX25*(AX40+AX41)*AX42/1000000</f>
        <v>69.3572265127399</v>
      </c>
      <c r="AY43" s="11" t="n">
        <f aca="false">$F$30*1000*Time!AY25*(AY40+AY41)*AY42/1000000</f>
        <v>69.6723029245546</v>
      </c>
      <c r="AZ43" s="11" t="n">
        <f aca="false">$F$30*1000*Time!AZ25*(AZ40+AZ41)*AZ42/1000000</f>
        <v>69.9908263216202</v>
      </c>
      <c r="BA43" s="11" t="n">
        <f aca="false">$F$30*1000*Time!BA25*(BA40+BA41)*BA42/1000000</f>
        <v>70.3128344144948</v>
      </c>
      <c r="BB43" s="11" t="n">
        <f aca="false">$F$30*1000*Time!BB25*(BB40+BB41)*BB42/1000000</f>
        <v>70.6383653262959</v>
      </c>
      <c r="BC43" s="11" t="n">
        <f aca="false">$F$30*1000*Time!BC25*(BC40+BC41)*BC42/1000000</f>
        <v>70.9674575972137</v>
      </c>
      <c r="BD43" s="11" t="n">
        <f aca="false">$F$30*1000*Time!BD25*(BD40+BD41)*BD42/1000000</f>
        <v>71.3001501890743</v>
      </c>
      <c r="BE43" s="11" t="n">
        <f aca="false">$F$30*1000*Time!BE25*(BE40+BE41)*BE42/1000000</f>
        <v>71.6364824899524</v>
      </c>
      <c r="BF43" s="11" t="n">
        <f aca="false">$F$30*1000*Time!BF25*(BF40+BF41)*BF42/1000000</f>
        <v>71.976494318834</v>
      </c>
      <c r="BG43" s="11" t="n">
        <f aca="false">$F$30*1000*Time!BG25*(BG40+BG41)*BG42/1000000</f>
        <v>72.3202259303313</v>
      </c>
      <c r="BH43" s="11" t="n">
        <f aca="false">$F$30*1000*Time!BH25*(BH40+BH41)*BH42/1000000</f>
        <v>72.6677180194483</v>
      </c>
      <c r="BI43" s="11" t="n">
        <f aca="false">$F$30*1000*Time!BI25*(BI40+BI41)*BI42/1000000</f>
        <v>73.0190117263986</v>
      </c>
      <c r="BJ43" s="11" t="n">
        <f aca="false">$F$30*1000*Time!BJ25*(BJ40+BJ41)*BJ42/1000000</f>
        <v>72.314299827766</v>
      </c>
      <c r="BK43" s="11" t="n">
        <f aca="false">$F$30*1000*Time!BK25*(BK40+BK41)*BK42/1000000</f>
        <v>73.7331708099794</v>
      </c>
      <c r="BL43" s="11" t="n">
        <f aca="false">$F$30*1000*Time!BL25*(BL40+BL41)*BL42/1000000</f>
        <v>74.0961207371887</v>
      </c>
      <c r="BM43" s="11" t="n">
        <f aca="false">$F$30*1000*Time!BM25*(BM40+BM41)*BM42/1000000</f>
        <v>49.6420275955993</v>
      </c>
      <c r="BN43" s="11" t="n">
        <f aca="false">$F$30*1000*Time!BN25*(BN40+BN41)*BN42/1000000</f>
        <v>0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4.21467045440645</v>
      </c>
      <c r="R44" s="11" t="n">
        <f aca="false">Inputs!$F$136*(Inputs!$F$137*R18/100+(1-Inputs!$F$137)*R22/100*Inputs!$F$135/R11)</f>
        <v>4.26077960872305</v>
      </c>
      <c r="S44" s="11" t="n">
        <f aca="false">Inputs!$F$136*(Inputs!$F$137*S18/100+(1-Inputs!$F$137)*S22/100*Inputs!$F$135/S11)</f>
        <v>4.30739320440339</v>
      </c>
      <c r="T44" s="11" t="n">
        <f aca="false">Inputs!$F$136*(Inputs!$F$137*T18/100+(1-Inputs!$F$137)*T22/100*Inputs!$F$135/T11)</f>
        <v>4.35451676011495</v>
      </c>
      <c r="U44" s="11" t="n">
        <f aca="false">Inputs!$F$136*(Inputs!$F$137*U18/100+(1-Inputs!$F$137)*U22/100*Inputs!$F$135/U11)</f>
        <v>4.40215585490027</v>
      </c>
      <c r="V44" s="11" t="n">
        <f aca="false">Inputs!$F$136*(Inputs!$F$137*V18/100+(1-Inputs!$F$137)*V22/100*Inputs!$F$135/V11)</f>
        <v>4.45031612883748</v>
      </c>
      <c r="W44" s="11" t="n">
        <f aca="false">Inputs!$F$136*(Inputs!$F$137*W18/100+(1-Inputs!$F$137)*W22/100*Inputs!$F$135/W11)</f>
        <v>4.49900328370807</v>
      </c>
      <c r="X44" s="11" t="n">
        <f aca="false">Inputs!$F$136*(Inputs!$F$137*X18/100+(1-Inputs!$F$137)*X22/100*Inputs!$F$135/X11)</f>
        <v>4.5482230836719</v>
      </c>
      <c r="Y44" s="11" t="n">
        <f aca="false">Inputs!$F$136*(Inputs!$F$137*Y18/100+(1-Inputs!$F$137)*Y22/100*Inputs!$F$135/Y11)</f>
        <v>4.59798135594965</v>
      </c>
      <c r="Z44" s="11" t="n">
        <f aca="false">Inputs!$F$136*(Inputs!$F$137*Z18/100+(1-Inputs!$F$137)*Z22/100*Inputs!$F$135/Z11)</f>
        <v>4.64828399151269</v>
      </c>
      <c r="AA44" s="11" t="n">
        <f aca="false">Inputs!$F$136*(Inputs!$F$137*AA18/100+(1-Inputs!$F$137)*AA22/100*Inputs!$F$135/AA11)</f>
        <v>4.69913694578054</v>
      </c>
      <c r="AB44" s="11" t="n">
        <f aca="false">Inputs!$F$136*(Inputs!$F$137*AB18/100+(1-Inputs!$F$137)*AB22/100*Inputs!$F$135/AB11)</f>
        <v>4.75054623932596</v>
      </c>
      <c r="AC44" s="11" t="n">
        <f aca="false">Inputs!$F$136*(Inputs!$F$137*AC18/100+(1-Inputs!$F$137)*AC22/100*Inputs!$F$135/AC11)</f>
        <v>4.80251795858771</v>
      </c>
      <c r="AD44" s="11" t="n">
        <f aca="false">Inputs!$F$136*(Inputs!$F$137*AD18/100+(1-Inputs!$F$137)*AD22/100*Inputs!$F$135/AD11)</f>
        <v>4.85505825659113</v>
      </c>
      <c r="AE44" s="11" t="n">
        <f aca="false">Inputs!$F$136*(Inputs!$F$137*AE18/100+(1-Inputs!$F$137)*AE22/100*Inputs!$F$135/AE11)</f>
        <v>4.90817335367664</v>
      </c>
      <c r="AF44" s="11" t="n">
        <f aca="false">Inputs!$F$136*(Inputs!$F$137*AF18/100+(1-Inputs!$F$137)*AF22/100*Inputs!$F$135/AF11)</f>
        <v>4.96186953823614</v>
      </c>
      <c r="AG44" s="11" t="n">
        <f aca="false">Inputs!$F$136*(Inputs!$F$137*AG18/100+(1-Inputs!$F$137)*AG22/100*Inputs!$F$135/AG11)</f>
        <v>5.01615316745753</v>
      </c>
      <c r="AH44" s="11" t="n">
        <f aca="false">Inputs!$F$136*(Inputs!$F$137*AH18/100+(1-Inputs!$F$137)*AH22/100*Inputs!$F$135/AH11)</f>
        <v>5.07103066807733</v>
      </c>
      <c r="AI44" s="11" t="n">
        <f aca="false">Inputs!$F$136*(Inputs!$F$137*AI18/100+(1-Inputs!$F$137)*AI22/100*Inputs!$F$135/AI11)</f>
        <v>5.12650853714159</v>
      </c>
      <c r="AJ44" s="11" t="n">
        <f aca="false">Inputs!$F$136*(Inputs!$F$137*AJ18/100+(1-Inputs!$F$137)*AJ22/100*Inputs!$F$135/AJ11)</f>
        <v>5.18259334277503</v>
      </c>
      <c r="AK44" s="11" t="n">
        <f aca="false">Inputs!$F$136*(Inputs!$F$137*AK18/100+(1-Inputs!$F$137)*AK22/100*Inputs!$F$135/AK11)</f>
        <v>5.2392917249587</v>
      </c>
      <c r="AL44" s="11" t="n">
        <f aca="false">Inputs!$F$136*(Inputs!$F$137*AL18/100+(1-Inputs!$F$137)*AL22/100*Inputs!$F$135/AL11)</f>
        <v>5.29661039631608</v>
      </c>
      <c r="AM44" s="11" t="n">
        <f aca="false">Inputs!$F$136*(Inputs!$F$137*AM18/100+(1-Inputs!$F$137)*AM22/100*Inputs!$F$135/AM11)</f>
        <v>5.3545561429078</v>
      </c>
      <c r="AN44" s="11" t="n">
        <f aca="false">Inputs!$F$136*(Inputs!$F$137*AN18/100+(1-Inputs!$F$137)*AN22/100*Inputs!$F$135/AN11)</f>
        <v>5.41313582503504</v>
      </c>
      <c r="AO44" s="11" t="n">
        <f aca="false">Inputs!$F$136*(Inputs!$F$137*AO18/100+(1-Inputs!$F$137)*AO22/100*Inputs!$F$135/AO11)</f>
        <v>5.47235637805177</v>
      </c>
      <c r="AP44" s="11" t="n">
        <f aca="false">Inputs!$F$136*(Inputs!$F$137*AP18/100+(1-Inputs!$F$137)*AP22/100*Inputs!$F$135/AP11)</f>
        <v>5.53222481318581</v>
      </c>
      <c r="AQ44" s="11" t="n">
        <f aca="false">Inputs!$F$136*(Inputs!$F$137*AQ18/100+(1-Inputs!$F$137)*AQ22/100*Inputs!$F$135/AQ11)</f>
        <v>5.59274821836891</v>
      </c>
      <c r="AR44" s="11" t="n">
        <f aca="false">Inputs!$F$136*(Inputs!$F$137*AR18/100+(1-Inputs!$F$137)*AR22/100*Inputs!$F$135/AR11)</f>
        <v>5.65393375907589</v>
      </c>
      <c r="AS44" s="11" t="n">
        <f aca="false">Inputs!$F$136*(Inputs!$F$137*AS18/100+(1-Inputs!$F$137)*AS22/100*Inputs!$F$135/AS11)</f>
        <v>5.71578867917302</v>
      </c>
      <c r="AT44" s="11" t="n">
        <f aca="false">Inputs!$F$136*(Inputs!$F$137*AT18/100+(1-Inputs!$F$137)*AT22/100*Inputs!$F$135/AT11)</f>
        <v>5.77832030177556</v>
      </c>
      <c r="AU44" s="11" t="n">
        <f aca="false">Inputs!$F$136*(Inputs!$F$137*AU18/100+(1-Inputs!$F$137)*AU22/100*Inputs!$F$135/AU11)</f>
        <v>5.84153603011483</v>
      </c>
      <c r="AV44" s="11" t="n">
        <f aca="false">Inputs!$F$136*(Inputs!$F$137*AV18/100+(1-Inputs!$F$137)*AV22/100*Inputs!$F$135/AV11)</f>
        <v>5.90544334841462</v>
      </c>
      <c r="AW44" s="11" t="n">
        <f aca="false">Inputs!$F$136*(Inputs!$F$137*AW18/100+(1-Inputs!$F$137)*AW22/100*Inputs!$F$135/AW11)</f>
        <v>5.97004982277735</v>
      </c>
      <c r="AX44" s="11" t="n">
        <f aca="false">Inputs!$F$136*(Inputs!$F$137*AX18/100+(1-Inputs!$F$137)*AX22/100*Inputs!$F$135/AX11)</f>
        <v>6.03536310207975</v>
      </c>
      <c r="AY44" s="11" t="n">
        <f aca="false">Inputs!$F$136*(Inputs!$F$137*AY18/100+(1-Inputs!$F$137)*AY22/100*Inputs!$F$135/AY11)</f>
        <v>6.10139091887845</v>
      </c>
      <c r="AZ44" s="11" t="n">
        <f aca="false">Inputs!$F$136*(Inputs!$F$137*AZ18/100+(1-Inputs!$F$137)*AZ22/100*Inputs!$F$135/AZ11)</f>
        <v>6.1681410903255</v>
      </c>
      <c r="BA44" s="11" t="n">
        <f aca="false">Inputs!$F$136*(Inputs!$F$137*BA18/100+(1-Inputs!$F$137)*BA22/100*Inputs!$F$135/BA11)</f>
        <v>6.23562151909378</v>
      </c>
      <c r="BB44" s="11" t="n">
        <f aca="false">Inputs!$F$136*(Inputs!$F$137*BB18/100+(1-Inputs!$F$137)*BB22/100*Inputs!$F$135/BB11)</f>
        <v>6.30384019431266</v>
      </c>
      <c r="BC44" s="11" t="n">
        <f aca="false">Inputs!$F$136*(Inputs!$F$137*BC18/100+(1-Inputs!$F$137)*BC22/100*Inputs!$F$135/BC11)</f>
        <v>6.37280519251384</v>
      </c>
      <c r="BD44" s="11" t="n">
        <f aca="false">Inputs!$F$136*(Inputs!$F$137*BD18/100+(1-Inputs!$F$137)*BD22/100*Inputs!$F$135/BD11)</f>
        <v>6.44252467858754</v>
      </c>
      <c r="BE44" s="11" t="n">
        <f aca="false">Inputs!$F$136*(Inputs!$F$137*BE18/100+(1-Inputs!$F$137)*BE22/100*Inputs!$F$135/BE11)</f>
        <v>6.51300690674914</v>
      </c>
      <c r="BF44" s="11" t="n">
        <f aca="false">Inputs!$F$136*(Inputs!$F$137*BF18/100+(1-Inputs!$F$137)*BF22/100*Inputs!$F$135/BF11)</f>
        <v>6.58426022151646</v>
      </c>
      <c r="BG44" s="11" t="n">
        <f aca="false">Inputs!$F$136*(Inputs!$F$137*BG18/100+(1-Inputs!$F$137)*BG22/100*Inputs!$F$135/BG11)</f>
        <v>6.65629305869762</v>
      </c>
      <c r="BH44" s="11" t="n">
        <f aca="false">Inputs!$F$136*(Inputs!$F$137*BH18/100+(1-Inputs!$F$137)*BH22/100*Inputs!$F$135/BH11)</f>
        <v>6.72911394638982</v>
      </c>
      <c r="BI44" s="11" t="n">
        <f aca="false">Inputs!$F$136*(Inputs!$F$137*BI18/100+(1-Inputs!$F$137)*BI22/100*Inputs!$F$135/BI11)</f>
        <v>6.80273150598897</v>
      </c>
      <c r="BJ44" s="11" t="n">
        <f aca="false">Inputs!$F$136*(Inputs!$F$137*BJ18/100+(1-Inputs!$F$137)*BJ22/100*Inputs!$F$135/BJ11)</f>
        <v>6.8771544532104</v>
      </c>
      <c r="BK44" s="11" t="n">
        <f aca="false">Inputs!$F$136*(Inputs!$F$137*BK18/100+(1-Inputs!$F$137)*BK22/100*Inputs!$F$135/BK11)</f>
        <v>6.95239159912073</v>
      </c>
      <c r="BL44" s="11" t="n">
        <f aca="false">Inputs!$F$136*(Inputs!$F$137*BL18/100+(1-Inputs!$F$137)*BL22/100*Inputs!$F$135/BL11)</f>
        <v>7.02845185118103</v>
      </c>
      <c r="BM44" s="11" t="n">
        <f aca="false">Inputs!$F$136*(Inputs!$F$137*BM18/100+(1-Inputs!$F$137)*BM22/100*Inputs!$F$135/BM11)</f>
        <v>7.10534421430138</v>
      </c>
      <c r="BN44" s="11" t="n">
        <f aca="false">Inputs!$F$136*(Inputs!$F$137*BN18/100+(1-Inputs!$F$137)*BN22/100*Inputs!$F$135/BN11)</f>
        <v>7.18307779190701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485.811746936375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2.51642171803819</v>
      </c>
      <c r="P45" s="11" t="n">
        <f aca="false">P33*P44/1000000</f>
        <v>7.62803889157132</v>
      </c>
      <c r="Q45" s="11" t="n">
        <f aca="false">Q33*Q44/1000000</f>
        <v>7.68105848814811</v>
      </c>
      <c r="R45" s="11" t="n">
        <f aca="false">R33*R44/1000000</f>
        <v>7.70946659936317</v>
      </c>
      <c r="S45" s="11" t="n">
        <f aca="false">S33*S44/1000000</f>
        <v>7.81310103237857</v>
      </c>
      <c r="T45" s="11" t="n">
        <f aca="false">T33*T44/1000000</f>
        <v>7.94344753175194</v>
      </c>
      <c r="U45" s="11" t="n">
        <f aca="false">U33*U44/1000000</f>
        <v>7.93305531916128</v>
      </c>
      <c r="V45" s="11" t="n">
        <f aca="false">V33*V44/1000000</f>
        <v>7.82944507757228</v>
      </c>
      <c r="W45" s="11" t="n">
        <f aca="false">W33*W44/1000000</f>
        <v>8.00225062439422</v>
      </c>
      <c r="X45" s="11" t="n">
        <f aca="false">X33*X44/1000000</f>
        <v>8.27182288419171</v>
      </c>
      <c r="Y45" s="11" t="n">
        <f aca="false">Y33*Y44/1000000</f>
        <v>8.32927939454739</v>
      </c>
      <c r="Z45" s="11" t="n">
        <f aca="false">Z33*Z44/1000000</f>
        <v>8.36004694624821</v>
      </c>
      <c r="AA45" s="11" t="n">
        <f aca="false">AA33*AA44/1000000</f>
        <v>8.47238825046235</v>
      </c>
      <c r="AB45" s="11" t="n">
        <f aca="false">AB33*AB44/1000000</f>
        <v>8.61369443244836</v>
      </c>
      <c r="AC45" s="11" t="n">
        <f aca="false">AC33*AC44/1000000</f>
        <v>8.54363507447978</v>
      </c>
      <c r="AD45" s="11" t="n">
        <f aca="false">AD33*AD44/1000000</f>
        <v>8.31194894771562</v>
      </c>
      <c r="AE45" s="11" t="n">
        <f aca="false">AE33*AE44/1000000</f>
        <v>8.55743512544264</v>
      </c>
      <c r="AF45" s="11" t="n">
        <f aca="false">AF33*AF44/1000000</f>
        <v>8.96961310830208</v>
      </c>
      <c r="AG45" s="11" t="n">
        <f aca="false">AG33*AG44/1000000</f>
        <v>9.03187503656419</v>
      </c>
      <c r="AH45" s="11" t="n">
        <f aca="false">AH33*AH44/1000000</f>
        <v>9.06519622327226</v>
      </c>
      <c r="AI45" s="11" t="n">
        <f aca="false">AI33*AI44/1000000</f>
        <v>9.18697092919141</v>
      </c>
      <c r="AJ45" s="11" t="n">
        <f aca="false">AJ33*AJ44/1000000</f>
        <v>9.34015215220506</v>
      </c>
      <c r="AK45" s="11" t="n">
        <f aca="false">AK33*AK44/1000000</f>
        <v>9.32784700738049</v>
      </c>
      <c r="AL45" s="11" t="n">
        <f aca="false">AL33*AL44/1000000</f>
        <v>9.20593532085</v>
      </c>
      <c r="AM45" s="11" t="n">
        <f aca="false">AM33*AM44/1000000</f>
        <v>9.40903504492034</v>
      </c>
      <c r="AN45" s="11" t="n">
        <f aca="false">AN33*AN44/1000000</f>
        <v>9.72590800784114</v>
      </c>
      <c r="AO45" s="11" t="n">
        <f aca="false">AO33*AO44/1000000</f>
        <v>9.79337418754218</v>
      </c>
      <c r="AP45" s="11" t="n">
        <f aca="false">AP33*AP44/1000000</f>
        <v>9.82945901083024</v>
      </c>
      <c r="AQ45" s="11" t="n">
        <f aca="false">AQ33*AQ44/1000000</f>
        <v>9.96145378288492</v>
      </c>
      <c r="AR45" s="11" t="n">
        <f aca="false">AR33*AR44/1000000</f>
        <v>10.1275012521276</v>
      </c>
      <c r="AS45" s="11" t="n">
        <f aca="false">AS33*AS44/1000000</f>
        <v>10.0450359953257</v>
      </c>
      <c r="AT45" s="11" t="n">
        <f aca="false">AT33*AT44/1000000</f>
        <v>9.77254392926223</v>
      </c>
      <c r="AU45" s="11" t="n">
        <f aca="false">AU33*AU44/1000000</f>
        <v>10.061073700488</v>
      </c>
      <c r="AV45" s="11" t="n">
        <f aca="false">AV33*AV44/1000000</f>
        <v>10.5455775620424</v>
      </c>
      <c r="AW45" s="11" t="n">
        <f aca="false">AW33*AW44/1000000</f>
        <v>10.6186796248286</v>
      </c>
      <c r="AX45" s="11" t="n">
        <f aca="false">AX33*AX44/1000000</f>
        <v>10.6577551622769</v>
      </c>
      <c r="AY45" s="11" t="n">
        <f aca="false">AY33*AY44/1000000</f>
        <v>10.8008217274309</v>
      </c>
      <c r="AZ45" s="11" t="n">
        <f aca="false">AZ33*AZ44/1000000</f>
        <v>10.9808087197124</v>
      </c>
      <c r="BA45" s="11" t="n">
        <f aca="false">BA33*BA44/1000000</f>
        <v>10.9662389078837</v>
      </c>
      <c r="BB45" s="11" t="n">
        <f aca="false">BB33*BB44/1000000</f>
        <v>10.822812016699</v>
      </c>
      <c r="BC45" s="11" t="n">
        <f aca="false">BC33*BC44/1000000</f>
        <v>11.0614785827123</v>
      </c>
      <c r="BD45" s="11" t="n">
        <f aca="false">BD33*BD44/1000000</f>
        <v>11.4338936572534</v>
      </c>
      <c r="BE45" s="11" t="n">
        <f aca="false">BE33*BE44/1000000</f>
        <v>11.5130986997715</v>
      </c>
      <c r="BF45" s="11" t="n">
        <f aca="false">BF33*BF44/1000000</f>
        <v>11.5554104739938</v>
      </c>
      <c r="BG45" s="11" t="n">
        <f aca="false">BG33*BG44/1000000</f>
        <v>11.7104709494486</v>
      </c>
      <c r="BH45" s="11" t="n">
        <f aca="false">BH33*BH44/1000000</f>
        <v>11.905559542911</v>
      </c>
      <c r="BI45" s="11" t="n">
        <f aca="false">BI33*BI44/1000000</f>
        <v>11.8085035891832</v>
      </c>
      <c r="BJ45" s="11" t="n">
        <f aca="false">BJ33*BJ44/1000000</f>
        <v>11.4880642629858</v>
      </c>
      <c r="BK45" s="11" t="n">
        <f aca="false">BK33*BK44/1000000</f>
        <v>11.8271309481052</v>
      </c>
      <c r="BL45" s="11" t="n">
        <f aca="false">BL33*BL44/1000000</f>
        <v>12.3965629101064</v>
      </c>
      <c r="BM45" s="11" t="n">
        <f aca="false">BM33*BM44/1000000</f>
        <v>8.34936857212671</v>
      </c>
      <c r="BN45" s="11" t="n">
        <f aca="false">BN33*BN44/1000000</f>
        <v>0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4886.82613822903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25.7791196996463</v>
      </c>
      <c r="P46" s="11" t="n">
        <f aca="false">P33*P35*(1000*Inputs!$F$121/Inputs!$F$122)*P36/1000000</f>
        <v>77.3244496667218</v>
      </c>
      <c r="Q46" s="11" t="n">
        <f aca="false">Q33*Q35*(1000*Inputs!$F$121/Inputs!$F$122)*Q36/1000000</f>
        <v>78.5989487836604</v>
      </c>
      <c r="R46" s="11" t="n">
        <f aca="false">R33*R35*(1000*Inputs!$F$121/Inputs!$F$122)*R36/1000000</f>
        <v>78.0749011546623</v>
      </c>
      <c r="S46" s="11" t="n">
        <f aca="false">S33*S35*(1000*Inputs!$F$121/Inputs!$F$122)*S36/1000000</f>
        <v>79.8733798268943</v>
      </c>
      <c r="T46" s="11" t="n">
        <f aca="false">T33*T35*(1000*Inputs!$F$121/Inputs!$F$122)*T36/1000000</f>
        <v>80.3672083375917</v>
      </c>
      <c r="U46" s="11" t="n">
        <f aca="false">U33*U35*(1000*Inputs!$F$121/Inputs!$F$122)*U36/1000000</f>
        <v>81.021751587173</v>
      </c>
      <c r="V46" s="11" t="n">
        <f aca="false">V33*V35*(1000*Inputs!$F$121/Inputs!$F$122)*V36/1000000</f>
        <v>79.137648401152</v>
      </c>
      <c r="W46" s="11" t="n">
        <f aca="false">W33*W35*(1000*Inputs!$F$121/Inputs!$F$122)*W36/1000000</f>
        <v>81.6498489848216</v>
      </c>
      <c r="X46" s="11" t="n">
        <f aca="false">X33*X35*(1000*Inputs!$F$121/Inputs!$F$122)*X36/1000000</f>
        <v>83.5286114440956</v>
      </c>
      <c r="Y46" s="11" t="n">
        <f aca="false">Y33*Y35*(1000*Inputs!$F$121/Inputs!$F$122)*Y36/1000000</f>
        <v>84.9048165069735</v>
      </c>
      <c r="Z46" s="11" t="n">
        <f aca="false">Z33*Z35*(1000*Inputs!$F$121/Inputs!$F$122)*Z36/1000000</f>
        <v>84.3381746041477</v>
      </c>
      <c r="AA46" s="11" t="n">
        <f aca="false">AA33*AA35*(1000*Inputs!$F$121/Inputs!$F$122)*AA36/1000000</f>
        <v>86.2803657749892</v>
      </c>
      <c r="AB46" s="11" t="n">
        <f aca="false">AB33*AB35*(1000*Inputs!$F$121/Inputs!$F$122)*AB36/1000000</f>
        <v>86.8132386021557</v>
      </c>
      <c r="AC46" s="11" t="n">
        <f aca="false">AC33*AC35*(1000*Inputs!$F$121/Inputs!$F$122)*AC36/1000000</f>
        <v>86.9219818515905</v>
      </c>
      <c r="AD46" s="11" t="n">
        <f aca="false">AD33*AD35*(1000*Inputs!$F$121/Inputs!$F$122)*AD36/1000000</f>
        <v>83.6912300873451</v>
      </c>
      <c r="AE46" s="11" t="n">
        <f aca="false">AE33*AE35*(1000*Inputs!$F$121/Inputs!$F$122)*AE36/1000000</f>
        <v>86.9783006666355</v>
      </c>
      <c r="AF46" s="11" t="n">
        <f aca="false">AF33*AF35*(1000*Inputs!$F$121/Inputs!$F$122)*AF36/1000000</f>
        <v>90.2258441743053</v>
      </c>
      <c r="AG46" s="11" t="n">
        <f aca="false">AG33*AG35*(1000*Inputs!$F$121/Inputs!$F$122)*AG36/1000000</f>
        <v>91.7117897628972</v>
      </c>
      <c r="AH46" s="11" t="n">
        <f aca="false">AH33*AH35*(1000*Inputs!$F$121/Inputs!$F$122)*AH36/1000000</f>
        <v>91.0991206249612</v>
      </c>
      <c r="AI46" s="11" t="n">
        <f aca="false">AI33*AI35*(1000*Inputs!$F$121/Inputs!$F$122)*AI36/1000000</f>
        <v>93.1963942315242</v>
      </c>
      <c r="AJ46" s="11" t="n">
        <f aca="false">AJ33*AJ35*(1000*Inputs!$F$121/Inputs!$F$122)*AJ36/1000000</f>
        <v>93.7713638483066</v>
      </c>
      <c r="AK46" s="11" t="n">
        <f aca="false">AK33*AK35*(1000*Inputs!$F$121/Inputs!$F$122)*AK36/1000000</f>
        <v>94.5338347262224</v>
      </c>
      <c r="AL46" s="11" t="n">
        <f aca="false">AL33*AL35*(1000*Inputs!$F$121/Inputs!$F$122)*AL36/1000000</f>
        <v>92.3343043481119</v>
      </c>
      <c r="AM46" s="11" t="n">
        <f aca="false">AM33*AM35*(1000*Inputs!$F$121/Inputs!$F$122)*AM36/1000000</f>
        <v>95.2641759921699</v>
      </c>
      <c r="AN46" s="11" t="n">
        <f aca="false">AN33*AN35*(1000*Inputs!$F$121/Inputs!$F$122)*AN36/1000000</f>
        <v>97.454921459431</v>
      </c>
      <c r="AO46" s="11" t="n">
        <f aca="false">AO33*AO35*(1000*Inputs!$F$121/Inputs!$F$122)*AO36/1000000</f>
        <v>99.0592696696603</v>
      </c>
      <c r="AP46" s="11" t="n">
        <f aca="false">AP33*AP35*(1000*Inputs!$F$121/Inputs!$F$122)*AP36/1000000</f>
        <v>98.3968661325441</v>
      </c>
      <c r="AQ46" s="11" t="n">
        <f aca="false">AQ33*AQ35*(1000*Inputs!$F$121/Inputs!$F$122)*AQ36/1000000</f>
        <v>100.661481636439</v>
      </c>
      <c r="AR46" s="11" t="n">
        <f aca="false">AR33*AR35*(1000*Inputs!$F$121/Inputs!$F$122)*AR36/1000000</f>
        <v>101.281836065243</v>
      </c>
      <c r="AS46" s="11" t="n">
        <f aca="false">AS33*AS35*(1000*Inputs!$F$121/Inputs!$F$122)*AS36/1000000</f>
        <v>101.407363093729</v>
      </c>
      <c r="AT46" s="11" t="n">
        <f aca="false">AT33*AT35*(1000*Inputs!$F$121/Inputs!$F$122)*AT36/1000000</f>
        <v>97.6369218120997</v>
      </c>
      <c r="AU46" s="11" t="n">
        <f aca="false">AU33*AU35*(1000*Inputs!$F$121/Inputs!$F$122)*AU36/1000000</f>
        <v>101.470383003147</v>
      </c>
      <c r="AV46" s="11" t="n">
        <f aca="false">AV33*AV35*(1000*Inputs!$F$121/Inputs!$F$122)*AV36/1000000</f>
        <v>105.257629282044</v>
      </c>
      <c r="AW46" s="11" t="n">
        <f aca="false">AW33*AW35*(1000*Inputs!$F$121/Inputs!$F$122)*AW36/1000000</f>
        <v>106.989718090849</v>
      </c>
      <c r="AX46" s="11" t="n">
        <f aca="false">AX33*AX35*(1000*Inputs!$F$121/Inputs!$F$122)*AX36/1000000</f>
        <v>106.273577101457</v>
      </c>
      <c r="AY46" s="11" t="n">
        <f aca="false">AY33*AY35*(1000*Inputs!$F$121/Inputs!$F$122)*AY36/1000000</f>
        <v>108.718752184724</v>
      </c>
      <c r="AZ46" s="11" t="n">
        <f aca="false">AZ33*AZ35*(1000*Inputs!$F$121/Inputs!$F$122)*AZ36/1000000</f>
        <v>109.388032892451</v>
      </c>
      <c r="BA46" s="11" t="n">
        <f aca="false">BA33*BA35*(1000*Inputs!$F$121/Inputs!$F$122)*BA36/1000000</f>
        <v>110.276019419535</v>
      </c>
      <c r="BB46" s="11" t="n">
        <f aca="false">BB33*BB35*(1000*Inputs!$F$121/Inputs!$F$122)*BB36/1000000</f>
        <v>107.708780540664</v>
      </c>
      <c r="BC46" s="11" t="n">
        <f aca="false">BC33*BC35*(1000*Inputs!$F$121/Inputs!$F$122)*BC36/1000000</f>
        <v>111.125021868197</v>
      </c>
      <c r="BD46" s="11" t="n">
        <f aca="false">BD33*BD35*(1000*Inputs!$F$121/Inputs!$F$122)*BD36/1000000</f>
        <v>113.678996733924</v>
      </c>
      <c r="BE46" s="11" t="n">
        <f aca="false">BE33*BE35*(1000*Inputs!$F$121/Inputs!$F$122)*BE36/1000000</f>
        <v>115.548892032972</v>
      </c>
      <c r="BF46" s="11" t="n">
        <f aca="false">BF33*BF35*(1000*Inputs!$F$121/Inputs!$F$122)*BF36/1000000</f>
        <v>114.774691266782</v>
      </c>
      <c r="BG46" s="11" t="n">
        <f aca="false">BG33*BG35*(1000*Inputs!$F$121/Inputs!$F$122)*BG36/1000000</f>
        <v>117.414675751632</v>
      </c>
      <c r="BH46" s="11" t="n">
        <f aca="false">BH33*BH35*(1000*Inputs!$F$121/Inputs!$F$122)*BH36/1000000</f>
        <v>118.136696878405</v>
      </c>
      <c r="BI46" s="11" t="n">
        <f aca="false">BI33*BI35*(1000*Inputs!$F$121/Inputs!$F$122)*BI36/1000000</f>
        <v>118.281530787593</v>
      </c>
      <c r="BJ46" s="11" t="n">
        <f aca="false">BJ33*BJ35*(1000*Inputs!$F$121/Inputs!$F$122)*BJ36/1000000</f>
        <v>113.882163597378</v>
      </c>
      <c r="BK46" s="11" t="n">
        <f aca="false">BK33*BK35*(1000*Inputs!$F$121/Inputs!$F$122)*BK36/1000000</f>
        <v>118.351865898643</v>
      </c>
      <c r="BL46" s="11" t="n">
        <f aca="false">BL33*BL35*(1000*Inputs!$F$121/Inputs!$F$122)*BL36/1000000</f>
        <v>122.767544113567</v>
      </c>
      <c r="BM46" s="11" t="n">
        <f aca="false">BM33*BM35*(1000*Inputs!$F$121/Inputs!$F$122)*BM36/1000000</f>
        <v>83.4617032271672</v>
      </c>
      <c r="BN46" s="11" t="n">
        <f aca="false">BN33*BN35*(1000*Inputs!$F$121/Inputs!$F$122)*BN36/1000000</f>
        <v>0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690.346731956093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3.81633916775125</v>
      </c>
      <c r="P47" s="11" t="n">
        <f aca="false">Inputs!$F$143*Time!P26*Inputs!$F$144*(1+Inputs!$F$146/100)^(Time!P21-2018)/1000000</f>
        <v>11.51158044043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10.8930483642273</v>
      </c>
      <c r="BN47" s="11" t="n">
        <f aca="false">Inputs!$F$143*Time!BN26*Inputs!$F$144*(1+Inputs!$F$146/100)^(Time!BN21-2018)/1000000</f>
        <v>0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146.429542661692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0.822072217410972</v>
      </c>
      <c r="P48" s="11" t="n">
        <f aca="false">P37*Inputs!$F$145*(1+Inputs!$F$146/100)^(Time!P21-2018)/1000000</f>
        <v>2.46596928451541</v>
      </c>
      <c r="Q48" s="11" t="n">
        <f aca="false">Q37*Inputs!$F$145*(1+Inputs!$F$146/100)^(Time!Q21-2018)/1000000</f>
        <v>2.49457634071986</v>
      </c>
      <c r="R48" s="11" t="n">
        <f aca="false">R37*Inputs!$F$145*(1+Inputs!$F$146/100)^(Time!R21-2018)/1000000</f>
        <v>2.47819126968233</v>
      </c>
      <c r="S48" s="11" t="n">
        <f aca="false">S37*Inputs!$F$145*(1+Inputs!$F$146/100)^(Time!S21-2018)/1000000</f>
        <v>2.52310069174203</v>
      </c>
      <c r="T48" s="11" t="n">
        <f aca="false">T37*Inputs!$F$145*(1+Inputs!$F$146/100)^(Time!T21-2018)/1000000</f>
        <v>2.53895279679783</v>
      </c>
      <c r="U48" s="11" t="n">
        <f aca="false">U37*Inputs!$F$145*(1+Inputs!$F$146/100)^(Time!U21-2018)/1000000</f>
        <v>2.54733708376765</v>
      </c>
      <c r="V48" s="11" t="n">
        <f aca="false">V37*Inputs!$F$145*(1+Inputs!$F$146/100)^(Time!V21-2018)/1000000</f>
        <v>2.48834767032787</v>
      </c>
      <c r="W48" s="11" t="n">
        <f aca="false">W37*Inputs!$F$145*(1+Inputs!$F$146/100)^(Time!W21-2018)/1000000</f>
        <v>2.5550079524854</v>
      </c>
      <c r="X48" s="11" t="n">
        <f aca="false">X37*Inputs!$F$145*(1+Inputs!$F$146/100)^(Time!X21-2018)/1000000</f>
        <v>2.61405768091835</v>
      </c>
      <c r="Y48" s="11" t="n">
        <f aca="false">Y37*Inputs!$F$145*(1+Inputs!$F$146/100)^(Time!Y21-2018)/1000000</f>
        <v>2.64436310847705</v>
      </c>
      <c r="Z48" s="11" t="n">
        <f aca="false">Z37*Inputs!$F$145*(1+Inputs!$F$146/100)^(Time!Z21-2018)/1000000</f>
        <v>2.62697475306514</v>
      </c>
      <c r="AA48" s="11" t="n">
        <f aca="false">AA37*Inputs!$F$145*(1+Inputs!$F$146/100)^(Time!AA21-2018)/1000000</f>
        <v>2.6745606031505</v>
      </c>
      <c r="AB48" s="11" t="n">
        <f aca="false">AB37*Inputs!$F$145*(1+Inputs!$F$146/100)^(Time!AB21-2018)/1000000</f>
        <v>2.69134436037929</v>
      </c>
      <c r="AC48" s="11" t="n">
        <f aca="false">AC37*Inputs!$F$145*(1+Inputs!$F$146/100)^(Time!AC21-2018)/1000000</f>
        <v>2.68177045261444</v>
      </c>
      <c r="AD48" s="11" t="n">
        <f aca="false">AD37*Inputs!$F$145*(1+Inputs!$F$146/100)^(Time!AD21-2018)/1000000</f>
        <v>2.58234751037338</v>
      </c>
      <c r="AE48" s="11" t="n">
        <f aca="false">AE37*Inputs!$F$145*(1+Inputs!$F$146/100)^(Time!AE21-2018)/1000000</f>
        <v>2.67087909828532</v>
      </c>
      <c r="AF48" s="11" t="n">
        <f aca="false">AF37*Inputs!$F$145*(1+Inputs!$F$146/100)^(Time!AF21-2018)/1000000</f>
        <v>2.77087493886801</v>
      </c>
      <c r="AG48" s="11" t="n">
        <f aca="false">AG37*Inputs!$F$145*(1+Inputs!$F$146/100)^(Time!AG21-2018)/1000000</f>
        <v>2.80297757361037</v>
      </c>
      <c r="AH48" s="11" t="n">
        <f aca="false">AH37*Inputs!$F$145*(1+Inputs!$F$146/100)^(Time!AH21-2018)/1000000</f>
        <v>2.78452554036638</v>
      </c>
      <c r="AI48" s="11" t="n">
        <f aca="false">AI37*Inputs!$F$145*(1+Inputs!$F$146/100)^(Time!AI21-2018)/1000000</f>
        <v>2.83494424264546</v>
      </c>
      <c r="AJ48" s="11" t="n">
        <f aca="false">AJ37*Inputs!$F$145*(1+Inputs!$F$146/100)^(Time!AJ21-2018)/1000000</f>
        <v>2.85271324558339</v>
      </c>
      <c r="AK48" s="11" t="n">
        <f aca="false">AK37*Inputs!$F$145*(1+Inputs!$F$146/100)^(Time!AK21-2018)/1000000</f>
        <v>2.86209114322515</v>
      </c>
      <c r="AL48" s="11" t="n">
        <f aca="false">AL37*Inputs!$F$145*(1+Inputs!$F$146/100)^(Time!AL21-2018)/1000000</f>
        <v>2.79577133641956</v>
      </c>
      <c r="AM48" s="11" t="n">
        <f aca="false">AM37*Inputs!$F$145*(1+Inputs!$F$146/100)^(Time!AM21-2018)/1000000</f>
        <v>2.87062450669468</v>
      </c>
      <c r="AN48" s="11" t="n">
        <f aca="false">AN37*Inputs!$F$145*(1+Inputs!$F$146/100)^(Time!AN21-2018)/1000000</f>
        <v>2.93692488173585</v>
      </c>
      <c r="AO48" s="11" t="n">
        <f aca="false">AO37*Inputs!$F$145*(1+Inputs!$F$146/100)^(Time!AO21-2018)/1000000</f>
        <v>2.97092917871418</v>
      </c>
      <c r="AP48" s="11" t="n">
        <f aca="false">AP37*Inputs!$F$145*(1+Inputs!$F$146/100)^(Time!AP21-2018)/1000000</f>
        <v>2.95134950387454</v>
      </c>
      <c r="AQ48" s="11" t="n">
        <f aca="false">AQ37*Inputs!$F$145*(1+Inputs!$F$146/100)^(Time!AQ21-2018)/1000000</f>
        <v>3.00476642152149</v>
      </c>
      <c r="AR48" s="11" t="n">
        <f aca="false">AR37*Inputs!$F$145*(1+Inputs!$F$146/100)^(Time!AR21-2018)/1000000</f>
        <v>3.02357726824958</v>
      </c>
      <c r="AS48" s="11" t="n">
        <f aca="false">AS37*Inputs!$F$145*(1+Inputs!$F$146/100)^(Time!AS21-2018)/1000000</f>
        <v>3.0127765863489</v>
      </c>
      <c r="AT48" s="11" t="n">
        <f aca="false">AT37*Inputs!$F$145*(1+Inputs!$F$146/100)^(Time!AT21-2018)/1000000</f>
        <v>2.90103876886235</v>
      </c>
      <c r="AU48" s="11" t="n">
        <f aca="false">AU37*Inputs!$F$145*(1+Inputs!$F$146/100)^(Time!AU21-2018)/1000000</f>
        <v>3.00045138364863</v>
      </c>
      <c r="AV48" s="11" t="n">
        <f aca="false">AV37*Inputs!$F$145*(1+Inputs!$F$146/100)^(Time!AV21-2018)/1000000</f>
        <v>3.11273969469616</v>
      </c>
      <c r="AW48" s="11" t="n">
        <f aca="false">AW37*Inputs!$F$145*(1+Inputs!$F$146/100)^(Time!AW21-2018)/1000000</f>
        <v>3.14875603856921</v>
      </c>
      <c r="AX48" s="11" t="n">
        <f aca="false">AX37*Inputs!$F$145*(1+Inputs!$F$146/100)^(Time!AX21-2018)/1000000</f>
        <v>3.12798098121417</v>
      </c>
      <c r="AY48" s="11" t="n">
        <f aca="false">AY37*Inputs!$F$145*(1+Inputs!$F$146/100)^(Time!AY21-2018)/1000000</f>
        <v>3.18457091338283</v>
      </c>
      <c r="AZ48" s="11" t="n">
        <f aca="false">AZ37*Inputs!$F$145*(1+Inputs!$F$146/100)^(Time!AZ21-2018)/1000000</f>
        <v>3.20448336948944</v>
      </c>
      <c r="BA48" s="11" t="n">
        <f aca="false">BA37*Inputs!$F$145*(1+Inputs!$F$146/100)^(Time!BA21-2018)/1000000</f>
        <v>3.21496952620687</v>
      </c>
      <c r="BB48" s="11" t="n">
        <f aca="false">BB37*Inputs!$F$145*(1+Inputs!$F$146/100)^(Time!BB21-2018)/1000000</f>
        <v>3.14042584676436</v>
      </c>
      <c r="BC48" s="11" t="n">
        <f aca="false">BC37*Inputs!$F$145*(1+Inputs!$F$146/100)^(Time!BC21-2018)/1000000</f>
        <v>3.22445836749426</v>
      </c>
      <c r="BD48" s="11" t="n">
        <f aca="false">BD37*Inputs!$F$145*(1+Inputs!$F$146/100)^(Time!BD21-2018)/1000000</f>
        <v>3.29888147137207</v>
      </c>
      <c r="BE48" s="11" t="n">
        <f aca="false">BE37*Inputs!$F$145*(1+Inputs!$F$146/100)^(Time!BE21-2018)/1000000</f>
        <v>3.33702650328729</v>
      </c>
      <c r="BF48" s="11" t="n">
        <f aca="false">BF37*Inputs!$F$145*(1+Inputs!$F$146/100)^(Time!BF21-2018)/1000000</f>
        <v>3.31498432678839</v>
      </c>
      <c r="BG48" s="11" t="n">
        <f aca="false">BG37*Inputs!$F$145*(1+Inputs!$F$146/100)^(Time!BG21-2018)/1000000</f>
        <v>3.37493203223909</v>
      </c>
      <c r="BH48" s="11" t="n">
        <f aca="false">BH37*Inputs!$F$145*(1+Inputs!$F$146/100)^(Time!BH21-2018)/1000000</f>
        <v>3.39600920222504</v>
      </c>
      <c r="BI48" s="11" t="n">
        <f aca="false">BI37*Inputs!$F$145*(1+Inputs!$F$146/100)^(Time!BI21-2018)/1000000</f>
        <v>3.38382725385082</v>
      </c>
      <c r="BJ48" s="11" t="n">
        <f aca="false">BJ37*Inputs!$F$145*(1+Inputs!$F$146/100)^(Time!BJ21-2018)/1000000</f>
        <v>3.25827889270016</v>
      </c>
      <c r="BK48" s="11" t="n">
        <f aca="false">BK37*Inputs!$F$145*(1+Inputs!$F$146/100)^(Time!BK21-2018)/1000000</f>
        <v>3.36988266108797</v>
      </c>
      <c r="BL48" s="11" t="n">
        <f aca="false">BL37*Inputs!$F$145*(1+Inputs!$F$146/100)^(Time!BL21-2018)/1000000</f>
        <v>3.49594384123186</v>
      </c>
      <c r="BM48" s="11" t="n">
        <f aca="false">BM37*Inputs!$F$145*(1+Inputs!$F$146/100)^(Time!BM21-2018)/1000000</f>
        <v>2.36520234401095</v>
      </c>
      <c r="BN48" s="11" t="n">
        <f aca="false">BN37*Inputs!$F$145*(1+Inputs!$F$146/100)^(Time!BN21-2018)/1000000</f>
        <v>0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3820.61994930087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22.5951464628854</v>
      </c>
      <c r="P50" s="11" t="n">
        <f aca="false">P43+P45</f>
        <v>68.079503798669</v>
      </c>
      <c r="Q50" s="11" t="n">
        <f aca="false">Q43+Q45</f>
        <v>68.3501693814498</v>
      </c>
      <c r="R50" s="11" t="n">
        <f aca="false">R43+R45</f>
        <v>68.598604560017</v>
      </c>
      <c r="S50" s="11" t="n">
        <f aca="false">S43+S45</f>
        <v>68.9246731909329</v>
      </c>
      <c r="T50" s="11" t="n">
        <f aca="false">T43+T45</f>
        <v>69.2798873531401</v>
      </c>
      <c r="U50" s="11" t="n">
        <f aca="false">U43+U45</f>
        <v>69.4968228908038</v>
      </c>
      <c r="V50" s="11" t="n">
        <f aca="false">V43+V45</f>
        <v>69.623027400631</v>
      </c>
      <c r="W50" s="11" t="n">
        <f aca="false">W43+W45</f>
        <v>70.0281619082129</v>
      </c>
      <c r="X50" s="11" t="n">
        <f aca="false">X43+X45</f>
        <v>70.5326048439577</v>
      </c>
      <c r="Y50" s="11" t="n">
        <f aca="false">Y43+Y45</f>
        <v>70.82750155221</v>
      </c>
      <c r="Z50" s="11" t="n">
        <f aca="false">Z43+Z45</f>
        <v>71.098306934729</v>
      </c>
      <c r="AA50" s="11" t="n">
        <f aca="false">AA43+AA45</f>
        <v>71.4533121211936</v>
      </c>
      <c r="AB50" s="11" t="n">
        <f aca="false">AB43+AB45</f>
        <v>71.8399369662758</v>
      </c>
      <c r="AC50" s="11" t="n">
        <f aca="false">AC43+AC45</f>
        <v>72.0178800959671</v>
      </c>
      <c r="AD50" s="11" t="n">
        <f aca="false">AD43+AD45</f>
        <v>71.1164379884014</v>
      </c>
      <c r="AE50" s="11" t="n">
        <f aca="false">AE43+AE45</f>
        <v>72.5358543630027</v>
      </c>
      <c r="AF50" s="11" t="n">
        <f aca="false">AF43+AF45</f>
        <v>73.2042637643675</v>
      </c>
      <c r="AG50" s="11" t="n">
        <f aca="false">AG43+AG45</f>
        <v>73.5255603229505</v>
      </c>
      <c r="AH50" s="11" t="n">
        <f aca="false">AH43+AH45</f>
        <v>73.8207500193711</v>
      </c>
      <c r="AI50" s="11" t="n">
        <f aca="false">AI43+AI45</f>
        <v>74.2072581174783</v>
      </c>
      <c r="AJ50" s="11" t="n">
        <f aca="false">AJ43+AJ45</f>
        <v>74.6280689574181</v>
      </c>
      <c r="AK50" s="11" t="n">
        <f aca="false">AK43+AK45</f>
        <v>74.8863213394096</v>
      </c>
      <c r="AL50" s="11" t="n">
        <f aca="false">AL43+AL45</f>
        <v>75.0379271213777</v>
      </c>
      <c r="AM50" s="11" t="n">
        <f aca="false">AM43+AM45</f>
        <v>75.5175366378541</v>
      </c>
      <c r="AN50" s="11" t="n">
        <f aca="false">AN43+AN45</f>
        <v>76.1139444535804</v>
      </c>
      <c r="AO50" s="11" t="n">
        <f aca="false">AO43+AO45</f>
        <v>76.4640036411205</v>
      </c>
      <c r="AP50" s="11" t="n">
        <f aca="false">AP43+AP45</f>
        <v>76.7857730839758</v>
      </c>
      <c r="AQ50" s="11" t="n">
        <f aca="false">AQ43+AQ45</f>
        <v>77.206577910042</v>
      </c>
      <c r="AR50" s="11" t="n">
        <f aca="false">AR43+AR45</f>
        <v>77.6645950604824</v>
      </c>
      <c r="AS50" s="11" t="n">
        <f aca="false">AS43+AS45</f>
        <v>77.8772936788802</v>
      </c>
      <c r="AT50" s="11" t="n">
        <f aca="false">AT43+AT45</f>
        <v>76.9190852280334</v>
      </c>
      <c r="AU50" s="11" t="n">
        <f aca="false">AU43+AU45</f>
        <v>78.4933818786806</v>
      </c>
      <c r="AV50" s="11" t="n">
        <f aca="false">AV43+AV45</f>
        <v>79.2828434007312</v>
      </c>
      <c r="AW50" s="11" t="n">
        <f aca="false">AW43+AW45</f>
        <v>79.6642394085416</v>
      </c>
      <c r="AX50" s="11" t="n">
        <f aca="false">AX43+AX45</f>
        <v>80.0149816750168</v>
      </c>
      <c r="AY50" s="11" t="n">
        <f aca="false">AY43+AY45</f>
        <v>80.4731246519855</v>
      </c>
      <c r="AZ50" s="11" t="n">
        <f aca="false">AZ43+AZ45</f>
        <v>80.9716350413326</v>
      </c>
      <c r="BA50" s="11" t="n">
        <f aca="false">BA43+BA45</f>
        <v>81.2790733223785</v>
      </c>
      <c r="BB50" s="11" t="n">
        <f aca="false">BB43+BB45</f>
        <v>81.4611773429948</v>
      </c>
      <c r="BC50" s="11" t="n">
        <f aca="false">BC43+BC45</f>
        <v>82.028936179926</v>
      </c>
      <c r="BD50" s="11" t="n">
        <f aca="false">BD43+BD45</f>
        <v>82.7340438463278</v>
      </c>
      <c r="BE50" s="11" t="n">
        <f aca="false">BE43+BE45</f>
        <v>83.1495811897239</v>
      </c>
      <c r="BF50" s="11" t="n">
        <f aca="false">BF43+BF45</f>
        <v>83.5319047928278</v>
      </c>
      <c r="BG50" s="11" t="n">
        <f aca="false">BG43+BG45</f>
        <v>84.03069687978</v>
      </c>
      <c r="BH50" s="11" t="n">
        <f aca="false">BH43+BH45</f>
        <v>84.5732775623593</v>
      </c>
      <c r="BI50" s="11" t="n">
        <f aca="false">BI43+BI45</f>
        <v>84.8275153155818</v>
      </c>
      <c r="BJ50" s="11" t="n">
        <f aca="false">BJ43+BJ45</f>
        <v>83.8023640907518</v>
      </c>
      <c r="BK50" s="11" t="n">
        <f aca="false">BK43+BK45</f>
        <v>85.5603017580846</v>
      </c>
      <c r="BL50" s="11" t="n">
        <f aca="false">BL43+BL45</f>
        <v>86.492683647295</v>
      </c>
      <c r="BM50" s="11" t="n">
        <f aca="false">BM43+BM45</f>
        <v>57.991396167726</v>
      </c>
      <c r="BN50" s="11" t="n">
        <f aca="false">BN43+BN45</f>
        <v>0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9544.22236214768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53.012677547694</v>
      </c>
      <c r="P51" s="11" t="n">
        <f aca="false">P50+P46+P47+P48+P49</f>
        <v>159.381503190336</v>
      </c>
      <c r="Q51" s="11" t="n">
        <f aca="false">Q50+Q46+Q47+Q48+Q49</f>
        <v>160.937444509165</v>
      </c>
      <c r="R51" s="11" t="n">
        <f aca="false">R50+R46+R47+R48+R49</f>
        <v>160.835951131398</v>
      </c>
      <c r="S51" s="11" t="n">
        <f aca="false">S50+S46+S47+S48+S49</f>
        <v>162.987309962954</v>
      </c>
      <c r="T51" s="11" t="n">
        <f aca="false">T50+T46+T47+T48+T49</f>
        <v>164.045566446772</v>
      </c>
      <c r="U51" s="11" t="n">
        <f aca="false">U50+U46+U47+U48+U49</f>
        <v>164.972480869412</v>
      </c>
      <c r="V51" s="11" t="n">
        <f aca="false">V50+V46+V47+V48+V49</f>
        <v>163.286434200741</v>
      </c>
      <c r="W51" s="11" t="n">
        <f aca="false">W50+W46+W47+W48+W49</f>
        <v>166.251784671663</v>
      </c>
      <c r="X51" s="11" t="n">
        <f aca="false">X50+X46+X47+X48+X49</f>
        <v>168.893245858532</v>
      </c>
      <c r="Y51" s="11" t="n">
        <f aca="false">Y50+Y46+Y47+Y48+Y49</f>
        <v>170.575728481196</v>
      </c>
      <c r="Z51" s="11" t="n">
        <f aca="false">Z50+Z46+Z47+Z48+Z49</f>
        <v>170.464697759845</v>
      </c>
      <c r="AA51" s="11" t="n">
        <f aca="false">AA50+AA46+AA47+AA48+AA49</f>
        <v>172.790271522572</v>
      </c>
      <c r="AB51" s="11" t="n">
        <f aca="false">AB50+AB46+AB47+AB48+AB49</f>
        <v>173.931780018733</v>
      </c>
      <c r="AC51" s="11" t="n">
        <f aca="false">AC50+AC46+AC47+AC48+AC49</f>
        <v>174.25883107632</v>
      </c>
      <c r="AD51" s="11" t="n">
        <f aca="false">AD50+AD46+AD47+AD48+AD49</f>
        <v>170.166084577391</v>
      </c>
      <c r="AE51" s="11" t="n">
        <f aca="false">AE50+AE46+AE47+AE48+AE49</f>
        <v>174.941314099289</v>
      </c>
      <c r="AF51" s="11" t="n">
        <f aca="false">AF50+AF46+AF47+AF48+AF49</f>
        <v>179.168692903681</v>
      </c>
      <c r="AG51" s="11" t="n">
        <f aca="false">AG50+AG46+AG47+AG48+AG49</f>
        <v>180.987951830394</v>
      </c>
      <c r="AH51" s="11" t="n">
        <f aca="false">AH50+AH46+AH47+AH48+AH49</f>
        <v>180.866621861231</v>
      </c>
      <c r="AI51" s="11" t="n">
        <f aca="false">AI50+AI46+AI47+AI48+AI49</f>
        <v>183.380435125148</v>
      </c>
      <c r="AJ51" s="11" t="n">
        <f aca="false">AJ50+AJ46+AJ47+AJ48+AJ49</f>
        <v>184.611805112988</v>
      </c>
      <c r="AK51" s="11" t="n">
        <f aca="false">AK50+AK46+AK47+AK48+AK49</f>
        <v>185.694909265728</v>
      </c>
      <c r="AL51" s="11" t="n">
        <f aca="false">AL50+AL46+AL47+AL48+AL49</f>
        <v>183.728056753514</v>
      </c>
      <c r="AM51" s="11" t="n">
        <f aca="false">AM50+AM46+AM47+AM48+AM49</f>
        <v>187.191387739894</v>
      </c>
      <c r="AN51" s="11" t="n">
        <f aca="false">AN50+AN46+AN47+AN48+AN49</f>
        <v>190.269245551567</v>
      </c>
      <c r="AO51" s="11" t="n">
        <f aca="false">AO50+AO46+AO47+AO48+AO49</f>
        <v>192.236338851718</v>
      </c>
      <c r="AP51" s="11" t="n">
        <f aca="false">AP50+AP46+AP47+AP48+AP49</f>
        <v>192.103895298566</v>
      </c>
      <c r="AQ51" s="11" t="n">
        <f aca="false">AQ50+AQ46+AQ47+AQ48+AQ49</f>
        <v>194.821094375658</v>
      </c>
      <c r="AR51" s="11" t="n">
        <f aca="false">AR50+AR46+AR47+AR48+AR49</f>
        <v>196.149463570819</v>
      </c>
      <c r="AS51" s="11" t="n">
        <f aca="false">AS50+AS46+AS47+AS48+AS49</f>
        <v>196.533143982971</v>
      </c>
      <c r="AT51" s="11" t="n">
        <f aca="false">AT50+AT46+AT47+AT48+AT49</f>
        <v>191.849192813492</v>
      </c>
      <c r="AU51" s="11" t="n">
        <f aca="false">AU50+AU46+AU47+AU48+AU49</f>
        <v>197.334071085754</v>
      </c>
      <c r="AV51" s="11" t="n">
        <f aca="false">AV50+AV46+AV47+AV48+AV49</f>
        <v>202.261241587036</v>
      </c>
      <c r="AW51" s="11" t="n">
        <f aca="false">AW50+AW46+AW47+AW48+AW49</f>
        <v>204.388116180541</v>
      </c>
      <c r="AX51" s="11" t="n">
        <f aca="false">AX50+AX46+AX47+AX48+AX49</f>
        <v>204.243689405396</v>
      </c>
      <c r="AY51" s="11" t="n">
        <f aca="false">AY50+AY46+AY47+AY48+AY49</f>
        <v>207.180631432313</v>
      </c>
      <c r="AZ51" s="11" t="n">
        <f aca="false">AZ50+AZ46+AZ47+AZ48+AZ49</f>
        <v>208.613708195696</v>
      </c>
      <c r="BA51" s="11" t="n">
        <f aca="false">BA50+BA46+BA47+BA48+BA49</f>
        <v>209.879326641693</v>
      </c>
      <c r="BB51" s="11" t="n">
        <f aca="false">BB50+BB46+BB47+BB48+BB49</f>
        <v>207.585683976232</v>
      </c>
      <c r="BC51" s="11" t="n">
        <f aca="false">BC50+BC46+BC47+BC48+BC49</f>
        <v>211.630056549633</v>
      </c>
      <c r="BD51" s="11" t="n">
        <f aca="false">BD50+BD46+BD47+BD48+BD49</f>
        <v>215.216351801121</v>
      </c>
      <c r="BE51" s="11" t="n">
        <f aca="false">BE50+BE46+BE47+BE48+BE49</f>
        <v>217.515914462009</v>
      </c>
      <c r="BF51" s="11" t="n">
        <f aca="false">BF50+BF46+BF47+BF48+BF49</f>
        <v>217.358576582138</v>
      </c>
      <c r="BG51" s="11" t="n">
        <f aca="false">BG50+BG46+BG47+BG48+BG49</f>
        <v>220.532925620718</v>
      </c>
      <c r="BH51" s="11" t="n">
        <f aca="false">BH50+BH46+BH47+BH48+BH49</f>
        <v>222.079034781665</v>
      </c>
      <c r="BI51" s="11" t="n">
        <f aca="false">BI50+BI46+BI47+BI48+BI49</f>
        <v>222.529295839892</v>
      </c>
      <c r="BJ51" s="11" t="n">
        <f aca="false">BJ50+BJ46+BJ47+BJ48+BJ49</f>
        <v>217.155453486585</v>
      </c>
      <c r="BK51" s="11" t="n">
        <f aca="false">BK50+BK46+BK47+BK48+BK49</f>
        <v>223.469585243309</v>
      </c>
      <c r="BL51" s="11" t="n">
        <f aca="false">BL50+BL46+BL47+BL48+BL49</f>
        <v>229.212008211435</v>
      </c>
      <c r="BM51" s="11" t="n">
        <f aca="false">BM50+BM46+BM47+BM48+BM49</f>
        <v>154.711350103131</v>
      </c>
      <c r="BN51" s="11" t="n">
        <f aca="false">BN50+BN46+BN47+BN48+BN49</f>
        <v>0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307.295598966072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1.53884550107693</v>
      </c>
      <c r="P55" s="11" t="n">
        <f aca="false">Inputs!$F$148*(Inputs!$F$149*P19+(1-Inputs!$F$149)*P23*Inputs!$F$150/P11)*Time!P25/12*Inputs!$F$39</f>
        <v>4.66704213500875</v>
      </c>
      <c r="Q55" s="11" t="n">
        <f aca="false">Inputs!$F$148*(Inputs!$F$149*Q19+(1-Inputs!$F$149)*Q23*Inputs!$F$150/Q11)*Time!Q25/12*Inputs!$F$39</f>
        <v>4.71810030630188</v>
      </c>
      <c r="R55" s="11" t="n">
        <f aca="false">Inputs!$F$148*(Inputs!$F$149*R19+(1-Inputs!$F$149)*R23*Inputs!$F$150/R11)*Time!R25/12*Inputs!$F$39</f>
        <v>4.76971706197895</v>
      </c>
      <c r="S55" s="11" t="n">
        <f aca="false">Inputs!$F$148*(Inputs!$F$149*S19+(1-Inputs!$F$149)*S23*Inputs!$F$150/S11)*Time!S25/12*Inputs!$F$39</f>
        <v>4.82189851304052</v>
      </c>
      <c r="T55" s="11" t="n">
        <f aca="false">Inputs!$F$148*(Inputs!$F$149*T19+(1-Inputs!$F$149)*T23*Inputs!$F$150/T11)*Time!T25/12*Inputs!$F$39</f>
        <v>4.87465083734248</v>
      </c>
      <c r="U55" s="11" t="n">
        <f aca="false">Inputs!$F$148*(Inputs!$F$149*U19+(1-Inputs!$F$149)*U23*Inputs!$F$150/U11)*Time!U25/12*Inputs!$F$39</f>
        <v>4.92798028032741</v>
      </c>
      <c r="V55" s="11" t="n">
        <f aca="false">Inputs!$F$148*(Inputs!$F$149*V19+(1-Inputs!$F$149)*V23*Inputs!$F$150/V11)*Time!V25/12*Inputs!$F$39</f>
        <v>4.98189315576401</v>
      </c>
      <c r="W55" s="11" t="n">
        <f aca="false">Inputs!$F$148*(Inputs!$F$149*W19+(1-Inputs!$F$149)*W23*Inputs!$F$150/W11)*Time!W25/12*Inputs!$F$39</f>
        <v>5.03639584649461</v>
      </c>
      <c r="X55" s="11" t="n">
        <f aca="false">Inputs!$F$148*(Inputs!$F$149*X19+(1-Inputs!$F$149)*X23*Inputs!$F$150/X11)*Time!X25/12*Inputs!$F$39</f>
        <v>5.09149480519082</v>
      </c>
      <c r="Y55" s="11" t="n">
        <f aca="false">Inputs!$F$148*(Inputs!$F$149*Y19+(1-Inputs!$F$149)*Y23*Inputs!$F$150/Y11)*Time!Y25/12*Inputs!$F$39</f>
        <v>5.14719655511749</v>
      </c>
      <c r="Z55" s="11" t="n">
        <f aca="false">Inputs!$F$148*(Inputs!$F$149*Z19+(1-Inputs!$F$149)*Z23*Inputs!$F$150/Z11)*Time!Z25/12*Inputs!$F$39</f>
        <v>5.20350769090502</v>
      </c>
      <c r="AA55" s="11" t="n">
        <f aca="false">Inputs!$F$148*(Inputs!$F$149*AA19+(1-Inputs!$F$149)*AA23*Inputs!$F$150/AA11)*Time!AA25/12*Inputs!$F$39</f>
        <v>5.26043487933008</v>
      </c>
      <c r="AB55" s="11" t="n">
        <f aca="false">Inputs!$F$148*(Inputs!$F$149*AB19+(1-Inputs!$F$149)*AB23*Inputs!$F$150/AB11)*Time!AB25/12*Inputs!$F$39</f>
        <v>5.31798486010493</v>
      </c>
      <c r="AC55" s="11" t="n">
        <f aca="false">Inputs!$F$148*(Inputs!$F$149*AC19+(1-Inputs!$F$149)*AC23*Inputs!$F$150/AC11)*Time!AC25/12*Inputs!$F$39</f>
        <v>5.37616444667534</v>
      </c>
      <c r="AD55" s="11" t="n">
        <f aca="false">Inputs!$F$148*(Inputs!$F$149*AD19+(1-Inputs!$F$149)*AD23*Inputs!$F$150/AD11)*Time!AD25/12*Inputs!$F$39</f>
        <v>5.43498052702724</v>
      </c>
      <c r="AE55" s="11" t="n">
        <f aca="false">Inputs!$F$148*(Inputs!$F$149*AE19+(1-Inputs!$F$149)*AE23*Inputs!$F$150/AE11)*Time!AE25/12*Inputs!$F$39</f>
        <v>5.4944400645022</v>
      </c>
      <c r="AF55" s="11" t="n">
        <f aca="false">Inputs!$F$148*(Inputs!$F$149*AF19+(1-Inputs!$F$149)*AF23*Inputs!$F$150/AF11)*Time!AF25/12*Inputs!$F$39</f>
        <v>5.55455009862183</v>
      </c>
      <c r="AG55" s="11" t="n">
        <f aca="false">Inputs!$F$148*(Inputs!$F$149*AG19+(1-Inputs!$F$149)*AG23*Inputs!$F$150/AG11)*Time!AG25/12*Inputs!$F$39</f>
        <v>5.61531774592124</v>
      </c>
      <c r="AH55" s="11" t="n">
        <f aca="false">Inputs!$F$148*(Inputs!$F$149*AH19+(1-Inputs!$F$149)*AH23*Inputs!$F$150/AH11)*Time!AH25/12*Inputs!$F$39</f>
        <v>5.67675020079151</v>
      </c>
      <c r="AI55" s="11" t="n">
        <f aca="false">Inputs!$F$148*(Inputs!$F$149*AI19+(1-Inputs!$F$149)*AI23*Inputs!$F$150/AI11)*Time!AI25/12*Inputs!$F$39</f>
        <v>5.73885473633151</v>
      </c>
      <c r="AJ55" s="11" t="n">
        <f aca="false">Inputs!$F$148*(Inputs!$F$149*AJ19+(1-Inputs!$F$149)*AJ23*Inputs!$F$150/AJ11)*Time!AJ25/12*Inputs!$F$39</f>
        <v>5.80163870520893</v>
      </c>
      <c r="AK55" s="11" t="n">
        <f aca="false">Inputs!$F$148*(Inputs!$F$149*AK19+(1-Inputs!$F$149)*AK23*Inputs!$F$150/AK11)*Time!AK25/12*Inputs!$F$39</f>
        <v>5.8651095405308</v>
      </c>
      <c r="AL55" s="11" t="n">
        <f aca="false">Inputs!$F$148*(Inputs!$F$149*AL19+(1-Inputs!$F$149)*AL23*Inputs!$F$150/AL11)*Time!AL25/12*Inputs!$F$39</f>
        <v>5.92927475672352</v>
      </c>
      <c r="AM55" s="11" t="n">
        <f aca="false">Inputs!$F$148*(Inputs!$F$149*AM19+(1-Inputs!$F$149)*AM23*Inputs!$F$150/AM11)*Time!AM25/12*Inputs!$F$39</f>
        <v>5.99414195042248</v>
      </c>
      <c r="AN55" s="11" t="n">
        <f aca="false">Inputs!$F$148*(Inputs!$F$149*AN19+(1-Inputs!$F$149)*AN23*Inputs!$F$150/AN11)*Time!AN25/12*Inputs!$F$39</f>
        <v>6.05971880137144</v>
      </c>
      <c r="AO55" s="11" t="n">
        <f aca="false">Inputs!$F$148*(Inputs!$F$149*AO19+(1-Inputs!$F$149)*AO23*Inputs!$F$150/AO11)*Time!AO25/12*Inputs!$F$39</f>
        <v>6.12601307333177</v>
      </c>
      <c r="AP55" s="11" t="n">
        <f aca="false">Inputs!$F$148*(Inputs!$F$149*AP19+(1-Inputs!$F$149)*AP23*Inputs!$F$150/AP11)*Time!AP25/12*Inputs!$F$39</f>
        <v>6.19303261500161</v>
      </c>
      <c r="AQ55" s="11" t="n">
        <f aca="false">Inputs!$F$148*(Inputs!$F$149*AQ19+(1-Inputs!$F$149)*AQ23*Inputs!$F$150/AQ11)*Time!AQ25/12*Inputs!$F$39</f>
        <v>6.26078536094507</v>
      </c>
      <c r="AR55" s="11" t="n">
        <f aca="false">Inputs!$F$148*(Inputs!$F$149*AR19+(1-Inputs!$F$149)*AR23*Inputs!$F$150/AR11)*Time!AR25/12*Inputs!$F$39</f>
        <v>6.32927933253165</v>
      </c>
      <c r="AS55" s="11" t="n">
        <f aca="false">Inputs!$F$148*(Inputs!$F$149*AS19+(1-Inputs!$F$149)*AS23*Inputs!$F$150/AS11)*Time!AS25/12*Inputs!$F$39</f>
        <v>6.39852263888586</v>
      </c>
      <c r="AT55" s="11" t="n">
        <f aca="false">Inputs!$F$148*(Inputs!$F$149*AT19+(1-Inputs!$F$149)*AT23*Inputs!$F$150/AT11)*Time!AT25/12*Inputs!$F$39</f>
        <v>6.46852347784734</v>
      </c>
      <c r="AU55" s="11" t="n">
        <f aca="false">Inputs!$F$148*(Inputs!$F$149*AU19+(1-Inputs!$F$149)*AU23*Inputs!$F$150/AU11)*Time!AU25/12*Inputs!$F$39</f>
        <v>6.53929013694135</v>
      </c>
      <c r="AV55" s="11" t="n">
        <f aca="false">Inputs!$F$148*(Inputs!$F$149*AV19+(1-Inputs!$F$149)*AV23*Inputs!$F$150/AV11)*Time!AV25/12*Inputs!$F$39</f>
        <v>6.61083099435998</v>
      </c>
      <c r="AW55" s="11" t="n">
        <f aca="false">Inputs!$F$148*(Inputs!$F$149*AW19+(1-Inputs!$F$149)*AW23*Inputs!$F$150/AW11)*Time!AW25/12*Inputs!$F$39</f>
        <v>6.68315451995406</v>
      </c>
      <c r="AX55" s="11" t="n">
        <f aca="false">Inputs!$F$148*(Inputs!$F$149*AX19+(1-Inputs!$F$149)*AX23*Inputs!$F$150/AX11)*Time!AX25/12*Inputs!$F$39</f>
        <v>6.7562692762359</v>
      </c>
      <c r="AY55" s="11" t="n">
        <f aca="false">Inputs!$F$148*(Inputs!$F$149*AY19+(1-Inputs!$F$149)*AY23*Inputs!$F$150/AY11)*Time!AY25/12*Inputs!$F$39</f>
        <v>6.83018391939305</v>
      </c>
      <c r="AZ55" s="11" t="n">
        <f aca="false">Inputs!$F$148*(Inputs!$F$149*AZ19+(1-Inputs!$F$149)*AZ23*Inputs!$F$150/AZ11)*Time!AZ25/12*Inputs!$F$39</f>
        <v>6.90490720031309</v>
      </c>
      <c r="BA55" s="11" t="n">
        <f aca="false">Inputs!$F$148*(Inputs!$F$149*BA19+(1-Inputs!$F$149)*BA23*Inputs!$F$150/BA11)*Time!BA25/12*Inputs!$F$39</f>
        <v>6.98044796561969</v>
      </c>
      <c r="BB55" s="11" t="n">
        <f aca="false">Inputs!$F$148*(Inputs!$F$149*BB19+(1-Inputs!$F$149)*BB23*Inputs!$F$150/BB11)*Time!BB25/12*Inputs!$F$39</f>
        <v>7.05681515871998</v>
      </c>
      <c r="BC55" s="11" t="n">
        <f aca="false">Inputs!$F$148*(Inputs!$F$149*BC19+(1-Inputs!$F$149)*BC23*Inputs!$F$150/BC11)*Time!BC25/12*Inputs!$F$39</f>
        <v>7.13401782086333</v>
      </c>
      <c r="BD55" s="11" t="n">
        <f aca="false">Inputs!$F$148*(Inputs!$F$149*BD19+(1-Inputs!$F$149)*BD23*Inputs!$F$150/BD11)*Time!BD25/12*Inputs!$F$39</f>
        <v>7.21206509221181</v>
      </c>
      <c r="BE55" s="11" t="n">
        <f aca="false">Inputs!$F$148*(Inputs!$F$149*BE19+(1-Inputs!$F$149)*BE23*Inputs!$F$150/BE11)*Time!BE25/12*Inputs!$F$39</f>
        <v>7.29096621292232</v>
      </c>
      <c r="BF55" s="11" t="n">
        <f aca="false">Inputs!$F$148*(Inputs!$F$149*BF19+(1-Inputs!$F$149)*BF23*Inputs!$F$150/BF11)*Time!BF25/12*Inputs!$F$39</f>
        <v>7.37073052424047</v>
      </c>
      <c r="BG55" s="11" t="n">
        <f aca="false">Inputs!$F$148*(Inputs!$F$149*BG19+(1-Inputs!$F$149)*BG23*Inputs!$F$150/BG11)*Time!BG25/12*Inputs!$F$39</f>
        <v>7.45136746960661</v>
      </c>
      <c r="BH55" s="11" t="n">
        <f aca="false">Inputs!$F$148*(Inputs!$F$149*BH19+(1-Inputs!$F$149)*BH23*Inputs!$F$150/BH11)*Time!BH25/12*Inputs!$F$39</f>
        <v>7.53288659577376</v>
      </c>
      <c r="BI55" s="11" t="n">
        <f aca="false">Inputs!$F$148*(Inputs!$F$149*BI19+(1-Inputs!$F$149)*BI23*Inputs!$F$150/BI11)*Time!BI25/12*Inputs!$F$39</f>
        <v>7.61529755393795</v>
      </c>
      <c r="BJ55" s="11" t="n">
        <f aca="false">Inputs!$F$148*(Inputs!$F$149*BJ19+(1-Inputs!$F$149)*BJ23*Inputs!$F$150/BJ11)*Time!BJ25/12*Inputs!$F$39</f>
        <v>7.69861010088078</v>
      </c>
      <c r="BK55" s="11" t="n">
        <f aca="false">Inputs!$F$148*(Inputs!$F$149*BK19+(1-Inputs!$F$149)*BK23*Inputs!$F$150/BK11)*Time!BK25/12*Inputs!$F$39</f>
        <v>7.78283410012458</v>
      </c>
      <c r="BL55" s="11" t="n">
        <f aca="false">Inputs!$F$148*(Inputs!$F$149*BL19+(1-Inputs!$F$149)*BL23*Inputs!$F$150/BL11)*Time!BL25/12*Inputs!$F$39</f>
        <v>7.86797952310016</v>
      </c>
      <c r="BM55" s="11" t="n">
        <f aca="false">Inputs!$F$148*(Inputs!$F$149*BM19+(1-Inputs!$F$149)*BM23*Inputs!$F$150/BM11)*Time!BM25/12*Inputs!$F$39</f>
        <v>5.30270430021822</v>
      </c>
      <c r="BN55" s="11" t="n">
        <f aca="false">Inputs!$F$148*(Inputs!$F$149*BN19+(1-Inputs!$F$149)*BN23*Inputs!$F$150/BN11)*Time!BN25/12*Inputs!$F$39</f>
        <v>0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4.10798363305331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0.063700261300684</v>
      </c>
      <c r="P56" s="11" t="n">
        <f aca="false">IF(Time!P25&gt;0,Inputs!$F$151*MAX(-1,MIN(1,(P28-92)/3))*P19*Time!P25/12,0)</f>
        <v>0.193191456382922</v>
      </c>
      <c r="Q56" s="11" t="n">
        <f aca="false">IF(Time!Q25&gt;0,Inputs!$F$151*MAX(-1,MIN(1,(Q28-92)/3))*Q19*Time!Q25/12,0)</f>
        <v>0.162754167623248</v>
      </c>
      <c r="R56" s="11" t="n">
        <f aca="false">IF(Time!R25&gt;0,Inputs!$F$151*MAX(-1,MIN(1,(R28-92)/3))*R19*Time!R25/12,0)</f>
        <v>0.0987208342116753</v>
      </c>
      <c r="S56" s="11" t="n">
        <f aca="false">IF(Time!S25&gt;0,Inputs!$F$151*MAX(-1,MIN(1,(S28-92)/3))*S19*Time!S25/12,0)</f>
        <v>0.133067807448768</v>
      </c>
      <c r="T56" s="11" t="n">
        <f aca="false">IF(Time!T25&gt;0,Inputs!$F$151*MAX(-1,MIN(1,(T28-92)/3))*T19*Time!T25/12,0)</f>
        <v>0.201785385128659</v>
      </c>
      <c r="U56" s="11" t="n">
        <f aca="false">IF(Time!U25&gt;0,Inputs!$F$151*MAX(-1,MIN(1,(U28-92)/3))*U19*Time!U25/12,0)</f>
        <v>0.0831082384077247</v>
      </c>
      <c r="V56" s="11" t="n">
        <f aca="false">IF(Time!V25&gt;0,Inputs!$F$151*MAX(-1,MIN(1,(V28-92)/3))*V19*Time!V25/12,0)</f>
        <v>-0.160396960578939</v>
      </c>
      <c r="W56" s="11" t="n">
        <f aca="false">IF(Time!W25&gt;0,Inputs!$F$151*MAX(-1,MIN(1,(W28-92)/3))*W19*Time!W25/12,0)</f>
        <v>-0.0386075543875879</v>
      </c>
      <c r="X56" s="11" t="n">
        <f aca="false">IF(Time!X25&gt;0,Inputs!$F$151*MAX(-1,MIN(1,(X28-92)/3))*X19*Time!X25/12,0)</f>
        <v>0.210761606200723</v>
      </c>
      <c r="Y56" s="11" t="n">
        <f aca="false">IF(Time!Y25&gt;0,Inputs!$F$151*MAX(-1,MIN(1,(Y28-92)/3))*Y19*Time!Y25/12,0)</f>
        <v>0.177556142628519</v>
      </c>
      <c r="Z56" s="11" t="n">
        <f aca="false">IF(Time!Z25&gt;0,Inputs!$F$151*MAX(-1,MIN(1,(Z28-92)/3))*Z19*Time!Z25/12,0)</f>
        <v>0.107699180768572</v>
      </c>
      <c r="AA56" s="11" t="n">
        <f aca="false">IF(Time!AA25&gt;0,Inputs!$F$151*MAX(-1,MIN(1,(AA28-92)/3))*AA19*Time!AA25/12,0)</f>
        <v>0.145169902213078</v>
      </c>
      <c r="AB56" s="11" t="n">
        <f aca="false">IF(Time!AB25&gt;0,Inputs!$F$151*MAX(-1,MIN(1,(AB28-92)/3))*AB19*Time!AB25/12,0)</f>
        <v>0.220137125490956</v>
      </c>
      <c r="AC56" s="11" t="n">
        <f aca="false">IF(Time!AC25&gt;0,Inputs!$F$151*MAX(-1,MIN(1,(AC28-92)/3))*AC19*Time!AC25/12,0)</f>
        <v>0.0123636366718148</v>
      </c>
      <c r="AD56" s="11" t="n">
        <f aca="false">IF(Time!AD25&gt;0,Inputs!$F$151*MAX(-1,MIN(1,(AD28-92)/3))*AD19*Time!AD25/12,0)</f>
        <v>-0.374966903752928</v>
      </c>
      <c r="AE56" s="11" t="n">
        <f aca="false">IF(Time!AE25&gt;0,Inputs!$F$151*MAX(-1,MIN(1,(AE28-92)/3))*AE19*Time!AE25/12,0)</f>
        <v>-0.202170186857499</v>
      </c>
      <c r="AF56" s="11" t="n">
        <f aca="false">IF(Time!AF25&gt;0,Inputs!$F$151*MAX(-1,MIN(1,(AF28-92)/3))*AF19*Time!AF25/12,0)</f>
        <v>0.229929705381295</v>
      </c>
      <c r="AG56" s="11" t="n">
        <f aca="false">IF(Time!AG25&gt;0,Inputs!$F$151*MAX(-1,MIN(1,(AG28-92)/3))*AG19*Time!AG25/12,0)</f>
        <v>0.19370431028284</v>
      </c>
      <c r="AH56" s="11" t="n">
        <f aca="false">IF(Time!AH25&gt;0,Inputs!$F$151*MAX(-1,MIN(1,(AH28-92)/3))*AH19*Time!AH25/12,0)</f>
        <v>0.117494079449845</v>
      </c>
      <c r="AI56" s="11" t="n">
        <f aca="false">IF(Time!AI25&gt;0,Inputs!$F$151*MAX(-1,MIN(1,(AI28-92)/3))*AI19*Time!AI25/12,0)</f>
        <v>0.158372644087251</v>
      </c>
      <c r="AJ56" s="11" t="n">
        <f aca="false">IF(Time!AJ25&gt;0,Inputs!$F$151*MAX(-1,MIN(1,(AJ28-92)/3))*AJ19*Time!AJ25/12,0)</f>
        <v>0.240157898395476</v>
      </c>
      <c r="AK56" s="11" t="n">
        <f aca="false">IF(Time!AK25&gt;0,Inputs!$F$151*MAX(-1,MIN(1,(AK28-92)/3))*AK19*Time!AK25/12,0)</f>
        <v>0.098912514712715</v>
      </c>
      <c r="AL56" s="11" t="n">
        <f aca="false">IF(Time!AL25&gt;0,Inputs!$F$151*MAX(-1,MIN(1,(AL28-92)/3))*AL19*Time!AL25/12,0)</f>
        <v>-0.190898845013474</v>
      </c>
      <c r="AM56" s="11" t="n">
        <f aca="false">IF(Time!AM25&gt;0,Inputs!$F$151*MAX(-1,MIN(1,(AM28-92)/3))*AM19*Time!AM25/12,0)</f>
        <v>-0.0459493591074514</v>
      </c>
      <c r="AN56" s="11" t="n">
        <f aca="false">IF(Time!AN25&gt;0,Inputs!$F$151*MAX(-1,MIN(1,(AN28-92)/3))*AN19*Time!AN25/12,0)</f>
        <v>0.250841082347701</v>
      </c>
      <c r="AO56" s="11" t="n">
        <f aca="false">IF(Time!AO25&gt;0,Inputs!$F$151*MAX(-1,MIN(1,(AO28-92)/3))*AO19*Time!AO25/12,0)</f>
        <v>0.211321102535172</v>
      </c>
      <c r="AP56" s="11" t="n">
        <f aca="false">IF(Time!AP25&gt;0,Inputs!$F$151*MAX(-1,MIN(1,(AP28-92)/3))*AP19*Time!AP25/12,0)</f>
        <v>0.128179793079678</v>
      </c>
      <c r="AQ56" s="11" t="n">
        <f aca="false">IF(Time!AQ25&gt;0,Inputs!$F$151*MAX(-1,MIN(1,(AQ28-92)/3))*AQ19*Time!AQ25/12,0)</f>
        <v>0.172776133432757</v>
      </c>
      <c r="AR56" s="11" t="n">
        <f aca="false">IF(Time!AR25&gt;0,Inputs!$F$151*MAX(-1,MIN(1,(AR28-92)/3))*AR19*Time!AR25/12,0)</f>
        <v>0.261999497054856</v>
      </c>
      <c r="AS56" s="11" t="n">
        <f aca="false">IF(Time!AS25&gt;0,Inputs!$F$151*MAX(-1,MIN(1,(AS28-92)/3))*AS19*Time!AS25/12,0)</f>
        <v>0.0147147673640244</v>
      </c>
      <c r="AT56" s="11" t="n">
        <f aca="false">IF(Time!AT25&gt;0,Inputs!$F$151*MAX(-1,MIN(1,(AT28-92)/3))*AT19*Time!AT25/12,0)</f>
        <v>-0.446272476650105</v>
      </c>
      <c r="AU56" s="11" t="n">
        <f aca="false">IF(Time!AU25&gt;0,Inputs!$F$151*MAX(-1,MIN(1,(AU28-92)/3))*AU19*Time!AU25/12,0)</f>
        <v>-0.240615875936507</v>
      </c>
      <c r="AV56" s="11" t="n">
        <f aca="false">IF(Time!AV25&gt;0,Inputs!$F$151*MAX(-1,MIN(1,(AV28-92)/3))*AV19*Time!AV25/12,0)</f>
        <v>0.273654282681844</v>
      </c>
      <c r="AW56" s="11" t="n">
        <f aca="false">IF(Time!AW25&gt;0,Inputs!$F$151*MAX(-1,MIN(1,(AW28-92)/3))*AW19*Time!AW25/12,0)</f>
        <v>0.230540086131665</v>
      </c>
      <c r="AX56" s="11" t="n">
        <f aca="false">IF(Time!AX25&gt;0,Inputs!$F$151*MAX(-1,MIN(1,(AX28-92)/3))*AX19*Time!AX25/12,0)</f>
        <v>0.139837338450426</v>
      </c>
      <c r="AY56" s="11" t="n">
        <f aca="false">IF(Time!AY25&gt;0,Inputs!$F$151*MAX(-1,MIN(1,(AY28-92)/3))*AY19*Time!AY25/12,0)</f>
        <v>0.188489574421249</v>
      </c>
      <c r="AZ56" s="11" t="n">
        <f aca="false">IF(Time!AZ25&gt;0,Inputs!$F$151*MAX(-1,MIN(1,(AZ28-92)/3))*AZ19*Time!AZ25/12,0)</f>
        <v>0.285827519792663</v>
      </c>
      <c r="BA56" s="11" t="n">
        <f aca="false">IF(Time!BA25&gt;0,Inputs!$F$151*MAX(-1,MIN(1,(BA28-92)/3))*BA19*Time!BA25/12,0)</f>
        <v>0.117722210869093</v>
      </c>
      <c r="BB56" s="11" t="n">
        <f aca="false">IF(Time!BB25&gt;0,Inputs!$F$151*MAX(-1,MIN(1,(BB28-92)/3))*BB19*Time!BB25/12,0)</f>
        <v>-0.22720111962186</v>
      </c>
      <c r="BC56" s="11" t="n">
        <f aca="false">IF(Time!BC25&gt;0,Inputs!$F$151*MAX(-1,MIN(1,(BC28-92)/3))*BC19*Time!BC25/12,0)</f>
        <v>-0.054687317958278</v>
      </c>
      <c r="BD56" s="11" t="n">
        <f aca="false">IF(Time!BD25&gt;0,Inputs!$F$151*MAX(-1,MIN(1,(BD28-92)/3))*BD19*Time!BD25/12,0)</f>
        <v>0.29854227118312</v>
      </c>
      <c r="BE56" s="11" t="n">
        <f aca="false">IF(Time!BE25&gt;0,Inputs!$F$151*MAX(-1,MIN(1,(BE28-92)/3))*BE19*Time!BE25/12,0)</f>
        <v>0.251506975290124</v>
      </c>
      <c r="BF56" s="11" t="n">
        <f aca="false">IF(Time!BF25&gt;0,Inputs!$F$151*MAX(-1,MIN(1,(BF28-92)/3))*BF19*Time!BF25/12,0)</f>
        <v>0.152555100574578</v>
      </c>
      <c r="BG56" s="11" t="n">
        <f aca="false">IF(Time!BG25&gt;0,Inputs!$F$151*MAX(-1,MIN(1,(BG28-92)/3))*BG19*Time!BG25/12,0)</f>
        <v>0.205632102997206</v>
      </c>
      <c r="BH56" s="11" t="n">
        <f aca="false">IF(Time!BH25&gt;0,Inputs!$F$151*MAX(-1,MIN(1,(BH28-92)/3))*BH19*Time!BH25/12,0)</f>
        <v>0.311822625574429</v>
      </c>
      <c r="BI56" s="11" t="n">
        <f aca="false">IF(Time!BI25&gt;0,Inputs!$F$151*MAX(-1,MIN(1,(BI28-92)/3))*BI19*Time!BI25/12,0)</f>
        <v>0.0175130007719302</v>
      </c>
      <c r="BJ56" s="11" t="n">
        <f aca="false">IF(Time!BJ25&gt;0,Inputs!$F$151*MAX(-1,MIN(1,(BJ28-92)/3))*BJ19*Time!BJ25/12,0)</f>
        <v>-0.531137872228445</v>
      </c>
      <c r="BK56" s="11" t="n">
        <f aca="false">IF(Time!BK25&gt;0,Inputs!$F$151*MAX(-1,MIN(1,(BK28-92)/3))*BK19*Time!BK25/12,0)</f>
        <v>-0.286372588622579</v>
      </c>
      <c r="BL56" s="11" t="n">
        <f aca="false">IF(Time!BL25&gt;0,Inputs!$F$151*MAX(-1,MIN(1,(BL28-92)/3))*BL19*Time!BL25/12,0)</f>
        <v>0.325693743250482</v>
      </c>
      <c r="BM56" s="11" t="n">
        <f aca="false">IF(Time!BM25&gt;0,Inputs!$F$151*MAX(-1,MIN(1,(BM28-92)/3))*BM19*Time!BM25/12,0)</f>
        <v>0.219504589179205</v>
      </c>
      <c r="BN56" s="11" t="n">
        <f aca="false">IF(Time!BN25&gt;0,Inputs!$F$151*MAX(-1,MIN(1,(BN28-92)/3))*BN19*Time!BN25/12,0)</f>
        <v>0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102.611644135199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0.513848774492185</v>
      </c>
      <c r="P57" s="11" t="n">
        <f aca="false">Inputs!$F$152*P19*Time!P25/12*Inputs!$F$39</f>
        <v>1.5584110814889</v>
      </c>
      <c r="Q57" s="11" t="n">
        <f aca="false">Inputs!$F$152*Q19*Time!Q25/12*Inputs!$F$39</f>
        <v>1.57546034259304</v>
      </c>
      <c r="R57" s="11" t="n">
        <f aca="false">Inputs!$F$152*R19*Time!R25/12*Inputs!$F$39</f>
        <v>1.59269612528166</v>
      </c>
      <c r="S57" s="11" t="n">
        <f aca="false">Inputs!$F$152*S19*Time!S25/12*Inputs!$F$39</f>
        <v>1.61012047013009</v>
      </c>
      <c r="T57" s="11" t="n">
        <f aca="false">Inputs!$F$152*T19*Time!T25/12*Inputs!$F$39</f>
        <v>1.62773544003786</v>
      </c>
      <c r="U57" s="11" t="n">
        <f aca="false">Inputs!$F$152*U19*Time!U25/12*Inputs!$F$39</f>
        <v>1.64554312047295</v>
      </c>
      <c r="V57" s="11" t="n">
        <f aca="false">Inputs!$F$152*V19*Time!V25/12*Inputs!$F$39</f>
        <v>1.66354561971869</v>
      </c>
      <c r="W57" s="11" t="n">
        <f aca="false">Inputs!$F$152*W19*Time!W25/12*Inputs!$F$39</f>
        <v>1.68174506912335</v>
      </c>
      <c r="X57" s="11" t="n">
        <f aca="false">Inputs!$F$152*X19*Time!X25/12*Inputs!$F$39</f>
        <v>1.7001436233525</v>
      </c>
      <c r="Y57" s="11" t="n">
        <f aca="false">Inputs!$F$152*Y19*Time!Y25/12*Inputs!$F$39</f>
        <v>1.71874346064407</v>
      </c>
      <c r="Z57" s="11" t="n">
        <f aca="false">Inputs!$F$152*Z19*Time!Z25/12*Inputs!$F$39</f>
        <v>1.73754678306625</v>
      </c>
      <c r="AA57" s="11" t="n">
        <f aca="false">Inputs!$F$152*AA19*Time!AA25/12*Inputs!$F$39</f>
        <v>1.75655581677823</v>
      </c>
      <c r="AB57" s="11" t="n">
        <f aca="false">Inputs!$F$152*AB19*Time!AB25/12*Inputs!$F$39</f>
        <v>1.77577281229371</v>
      </c>
      <c r="AC57" s="11" t="n">
        <f aca="false">Inputs!$F$152*AC19*Time!AC25/12*Inputs!$F$39</f>
        <v>1.79520004474736</v>
      </c>
      <c r="AD57" s="11" t="n">
        <f aca="false">Inputs!$F$152*AD19*Time!AD25/12*Inputs!$F$39</f>
        <v>1.81483981416417</v>
      </c>
      <c r="AE57" s="11" t="n">
        <f aca="false">Inputs!$F$152*AE19*Time!AE25/12*Inputs!$F$39</f>
        <v>1.8346944457318</v>
      </c>
      <c r="AF57" s="11" t="n">
        <f aca="false">Inputs!$F$152*AF19*Time!AF25/12*Inputs!$F$39</f>
        <v>1.85476629007578</v>
      </c>
      <c r="AG57" s="11" t="n">
        <f aca="false">Inputs!$F$152*AG19*Time!AG25/12*Inputs!$F$39</f>
        <v>1.8750577235379</v>
      </c>
      <c r="AH57" s="11" t="n">
        <f aca="false">Inputs!$F$152*AH19*Time!AH25/12*Inputs!$F$39</f>
        <v>1.89557114845745</v>
      </c>
      <c r="AI57" s="11" t="n">
        <f aca="false">Inputs!$F$152*AI19*Time!AI25/12*Inputs!$F$39</f>
        <v>1.91630899345573</v>
      </c>
      <c r="AJ57" s="11" t="n">
        <f aca="false">Inputs!$F$152*AJ19*Time!AJ25/12*Inputs!$F$39</f>
        <v>1.93727371372351</v>
      </c>
      <c r="AK57" s="11" t="n">
        <f aca="false">Inputs!$F$152*AK19*Time!AK25/12*Inputs!$F$39</f>
        <v>1.95846779131175</v>
      </c>
      <c r="AL57" s="11" t="n">
        <f aca="false">Inputs!$F$152*AL19*Time!AL25/12*Inputs!$F$39</f>
        <v>1.97989373542543</v>
      </c>
      <c r="AM57" s="11" t="n">
        <f aca="false">Inputs!$F$152*AM19*Time!AM25/12*Inputs!$F$39</f>
        <v>2.00155408272061</v>
      </c>
      <c r="AN57" s="11" t="n">
        <f aca="false">Inputs!$F$152*AN19*Time!AN25/12*Inputs!$F$39</f>
        <v>2.02345139760479</v>
      </c>
      <c r="AO57" s="11" t="n">
        <f aca="false">Inputs!$F$152*AO19*Time!AO25/12*Inputs!$F$39</f>
        <v>2.04558827254047</v>
      </c>
      <c r="AP57" s="11" t="n">
        <f aca="false">Inputs!$F$152*AP19*Time!AP25/12*Inputs!$F$39</f>
        <v>2.0679673283521</v>
      </c>
      <c r="AQ57" s="11" t="n">
        <f aca="false">Inputs!$F$152*AQ19*Time!AQ25/12*Inputs!$F$39</f>
        <v>2.09059121453636</v>
      </c>
      <c r="AR57" s="11" t="n">
        <f aca="false">Inputs!$F$152*AR19*Time!AR25/12*Inputs!$F$39</f>
        <v>2.11346260957584</v>
      </c>
      <c r="AS57" s="11" t="n">
        <f aca="false">Inputs!$F$152*AS19*Time!AS25/12*Inputs!$F$39</f>
        <v>2.13658422125616</v>
      </c>
      <c r="AT57" s="11" t="n">
        <f aca="false">Inputs!$F$152*AT19*Time!AT25/12*Inputs!$F$39</f>
        <v>2.15995878698651</v>
      </c>
      <c r="AU57" s="11" t="n">
        <f aca="false">Inputs!$F$152*AU19*Time!AU25/12*Inputs!$F$39</f>
        <v>2.18358907412379</v>
      </c>
      <c r="AV57" s="11" t="n">
        <f aca="false">Inputs!$F$152*AV19*Time!AV25/12*Inputs!$F$39</f>
        <v>2.20747788030021</v>
      </c>
      <c r="AW57" s="11" t="n">
        <f aca="false">Inputs!$F$152*AW19*Time!AW25/12*Inputs!$F$39</f>
        <v>2.23162803375451</v>
      </c>
      <c r="AX57" s="11" t="n">
        <f aca="false">Inputs!$F$152*AX19*Time!AX25/12*Inputs!$F$39</f>
        <v>2.25604239366682</v>
      </c>
      <c r="AY57" s="11" t="n">
        <f aca="false">Inputs!$F$152*AY19*Time!AY25/12*Inputs!$F$39</f>
        <v>2.28072385049711</v>
      </c>
      <c r="AZ57" s="11" t="n">
        <f aca="false">Inputs!$F$152*AZ19*Time!AZ25/12*Inputs!$F$39</f>
        <v>2.30567532632749</v>
      </c>
      <c r="BA57" s="11" t="n">
        <f aca="false">Inputs!$F$152*BA19*Time!BA25/12*Inputs!$F$39</f>
        <v>2.33089977520805</v>
      </c>
      <c r="BB57" s="11" t="n">
        <f aca="false">Inputs!$F$152*BB19*Time!BB25/12*Inputs!$F$39</f>
        <v>2.35640018350669</v>
      </c>
      <c r="BC57" s="11" t="n">
        <f aca="false">Inputs!$F$152*BC19*Time!BC25/12*Inputs!$F$39</f>
        <v>2.38217957026263</v>
      </c>
      <c r="BD57" s="11" t="n">
        <f aca="false">Inputs!$F$152*BD19*Time!BD25/12*Inputs!$F$39</f>
        <v>2.40824098754384</v>
      </c>
      <c r="BE57" s="11" t="n">
        <f aca="false">Inputs!$F$152*BE19*Time!BE25/12*Inputs!$F$39</f>
        <v>2.4345875208084</v>
      </c>
      <c r="BF57" s="11" t="n">
        <f aca="false">Inputs!$F$152*BF19*Time!BF25/12*Inputs!$F$39</f>
        <v>2.4612222892698</v>
      </c>
      <c r="BG57" s="11" t="n">
        <f aca="false">Inputs!$F$152*BG19*Time!BG25/12*Inputs!$F$39</f>
        <v>2.48814844626619</v>
      </c>
      <c r="BH57" s="11" t="n">
        <f aca="false">Inputs!$F$152*BH19*Time!BH25/12*Inputs!$F$39</f>
        <v>2.51536917963374</v>
      </c>
      <c r="BI57" s="11" t="n">
        <f aca="false">Inputs!$F$152*BI19*Time!BI25/12*Inputs!$F$39</f>
        <v>2.54288771208404</v>
      </c>
      <c r="BJ57" s="11" t="n">
        <f aca="false">Inputs!$F$152*BJ19*Time!BJ25/12*Inputs!$F$39</f>
        <v>2.57070730158568</v>
      </c>
      <c r="BK57" s="11" t="n">
        <f aca="false">Inputs!$F$152*BK19*Time!BK25/12*Inputs!$F$39</f>
        <v>2.59883124174989</v>
      </c>
      <c r="BL57" s="11" t="n">
        <f aca="false">Inputs!$F$152*BL19*Time!BL25/12*Inputs!$F$39</f>
        <v>2.62726286222056</v>
      </c>
      <c r="BM57" s="11" t="n">
        <f aca="false">Inputs!$F$152*BM19*Time!BM25/12*Inputs!$F$39</f>
        <v>1.77067035271226</v>
      </c>
      <c r="BN57" s="11" t="n">
        <f aca="false">Inputs!$F$152*BN19*Time!BN25/12*Inputs!$F$39</f>
        <v>0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2813</v>
      </c>
      <c r="P58" s="13" t="n">
        <f aca="false">IF(P27&gt;0,2*(Inputs!$F$127*P28/P27+Inputs!$F$128*Inputs!$F$129)*Time!P25/12,0)</f>
        <v>8439</v>
      </c>
      <c r="Q58" s="13" t="n">
        <f aca="false">IF(Q27&gt;0,2*(Inputs!$F$127*Q28/Q27+Inputs!$F$128*Inputs!$F$129)*Time!Q25/12,0)</f>
        <v>8439</v>
      </c>
      <c r="R58" s="13" t="n">
        <f aca="false">IF(R27&gt;0,2*(Inputs!$F$127*R28/R27+Inputs!$F$128*Inputs!$F$129)*Time!R25/12,0)</f>
        <v>8439</v>
      </c>
      <c r="S58" s="13" t="n">
        <f aca="false">IF(S27&gt;0,2*(Inputs!$F$127*S28/S27+Inputs!$F$128*Inputs!$F$129)*Time!S25/12,0)</f>
        <v>8439</v>
      </c>
      <c r="T58" s="13" t="n">
        <f aca="false">IF(T27&gt;0,2*(Inputs!$F$127*T28/T27+Inputs!$F$128*Inputs!$F$129)*Time!T25/12,0)</f>
        <v>8439</v>
      </c>
      <c r="U58" s="13" t="n">
        <f aca="false">IF(U27&gt;0,2*(Inputs!$F$127*U28/U27+Inputs!$F$128*Inputs!$F$129)*Time!U25/12,0)</f>
        <v>8439</v>
      </c>
      <c r="V58" s="13" t="n">
        <f aca="false">IF(V27&gt;0,2*(Inputs!$F$127*V28/V27+Inputs!$F$128*Inputs!$F$129)*Time!V25/12,0)</f>
        <v>8439</v>
      </c>
      <c r="W58" s="13" t="n">
        <f aca="false">IF(W27&gt;0,2*(Inputs!$F$127*W28/W27+Inputs!$F$128*Inputs!$F$129)*Time!W25/12,0)</f>
        <v>8439</v>
      </c>
      <c r="X58" s="13" t="n">
        <f aca="false">IF(X27&gt;0,2*(Inputs!$F$127*X28/X27+Inputs!$F$128*Inputs!$F$129)*Time!X25/12,0)</f>
        <v>8439</v>
      </c>
      <c r="Y58" s="13" t="n">
        <f aca="false">IF(Y27&gt;0,2*(Inputs!$F$127*Y28/Y27+Inputs!$F$128*Inputs!$F$129)*Time!Y25/12,0)</f>
        <v>8439</v>
      </c>
      <c r="Z58" s="13" t="n">
        <f aca="false">IF(Z27&gt;0,2*(Inputs!$F$127*Z28/Z27+Inputs!$F$128*Inputs!$F$129)*Time!Z25/12,0)</f>
        <v>8439</v>
      </c>
      <c r="AA58" s="13" t="n">
        <f aca="false">IF(AA27&gt;0,2*(Inputs!$F$127*AA28/AA27+Inputs!$F$128*Inputs!$F$129)*Time!AA25/12,0)</f>
        <v>8439</v>
      </c>
      <c r="AB58" s="13" t="n">
        <f aca="false">IF(AB27&gt;0,2*(Inputs!$F$127*AB28/AB27+Inputs!$F$128*Inputs!$F$129)*Time!AB25/12,0)</f>
        <v>8439</v>
      </c>
      <c r="AC58" s="13" t="n">
        <f aca="false">IF(AC27&gt;0,2*(Inputs!$F$127*AC28/AC27+Inputs!$F$128*Inputs!$F$129)*Time!AC25/12,0)</f>
        <v>8439</v>
      </c>
      <c r="AD58" s="13" t="n">
        <f aca="false">IF(AD27&gt;0,2*(Inputs!$F$127*AD28/AD27+Inputs!$F$128*Inputs!$F$129)*Time!AD25/12,0)</f>
        <v>8439</v>
      </c>
      <c r="AE58" s="13" t="n">
        <f aca="false">IF(AE27&gt;0,2*(Inputs!$F$127*AE28/AE27+Inputs!$F$128*Inputs!$F$129)*Time!AE25/12,0)</f>
        <v>8439</v>
      </c>
      <c r="AF58" s="13" t="n">
        <f aca="false">IF(AF27&gt;0,2*(Inputs!$F$127*AF28/AF27+Inputs!$F$128*Inputs!$F$129)*Time!AF25/12,0)</f>
        <v>8439</v>
      </c>
      <c r="AG58" s="13" t="n">
        <f aca="false">IF(AG27&gt;0,2*(Inputs!$F$127*AG28/AG27+Inputs!$F$128*Inputs!$F$129)*Time!AG25/12,0)</f>
        <v>8439</v>
      </c>
      <c r="AH58" s="13" t="n">
        <f aca="false">IF(AH27&gt;0,2*(Inputs!$F$127*AH28/AH27+Inputs!$F$128*Inputs!$F$129)*Time!AH25/12,0)</f>
        <v>8439</v>
      </c>
      <c r="AI58" s="13" t="n">
        <f aca="false">IF(AI27&gt;0,2*(Inputs!$F$127*AI28/AI27+Inputs!$F$128*Inputs!$F$129)*Time!AI25/12,0)</f>
        <v>8439</v>
      </c>
      <c r="AJ58" s="13" t="n">
        <f aca="false">IF(AJ27&gt;0,2*(Inputs!$F$127*AJ28/AJ27+Inputs!$F$128*Inputs!$F$129)*Time!AJ25/12,0)</f>
        <v>8439</v>
      </c>
      <c r="AK58" s="13" t="n">
        <f aca="false">IF(AK27&gt;0,2*(Inputs!$F$127*AK28/AK27+Inputs!$F$128*Inputs!$F$129)*Time!AK25/12,0)</f>
        <v>8439</v>
      </c>
      <c r="AL58" s="13" t="n">
        <f aca="false">IF(AL27&gt;0,2*(Inputs!$F$127*AL28/AL27+Inputs!$F$128*Inputs!$F$129)*Time!AL25/12,0)</f>
        <v>8439</v>
      </c>
      <c r="AM58" s="13" t="n">
        <f aca="false">IF(AM27&gt;0,2*(Inputs!$F$127*AM28/AM27+Inputs!$F$128*Inputs!$F$129)*Time!AM25/12,0)</f>
        <v>8439</v>
      </c>
      <c r="AN58" s="13" t="n">
        <f aca="false">IF(AN27&gt;0,2*(Inputs!$F$127*AN28/AN27+Inputs!$F$128*Inputs!$F$129)*Time!AN25/12,0)</f>
        <v>8439</v>
      </c>
      <c r="AO58" s="13" t="n">
        <f aca="false">IF(AO27&gt;0,2*(Inputs!$F$127*AO28/AO27+Inputs!$F$128*Inputs!$F$129)*Time!AO25/12,0)</f>
        <v>8439</v>
      </c>
      <c r="AP58" s="13" t="n">
        <f aca="false">IF(AP27&gt;0,2*(Inputs!$F$127*AP28/AP27+Inputs!$F$128*Inputs!$F$129)*Time!AP25/12,0)</f>
        <v>8439</v>
      </c>
      <c r="AQ58" s="13" t="n">
        <f aca="false">IF(AQ27&gt;0,2*(Inputs!$F$127*AQ28/AQ27+Inputs!$F$128*Inputs!$F$129)*Time!AQ25/12,0)</f>
        <v>8439</v>
      </c>
      <c r="AR58" s="13" t="n">
        <f aca="false">IF(AR27&gt;0,2*(Inputs!$F$127*AR28/AR27+Inputs!$F$128*Inputs!$F$129)*Time!AR25/12,0)</f>
        <v>8439</v>
      </c>
      <c r="AS58" s="13" t="n">
        <f aca="false">IF(AS27&gt;0,2*(Inputs!$F$127*AS28/AS27+Inputs!$F$128*Inputs!$F$129)*Time!AS25/12,0)</f>
        <v>8439</v>
      </c>
      <c r="AT58" s="13" t="n">
        <f aca="false">IF(AT27&gt;0,2*(Inputs!$F$127*AT28/AT27+Inputs!$F$128*Inputs!$F$129)*Time!AT25/12,0)</f>
        <v>8439</v>
      </c>
      <c r="AU58" s="13" t="n">
        <f aca="false">IF(AU27&gt;0,2*(Inputs!$F$127*AU28/AU27+Inputs!$F$128*Inputs!$F$129)*Time!AU25/12,0)</f>
        <v>8439</v>
      </c>
      <c r="AV58" s="13" t="n">
        <f aca="false">IF(AV27&gt;0,2*(Inputs!$F$127*AV28/AV27+Inputs!$F$128*Inputs!$F$129)*Time!AV25/12,0)</f>
        <v>8439</v>
      </c>
      <c r="AW58" s="13" t="n">
        <f aca="false">IF(AW27&gt;0,2*(Inputs!$F$127*AW28/AW27+Inputs!$F$128*Inputs!$F$129)*Time!AW25/12,0)</f>
        <v>8439</v>
      </c>
      <c r="AX58" s="13" t="n">
        <f aca="false">IF(AX27&gt;0,2*(Inputs!$F$127*AX28/AX27+Inputs!$F$128*Inputs!$F$129)*Time!AX25/12,0)</f>
        <v>8439</v>
      </c>
      <c r="AY58" s="13" t="n">
        <f aca="false">IF(AY27&gt;0,2*(Inputs!$F$127*AY28/AY27+Inputs!$F$128*Inputs!$F$129)*Time!AY25/12,0)</f>
        <v>8439</v>
      </c>
      <c r="AZ58" s="13" t="n">
        <f aca="false">IF(AZ27&gt;0,2*(Inputs!$F$127*AZ28/AZ27+Inputs!$F$128*Inputs!$F$129)*Time!AZ25/12,0)</f>
        <v>8439</v>
      </c>
      <c r="BA58" s="13" t="n">
        <f aca="false">IF(BA27&gt;0,2*(Inputs!$F$127*BA28/BA27+Inputs!$F$128*Inputs!$F$129)*Time!BA25/12,0)</f>
        <v>8439</v>
      </c>
      <c r="BB58" s="13" t="n">
        <f aca="false">IF(BB27&gt;0,2*(Inputs!$F$127*BB28/BB27+Inputs!$F$128*Inputs!$F$129)*Time!BB25/12,0)</f>
        <v>8439</v>
      </c>
      <c r="BC58" s="13" t="n">
        <f aca="false">IF(BC27&gt;0,2*(Inputs!$F$127*BC28/BC27+Inputs!$F$128*Inputs!$F$129)*Time!BC25/12,0)</f>
        <v>8439</v>
      </c>
      <c r="BD58" s="13" t="n">
        <f aca="false">IF(BD27&gt;0,2*(Inputs!$F$127*BD28/BD27+Inputs!$F$128*Inputs!$F$129)*Time!BD25/12,0)</f>
        <v>8439</v>
      </c>
      <c r="BE58" s="13" t="n">
        <f aca="false">IF(BE27&gt;0,2*(Inputs!$F$127*BE28/BE27+Inputs!$F$128*Inputs!$F$129)*Time!BE25/12,0)</f>
        <v>8439</v>
      </c>
      <c r="BF58" s="13" t="n">
        <f aca="false">IF(BF27&gt;0,2*(Inputs!$F$127*BF28/BF27+Inputs!$F$128*Inputs!$F$129)*Time!BF25/12,0)</f>
        <v>8439</v>
      </c>
      <c r="BG58" s="13" t="n">
        <f aca="false">IF(BG27&gt;0,2*(Inputs!$F$127*BG28/BG27+Inputs!$F$128*Inputs!$F$129)*Time!BG25/12,0)</f>
        <v>8439</v>
      </c>
      <c r="BH58" s="13" t="n">
        <f aca="false">IF(BH27&gt;0,2*(Inputs!$F$127*BH28/BH27+Inputs!$F$128*Inputs!$F$129)*Time!BH25/12,0)</f>
        <v>8439</v>
      </c>
      <c r="BI58" s="13" t="n">
        <f aca="false">IF(BI27&gt;0,2*(Inputs!$F$127*BI28/BI27+Inputs!$F$128*Inputs!$F$129)*Time!BI25/12,0)</f>
        <v>8439</v>
      </c>
      <c r="BJ58" s="13" t="n">
        <f aca="false">IF(BJ27&gt;0,2*(Inputs!$F$127*BJ28/BJ27+Inputs!$F$128*Inputs!$F$129)*Time!BJ25/12,0)</f>
        <v>8439</v>
      </c>
      <c r="BK58" s="13" t="n">
        <f aca="false">IF(BK27&gt;0,2*(Inputs!$F$127*BK28/BK27+Inputs!$F$128*Inputs!$F$129)*Time!BK25/12,0)</f>
        <v>8439</v>
      </c>
      <c r="BL58" s="13" t="n">
        <f aca="false">IF(BL27&gt;0,2*(Inputs!$F$127*BL28/BL27+Inputs!$F$128*Inputs!$F$129)*Time!BL25/12,0)</f>
        <v>8439</v>
      </c>
      <c r="BM58" s="13" t="n">
        <f aca="false">IF(BM27&gt;0,2*(Inputs!$F$127*BM28/BM27+Inputs!$F$128*Inputs!$F$129)*Time!BM25/12,0)</f>
        <v>5626</v>
      </c>
      <c r="BN58" s="13" t="n">
        <f aca="false">IF(BN27&gt;0,2*(Inputs!$F$127*BN28/BN27+Inputs!$F$128*Inputs!$F$129)*Time!BN25/12,0)</f>
        <v>0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289.839309311622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1.45142956381448</v>
      </c>
      <c r="P59" s="11" t="n">
        <f aca="false">P58*Inputs!$F$153*P19/1000000</f>
        <v>4.40192529112179</v>
      </c>
      <c r="Q59" s="11" t="n">
        <f aca="false">Q58*Inputs!$F$153*Q19/1000000</f>
        <v>4.45008304265519</v>
      </c>
      <c r="R59" s="11" t="n">
        <f aca="false">R58*Inputs!$F$153*R19/1000000</f>
        <v>4.49876764752647</v>
      </c>
      <c r="S59" s="11" t="n">
        <f aca="false">S58*Inputs!$F$153*S19/1000000</f>
        <v>4.5479848695936</v>
      </c>
      <c r="T59" s="11" t="n">
        <f aca="false">T58*Inputs!$F$153*T19/1000000</f>
        <v>4.59774053577205</v>
      </c>
      <c r="U59" s="11" t="n">
        <f aca="false">U58*Inputs!$F$153*U19/1000000</f>
        <v>4.64804053672466</v>
      </c>
      <c r="V59" s="11" t="n">
        <f aca="false">V58*Inputs!$F$153*V19/1000000</f>
        <v>4.69889082755904</v>
      </c>
      <c r="W59" s="11" t="n">
        <f aca="false">W58*Inputs!$F$153*W19/1000000</f>
        <v>4.7502974285326</v>
      </c>
      <c r="X59" s="11" t="n">
        <f aca="false">X58*Inputs!$F$153*X19/1000000</f>
        <v>4.80226642576533</v>
      </c>
      <c r="Y59" s="11" t="n">
        <f aca="false">Y58*Inputs!$F$153*Y19/1000000</f>
        <v>4.85480397196032</v>
      </c>
      <c r="Z59" s="11" t="n">
        <f aca="false">Z58*Inputs!$F$153*Z19/1000000</f>
        <v>4.90791628713217</v>
      </c>
      <c r="AA59" s="11" t="n">
        <f aca="false">AA58*Inputs!$F$153*AA19/1000000</f>
        <v>4.96160965934344</v>
      </c>
      <c r="AB59" s="11" t="n">
        <f aca="false">AB58*Inputs!$F$153*AB19/1000000</f>
        <v>5.01589044544908</v>
      </c>
      <c r="AC59" s="11" t="n">
        <f aca="false">AC58*Inputs!$F$153*AC19/1000000</f>
        <v>5.070765071849</v>
      </c>
      <c r="AD59" s="11" t="n">
        <f aca="false">AD58*Inputs!$F$153*AD19/1000000</f>
        <v>5.12624003524895</v>
      </c>
      <c r="AE59" s="11" t="n">
        <f aca="false">AE58*Inputs!$F$153*AE19/1000000</f>
        <v>5.18232190342967</v>
      </c>
      <c r="AF59" s="11" t="n">
        <f aca="false">AF58*Inputs!$F$153*AF19/1000000</f>
        <v>5.23901731602443</v>
      </c>
      <c r="AG59" s="11" t="n">
        <f aca="false">AG58*Inputs!$F$153*AG19/1000000</f>
        <v>5.29633298530513</v>
      </c>
      <c r="AH59" s="11" t="n">
        <f aca="false">AH58*Inputs!$F$153*AH19/1000000</f>
        <v>5.35427569697697</v>
      </c>
      <c r="AI59" s="11" t="n">
        <f aca="false">AI58*Inputs!$F$153*AI19/1000000</f>
        <v>5.41285231098184</v>
      </c>
      <c r="AJ59" s="11" t="n">
        <f aca="false">AJ58*Inputs!$F$153*AJ19/1000000</f>
        <v>5.47206976231046</v>
      </c>
      <c r="AK59" s="11" t="n">
        <f aca="false">AK58*Inputs!$F$153*AK19/1000000</f>
        <v>5.53193506182344</v>
      </c>
      <c r="AL59" s="11" t="n">
        <f aca="false">AL58*Inputs!$F$153*AL19/1000000</f>
        <v>5.59245529708129</v>
      </c>
      <c r="AM59" s="11" t="n">
        <f aca="false">AM58*Inputs!$F$153*AM19/1000000</f>
        <v>5.65363763318355</v>
      </c>
      <c r="AN59" s="11" t="n">
        <f aca="false">AN58*Inputs!$F$153*AN19/1000000</f>
        <v>5.71548931361708</v>
      </c>
      <c r="AO59" s="11" t="n">
        <f aca="false">AO58*Inputs!$F$153*AO19/1000000</f>
        <v>5.77801766111359</v>
      </c>
      <c r="AP59" s="11" t="n">
        <f aca="false">AP58*Inputs!$F$153*AP19/1000000</f>
        <v>5.84123007851665</v>
      </c>
      <c r="AQ59" s="11" t="n">
        <f aca="false">AQ58*Inputs!$F$153*AQ19/1000000</f>
        <v>5.90513404965809</v>
      </c>
      <c r="AR59" s="11" t="n">
        <f aca="false">AR58*Inputs!$F$153*AR19/1000000</f>
        <v>5.96973714024402</v>
      </c>
      <c r="AS59" s="11" t="n">
        <f aca="false">AS58*Inputs!$F$153*AS19/1000000</f>
        <v>6.03504699875056</v>
      </c>
      <c r="AT59" s="11" t="n">
        <f aca="false">AT58*Inputs!$F$153*AT19/1000000</f>
        <v>6.10107135732938</v>
      </c>
      <c r="AU59" s="11" t="n">
        <f aca="false">AU58*Inputs!$F$153*AU19/1000000</f>
        <v>6.16781803272308</v>
      </c>
      <c r="AV59" s="11" t="n">
        <f aca="false">AV58*Inputs!$F$153*AV19/1000000</f>
        <v>6.23529492719063</v>
      </c>
      <c r="AW59" s="11" t="n">
        <f aca="false">AW58*Inputs!$F$153*AW19/1000000</f>
        <v>6.30351002944298</v>
      </c>
      <c r="AX59" s="11" t="n">
        <f aca="false">AX58*Inputs!$F$153*AX19/1000000</f>
        <v>6.37247141558882</v>
      </c>
      <c r="AY59" s="11" t="n">
        <f aca="false">AY58*Inputs!$F$153*AY19/1000000</f>
        <v>6.44218725009073</v>
      </c>
      <c r="AZ59" s="11" t="n">
        <f aca="false">AZ58*Inputs!$F$153*AZ19/1000000</f>
        <v>6.51266578673177</v>
      </c>
      <c r="BA59" s="11" t="n">
        <f aca="false">BA58*Inputs!$F$153*BA19/1000000</f>
        <v>6.58391536959272</v>
      </c>
      <c r="BB59" s="11" t="n">
        <f aca="false">BB58*Inputs!$F$153*BB19/1000000</f>
        <v>6.65594443403987</v>
      </c>
      <c r="BC59" s="11" t="n">
        <f aca="false">BC58*Inputs!$F$153*BC19/1000000</f>
        <v>6.72876150772376</v>
      </c>
      <c r="BD59" s="11" t="n">
        <f aca="false">BD58*Inputs!$F$153*BD19/1000000</f>
        <v>6.80237521158875</v>
      </c>
      <c r="BE59" s="11" t="n">
        <f aca="false">BE58*Inputs!$F$153*BE19/1000000</f>
        <v>6.87679426089368</v>
      </c>
      <c r="BF59" s="11" t="n">
        <f aca="false">BF58*Inputs!$F$153*BF19/1000000</f>
        <v>6.9520274662437</v>
      </c>
      <c r="BG59" s="11" t="n">
        <f aca="false">BG58*Inputs!$F$153*BG19/1000000</f>
        <v>7.02808373463334</v>
      </c>
      <c r="BH59" s="11" t="n">
        <f aca="false">BH58*Inputs!$F$153*BH19/1000000</f>
        <v>7.10497207050106</v>
      </c>
      <c r="BI59" s="11" t="n">
        <f aca="false">BI58*Inputs!$F$153*BI19/1000000</f>
        <v>7.18270157679527</v>
      </c>
      <c r="BJ59" s="11" t="n">
        <f aca="false">BJ58*Inputs!$F$153*BJ19/1000000</f>
        <v>7.26128145605208</v>
      </c>
      <c r="BK59" s="11" t="n">
        <f aca="false">BK58*Inputs!$F$153*BK19/1000000</f>
        <v>7.34072101148476</v>
      </c>
      <c r="BL59" s="11" t="n">
        <f aca="false">BL58*Inputs!$F$153*BL19/1000000</f>
        <v>7.42102964808522</v>
      </c>
      <c r="BM59" s="11" t="n">
        <f aca="false">BM58*Inputs!$F$153*BM19/1000000</f>
        <v>5.00147791582495</v>
      </c>
      <c r="BN59" s="11" t="n">
        <f aca="false">BN58*Inputs!$F$153*BN19/1000000</f>
        <v>0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169.853365481371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0.850575433534413</v>
      </c>
      <c r="P60" s="11" t="n">
        <f aca="false">Inputs!$F$154*P19*Time!P25/12*(1+Inputs!$F$155*Inputs!$F$45*IF(Time!P17&gt;=9,1,0))*Inputs!$F$39</f>
        <v>2.5796425856464</v>
      </c>
      <c r="Q60" s="11" t="n">
        <f aca="false">Inputs!$F$154*Q19*Time!Q25/12*(1+Inputs!$F$155*Inputs!$F$45*IF(Time!Q17&gt;=9,1,0))*Inputs!$F$39</f>
        <v>2.60786427921651</v>
      </c>
      <c r="R60" s="11" t="n">
        <f aca="false">Inputs!$F$154*R19*Time!R25/12*(1+Inputs!$F$155*Inputs!$F$45*IF(Time!R17&gt;=9,1,0))*Inputs!$F$39</f>
        <v>2.63639472253063</v>
      </c>
      <c r="S60" s="11" t="n">
        <f aca="false">Inputs!$F$154*S19*Time!S25/12*(1+Inputs!$F$155*Inputs!$F$45*IF(Time!S17&gt;=9,1,0))*Inputs!$F$39</f>
        <v>2.66523729335927</v>
      </c>
      <c r="T60" s="11" t="n">
        <f aca="false">Inputs!$F$154*T19*Time!T25/12*(1+Inputs!$F$155*Inputs!$F$45*IF(Time!T17&gt;=9,1,0))*Inputs!$F$39</f>
        <v>2.6943954064263</v>
      </c>
      <c r="U60" s="11" t="n">
        <f aca="false">Inputs!$F$154*U19*Time!U25/12*(1+Inputs!$F$155*Inputs!$F$45*IF(Time!U17&gt;=9,1,0))*Inputs!$F$39</f>
        <v>2.72387251381317</v>
      </c>
      <c r="V60" s="11" t="n">
        <f aca="false">Inputs!$F$154*V19*Time!V25/12*(1+Inputs!$F$155*Inputs!$F$45*IF(Time!V17&gt;=9,1,0))*Inputs!$F$39</f>
        <v>2.75367210536768</v>
      </c>
      <c r="W60" s="11" t="n">
        <f aca="false">Inputs!$F$154*W19*Time!W25/12*(1+Inputs!$F$155*Inputs!$F$45*IF(Time!W17&gt;=9,1,0))*Inputs!$F$39</f>
        <v>2.78379770911706</v>
      </c>
      <c r="X60" s="11" t="n">
        <f aca="false">Inputs!$F$154*X19*Time!X25/12*(1+Inputs!$F$155*Inputs!$F$45*IF(Time!X17&gt;=9,1,0))*Inputs!$F$39</f>
        <v>2.81425289168576</v>
      </c>
      <c r="Y60" s="11" t="n">
        <f aca="false">Inputs!$F$154*Y19*Time!Y25/12*(1+Inputs!$F$155*Inputs!$F$45*IF(Time!Y17&gt;=9,1,0))*Inputs!$F$39</f>
        <v>2.84504125871764</v>
      </c>
      <c r="Z60" s="11" t="n">
        <f aca="false">Inputs!$F$154*Z19*Time!Z25/12*(1+Inputs!$F$155*Inputs!$F$45*IF(Time!Z17&gt;=9,1,0))*Inputs!$F$39</f>
        <v>2.87616645530285</v>
      </c>
      <c r="AA60" s="11" t="n">
        <f aca="false">Inputs!$F$154*AA19*Time!AA25/12*(1+Inputs!$F$155*Inputs!$F$45*IF(Time!AA17&gt;=9,1,0))*Inputs!$F$39</f>
        <v>2.90763216640943</v>
      </c>
      <c r="AB60" s="11" t="n">
        <f aca="false">Inputs!$F$154*AB19*Time!AB25/12*(1+Inputs!$F$155*Inputs!$F$45*IF(Time!AB17&gt;=9,1,0))*Inputs!$F$39</f>
        <v>2.93944211731951</v>
      </c>
      <c r="AC60" s="11" t="n">
        <f aca="false">Inputs!$F$154*AC19*Time!AC25/12*(1+Inputs!$F$155*Inputs!$F$45*IF(Time!AC17&gt;=9,1,0))*Inputs!$F$39</f>
        <v>2.97160007407043</v>
      </c>
      <c r="AD60" s="11" t="n">
        <f aca="false">Inputs!$F$154*AD19*Time!AD25/12*(1+Inputs!$F$155*Inputs!$F$45*IF(Time!AD17&gt;=9,1,0))*Inputs!$F$39</f>
        <v>3.00410984390054</v>
      </c>
      <c r="AE60" s="11" t="n">
        <f aca="false">Inputs!$F$154*AE19*Time!AE25/12*(1+Inputs!$F$155*Inputs!$F$45*IF(Time!AE17&gt;=9,1,0))*Inputs!$F$39</f>
        <v>3.03697527569998</v>
      </c>
      <c r="AF60" s="11" t="n">
        <f aca="false">Inputs!$F$154*AF19*Time!AF25/12*(1+Inputs!$F$155*Inputs!$F$45*IF(Time!AF17&gt;=9,1,0))*Inputs!$F$39</f>
        <v>3.07020026046635</v>
      </c>
      <c r="AG60" s="11" t="n">
        <f aca="false">Inputs!$F$154*AG19*Time!AG25/12*(1+Inputs!$F$155*Inputs!$F$45*IF(Time!AG17&gt;=9,1,0))*Inputs!$F$39</f>
        <v>3.10378873176538</v>
      </c>
      <c r="AH60" s="11" t="n">
        <f aca="false">Inputs!$F$154*AH19*Time!AH25/12*(1+Inputs!$F$155*Inputs!$F$45*IF(Time!AH17&gt;=9,1,0))*Inputs!$F$39</f>
        <v>3.13774466619661</v>
      </c>
      <c r="AI60" s="11" t="n">
        <f aca="false">Inputs!$F$154*AI19*Time!AI25/12*(1+Inputs!$F$155*Inputs!$F$45*IF(Time!AI17&gt;=9,1,0))*Inputs!$F$39</f>
        <v>3.17207208386422</v>
      </c>
      <c r="AJ60" s="11" t="n">
        <f aca="false">Inputs!$F$154*AJ19*Time!AJ25/12*(1+Inputs!$F$155*Inputs!$F$45*IF(Time!AJ17&gt;=9,1,0))*Inputs!$F$39</f>
        <v>3.20677504885294</v>
      </c>
      <c r="AK60" s="11" t="n">
        <f aca="false">Inputs!$F$154*AK19*Time!AK25/12*(1+Inputs!$F$155*Inputs!$F$45*IF(Time!AK17&gt;=9,1,0))*Inputs!$F$39</f>
        <v>3.24185766970923</v>
      </c>
      <c r="AL60" s="11" t="n">
        <f aca="false">Inputs!$F$154*AL19*Time!AL25/12*(1+Inputs!$F$155*Inputs!$F$45*IF(Time!AL17&gt;=9,1,0))*Inputs!$F$39</f>
        <v>3.2773240999277</v>
      </c>
      <c r="AM60" s="11" t="n">
        <f aca="false">Inputs!$F$154*AM19*Time!AM25/12*(1+Inputs!$F$155*Inputs!$F$45*IF(Time!AM17&gt;=9,1,0))*Inputs!$F$39</f>
        <v>3.31317853844283</v>
      </c>
      <c r="AN60" s="11" t="n">
        <f aca="false">Inputs!$F$154*AN19*Time!AN25/12*(1+Inputs!$F$155*Inputs!$F$45*IF(Time!AN17&gt;=9,1,0))*Inputs!$F$39</f>
        <v>3.34942523012611</v>
      </c>
      <c r="AO60" s="11" t="n">
        <f aca="false">Inputs!$F$154*AO19*Time!AO25/12*(1+Inputs!$F$155*Inputs!$F$45*IF(Time!AO17&gt;=9,1,0))*Inputs!$F$39</f>
        <v>3.38606846628857</v>
      </c>
      <c r="AP60" s="11" t="n">
        <f aca="false">Inputs!$F$154*AP19*Time!AP25/12*(1+Inputs!$F$155*Inputs!$F$45*IF(Time!AP17&gt;=9,1,0))*Inputs!$F$39</f>
        <v>3.42311258518888</v>
      </c>
      <c r="AQ60" s="11" t="n">
        <f aca="false">Inputs!$F$154*AQ19*Time!AQ25/12*(1+Inputs!$F$155*Inputs!$F$45*IF(Time!AQ17&gt;=9,1,0))*Inputs!$F$39</f>
        <v>3.46056197254692</v>
      </c>
      <c r="AR60" s="11" t="n">
        <f aca="false">Inputs!$F$154*AR19*Time!AR25/12*(1+Inputs!$F$155*Inputs!$F$45*IF(Time!AR17&gt;=9,1,0))*Inputs!$F$39</f>
        <v>3.49842106206304</v>
      </c>
      <c r="AS60" s="11" t="n">
        <f aca="false">Inputs!$F$154*AS19*Time!AS25/12*(1+Inputs!$F$155*Inputs!$F$45*IF(Time!AS17&gt;=9,1,0))*Inputs!$F$39</f>
        <v>3.53669433594295</v>
      </c>
      <c r="AT60" s="11" t="n">
        <f aca="false">Inputs!$F$154*AT19*Time!AT25/12*(1+Inputs!$F$155*Inputs!$F$45*IF(Time!AT17&gt;=9,1,0))*Inputs!$F$39</f>
        <v>3.57538632542843</v>
      </c>
      <c r="AU60" s="11" t="n">
        <f aca="false">Inputs!$F$154*AU19*Time!AU25/12*(1+Inputs!$F$155*Inputs!$F$45*IF(Time!AU17&gt;=9,1,0))*Inputs!$F$39</f>
        <v>3.6145016113337</v>
      </c>
      <c r="AV60" s="11" t="n">
        <f aca="false">Inputs!$F$154*AV19*Time!AV25/12*(1+Inputs!$F$155*Inputs!$F$45*IF(Time!AV17&gt;=9,1,0))*Inputs!$F$39</f>
        <v>3.65404482458785</v>
      </c>
      <c r="AW60" s="11" t="n">
        <f aca="false">Inputs!$F$154*AW19*Time!AW25/12*(1+Inputs!$F$155*Inputs!$F$45*IF(Time!AW17&gt;=9,1,0))*Inputs!$F$39</f>
        <v>3.69402064678304</v>
      </c>
      <c r="AX60" s="11" t="n">
        <f aca="false">Inputs!$F$154*AX19*Time!AX25/12*(1+Inputs!$F$155*Inputs!$F$45*IF(Time!AX17&gt;=9,1,0))*Inputs!$F$39</f>
        <v>3.73443381072878</v>
      </c>
      <c r="AY60" s="11" t="n">
        <f aca="false">Inputs!$F$154*AY19*Time!AY25/12*(1+Inputs!$F$155*Inputs!$F$45*IF(Time!AY17&gt;=9,1,0))*Inputs!$F$39</f>
        <v>3.77528910101227</v>
      </c>
      <c r="AZ60" s="11" t="n">
        <f aca="false">Inputs!$F$154*AZ19*Time!AZ25/12*(1+Inputs!$F$155*Inputs!$F$45*IF(Time!AZ17&gt;=9,1,0))*Inputs!$F$39</f>
        <v>3.81659135456481</v>
      </c>
      <c r="BA60" s="11" t="n">
        <f aca="false">Inputs!$F$154*BA19*Time!BA25/12*(1+Inputs!$F$155*Inputs!$F$45*IF(Time!BA17&gt;=9,1,0))*Inputs!$F$39</f>
        <v>3.85834546123453</v>
      </c>
      <c r="BB60" s="11" t="n">
        <f aca="false">Inputs!$F$154*BB19*Time!BB25/12*(1+Inputs!$F$155*Inputs!$F$45*IF(Time!BB17&gt;=9,1,0))*Inputs!$F$39</f>
        <v>3.90055636436524</v>
      </c>
      <c r="BC60" s="11" t="n">
        <f aca="false">Inputs!$F$154*BC19*Time!BC25/12*(1+Inputs!$F$155*Inputs!$F$45*IF(Time!BC17&gt;=9,1,0))*Inputs!$F$39</f>
        <v>3.94322906138169</v>
      </c>
      <c r="BD60" s="11" t="n">
        <f aca="false">Inputs!$F$154*BD19*Time!BD25/12*(1+Inputs!$F$155*Inputs!$F$45*IF(Time!BD17&gt;=9,1,0))*Inputs!$F$39</f>
        <v>3.98636860438127</v>
      </c>
      <c r="BE60" s="11" t="n">
        <f aca="false">Inputs!$F$154*BE19*Time!BE25/12*(1+Inputs!$F$155*Inputs!$F$45*IF(Time!BE17&gt;=9,1,0))*Inputs!$F$39</f>
        <v>4.02998010073209</v>
      </c>
      <c r="BF60" s="11" t="n">
        <f aca="false">Inputs!$F$154*BF19*Time!BF25/12*(1+Inputs!$F$155*Inputs!$F$45*IF(Time!BF17&gt;=9,1,0))*Inputs!$F$39</f>
        <v>4.07406871367766</v>
      </c>
      <c r="BG60" s="11" t="n">
        <f aca="false">Inputs!$F$154*BG19*Time!BG25/12*(1+Inputs!$F$155*Inputs!$F$45*IF(Time!BG17&gt;=9,1,0))*Inputs!$F$39</f>
        <v>4.11863966294819</v>
      </c>
      <c r="BH60" s="11" t="n">
        <f aca="false">Inputs!$F$154*BH19*Time!BH25/12*(1+Inputs!$F$155*Inputs!$F$45*IF(Time!BH17&gt;=9,1,0))*Inputs!$F$39</f>
        <v>4.16369822537857</v>
      </c>
      <c r="BI60" s="11" t="n">
        <f aca="false">Inputs!$F$154*BI19*Time!BI25/12*(1+Inputs!$F$155*Inputs!$F$45*IF(Time!BI17&gt;=9,1,0))*Inputs!$F$39</f>
        <v>4.20924973553306</v>
      </c>
      <c r="BJ60" s="11" t="n">
        <f aca="false">Inputs!$F$154*BJ19*Time!BJ25/12*(1+Inputs!$F$155*Inputs!$F$45*IF(Time!BJ17&gt;=9,1,0))*Inputs!$F$39</f>
        <v>4.2552995863369</v>
      </c>
      <c r="BK60" s="11" t="n">
        <f aca="false">Inputs!$F$154*BK19*Time!BK25/12*(1+Inputs!$F$155*Inputs!$F$45*IF(Time!BK17&gt;=9,1,0))*Inputs!$F$39</f>
        <v>4.30185322971478</v>
      </c>
      <c r="BL60" s="11" t="n">
        <f aca="false">Inputs!$F$154*BL19*Time!BL25/12*(1+Inputs!$F$155*Inputs!$F$45*IF(Time!BL17&gt;=9,1,0))*Inputs!$F$39</f>
        <v>4.34891617723631</v>
      </c>
      <c r="BM60" s="11" t="n">
        <f aca="false">Inputs!$F$154*BM19*Time!BM25/12*(1+Inputs!$F$155*Inputs!$F$45*IF(Time!BM17&gt;=9,1,0))*Inputs!$F$39</f>
        <v>2.93099600051234</v>
      </c>
      <c r="BN60" s="11" t="n">
        <f aca="false">Inputs!$F$154*BN19*Time!BN25/12*(1+Inputs!$F$155*Inputs!$F$45*IF(Time!BN17&gt;=9,1,0))*Inputs!$F$39</f>
        <v>0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123.291031601221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0.617405032616886</v>
      </c>
      <c r="P61" s="11" t="n">
        <f aca="false">Inputs!$F$156*(0.5*P19+0.5*P23*Inputs!$F$150/P11)*Time!P25/12*Inputs!$F$39</f>
        <v>1.8724786208706</v>
      </c>
      <c r="Q61" s="11" t="n">
        <f aca="false">Inputs!$F$156*(0.5*Q19+0.5*Q23*Inputs!$F$150/Q11)*Time!Q25/12*Inputs!$F$39</f>
        <v>1.89296383000337</v>
      </c>
      <c r="R61" s="11" t="n">
        <f aca="false">Inputs!$F$156*(0.5*R19+0.5*R23*Inputs!$F$150/R11)*Time!R25/12*Inputs!$F$39</f>
        <v>1.91367315052975</v>
      </c>
      <c r="S61" s="11" t="n">
        <f aca="false">Inputs!$F$156*(0.5*S19+0.5*S23*Inputs!$F$150/S11)*Time!S25/12*Inputs!$F$39</f>
        <v>1.93460903426345</v>
      </c>
      <c r="T61" s="11" t="n">
        <f aca="false">Inputs!$F$156*(0.5*T19+0.5*T23*Inputs!$F$150/T11)*Time!T25/12*Inputs!$F$39</f>
        <v>1.9557739598414</v>
      </c>
      <c r="U61" s="11" t="n">
        <f aca="false">Inputs!$F$156*(0.5*U19+0.5*U23*Inputs!$F$150/U11)*Time!U25/12*Inputs!$F$39</f>
        <v>1.97717043301724</v>
      </c>
      <c r="V61" s="11" t="n">
        <f aca="false">Inputs!$F$156*(0.5*V19+0.5*V23*Inputs!$F$150/V11)*Time!V25/12*Inputs!$F$39</f>
        <v>1.99880098695791</v>
      </c>
      <c r="W61" s="11" t="n">
        <f aca="false">Inputs!$F$156*(0.5*W19+0.5*W23*Inputs!$F$150/W11)*Time!W25/12*Inputs!$F$39</f>
        <v>2.02066818254362</v>
      </c>
      <c r="X61" s="11" t="n">
        <f aca="false">Inputs!$F$156*(0.5*X19+0.5*X23*Inputs!$F$150/X11)*Time!X25/12*Inputs!$F$39</f>
        <v>2.04277460867099</v>
      </c>
      <c r="Y61" s="11" t="n">
        <f aca="false">Inputs!$F$156*(0.5*Y19+0.5*Y23*Inputs!$F$150/Y11)*Time!Y25/12*Inputs!$F$39</f>
        <v>2.06512288255958</v>
      </c>
      <c r="Z61" s="11" t="n">
        <f aca="false">Inputs!$F$156*(0.5*Z19+0.5*Z23*Inputs!$F$150/Z11)*Time!Z25/12*Inputs!$F$39</f>
        <v>2.08771565006175</v>
      </c>
      <c r="AA61" s="11" t="n">
        <f aca="false">Inputs!$F$156*(0.5*AA19+0.5*AA23*Inputs!$F$150/AA11)*Time!AA25/12*Inputs!$F$39</f>
        <v>2.11055558597589</v>
      </c>
      <c r="AB61" s="11" t="n">
        <f aca="false">Inputs!$F$156*(0.5*AB19+0.5*AB23*Inputs!$F$150/AB11)*Time!AB25/12*Inputs!$F$39</f>
        <v>2.13364539436311</v>
      </c>
      <c r="AC61" s="11" t="n">
        <f aca="false">Inputs!$F$156*(0.5*AC19+0.5*AC23*Inputs!$F$150/AC11)*Time!AC25/12*Inputs!$F$39</f>
        <v>2.15698780886736</v>
      </c>
      <c r="AD61" s="11" t="n">
        <f aca="false">Inputs!$F$156*(0.5*AD19+0.5*AD23*Inputs!$F$150/AD11)*Time!AD25/12*Inputs!$F$39</f>
        <v>2.1805855930391</v>
      </c>
      <c r="AE61" s="11" t="n">
        <f aca="false">Inputs!$F$156*(0.5*AE19+0.5*AE23*Inputs!$F$150/AE11)*Time!AE25/12*Inputs!$F$39</f>
        <v>2.20444154066244</v>
      </c>
      <c r="AF61" s="11" t="n">
        <f aca="false">Inputs!$F$156*(0.5*AF19+0.5*AF23*Inputs!$F$150/AF11)*Time!AF25/12*Inputs!$F$39</f>
        <v>2.22855847608596</v>
      </c>
      <c r="AG61" s="11" t="n">
        <f aca="false">Inputs!$F$156*(0.5*AG19+0.5*AG23*Inputs!$F$150/AG11)*Time!AG25/12*Inputs!$F$39</f>
        <v>2.25293925455702</v>
      </c>
      <c r="AH61" s="11" t="n">
        <f aca="false">Inputs!$F$156*(0.5*AH19+0.5*AH23*Inputs!$F$150/AH11)*Time!AH25/12*Inputs!$F$39</f>
        <v>2.27758676255985</v>
      </c>
      <c r="AI61" s="11" t="n">
        <f aca="false">Inputs!$F$156*(0.5*AI19+0.5*AI23*Inputs!$F$150/AI11)*Time!AI25/12*Inputs!$F$39</f>
        <v>2.30250391815727</v>
      </c>
      <c r="AJ61" s="11" t="n">
        <f aca="false">Inputs!$F$156*(0.5*AJ19+0.5*AJ23*Inputs!$F$150/AJ11)*Time!AJ25/12*Inputs!$F$39</f>
        <v>2.32769367133616</v>
      </c>
      <c r="AK61" s="11" t="n">
        <f aca="false">Inputs!$F$156*(0.5*AK19+0.5*AK23*Inputs!$F$150/AK11)*Time!AK25/12*Inputs!$F$39</f>
        <v>2.35315900435673</v>
      </c>
      <c r="AL61" s="11" t="n">
        <f aca="false">Inputs!$F$156*(0.5*AL19+0.5*AL23*Inputs!$F$150/AL11)*Time!AL25/12*Inputs!$F$39</f>
        <v>2.37890293210556</v>
      </c>
      <c r="AM61" s="11" t="n">
        <f aca="false">Inputs!$F$156*(0.5*AM19+0.5*AM23*Inputs!$F$150/AM11)*Time!AM25/12*Inputs!$F$39</f>
        <v>2.40492850245258</v>
      </c>
      <c r="AN61" s="11" t="n">
        <f aca="false">Inputs!$F$156*(0.5*AN19+0.5*AN23*Inputs!$F$150/AN11)*Time!AN25/12*Inputs!$F$39</f>
        <v>2.43123879661188</v>
      </c>
      <c r="AO61" s="11" t="n">
        <f aca="false">Inputs!$F$156*(0.5*AO19+0.5*AO23*Inputs!$F$150/AO11)*Time!AO25/12*Inputs!$F$39</f>
        <v>2.45783692950653</v>
      </c>
      <c r="AP61" s="11" t="n">
        <f aca="false">Inputs!$F$156*(0.5*AP19+0.5*AP23*Inputs!$F$150/AP11)*Time!AP25/12*Inputs!$F$39</f>
        <v>2.48472605013734</v>
      </c>
      <c r="AQ61" s="11" t="n">
        <f aca="false">Inputs!$F$156*(0.5*AQ19+0.5*AQ23*Inputs!$F$150/AQ11)*Time!AQ25/12*Inputs!$F$39</f>
        <v>2.51190934195568</v>
      </c>
      <c r="AR61" s="11" t="n">
        <f aca="false">Inputs!$F$156*(0.5*AR19+0.5*AR23*Inputs!$F$150/AR11)*Time!AR25/12*Inputs!$F$39</f>
        <v>2.53939002324036</v>
      </c>
      <c r="AS61" s="11" t="n">
        <f aca="false">Inputs!$F$156*(0.5*AS19+0.5*AS23*Inputs!$F$150/AS11)*Time!AS25/12*Inputs!$F$39</f>
        <v>2.5671713474787</v>
      </c>
      <c r="AT61" s="11" t="n">
        <f aca="false">Inputs!$F$156*(0.5*AT19+0.5*AT23*Inputs!$F$150/AT11)*Time!AT25/12*Inputs!$F$39</f>
        <v>2.59525660375165</v>
      </c>
      <c r="AU61" s="11" t="n">
        <f aca="false">Inputs!$F$156*(0.5*AU19+0.5*AU23*Inputs!$F$150/AU11)*Time!AU25/12*Inputs!$F$39</f>
        <v>2.62364911712323</v>
      </c>
      <c r="AV61" s="11" t="n">
        <f aca="false">Inputs!$F$156*(0.5*AV19+0.5*AV23*Inputs!$F$150/AV11)*Time!AV25/12*Inputs!$F$39</f>
        <v>2.65235224903419</v>
      </c>
      <c r="AW61" s="11" t="n">
        <f aca="false">Inputs!$F$156*(0.5*AW19+0.5*AW23*Inputs!$F$150/AW11)*Time!AW25/12*Inputs!$F$39</f>
        <v>2.68136939769994</v>
      </c>
      <c r="AX61" s="11" t="n">
        <f aca="false">Inputs!$F$156*(0.5*AX19+0.5*AX23*Inputs!$F$150/AX11)*Time!AX25/12*Inputs!$F$39</f>
        <v>2.71070399851294</v>
      </c>
      <c r="AY61" s="11" t="n">
        <f aca="false">Inputs!$F$156*(0.5*AY19+0.5*AY23*Inputs!$F$150/AY11)*Time!AY25/12*Inputs!$F$39</f>
        <v>2.74035952444934</v>
      </c>
      <c r="AZ61" s="11" t="n">
        <f aca="false">Inputs!$F$156*(0.5*AZ19+0.5*AZ23*Inputs!$F$150/AZ11)*Time!AZ25/12*Inputs!$F$39</f>
        <v>2.77033948648022</v>
      </c>
      <c r="BA61" s="11" t="n">
        <f aca="false">Inputs!$F$156*(0.5*BA19+0.5*BA23*Inputs!$F$150/BA11)*Time!BA25/12*Inputs!$F$39</f>
        <v>2.80064743398723</v>
      </c>
      <c r="BB61" s="11" t="n">
        <f aca="false">Inputs!$F$156*(0.5*BB19+0.5*BB23*Inputs!$F$150/BB11)*Time!BB25/12*Inputs!$F$39</f>
        <v>2.83128695518279</v>
      </c>
      <c r="BC61" s="11" t="n">
        <f aca="false">Inputs!$F$156*(0.5*BC19+0.5*BC23*Inputs!$F$150/BC11)*Time!BC25/12*Inputs!$F$39</f>
        <v>2.86226167753495</v>
      </c>
      <c r="BD61" s="11" t="n">
        <f aca="false">Inputs!$F$156*(0.5*BD19+0.5*BD23*Inputs!$F$150/BD11)*Time!BD25/12*Inputs!$F$39</f>
        <v>2.89357526819681</v>
      </c>
      <c r="BE61" s="11" t="n">
        <f aca="false">Inputs!$F$156*(0.5*BE19+0.5*BE23*Inputs!$F$150/BE11)*Time!BE25/12*Inputs!$F$39</f>
        <v>2.92523143444072</v>
      </c>
      <c r="BF61" s="11" t="n">
        <f aca="false">Inputs!$F$156*(0.5*BF19+0.5*BF23*Inputs!$F$150/BF11)*Time!BF25/12*Inputs!$F$39</f>
        <v>2.95723392409714</v>
      </c>
      <c r="BG61" s="11" t="n">
        <f aca="false">Inputs!$F$156*(0.5*BG19+0.5*BG23*Inputs!$F$150/BG11)*Time!BG25/12*Inputs!$F$39</f>
        <v>2.98958652599841</v>
      </c>
      <c r="BH61" s="11" t="n">
        <f aca="false">Inputs!$F$156*(0.5*BH19+0.5*BH23*Inputs!$F$150/BH11)*Time!BH25/12*Inputs!$F$39</f>
        <v>3.02229307042728</v>
      </c>
      <c r="BI61" s="11" t="n">
        <f aca="false">Inputs!$F$156*(0.5*BI19+0.5*BI23*Inputs!$F$150/BI11)*Time!BI25/12*Inputs!$F$39</f>
        <v>3.05535742957037</v>
      </c>
      <c r="BJ61" s="11" t="n">
        <f aca="false">Inputs!$F$156*(0.5*BJ19+0.5*BJ23*Inputs!$F$150/BJ11)*Time!BJ25/12*Inputs!$F$39</f>
        <v>3.08878351797668</v>
      </c>
      <c r="BK61" s="11" t="n">
        <f aca="false">Inputs!$F$156*(0.5*BK19+0.5*BK23*Inputs!$F$150/BK11)*Time!BK25/12*Inputs!$F$39</f>
        <v>3.12257529302092</v>
      </c>
      <c r="BL61" s="11" t="n">
        <f aca="false">Inputs!$F$156*(0.5*BL19+0.5*BL23*Inputs!$F$150/BL11)*Time!BL25/12*Inputs!$F$39</f>
        <v>3.15673675537216</v>
      </c>
      <c r="BM61" s="11" t="n">
        <f aca="false">Inputs!$F$156*(0.5*BM19+0.5*BM23*Inputs!$F$150/BM11)*Time!BM25/12*Inputs!$F$39</f>
        <v>2.12751463297826</v>
      </c>
      <c r="BN61" s="11" t="n">
        <f aca="false">Inputs!$F$156*(0.5*BN19+0.5*BN23*Inputs!$F$150/BN11)*Time!BN25/12*Inputs!$F$39</f>
        <v>0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27.5383929605207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0.137904129628829</v>
      </c>
      <c r="P62" s="11" t="n">
        <f aca="false">Inputs!$F$157*P23/P11*Time!P25/12*Inputs!$F$39</f>
        <v>0.418238467161933</v>
      </c>
      <c r="Q62" s="11" t="n">
        <f aca="false">Inputs!$F$157*Q23/Q11*Time!Q25/12*Inputs!$F$39</f>
        <v>0.422814061441989</v>
      </c>
      <c r="R62" s="11" t="n">
        <f aca="false">Inputs!$F$157*R23/R11*Time!R25/12*Inputs!$F$39</f>
        <v>0.427439713439496</v>
      </c>
      <c r="S62" s="11" t="n">
        <f aca="false">Inputs!$F$157*S23/S11*Time!S25/12*Inputs!$F$39</f>
        <v>0.432115970793713</v>
      </c>
      <c r="T62" s="11" t="n">
        <f aca="false">Inputs!$F$157*T23/T11*Time!T25/12*Inputs!$F$39</f>
        <v>0.436843387135164</v>
      </c>
      <c r="U62" s="11" t="n">
        <f aca="false">Inputs!$F$157*U23/U11*Time!U25/12*Inputs!$F$39</f>
        <v>0.441622522151175</v>
      </c>
      <c r="V62" s="11" t="n">
        <f aca="false">Inputs!$F$157*V23/V11*Time!V25/12*Inputs!$F$39</f>
        <v>0.446453941652138</v>
      </c>
      <c r="W62" s="11" t="n">
        <f aca="false">Inputs!$F$157*W23/W11*Time!W25/12*Inputs!$F$39</f>
        <v>0.451338217638501</v>
      </c>
      <c r="X62" s="11" t="n">
        <f aca="false">Inputs!$F$157*X23/X11*Time!X25/12*Inputs!$F$39</f>
        <v>0.456275928368485</v>
      </c>
      <c r="Y62" s="11" t="n">
        <f aca="false">Inputs!$F$157*Y23/Y11*Time!Y25/12*Inputs!$F$39</f>
        <v>0.461267658426548</v>
      </c>
      <c r="Z62" s="11" t="n">
        <f aca="false">Inputs!$F$157*Z23/Z11*Time!Z25/12*Inputs!$F$39</f>
        <v>0.466313998792592</v>
      </c>
      <c r="AA62" s="11" t="n">
        <f aca="false">Inputs!$F$157*AA23/AA11*Time!AA25/12*Inputs!$F$39</f>
        <v>0.471415546911932</v>
      </c>
      <c r="AB62" s="11" t="n">
        <f aca="false">Inputs!$F$157*AB23/AB11*Time!AB25/12*Inputs!$F$39</f>
        <v>0.476572906766029</v>
      </c>
      <c r="AC62" s="11" t="n">
        <f aca="false">Inputs!$F$157*AC23/AC11*Time!AC25/12*Inputs!$F$39</f>
        <v>0.481786688943994</v>
      </c>
      <c r="AD62" s="11" t="n">
        <f aca="false">Inputs!$F$157*AD23/AD11*Time!AD25/12*Inputs!$F$39</f>
        <v>0.487057510714881</v>
      </c>
      <c r="AE62" s="11" t="n">
        <f aca="false">Inputs!$F$157*AE23/AE11*Time!AE25/12*Inputs!$F$39</f>
        <v>0.492385996100762</v>
      </c>
      <c r="AF62" s="11" t="n">
        <f aca="false">Inputs!$F$157*AF23/AF11*Time!AF25/12*Inputs!$F$39</f>
        <v>0.497772775950609</v>
      </c>
      <c r="AG62" s="11" t="n">
        <f aca="false">Inputs!$F$157*AG23/AG11*Time!AG25/12*Inputs!$F$39</f>
        <v>0.503218488014979</v>
      </c>
      <c r="AH62" s="11" t="n">
        <f aca="false">Inputs!$F$157*AH23/AH11*Time!AH25/12*Inputs!$F$39</f>
        <v>0.508723777021522</v>
      </c>
      <c r="AI62" s="11" t="n">
        <f aca="false">Inputs!$F$157*AI23/AI11*Time!AI25/12*Inputs!$F$39</f>
        <v>0.514289294751309</v>
      </c>
      <c r="AJ62" s="11" t="n">
        <f aca="false">Inputs!$F$157*AJ23/AJ11*Time!AJ25/12*Inputs!$F$39</f>
        <v>0.519915700115996</v>
      </c>
      <c r="AK62" s="11" t="n">
        <f aca="false">Inputs!$F$157*AK23/AK11*Time!AK25/12*Inputs!$F$39</f>
        <v>0.525603659235837</v>
      </c>
      <c r="AL62" s="11" t="n">
        <f aca="false">Inputs!$F$157*AL23/AL11*Time!AL25/12*Inputs!$F$39</f>
        <v>0.531353845518548</v>
      </c>
      <c r="AM62" s="11" t="n">
        <f aca="false">Inputs!$F$157*AM23/AM11*Time!AM25/12*Inputs!$F$39</f>
        <v>0.537166939739026</v>
      </c>
      <c r="AN62" s="11" t="n">
        <f aca="false">Inputs!$F$157*AN23/AN11*Time!AN25/12*Inputs!$F$39</f>
        <v>0.543043630119956</v>
      </c>
      <c r="AO62" s="11" t="n">
        <f aca="false">Inputs!$F$157*AO23/AO11*Time!AO25/12*Inputs!$F$39</f>
        <v>0.548984612413284</v>
      </c>
      <c r="AP62" s="11" t="n">
        <f aca="false">Inputs!$F$157*AP23/AP11*Time!AP25/12*Inputs!$F$39</f>
        <v>0.554990589982595</v>
      </c>
      <c r="AQ62" s="11" t="n">
        <f aca="false">Inputs!$F$157*AQ23/AQ11*Time!AQ25/12*Inputs!$F$39</f>
        <v>0.561062273886377</v>
      </c>
      <c r="AR62" s="11" t="n">
        <f aca="false">Inputs!$F$157*AR23/AR11*Time!AR25/12*Inputs!$F$39</f>
        <v>0.567200382962212</v>
      </c>
      <c r="AS62" s="11" t="n">
        <f aca="false">Inputs!$F$157*AS23/AS11*Time!AS25/12*Inputs!$F$39</f>
        <v>0.573405643911877</v>
      </c>
      <c r="AT62" s="11" t="n">
        <f aca="false">Inputs!$F$157*AT23/AT11*Time!AT25/12*Inputs!$F$39</f>
        <v>0.57967879138738</v>
      </c>
      <c r="AU62" s="11" t="n">
        <f aca="false">Inputs!$F$157*AU23/AU11*Time!AU25/12*Inputs!$F$39</f>
        <v>0.586020568077938</v>
      </c>
      <c r="AV62" s="11" t="n">
        <f aca="false">Inputs!$F$157*AV23/AV11*Time!AV25/12*Inputs!$F$39</f>
        <v>0.592431724797903</v>
      </c>
      <c r="AW62" s="11" t="n">
        <f aca="false">Inputs!$F$157*AW23/AW11*Time!AW25/12*Inputs!$F$39</f>
        <v>0.598913020575653</v>
      </c>
      <c r="AX62" s="11" t="n">
        <f aca="false">Inputs!$F$157*AX23/AX11*Time!AX25/12*Inputs!$F$39</f>
        <v>0.605465222743457</v>
      </c>
      <c r="AY62" s="11" t="n">
        <f aca="false">Inputs!$F$157*AY23/AY11*Time!AY25/12*Inputs!$F$39</f>
        <v>0.612089107028317</v>
      </c>
      <c r="AZ62" s="11" t="n">
        <f aca="false">Inputs!$F$157*AZ23/AZ11*Time!AZ25/12*Inputs!$F$39</f>
        <v>0.618785457643813</v>
      </c>
      <c r="BA62" s="11" t="n">
        <f aca="false">Inputs!$F$157*BA23/BA11*Time!BA25/12*Inputs!$F$39</f>
        <v>0.62555506738294</v>
      </c>
      <c r="BB62" s="11" t="n">
        <f aca="false">Inputs!$F$157*BB23/BB11*Time!BB25/12*Inputs!$F$39</f>
        <v>0.632398737711976</v>
      </c>
      <c r="BC62" s="11" t="n">
        <f aca="false">Inputs!$F$157*BC23/BC11*Time!BC25/12*Inputs!$F$39</f>
        <v>0.639317278865365</v>
      </c>
      <c r="BD62" s="11" t="n">
        <f aca="false">Inputs!$F$157*BD23/BD11*Time!BD25/12*Inputs!$F$39</f>
        <v>0.64631150994164</v>
      </c>
      <c r="BE62" s="11" t="n">
        <f aca="false">Inputs!$F$157*BE23/BE11*Time!BE25/12*Inputs!$F$39</f>
        <v>0.653382259000403</v>
      </c>
      <c r="BF62" s="11" t="n">
        <f aca="false">Inputs!$F$157*BF23/BF11*Time!BF25/12*Inputs!$F$39</f>
        <v>0.660530363160356</v>
      </c>
      <c r="BG62" s="11" t="n">
        <f aca="false">Inputs!$F$157*BG23/BG11*Time!BG25/12*Inputs!$F$39</f>
        <v>0.667756668698412</v>
      </c>
      <c r="BH62" s="11" t="n">
        <f aca="false">Inputs!$F$157*BH23/BH11*Time!BH25/12*Inputs!$F$39</f>
        <v>0.675062031149884</v>
      </c>
      <c r="BI62" s="11" t="n">
        <f aca="false">Inputs!$F$157*BI23/BI11*Time!BI25/12*Inputs!$F$39</f>
        <v>0.682447315409777</v>
      </c>
      <c r="BJ62" s="11" t="n">
        <f aca="false">Inputs!$F$157*BJ23/BJ11*Time!BJ25/12*Inputs!$F$39</f>
        <v>0.689913395835181</v>
      </c>
      <c r="BK62" s="11" t="n">
        <f aca="false">Inputs!$F$157*BK23/BK11*Time!BK25/12*Inputs!$F$39</f>
        <v>0.697461156348792</v>
      </c>
      <c r="BL62" s="11" t="n">
        <f aca="false">Inputs!$F$157*BL23/BL11*Time!BL25/12*Inputs!$F$39</f>
        <v>0.705091490543555</v>
      </c>
      <c r="BM62" s="11" t="n">
        <f aca="false">Inputs!$F$157*BM23/BM11*Time!BM25/12*Inputs!$F$39</f>
        <v>0.475203534525644</v>
      </c>
      <c r="BN62" s="11" t="n">
        <f aca="false">Inputs!$F$157*BN23/BN11*Time!BN25/12*Inputs!$F$39</f>
        <v>0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21.0134097211548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0.12427330554587</v>
      </c>
      <c r="P63" s="11" t="n">
        <f aca="false">Inputs!$F$158/100*P50</f>
        <v>0.374437270892679</v>
      </c>
      <c r="Q63" s="11" t="n">
        <f aca="false">Inputs!$F$158/100*Q50</f>
        <v>0.375925931597974</v>
      </c>
      <c r="R63" s="11" t="n">
        <f aca="false">Inputs!$F$158/100*R50</f>
        <v>0.377292325080093</v>
      </c>
      <c r="S63" s="11" t="n">
        <f aca="false">Inputs!$F$158/100*S50</f>
        <v>0.379085702550131</v>
      </c>
      <c r="T63" s="11" t="n">
        <f aca="false">Inputs!$F$158/100*T50</f>
        <v>0.381039380442271</v>
      </c>
      <c r="U63" s="11" t="n">
        <f aca="false">Inputs!$F$158/100*U50</f>
        <v>0.382232525899421</v>
      </c>
      <c r="V63" s="11" t="n">
        <f aca="false">Inputs!$F$158/100*V50</f>
        <v>0.38292665070347</v>
      </c>
      <c r="W63" s="11" t="n">
        <f aca="false">Inputs!$F$158/100*W50</f>
        <v>0.385154890495171</v>
      </c>
      <c r="X63" s="11" t="n">
        <f aca="false">Inputs!$F$158/100*X50</f>
        <v>0.387929326641767</v>
      </c>
      <c r="Y63" s="11" t="n">
        <f aca="false">Inputs!$F$158/100*Y50</f>
        <v>0.389551258537155</v>
      </c>
      <c r="Z63" s="11" t="n">
        <f aca="false">Inputs!$F$158/100*Z50</f>
        <v>0.39104068814101</v>
      </c>
      <c r="AA63" s="11" t="n">
        <f aca="false">Inputs!$F$158/100*AA50</f>
        <v>0.392993216666565</v>
      </c>
      <c r="AB63" s="11" t="n">
        <f aca="false">Inputs!$F$158/100*AB50</f>
        <v>0.395119653314517</v>
      </c>
      <c r="AC63" s="11" t="n">
        <f aca="false">Inputs!$F$158/100*AC50</f>
        <v>0.396098340527819</v>
      </c>
      <c r="AD63" s="11" t="n">
        <f aca="false">Inputs!$F$158/100*AD50</f>
        <v>0.391140408936208</v>
      </c>
      <c r="AE63" s="11" t="n">
        <f aca="false">Inputs!$F$158/100*AE50</f>
        <v>0.398947198996515</v>
      </c>
      <c r="AF63" s="11" t="n">
        <f aca="false">Inputs!$F$158/100*AF50</f>
        <v>0.402623450704021</v>
      </c>
      <c r="AG63" s="11" t="n">
        <f aca="false">Inputs!$F$158/100*AG50</f>
        <v>0.404390581776228</v>
      </c>
      <c r="AH63" s="11" t="n">
        <f aca="false">Inputs!$F$158/100*AH50</f>
        <v>0.406014125106541</v>
      </c>
      <c r="AI63" s="11" t="n">
        <f aca="false">Inputs!$F$158/100*AI50</f>
        <v>0.40813991964613</v>
      </c>
      <c r="AJ63" s="11" t="n">
        <f aca="false">Inputs!$F$158/100*AJ50</f>
        <v>0.410454379265799</v>
      </c>
      <c r="AK63" s="11" t="n">
        <f aca="false">Inputs!$F$158/100*AK50</f>
        <v>0.411874767366753</v>
      </c>
      <c r="AL63" s="11" t="n">
        <f aca="false">Inputs!$F$158/100*AL50</f>
        <v>0.412708599167577</v>
      </c>
      <c r="AM63" s="11" t="n">
        <f aca="false">Inputs!$F$158/100*AM50</f>
        <v>0.415346451508198</v>
      </c>
      <c r="AN63" s="11" t="n">
        <f aca="false">Inputs!$F$158/100*AN50</f>
        <v>0.418626694494692</v>
      </c>
      <c r="AO63" s="11" t="n">
        <f aca="false">Inputs!$F$158/100*AO50</f>
        <v>0.420552020026163</v>
      </c>
      <c r="AP63" s="11" t="n">
        <f aca="false">Inputs!$F$158/100*AP50</f>
        <v>0.422321751961867</v>
      </c>
      <c r="AQ63" s="11" t="n">
        <f aca="false">Inputs!$F$158/100*AQ50</f>
        <v>0.424636178505231</v>
      </c>
      <c r="AR63" s="11" t="n">
        <f aca="false">Inputs!$F$158/100*AR50</f>
        <v>0.427155272832653</v>
      </c>
      <c r="AS63" s="11" t="n">
        <f aca="false">Inputs!$F$158/100*AS50</f>
        <v>0.428325115233841</v>
      </c>
      <c r="AT63" s="11" t="n">
        <f aca="false">Inputs!$F$158/100*AT50</f>
        <v>0.423054968754184</v>
      </c>
      <c r="AU63" s="11" t="n">
        <f aca="false">Inputs!$F$158/100*AU50</f>
        <v>0.431713600332744</v>
      </c>
      <c r="AV63" s="11" t="n">
        <f aca="false">Inputs!$F$158/100*AV50</f>
        <v>0.436055638704022</v>
      </c>
      <c r="AW63" s="11" t="n">
        <f aca="false">Inputs!$F$158/100*AW50</f>
        <v>0.438153316746979</v>
      </c>
      <c r="AX63" s="11" t="n">
        <f aca="false">Inputs!$F$158/100*AX50</f>
        <v>0.440082399212593</v>
      </c>
      <c r="AY63" s="11" t="n">
        <f aca="false">Inputs!$F$158/100*AY50</f>
        <v>0.44260218558592</v>
      </c>
      <c r="AZ63" s="11" t="n">
        <f aca="false">Inputs!$F$158/100*AZ50</f>
        <v>0.445343992727329</v>
      </c>
      <c r="BA63" s="11" t="n">
        <f aca="false">Inputs!$F$158/100*BA50</f>
        <v>0.447034903273082</v>
      </c>
      <c r="BB63" s="11" t="n">
        <f aca="false">Inputs!$F$158/100*BB50</f>
        <v>0.448036475386472</v>
      </c>
      <c r="BC63" s="11" t="n">
        <f aca="false">Inputs!$F$158/100*BC50</f>
        <v>0.451159148989593</v>
      </c>
      <c r="BD63" s="11" t="n">
        <f aca="false">Inputs!$F$158/100*BD50</f>
        <v>0.455037241154803</v>
      </c>
      <c r="BE63" s="11" t="n">
        <f aca="false">Inputs!$F$158/100*BE50</f>
        <v>0.457322696543481</v>
      </c>
      <c r="BF63" s="11" t="n">
        <f aca="false">Inputs!$F$158/100*BF50</f>
        <v>0.459425476360553</v>
      </c>
      <c r="BG63" s="11" t="n">
        <f aca="false">Inputs!$F$158/100*BG50</f>
        <v>0.46216883283879</v>
      </c>
      <c r="BH63" s="11" t="n">
        <f aca="false">Inputs!$F$158/100*BH50</f>
        <v>0.465153026592976</v>
      </c>
      <c r="BI63" s="11" t="n">
        <f aca="false">Inputs!$F$158/100*BI50</f>
        <v>0.4665513342357</v>
      </c>
      <c r="BJ63" s="11" t="n">
        <f aca="false">Inputs!$F$158/100*BJ50</f>
        <v>0.460913002499135</v>
      </c>
      <c r="BK63" s="11" t="n">
        <f aca="false">Inputs!$F$158/100*BK50</f>
        <v>0.470581659669465</v>
      </c>
      <c r="BL63" s="11" t="n">
        <f aca="false">Inputs!$F$158/100*BL50</f>
        <v>0.475709760060123</v>
      </c>
      <c r="BM63" s="11" t="n">
        <f aca="false">Inputs!$F$158/100*BM50</f>
        <v>0.318952678922493</v>
      </c>
      <c r="BN63" s="11" t="n">
        <f aca="false">Inputs!$F$158/100*BN50</f>
        <v>0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134.870298707286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0.698605068579705</v>
      </c>
      <c r="P64" s="11" t="n">
        <f aca="false">Inputs!$F$159*(0.7*P19+0.3*P23*Inputs!$F$150/P11)*P33/1000000</f>
        <v>2.11768424774578</v>
      </c>
      <c r="Q64" s="11" t="n">
        <f aca="false">Inputs!$F$159*(0.7*Q19+0.3*Q23*Inputs!$F$150/Q11)*Q33/1000000</f>
        <v>2.13240346537019</v>
      </c>
      <c r="R64" s="11" t="n">
        <f aca="false">Inputs!$F$159*(0.7*R19+0.3*R23*Inputs!$F$150/R11)*R33/1000000</f>
        <v>2.14029008085334</v>
      </c>
      <c r="S64" s="11" t="n">
        <f aca="false">Inputs!$F$159*(0.7*S19+0.3*S23*Inputs!$F$150/S11)*S33/1000000</f>
        <v>2.16906091034705</v>
      </c>
      <c r="T64" s="11" t="n">
        <f aca="false">Inputs!$F$159*(0.7*T19+0.3*T23*Inputs!$F$150/T11)*T33/1000000</f>
        <v>2.20524750199865</v>
      </c>
      <c r="U64" s="11" t="n">
        <f aca="false">Inputs!$F$159*(0.7*U19+0.3*U23*Inputs!$F$150/U11)*U33/1000000</f>
        <v>2.20236243216415</v>
      </c>
      <c r="V64" s="11" t="n">
        <f aca="false">Inputs!$F$159*(0.7*V19+0.3*V23*Inputs!$F$150/V11)*V33/1000000</f>
        <v>2.17359831865647</v>
      </c>
      <c r="W64" s="11" t="n">
        <f aca="false">Inputs!$F$159*(0.7*W19+0.3*W23*Inputs!$F$150/W11)*W33/1000000</f>
        <v>2.22157232477123</v>
      </c>
      <c r="X64" s="11" t="n">
        <f aca="false">Inputs!$F$159*(0.7*X19+0.3*X23*Inputs!$F$150/X11)*X33/1000000</f>
        <v>2.29641055466452</v>
      </c>
      <c r="Y64" s="11" t="n">
        <f aca="false">Inputs!$F$159*(0.7*Y19+0.3*Y23*Inputs!$F$150/Y11)*Y33/1000000</f>
        <v>2.31236154136506</v>
      </c>
      <c r="Z64" s="11" t="n">
        <f aca="false">Inputs!$F$159*(0.7*Z19+0.3*Z23*Inputs!$F$150/Z11)*Z33/1000000</f>
        <v>2.32090318103218</v>
      </c>
      <c r="AA64" s="11" t="n">
        <f aca="false">Inputs!$F$159*(0.7*AA19+0.3*AA23*Inputs!$F$150/AA11)*AA33/1000000</f>
        <v>2.35209119851441</v>
      </c>
      <c r="AB64" s="11" t="n">
        <f aca="false">Inputs!$F$159*(0.7*AB19+0.3*AB23*Inputs!$F$150/AB11)*AB33/1000000</f>
        <v>2.39132040014205</v>
      </c>
      <c r="AC64" s="11" t="n">
        <f aca="false">Inputs!$F$159*(0.7*AC19+0.3*AC23*Inputs!$F$150/AC11)*AC33/1000000</f>
        <v>2.3718706305635</v>
      </c>
      <c r="AD64" s="11" t="n">
        <f aca="false">Inputs!$F$159*(0.7*AD19+0.3*AD23*Inputs!$F$150/AD11)*AD33/1000000</f>
        <v>2.30755028977292</v>
      </c>
      <c r="AE64" s="11" t="n">
        <f aca="false">Inputs!$F$159*(0.7*AE19+0.3*AE23*Inputs!$F$150/AE11)*AE33/1000000</f>
        <v>2.37570177916638</v>
      </c>
      <c r="AF64" s="11" t="n">
        <f aca="false">Inputs!$F$159*(0.7*AF19+0.3*AF23*Inputs!$F$150/AF11)*AF33/1000000</f>
        <v>2.49012998725189</v>
      </c>
      <c r="AG64" s="11" t="n">
        <f aca="false">Inputs!$F$159*(0.7*AG19+0.3*AG23*Inputs!$F$150/AG11)*AG33/1000000</f>
        <v>2.50741504656912</v>
      </c>
      <c r="AH64" s="11" t="n">
        <f aca="false">Inputs!$F$159*(0.7*AH19+0.3*AH23*Inputs!$F$150/AH11)*AH33/1000000</f>
        <v>2.51666562240006</v>
      </c>
      <c r="AI64" s="11" t="n">
        <f aca="false">Inputs!$F$159*(0.7*AI19+0.3*AI23*Inputs!$F$150/AI11)*AI33/1000000</f>
        <v>2.55047252613567</v>
      </c>
      <c r="AJ64" s="11" t="n">
        <f aca="false">Inputs!$F$159*(0.7*AJ19+0.3*AJ23*Inputs!$F$150/AJ11)*AJ33/1000000</f>
        <v>2.5929984581134</v>
      </c>
      <c r="AK64" s="11" t="n">
        <f aca="false">Inputs!$F$159*(0.7*AK19+0.3*AK23*Inputs!$F$150/AK11)*AK33/1000000</f>
        <v>2.58958232301871</v>
      </c>
      <c r="AL64" s="11" t="n">
        <f aca="false">Inputs!$F$159*(0.7*AL19+0.3*AL23*Inputs!$F$150/AL11)*AL33/1000000</f>
        <v>2.55573739093963</v>
      </c>
      <c r="AM64" s="11" t="n">
        <f aca="false">Inputs!$F$159*(0.7*AM19+0.3*AM23*Inputs!$F$150/AM11)*AM33/1000000</f>
        <v>2.61212161924509</v>
      </c>
      <c r="AN64" s="11" t="n">
        <f aca="false">Inputs!$F$159*(0.7*AN19+0.3*AN23*Inputs!$F$150/AN11)*AN33/1000000</f>
        <v>2.7000913964909</v>
      </c>
      <c r="AO64" s="11" t="n">
        <f aca="false">Inputs!$F$159*(0.7*AO19+0.3*AO23*Inputs!$F$150/AO11)*AO33/1000000</f>
        <v>2.71882125196743</v>
      </c>
      <c r="AP64" s="11" t="n">
        <f aca="false">Inputs!$F$159*(0.7*AP19+0.3*AP23*Inputs!$F$150/AP11)*AP33/1000000</f>
        <v>2.72883906427097</v>
      </c>
      <c r="AQ64" s="11" t="n">
        <f aca="false">Inputs!$F$159*(0.7*AQ19+0.3*AQ23*Inputs!$F$150/AQ11)*AQ33/1000000</f>
        <v>2.76548324681097</v>
      </c>
      <c r="AR64" s="11" t="n">
        <f aca="false">Inputs!$F$159*(0.7*AR19+0.3*AR23*Inputs!$F$150/AR11)*AR33/1000000</f>
        <v>2.81158108597929</v>
      </c>
      <c r="AS64" s="11" t="n">
        <f aca="false">Inputs!$F$159*(0.7*AS19+0.3*AS23*Inputs!$F$150/AS11)*AS33/1000000</f>
        <v>2.78868721013542</v>
      </c>
      <c r="AT64" s="11" t="n">
        <f aca="false">Inputs!$F$159*(0.7*AT19+0.3*AT23*Inputs!$F$150/AT11)*AT33/1000000</f>
        <v>2.71303838818515</v>
      </c>
      <c r="AU64" s="11" t="n">
        <f aca="false">Inputs!$F$159*(0.7*AU19+0.3*AU23*Inputs!$F$150/AU11)*AU33/1000000</f>
        <v>2.79313957280359</v>
      </c>
      <c r="AV64" s="11" t="n">
        <f aca="false">Inputs!$F$159*(0.7*AV19+0.3*AV23*Inputs!$F$150/AV11)*AV33/1000000</f>
        <v>2.9276467784131</v>
      </c>
      <c r="AW64" s="11" t="n">
        <f aca="false">Inputs!$F$159*(0.7*AW19+0.3*AW23*Inputs!$F$150/AW11)*AW33/1000000</f>
        <v>2.94794125895267</v>
      </c>
      <c r="AX64" s="11" t="n">
        <f aca="false">Inputs!$F$159*(0.7*AX19+0.3*AX23*Inputs!$F$150/AX11)*AX33/1000000</f>
        <v>2.95878934865209</v>
      </c>
      <c r="AY64" s="11" t="n">
        <f aca="false">Inputs!$F$159*(0.7*AY19+0.3*AY23*Inputs!$F$150/AY11)*AY33/1000000</f>
        <v>2.9985072651064</v>
      </c>
      <c r="AZ64" s="11" t="n">
        <f aca="false">Inputs!$F$159*(0.7*AZ19+0.3*AZ23*Inputs!$F$150/AZ11)*AZ33/1000000</f>
        <v>3.04847497289756</v>
      </c>
      <c r="BA64" s="11" t="n">
        <f aca="false">Inputs!$F$159*(0.7*BA19+0.3*BA23*Inputs!$F$150/BA11)*BA33/1000000</f>
        <v>3.04443012448492</v>
      </c>
      <c r="BB64" s="11" t="n">
        <f aca="false">Inputs!$F$159*(0.7*BB19+0.3*BB23*Inputs!$F$150/BB11)*BB33/1000000</f>
        <v>3.0046121748805</v>
      </c>
      <c r="BC64" s="11" t="n">
        <f aca="false">Inputs!$F$159*(0.7*BC19+0.3*BC23*Inputs!$F$150/BC11)*BC33/1000000</f>
        <v>3.07087041431719</v>
      </c>
      <c r="BD64" s="11" t="n">
        <f aca="false">Inputs!$F$159*(0.7*BD19+0.3*BD23*Inputs!$F$150/BD11)*BD33/1000000</f>
        <v>3.17425970587549</v>
      </c>
      <c r="BE64" s="11" t="n">
        <f aca="false">Inputs!$F$159*(0.7*BE19+0.3*BE23*Inputs!$F$150/BE11)*BE33/1000000</f>
        <v>3.1962484861199</v>
      </c>
      <c r="BF64" s="11" t="n">
        <f aca="false">Inputs!$F$159*(0.7*BF19+0.3*BF23*Inputs!$F$150/BF11)*BF33/1000000</f>
        <v>3.20799501481993</v>
      </c>
      <c r="BG64" s="11" t="n">
        <f aca="false">Inputs!$F$159*(0.7*BG19+0.3*BG23*Inputs!$F$150/BG11)*BG33/1000000</f>
        <v>3.25104266192638</v>
      </c>
      <c r="BH64" s="11" t="n">
        <f aca="false">Inputs!$F$159*(0.7*BH19+0.3*BH23*Inputs!$F$150/BH11)*BH33/1000000</f>
        <v>3.30520285265988</v>
      </c>
      <c r="BI64" s="11" t="n">
        <f aca="false">Inputs!$F$159*(0.7*BI19+0.3*BI23*Inputs!$F$150/BI11)*BI33/1000000</f>
        <v>3.27825833031531</v>
      </c>
      <c r="BJ64" s="11" t="n">
        <f aca="false">Inputs!$F$159*(0.7*BJ19+0.3*BJ23*Inputs!$F$150/BJ11)*BJ33/1000000</f>
        <v>3.18929846486466</v>
      </c>
      <c r="BK64" s="11" t="n">
        <f aca="false">Inputs!$F$159*(0.7*BK19+0.3*BK23*Inputs!$F$150/BK11)*BK33/1000000</f>
        <v>3.28342962861712</v>
      </c>
      <c r="BL64" s="11" t="n">
        <f aca="false">Inputs!$F$159*(0.7*BL19+0.3*BL23*Inputs!$F$150/BL11)*BL33/1000000</f>
        <v>3.44151444087802</v>
      </c>
      <c r="BM64" s="11" t="n">
        <f aca="false">Inputs!$F$159*(0.7*BM19+0.3*BM23*Inputs!$F$150/BM11)*BM33/1000000</f>
        <v>2.31793866748026</v>
      </c>
      <c r="BN64" s="11" t="n">
        <f aca="false">Inputs!$F$159*(0.7*BN19+0.3*BN23*Inputs!$F$150/BN11)*BN33/1000000</f>
        <v>0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0.0425</v>
      </c>
      <c r="P65" s="11" t="n">
        <f aca="false">Inputs!$F$105*Time!P25/12</f>
        <v>0.1275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0.085</v>
      </c>
      <c r="BN65" s="11" t="n">
        <f aca="false">Inputs!$F$105*Time!BN25/12</f>
        <v>0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0.051875</v>
      </c>
      <c r="P66" s="11" t="n">
        <f aca="false">Inputs!$F$160*Time!P25/12</f>
        <v>0.155625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0.10375</v>
      </c>
      <c r="BN66" s="11" t="n">
        <f aca="false">Inputs!$F$160*Time!BN25/12</f>
        <v>0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1194.5772845175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6.09096207058998</v>
      </c>
      <c r="P67" s="11" t="n">
        <f aca="false">P55+P56+P57+P59+P60+P61+P62+P63+P64+P65+P66</f>
        <v>18.4661761563198</v>
      </c>
      <c r="Q67" s="11" t="n">
        <f aca="false">Q55+Q56+Q57+Q59+Q60+Q61+Q62+Q63+Q64+Q65+Q66</f>
        <v>18.6214944268034</v>
      </c>
      <c r="R67" s="11" t="n">
        <f aca="false">R55+R56+R57+R59+R60+R61+R62+R63+R64+R65+R66</f>
        <v>18.7381166614321</v>
      </c>
      <c r="S67" s="11" t="n">
        <f aca="false">S55+S56+S57+S59+S60+S61+S62+S63+S64+S65+S66</f>
        <v>18.9763055715266</v>
      </c>
      <c r="T67" s="11" t="n">
        <f aca="false">T55+T56+T57+T59+T60+T61+T62+T63+T64+T65+T66</f>
        <v>19.2583368341248</v>
      </c>
      <c r="U67" s="11" t="n">
        <f aca="false">U55+U56+U57+U59+U60+U61+U62+U63+U64+U65+U66</f>
        <v>19.3150576029779</v>
      </c>
      <c r="V67" s="11" t="n">
        <f aca="false">V55+V56+V57+V59+V60+V61+V62+V63+V64+V65+V66</f>
        <v>19.2225096458005</v>
      </c>
      <c r="W67" s="11" t="n">
        <f aca="false">W55+W56+W57+W59+W60+W61+W62+W63+W64+W65+W66</f>
        <v>19.5754871143286</v>
      </c>
      <c r="X67" s="11" t="n">
        <f aca="false">X55+X56+X57+X59+X60+X61+X62+X63+X64+X65+X66</f>
        <v>20.0854347705409</v>
      </c>
      <c r="Y67" s="11" t="n">
        <f aca="false">Y55+Y56+Y57+Y59+Y60+Y61+Y62+Y63+Y64+Y65+Y66</f>
        <v>20.2547697299564</v>
      </c>
      <c r="Z67" s="11" t="n">
        <f aca="false">Z55+Z56+Z57+Z59+Z60+Z61+Z62+Z63+Z64+Z65+Z66</f>
        <v>20.3819349152024</v>
      </c>
      <c r="AA67" s="11" t="n">
        <f aca="false">AA55+AA56+AA57+AA59+AA60+AA61+AA62+AA63+AA64+AA65+AA66</f>
        <v>20.6415829721431</v>
      </c>
      <c r="AB67" s="11" t="n">
        <f aca="false">AB55+AB56+AB57+AB59+AB60+AB61+AB62+AB63+AB64+AB65+AB66</f>
        <v>20.9490107152439</v>
      </c>
      <c r="AC67" s="11" t="n">
        <f aca="false">AC55+AC56+AC57+AC59+AC60+AC61+AC62+AC63+AC64+AC65+AC66</f>
        <v>20.9159617429166</v>
      </c>
      <c r="AD67" s="11" t="n">
        <f aca="false">AD55+AD56+AD57+AD59+AD60+AD61+AD62+AD63+AD64+AD65+AD66</f>
        <v>20.6546621190511</v>
      </c>
      <c r="AE67" s="11" t="n">
        <f aca="false">AE55+AE56+AE57+AE59+AE60+AE61+AE62+AE63+AE64+AE65+AE66</f>
        <v>21.1008630174322</v>
      </c>
      <c r="AF67" s="11" t="n">
        <f aca="false">AF55+AF56+AF57+AF59+AF60+AF61+AF62+AF63+AF64+AF65+AF66</f>
        <v>21.8506733605622</v>
      </c>
      <c r="AG67" s="11" t="n">
        <f aca="false">AG55+AG56+AG57+AG59+AG60+AG61+AG62+AG63+AG64+AG65+AG66</f>
        <v>22.0352898677298</v>
      </c>
      <c r="AH67" s="11" t="n">
        <f aca="false">AH55+AH56+AH57+AH59+AH60+AH61+AH62+AH63+AH64+AH65+AH66</f>
        <v>22.1739510789604</v>
      </c>
      <c r="AI67" s="11" t="n">
        <f aca="false">AI55+AI56+AI57+AI59+AI60+AI61+AI62+AI63+AI64+AI65+AI66</f>
        <v>22.4569914274109</v>
      </c>
      <c r="AJ67" s="11" t="n">
        <f aca="false">AJ55+AJ56+AJ57+AJ59+AJ60+AJ61+AJ62+AJ63+AJ64+AJ65+AJ66</f>
        <v>22.7921023373227</v>
      </c>
      <c r="AK67" s="11" t="n">
        <f aca="false">AK55+AK56+AK57+AK59+AK60+AK61+AK62+AK63+AK64+AK65+AK66</f>
        <v>22.859627332066</v>
      </c>
      <c r="AL67" s="11" t="n">
        <f aca="false">AL55+AL56+AL57+AL59+AL60+AL61+AL62+AL63+AL64+AL65+AL66</f>
        <v>22.7498768118758</v>
      </c>
      <c r="AM67" s="11" t="n">
        <f aca="false">AM55+AM56+AM57+AM59+AM60+AM61+AM62+AM63+AM64+AM65+AM66</f>
        <v>23.1692513586069</v>
      </c>
      <c r="AN67" s="11" t="n">
        <f aca="false">AN55+AN56+AN57+AN59+AN60+AN61+AN62+AN63+AN64+AN65+AN66</f>
        <v>23.7750513427846</v>
      </c>
      <c r="AO67" s="11" t="n">
        <f aca="false">AO55+AO56+AO57+AO59+AO60+AO61+AO62+AO63+AO64+AO65+AO66</f>
        <v>23.976328389723</v>
      </c>
      <c r="AP67" s="11" t="n">
        <f aca="false">AP55+AP56+AP57+AP59+AP60+AP61+AP62+AP63+AP64+AP65+AP66</f>
        <v>24.1275248564917</v>
      </c>
      <c r="AQ67" s="11" t="n">
        <f aca="false">AQ55+AQ56+AQ57+AQ59+AQ60+AQ61+AQ62+AQ63+AQ64+AQ65+AQ66</f>
        <v>24.4360647722775</v>
      </c>
      <c r="AR67" s="11" t="n">
        <f aca="false">AR55+AR56+AR57+AR59+AR60+AR61+AR62+AR63+AR64+AR65+AR66</f>
        <v>24.8013514064839</v>
      </c>
      <c r="AS67" s="11" t="n">
        <f aca="false">AS55+AS56+AS57+AS59+AS60+AS61+AS62+AS63+AS64+AS65+AS66</f>
        <v>24.7622772789594</v>
      </c>
      <c r="AT67" s="11" t="n">
        <f aca="false">AT55+AT56+AT57+AT59+AT60+AT61+AT62+AT63+AT64+AT65+AT66</f>
        <v>24.4528212230199</v>
      </c>
      <c r="AU67" s="11" t="n">
        <f aca="false">AU55+AU56+AU57+AU59+AU60+AU61+AU62+AU63+AU64+AU65+AU66</f>
        <v>24.9822308375229</v>
      </c>
      <c r="AV67" s="11" t="n">
        <f aca="false">AV55+AV56+AV57+AV59+AV60+AV61+AV62+AV63+AV64+AV65+AV66</f>
        <v>25.8729143000697</v>
      </c>
      <c r="AW67" s="11" t="n">
        <f aca="false">AW55+AW56+AW57+AW59+AW60+AW61+AW62+AW63+AW64+AW65+AW66</f>
        <v>26.0923553100415</v>
      </c>
      <c r="AX67" s="11" t="n">
        <f aca="false">AX55+AX56+AX57+AX59+AX60+AX61+AX62+AX63+AX64+AX65+AX66</f>
        <v>26.2572202037918</v>
      </c>
      <c r="AY67" s="11" t="n">
        <f aca="false">AY55+AY56+AY57+AY59+AY60+AY61+AY62+AY63+AY64+AY65+AY66</f>
        <v>26.5935567775844</v>
      </c>
      <c r="AZ67" s="11" t="n">
        <f aca="false">AZ55+AZ56+AZ57+AZ59+AZ60+AZ61+AZ62+AZ63+AZ64+AZ65+AZ66</f>
        <v>26.9917360974788</v>
      </c>
      <c r="BA67" s="11" t="n">
        <f aca="false">BA55+BA56+BA57+BA59+BA60+BA61+BA62+BA63+BA64+BA65+BA66</f>
        <v>27.0721233116523</v>
      </c>
      <c r="BB67" s="11" t="n">
        <f aca="false">BB55+BB56+BB57+BB59+BB60+BB61+BB62+BB63+BB64+BB65+BB66</f>
        <v>26.9419743641717</v>
      </c>
      <c r="BC67" s="11" t="n">
        <f aca="false">BC55+BC56+BC57+BC59+BC60+BC61+BC62+BC63+BC64+BC65+BC66</f>
        <v>27.4402341619802</v>
      </c>
      <c r="BD67" s="11" t="n">
        <f aca="false">BD55+BD56+BD57+BD59+BD60+BD61+BD62+BD63+BD64+BD65+BD66</f>
        <v>28.1599008920775</v>
      </c>
      <c r="BE67" s="11" t="n">
        <f aca="false">BE55+BE56+BE57+BE59+BE60+BE61+BE62+BE63+BE64+BE65+BE66</f>
        <v>28.3991449467511</v>
      </c>
      <c r="BF67" s="11" t="n">
        <f aca="false">BF55+BF56+BF57+BF59+BF60+BF61+BF62+BF63+BF64+BF65+BF66</f>
        <v>28.5789138724442</v>
      </c>
      <c r="BG67" s="11" t="n">
        <f aca="false">BG55+BG56+BG57+BG59+BG60+BG61+BG62+BG63+BG64+BG65+BG66</f>
        <v>28.9455511059135</v>
      </c>
      <c r="BH67" s="11" t="n">
        <f aca="false">BH55+BH56+BH57+BH59+BH60+BH61+BH62+BH63+BH64+BH65+BH66</f>
        <v>29.3795846776916</v>
      </c>
      <c r="BI67" s="11" t="n">
        <f aca="false">BI55+BI56+BI57+BI59+BI60+BI61+BI62+BI63+BI64+BI65+BI66</f>
        <v>29.3333889886534</v>
      </c>
      <c r="BJ67" s="11" t="n">
        <f aca="false">BJ55+BJ56+BJ57+BJ59+BJ60+BJ61+BJ62+BJ63+BJ64+BJ65+BJ66</f>
        <v>28.9667939538026</v>
      </c>
      <c r="BK67" s="11" t="n">
        <f aca="false">BK55+BK56+BK57+BK59+BK60+BK61+BK62+BK63+BK64+BK65+BK66</f>
        <v>29.5950397321077</v>
      </c>
      <c r="BL67" s="11" t="n">
        <f aca="false">BL55+BL56+BL57+BL59+BL60+BL61+BL62+BL63+BL64+BL65+BL66</f>
        <v>30.6530594007466</v>
      </c>
      <c r="BM67" s="11" t="n">
        <f aca="false">BM55+BM56+BM57+BM59+BM60+BM61+BM62+BM63+BM64+BM65+BM66</f>
        <v>20.6537126723536</v>
      </c>
      <c r="BN67" s="11" t="n">
        <f aca="false">BN55+BN56+BN57+BN59+BN60+BN61+BN62+BN63+BN64+BN65+BN66</f>
        <v>0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4890.55365079805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25.73098281395</v>
      </c>
      <c r="P68" s="11" t="n">
        <f aca="false">P37*P36/1000000</f>
        <v>77.1852057954582</v>
      </c>
      <c r="Q68" s="11" t="n">
        <f aca="false">Q37*Q36/1000000</f>
        <v>78.465244465635</v>
      </c>
      <c r="R68" s="11" t="n">
        <f aca="false">R37*R36/1000000</f>
        <v>77.9498629222601</v>
      </c>
      <c r="S68" s="11" t="n">
        <f aca="false">S37*S36/1000000</f>
        <v>79.7534070844464</v>
      </c>
      <c r="T68" s="11" t="n">
        <f aca="false">T37*T36/1000000</f>
        <v>80.2544807799192</v>
      </c>
      <c r="U68" s="11" t="n">
        <f aca="false">U37*U36/1000000</f>
        <v>80.9161498839552</v>
      </c>
      <c r="V68" s="11" t="n">
        <f aca="false">V37*V36/1000000</f>
        <v>79.0423514574039</v>
      </c>
      <c r="W68" s="11" t="n">
        <f aca="false">W37*W36/1000000</f>
        <v>81.5596170351762</v>
      </c>
      <c r="X68" s="11" t="n">
        <f aca="false">X37*X36/1000000</f>
        <v>83.4445713392668</v>
      </c>
      <c r="Y68" s="11" t="n">
        <f aca="false">Y37*Y36/1000000</f>
        <v>84.8277877116459</v>
      </c>
      <c r="Z68" s="11" t="n">
        <f aca="false">Z37*Z36/1000000</f>
        <v>84.2699915009788</v>
      </c>
      <c r="AA68" s="11" t="n">
        <f aca="false">AA37*AA36/1000000</f>
        <v>86.2191275153245</v>
      </c>
      <c r="AB68" s="11" t="n">
        <f aca="false">AB37*AB36/1000000</f>
        <v>86.760181213263</v>
      </c>
      <c r="AC68" s="11" t="n">
        <f aca="false">AC37*AC36/1000000</f>
        <v>86.8774192946939</v>
      </c>
      <c r="AD68" s="11" t="n">
        <f aca="false">AD37*AD36/1000000</f>
        <v>83.6565587500607</v>
      </c>
      <c r="AE68" s="11" t="n">
        <f aca="false">AE37*AE36/1000000</f>
        <v>86.950817416645</v>
      </c>
      <c r="AF68" s="11" t="n">
        <f aca="false">AF37*AF36/1000000</f>
        <v>90.2061950496166</v>
      </c>
      <c r="AG68" s="11" t="n">
        <f aca="false">AG37*AG36/1000000</f>
        <v>91.7008143065316</v>
      </c>
      <c r="AH68" s="11" t="n">
        <f aca="false">AH37*AH36/1000000</f>
        <v>91.0971468030825</v>
      </c>
      <c r="AI68" s="11" t="n">
        <f aca="false">AI37*AI36/1000000</f>
        <v>93.2034997853314</v>
      </c>
      <c r="AJ68" s="11" t="n">
        <f aca="false">AJ37*AJ36/1000000</f>
        <v>93.7876852647484</v>
      </c>
      <c r="AK68" s="11" t="n">
        <f aca="false">AK37*AK36/1000000</f>
        <v>94.5595263127573</v>
      </c>
      <c r="AL68" s="11" t="n">
        <f aca="false">AL37*AL36/1000000</f>
        <v>92.3684117734683</v>
      </c>
      <c r="AM68" s="11" t="n">
        <f aca="false">AM37*AM36/1000000</f>
        <v>95.3086561145915</v>
      </c>
      <c r="AN68" s="11" t="n">
        <f aca="false">AN37*AN36/1000000</f>
        <v>97.5099191604306</v>
      </c>
      <c r="AO68" s="11" t="n">
        <f aca="false">AO37*AO36/1000000</f>
        <v>99.1248142365637</v>
      </c>
      <c r="AP68" s="11" t="n">
        <f aca="false">AP37*AP36/1000000</f>
        <v>98.4715399528155</v>
      </c>
      <c r="AQ68" s="11" t="n">
        <f aca="false">AQ37*AQ36/1000000</f>
        <v>100.747652174361</v>
      </c>
      <c r="AR68" s="11" t="n">
        <f aca="false">AR37*AR36/1000000</f>
        <v>101.378366305647</v>
      </c>
      <c r="AS68" s="11" t="n">
        <f aca="false">AS37*AS36/1000000</f>
        <v>101.513844109913</v>
      </c>
      <c r="AT68" s="11" t="n">
        <f aca="false">AT37*AT36/1000000</f>
        <v>97.748900025806</v>
      </c>
      <c r="AU68" s="11" t="n">
        <f aca="false">AU37*AU36/1000000</f>
        <v>101.596575637686</v>
      </c>
      <c r="AV68" s="11" t="n">
        <f aca="false">AV37*AV36/1000000</f>
        <v>105.398706193355</v>
      </c>
      <c r="AW68" s="11" t="n">
        <f aca="false">AW37*AW36/1000000</f>
        <v>107.143448083852</v>
      </c>
      <c r="AX68" s="11" t="n">
        <f aca="false">AX37*AX36/1000000</f>
        <v>106.436530414813</v>
      </c>
      <c r="AY68" s="11" t="n">
        <f aca="false">AY37*AY36/1000000</f>
        <v>108.895932682542</v>
      </c>
      <c r="AZ68" s="11" t="n">
        <f aca="false">AZ37*AZ36/1000000</f>
        <v>109.576836182168</v>
      </c>
      <c r="BA68" s="11" t="n">
        <f aca="false">BA37*BA36/1000000</f>
        <v>110.476962502246</v>
      </c>
      <c r="BB68" s="11" t="n">
        <f aca="false">BB37*BB36/1000000</f>
        <v>107.915395678231</v>
      </c>
      <c r="BC68" s="11" t="n">
        <f aca="false">BC37*BC36/1000000</f>
        <v>111.348858138568</v>
      </c>
      <c r="BD68" s="11" t="n">
        <f aca="false">BD37*BD36/1000000</f>
        <v>113.918879733346</v>
      </c>
      <c r="BE68" s="11" t="n">
        <f aca="false">BE37*BE36/1000000</f>
        <v>115.803791645587</v>
      </c>
      <c r="BF68" s="11" t="n">
        <f aca="false">BF37*BF36/1000000</f>
        <v>115.038868858136</v>
      </c>
      <c r="BG68" s="11" t="n">
        <f aca="false">BG37*BG36/1000000</f>
        <v>117.696157361461</v>
      </c>
      <c r="BH68" s="11" t="n">
        <f aca="false">BH37*BH36/1000000</f>
        <v>118.431194953835</v>
      </c>
      <c r="BI68" s="11" t="n">
        <f aca="false">BI37*BI36/1000000</f>
        <v>118.58767824655</v>
      </c>
      <c r="BJ68" s="11" t="n">
        <f aca="false">BJ37*BJ36/1000000</f>
        <v>114.187782052212</v>
      </c>
      <c r="BK68" s="11" t="n">
        <f aca="false">BK37*BK36/1000000</f>
        <v>118.680752403128</v>
      </c>
      <c r="BL68" s="11" t="n">
        <f aca="false">BL37*BL36/1000000</f>
        <v>123.120383456475</v>
      </c>
      <c r="BM68" s="11" t="n">
        <f aca="false">BM37*BM36/1000000</f>
        <v>83.7081882181135</v>
      </c>
      <c r="BN68" s="11" t="n">
        <f aca="false">BN37*BN36/1000000</f>
        <v>0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5727.32992541584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30.3693941991122</v>
      </c>
      <c r="P69" s="11" t="n">
        <f aca="false">P68+P47+P48+P49</f>
        <v>91.1627555204036</v>
      </c>
      <c r="Q69" s="11" t="n">
        <f aca="false">Q68+Q47+Q48+Q49</f>
        <v>92.4535708096896</v>
      </c>
      <c r="R69" s="11" t="n">
        <f aca="false">R68+R47+R48+R49</f>
        <v>92.1123083389789</v>
      </c>
      <c r="S69" s="11" t="n">
        <f aca="false">S68+S47+S48+S49</f>
        <v>93.9426640295733</v>
      </c>
      <c r="T69" s="11" t="n">
        <f aca="false">T68+T47+T48+T49</f>
        <v>94.652951535959</v>
      </c>
      <c r="U69" s="11" t="n">
        <f aca="false">U68+U47+U48+U49</f>
        <v>95.3700562753901</v>
      </c>
      <c r="V69" s="11" t="n">
        <f aca="false">V68+V47+V48+V49</f>
        <v>93.5681098563624</v>
      </c>
      <c r="W69" s="11" t="n">
        <f aca="false">W68+W47+W48+W49</f>
        <v>96.133390813805</v>
      </c>
      <c r="X69" s="11" t="n">
        <f aca="false">X68+X47+X48+X49</f>
        <v>98.2766009097452</v>
      </c>
      <c r="Y69" s="11" t="n">
        <f aca="false">Y68+Y47+Y48+Y49</f>
        <v>99.6711981336584</v>
      </c>
      <c r="Z69" s="11" t="n">
        <f aca="false">Z68+Z47+Z48+Z49</f>
        <v>99.2982077219474</v>
      </c>
      <c r="AA69" s="11" t="n">
        <f aca="false">AA68+AA47+AA48+AA49</f>
        <v>101.275721141714</v>
      </c>
      <c r="AB69" s="11" t="n">
        <f aca="false">AB68+AB47+AB48+AB49</f>
        <v>102.038785663564</v>
      </c>
      <c r="AC69" s="11" t="n">
        <f aca="false">AC68+AC47+AC48+AC49</f>
        <v>102.196388423457</v>
      </c>
      <c r="AD69" s="11" t="n">
        <f aca="false">AD68+AD47+AD48+AD49</f>
        <v>99.0149752517049</v>
      </c>
      <c r="AE69" s="11" t="n">
        <f aca="false">AE68+AE47+AE48+AE49</f>
        <v>102.377976486296</v>
      </c>
      <c r="AF69" s="11" t="n">
        <f aca="false">AF68+AF47+AF48+AF49</f>
        <v>105.944780014625</v>
      </c>
      <c r="AG69" s="11" t="n">
        <f aca="false">AG68+AG47+AG48+AG49</f>
        <v>107.451416051078</v>
      </c>
      <c r="AH69" s="11" t="n">
        <f aca="false">AH68+AH47+AH48+AH49</f>
        <v>107.043898019981</v>
      </c>
      <c r="AI69" s="11" t="n">
        <f aca="false">AI68+AI47+AI48+AI49</f>
        <v>109.180282561477</v>
      </c>
      <c r="AJ69" s="11" t="n">
        <f aca="false">AJ68+AJ47+AJ48+AJ49</f>
        <v>110.000057572012</v>
      </c>
      <c r="AK69" s="11" t="n">
        <f aca="false">AK68+AK47+AK48+AK49</f>
        <v>110.834279512853</v>
      </c>
      <c r="AL69" s="11" t="n">
        <f aca="false">AL68+AL47+AL48+AL49</f>
        <v>108.724237057493</v>
      </c>
      <c r="AM69" s="11" t="n">
        <f aca="false">AM68+AM47+AM48+AM49</f>
        <v>111.718331224462</v>
      </c>
      <c r="AN69" s="11" t="n">
        <f aca="false">AN68+AN47+AN48+AN49</f>
        <v>114.210298798986</v>
      </c>
      <c r="AO69" s="11" t="n">
        <f aca="false">AO68+AO47+AO48+AO49</f>
        <v>115.837879777501</v>
      </c>
      <c r="AP69" s="11" t="n">
        <f aca="false">AP68+AP47+AP48+AP49</f>
        <v>115.392796034862</v>
      </c>
      <c r="AQ69" s="11" t="n">
        <f aca="false">AQ68+AQ47+AQ48+AQ49</f>
        <v>117.700687003539</v>
      </c>
      <c r="AR69" s="11" t="n">
        <f aca="false">AR68+AR47+AR48+AR49</f>
        <v>118.581398750741</v>
      </c>
      <c r="AS69" s="11" t="n">
        <f aca="false">AS68+AS47+AS48+AS49</f>
        <v>118.762331320275</v>
      </c>
      <c r="AT69" s="11" t="n">
        <f aca="false">AT68+AT47+AT48+AT49</f>
        <v>115.042085799165</v>
      </c>
      <c r="AU69" s="11" t="n">
        <f aca="false">AU68+AU47+AU48+AU49</f>
        <v>118.966881841612</v>
      </c>
      <c r="AV69" s="11" t="n">
        <f aca="false">AV68+AV47+AV48+AV49</f>
        <v>123.119475097615</v>
      </c>
      <c r="AW69" s="11" t="n">
        <f aca="false">AW68+AW47+AW48+AW49</f>
        <v>124.877606765003</v>
      </c>
      <c r="AX69" s="11" t="n">
        <f aca="false">AX68+AX47+AX48+AX49</f>
        <v>124.391661043734</v>
      </c>
      <c r="AY69" s="11" t="n">
        <f aca="false">AY68+AY47+AY48+AY49</f>
        <v>126.884687278145</v>
      </c>
      <c r="AZ69" s="11" t="n">
        <f aca="false">AZ68+AZ47+AZ48+AZ49</f>
        <v>127.83087644408</v>
      </c>
      <c r="BA69" s="11" t="n">
        <f aca="false">BA68+BA47+BA48+BA49</f>
        <v>128.801196402025</v>
      </c>
      <c r="BB69" s="11" t="n">
        <f aca="false">BB68+BB47+BB48+BB49</f>
        <v>126.331121770805</v>
      </c>
      <c r="BC69" s="11" t="n">
        <f aca="false">BC68+BC47+BC48+BC49</f>
        <v>129.824956640078</v>
      </c>
      <c r="BD69" s="11" t="n">
        <f aca="false">BD68+BD47+BD48+BD49</f>
        <v>132.722190954215</v>
      </c>
      <c r="BE69" s="11" t="n">
        <f aca="false">BE68+BE47+BE48+BE49</f>
        <v>134.621232884901</v>
      </c>
      <c r="BF69" s="11" t="n">
        <f aca="false">BF68+BF47+BF48+BF49</f>
        <v>134.090849380663</v>
      </c>
      <c r="BG69" s="11" t="n">
        <f aca="false">BG68+BG47+BG48+BG49</f>
        <v>136.783710350767</v>
      </c>
      <c r="BH69" s="11" t="n">
        <f aca="false">BH68+BH47+BH48+BH49</f>
        <v>137.800255294735</v>
      </c>
      <c r="BI69" s="11" t="n">
        <f aca="false">BI68+BI47+BI48+BI49</f>
        <v>138.007927983268</v>
      </c>
      <c r="BJ69" s="11" t="n">
        <f aca="false">BJ68+BJ47+BJ48+BJ49</f>
        <v>133.658707850668</v>
      </c>
      <c r="BK69" s="11" t="n">
        <f aca="false">BK68+BK47+BK48+BK49</f>
        <v>138.23816998971</v>
      </c>
      <c r="BL69" s="11" t="n">
        <f aca="false">BL68+BL47+BL48+BL49</f>
        <v>143.072163907049</v>
      </c>
      <c r="BM69" s="11" t="n">
        <f aca="false">BM68+BM47+BM48+BM49</f>
        <v>96.9664389263518</v>
      </c>
      <c r="BN69" s="11" t="n">
        <f aca="false">BN68+BN47+BN48+BN49</f>
        <v>0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0.111397162316252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0.0986457331876719</v>
      </c>
      <c r="Q70" s="11" t="n">
        <f aca="false">SUMIFS(Construction!$J$36:$BJ$36,Construction!$J$12:$BJ$12,Time!Q17,Construction!$J$8:$BJ$8,"&gt;"&amp;Time!$F$13)</f>
        <v>0.0127514291285803</v>
      </c>
      <c r="R70" s="11" t="n">
        <f aca="false">SUMIFS(Construction!$J$36:$BJ$36,Construction!$J$12:$BJ$12,Time!R17,Construction!$J$8:$BJ$8,"&gt;"&amp;Time!$F$13)</f>
        <v>0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1</v>
      </c>
      <c r="Q72" s="9" t="n">
        <f aca="false">INT((Time!Q28-7)/12)+1</f>
        <v>1</v>
      </c>
      <c r="R72" s="9" t="n">
        <f aca="false">INT((Time!R28-7)/12)+1</f>
        <v>2</v>
      </c>
      <c r="S72" s="9" t="n">
        <f aca="false">INT((Time!S28-7)/12)+1</f>
        <v>2</v>
      </c>
      <c r="T72" s="9" t="n">
        <f aca="false">INT((Time!T28-7)/12)+1</f>
        <v>3</v>
      </c>
      <c r="U72" s="9" t="n">
        <f aca="false">INT((Time!U28-7)/12)+1</f>
        <v>3</v>
      </c>
      <c r="V72" s="9" t="n">
        <f aca="false">INT((Time!V28-7)/12)+1</f>
        <v>4</v>
      </c>
      <c r="W72" s="9" t="n">
        <f aca="false">INT((Time!W28-7)/12)+1</f>
        <v>4</v>
      </c>
      <c r="X72" s="9" t="n">
        <f aca="false">INT((Time!X28-7)/12)+1</f>
        <v>5</v>
      </c>
      <c r="Y72" s="9" t="n">
        <f aca="false">INT((Time!Y28-7)/12)+1</f>
        <v>5</v>
      </c>
      <c r="Z72" s="9" t="n">
        <f aca="false">INT((Time!Z28-7)/12)+1</f>
        <v>6</v>
      </c>
      <c r="AA72" s="9" t="n">
        <f aca="false">INT((Time!AA28-7)/12)+1</f>
        <v>6</v>
      </c>
      <c r="AB72" s="9" t="n">
        <f aca="false">INT((Time!AB28-7)/12)+1</f>
        <v>7</v>
      </c>
      <c r="AC72" s="9" t="n">
        <f aca="false">INT((Time!AC28-7)/12)+1</f>
        <v>7</v>
      </c>
      <c r="AD72" s="9" t="n">
        <f aca="false">INT((Time!AD28-7)/12)+1</f>
        <v>8</v>
      </c>
      <c r="AE72" s="9" t="n">
        <f aca="false">INT((Time!AE28-7)/12)+1</f>
        <v>8</v>
      </c>
      <c r="AF72" s="9" t="n">
        <f aca="false">INT((Time!AF28-7)/12)+1</f>
        <v>9</v>
      </c>
      <c r="AG72" s="9" t="n">
        <f aca="false">INT((Time!AG28-7)/12)+1</f>
        <v>9</v>
      </c>
      <c r="AH72" s="9" t="n">
        <f aca="false">INT((Time!AH28-7)/12)+1</f>
        <v>10</v>
      </c>
      <c r="AI72" s="9" t="n">
        <f aca="false">INT((Time!AI28-7)/12)+1</f>
        <v>10</v>
      </c>
      <c r="AJ72" s="9" t="n">
        <f aca="false">INT((Time!AJ28-7)/12)+1</f>
        <v>11</v>
      </c>
      <c r="AK72" s="9" t="n">
        <f aca="false">INT((Time!AK28-7)/12)+1</f>
        <v>11</v>
      </c>
      <c r="AL72" s="9" t="n">
        <f aca="false">INT((Time!AL28-7)/12)+1</f>
        <v>12</v>
      </c>
      <c r="AM72" s="9" t="n">
        <f aca="false">INT((Time!AM28-7)/12)+1</f>
        <v>12</v>
      </c>
      <c r="AN72" s="9" t="n">
        <f aca="false">INT((Time!AN28-7)/12)+1</f>
        <v>13</v>
      </c>
      <c r="AO72" s="9" t="n">
        <f aca="false">INT((Time!AO28-7)/12)+1</f>
        <v>13</v>
      </c>
      <c r="AP72" s="9" t="n">
        <f aca="false">INT((Time!AP28-7)/12)+1</f>
        <v>14</v>
      </c>
      <c r="AQ72" s="9" t="n">
        <f aca="false">INT((Time!AQ28-7)/12)+1</f>
        <v>14</v>
      </c>
      <c r="AR72" s="9" t="n">
        <f aca="false">INT((Time!AR28-7)/12)+1</f>
        <v>15</v>
      </c>
      <c r="AS72" s="9" t="n">
        <f aca="false">INT((Time!AS28-7)/12)+1</f>
        <v>15</v>
      </c>
      <c r="AT72" s="9" t="n">
        <f aca="false">INT((Time!AT28-7)/12)+1</f>
        <v>16</v>
      </c>
      <c r="AU72" s="9" t="n">
        <f aca="false">INT((Time!AU28-7)/12)+1</f>
        <v>16</v>
      </c>
      <c r="AV72" s="9" t="n">
        <f aca="false">INT((Time!AV28-7)/12)+1</f>
        <v>17</v>
      </c>
      <c r="AW72" s="9" t="n">
        <f aca="false">INT((Time!AW28-7)/12)+1</f>
        <v>17</v>
      </c>
      <c r="AX72" s="9" t="n">
        <f aca="false">INT((Time!AX28-7)/12)+1</f>
        <v>18</v>
      </c>
      <c r="AY72" s="9" t="n">
        <f aca="false">INT((Time!AY28-7)/12)+1</f>
        <v>18</v>
      </c>
      <c r="AZ72" s="9" t="n">
        <f aca="false">INT((Time!AZ28-7)/12)+1</f>
        <v>19</v>
      </c>
      <c r="BA72" s="9" t="n">
        <f aca="false">INT((Time!BA28-7)/12)+1</f>
        <v>19</v>
      </c>
      <c r="BB72" s="9" t="n">
        <f aca="false">INT((Time!BB28-7)/12)+1</f>
        <v>20</v>
      </c>
      <c r="BC72" s="9" t="n">
        <f aca="false">INT((Time!BC28-7)/12)+1</f>
        <v>20</v>
      </c>
      <c r="BD72" s="9" t="n">
        <f aca="false">INT((Time!BD28-7)/12)+1</f>
        <v>21</v>
      </c>
      <c r="BE72" s="9" t="n">
        <f aca="false">INT((Time!BE28-7)/12)+1</f>
        <v>21</v>
      </c>
      <c r="BF72" s="9" t="n">
        <f aca="false">INT((Time!BF28-7)/12)+1</f>
        <v>22</v>
      </c>
      <c r="BG72" s="9" t="n">
        <f aca="false">INT((Time!BG28-7)/12)+1</f>
        <v>22</v>
      </c>
      <c r="BH72" s="9" t="n">
        <f aca="false">INT((Time!BH28-7)/12)+1</f>
        <v>23</v>
      </c>
      <c r="BI72" s="9" t="n">
        <f aca="false">INT((Time!BI28-7)/12)+1</f>
        <v>23</v>
      </c>
      <c r="BJ72" s="9" t="n">
        <f aca="false">INT((Time!BJ28-7)/12)+1</f>
        <v>24</v>
      </c>
      <c r="BK72" s="9" t="n">
        <f aca="false">INT((Time!BK28-7)/12)+1</f>
        <v>24</v>
      </c>
      <c r="BL72" s="9" t="n">
        <f aca="false">INT((Time!BL28-7)/12)+1</f>
        <v>25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2.18</v>
      </c>
      <c r="W73" s="11" t="n">
        <f aca="false">IF(AND(Time!W25&gt;0,W72&gt;=1,W72&lt;=24,Time!W27&lt;(W72-1)*12+7,(W72-1)*12+7&lt;=Time!W28),IF(MOD(W72,8)=0,Inputs!$F$161,IF(MOD(W72,4)=0,Inputs!$F$162,0)),0)</f>
        <v>0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9.47</v>
      </c>
      <c r="AE73" s="11" t="n">
        <f aca="false">IF(AND(Time!AE25&gt;0,AE72&gt;=1,AE72&lt;=24,Time!AE27&lt;(AE72-1)*12+7,(AE72-1)*12+7&lt;=Time!AE28),IF(MOD(AE72,8)=0,Inputs!$F$161,IF(MOD(AE72,4)=0,Inputs!$F$162,0)),0)</f>
        <v>0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2.18</v>
      </c>
      <c r="AM73" s="11" t="n">
        <f aca="false">IF(AND(Time!AM25&gt;0,AM72&gt;=1,AM72&lt;=24,Time!AM27&lt;(AM72-1)*12+7,(AM72-1)*12+7&lt;=Time!AM28),IF(MOD(AM72,8)=0,Inputs!$F$161,IF(MOD(AM72,4)=0,Inputs!$F$162,0)),0)</f>
        <v>0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9.47</v>
      </c>
      <c r="AU73" s="11" t="n">
        <f aca="false">IF(AND(Time!AU25&gt;0,AU72&gt;=1,AU72&lt;=24,Time!AU27&lt;(AU72-1)*12+7,(AU72-1)*12+7&lt;=Time!AU28),IF(MOD(AU72,8)=0,Inputs!$F$161,IF(MOD(AU72,4)=0,Inputs!$F$162,0)),0)</f>
        <v>0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2.18</v>
      </c>
      <c r="BC73" s="11" t="n">
        <f aca="false">IF(AND(Time!BC25&gt;0,BC72&gt;=1,BC72&lt;=24,Time!BC27&lt;(BC72-1)*12+7,(BC72-1)*12+7&lt;=Time!BC28),IF(MOD(BC72,8)=0,Inputs!$F$161,IF(MOD(BC72,4)=0,Inputs!$F$162,0)),0)</f>
        <v>0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9.47</v>
      </c>
      <c r="BK73" s="11" t="n">
        <f aca="false">IF(AND(Time!BK25&gt;0,BK72&gt;=1,BK72&lt;=24,Time!BK27&lt;(BK72-1)*12+7,(BK72-1)*12+7&lt;=Time!BK28),IF(MOD(BK72,8)=0,Inputs!$F$161,IF(MOD(BK72,4)=0,Inputs!$F$162,0)),0)</f>
        <v>0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51.6980654911653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2.49760981472916</v>
      </c>
      <c r="W74" s="11" t="n">
        <f aca="false">W73*W19</f>
        <v>0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11.8364552618008</v>
      </c>
      <c r="AE74" s="11" t="n">
        <f aca="false">AE73*AE19</f>
        <v>0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2.97256772949548</v>
      </c>
      <c r="AM74" s="11" t="n">
        <f aca="false">AM73*AM19</f>
        <v>0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14.0873345129217</v>
      </c>
      <c r="AU74" s="11" t="n">
        <f aca="false">AU73*AU19</f>
        <v>0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3.53784600554035</v>
      </c>
      <c r="BC74" s="11" t="n">
        <f aca="false">BC73*BC19</f>
        <v>0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16.7662521666779</v>
      </c>
      <c r="BK74" s="11" t="n">
        <f aca="false">BK73*BK19</f>
        <v>0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2</v>
      </c>
      <c r="BB75" s="9" t="n">
        <f aca="false">MAX(0,MIN(Time!BB28,300)-MAX(Time!BB27,228))</f>
        <v>6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4</v>
      </c>
      <c r="BN75" s="9" t="n">
        <f aca="false">MAX(0,MIN(Time!BN28,300)-MAX(Time!BN27,228))</f>
        <v>0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19.0691898563542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0.494968386608688</v>
      </c>
      <c r="BB76" s="11" t="n">
        <f aca="false">Inputs!$F$163*BB19*BB75/12</f>
        <v>1.50115025464441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1.12800969439314</v>
      </c>
      <c r="BN76" s="11" t="n">
        <f aca="false">Inputs!$F$163*BN19*BN75/12</f>
        <v>0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19.0691898563542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19.0691898563542</v>
      </c>
      <c r="BN77" s="11" t="n">
        <f aca="false">Time!BN32*SUM($J$76:$BN$76)</f>
        <v>0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6992.78586244317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36.4603562697022</v>
      </c>
      <c r="P78" s="11" t="n">
        <f aca="false">P67+P69+P70+P71+P74+P77</f>
        <v>109.727577409911</v>
      </c>
      <c r="Q78" s="11" t="n">
        <f aca="false">Q67+Q69+Q70+Q71+Q74+Q77</f>
        <v>111.087816665622</v>
      </c>
      <c r="R78" s="11" t="n">
        <f aca="false">R67+R69+R70+R71+R74+R77</f>
        <v>110.850425000411</v>
      </c>
      <c r="S78" s="11" t="n">
        <f aca="false">S67+S69+S70+S71+S74+S77</f>
        <v>112.9189696011</v>
      </c>
      <c r="T78" s="11" t="n">
        <f aca="false">T67+T69+T70+T71+T74+T77</f>
        <v>113.911288370084</v>
      </c>
      <c r="U78" s="11" t="n">
        <f aca="false">U67+U69+U70+U71+U74+U77</f>
        <v>114.685113878368</v>
      </c>
      <c r="V78" s="11" t="n">
        <f aca="false">V67+V69+V70+V71+V74+V77</f>
        <v>115.288229316892</v>
      </c>
      <c r="W78" s="11" t="n">
        <f aca="false">W67+W69+W70+W71+W74+W77</f>
        <v>115.708877928134</v>
      </c>
      <c r="X78" s="11" t="n">
        <f aca="false">X67+X69+X70+X71+X74+X77</f>
        <v>118.362035680286</v>
      </c>
      <c r="Y78" s="11" t="n">
        <f aca="false">Y67+Y69+Y70+Y71+Y74+Y77</f>
        <v>119.925967863615</v>
      </c>
      <c r="Z78" s="11" t="n">
        <f aca="false">Z67+Z69+Z70+Z71+Z74+Z77</f>
        <v>119.68014263715</v>
      </c>
      <c r="AA78" s="11" t="n">
        <f aca="false">AA67+AA69+AA70+AA71+AA74+AA77</f>
        <v>121.917304113857</v>
      </c>
      <c r="AB78" s="11" t="n">
        <f aca="false">AB67+AB69+AB70+AB71+AB74+AB77</f>
        <v>122.987796378808</v>
      </c>
      <c r="AC78" s="11" t="n">
        <f aca="false">AC67+AC69+AC70+AC71+AC74+AC77</f>
        <v>123.112350166373</v>
      </c>
      <c r="AD78" s="11" t="n">
        <f aca="false">AD67+AD69+AD70+AD71+AD74+AD77</f>
        <v>131.506092632557</v>
      </c>
      <c r="AE78" s="11" t="n">
        <f aca="false">AE67+AE69+AE70+AE71+AE74+AE77</f>
        <v>123.478839503728</v>
      </c>
      <c r="AF78" s="11" t="n">
        <f aca="false">AF67+AF69+AF70+AF71+AF74+AF77</f>
        <v>127.795453375187</v>
      </c>
      <c r="AG78" s="11" t="n">
        <f aca="false">AG67+AG69+AG70+AG71+AG74+AG77</f>
        <v>129.486705918808</v>
      </c>
      <c r="AH78" s="11" t="n">
        <f aca="false">AH67+AH69+AH70+AH71+AH74+AH77</f>
        <v>129.217849098941</v>
      </c>
      <c r="AI78" s="11" t="n">
        <f aca="false">AI67+AI69+AI70+AI71+AI74+AI77</f>
        <v>131.637273988888</v>
      </c>
      <c r="AJ78" s="11" t="n">
        <f aca="false">AJ67+AJ69+AJ70+AJ71+AJ74+AJ77</f>
        <v>132.792159909335</v>
      </c>
      <c r="AK78" s="11" t="n">
        <f aca="false">AK67+AK69+AK70+AK71+AK74+AK77</f>
        <v>133.693906844919</v>
      </c>
      <c r="AL78" s="11" t="n">
        <f aca="false">AL67+AL69+AL70+AL71+AL74+AL77</f>
        <v>134.446681598864</v>
      </c>
      <c r="AM78" s="11" t="n">
        <f aca="false">AM67+AM69+AM70+AM71+AM74+AM77</f>
        <v>134.887582583069</v>
      </c>
      <c r="AN78" s="11" t="n">
        <f aca="false">AN67+AN69+AN70+AN71+AN74+AN77</f>
        <v>137.98535014177</v>
      </c>
      <c r="AO78" s="11" t="n">
        <f aca="false">AO67+AO69+AO70+AO71+AO74+AO77</f>
        <v>139.814208167224</v>
      </c>
      <c r="AP78" s="11" t="n">
        <f aca="false">AP67+AP69+AP70+AP71+AP74+AP77</f>
        <v>139.520320891353</v>
      </c>
      <c r="AQ78" s="11" t="n">
        <f aca="false">AQ67+AQ69+AQ70+AQ71+AQ74+AQ77</f>
        <v>142.136751775817</v>
      </c>
      <c r="AR78" s="11" t="n">
        <f aca="false">AR67+AR69+AR70+AR71+AR74+AR77</f>
        <v>143.382750157225</v>
      </c>
      <c r="AS78" s="11" t="n">
        <f aca="false">AS67+AS69+AS70+AS71+AS74+AS77</f>
        <v>143.524608599235</v>
      </c>
      <c r="AT78" s="11" t="n">
        <f aca="false">AT67+AT69+AT70+AT71+AT74+AT77</f>
        <v>153.582241535107</v>
      </c>
      <c r="AU78" s="11" t="n">
        <f aca="false">AU67+AU69+AU70+AU71+AU74+AU77</f>
        <v>143.949112679135</v>
      </c>
      <c r="AV78" s="11" t="n">
        <f aca="false">AV67+AV69+AV70+AV71+AV74+AV77</f>
        <v>148.992389397685</v>
      </c>
      <c r="AW78" s="11" t="n">
        <f aca="false">AW67+AW69+AW70+AW71+AW74+AW77</f>
        <v>150.969962075045</v>
      </c>
      <c r="AX78" s="11" t="n">
        <f aca="false">AX67+AX69+AX70+AX71+AX74+AX77</f>
        <v>150.648881247526</v>
      </c>
      <c r="AY78" s="11" t="n">
        <f aca="false">AY67+AY69+AY70+AY71+AY74+AY77</f>
        <v>153.47824405573</v>
      </c>
      <c r="AZ78" s="11" t="n">
        <f aca="false">AZ67+AZ69+AZ70+AZ71+AZ74+AZ77</f>
        <v>154.822612541559</v>
      </c>
      <c r="BA78" s="11" t="n">
        <f aca="false">BA67+BA69+BA70+BA71+BA74+BA77</f>
        <v>155.873319713678</v>
      </c>
      <c r="BB78" s="11" t="n">
        <f aca="false">BB67+BB69+BB70+BB71+BB74+BB77</f>
        <v>156.810942140517</v>
      </c>
      <c r="BC78" s="11" t="n">
        <f aca="false">BC67+BC69+BC70+BC71+BC74+BC77</f>
        <v>157.265190802059</v>
      </c>
      <c r="BD78" s="11" t="n">
        <f aca="false">BD67+BD69+BD70+BD71+BD74+BD77</f>
        <v>160.882091846293</v>
      </c>
      <c r="BE78" s="11" t="n">
        <f aca="false">BE67+BE69+BE70+BE71+BE74+BE77</f>
        <v>163.020377831652</v>
      </c>
      <c r="BF78" s="11" t="n">
        <f aca="false">BF67+BF69+BF70+BF71+BF74+BF77</f>
        <v>162.669763253107</v>
      </c>
      <c r="BG78" s="11" t="n">
        <f aca="false">BG67+BG69+BG70+BG71+BG74+BG77</f>
        <v>165.72926145668</v>
      </c>
      <c r="BH78" s="11" t="n">
        <f aca="false">BH67+BH69+BH70+BH71+BH74+BH77</f>
        <v>167.179839972427</v>
      </c>
      <c r="BI78" s="11" t="n">
        <f aca="false">BI67+BI69+BI70+BI71+BI74+BI77</f>
        <v>167.341316971921</v>
      </c>
      <c r="BJ78" s="11" t="n">
        <f aca="false">BJ67+BJ69+BJ70+BJ71+BJ74+BJ77</f>
        <v>179.391753971148</v>
      </c>
      <c r="BK78" s="11" t="n">
        <f aca="false">BK67+BK69+BK70+BK71+BK74+BK77</f>
        <v>167.833209721818</v>
      </c>
      <c r="BL78" s="11" t="n">
        <f aca="false">BL67+BL69+BL70+BL71+BL74+BL77</f>
        <v>173.725223307795</v>
      </c>
      <c r="BM78" s="11" t="n">
        <f aca="false">BM67+BM69+BM70+BM71+BM74+BM77</f>
        <v>136.68934145506</v>
      </c>
      <c r="BN78" s="11" t="n">
        <f aca="false">BN67+BN69+BN70+BN71+BN74+BN77</f>
        <v>0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2551.43649970451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16.5523212779918</v>
      </c>
      <c r="P79" s="11" t="n">
        <f aca="false">P51-P78+P53</f>
        <v>49.6539257804251</v>
      </c>
      <c r="Q79" s="11" t="n">
        <f aca="false">Q51-Q78+Q53</f>
        <v>49.8496278435432</v>
      </c>
      <c r="R79" s="11" t="n">
        <f aca="false">R51-R78+R53</f>
        <v>49.9855261309871</v>
      </c>
      <c r="S79" s="11" t="n">
        <f aca="false">S51-S78+S53</f>
        <v>50.0683403618542</v>
      </c>
      <c r="T79" s="11" t="n">
        <f aca="false">T51-T78+T53</f>
        <v>50.1342780766878</v>
      </c>
      <c r="U79" s="11" t="n">
        <f aca="false">U51-U78+U53</f>
        <v>50.2873669910437</v>
      </c>
      <c r="V79" s="11" t="n">
        <f aca="false">V51-V78+V53</f>
        <v>47.9982048838494</v>
      </c>
      <c r="W79" s="11" t="n">
        <f aca="false">W51-W78+W53</f>
        <v>50.5429067435296</v>
      </c>
      <c r="X79" s="11" t="n">
        <f aca="false">X51-X78+X53</f>
        <v>50.5312101782456</v>
      </c>
      <c r="Y79" s="11" t="n">
        <f aca="false">Y51-Y78+Y53</f>
        <v>50.6497606175813</v>
      </c>
      <c r="Z79" s="11" t="n">
        <f aca="false">Z51-Z78+Z53</f>
        <v>50.7845551226955</v>
      </c>
      <c r="AA79" s="11" t="n">
        <f aca="false">AA51-AA78+AA53</f>
        <v>50.8729674087152</v>
      </c>
      <c r="AB79" s="11" t="n">
        <f aca="false">AB51-AB78+AB53</f>
        <v>50.9439836399245</v>
      </c>
      <c r="AC79" s="11" t="n">
        <f aca="false">AC51-AC78+AC53</f>
        <v>51.1464809099471</v>
      </c>
      <c r="AD79" s="11" t="n">
        <f aca="false">AD51-AD78+AD53</f>
        <v>38.659991944834</v>
      </c>
      <c r="AE79" s="11" t="n">
        <f aca="false">AE51-AE78+AE53</f>
        <v>51.462474595561</v>
      </c>
      <c r="AF79" s="11" t="n">
        <f aca="false">AF51-AF78+AF53</f>
        <v>51.3732395284939</v>
      </c>
      <c r="AG79" s="11" t="n">
        <f aca="false">AG51-AG78+AG53</f>
        <v>51.5012459115863</v>
      </c>
      <c r="AH79" s="11" t="n">
        <f aca="false">AH51-AH78+AH53</f>
        <v>51.6487727622894</v>
      </c>
      <c r="AI79" s="11" t="n">
        <f aca="false">AI51-AI78+AI53</f>
        <v>51.7431611362602</v>
      </c>
      <c r="AJ79" s="11" t="n">
        <f aca="false">AJ51-AJ78+AJ53</f>
        <v>51.8196452036536</v>
      </c>
      <c r="AK79" s="11" t="n">
        <f aca="false">AK51-AK78+AK53</f>
        <v>52.0010024208087</v>
      </c>
      <c r="AL79" s="11" t="n">
        <f aca="false">AL51-AL78+AL53</f>
        <v>49.28137515465</v>
      </c>
      <c r="AM79" s="11" t="n">
        <f aca="false">AM51-AM78+AM53</f>
        <v>52.3038051568255</v>
      </c>
      <c r="AN79" s="11" t="n">
        <f aca="false">AN51-AN78+AN53</f>
        <v>52.2838954097963</v>
      </c>
      <c r="AO79" s="11" t="n">
        <f aca="false">AO51-AO78+AO53</f>
        <v>52.4221306844942</v>
      </c>
      <c r="AP79" s="11" t="n">
        <f aca="false">AP51-AP78+AP53</f>
        <v>52.5835744072127</v>
      </c>
      <c r="AQ79" s="11" t="n">
        <f aca="false">AQ51-AQ78+AQ53</f>
        <v>52.6843425998417</v>
      </c>
      <c r="AR79" s="11" t="n">
        <f aca="false">AR51-AR78+AR53</f>
        <v>52.7667134135945</v>
      </c>
      <c r="AS79" s="11" t="n">
        <f aca="false">AS51-AS78+AS53</f>
        <v>53.0085353837365</v>
      </c>
      <c r="AT79" s="11" t="n">
        <f aca="false">AT51-AT78+AT53</f>
        <v>38.2669512783856</v>
      </c>
      <c r="AU79" s="11" t="n">
        <f aca="false">AU51-AU78+AU53</f>
        <v>53.3849584066187</v>
      </c>
      <c r="AV79" s="11" t="n">
        <f aca="false">AV51-AV78+AV53</f>
        <v>53.2688521893509</v>
      </c>
      <c r="AW79" s="11" t="n">
        <f aca="false">AW51-AW78+AW53</f>
        <v>53.4181541054966</v>
      </c>
      <c r="AX79" s="11" t="n">
        <f aca="false">AX51-AX78+AX53</f>
        <v>53.5948081578694</v>
      </c>
      <c r="AY79" s="11" t="n">
        <f aca="false">AY51-AY78+AY53</f>
        <v>53.7023873765837</v>
      </c>
      <c r="AZ79" s="11" t="n">
        <f aca="false">AZ51-AZ78+AZ53</f>
        <v>53.7910956541367</v>
      </c>
      <c r="BA79" s="11" t="n">
        <f aca="false">BA51-BA78+BA53</f>
        <v>54.0060069280155</v>
      </c>
      <c r="BB79" s="11" t="n">
        <f aca="false">BB51-BB78+BB53</f>
        <v>50.7747418357152</v>
      </c>
      <c r="BC79" s="11" t="n">
        <f aca="false">BC51-BC78+BC53</f>
        <v>54.3648657475741</v>
      </c>
      <c r="BD79" s="11" t="n">
        <f aca="false">BD51-BD78+BD53</f>
        <v>54.334259954828</v>
      </c>
      <c r="BE79" s="11" t="n">
        <f aca="false">BE51-BE78+BE53</f>
        <v>54.4955366303577</v>
      </c>
      <c r="BF79" s="11" t="n">
        <f aca="false">BF51-BF78+BF53</f>
        <v>54.68881332903</v>
      </c>
      <c r="BG79" s="11" t="n">
        <f aca="false">BG51-BG78+BG53</f>
        <v>54.8036641640375</v>
      </c>
      <c r="BH79" s="11" t="n">
        <f aca="false">BH51-BH78+BH53</f>
        <v>54.8991948092379</v>
      </c>
      <c r="BI79" s="11" t="n">
        <f aca="false">BI51-BI78+BI53</f>
        <v>55.1879788679709</v>
      </c>
      <c r="BJ79" s="11" t="n">
        <f aca="false">BJ51-BJ78+BJ53</f>
        <v>37.7636995154369</v>
      </c>
      <c r="BK79" s="11" t="n">
        <f aca="false">BK51-BK78+BK53</f>
        <v>55.6363755214916</v>
      </c>
      <c r="BL79" s="11" t="n">
        <f aca="false">BL51-BL78+BL53</f>
        <v>55.4867849036399</v>
      </c>
      <c r="BM79" s="11" t="n">
        <f aca="false">BM51-BM78+BM53</f>
        <v>18.0220086480719</v>
      </c>
      <c r="BN79" s="11" t="n">
        <f aca="false">BN51-BN78+BN53</f>
        <v>0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1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39.1077129450201</v>
      </c>
      <c r="P83" s="11" t="n">
        <f aca="false">(1-P81)*(P51/MAX(Time!P26,1)*Inputs!$F$165+P50/MAX(Time!P26,1)*P82)</f>
        <v>38.9791719758974</v>
      </c>
      <c r="Q83" s="11" t="n">
        <f aca="false">(1-Q81)*(Q51/MAX(Time!Q26,1)*Inputs!$F$165+Q50/MAX(Time!Q26,1)*Q82)</f>
        <v>40.0120718392951</v>
      </c>
      <c r="R83" s="11" t="n">
        <f aca="false">(1-R81)*(R51/MAX(Time!R26,1)*Inputs!$F$165+R50/MAX(Time!R26,1)*R82)</f>
        <v>39.3348793527876</v>
      </c>
      <c r="S83" s="11" t="n">
        <f aca="false">(1-S81)*(S51/MAX(Time!S26,1)*Inputs!$F$165+S50/MAX(Time!S26,1)*S82)</f>
        <v>40.521706896867</v>
      </c>
      <c r="T83" s="11" t="n">
        <f aca="false">(1-T81)*(T51/MAX(Time!T26,1)*Inputs!$F$165+T50/MAX(Time!T26,1)*T82)</f>
        <v>40.1198396201344</v>
      </c>
      <c r="U83" s="11" t="n">
        <f aca="false">(1-U81)*(U51/MAX(Time!U26,1)*Inputs!$F$165+U50/MAX(Time!U26,1)*U82)</f>
        <v>40.7898991160633</v>
      </c>
      <c r="V83" s="11" t="n">
        <f aca="false">(1-V81)*(V51/MAX(Time!V26,1)*Inputs!$F$165+V50/MAX(Time!V26,1)*V82)</f>
        <v>39.9341822773552</v>
      </c>
      <c r="W83" s="11" t="n">
        <f aca="false">(1-W81)*(W51/MAX(Time!W26,1)*Inputs!$F$165+W50/MAX(Time!W26,1)*W82)</f>
        <v>41.3333166310765</v>
      </c>
      <c r="X83" s="11" t="n">
        <f aca="false">(1-X81)*(X51/MAX(Time!X26,1)*Inputs!$F$165+X50/MAX(Time!X26,1)*X82)</f>
        <v>41.3054133893148</v>
      </c>
      <c r="Y83" s="11" t="n">
        <f aca="false">(1-Y81)*(Y51/MAX(Time!Y26,1)*Inputs!$F$165+Y50/MAX(Time!Y26,1)*Y82)</f>
        <v>42.4083302853802</v>
      </c>
      <c r="Z83" s="11" t="n">
        <f aca="false">(1-Z81)*(Z51/MAX(Time!Z26,1)*Inputs!$F$165+Z50/MAX(Time!Z26,1)*Z82)</f>
        <v>41.6897358651796</v>
      </c>
      <c r="AA83" s="11" t="n">
        <f aca="false">(1-AA81)*(AA51/MAX(Time!AA26,1)*Inputs!$F$165+AA50/MAX(Time!AA26,1)*AA82)</f>
        <v>42.9589072846173</v>
      </c>
      <c r="AB83" s="11" t="n">
        <f aca="false">(1-AB81)*(AB51/MAX(Time!AB26,1)*Inputs!$F$165+AB50/MAX(Time!AB26,1)*AB82)</f>
        <v>42.5376635915379</v>
      </c>
      <c r="AC83" s="11" t="n">
        <f aca="false">(1-AC81)*(AC51/MAX(Time!AC26,1)*Inputs!$F$165+AC50/MAX(Time!AC26,1)*AC82)</f>
        <v>43.0859747166726</v>
      </c>
      <c r="AD83" s="11" t="n">
        <f aca="false">(1-AD81)*(AD51/MAX(Time!AD26,1)*Inputs!$F$165+AD50/MAX(Time!AD26,1)*AD82)</f>
        <v>41.6167054672967</v>
      </c>
      <c r="AE83" s="11" t="n">
        <f aca="false">(1-AE81)*(AE51/MAX(Time!AE26,1)*Inputs!$F$165+AE50/MAX(Time!AE26,1)*AE82)</f>
        <v>43.4936968755139</v>
      </c>
      <c r="AF83" s="11" t="n">
        <f aca="false">(1-AF81)*(AF51/MAX(Time!AF26,1)*Inputs!$F$165+AF50/MAX(Time!AF26,1)*AF82)</f>
        <v>43.8184303297045</v>
      </c>
      <c r="AG83" s="11" t="n">
        <f aca="false">(1-AG81)*(AG51/MAX(Time!AG26,1)*Inputs!$F$165+AG50/MAX(Time!AG26,1)*AG82)</f>
        <v>44.9970045987169</v>
      </c>
      <c r="AH83" s="11" t="n">
        <f aca="false">(1-AH81)*(AH51/MAX(Time!AH26,1)*Inputs!$F$165+AH50/MAX(Time!AH26,1)*AH82)</f>
        <v>44.2336846943227</v>
      </c>
      <c r="AI83" s="11" t="n">
        <f aca="false">(1-AI81)*(AI51/MAX(Time!AI26,1)*Inputs!$F$165+AI50/MAX(Time!AI26,1)*AI82)</f>
        <v>45.5918208874678</v>
      </c>
      <c r="AJ83" s="11" t="n">
        <f aca="false">(1-AJ81)*(AJ51/MAX(Time!AJ26,1)*Inputs!$F$165+AJ50/MAX(Time!AJ26,1)*AJ82)</f>
        <v>45.149626250459</v>
      </c>
      <c r="AK83" s="11" t="n">
        <f aca="false">(1-AK81)*(AK51/MAX(Time!AK26,1)*Inputs!$F$165+AK50/MAX(Time!AK26,1)*AK82)</f>
        <v>45.9135764668008</v>
      </c>
      <c r="AL83" s="11" t="n">
        <f aca="false">(1-AL81)*(AL51/MAX(Time!AL26,1)*Inputs!$F$165+AL50/MAX(Time!AL26,1)*AL82)</f>
        <v>44.9334921408051</v>
      </c>
      <c r="AM83" s="11" t="n">
        <f aca="false">(1-AM81)*(AM51/MAX(Time!AM26,1)*Inputs!$F$165+AM50/MAX(Time!AM26,1)*AM82)</f>
        <v>46.5392952944488</v>
      </c>
      <c r="AN83" s="11" t="n">
        <f aca="false">(1-AN81)*(AN51/MAX(Time!AN26,1)*Inputs!$F$165+AN50/MAX(Time!AN26,1)*AN82)</f>
        <v>46.5332394011983</v>
      </c>
      <c r="AO83" s="11" t="n">
        <f aca="false">(1-AO81)*(AO51/MAX(Time!AO26,1)*Inputs!$F$165+AO50/MAX(Time!AO26,1)*AO82)</f>
        <v>47.7935649078857</v>
      </c>
      <c r="AP83" s="11" t="n">
        <f aca="false">(1-AP81)*(AP51/MAX(Time!AP26,1)*Inputs!$F$165+AP50/MAX(Time!AP26,1)*AP82)</f>
        <v>46.9819309154102</v>
      </c>
      <c r="AQ83" s="11" t="n">
        <f aca="false">(1-AQ81)*(AQ51/MAX(Time!AQ26,1)*Inputs!$F$165+AQ50/MAX(Time!AQ26,1)*AQ82)</f>
        <v>48.436183684556</v>
      </c>
      <c r="AR83" s="11" t="n">
        <f aca="false">(1-AR81)*(AR51/MAX(Time!AR26,1)*Inputs!$F$165+AR50/MAX(Time!AR26,1)*AR82)</f>
        <v>47.9713361993852</v>
      </c>
      <c r="AS83" s="11" t="n">
        <f aca="false">(1-AS81)*(AS51/MAX(Time!AS26,1)*Inputs!$F$165+AS50/MAX(Time!AS26,1)*AS82)</f>
        <v>48.5933597760093</v>
      </c>
      <c r="AT83" s="11" t="n">
        <f aca="false">(1-AT81)*(AT51/MAX(Time!AT26,1)*Inputs!$F$165+AT50/MAX(Time!AT26,1)*AT82)</f>
        <v>46.919639546778</v>
      </c>
      <c r="AU83" s="11" t="n">
        <f aca="false">(1-AU81)*(AU51/MAX(Time!AU26,1)*Inputs!$F$165+AU50/MAX(Time!AU26,1)*AU82)</f>
        <v>49.0609568997731</v>
      </c>
      <c r="AV83" s="11" t="n">
        <f aca="false">(1-AV81)*(AV51/MAX(Time!AV26,1)*Inputs!$F$165+AV50/MAX(Time!AV26,1)*AV82)</f>
        <v>49.4660645185685</v>
      </c>
      <c r="AW83" s="11" t="n">
        <f aca="false">(1-AW81)*(AW51/MAX(Time!AW26,1)*Inputs!$F$165+AW50/MAX(Time!AW26,1)*AW82)</f>
        <v>50.8147250172617</v>
      </c>
      <c r="AX83" s="11" t="n">
        <f aca="false">(1-AX81)*(AX51/MAX(Time!AX26,1)*Inputs!$F$165+AX50/MAX(Time!AX26,1)*AX82)</f>
        <v>49.9509023002326</v>
      </c>
      <c r="AY83" s="11" t="n">
        <f aca="false">(1-AY81)*(AY51/MAX(Time!AY26,1)*Inputs!$F$165+AY50/MAX(Time!AY26,1)*AY82)</f>
        <v>51.5089967649398</v>
      </c>
      <c r="AZ83" s="11" t="n">
        <f aca="false">(1-AZ81)*(AZ51/MAX(Time!AZ26,1)*Inputs!$F$165+AZ50/MAX(Time!AZ26,1)*AZ82)</f>
        <v>51.0196568956865</v>
      </c>
      <c r="BA83" s="11" t="n">
        <f aca="false">(1-BA81)*(BA51/MAX(Time!BA26,1)*Inputs!$F$165+BA50/MAX(Time!BA26,1)*BA82)</f>
        <v>51.8932401037153</v>
      </c>
      <c r="BB83" s="11" t="n">
        <f aca="false">(1-BB81)*(BB51/MAX(Time!BB26,1)*Inputs!$F$165+BB50/MAX(Time!BB26,1)*BB82)</f>
        <v>50.7682379289699</v>
      </c>
      <c r="BC83" s="11" t="n">
        <f aca="false">(1-BC81)*(BC51/MAX(Time!BC26,1)*Inputs!$F$165+BC50/MAX(Time!BC26,1)*BC82)</f>
        <v>52.6152074294667</v>
      </c>
      <c r="BD83" s="11" t="n">
        <f aca="false">(1-BD81)*(BD51/MAX(Time!BD26,1)*Inputs!$F$165+BD50/MAX(Time!BD26,1)*BD82)</f>
        <v>52.6344338644045</v>
      </c>
      <c r="BE83" s="11" t="n">
        <f aca="false">(1-BE81)*(BE51/MAX(Time!BE26,1)*Inputs!$F$165+BE50/MAX(Time!BE26,1)*BE82)</f>
        <v>54.0785422695604</v>
      </c>
      <c r="BF83" s="11" t="n">
        <f aca="false">(1-BF81)*(BF51/MAX(Time!BF26,1)*Inputs!$F$165+BF50/MAX(Time!BF26,1)*BF82)</f>
        <v>53.1583475336749</v>
      </c>
      <c r="BG83" s="11" t="n">
        <f aca="false">(1-BG81)*(BG51/MAX(Time!BG26,1)*Inputs!$F$165+BG50/MAX(Time!BG26,1)*BG82)</f>
        <v>54.8286279167531</v>
      </c>
      <c r="BH83" s="11" t="n">
        <f aca="false">(1-BH81)*(BH51/MAX(Time!BH26,1)*Inputs!$F$165+BH50/MAX(Time!BH26,1)*BH82)</f>
        <v>54.3128074194288</v>
      </c>
      <c r="BI83" s="11" t="n">
        <f aca="false">(1-BI81)*(BI51/MAX(Time!BI26,1)*Inputs!$F$165+BI50/MAX(Time!BI26,1)*BI82)</f>
        <v>55.0209797406327</v>
      </c>
      <c r="BJ83" s="11" t="n">
        <f aca="false">(1-BJ81)*(BJ51/MAX(Time!BJ26,1)*Inputs!$F$165+BJ50/MAX(Time!BJ26,1)*BJ82)</f>
        <v>53.108670689654</v>
      </c>
      <c r="BK83" s="11" t="n">
        <f aca="false">(1-BK81)*(BK51/MAX(Time!BK26,1)*Inputs!$F$165+BK50/MAX(Time!BK26,1)*BK82)</f>
        <v>55.5587366627012</v>
      </c>
      <c r="BL83" s="11" t="n">
        <f aca="false">(1-BL81)*(BL51/MAX(Time!BL26,1)*Inputs!$F$165+BL50/MAX(Time!BL26,1)*BL82)</f>
        <v>56.0572846169271</v>
      </c>
      <c r="BM83" s="11" t="n">
        <f aca="false">(1-BM81)*(BM51/MAX(Time!BM26,1)*Inputs!$F$165+BM50/MAX(Time!BM26,1)*BM82)</f>
        <v>0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18.981872567668</v>
      </c>
      <c r="P85" s="11" t="n">
        <f aca="false">(1-P81)*(P68+P49)/MAX(Time!P26,1)*Inputs!$F$166</f>
        <v>18.8768166347588</v>
      </c>
      <c r="Q85" s="11" t="n">
        <f aca="false">(1-Q81)*(Q68+Q49)/MAX(Time!Q26,1)*Inputs!$F$166</f>
        <v>19.5079337069258</v>
      </c>
      <c r="R85" s="11" t="n">
        <f aca="false">(1-R81)*(R68+R49)/MAX(Time!R26,1)*Inputs!$F$166</f>
        <v>19.0638251712049</v>
      </c>
      <c r="S85" s="11" t="n">
        <f aca="false">(1-S81)*(S68+S49)/MAX(Time!S26,1)*Inputs!$F$166</f>
        <v>19.8281951314922</v>
      </c>
      <c r="T85" s="11" t="n">
        <f aca="false">(1-T81)*(T68+T49)/MAX(Time!T26,1)*Inputs!$F$166</f>
        <v>19.6274545385672</v>
      </c>
      <c r="U85" s="11" t="n">
        <f aca="false">(1-U81)*(U68+U49)/MAX(Time!U26,1)*Inputs!$F$166</f>
        <v>20.006740355923</v>
      </c>
      <c r="V85" s="11" t="n">
        <f aca="false">(1-V81)*(V68+V49)/MAX(Time!V26,1)*Inputs!$F$166</f>
        <v>19.3310098672999</v>
      </c>
      <c r="W85" s="11" t="n">
        <f aca="false">(1-W81)*(W68+W49)/MAX(Time!W26,1)*Inputs!$F$166</f>
        <v>20.2772528540493</v>
      </c>
      <c r="X85" s="11" t="n">
        <f aca="false">(1-X81)*(X68+X49)/MAX(Time!X26,1)*Inputs!$F$166</f>
        <v>20.407639729712</v>
      </c>
      <c r="Y85" s="11" t="n">
        <f aca="false">(1-Y81)*(Y68+Y49)/MAX(Time!Y26,1)*Inputs!$F$166</f>
        <v>21.0897814752711</v>
      </c>
      <c r="Z85" s="11" t="n">
        <f aca="false">(1-Z81)*(Z68+Z49)/MAX(Time!Z26,1)*Inputs!$F$166</f>
        <v>20.6095087910003</v>
      </c>
      <c r="AA85" s="11" t="n">
        <f aca="false">(1-AA81)*(AA68+AA49)/MAX(Time!AA26,1)*Inputs!$F$166</f>
        <v>21.4356946861304</v>
      </c>
      <c r="AB85" s="11" t="n">
        <f aca="false">(1-AB81)*(AB68+AB49)/MAX(Time!AB26,1)*Inputs!$F$166</f>
        <v>21.2185225793306</v>
      </c>
      <c r="AC85" s="11" t="n">
        <f aca="false">(1-AC81)*(AC68+AC49)/MAX(Time!AC26,1)*Inputs!$F$166</f>
        <v>21.4806805948419</v>
      </c>
      <c r="AD85" s="11" t="n">
        <f aca="false">(1-AD81)*(AD68+AD49)/MAX(Time!AD26,1)*Inputs!$F$166</f>
        <v>20.459484476917</v>
      </c>
      <c r="AE85" s="11" t="n">
        <f aca="false">(1-AE81)*(AE68+AE49)/MAX(Time!AE26,1)*Inputs!$F$166</f>
        <v>21.6176065400499</v>
      </c>
      <c r="AF85" s="11" t="n">
        <f aca="false">(1-AF81)*(AF68+AF49)/MAX(Time!AF26,1)*Inputs!$F$166</f>
        <v>22.0612977023519</v>
      </c>
      <c r="AG85" s="11" t="n">
        <f aca="false">(1-AG81)*(AG68+AG49)/MAX(Time!AG26,1)*Inputs!$F$166</f>
        <v>22.7985449933366</v>
      </c>
      <c r="AH85" s="11" t="n">
        <f aca="false">(1-AH81)*(AH68+AH49)/MAX(Time!AH26,1)*Inputs!$F$166</f>
        <v>22.2791935116234</v>
      </c>
      <c r="AI85" s="11" t="n">
        <f aca="false">(1-AI81)*(AI68+AI49)/MAX(Time!AI26,1)*Inputs!$F$166</f>
        <v>23.1721408306072</v>
      </c>
      <c r="AJ85" s="11" t="n">
        <f aca="false">(1-AJ81)*(AJ68+AJ49)/MAX(Time!AJ26,1)*Inputs!$F$166</f>
        <v>22.9372056354004</v>
      </c>
      <c r="AK85" s="11" t="n">
        <f aca="false">(1-AK81)*(AK68+AK49)/MAX(Time!AK26,1)*Inputs!$F$166</f>
        <v>23.3801026597477</v>
      </c>
      <c r="AL85" s="11" t="n">
        <f aca="false">(1-AL81)*(AL68+AL49)/MAX(Time!AL26,1)*Inputs!$F$166</f>
        <v>22.5901007054678</v>
      </c>
      <c r="AM85" s="11" t="n">
        <f aca="false">(1-AM81)*(AM68+AM49)/MAX(Time!AM26,1)*Inputs!$F$166</f>
        <v>23.6955222384344</v>
      </c>
      <c r="AN85" s="11" t="n">
        <f aca="false">(1-AN81)*(AN68+AN49)/MAX(Time!AN26,1)*Inputs!$F$166</f>
        <v>23.8475345772792</v>
      </c>
      <c r="AO85" s="11" t="n">
        <f aca="false">(1-AO81)*(AO68+AO49)/MAX(Time!AO26,1)*Inputs!$F$166</f>
        <v>24.6442908322948</v>
      </c>
      <c r="AP85" s="11" t="n">
        <f aca="false">(1-AP81)*(AP68+AP49)/MAX(Time!AP26,1)*Inputs!$F$166</f>
        <v>24.0827135754168</v>
      </c>
      <c r="AQ85" s="11" t="n">
        <f aca="false">(1-AQ81)*(AQ68+AQ49)/MAX(Time!AQ26,1)*Inputs!$F$166</f>
        <v>25.0477588278799</v>
      </c>
      <c r="AR85" s="11" t="n">
        <f aca="false">(1-AR81)*(AR68+AR49)/MAX(Time!AR26,1)*Inputs!$F$166</f>
        <v>24.7936221943159</v>
      </c>
      <c r="AS85" s="11" t="n">
        <f aca="false">(1-AS81)*(AS68+AS49)/MAX(Time!AS26,1)*Inputs!$F$166</f>
        <v>25.0995768403631</v>
      </c>
      <c r="AT85" s="11" t="n">
        <f aca="false">(1-AT81)*(AT68+AT49)/MAX(Time!AT26,1)*Inputs!$F$166</f>
        <v>23.9059809845721</v>
      </c>
      <c r="AU85" s="11" t="n">
        <f aca="false">(1-AU81)*(AU68+AU49)/MAX(Time!AU26,1)*Inputs!$F$166</f>
        <v>25.258817147491</v>
      </c>
      <c r="AV85" s="11" t="n">
        <f aca="false">(1-AV81)*(AV68+AV49)/MAX(Time!AV26,1)*Inputs!$F$166</f>
        <v>25.77685749294</v>
      </c>
      <c r="AW85" s="11" t="n">
        <f aca="false">(1-AW81)*(AW68+AW49)/MAX(Time!AW26,1)*Inputs!$F$166</f>
        <v>26.6378738330019</v>
      </c>
      <c r="AX85" s="11" t="n">
        <f aca="false">(1-AX81)*(AX68+AX49)/MAX(Time!AX26,1)*Inputs!$F$166</f>
        <v>26.0306731992748</v>
      </c>
      <c r="AY85" s="11" t="n">
        <f aca="false">(1-AY81)*(AY68+AY49)/MAX(Time!AY26,1)*Inputs!$F$166</f>
        <v>27.0735744238363</v>
      </c>
      <c r="AZ85" s="11" t="n">
        <f aca="false">(1-AZ81)*(AZ68+AZ49)/MAX(Time!AZ26,1)*Inputs!$F$166</f>
        <v>26.7986827619432</v>
      </c>
      <c r="BA85" s="11" t="n">
        <f aca="false">(1-BA81)*(BA68+BA49)/MAX(Time!BA26,1)*Inputs!$F$166</f>
        <v>27.315732486819</v>
      </c>
      <c r="BB85" s="11" t="n">
        <f aca="false">(1-BB81)*(BB68+BB49)/MAX(Time!BB26,1)*Inputs!$F$166</f>
        <v>26.3923522039153</v>
      </c>
      <c r="BC85" s="11" t="n">
        <f aca="false">(1-BC81)*(BC68+BC49)/MAX(Time!BC26,1)*Inputs!$F$166</f>
        <v>27.6834177692573</v>
      </c>
      <c r="BD85" s="11" t="n">
        <f aca="false">(1-BD81)*(BD68+BD49)/MAX(Time!BD26,1)*Inputs!$F$166</f>
        <v>27.8605955869597</v>
      </c>
      <c r="BE85" s="11" t="n">
        <f aca="false">(1-BE81)*(BE68+BE49)/MAX(Time!BE26,1)*Inputs!$F$166</f>
        <v>28.7909979229361</v>
      </c>
      <c r="BF85" s="11" t="n">
        <f aca="false">(1-BF81)*(BF68+BF49)/MAX(Time!BF26,1)*Inputs!$F$166</f>
        <v>28.1345059707397</v>
      </c>
      <c r="BG85" s="11" t="n">
        <f aca="false">(1-BG81)*(BG68+BG49)/MAX(Time!BG26,1)*Inputs!$F$166</f>
        <v>29.2614755871037</v>
      </c>
      <c r="BH85" s="11" t="n">
        <f aca="false">(1-BH81)*(BH68+BH49)/MAX(Time!BH26,1)*Inputs!$F$166</f>
        <v>28.9641509397965</v>
      </c>
      <c r="BI85" s="11" t="n">
        <f aca="false">(1-BI81)*(BI68+BI49)/MAX(Time!BI26,1)*Inputs!$F$166</f>
        <v>29.3211292367844</v>
      </c>
      <c r="BJ85" s="11" t="n">
        <f aca="false">(1-BJ81)*(BJ68+BJ49)/MAX(Time!BJ26,1)*Inputs!$F$166</f>
        <v>27.9263597410302</v>
      </c>
      <c r="BK85" s="11" t="n">
        <f aca="false">(1-BK81)*(BK68+BK49)/MAX(Time!BK26,1)*Inputs!$F$166</f>
        <v>29.5062644096175</v>
      </c>
      <c r="BL85" s="11" t="n">
        <f aca="false">(1-BL81)*(BL68+BL49)/MAX(Time!BL26,1)*Inputs!$F$166</f>
        <v>30.1109633453336</v>
      </c>
      <c r="BM85" s="11" t="n">
        <f aca="false">(1-BM81)*(BM68+BM49)/MAX(Time!BM26,1)*Inputs!$F$166</f>
        <v>0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2.28118592712896</v>
      </c>
      <c r="P86" s="11" t="n">
        <f aca="false">(1-P81)*(P47+P48)/MAX(Time!P26,1)*Inputs!$F$167</f>
        <v>2.27894832471936</v>
      </c>
      <c r="Q86" s="11" t="n">
        <f aca="false">(1-Q81)*(Q47+Q48)/MAX(Time!Q26,1)*Inputs!$F$167</f>
        <v>2.31850712884883</v>
      </c>
      <c r="R86" s="11" t="n">
        <f aca="false">(1-R81)*(R47+R48)/MAX(Time!R26,1)*Inputs!$F$167</f>
        <v>2.30909436142154</v>
      </c>
      <c r="S86" s="11" t="n">
        <f aca="false">(1-S81)*(S47+S48)/MAX(Time!S26,1)*Inputs!$F$167</f>
        <v>2.35181054339118</v>
      </c>
      <c r="T86" s="11" t="n">
        <f aca="false">(1-T81)*(T47+T48)/MAX(Time!T26,1)*Inputs!$F$167</f>
        <v>2.34757675370215</v>
      </c>
      <c r="U86" s="11" t="n">
        <f aca="false">(1-U81)*(U47+U48)/MAX(Time!U26,1)*Inputs!$F$167</f>
        <v>2.38251204254421</v>
      </c>
      <c r="V86" s="11" t="n">
        <f aca="false">(1-V81)*(V47+V48)/MAX(Time!V26,1)*Inputs!$F$167</f>
        <v>2.36833017374323</v>
      </c>
      <c r="W86" s="11" t="n">
        <f aca="false">(1-W81)*(W47+W48)/MAX(Time!W26,1)*Inputs!$F$167</f>
        <v>2.41554261524233</v>
      </c>
      <c r="X86" s="11" t="n">
        <f aca="false">(1-X81)*(X47+X48)/MAX(Time!X26,1)*Inputs!$F$167</f>
        <v>2.41826569083887</v>
      </c>
      <c r="Y86" s="11" t="n">
        <f aca="false">(1-Y81)*(Y47+Y48)/MAX(Time!Y26,1)*Inputs!$F$167</f>
        <v>2.46023377160429</v>
      </c>
      <c r="Z86" s="11" t="n">
        <f aca="false">(1-Z81)*(Z47+Z48)/MAX(Time!Z26,1)*Inputs!$F$167</f>
        <v>2.45025264472314</v>
      </c>
      <c r="AA86" s="11" t="n">
        <f aca="false">(1-AA81)*(AA47+AA48)/MAX(Time!AA26,1)*Inputs!$F$167</f>
        <v>2.49556800437387</v>
      </c>
      <c r="AB86" s="11" t="n">
        <f aca="false">(1-AB81)*(AB47+AB48)/MAX(Time!AB26,1)*Inputs!$F$167</f>
        <v>2.49107681254913</v>
      </c>
      <c r="AC86" s="11" t="n">
        <f aca="false">(1-AC81)*(AC47+AC48)/MAX(Time!AC26,1)*Inputs!$F$167</f>
        <v>2.52510480144442</v>
      </c>
      <c r="AD86" s="11" t="n">
        <f aca="false">(1-AD81)*(AD47+AD48)/MAX(Time!AD26,1)*Inputs!$F$167</f>
        <v>2.50408964700721</v>
      </c>
      <c r="AE86" s="11" t="n">
        <f aca="false">(1-AE81)*(AE47+AE48)/MAX(Time!AE26,1)*Inputs!$F$167</f>
        <v>2.55698769110241</v>
      </c>
      <c r="AF86" s="11" t="n">
        <f aca="false">(1-AF81)*(AF47+AF48)/MAX(Time!AF26,1)*Inputs!$F$167</f>
        <v>2.56607363559912</v>
      </c>
      <c r="AG86" s="11" t="n">
        <f aca="false">(1-AG81)*(AG47+AG48)/MAX(Time!AG26,1)*Inputs!$F$167</f>
        <v>2.61059697423427</v>
      </c>
      <c r="AH86" s="11" t="n">
        <f aca="false">(1-AH81)*(AH47+AH48)/MAX(Time!AH26,1)*Inputs!$F$167</f>
        <v>2.60001378536387</v>
      </c>
      <c r="AI86" s="11" t="n">
        <f aca="false">(1-AI81)*(AI47+AI48)/MAX(Time!AI26,1)*Inputs!$F$167</f>
        <v>2.64808554300761</v>
      </c>
      <c r="AJ86" s="11" t="n">
        <f aca="false">(1-AJ81)*(AJ47+AJ48)/MAX(Time!AJ26,1)*Inputs!$F$167</f>
        <v>2.64332157183642</v>
      </c>
      <c r="AK86" s="11" t="n">
        <f aca="false">(1-AK81)*(AK47+AK48)/MAX(Time!AK26,1)*Inputs!$F$167</f>
        <v>2.68265162638937</v>
      </c>
      <c r="AL86" s="11" t="n">
        <f aca="false">(1-AL81)*(AL47+AL48)/MAX(Time!AL26,1)*Inputs!$F$167</f>
        <v>2.66671064413447</v>
      </c>
      <c r="AM86" s="11" t="n">
        <f aca="false">(1-AM81)*(AM47+AM48)/MAX(Time!AM26,1)*Inputs!$F$167</f>
        <v>2.71983565356964</v>
      </c>
      <c r="AN86" s="11" t="n">
        <f aca="false">(1-AN81)*(AN47+AN48)/MAX(Time!AN26,1)*Inputs!$F$167</f>
        <v>2.72288798454703</v>
      </c>
      <c r="AO86" s="11" t="n">
        <f aca="false">(1-AO81)*(AO47+AO48)/MAX(Time!AO26,1)*Inputs!$F$167</f>
        <v>2.77012136037635</v>
      </c>
      <c r="AP86" s="11" t="n">
        <f aca="false">(1-AP81)*(AP47+AP48)/MAX(Time!AP26,1)*Inputs!$F$167</f>
        <v>2.75890044815969</v>
      </c>
      <c r="AQ86" s="11" t="n">
        <f aca="false">(1-AQ81)*(AQ47+AQ48)/MAX(Time!AQ26,1)*Inputs!$F$167</f>
        <v>2.80989527555435</v>
      </c>
      <c r="AR86" s="11" t="n">
        <f aca="false">(1-AR81)*(AR47+AR48)/MAX(Time!AR26,1)*Inputs!$F$167</f>
        <v>2.80484224648267</v>
      </c>
      <c r="AS86" s="11" t="n">
        <f aca="false">(1-AS81)*(AS47+AS48)/MAX(Time!AS26,1)*Inputs!$F$167</f>
        <v>2.84315723247726</v>
      </c>
      <c r="AT86" s="11" t="n">
        <f aca="false">(1-AT81)*(AT47+AT48)/MAX(Time!AT26,1)*Inputs!$F$167</f>
        <v>2.81954115869986</v>
      </c>
      <c r="AU86" s="11" t="n">
        <f aca="false">(1-AU81)*(AU47+AU48)/MAX(Time!AU26,1)*Inputs!$F$167</f>
        <v>2.87905627689389</v>
      </c>
      <c r="AV86" s="11" t="n">
        <f aca="false">(1-AV81)*(AV47+AV48)/MAX(Time!AV26,1)*Inputs!$F$167</f>
        <v>2.88925579960767</v>
      </c>
      <c r="AW86" s="11" t="n">
        <f aca="false">(1-AW81)*(AW47+AW48)/MAX(Time!AW26,1)*Inputs!$F$167</f>
        <v>2.93936331731789</v>
      </c>
      <c r="AX86" s="11" t="n">
        <f aca="false">(1-AX81)*(AX47+AX48)/MAX(Time!AX26,1)*Inputs!$F$167</f>
        <v>2.9274669503677</v>
      </c>
      <c r="AY86" s="11" t="n">
        <f aca="false">(1-AY81)*(AY47+AY48)/MAX(Time!AY26,1)*Inputs!$F$167</f>
        <v>2.98156153518292</v>
      </c>
      <c r="AZ86" s="11" t="n">
        <f aca="false">(1-AZ81)*(AZ47+AZ48)/MAX(Time!AZ26,1)*Inputs!$F$167</f>
        <v>2.97620221661621</v>
      </c>
      <c r="BA86" s="11" t="n">
        <f aca="false">(1-BA81)*(BA47+BA48)/MAX(Time!BA26,1)*Inputs!$F$167</f>
        <v>3.02047811534827</v>
      </c>
      <c r="BB86" s="11" t="n">
        <f aca="false">(1-BB81)*(BB47+BB48)/MAX(Time!BB26,1)*Inputs!$F$167</f>
        <v>3.00256403683272</v>
      </c>
      <c r="BC86" s="11" t="n">
        <f aca="false">(1-BC81)*(BC47+BC48)/MAX(Time!BC26,1)*Inputs!$F$167</f>
        <v>3.0623367682061</v>
      </c>
      <c r="BD86" s="11" t="n">
        <f aca="false">(1-BD81)*(BD47+BD48)/MAX(Time!BD26,1)*Inputs!$F$167</f>
        <v>3.0657572642721</v>
      </c>
      <c r="BE86" s="11" t="n">
        <f aca="false">(1-BE81)*(BE47+BE48)/MAX(Time!BE26,1)*Inputs!$F$167</f>
        <v>3.11891291259338</v>
      </c>
      <c r="BF86" s="11" t="n">
        <f aca="false">(1-BF81)*(BF47+BF48)/MAX(Time!BF26,1)*Inputs!$F$167</f>
        <v>3.10630117215125</v>
      </c>
      <c r="BG86" s="11" t="n">
        <f aca="false">(1-BG81)*(BG47+BG48)/MAX(Time!BG26,1)*Inputs!$F$167</f>
        <v>3.16368281590701</v>
      </c>
      <c r="BH86" s="11" t="n">
        <f aca="false">(1-BH81)*(BH47+BH48)/MAX(Time!BH26,1)*Inputs!$F$167</f>
        <v>3.15799896862506</v>
      </c>
      <c r="BI86" s="11" t="n">
        <f aca="false">(1-BI81)*(BI47+BI48)/MAX(Time!BI26,1)*Inputs!$F$167</f>
        <v>3.20114006649192</v>
      </c>
      <c r="BJ86" s="11" t="n">
        <f aca="false">(1-BJ81)*(BJ47+BJ48)/MAX(Time!BJ26,1)*Inputs!$F$167</f>
        <v>3.17460746713951</v>
      </c>
      <c r="BK86" s="11" t="n">
        <f aca="false">(1-BK81)*(BK47+BK48)/MAX(Time!BK26,1)*Inputs!$F$167</f>
        <v>3.24156092595279</v>
      </c>
      <c r="BL86" s="11" t="n">
        <f aca="false">(1-BL81)*(BL47+BL48)/MAX(Time!BL26,1)*Inputs!$F$167</f>
        <v>3.25300768215875</v>
      </c>
      <c r="BM86" s="11" t="n">
        <f aca="false">(1-BM81)*(BM47+BM48)/MAX(Time!BM26,1)*Inputs!$F$167</f>
        <v>0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1.75466759050047</v>
      </c>
      <c r="P87" s="11" t="n">
        <f aca="false">(1-P81)*(P55+P56+P57+P59)/MAX(Time!P26,1)*Inputs!$F$168</f>
        <v>1.76422336369604</v>
      </c>
      <c r="Q87" s="11" t="n">
        <f aca="false">(1-Q81)*(Q55+Q56+Q57+Q59)/MAX(Time!Q26,1)*Inputs!$F$168</f>
        <v>1.80769025290166</v>
      </c>
      <c r="R87" s="11" t="n">
        <f aca="false">(1-R81)*(R55+R56+R57+R59)/MAX(Time!R26,1)*Inputs!$F$168</f>
        <v>1.78694048951067</v>
      </c>
      <c r="S87" s="11" t="n">
        <f aca="false">(1-S81)*(S55+S56+S57+S59)/MAX(Time!S26,1)*Inputs!$F$168</f>
        <v>1.84194557904082</v>
      </c>
      <c r="T87" s="11" t="n">
        <f aca="false">(1-T81)*(T55+T56+T57+T59)/MAX(Time!T26,1)*Inputs!$F$168</f>
        <v>1.84270307580669</v>
      </c>
      <c r="U87" s="11" t="n">
        <f aca="false">(1-U81)*(U55+U56+U57+U59)/MAX(Time!U26,1)*Inputs!$F$168</f>
        <v>1.86340750152737</v>
      </c>
      <c r="V87" s="11" t="n">
        <f aca="false">(1-V81)*(V55+V56+V57+V59)/MAX(Time!V26,1)*Inputs!$F$168</f>
        <v>1.82346727866241</v>
      </c>
      <c r="W87" s="11" t="n">
        <f aca="false">(1-W81)*(W55+W56+W57+W59)/MAX(Time!W26,1)*Inputs!$F$168</f>
        <v>1.89444709222591</v>
      </c>
      <c r="X87" s="11" t="n">
        <f aca="false">(1-X81)*(X55+X56+X57+X59)/MAX(Time!X26,1)*Inputs!$F$168</f>
        <v>1.92467387943088</v>
      </c>
      <c r="Y87" s="11" t="n">
        <f aca="false">(1-Y81)*(Y55+Y56+Y57+Y59)/MAX(Time!Y26,1)*Inputs!$F$168</f>
        <v>1.97209394425697</v>
      </c>
      <c r="Z87" s="11" t="n">
        <f aca="false">(1-Z81)*(Z55+Z56+Z57+Z59)/MAX(Time!Z26,1)*Inputs!$F$168</f>
        <v>1.94945705574</v>
      </c>
      <c r="AA87" s="11" t="n">
        <f aca="false">(1-AA81)*(AA55+AA56+AA57+AA59)/MAX(Time!AA26,1)*Inputs!$F$168</f>
        <v>2.00946468359086</v>
      </c>
      <c r="AB87" s="11" t="n">
        <f aca="false">(1-AB81)*(AB55+AB56+AB57+AB59)/MAX(Time!AB26,1)*Inputs!$F$168</f>
        <v>2.01029107228348</v>
      </c>
      <c r="AC87" s="11" t="n">
        <f aca="false">(1-AC81)*(AC55+AC56+AC57+AC59)/MAX(Time!AC26,1)*Inputs!$F$168</f>
        <v>2.01997140658409</v>
      </c>
      <c r="AD87" s="11" t="n">
        <f aca="false">(1-AD81)*(AD55+AD56+AD57+AD59)/MAX(Time!AD26,1)*Inputs!$F$168</f>
        <v>1.95670002272078</v>
      </c>
      <c r="AE87" s="11" t="n">
        <f aca="false">(1-AE81)*(AE55+AE56+AE57+AE59)/MAX(Time!AE26,1)*Inputs!$F$168</f>
        <v>2.04021318676345</v>
      </c>
      <c r="AF87" s="11" t="n">
        <f aca="false">(1-AF81)*(AF55+AF56+AF57+AF59)/MAX(Time!AF26,1)*Inputs!$F$168</f>
        <v>2.09971686034294</v>
      </c>
      <c r="AG87" s="11" t="n">
        <f aca="false">(1-AG81)*(AG55+AG56+AG57+AG59)/MAX(Time!AG26,1)*Inputs!$F$168</f>
        <v>2.15144962956582</v>
      </c>
      <c r="AH87" s="11" t="n">
        <f aca="false">(1-AH81)*(AH55+AH56+AH57+AH59)/MAX(Time!AH26,1)*Inputs!$F$168</f>
        <v>2.12675398788192</v>
      </c>
      <c r="AI87" s="11" t="n">
        <f aca="false">(1-AI81)*(AI55+AI56+AI57+AI59)/MAX(Time!AI26,1)*Inputs!$F$168</f>
        <v>2.19221911903696</v>
      </c>
      <c r="AJ87" s="11" t="n">
        <f aca="false">(1-AJ81)*(AJ55+AJ56+AJ57+AJ59)/MAX(Time!AJ26,1)*Inputs!$F$168</f>
        <v>2.19312066515843</v>
      </c>
      <c r="AK87" s="11" t="n">
        <f aca="false">(1-AK81)*(AK55+AK56+AK57+AK59)/MAX(Time!AK26,1)*Inputs!$F$168</f>
        <v>2.21776234753495</v>
      </c>
      <c r="AL87" s="11" t="n">
        <f aca="false">(1-AL81)*(AL55+AL56+AL57+AL59)/MAX(Time!AL26,1)*Inputs!$F$168</f>
        <v>2.17022689307882</v>
      </c>
      <c r="AM87" s="11" t="n">
        <f aca="false">(1-AM81)*(AM55+AM56+AM57+AM59)/MAX(Time!AM26,1)*Inputs!$F$168</f>
        <v>2.25470458130705</v>
      </c>
      <c r="AN87" s="11" t="n">
        <f aca="false">(1-AN81)*(AN55+AN56+AN57+AN59)/MAX(Time!AN26,1)*Inputs!$F$168</f>
        <v>2.29067944482734</v>
      </c>
      <c r="AO87" s="11" t="n">
        <f aca="false">(1-AO81)*(AO55+AO56+AO57+AO59)/MAX(Time!AO26,1)*Inputs!$F$168</f>
        <v>2.34711714522448</v>
      </c>
      <c r="AP87" s="11" t="n">
        <f aca="false">(1-AP81)*(AP55+AP56+AP57+AP59)/MAX(Time!AP26,1)*Inputs!$F$168</f>
        <v>2.32017551330707</v>
      </c>
      <c r="AQ87" s="11" t="n">
        <f aca="false">(1-AQ81)*(AQ55+AQ56+AQ57+AQ59)/MAX(Time!AQ26,1)*Inputs!$F$168</f>
        <v>2.3915944903711</v>
      </c>
      <c r="AR87" s="11" t="n">
        <f aca="false">(1-AR81)*(AR55+AR56+AR57+AR59)/MAX(Time!AR26,1)*Inputs!$F$168</f>
        <v>2.39257802925104</v>
      </c>
      <c r="AS87" s="11" t="n">
        <f aca="false">(1-AS81)*(AS55+AS56+AS57+AS59)/MAX(Time!AS26,1)*Inputs!$F$168</f>
        <v>2.40409922410823</v>
      </c>
      <c r="AT87" s="11" t="n">
        <f aca="false">(1-AT81)*(AT55+AT56+AT57+AT59)/MAX(Time!AT26,1)*Inputs!$F$168</f>
        <v>2.32879583894236</v>
      </c>
      <c r="AU87" s="11" t="n">
        <f aca="false">(1-AU81)*(AU55+AU56+AU57+AU59)/MAX(Time!AU26,1)*Inputs!$F$168</f>
        <v>2.42819028196437</v>
      </c>
      <c r="AV87" s="11" t="n">
        <f aca="false">(1-AV81)*(AV55+AV56+AV57+AV59)/MAX(Time!AV26,1)*Inputs!$F$168</f>
        <v>2.49900947030424</v>
      </c>
      <c r="AW87" s="11" t="n">
        <f aca="false">(1-AW81)*(AW55+AW56+AW57+AW59)/MAX(Time!AW26,1)*Inputs!$F$168</f>
        <v>2.56058000043368</v>
      </c>
      <c r="AX87" s="11" t="n">
        <f aca="false">(1-AX81)*(AX55+AX56+AX57+AX59)/MAX(Time!AX26,1)*Inputs!$F$168</f>
        <v>2.53118811259923</v>
      </c>
      <c r="AY87" s="11" t="n">
        <f aca="false">(1-AY81)*(AY55+AY56+AY57+AY59)/MAX(Time!AY26,1)*Inputs!$F$168</f>
        <v>2.60910241896168</v>
      </c>
      <c r="AZ87" s="11" t="n">
        <f aca="false">(1-AZ81)*(AZ55+AZ56+AZ57+AZ59)/MAX(Time!AZ26,1)*Inputs!$F$168</f>
        <v>2.61017540758125</v>
      </c>
      <c r="BA87" s="11" t="n">
        <f aca="false">(1-BA81)*(BA55+BA56+BA57+BA59)/MAX(Time!BA26,1)*Inputs!$F$168</f>
        <v>2.63950307493784</v>
      </c>
      <c r="BB87" s="11" t="n">
        <f aca="false">(1-BB81)*(BB55+BB56+BB57+BB59)/MAX(Time!BB26,1)*Inputs!$F$168</f>
        <v>2.58292804184424</v>
      </c>
      <c r="BC87" s="11" t="n">
        <f aca="false">(1-BC81)*(BC55+BC56+BC57+BC59)/MAX(Time!BC26,1)*Inputs!$F$168</f>
        <v>2.68347042777206</v>
      </c>
      <c r="BD87" s="11" t="n">
        <f aca="false">(1-BD81)*(BD55+BD56+BD57+BD59)/MAX(Time!BD26,1)*Inputs!$F$168</f>
        <v>2.7262864504121</v>
      </c>
      <c r="BE87" s="11" t="n">
        <f aca="false">(1-BE81)*(BE55+BE56+BE57+BE59)/MAX(Time!BE26,1)*Inputs!$F$168</f>
        <v>2.79345662484771</v>
      </c>
      <c r="BF87" s="11" t="n">
        <f aca="false">(1-BF81)*(BF55+BF56+BF57+BF59)/MAX(Time!BF26,1)*Inputs!$F$168</f>
        <v>2.76139163809705</v>
      </c>
      <c r="BG87" s="11" t="n">
        <f aca="false">(1-BG81)*(BG55+BG56+BG57+BG59)/MAX(Time!BG26,1)*Inputs!$F$168</f>
        <v>2.8463920033431</v>
      </c>
      <c r="BH87" s="11" t="n">
        <f aca="false">(1-BH81)*(BH55+BH56+BH57+BH59)/MAX(Time!BH26,1)*Inputs!$F$168</f>
        <v>2.84756257687223</v>
      </c>
      <c r="BI87" s="11" t="n">
        <f aca="false">(1-BI81)*(BI55+BI56+BI57+BI59)/MAX(Time!BI26,1)*Inputs!$F$168</f>
        <v>2.86127469949273</v>
      </c>
      <c r="BJ87" s="11" t="n">
        <f aca="false">(1-BJ81)*(BJ55+BJ56+BJ57+BJ59)/MAX(Time!BJ26,1)*Inputs!$F$168</f>
        <v>2.77165124776469</v>
      </c>
      <c r="BK87" s="11" t="n">
        <f aca="false">(1-BK81)*(BK55+BK56+BK57+BK59)/MAX(Time!BK26,1)*Inputs!$F$168</f>
        <v>2.88994703282928</v>
      </c>
      <c r="BL87" s="11" t="n">
        <f aca="false">(1-BL81)*(BL55+BL56+BL57+BL59)/MAX(Time!BL26,1)*Inputs!$F$168</f>
        <v>2.97423355054181</v>
      </c>
      <c r="BM87" s="11" t="n">
        <f aca="false">(1-BM81)*(BM55+BM56+BM57+BM59)/MAX(Time!BM26,1)*Inputs!$F$168</f>
        <v>0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1.24088752618313</v>
      </c>
      <c r="P88" s="11" t="n">
        <f aca="false">(1-P81)*(P60+P61+P62+P63+P64+P65+P66)/MAX(Time!P26,1)*Inputs!$F$169</f>
        <v>1.24656622700827</v>
      </c>
      <c r="Q88" s="11" t="n">
        <f aca="false">(1-Q81)*(Q60+Q61+Q62+Q63+Q64+Q65+Q66)/MAX(Time!Q26,1)*Inputs!$F$169</f>
        <v>1.27874528745249</v>
      </c>
      <c r="R88" s="11" t="n">
        <f aca="false">(1-R81)*(R60+R61+R62+R63+R64+R65+R66)/MAX(Time!R26,1)*Inputs!$F$169</f>
        <v>1.26818722702717</v>
      </c>
      <c r="S88" s="11" t="n">
        <f aca="false">(1-S81)*(S60+S61+S62+S63+S64+S65+S66)/MAX(Time!S26,1)*Inputs!$F$169</f>
        <v>1.30329843833927</v>
      </c>
      <c r="T88" s="11" t="n">
        <f aca="false">(1-T81)*(T60+T61+T62+T63+T64+T65+T66)/MAX(Time!T26,1)*Inputs!$F$169</f>
        <v>1.29724314714844</v>
      </c>
      <c r="U88" s="11" t="n">
        <f aca="false">(1-U81)*(U60+U61+U62+U63+U64+U65+U66)/MAX(Time!U26,1)*Inputs!$F$169</f>
        <v>1.32039320226019</v>
      </c>
      <c r="V88" s="11" t="n">
        <f aca="false">(1-V81)*(V60+V61+V62+V63+V64+V65+V66)/MAX(Time!V26,1)*Inputs!$F$169</f>
        <v>1.31063755489201</v>
      </c>
      <c r="W88" s="11" t="n">
        <f aca="false">(1-W81)*(W60+W61+W62+W63+W64+W65+W66)/MAX(Time!W26,1)*Inputs!$F$169</f>
        <v>1.35010878307717</v>
      </c>
      <c r="X88" s="11" t="n">
        <f aca="false">(1-X81)*(X60+X61+X62+X63+X64+X65+X66)/MAX(Time!X26,1)*Inputs!$F$169</f>
        <v>1.35012526793992</v>
      </c>
      <c r="Y88" s="11" t="n">
        <f aca="false">(1-Y81)*(Y60+Y61+Y62+Y63+Y64+Y65+Y66)/MAX(Time!Y26,1)*Inputs!$F$169</f>
        <v>1.38505020987945</v>
      </c>
      <c r="Z88" s="11" t="n">
        <f aca="false">(1-Z81)*(Z60+Z61+Z62+Z63+Z64+Z65+Z66)/MAX(Time!Z26,1)*Inputs!$F$169</f>
        <v>1.37368450652126</v>
      </c>
      <c r="AA88" s="11" t="n">
        <f aca="false">(1-AA81)*(AA60+AA61+AA62+AA63+AA64+AA65+AA66)/MAX(Time!AA26,1)*Inputs!$F$169</f>
        <v>1.4117921626207</v>
      </c>
      <c r="AB88" s="11" t="n">
        <f aca="false">(1-AB81)*(AB60+AB61+AB62+AB63+AB64+AB65+AB66)/MAX(Time!AB26,1)*Inputs!$F$169</f>
        <v>1.40530850085411</v>
      </c>
      <c r="AC88" s="11" t="n">
        <f aca="false">(1-AC81)*(AC60+AC61+AC62+AC63+AC64+AC65+AC66)/MAX(Time!AC26,1)*Inputs!$F$169</f>
        <v>1.42771459499557</v>
      </c>
      <c r="AD88" s="11" t="n">
        <f aca="false">(1-AD81)*(AD60+AD61+AD62+AD63+AD64+AD65+AD66)/MAX(Time!AD26,1)*Inputs!$F$169</f>
        <v>1.41090793147233</v>
      </c>
      <c r="AE88" s="11" t="n">
        <f aca="false">(1-AE81)*(AE60+AE61+AE62+AE63+AE64+AE65+AE66)/MAX(Time!AE26,1)*Inputs!$F$169</f>
        <v>1.45716742386068</v>
      </c>
      <c r="AF88" s="11" t="n">
        <f aca="false">(1-AF81)*(AF60+AF61+AF62+AF63+AF64+AF65+AF66)/MAX(Time!AF26,1)*Inputs!$F$169</f>
        <v>1.46289292670524</v>
      </c>
      <c r="AG88" s="11" t="n">
        <f aca="false">(1-AG81)*(AG60+AG61+AG62+AG63+AG64+AG65+AG66)/MAX(Time!AG26,1)*Inputs!$F$169</f>
        <v>1.50080835956067</v>
      </c>
      <c r="AH88" s="11" t="n">
        <f aca="false">(1-AH81)*(AH60+AH61+AH62+AH63+AH64+AH65+AH66)/MAX(Time!AH26,1)*Inputs!$F$169</f>
        <v>1.48856412281814</v>
      </c>
      <c r="AI88" s="11" t="n">
        <f aca="false">(1-AI81)*(AI60+AI61+AI62+AI63+AI64+AI65+AI66)/MAX(Time!AI26,1)*Inputs!$F$169</f>
        <v>1.52993415622452</v>
      </c>
      <c r="AJ88" s="11" t="n">
        <f aca="false">(1-AJ81)*(AJ60+AJ61+AJ62+AJ63+AJ64+AJ65+AJ66)/MAX(Time!AJ26,1)*Inputs!$F$169</f>
        <v>1.52298297679635</v>
      </c>
      <c r="AK88" s="11" t="n">
        <f aca="false">(1-AK81)*(AK60+AK61+AK62+AK63+AK64+AK65+AK66)/MAX(Time!AK26,1)*Inputs!$F$169</f>
        <v>1.55030809181658</v>
      </c>
      <c r="AL88" s="11" t="n">
        <f aca="false">(1-AL81)*(AL60+AL61+AL62+AL63+AL64+AL65+AL66)/MAX(Time!AL26,1)*Inputs!$F$169</f>
        <v>1.53899215233571</v>
      </c>
      <c r="AM88" s="11" t="n">
        <f aca="false">(1-AM81)*(AM60+AM61+AM62+AM63+AM64+AM65+AM66)/MAX(Time!AM26,1)*Inputs!$F$169</f>
        <v>1.58550282619686</v>
      </c>
      <c r="AN88" s="11" t="n">
        <f aca="false">(1-AN81)*(AN60+AN61+AN62+AN63+AN64+AN65+AN66)/MAX(Time!AN26,1)*Inputs!$F$169</f>
        <v>1.58568762193101</v>
      </c>
      <c r="AO88" s="11" t="n">
        <f aca="false">(1-AO81)*(AO60+AO61+AO62+AO63+AO64+AO65+AO66)/MAX(Time!AO26,1)*Inputs!$F$169</f>
        <v>1.62685993594508</v>
      </c>
      <c r="AP88" s="11" t="n">
        <f aca="false">(1-AP81)*(AP60+AP61+AP62+AP63+AP64+AP65+AP66)/MAX(Time!AP26,1)*Inputs!$F$169</f>
        <v>1.61366006112092</v>
      </c>
      <c r="AQ88" s="11" t="n">
        <f aca="false">(1-AQ81)*(AQ60+AQ61+AQ62+AQ63+AQ64+AQ65+AQ66)/MAX(Time!AQ26,1)*Inputs!$F$169</f>
        <v>1.65858199122185</v>
      </c>
      <c r="AR88" s="11" t="n">
        <f aca="false">(1-AR81)*(AR60+AR61+AR62+AR63+AR64+AR65+AR66)/MAX(Time!AR26,1)*Inputs!$F$169</f>
        <v>1.65112056963221</v>
      </c>
      <c r="AS88" s="11" t="n">
        <f aca="false">(1-AS81)*(AS60+AS61+AS62+AS63+AS64+AS65+AS66)/MAX(Time!AS26,1)*Inputs!$F$169</f>
        <v>1.6775948328631</v>
      </c>
      <c r="AT88" s="11" t="n">
        <f aca="false">(1-AT81)*(AT60+AT61+AT62+AT63+AT64+AT65+AT66)/MAX(Time!AT26,1)*Inputs!$F$169</f>
        <v>1.65807718655002</v>
      </c>
      <c r="AU88" s="11" t="n">
        <f aca="false">(1-AU81)*(AU60+AU61+AU62+AU63+AU64+AU65+AU66)/MAX(Time!AU26,1)*Inputs!$F$169</f>
        <v>1.71251096182396</v>
      </c>
      <c r="AV88" s="11" t="n">
        <f aca="false">(1-AV81)*(AV60+AV61+AV62+AV63+AV64+AV65+AV66)/MAX(Time!AV26,1)*Inputs!$F$169</f>
        <v>1.71940046992452</v>
      </c>
      <c r="AW88" s="11" t="n">
        <f aca="false">(1-AW81)*(AW60+AW61+AW62+AW63+AW64+AW65+AW66)/MAX(Time!AW26,1)*Inputs!$F$169</f>
        <v>1.76411977471132</v>
      </c>
      <c r="AX88" s="11" t="n">
        <f aca="false">(1-AX81)*(AX60+AX61+AX62+AX63+AX64+AX65+AX66)/MAX(Time!AX26,1)*Inputs!$F$169</f>
        <v>1.74988039888856</v>
      </c>
      <c r="AY88" s="11" t="n">
        <f aca="false">(1-AY81)*(AY60+AY61+AY62+AY63+AY64+AY65+AY66)/MAX(Time!AY26,1)*Inputs!$F$169</f>
        <v>1.79866942262689</v>
      </c>
      <c r="AZ88" s="11" t="n">
        <f aca="false">(1-AZ81)*(AZ60+AZ61+AZ62+AZ63+AZ64+AZ65+AZ66)/MAX(Time!AZ26,1)*Inputs!$F$169</f>
        <v>1.79065113005115</v>
      </c>
      <c r="BA88" s="11" t="n">
        <f aca="false">(1-BA81)*(BA60+BA61+BA62+BA63+BA64+BA65+BA66)/MAX(Time!BA26,1)*Inputs!$F$169</f>
        <v>1.82293483357627</v>
      </c>
      <c r="BB88" s="11" t="n">
        <f aca="false">(1-BB81)*(BB60+BB61+BB62+BB63+BB64+BB65+BB66)/MAX(Time!BB26,1)*Inputs!$F$169</f>
        <v>1.80978516970549</v>
      </c>
      <c r="BC88" s="11" t="n">
        <f aca="false">(1-BC81)*(BC60+BC61+BC62+BC63+BC64+BC65+BC66)/MAX(Time!BC26,1)*Inputs!$F$169</f>
        <v>1.86463468194842</v>
      </c>
      <c r="BD88" s="11" t="n">
        <f aca="false">(1-BD81)*(BD60+BD61+BD62+BD63+BD64+BD65+BD66)/MAX(Time!BD26,1)*Inputs!$F$169</f>
        <v>1.86500173851359</v>
      </c>
      <c r="BE88" s="11" t="n">
        <f aca="false">(1-BE81)*(BE60+BE61+BE62+BE63+BE64+BE65+BE66)/MAX(Time!BE26,1)*Inputs!$F$169</f>
        <v>1.91358397406131</v>
      </c>
      <c r="BF88" s="11" t="n">
        <f aca="false">(1-BF81)*(BF60+BF61+BF62+BF63+BF64+BF65+BF66)/MAX(Time!BF26,1)*Inputs!$F$169</f>
        <v>1.89821388458407</v>
      </c>
      <c r="BG88" s="11" t="n">
        <f aca="false">(1-BG81)*(BG60+BG61+BG62+BG63+BG64+BG65+BG66)/MAX(Time!BG26,1)*Inputs!$F$169</f>
        <v>1.95121315233318</v>
      </c>
      <c r="BH88" s="11" t="n">
        <f aca="false">(1-BH81)*(BH60+BH61+BH62+BH63+BH64+BH65+BH66)/MAX(Time!BH26,1)*Inputs!$F$169</f>
        <v>1.94258709883836</v>
      </c>
      <c r="BI88" s="11" t="n">
        <f aca="false">(1-BI81)*(BI60+BI61+BI62+BI63+BI64+BI65+BI66)/MAX(Time!BI26,1)*Inputs!$F$169</f>
        <v>1.97389930962597</v>
      </c>
      <c r="BJ88" s="11" t="n">
        <f aca="false">(1-BJ81)*(BJ60+BJ61+BJ62+BJ63+BJ64+BJ65+BJ66)/MAX(Time!BJ26,1)*Inputs!$F$169</f>
        <v>1.95119559252922</v>
      </c>
      <c r="BK88" s="11" t="n">
        <f aca="false">(1-BK81)*(BK60+BK61+BK62+BK63+BK64+BK65+BK66)/MAX(Time!BK26,1)*Inputs!$F$169</f>
        <v>2.01530817138747</v>
      </c>
      <c r="BL88" s="11" t="n">
        <f aca="false">(1-BL81)*(BL60+BL61+BL62+BL63+BL64+BL65+BL66)/MAX(Time!BL26,1)*Inputs!$F$169</f>
        <v>2.02354787349296</v>
      </c>
      <c r="BM88" s="11" t="n">
        <f aca="false">(1-BM81)*(BM60+BM61+BM62+BM63+BM64+BM65+BM66)/MAX(Time!BM26,1)*Inputs!$F$169</f>
        <v>0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14.8490993335396</v>
      </c>
      <c r="P90" s="11" t="n">
        <f aca="false">P83+P84-P85-P86-P87-P88-P89</f>
        <v>14.812617425715</v>
      </c>
      <c r="Q90" s="11" t="n">
        <f aca="false">Q83+Q84-Q85-Q86-Q87-Q88-Q89</f>
        <v>15.0991954631663</v>
      </c>
      <c r="R90" s="11" t="n">
        <f aca="false">R83+R84-R85-R86-R87-R88-R89</f>
        <v>14.9068321036233</v>
      </c>
      <c r="S90" s="11" t="n">
        <f aca="false">S83+S84-S85-S86-S87-S88-S89</f>
        <v>15.1964572046035</v>
      </c>
      <c r="T90" s="11" t="n">
        <f aca="false">T83+T84-T85-T86-T87-T88-T89</f>
        <v>15.0048621049099</v>
      </c>
      <c r="U90" s="11" t="n">
        <f aca="false">U83+U84-U85-U86-U87-U88-U89</f>
        <v>15.2168460138086</v>
      </c>
      <c r="V90" s="11" t="n">
        <f aca="false">V83+V84-V85-V86-V87-V88-V89</f>
        <v>15.1007374027577</v>
      </c>
      <c r="W90" s="11" t="n">
        <f aca="false">W83+W84-W85-W86-W87-W88-W89</f>
        <v>15.3959652864817</v>
      </c>
      <c r="X90" s="11" t="n">
        <f aca="false">X83+X84-X85-X86-X87-X88-X89</f>
        <v>15.2047088213932</v>
      </c>
      <c r="Y90" s="11" t="n">
        <f aca="false">Y83+Y84-Y85-Y86-Y87-Y88-Y89</f>
        <v>15.5011708843685</v>
      </c>
      <c r="Z90" s="11" t="n">
        <f aca="false">Z83+Z84-Z85-Z86-Z87-Z88-Z89</f>
        <v>15.3068328671949</v>
      </c>
      <c r="AA90" s="11" t="n">
        <f aca="false">AA83+AA84-AA85-AA86-AA87-AA88-AA89</f>
        <v>15.6063877479015</v>
      </c>
      <c r="AB90" s="11" t="n">
        <f aca="false">AB83+AB84-AB85-AB86-AB87-AB88-AB89</f>
        <v>15.4124646265206</v>
      </c>
      <c r="AC90" s="11" t="n">
        <f aca="false">AC83+AC84-AC85-AC86-AC87-AC88-AC89</f>
        <v>15.6325033188066</v>
      </c>
      <c r="AD90" s="11" t="n">
        <f aca="false">AD83+AD84-AD85-AD86-AD87-AD88-AD89</f>
        <v>15.2855233891793</v>
      </c>
      <c r="AE90" s="11" t="n">
        <f aca="false">AE83+AE84-AE85-AE86-AE87-AE88-AE89</f>
        <v>15.8217220337375</v>
      </c>
      <c r="AF90" s="11" t="n">
        <f aca="false">AF83+AF84-AF85-AF86-AF87-AF88-AF89</f>
        <v>15.6284492047053</v>
      </c>
      <c r="AG90" s="11" t="n">
        <f aca="false">AG83+AG84-AG85-AG86-AG87-AG88-AG89</f>
        <v>15.9356046420195</v>
      </c>
      <c r="AH90" s="11" t="n">
        <f aca="false">AH83+AH84-AH85-AH86-AH87-AH88-AH89</f>
        <v>15.7391592866354</v>
      </c>
      <c r="AI90" s="11" t="n">
        <f aca="false">AI83+AI84-AI85-AI86-AI87-AI88-AI89</f>
        <v>16.0494412385915</v>
      </c>
      <c r="AJ90" s="11" t="n">
        <f aca="false">AJ83+AJ84-AJ85-AJ86-AJ87-AJ88-AJ89</f>
        <v>15.8529954012674</v>
      </c>
      <c r="AK90" s="11" t="n">
        <f aca="false">AK83+AK84-AK85-AK86-AK87-AK88-AK89</f>
        <v>16.0827517413122</v>
      </c>
      <c r="AL90" s="11" t="n">
        <f aca="false">AL83+AL84-AL85-AL86-AL87-AL88-AL89</f>
        <v>15.9674617457883</v>
      </c>
      <c r="AM90" s="11" t="n">
        <f aca="false">AM83+AM84-AM85-AM86-AM87-AM88-AM89</f>
        <v>16.2837299949409</v>
      </c>
      <c r="AN90" s="11" t="n">
        <f aca="false">AN83+AN84-AN85-AN86-AN87-AN88-AN89</f>
        <v>16.0864497726137</v>
      </c>
      <c r="AO90" s="11" t="n">
        <f aca="false">AO83+AO84-AO85-AO86-AO87-AO88-AO89</f>
        <v>16.405175634045</v>
      </c>
      <c r="AP90" s="11" t="n">
        <f aca="false">AP83+AP84-AP85-AP86-AP87-AP88-AP89</f>
        <v>16.2064813174056</v>
      </c>
      <c r="AQ90" s="11" t="n">
        <f aca="false">AQ83+AQ84-AQ85-AQ86-AQ87-AQ88-AQ89</f>
        <v>16.5283530995288</v>
      </c>
      <c r="AR90" s="11" t="n">
        <f aca="false">AR83+AR84-AR85-AR86-AR87-AR88-AR89</f>
        <v>16.3291731597034</v>
      </c>
      <c r="AS90" s="11" t="n">
        <f aca="false">AS83+AS84-AS85-AS86-AS87-AS88-AS89</f>
        <v>16.5689316461976</v>
      </c>
      <c r="AT90" s="11" t="n">
        <f aca="false">AT83+AT84-AT85-AT86-AT87-AT88-AT89</f>
        <v>16.2072443780136</v>
      </c>
      <c r="AU90" s="11" t="n">
        <f aca="false">AU83+AU84-AU85-AU86-AU87-AU88-AU89</f>
        <v>16.7823822315999</v>
      </c>
      <c r="AV90" s="11" t="n">
        <f aca="false">AV83+AV84-AV85-AV86-AV87-AV88-AV89</f>
        <v>16.5815412857921</v>
      </c>
      <c r="AW90" s="11" t="n">
        <f aca="false">AW83+AW84-AW85-AW86-AW87-AW88-AW89</f>
        <v>16.9127880917969</v>
      </c>
      <c r="AX90" s="11" t="n">
        <f aca="false">AX83+AX84-AX85-AX86-AX87-AX88-AX89</f>
        <v>16.7116936391023</v>
      </c>
      <c r="AY90" s="11" t="n">
        <f aca="false">AY83+AY84-AY85-AY86-AY87-AY88-AY89</f>
        <v>17.046088964332</v>
      </c>
      <c r="AZ90" s="11" t="n">
        <f aca="false">AZ83+AZ84-AZ85-AZ86-AZ87-AZ88-AZ89</f>
        <v>16.8439453794947</v>
      </c>
      <c r="BA90" s="11" t="n">
        <f aca="false">BA83+BA84-BA85-BA86-BA87-BA88-BA89</f>
        <v>17.0945915930339</v>
      </c>
      <c r="BB90" s="11" t="n">
        <f aca="false">BB83+BB84-BB85-BB86-BB87-BB88-BB89</f>
        <v>16.9806084766722</v>
      </c>
      <c r="BC90" s="11" t="n">
        <f aca="false">BC83+BC84-BC85-BC86-BC87-BC88-BC89</f>
        <v>17.3213477822828</v>
      </c>
      <c r="BD90" s="11" t="n">
        <f aca="false">BD83+BD84-BD85-BD86-BD87-BD88-BD89</f>
        <v>17.1167928242471</v>
      </c>
      <c r="BE90" s="11" t="n">
        <f aca="false">BE83+BE84-BE85-BE86-BE87-BE88-BE89</f>
        <v>17.4615908351219</v>
      </c>
      <c r="BF90" s="11" t="n">
        <f aca="false">BF83+BF84-BF85-BF86-BF87-BF88-BF89</f>
        <v>17.2579348681029</v>
      </c>
      <c r="BG90" s="11" t="n">
        <f aca="false">BG83+BG84-BG85-BG86-BG87-BG88-BG89</f>
        <v>17.6058643580662</v>
      </c>
      <c r="BH90" s="11" t="n">
        <f aca="false">BH83+BH84-BH85-BH86-BH87-BH88-BH89</f>
        <v>17.4005078352967</v>
      </c>
      <c r="BI90" s="11" t="n">
        <f aca="false">BI83+BI84-BI85-BI86-BI87-BI88-BI89</f>
        <v>17.6635364282377</v>
      </c>
      <c r="BJ90" s="11" t="n">
        <f aca="false">BJ83+BJ84-BJ85-BJ86-BJ87-BJ88-BJ89</f>
        <v>17.2848566411904</v>
      </c>
      <c r="BK90" s="11" t="n">
        <f aca="false">BK83+BK84-BK85-BK86-BK87-BK88-BK89</f>
        <v>17.9056561229142</v>
      </c>
      <c r="BL90" s="11" t="n">
        <f aca="false">BL83+BL84-BL85-BL86-BL87-BL88-BL89</f>
        <v>17.6955321654</v>
      </c>
      <c r="BM90" s="11" t="n">
        <f aca="false">BM83+BM84-BM85-BM86-BM87-BM88-BM89</f>
        <v>0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14.8490993335396</v>
      </c>
      <c r="P91" s="11" t="n">
        <f aca="false">P90-O90</f>
        <v>-0.0364819078246192</v>
      </c>
      <c r="Q91" s="11" t="n">
        <f aca="false">Q90-P90</f>
        <v>0.286578037451354</v>
      </c>
      <c r="R91" s="11" t="n">
        <f aca="false">R90-Q90</f>
        <v>-0.192363359543045</v>
      </c>
      <c r="S91" s="11" t="n">
        <f aca="false">S90-R90</f>
        <v>0.289625100980267</v>
      </c>
      <c r="T91" s="11" t="n">
        <f aca="false">T90-S90</f>
        <v>-0.19159509969364</v>
      </c>
      <c r="U91" s="11" t="n">
        <f aca="false">U90-T90</f>
        <v>0.211983908898659</v>
      </c>
      <c r="V91" s="11" t="n">
        <f aca="false">V90-U90</f>
        <v>-0.116108611050844</v>
      </c>
      <c r="W91" s="11" t="n">
        <f aca="false">W90-V90</f>
        <v>0.295227883724026</v>
      </c>
      <c r="X91" s="11" t="n">
        <f aca="false">X90-W90</f>
        <v>-0.191256465088566</v>
      </c>
      <c r="Y91" s="11" t="n">
        <f aca="false">Y90-X90</f>
        <v>0.296462062975291</v>
      </c>
      <c r="Z91" s="11" t="n">
        <f aca="false">Z90-Y90</f>
        <v>-0.194338017173557</v>
      </c>
      <c r="AA91" s="11" t="n">
        <f aca="false">AA90-Z90</f>
        <v>0.299554880706555</v>
      </c>
      <c r="AB91" s="11" t="n">
        <f aca="false">AB90-AA90</f>
        <v>-0.193923121380903</v>
      </c>
      <c r="AC91" s="11" t="n">
        <f aca="false">AC90-AB90</f>
        <v>0.220038692286087</v>
      </c>
      <c r="AD91" s="11" t="n">
        <f aca="false">AD90-AC90</f>
        <v>-0.346979929627327</v>
      </c>
      <c r="AE91" s="11" t="n">
        <f aca="false">AE90-AD90</f>
        <v>0.536198644558228</v>
      </c>
      <c r="AF91" s="11" t="n">
        <f aca="false">AF90-AE90</f>
        <v>-0.193272829032221</v>
      </c>
      <c r="AG91" s="11" t="n">
        <f aca="false">AG90-AF90</f>
        <v>0.307155437314188</v>
      </c>
      <c r="AH91" s="11" t="n">
        <f aca="false">AH90-AG90</f>
        <v>-0.196445355384149</v>
      </c>
      <c r="AI91" s="11" t="n">
        <f aca="false">AI90-AH90</f>
        <v>0.310281951956132</v>
      </c>
      <c r="AJ91" s="11" t="n">
        <f aca="false">AJ90-AI90</f>
        <v>-0.196445837324099</v>
      </c>
      <c r="AK91" s="11" t="n">
        <f aca="false">AK90-AJ90</f>
        <v>0.22975634004478</v>
      </c>
      <c r="AL91" s="11" t="n">
        <f aca="false">AL90-AK90</f>
        <v>-0.115289995523828</v>
      </c>
      <c r="AM91" s="11" t="n">
        <f aca="false">AM90-AL90</f>
        <v>0.316268249152568</v>
      </c>
      <c r="AN91" s="11" t="n">
        <f aca="false">AN90-AM90</f>
        <v>-0.197280222327176</v>
      </c>
      <c r="AO91" s="11" t="n">
        <f aca="false">AO90-AN90</f>
        <v>0.318725861431247</v>
      </c>
      <c r="AP91" s="11" t="n">
        <f aca="false">AP90-AO90</f>
        <v>-0.198694316639347</v>
      </c>
      <c r="AQ91" s="11" t="n">
        <f aca="false">AQ90-AP90</f>
        <v>0.321871782123143</v>
      </c>
      <c r="AR91" s="11" t="n">
        <f aca="false">AR90-AQ90</f>
        <v>-0.199179939825424</v>
      </c>
      <c r="AS91" s="11" t="n">
        <f aca="false">AS90-AR90</f>
        <v>0.239758486494253</v>
      </c>
      <c r="AT91" s="11" t="n">
        <f aca="false">AT90-AS90</f>
        <v>-0.361687268183964</v>
      </c>
      <c r="AU91" s="11" t="n">
        <f aca="false">AU90-AT90</f>
        <v>0.575137853586256</v>
      </c>
      <c r="AV91" s="11" t="n">
        <f aca="false">AV90-AU90</f>
        <v>-0.200840945807826</v>
      </c>
      <c r="AW91" s="11" t="n">
        <f aca="false">AW90-AV90</f>
        <v>0.331246806004831</v>
      </c>
      <c r="AX91" s="11" t="n">
        <f aca="false">AX90-AW90</f>
        <v>-0.201094452694583</v>
      </c>
      <c r="AY91" s="11" t="n">
        <f aca="false">AY90-AX90</f>
        <v>0.334395325229661</v>
      </c>
      <c r="AZ91" s="11" t="n">
        <f aca="false">AZ90-AY90</f>
        <v>-0.202143584837284</v>
      </c>
      <c r="BA91" s="11" t="n">
        <f aca="false">BA90-AZ90</f>
        <v>0.25064621353922</v>
      </c>
      <c r="BB91" s="11" t="n">
        <f aca="false">BB90-BA90</f>
        <v>-0.113983116361727</v>
      </c>
      <c r="BC91" s="11" t="n">
        <f aca="false">BC90-BB90</f>
        <v>0.340739305610637</v>
      </c>
      <c r="BD91" s="11" t="n">
        <f aca="false">BD90-BC90</f>
        <v>-0.204554958035779</v>
      </c>
      <c r="BE91" s="11" t="n">
        <f aca="false">BE90-BD90</f>
        <v>0.34479801087485</v>
      </c>
      <c r="BF91" s="11" t="n">
        <f aca="false">BF90-BE90</f>
        <v>-0.203655967019031</v>
      </c>
      <c r="BG91" s="11" t="n">
        <f aca="false">BG90-BF90</f>
        <v>0.347929489963292</v>
      </c>
      <c r="BH91" s="11" t="n">
        <f aca="false">BH90-BG90</f>
        <v>-0.205356522769481</v>
      </c>
      <c r="BI91" s="11" t="n">
        <f aca="false">BI90-BH90</f>
        <v>0.263028592940987</v>
      </c>
      <c r="BJ91" s="11" t="n">
        <f aca="false">BJ90-BI90</f>
        <v>-0.378679787047233</v>
      </c>
      <c r="BK91" s="11" t="n">
        <f aca="false">BK90-BJ90</f>
        <v>0.620799481723747</v>
      </c>
      <c r="BL91" s="11" t="n">
        <f aca="false">BL90-BK90</f>
        <v>-0.210123957514188</v>
      </c>
      <c r="BM91" s="11" t="n">
        <f aca="false">BM90-BL90</f>
        <v>-17.6955321654</v>
      </c>
      <c r="BN91" s="11" t="n">
        <f aca="false">BN90-BM90</f>
        <v>0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5.35</v>
      </c>
      <c r="BN92" s="11" t="n">
        <f aca="false">Time!BN32*Inputs!$F$65*Inputs!$F$35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836.686552347281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7.53017897112553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22.5905369133766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22.5905369133766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22.5905369133766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22.5905369133766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22.5905369133766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22.5905369133766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22.5905369133766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22.5905369133766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22.5905369133766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21.7538503610293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20.0804772563347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20.0804772563347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20.0804772563347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20.0804772563347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20.0804772563347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20.0804772563347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20.0804772563347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20.0804772563347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20.0804772563347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20.0804772563347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20.0804772563347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20.0804772563347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20.0804772563347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20.0804772563347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20.0804772563347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20.0804772563347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20.0804772563347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20.0804772563347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20.0804772563347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20.0804772563347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20.0804772563347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20.0804772563347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20.0804772563347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20.0804772563347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20.0804772563347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20.0804772563347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20.0804772563347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20.0804772563347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20.0804772563347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13.6658803550056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0.836686552347281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0.836686552347281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0.836686552347281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0.836686552347281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0.836686552347281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0.836686552347281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0.836686552347281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0.836686552347281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0.836686552347281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0.557791034898187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225.905369133766</v>
      </c>
      <c r="J11" s="11" t="n">
        <f aca="false">(Inputs!$F$174*Funding!$F$76/Inputs!$F$175+Inputs!$F$176*Funding!$F$76/Inputs!$F$177+Inputs!$F$178*Funding!$F$76/Inputs!$F$179)*J7</f>
        <v>0</v>
      </c>
      <c r="K11" s="11" t="n">
        <f aca="false">(Inputs!$F$174*Funding!$F$76/Inputs!$F$175+Inputs!$F$176*Funding!$F$76/Inputs!$F$177+Inputs!$F$178*Funding!$F$76/Inputs!$F$179)*K7</f>
        <v>0</v>
      </c>
      <c r="L11" s="11" t="n">
        <f aca="false">(Inputs!$F$174*Funding!$F$76/Inputs!$F$175+Inputs!$F$176*Funding!$F$76/Inputs!$F$177+Inputs!$F$178*Funding!$F$76/Inputs!$F$179)*L7</f>
        <v>0</v>
      </c>
      <c r="M11" s="11" t="n">
        <f aca="false">(Inputs!$F$174*Funding!$F$76/Inputs!$F$175+Inputs!$F$176*Funding!$F$76/Inputs!$F$177+Inputs!$F$178*Funding!$F$76/Inputs!$F$179)*M7</f>
        <v>0</v>
      </c>
      <c r="N11" s="11" t="n">
        <f aca="false">(Inputs!$F$174*Funding!$F$76/Inputs!$F$175+Inputs!$F$176*Funding!$F$76/Inputs!$F$177+Inputs!$F$178*Funding!$F$76/Inputs!$F$179)*N7</f>
        <v>0</v>
      </c>
      <c r="O11" s="11" t="n">
        <f aca="false">(Inputs!$F$174*Funding!$F$76/Inputs!$F$175+Inputs!$F$176*Funding!$F$76/Inputs!$F$177+Inputs!$F$178*Funding!$F$76/Inputs!$F$179)*O7</f>
        <v>7.53017897112553</v>
      </c>
      <c r="P11" s="11" t="n">
        <f aca="false">(Inputs!$F$174*Funding!$F$76/Inputs!$F$175+Inputs!$F$176*Funding!$F$76/Inputs!$F$177+Inputs!$F$178*Funding!$F$76/Inputs!$F$179)*P7</f>
        <v>22.5905369133766</v>
      </c>
      <c r="Q11" s="11" t="n">
        <f aca="false">(Inputs!$F$174*Funding!$F$76/Inputs!$F$175+Inputs!$F$176*Funding!$F$76/Inputs!$F$177+Inputs!$F$178*Funding!$F$76/Inputs!$F$179)*Q7</f>
        <v>22.5905369133766</v>
      </c>
      <c r="R11" s="11" t="n">
        <f aca="false">(Inputs!$F$174*Funding!$F$76/Inputs!$F$175+Inputs!$F$176*Funding!$F$76/Inputs!$F$177+Inputs!$F$178*Funding!$F$76/Inputs!$F$179)*R7</f>
        <v>22.5905369133766</v>
      </c>
      <c r="S11" s="11" t="n">
        <f aca="false">(Inputs!$F$174*Funding!$F$76/Inputs!$F$175+Inputs!$F$176*Funding!$F$76/Inputs!$F$177+Inputs!$F$178*Funding!$F$76/Inputs!$F$179)*S7</f>
        <v>22.5905369133766</v>
      </c>
      <c r="T11" s="11" t="n">
        <f aca="false">(Inputs!$F$174*Funding!$F$76/Inputs!$F$175+Inputs!$F$176*Funding!$F$76/Inputs!$F$177+Inputs!$F$178*Funding!$F$76/Inputs!$F$179)*T7</f>
        <v>22.5905369133766</v>
      </c>
      <c r="U11" s="11" t="n">
        <f aca="false">(Inputs!$F$174*Funding!$F$76/Inputs!$F$175+Inputs!$F$176*Funding!$F$76/Inputs!$F$177+Inputs!$F$178*Funding!$F$76/Inputs!$F$179)*U7</f>
        <v>22.5905369133766</v>
      </c>
      <c r="V11" s="11" t="n">
        <f aca="false">(Inputs!$F$174*Funding!$F$76/Inputs!$F$175+Inputs!$F$176*Funding!$F$76/Inputs!$F$177+Inputs!$F$178*Funding!$F$76/Inputs!$F$179)*V7</f>
        <v>22.5905369133766</v>
      </c>
      <c r="W11" s="11" t="n">
        <f aca="false">(Inputs!$F$174*Funding!$F$76/Inputs!$F$175+Inputs!$F$176*Funding!$F$76/Inputs!$F$177+Inputs!$F$178*Funding!$F$76/Inputs!$F$179)*W7</f>
        <v>22.5905369133766</v>
      </c>
      <c r="X11" s="11" t="n">
        <f aca="false">(Inputs!$F$174*Funding!$F$76/Inputs!$F$175+Inputs!$F$176*Funding!$F$76/Inputs!$F$177+Inputs!$F$178*Funding!$F$76/Inputs!$F$179)*X7</f>
        <v>22.5905369133766</v>
      </c>
      <c r="Y11" s="11" t="n">
        <f aca="false">(Inputs!$F$174*Funding!$F$76/Inputs!$F$175+Inputs!$F$176*Funding!$F$76/Inputs!$F$177+Inputs!$F$178*Funding!$F$76/Inputs!$F$179)*Y7</f>
        <v>15.0603579422511</v>
      </c>
      <c r="Z11" s="11" t="n">
        <f aca="false">(Inputs!$F$174*Funding!$F$76/Inputs!$F$175+Inputs!$F$176*Funding!$F$76/Inputs!$F$177+Inputs!$F$178*Funding!$F$76/Inputs!$F$179)*Z7</f>
        <v>0</v>
      </c>
      <c r="AA11" s="11" t="n">
        <f aca="false">(Inputs!$F$174*Funding!$F$76/Inputs!$F$175+Inputs!$F$176*Funding!$F$76/Inputs!$F$177+Inputs!$F$178*Funding!$F$76/Inputs!$F$179)*AA7</f>
        <v>0</v>
      </c>
      <c r="AB11" s="11" t="n">
        <f aca="false">(Inputs!$F$174*Funding!$F$76/Inputs!$F$175+Inputs!$F$176*Funding!$F$76/Inputs!$F$177+Inputs!$F$178*Funding!$F$76/Inputs!$F$179)*AB7</f>
        <v>0</v>
      </c>
      <c r="AC11" s="11" t="n">
        <f aca="false">(Inputs!$F$174*Funding!$F$76/Inputs!$F$175+Inputs!$F$176*Funding!$F$76/Inputs!$F$177+Inputs!$F$178*Funding!$F$76/Inputs!$F$179)*AC7</f>
        <v>0</v>
      </c>
      <c r="AD11" s="11" t="n">
        <f aca="false">(Inputs!$F$174*Funding!$F$76/Inputs!$F$175+Inputs!$F$176*Funding!$F$76/Inputs!$F$177+Inputs!$F$178*Funding!$F$76/Inputs!$F$179)*AD7</f>
        <v>0</v>
      </c>
      <c r="AE11" s="11" t="n">
        <f aca="false">(Inputs!$F$174*Funding!$F$76/Inputs!$F$175+Inputs!$F$176*Funding!$F$76/Inputs!$F$177+Inputs!$F$178*Funding!$F$76/Inputs!$F$179)*AE7</f>
        <v>0</v>
      </c>
      <c r="AF11" s="11" t="n">
        <f aca="false">(Inputs!$F$174*Funding!$F$76/Inputs!$F$175+Inputs!$F$176*Funding!$F$76/Inputs!$F$177+Inputs!$F$178*Funding!$F$76/Inputs!$F$179)*AF7</f>
        <v>0</v>
      </c>
      <c r="AG11" s="11" t="n">
        <f aca="false">(Inputs!$F$174*Funding!$F$76/Inputs!$F$175+Inputs!$F$176*Funding!$F$76/Inputs!$F$177+Inputs!$F$178*Funding!$F$76/Inputs!$F$179)*AG7</f>
        <v>0</v>
      </c>
      <c r="AH11" s="11" t="n">
        <f aca="false">(Inputs!$F$174*Funding!$F$76/Inputs!$F$175+Inputs!$F$176*Funding!$F$76/Inputs!$F$177+Inputs!$F$178*Funding!$F$76/Inputs!$F$179)*AH7</f>
        <v>0</v>
      </c>
      <c r="AI11" s="11" t="n">
        <f aca="false">(Inputs!$F$174*Funding!$F$76/Inputs!$F$175+Inputs!$F$176*Funding!$F$76/Inputs!$F$177+Inputs!$F$178*Funding!$F$76/Inputs!$F$179)*AI7</f>
        <v>0</v>
      </c>
      <c r="AJ11" s="11" t="n">
        <f aca="false">(Inputs!$F$174*Funding!$F$76/Inputs!$F$175+Inputs!$F$176*Funding!$F$76/Inputs!$F$177+Inputs!$F$178*Funding!$F$76/Inputs!$F$179)*AJ7</f>
        <v>0</v>
      </c>
      <c r="AK11" s="11" t="n">
        <f aca="false">(Inputs!$F$174*Funding!$F$76/Inputs!$F$175+Inputs!$F$176*Funding!$F$76/Inputs!$F$177+Inputs!$F$178*Funding!$F$76/Inputs!$F$179)*AK7</f>
        <v>0</v>
      </c>
      <c r="AL11" s="11" t="n">
        <f aca="false">(Inputs!$F$174*Funding!$F$76/Inputs!$F$175+Inputs!$F$176*Funding!$F$76/Inputs!$F$177+Inputs!$F$178*Funding!$F$76/Inputs!$F$179)*AL7</f>
        <v>0</v>
      </c>
      <c r="AM11" s="11" t="n">
        <f aca="false">(Inputs!$F$174*Funding!$F$76/Inputs!$F$175+Inputs!$F$176*Funding!$F$76/Inputs!$F$177+Inputs!$F$178*Funding!$F$76/Inputs!$F$179)*AM7</f>
        <v>0</v>
      </c>
      <c r="AN11" s="11" t="n">
        <f aca="false">(Inputs!$F$174*Funding!$F$76/Inputs!$F$175+Inputs!$F$176*Funding!$F$76/Inputs!$F$177+Inputs!$F$178*Funding!$F$76/Inputs!$F$179)*AN7</f>
        <v>0</v>
      </c>
      <c r="AO11" s="11" t="n">
        <f aca="false">(Inputs!$F$174*Funding!$F$76/Inputs!$F$175+Inputs!$F$176*Funding!$F$76/Inputs!$F$177+Inputs!$F$178*Funding!$F$76/Inputs!$F$179)*AO7</f>
        <v>0</v>
      </c>
      <c r="AP11" s="11" t="n">
        <f aca="false">(Inputs!$F$174*Funding!$F$76/Inputs!$F$175+Inputs!$F$176*Funding!$F$76/Inputs!$F$177+Inputs!$F$178*Funding!$F$76/Inputs!$F$179)*AP7</f>
        <v>0</v>
      </c>
      <c r="AQ11" s="11" t="n">
        <f aca="false">(Inputs!$F$174*Funding!$F$76/Inputs!$F$175+Inputs!$F$176*Funding!$F$76/Inputs!$F$177+Inputs!$F$178*Funding!$F$76/Inputs!$F$179)*AQ7</f>
        <v>0</v>
      </c>
      <c r="AR11" s="11" t="n">
        <f aca="false">(Inputs!$F$174*Funding!$F$76/Inputs!$F$175+Inputs!$F$176*Funding!$F$76/Inputs!$F$177+Inputs!$F$178*Funding!$F$76/Inputs!$F$179)*AR7</f>
        <v>0</v>
      </c>
      <c r="AS11" s="11" t="n">
        <f aca="false">(Inputs!$F$174*Funding!$F$76/Inputs!$F$175+Inputs!$F$176*Funding!$F$76/Inputs!$F$177+Inputs!$F$178*Funding!$F$76/Inputs!$F$179)*AS7</f>
        <v>0</v>
      </c>
      <c r="AT11" s="11" t="n">
        <f aca="false">(Inputs!$F$174*Funding!$F$76/Inputs!$F$175+Inputs!$F$176*Funding!$F$76/Inputs!$F$177+Inputs!$F$178*Funding!$F$76/Inputs!$F$179)*AT7</f>
        <v>0</v>
      </c>
      <c r="AU11" s="11" t="n">
        <f aca="false">(Inputs!$F$174*Funding!$F$76/Inputs!$F$175+Inputs!$F$176*Funding!$F$76/Inputs!$F$177+Inputs!$F$178*Funding!$F$76/Inputs!$F$179)*AU7</f>
        <v>0</v>
      </c>
      <c r="AV11" s="11" t="n">
        <f aca="false">(Inputs!$F$174*Funding!$F$76/Inputs!$F$175+Inputs!$F$176*Funding!$F$76/Inputs!$F$177+Inputs!$F$178*Funding!$F$76/Inputs!$F$179)*AV7</f>
        <v>0</v>
      </c>
      <c r="AW11" s="11" t="n">
        <f aca="false">(Inputs!$F$174*Funding!$F$76/Inputs!$F$175+Inputs!$F$176*Funding!$F$76/Inputs!$F$177+Inputs!$F$178*Funding!$F$76/Inputs!$F$179)*AW7</f>
        <v>0</v>
      </c>
      <c r="AX11" s="11" t="n">
        <f aca="false">(Inputs!$F$174*Funding!$F$76/Inputs!$F$175+Inputs!$F$176*Funding!$F$76/Inputs!$F$177+Inputs!$F$178*Funding!$F$76/Inputs!$F$179)*AX7</f>
        <v>0</v>
      </c>
      <c r="AY11" s="11" t="n">
        <f aca="false">(Inputs!$F$174*Funding!$F$76/Inputs!$F$175+Inputs!$F$176*Funding!$F$76/Inputs!$F$177+Inputs!$F$178*Funding!$F$76/Inputs!$F$179)*AY7</f>
        <v>0</v>
      </c>
      <c r="AZ11" s="11" t="n">
        <f aca="false">(Inputs!$F$174*Funding!$F$76/Inputs!$F$175+Inputs!$F$176*Funding!$F$76/Inputs!$F$177+Inputs!$F$178*Funding!$F$76/Inputs!$F$179)*AZ7</f>
        <v>0</v>
      </c>
      <c r="BA11" s="11" t="n">
        <f aca="false">(Inputs!$F$174*Funding!$F$76/Inputs!$F$175+Inputs!$F$176*Funding!$F$76/Inputs!$F$177+Inputs!$F$178*Funding!$F$76/Inputs!$F$179)*BA7</f>
        <v>0</v>
      </c>
      <c r="BB11" s="11" t="n">
        <f aca="false">(Inputs!$F$174*Funding!$F$76/Inputs!$F$175+Inputs!$F$176*Funding!$F$76/Inputs!$F$177+Inputs!$F$178*Funding!$F$76/Inputs!$F$179)*BB7</f>
        <v>0</v>
      </c>
      <c r="BC11" s="11" t="n">
        <f aca="false">(Inputs!$F$174*Funding!$F$76/Inputs!$F$175+Inputs!$F$176*Funding!$F$76/Inputs!$F$177+Inputs!$F$178*Funding!$F$76/Inputs!$F$179)*BC7</f>
        <v>0</v>
      </c>
      <c r="BD11" s="11" t="n">
        <f aca="false">(Inputs!$F$174*Funding!$F$76/Inputs!$F$175+Inputs!$F$176*Funding!$F$76/Inputs!$F$177+Inputs!$F$178*Funding!$F$76/Inputs!$F$179)*BD7</f>
        <v>0</v>
      </c>
      <c r="BE11" s="11" t="n">
        <f aca="false">(Inputs!$F$174*Funding!$F$76/Inputs!$F$175+Inputs!$F$176*Funding!$F$76/Inputs!$F$177+Inputs!$F$178*Funding!$F$76/Inputs!$F$179)*BE7</f>
        <v>0</v>
      </c>
      <c r="BF11" s="11" t="n">
        <f aca="false">(Inputs!$F$174*Funding!$F$76/Inputs!$F$175+Inputs!$F$176*Funding!$F$76/Inputs!$F$177+Inputs!$F$178*Funding!$F$76/Inputs!$F$179)*BF7</f>
        <v>0</v>
      </c>
      <c r="BG11" s="11" t="n">
        <f aca="false">(Inputs!$F$174*Funding!$F$76/Inputs!$F$175+Inputs!$F$176*Funding!$F$76/Inputs!$F$177+Inputs!$F$178*Funding!$F$76/Inputs!$F$179)*BG7</f>
        <v>0</v>
      </c>
      <c r="BH11" s="11" t="n">
        <f aca="false">(Inputs!$F$174*Funding!$F$76/Inputs!$F$175+Inputs!$F$176*Funding!$F$76/Inputs!$F$177+Inputs!$F$178*Funding!$F$76/Inputs!$F$179)*BH7</f>
        <v>0</v>
      </c>
      <c r="BI11" s="11" t="n">
        <f aca="false">(Inputs!$F$174*Funding!$F$76/Inputs!$F$175+Inputs!$F$176*Funding!$F$76/Inputs!$F$177+Inputs!$F$178*Funding!$F$76/Inputs!$F$179)*BI7</f>
        <v>0</v>
      </c>
      <c r="BJ11" s="11" t="n">
        <f aca="false">(Inputs!$F$174*Funding!$F$76/Inputs!$F$175+Inputs!$F$176*Funding!$F$76/Inputs!$F$177+Inputs!$F$178*Funding!$F$76/Inputs!$F$179)*BJ7</f>
        <v>0</v>
      </c>
      <c r="BK11" s="11" t="n">
        <f aca="false">(Inputs!$F$174*Funding!$F$76/Inputs!$F$175+Inputs!$F$176*Funding!$F$76/Inputs!$F$177+Inputs!$F$178*Funding!$F$76/Inputs!$F$179)*BK7</f>
        <v>0</v>
      </c>
      <c r="BL11" s="11" t="n">
        <f aca="false">(Inputs!$F$174*Funding!$F$76/Inputs!$F$175+Inputs!$F$176*Funding!$F$76/Inputs!$F$177+Inputs!$F$178*Funding!$F$76/Inputs!$F$179)*BL7</f>
        <v>0</v>
      </c>
      <c r="BM11" s="11" t="n">
        <f aca="false">(Inputs!$F$174*Funding!$F$76/Inputs!$F$175+Inputs!$F$176*Funding!$F$76/Inputs!$F$177+Inputs!$F$178*Funding!$F$76/Inputs!$F$179)*BM7</f>
        <v>0</v>
      </c>
      <c r="BN11" s="11" t="n">
        <f aca="false">(Inputs!$F$174*Funding!$F$76/Inputs!$F$175+Inputs!$F$176*Funding!$F$76/Inputs!$F$177+Inputs!$F$178*Funding!$F$76/Inputs!$F$179)*BN7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215.573095615837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3.20169334249331</v>
      </c>
      <c r="P13" s="11" t="n">
        <f aca="false">IF(Time!P17&gt;=Time!$F$11,Waterfall!P33*Inputs!$F$102/100*Time!P26/365,0)</f>
        <v>9.81089721352277</v>
      </c>
      <c r="Q13" s="11" t="n">
        <f aca="false">IF(Time!Q17&gt;=Time!$F$11,Waterfall!Q33*Inputs!$F$102/100*Time!Q26/365,0)</f>
        <v>9.46205350124882</v>
      </c>
      <c r="R13" s="11" t="n">
        <f aca="false">IF(Time!R17&gt;=Time!$F$11,Waterfall!R33*Inputs!$F$102/100*Time!R26/365,0)</f>
        <v>9.52023160455426</v>
      </c>
      <c r="S13" s="11" t="n">
        <f aca="false">IF(Time!S17&gt;=Time!$F$11,Waterfall!S33*Inputs!$F$102/100*Time!S26/365,0)</f>
        <v>9.22801212043356</v>
      </c>
      <c r="T13" s="11" t="n">
        <f aca="false">IF(Time!T17&gt;=Time!$F$11,Waterfall!T33*Inputs!$F$102/100*Time!T26/365,0)</f>
        <v>9.26682935334032</v>
      </c>
      <c r="U13" s="11" t="n">
        <f aca="false">IF(Time!U17&gt;=Time!$F$11,Waterfall!U33*Inputs!$F$102/100*Time!U26/365,0)</f>
        <v>9.02057880754621</v>
      </c>
      <c r="V13" s="11" t="n">
        <f aca="false">IF(Time!V17&gt;=Time!$F$11,Waterfall!V33*Inputs!$F$102/100*Time!V26/365,0)</f>
        <v>9.00713409353886</v>
      </c>
      <c r="W13" s="11" t="n">
        <f aca="false">IF(Time!W17&gt;=Time!$F$11,Waterfall!W33*Inputs!$F$102/100*Time!W26/365,0)</f>
        <v>8.69155274229901</v>
      </c>
      <c r="X13" s="11" t="n">
        <f aca="false">IF(Time!X17&gt;=Time!$F$11,Waterfall!X33*Inputs!$F$102/100*Time!X26/365,0)</f>
        <v>8.61391106142037</v>
      </c>
      <c r="Y13" s="11" t="n">
        <f aca="false">IF(Time!Y17&gt;=Time!$F$11,Waterfall!Y33*Inputs!$F$102/100*Time!Y26/365,0)</f>
        <v>8.30550134155863</v>
      </c>
      <c r="Z13" s="11" t="n">
        <f aca="false">IF(Time!Z17&gt;=Time!$F$11,Waterfall!Z33*Inputs!$F$102/100*Time!Z26/365,0)</f>
        <v>8.29538874294604</v>
      </c>
      <c r="AA13" s="11" t="n">
        <f aca="false">IF(Time!AA17&gt;=Time!$F$11,Waterfall!AA33*Inputs!$F$102/100*Time!AA26/365,0)</f>
        <v>7.98201728593425</v>
      </c>
      <c r="AB13" s="11" t="n">
        <f aca="false">IF(Time!AB17&gt;=Time!$F$11,Waterfall!AB33*Inputs!$F$102/100*Time!AB26/365,0)</f>
        <v>8.22746610478524</v>
      </c>
      <c r="AC13" s="11" t="n">
        <f aca="false">IF(Time!AC17&gt;=Time!$F$11,Waterfall!AC33*Inputs!$F$102/100*Time!AC26/365,0)</f>
        <v>8.21701711010383</v>
      </c>
      <c r="AD13" s="11" t="n">
        <f aca="false">IF(Time!AD17&gt;=Time!$F$11,Waterfall!AD33*Inputs!$F$102/100*Time!AD26/365,0)</f>
        <v>8.40450422695543</v>
      </c>
      <c r="AE13" s="11" t="n">
        <f aca="false">IF(Time!AE17&gt;=Time!$F$11,Waterfall!AE33*Inputs!$F$102/100*Time!AE26/365,0)</f>
        <v>8.31123340962763</v>
      </c>
      <c r="AF13" s="11" t="n">
        <f aca="false">IF(Time!AF17&gt;=Time!$F$11,Waterfall!AF33*Inputs!$F$102/100*Time!AF26/365,0)</f>
        <v>8.46231461372684</v>
      </c>
      <c r="AG13" s="11" t="n">
        <f aca="false">IF(Time!AG17&gt;=Time!$F$11,Waterfall!AG33*Inputs!$F$102/100*Time!AG26/365,0)</f>
        <v>8.30563832528807</v>
      </c>
      <c r="AH13" s="11" t="n">
        <f aca="false">IF(Time!AH17&gt;=Time!$F$11,Waterfall!AH33*Inputs!$F$102/100*Time!AH26/365,0)</f>
        <v>8.3996967747957</v>
      </c>
      <c r="AI13" s="11" t="n">
        <f aca="false">IF(Time!AI17&gt;=Time!$F$11,Waterfall!AI33*Inputs!$F$102/100*Time!AI26/365,0)</f>
        <v>8.16365524571496</v>
      </c>
      <c r="AJ13" s="11" t="n">
        <f aca="false">IF(Time!AJ17&gt;=Time!$F$11,Waterfall!AJ33*Inputs!$F$102/100*Time!AJ26/365,0)</f>
        <v>8.15049882387435</v>
      </c>
      <c r="AK13" s="11" t="n">
        <f aca="false">IF(Time!AK17&gt;=Time!$F$11,Waterfall!AK33*Inputs!$F$102/100*Time!AK26/365,0)</f>
        <v>7.83222543344809</v>
      </c>
      <c r="AL13" s="11" t="n">
        <f aca="false">IF(Time!AL17&gt;=Time!$F$11,Waterfall!AL33*Inputs!$F$102/100*Time!AL26/365,0)</f>
        <v>7.08228794553218</v>
      </c>
      <c r="AM13" s="11" t="n">
        <f aca="false">IF(Time!AM17&gt;=Time!$F$11,Waterfall!AM33*Inputs!$F$102/100*Time!AM26/365,0)</f>
        <v>5.90191212579568</v>
      </c>
      <c r="AN13" s="11" t="n">
        <f aca="false">IF(Time!AN17&gt;=Time!$F$11,Waterfall!AN33*Inputs!$F$102/100*Time!AN26/365,0)</f>
        <v>4.72699736176433</v>
      </c>
      <c r="AO13" s="11" t="n">
        <f aca="false">IF(Time!AO17&gt;=Time!$F$11,Waterfall!AO33*Inputs!$F$102/100*Time!AO26/365,0)</f>
        <v>3.41943315688086</v>
      </c>
      <c r="AP13" s="11" t="n">
        <f aca="false">IF(Time!AP17&gt;=Time!$F$11,Waterfall!AP33*Inputs!$F$102/100*Time!AP26/365,0)</f>
        <v>1.5624137467072</v>
      </c>
      <c r="AQ13" s="11" t="n">
        <f aca="false">IF(Time!AQ17&gt;=Time!$F$11,Waterfall!AQ33*Inputs!$F$102/100*Time!AQ26/365,0)</f>
        <v>0</v>
      </c>
      <c r="AR13" s="11" t="n">
        <f aca="false">IF(Time!AR17&gt;=Time!$F$11,Waterfall!AR33*Inputs!$F$102/100*Time!AR26/365,0)</f>
        <v>0</v>
      </c>
      <c r="AS13" s="11" t="n">
        <f aca="false">IF(Time!AS17&gt;=Time!$F$11,Waterfall!AS33*Inputs!$F$102/100*Time!AS26/365,0)</f>
        <v>0</v>
      </c>
      <c r="AT13" s="11" t="n">
        <f aca="false">IF(Time!AT17&gt;=Time!$F$11,Waterfall!AT33*Inputs!$F$102/100*Time!AT26/365,0)</f>
        <v>0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0.660024031532499</v>
      </c>
      <c r="P14" s="6" t="n">
        <f aca="false">IF(Waterfall!P33&gt;0,MIN(1,Inputs!$F$180*(Waterfall!$F$32+MAX(0,Waterfall!O43))/Waterfall!P33),1)</f>
        <v>0.788037781224799</v>
      </c>
      <c r="Q14" s="6" t="n">
        <f aca="false">IF(Waterfall!Q33&gt;0,MIN(1,Inputs!$F$180*(Waterfall!$F$32+MAX(0,Waterfall!P43))/Waterfall!Q33),1)</f>
        <v>0.898961788854771</v>
      </c>
      <c r="R14" s="6" t="n">
        <f aca="false">IF(Waterfall!R33&gt;0,MIN(1,Inputs!$F$180*(Waterfall!$F$32+MAX(0,Waterfall!Q43))/Waterfall!R33),1)</f>
        <v>1</v>
      </c>
      <c r="S14" s="6" t="n">
        <f aca="false">IF(Waterfall!S33&gt;0,MIN(1,Inputs!$F$180*(Waterfall!$F$32+MAX(0,Waterfall!R43))/Waterfall!S33),1)</f>
        <v>1</v>
      </c>
      <c r="T14" s="6" t="n">
        <f aca="false">IF(Waterfall!T33&gt;0,MIN(1,Inputs!$F$180*(Waterfall!$F$32+MAX(0,Waterfall!S43))/Waterfall!T33),1)</f>
        <v>1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211.449028319906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7.73135767196905</v>
      </c>
      <c r="Q15" s="11" t="n">
        <f aca="false">Q13*Q14</f>
        <v>8.50602454172218</v>
      </c>
      <c r="R15" s="11" t="n">
        <f aca="false">R13*R14</f>
        <v>9.52023160455426</v>
      </c>
      <c r="S15" s="11" t="n">
        <f aca="false">S13*S14</f>
        <v>9.22801212043356</v>
      </c>
      <c r="T15" s="11" t="n">
        <f aca="false">T13*T14</f>
        <v>9.26682935334032</v>
      </c>
      <c r="U15" s="11" t="n">
        <f aca="false">U13*U14</f>
        <v>9.02057880754621</v>
      </c>
      <c r="V15" s="11" t="n">
        <f aca="false">V13*V14</f>
        <v>9.00713409353886</v>
      </c>
      <c r="W15" s="11" t="n">
        <f aca="false">W13*W14</f>
        <v>8.69155274229901</v>
      </c>
      <c r="X15" s="11" t="n">
        <f aca="false">X13*X14</f>
        <v>8.61391106142037</v>
      </c>
      <c r="Y15" s="11" t="n">
        <f aca="false">Y13*Y14</f>
        <v>8.30550134155863</v>
      </c>
      <c r="Z15" s="11" t="n">
        <f aca="false">Z13*Z14</f>
        <v>8.29538874294604</v>
      </c>
      <c r="AA15" s="11" t="n">
        <f aca="false">AA13*AA14</f>
        <v>7.98201728593425</v>
      </c>
      <c r="AB15" s="11" t="n">
        <f aca="false">AB13*AB14</f>
        <v>8.22746610478524</v>
      </c>
      <c r="AC15" s="11" t="n">
        <f aca="false">AC13*AC14</f>
        <v>8.21701711010383</v>
      </c>
      <c r="AD15" s="11" t="n">
        <f aca="false">AD13*AD14</f>
        <v>8.40450422695543</v>
      </c>
      <c r="AE15" s="11" t="n">
        <f aca="false">AE13*AE14</f>
        <v>8.31123340962763</v>
      </c>
      <c r="AF15" s="11" t="n">
        <f aca="false">AF13*AF14</f>
        <v>8.46231461372684</v>
      </c>
      <c r="AG15" s="11" t="n">
        <f aca="false">AG13*AG14</f>
        <v>8.30563832528807</v>
      </c>
      <c r="AH15" s="11" t="n">
        <f aca="false">AH13*AH14</f>
        <v>8.3996967747957</v>
      </c>
      <c r="AI15" s="11" t="n">
        <f aca="false">AI13*AI14</f>
        <v>8.16365524571496</v>
      </c>
      <c r="AJ15" s="11" t="n">
        <f aca="false">AJ13*AJ14</f>
        <v>8.15049882387435</v>
      </c>
      <c r="AK15" s="11" t="n">
        <f aca="false">AK13*AK14</f>
        <v>7.83222543344809</v>
      </c>
      <c r="AL15" s="11" t="n">
        <f aca="false">AL13*AL14</f>
        <v>7.08228794553218</v>
      </c>
      <c r="AM15" s="11" t="n">
        <f aca="false">AM13*AM14</f>
        <v>5.90191212579568</v>
      </c>
      <c r="AN15" s="11" t="n">
        <f aca="false">AN13*AN14</f>
        <v>4.72699736176433</v>
      </c>
      <c r="AO15" s="11" t="n">
        <f aca="false">AO13*AO14</f>
        <v>3.41943315688086</v>
      </c>
      <c r="AP15" s="11" t="n">
        <f aca="false">AP13*AP14</f>
        <v>1.5624137467072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314.346268805812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14.1536509138625</v>
      </c>
      <c r="AC16" s="11" t="n">
        <f aca="false">Debt!AC119+Debt!AC117+Debt!AC111-Debt!AC110</f>
        <v>12.9537327583995</v>
      </c>
      <c r="AD16" s="11" t="n">
        <f aca="false">Debt!AD119+Debt!AD117+Debt!AD111-Debt!AD110</f>
        <v>11.9507671988758</v>
      </c>
      <c r="AE16" s="11" t="n">
        <f aca="false">Debt!AE119+Debt!AE117+Debt!AE111-Debt!AE110</f>
        <v>10.6299944936419</v>
      </c>
      <c r="AF16" s="11" t="n">
        <f aca="false">Debt!AF119+Debt!AF117+Debt!AF111-Debt!AF110</f>
        <v>9.49598270721416</v>
      </c>
      <c r="AG16" s="11" t="n">
        <f aca="false">Debt!AG119+Debt!AG117+Debt!AG111-Debt!AG110</f>
        <v>8.3343219043428</v>
      </c>
      <c r="AH16" s="11" t="n">
        <f aca="false">Debt!AH119+Debt!AH117+Debt!AH111-Debt!AH110</f>
        <v>7.10128291699513</v>
      </c>
      <c r="AI16" s="11" t="n">
        <f aca="false">Debt!AI119+Debt!AI117+Debt!AI111-Debt!AI110</f>
        <v>5.68133935210668</v>
      </c>
      <c r="AJ16" s="11" t="n">
        <f aca="false">Debt!AJ119+Debt!AJ117+Debt!AJ111-Debt!AJ110</f>
        <v>4.37223376790057</v>
      </c>
      <c r="AK16" s="11" t="n">
        <f aca="false">Debt!AK119+Debt!AK117+Debt!AK111-Debt!AK110</f>
        <v>2.96938601368469</v>
      </c>
      <c r="AL16" s="11" t="n">
        <f aca="false">Debt!AL119+Debt!AL117+Debt!AL111-Debt!AL110</f>
        <v>2.17365325142159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1187.73121153809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1.93190673430498</v>
      </c>
      <c r="Z18" s="11" t="n">
        <f aca="false">(Operations!Z79-Z16-Z15)*Z17-Z12</f>
        <v>6.47245467320248</v>
      </c>
      <c r="AA18" s="11" t="n">
        <f aca="false">(Operations!AA79-AA16-AA15)*AA17-AA12</f>
        <v>7.78225371127704</v>
      </c>
      <c r="AB18" s="11" t="n">
        <f aca="false">(Operations!AB79-AB16-AB15)*AB17-AB12</f>
        <v>8.48238936494211</v>
      </c>
      <c r="AC18" s="11" t="n">
        <f aca="false">(Operations!AC79-AC16-AC15)*AC17-AC12</f>
        <v>9.89525378510903</v>
      </c>
      <c r="AD18" s="11" t="n">
        <f aca="false">(Operations!AD79-AD16-AD15)*AD17-AD12</f>
        <v>-1.77575673733201</v>
      </c>
      <c r="AE18" s="11" t="n">
        <f aca="false">(Operations!AE79-AE16-AE15)*AE17-AE12</f>
        <v>12.4407694359567</v>
      </c>
      <c r="AF18" s="11" t="n">
        <f aca="false">(Operations!AF79-AF16-AF15)*AF17-AF12</f>
        <v>13.3344649512182</v>
      </c>
      <c r="AG18" s="11" t="n">
        <f aca="false">(Operations!AG79-AG16-AG15)*AG17-AG12</f>
        <v>14.7808084256207</v>
      </c>
      <c r="AH18" s="11" t="n">
        <f aca="false">(Operations!AH79-AH16-AH15)*AH17-AH12</f>
        <v>16.0673158141639</v>
      </c>
      <c r="AI18" s="11" t="n">
        <f aca="false">(Operations!AI79-AI16-AI15)*AI17-AI12</f>
        <v>17.8176892821038</v>
      </c>
      <c r="AJ18" s="11" t="n">
        <f aca="false">(Operations!AJ79-AJ16-AJ15)*AJ17-AJ12</f>
        <v>19.2164353555439</v>
      </c>
      <c r="AK18" s="11" t="n">
        <f aca="false">(Operations!AK79-AK16-AK15)*AK17-AK12</f>
        <v>21.1189137173412</v>
      </c>
      <c r="AL18" s="11" t="n">
        <f aca="false">(Operations!AL79-AL16-AL15)*AL17-AL12</f>
        <v>19.9449567013615</v>
      </c>
      <c r="AM18" s="11" t="n">
        <f aca="false">(Operations!AM79-AM16-AM15)*AM17-AM12</f>
        <v>24.7402267252937</v>
      </c>
      <c r="AN18" s="11" t="n">
        <f aca="false">(Operations!AN79-AN16-AN15)*AN17-AN12</f>
        <v>26.4843273225871</v>
      </c>
      <c r="AO18" s="11" t="n">
        <f aca="false">(Operations!AO79-AO16-AO15)*AO17-AO12</f>
        <v>28.424966887248</v>
      </c>
      <c r="AP18" s="11" t="n">
        <f aca="false">(Operations!AP79-AP16-AP15)*AP17-AP12</f>
        <v>30.9406834041708</v>
      </c>
      <c r="AQ18" s="11" t="n">
        <f aca="false">(Operations!AQ79-AQ16-AQ15)*AQ17-AQ12</f>
        <v>32.603865343507</v>
      </c>
      <c r="AR18" s="11" t="n">
        <f aca="false">(Operations!AR79-AR16-AR15)*AR17-AR12</f>
        <v>32.6862361572598</v>
      </c>
      <c r="AS18" s="11" t="n">
        <f aca="false">(Operations!AS79-AS16-AS15)*AS17-AS12</f>
        <v>32.9280581274018</v>
      </c>
      <c r="AT18" s="11" t="n">
        <f aca="false">(Operations!AT79-AT16-AT15)*AT17-AT12</f>
        <v>18.1864740220509</v>
      </c>
      <c r="AU18" s="11" t="n">
        <f aca="false">(Operations!AU79-AU16-AU15)*AU17-AU12</f>
        <v>33.304481150284</v>
      </c>
      <c r="AV18" s="11" t="n">
        <f aca="false">(Operations!AV79-AV16-AV15)*AV17-AV12</f>
        <v>33.1883749330162</v>
      </c>
      <c r="AW18" s="11" t="n">
        <f aca="false">(Operations!AW79-AW16-AW15)*AW17-AW12</f>
        <v>33.3376768491619</v>
      </c>
      <c r="AX18" s="11" t="n">
        <f aca="false">(Operations!AX79-AX16-AX15)*AX17-AX12</f>
        <v>33.5143309015346</v>
      </c>
      <c r="AY18" s="11" t="n">
        <f aca="false">(Operations!AY79-AY16-AY15)*AY17-AY12</f>
        <v>33.621910120249</v>
      </c>
      <c r="AZ18" s="11" t="n">
        <f aca="false">(Operations!AZ79-AZ16-AZ15)*AZ17-AZ12</f>
        <v>33.710618397802</v>
      </c>
      <c r="BA18" s="11" t="n">
        <f aca="false">(Operations!BA79-BA16-BA15)*BA17-BA12</f>
        <v>33.9255296716808</v>
      </c>
      <c r="BB18" s="11" t="n">
        <f aca="false">(Operations!BB79-BB16-BB15)*BB17-BB12</f>
        <v>30.6942645793804</v>
      </c>
      <c r="BC18" s="11" t="n">
        <f aca="false">(Operations!BC79-BC16-BC15)*BC17-BC12</f>
        <v>40.6989853925685</v>
      </c>
      <c r="BD18" s="11" t="n">
        <f aca="false">(Operations!BD79-BD16-BD15)*BD17-BD12</f>
        <v>53.4975734024807</v>
      </c>
      <c r="BE18" s="11" t="n">
        <f aca="false">(Operations!BE79-BE16-BE15)*BE17-BE12</f>
        <v>53.6588500780104</v>
      </c>
      <c r="BF18" s="11" t="n">
        <f aca="false">(Operations!BF79-BF16-BF15)*BF17-BF12</f>
        <v>53.8521267766827</v>
      </c>
      <c r="BG18" s="11" t="n">
        <f aca="false">(Operations!BG79-BG16-BG15)*BG17-BG12</f>
        <v>53.9669776116903</v>
      </c>
      <c r="BH18" s="11" t="n">
        <f aca="false">(Operations!BH79-BH16-BH15)*BH17-BH12</f>
        <v>54.0625082568907</v>
      </c>
      <c r="BI18" s="11" t="n">
        <f aca="false">(Operations!BI79-BI16-BI15)*BI17-BI12</f>
        <v>54.3512923156236</v>
      </c>
      <c r="BJ18" s="11" t="n">
        <f aca="false">(Operations!BJ79-BJ16-BJ15)*BJ17-BJ12</f>
        <v>36.9270129630896</v>
      </c>
      <c r="BK18" s="11" t="n">
        <f aca="false">(Operations!BK79-BK16-BK15)*BK17-BK12</f>
        <v>54.7996889691443</v>
      </c>
      <c r="BL18" s="11" t="n">
        <f aca="false">(Operations!BL79-BL16-BL15)*BL17-BL12</f>
        <v>54.6500983512926</v>
      </c>
      <c r="BM18" s="11" t="n">
        <f aca="false">(Operations!BM79-BM16-BM15)*BM17-BM12</f>
        <v>17.4642176131737</v>
      </c>
      <c r="BN18" s="11" t="n">
        <f aca="false">(Operations!BN79-BN16-BN15)*BN17-BN12</f>
        <v>0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1.77575673733201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1.77575673733201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1.93190673430498</v>
      </c>
      <c r="Z20" s="11" t="n">
        <f aca="false">MIN(Y21,MAX(0,Z18-Z19))</f>
        <v>6.47245467320248</v>
      </c>
      <c r="AA20" s="11" t="n">
        <f aca="false">MIN(Z21,MAX(0,AA18-AA19))</f>
        <v>7.78225371127704</v>
      </c>
      <c r="AB20" s="11" t="n">
        <f aca="false">MIN(AA21,MAX(0,AB18-AB19))</f>
        <v>8.48238936494211</v>
      </c>
      <c r="AC20" s="11" t="n">
        <f aca="false">MIN(AB21,MAX(0,AC18-AC19))</f>
        <v>9.89525378510903</v>
      </c>
      <c r="AD20" s="11" t="n">
        <f aca="false">MIN(AC21,MAX(0,AD18-AD19))</f>
        <v>0</v>
      </c>
      <c r="AE20" s="11" t="n">
        <f aca="false">MIN(AD21,MAX(0,AE18-AE19))</f>
        <v>10.6650126986247</v>
      </c>
      <c r="AF20" s="11" t="n">
        <f aca="false">MIN(AE21,MAX(0,AF18-AF19))</f>
        <v>13.3344649512182</v>
      </c>
      <c r="AG20" s="11" t="n">
        <f aca="false">MIN(AF21,MAX(0,AG18-AG19))</f>
        <v>14.7808084256207</v>
      </c>
      <c r="AH20" s="11" t="n">
        <f aca="false">MIN(AG21,MAX(0,AH18-AH19))</f>
        <v>16.0673158141639</v>
      </c>
      <c r="AI20" s="11" t="n">
        <f aca="false">MIN(AH21,MAX(0,AI18-AI19))</f>
        <v>17.8176892821038</v>
      </c>
      <c r="AJ20" s="11" t="n">
        <f aca="false">MIN(AI21,MAX(0,AJ18-AJ19))</f>
        <v>19.2164353555439</v>
      </c>
      <c r="AK20" s="11" t="n">
        <f aca="false">MIN(AJ21,MAX(0,AK18-AK19))</f>
        <v>21.1189137173412</v>
      </c>
      <c r="AL20" s="11" t="n">
        <f aca="false">MIN(AK21,MAX(0,AL18-AL19))</f>
        <v>19.9449567013615</v>
      </c>
      <c r="AM20" s="11" t="n">
        <f aca="false">MIN(AL21,MAX(0,AM18-AM19))</f>
        <v>24.7402267252937</v>
      </c>
      <c r="AN20" s="11" t="n">
        <f aca="false">MIN(AM21,MAX(0,AN18-AN19))</f>
        <v>26.4843273225871</v>
      </c>
      <c r="AO20" s="11" t="n">
        <f aca="false">MIN(AN21,MAX(0,AO18-AO19))</f>
        <v>7.17095987107146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223.973462399461</v>
      </c>
      <c r="Z21" s="11" t="n">
        <f aca="false">Y21+Z11-Z20</f>
        <v>217.501007726258</v>
      </c>
      <c r="AA21" s="11" t="n">
        <f aca="false">Z21+AA11-AA20</f>
        <v>209.718754014981</v>
      </c>
      <c r="AB21" s="11" t="n">
        <f aca="false">AA21+AB11-AB20</f>
        <v>201.236364650039</v>
      </c>
      <c r="AC21" s="11" t="n">
        <f aca="false">AB21+AC11-AC20</f>
        <v>191.34111086493</v>
      </c>
      <c r="AD21" s="11" t="n">
        <f aca="false">AC21+AD11-AD20</f>
        <v>191.34111086493</v>
      </c>
      <c r="AE21" s="11" t="n">
        <f aca="false">AD21+AE11-AE20</f>
        <v>180.676098166305</v>
      </c>
      <c r="AF21" s="11" t="n">
        <f aca="false">AE21+AF11-AF20</f>
        <v>167.341633215087</v>
      </c>
      <c r="AG21" s="11" t="n">
        <f aca="false">AF21+AG11-AG20</f>
        <v>152.560824789467</v>
      </c>
      <c r="AH21" s="11" t="n">
        <f aca="false">AG21+AH11-AH20</f>
        <v>136.493508975303</v>
      </c>
      <c r="AI21" s="11" t="n">
        <f aca="false">AH21+AI11-AI20</f>
        <v>118.675819693199</v>
      </c>
      <c r="AJ21" s="11" t="n">
        <f aca="false">AI21+AJ11-AJ20</f>
        <v>99.459384337655</v>
      </c>
      <c r="AK21" s="11" t="n">
        <f aca="false">AJ21+AK11-AK20</f>
        <v>78.3404706203138</v>
      </c>
      <c r="AL21" s="11" t="n">
        <f aca="false">AK21+AL11-AL20</f>
        <v>58.3955139189523</v>
      </c>
      <c r="AM21" s="11" t="n">
        <f aca="false">AL21+AM11-AM20</f>
        <v>33.6552871936585</v>
      </c>
      <c r="AN21" s="11" t="n">
        <f aca="false">AM21+AN11-AN20</f>
        <v>7.17095987107146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1.77575673733201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961.825842404323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0</v>
      </c>
      <c r="AO23" s="11" t="n">
        <f aca="false">MAX(0,AO18-AO19-AO20)</f>
        <v>21.2540070161765</v>
      </c>
      <c r="AP23" s="11" t="n">
        <f aca="false">MAX(0,AP18-AP19-AP20)</f>
        <v>30.9406834041708</v>
      </c>
      <c r="AQ23" s="11" t="n">
        <f aca="false">MAX(0,AQ18-AQ19-AQ20)</f>
        <v>32.603865343507</v>
      </c>
      <c r="AR23" s="11" t="n">
        <f aca="false">MAX(0,AR18-AR19-AR20)</f>
        <v>32.6862361572598</v>
      </c>
      <c r="AS23" s="11" t="n">
        <f aca="false">MAX(0,AS18-AS19-AS20)</f>
        <v>32.9280581274018</v>
      </c>
      <c r="AT23" s="11" t="n">
        <f aca="false">MAX(0,AT18-AT19-AT20)</f>
        <v>18.1864740220509</v>
      </c>
      <c r="AU23" s="11" t="n">
        <f aca="false">MAX(0,AU18-AU19-AU20)</f>
        <v>33.304481150284</v>
      </c>
      <c r="AV23" s="11" t="n">
        <f aca="false">MAX(0,AV18-AV19-AV20)</f>
        <v>33.1883749330162</v>
      </c>
      <c r="AW23" s="11" t="n">
        <f aca="false">MAX(0,AW18-AW19-AW20)</f>
        <v>33.3376768491619</v>
      </c>
      <c r="AX23" s="11" t="n">
        <f aca="false">MAX(0,AX18-AX19-AX20)</f>
        <v>33.5143309015346</v>
      </c>
      <c r="AY23" s="11" t="n">
        <f aca="false">MAX(0,AY18-AY19-AY20)</f>
        <v>33.621910120249</v>
      </c>
      <c r="AZ23" s="11" t="n">
        <f aca="false">MAX(0,AZ18-AZ19-AZ20)</f>
        <v>33.710618397802</v>
      </c>
      <c r="BA23" s="11" t="n">
        <f aca="false">MAX(0,BA18-BA19-BA20)</f>
        <v>33.9255296716808</v>
      </c>
      <c r="BB23" s="11" t="n">
        <f aca="false">MAX(0,BB18-BB19-BB20)</f>
        <v>30.6942645793804</v>
      </c>
      <c r="BC23" s="11" t="n">
        <f aca="false">MAX(0,BC18-BC19-BC20)</f>
        <v>40.6989853925685</v>
      </c>
      <c r="BD23" s="11" t="n">
        <f aca="false">MAX(0,BD18-BD19-BD20)</f>
        <v>53.4975734024807</v>
      </c>
      <c r="BE23" s="11" t="n">
        <f aca="false">MAX(0,BE18-BE19-BE20)</f>
        <v>53.6588500780104</v>
      </c>
      <c r="BF23" s="11" t="n">
        <f aca="false">MAX(0,BF18-BF19-BF20)</f>
        <v>53.8521267766827</v>
      </c>
      <c r="BG23" s="11" t="n">
        <f aca="false">MAX(0,BG18-BG19-BG20)</f>
        <v>53.9669776116903</v>
      </c>
      <c r="BH23" s="11" t="n">
        <f aca="false">MAX(0,BH18-BH19-BH20)</f>
        <v>54.0625082568907</v>
      </c>
      <c r="BI23" s="11" t="n">
        <f aca="false">MAX(0,BI18-BI19-BI20)</f>
        <v>54.3512923156236</v>
      </c>
      <c r="BJ23" s="11" t="n">
        <f aca="false">MAX(0,BJ18-BJ19-BJ20)</f>
        <v>36.9270129630896</v>
      </c>
      <c r="BK23" s="11" t="n">
        <f aca="false">MAX(0,BK18-BK19-BK20)</f>
        <v>54.7996889691443</v>
      </c>
      <c r="BL23" s="11" t="n">
        <f aca="false">MAX(0,BL18-BL19-BL20)</f>
        <v>54.6500983512926</v>
      </c>
      <c r="BM23" s="11" t="n">
        <f aca="false">MAX(0,BM18-BM19-BM20)</f>
        <v>17.4642176131737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0.15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0.2</v>
      </c>
      <c r="AF24" s="6" t="n">
        <f aca="false">IF(AF8+AF9&gt;0,(AF8*Inputs!$F$172+AF9*Inputs!$F$171)/(AF8+AF9)/100,0)</f>
        <v>0.3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288.547752721297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0</v>
      </c>
      <c r="AO25" s="11" t="n">
        <f aca="false">AO23*AO24</f>
        <v>6.37620210485296</v>
      </c>
      <c r="AP25" s="11" t="n">
        <f aca="false">AP23*AP24</f>
        <v>9.28220502125123</v>
      </c>
      <c r="AQ25" s="11" t="n">
        <f aca="false">AQ23*AQ24</f>
        <v>9.78115960305209</v>
      </c>
      <c r="AR25" s="11" t="n">
        <f aca="false">AR23*AR24</f>
        <v>9.80587084717793</v>
      </c>
      <c r="AS25" s="11" t="n">
        <f aca="false">AS23*AS24</f>
        <v>9.87841743822054</v>
      </c>
      <c r="AT25" s="11" t="n">
        <f aca="false">AT23*AT24</f>
        <v>5.45594220661526</v>
      </c>
      <c r="AU25" s="11" t="n">
        <f aca="false">AU23*AU24</f>
        <v>9.99134434508519</v>
      </c>
      <c r="AV25" s="11" t="n">
        <f aca="false">AV23*AV24</f>
        <v>9.95651247990486</v>
      </c>
      <c r="AW25" s="11" t="n">
        <f aca="false">AW23*AW24</f>
        <v>10.0013030547486</v>
      </c>
      <c r="AX25" s="11" t="n">
        <f aca="false">AX23*AX24</f>
        <v>10.0542992704604</v>
      </c>
      <c r="AY25" s="11" t="n">
        <f aca="false">AY23*AY24</f>
        <v>10.0865730360747</v>
      </c>
      <c r="AZ25" s="11" t="n">
        <f aca="false">AZ23*AZ24</f>
        <v>10.1131855193406</v>
      </c>
      <c r="BA25" s="11" t="n">
        <f aca="false">BA23*BA24</f>
        <v>10.1776589015042</v>
      </c>
      <c r="BB25" s="11" t="n">
        <f aca="false">BB23*BB24</f>
        <v>9.20827937381413</v>
      </c>
      <c r="BC25" s="11" t="n">
        <f aca="false">BC23*BC24</f>
        <v>12.2096956177706</v>
      </c>
      <c r="BD25" s="11" t="n">
        <f aca="false">BD23*BD24</f>
        <v>16.0492720207442</v>
      </c>
      <c r="BE25" s="11" t="n">
        <f aca="false">BE23*BE24</f>
        <v>16.0976550234031</v>
      </c>
      <c r="BF25" s="11" t="n">
        <f aca="false">BF23*BF24</f>
        <v>16.1556380330048</v>
      </c>
      <c r="BG25" s="11" t="n">
        <f aca="false">BG23*BG24</f>
        <v>16.1900932835071</v>
      </c>
      <c r="BH25" s="11" t="n">
        <f aca="false">BH23*BH24</f>
        <v>16.2187524770672</v>
      </c>
      <c r="BI25" s="11" t="n">
        <f aca="false">BI23*BI24</f>
        <v>16.3053876946871</v>
      </c>
      <c r="BJ25" s="11" t="n">
        <f aca="false">BJ23*BJ24</f>
        <v>11.0781038889269</v>
      </c>
      <c r="BK25" s="11" t="n">
        <f aca="false">BK23*BK24</f>
        <v>16.4399066907433</v>
      </c>
      <c r="BL25" s="11" t="n">
        <f aca="false">BL23*BL24</f>
        <v>16.3950295053878</v>
      </c>
      <c r="BM25" s="11" t="n">
        <f aca="false">BM23*BM24</f>
        <v>5.23926528395211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15.6394650657101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0.11804583592035</v>
      </c>
      <c r="Z26" s="11" t="n">
        <f aca="false">IF(Time!Z25&gt;0,Inputs!$F$173/100*Operations!Z50*(Z8+Z9)/Time!Z25,0)</f>
        <v>0.355491534673645</v>
      </c>
      <c r="AA26" s="11" t="n">
        <f aca="false">IF(Time!AA25&gt;0,Inputs!$F$173/100*Operations!AA50*(AA8+AA9)/Time!AA25,0)</f>
        <v>0.357266560605968</v>
      </c>
      <c r="AB26" s="11" t="n">
        <f aca="false">IF(Time!AB25&gt;0,Inputs!$F$173/100*Operations!AB50*(AB8+AB9)/Time!AB25,0)</f>
        <v>0.359199684831379</v>
      </c>
      <c r="AC26" s="11" t="n">
        <f aca="false">IF(Time!AC25&gt;0,Inputs!$F$173/100*Operations!AC50*(AC8+AC9)/Time!AC25,0)</f>
        <v>0.360089400479836</v>
      </c>
      <c r="AD26" s="11" t="n">
        <f aca="false">IF(Time!AD25&gt;0,Inputs!$F$173/100*Operations!AD50*(AD8+AD9)/Time!AD25,0)</f>
        <v>0.355582189942007</v>
      </c>
      <c r="AE26" s="11" t="n">
        <f aca="false">IF(Time!AE25&gt;0,Inputs!$F$173/100*Operations!AE50*(AE8+AE9)/Time!AE25,0)</f>
        <v>0.362679271815013</v>
      </c>
      <c r="AF26" s="11" t="n">
        <f aca="false">IF(Time!AF25&gt;0,Inputs!$F$173/100*Operations!AF50*(AF8+AF9)/Time!AF25,0)</f>
        <v>0.366021318821837</v>
      </c>
      <c r="AG26" s="11" t="n">
        <f aca="false">IF(Time!AG25&gt;0,Inputs!$F$173/100*Operations!AG50*(AG8+AG9)/Time!AG25,0)</f>
        <v>0.367627801614753</v>
      </c>
      <c r="AH26" s="11" t="n">
        <f aca="false">IF(Time!AH25&gt;0,Inputs!$F$173/100*Operations!AH50*(AH8+AH9)/Time!AH25,0)</f>
        <v>0.369103750096856</v>
      </c>
      <c r="AI26" s="11" t="n">
        <f aca="false">IF(Time!AI25&gt;0,Inputs!$F$173/100*Operations!AI50*(AI8+AI9)/Time!AI25,0)</f>
        <v>0.371036290587391</v>
      </c>
      <c r="AJ26" s="11" t="n">
        <f aca="false">IF(Time!AJ25&gt;0,Inputs!$F$173/100*Operations!AJ50*(AJ8+AJ9)/Time!AJ25,0)</f>
        <v>0.37314034478709</v>
      </c>
      <c r="AK26" s="11" t="n">
        <f aca="false">IF(Time!AK25&gt;0,Inputs!$F$173/100*Operations!AK50*(AK8+AK9)/Time!AK25,0)</f>
        <v>0.374431606697048</v>
      </c>
      <c r="AL26" s="11" t="n">
        <f aca="false">IF(Time!AL25&gt;0,Inputs!$F$173/100*Operations!AL50*(AL8+AL9)/Time!AL25,0)</f>
        <v>0.375189635606888</v>
      </c>
      <c r="AM26" s="11" t="n">
        <f aca="false">IF(Time!AM25&gt;0,Inputs!$F$173/100*Operations!AM50*(AM8+AM9)/Time!AM25,0)</f>
        <v>0.377587683189271</v>
      </c>
      <c r="AN26" s="11" t="n">
        <f aca="false">IF(Time!AN25&gt;0,Inputs!$F$173/100*Operations!AN50*(AN8+AN9)/Time!AN25,0)</f>
        <v>0.380569722267902</v>
      </c>
      <c r="AO26" s="11" t="n">
        <f aca="false">IF(Time!AO25&gt;0,Inputs!$F$173/100*Operations!AO50*(AO8+AO9)/Time!AO25,0)</f>
        <v>0.382320018205603</v>
      </c>
      <c r="AP26" s="11" t="n">
        <f aca="false">IF(Time!AP25&gt;0,Inputs!$F$173/100*Operations!AP50*(AP8+AP9)/Time!AP25,0)</f>
        <v>0.383928865419879</v>
      </c>
      <c r="AQ26" s="11" t="n">
        <f aca="false">IF(Time!AQ25&gt;0,Inputs!$F$173/100*Operations!AQ50*(AQ8+AQ9)/Time!AQ25,0)</f>
        <v>0.38603288955021</v>
      </c>
      <c r="AR26" s="11" t="n">
        <f aca="false">IF(Time!AR25&gt;0,Inputs!$F$173/100*Operations!AR50*(AR8+AR9)/Time!AR25,0)</f>
        <v>0.388322975302412</v>
      </c>
      <c r="AS26" s="11" t="n">
        <f aca="false">IF(Time!AS25&gt;0,Inputs!$F$173/100*Operations!AS50*(AS8+AS9)/Time!AS25,0)</f>
        <v>0.389386468394401</v>
      </c>
      <c r="AT26" s="11" t="n">
        <f aca="false">IF(Time!AT25&gt;0,Inputs!$F$173/100*Operations!AT50*(AT8+AT9)/Time!AT25,0)</f>
        <v>0.384595426140167</v>
      </c>
      <c r="AU26" s="11" t="n">
        <f aca="false">IF(Time!AU25&gt;0,Inputs!$F$173/100*Operations!AU50*(AU8+AU9)/Time!AU25,0)</f>
        <v>0.392466909393403</v>
      </c>
      <c r="AV26" s="11" t="n">
        <f aca="false">IF(Time!AV25&gt;0,Inputs!$F$173/100*Operations!AV50*(AV8+AV9)/Time!AV25,0)</f>
        <v>0.396414217003656</v>
      </c>
      <c r="AW26" s="11" t="n">
        <f aca="false">IF(Time!AW25&gt;0,Inputs!$F$173/100*Operations!AW50*(AW8+AW9)/Time!AW25,0)</f>
        <v>0.398321197042708</v>
      </c>
      <c r="AX26" s="11" t="n">
        <f aca="false">IF(Time!AX25&gt;0,Inputs!$F$173/100*Operations!AX50*(AX8+AX9)/Time!AX25,0)</f>
        <v>0.400074908375084</v>
      </c>
      <c r="AY26" s="11" t="n">
        <f aca="false">IF(Time!AY25&gt;0,Inputs!$F$173/100*Operations!AY50*(AY8+AY9)/Time!AY25,0)</f>
        <v>0.402365623259928</v>
      </c>
      <c r="AZ26" s="11" t="n">
        <f aca="false">IF(Time!AZ25&gt;0,Inputs!$F$173/100*Operations!AZ50*(AZ8+AZ9)/Time!AZ25,0)</f>
        <v>0.404858175206663</v>
      </c>
      <c r="BA26" s="11" t="n">
        <f aca="false">IF(Time!BA25&gt;0,Inputs!$F$173/100*Operations!BA50*(BA8+BA9)/Time!BA25,0)</f>
        <v>0.406395366611893</v>
      </c>
      <c r="BB26" s="11" t="n">
        <f aca="false">IF(Time!BB25&gt;0,Inputs!$F$173/100*Operations!BB50*(BB8+BB9)/Time!BB25,0)</f>
        <v>0.407305886714974</v>
      </c>
      <c r="BC26" s="11" t="n">
        <f aca="false">IF(Time!BC25&gt;0,Inputs!$F$173/100*Operations!BC50*(BC8+BC9)/Time!BC25,0)</f>
        <v>0.41014468089963</v>
      </c>
      <c r="BD26" s="11" t="n">
        <f aca="false">IF(Time!BD25&gt;0,Inputs!$F$173/100*Operations!BD50*(BD8+BD9)/Time!BD25,0)</f>
        <v>0.413670219231639</v>
      </c>
      <c r="BE26" s="11" t="n">
        <f aca="false">IF(Time!BE25&gt;0,Inputs!$F$173/100*Operations!BE50*(BE8+BE9)/Time!BE25,0)</f>
        <v>0.41574790594862</v>
      </c>
      <c r="BF26" s="11" t="n">
        <f aca="false">IF(Time!BF25&gt;0,Inputs!$F$173/100*Operations!BF50*(BF8+BF9)/Time!BF25,0)</f>
        <v>0.417659523964139</v>
      </c>
      <c r="BG26" s="11" t="n">
        <f aca="false">IF(Time!BG25&gt;0,Inputs!$F$173/100*Operations!BG50*(BG8+BG9)/Time!BG25,0)</f>
        <v>0.4201534843989</v>
      </c>
      <c r="BH26" s="11" t="n">
        <f aca="false">IF(Time!BH25&gt;0,Inputs!$F$173/100*Operations!BH50*(BH8+BH9)/Time!BH25,0)</f>
        <v>0.422866387811796</v>
      </c>
      <c r="BI26" s="11" t="n">
        <f aca="false">IF(Time!BI25&gt;0,Inputs!$F$173/100*Operations!BI50*(BI8+BI9)/Time!BI25,0)</f>
        <v>0.424137576577909</v>
      </c>
      <c r="BJ26" s="11" t="n">
        <f aca="false">IF(Time!BJ25&gt;0,Inputs!$F$173/100*Operations!BJ50*(BJ8+BJ9)/Time!BJ25,0)</f>
        <v>0.419011820453759</v>
      </c>
      <c r="BK26" s="11" t="n">
        <f aca="false">IF(Time!BK25&gt;0,Inputs!$F$173/100*Operations!BK50*(BK8+BK9)/Time!BK25,0)</f>
        <v>0.427801508790423</v>
      </c>
      <c r="BL26" s="11" t="n">
        <f aca="false">IF(Time!BL25&gt;0,Inputs!$F$173/100*Operations!BL50*(BL8+BL9)/Time!BL25,0)</f>
        <v>0.432463418236475</v>
      </c>
      <c r="BM26" s="11" t="n">
        <f aca="false">IF(Time!BM25&gt;0,Inputs!$F$173/100*Operations!BM50*(BM8+BM9)/Time!BM25,0)</f>
        <v>0.28995698083863</v>
      </c>
      <c r="BN26" s="11" t="n">
        <f aca="false">IF(Time!BN25&gt;0,Inputs!$F$173/100*Operations!BN50*(BN8+BN9)/Time!BN25,0)</f>
        <v>0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294.170815353234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0.11804583592035</v>
      </c>
      <c r="Z27" s="11" t="n">
        <f aca="false">MAX(Z25,Z26)</f>
        <v>0.355491534673645</v>
      </c>
      <c r="AA27" s="11" t="n">
        <f aca="false">MAX(AA25,AA26)</f>
        <v>0.357266560605968</v>
      </c>
      <c r="AB27" s="11" t="n">
        <f aca="false">MAX(AB25,AB26)</f>
        <v>0.359199684831379</v>
      </c>
      <c r="AC27" s="11" t="n">
        <f aca="false">MAX(AC25,AC26)</f>
        <v>0.360089400479836</v>
      </c>
      <c r="AD27" s="11" t="n">
        <f aca="false">MAX(AD25,AD26)</f>
        <v>0.355582189942007</v>
      </c>
      <c r="AE27" s="11" t="n">
        <f aca="false">MAX(AE25,AE26)</f>
        <v>0.362679271815013</v>
      </c>
      <c r="AF27" s="11" t="n">
        <f aca="false">MAX(AF25,AF26)</f>
        <v>0.366021318821837</v>
      </c>
      <c r="AG27" s="11" t="n">
        <f aca="false">MAX(AG25,AG26)</f>
        <v>0.367627801614753</v>
      </c>
      <c r="AH27" s="11" t="n">
        <f aca="false">MAX(AH25,AH26)</f>
        <v>0.369103750096856</v>
      </c>
      <c r="AI27" s="11" t="n">
        <f aca="false">MAX(AI25,AI26)</f>
        <v>0.371036290587391</v>
      </c>
      <c r="AJ27" s="11" t="n">
        <f aca="false">MAX(AJ25,AJ26)</f>
        <v>0.37314034478709</v>
      </c>
      <c r="AK27" s="11" t="n">
        <f aca="false">MAX(AK25,AK26)</f>
        <v>0.374431606697048</v>
      </c>
      <c r="AL27" s="11" t="n">
        <f aca="false">MAX(AL25,AL26)</f>
        <v>0.375189635606888</v>
      </c>
      <c r="AM27" s="11" t="n">
        <f aca="false">MAX(AM25,AM26)</f>
        <v>0.377587683189271</v>
      </c>
      <c r="AN27" s="11" t="n">
        <f aca="false">MAX(AN25,AN26)</f>
        <v>0.380569722267902</v>
      </c>
      <c r="AO27" s="11" t="n">
        <f aca="false">MAX(AO25,AO26)</f>
        <v>6.37620210485296</v>
      </c>
      <c r="AP27" s="11" t="n">
        <f aca="false">MAX(AP25,AP26)</f>
        <v>9.28220502125123</v>
      </c>
      <c r="AQ27" s="11" t="n">
        <f aca="false">MAX(AQ25,AQ26)</f>
        <v>9.78115960305209</v>
      </c>
      <c r="AR27" s="11" t="n">
        <f aca="false">MAX(AR25,AR26)</f>
        <v>9.80587084717793</v>
      </c>
      <c r="AS27" s="11" t="n">
        <f aca="false">MAX(AS25,AS26)</f>
        <v>9.87841743822054</v>
      </c>
      <c r="AT27" s="11" t="n">
        <f aca="false">MAX(AT25,AT26)</f>
        <v>5.45594220661526</v>
      </c>
      <c r="AU27" s="11" t="n">
        <f aca="false">MAX(AU25,AU26)</f>
        <v>9.99134434508519</v>
      </c>
      <c r="AV27" s="11" t="n">
        <f aca="false">MAX(AV25,AV26)</f>
        <v>9.95651247990486</v>
      </c>
      <c r="AW27" s="11" t="n">
        <f aca="false">MAX(AW25,AW26)</f>
        <v>10.0013030547486</v>
      </c>
      <c r="AX27" s="11" t="n">
        <f aca="false">MAX(AX25,AX26)</f>
        <v>10.0542992704604</v>
      </c>
      <c r="AY27" s="11" t="n">
        <f aca="false">MAX(AY25,AY26)</f>
        <v>10.0865730360747</v>
      </c>
      <c r="AZ27" s="11" t="n">
        <f aca="false">MAX(AZ25,AZ26)</f>
        <v>10.1131855193406</v>
      </c>
      <c r="BA27" s="11" t="n">
        <f aca="false">MAX(BA25,BA26)</f>
        <v>10.1776589015042</v>
      </c>
      <c r="BB27" s="11" t="n">
        <f aca="false">MAX(BB25,BB26)</f>
        <v>9.20827937381413</v>
      </c>
      <c r="BC27" s="11" t="n">
        <f aca="false">MAX(BC25,BC26)</f>
        <v>12.2096956177706</v>
      </c>
      <c r="BD27" s="11" t="n">
        <f aca="false">MAX(BD25,BD26)</f>
        <v>16.0492720207442</v>
      </c>
      <c r="BE27" s="11" t="n">
        <f aca="false">MAX(BE25,BE26)</f>
        <v>16.0976550234031</v>
      </c>
      <c r="BF27" s="11" t="n">
        <f aca="false">MAX(BF25,BF26)</f>
        <v>16.1556380330048</v>
      </c>
      <c r="BG27" s="11" t="n">
        <f aca="false">MAX(BG25,BG26)</f>
        <v>16.1900932835071</v>
      </c>
      <c r="BH27" s="11" t="n">
        <f aca="false">MAX(BH25,BH26)</f>
        <v>16.2187524770672</v>
      </c>
      <c r="BI27" s="11" t="n">
        <f aca="false">MAX(BI25,BI26)</f>
        <v>16.3053876946871</v>
      </c>
      <c r="BJ27" s="11" t="n">
        <f aca="false">MAX(BJ25,BJ26)</f>
        <v>11.0781038889269</v>
      </c>
      <c r="BK27" s="11" t="n">
        <f aca="false">MAX(BK25,BK26)</f>
        <v>16.4399066907433</v>
      </c>
      <c r="BL27" s="11" t="n">
        <f aca="false">MAX(BL25,BL26)</f>
        <v>16.3950295053878</v>
      </c>
      <c r="BM27" s="11" t="n">
        <f aca="false">MAX(BM25,BM26)</f>
        <v>5.23926528395211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4.12406729593047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2.07953954155372</v>
      </c>
      <c r="Q28" s="11" t="n">
        <f aca="false">Q13-Q15</f>
        <v>0.956028959526634</v>
      </c>
      <c r="R28" s="11" t="n">
        <f aca="false">R13-R15</f>
        <v>0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0.75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0.9755875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0.0471537654476414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0.0589093210031969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0.0576315432254191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0.0705100651263155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108.156616666667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1.51015872973752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2.14073632334925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3.447598117152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5.33422511157639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7.67966660417626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10.4072865001054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13.3258674112293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16.3644435309182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19.3724016456049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22.2491895376056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24.8877008112056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27.2420677226985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29.2265082464778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30.7475948342201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31.8103259721398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32.3290222317982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33.4584983588564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31.828166358387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30.74605734235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29.2411851097714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27.2496805862512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24.924430484466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22.2235069163292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19.3362718946411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16.351690308253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13.2855275750901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10.3798503285824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7.62910981519539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5.24757474614267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3.45762227696786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2.04017239312868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49.6738675140834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-0.557372926276622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0.0101597331456643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0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0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0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0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0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0.00956433623329532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0.0100811399887549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0.010616978722647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0.0111373466450564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0.0116768808217264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0.0122204779438258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0.0127132782302157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0.0132606945522271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0.013792404479017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0.0143437974598281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0.0148793699476603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0.0154363083677088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0.01599535678493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0.0165384210509827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0.0171016448932813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0.0176487652018615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0.0182161956546842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0.0187867813084727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0.0193226066826059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0.0198974451150609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0.0204558786378408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0.0210350730959254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0.0215977383307835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0.0221819178738838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0.022768358985131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0.023338079728422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0.0239289967561126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0.0245030658003568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0.0250984929061954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0.025696744621017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0.0262392041061089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0.0268418955332029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0.0274274153423239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0.0624350564105539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0.0631546380789436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0.0631546380789436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0.0631546380789436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0.0631546380789436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0.0631546380789436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0.0631546380789436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0.0631546380789436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0.0631546380789436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0.0631546380789436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0.0631546380789436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0.0631546380789436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0.0631546380789436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0.0631546380789436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0.0631546380789436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0.0631546380789436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0.0631546380789436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0.0631546380789436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0.0631546380789436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0.0631546380789436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633.255975542774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Funding!$F$8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12.4338223254569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0.0871213127690339</v>
      </c>
      <c r="L33" s="11" t="n">
        <f aca="false">Construction!L14*L28*(Construction!L17+Inputs!$F$77)/100*Construction!L11/360*1</f>
        <v>0.0918756163719574</v>
      </c>
      <c r="M33" s="11" t="n">
        <f aca="false">Construction!M14*M28*(Construction!M17+Inputs!$F$77)/100*Construction!M11/360*1</f>
        <v>0.0911943436078911</v>
      </c>
      <c r="N33" s="11" t="n">
        <f aca="false">Construction!N14*N28*(Construction!N17+Inputs!$F$77)/100*Construction!N11/360*1</f>
        <v>0.0975683702997165</v>
      </c>
      <c r="O33" s="11" t="n">
        <f aca="false">Construction!O14*O28*(Construction!O17+Inputs!$F$77)/100*Construction!O11/360*1</f>
        <v>0.109511443328729</v>
      </c>
      <c r="P33" s="11" t="n">
        <f aca="false">Construction!P14*P28*(Construction!P17+Inputs!$F$77)/100*Construction!P11/360*1</f>
        <v>0.105306078313186</v>
      </c>
      <c r="Q33" s="11" t="n">
        <f aca="false">Construction!Q14*Q28*(Construction!Q17+Inputs!$F$77)/100*Construction!Q11/360*1</f>
        <v>0.125821577629495</v>
      </c>
      <c r="R33" s="11" t="n">
        <f aca="false">Construction!R14*R28*(Construction!R17+Inputs!$F$77)/100*Construction!R11/360*1</f>
        <v>0.13310402952914</v>
      </c>
      <c r="S33" s="11" t="n">
        <f aca="false">Construction!S14*S28*(Construction!S17+Inputs!$F$77)/100*Construction!S11/360*1</f>
        <v>0.151738308991715</v>
      </c>
      <c r="T33" s="11" t="n">
        <f aca="false">Construction!T14*T28*(Construction!T17+Inputs!$F$77)/100*Construction!T11/360*1</f>
        <v>0.163025074797119</v>
      </c>
      <c r="U33" s="11" t="n">
        <f aca="false">Construction!U14*U28*(Construction!U17+Inputs!$F$77)/100*Construction!U11/360*1</f>
        <v>0.194336650005081</v>
      </c>
      <c r="V33" s="11" t="n">
        <f aca="false">Construction!V14*V28*(Construction!V17+Inputs!$F$77)/100*Construction!V11/360*1</f>
        <v>0.216456662848815</v>
      </c>
      <c r="W33" s="11" t="n">
        <f aca="false">Construction!W14*W28*(Construction!W17+Inputs!$F$77)/100*Construction!W11/360*1</f>
        <v>0.232876888770551</v>
      </c>
      <c r="X33" s="11" t="n">
        <f aca="false">Construction!X14*X28*(Construction!X17+Inputs!$F$77)/100*Construction!X11/360*1</f>
        <v>0.266537672909653</v>
      </c>
      <c r="Y33" s="11" t="n">
        <f aca="false">Construction!Y14*Y28*(Construction!Y17+Inputs!$F$77)/100*Construction!Y11/360*1</f>
        <v>0.284376721656946</v>
      </c>
      <c r="Z33" s="11" t="n">
        <f aca="false">Construction!Z14*Z28*(Construction!Z17+Inputs!$F$77)/100*Construction!Z11/360*1</f>
        <v>0.32211978762412</v>
      </c>
      <c r="AA33" s="11" t="n">
        <f aca="false">Construction!AA14*AA28*(Construction!AA17+Inputs!$F$77)/100*Construction!AA11/360*1</f>
        <v>0.35752093058343</v>
      </c>
      <c r="AB33" s="11" t="n">
        <f aca="false">Construction!AB14*AB28*(Construction!AB17+Inputs!$F$77)/100*Construction!AB11/360*1</f>
        <v>0.362979156982631</v>
      </c>
      <c r="AC33" s="11" t="n">
        <f aca="false">Construction!AC14*AC28*(Construction!AC17+Inputs!$F$77)/100*Construction!AC11/360*1</f>
        <v>0.417097098721496</v>
      </c>
      <c r="AD33" s="11" t="n">
        <f aca="false">Construction!AD14*AD28*(Construction!AD17+Inputs!$F$77)/100*Construction!AD11/360*1</f>
        <v>0.431120013225481</v>
      </c>
      <c r="AE33" s="11" t="n">
        <f aca="false">Construction!AE14*AE28*(Construction!AE17+Inputs!$F$77)/100*Construction!AE11/360*1</f>
        <v>0.472633057337907</v>
      </c>
      <c r="AF33" s="11" t="n">
        <f aca="false">Construction!AF14*AF28*(Construction!AF17+Inputs!$F$77)/100*Construction!AF11/360*1</f>
        <v>0.482169701392287</v>
      </c>
      <c r="AG33" s="11" t="n">
        <f aca="false">Construction!AG14*AG28*(Construction!AG17+Inputs!$F$77)/100*Construction!AG11/360*1</f>
        <v>0.526656884422005</v>
      </c>
      <c r="AH33" s="11" t="n">
        <f aca="false">Construction!AH14*AH28*(Construction!AH17+Inputs!$F$77)/100*Construction!AH11/360*1</f>
        <v>0.548357856126361</v>
      </c>
      <c r="AI33" s="11" t="n">
        <f aca="false">Construction!AI14*AI28*(Construction!AI17+Inputs!$F$77)/100*Construction!AI11/360*1</f>
        <v>0.549334485532388</v>
      </c>
      <c r="AJ33" s="11" t="n">
        <f aca="false">Construction!AJ14*AJ28*(Construction!AJ17+Inputs!$F$77)/100*Construction!AJ11/360*1</f>
        <v>0.584341531206656</v>
      </c>
      <c r="AK33" s="11" t="n">
        <f aca="false">Construction!AK14*AK28*(Construction!AK17+Inputs!$F$77)/100*Construction!AK11/360*1</f>
        <v>0.579228122168195</v>
      </c>
      <c r="AL33" s="11" t="n">
        <f aca="false">Construction!AL14*AL28*(Construction!AL17+Inputs!$F$77)/100*Construction!AL11/360*1</f>
        <v>0.61018298122605</v>
      </c>
      <c r="AM33" s="11" t="n">
        <f aca="false">Construction!AM14*AM28*(Construction!AM17+Inputs!$F$77)/100*Construction!AM11/360*1</f>
        <v>0.623800613024035</v>
      </c>
      <c r="AN33" s="11" t="n">
        <f aca="false">Construction!AN14*AN28*(Construction!AN17+Inputs!$F$77)/100*Construction!AN11/360*1</f>
        <v>0.570155265739301</v>
      </c>
      <c r="AO33" s="11" t="n">
        <f aca="false">Construction!AO14*AO28*(Construction!AO17+Inputs!$F$77)/100*Construction!AO11/360*1</f>
        <v>0.636875627543719</v>
      </c>
      <c r="AP33" s="11" t="n">
        <f aca="false">Construction!AP14*AP28*(Construction!AP17+Inputs!$F$77)/100*Construction!AP11/360*1</f>
        <v>0.620880769080938</v>
      </c>
      <c r="AQ33" s="11" t="n">
        <f aca="false">Construction!AQ14*AQ28*(Construction!AQ17+Inputs!$F$77)/100*Construction!AQ11/360*1</f>
        <v>0.687662332721037</v>
      </c>
      <c r="AR33" s="11" t="n">
        <f aca="false">Construction!AR14*AR28*(Construction!AR17+Inputs!$F$77)/100*Construction!AR11/360*1</f>
        <v>0.699855358969819</v>
      </c>
      <c r="AS33" s="11" t="n">
        <f aca="false">Construction!AS14*AS28*(Construction!AS17+Inputs!$F$77)/100*Construction!AS11/360*1</f>
        <v>0</v>
      </c>
      <c r="AT33" s="11" t="n">
        <f aca="false">Construction!AT14*AT28*(Construction!AT17+Inputs!$F$77)/100*Construction!AT11/360*1</f>
        <v>0</v>
      </c>
      <c r="AU33" s="11" t="n">
        <f aca="false">Construction!AU14*AU28*(Construction!AU17+Inputs!$F$77)/100*Construction!AU11/360*1</f>
        <v>0</v>
      </c>
      <c r="AV33" s="11" t="n">
        <f aca="false">Construction!AV14*AV28*(Construction!AV17+Inputs!$F$77)/100*Construction!AV11/360*1</f>
        <v>0</v>
      </c>
      <c r="AW33" s="11" t="n">
        <f aca="false">Construction!AW14*AW28*(Construction!AW17+Inputs!$F$77)/100*Construction!AW11/360*1</f>
        <v>0</v>
      </c>
      <c r="AX33" s="11" t="n">
        <f aca="false">Construction!AX14*AX28*(Construction!AX17+Inputs!$F$77)/100*Construction!AX11/360*1</f>
        <v>0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13.9280603473294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0.101859147246069</v>
      </c>
      <c r="L34" s="11" t="n">
        <f aca="false">Construction!L14*L29*(Construction!L17+Inputs!$F$78)/100*Construction!L11/360*1</f>
        <v>0.107417710304302</v>
      </c>
      <c r="M34" s="11" t="n">
        <f aca="false">Construction!M14*M29*(Construction!M17+Inputs!$F$78)/100*Construction!M11/360*1</f>
        <v>0.106621190364644</v>
      </c>
      <c r="N34" s="11" t="n">
        <f aca="false">Construction!N14*N29*(Construction!N17+Inputs!$F$78)/100*Construction!N11/360*1</f>
        <v>0.114073476179875</v>
      </c>
      <c r="O34" s="11" t="n">
        <f aca="false">Construction!O14*O29*(Construction!O17+Inputs!$F$78)/100*Construction!O11/360*1</f>
        <v>0.124924164982401</v>
      </c>
      <c r="P34" s="11" t="n">
        <f aca="false">Construction!P14*P29*(Construction!P17+Inputs!$F$78)/100*Construction!P11/360*1</f>
        <v>0.120126933779486</v>
      </c>
      <c r="Q34" s="11" t="n">
        <f aca="false">Construction!Q14*Q29*(Construction!Q17+Inputs!$F$78)/100*Construction!Q11/360*1</f>
        <v>0.143529799666239</v>
      </c>
      <c r="R34" s="11" t="n">
        <f aca="false">Construction!R14*R29*(Construction!R17+Inputs!$F$78)/100*Construction!R11/360*1</f>
        <v>0.151837189240649</v>
      </c>
      <c r="S34" s="11" t="n">
        <f aca="false">Construction!S14*S29*(Construction!S17+Inputs!$F$78)/100*Construction!S11/360*1</f>
        <v>0.173094070997956</v>
      </c>
      <c r="T34" s="11" t="n">
        <f aca="false">Construction!T14*T29*(Construction!T17+Inputs!$F$78)/100*Construction!T11/360*1</f>
        <v>0.18596934458338</v>
      </c>
      <c r="U34" s="11" t="n">
        <f aca="false">Construction!U14*U29*(Construction!U17+Inputs!$F$78)/100*Construction!U11/360*1</f>
        <v>0.21891940573222</v>
      </c>
      <c r="V34" s="11" t="n">
        <f aca="false">Construction!V14*V29*(Construction!V17+Inputs!$F$78)/100*Construction!V11/360*1</f>
        <v>0.243837505670716</v>
      </c>
      <c r="W34" s="11" t="n">
        <f aca="false">Construction!W14*W29*(Construction!W17+Inputs!$F$78)/100*Construction!W11/360*1</f>
        <v>0.262334819999647</v>
      </c>
      <c r="X34" s="11" t="n">
        <f aca="false">Construction!X14*X29*(Construction!X17+Inputs!$F$78)/100*Construction!X11/360*1</f>
        <v>0.30025354948284</v>
      </c>
      <c r="Y34" s="11" t="n">
        <f aca="false">Construction!Y14*Y29*(Construction!Y17+Inputs!$F$78)/100*Construction!Y11/360*1</f>
        <v>0.320349161661415</v>
      </c>
      <c r="Z34" s="11" t="n">
        <f aca="false">Construction!Z14*Z29*(Construction!Z17+Inputs!$F$78)/100*Construction!Z11/360*1</f>
        <v>0.362866564178283</v>
      </c>
      <c r="AA34" s="11" t="n">
        <f aca="false">Construction!AA14*AA29*(Construction!AA17+Inputs!$F$78)/100*Construction!AA11/360*1</f>
        <v>0.40017255037233</v>
      </c>
      <c r="AB34" s="11" t="n">
        <f aca="false">Construction!AB14*AB29*(Construction!AB17+Inputs!$F$78)/100*Construction!AB11/360*1</f>
        <v>0.40628193360512</v>
      </c>
      <c r="AC34" s="11" t="n">
        <f aca="false">Construction!AC14*AC29*(Construction!AC17+Inputs!$F$78)/100*Construction!AC11/360*1</f>
        <v>0.466856050849675</v>
      </c>
      <c r="AD34" s="11" t="n">
        <f aca="false">Construction!AD14*AD29*(Construction!AD17+Inputs!$F$78)/100*Construction!AD11/360*1</f>
        <v>0.48255187445238</v>
      </c>
      <c r="AE34" s="11" t="n">
        <f aca="false">Construction!AE14*AE29*(Construction!AE17+Inputs!$F$78)/100*Construction!AE11/360*1</f>
        <v>0.529017351897517</v>
      </c>
      <c r="AF34" s="11" t="n">
        <f aca="false">Construction!AF14*AF29*(Construction!AF17+Inputs!$F$78)/100*Construction!AF11/360*1</f>
        <v>0.53969170085663</v>
      </c>
      <c r="AG34" s="11" t="n">
        <f aca="false">Construction!AG14*AG29*(Construction!AG17+Inputs!$F$78)/100*Construction!AG11/360*1</f>
        <v>0.587642398173669</v>
      </c>
      <c r="AH34" s="11" t="n">
        <f aca="false">Construction!AH14*AH29*(Construction!AH17+Inputs!$F$78)/100*Construction!AH11/360*1</f>
        <v>0.611856286631696</v>
      </c>
      <c r="AI34" s="11" t="n">
        <f aca="false">Construction!AI14*AI29*(Construction!AI17+Inputs!$F$78)/100*Construction!AI11/360*1</f>
        <v>0.612946007213085</v>
      </c>
      <c r="AJ34" s="11" t="n">
        <f aca="false">Construction!AJ14*AJ29*(Construction!AJ17+Inputs!$F$78)/100*Construction!AJ11/360*1</f>
        <v>0.652006778811237</v>
      </c>
      <c r="AK34" s="11" t="n">
        <f aca="false">Construction!AK14*AK29*(Construction!AK17+Inputs!$F$78)/100*Construction!AK11/360*1</f>
        <v>0.646301250147158</v>
      </c>
      <c r="AL34" s="11" t="n">
        <f aca="false">Construction!AL14*AL29*(Construction!AL17+Inputs!$F$78)/100*Construction!AL11/360*1</f>
        <v>0.680840602332498</v>
      </c>
      <c r="AM34" s="11" t="n">
        <f aca="false">Construction!AM14*AM29*(Construction!AM17+Inputs!$F$78)/100*Construction!AM11/360*1</f>
        <v>0.694423084828858</v>
      </c>
      <c r="AN34" s="11" t="n">
        <f aca="false">Construction!AN14*AN29*(Construction!AN17+Inputs!$F$78)/100*Construction!AN11/360*1</f>
        <v>0.634704375404081</v>
      </c>
      <c r="AO34" s="11" t="n">
        <f aca="false">Construction!AO14*AO29*(Construction!AO17+Inputs!$F$78)/100*Construction!AO11/360*1</f>
        <v>0.708978363755125</v>
      </c>
      <c r="AP34" s="11" t="n">
        <f aca="false">Construction!AP14*AP29*(Construction!AP17+Inputs!$F$78)/100*Construction!AP11/360*1</f>
        <v>0.691172675970882</v>
      </c>
      <c r="AQ34" s="11" t="n">
        <f aca="false">Construction!AQ14*AQ29*(Construction!AQ17+Inputs!$F$78)/100*Construction!AQ11/360*1</f>
        <v>0.76551479501408</v>
      </c>
      <c r="AR34" s="11" t="n">
        <f aca="false">Construction!AR14*AR29*(Construction!AR17+Inputs!$F$78)/100*Construction!AR11/360*1</f>
        <v>0.77908823294328</v>
      </c>
      <c r="AS34" s="11" t="n">
        <f aca="false">Construction!AS14*AS29*(Construction!AS17+Inputs!$F$78)/100*Construction!AS11/360*1</f>
        <v>0</v>
      </c>
      <c r="AT34" s="11" t="n">
        <f aca="false">Construction!AT14*AT29*(Construction!AT17+Inputs!$F$78)/100*Construction!AT11/360*1</f>
        <v>0</v>
      </c>
      <c r="AU34" s="11" t="n">
        <f aca="false">Construction!AU14*AU29*(Construction!AU17+Inputs!$F$78)/100*Construction!AU11/360*1</f>
        <v>0</v>
      </c>
      <c r="AV34" s="11" t="n">
        <f aca="false">Construction!AV14*AV29*(Construction!AV17+Inputs!$F$78)/100*Construction!AV11/360*1</f>
        <v>0</v>
      </c>
      <c r="AW34" s="11" t="n">
        <f aca="false">Construction!AW14*AW29*(Construction!AW17+Inputs!$F$78)/100*Construction!AW11/360*1</f>
        <v>0</v>
      </c>
      <c r="AX34" s="11" t="n">
        <f aca="false">Construction!AX14*AX29*(Construction!AX17+Inputs!$F$78)/100*Construction!AX11/360*1</f>
        <v>0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6.0932920563292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0.0444236151242619</v>
      </c>
      <c r="L35" s="11" t="n">
        <f aca="false">Construction!L14*L30*(Construction!L17+Inputs!$F$79)/100*Construction!L11/360*1</f>
        <v>0.0468478595109378</v>
      </c>
      <c r="M35" s="11" t="n">
        <f aca="false">Construction!M14*M30*(Construction!M17+Inputs!$F$79)/100*Construction!M11/360*1</f>
        <v>0.0465004749490711</v>
      </c>
      <c r="N35" s="11" t="n">
        <f aca="false">Construction!N14*N30*(Construction!N17+Inputs!$F$79)/100*Construction!N11/360*1</f>
        <v>0.0497506246489511</v>
      </c>
      <c r="O35" s="11" t="n">
        <f aca="false">Construction!O14*O30*(Construction!O17+Inputs!$F$79)/100*Construction!O11/360*1</f>
        <v>0.0545793747346884</v>
      </c>
      <c r="P35" s="11" t="n">
        <f aca="false">Construction!P14*P30*(Construction!P17+Inputs!$F$79)/100*Construction!P11/360*1</f>
        <v>0.0524834641512576</v>
      </c>
      <c r="Q35" s="11" t="n">
        <f aca="false">Construction!Q14*Q30*(Construction!Q17+Inputs!$F$79)/100*Construction!Q11/360*1</f>
        <v>0.0627081775786294</v>
      </c>
      <c r="R35" s="11" t="n">
        <f aca="false">Construction!R14*R30*(Construction!R17+Inputs!$F$79)/100*Construction!R11/360*1</f>
        <v>0.066337676552768</v>
      </c>
      <c r="S35" s="11" t="n">
        <f aca="false">Construction!S14*S30*(Construction!S17+Inputs!$F$79)/100*Construction!S11/360*1</f>
        <v>0.0756248093928112</v>
      </c>
      <c r="T35" s="11" t="n">
        <f aca="false">Construction!T14*T30*(Construction!T17+Inputs!$F$79)/100*Construction!T11/360*1</f>
        <v>0.0812500171492886</v>
      </c>
      <c r="U35" s="11" t="n">
        <f aca="false">Construction!U14*U30*(Construction!U17+Inputs!$F$79)/100*Construction!U11/360*1</f>
        <v>0.0957338275860308</v>
      </c>
      <c r="V35" s="11" t="n">
        <f aca="false">Construction!V14*V30*(Construction!V17+Inputs!$F$79)/100*Construction!V11/360*1</f>
        <v>0.106630554969812</v>
      </c>
      <c r="W35" s="11" t="n">
        <f aca="false">Construction!W14*W30*(Construction!W17+Inputs!$F$79)/100*Construction!W11/360*1</f>
        <v>0.114719461911833</v>
      </c>
      <c r="X35" s="11" t="n">
        <f aca="false">Construction!X14*X30*(Construction!X17+Inputs!$F$79)/100*Construction!X11/360*1</f>
        <v>0.131301386654794</v>
      </c>
      <c r="Y35" s="11" t="n">
        <f aca="false">Construction!Y14*Y30*(Construction!Y17+Inputs!$F$79)/100*Construction!Y11/360*1</f>
        <v>0.140089231958434</v>
      </c>
      <c r="Z35" s="11" t="n">
        <f aca="false">Construction!Z14*Z30*(Construction!Z17+Inputs!$F$79)/100*Construction!Z11/360*1</f>
        <v>0.158682164221983</v>
      </c>
      <c r="AA35" s="11" t="n">
        <f aca="false">Construction!AA14*AA30*(Construction!AA17+Inputs!$F$79)/100*Construction!AA11/360*1</f>
        <v>0.175078899644975</v>
      </c>
      <c r="AB35" s="11" t="n">
        <f aca="false">Construction!AB14*AB30*(Construction!AB17+Inputs!$F$79)/100*Construction!AB11/360*1</f>
        <v>0.177751806851906</v>
      </c>
      <c r="AC35" s="11" t="n">
        <f aca="false">Construction!AC14*AC30*(Construction!AC17+Inputs!$F$79)/100*Construction!AC11/360*1</f>
        <v>0.20425349914508</v>
      </c>
      <c r="AD35" s="11" t="n">
        <f aca="false">Construction!AD14*AD30*(Construction!AD17+Inputs!$F$79)/100*Construction!AD11/360*1</f>
        <v>0.211120555675636</v>
      </c>
      <c r="AE35" s="11" t="n">
        <f aca="false">Construction!AE14*AE30*(Construction!AE17+Inputs!$F$79)/100*Construction!AE11/360*1</f>
        <v>0.231449597872568</v>
      </c>
      <c r="AF35" s="11" t="n">
        <f aca="false">Construction!AF14*AF30*(Construction!AF17+Inputs!$F$79)/100*Construction!AF11/360*1</f>
        <v>0.23611971647128</v>
      </c>
      <c r="AG35" s="11" t="n">
        <f aca="false">Construction!AG14*AG30*(Construction!AG17+Inputs!$F$79)/100*Construction!AG11/360*1</f>
        <v>0.257158236837956</v>
      </c>
      <c r="AH35" s="11" t="n">
        <f aca="false">Construction!AH14*AH30*(Construction!AH17+Inputs!$F$79)/100*Construction!AH11/360*1</f>
        <v>0.267754478501609</v>
      </c>
      <c r="AI35" s="11" t="n">
        <f aca="false">Construction!AI14*AI30*(Construction!AI17+Inputs!$F$79)/100*Construction!AI11/360*1</f>
        <v>0.268231351212338</v>
      </c>
      <c r="AJ35" s="11" t="n">
        <f aca="false">Construction!AJ14*AJ30*(Construction!AJ17+Inputs!$F$79)/100*Construction!AJ11/360*1</f>
        <v>0.285324738593726</v>
      </c>
      <c r="AK35" s="11" t="n">
        <f aca="false">Construction!AK14*AK30*(Construction!AK17+Inputs!$F$79)/100*Construction!AK11/360*1</f>
        <v>0.282827941738968</v>
      </c>
      <c r="AL35" s="11" t="n">
        <f aca="false">Construction!AL14*AL30*(Construction!AL17+Inputs!$F$79)/100*Construction!AL11/360*1</f>
        <v>0.297942710409696</v>
      </c>
      <c r="AM35" s="11" t="n">
        <f aca="false">Construction!AM14*AM30*(Construction!AM17+Inputs!$F$79)/100*Construction!AM11/360*1</f>
        <v>0.303938887276726</v>
      </c>
      <c r="AN35" s="11" t="n">
        <f aca="false">Construction!AN14*AN30*(Construction!AN17+Inputs!$F$79)/100*Construction!AN11/360*1</f>
        <v>0.27780087647508</v>
      </c>
      <c r="AO35" s="11" t="n">
        <f aca="false">Construction!AO14*AO30*(Construction!AO17+Inputs!$F$79)/100*Construction!AO11/360*1</f>
        <v>0.310309521228133</v>
      </c>
      <c r="AP35" s="11" t="n">
        <f aca="false">Construction!AP14*AP30*(Construction!AP17+Inputs!$F$79)/100*Construction!AP11/360*1</f>
        <v>0.302516230580727</v>
      </c>
      <c r="AQ35" s="11" t="n">
        <f aca="false">Construction!AQ14*AQ30*(Construction!AQ17+Inputs!$F$79)/100*Construction!AQ11/360*1</f>
        <v>0.335054695147112</v>
      </c>
      <c r="AR35" s="11" t="n">
        <f aca="false">Construction!AR14*AR30*(Construction!AR17+Inputs!$F$79)/100*Construction!AR11/360*1</f>
        <v>0.34099559157013</v>
      </c>
      <c r="AS35" s="11" t="n">
        <f aca="false">Construction!AS14*AS30*(Construction!AS17+Inputs!$F$79)/100*Construction!AS11/360*1</f>
        <v>0</v>
      </c>
      <c r="AT35" s="11" t="n">
        <f aca="false">Construction!AT14*AT30*(Construction!AT17+Inputs!$F$79)/100*Construction!AT11/360*1</f>
        <v>0</v>
      </c>
      <c r="AU35" s="11" t="n">
        <f aca="false">Construction!AU14*AU30*(Construction!AU17+Inputs!$F$79)/100*Construction!AU11/360*1</f>
        <v>0</v>
      </c>
      <c r="AV35" s="11" t="n">
        <f aca="false">Construction!AV14*AV30*(Construction!AV17+Inputs!$F$79)/100*Construction!AV11/360*1</f>
        <v>0</v>
      </c>
      <c r="AW35" s="11" t="n">
        <f aca="false">Construction!AW14*AW30*(Construction!AW17+Inputs!$F$79)/100*Construction!AW11/360*1</f>
        <v>0</v>
      </c>
      <c r="AX35" s="11" t="n">
        <f aca="false">Construction!AX14*AX30*(Construction!AX17+Inputs!$F$79)/100*Construction!AX11/360*1</f>
        <v>0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28.5367188040118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0.209744831468831</v>
      </c>
      <c r="L36" s="11" t="n">
        <f aca="false">Construction!L14*L31*(Construction!L17+Inputs!$F$80)/100*Construction!L11/360*(1/(1-Inputs!$F$91/100))</f>
        <v>0.221190832180396</v>
      </c>
      <c r="M36" s="11" t="n">
        <f aca="false">Construction!M14*M31*(Construction!M17+Inputs!$F$80)/100*Construction!M11/360*(1/(1-Inputs!$F$91/100))</f>
        <v>0.219550665881913</v>
      </c>
      <c r="N36" s="11" t="n">
        <f aca="false">Construction!N14*N31*(Construction!N17+Inputs!$F$80)/100*Construction!N11/360*(1/(1-Inputs!$F$91/100))</f>
        <v>0.234896154967908</v>
      </c>
      <c r="O36" s="11" t="n">
        <f aca="false">Construction!O14*O31*(Construction!O17+Inputs!$F$80)/100*Construction!O11/360*(1/(1-Inputs!$F$91/100))</f>
        <v>0.256506406265233</v>
      </c>
      <c r="P36" s="11" t="n">
        <f aca="false">Construction!P14*P31*(Construction!P17+Inputs!$F$80)/100*Construction!P11/360*(1/(1-Inputs!$F$91/100))</f>
        <v>0.24665626609374</v>
      </c>
      <c r="Q36" s="11" t="n">
        <f aca="false">Construction!Q14*Q31*(Construction!Q17+Inputs!$F$80)/100*Construction!Q11/360*(1/(1-Inputs!$F$91/100))</f>
        <v>0.294709299113925</v>
      </c>
      <c r="R36" s="11" t="n">
        <f aca="false">Construction!R14*R31*(Construction!R17+Inputs!$F$80)/100*Construction!R11/360*(1/(1-Inputs!$F$91/100))</f>
        <v>0.311766836744673</v>
      </c>
      <c r="S36" s="11" t="n">
        <f aca="false">Construction!S14*S31*(Construction!S17+Inputs!$F$80)/100*Construction!S11/360*(1/(1-Inputs!$F$91/100))</f>
        <v>0.355413527108703</v>
      </c>
      <c r="T36" s="11" t="n">
        <f aca="false">Construction!T14*T31*(Construction!T17+Inputs!$F$80)/100*Construction!T11/360*(1/(1-Inputs!$F$91/100))</f>
        <v>0.381850287022559</v>
      </c>
      <c r="U36" s="11" t="n">
        <f aca="false">Construction!U14*U31*(Construction!U17+Inputs!$F$80)/100*Construction!U11/360*(1/(1-Inputs!$F$91/100))</f>
        <v>0.448838302765772</v>
      </c>
      <c r="V36" s="11" t="n">
        <f aca="false">Construction!V14*V31*(Construction!V17+Inputs!$F$80)/100*Construction!V11/360*(1/(1-Inputs!$F$91/100))</f>
        <v>0.499926499571052</v>
      </c>
      <c r="W36" s="11" t="n">
        <f aca="false">Construction!W14*W31*(Construction!W17+Inputs!$F$80)/100*Construction!W11/360*(1/(1-Inputs!$F$91/100))</f>
        <v>0.537850516134835</v>
      </c>
      <c r="X36" s="11" t="n">
        <f aca="false">Construction!X14*X31*(Construction!X17+Inputs!$F$80)/100*Construction!X11/360*(1/(1-Inputs!$F$91/100))</f>
        <v>0.615593181876805</v>
      </c>
      <c r="Y36" s="11" t="n">
        <f aca="false">Construction!Y14*Y31*(Construction!Y17+Inputs!$F$80)/100*Construction!Y11/360*(1/(1-Inputs!$F$91/100))</f>
        <v>0.656794099781285</v>
      </c>
      <c r="Z36" s="11" t="n">
        <f aca="false">Construction!Z14*Z31*(Construction!Z17+Inputs!$F$80)/100*Construction!Z11/360*(1/(1-Inputs!$F$91/100))</f>
        <v>0.743965169517437</v>
      </c>
      <c r="AA36" s="11" t="n">
        <f aca="false">Construction!AA14*AA31*(Construction!AA17+Inputs!$F$80)/100*Construction!AA11/360*(1/(1-Inputs!$F$91/100))</f>
        <v>0.819822552577784</v>
      </c>
      <c r="AB36" s="11" t="n">
        <f aca="false">Construction!AB14*AB31*(Construction!AB17+Inputs!$F$80)/100*Construction!AB11/360*(1/(1-Inputs!$F$91/100))</f>
        <v>0.832338678813633</v>
      </c>
      <c r="AC36" s="11" t="n">
        <f aca="false">Construction!AC14*AC31*(Construction!AC17+Inputs!$F$80)/100*Construction!AC11/360*(1/(1-Inputs!$F$91/100))</f>
        <v>0.95643521510372</v>
      </c>
      <c r="AD36" s="11" t="n">
        <f aca="false">Construction!AD14*AD31*(Construction!AD17+Inputs!$F$80)/100*Construction!AD11/360*(1/(1-Inputs!$F$91/100))</f>
        <v>0.988590819376948</v>
      </c>
      <c r="AE36" s="11" t="n">
        <f aca="false">Construction!AE14*AE31*(Construction!AE17+Inputs!$F$80)/100*Construction!AE11/360*(1/(1-Inputs!$F$91/100))</f>
        <v>1.08378337141575</v>
      </c>
      <c r="AF36" s="11" t="n">
        <f aca="false">Construction!AF14*AF31*(Construction!AF17+Inputs!$F$80)/100*Construction!AF11/360*(1/(1-Inputs!$F$91/100))</f>
        <v>1.10565161800743</v>
      </c>
      <c r="AG36" s="11" t="n">
        <f aca="false">Construction!AG14*AG31*(Construction!AG17+Inputs!$F$80)/100*Construction!AG11/360*(1/(1-Inputs!$F$91/100))</f>
        <v>1.20343331749004</v>
      </c>
      <c r="AH36" s="11" t="n">
        <f aca="false">Construction!AH14*AH31*(Construction!AH17+Inputs!$F$80)/100*Construction!AH11/360*(1/(1-Inputs!$F$91/100))</f>
        <v>1.25302095821668</v>
      </c>
      <c r="AI36" s="11" t="n">
        <f aca="false">Construction!AI14*AI31*(Construction!AI17+Inputs!$F$80)/100*Construction!AI11/360*(1/(1-Inputs!$F$91/100))</f>
        <v>1.25525259783029</v>
      </c>
      <c r="AJ36" s="11" t="n">
        <f aca="false">Construction!AJ14*AJ31*(Construction!AJ17+Inputs!$F$80)/100*Construction!AJ11/360*(1/(1-Inputs!$F$91/100))</f>
        <v>1.33524518191574</v>
      </c>
      <c r="AK36" s="11" t="n">
        <f aca="false">Construction!AK14*AK31*(Construction!AK17+Inputs!$F$80)/100*Construction!AK11/360*(1/(1-Inputs!$F$91/100))</f>
        <v>1.32356082539282</v>
      </c>
      <c r="AL36" s="11" t="n">
        <f aca="false">Construction!AL14*AL31*(Construction!AL17+Inputs!$F$80)/100*Construction!AL11/360*(1/(1-Inputs!$F$91/100))</f>
        <v>1.39429399119832</v>
      </c>
      <c r="AM36" s="11" t="n">
        <f aca="false">Construction!AM14*AM31*(Construction!AM17+Inputs!$F$80)/100*Construction!AM11/360*(1/(1-Inputs!$F$91/100))</f>
        <v>1.42171174082772</v>
      </c>
      <c r="AN36" s="11" t="n">
        <f aca="false">Construction!AN14*AN31*(Construction!AN17+Inputs!$F$80)/100*Construction!AN11/360*(1/(1-Inputs!$F$91/100))</f>
        <v>1.29944796217294</v>
      </c>
      <c r="AO36" s="11" t="n">
        <f aca="false">Construction!AO14*AO31*(Construction!AO17+Inputs!$F$80)/100*Construction!AO11/360*(1/(1-Inputs!$F$91/100))</f>
        <v>1.45151116914827</v>
      </c>
      <c r="AP36" s="11" t="n">
        <f aca="false">Construction!AP14*AP31*(Construction!AP17+Inputs!$F$80)/100*Construction!AP11/360*(1/(1-Inputs!$F$91/100))</f>
        <v>1.41505708815727</v>
      </c>
      <c r="AQ36" s="11" t="n">
        <f aca="false">Construction!AQ14*AQ31*(Construction!AQ17+Inputs!$F$80)/100*Construction!AQ11/360*(1/(1-Inputs!$F$91/100))</f>
        <v>1.56725978099801</v>
      </c>
      <c r="AR36" s="11" t="n">
        <f aca="false">Construction!AR14*AR31*(Construction!AR17+Inputs!$F$80)/100*Construction!AR11/360*(1/(1-Inputs!$F$91/100))</f>
        <v>1.59504905887332</v>
      </c>
      <c r="AS36" s="11" t="n">
        <f aca="false">Construction!AS14*AS31*(Construction!AS17+Inputs!$F$80)/100*Construction!AS11/360*(1/(1-Inputs!$F$91/100))</f>
        <v>0</v>
      </c>
      <c r="AT36" s="11" t="n">
        <f aca="false">Construction!AT14*AT31*(Construction!AT17+Inputs!$F$80)/100*Construction!AT11/360*(1/(1-Inputs!$F$91/100))</f>
        <v>0</v>
      </c>
      <c r="AU36" s="11" t="n">
        <f aca="false">Construction!AU14*AU31*(Construction!AU17+Inputs!$F$80)/100*Construction!AU11/360*(1/(1-Inputs!$F$91/100))</f>
        <v>0</v>
      </c>
      <c r="AV36" s="11" t="n">
        <f aca="false">Construction!AV14*AV31*(Construction!AV17+Inputs!$F$80)/100*Construction!AV11/360*(1/(1-Inputs!$F$91/100))</f>
        <v>0</v>
      </c>
      <c r="AW36" s="11" t="n">
        <f aca="false">Construction!AW14*AW31*(Construction!AW17+Inputs!$F$80)/100*Construction!AW11/360*(1/(1-Inputs!$F$91/100))</f>
        <v>0</v>
      </c>
      <c r="AX36" s="11" t="n">
        <f aca="false">Construction!AX14*AX31*(Construction!AX17+Inputs!$F$80)/100*Construction!AX11/360*(1/(1-Inputs!$F$91/100))</f>
        <v>0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3.68740871632844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0.0291088986403832</v>
      </c>
      <c r="L38" s="11" t="n">
        <f aca="false">Construction!L14*(Inputs!$F$93/100*Inputs!$F$94/100)*L31*Construction!L11/365</f>
        <v>0.030697402501086</v>
      </c>
      <c r="M38" s="11" t="n">
        <f aca="false">Construction!M14*(Inputs!$F$93/100*Inputs!$F$94/100)*M31*Construction!M11/365</f>
        <v>0.0304697762268099</v>
      </c>
      <c r="N38" s="11" t="n">
        <f aca="false">Construction!N14*(Inputs!$F$93/100*Inputs!$F$94/100)*N31*Construction!N11/365</f>
        <v>0.0325994605830974</v>
      </c>
      <c r="O38" s="11" t="n">
        <f aca="false">Construction!O14*(Inputs!$F$93/100*Inputs!$F$94/100)*O31*Construction!O11/365</f>
        <v>0.0342035740807536</v>
      </c>
      <c r="P38" s="11" t="n">
        <f aca="false">Construction!P14*(Inputs!$F$93/100*Inputs!$F$94/100)*P31*Construction!P11/365</f>
        <v>0.0328901176101457</v>
      </c>
      <c r="Q38" s="11" t="n">
        <f aca="false">Construction!Q14*(Inputs!$F$93/100*Inputs!$F$94/100)*Q31*Construction!Q11/365</f>
        <v>0.0392976982185274</v>
      </c>
      <c r="R38" s="11" t="n">
        <f aca="false">Construction!R14*(Inputs!$F$93/100*Inputs!$F$94/100)*R31*Construction!R11/365</f>
        <v>0.0415722174419781</v>
      </c>
      <c r="S38" s="11" t="n">
        <f aca="false">Construction!S14*(Inputs!$F$93/100*Inputs!$F$94/100)*S31*Construction!S11/365</f>
        <v>0.0473922389727548</v>
      </c>
      <c r="T38" s="11" t="n">
        <f aca="false">Construction!T14*(Inputs!$F$93/100*Inputs!$F$94/100)*T31*Construction!T11/365</f>
        <v>0.0509174206215658</v>
      </c>
      <c r="U38" s="11" t="n">
        <f aca="false">Construction!U14*(Inputs!$F$93/100*Inputs!$F$94/100)*U31*Construction!U11/365</f>
        <v>0.0585746561525039</v>
      </c>
      <c r="V38" s="11" t="n">
        <f aca="false">Construction!V14*(Inputs!$F$93/100*Inputs!$F$94/100)*V31*Construction!V11/365</f>
        <v>0.0652418089843387</v>
      </c>
      <c r="W38" s="11" t="n">
        <f aca="false">Construction!W14*(Inputs!$F$93/100*Inputs!$F$94/100)*W31*Construction!W11/365</f>
        <v>0.0701909994087233</v>
      </c>
      <c r="X38" s="11" t="n">
        <f aca="false">Construction!X14*(Inputs!$F$93/100*Inputs!$F$94/100)*X31*Construction!X11/365</f>
        <v>0.080336635122419</v>
      </c>
      <c r="Y38" s="11" t="n">
        <f aca="false">Construction!Y14*(Inputs!$F$93/100*Inputs!$F$94/100)*Y31*Construction!Y11/365</f>
        <v>0.0857134703536178</v>
      </c>
      <c r="Z38" s="11" t="n">
        <f aca="false">Construction!Z14*(Inputs!$F$93/100*Inputs!$F$94/100)*Z31*Construction!Z11/365</f>
        <v>0.0970895392068716</v>
      </c>
      <c r="AA38" s="11" t="n">
        <f aca="false">Construction!AA14*(Inputs!$F$93/100*Inputs!$F$94/100)*AA31*Construction!AA11/365</f>
        <v>0.105787015076741</v>
      </c>
      <c r="AB38" s="11" t="n">
        <f aca="false">Construction!AB14*(Inputs!$F$93/100*Inputs!$F$94/100)*AB31*Construction!AB11/365</f>
        <v>0.107402051929107</v>
      </c>
      <c r="AC38" s="11" t="n">
        <f aca="false">Construction!AC14*(Inputs!$F$93/100*Inputs!$F$94/100)*AC31*Construction!AC11/365</f>
        <v>0.12341503195047</v>
      </c>
      <c r="AD38" s="11" t="n">
        <f aca="false">Construction!AD14*(Inputs!$F$93/100*Inputs!$F$94/100)*AD31*Construction!AD11/365</f>
        <v>0.127564277885896</v>
      </c>
      <c r="AE38" s="11" t="n">
        <f aca="false">Construction!AE14*(Inputs!$F$93/100*Inputs!$F$94/100)*AE31*Construction!AE11/365</f>
        <v>0.139847589568477</v>
      </c>
      <c r="AF38" s="11" t="n">
        <f aca="false">Construction!AF14*(Inputs!$F$93/100*Inputs!$F$94/100)*AF31*Construction!AF11/365</f>
        <v>0.142669391096896</v>
      </c>
      <c r="AG38" s="11" t="n">
        <f aca="false">Construction!AG14*(Inputs!$F$93/100*Inputs!$F$94/100)*AG31*Construction!AG11/365</f>
        <v>0.154419273240648</v>
      </c>
      <c r="AH38" s="11" t="n">
        <f aca="false">Construction!AH14*(Inputs!$F$93/100*Inputs!$F$94/100)*AH31*Construction!AH11/365</f>
        <v>0.160782141321031</v>
      </c>
      <c r="AI38" s="11" t="n">
        <f aca="false">Construction!AI14*(Inputs!$F$93/100*Inputs!$F$94/100)*AI31*Construction!AI11/365</f>
        <v>0.161068495506393</v>
      </c>
      <c r="AJ38" s="11" t="n">
        <f aca="false">Construction!AJ14*(Inputs!$F$93/100*Inputs!$F$94/100)*AJ31*Construction!AJ11/365</f>
        <v>0.171332792264339</v>
      </c>
      <c r="AK38" s="11" t="n">
        <f aca="false">Construction!AK14*(Inputs!$F$93/100*Inputs!$F$94/100)*AK31*Construction!AK11/365</f>
        <v>0.169833506997485</v>
      </c>
      <c r="AL38" s="11" t="n">
        <f aca="false">Construction!AL14*(Inputs!$F$93/100*Inputs!$F$94/100)*AL31*Construction!AL11/365</f>
        <v>0.178909675904356</v>
      </c>
      <c r="AM38" s="11" t="n">
        <f aca="false">Construction!AM14*(Inputs!$F$93/100*Inputs!$F$94/100)*AM31*Construction!AM11/365</f>
        <v>0.181666627991376</v>
      </c>
      <c r="AN38" s="11" t="n">
        <f aca="false">Construction!AN14*(Inputs!$F$93/100*Inputs!$F$94/100)*AN31*Construction!AN11/365</f>
        <v>0.166043736405233</v>
      </c>
      <c r="AO38" s="11" t="n">
        <f aca="false">Construction!AO14*(Inputs!$F$93/100*Inputs!$F$94/100)*AO31*Construction!AO11/365</f>
        <v>0.185474405266897</v>
      </c>
      <c r="AP38" s="11" t="n">
        <f aca="false">Construction!AP14*(Inputs!$F$93/100*Inputs!$F$94/100)*AP31*Construction!AP11/365</f>
        <v>0.180816295060743</v>
      </c>
      <c r="AQ38" s="11" t="n">
        <f aca="false">Construction!AQ14*(Inputs!$F$93/100*Inputs!$F$94/100)*AQ31*Construction!AQ11/365</f>
        <v>0.200264787455893</v>
      </c>
      <c r="AR38" s="11" t="n">
        <f aca="false">Construction!AR14*(Inputs!$F$93/100*Inputs!$F$94/100)*AR31*Construction!AR11/365</f>
        <v>0.203815707280881</v>
      </c>
      <c r="AS38" s="11" t="n">
        <f aca="false">Construction!AS14*(Inputs!$F$93/100*Inputs!$F$94/100)*AS31*Construction!AS11/365</f>
        <v>0</v>
      </c>
      <c r="AT38" s="11" t="n">
        <f aca="false">Construction!AT14*(Inputs!$F$93/100*Inputs!$F$94/100)*AT31*Construction!AT11/365</f>
        <v>0</v>
      </c>
      <c r="AU38" s="11" t="n">
        <f aca="false">Construction!AU14*(Inputs!$F$93/100*Inputs!$F$94/100)*AU31*Construction!AU11/365</f>
        <v>0</v>
      </c>
      <c r="AV38" s="11" t="n">
        <f aca="false">Construction!AV14*(Inputs!$F$93/100*Inputs!$F$94/100)*AV31*Construction!AV11/365</f>
        <v>0</v>
      </c>
      <c r="AW38" s="11" t="n">
        <f aca="false">Construction!AW14*(Inputs!$F$93/100*Inputs!$F$94/100)*AW31*Construction!AW11/365</f>
        <v>0</v>
      </c>
      <c r="AX38" s="11" t="n">
        <f aca="false">Construction!AX14*(Inputs!$F$93/100*Inputs!$F$94/100)*AX31*Construction!AX11/365</f>
        <v>0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9.30371396326007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0.549775247522472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0.456385344604533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0.469991443537797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0.452848368125863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0.465047916828092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0.460878760272855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0.411088431121123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0.447638923395211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0.423992669549053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0.426600881076862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0.39970410446115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0.397537321698755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0.380209118941139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0.349611285305413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0.340977048744296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0.309267748773895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0.29743556618398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0.274830470852591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0.235163553244022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0.22901453437906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0.200495789171206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0.186305645380535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0.161236982451317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0.148433243838219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0.131895889588536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0.113416957950906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0.104474316485018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0.0906363347791596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0.084781686167896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0.0776162549918166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0.0650167326631995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0.06771968619396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0.0620916196354864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0.029278878266203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0.00231520707845162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0.8165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</v>
      </c>
      <c r="AT41" s="11" t="n">
        <f aca="false">Construction!AT14*(Inputs!$F$97-AT32)*Inputs!$F$98/100*Construction!AT11/360</f>
        <v>0</v>
      </c>
      <c r="AU41" s="11" t="n">
        <f aca="false">Construction!AU14*(Inputs!$F$97-AU32)*Inputs!$F$98/100*Construction!AU11/360</f>
        <v>0</v>
      </c>
      <c r="AV41" s="11" t="n">
        <f aca="false">Construction!AV14*(Inputs!$F$97-AV32)*Inputs!$F$98/100*Construction!AV11/360</f>
        <v>0</v>
      </c>
      <c r="AW41" s="11" t="n">
        <f aca="false">Construction!AW14*(Inputs!$F$97-AW32)*Inputs!$F$98/100*Construction!AW11/360</f>
        <v>0</v>
      </c>
      <c r="AX41" s="11" t="n">
        <f aca="false">Construction!AX14*(Inputs!$F$97-AX32)*Inputs!$F$98/100*Construction!AX11/360</f>
        <v>0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9.95478393553241</v>
      </c>
      <c r="J42" s="11" t="n">
        <f aca="false">IF(Construction!J8=1,Inputs!$F$73*$F$25*Inputs!$F$87/100+Inputs!$F$74*$F$25*Inputs!$F$88/100+Inputs!$F$75*$F$25*Inputs!$F$89/100+Inputs!$F$76*$F$25*Inputs!$F$90/100,0)</f>
        <v>9.95478393553241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0.74375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</v>
      </c>
      <c r="AT43" s="11" t="n">
        <f aca="false">Construction!AT14*Inputs!$F$105/12</f>
        <v>0</v>
      </c>
      <c r="AU43" s="11" t="n">
        <f aca="false">Construction!AU14*Inputs!$F$105/12</f>
        <v>0</v>
      </c>
      <c r="AV43" s="11" t="n">
        <f aca="false">Construction!AV14*Inputs!$F$105/12</f>
        <v>0</v>
      </c>
      <c r="AW43" s="11" t="n">
        <f aca="false">Construction!AW14*Inputs!$F$105/12</f>
        <v>0</v>
      </c>
      <c r="AX43" s="11" t="n">
        <f aca="false">Construction!AX14*Inputs!$F$105/12</f>
        <v>0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37.2458954370954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37.2458954370954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633.255975542774</v>
      </c>
      <c r="J47" s="11" t="n">
        <f aca="false">MIN($F$26*J45/(1-Inputs!$F$92/100*Inputs!$F$73*$F$26),J46)</f>
        <v>90.0478684951254</v>
      </c>
      <c r="K47" s="11" t="n">
        <f aca="false">MIN($F$26*K45/(1-Inputs!$F$92/100*Inputs!$F$73*$F$26),K46)</f>
        <v>1.85072252458686</v>
      </c>
      <c r="L47" s="11" t="n">
        <f aca="false">MIN($F$26*L45/(1-Inputs!$F$92/100*Inputs!$F$73*$F$26),L46)</f>
        <v>2.35912847164796</v>
      </c>
      <c r="M47" s="11" t="n">
        <f aca="false">MIN($F$26*M45/(1-Inputs!$F$92/100*Inputs!$F$73*$F$26),M46)</f>
        <v>3.3350490004792</v>
      </c>
      <c r="N47" s="11" t="n">
        <f aca="false">MIN($F$26*N45/(1-Inputs!$F$92/100*Inputs!$F$73*$F$26),N46)</f>
        <v>4.80222293287169</v>
      </c>
      <c r="O47" s="11" t="n">
        <f aca="false">MIN($F$26*O45/(1-Inputs!$F$92/100*Inputs!$F$73*$F$26),O46)</f>
        <v>6.61751200508777</v>
      </c>
      <c r="P47" s="11" t="n">
        <f aca="false">MIN($F$26*P45/(1-Inputs!$F$92/100*Inputs!$F$73*$F$26),P46)</f>
        <v>8.63273044537214</v>
      </c>
      <c r="Q47" s="11" t="n">
        <f aca="false">MIN($F$26*Q45/(1-Inputs!$F$92/100*Inputs!$F$73*$F$26),Q46)</f>
        <v>10.9576932061239</v>
      </c>
      <c r="R47" s="11" t="n">
        <f aca="false">MIN($F$26*R45/(1-Inputs!$F$92/100*Inputs!$F$73*$F$26),R46)</f>
        <v>13.2748746874893</v>
      </c>
      <c r="S47" s="11" t="n">
        <f aca="false">MIN($F$26*S45/(1-Inputs!$F$92/100*Inputs!$F$73*$F$26),S46)</f>
        <v>15.6343477936492</v>
      </c>
      <c r="T47" s="11" t="n">
        <f aca="false">MIN($F$26*T45/(1-Inputs!$F$92/100*Inputs!$F$73*$F$26),T46)</f>
        <v>17.84237333861</v>
      </c>
      <c r="U47" s="11" t="n">
        <f aca="false">MIN($F$26*U45/(1-Inputs!$F$92/100*Inputs!$F$73*$F$26),U46)</f>
        <v>19.9594070324688</v>
      </c>
      <c r="V47" s="11" t="n">
        <f aca="false">MIN($F$26*V45/(1-Inputs!$F$92/100*Inputs!$F$73*$F$26),V46)</f>
        <v>21.820698290778</v>
      </c>
      <c r="W47" s="11" t="n">
        <f aca="false">MIN($F$26*W45/(1-Inputs!$F$92/100*Inputs!$F$73*$F$26),W46)</f>
        <v>23.368573137905</v>
      </c>
      <c r="X47" s="11" t="n">
        <f aca="false">MIN($F$26*X45/(1-Inputs!$F$92/100*Inputs!$F$73*$F$26),X46)</f>
        <v>24.6499190638619</v>
      </c>
      <c r="Y47" s="11" t="n">
        <f aca="false">MIN($F$26*Y45/(1-Inputs!$F$92/100*Inputs!$F$73*$F$26),Y46)</f>
        <v>25.5031282760592</v>
      </c>
      <c r="Z47" s="11" t="n">
        <f aca="false">MIN($F$26*Z45/(1-Inputs!$F$92/100*Inputs!$F$73*$F$26),Z46)</f>
        <v>26.0375703723027</v>
      </c>
      <c r="AA47" s="11" t="n">
        <f aca="false">MIN($F$26*AA45/(1-Inputs!$F$92/100*Inputs!$F$73*$F$26),AA46)</f>
        <v>27.0093201816033</v>
      </c>
      <c r="AB47" s="11" t="n">
        <f aca="false">MIN($F$26*AB45/(1-Inputs!$F$92/100*Inputs!$F$73*$F$26),AB46)</f>
        <v>25.7635459626942</v>
      </c>
      <c r="AC47" s="11" t="n">
        <f aca="false">MIN($F$26*AC45/(1-Inputs!$F$92/100*Inputs!$F$73*$F$26),AC46)</f>
        <v>25.1511758572385</v>
      </c>
      <c r="AD47" s="11" t="n">
        <f aca="false">MIN($F$26*AD45/(1-Inputs!$F$92/100*Inputs!$F$73*$F$26),AD46)</f>
        <v>24.0428525916383</v>
      </c>
      <c r="AE47" s="11" t="n">
        <f aca="false">MIN($F$26*AE45/(1-Inputs!$F$92/100*Inputs!$F$73*$F$26),AE46)</f>
        <v>22.684550764706</v>
      </c>
      <c r="AF47" s="11" t="n">
        <f aca="false">MIN($F$26*AF45/(1-Inputs!$F$92/100*Inputs!$F$73*$F$26),AF46)</f>
        <v>20.938592861539</v>
      </c>
      <c r="AG47" s="11" t="n">
        <f aca="false">MIN($F$26*AG45/(1-Inputs!$F$92/100*Inputs!$F$73*$F$26),AG46)</f>
        <v>19.0484719810011</v>
      </c>
      <c r="AH47" s="11" t="n">
        <f aca="false">MIN($F$26*AH45/(1-Inputs!$F$92/100*Inputs!$F$73*$F$26),AH46)</f>
        <v>16.9302426366239</v>
      </c>
      <c r="AI47" s="11" t="n">
        <f aca="false">MIN($F$26*AI45/(1-Inputs!$F$92/100*Inputs!$F$73*$F$26),AI46)</f>
        <v>14.6551644999094</v>
      </c>
      <c r="AJ47" s="11" t="n">
        <f aca="false">MIN($F$26*AJ45/(1-Inputs!$F$92/100*Inputs!$F$73*$F$26),AJ46)</f>
        <v>12.4592451470814</v>
      </c>
      <c r="AK47" s="11" t="n">
        <f aca="false">MIN($F$26*AK45/(1-Inputs!$F$92/100*Inputs!$F$73*$F$26),AK46)</f>
        <v>10.2236164016511</v>
      </c>
      <c r="AL47" s="11" t="n">
        <f aca="false">MIN($F$26*AL45/(1-Inputs!$F$92/100*Inputs!$F$73*$F$26),AL46)</f>
        <v>8.25346744881826</v>
      </c>
      <c r="AM47" s="11" t="n">
        <f aca="false">MIN($F$26*AM45/(1-Inputs!$F$92/100*Inputs!$F$73*$F$26),AM46)</f>
        <v>6.48885518885751</v>
      </c>
      <c r="AN47" s="11" t="n">
        <f aca="false">MIN($F$26*AN45/(1-Inputs!$F$92/100*Inputs!$F$73*$F$26),AN46)</f>
        <v>4.91045999831217</v>
      </c>
      <c r="AO47" s="11" t="n">
        <f aca="false">MIN($F$26*AO45/(1-Inputs!$F$92/100*Inputs!$F$73*$F$26),AO46)</f>
        <v>4.09866362096826</v>
      </c>
      <c r="AP47" s="11" t="n">
        <f aca="false">MIN($F$26*AP45/(1-Inputs!$F$92/100*Inputs!$F$73*$F$26),AP46)</f>
        <v>40.1791961674523</v>
      </c>
      <c r="AQ47" s="11" t="n">
        <f aca="false">MIN($F$26*AQ45/(1-Inputs!$F$92/100*Inputs!$F$73*$F$26),AQ46)</f>
        <v>30.9690830117203</v>
      </c>
      <c r="AR47" s="11" t="n">
        <f aca="false">MIN($F$26*AR45/(1-Inputs!$F$92/100*Inputs!$F$73*$F$26),AR46)</f>
        <v>2.75565214654034</v>
      </c>
      <c r="AS47" s="11" t="n">
        <f aca="false">MIN($F$26*AS45/(1-Inputs!$F$92/100*Inputs!$F$73*$F$26),AS46)</f>
        <v>0</v>
      </c>
      <c r="AT47" s="11" t="n">
        <f aca="false">MIN($F$26*AT45/(1-Inputs!$F$92/100*Inputs!$F$73*$F$26),AT46)</f>
        <v>0</v>
      </c>
      <c r="AU47" s="11" t="n">
        <f aca="false">MIN($F$26*AU45/(1-Inputs!$F$92/100*Inputs!$F$73*$F$26),AU46)</f>
        <v>0</v>
      </c>
      <c r="AV47" s="11" t="n">
        <f aca="false">MIN($F$26*AV45/(1-Inputs!$F$92/100*Inputs!$F$73*$F$26),AV46)</f>
        <v>0</v>
      </c>
      <c r="AW47" s="11" t="n">
        <f aca="false">MIN($F$26*AW45/(1-Inputs!$F$92/100*Inputs!$F$73*$F$26),AW46)</f>
        <v>0</v>
      </c>
      <c r="AX47" s="11" t="n">
        <f aca="false">MIN($F$26*AX45/(1-Inputs!$F$92/100*Inputs!$F$73*$F$26),AX46)</f>
        <v>0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20.6124820039173</v>
      </c>
      <c r="J48" s="11" t="n">
        <f aca="false">Inputs!$F$92/100*Inputs!$F$73*J47</f>
        <v>2.93105811951633</v>
      </c>
      <c r="K48" s="11" t="n">
        <f aca="false">Inputs!$F$92/100*Inputs!$F$73*K47</f>
        <v>0.0602410181753024</v>
      </c>
      <c r="L48" s="11" t="n">
        <f aca="false">Inputs!$F$92/100*Inputs!$F$73*L47</f>
        <v>0.0767896317521412</v>
      </c>
      <c r="M48" s="11" t="n">
        <f aca="false">Inputs!$F$92/100*Inputs!$F$73*M47</f>
        <v>0.108555844965598</v>
      </c>
      <c r="N48" s="11" t="n">
        <f aca="false">Inputs!$F$92/100*Inputs!$F$73*N47</f>
        <v>0.156312356464973</v>
      </c>
      <c r="O48" s="11" t="n">
        <f aca="false">Inputs!$F$92/100*Inputs!$F$73*O47</f>
        <v>0.215400015765607</v>
      </c>
      <c r="P48" s="11" t="n">
        <f aca="false">Inputs!$F$92/100*Inputs!$F$73*P47</f>
        <v>0.280995375996863</v>
      </c>
      <c r="Q48" s="11" t="n">
        <f aca="false">Inputs!$F$92/100*Inputs!$F$73*Q47</f>
        <v>0.356672913859333</v>
      </c>
      <c r="R48" s="11" t="n">
        <f aca="false">Inputs!$F$92/100*Inputs!$F$73*R47</f>
        <v>0.432097171077777</v>
      </c>
      <c r="S48" s="11" t="n">
        <f aca="false">Inputs!$F$92/100*Inputs!$F$73*S47</f>
        <v>0.508898020683282</v>
      </c>
      <c r="T48" s="11" t="n">
        <f aca="false">Inputs!$F$92/100*Inputs!$F$73*T47</f>
        <v>0.580769252171754</v>
      </c>
      <c r="U48" s="11" t="n">
        <f aca="false">Inputs!$F$92/100*Inputs!$F$73*U47</f>
        <v>0.649678698906859</v>
      </c>
      <c r="V48" s="11" t="n">
        <f aca="false">Inputs!$F$92/100*Inputs!$F$73*V47</f>
        <v>0.710263729364825</v>
      </c>
      <c r="W48" s="11" t="n">
        <f aca="false">Inputs!$F$92/100*Inputs!$F$73*W47</f>
        <v>0.760647055638807</v>
      </c>
      <c r="X48" s="11" t="n">
        <f aca="false">Inputs!$F$92/100*Inputs!$F$73*X47</f>
        <v>0.802354865528705</v>
      </c>
      <c r="Y48" s="11" t="n">
        <f aca="false">Inputs!$F$92/100*Inputs!$F$73*Y47</f>
        <v>0.830126825385727</v>
      </c>
      <c r="Z48" s="11" t="n">
        <f aca="false">Inputs!$F$92/100*Inputs!$F$73*Z47</f>
        <v>0.847522915618453</v>
      </c>
      <c r="AA48" s="11" t="n">
        <f aca="false">Inputs!$F$92/100*Inputs!$F$73*AA47</f>
        <v>0.879153371911187</v>
      </c>
      <c r="AB48" s="11" t="n">
        <f aca="false">Inputs!$F$92/100*Inputs!$F$73*AB47</f>
        <v>0.838603421085696</v>
      </c>
      <c r="AC48" s="11" t="n">
        <f aca="false">Inputs!$F$92/100*Inputs!$F$73*AC47</f>
        <v>0.818670774153112</v>
      </c>
      <c r="AD48" s="11" t="n">
        <f aca="false">Inputs!$F$92/100*Inputs!$F$73*AD47</f>
        <v>0.782594851857827</v>
      </c>
      <c r="AE48" s="11" t="n">
        <f aca="false">Inputs!$F$92/100*Inputs!$F$73*AE47</f>
        <v>0.73838212739118</v>
      </c>
      <c r="AF48" s="11" t="n">
        <f aca="false">Inputs!$F$92/100*Inputs!$F$73*AF47</f>
        <v>0.681551197643096</v>
      </c>
      <c r="AG48" s="11" t="n">
        <f aca="false">Inputs!$F$92/100*Inputs!$F$73*AG47</f>
        <v>0.620027762981586</v>
      </c>
      <c r="AH48" s="11" t="n">
        <f aca="false">Inputs!$F$92/100*Inputs!$F$73*AH47</f>
        <v>0.551079397822106</v>
      </c>
      <c r="AI48" s="11" t="n">
        <f aca="false">Inputs!$F$92/100*Inputs!$F$73*AI47</f>
        <v>0.477025604472051</v>
      </c>
      <c r="AJ48" s="11" t="n">
        <f aca="false">Inputs!$F$92/100*Inputs!$F$73*AJ47</f>
        <v>0.405548429537498</v>
      </c>
      <c r="AK48" s="11" t="n">
        <f aca="false">Inputs!$F$92/100*Inputs!$F$73*AK47</f>
        <v>0.332778713873743</v>
      </c>
      <c r="AL48" s="11" t="n">
        <f aca="false">Inputs!$F$92/100*Inputs!$F$73*AL47</f>
        <v>0.268650365459034</v>
      </c>
      <c r="AM48" s="11" t="n">
        <f aca="false">Inputs!$F$92/100*Inputs!$F$73*AM47</f>
        <v>0.211212236397312</v>
      </c>
      <c r="AN48" s="11" t="n">
        <f aca="false">Inputs!$F$92/100*Inputs!$F$73*AN47</f>
        <v>0.159835472945061</v>
      </c>
      <c r="AO48" s="11" t="n">
        <f aca="false">Inputs!$F$92/100*Inputs!$F$73*AO47</f>
        <v>0.133411500862517</v>
      </c>
      <c r="AP48" s="11" t="n">
        <f aca="false">Inputs!$F$92/100*Inputs!$F$73*AP47</f>
        <v>1.30783283525057</v>
      </c>
      <c r="AQ48" s="11" t="n">
        <f aca="false">Inputs!$F$92/100*Inputs!$F$73*AQ47</f>
        <v>1.0080436520315</v>
      </c>
      <c r="AR48" s="11" t="n">
        <f aca="false">Inputs!$F$92/100*Inputs!$F$73*AR47</f>
        <v>0.0896964773698881</v>
      </c>
      <c r="AS48" s="11" t="n">
        <f aca="false">Inputs!$F$92/100*Inputs!$F$73*AS47</f>
        <v>0</v>
      </c>
      <c r="AT48" s="11" t="n">
        <f aca="false">Inputs!$F$92/100*Inputs!$F$73*AT47</f>
        <v>0</v>
      </c>
      <c r="AU48" s="11" t="n">
        <f aca="false">Inputs!$F$92/100*Inputs!$F$73*AU47</f>
        <v>0</v>
      </c>
      <c r="AV48" s="11" t="n">
        <f aca="false">Inputs!$F$92/100*Inputs!$F$73*AV47</f>
        <v>0</v>
      </c>
      <c r="AW48" s="11" t="n">
        <f aca="false">Inputs!$F$92/100*Inputs!$F$73*AW47</f>
        <v>0</v>
      </c>
      <c r="AX48" s="11" t="n">
        <f aca="false">Inputs!$F$92/100*Inputs!$F$73*AX47</f>
        <v>0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189.976792662832</v>
      </c>
      <c r="J57" s="11" t="n">
        <f aca="false">Inputs!$F$73*J47</f>
        <v>27.0143605485376</v>
      </c>
      <c r="K57" s="11" t="n">
        <f aca="false">Inputs!$F$73*K47</f>
        <v>0.555216757376059</v>
      </c>
      <c r="L57" s="11" t="n">
        <f aca="false">Inputs!$F$73*L47</f>
        <v>0.707738541494389</v>
      </c>
      <c r="M57" s="11" t="n">
        <f aca="false">Inputs!$F$73*M47</f>
        <v>1.00051470014376</v>
      </c>
      <c r="N57" s="11" t="n">
        <f aca="false">Inputs!$F$73*N47</f>
        <v>1.44066687986151</v>
      </c>
      <c r="O57" s="11" t="n">
        <f aca="false">Inputs!$F$73*O47</f>
        <v>1.98525360152633</v>
      </c>
      <c r="P57" s="11" t="n">
        <f aca="false">Inputs!$F$73*P47</f>
        <v>2.58981913361164</v>
      </c>
      <c r="Q57" s="11" t="n">
        <f aca="false">Inputs!$F$73*Q47</f>
        <v>3.28730796183717</v>
      </c>
      <c r="R57" s="11" t="n">
        <f aca="false">Inputs!$F$73*R47</f>
        <v>3.98246240624679</v>
      </c>
      <c r="S57" s="11" t="n">
        <f aca="false">Inputs!$F$73*S47</f>
        <v>4.69030433809476</v>
      </c>
      <c r="T57" s="11" t="n">
        <f aca="false">Inputs!$F$73*T47</f>
        <v>5.35271200158299</v>
      </c>
      <c r="U57" s="11" t="n">
        <f aca="false">Inputs!$F$73*U47</f>
        <v>5.98782210974063</v>
      </c>
      <c r="V57" s="11" t="n">
        <f aca="false">Inputs!$F$73*V47</f>
        <v>6.54620948723341</v>
      </c>
      <c r="W57" s="11" t="n">
        <f aca="false">Inputs!$F$73*W47</f>
        <v>7.0105719413715</v>
      </c>
      <c r="X57" s="11" t="n">
        <f aca="false">Inputs!$F$73*X47</f>
        <v>7.39497571915857</v>
      </c>
      <c r="Y57" s="11" t="n">
        <f aca="false">Inputs!$F$73*Y47</f>
        <v>7.65093848281776</v>
      </c>
      <c r="Z57" s="11" t="n">
        <f aca="false">Inputs!$F$73*Z47</f>
        <v>7.81127111169081</v>
      </c>
      <c r="AA57" s="11" t="n">
        <f aca="false">Inputs!$F$73*AA47</f>
        <v>8.10279605448099</v>
      </c>
      <c r="AB57" s="11" t="n">
        <f aca="false">Inputs!$F$73*AB47</f>
        <v>7.72906378880826</v>
      </c>
      <c r="AC57" s="11" t="n">
        <f aca="false">Inputs!$F$73*AC47</f>
        <v>7.54535275717154</v>
      </c>
      <c r="AD57" s="11" t="n">
        <f aca="false">Inputs!$F$73*AD47</f>
        <v>7.21285577749149</v>
      </c>
      <c r="AE57" s="11" t="n">
        <f aca="false">Inputs!$F$73*AE47</f>
        <v>6.8053652294118</v>
      </c>
      <c r="AF57" s="11" t="n">
        <f aca="false">Inputs!$F$73*AF47</f>
        <v>6.28157785846171</v>
      </c>
      <c r="AG57" s="11" t="n">
        <f aca="false">Inputs!$F$73*AG47</f>
        <v>5.71454159430033</v>
      </c>
      <c r="AH57" s="11" t="n">
        <f aca="false">Inputs!$F$73*AH47</f>
        <v>5.07907279098716</v>
      </c>
      <c r="AI57" s="11" t="n">
        <f aca="false">Inputs!$F$73*AI47</f>
        <v>4.39654934997282</v>
      </c>
      <c r="AJ57" s="11" t="n">
        <f aca="false">Inputs!$F$73*AJ47</f>
        <v>3.73777354412441</v>
      </c>
      <c r="AK57" s="11" t="n">
        <f aca="false">Inputs!$F$73*AK47</f>
        <v>3.06708492049533</v>
      </c>
      <c r="AL57" s="11" t="n">
        <f aca="false">Inputs!$F$73*AL47</f>
        <v>2.47604023464548</v>
      </c>
      <c r="AM57" s="11" t="n">
        <f aca="false">Inputs!$F$73*AM47</f>
        <v>1.94665655665725</v>
      </c>
      <c r="AN57" s="11" t="n">
        <f aca="false">Inputs!$F$73*AN47</f>
        <v>1.47313799949365</v>
      </c>
      <c r="AO57" s="11" t="n">
        <f aca="false">Inputs!$F$73*AO47</f>
        <v>1.22959908629048</v>
      </c>
      <c r="AP57" s="11" t="n">
        <f aca="false">Inputs!$F$73*AP47</f>
        <v>12.0537588502357</v>
      </c>
      <c r="AQ57" s="11" t="n">
        <f aca="false">Inputs!$F$73*AQ47</f>
        <v>9.29072490351609</v>
      </c>
      <c r="AR57" s="11" t="n">
        <f aca="false">Inputs!$F$73*AR47</f>
        <v>0.826695643962103</v>
      </c>
      <c r="AS57" s="11" t="n">
        <f aca="false">Inputs!$F$73*AS47</f>
        <v>0</v>
      </c>
      <c r="AT57" s="11" t="n">
        <f aca="false">Inputs!$F$73*AT47</f>
        <v>0</v>
      </c>
      <c r="AU57" s="11" t="n">
        <f aca="false">Inputs!$F$73*AU47</f>
        <v>0</v>
      </c>
      <c r="AV57" s="11" t="n">
        <f aca="false">Inputs!$F$73*AV47</f>
        <v>0</v>
      </c>
      <c r="AW57" s="11" t="n">
        <f aca="false">Inputs!$F$73*AW47</f>
        <v>0</v>
      </c>
      <c r="AX57" s="11" t="n">
        <f aca="false">Inputs!$F$73*AX47</f>
        <v>0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139.31631461941</v>
      </c>
      <c r="J58" s="11" t="n">
        <f aca="false">Inputs!$F$74*J47</f>
        <v>19.8105310689276</v>
      </c>
      <c r="K58" s="11" t="n">
        <f aca="false">Inputs!$F$74*K47</f>
        <v>0.40715895540911</v>
      </c>
      <c r="L58" s="11" t="n">
        <f aca="false">Inputs!$F$74*L47</f>
        <v>0.519008263762552</v>
      </c>
      <c r="M58" s="11" t="n">
        <f aca="false">Inputs!$F$74*M47</f>
        <v>0.733710780105425</v>
      </c>
      <c r="N58" s="11" t="n">
        <f aca="false">Inputs!$F$74*N47</f>
        <v>1.05648904523177</v>
      </c>
      <c r="O58" s="11" t="n">
        <f aca="false">Inputs!$F$74*O47</f>
        <v>1.45585264111931</v>
      </c>
      <c r="P58" s="11" t="n">
        <f aca="false">Inputs!$F$74*P47</f>
        <v>1.89920069798187</v>
      </c>
      <c r="Q58" s="11" t="n">
        <f aca="false">Inputs!$F$74*Q47</f>
        <v>2.41069250534726</v>
      </c>
      <c r="R58" s="11" t="n">
        <f aca="false">Inputs!$F$74*R47</f>
        <v>2.92047243124765</v>
      </c>
      <c r="S58" s="11" t="n">
        <f aca="false">Inputs!$F$74*S47</f>
        <v>3.43955651460283</v>
      </c>
      <c r="T58" s="11" t="n">
        <f aca="false">Inputs!$F$74*T47</f>
        <v>3.92532213449419</v>
      </c>
      <c r="U58" s="11" t="n">
        <f aca="false">Inputs!$F$74*U47</f>
        <v>4.39106954714313</v>
      </c>
      <c r="V58" s="11" t="n">
        <f aca="false">Inputs!$F$74*V47</f>
        <v>4.80055362397117</v>
      </c>
      <c r="W58" s="11" t="n">
        <f aca="false">Inputs!$F$74*W47</f>
        <v>5.1410860903391</v>
      </c>
      <c r="X58" s="11" t="n">
        <f aca="false">Inputs!$F$74*X47</f>
        <v>5.42298219404962</v>
      </c>
      <c r="Y58" s="11" t="n">
        <f aca="false">Inputs!$F$74*Y47</f>
        <v>5.61068822073302</v>
      </c>
      <c r="Z58" s="11" t="n">
        <f aca="false">Inputs!$F$74*Z47</f>
        <v>5.72826548190659</v>
      </c>
      <c r="AA58" s="11" t="n">
        <f aca="false">Inputs!$F$74*AA47</f>
        <v>5.94205043995272</v>
      </c>
      <c r="AB58" s="11" t="n">
        <f aca="false">Inputs!$F$74*AB47</f>
        <v>5.66798011179272</v>
      </c>
      <c r="AC58" s="11" t="n">
        <f aca="false">Inputs!$F$74*AC47</f>
        <v>5.53325868859246</v>
      </c>
      <c r="AD58" s="11" t="n">
        <f aca="false">Inputs!$F$74*AD47</f>
        <v>5.28942757016043</v>
      </c>
      <c r="AE58" s="11" t="n">
        <f aca="false">Inputs!$F$74*AE47</f>
        <v>4.99060116823532</v>
      </c>
      <c r="AF58" s="11" t="n">
        <f aca="false">Inputs!$F$74*AF47</f>
        <v>4.60649042953859</v>
      </c>
      <c r="AG58" s="11" t="n">
        <f aca="false">Inputs!$F$74*AG47</f>
        <v>4.19066383582024</v>
      </c>
      <c r="AH58" s="11" t="n">
        <f aca="false">Inputs!$F$74*AH47</f>
        <v>3.72465338005725</v>
      </c>
      <c r="AI58" s="11" t="n">
        <f aca="false">Inputs!$F$74*AI47</f>
        <v>3.22413618998007</v>
      </c>
      <c r="AJ58" s="11" t="n">
        <f aca="false">Inputs!$F$74*AJ47</f>
        <v>2.7410339323579</v>
      </c>
      <c r="AK58" s="11" t="n">
        <f aca="false">Inputs!$F$74*AK47</f>
        <v>2.24919560836324</v>
      </c>
      <c r="AL58" s="11" t="n">
        <f aca="false">Inputs!$F$74*AL47</f>
        <v>1.81576283874002</v>
      </c>
      <c r="AM58" s="11" t="n">
        <f aca="false">Inputs!$F$74*AM47</f>
        <v>1.42754814154865</v>
      </c>
      <c r="AN58" s="11" t="n">
        <f aca="false">Inputs!$F$74*AN47</f>
        <v>1.08030119962868</v>
      </c>
      <c r="AO58" s="11" t="n">
        <f aca="false">Inputs!$F$74*AO47</f>
        <v>0.901705996613016</v>
      </c>
      <c r="AP58" s="11" t="n">
        <f aca="false">Inputs!$F$74*AP47</f>
        <v>8.8394231568395</v>
      </c>
      <c r="AQ58" s="11" t="n">
        <f aca="false">Inputs!$F$74*AQ47</f>
        <v>6.81319826257846</v>
      </c>
      <c r="AR58" s="11" t="n">
        <f aca="false">Inputs!$F$74*AR47</f>
        <v>0.606243472238875</v>
      </c>
      <c r="AS58" s="11" t="n">
        <f aca="false">Inputs!$F$74*AS47</f>
        <v>0</v>
      </c>
      <c r="AT58" s="11" t="n">
        <f aca="false">Inputs!$F$74*AT47</f>
        <v>0</v>
      </c>
      <c r="AU58" s="11" t="n">
        <f aca="false">Inputs!$F$74*AU47</f>
        <v>0</v>
      </c>
      <c r="AV58" s="11" t="n">
        <f aca="false">Inputs!$F$74*AV47</f>
        <v>0</v>
      </c>
      <c r="AW58" s="11" t="n">
        <f aca="false">Inputs!$F$74*AW47</f>
        <v>0</v>
      </c>
      <c r="AX58" s="11" t="n">
        <f aca="false">Inputs!$F$74*AX47</f>
        <v>0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63.3255975542774</v>
      </c>
      <c r="J59" s="11" t="n">
        <f aca="false">Inputs!$F$75*J47</f>
        <v>9.00478684951255</v>
      </c>
      <c r="K59" s="11" t="n">
        <f aca="false">Inputs!$F$75*K47</f>
        <v>0.185072252458686</v>
      </c>
      <c r="L59" s="11" t="n">
        <f aca="false">Inputs!$F$75*L47</f>
        <v>0.235912847164796</v>
      </c>
      <c r="M59" s="11" t="n">
        <f aca="false">Inputs!$F$75*M47</f>
        <v>0.33350490004792</v>
      </c>
      <c r="N59" s="11" t="n">
        <f aca="false">Inputs!$F$75*N47</f>
        <v>0.480222293287169</v>
      </c>
      <c r="O59" s="11" t="n">
        <f aca="false">Inputs!$F$75*O47</f>
        <v>0.661751200508777</v>
      </c>
      <c r="P59" s="11" t="n">
        <f aca="false">Inputs!$F$75*P47</f>
        <v>0.863273044537214</v>
      </c>
      <c r="Q59" s="11" t="n">
        <f aca="false">Inputs!$F$75*Q47</f>
        <v>1.09576932061239</v>
      </c>
      <c r="R59" s="11" t="n">
        <f aca="false">Inputs!$F$75*R47</f>
        <v>1.32748746874893</v>
      </c>
      <c r="S59" s="11" t="n">
        <f aca="false">Inputs!$F$75*S47</f>
        <v>1.56343477936492</v>
      </c>
      <c r="T59" s="11" t="n">
        <f aca="false">Inputs!$F$75*T47</f>
        <v>1.784237333861</v>
      </c>
      <c r="U59" s="11" t="n">
        <f aca="false">Inputs!$F$75*U47</f>
        <v>1.99594070324688</v>
      </c>
      <c r="V59" s="11" t="n">
        <f aca="false">Inputs!$F$75*V47</f>
        <v>2.1820698290778</v>
      </c>
      <c r="W59" s="11" t="n">
        <f aca="false">Inputs!$F$75*W47</f>
        <v>2.3368573137905</v>
      </c>
      <c r="X59" s="11" t="n">
        <f aca="false">Inputs!$F$75*X47</f>
        <v>2.46499190638619</v>
      </c>
      <c r="Y59" s="11" t="n">
        <f aca="false">Inputs!$F$75*Y47</f>
        <v>2.55031282760592</v>
      </c>
      <c r="Z59" s="11" t="n">
        <f aca="false">Inputs!$F$75*Z47</f>
        <v>2.60375703723027</v>
      </c>
      <c r="AA59" s="11" t="n">
        <f aca="false">Inputs!$F$75*AA47</f>
        <v>2.70093201816033</v>
      </c>
      <c r="AB59" s="11" t="n">
        <f aca="false">Inputs!$F$75*AB47</f>
        <v>2.57635459626942</v>
      </c>
      <c r="AC59" s="11" t="n">
        <f aca="false">Inputs!$F$75*AC47</f>
        <v>2.51511758572385</v>
      </c>
      <c r="AD59" s="11" t="n">
        <f aca="false">Inputs!$F$75*AD47</f>
        <v>2.40428525916383</v>
      </c>
      <c r="AE59" s="11" t="n">
        <f aca="false">Inputs!$F$75*AE47</f>
        <v>2.2684550764706</v>
      </c>
      <c r="AF59" s="11" t="n">
        <f aca="false">Inputs!$F$75*AF47</f>
        <v>2.0938592861539</v>
      </c>
      <c r="AG59" s="11" t="n">
        <f aca="false">Inputs!$F$75*AG47</f>
        <v>1.90484719810011</v>
      </c>
      <c r="AH59" s="11" t="n">
        <f aca="false">Inputs!$F$75*AH47</f>
        <v>1.69302426366239</v>
      </c>
      <c r="AI59" s="11" t="n">
        <f aca="false">Inputs!$F$75*AI47</f>
        <v>1.46551644999094</v>
      </c>
      <c r="AJ59" s="11" t="n">
        <f aca="false">Inputs!$F$75*AJ47</f>
        <v>1.24592451470814</v>
      </c>
      <c r="AK59" s="11" t="n">
        <f aca="false">Inputs!$F$75*AK47</f>
        <v>1.02236164016511</v>
      </c>
      <c r="AL59" s="11" t="n">
        <f aca="false">Inputs!$F$75*AL47</f>
        <v>0.825346744881826</v>
      </c>
      <c r="AM59" s="11" t="n">
        <f aca="false">Inputs!$F$75*AM47</f>
        <v>0.648885518885751</v>
      </c>
      <c r="AN59" s="11" t="n">
        <f aca="false">Inputs!$F$75*AN47</f>
        <v>0.491045999831217</v>
      </c>
      <c r="AO59" s="11" t="n">
        <f aca="false">Inputs!$F$75*AO47</f>
        <v>0.409866362096826</v>
      </c>
      <c r="AP59" s="11" t="n">
        <f aca="false">Inputs!$F$75*AP47</f>
        <v>4.01791961674523</v>
      </c>
      <c r="AQ59" s="11" t="n">
        <f aca="false">Inputs!$F$75*AQ47</f>
        <v>3.09690830117203</v>
      </c>
      <c r="AR59" s="11" t="n">
        <f aca="false">Inputs!$F$75*AR47</f>
        <v>0.275565214654034</v>
      </c>
      <c r="AS59" s="11" t="n">
        <f aca="false">Inputs!$F$75*AS47</f>
        <v>0</v>
      </c>
      <c r="AT59" s="11" t="n">
        <f aca="false">Inputs!$F$75*AT47</f>
        <v>0</v>
      </c>
      <c r="AU59" s="11" t="n">
        <f aca="false">Inputs!$F$75*AU47</f>
        <v>0</v>
      </c>
      <c r="AV59" s="11" t="n">
        <f aca="false">Inputs!$F$75*AV47</f>
        <v>0</v>
      </c>
      <c r="AW59" s="11" t="n">
        <f aca="false">Inputs!$F$75*AW47</f>
        <v>0</v>
      </c>
      <c r="AX59" s="11" t="n">
        <f aca="false">Inputs!$F$75*AX47</f>
        <v>0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240.637270706254</v>
      </c>
      <c r="J60" s="11" t="n">
        <f aca="false">Inputs!$F$76*J47</f>
        <v>34.2181900281477</v>
      </c>
      <c r="K60" s="11" t="n">
        <f aca="false">Inputs!$F$76*K47</f>
        <v>0.703274559343008</v>
      </c>
      <c r="L60" s="11" t="n">
        <f aca="false">Inputs!$F$76*L47</f>
        <v>0.896468819226226</v>
      </c>
      <c r="M60" s="11" t="n">
        <f aca="false">Inputs!$F$76*M47</f>
        <v>1.2673186201821</v>
      </c>
      <c r="N60" s="11" t="n">
        <f aca="false">Inputs!$F$76*N47</f>
        <v>1.82484471449124</v>
      </c>
      <c r="O60" s="11" t="n">
        <f aca="false">Inputs!$F$76*O47</f>
        <v>2.51465456193335</v>
      </c>
      <c r="P60" s="11" t="n">
        <f aca="false">Inputs!$F$76*P47</f>
        <v>3.28043756924141</v>
      </c>
      <c r="Q60" s="11" t="n">
        <f aca="false">Inputs!$F$76*Q47</f>
        <v>4.16392341832708</v>
      </c>
      <c r="R60" s="11" t="n">
        <f aca="false">Inputs!$F$76*R47</f>
        <v>5.04445238124594</v>
      </c>
      <c r="S60" s="11" t="n">
        <f aca="false">Inputs!$F$76*S47</f>
        <v>5.9410521615867</v>
      </c>
      <c r="T60" s="11" t="n">
        <f aca="false">Inputs!$F$76*T47</f>
        <v>6.78010186867178</v>
      </c>
      <c r="U60" s="11" t="n">
        <f aca="false">Inputs!$F$76*U47</f>
        <v>7.58457467233813</v>
      </c>
      <c r="V60" s="11" t="n">
        <f aca="false">Inputs!$F$76*V47</f>
        <v>8.29186535049565</v>
      </c>
      <c r="W60" s="11" t="n">
        <f aca="false">Inputs!$F$76*W47</f>
        <v>8.8800577924039</v>
      </c>
      <c r="X60" s="11" t="n">
        <f aca="false">Inputs!$F$76*X47</f>
        <v>9.36696924426753</v>
      </c>
      <c r="Y60" s="11" t="n">
        <f aca="false">Inputs!$F$76*Y47</f>
        <v>9.69118874490249</v>
      </c>
      <c r="Z60" s="11" t="n">
        <f aca="false">Inputs!$F$76*Z47</f>
        <v>9.89427674147503</v>
      </c>
      <c r="AA60" s="11" t="n">
        <f aca="false">Inputs!$F$76*AA47</f>
        <v>10.2635416690092</v>
      </c>
      <c r="AB60" s="11" t="n">
        <f aca="false">Inputs!$F$76*AB47</f>
        <v>9.7901474658238</v>
      </c>
      <c r="AC60" s="11" t="n">
        <f aca="false">Inputs!$F$76*AC47</f>
        <v>9.55744682575062</v>
      </c>
      <c r="AD60" s="11" t="n">
        <f aca="false">Inputs!$F$76*AD47</f>
        <v>9.13628398482256</v>
      </c>
      <c r="AE60" s="11" t="n">
        <f aca="false">Inputs!$F$76*AE47</f>
        <v>8.62012929058828</v>
      </c>
      <c r="AF60" s="11" t="n">
        <f aca="false">Inputs!$F$76*AF47</f>
        <v>7.95666528738484</v>
      </c>
      <c r="AG60" s="11" t="n">
        <f aca="false">Inputs!$F$76*AG47</f>
        <v>7.23841935278042</v>
      </c>
      <c r="AH60" s="11" t="n">
        <f aca="false">Inputs!$F$76*AH47</f>
        <v>6.43349220191706</v>
      </c>
      <c r="AI60" s="11" t="n">
        <f aca="false">Inputs!$F$76*AI47</f>
        <v>5.56896250996557</v>
      </c>
      <c r="AJ60" s="11" t="n">
        <f aca="false">Inputs!$F$76*AJ47</f>
        <v>4.73451315589091</v>
      </c>
      <c r="AK60" s="11" t="n">
        <f aca="false">Inputs!$F$76*AK47</f>
        <v>3.88497423262741</v>
      </c>
      <c r="AL60" s="11" t="n">
        <f aca="false">Inputs!$F$76*AL47</f>
        <v>3.13631763055094</v>
      </c>
      <c r="AM60" s="11" t="n">
        <f aca="false">Inputs!$F$76*AM47</f>
        <v>2.46576497176585</v>
      </c>
      <c r="AN60" s="11" t="n">
        <f aca="false">Inputs!$F$76*AN47</f>
        <v>1.86597479935862</v>
      </c>
      <c r="AO60" s="11" t="n">
        <f aca="false">Inputs!$F$76*AO47</f>
        <v>1.55749217596794</v>
      </c>
      <c r="AP60" s="11" t="n">
        <f aca="false">Inputs!$F$76*AP47</f>
        <v>15.2680945436319</v>
      </c>
      <c r="AQ60" s="11" t="n">
        <f aca="false">Inputs!$F$76*AQ47</f>
        <v>11.7682515444537</v>
      </c>
      <c r="AR60" s="11" t="n">
        <f aca="false">Inputs!$F$76*AR47</f>
        <v>1.04714781568533</v>
      </c>
      <c r="AS60" s="11" t="n">
        <f aca="false">Inputs!$F$76*AS47</f>
        <v>0</v>
      </c>
      <c r="AT60" s="11" t="n">
        <f aca="false">Inputs!$F$76*AT47</f>
        <v>0</v>
      </c>
      <c r="AU60" s="11" t="n">
        <f aca="false">Inputs!$F$76*AU47</f>
        <v>0</v>
      </c>
      <c r="AV60" s="11" t="n">
        <f aca="false">Inputs!$F$76*AV47</f>
        <v>0</v>
      </c>
      <c r="AW60" s="11" t="n">
        <f aca="false">Inputs!$F$76*AW47</f>
        <v>0</v>
      </c>
      <c r="AX60" s="11" t="n">
        <f aca="false">Inputs!$F$76*AX47</f>
        <v>0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207.633767584057</v>
      </c>
      <c r="J68" s="11" t="n">
        <f aca="false">J67-IF(Construction!J8=1,Inputs!$F$66,0)</f>
        <v>17.3443654741124</v>
      </c>
      <c r="K68" s="11" t="n">
        <f aca="false">K67-IF(Construction!K8=1,Inputs!$F$66,0)</f>
        <v>0.648320373179076</v>
      </c>
      <c r="L68" s="11" t="n">
        <f aca="false">L67-IF(Construction!L8=1,Inputs!$F$66,0)</f>
        <v>0.826418347859906</v>
      </c>
      <c r="M68" s="11" t="n">
        <f aca="false">M67-IF(Construction!M8=1,Inputs!$F$66,0)</f>
        <v>1.16828978079458</v>
      </c>
      <c r="N68" s="11" t="n">
        <f aca="false">N67-IF(Construction!N8=1,Inputs!$F$66,0)</f>
        <v>1.68225053867731</v>
      </c>
      <c r="O68" s="11" t="n">
        <f aca="false">O67-IF(Construction!O8=1,Inputs!$F$66,0)</f>
        <v>2.31815833851875</v>
      </c>
      <c r="P68" s="11" t="n">
        <f aca="false">P67-IF(Construction!P8=1,Inputs!$F$66,0)</f>
        <v>3.0241027217991</v>
      </c>
      <c r="Q68" s="11" t="n">
        <f aca="false">Q67-IF(Construction!Q8=1,Inputs!$F$66,0)</f>
        <v>3.83855259456677</v>
      </c>
      <c r="R68" s="11" t="n">
        <f aca="false">R67-IF(Construction!R8=1,Inputs!$F$66,0)</f>
        <v>4.6502766335649</v>
      </c>
      <c r="S68" s="11" t="n">
        <f aca="false">S67-IF(Construction!S8=1,Inputs!$F$66,0)</f>
        <v>5.47681570917974</v>
      </c>
      <c r="T68" s="11" t="n">
        <f aca="false">T67-IF(Construction!T8=1,Inputs!$F$66,0)</f>
        <v>6.25030169980247</v>
      </c>
      <c r="U68" s="11" t="n">
        <f aca="false">U67-IF(Construction!U8=1,Inputs!$F$66,0)</f>
        <v>6.99191264158404</v>
      </c>
      <c r="V68" s="11" t="n">
        <f aca="false">V67-IF(Construction!V8=1,Inputs!$F$66,0)</f>
        <v>7.6439353122712</v>
      </c>
      <c r="W68" s="11" t="n">
        <f aca="false">W67-IF(Construction!W8=1,Inputs!$F$66,0)</f>
        <v>8.18616613574263</v>
      </c>
      <c r="X68" s="11" t="n">
        <f aca="false">X67-IF(Construction!X8=1,Inputs!$F$66,0)</f>
        <v>8.63503011067768</v>
      </c>
      <c r="Y68" s="11" t="n">
        <f aca="false">Y67-IF(Construction!Y8=1,Inputs!$F$66,0)</f>
        <v>8.93391495565196</v>
      </c>
      <c r="Z68" s="11" t="n">
        <f aca="false">Z67-IF(Construction!Z8=1,Inputs!$F$66,0)</f>
        <v>9.1211335660466</v>
      </c>
      <c r="AA68" s="11" t="n">
        <f aca="false">AA67-IF(Construction!AA8=1,Inputs!$F$66,0)</f>
        <v>9.46154396827212</v>
      </c>
      <c r="AB68" s="11" t="n">
        <f aca="false">AB67-IF(Construction!AB8=1,Inputs!$F$66,0)</f>
        <v>9.0251409982049</v>
      </c>
      <c r="AC68" s="11" t="n">
        <f aca="false">AC67-IF(Construction!AC8=1,Inputs!$F$66,0)</f>
        <v>8.81062368941417</v>
      </c>
      <c r="AD68" s="11" t="n">
        <f aca="false">AD67-IF(Construction!AD8=1,Inputs!$F$66,0)</f>
        <v>8.42237069977848</v>
      </c>
      <c r="AE68" s="11" t="n">
        <f aca="false">AE67-IF(Construction!AE8=1,Inputs!$F$66,0)</f>
        <v>7.9465485624091</v>
      </c>
      <c r="AF68" s="11" t="n">
        <f aca="false">AF67-IF(Construction!AF8=1,Inputs!$F$66,0)</f>
        <v>7.33492793084585</v>
      </c>
      <c r="AG68" s="11" t="n">
        <f aca="false">AG67-IF(Construction!AG8=1,Inputs!$F$66,0)</f>
        <v>6.67280605231224</v>
      </c>
      <c r="AH68" s="11" t="n">
        <f aca="false">AH67-IF(Construction!AH8=1,Inputs!$F$66,0)</f>
        <v>5.93077626622527</v>
      </c>
      <c r="AI68" s="11" t="n">
        <f aca="false">AI67-IF(Construction!AI8=1,Inputs!$F$66,0)</f>
        <v>5.13380130806101</v>
      </c>
      <c r="AJ68" s="11" t="n">
        <f aca="false">AJ67-IF(Construction!AJ8=1,Inputs!$F$66,0)</f>
        <v>4.36455619682293</v>
      </c>
      <c r="AK68" s="11" t="n">
        <f aca="false">AK67-IF(Construction!AK8=1,Inputs!$F$66,0)</f>
        <v>3.58140062202883</v>
      </c>
      <c r="AL68" s="11" t="n">
        <f aca="false">AL67-IF(Construction!AL8=1,Inputs!$F$66,0)</f>
        <v>2.89124437907497</v>
      </c>
      <c r="AM68" s="11" t="n">
        <f aca="false">AM67-IF(Construction!AM8=1,Inputs!$F$66,0)</f>
        <v>2.27308900262301</v>
      </c>
      <c r="AN68" s="11" t="n">
        <f aca="false">AN67-IF(Construction!AN8=1,Inputs!$F$66,0)</f>
        <v>1.72016670046058</v>
      </c>
      <c r="AO68" s="11" t="n">
        <f aca="false">AO67-IF(Construction!AO8=1,Inputs!$F$66,0)</f>
        <v>1.43578904615905</v>
      </c>
      <c r="AP68" s="11" t="n">
        <f aca="false">AP67-IF(Construction!AP8=1,Inputs!$F$66,0)</f>
        <v>14.0750388603677</v>
      </c>
      <c r="AQ68" s="11" t="n">
        <f aca="false">AQ67-IF(Construction!AQ8=1,Inputs!$F$66,0)</f>
        <v>10.8486751462942</v>
      </c>
      <c r="AR68" s="11" t="n">
        <f aca="false">AR67-IF(Construction!AR8=1,Inputs!$F$66,0)</f>
        <v>0.965323220673674</v>
      </c>
      <c r="AS68" s="11" t="n">
        <f aca="false">AS67-IF(Construction!AS8=1,Inputs!$F$66,0)</f>
        <v>0</v>
      </c>
      <c r="AT68" s="11" t="n">
        <f aca="false">AT67-IF(Construction!AT8=1,Inputs!$F$66,0)</f>
        <v>0</v>
      </c>
      <c r="AU68" s="11" t="n">
        <f aca="false">AU67-IF(Construction!AU8=1,Inputs!$F$66,0)</f>
        <v>0</v>
      </c>
      <c r="AV68" s="11" t="n">
        <f aca="false">AV67-IF(Construction!AV8=1,Inputs!$F$66,0)</f>
        <v>0</v>
      </c>
      <c r="AW68" s="11" t="n">
        <f aca="false">AW67-IF(Construction!AW8=1,Inputs!$F$66,0)</f>
        <v>0</v>
      </c>
      <c r="AX68" s="11" t="n">
        <f aca="false">AX67-IF(Construction!AX8=1,Inputs!$F$66,0)</f>
        <v>0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44.3667535168114</v>
      </c>
      <c r="J69" s="11" t="n">
        <f aca="false">(1-Inputs!$F$52)*J67</f>
        <v>6.30887309482249</v>
      </c>
      <c r="K69" s="11" t="n">
        <f aca="false">(1-Inputs!$F$52)*K67</f>
        <v>0.129664074635815</v>
      </c>
      <c r="L69" s="11" t="n">
        <f aca="false">(1-Inputs!$F$52)*L67</f>
        <v>0.165283669571981</v>
      </c>
      <c r="M69" s="11" t="n">
        <f aca="false">(1-Inputs!$F$52)*M67</f>
        <v>0.233657956158916</v>
      </c>
      <c r="N69" s="11" t="n">
        <f aca="false">(1-Inputs!$F$52)*N67</f>
        <v>0.336450107735463</v>
      </c>
      <c r="O69" s="11" t="n">
        <f aca="false">(1-Inputs!$F$52)*O67</f>
        <v>0.463631667703751</v>
      </c>
      <c r="P69" s="11" t="n">
        <f aca="false">(1-Inputs!$F$52)*P67</f>
        <v>0.60482054435982</v>
      </c>
      <c r="Q69" s="11" t="n">
        <f aca="false">(1-Inputs!$F$52)*Q67</f>
        <v>0.767710518913354</v>
      </c>
      <c r="R69" s="11" t="n">
        <f aca="false">(1-Inputs!$F$52)*R67</f>
        <v>0.93005532671298</v>
      </c>
      <c r="S69" s="11" t="n">
        <f aca="false">(1-Inputs!$F$52)*S67</f>
        <v>1.09536314183595</v>
      </c>
      <c r="T69" s="11" t="n">
        <f aca="false">(1-Inputs!$F$52)*T67</f>
        <v>1.25006033996049</v>
      </c>
      <c r="U69" s="11" t="n">
        <f aca="false">(1-Inputs!$F$52)*U67</f>
        <v>1.39838252831681</v>
      </c>
      <c r="V69" s="11" t="n">
        <f aca="false">(1-Inputs!$F$52)*V67</f>
        <v>1.52878706245424</v>
      </c>
      <c r="W69" s="11" t="n">
        <f aca="false">(1-Inputs!$F$52)*W67</f>
        <v>1.63723322714853</v>
      </c>
      <c r="X69" s="11" t="n">
        <f aca="false">(1-Inputs!$F$52)*X67</f>
        <v>1.72700602213553</v>
      </c>
      <c r="Y69" s="11" t="n">
        <f aca="false">(1-Inputs!$F$52)*Y67</f>
        <v>1.78678299113039</v>
      </c>
      <c r="Z69" s="11" t="n">
        <f aca="false">(1-Inputs!$F$52)*Z67</f>
        <v>1.82422671320932</v>
      </c>
      <c r="AA69" s="11" t="n">
        <f aca="false">(1-Inputs!$F$52)*AA67</f>
        <v>1.89230879365442</v>
      </c>
      <c r="AB69" s="11" t="n">
        <f aca="false">(1-Inputs!$F$52)*AB67</f>
        <v>1.80502819964098</v>
      </c>
      <c r="AC69" s="11" t="n">
        <f aca="false">(1-Inputs!$F$52)*AC67</f>
        <v>1.76212473788283</v>
      </c>
      <c r="AD69" s="11" t="n">
        <f aca="false">(1-Inputs!$F$52)*AD67</f>
        <v>1.6844741399557</v>
      </c>
      <c r="AE69" s="11" t="n">
        <f aca="false">(1-Inputs!$F$52)*AE67</f>
        <v>1.58930971248182</v>
      </c>
      <c r="AF69" s="11" t="n">
        <f aca="false">(1-Inputs!$F$52)*AF67</f>
        <v>1.46698558616917</v>
      </c>
      <c r="AG69" s="11" t="n">
        <f aca="false">(1-Inputs!$F$52)*AG67</f>
        <v>1.33456121046245</v>
      </c>
      <c r="AH69" s="11" t="n">
        <f aca="false">(1-Inputs!$F$52)*AH67</f>
        <v>1.18615525324505</v>
      </c>
      <c r="AI69" s="11" t="n">
        <f aca="false">(1-Inputs!$F$52)*AI67</f>
        <v>1.0267602616122</v>
      </c>
      <c r="AJ69" s="11" t="n">
        <f aca="false">(1-Inputs!$F$52)*AJ67</f>
        <v>0.872911239364585</v>
      </c>
      <c r="AK69" s="11" t="n">
        <f aca="false">(1-Inputs!$F$52)*AK67</f>
        <v>0.716280124405765</v>
      </c>
      <c r="AL69" s="11" t="n">
        <f aca="false">(1-Inputs!$F$52)*AL67</f>
        <v>0.578248875814994</v>
      </c>
      <c r="AM69" s="11" t="n">
        <f aca="false">(1-Inputs!$F$52)*AM67</f>
        <v>0.454617800524601</v>
      </c>
      <c r="AN69" s="11" t="n">
        <f aca="false">(1-Inputs!$F$52)*AN67</f>
        <v>0.344033340092117</v>
      </c>
      <c r="AO69" s="11" t="n">
        <f aca="false">(1-Inputs!$F$52)*AO67</f>
        <v>0.28715780923181</v>
      </c>
      <c r="AP69" s="11" t="n">
        <f aca="false">(1-Inputs!$F$52)*AP67</f>
        <v>2.81500777207354</v>
      </c>
      <c r="AQ69" s="11" t="n">
        <f aca="false">(1-Inputs!$F$52)*AQ67</f>
        <v>2.16973502925883</v>
      </c>
      <c r="AR69" s="11" t="n">
        <f aca="false">(1-Inputs!$F$52)*AR67</f>
        <v>0.193064644134735</v>
      </c>
      <c r="AS69" s="11" t="n">
        <f aca="false">(1-Inputs!$F$52)*AS67</f>
        <v>0</v>
      </c>
      <c r="AT69" s="11" t="n">
        <f aca="false">(1-Inputs!$F$52)*AT67</f>
        <v>0</v>
      </c>
      <c r="AU69" s="11" t="n">
        <f aca="false">(1-Inputs!$F$52)*AU67</f>
        <v>0</v>
      </c>
      <c r="AV69" s="11" t="n">
        <f aca="false">(1-Inputs!$F$52)*AV67</f>
        <v>0</v>
      </c>
      <c r="AW69" s="11" t="n">
        <f aca="false">(1-Inputs!$F$52)*AW67</f>
        <v>0</v>
      </c>
      <c r="AX69" s="11" t="n">
        <f aca="false">(1-Inputs!$F$52)*AX67</f>
        <v>0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177.467014067246</v>
      </c>
      <c r="J70" s="11" t="n">
        <f aca="false">Inputs!$F$52*J67</f>
        <v>25.23549237929</v>
      </c>
      <c r="K70" s="11" t="n">
        <f aca="false">Inputs!$F$52*K67</f>
        <v>0.518656298543261</v>
      </c>
      <c r="L70" s="11" t="n">
        <f aca="false">Inputs!$F$52*L67</f>
        <v>0.661134678287925</v>
      </c>
      <c r="M70" s="11" t="n">
        <f aca="false">Inputs!$F$52*M67</f>
        <v>0.934631824635666</v>
      </c>
      <c r="N70" s="11" t="n">
        <f aca="false">Inputs!$F$52*N67</f>
        <v>1.34580043094185</v>
      </c>
      <c r="O70" s="11" t="n">
        <f aca="false">Inputs!$F$52*O67</f>
        <v>1.854526670815</v>
      </c>
      <c r="P70" s="11" t="n">
        <f aca="false">Inputs!$F$52*P67</f>
        <v>2.41928217743928</v>
      </c>
      <c r="Q70" s="11" t="n">
        <f aca="false">Inputs!$F$52*Q67</f>
        <v>3.07084207565342</v>
      </c>
      <c r="R70" s="11" t="n">
        <f aca="false">Inputs!$F$52*R67</f>
        <v>3.72022130685192</v>
      </c>
      <c r="S70" s="11" t="n">
        <f aca="false">Inputs!$F$52*S67</f>
        <v>4.38145256734379</v>
      </c>
      <c r="T70" s="11" t="n">
        <f aca="false">Inputs!$F$52*T67</f>
        <v>5.00024135984198</v>
      </c>
      <c r="U70" s="11" t="n">
        <f aca="false">Inputs!$F$52*U67</f>
        <v>5.59353011326724</v>
      </c>
      <c r="V70" s="11" t="n">
        <f aca="false">Inputs!$F$52*V67</f>
        <v>6.11514824981696</v>
      </c>
      <c r="W70" s="11" t="n">
        <f aca="false">Inputs!$F$52*W67</f>
        <v>6.54893290859411</v>
      </c>
      <c r="X70" s="11" t="n">
        <f aca="false">Inputs!$F$52*X67</f>
        <v>6.90802408854214</v>
      </c>
      <c r="Y70" s="11" t="n">
        <f aca="false">Inputs!$F$52*Y67</f>
        <v>7.14713196452157</v>
      </c>
      <c r="Z70" s="11" t="n">
        <f aca="false">Inputs!$F$52*Z67</f>
        <v>7.29690685283728</v>
      </c>
      <c r="AA70" s="11" t="n">
        <f aca="false">Inputs!$F$52*AA67</f>
        <v>7.5692351746177</v>
      </c>
      <c r="AB70" s="11" t="n">
        <f aca="false">Inputs!$F$52*AB67</f>
        <v>7.22011279856392</v>
      </c>
      <c r="AC70" s="11" t="n">
        <f aca="false">Inputs!$F$52*AC67</f>
        <v>7.04849895153134</v>
      </c>
      <c r="AD70" s="11" t="n">
        <f aca="false">Inputs!$F$52*AD67</f>
        <v>6.73789655982279</v>
      </c>
      <c r="AE70" s="11" t="n">
        <f aca="false">Inputs!$F$52*AE67</f>
        <v>6.35723884992728</v>
      </c>
      <c r="AF70" s="11" t="n">
        <f aca="false">Inputs!$F$52*AF67</f>
        <v>5.86794234467668</v>
      </c>
      <c r="AG70" s="11" t="n">
        <f aca="false">Inputs!$F$52*AG67</f>
        <v>5.33824484184979</v>
      </c>
      <c r="AH70" s="11" t="n">
        <f aca="false">Inputs!$F$52*AH67</f>
        <v>4.74462101298021</v>
      </c>
      <c r="AI70" s="11" t="n">
        <f aca="false">Inputs!$F$52*AI67</f>
        <v>4.10704104644881</v>
      </c>
      <c r="AJ70" s="11" t="n">
        <f aca="false">Inputs!$F$52*AJ67</f>
        <v>3.49164495745834</v>
      </c>
      <c r="AK70" s="11" t="n">
        <f aca="false">Inputs!$F$52*AK67</f>
        <v>2.86512049762306</v>
      </c>
      <c r="AL70" s="11" t="n">
        <f aca="false">Inputs!$F$52*AL67</f>
        <v>2.31299550325998</v>
      </c>
      <c r="AM70" s="11" t="n">
        <f aca="false">Inputs!$F$52*AM67</f>
        <v>1.8184712020984</v>
      </c>
      <c r="AN70" s="11" t="n">
        <f aca="false">Inputs!$F$52*AN67</f>
        <v>1.37613336036847</v>
      </c>
      <c r="AO70" s="11" t="n">
        <f aca="false">Inputs!$F$52*AO67</f>
        <v>1.14863123692724</v>
      </c>
      <c r="AP70" s="11" t="n">
        <f aca="false">Inputs!$F$52*AP67</f>
        <v>11.2600310882942</v>
      </c>
      <c r="AQ70" s="11" t="n">
        <f aca="false">Inputs!$F$52*AQ67</f>
        <v>8.67894011703532</v>
      </c>
      <c r="AR70" s="11" t="n">
        <f aca="false">Inputs!$F$52*AR67</f>
        <v>0.772258576538939</v>
      </c>
      <c r="AS70" s="11" t="n">
        <f aca="false">Inputs!$F$52*AS67</f>
        <v>0</v>
      </c>
      <c r="AT70" s="11" t="n">
        <f aca="false">Inputs!$F$52*AT67</f>
        <v>0</v>
      </c>
      <c r="AU70" s="11" t="n">
        <f aca="false">Inputs!$F$52*AU67</f>
        <v>0</v>
      </c>
      <c r="AV70" s="11" t="n">
        <f aca="false">Inputs!$F$52*AV67</f>
        <v>0</v>
      </c>
      <c r="AW70" s="11" t="n">
        <f aca="false">Inputs!$F$52*AW67</f>
        <v>0</v>
      </c>
      <c r="AX70" s="11" t="n">
        <f aca="false">Inputs!$F$52*AX67</f>
        <v>0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24.1927046575272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0.197044255564319</v>
      </c>
      <c r="L71" s="11" t="n">
        <f aca="false">IF(Construction!L8&lt;=Time!$F$10,K72*Inputs!$F$102/100*Construction!L11/365,0)</f>
        <v>0.209387022435221</v>
      </c>
      <c r="M71" s="11" t="n">
        <f aca="false">IF(Construction!M8&lt;=Time!$F$10,L72*Inputs!$F$102/100*Construction!M11/365,0)</f>
        <v>0.209429826595189</v>
      </c>
      <c r="N71" s="11" t="n">
        <f aca="false">IF(Construction!N8&lt;=Time!$F$10,M72*Inputs!$F$102/100*Construction!N11/365,0)</f>
        <v>0.225641674411946</v>
      </c>
      <c r="O71" s="11" t="n">
        <f aca="false">IF(Construction!O8&lt;=Time!$F$10,N72*Inputs!$F$102/100*Construction!O11/365,0)</f>
        <v>0.238320844275691</v>
      </c>
      <c r="P71" s="11" t="n">
        <f aca="false">IF(Construction!P8&lt;=Time!$F$10,O72*Inputs!$F$102/100*Construction!P11/365,0)</f>
        <v>0.230509521395664</v>
      </c>
      <c r="Q71" s="11" t="n">
        <f aca="false">IF(Construction!Q8&lt;=Time!$F$10,P72*Inputs!$F$102/100*Construction!Q11/365,0)</f>
        <v>0.27658679628942</v>
      </c>
      <c r="R71" s="11" t="n">
        <f aca="false">IF(Construction!R8&lt;=Time!$F$10,Q72*Inputs!$F$102/100*Construction!R11/365,0)</f>
        <v>0.293802099885576</v>
      </c>
      <c r="S71" s="11" t="n">
        <f aca="false">IF(Construction!S8&lt;=Time!$F$10,R72*Inputs!$F$102/100*Construction!S11/365,0)</f>
        <v>0.335982623579046</v>
      </c>
      <c r="T71" s="11" t="n">
        <f aca="false">IF(Construction!T8&lt;=Time!$F$10,S72*Inputs!$F$102/100*Construction!T11/365,0)</f>
        <v>0.361979242360458</v>
      </c>
      <c r="U71" s="11" t="n">
        <f aca="false">IF(Construction!U8&lt;=Time!$F$10,T72*Inputs!$F$102/100*Construction!U11/365,0)</f>
        <v>0.417310257307139</v>
      </c>
      <c r="V71" s="11" t="n">
        <f aca="false">IF(Construction!V8&lt;=Time!$F$10,U72*Inputs!$F$102/100*Construction!V11/365,0)</f>
        <v>0.465808681666979</v>
      </c>
      <c r="W71" s="11" t="n">
        <f aca="false">IF(Construction!W8&lt;=Time!$F$10,V72*Inputs!$F$102/100*Construction!W11/365,0)</f>
        <v>0.502168149284138</v>
      </c>
      <c r="X71" s="11" t="n">
        <f aca="false">IF(Construction!X8&lt;=Time!$F$10,W72*Inputs!$F$102/100*Construction!X11/365,0)</f>
        <v>0.575798848183887</v>
      </c>
      <c r="Y71" s="11" t="n">
        <f aca="false">IF(Construction!Y8&lt;=Time!$F$10,X72*Inputs!$F$102/100*Construction!Y11/365,0)</f>
        <v>0.615660021570774</v>
      </c>
      <c r="Z71" s="11" t="n">
        <f aca="false">IF(Construction!Z8&lt;=Time!$F$10,Y72*Inputs!$F$102/100*Construction!Z11/365,0)</f>
        <v>0.698816056259778</v>
      </c>
      <c r="AA71" s="11" t="n">
        <f aca="false">IF(Construction!AA8&lt;=Time!$F$10,Z72*Inputs!$F$102/100*Construction!AA11/365,0)</f>
        <v>0.763329491786602</v>
      </c>
      <c r="AB71" s="11" t="n">
        <f aca="false">IF(Construction!AB8&lt;=Time!$F$10,AA72*Inputs!$F$102/100*Construction!AB11/365,0)</f>
        <v>0.776976169323503</v>
      </c>
      <c r="AC71" s="11" t="n">
        <f aca="false">IF(Construction!AC8&lt;=Time!$F$10,AB72*Inputs!$F$102/100*Construction!AC11/365,0)</f>
        <v>0.895085190287942</v>
      </c>
      <c r="AD71" s="11" t="n">
        <f aca="false">IF(Construction!AD8&lt;=Time!$F$10,AC72*Inputs!$F$102/100*Construction!AD11/365,0)</f>
        <v>0.928236720511065</v>
      </c>
      <c r="AE71" s="11" t="n">
        <f aca="false">IF(Construction!AE8&lt;=Time!$F$10,AD72*Inputs!$F$102/100*Construction!AE11/365,0)</f>
        <v>1.02103208839271</v>
      </c>
      <c r="AF71" s="11" t="n">
        <f aca="false">IF(Construction!AF8&lt;=Time!$F$10,AE72*Inputs!$F$102/100*Construction!AF11/365,0)</f>
        <v>1.04570672605398</v>
      </c>
      <c r="AG71" s="11" t="n">
        <f aca="false">IF(Construction!AG8&lt;=Time!$F$10,AF72*Inputs!$F$102/100*Construction!AG11/365,0)</f>
        <v>1.13634634709587</v>
      </c>
      <c r="AH71" s="11" t="n">
        <f aca="false">IF(Construction!AH8&lt;=Time!$F$10,AG72*Inputs!$F$102/100*Construction!AH11/365,0)</f>
        <v>1.18858654175737</v>
      </c>
      <c r="AI71" s="11" t="n">
        <f aca="false">IF(Construction!AI8&lt;=Time!$F$10,AH72*Inputs!$F$102/100*Construction!AI11/365,0)</f>
        <v>1.1965728254268</v>
      </c>
      <c r="AJ71" s="11" t="n">
        <f aca="false">IF(Construction!AJ8&lt;=Time!$F$10,AI72*Inputs!$F$102/100*Construction!AJ11/365,0)</f>
        <v>1.27925075847347</v>
      </c>
      <c r="AK71" s="11" t="n">
        <f aca="false">IF(Construction!AK8&lt;=Time!$F$10,AJ72*Inputs!$F$102/100*Construction!AK11/365,0)</f>
        <v>1.27523680440009</v>
      </c>
      <c r="AL71" s="11" t="n">
        <f aca="false">IF(Construction!AL8&lt;=Time!$F$10,AK72*Inputs!$F$102/100*Construction!AL11/365,0)</f>
        <v>1.35115114241285</v>
      </c>
      <c r="AM71" s="11" t="n">
        <f aca="false">IF(Construction!AM8&lt;=Time!$F$10,AL72*Inputs!$F$102/100*Construction!AM11/365,0)</f>
        <v>1.38071528452657</v>
      </c>
      <c r="AN71" s="11" t="n">
        <f aca="false">IF(Construction!AN8&lt;=Time!$F$10,AM72*Inputs!$F$102/100*Construction!AN11/365,0)</f>
        <v>1.27041229567377</v>
      </c>
      <c r="AO71" s="11" t="n">
        <f aca="false">IF(Construction!AO8&lt;=Time!$F$10,AN72*Inputs!$F$102/100*Construction!AO11/365,0)</f>
        <v>1.42788153428042</v>
      </c>
      <c r="AP71" s="11" t="n">
        <f aca="false">IF(Construction!AP8&lt;=Time!$F$10,AO72*Inputs!$F$102/100*Construction!AP11/365,0)</f>
        <v>1.40193881605893</v>
      </c>
      <c r="AQ71" s="11" t="n">
        <f aca="false">IF(Construction!AQ8&lt;=Time!$F$10,AP72*Inputs!$F$102/100*Construction!AQ11/365,0)</f>
        <v>0</v>
      </c>
      <c r="AR71" s="11" t="n">
        <f aca="false">IF(Construction!AR8&lt;=Time!$F$10,AQ72*Inputs!$F$102/100*Construction!AR11/365,0)</f>
        <v>0</v>
      </c>
      <c r="AS71" s="11" t="n">
        <f aca="false">IF(Construction!AS8&lt;=Time!$F$10,AR72*Inputs!$F$102/100*Construction!AS11/365,0)</f>
        <v>0</v>
      </c>
      <c r="AT71" s="11" t="n">
        <f aca="false">IF(Construction!AT8&lt;=Time!$F$10,AS72*Inputs!$F$102/100*Construction!AT11/365,0)</f>
        <v>0</v>
      </c>
      <c r="AU71" s="11" t="n">
        <f aca="false">IF(Construction!AU8&lt;=Time!$F$10,AT72*Inputs!$F$102/100*Construction!AU11/365,0)</f>
        <v>0</v>
      </c>
      <c r="AV71" s="11" t="n">
        <f aca="false">IF(Construction!AV8&lt;=Time!$F$10,AU72*Inputs!$F$102/100*Construction!AV11/365,0)</f>
        <v>0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0.0224238888888889</v>
      </c>
      <c r="R10" s="14" t="n">
        <f aca="false">(Operations!R9+Inputs!$F$77+R9)/100*Time!R20/360</f>
        <v>0.0227955555555556</v>
      </c>
      <c r="S10" s="14" t="n">
        <f aca="false">(Operations!S9+Inputs!$F$77+S9)/100*Time!S20/360</f>
        <v>0.0224741666666667</v>
      </c>
      <c r="T10" s="14" t="n">
        <f aca="false">(Operations!T9+Inputs!$F$77+T9)/100*Time!T20/360</f>
        <v>0.0228466666666667</v>
      </c>
      <c r="U10" s="14" t="n">
        <f aca="false">(Operations!U9+Inputs!$F$77+U9)/100*Time!U20/360</f>
        <v>0.0225983333333333</v>
      </c>
      <c r="V10" s="14" t="n">
        <f aca="false">(Operations!V9+Inputs!$F$77+V9)/100*Time!V20/360</f>
        <v>0.0228466666666667</v>
      </c>
      <c r="W10" s="14" t="n">
        <f aca="false">(Operations!W9+Inputs!$F$77+W9)/100*Time!W20/360</f>
        <v>0.0224741666666667</v>
      </c>
      <c r="X10" s="14" t="n">
        <f aca="false">(Operations!X9+Inputs!$F$77+X9)/100*Time!X20/360</f>
        <v>0.0228466666666667</v>
      </c>
      <c r="Y10" s="14" t="n">
        <f aca="false">(Operations!Y9+Inputs!$F$77+Y9)/100*Time!Y20/360</f>
        <v>0.0224741666666667</v>
      </c>
      <c r="Z10" s="14" t="n">
        <f aca="false">(Operations!Z9+Inputs!$F$77+Z9)/100*Time!Z20/360</f>
        <v>0.0228466666666667</v>
      </c>
      <c r="AA10" s="14" t="n">
        <f aca="false">(Operations!AA9+Inputs!$F$77+AA9)/100*Time!AA20/360</f>
        <v>0.0224741666666667</v>
      </c>
      <c r="AB10" s="14" t="n">
        <f aca="false">(Operations!AB9+Inputs!$F$77+AB9)/100*Time!AB20/360</f>
        <v>0.0228466666666667</v>
      </c>
      <c r="AC10" s="14" t="n">
        <f aca="false">(Operations!AC9+Inputs!$F$77+AC9)/100*Time!AC20/360</f>
        <v>0.0225983333333333</v>
      </c>
      <c r="AD10" s="14" t="n">
        <f aca="false">(Operations!AD9+Inputs!$F$77+AD9)/100*Time!AD20/360</f>
        <v>0.0228466666666667</v>
      </c>
      <c r="AE10" s="14" t="n">
        <f aca="false">(Operations!AE9+Inputs!$F$77+AE9)/100*Time!AE20/360</f>
        <v>0.0224741666666667</v>
      </c>
      <c r="AF10" s="14" t="n">
        <f aca="false">(Operations!AF9+Inputs!$F$77+AF9)/100*Time!AF20/360</f>
        <v>0.0228466666666667</v>
      </c>
      <c r="AG10" s="14" t="n">
        <f aca="false">(Operations!AG9+Inputs!$F$77+AG9)/100*Time!AG20/360</f>
        <v>0.0224741666666667</v>
      </c>
      <c r="AH10" s="14" t="n">
        <f aca="false">(Operations!AH9+Inputs!$F$77+AH9)/100*Time!AH20/360</f>
        <v>0.0228466666666667</v>
      </c>
      <c r="AI10" s="14" t="n">
        <f aca="false">(Operations!AI9+Inputs!$F$77+AI9)/100*Time!AI20/360</f>
        <v>0.0224741666666667</v>
      </c>
      <c r="AJ10" s="14" t="n">
        <f aca="false">(Operations!AJ9+Inputs!$F$77+AJ9)/100*Time!AJ20/360</f>
        <v>0.0228466666666667</v>
      </c>
      <c r="AK10" s="14" t="n">
        <f aca="false">(Operations!AK9+Inputs!$F$77+AK9)/100*Time!AK20/360</f>
        <v>0.0225983333333333</v>
      </c>
      <c r="AL10" s="14" t="n">
        <f aca="false">(Operations!AL9+Inputs!$F$77+AL9)/100*Time!AL20/360</f>
        <v>0.0228466666666667</v>
      </c>
      <c r="AM10" s="14" t="n">
        <f aca="false">(Operations!AM9+Inputs!$F$77+AM9)/100*Time!AM20/360</f>
        <v>0.0224741666666667</v>
      </c>
      <c r="AN10" s="14" t="n">
        <f aca="false">(Operations!AN9+Inputs!$F$77+AN9)/100*Time!AN20/360</f>
        <v>0.0228466666666667</v>
      </c>
      <c r="AO10" s="14" t="n">
        <f aca="false">(Operations!AO9+Inputs!$F$77+AO9)/100*Time!AO20/360</f>
        <v>0.0224741666666667</v>
      </c>
      <c r="AP10" s="14" t="n">
        <f aca="false">(Operations!AP9+Inputs!$F$77+AP9)/100*Time!AP20/360</f>
        <v>0.0228466666666667</v>
      </c>
      <c r="AQ10" s="14" t="n">
        <f aca="false">(Operations!AQ9+Inputs!$F$77+AQ9)/100*Time!AQ20/360</f>
        <v>0.0224741666666667</v>
      </c>
      <c r="AR10" s="14" t="n">
        <f aca="false">(Operations!AR9+Inputs!$F$77+AR9)/100*Time!AR20/360</f>
        <v>0.0228466666666667</v>
      </c>
      <c r="AS10" s="14" t="n">
        <f aca="false">(Operations!AS9+Inputs!$F$77+AS9)/100*Time!AS20/360</f>
        <v>0.0225983333333333</v>
      </c>
      <c r="AT10" s="14" t="n">
        <f aca="false">(Operations!AT9+Inputs!$F$77+AT9)/100*Time!AT20/360</f>
        <v>0.0228466666666667</v>
      </c>
      <c r="AU10" s="14" t="n">
        <f aca="false">(Operations!AU9+Inputs!$F$77+AU9)/100*Time!AU20/360</f>
        <v>0.0224741666666667</v>
      </c>
      <c r="AV10" s="14" t="n">
        <f aca="false">(Operations!AV9+Inputs!$F$77+AV9)/100*Time!AV20/360</f>
        <v>0.0228466666666667</v>
      </c>
      <c r="AW10" s="14" t="n">
        <f aca="false">(Operations!AW9+Inputs!$F$77+AW9)/100*Time!AW20/360</f>
        <v>0.0224741666666667</v>
      </c>
      <c r="AX10" s="14" t="n">
        <f aca="false">(Operations!AX9+Inputs!$F$77+AX9)/100*Time!AX20/360</f>
        <v>0.0228466666666667</v>
      </c>
      <c r="AY10" s="14" t="n">
        <f aca="false">(Operations!AY9+Inputs!$F$77+AY9)/100*Time!AY20/360</f>
        <v>0.0224741666666667</v>
      </c>
      <c r="AZ10" s="14" t="n">
        <f aca="false">(Operations!AZ9+Inputs!$F$77+AZ9)/100*Time!AZ20/360</f>
        <v>0.0228466666666667</v>
      </c>
      <c r="BA10" s="14" t="n">
        <f aca="false">(Operations!BA9+Inputs!$F$77+BA9)/100*Time!BA20/360</f>
        <v>0.0225983333333333</v>
      </c>
      <c r="BB10" s="14" t="n">
        <f aca="false">(Operations!BB9+Inputs!$F$77+BB9)/100*Time!BB20/360</f>
        <v>0.0228466666666667</v>
      </c>
      <c r="BC10" s="14" t="n">
        <f aca="false">(Operations!BC9+Inputs!$F$77+BC9)/100*Time!BC20/360</f>
        <v>0.0224741666666667</v>
      </c>
      <c r="BD10" s="14" t="n">
        <f aca="false">(Operations!BD9+Inputs!$F$77+BD9)/100*Time!BD20/360</f>
        <v>0.0228466666666667</v>
      </c>
      <c r="BE10" s="14" t="n">
        <f aca="false">(Operations!BE9+Inputs!$F$77+BE9)/100*Time!BE20/360</f>
        <v>0.0224741666666667</v>
      </c>
      <c r="BF10" s="14" t="n">
        <f aca="false">(Operations!BF9+Inputs!$F$77+BF9)/100*Time!BF20/360</f>
        <v>0.0228466666666667</v>
      </c>
      <c r="BG10" s="14" t="n">
        <f aca="false">(Operations!BG9+Inputs!$F$77+BG9)/100*Time!BG20/360</f>
        <v>0.0224741666666667</v>
      </c>
      <c r="BH10" s="14" t="n">
        <f aca="false">(Operations!BH9+Inputs!$F$77+BH9)/100*Time!BH20/360</f>
        <v>0.0228466666666667</v>
      </c>
      <c r="BI10" s="14" t="n">
        <f aca="false">(Operations!BI9+Inputs!$F$77+BI9)/100*Time!BI20/360</f>
        <v>0.0225983333333333</v>
      </c>
      <c r="BJ10" s="14" t="n">
        <f aca="false">(Operations!BJ9+Inputs!$F$77+BJ9)/100*Time!BJ20/360</f>
        <v>0.0228466666666667</v>
      </c>
      <c r="BK10" s="14" t="n">
        <f aca="false">(Operations!BK9+Inputs!$F$77+BK9)/100*Time!BK20/360</f>
        <v>0.0224741666666667</v>
      </c>
      <c r="BL10" s="14" t="n">
        <f aca="false">(Operations!BL9+Inputs!$F$77+BL9)/100*Time!BL20/360</f>
        <v>0.0228466666666667</v>
      </c>
      <c r="BM10" s="14" t="n">
        <f aca="false">(Operations!BM9+Inputs!$F$77+BM9)/100*Time!BM20/360</f>
        <v>0.0224741666666667</v>
      </c>
      <c r="BN10" s="14" t="n">
        <f aca="false">(Operations!BN9+Inputs!$F$77+BN9)/100*Time!BN20/360</f>
        <v>0.0228466666666667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0.0339877777777778</v>
      </c>
      <c r="R11" s="14" t="n">
        <f aca="false">(Operations!R9+Inputs!$F$78+R9)/100*Time!R20/360</f>
        <v>0.0345511111111111</v>
      </c>
      <c r="S11" s="14" t="n">
        <f aca="false">(Operations!S9+Inputs!$F$78+S9)/100*Time!S20/360</f>
        <v>0.0340380555555556</v>
      </c>
      <c r="T11" s="14" t="n">
        <f aca="false">(Operations!T9+Inputs!$F$78+T9)/100*Time!T20/360</f>
        <v>0.0346022222222222</v>
      </c>
      <c r="U11" s="14" t="n">
        <f aca="false">(Operations!U9+Inputs!$F$78+U9)/100*Time!U20/360</f>
        <v>0.0342261111111111</v>
      </c>
      <c r="V11" s="14" t="n">
        <f aca="false">(Operations!V9+Inputs!$F$78+V9)/100*Time!V20/360</f>
        <v>0.0346022222222222</v>
      </c>
      <c r="W11" s="14" t="n">
        <f aca="false">(Operations!W9+Inputs!$F$78+W9)/100*Time!W20/360</f>
        <v>0.0340380555555556</v>
      </c>
      <c r="X11" s="14" t="n">
        <f aca="false">(Operations!X9+Inputs!$F$78+X9)/100*Time!X20/360</f>
        <v>0.0346022222222222</v>
      </c>
      <c r="Y11" s="14" t="n">
        <f aca="false">(Operations!Y9+Inputs!$F$78+Y9)/100*Time!Y20/360</f>
        <v>0.0340380555555556</v>
      </c>
      <c r="Z11" s="14" t="n">
        <f aca="false">(Operations!Z9+Inputs!$F$78+Z9)/100*Time!Z20/360</f>
        <v>0.0346022222222222</v>
      </c>
      <c r="AA11" s="14" t="n">
        <f aca="false">(Operations!AA9+Inputs!$F$78+AA9)/100*Time!AA20/360</f>
        <v>0.0340380555555556</v>
      </c>
      <c r="AB11" s="14" t="n">
        <f aca="false">(Operations!AB9+Inputs!$F$78+AB9)/100*Time!AB20/360</f>
        <v>0.0346022222222222</v>
      </c>
      <c r="AC11" s="14" t="n">
        <f aca="false">(Operations!AC9+Inputs!$F$78+AC9)/100*Time!AC20/360</f>
        <v>0.0342261111111111</v>
      </c>
      <c r="AD11" s="14" t="n">
        <f aca="false">(Operations!AD9+Inputs!$F$78+AD9)/100*Time!AD20/360</f>
        <v>0.0346022222222222</v>
      </c>
      <c r="AE11" s="14" t="n">
        <f aca="false">(Operations!AE9+Inputs!$F$78+AE9)/100*Time!AE20/360</f>
        <v>0.0340380555555556</v>
      </c>
      <c r="AF11" s="14" t="n">
        <f aca="false">(Operations!AF9+Inputs!$F$78+AF9)/100*Time!AF20/360</f>
        <v>0.0346022222222222</v>
      </c>
      <c r="AG11" s="14" t="n">
        <f aca="false">(Operations!AG9+Inputs!$F$78+AG9)/100*Time!AG20/360</f>
        <v>0.0340380555555556</v>
      </c>
      <c r="AH11" s="14" t="n">
        <f aca="false">(Operations!AH9+Inputs!$F$78+AH9)/100*Time!AH20/360</f>
        <v>0.0346022222222222</v>
      </c>
      <c r="AI11" s="14" t="n">
        <f aca="false">(Operations!AI9+Inputs!$F$78+AI9)/100*Time!AI20/360</f>
        <v>0.0340380555555556</v>
      </c>
      <c r="AJ11" s="14" t="n">
        <f aca="false">(Operations!AJ9+Inputs!$F$78+AJ9)/100*Time!AJ20/360</f>
        <v>0.0346022222222222</v>
      </c>
      <c r="AK11" s="14" t="n">
        <f aca="false">(Operations!AK9+Inputs!$F$78+AK9)/100*Time!AK20/360</f>
        <v>0.0342261111111111</v>
      </c>
      <c r="AL11" s="14" t="n">
        <f aca="false">(Operations!AL9+Inputs!$F$78+AL9)/100*Time!AL20/360</f>
        <v>0.0346022222222222</v>
      </c>
      <c r="AM11" s="14" t="n">
        <f aca="false">(Operations!AM9+Inputs!$F$78+AM9)/100*Time!AM20/360</f>
        <v>0.0340380555555556</v>
      </c>
      <c r="AN11" s="14" t="n">
        <f aca="false">(Operations!AN9+Inputs!$F$78+AN9)/100*Time!AN20/360</f>
        <v>0.0346022222222222</v>
      </c>
      <c r="AO11" s="14" t="n">
        <f aca="false">(Operations!AO9+Inputs!$F$78+AO9)/100*Time!AO20/360</f>
        <v>0.0340380555555556</v>
      </c>
      <c r="AP11" s="14" t="n">
        <f aca="false">(Operations!AP9+Inputs!$F$78+AP9)/100*Time!AP20/360</f>
        <v>0.0346022222222222</v>
      </c>
      <c r="AQ11" s="14" t="n">
        <f aca="false">(Operations!AQ9+Inputs!$F$78+AQ9)/100*Time!AQ20/360</f>
        <v>0.0340380555555556</v>
      </c>
      <c r="AR11" s="14" t="n">
        <f aca="false">(Operations!AR9+Inputs!$F$78+AR9)/100*Time!AR20/360</f>
        <v>0.0346022222222222</v>
      </c>
      <c r="AS11" s="14" t="n">
        <f aca="false">(Operations!AS9+Inputs!$F$78+AS9)/100*Time!AS20/360</f>
        <v>0.0342261111111111</v>
      </c>
      <c r="AT11" s="14" t="n">
        <f aca="false">(Operations!AT9+Inputs!$F$78+AT9)/100*Time!AT20/360</f>
        <v>0.0346022222222222</v>
      </c>
      <c r="AU11" s="14" t="n">
        <f aca="false">(Operations!AU9+Inputs!$F$78+AU9)/100*Time!AU20/360</f>
        <v>0.0340380555555556</v>
      </c>
      <c r="AV11" s="14" t="n">
        <f aca="false">(Operations!AV9+Inputs!$F$78+AV9)/100*Time!AV20/360</f>
        <v>0.0346022222222222</v>
      </c>
      <c r="AW11" s="14" t="n">
        <f aca="false">(Operations!AW9+Inputs!$F$78+AW9)/100*Time!AW20/360</f>
        <v>0.0340380555555556</v>
      </c>
      <c r="AX11" s="14" t="n">
        <f aca="false">(Operations!AX9+Inputs!$F$78+AX9)/100*Time!AX20/360</f>
        <v>0.0346022222222222</v>
      </c>
      <c r="AY11" s="14" t="n">
        <f aca="false">(Operations!AY9+Inputs!$F$78+AY9)/100*Time!AY20/360</f>
        <v>0.0340380555555556</v>
      </c>
      <c r="AZ11" s="14" t="n">
        <f aca="false">(Operations!AZ9+Inputs!$F$78+AZ9)/100*Time!AZ20/360</f>
        <v>0.0346022222222222</v>
      </c>
      <c r="BA11" s="14" t="n">
        <f aca="false">(Operations!BA9+Inputs!$F$78+BA9)/100*Time!BA20/360</f>
        <v>0.0342261111111111</v>
      </c>
      <c r="BB11" s="14" t="n">
        <f aca="false">(Operations!BB9+Inputs!$F$78+BB9)/100*Time!BB20/360</f>
        <v>0.0346022222222222</v>
      </c>
      <c r="BC11" s="14" t="n">
        <f aca="false">(Operations!BC9+Inputs!$F$78+BC9)/100*Time!BC20/360</f>
        <v>0.0340380555555556</v>
      </c>
      <c r="BD11" s="14" t="n">
        <f aca="false">(Operations!BD9+Inputs!$F$78+BD9)/100*Time!BD20/360</f>
        <v>0.0346022222222222</v>
      </c>
      <c r="BE11" s="14" t="n">
        <f aca="false">(Operations!BE9+Inputs!$F$78+BE9)/100*Time!BE20/360</f>
        <v>0.0340380555555556</v>
      </c>
      <c r="BF11" s="14" t="n">
        <f aca="false">(Operations!BF9+Inputs!$F$78+BF9)/100*Time!BF20/360</f>
        <v>0.0346022222222222</v>
      </c>
      <c r="BG11" s="14" t="n">
        <f aca="false">(Operations!BG9+Inputs!$F$78+BG9)/100*Time!BG20/360</f>
        <v>0.0340380555555556</v>
      </c>
      <c r="BH11" s="14" t="n">
        <f aca="false">(Operations!BH9+Inputs!$F$78+BH9)/100*Time!BH20/360</f>
        <v>0.0346022222222222</v>
      </c>
      <c r="BI11" s="14" t="n">
        <f aca="false">(Operations!BI9+Inputs!$F$78+BI9)/100*Time!BI20/360</f>
        <v>0.0342261111111111</v>
      </c>
      <c r="BJ11" s="14" t="n">
        <f aca="false">(Operations!BJ9+Inputs!$F$78+BJ9)/100*Time!BJ20/360</f>
        <v>0.0346022222222222</v>
      </c>
      <c r="BK11" s="14" t="n">
        <f aca="false">(Operations!BK9+Inputs!$F$78+BK9)/100*Time!BK20/360</f>
        <v>0.0340380555555556</v>
      </c>
      <c r="BL11" s="14" t="n">
        <f aca="false">(Operations!BL9+Inputs!$F$78+BL9)/100*Time!BL20/360</f>
        <v>0.0346022222222222</v>
      </c>
      <c r="BM11" s="14" t="n">
        <f aca="false">(Operations!BM9+Inputs!$F$78+BM9)/100*Time!BM20/360</f>
        <v>0.0340380555555556</v>
      </c>
      <c r="BN11" s="14" t="n">
        <f aca="false">(Operations!BN9+Inputs!$F$78+BN9)/100*Time!BN20/360</f>
        <v>0.0346022222222222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0.0327308333333333</v>
      </c>
      <c r="R12" s="14" t="n">
        <f aca="false">(Operations!R9+Inputs!$F$79+R9)/100*Time!R20/360</f>
        <v>0.0332733333333333</v>
      </c>
      <c r="S12" s="14" t="n">
        <f aca="false">(Operations!S9+Inputs!$F$79+S9)/100*Time!S20/360</f>
        <v>0.0327811111111111</v>
      </c>
      <c r="T12" s="14" t="n">
        <f aca="false">(Operations!T9+Inputs!$F$79+T9)/100*Time!T20/360</f>
        <v>0.0333244444444444</v>
      </c>
      <c r="U12" s="14" t="n">
        <f aca="false">(Operations!U9+Inputs!$F$79+U9)/100*Time!U20/360</f>
        <v>0.0329622222222222</v>
      </c>
      <c r="V12" s="14" t="n">
        <f aca="false">(Operations!V9+Inputs!$F$79+V9)/100*Time!V20/360</f>
        <v>0.0333244444444444</v>
      </c>
      <c r="W12" s="14" t="n">
        <f aca="false">(Operations!W9+Inputs!$F$79+W9)/100*Time!W20/360</f>
        <v>0.0327811111111111</v>
      </c>
      <c r="X12" s="14" t="n">
        <f aca="false">(Operations!X9+Inputs!$F$79+X9)/100*Time!X20/360</f>
        <v>0.0333244444444444</v>
      </c>
      <c r="Y12" s="14" t="n">
        <f aca="false">(Operations!Y9+Inputs!$F$79+Y9)/100*Time!Y20/360</f>
        <v>0.0327811111111111</v>
      </c>
      <c r="Z12" s="14" t="n">
        <f aca="false">(Operations!Z9+Inputs!$F$79+Z9)/100*Time!Z20/360</f>
        <v>0.0333244444444444</v>
      </c>
      <c r="AA12" s="14" t="n">
        <f aca="false">(Operations!AA9+Inputs!$F$79+AA9)/100*Time!AA20/360</f>
        <v>0.0327811111111111</v>
      </c>
      <c r="AB12" s="14" t="n">
        <f aca="false">(Operations!AB9+Inputs!$F$79+AB9)/100*Time!AB20/360</f>
        <v>0.0333244444444444</v>
      </c>
      <c r="AC12" s="14" t="n">
        <f aca="false">(Operations!AC9+Inputs!$F$79+AC9)/100*Time!AC20/360</f>
        <v>0.0329622222222222</v>
      </c>
      <c r="AD12" s="14" t="n">
        <f aca="false">(Operations!AD9+Inputs!$F$79+AD9)/100*Time!AD20/360</f>
        <v>0.0333244444444444</v>
      </c>
      <c r="AE12" s="14" t="n">
        <f aca="false">(Operations!AE9+Inputs!$F$79+AE9)/100*Time!AE20/360</f>
        <v>0.0327811111111111</v>
      </c>
      <c r="AF12" s="14" t="n">
        <f aca="false">(Operations!AF9+Inputs!$F$79+AF9)/100*Time!AF20/360</f>
        <v>0.0333244444444444</v>
      </c>
      <c r="AG12" s="14" t="n">
        <f aca="false">(Operations!AG9+Inputs!$F$79+AG9)/100*Time!AG20/360</f>
        <v>0.0327811111111111</v>
      </c>
      <c r="AH12" s="14" t="n">
        <f aca="false">(Operations!AH9+Inputs!$F$79+AH9)/100*Time!AH20/360</f>
        <v>0.0333244444444444</v>
      </c>
      <c r="AI12" s="14" t="n">
        <f aca="false">(Operations!AI9+Inputs!$F$79+AI9)/100*Time!AI20/360</f>
        <v>0.0327811111111111</v>
      </c>
      <c r="AJ12" s="14" t="n">
        <f aca="false">(Operations!AJ9+Inputs!$F$79+AJ9)/100*Time!AJ20/360</f>
        <v>0.0333244444444444</v>
      </c>
      <c r="AK12" s="14" t="n">
        <f aca="false">(Operations!AK9+Inputs!$F$79+AK9)/100*Time!AK20/360</f>
        <v>0.0329622222222222</v>
      </c>
      <c r="AL12" s="14" t="n">
        <f aca="false">(Operations!AL9+Inputs!$F$79+AL9)/100*Time!AL20/360</f>
        <v>0.0333244444444444</v>
      </c>
      <c r="AM12" s="14" t="n">
        <f aca="false">(Operations!AM9+Inputs!$F$79+AM9)/100*Time!AM20/360</f>
        <v>0.0327811111111111</v>
      </c>
      <c r="AN12" s="14" t="n">
        <f aca="false">(Operations!AN9+Inputs!$F$79+AN9)/100*Time!AN20/360</f>
        <v>0.0333244444444444</v>
      </c>
      <c r="AO12" s="14" t="n">
        <f aca="false">(Operations!AO9+Inputs!$F$79+AO9)/100*Time!AO20/360</f>
        <v>0.0327811111111111</v>
      </c>
      <c r="AP12" s="14" t="n">
        <f aca="false">(Operations!AP9+Inputs!$F$79+AP9)/100*Time!AP20/360</f>
        <v>0.0333244444444444</v>
      </c>
      <c r="AQ12" s="14" t="n">
        <f aca="false">(Operations!AQ9+Inputs!$F$79+AQ9)/100*Time!AQ20/360</f>
        <v>0.0327811111111111</v>
      </c>
      <c r="AR12" s="14" t="n">
        <f aca="false">(Operations!AR9+Inputs!$F$79+AR9)/100*Time!AR20/360</f>
        <v>0.0333244444444444</v>
      </c>
      <c r="AS12" s="14" t="n">
        <f aca="false">(Operations!AS9+Inputs!$F$79+AS9)/100*Time!AS20/360</f>
        <v>0.0329622222222222</v>
      </c>
      <c r="AT12" s="14" t="n">
        <f aca="false">(Operations!AT9+Inputs!$F$79+AT9)/100*Time!AT20/360</f>
        <v>0.0333244444444444</v>
      </c>
      <c r="AU12" s="14" t="n">
        <f aca="false">(Operations!AU9+Inputs!$F$79+AU9)/100*Time!AU20/360</f>
        <v>0.0327811111111111</v>
      </c>
      <c r="AV12" s="14" t="n">
        <f aca="false">(Operations!AV9+Inputs!$F$79+AV9)/100*Time!AV20/360</f>
        <v>0.0333244444444444</v>
      </c>
      <c r="AW12" s="14" t="n">
        <f aca="false">(Operations!AW9+Inputs!$F$79+AW9)/100*Time!AW20/360</f>
        <v>0.0327811111111111</v>
      </c>
      <c r="AX12" s="14" t="n">
        <f aca="false">(Operations!AX9+Inputs!$F$79+AX9)/100*Time!AX20/360</f>
        <v>0.0333244444444444</v>
      </c>
      <c r="AY12" s="14" t="n">
        <f aca="false">(Operations!AY9+Inputs!$F$79+AY9)/100*Time!AY20/360</f>
        <v>0.0327811111111111</v>
      </c>
      <c r="AZ12" s="14" t="n">
        <f aca="false">(Operations!AZ9+Inputs!$F$79+AZ9)/100*Time!AZ20/360</f>
        <v>0.0333244444444444</v>
      </c>
      <c r="BA12" s="14" t="n">
        <f aca="false">(Operations!BA9+Inputs!$F$79+BA9)/100*Time!BA20/360</f>
        <v>0.0329622222222222</v>
      </c>
      <c r="BB12" s="14" t="n">
        <f aca="false">(Operations!BB9+Inputs!$F$79+BB9)/100*Time!BB20/360</f>
        <v>0.0333244444444444</v>
      </c>
      <c r="BC12" s="14" t="n">
        <f aca="false">(Operations!BC9+Inputs!$F$79+BC9)/100*Time!BC20/360</f>
        <v>0.0327811111111111</v>
      </c>
      <c r="BD12" s="14" t="n">
        <f aca="false">(Operations!BD9+Inputs!$F$79+BD9)/100*Time!BD20/360</f>
        <v>0.0333244444444444</v>
      </c>
      <c r="BE12" s="14" t="n">
        <f aca="false">(Operations!BE9+Inputs!$F$79+BE9)/100*Time!BE20/360</f>
        <v>0.0327811111111111</v>
      </c>
      <c r="BF12" s="14" t="n">
        <f aca="false">(Operations!BF9+Inputs!$F$79+BF9)/100*Time!BF20/360</f>
        <v>0.0333244444444444</v>
      </c>
      <c r="BG12" s="14" t="n">
        <f aca="false">(Operations!BG9+Inputs!$F$79+BG9)/100*Time!BG20/360</f>
        <v>0.0327811111111111</v>
      </c>
      <c r="BH12" s="14" t="n">
        <f aca="false">(Operations!BH9+Inputs!$F$79+BH9)/100*Time!BH20/360</f>
        <v>0.0333244444444444</v>
      </c>
      <c r="BI12" s="14" t="n">
        <f aca="false">(Operations!BI9+Inputs!$F$79+BI9)/100*Time!BI20/360</f>
        <v>0.0329622222222222</v>
      </c>
      <c r="BJ12" s="14" t="n">
        <f aca="false">(Operations!BJ9+Inputs!$F$79+BJ9)/100*Time!BJ20/360</f>
        <v>0.0333244444444444</v>
      </c>
      <c r="BK12" s="14" t="n">
        <f aca="false">(Operations!BK9+Inputs!$F$79+BK9)/100*Time!BK20/360</f>
        <v>0.0327811111111111</v>
      </c>
      <c r="BL12" s="14" t="n">
        <f aca="false">(Operations!BL9+Inputs!$F$79+BL9)/100*Time!BL20/360</f>
        <v>0.0333244444444444</v>
      </c>
      <c r="BM12" s="14" t="n">
        <f aca="false">(Operations!BM9+Inputs!$F$79+BM9)/100*Time!BM20/360</f>
        <v>0.0327811111111111</v>
      </c>
      <c r="BN12" s="14" t="n">
        <f aca="false">(Operations!BN9+Inputs!$F$79+BN9)/100*Time!BN20/360</f>
        <v>0.0333244444444444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0.0402780864197531</v>
      </c>
      <c r="R13" s="14" t="n">
        <f aca="false">(Operations!R9+R8+R9)/100*Time!R20/360/(1-Inputs!$F$91/100)</f>
        <v>0.0409456790123457</v>
      </c>
      <c r="S13" s="14" t="n">
        <f aca="false">(Operations!S9+S8+S9)/100*Time!S20/360/(1-Inputs!$F$91/100)</f>
        <v>0.040333950617284</v>
      </c>
      <c r="T13" s="14" t="n">
        <f aca="false">(Operations!T9+T8+T9)/100*Time!T20/360/(1-Inputs!$F$91/100)</f>
        <v>0.0410024691358025</v>
      </c>
      <c r="U13" s="14" t="n">
        <f aca="false">(Operations!U9+U8+U9)/100*Time!U20/360/(1-Inputs!$F$91/100)</f>
        <v>0.0405567901234568</v>
      </c>
      <c r="V13" s="14" t="n">
        <f aca="false">(Operations!V9+V8+V9)/100*Time!V20/360/(1-Inputs!$F$91/100)</f>
        <v>0.0410024691358025</v>
      </c>
      <c r="W13" s="14" t="n">
        <f aca="false">(Operations!W9+W8+W9)/100*Time!W20/360/(1-Inputs!$F$91/100)</f>
        <v>0.040333950617284</v>
      </c>
      <c r="X13" s="14" t="n">
        <f aca="false">(Operations!X9+X8+X9)/100*Time!X20/360/(1-Inputs!$F$91/100)</f>
        <v>0.0410024691358025</v>
      </c>
      <c r="Y13" s="14" t="n">
        <f aca="false">(Operations!Y9+Y8+Y9)/100*Time!Y20/360/(1-Inputs!$F$91/100)</f>
        <v>0.0431271604938272</v>
      </c>
      <c r="Z13" s="14" t="n">
        <f aca="false">(Operations!Z9+Z8+Z9)/100*Time!Z20/360/(1-Inputs!$F$91/100)</f>
        <v>0.043841975308642</v>
      </c>
      <c r="AA13" s="14" t="n">
        <f aca="false">(Operations!AA9+AA8+AA9)/100*Time!AA20/360/(1-Inputs!$F$91/100)</f>
        <v>0.0431271604938272</v>
      </c>
      <c r="AB13" s="14" t="n">
        <f aca="false">(Operations!AB9+AB8+AB9)/100*Time!AB20/360/(1-Inputs!$F$91/100)</f>
        <v>0.043841975308642</v>
      </c>
      <c r="AC13" s="14" t="n">
        <f aca="false">(Operations!AC9+AC8+AC9)/100*Time!AC20/360/(1-Inputs!$F$91/100)</f>
        <v>0.0433654320987654</v>
      </c>
      <c r="AD13" s="14" t="n">
        <f aca="false">(Operations!AD9+AD8+AD9)/100*Time!AD20/360/(1-Inputs!$F$91/100)</f>
        <v>0.043841975308642</v>
      </c>
      <c r="AE13" s="14" t="n">
        <f aca="false">(Operations!AE9+AE8+AE9)/100*Time!AE20/360/(1-Inputs!$F$91/100)</f>
        <v>0.0431271604938272</v>
      </c>
      <c r="AF13" s="14" t="n">
        <f aca="false">(Operations!AF9+AF8+AF9)/100*Time!AF20/360/(1-Inputs!$F$91/100)</f>
        <v>0.043841975308642</v>
      </c>
      <c r="AG13" s="14" t="n">
        <f aca="false">(Operations!AG9+AG8+AG9)/100*Time!AG20/360/(1-Inputs!$F$91/100)</f>
        <v>0.0459203703703704</v>
      </c>
      <c r="AH13" s="14" t="n">
        <f aca="false">(Operations!AH9+AH8+AH9)/100*Time!AH20/360/(1-Inputs!$F$91/100)</f>
        <v>0.0466814814814815</v>
      </c>
      <c r="AI13" s="14" t="n">
        <f aca="false">(Operations!AI9+AI8+AI9)/100*Time!AI20/360/(1-Inputs!$F$91/100)</f>
        <v>0.0459203703703704</v>
      </c>
      <c r="AJ13" s="14" t="n">
        <f aca="false">(Operations!AJ9+AJ8+AJ9)/100*Time!AJ20/360/(1-Inputs!$F$91/100)</f>
        <v>0.0466814814814815</v>
      </c>
      <c r="AK13" s="14" t="n">
        <f aca="false">(Operations!AK9+AK8+AK9)/100*Time!AK20/360/(1-Inputs!$F$91/100)</f>
        <v>0.0461740740740741</v>
      </c>
      <c r="AL13" s="14" t="n">
        <f aca="false">(Operations!AL9+AL8+AL9)/100*Time!AL20/360/(1-Inputs!$F$91/100)</f>
        <v>0.0466814814814815</v>
      </c>
      <c r="AM13" s="14" t="n">
        <f aca="false">(Operations!AM9+AM8+AM9)/100*Time!AM20/360/(1-Inputs!$F$91/100)</f>
        <v>0.0459203703703704</v>
      </c>
      <c r="AN13" s="14" t="n">
        <f aca="false">(Operations!AN9+AN8+AN9)/100*Time!AN20/360/(1-Inputs!$F$91/100)</f>
        <v>0.0466814814814815</v>
      </c>
      <c r="AO13" s="14" t="n">
        <f aca="false">(Operations!AO9+AO8+AO9)/100*Time!AO20/360/(1-Inputs!$F$91/100)</f>
        <v>0.0459203703703704</v>
      </c>
      <c r="AP13" s="14" t="n">
        <f aca="false">(Operations!AP9+AP8+AP9)/100*Time!AP20/360/(1-Inputs!$F$91/100)</f>
        <v>0.0466814814814815</v>
      </c>
      <c r="AQ13" s="14" t="n">
        <f aca="false">(Operations!AQ9+AQ8+AQ9)/100*Time!AQ20/360/(1-Inputs!$F$91/100)</f>
        <v>0.0459203703703704</v>
      </c>
      <c r="AR13" s="14" t="n">
        <f aca="false">(Operations!AR9+AR8+AR9)/100*Time!AR20/360/(1-Inputs!$F$91/100)</f>
        <v>0.0466814814814815</v>
      </c>
      <c r="AS13" s="14" t="n">
        <f aca="false">(Operations!AS9+AS8+AS9)/100*Time!AS20/360/(1-Inputs!$F$91/100)</f>
        <v>0.0461740740740741</v>
      </c>
      <c r="AT13" s="14" t="n">
        <f aca="false">(Operations!AT9+AT8+AT9)/100*Time!AT20/360/(1-Inputs!$F$91/100)</f>
        <v>0.0466814814814815</v>
      </c>
      <c r="AU13" s="14" t="n">
        <f aca="false">(Operations!AU9+AU8+AU9)/100*Time!AU20/360/(1-Inputs!$F$91/100)</f>
        <v>0.0459203703703704</v>
      </c>
      <c r="AV13" s="14" t="n">
        <f aca="false">(Operations!AV9+AV8+AV9)/100*Time!AV20/360/(1-Inputs!$F$91/100)</f>
        <v>0.0466814814814815</v>
      </c>
      <c r="AW13" s="14" t="n">
        <f aca="false">(Operations!AW9+AW8+AW9)/100*Time!AW20/360/(1-Inputs!$F$91/100)</f>
        <v>0.0459203703703704</v>
      </c>
      <c r="AX13" s="14" t="n">
        <f aca="false">(Operations!AX9+AX8+AX9)/100*Time!AX20/360/(1-Inputs!$F$91/100)</f>
        <v>0.0466814814814815</v>
      </c>
      <c r="AY13" s="14" t="n">
        <f aca="false">(Operations!AY9+AY8+AY9)/100*Time!AY20/360/(1-Inputs!$F$91/100)</f>
        <v>0.0459203703703704</v>
      </c>
      <c r="AZ13" s="14" t="n">
        <f aca="false">(Operations!AZ9+AZ8+AZ9)/100*Time!AZ20/360/(1-Inputs!$F$91/100)</f>
        <v>0.0466814814814815</v>
      </c>
      <c r="BA13" s="14" t="n">
        <f aca="false">(Operations!BA9+BA8+BA9)/100*Time!BA20/360/(1-Inputs!$F$91/100)</f>
        <v>0.0461740740740741</v>
      </c>
      <c r="BB13" s="14" t="n">
        <f aca="false">(Operations!BB9+BB8+BB9)/100*Time!BB20/360/(1-Inputs!$F$91/100)</f>
        <v>0.0466814814814815</v>
      </c>
      <c r="BC13" s="14" t="n">
        <f aca="false">(Operations!BC9+BC8+BC9)/100*Time!BC20/360/(1-Inputs!$F$91/100)</f>
        <v>0.0459203703703704</v>
      </c>
      <c r="BD13" s="14" t="n">
        <f aca="false">(Operations!BD9+BD8+BD9)/100*Time!BD20/360/(1-Inputs!$F$91/100)</f>
        <v>0.0466814814814815</v>
      </c>
      <c r="BE13" s="14" t="n">
        <f aca="false">(Operations!BE9+BE8+BE9)/100*Time!BE20/360/(1-Inputs!$F$91/100)</f>
        <v>0.0459203703703704</v>
      </c>
      <c r="BF13" s="14" t="n">
        <f aca="false">(Operations!BF9+BF8+BF9)/100*Time!BF20/360/(1-Inputs!$F$91/100)</f>
        <v>0.0466814814814815</v>
      </c>
      <c r="BG13" s="14" t="n">
        <f aca="false">(Operations!BG9+BG8+BG9)/100*Time!BG20/360/(1-Inputs!$F$91/100)</f>
        <v>0.0459203703703704</v>
      </c>
      <c r="BH13" s="14" t="n">
        <f aca="false">(Operations!BH9+BH8+BH9)/100*Time!BH20/360/(1-Inputs!$F$91/100)</f>
        <v>0.0466814814814815</v>
      </c>
      <c r="BI13" s="14" t="n">
        <f aca="false">(Operations!BI9+BI8+BI9)/100*Time!BI20/360/(1-Inputs!$F$91/100)</f>
        <v>0.0461740740740741</v>
      </c>
      <c r="BJ13" s="14" t="n">
        <f aca="false">(Operations!BJ9+BJ8+BJ9)/100*Time!BJ20/360/(1-Inputs!$F$91/100)</f>
        <v>0.0466814814814815</v>
      </c>
      <c r="BK13" s="14" t="n">
        <f aca="false">(Operations!BK9+BK8+BK9)/100*Time!BK20/360/(1-Inputs!$F$91/100)</f>
        <v>0.0459203703703704</v>
      </c>
      <c r="BL13" s="14" t="n">
        <f aca="false">(Operations!BL9+BL8+BL9)/100*Time!BL20/360/(1-Inputs!$F$91/100)</f>
        <v>0.0466814814814815</v>
      </c>
      <c r="BM13" s="14" t="n">
        <f aca="false">(Operations!BM9+BM8+BM9)/100*Time!BM20/360/(1-Inputs!$F$91/100)</f>
        <v>0.0459203703703704</v>
      </c>
      <c r="BN13" s="14" t="n">
        <f aca="false">(Operations!BN9+BN8+BN9)/100*Time!BN20/360/(1-Inputs!$F$91/100)</f>
        <v>0.0466814814814815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0.0391027037037037</v>
      </c>
      <c r="R14" s="14" t="n">
        <f aca="false">(Inputs!$F$100*(Operations!R9+R8+Inputs!$F$99+R9)/(1-Inputs!$F$91/100)+(1-Inputs!$F$100)*(Operations!R9+Inputs!$F$78+Inputs!$F$99+R9))/100*Time!R20/360</f>
        <v>0.0397508148148148</v>
      </c>
      <c r="S14" s="14" t="n">
        <f aca="false">(Inputs!$F$100*(Operations!S9+S8+Inputs!$F$99+S9)/(1-Inputs!$F$91/100)+(1-Inputs!$F$100)*(Operations!S9+Inputs!$F$78+Inputs!$F$99+S9))/100*Time!S20/360</f>
        <v>0.0391563333333333</v>
      </c>
      <c r="T14" s="14" t="n">
        <f aca="false">(Inputs!$F$100*(Operations!T9+T8+Inputs!$F$99+T9)/(1-Inputs!$F$91/100)+(1-Inputs!$F$100)*(Operations!T9+Inputs!$F$78+Inputs!$F$99+T9))/100*Time!T20/360</f>
        <v>0.0398053333333333</v>
      </c>
      <c r="U14" s="14" t="n">
        <f aca="false">(Inputs!$F$100*(Operations!U9+U8+Inputs!$F$99+U9)/(1-Inputs!$F$91/100)+(1-Inputs!$F$100)*(Operations!U9+Inputs!$F$78+Inputs!$F$99+U9))/100*Time!U20/360</f>
        <v>0.0393726666666667</v>
      </c>
      <c r="V14" s="14" t="n">
        <f aca="false">(Inputs!$F$100*(Operations!V9+V8+Inputs!$F$99+V9)/(1-Inputs!$F$91/100)+(1-Inputs!$F$100)*(Operations!V9+Inputs!$F$78+Inputs!$F$99+V9))/100*Time!V20/360</f>
        <v>0.0398053333333333</v>
      </c>
      <c r="W14" s="14" t="n">
        <f aca="false">(Inputs!$F$100*(Operations!W9+W8+Inputs!$F$99+W9)/(1-Inputs!$F$91/100)+(1-Inputs!$F$100)*(Operations!W9+Inputs!$F$78+Inputs!$F$99+W9))/100*Time!W20/360</f>
        <v>0.0391563333333333</v>
      </c>
      <c r="X14" s="14" t="n">
        <f aca="false">(Inputs!$F$100*(Operations!X9+X8+Inputs!$F$99+X9)/(1-Inputs!$F$91/100)+(1-Inputs!$F$100)*(Operations!X9+Inputs!$F$78+Inputs!$F$99+X9))/100*Time!X20/360</f>
        <v>0.0398053333333333</v>
      </c>
      <c r="Y14" s="14" t="n">
        <f aca="false">(Inputs!$F$100*(Operations!Y9+Y8+Inputs!$F$99+Y9)/(1-Inputs!$F$91/100)+(1-Inputs!$F$100)*(Operations!Y9+Inputs!$F$78+Inputs!$F$99+Y9))/100*Time!Y20/360</f>
        <v>0.0408322592592593</v>
      </c>
      <c r="Z14" s="14" t="n">
        <f aca="false">(Inputs!$F$100*(Operations!Z9+Z8+Inputs!$F$99+Z9)/(1-Inputs!$F$91/100)+(1-Inputs!$F$100)*(Operations!Z9+Inputs!$F$78+Inputs!$F$99+Z9))/100*Time!Z20/360</f>
        <v>0.041509037037037</v>
      </c>
      <c r="AA14" s="14" t="n">
        <f aca="false">(Inputs!$F$100*(Operations!AA9+AA8+Inputs!$F$99+AA9)/(1-Inputs!$F$91/100)+(1-Inputs!$F$100)*(Operations!AA9+Inputs!$F$78+Inputs!$F$99+AA9))/100*Time!AA20/360</f>
        <v>0.0408322592592593</v>
      </c>
      <c r="AB14" s="14" t="n">
        <f aca="false">(Inputs!$F$100*(Operations!AB9+AB8+Inputs!$F$99+AB9)/(1-Inputs!$F$91/100)+(1-Inputs!$F$100)*(Operations!AB9+Inputs!$F$78+Inputs!$F$99+AB9))/100*Time!AB20/360</f>
        <v>0.041509037037037</v>
      </c>
      <c r="AC14" s="14" t="n">
        <f aca="false">(Inputs!$F$100*(Operations!AC9+AC8+Inputs!$F$99+AC9)/(1-Inputs!$F$91/100)+(1-Inputs!$F$100)*(Operations!AC9+Inputs!$F$78+Inputs!$F$99+AC9))/100*Time!AC20/360</f>
        <v>0.0410578518518518</v>
      </c>
      <c r="AD14" s="14" t="n">
        <f aca="false">(Inputs!$F$100*(Operations!AD9+AD8+Inputs!$F$99+AD9)/(1-Inputs!$F$91/100)+(1-Inputs!$F$100)*(Operations!AD9+Inputs!$F$78+Inputs!$F$99+AD9))/100*Time!AD20/360</f>
        <v>0.041509037037037</v>
      </c>
      <c r="AE14" s="14" t="n">
        <f aca="false">(Inputs!$F$100*(Operations!AE9+AE8+Inputs!$F$99+AE9)/(1-Inputs!$F$91/100)+(1-Inputs!$F$100)*(Operations!AE9+Inputs!$F$78+Inputs!$F$99+AE9))/100*Time!AE20/360</f>
        <v>0.0408322592592593</v>
      </c>
      <c r="AF14" s="14" t="n">
        <f aca="false">(Inputs!$F$100*(Operations!AF9+AF8+Inputs!$F$99+AF9)/(1-Inputs!$F$91/100)+(1-Inputs!$F$100)*(Operations!AF9+Inputs!$F$78+Inputs!$F$99+AF9))/100*Time!AF20/360</f>
        <v>0.041509037037037</v>
      </c>
      <c r="AG14" s="14" t="n">
        <f aca="false">(Inputs!$F$100*(Operations!AG9+AG8+Inputs!$F$99+AG9)/(1-Inputs!$F$91/100)+(1-Inputs!$F$100)*(Operations!AG9+Inputs!$F$78+Inputs!$F$99+AG9))/100*Time!AG20/360</f>
        <v>0.0425081851851852</v>
      </c>
      <c r="AH14" s="14" t="n">
        <f aca="false">(Inputs!$F$100*(Operations!AH9+AH8+Inputs!$F$99+AH9)/(1-Inputs!$F$91/100)+(1-Inputs!$F$100)*(Operations!AH9+Inputs!$F$78+Inputs!$F$99+AH9))/100*Time!AH20/360</f>
        <v>0.0432127407407407</v>
      </c>
      <c r="AI14" s="14" t="n">
        <f aca="false">(Inputs!$F$100*(Operations!AI9+AI8+Inputs!$F$99+AI9)/(1-Inputs!$F$91/100)+(1-Inputs!$F$100)*(Operations!AI9+Inputs!$F$78+Inputs!$F$99+AI9))/100*Time!AI20/360</f>
        <v>0.0425081851851852</v>
      </c>
      <c r="AJ14" s="14" t="n">
        <f aca="false">(Inputs!$F$100*(Operations!AJ9+AJ8+Inputs!$F$99+AJ9)/(1-Inputs!$F$91/100)+(1-Inputs!$F$100)*(Operations!AJ9+Inputs!$F$78+Inputs!$F$99+AJ9))/100*Time!AJ20/360</f>
        <v>0.0432127407407407</v>
      </c>
      <c r="AK14" s="14" t="n">
        <f aca="false">(Inputs!$F$100*(Operations!AK9+AK8+Inputs!$F$99+AK9)/(1-Inputs!$F$91/100)+(1-Inputs!$F$100)*(Operations!AK9+Inputs!$F$78+Inputs!$F$99+AK9))/100*Time!AK20/360</f>
        <v>0.042743037037037</v>
      </c>
      <c r="AL14" s="14" t="n">
        <f aca="false">(Inputs!$F$100*(Operations!AL9+AL8+Inputs!$F$99+AL9)/(1-Inputs!$F$91/100)+(1-Inputs!$F$100)*(Operations!AL9+Inputs!$F$78+Inputs!$F$99+AL9))/100*Time!AL20/360</f>
        <v>0.0432127407407407</v>
      </c>
      <c r="AM14" s="14" t="n">
        <f aca="false">(Inputs!$F$100*(Operations!AM9+AM8+Inputs!$F$99+AM9)/(1-Inputs!$F$91/100)+(1-Inputs!$F$100)*(Operations!AM9+Inputs!$F$78+Inputs!$F$99+AM9))/100*Time!AM20/360</f>
        <v>0.0425081851851852</v>
      </c>
      <c r="AN14" s="14" t="n">
        <f aca="false">(Inputs!$F$100*(Operations!AN9+AN8+Inputs!$F$99+AN9)/(1-Inputs!$F$91/100)+(1-Inputs!$F$100)*(Operations!AN9+Inputs!$F$78+Inputs!$F$99+AN9))/100*Time!AN20/360</f>
        <v>0.0432127407407407</v>
      </c>
      <c r="AO14" s="14" t="n">
        <f aca="false">(Inputs!$F$100*(Operations!AO9+AO8+Inputs!$F$99+AO9)/(1-Inputs!$F$91/100)+(1-Inputs!$F$100)*(Operations!AO9+Inputs!$F$78+Inputs!$F$99+AO9))/100*Time!AO20/360</f>
        <v>0.0425081851851852</v>
      </c>
      <c r="AP14" s="14" t="n">
        <f aca="false">(Inputs!$F$100*(Operations!AP9+AP8+Inputs!$F$99+AP9)/(1-Inputs!$F$91/100)+(1-Inputs!$F$100)*(Operations!AP9+Inputs!$F$78+Inputs!$F$99+AP9))/100*Time!AP20/360</f>
        <v>0.0432127407407407</v>
      </c>
      <c r="AQ14" s="14" t="n">
        <f aca="false">(Inputs!$F$100*(Operations!AQ9+AQ8+Inputs!$F$99+AQ9)/(1-Inputs!$F$91/100)+(1-Inputs!$F$100)*(Operations!AQ9+Inputs!$F$78+Inputs!$F$99+AQ9))/100*Time!AQ20/360</f>
        <v>0.0425081851851852</v>
      </c>
      <c r="AR14" s="14" t="n">
        <f aca="false">(Inputs!$F$100*(Operations!AR9+AR8+Inputs!$F$99+AR9)/(1-Inputs!$F$91/100)+(1-Inputs!$F$100)*(Operations!AR9+Inputs!$F$78+Inputs!$F$99+AR9))/100*Time!AR20/360</f>
        <v>0.0432127407407407</v>
      </c>
      <c r="AS14" s="14" t="n">
        <f aca="false">(Inputs!$F$100*(Operations!AS9+AS8+Inputs!$F$99+AS9)/(1-Inputs!$F$91/100)+(1-Inputs!$F$100)*(Operations!AS9+Inputs!$F$78+Inputs!$F$99+AS9))/100*Time!AS20/360</f>
        <v>0.042743037037037</v>
      </c>
      <c r="AT14" s="14" t="n">
        <f aca="false">(Inputs!$F$100*(Operations!AT9+AT8+Inputs!$F$99+AT9)/(1-Inputs!$F$91/100)+(1-Inputs!$F$100)*(Operations!AT9+Inputs!$F$78+Inputs!$F$99+AT9))/100*Time!AT20/360</f>
        <v>0.0432127407407407</v>
      </c>
      <c r="AU14" s="14" t="n">
        <f aca="false">(Inputs!$F$100*(Operations!AU9+AU8+Inputs!$F$99+AU9)/(1-Inputs!$F$91/100)+(1-Inputs!$F$100)*(Operations!AU9+Inputs!$F$78+Inputs!$F$99+AU9))/100*Time!AU20/360</f>
        <v>0.0425081851851852</v>
      </c>
      <c r="AV14" s="14" t="n">
        <f aca="false">(Inputs!$F$100*(Operations!AV9+AV8+Inputs!$F$99+AV9)/(1-Inputs!$F$91/100)+(1-Inputs!$F$100)*(Operations!AV9+Inputs!$F$78+Inputs!$F$99+AV9))/100*Time!AV20/360</f>
        <v>0.0432127407407407</v>
      </c>
      <c r="AW14" s="14" t="n">
        <f aca="false">(Inputs!$F$100*(Operations!AW9+AW8+Inputs!$F$99+AW9)/(1-Inputs!$F$91/100)+(1-Inputs!$F$100)*(Operations!AW9+Inputs!$F$78+Inputs!$F$99+AW9))/100*Time!AW20/360</f>
        <v>0.0425081851851852</v>
      </c>
      <c r="AX14" s="14" t="n">
        <f aca="false">(Inputs!$F$100*(Operations!AX9+AX8+Inputs!$F$99+AX9)/(1-Inputs!$F$91/100)+(1-Inputs!$F$100)*(Operations!AX9+Inputs!$F$78+Inputs!$F$99+AX9))/100*Time!AX20/360</f>
        <v>0.0432127407407407</v>
      </c>
      <c r="AY14" s="14" t="n">
        <f aca="false">(Inputs!$F$100*(Operations!AY9+AY8+Inputs!$F$99+AY9)/(1-Inputs!$F$91/100)+(1-Inputs!$F$100)*(Operations!AY9+Inputs!$F$78+Inputs!$F$99+AY9))/100*Time!AY20/360</f>
        <v>0.0425081851851852</v>
      </c>
      <c r="AZ14" s="14" t="n">
        <f aca="false">(Inputs!$F$100*(Operations!AZ9+AZ8+Inputs!$F$99+AZ9)/(1-Inputs!$F$91/100)+(1-Inputs!$F$100)*(Operations!AZ9+Inputs!$F$78+Inputs!$F$99+AZ9))/100*Time!AZ20/360</f>
        <v>0.0432127407407407</v>
      </c>
      <c r="BA14" s="14" t="n">
        <f aca="false">(Inputs!$F$100*(Operations!BA9+BA8+Inputs!$F$99+BA9)/(1-Inputs!$F$91/100)+(1-Inputs!$F$100)*(Operations!BA9+Inputs!$F$78+Inputs!$F$99+BA9))/100*Time!BA20/360</f>
        <v>0.042743037037037</v>
      </c>
      <c r="BB14" s="14" t="n">
        <f aca="false">(Inputs!$F$100*(Operations!BB9+BB8+Inputs!$F$99+BB9)/(1-Inputs!$F$91/100)+(1-Inputs!$F$100)*(Operations!BB9+Inputs!$F$78+Inputs!$F$99+BB9))/100*Time!BB20/360</f>
        <v>0.0432127407407407</v>
      </c>
      <c r="BC14" s="14" t="n">
        <f aca="false">(Inputs!$F$100*(Operations!BC9+BC8+Inputs!$F$99+BC9)/(1-Inputs!$F$91/100)+(1-Inputs!$F$100)*(Operations!BC9+Inputs!$F$78+Inputs!$F$99+BC9))/100*Time!BC20/360</f>
        <v>0.0425081851851852</v>
      </c>
      <c r="BD14" s="14" t="n">
        <f aca="false">(Inputs!$F$100*(Operations!BD9+BD8+Inputs!$F$99+BD9)/(1-Inputs!$F$91/100)+(1-Inputs!$F$100)*(Operations!BD9+Inputs!$F$78+Inputs!$F$99+BD9))/100*Time!BD20/360</f>
        <v>0.0432127407407407</v>
      </c>
      <c r="BE14" s="14" t="n">
        <f aca="false">(Inputs!$F$100*(Operations!BE9+BE8+Inputs!$F$99+BE9)/(1-Inputs!$F$91/100)+(1-Inputs!$F$100)*(Operations!BE9+Inputs!$F$78+Inputs!$F$99+BE9))/100*Time!BE20/360</f>
        <v>0.0425081851851852</v>
      </c>
      <c r="BF14" s="14" t="n">
        <f aca="false">(Inputs!$F$100*(Operations!BF9+BF8+Inputs!$F$99+BF9)/(1-Inputs!$F$91/100)+(1-Inputs!$F$100)*(Operations!BF9+Inputs!$F$78+Inputs!$F$99+BF9))/100*Time!BF20/360</f>
        <v>0.0432127407407407</v>
      </c>
      <c r="BG14" s="14" t="n">
        <f aca="false">(Inputs!$F$100*(Operations!BG9+BG8+Inputs!$F$99+BG9)/(1-Inputs!$F$91/100)+(1-Inputs!$F$100)*(Operations!BG9+Inputs!$F$78+Inputs!$F$99+BG9))/100*Time!BG20/360</f>
        <v>0.0425081851851852</v>
      </c>
      <c r="BH14" s="14" t="n">
        <f aca="false">(Inputs!$F$100*(Operations!BH9+BH8+Inputs!$F$99+BH9)/(1-Inputs!$F$91/100)+(1-Inputs!$F$100)*(Operations!BH9+Inputs!$F$78+Inputs!$F$99+BH9))/100*Time!BH20/360</f>
        <v>0.0432127407407407</v>
      </c>
      <c r="BI14" s="14" t="n">
        <f aca="false">(Inputs!$F$100*(Operations!BI9+BI8+Inputs!$F$99+BI9)/(1-Inputs!$F$91/100)+(1-Inputs!$F$100)*(Operations!BI9+Inputs!$F$78+Inputs!$F$99+BI9))/100*Time!BI20/360</f>
        <v>0.042743037037037</v>
      </c>
      <c r="BJ14" s="14" t="n">
        <f aca="false">(Inputs!$F$100*(Operations!BJ9+BJ8+Inputs!$F$99+BJ9)/(1-Inputs!$F$91/100)+(1-Inputs!$F$100)*(Operations!BJ9+Inputs!$F$78+Inputs!$F$99+BJ9))/100*Time!BJ20/360</f>
        <v>0.0432127407407407</v>
      </c>
      <c r="BK14" s="14" t="n">
        <f aca="false">(Inputs!$F$100*(Operations!BK9+BK8+Inputs!$F$99+BK9)/(1-Inputs!$F$91/100)+(1-Inputs!$F$100)*(Operations!BK9+Inputs!$F$78+Inputs!$F$99+BK9))/100*Time!BK20/360</f>
        <v>0.0425081851851852</v>
      </c>
      <c r="BL14" s="14" t="n">
        <f aca="false">(Inputs!$F$100*(Operations!BL9+BL8+Inputs!$F$99+BL9)/(1-Inputs!$F$91/100)+(1-Inputs!$F$100)*(Operations!BL9+Inputs!$F$78+Inputs!$F$99+BL9))/100*Time!BL20/360</f>
        <v>0.0432127407407407</v>
      </c>
      <c r="BM14" s="14" t="n">
        <f aca="false">(Inputs!$F$100*(Operations!BM9+BM8+Inputs!$F$99+BM9)/(1-Inputs!$F$91/100)+(1-Inputs!$F$100)*(Operations!BM9+Inputs!$F$78+Inputs!$F$99+BM9))/100*Time!BM20/360</f>
        <v>0.0425081851851852</v>
      </c>
      <c r="BN14" s="14" t="n">
        <f aca="false">(Inputs!$F$100*(Operations!BN9+BN8+Inputs!$F$99+BN9)/(1-Inputs!$F$91/100)+(1-Inputs!$F$100)*(Operations!BN9+Inputs!$F$78+Inputs!$F$99+BN9))/100*Time!BN20/360</f>
        <v>0.0432127407407407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Inputs!$F$49*IF(Time!J17=15,1,0)</f>
        <v>0</v>
      </c>
      <c r="K20" s="9" t="n">
        <f aca="false">Inputs!$F$49*IF(Time!K17=15,1,0)</f>
        <v>0</v>
      </c>
      <c r="L20" s="9" t="n">
        <f aca="false">Inputs!$F$49*IF(Time!L17=15,1,0)</f>
        <v>0</v>
      </c>
      <c r="M20" s="9" t="n">
        <f aca="false">Inputs!$F$49*IF(Time!M17=15,1,0)</f>
        <v>0</v>
      </c>
      <c r="N20" s="9" t="n">
        <f aca="false">Inputs!$F$49*IF(Time!N17=15,1,0)</f>
        <v>0</v>
      </c>
      <c r="O20" s="9" t="n">
        <f aca="false">Inputs!$F$49*IF(Time!O17=15,1,0)</f>
        <v>0</v>
      </c>
      <c r="P20" s="9" t="n">
        <f aca="false">Inputs!$F$49*IF(Time!P17=15,1,0)</f>
        <v>0</v>
      </c>
      <c r="Q20" s="9" t="n">
        <f aca="false">Inputs!$F$49*IF(Time!Q17=15,1,0)</f>
        <v>0</v>
      </c>
      <c r="R20" s="9" t="n">
        <f aca="false">Inputs!$F$49*IF(Time!R17=15,1,0)</f>
        <v>0</v>
      </c>
      <c r="S20" s="9" t="n">
        <f aca="false">Inputs!$F$49*IF(Time!S17=15,1,0)</f>
        <v>0</v>
      </c>
      <c r="T20" s="9" t="n">
        <f aca="false">Inputs!$F$49*IF(Time!T17=15,1,0)</f>
        <v>0</v>
      </c>
      <c r="U20" s="9" t="n">
        <f aca="false">Inputs!$F$49*IF(Time!U17=15,1,0)</f>
        <v>0</v>
      </c>
      <c r="V20" s="9" t="n">
        <f aca="false">Inputs!$F$49*IF(Time!V17=15,1,0)</f>
        <v>0</v>
      </c>
      <c r="W20" s="9" t="n">
        <f aca="false">Inputs!$F$49*IF(Time!W17=15,1,0)</f>
        <v>0</v>
      </c>
      <c r="X20" s="9" t="n">
        <f aca="false">Inputs!$F$49*IF(Time!X17=15,1,0)</f>
        <v>0</v>
      </c>
      <c r="Y20" s="9" t="n">
        <f aca="false">Inputs!$F$49*IF(Time!Y17=15,1,0)</f>
        <v>0</v>
      </c>
      <c r="Z20" s="9" t="n">
        <f aca="false">Inputs!$F$49*IF(Time!Z17=15,1,0)</f>
        <v>0</v>
      </c>
      <c r="AA20" s="9" t="n">
        <f aca="false">Inputs!$F$49*IF(Time!AA17=15,1,0)</f>
        <v>0</v>
      </c>
      <c r="AB20" s="9" t="n">
        <f aca="false">Inputs!$F$49*IF(Time!AB17=15,1,0)</f>
        <v>0</v>
      </c>
      <c r="AC20" s="9" t="n">
        <f aca="false">Inputs!$F$49*IF(Time!AC17=15,1,0)</f>
        <v>0</v>
      </c>
      <c r="AD20" s="9" t="n">
        <f aca="false">Inputs!$F$49*IF(Time!AD17=15,1,0)</f>
        <v>0</v>
      </c>
      <c r="AE20" s="9" t="n">
        <f aca="false">Inputs!$F$49*IF(Time!AE17=15,1,0)</f>
        <v>0</v>
      </c>
      <c r="AF20" s="9" t="n">
        <f aca="false">Inputs!$F$49*IF(Time!AF17=15,1,0)</f>
        <v>0</v>
      </c>
      <c r="AG20" s="9" t="n">
        <f aca="false">Inputs!$F$49*IF(Time!AG17=15,1,0)</f>
        <v>0</v>
      </c>
      <c r="AH20" s="9" t="n">
        <f aca="false">Inputs!$F$49*IF(Time!AH17=15,1,0)</f>
        <v>0</v>
      </c>
      <c r="AI20" s="9" t="n">
        <f aca="false">Inputs!$F$49*IF(Time!AI17=15,1,0)</f>
        <v>0</v>
      </c>
      <c r="AJ20" s="9" t="n">
        <f aca="false">Inputs!$F$49*IF(Time!AJ17=15,1,0)</f>
        <v>0</v>
      </c>
      <c r="AK20" s="9" t="n">
        <f aca="false">Inputs!$F$49*IF(Time!AK17=15,1,0)</f>
        <v>0</v>
      </c>
      <c r="AL20" s="9" t="n">
        <f aca="false">Inputs!$F$49*IF(Time!AL17=15,1,0)</f>
        <v>0</v>
      </c>
      <c r="AM20" s="9" t="n">
        <f aca="false">Inputs!$F$49*IF(Time!AM17=15,1,0)</f>
        <v>0</v>
      </c>
      <c r="AN20" s="9" t="n">
        <f aca="false">Inputs!$F$49*IF(Time!AN17=15,1,0)</f>
        <v>0</v>
      </c>
      <c r="AO20" s="9" t="n">
        <f aca="false">Inputs!$F$49*IF(Time!AO17=15,1,0)</f>
        <v>0</v>
      </c>
      <c r="AP20" s="9" t="n">
        <f aca="false">Inputs!$F$49*IF(Time!AP17=15,1,0)</f>
        <v>0</v>
      </c>
      <c r="AQ20" s="9" t="n">
        <f aca="false">Inputs!$F$49*IF(Time!AQ17=15,1,0)</f>
        <v>0</v>
      </c>
      <c r="AR20" s="9" t="n">
        <f aca="false">Inputs!$F$49*IF(Time!AR17=15,1,0)</f>
        <v>0</v>
      </c>
      <c r="AS20" s="9" t="n">
        <f aca="false">Inputs!$F$49*IF(Time!AS17=15,1,0)</f>
        <v>0</v>
      </c>
      <c r="AT20" s="9" t="n">
        <f aca="false">Inputs!$F$49*IF(Time!AT17=15,1,0)</f>
        <v>0</v>
      </c>
      <c r="AU20" s="9" t="n">
        <f aca="false">Inputs!$F$49*IF(Time!AU17=15,1,0)</f>
        <v>0</v>
      </c>
      <c r="AV20" s="9" t="n">
        <f aca="false">Inputs!$F$49*IF(Time!AV17=15,1,0)</f>
        <v>0</v>
      </c>
      <c r="AW20" s="9" t="n">
        <f aca="false">Inputs!$F$49*IF(Time!AW17=15,1,0)</f>
        <v>0</v>
      </c>
      <c r="AX20" s="9" t="n">
        <f aca="false">Inputs!$F$49*IF(Time!AX17=15,1,0)</f>
        <v>0</v>
      </c>
      <c r="AY20" s="9" t="n">
        <f aca="false">Inputs!$F$49*IF(Time!AY17=15,1,0)</f>
        <v>0</v>
      </c>
      <c r="AZ20" s="9" t="n">
        <f aca="false">Inputs!$F$49*IF(Time!AZ17=15,1,0)</f>
        <v>0</v>
      </c>
      <c r="BA20" s="9" t="n">
        <f aca="false">Inputs!$F$49*IF(Time!BA17=15,1,0)</f>
        <v>0</v>
      </c>
      <c r="BB20" s="9" t="n">
        <f aca="false">Inputs!$F$49*IF(Time!BB17=15,1,0)</f>
        <v>0</v>
      </c>
      <c r="BC20" s="9" t="n">
        <f aca="false">Inputs!$F$49*IF(Time!BC17=15,1,0)</f>
        <v>0</v>
      </c>
      <c r="BD20" s="9" t="n">
        <f aca="false">Inputs!$F$49*IF(Time!BD17=15,1,0)</f>
        <v>0</v>
      </c>
      <c r="BE20" s="9" t="n">
        <f aca="false">Inputs!$F$49*IF(Time!BE17=15,1,0)</f>
        <v>0</v>
      </c>
      <c r="BF20" s="9" t="n">
        <f aca="false">Inputs!$F$49*IF(Time!BF17=15,1,0)</f>
        <v>0</v>
      </c>
      <c r="BG20" s="9" t="n">
        <f aca="false">Inputs!$F$49*IF(Time!BG17=15,1,0)</f>
        <v>0</v>
      </c>
      <c r="BH20" s="9" t="n">
        <f aca="false">Inputs!$F$49*IF(Time!BH17=15,1,0)</f>
        <v>0</v>
      </c>
      <c r="BI20" s="9" t="n">
        <f aca="false">Inputs!$F$49*IF(Time!BI17=15,1,0)</f>
        <v>0</v>
      </c>
      <c r="BJ20" s="9" t="n">
        <f aca="false">Inputs!$F$49*IF(Time!BJ17=15,1,0)</f>
        <v>0</v>
      </c>
      <c r="BK20" s="9" t="n">
        <f aca="false">Inputs!$F$49*IF(Time!BK17=15,1,0)</f>
        <v>0</v>
      </c>
      <c r="BL20" s="9" t="n">
        <f aca="false">Inputs!$F$49*IF(Time!BL17=15,1,0)</f>
        <v>0</v>
      </c>
      <c r="BM20" s="9" t="n">
        <f aca="false">Inputs!$F$49*IF(Time!BM17=15,1,0)</f>
        <v>0</v>
      </c>
      <c r="BN20" s="9" t="n">
        <f aca="false">Inputs!$F$49*IF(Time!BN17=15,1,0)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0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0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0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0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0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0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148.956486611802</v>
      </c>
      <c r="AC70" s="11" t="n">
        <f aca="false">Time!AC30*AB83</f>
        <v>134.129528584404</v>
      </c>
      <c r="AD70" s="11" t="n">
        <f aca="false">Time!AD30*AC83</f>
        <v>119.799517676831</v>
      </c>
      <c r="AE70" s="11" t="n">
        <f aca="false">Time!AE30*AD83</f>
        <v>103.869619982975</v>
      </c>
      <c r="AF70" s="11" t="n">
        <f aca="false">Time!AF30*AE83</f>
        <v>87.6110124554765</v>
      </c>
      <c r="AG70" s="11" t="n">
        <f aca="false">Time!AG30*AF83</f>
        <v>70.952561010879</v>
      </c>
      <c r="AH70" s="11" t="n">
        <f aca="false">Time!AH30*AG83</f>
        <v>54.6736392821866</v>
      </c>
      <c r="AI70" s="11" t="n">
        <f aca="false">Time!AI30*AH83</f>
        <v>37.8231574367591</v>
      </c>
      <c r="AJ70" s="11" t="n">
        <f aca="false">Time!AJ30*AI83</f>
        <v>21.4456529359356</v>
      </c>
      <c r="AK70" s="11" t="n">
        <f aca="false">Time!AK30*AJ83</f>
        <v>4.93183752802069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135.500020722936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6.53054660809668</v>
      </c>
      <c r="AC72" s="11" t="n">
        <f aca="false">AC70*AC13</f>
        <v>5.8165849642664</v>
      </c>
      <c r="AD72" s="11" t="n">
        <f aca="false">AD70*AD13</f>
        <v>5.25224749597484</v>
      </c>
      <c r="AE72" s="11" t="n">
        <f aca="false">AE70*AE13</f>
        <v>4.47960177143861</v>
      </c>
      <c r="AF72" s="11" t="n">
        <f aca="false">AF70*AF13</f>
        <v>3.84103984483813</v>
      </c>
      <c r="AG72" s="11" t="n">
        <f aca="false">AG70*AG13</f>
        <v>3.25816788034586</v>
      </c>
      <c r="AH72" s="11" t="n">
        <f aca="false">AH70*AH13</f>
        <v>2.55224647967659</v>
      </c>
      <c r="AI72" s="11" t="n">
        <f aca="false">AI70*AI13</f>
        <v>1.73685339807281</v>
      </c>
      <c r="AJ72" s="11" t="n">
        <f aca="false">AJ70*AJ13</f>
        <v>1.00111485038716</v>
      </c>
      <c r="AK72" s="11" t="n">
        <f aca="false">AK70*AK13</f>
        <v>0.227723031340126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149.986228455854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8.26679640047391</v>
      </c>
      <c r="AC73" s="11" t="n">
        <f aca="false">Time!AC30*(AC70-AC71)*AC19</f>
        <v>8.14242356400854</v>
      </c>
      <c r="AD73" s="11" t="n">
        <f aca="false">Time!AD30*(AD70-AD71)*AD19</f>
        <v>8.45427320847727</v>
      </c>
      <c r="AE73" s="11" t="n">
        <f aca="false">Time!AE30*(AE70-AE71)*AE19</f>
        <v>8.22563345933548</v>
      </c>
      <c r="AF73" s="11" t="n">
        <f aca="false">Time!AF30*(AF70-AF71)*AF19</f>
        <v>7.79911006957851</v>
      </c>
      <c r="AG73" s="11" t="n">
        <f aca="false">Time!AG30*(AG70-AG71)*AG19</f>
        <v>7.06278664010458</v>
      </c>
      <c r="AH73" s="11" t="n">
        <f aca="false">Time!AH30*(AH70-AH71)*AH19</f>
        <v>6.34739267753819</v>
      </c>
      <c r="AI73" s="11" t="n">
        <f aca="false">Time!AI30*(AI70-AI71)*AI19</f>
        <v>5.11373752427244</v>
      </c>
      <c r="AJ73" s="11" t="n">
        <f aca="false">Time!AJ30*(AJ70-AJ71)*AJ19</f>
        <v>3.51464282200192</v>
      </c>
      <c r="AK73" s="11" t="n">
        <f aca="false">Time!AK30*(AK70-AK71)*AK19</f>
        <v>0.99797539150721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149.986228455854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8.26679640047391</v>
      </c>
      <c r="AC77" s="11" t="n">
        <f aca="false">AC73-AC74+AC76</f>
        <v>8.14242356400854</v>
      </c>
      <c r="AD77" s="11" t="n">
        <f aca="false">AD73-AD74+AD76</f>
        <v>8.45427320847727</v>
      </c>
      <c r="AE77" s="11" t="n">
        <f aca="false">AE73-AE74+AE76</f>
        <v>8.22563345933548</v>
      </c>
      <c r="AF77" s="11" t="n">
        <f aca="false">AF73-AF74+AF76</f>
        <v>7.79911006957851</v>
      </c>
      <c r="AG77" s="11" t="n">
        <f aca="false">AG73-AG74+AG76</f>
        <v>7.06278664010458</v>
      </c>
      <c r="AH77" s="11" t="n">
        <f aca="false">AH73-AH74+AH76</f>
        <v>6.34739267753819</v>
      </c>
      <c r="AI77" s="11" t="n">
        <f aca="false">AI73-AI74+AI76</f>
        <v>5.11373752427244</v>
      </c>
      <c r="AJ77" s="11" t="n">
        <f aca="false">AJ73-AJ74+AJ76</f>
        <v>3.51464282200192</v>
      </c>
      <c r="AK77" s="11" t="n">
        <f aca="false">AK73-AK74+AK76</f>
        <v>0.99797539150721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0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0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140.689690211328</v>
      </c>
      <c r="AC81" s="11" t="n">
        <f aca="false">AC70-AC77-AC78-AC79</f>
        <v>125.987105020396</v>
      </c>
      <c r="AD81" s="11" t="n">
        <f aca="false">AD70-AD77-AD78-AD79</f>
        <v>111.345244468354</v>
      </c>
      <c r="AE81" s="11" t="n">
        <f aca="false">AE70-AE77-AE78-AE79</f>
        <v>95.6439865236398</v>
      </c>
      <c r="AF81" s="11" t="n">
        <f aca="false">AF70-AF77-AF78-AF79</f>
        <v>79.811902385898</v>
      </c>
      <c r="AG81" s="11" t="n">
        <f aca="false">AG70-AG77-AG78-AG79</f>
        <v>63.8897743707744</v>
      </c>
      <c r="AH81" s="11" t="n">
        <f aca="false">AH70-AH77-AH78-AH79</f>
        <v>48.3262466046484</v>
      </c>
      <c r="AI81" s="11" t="n">
        <f aca="false">AI70-AI77-AI78-AI79</f>
        <v>32.7094199124867</v>
      </c>
      <c r="AJ81" s="11" t="n">
        <f aca="false">AJ70-AJ77-AJ78-AJ79</f>
        <v>17.9310101139337</v>
      </c>
      <c r="AK81" s="11" t="n">
        <f aca="false">AK70-AK77-AK78-AK79</f>
        <v>3.93386213651348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90.6510422504004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5.61932739589651</v>
      </c>
      <c r="AB82" s="11" t="n">
        <f aca="false">Waterfall!AB28*AB81/(AB36+AB51+AB66+AB81+AB96+0.000000001)+Waterfall!AB29</f>
        <v>6.56016162692373</v>
      </c>
      <c r="AC82" s="11" t="n">
        <f aca="false">Waterfall!AC28*AC81/(AC36+AC51+AC66+AC81+AC96+0.000000001)+Waterfall!AC29</f>
        <v>6.18758734356492</v>
      </c>
      <c r="AD82" s="11" t="n">
        <f aca="false">Waterfall!AD28*AD81/(AD36+AD51+AD66+AD81+AD96+0.000000001)+Waterfall!AD29</f>
        <v>7.4756244853783</v>
      </c>
      <c r="AE82" s="11" t="n">
        <f aca="false">Waterfall!AE28*AE81/(AE36+AE51+AE66+AE81+AE96+0.000000001)+Waterfall!AE29</f>
        <v>8.03297406816327</v>
      </c>
      <c r="AF82" s="11" t="n">
        <f aca="false">Waterfall!AF28*AF81/(AF36+AF51+AF66+AF81+AF96+0.000000001)+Waterfall!AF29</f>
        <v>8.85934137501908</v>
      </c>
      <c r="AG82" s="11" t="n">
        <f aca="false">Waterfall!AG28*AG81/(AG36+AG51+AG66+AG81+AG96+0.000000001)+Waterfall!AG29</f>
        <v>9.21613508858781</v>
      </c>
      <c r="AH82" s="11" t="n">
        <f aca="false">Waterfall!AH28*AH81/(AH36+AH51+AH66+AH81+AH96+0.000000001)+Waterfall!AH29</f>
        <v>10.5030891678893</v>
      </c>
      <c r="AI82" s="11" t="n">
        <f aca="false">Waterfall!AI28*AI81/(AI36+AI51+AI66+AI81+AI96+0.000000001)+Waterfall!AI29</f>
        <v>11.2637669765511</v>
      </c>
      <c r="AJ82" s="11" t="n">
        <f aca="false">Waterfall!AJ28*AJ81/(AJ36+AJ51+AJ66+AJ81+AJ96+0.000000001)+Waterfall!AJ29</f>
        <v>12.999172585913</v>
      </c>
      <c r="AK82" s="11" t="n">
        <f aca="false">Waterfall!AK28*AK81/(AK36+AK51+AK66+AK81+AK96+0.000000001)+Waterfall!AK29</f>
        <v>3.93386213651348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148.956486611802</v>
      </c>
      <c r="AB83" s="11" t="n">
        <f aca="false">IF(Time!AB29=1,INDEX(Funding!$J$64:$BJ$64,1,Time!$F$13),Time!AB30*(AB81-AB82))</f>
        <v>134.129528584404</v>
      </c>
      <c r="AC83" s="11" t="n">
        <f aca="false">IF(Time!AC29=1,INDEX(Funding!$J$64:$BJ$64,1,Time!$F$13),Time!AC30*(AC81-AC82))</f>
        <v>119.799517676831</v>
      </c>
      <c r="AD83" s="11" t="n">
        <f aca="false">IF(Time!AD29=1,INDEX(Funding!$J$64:$BJ$64,1,Time!$F$13),Time!AD30*(AD81-AD82))</f>
        <v>103.869619982975</v>
      </c>
      <c r="AE83" s="11" t="n">
        <f aca="false">IF(Time!AE29=1,INDEX(Funding!$J$64:$BJ$64,1,Time!$F$13),Time!AE30*(AE81-AE82))</f>
        <v>87.6110124554765</v>
      </c>
      <c r="AF83" s="11" t="n">
        <f aca="false">IF(Time!AF29=1,INDEX(Funding!$J$64:$BJ$64,1,Time!$F$13),Time!AF30*(AF81-AF82))</f>
        <v>70.952561010879</v>
      </c>
      <c r="AG83" s="11" t="n">
        <f aca="false">IF(Time!AG29=1,INDEX(Funding!$J$64:$BJ$64,1,Time!$F$13),Time!AG30*(AG81-AG82))</f>
        <v>54.6736392821866</v>
      </c>
      <c r="AH83" s="11" t="n">
        <f aca="false">IF(Time!AH29=1,INDEX(Funding!$J$64:$BJ$64,1,Time!$F$13),Time!AH30*(AH81-AH82))</f>
        <v>37.8231574367591</v>
      </c>
      <c r="AI83" s="11" t="n">
        <f aca="false">IF(Time!AI29=1,INDEX(Funding!$J$64:$BJ$64,1,Time!$F$13),Time!AI30*(AI81-AI82))</f>
        <v>21.4456529359356</v>
      </c>
      <c r="AJ83" s="11" t="n">
        <f aca="false">IF(Time!AJ29=1,INDEX(Funding!$J$64:$BJ$64,1,Time!$F$13),Time!AJ30*(AJ81-AJ82))</f>
        <v>4.93183752802069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IF(Time!J17&gt;15,(1+Inputs!$F$199/200)^-(Time!J17-15),0)</f>
        <v>0</v>
      </c>
      <c r="K106" s="10" t="n">
        <f aca="false">IF(Time!K17&gt;15,(1+Inputs!$F$199/200)^-(Time!K17-15),0)</f>
        <v>0</v>
      </c>
      <c r="L106" s="10" t="n">
        <f aca="false">IF(Time!L17&gt;15,(1+Inputs!$F$199/200)^-(Time!L17-15),0)</f>
        <v>0</v>
      </c>
      <c r="M106" s="10" t="n">
        <f aca="false">IF(Time!M17&gt;15,(1+Inputs!$F$199/200)^-(Time!M17-15),0)</f>
        <v>0</v>
      </c>
      <c r="N106" s="10" t="n">
        <f aca="false">IF(Time!N17&gt;15,(1+Inputs!$F$199/200)^-(Time!N17-15),0)</f>
        <v>0</v>
      </c>
      <c r="O106" s="10" t="n">
        <f aca="false">IF(Time!O17&gt;15,(1+Inputs!$F$199/200)^-(Time!O17-15),0)</f>
        <v>0</v>
      </c>
      <c r="P106" s="10" t="n">
        <f aca="false">IF(Time!P17&gt;15,(1+Inputs!$F$199/200)^-(Time!P17-15),0)</f>
        <v>0</v>
      </c>
      <c r="Q106" s="10" t="n">
        <f aca="false">IF(Time!Q17&gt;15,(1+Inputs!$F$199/200)^-(Time!Q17-15),0)</f>
        <v>0</v>
      </c>
      <c r="R106" s="10" t="n">
        <f aca="false">IF(Time!R17&gt;15,(1+Inputs!$F$199/200)^-(Time!R17-15),0)</f>
        <v>0</v>
      </c>
      <c r="S106" s="10" t="n">
        <f aca="false">IF(Time!S17&gt;15,(1+Inputs!$F$199/200)^-(Time!S17-15),0)</f>
        <v>0</v>
      </c>
      <c r="T106" s="10" t="n">
        <f aca="false">IF(Time!T17&gt;15,(1+Inputs!$F$199/200)^-(Time!T17-15),0)</f>
        <v>0</v>
      </c>
      <c r="U106" s="10" t="n">
        <f aca="false">IF(Time!U17&gt;15,(1+Inputs!$F$199/200)^-(Time!U17-15),0)</f>
        <v>0</v>
      </c>
      <c r="V106" s="10" t="n">
        <f aca="false">IF(Time!V17&gt;15,(1+Inputs!$F$199/200)^-(Time!V17-15),0)</f>
        <v>0</v>
      </c>
      <c r="W106" s="10" t="n">
        <f aca="false">IF(Time!W17&gt;15,(1+Inputs!$F$199/200)^-(Time!W17-15),0)</f>
        <v>0</v>
      </c>
      <c r="X106" s="10" t="n">
        <f aca="false">IF(Time!X17&gt;15,(1+Inputs!$F$199/200)^-(Time!X17-15),0)</f>
        <v>0</v>
      </c>
      <c r="Y106" s="10" t="n">
        <f aca="false">IF(Time!Y17&gt;15,(1+Inputs!$F$199/200)^-(Time!Y17-15),0)</f>
        <v>0.981932443047918</v>
      </c>
      <c r="Z106" s="10" t="n">
        <f aca="false">IF(Time!Z17&gt;15,(1+Inputs!$F$199/200)^-(Time!Z17-15),0)</f>
        <v>0.964191322710053</v>
      </c>
      <c r="AA106" s="10" t="n">
        <f aca="false">IF(Time!AA17&gt;15,(1+Inputs!$F$199/200)^-(Time!AA17-15),0)</f>
        <v>0.946770741074287</v>
      </c>
      <c r="AB106" s="10" t="n">
        <f aca="false">IF(Time!AB17&gt;15,(1+Inputs!$F$199/200)^-(Time!AB17-15),0)</f>
        <v>0.929664906789362</v>
      </c>
      <c r="AC106" s="10" t="n">
        <f aca="false">IF(Time!AC17&gt;15,(1+Inputs!$F$199/200)^-(Time!AC17-15),0)</f>
        <v>0.912868133139594</v>
      </c>
      <c r="AD106" s="10" t="n">
        <f aca="false">IF(Time!AD17&gt;15,(1+Inputs!$F$199/200)^-(Time!AD17-15),0)</f>
        <v>0.896374836154354</v>
      </c>
      <c r="AE106" s="10" t="n">
        <f aca="false">IF(Time!AE17&gt;15,(1+Inputs!$F$199/200)^-(Time!AE17-15),0)</f>
        <v>0.880179532751722</v>
      </c>
      <c r="AF106" s="10" t="n">
        <f aca="false">IF(Time!AF17&gt;15,(1+Inputs!$F$199/200)^-(Time!AF17-15),0)</f>
        <v>0.864276838915674</v>
      </c>
      <c r="AG106" s="10" t="n">
        <f aca="false">IF(Time!AG17&gt;15,(1+Inputs!$F$199/200)^-(Time!AG17-15),0)</f>
        <v>0.8486614679062</v>
      </c>
      <c r="AH106" s="10" t="n">
        <f aca="false">IF(Time!AH17&gt;15,(1+Inputs!$F$199/200)^-(Time!AH17-15),0)</f>
        <v>0.833328228501767</v>
      </c>
      <c r="AI106" s="10" t="n">
        <f aca="false">IF(Time!AI17&gt;15,(1+Inputs!$F$199/200)^-(Time!AI17-15),0)</f>
        <v>0.818272023273534</v>
      </c>
      <c r="AJ106" s="10" t="n">
        <f aca="false">IF(Time!AJ17&gt;15,(1+Inputs!$F$199/200)^-(Time!AJ17-15),0)</f>
        <v>0.803487846890745</v>
      </c>
      <c r="AK106" s="10" t="n">
        <f aca="false">IF(Time!AK17&gt;15,(1+Inputs!$F$199/200)^-(Time!AK17-15),0)</f>
        <v>0.78897078445674</v>
      </c>
      <c r="AL106" s="10" t="n">
        <f aca="false">IF(Time!AL17&gt;15,(1+Inputs!$F$199/200)^-(Time!AL17-15),0)</f>
        <v>0.77471600987504</v>
      </c>
      <c r="AM106" s="10" t="n">
        <f aca="false">IF(Time!AM17&gt;15,(1+Inputs!$F$199/200)^-(Time!AM17-15),0)</f>
        <v>0.760718784244933</v>
      </c>
      <c r="AN106" s="10" t="n">
        <f aca="false">IF(Time!AN17&gt;15,(1+Inputs!$F$199/200)^-(Time!AN17-15),0)</f>
        <v>0.746974454286069</v>
      </c>
      <c r="AO106" s="10" t="n">
        <f aca="false">IF(Time!AO17&gt;15,(1+Inputs!$F$199/200)^-(Time!AO17-15),0)</f>
        <v>0.733478450791506</v>
      </c>
      <c r="AP106" s="10" t="n">
        <f aca="false">IF(Time!AP17&gt;15,(1+Inputs!$F$199/200)^-(Time!AP17-15),0)</f>
        <v>0.720226287108706</v>
      </c>
      <c r="AQ106" s="10" t="n">
        <f aca="false">IF(Time!AQ17&gt;15,(1+Inputs!$F$199/200)^-(Time!AQ17-15),0)</f>
        <v>0.707213557647983</v>
      </c>
      <c r="AR106" s="10" t="n">
        <f aca="false">IF(Time!AR17&gt;15,(1+Inputs!$F$199/200)^-(Time!AR17-15),0)</f>
        <v>0.694435936417893</v>
      </c>
      <c r="AS106" s="10" t="n">
        <f aca="false">IF(Time!AS17&gt;15,(1+Inputs!$F$199/200)^-(Time!AS17-15),0)</f>
        <v>0.681889175587091</v>
      </c>
      <c r="AT106" s="10" t="n">
        <f aca="false">IF(Time!AT17&gt;15,(1+Inputs!$F$199/200)^-(Time!AT17-15),0)</f>
        <v>0.669569104072163</v>
      </c>
      <c r="AU106" s="10" t="n">
        <f aca="false">IF(Time!AU17&gt;15,(1+Inputs!$F$199/200)^-(Time!AU17-15),0)</f>
        <v>0.657471626150985</v>
      </c>
      <c r="AV106" s="10" t="n">
        <f aca="false">IF(Time!AV17&gt;15,(1+Inputs!$F$199/200)^-(Time!AV17-15),0)</f>
        <v>0.645592720101125</v>
      </c>
      <c r="AW106" s="10" t="n">
        <f aca="false">IF(Time!AW17&gt;15,(1+Inputs!$F$199/200)^-(Time!AW17-15),0)</f>
        <v>0.633928436862848</v>
      </c>
      <c r="AX106" s="10" t="n">
        <f aca="false">IF(Time!AX17&gt;15,(1+Inputs!$F$199/200)^-(Time!AX17-15),0)</f>
        <v>0.622474898726284</v>
      </c>
      <c r="AY106" s="10" t="n">
        <f aca="false">IF(Time!AY17&gt;15,(1+Inputs!$F$199/200)^-(Time!AY17-15),0)</f>
        <v>0.611228298042306</v>
      </c>
      <c r="AZ106" s="10" t="n">
        <f aca="false">IF(Time!AZ17&gt;15,(1+Inputs!$F$199/200)^-(Time!AZ17-15),0)</f>
        <v>0.600184895956703</v>
      </c>
      <c r="BA106" s="10" t="n">
        <f aca="false">IF(Time!BA17&gt;15,(1+Inputs!$F$199/200)^-(Time!BA17-15),0)</f>
        <v>0.589341021167226</v>
      </c>
      <c r="BB106" s="10" t="n">
        <f aca="false">IF(Time!BB17&gt;15,(1+Inputs!$F$199/200)^-(Time!BB17-15),0)</f>
        <v>0.578693068703089</v>
      </c>
      <c r="BC106" s="10" t="n">
        <f aca="false">IF(Time!BC17&gt;15,(1+Inputs!$F$199/200)^-(Time!BC17-15),0)</f>
        <v>0.568237498726521</v>
      </c>
      <c r="BD106" s="10" t="n">
        <f aca="false">IF(Time!BD17&gt;15,(1+Inputs!$F$199/200)^-(Time!BD17-15),0)</f>
        <v>0.557970835355971</v>
      </c>
      <c r="BE106" s="10" t="n">
        <f aca="false">IF(Time!BE17&gt;15,(1+Inputs!$F$199/200)^-(Time!BE17-15),0)</f>
        <v>0.547889665510577</v>
      </c>
      <c r="BF106" s="10" t="n">
        <f aca="false">IF(Time!BF17&gt;15,(1+Inputs!$F$199/200)^-(Time!BF17-15),0)</f>
        <v>0.537990637775507</v>
      </c>
      <c r="BG106" s="10" t="n">
        <f aca="false">IF(Time!BG17&gt;15,(1+Inputs!$F$199/200)^-(Time!BG17-15),0)</f>
        <v>0.528270461287812</v>
      </c>
      <c r="BH106" s="10" t="n">
        <f aca="false">IF(Time!BH17&gt;15,(1+Inputs!$F$199/200)^-(Time!BH17-15),0)</f>
        <v>0.518725904642391</v>
      </c>
      <c r="BI106" s="10" t="n">
        <f aca="false">IF(Time!BI17&gt;15,(1+Inputs!$F$199/200)^-(Time!BI17-15),0)</f>
        <v>0.509353794817745</v>
      </c>
      <c r="BJ106" s="10" t="n">
        <f aca="false">IF(Time!BJ17&gt;15,(1+Inputs!$F$199/200)^-(Time!BJ17-15),0)</f>
        <v>0.500151016121117</v>
      </c>
      <c r="BK106" s="10" t="n">
        <f aca="false">IF(Time!BK17&gt;15,(1+Inputs!$F$199/200)^-(Time!BK17-15),0)</f>
        <v>0.491114509152707</v>
      </c>
      <c r="BL106" s="10" t="n">
        <f aca="false">IF(Time!BL17&gt;15,(1+Inputs!$F$199/200)^-(Time!BL17-15),0)</f>
        <v>0.482241269788597</v>
      </c>
      <c r="BM106" s="10" t="n">
        <f aca="false">IF(Time!BM17&gt;15,(1+Inputs!$F$199/200)^-(Time!BM17-15),0)</f>
        <v>0.473528348182047</v>
      </c>
      <c r="BN106" s="10" t="n">
        <f aca="false">IF(Time!BN17&gt;15,(1+Inputs!$F$199/200)^-(Time!BN17-15),0)</f>
        <v>0.464972847782843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IF(AND(Inputs!$F$49=1,Time!J17&gt;15),Inputs!$F$201,1)</f>
        <v>1</v>
      </c>
      <c r="K113" s="11" t="n">
        <f aca="false">IF(AND(Inputs!$F$49=1,Time!K17&gt;15),Inputs!$F$201,1)</f>
        <v>1</v>
      </c>
      <c r="L113" s="11" t="n">
        <f aca="false">IF(AND(Inputs!$F$49=1,Time!L17&gt;15),Inputs!$F$201,1)</f>
        <v>1</v>
      </c>
      <c r="M113" s="11" t="n">
        <f aca="false">IF(AND(Inputs!$F$49=1,Time!M17&gt;15),Inputs!$F$201,1)</f>
        <v>1</v>
      </c>
      <c r="N113" s="11" t="n">
        <f aca="false">IF(AND(Inputs!$F$49=1,Time!N17&gt;15),Inputs!$F$201,1)</f>
        <v>1</v>
      </c>
      <c r="O113" s="11" t="n">
        <f aca="false">IF(AND(Inputs!$F$49=1,Time!O17&gt;15),Inputs!$F$201,1)</f>
        <v>1</v>
      </c>
      <c r="P113" s="11" t="n">
        <f aca="false">IF(AND(Inputs!$F$49=1,Time!P17&gt;15),Inputs!$F$201,1)</f>
        <v>1</v>
      </c>
      <c r="Q113" s="11" t="n">
        <f aca="false">IF(AND(Inputs!$F$49=1,Time!Q17&gt;15),Inputs!$F$201,1)</f>
        <v>1</v>
      </c>
      <c r="R113" s="11" t="n">
        <f aca="false">IF(AND(Inputs!$F$49=1,Time!R17&gt;15),Inputs!$F$201,1)</f>
        <v>1</v>
      </c>
      <c r="S113" s="11" t="n">
        <f aca="false">IF(AND(Inputs!$F$49=1,Time!S17&gt;15),Inputs!$F$201,1)</f>
        <v>1</v>
      </c>
      <c r="T113" s="11" t="n">
        <f aca="false">IF(AND(Inputs!$F$49=1,Time!T17&gt;15),Inputs!$F$201,1)</f>
        <v>1</v>
      </c>
      <c r="U113" s="11" t="n">
        <f aca="false">IF(AND(Inputs!$F$49=1,Time!U17&gt;15),Inputs!$F$201,1)</f>
        <v>1</v>
      </c>
      <c r="V113" s="11" t="n">
        <f aca="false">IF(AND(Inputs!$F$49=1,Time!V17&gt;15),Inputs!$F$201,1)</f>
        <v>1</v>
      </c>
      <c r="W113" s="11" t="n">
        <f aca="false">IF(AND(Inputs!$F$49=1,Time!W17&gt;15),Inputs!$F$201,1)</f>
        <v>1</v>
      </c>
      <c r="X113" s="11" t="n">
        <f aca="false">IF(AND(Inputs!$F$49=1,Time!X17&gt;15),Inputs!$F$201,1)</f>
        <v>1</v>
      </c>
      <c r="Y113" s="11" t="n">
        <f aca="false">IF(AND(Inputs!$F$49=1,Time!Y17&gt;15),Inputs!$F$201,1)</f>
        <v>1</v>
      </c>
      <c r="Z113" s="11" t="n">
        <f aca="false">IF(AND(Inputs!$F$49=1,Time!Z17&gt;15),Inputs!$F$201,1)</f>
        <v>1</v>
      </c>
      <c r="AA113" s="11" t="n">
        <f aca="false">IF(AND(Inputs!$F$49=1,Time!AA17&gt;15),Inputs!$F$201,1)</f>
        <v>1</v>
      </c>
      <c r="AB113" s="11" t="n">
        <f aca="false">IF(AND(Inputs!$F$49=1,Time!AB17&gt;15),Inputs!$F$201,1)</f>
        <v>1</v>
      </c>
      <c r="AC113" s="11" t="n">
        <f aca="false">IF(AND(Inputs!$F$49=1,Time!AC17&gt;15),Inputs!$F$201,1)</f>
        <v>1</v>
      </c>
      <c r="AD113" s="11" t="n">
        <f aca="false">IF(AND(Inputs!$F$49=1,Time!AD17&gt;15),Inputs!$F$201,1)</f>
        <v>1</v>
      </c>
      <c r="AE113" s="11" t="n">
        <f aca="false">IF(AND(Inputs!$F$49=1,Time!AE17&gt;15),Inputs!$F$201,1)</f>
        <v>1</v>
      </c>
      <c r="AF113" s="11" t="n">
        <f aca="false">IF(AND(Inputs!$F$49=1,Time!AF17&gt;15),Inputs!$F$201,1)</f>
        <v>1</v>
      </c>
      <c r="AG113" s="11" t="n">
        <f aca="false">IF(AND(Inputs!$F$49=1,Time!AG17&gt;15),Inputs!$F$201,1)</f>
        <v>1</v>
      </c>
      <c r="AH113" s="11" t="n">
        <f aca="false">IF(AND(Inputs!$F$49=1,Time!AH17&gt;15),Inputs!$F$201,1)</f>
        <v>1</v>
      </c>
      <c r="AI113" s="11" t="n">
        <f aca="false">IF(AND(Inputs!$F$49=1,Time!AI17&gt;15),Inputs!$F$201,1)</f>
        <v>1</v>
      </c>
      <c r="AJ113" s="11" t="n">
        <f aca="false">IF(AND(Inputs!$F$49=1,Time!AJ17&gt;15),Inputs!$F$201,1)</f>
        <v>1</v>
      </c>
      <c r="AK113" s="11" t="n">
        <f aca="false">IF(AND(Inputs!$F$49=1,Time!AK17&gt;15),Inputs!$F$201,1)</f>
        <v>1</v>
      </c>
      <c r="AL113" s="11" t="n">
        <f aca="false">IF(AND(Inputs!$F$49=1,Time!AL17&gt;15),Inputs!$F$201,1)</f>
        <v>1</v>
      </c>
      <c r="AM113" s="11" t="n">
        <f aca="false">IF(AND(Inputs!$F$49=1,Time!AM17&gt;15),Inputs!$F$201,1)</f>
        <v>1</v>
      </c>
      <c r="AN113" s="11" t="n">
        <f aca="false">IF(AND(Inputs!$F$49=1,Time!AN17&gt;15),Inputs!$F$201,1)</f>
        <v>1</v>
      </c>
      <c r="AO113" s="11" t="n">
        <f aca="false">IF(AND(Inputs!$F$49=1,Time!AO17&gt;15),Inputs!$F$201,1)</f>
        <v>1</v>
      </c>
      <c r="AP113" s="11" t="n">
        <f aca="false">IF(AND(Inputs!$F$49=1,Time!AP17&gt;15),Inputs!$F$201,1)</f>
        <v>1</v>
      </c>
      <c r="AQ113" s="11" t="n">
        <f aca="false">IF(AND(Inputs!$F$49=1,Time!AQ17&gt;15),Inputs!$F$201,1)</f>
        <v>1</v>
      </c>
      <c r="AR113" s="11" t="n">
        <f aca="false">IF(AND(Inputs!$F$49=1,Time!AR17&gt;15),Inputs!$F$201,1)</f>
        <v>1</v>
      </c>
      <c r="AS113" s="11" t="n">
        <f aca="false">IF(AND(Inputs!$F$49=1,Time!AS17&gt;15),Inputs!$F$201,1)</f>
        <v>1</v>
      </c>
      <c r="AT113" s="11" t="n">
        <f aca="false">IF(AND(Inputs!$F$49=1,Time!AT17&gt;15),Inputs!$F$201,1)</f>
        <v>1</v>
      </c>
      <c r="AU113" s="11" t="n">
        <f aca="false">IF(AND(Inputs!$F$49=1,Time!AU17&gt;15),Inputs!$F$201,1)</f>
        <v>1</v>
      </c>
      <c r="AV113" s="11" t="n">
        <f aca="false">IF(AND(Inputs!$F$49=1,Time!AV17&gt;15),Inputs!$F$201,1)</f>
        <v>1</v>
      </c>
      <c r="AW113" s="11" t="n">
        <f aca="false">IF(AND(Inputs!$F$49=1,Time!AW17&gt;15),Inputs!$F$201,1)</f>
        <v>1</v>
      </c>
      <c r="AX113" s="11" t="n">
        <f aca="false">IF(AND(Inputs!$F$49=1,Time!AX17&gt;15),Inputs!$F$201,1)</f>
        <v>1</v>
      </c>
      <c r="AY113" s="11" t="n">
        <f aca="false">IF(AND(Inputs!$F$49=1,Time!AY17&gt;15),Inputs!$F$201,1)</f>
        <v>1</v>
      </c>
      <c r="AZ113" s="11" t="n">
        <f aca="false">IF(AND(Inputs!$F$49=1,Time!AZ17&gt;15),Inputs!$F$201,1)</f>
        <v>1</v>
      </c>
      <c r="BA113" s="11" t="n">
        <f aca="false">IF(AND(Inputs!$F$49=1,Time!BA17&gt;15),Inputs!$F$201,1)</f>
        <v>1</v>
      </c>
      <c r="BB113" s="11" t="n">
        <f aca="false">IF(AND(Inputs!$F$49=1,Time!BB17&gt;15),Inputs!$F$201,1)</f>
        <v>1</v>
      </c>
      <c r="BC113" s="11" t="n">
        <f aca="false">IF(AND(Inputs!$F$49=1,Time!BC17&gt;15),Inputs!$F$201,1)</f>
        <v>1</v>
      </c>
      <c r="BD113" s="11" t="n">
        <f aca="false">IF(AND(Inputs!$F$49=1,Time!BD17&gt;15),Inputs!$F$201,1)</f>
        <v>1</v>
      </c>
      <c r="BE113" s="11" t="n">
        <f aca="false">IF(AND(Inputs!$F$49=1,Time!BE17&gt;15),Inputs!$F$201,1)</f>
        <v>1</v>
      </c>
      <c r="BF113" s="11" t="n">
        <f aca="false">IF(AND(Inputs!$F$49=1,Time!BF17&gt;15),Inputs!$F$201,1)</f>
        <v>1</v>
      </c>
      <c r="BG113" s="11" t="n">
        <f aca="false">IF(AND(Inputs!$F$49=1,Time!BG17&gt;15),Inputs!$F$201,1)</f>
        <v>1</v>
      </c>
      <c r="BH113" s="11" t="n">
        <f aca="false">IF(AND(Inputs!$F$49=1,Time!BH17&gt;15),Inputs!$F$201,1)</f>
        <v>1</v>
      </c>
      <c r="BI113" s="11" t="n">
        <f aca="false">IF(AND(Inputs!$F$49=1,Time!BI17&gt;15),Inputs!$F$201,1)</f>
        <v>1</v>
      </c>
      <c r="BJ113" s="11" t="n">
        <f aca="false">IF(AND(Inputs!$F$49=1,Time!BJ17&gt;15),Inputs!$F$201,1)</f>
        <v>1</v>
      </c>
      <c r="BK113" s="11" t="n">
        <f aca="false">IF(AND(Inputs!$F$49=1,Time!BK17&gt;15),Inputs!$F$201,1)</f>
        <v>1</v>
      </c>
      <c r="BL113" s="11" t="n">
        <f aca="false">IF(AND(Inputs!$F$49=1,Time!BL17&gt;15),Inputs!$F$201,1)</f>
        <v>1</v>
      </c>
      <c r="BM113" s="11" t="n">
        <f aca="false">IF(AND(Inputs!$F$49=1,Time!BM17&gt;15),Inputs!$F$201,1)</f>
        <v>1</v>
      </c>
      <c r="BN113" s="11" t="n">
        <f aca="false">IF(AND(Inputs!$F$49=1,Time!BN17&gt;15),Inputs!$F$201,1)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-8.33420360298509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-0.536156725561862</v>
      </c>
      <c r="Q114" s="11" t="n">
        <f aca="false">Time!Q30*Inputs!Q222*Q113*(Inputs!$F$95/100*0.5-Operations!Q9/100*Time!Q20/360)</f>
        <v>-0.445478114360217</v>
      </c>
      <c r="R114" s="11" t="n">
        <f aca="false">Time!R30*Inputs!R222*R113*(Inputs!$F$95/100*0.5-Operations!R9/100*Time!R20/360)</f>
        <v>-0.558571669509065</v>
      </c>
      <c r="S114" s="11" t="n">
        <f aca="false">Time!S30*Inputs!S222*S113*(Inputs!$F$95/100*0.5-Operations!S9/100*Time!S20/360)</f>
        <v>-0.445136702711515</v>
      </c>
      <c r="T114" s="11" t="n">
        <f aca="false">Time!T30*Inputs!T222*T113*(Inputs!$F$95/100*0.5-Operations!T9/100*Time!T20/360)</f>
        <v>-0.549845280112812</v>
      </c>
      <c r="U114" s="11" t="n">
        <f aca="false">Time!U30*Inputs!U222*U113*(Inputs!$F$95/100*0.5-Operations!U9/100*Time!U20/360)</f>
        <v>-0.456034890910268</v>
      </c>
      <c r="V114" s="11" t="n">
        <f aca="false">Time!V30*Inputs!V222*V113*(Inputs!$F$95/100*0.5-Operations!V9/100*Time!V20/360)</f>
        <v>-0.513916202993083</v>
      </c>
      <c r="W114" s="11" t="n">
        <f aca="false">Time!W30*Inputs!W222*W113*(Inputs!$F$95/100*0.5-Operations!W9/100*Time!W20/360)</f>
        <v>-0.388372419598774</v>
      </c>
      <c r="X114" s="11" t="n">
        <f aca="false">Time!X30*Inputs!X222*X113*(Inputs!$F$95/100*0.5-Operations!X9/100*Time!X20/360)</f>
        <v>-0.474444911128126</v>
      </c>
      <c r="Y114" s="11" t="n">
        <f aca="false">Time!Y30*Inputs!Y222*Y113*(Inputs!$F$95/100*0.5-Operations!Y9/100*Time!Y20/360)</f>
        <v>-0.357340924315523</v>
      </c>
      <c r="Z114" s="11" t="n">
        <f aca="false">Time!Z30*Inputs!Z222*Z113*(Inputs!$F$95/100*0.5-Operations!Z9/100*Time!Z20/360)</f>
        <v>-0.435482358370267</v>
      </c>
      <c r="AA114" s="11" t="n">
        <f aca="false">Time!AA30*Inputs!AA222*AA113*(Inputs!$F$95/100*0.5-Operations!AA9/100*Time!AA20/360)</f>
        <v>-0.326097738973434</v>
      </c>
      <c r="AB114" s="11" t="n">
        <f aca="false">Time!AB30*Inputs!AB222*AB113*(Inputs!$F$95/100*0.5-Operations!AB9/100*Time!AB20/360)</f>
        <v>-0.394303918246469</v>
      </c>
      <c r="AC114" s="11" t="n">
        <f aca="false">Time!AC30*Inputs!AC222*AC113*(Inputs!$F$95/100*0.5-Operations!AC9/100*Time!AC20/360)</f>
        <v>-0.31914465968803</v>
      </c>
      <c r="AD114" s="11" t="n">
        <f aca="false">Time!AD30*Inputs!AD222*AD113*(Inputs!$F$95/100*0.5-Operations!AD9/100*Time!AD20/360)</f>
        <v>-0.349812757829549</v>
      </c>
      <c r="AE114" s="11" t="n">
        <f aca="false">Time!AE30*Inputs!AE222*AE113*(Inputs!$F$95/100*0.5-Operations!AE9/100*Time!AE20/360)</f>
        <v>-0.255360632473454</v>
      </c>
      <c r="AF114" s="11" t="n">
        <f aca="false">Time!AF30*Inputs!AF222*AF113*(Inputs!$F$95/100*0.5-Operations!AF9/100*Time!AF20/360)</f>
        <v>-0.299379028546211</v>
      </c>
      <c r="AG114" s="11" t="n">
        <f aca="false">Time!AG30*Inputs!AG222*AG113*(Inputs!$F$95/100*0.5-Operations!AG9/100*Time!AG20/360)</f>
        <v>-0.21420619941067</v>
      </c>
      <c r="AH114" s="11" t="n">
        <f aca="false">Time!AH30*Inputs!AH222*AH113*(Inputs!$F$95/100*0.5-Operations!AH9/100*Time!AH20/360)</f>
        <v>-0.245580351678532</v>
      </c>
      <c r="AI114" s="11" t="n">
        <f aca="false">Time!AI30*Inputs!AI222*AI113*(Inputs!$F$95/100*0.5-Operations!AI9/100*Time!AI20/360)</f>
        <v>-0.170490583429942</v>
      </c>
      <c r="AJ114" s="11" t="n">
        <f aca="false">Time!AJ30*Inputs!AJ222*AJ113*(Inputs!$F$95/100*0.5-Operations!AJ9/100*Time!AJ20/360)</f>
        <v>-0.187721389976143</v>
      </c>
      <c r="AK114" s="11" t="n">
        <f aca="false">Time!AK30*Inputs!AK222*AK113*(Inputs!$F$95/100*0.5-Operations!AK9/100*Time!AK20/360)</f>
        <v>-0.134503281259001</v>
      </c>
      <c r="AL114" s="11" t="n">
        <f aca="false">Time!AL30*Inputs!AL222*AL113*(Inputs!$F$95/100*0.5-Operations!AL9/100*Time!AL20/360)</f>
        <v>-0.125195759260965</v>
      </c>
      <c r="AM114" s="11" t="n">
        <f aca="false">Time!AM30*Inputs!AM222*AM113*(Inputs!$F$95/100*0.5-Operations!AM9/100*Time!AM20/360)</f>
        <v>-0.071880526450513</v>
      </c>
      <c r="AN114" s="11" t="n">
        <f aca="false">Time!AN30*Inputs!AN222*AN113*(Inputs!$F$95/100*0.5-Operations!AN9/100*Time!AN20/360)</f>
        <v>-0.0571415404190419</v>
      </c>
      <c r="AO114" s="11" t="n">
        <f aca="false">Time!AO30*Inputs!AO222*AO113*(Inputs!$F$95/100*0.5-Operations!AO9/100*Time!AO20/360)</f>
        <v>-0.0226050357716252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16.7184068150204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1.2555332009123</v>
      </c>
      <c r="Q115" s="11" t="n">
        <f aca="false">(Inputs!$F$93/100*Inputs!$F$94/100)*Q70*Time!Q20/365</f>
        <v>1.20485238721428</v>
      </c>
      <c r="R115" s="11" t="n">
        <f aca="false">(Inputs!$F$93/100*Inputs!$F$94/100)*R70*Time!R20/365</f>
        <v>1.19281169388614</v>
      </c>
      <c r="S115" s="11" t="n">
        <f aca="false">(Inputs!$F$93/100*Inputs!$F$94/100)*S70*Time!S20/365</f>
        <v>1.1403238737773</v>
      </c>
      <c r="T115" s="11" t="n">
        <f aca="false">(Inputs!$F$93/100*Inputs!$F$94/100)*T70*Time!T20/365</f>
        <v>1.12464707800382</v>
      </c>
      <c r="U115" s="11" t="n">
        <f aca="false">(Inputs!$F$93/100*Inputs!$F$94/100)*U70*Time!U20/365</f>
        <v>1.07664805085327</v>
      </c>
      <c r="V115" s="11" t="n">
        <f aca="false">(Inputs!$F$93/100*Inputs!$F$94/100)*V70*Time!V20/365</f>
        <v>1.05115816565054</v>
      </c>
      <c r="W115" s="11" t="n">
        <f aca="false">(Inputs!$F$93/100*Inputs!$F$94/100)*W70*Time!W20/365</f>
        <v>0.994908618605088</v>
      </c>
      <c r="X115" s="11" t="n">
        <f aca="false">(Inputs!$F$93/100*Inputs!$F$94/100)*X70*Time!X20/365</f>
        <v>0.970424048860717</v>
      </c>
      <c r="Y115" s="11" t="n">
        <f aca="false">(Inputs!$F$93/100*Inputs!$F$94/100)*Y70*Time!Y20/365</f>
        <v>0.915414039310799</v>
      </c>
      <c r="Z115" s="11" t="n">
        <f aca="false">(Inputs!$F$93/100*Inputs!$F$94/100)*Z70*Time!Z20/365</f>
        <v>0.890730501065407</v>
      </c>
      <c r="AA115" s="11" t="n">
        <f aca="false">(Inputs!$F$93/100*Inputs!$F$94/100)*AA70*Time!AA20/365</f>
        <v>0.835377165421469</v>
      </c>
      <c r="AB115" s="11" t="n">
        <f aca="false">(Inputs!$F$93/100*Inputs!$F$94/100)*AB70*Time!AB20/365</f>
        <v>0.777185570146618</v>
      </c>
      <c r="AC115" s="11" t="n">
        <f aca="false">(Inputs!$F$93/100*Inputs!$F$94/100)*AC70*Time!AC20/365</f>
        <v>0.692218610943678</v>
      </c>
      <c r="AD115" s="11" t="n">
        <f aca="false">(Inputs!$F$93/100*Inputs!$F$94/100)*AD70*Time!AD20/365</f>
        <v>0.625058086202073</v>
      </c>
      <c r="AE115" s="11" t="n">
        <f aca="false">(Inputs!$F$93/100*Inputs!$F$94/100)*AE70*Time!AE20/365</f>
        <v>0.533107267383854</v>
      </c>
      <c r="AF115" s="11" t="n">
        <f aca="false">(Inputs!$F$93/100*Inputs!$F$94/100)*AF70*Time!AF20/365</f>
        <v>0.457113457863588</v>
      </c>
      <c r="AG115" s="11" t="n">
        <f aca="false">(Inputs!$F$93/100*Inputs!$F$94/100)*AG70*Time!AG20/365</f>
        <v>0.36416158950611</v>
      </c>
      <c r="AH115" s="11" t="n">
        <f aca="false">(Inputs!$F$93/100*Inputs!$F$94/100)*AH70*Time!AH20/365</f>
        <v>0.285261585339715</v>
      </c>
      <c r="AI115" s="11" t="n">
        <f aca="false">(Inputs!$F$93/100*Inputs!$F$94/100)*AI70*Time!AI20/365</f>
        <v>0.194126060230555</v>
      </c>
      <c r="AJ115" s="11" t="n">
        <f aca="false">(Inputs!$F$93/100*Inputs!$F$94/100)*AJ70*Time!AJ20/365</f>
        <v>0.111893428633413</v>
      </c>
      <c r="AK115" s="11" t="n">
        <f aca="false">(Inputs!$F$93/100*Inputs!$F$94/100)*AK70*Time!AK20/365</f>
        <v>0.0254523352096783</v>
      </c>
      <c r="AL115" s="11" t="n">
        <f aca="false">(Inputs!$F$93/100*Inputs!$F$94/100)*AL70*Time!AL20/365</f>
        <v>0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305.962065593777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13.7707692619623</v>
      </c>
      <c r="AC118" s="11" t="n">
        <f aca="false">AC27+AC42+AC57+AC72+AC87+AC101</f>
        <v>12.5806588071438</v>
      </c>
      <c r="AD118" s="11" t="n">
        <f aca="false">AD27+AD42+AD57+AD72+AD87+AD101</f>
        <v>11.6755218705033</v>
      </c>
      <c r="AE118" s="11" t="n">
        <f aca="false">AE27+AE42+AE57+AE72+AE87+AE101</f>
        <v>10.3522478587315</v>
      </c>
      <c r="AF118" s="11" t="n">
        <f aca="false">AF27+AF42+AF57+AF72+AF87+AF101</f>
        <v>9.33824827789678</v>
      </c>
      <c r="AG118" s="11" t="n">
        <f aca="false">AG27+AG42+AG57+AG72+AG87+AG101</f>
        <v>8.18436651424736</v>
      </c>
      <c r="AH118" s="11" t="n">
        <f aca="false">AH27+AH42+AH57+AH72+AH87+AH101</f>
        <v>7.06160168333395</v>
      </c>
      <c r="AI118" s="11" t="n">
        <f aca="false">AI27+AI42+AI57+AI72+AI87+AI101</f>
        <v>5.65770387530607</v>
      </c>
      <c r="AJ118" s="11" t="n">
        <f aca="false">AJ27+AJ42+AJ57+AJ72+AJ87+AJ101</f>
        <v>4.4480617292433</v>
      </c>
      <c r="AK118" s="11" t="n">
        <f aca="false">AK27+AK42+AK57+AK72+AK87+AK101</f>
        <v>3.07843695973402</v>
      </c>
      <c r="AL118" s="11" t="n">
        <f aca="false">AL27+AL42+AL57+AL72+AL87+AL101</f>
        <v>2.29884901068256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314.346268805812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14.1536509138625</v>
      </c>
      <c r="AC119" s="11" t="n">
        <f aca="false">AC118+AC114+AC115+AC116</f>
        <v>12.9537327583995</v>
      </c>
      <c r="AD119" s="11" t="n">
        <f aca="false">AD118+AD114+AD115+AD116</f>
        <v>11.9507671988758</v>
      </c>
      <c r="AE119" s="11" t="n">
        <f aca="false">AE118+AE114+AE115+AE116</f>
        <v>10.6299944936419</v>
      </c>
      <c r="AF119" s="11" t="n">
        <f aca="false">AF118+AF114+AF115+AF116</f>
        <v>9.49598270721416</v>
      </c>
      <c r="AG119" s="11" t="n">
        <f aca="false">AG118+AG114+AG115+AG116</f>
        <v>8.3343219043428</v>
      </c>
      <c r="AH119" s="11" t="n">
        <f aca="false">AH118+AH114+AH115+AH116</f>
        <v>7.10128291699513</v>
      </c>
      <c r="AI119" s="11" t="n">
        <f aca="false">AI118+AI114+AI115+AI116</f>
        <v>5.68133935210668</v>
      </c>
      <c r="AJ119" s="11" t="n">
        <f aca="false">AJ118+AJ114+AJ115+AJ116</f>
        <v>4.37223376790057</v>
      </c>
      <c r="AK119" s="11" t="n">
        <f aca="false">AK118+AK114+AK115+AK116</f>
        <v>2.96938601368469</v>
      </c>
      <c r="AL119" s="11" t="n">
        <f aca="false">AL118+AL114+AL115+AL116</f>
        <v>2.17365325142159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542.604933292391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22.2635544891395</v>
      </c>
      <c r="AC120" s="11" t="n">
        <f aca="false">AC32+AC47+AC62+AC77+AC92+AC102</f>
        <v>22.6028726406988</v>
      </c>
      <c r="AD120" s="11" t="n">
        <f aca="false">AD32+AD47+AD62+AD77+AD92+AD102</f>
        <v>24.2440283598235</v>
      </c>
      <c r="AE120" s="11" t="n">
        <f aca="false">AE32+AE47+AE62+AE77+AE92+AE102</f>
        <v>24.6940408033787</v>
      </c>
      <c r="AF120" s="11" t="n">
        <f aca="false">AF32+AF47+AF62+AF77+AF92+AF102</f>
        <v>24.8452585721023</v>
      </c>
      <c r="AG120" s="11" t="n">
        <f aca="false">AG32+AG47+AG62+AG77+AG92+AG102</f>
        <v>24.4270710977283</v>
      </c>
      <c r="AH120" s="11" t="n">
        <f aca="false">AH32+AH47+AH62+AH77+AH92+AH102</f>
        <v>24.5833909626765</v>
      </c>
      <c r="AI120" s="11" t="n">
        <f aca="false">AI32+AI47+AI62+AI77+AI92+AI102</f>
        <v>23.8851906993379</v>
      </c>
      <c r="AJ120" s="11" t="n">
        <f aca="false">AJ32+AJ47+AJ62+AJ77+AJ92+AJ102</f>
        <v>23.1923378940749</v>
      </c>
      <c r="AK120" s="11" t="n">
        <f aca="false">AK32+AK47+AK62+AK77+AK92+AK102</f>
        <v>21.3126026084633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856.951202098203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36.4172054030019</v>
      </c>
      <c r="AC121" s="11" t="n">
        <f aca="false">AC119+AC120</f>
        <v>35.5566053990983</v>
      </c>
      <c r="AD121" s="11" t="n">
        <f aca="false">AD119+AD120</f>
        <v>36.1947955586994</v>
      </c>
      <c r="AE121" s="11" t="n">
        <f aca="false">AE119+AE120</f>
        <v>35.3240352970206</v>
      </c>
      <c r="AF121" s="11" t="n">
        <f aca="false">AF119+AF120</f>
        <v>34.3412412793165</v>
      </c>
      <c r="AG121" s="11" t="n">
        <f aca="false">AG119+AG120</f>
        <v>32.7613930020711</v>
      </c>
      <c r="AH121" s="11" t="n">
        <f aca="false">AH119+AH120</f>
        <v>31.6846738796716</v>
      </c>
      <c r="AI121" s="11" t="n">
        <f aca="false">AI119+AI120</f>
        <v>29.5665300514446</v>
      </c>
      <c r="AJ121" s="11" t="n">
        <f aca="false">AJ119+AJ120</f>
        <v>27.5645716619754</v>
      </c>
      <c r="AK121" s="11" t="n">
        <f aca="false">AK119+AK120</f>
        <v>24.281988622148</v>
      </c>
      <c r="AL121" s="11" t="n">
        <f aca="false">AL119+AL120</f>
        <v>23.7140398353964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401.159130519111</v>
      </c>
      <c r="AC122" s="11" t="n">
        <f aca="false">AC25+AC40+AC55+AC70+AC85+AC100</f>
        <v>372.335414403048</v>
      </c>
      <c r="AD122" s="11" t="n">
        <f aca="false">AD25+AD40+AD55+AD70+AD85+AD100</f>
        <v>343.544954418784</v>
      </c>
      <c r="AE122" s="11" t="n">
        <f aca="false">AE25+AE40+AE55+AE70+AE85+AE100</f>
        <v>311.825301573582</v>
      </c>
      <c r="AF122" s="11" t="n">
        <f aca="false">AF25+AF40+AF55+AF70+AF85+AF100</f>
        <v>279.09828670204</v>
      </c>
      <c r="AG122" s="11" t="n">
        <f aca="false">AG25+AG40+AG55+AG70+AG85+AG100</f>
        <v>245.393686754919</v>
      </c>
      <c r="AH122" s="11" t="n">
        <f aca="false">AH25+AH40+AH55+AH70+AH85+AH100</f>
        <v>211.750480568602</v>
      </c>
      <c r="AI122" s="11" t="n">
        <f aca="false">AI25+AI40+AI55+AI70+AI85+AI100</f>
        <v>176.664000438037</v>
      </c>
      <c r="AJ122" s="11" t="n">
        <f aca="false">AJ25+AJ40+AJ55+AJ70+AJ85+AJ100</f>
        <v>141.515042762148</v>
      </c>
      <c r="AK122" s="11" t="n">
        <f aca="false">AK25+AK40+AK55+AK70+AK85+AK100</f>
        <v>105.32353228216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401.159130519111</v>
      </c>
      <c r="AB123" s="11" t="n">
        <f aca="false">AB38+AB53+AB68+AB83+AB98+AB104</f>
        <v>372.335414403048</v>
      </c>
      <c r="AC123" s="11" t="n">
        <f aca="false">AC38+AC53+AC68+AC83+AC98+AC104</f>
        <v>343.544954418784</v>
      </c>
      <c r="AD123" s="11" t="n">
        <f aca="false">AD38+AD53+AD68+AD83+AD98+AD104</f>
        <v>311.825301573582</v>
      </c>
      <c r="AE123" s="11" t="n">
        <f aca="false">AE38+AE53+AE68+AE83+AE98+AE104</f>
        <v>279.09828670204</v>
      </c>
      <c r="AF123" s="11" t="n">
        <f aca="false">AF38+AF53+AF68+AF83+AF98+AF104</f>
        <v>245.393686754919</v>
      </c>
      <c r="AG123" s="11" t="n">
        <f aca="false">AG38+AG53+AG68+AG83+AG98+AG104</f>
        <v>211.750480568602</v>
      </c>
      <c r="AH123" s="11" t="n">
        <f aca="false">AH38+AH53+AH68+AH83+AH98+AH104</f>
        <v>176.664000438037</v>
      </c>
      <c r="AI123" s="11" t="n">
        <f aca="false">AI38+AI53+AI68+AI83+AI98+AI104</f>
        <v>141.515042762148</v>
      </c>
      <c r="AJ123" s="11" t="n">
        <f aca="false">AJ38+AJ53+AJ68+AJ83+AJ98+AJ104</f>
        <v>105.32353228216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140.689690211328</v>
      </c>
      <c r="AC125" s="11" t="n">
        <f aca="false">IF(Time!AC29=1,AC83,AC81)</f>
        <v>125.987105020396</v>
      </c>
      <c r="AD125" s="11" t="n">
        <f aca="false">IF(Time!AD29=1,AD83,AD81)</f>
        <v>111.345244468354</v>
      </c>
      <c r="AE125" s="11" t="n">
        <f aca="false">IF(Time!AE29=1,AE83,AE81)</f>
        <v>95.6439865236398</v>
      </c>
      <c r="AF125" s="11" t="n">
        <f aca="false">IF(Time!AF29=1,AF83,AF81)</f>
        <v>79.811902385898</v>
      </c>
      <c r="AG125" s="11" t="n">
        <f aca="false">IF(Time!AG29=1,AG83,AG81)</f>
        <v>63.8897743707744</v>
      </c>
      <c r="AH125" s="11" t="n">
        <f aca="false">IF(Time!AH29=1,AH83,AH81)</f>
        <v>48.3262466046484</v>
      </c>
      <c r="AI125" s="11" t="n">
        <f aca="false">IF(Time!AI29=1,AI83,AI81)</f>
        <v>32.7094199124867</v>
      </c>
      <c r="AJ125" s="11" t="n">
        <f aca="false">IF(Time!AJ29=1,AJ83,AJ81)</f>
        <v>17.9310101139337</v>
      </c>
      <c r="AK125" s="11" t="n">
        <f aca="false">IF(Time!AK29=1,AK83,AK81)</f>
        <v>3.93386213651348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14.6417318112355</v>
      </c>
      <c r="AC129" s="11" t="n">
        <f aca="false">IF(AND(Time!AC17&gt;=Time!$F$11,Time!AC17&lt;57),(IF(Time!AC29=1,AC83,AC81)-AC80)*AD19+IF(Time!AC29=1,AC83,AC81)*AD13,0)</f>
        <v>14.414455892171</v>
      </c>
      <c r="AD129" s="11" t="n">
        <f aca="false">IF(AND(Time!AD17&gt;=Time!$F$11,Time!AD17&lt;57),(IF(Time!AD29=1,AD83,AD81)-AD80)*AE19+IF(Time!AD29=1,AD83,AD81)*AE13,0)</f>
        <v>13.6196466592479</v>
      </c>
      <c r="AE129" s="11" t="n">
        <f aca="false">IF(AND(Time!AE17&gt;=Time!$F$11,Time!AE17&lt;57),(IF(Time!AE29=1,AE83,AE81)-AE80)*AF19+IF(Time!AE29=1,AE83,AE81)*AF13,0)</f>
        <v>12.7074246757894</v>
      </c>
      <c r="AF129" s="11" t="n">
        <f aca="false">IF(AND(Time!AF17&gt;=Time!$F$11,Time!AF17&lt;57),(IF(Time!AF29=1,AF83,AF81)-AF80)*AG19+IF(Time!AF29=1,AF83,AF81)*AG13,0)</f>
        <v>11.6096586645996</v>
      </c>
      <c r="AG129" s="11" t="n">
        <f aca="false">IF(AND(Time!AG17&gt;=Time!$F$11,Time!AG17&lt;57),(IF(Time!AG29=1,AG83,AG81)-AG80)*AH19+IF(Time!AG29=1,AG83,AG81)*AH13,0)</f>
        <v>10.3998187280176</v>
      </c>
      <c r="AH129" s="11" t="n">
        <f aca="false">IF(AND(Time!AH17&gt;=Time!$F$11,Time!AH17&lt;57),(IF(Time!AH29=1,AH83,AH81)-AH80)*AI19+IF(Time!AH29=1,AH83,AH81)*AI13,0)</f>
        <v>8.75292727357215</v>
      </c>
      <c r="AI129" s="11" t="n">
        <f aca="false">IF(AND(Time!AI17&gt;=Time!$F$11,Time!AI17&lt;57),(IF(Time!AI29=1,AI83,AI81)-AI80)*AJ19+IF(Time!AI29=1,AI83,AI81)*AJ13,0)</f>
        <v>6.88754100285284</v>
      </c>
      <c r="AJ129" s="11" t="n">
        <f aca="false">IF(AND(Time!AJ17&gt;=Time!$F$11,Time!AJ17&lt;57),(IF(Time!AJ29=1,AJ83,AJ81)-AJ80)*AK19+IF(Time!AJ29=1,AJ83,AJ81)*AK13,0)</f>
        <v>4.45635337576269</v>
      </c>
      <c r="AK129" s="11" t="n">
        <f aca="false">IF(AND(Time!AK17&gt;=Time!$F$11,Time!AK17&lt;57),(IF(Time!AK29=1,AK83,AK81)-AK80)*AL19+IF(Time!AK29=1,AK83,AK81)*AL13,0)</f>
        <v>1.24183049920482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37.2458954370965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37.1570164551458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37.624785087678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37.333312492557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37.7512177817478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37.5706927548527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38.2879202351583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38.0232274258698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36.9267950745894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36.5703920445452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36.8713631085141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36.5742873548545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37.0047486319762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36.2731845079674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36.935014695287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36.2768151121511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35.4504283579917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34.0955674124255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33.2329389509202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31.5227731481308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29.9951240823848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27.5797299898581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24.9763953950198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23.5692918532781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19.1320172548642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18.9059077476081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0.0343560605451908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0.0340124598263424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0.0343808210390786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0.034024638221434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0.0343932012860226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0.0341474925762968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0.0343932012860226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0.034024638221434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0.0343932012860226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0.0350860579745204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0.0354722136317016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0.0350860579745204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0.0354722136317016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0.0352147765269141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0.0354722136317016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0.0350860579745204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0.0354722136317016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0.0361474777276068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0.0365512259773806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0.0361474777276068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0.0365512259773806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0.0362820604775314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0.0365512259773806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0.0361474777276068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0.0365512259773806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0.0361474777276068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840.805936360334</v>
      </c>
      <c r="Q136" s="11" t="n">
        <f aca="false">IF(Q134=1,(Waterfall!Q7+R136)/(1+Q135),0)</f>
        <v>820.418576630891</v>
      </c>
      <c r="R136" s="11" t="n">
        <f aca="false">IF(R134=1,(Waterfall!R7+S136)/(1+R135),0)</f>
        <v>799.176249005697</v>
      </c>
      <c r="S136" s="11" t="n">
        <f aca="false">IF(S134=1,(Waterfall!S7+T136)/(1+S135),0)</f>
        <v>776.890963413369</v>
      </c>
      <c r="T136" s="11" t="n">
        <f aca="false">IF(T134=1,(Waterfall!T7+U136)/(1+T135),0)</f>
        <v>753.961950422591</v>
      </c>
      <c r="U136" s="11" t="n">
        <f aca="false">IF(U134=1,(Waterfall!U7+V136)/(1+U135),0)</f>
        <v>729.98351067155</v>
      </c>
      <c r="V136" s="11" t="n">
        <f aca="false">IF(V134=1,(Waterfall!V7+W136)/(1+V135),0)</f>
        <v>705.251502403336</v>
      </c>
      <c r="W136" s="11" t="n">
        <f aca="false">IF(W134=1,(Waterfall!W7+X136)/(1+W135),0)</f>
        <v>678.895435973135</v>
      </c>
      <c r="X136" s="11" t="n">
        <f aca="false">IF(X134=1,(Waterfall!X7+Y136)/(1+X135),0)</f>
        <v>651.746928712498</v>
      </c>
      <c r="Y136" s="11" t="n">
        <f aca="false">IF(Y134=1,(Waterfall!Y7+Z136)/(1+Y135),0)</f>
        <v>625.412867919553</v>
      </c>
      <c r="Z136" s="11" t="n">
        <f aca="false">IF(Z134=1,(Waterfall!Z7+AA136)/(1+Z135),0)</f>
        <v>599.093629886337</v>
      </c>
      <c r="AA136" s="11" t="n">
        <f aca="false">IF(AA134=1,(Waterfall!AA7+AB136)/(1+AA135),0)</f>
        <v>571.694148049495</v>
      </c>
      <c r="AB136" s="11" t="n">
        <f aca="false">IF(AB134=1,(Waterfall!AB7+AC136)/(1+AB135),0)</f>
        <v>543.509238647884</v>
      </c>
      <c r="AC136" s="11" t="n">
        <f aca="false">IF(AC134=1,(Waterfall!AC7+AD136)/(1+AC135),0)</f>
        <v>513.982749939165</v>
      </c>
      <c r="AD136" s="11" t="n">
        <f aca="false">IF(AD134=1,(Waterfall!AD7+AE136)/(1+AD135),0)</f>
        <v>483.488927343414</v>
      </c>
      <c r="AE136" s="11" t="n">
        <f aca="false">IF(AE134=1,(Waterfall!AE7+AF136)/(1+AE135),0)</f>
        <v>450.151504916382</v>
      </c>
      <c r="AF136" s="11" t="n">
        <f aca="false">IF(AF134=1,(Waterfall!AF7+AG136)/(1+AF135),0)</f>
        <v>415.381950036008</v>
      </c>
      <c r="AG136" s="11" t="n">
        <f aca="false">IF(AG134=1,(Waterfall!AG7+AH136)/(1+AG135),0)</f>
        <v>379.411404222649</v>
      </c>
      <c r="AH136" s="11" t="n">
        <f aca="false">IF(AH134=1,(Waterfall!AH7+AI136)/(1+AH135),0)</f>
        <v>342.795134788646</v>
      </c>
      <c r="AI136" s="11" t="n">
        <f aca="false">IF(AI134=1,(Waterfall!AI7+AJ136)/(1+AI135),0)</f>
        <v>304.344030811592</v>
      </c>
      <c r="AJ136" s="11" t="n">
        <f aca="false">IF(AJ134=1,(Waterfall!AJ7+AK136)/(1+AJ135),0)</f>
        <v>264.778884948083</v>
      </c>
      <c r="AK136" s="11" t="n">
        <f aca="false">IF(AK134=1,(Waterfall!AK7+AL136)/(1+AK135),0)</f>
        <v>223.309355064585</v>
      </c>
      <c r="AL136" s="11" t="n">
        <f aca="false">IF(AL134=1,(Waterfall!AL7+AM136)/(1+AL135),0)</f>
        <v>180.510092071086</v>
      </c>
      <c r="AM136" s="11" t="n">
        <f aca="false">IF(AM134=1,(Waterfall!AM7+AN136)/(1+AM135),0)</f>
        <v>135.113913993511</v>
      </c>
      <c r="AN136" s="11" t="n">
        <f aca="false">IF(AN134=1,(Waterfall!AN7+AO136)/(1+AN135),0)</f>
        <v>88.3879919657977</v>
      </c>
      <c r="AO136" s="11" t="n">
        <f aca="false">IF(AO134=1,(Waterfall!AO7+AP136)/(1+AO135),0)</f>
        <v>41.8659646094579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1.32775049716612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622.819212118766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642.908338550588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IF(J134=1,Waterfall!J7/$F$137,0)</f>
        <v>0</v>
      </c>
      <c r="K140" s="11" t="n">
        <f aca="false">IF(K134=1,Waterfall!K7/$F$137,0)</f>
        <v>0</v>
      </c>
      <c r="L140" s="11" t="n">
        <f aca="false">IF(L134=1,Waterfall!L7/$F$137,0)</f>
        <v>0</v>
      </c>
      <c r="M140" s="11" t="n">
        <f aca="false">IF(M134=1,Waterfall!M7/$F$137,0)</f>
        <v>0</v>
      </c>
      <c r="N140" s="11" t="n">
        <f aca="false">IF(N134=1,Waterfall!N7/$F$137,0)</f>
        <v>0</v>
      </c>
      <c r="O140" s="11" t="n">
        <f aca="false">IF(O134=1,Waterfall!O7/$F$137,0)</f>
        <v>0</v>
      </c>
      <c r="P140" s="11" t="n">
        <f aca="false">IF(P134=1,Waterfall!P7/$F$137,0)</f>
        <v>37.1109929847234</v>
      </c>
      <c r="Q140" s="11" t="n">
        <f aca="false">IF(Q134=1,Waterfall!Q7/$F$137,0)</f>
        <v>37.0150729436994</v>
      </c>
      <c r="R140" s="11" t="n">
        <f aca="false">IF(R134=1,Waterfall!R7/$F$137,0)</f>
        <v>37.4781416345043</v>
      </c>
      <c r="S140" s="11" t="n">
        <f aca="false">IF(S134=1,Waterfall!S7/$F$137,0)</f>
        <v>37.177502146507</v>
      </c>
      <c r="T140" s="11" t="n">
        <f aca="false">IF(T134=1,Waterfall!T7/$F$137,0)</f>
        <v>37.5895960727946</v>
      </c>
      <c r="U140" s="11" t="n">
        <f aca="false">IF(U134=1,Waterfall!U7/$F$137,0)</f>
        <v>37.4009385691664</v>
      </c>
      <c r="V140" s="11" t="n">
        <f aca="false">IF(V134=1,Waterfall!V7/$F$137,0)</f>
        <v>38.1185496956339</v>
      </c>
      <c r="W140" s="11" t="n">
        <f aca="false">IF(W134=1,Waterfall!W7/$F$137,0)</f>
        <v>37.8442176953062</v>
      </c>
      <c r="X140" s="11" t="n">
        <f aca="false">IF(X134=1,Waterfall!X7/$F$137,0)</f>
        <v>36.716027750507</v>
      </c>
      <c r="Y140" s="11" t="n">
        <f aca="false">IF(Y134=1,Waterfall!Y7/$F$137,0)</f>
        <v>36.3490808537155</v>
      </c>
      <c r="Z140" s="11" t="n">
        <f aca="false">IF(Z134=1,Waterfall!Z7/$F$137,0)</f>
        <v>36.6414165653858</v>
      </c>
      <c r="AA140" s="11" t="n">
        <f aca="false">IF(AA134=1,Waterfall!AA7/$F$137,0)</f>
        <v>36.3346905361643</v>
      </c>
      <c r="AB140" s="11" t="n">
        <f aca="false">IF(AB134=1,Waterfall!AB7/$F$137,0)</f>
        <v>36.7583854323606</v>
      </c>
      <c r="AC140" s="11" t="n">
        <f aca="false">IF(AC134=1,Waterfall!AC7/$F$137,0)</f>
        <v>36.5984500681893</v>
      </c>
      <c r="AD140" s="11" t="n">
        <f aca="false">IF(AD134=1,Waterfall!AD7/$F$137,0)</f>
        <v>38.0250996358719</v>
      </c>
      <c r="AE140" s="11" t="n">
        <f aca="false">IF(AE134=1,Waterfall!AE7/$F$137,0)</f>
        <v>38.0821523223738</v>
      </c>
      <c r="AF140" s="11" t="n">
        <f aca="false">IF(AF134=1,Waterfall!AF7/$F$137,0)</f>
        <v>38.1886982471561</v>
      </c>
      <c r="AG140" s="11" t="n">
        <f aca="false">IF(AG134=1,Waterfall!AG7/$F$137,0)</f>
        <v>37.9069974555953</v>
      </c>
      <c r="AH140" s="11" t="n">
        <f aca="false">IF(AH134=1,Waterfall!AH7/$F$137,0)</f>
        <v>38.3962849356647</v>
      </c>
      <c r="AI140" s="11" t="n">
        <f aca="false">IF(AI134=1,Waterfall!AI7/$F$137,0)</f>
        <v>38.0842749046052</v>
      </c>
      <c r="AJ140" s="11" t="n">
        <f aca="false">IF(AJ134=1,Waterfall!AJ7/$F$137,0)</f>
        <v>38.521938308772</v>
      </c>
      <c r="AK140" s="11" t="n">
        <f aca="false">IF(AK134=1,Waterfall!AK7/$F$137,0)</f>
        <v>38.3365599393804</v>
      </c>
      <c r="AL140" s="11" t="n">
        <f aca="false">IF(AL134=1,Waterfall!AL7/$F$137,0)</f>
        <v>39.1594982303044</v>
      </c>
      <c r="AM140" s="11" t="n">
        <f aca="false">IF(AM134=1,Waterfall!AM7/$F$137,0)</f>
        <v>38.8702164560565</v>
      </c>
      <c r="AN140" s="11" t="n">
        <f aca="false">IF(AN134=1,Waterfall!AN7/$F$137,0)</f>
        <v>37.4714352813711</v>
      </c>
      <c r="AO140" s="11" t="n">
        <f aca="false">IF(AO134=1,Waterfall!AO7/$F$137,0)</f>
        <v>32.6712840441857</v>
      </c>
      <c r="AP140" s="11" t="n">
        <f aca="false">IF(AP134=1,Waterfall!AP7/$F$137,0)</f>
        <v>0</v>
      </c>
      <c r="AQ140" s="11" t="n">
        <f aca="false">IF(AQ134=1,Waterfall!AQ7/$F$137,0)</f>
        <v>0</v>
      </c>
      <c r="AR140" s="11" t="n">
        <f aca="false">IF(AR134=1,Waterfall!AR7/$F$137,0)</f>
        <v>0</v>
      </c>
      <c r="AS140" s="11" t="n">
        <f aca="false">IF(AS134=1,Waterfall!AS7/$F$137,0)</f>
        <v>0</v>
      </c>
      <c r="AT140" s="11" t="n">
        <f aca="false">IF(AT134=1,Waterfall!AT7/$F$137,0)</f>
        <v>0</v>
      </c>
      <c r="AU140" s="11" t="n">
        <f aca="false">IF(AU134=1,Waterfall!AU7/$F$137,0)</f>
        <v>0</v>
      </c>
      <c r="AV140" s="11" t="n">
        <f aca="false">IF(AV134=1,Waterfall!AV7/$F$137,0)</f>
        <v>0</v>
      </c>
      <c r="AW140" s="11" t="n">
        <f aca="false">IF(AW134=1,Waterfall!AW7/$F$137,0)</f>
        <v>0</v>
      </c>
      <c r="AX140" s="11" t="n">
        <f aca="false">IF(AX134=1,Waterfall!AX7/$F$137,0)</f>
        <v>0</v>
      </c>
      <c r="AY140" s="11" t="n">
        <f aca="false">IF(AY134=1,Waterfall!AY7/$F$137,0)</f>
        <v>0</v>
      </c>
      <c r="AZ140" s="11" t="n">
        <f aca="false">IF(AZ134=1,Waterfall!AZ7/$F$137,0)</f>
        <v>0</v>
      </c>
      <c r="BA140" s="11" t="n">
        <f aca="false">IF(BA134=1,Waterfall!BA7/$F$137,0)</f>
        <v>0</v>
      </c>
      <c r="BB140" s="11" t="n">
        <f aca="false">IF(BB134=1,Waterfall!BB7/$F$137,0)</f>
        <v>0</v>
      </c>
      <c r="BC140" s="11" t="n">
        <f aca="false">IF(BC134=1,Waterfall!BC7/$F$137,0)</f>
        <v>0</v>
      </c>
      <c r="BD140" s="11" t="n">
        <f aca="false">IF(BD134=1,Waterfall!BD7/$F$137,0)</f>
        <v>0</v>
      </c>
      <c r="BE140" s="11" t="n">
        <f aca="false">IF(BE134=1,Waterfall!BE7/$F$137,0)</f>
        <v>0</v>
      </c>
      <c r="BF140" s="11" t="n">
        <f aca="false">IF(BF134=1,Waterfall!BF7/$F$137,0)</f>
        <v>0</v>
      </c>
      <c r="BG140" s="11" t="n">
        <f aca="false">IF(BG134=1,Waterfall!BG7/$F$137,0)</f>
        <v>0</v>
      </c>
      <c r="BH140" s="11" t="n">
        <f aca="false">IF(BH134=1,Waterfall!BH7/$F$137,0)</f>
        <v>0</v>
      </c>
      <c r="BI140" s="11" t="n">
        <f aca="false">IF(BI134=1,Waterfall!BI7/$F$137,0)</f>
        <v>0</v>
      </c>
      <c r="BJ140" s="11" t="n">
        <f aca="false">IF(BJ134=1,Waterfall!BJ7/$F$137,0)</f>
        <v>0</v>
      </c>
      <c r="BK140" s="11" t="n">
        <f aca="false">IF(BK134=1,Waterfall!BK7/$F$137,0)</f>
        <v>0</v>
      </c>
      <c r="BL140" s="11" t="n">
        <f aca="false">IF(BL134=1,Waterfall!BL7/$F$137,0)</f>
        <v>0</v>
      </c>
      <c r="BM140" s="11" t="n">
        <f aca="false">IF(BM134=1,Waterfall!BM7/$F$137,0)</f>
        <v>0</v>
      </c>
      <c r="BN140" s="11" t="n">
        <f aca="false">IF(BN134=1,Waterfall!BN7/$F$137,0)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617.901163194402</v>
      </c>
      <c r="R141" s="11" t="n">
        <f aca="false">IF(R134=1,IF(Time!R17=Time!$F$12,Funding!$F$25,Q141-Q142),0)</f>
        <v>601.902428740503</v>
      </c>
      <c r="S141" s="11" t="n">
        <f aca="false">IF(S134=1,IF(Time!S17=Time!$F$12,Funding!$F$25,R141-R142),0)</f>
        <v>585.118186791513</v>
      </c>
      <c r="T141" s="11" t="n">
        <f aca="false">IF(T134=1,IF(Time!T17=Time!$F$12,Funding!$F$25,S141-S142),0)</f>
        <v>567.849119267368</v>
      </c>
      <c r="U141" s="11" t="n">
        <f aca="false">IF(U134=1,IF(Time!U17=Time!$F$12,Funding!$F$25,T141-T142),0)</f>
        <v>549.789672253627</v>
      </c>
      <c r="V141" s="11" t="n">
        <f aca="false">IF(V134=1,IF(Time!V17=Time!$F$12,Funding!$F$25,U141-U142),0)</f>
        <v>531.162672436266</v>
      </c>
      <c r="W141" s="11" t="n">
        <f aca="false">IF(W134=1,IF(Time!W17=Time!$F$12,Funding!$F$25,V141-V142),0)</f>
        <v>511.312507449354</v>
      </c>
      <c r="X141" s="11" t="n">
        <f aca="false">IF(X134=1,IF(Time!X17=Time!$F$12,Funding!$F$25,W141-W142),0)</f>
        <v>490.865512838106</v>
      </c>
      <c r="Y141" s="11" t="n">
        <f aca="false">IF(Y134=1,IF(Time!Y17=Time!$F$12,Funding!$F$25,X141-X142),0)</f>
        <v>471.031921475007</v>
      </c>
      <c r="Z141" s="11" t="n">
        <f aca="false">IF(Z134=1,IF(Time!Z17=Time!$F$12,Funding!$F$25,Y141-Y142),0)</f>
        <v>451.209493926013</v>
      </c>
      <c r="AA141" s="11" t="n">
        <f aca="false">IF(AA134=1,IF(Time!AA17=Time!$F$12,Funding!$F$25,Z141-Z142),0)</f>
        <v>430.573476921823</v>
      </c>
      <c r="AB141" s="11" t="n">
        <f aca="false">IF(AB134=1,IF(Time!AB17=Time!$F$12,Funding!$F$25,AA141-AA142),0)</f>
        <v>409.345912359229</v>
      </c>
      <c r="AC141" s="11" t="n">
        <f aca="false">IF(AC134=1,IF(Time!AC17=Time!$F$12,Funding!$F$25,AB141-AB142),0)</f>
        <v>387.107932579338</v>
      </c>
      <c r="AD141" s="11" t="n">
        <f aca="false">IF(AD134=1,IF(Time!AD17=Time!$F$12,Funding!$F$25,AC141-AC142),0)</f>
        <v>364.141401848726</v>
      </c>
      <c r="AE141" s="11" t="n">
        <f aca="false">IF(AE134=1,IF(Time!AE17=Time!$F$12,Funding!$F$25,AD141-AD142),0)</f>
        <v>339.03320381138</v>
      </c>
      <c r="AF141" s="11" t="n">
        <f aca="false">IF(AF134=1,IF(Time!AF17=Time!$F$12,Funding!$F$25,AE141-AE142),0)</f>
        <v>312.846390133219</v>
      </c>
      <c r="AG141" s="11" t="n">
        <f aca="false">IF(AG134=1,IF(Time!AG17=Time!$F$12,Funding!$F$25,AF141-AF142),0)</f>
        <v>285.755045870775</v>
      </c>
      <c r="AH141" s="11" t="n">
        <f aca="false">IF(AH134=1,IF(Time!AH17=Time!$F$12,Funding!$F$25,AG141-AG142),0)</f>
        <v>258.177372571345</v>
      </c>
      <c r="AI141" s="11" t="n">
        <f aca="false">IF(AI134=1,IF(Time!AI17=Time!$F$12,Funding!$F$25,AH141-AH142),0)</f>
        <v>229.217787122782</v>
      </c>
      <c r="AJ141" s="11" t="n">
        <f aca="false">IF(AJ134=1,IF(Time!AJ17=Time!$F$12,Funding!$F$25,AI141-AI142),0)</f>
        <v>199.419157072969</v>
      </c>
      <c r="AK141" s="11" t="n">
        <f aca="false">IF(AK134=1,IF(Time!AK17=Time!$F$12,Funding!$F$25,AJ141-AJ142),0)</f>
        <v>168.18623343859</v>
      </c>
      <c r="AL141" s="11" t="n">
        <f aca="false">IF(AL134=1,IF(Time!AL17=Time!$F$12,Funding!$F$25,AK141-AK142),0)</f>
        <v>135.951816592317</v>
      </c>
      <c r="AM141" s="11" t="n">
        <f aca="false">IF(AM134=1,IF(Time!AM17=Time!$F$12,Funding!$F$25,AL141-AL142),0)</f>
        <v>101.761523932313</v>
      </c>
      <c r="AN141" s="11" t="n">
        <f aca="false">IF(AN134=1,IF(Time!AN17=Time!$F$12,Funding!$F$25,AM141-AM142),0)</f>
        <v>66.5697298961275</v>
      </c>
      <c r="AO141" s="11" t="n">
        <f aca="false">IF(AO134=1,IF(Time!AO17=Time!$F$12,Funding!$F$25,AN141-AN142),0)</f>
        <v>31.5314998554429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15.354812348372</v>
      </c>
      <c r="Q142" s="11" t="n">
        <f aca="false">Q140-Q141*Q135</f>
        <v>15.9987344538995</v>
      </c>
      <c r="R142" s="11" t="n">
        <f aca="false">R140-R141*R135</f>
        <v>16.7842419489903</v>
      </c>
      <c r="S142" s="11" t="n">
        <f aca="false">S140-S141*S135</f>
        <v>17.2690675241443</v>
      </c>
      <c r="T142" s="11" t="n">
        <f aca="false">T140-T141*T135</f>
        <v>18.0594470137413</v>
      </c>
      <c r="U142" s="11" t="n">
        <f aca="false">U140-U141*U135</f>
        <v>18.626999817361</v>
      </c>
      <c r="V142" s="11" t="n">
        <f aca="false">V140-V141*V135</f>
        <v>19.8501649869118</v>
      </c>
      <c r="W142" s="11" t="n">
        <f aca="false">W140-W141*W135</f>
        <v>20.4469946112476</v>
      </c>
      <c r="X142" s="11" t="n">
        <f aca="false">X140-X141*X135</f>
        <v>19.8335913630993</v>
      </c>
      <c r="Y142" s="11" t="n">
        <f aca="false">Y140-Y141*Y135</f>
        <v>19.8224275489936</v>
      </c>
      <c r="Z142" s="11" t="n">
        <f aca="false">Z140-Z141*Z135</f>
        <v>20.6360170041904</v>
      </c>
      <c r="AA142" s="11" t="n">
        <f aca="false">AA140-AA141*AA135</f>
        <v>21.2275645625944</v>
      </c>
      <c r="AB142" s="11" t="n">
        <f aca="false">AB140-AB141*AB135</f>
        <v>22.2379797798902</v>
      </c>
      <c r="AC142" s="11" t="n">
        <f aca="false">AC140-AC141*AC135</f>
        <v>22.9665307306121</v>
      </c>
      <c r="AD142" s="11" t="n">
        <f aca="false">AD140-AD141*AD135</f>
        <v>25.1081980373466</v>
      </c>
      <c r="AE142" s="11" t="n">
        <f aca="false">AE140-AE141*AE135</f>
        <v>26.1868136781604</v>
      </c>
      <c r="AF142" s="11" t="n">
        <f aca="false">AF140-AF141*AF135</f>
        <v>27.0913442624439</v>
      </c>
      <c r="AG142" s="11" t="n">
        <f aca="false">AG140-AG141*AG135</f>
        <v>27.5776732994301</v>
      </c>
      <c r="AH142" s="11" t="n">
        <f aca="false">AH140-AH141*AH135</f>
        <v>28.9595854485631</v>
      </c>
      <c r="AI142" s="11" t="n">
        <f aca="false">AI140-AI141*AI135</f>
        <v>29.7986300498131</v>
      </c>
      <c r="AJ142" s="11" t="n">
        <f aca="false">AJ140-AJ141*AJ135</f>
        <v>31.2329236343792</v>
      </c>
      <c r="AK142" s="11" t="n">
        <f aca="false">AK140-AK141*AK135</f>
        <v>32.2344168462732</v>
      </c>
      <c r="AL142" s="11" t="n">
        <f aca="false">AL140-AL141*AL135</f>
        <v>34.1902926600032</v>
      </c>
      <c r="AM142" s="11" t="n">
        <f aca="false">AM140-AM141*AM135</f>
        <v>35.1917940361859</v>
      </c>
      <c r="AN142" s="11" t="n">
        <f aca="false">AN140-AN141*AN135</f>
        <v>35.0382300406846</v>
      </c>
      <c r="AO142" s="11" t="n">
        <f aca="false">AO140-AO141*AO135</f>
        <v>31.531499855443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0</v>
      </c>
      <c r="Q143" s="11" t="n">
        <f aca="false">IF(Inputs!$F$8=1,Q142-Q134*Inputs!Q219*Funding!$F$25,0)</f>
        <v>0</v>
      </c>
      <c r="R143" s="11" t="n">
        <f aca="false">IF(Inputs!$F$8=1,R142-R134*Inputs!R219*Funding!$F$25,0)</f>
        <v>0</v>
      </c>
      <c r="S143" s="11" t="n">
        <f aca="false">IF(Inputs!$F$8=1,S142-S134*Inputs!S219*Funding!$F$25,0)</f>
        <v>0</v>
      </c>
      <c r="T143" s="11" t="n">
        <f aca="false">IF(Inputs!$F$8=1,T142-T134*Inputs!T219*Funding!$F$25,0)</f>
        <v>0</v>
      </c>
      <c r="U143" s="11" t="n">
        <f aca="false">IF(Inputs!$F$8=1,U142-U134*Inputs!U219*Funding!$F$25,0)</f>
        <v>0</v>
      </c>
      <c r="V143" s="11" t="n">
        <f aca="false">IF(Inputs!$F$8=1,V142-V134*Inputs!V219*Funding!$F$25,0)</f>
        <v>0</v>
      </c>
      <c r="W143" s="11" t="n">
        <f aca="false">IF(Inputs!$F$8=1,W142-W134*Inputs!W219*Funding!$F$25,0)</f>
        <v>0</v>
      </c>
      <c r="X143" s="11" t="n">
        <f aca="false">IF(Inputs!$F$8=1,X142-X134*Inputs!X219*Funding!$F$25,0)</f>
        <v>0</v>
      </c>
      <c r="Y143" s="11" t="n">
        <f aca="false">IF(Inputs!$F$8=1,Y142-Y134*Inputs!Y219*Funding!$F$25,0)</f>
        <v>0</v>
      </c>
      <c r="Z143" s="11" t="n">
        <f aca="false">IF(Inputs!$F$8=1,Z142-Z134*Inputs!Z219*Funding!$F$25,0)</f>
        <v>0</v>
      </c>
      <c r="AA143" s="11" t="n">
        <f aca="false">IF(Inputs!$F$8=1,AA142-AA134*Inputs!AA219*Funding!$F$25,0)</f>
        <v>0</v>
      </c>
      <c r="AB143" s="11" t="n">
        <f aca="false">IF(Inputs!$F$8=1,AB142-AB134*Inputs!AB219*Funding!$F$25,0)</f>
        <v>0</v>
      </c>
      <c r="AC143" s="11" t="n">
        <f aca="false">IF(Inputs!$F$8=1,AC142-AC134*Inputs!AC219*Funding!$F$25,0)</f>
        <v>0</v>
      </c>
      <c r="AD143" s="11" t="n">
        <f aca="false">IF(Inputs!$F$8=1,AD142-AD134*Inputs!AD219*Funding!$F$25,0)</f>
        <v>0</v>
      </c>
      <c r="AE143" s="11" t="n">
        <f aca="false">IF(Inputs!$F$8=1,AE142-AE134*Inputs!AE219*Funding!$F$25,0)</f>
        <v>0</v>
      </c>
      <c r="AF143" s="11" t="n">
        <f aca="false">IF(Inputs!$F$8=1,AF142-AF134*Inputs!AF219*Funding!$F$25,0)</f>
        <v>0</v>
      </c>
      <c r="AG143" s="11" t="n">
        <f aca="false">IF(Inputs!$F$8=1,AG142-AG134*Inputs!AG219*Funding!$F$25,0)</f>
        <v>0</v>
      </c>
      <c r="AH143" s="11" t="n">
        <f aca="false">IF(Inputs!$F$8=1,AH142-AH134*Inputs!AH219*Funding!$F$25,0)</f>
        <v>0</v>
      </c>
      <c r="AI143" s="11" t="n">
        <f aca="false">IF(Inputs!$F$8=1,AI142-AI134*Inputs!AI219*Funding!$F$25,0)</f>
        <v>0</v>
      </c>
      <c r="AJ143" s="11" t="n">
        <f aca="false">IF(Inputs!$F$8=1,AJ142-AJ134*Inputs!AJ219*Funding!$F$25,0)</f>
        <v>0</v>
      </c>
      <c r="AK143" s="11" t="n">
        <f aca="false">IF(Inputs!$F$8=1,AK142-AK134*Inputs!AK219*Funding!$F$25,0)</f>
        <v>0</v>
      </c>
      <c r="AL143" s="11" t="n">
        <f aca="false">IF(Inputs!$F$8=1,AL142-AL134*Inputs!AL219*Funding!$F$25,0)</f>
        <v>0</v>
      </c>
      <c r="AM143" s="11" t="n">
        <f aca="false">IF(Inputs!$F$8=1,AM142-AM134*Inputs!AM219*Funding!$F$25,0)</f>
        <v>0</v>
      </c>
      <c r="AN143" s="11" t="n">
        <f aca="false">IF(Inputs!$F$8=1,AN142-AN134*Inputs!AN219*Funding!$F$25,0)</f>
        <v>0</v>
      </c>
      <c r="AO143" s="11" t="n">
        <f aca="false">IF(Inputs!$F$8=1,AO142-AO134*Inputs!AO219*Funding!$F$25,0)</f>
        <v>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51.6980654911653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0.41626830245486</v>
      </c>
      <c r="Q7" s="11" t="n">
        <f aca="false">SUM(Operations!R74:W74)/6</f>
        <v>0.41626830245486</v>
      </c>
      <c r="R7" s="11" t="n">
        <f aca="false">SUM(Operations!S74:X74)/6</f>
        <v>0.41626830245486</v>
      </c>
      <c r="S7" s="11" t="n">
        <f aca="false">SUM(Operations!T74:Y74)/6</f>
        <v>0.41626830245486</v>
      </c>
      <c r="T7" s="11" t="n">
        <f aca="false">SUM(Operations!U74:Z74)/6</f>
        <v>0.41626830245486</v>
      </c>
      <c r="U7" s="11" t="n">
        <f aca="false">SUM(Operations!V74:AA74)/6</f>
        <v>0.41626830245486</v>
      </c>
      <c r="V7" s="11" t="n">
        <f aca="false">SUM(Operations!W74:AB74)/6</f>
        <v>0</v>
      </c>
      <c r="W7" s="11" t="n">
        <f aca="false">SUM(Operations!X74:AC74)/6</f>
        <v>0</v>
      </c>
      <c r="X7" s="11" t="n">
        <f aca="false">SUM(Operations!Y74:AD74)/6</f>
        <v>1.97274254363346</v>
      </c>
      <c r="Y7" s="11" t="n">
        <f aca="false">SUM(Operations!Z74:AE74)/6</f>
        <v>1.97274254363346</v>
      </c>
      <c r="Z7" s="11" t="n">
        <f aca="false">SUM(Operations!AA74:AF74)/6</f>
        <v>1.97274254363346</v>
      </c>
      <c r="AA7" s="11" t="n">
        <f aca="false">SUM(Operations!AB74:AG74)/6</f>
        <v>1.97274254363346</v>
      </c>
      <c r="AB7" s="11" t="n">
        <f aca="false">SUM(Operations!AC74:AH74)/6</f>
        <v>1.97274254363346</v>
      </c>
      <c r="AC7" s="11" t="n">
        <f aca="false">SUM(Operations!AD74:AI74)/6</f>
        <v>1.97274254363346</v>
      </c>
      <c r="AD7" s="11" t="n">
        <f aca="false">SUM(Operations!AE74:AJ74)/6</f>
        <v>0</v>
      </c>
      <c r="AE7" s="11" t="n">
        <f aca="false">SUM(Operations!AF74:AK74)/6</f>
        <v>0</v>
      </c>
      <c r="AF7" s="11" t="n">
        <f aca="false">SUM(Operations!AG74:AL74)/6</f>
        <v>0.495427954915913</v>
      </c>
      <c r="AG7" s="11" t="n">
        <f aca="false">SUM(Operations!AH74:AM74)/6</f>
        <v>0.495427954915913</v>
      </c>
      <c r="AH7" s="11" t="n">
        <f aca="false">SUM(Operations!AI74:AN74)/6</f>
        <v>0.495427954915913</v>
      </c>
      <c r="AI7" s="11" t="n">
        <f aca="false">SUM(Operations!AJ74:AO74)/6</f>
        <v>0.495427954915913</v>
      </c>
      <c r="AJ7" s="11" t="n">
        <f aca="false">SUM(Operations!AK74:AP74)/6</f>
        <v>0.495427954915913</v>
      </c>
      <c r="AK7" s="11" t="n">
        <f aca="false">SUM(Operations!AL74:AQ74)/6</f>
        <v>0.495427954915913</v>
      </c>
      <c r="AL7" s="11" t="n">
        <f aca="false">SUM(Operations!AM74:AR74)/6</f>
        <v>0</v>
      </c>
      <c r="AM7" s="11" t="n">
        <f aca="false">SUM(Operations!AN74:AS74)/6</f>
        <v>0</v>
      </c>
      <c r="AN7" s="11" t="n">
        <f aca="false">SUM(Operations!AO74:AT74)/6</f>
        <v>2.34788908548694</v>
      </c>
      <c r="AO7" s="11" t="n">
        <f aca="false">SUM(Operations!AP74:AU74)/6</f>
        <v>2.34788908548694</v>
      </c>
      <c r="AP7" s="11" t="n">
        <f aca="false">SUM(Operations!AQ74:AV74)/6</f>
        <v>2.34788908548694</v>
      </c>
      <c r="AQ7" s="11" t="n">
        <f aca="false">SUM(Operations!AR74:AW74)/6</f>
        <v>2.34788908548694</v>
      </c>
      <c r="AR7" s="11" t="n">
        <f aca="false">SUM(Operations!AS74:AX74)/6</f>
        <v>2.34788908548694</v>
      </c>
      <c r="AS7" s="11" t="n">
        <f aca="false">SUM(Operations!AT74:AY74)/6</f>
        <v>2.34788908548694</v>
      </c>
      <c r="AT7" s="11" t="n">
        <f aca="false">SUM(Operations!AU74:AZ74)/6</f>
        <v>0</v>
      </c>
      <c r="AU7" s="11" t="n">
        <f aca="false">SUM(Operations!AV74:BA74)/6</f>
        <v>0</v>
      </c>
      <c r="AV7" s="11" t="n">
        <f aca="false">SUM(Operations!AW74:BB74)/6</f>
        <v>0.589641000923391</v>
      </c>
      <c r="AW7" s="11" t="n">
        <f aca="false">SUM(Operations!AX74:BC74)/6</f>
        <v>0.589641000923391</v>
      </c>
      <c r="AX7" s="11" t="n">
        <f aca="false">SUM(Operations!AY74:BD74)/6</f>
        <v>0.589641000923391</v>
      </c>
      <c r="AY7" s="11" t="n">
        <f aca="false">SUM(Operations!AZ74:BE74)/6</f>
        <v>0.589641000923391</v>
      </c>
      <c r="AZ7" s="11" t="n">
        <f aca="false">SUM(Operations!BA74:BF74)/6</f>
        <v>0.589641000923391</v>
      </c>
      <c r="BA7" s="11" t="n">
        <f aca="false">SUM(Operations!BB74:BG74)/6</f>
        <v>0.589641000923391</v>
      </c>
      <c r="BB7" s="11" t="n">
        <f aca="false">SUM(Operations!BC74:BH74)/6</f>
        <v>0</v>
      </c>
      <c r="BC7" s="11" t="n">
        <f aca="false">SUM(Operations!BD74:BI74)/6</f>
        <v>0</v>
      </c>
      <c r="BD7" s="11" t="n">
        <f aca="false">SUM(Operations!BE74:BJ74)/6</f>
        <v>2.79437536111299</v>
      </c>
      <c r="BE7" s="11" t="n">
        <f aca="false">SUM(Operations!BF74:BK74)/6</f>
        <v>2.79437536111299</v>
      </c>
      <c r="BF7" s="11" t="n">
        <f aca="false">SUM(Operations!BG74:BL74)/6</f>
        <v>2.79437536111299</v>
      </c>
      <c r="BG7" s="11" t="n">
        <f aca="false">SUM(Operations!BH74:BM74)/6</f>
        <v>2.79437536111299</v>
      </c>
      <c r="BH7" s="11" t="n">
        <f aca="false">SUM(Operations!BI74:BN74)/6</f>
        <v>2.79437536111299</v>
      </c>
      <c r="BI7" s="11" t="n">
        <f aca="false">SUM(Operations!BJ74:BN74)/6</f>
        <v>2.79437536111299</v>
      </c>
      <c r="BJ7" s="11" t="n">
        <f aca="false">SUM(Operations!BK74:BN74)/6</f>
        <v>0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0.41626830245486</v>
      </c>
      <c r="Q8" s="11" t="n">
        <f aca="false">P8+Q7-Operations!Q74</f>
        <v>0.83253660490972</v>
      </c>
      <c r="R8" s="11" t="n">
        <f aca="false">Q8+R7-Operations!R74</f>
        <v>1.24880490736458</v>
      </c>
      <c r="S8" s="11" t="n">
        <f aca="false">R8+S7-Operations!S74</f>
        <v>1.66507320981944</v>
      </c>
      <c r="T8" s="11" t="n">
        <f aca="false">S8+T7-Operations!T74</f>
        <v>2.0813415122743</v>
      </c>
      <c r="U8" s="11" t="n">
        <f aca="false">T8+U7-Operations!U74</f>
        <v>2.49760981472916</v>
      </c>
      <c r="V8" s="11" t="n">
        <f aca="false">U8+V7-Operations!V74</f>
        <v>0</v>
      </c>
      <c r="W8" s="11" t="n">
        <f aca="false">V8+W7-Operations!W74</f>
        <v>0</v>
      </c>
      <c r="X8" s="11" t="n">
        <f aca="false">W8+X7-Operations!X74</f>
        <v>1.97274254363346</v>
      </c>
      <c r="Y8" s="11" t="n">
        <f aca="false">X8+Y7-Operations!Y74</f>
        <v>3.94548508726692</v>
      </c>
      <c r="Z8" s="11" t="n">
        <f aca="false">Y8+Z7-Operations!Z74</f>
        <v>5.91822763090038</v>
      </c>
      <c r="AA8" s="11" t="n">
        <f aca="false">Z8+AA7-Operations!AA74</f>
        <v>7.89097017453384</v>
      </c>
      <c r="AB8" s="11" t="n">
        <f aca="false">AA8+AB7-Operations!AB74</f>
        <v>9.8637127181673</v>
      </c>
      <c r="AC8" s="11" t="n">
        <f aca="false">AB8+AC7-Operations!AC74</f>
        <v>11.8364552618008</v>
      </c>
      <c r="AD8" s="11" t="n">
        <f aca="false">AC8+AD7-Operations!AD74</f>
        <v>0</v>
      </c>
      <c r="AE8" s="11" t="n">
        <f aca="false">AD8+AE7-Operations!AE74</f>
        <v>0</v>
      </c>
      <c r="AF8" s="11" t="n">
        <f aca="false">AE8+AF7-Operations!AF74</f>
        <v>0.495427954915913</v>
      </c>
      <c r="AG8" s="11" t="n">
        <f aca="false">AF8+AG7-Operations!AG74</f>
        <v>0.990855909831827</v>
      </c>
      <c r="AH8" s="11" t="n">
        <f aca="false">AG8+AH7-Operations!AH74</f>
        <v>1.48628386474774</v>
      </c>
      <c r="AI8" s="11" t="n">
        <f aca="false">AH8+AI7-Operations!AI74</f>
        <v>1.98171181966365</v>
      </c>
      <c r="AJ8" s="11" t="n">
        <f aca="false">AI8+AJ7-Operations!AJ74</f>
        <v>2.47713977457957</v>
      </c>
      <c r="AK8" s="11" t="n">
        <f aca="false">AJ8+AK7-Operations!AK74</f>
        <v>2.97256772949548</v>
      </c>
      <c r="AL8" s="11" t="n">
        <f aca="false">AK8+AL7-Operations!AL74</f>
        <v>0</v>
      </c>
      <c r="AM8" s="11" t="n">
        <f aca="false">AL8+AM7-Operations!AM74</f>
        <v>0</v>
      </c>
      <c r="AN8" s="11" t="n">
        <f aca="false">AM8+AN7-Operations!AN74</f>
        <v>2.34788908548694</v>
      </c>
      <c r="AO8" s="11" t="n">
        <f aca="false">AN8+AO7-Operations!AO74</f>
        <v>4.69577817097388</v>
      </c>
      <c r="AP8" s="11" t="n">
        <f aca="false">AO8+AP7-Operations!AP74</f>
        <v>7.04366725646083</v>
      </c>
      <c r="AQ8" s="11" t="n">
        <f aca="false">AP8+AQ7-Operations!AQ74</f>
        <v>9.39155634194777</v>
      </c>
      <c r="AR8" s="11" t="n">
        <f aca="false">AQ8+AR7-Operations!AR74</f>
        <v>11.7394454274347</v>
      </c>
      <c r="AS8" s="11" t="n">
        <f aca="false">AR8+AS7-Operations!AS74</f>
        <v>14.0873345129217</v>
      </c>
      <c r="AT8" s="11" t="n">
        <f aca="false">AS8+AT7-Operations!AT74</f>
        <v>0</v>
      </c>
      <c r="AU8" s="11" t="n">
        <f aca="false">AT8+AU7-Operations!AU74</f>
        <v>0</v>
      </c>
      <c r="AV8" s="11" t="n">
        <f aca="false">AU8+AV7-Operations!AV74</f>
        <v>0.589641000923391</v>
      </c>
      <c r="AW8" s="11" t="n">
        <f aca="false">AV8+AW7-Operations!AW74</f>
        <v>1.17928200184678</v>
      </c>
      <c r="AX8" s="11" t="n">
        <f aca="false">AW8+AX7-Operations!AX74</f>
        <v>1.76892300277017</v>
      </c>
      <c r="AY8" s="11" t="n">
        <f aca="false">AX8+AY7-Operations!AY74</f>
        <v>2.35856400369356</v>
      </c>
      <c r="AZ8" s="11" t="n">
        <f aca="false">AY8+AZ7-Operations!AZ74</f>
        <v>2.94820500461696</v>
      </c>
      <c r="BA8" s="11" t="n">
        <f aca="false">AZ8+BA7-Operations!BA74</f>
        <v>3.53784600554035</v>
      </c>
      <c r="BB8" s="11" t="n">
        <f aca="false">BA8+BB7-Operations!BB74</f>
        <v>0</v>
      </c>
      <c r="BC8" s="11" t="n">
        <f aca="false">BB8+BC7-Operations!BC74</f>
        <v>0</v>
      </c>
      <c r="BD8" s="11" t="n">
        <f aca="false">BC8+BD7-Operations!BD74</f>
        <v>2.79437536111299</v>
      </c>
      <c r="BE8" s="11" t="n">
        <f aca="false">BD8+BE7-Operations!BE74</f>
        <v>5.58875072222598</v>
      </c>
      <c r="BF8" s="11" t="n">
        <f aca="false">BE8+BF7-Operations!BF74</f>
        <v>8.38312608333897</v>
      </c>
      <c r="BG8" s="11" t="n">
        <f aca="false">BF8+BG7-Operations!BG74</f>
        <v>11.177501444452</v>
      </c>
      <c r="BH8" s="11" t="n">
        <f aca="false">BG8+BH7-Operations!BH74</f>
        <v>13.9718768055649</v>
      </c>
      <c r="BI8" s="11" t="n">
        <f aca="false">BH8+BI7-Operations!BI74</f>
        <v>16.7662521666779</v>
      </c>
      <c r="BJ8" s="11" t="n">
        <f aca="false">BI8+BJ7-Operations!BJ74</f>
        <v>0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37.624785087678</v>
      </c>
      <c r="S9" s="11" t="n">
        <f aca="false">IF(Time!S29=1,SUM(Funding!$J$44:$BJ$44),R13)</f>
        <v>37.333312492557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36.2731845079674</v>
      </c>
      <c r="AD9" s="11" t="n">
        <f aca="false">IF(Time!AD29=1,SUM(Funding!$J$44:$BJ$44),AC13)</f>
        <v>36.935014695287</v>
      </c>
      <c r="AE9" s="11" t="n">
        <f aca="false">IF(Time!AE29=1,SUM(Funding!$J$44:$BJ$44),AD13)</f>
        <v>36.2768151121511</v>
      </c>
      <c r="AF9" s="11" t="n">
        <f aca="false">IF(Time!AF29=1,SUM(Funding!$J$44:$BJ$44),AE13)</f>
        <v>35.4504283579917</v>
      </c>
      <c r="AG9" s="11" t="n">
        <f aca="false">IF(Time!AG29=1,SUM(Funding!$J$44:$BJ$44),AF13)</f>
        <v>34.0955674124255</v>
      </c>
      <c r="AH9" s="11" t="n">
        <f aca="false">IF(Time!AH29=1,SUM(Funding!$J$44:$BJ$44),AG13)</f>
        <v>33.2329389509202</v>
      </c>
      <c r="AI9" s="11" t="n">
        <f aca="false">IF(Time!AI29=1,SUM(Funding!$J$44:$BJ$44),AH13)</f>
        <v>31.5227731481308</v>
      </c>
      <c r="AJ9" s="11" t="n">
        <f aca="false">IF(Time!AJ29=1,SUM(Funding!$J$44:$BJ$44),AI13)</f>
        <v>29.9951240823848</v>
      </c>
      <c r="AK9" s="11" t="n">
        <f aca="false">IF(Time!AK29=1,SUM(Funding!$J$44:$BJ$44),AJ13)</f>
        <v>27.5797299898581</v>
      </c>
      <c r="AL9" s="11" t="n">
        <f aca="false">IF(Time!AL29=1,SUM(Funding!$J$44:$BJ$44),AK13)</f>
        <v>24.9763953950198</v>
      </c>
      <c r="AM9" s="11" t="n">
        <f aca="false">IF(Time!AM29=1,SUM(Funding!$J$44:$BJ$44),AL13)</f>
        <v>23.5692918532781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2.99616393044006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0.467768632532213</v>
      </c>
      <c r="R11" s="11" t="n">
        <f aca="false">MIN(Waterfall!R13,MAX(0,Debt!R132-(R9-R10)))</f>
        <v>0</v>
      </c>
      <c r="S11" s="11" t="n">
        <f aca="false">MIN(Waterfall!S13,MAX(0,Debt!S132-(S9-S10)))</f>
        <v>0.417905289190834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0.661830187319588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40.2420593675354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0.291472595121029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0.731564124008791</v>
      </c>
      <c r="AC12" s="11" t="n">
        <f aca="false">MAX(0,AC9-AC10-Debt!AC132)</f>
        <v>0</v>
      </c>
      <c r="AD12" s="11" t="n">
        <f aca="false">MAX(0,AD9-AD10-Debt!AD132)</f>
        <v>0.658199583135882</v>
      </c>
      <c r="AE12" s="11" t="n">
        <f aca="false">MAX(0,AE9-AE10-Debt!AE132)</f>
        <v>0.826386754159429</v>
      </c>
      <c r="AF12" s="11" t="n">
        <f aca="false">MAX(0,AF9-AF10-Debt!AF132)</f>
        <v>1.35486094556619</v>
      </c>
      <c r="AG12" s="11" t="n">
        <f aca="false">MAX(0,AG9-AG10-Debt!AG132)</f>
        <v>0.862628461505302</v>
      </c>
      <c r="AH12" s="11" t="n">
        <f aca="false">MAX(0,AH9-AH10-Debt!AH132)</f>
        <v>1.71016580278934</v>
      </c>
      <c r="AI12" s="11" t="n">
        <f aca="false">MAX(0,AI9-AI10-Debt!AI132)</f>
        <v>1.52764906574603</v>
      </c>
      <c r="AJ12" s="11" t="n">
        <f aca="false">MAX(0,AJ9-AJ10-Debt!AJ132)</f>
        <v>2.41539409252674</v>
      </c>
      <c r="AK12" s="11" t="n">
        <f aca="false">MAX(0,AK9-AK10-Debt!AK132)</f>
        <v>2.60333459483831</v>
      </c>
      <c r="AL12" s="11" t="n">
        <f aca="false">MAX(0,AL9-AL10-Debt!AL132)</f>
        <v>1.40710354174169</v>
      </c>
      <c r="AM12" s="11" t="n">
        <f aca="false">MAX(0,AM9-AM10-Debt!AM132)</f>
        <v>4.43727459841388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37.624785087678</v>
      </c>
      <c r="R13" s="11" t="n">
        <f aca="false">(1-Time!R32)*(R9-R10+R11-R12)</f>
        <v>37.333312492557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36.2731845079674</v>
      </c>
      <c r="AC13" s="11" t="n">
        <f aca="false">(1-Time!AC32)*(AC9-AC10+AC11-AC12)</f>
        <v>36.935014695287</v>
      </c>
      <c r="AD13" s="11" t="n">
        <f aca="false">(1-Time!AD32)*(AD9-AD10+AD11-AD12)</f>
        <v>36.2768151121511</v>
      </c>
      <c r="AE13" s="11" t="n">
        <f aca="false">(1-Time!AE32)*(AE9-AE10+AE11-AE12)</f>
        <v>35.4504283579917</v>
      </c>
      <c r="AF13" s="11" t="n">
        <f aca="false">(1-Time!AF32)*(AF9-AF10+AF11-AF12)</f>
        <v>34.0955674124255</v>
      </c>
      <c r="AG13" s="11" t="n">
        <f aca="false">(1-Time!AG32)*(AG9-AG10+AG11-AG12)</f>
        <v>33.2329389509202</v>
      </c>
      <c r="AH13" s="11" t="n">
        <f aca="false">(1-Time!AH32)*(AH9-AH10+AH11-AH12)</f>
        <v>31.5227731481308</v>
      </c>
      <c r="AI13" s="11" t="n">
        <f aca="false">(1-Time!AI32)*(AI9-AI10+AI11-AI12)</f>
        <v>29.9951240823848</v>
      </c>
      <c r="AJ13" s="11" t="n">
        <f aca="false">(1-Time!AJ32)*(AJ9-AJ10+AJ11-AJ12)</f>
        <v>27.5797299898581</v>
      </c>
      <c r="AK13" s="11" t="n">
        <f aca="false">(1-Time!AK32)*(AK9-AK10+AK11-AK12)</f>
        <v>24.9763953950198</v>
      </c>
      <c r="AL13" s="11" t="n">
        <f aca="false">(1-Time!AL32)*(AL9-AL10+AL11-AL12)</f>
        <v>23.5692918532781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19.0691898563542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0.494968386608688</v>
      </c>
      <c r="BB14" s="11" t="n">
        <f aca="false">MIN(Waterfall!BB14,Operations!BB76)</f>
        <v>1.50115025464441</v>
      </c>
      <c r="BC14" s="11" t="n">
        <f aca="false">MIN(Waterfall!BC14,Operations!BC76)</f>
        <v>1.51757307334224</v>
      </c>
      <c r="BD14" s="11" t="n">
        <f aca="false">MIN(Waterfall!BD14,Operations!BD76)</f>
        <v>1.53417556024659</v>
      </c>
      <c r="BE14" s="11" t="n">
        <f aca="false">MIN(Waterfall!BE14,Operations!BE76)</f>
        <v>1.55095968095577</v>
      </c>
      <c r="BF14" s="11" t="n">
        <f aca="false">MIN(Waterfall!BF14,Operations!BF76)</f>
        <v>1.56792742257201</v>
      </c>
      <c r="BG14" s="11" t="n">
        <f aca="false">MIN(Waterfall!BG14,Operations!BG76)</f>
        <v>1.58508079393679</v>
      </c>
      <c r="BH14" s="11" t="n">
        <f aca="false">MIN(Waterfall!BH14,Operations!BH76)</f>
        <v>1.6024218258686</v>
      </c>
      <c r="BI14" s="11" t="n">
        <f aca="false">MIN(Waterfall!BI14,Operations!BI76)</f>
        <v>1.6199525714034</v>
      </c>
      <c r="BJ14" s="11" t="n">
        <f aca="false">MIN(Waterfall!BJ14,Operations!BJ76)</f>
        <v>1.63767510603771</v>
      </c>
      <c r="BK14" s="11" t="n">
        <f aca="false">MIN(Waterfall!BK14,Operations!BK76)</f>
        <v>1.65559152797428</v>
      </c>
      <c r="BL14" s="11" t="n">
        <f aca="false">MIN(Waterfall!BL14,Operations!BL76)</f>
        <v>1.67370395837054</v>
      </c>
      <c r="BM14" s="11" t="n">
        <f aca="false">MIN(Waterfall!BM14,Operations!BM76)</f>
        <v>1.12800969439314</v>
      </c>
      <c r="BN14" s="11" t="n">
        <f aca="false">MIN(Waterfall!BN14,Operations!BN76)</f>
        <v>0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2262.61568435127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1.70322194445222</v>
      </c>
      <c r="P7" s="11" t="n">
        <f aca="false">Operations!P79-Tax!P27-Operations!P91-Reserves!P7+Operations!P74+Operations!P92</f>
        <v>49.2741393857949</v>
      </c>
      <c r="Q7" s="11" t="n">
        <f aca="false">Operations!Q79-Tax!Q27-Operations!Q91-Reserves!Q7+Operations!Q74+Operations!Q92</f>
        <v>49.146781503637</v>
      </c>
      <c r="R7" s="11" t="n">
        <f aca="false">Operations!R79-Tax!R27-Operations!R91-Reserves!R7+Operations!R74+Operations!R92</f>
        <v>49.7616211880753</v>
      </c>
      <c r="S7" s="11" t="n">
        <f aca="false">Operations!S79-Tax!S27-Operations!S91-Reserves!S7+Operations!S74+Operations!S92</f>
        <v>49.3624469584191</v>
      </c>
      <c r="T7" s="11" t="n">
        <f aca="false">Operations!T79-Tax!T27-Operations!T91-Reserves!T7+Operations!T74+Operations!T92</f>
        <v>49.9096048739266</v>
      </c>
      <c r="U7" s="11" t="n">
        <f aca="false">Operations!U79-Tax!U27-Operations!U91-Reserves!U7+Operations!U74+Operations!U92</f>
        <v>49.6591147796902</v>
      </c>
      <c r="V7" s="11" t="n">
        <f aca="false">Operations!V79-Tax!V27-Operations!V91-Reserves!V7+Operations!V74+Operations!V92</f>
        <v>50.6119233096294</v>
      </c>
      <c r="W7" s="11" t="n">
        <f aca="false">Operations!W79-Tax!W27-Operations!W91-Reserves!W7+Operations!W74+Operations!W92</f>
        <v>50.2476788598056</v>
      </c>
      <c r="X7" s="11" t="n">
        <f aca="false">Operations!X79-Tax!X27-Operations!X91-Reserves!X7+Operations!X74+Operations!X92</f>
        <v>48.7497240997007</v>
      </c>
      <c r="Y7" s="11" t="n">
        <f aca="false">Operations!Y79-Tax!Y27-Operations!Y91-Reserves!Y7+Operations!Y74+Operations!Y92</f>
        <v>48.2625101750522</v>
      </c>
      <c r="Z7" s="11" t="n">
        <f aca="false">Operations!Z79-Tax!Z27-Operations!Z91-Reserves!Z7+Operations!Z74+Operations!Z92</f>
        <v>48.6506590615619</v>
      </c>
      <c r="AA7" s="11" t="n">
        <f aca="false">Operations!AA79-Tax!AA27-Operations!AA91-Reserves!AA7+Operations!AA74+Operations!AA92</f>
        <v>48.2434034237692</v>
      </c>
      <c r="AB7" s="11" t="n">
        <f aca="false">Operations!AB79-Tax!AB27-Operations!AB91-Reserves!AB7+Operations!AB74+Operations!AB92</f>
        <v>48.8059645328406</v>
      </c>
      <c r="AC7" s="11" t="n">
        <f aca="false">Operations!AC79-Tax!AC27-Operations!AC91-Reserves!AC7+Operations!AC74+Operations!AC92</f>
        <v>48.5936102735477</v>
      </c>
      <c r="AD7" s="11" t="n">
        <f aca="false">Operations!AD79-Tax!AD27-Operations!AD91-Reserves!AD7+Operations!AD74+Operations!AD92</f>
        <v>50.4878449463201</v>
      </c>
      <c r="AE7" s="11" t="n">
        <f aca="false">Operations!AE79-Tax!AE27-Operations!AE91-Reserves!AE7+Operations!AE74+Operations!AE92</f>
        <v>50.5635966791877</v>
      </c>
      <c r="AF7" s="11" t="n">
        <f aca="false">Operations!AF79-Tax!AF27-Operations!AF91-Reserves!AF7+Operations!AF74+Operations!AF92</f>
        <v>50.7050630837884</v>
      </c>
      <c r="AG7" s="11" t="n">
        <f aca="false">Operations!AG79-Tax!AG27-Operations!AG91-Reserves!AG7+Operations!AG74+Operations!AG92</f>
        <v>50.3310347177414</v>
      </c>
      <c r="AH7" s="11" t="n">
        <f aca="false">Operations!AH79-Tax!AH27-Operations!AH91-Reserves!AH7+Operations!AH74+Operations!AH92</f>
        <v>50.9806864126608</v>
      </c>
      <c r="AI7" s="11" t="n">
        <f aca="false">Operations!AI79-Tax!AI27-Operations!AI91-Reserves!AI7+Operations!AI74+Operations!AI92</f>
        <v>50.5664149388007</v>
      </c>
      <c r="AJ7" s="11" t="n">
        <f aca="false">Operations!AJ79-Tax!AJ27-Operations!AJ91-Reserves!AJ7+Operations!AJ74+Operations!AJ92</f>
        <v>51.1475227412747</v>
      </c>
      <c r="AK7" s="11" t="n">
        <f aca="false">Operations!AK79-Tax!AK27-Operations!AK91-Reserves!AK7+Operations!AK74+Operations!AK92</f>
        <v>50.901386519151</v>
      </c>
      <c r="AL7" s="11" t="n">
        <f aca="false">Operations!AL79-Tax!AL27-Operations!AL91-Reserves!AL7+Operations!AL74+Operations!AL92</f>
        <v>51.9940432440624</v>
      </c>
      <c r="AM7" s="11" t="n">
        <f aca="false">Operations!AM79-Tax!AM27-Operations!AM91-Reserves!AM7+Operations!AM74+Operations!AM92</f>
        <v>51.6099492244837</v>
      </c>
      <c r="AN7" s="11" t="n">
        <f aca="false">Operations!AN79-Tax!AN27-Operations!AN91-Reserves!AN7+Operations!AN74+Operations!AN92</f>
        <v>49.7527168243686</v>
      </c>
      <c r="AO7" s="11" t="n">
        <f aca="false">Operations!AO79-Tax!AO27-Operations!AO91-Reserves!AO7+Operations!AO74+Operations!AO92</f>
        <v>43.3793136327231</v>
      </c>
      <c r="AP7" s="11" t="n">
        <f aca="false">Operations!AP79-Tax!AP27-Operations!AP91-Reserves!AP7+Operations!AP74+Operations!AP92</f>
        <v>41.1521746171139</v>
      </c>
      <c r="AQ7" s="11" t="n">
        <f aca="false">Operations!AQ79-Tax!AQ27-Operations!AQ91-Reserves!AQ7+Operations!AQ74+Operations!AQ92</f>
        <v>40.2334221291795</v>
      </c>
      <c r="AR7" s="11" t="n">
        <f aca="false">Operations!AR79-Tax!AR27-Operations!AR91-Reserves!AR7+Operations!AR74+Operations!AR92</f>
        <v>40.812133420755</v>
      </c>
      <c r="AS7" s="11" t="n">
        <f aca="false">Operations!AS79-Tax!AS27-Operations!AS91-Reserves!AS7+Operations!AS74+Operations!AS92</f>
        <v>40.5424703735348</v>
      </c>
      <c r="AT7" s="11" t="n">
        <f aca="false">Operations!AT79-Tax!AT27-Operations!AT91-Reserves!AT7+Operations!AT74+Operations!AT92</f>
        <v>47.260030852876</v>
      </c>
      <c r="AU7" s="11" t="n">
        <f aca="false">Operations!AU79-Tax!AU27-Operations!AU91-Reserves!AU7+Operations!AU74+Operations!AU92</f>
        <v>42.8184762079473</v>
      </c>
      <c r="AV7" s="11" t="n">
        <f aca="false">Operations!AV79-Tax!AV27-Operations!AV91-Reserves!AV7+Operations!AV74+Operations!AV92</f>
        <v>42.9235396543305</v>
      </c>
      <c r="AW7" s="11" t="n">
        <f aca="false">Operations!AW79-Tax!AW27-Operations!AW91-Reserves!AW7+Operations!AW74+Operations!AW92</f>
        <v>42.4959632438198</v>
      </c>
      <c r="AX7" s="11" t="n">
        <f aca="false">Operations!AX79-Tax!AX27-Operations!AX91-Reserves!AX7+Operations!AX74+Operations!AX92</f>
        <v>43.1519623391802</v>
      </c>
      <c r="AY7" s="11" t="n">
        <f aca="false">Operations!AY79-Tax!AY27-Operations!AY91-Reserves!AY7+Operations!AY74+Operations!AY92</f>
        <v>42.691778014356</v>
      </c>
      <c r="AZ7" s="11" t="n">
        <f aca="false">Operations!AZ79-Tax!AZ27-Operations!AZ91-Reserves!AZ7+Operations!AZ74+Operations!AZ92</f>
        <v>43.29041271871</v>
      </c>
      <c r="BA7" s="11" t="n">
        <f aca="false">Operations!BA79-Tax!BA27-Operations!BA91-Reserves!BA7+Operations!BA74+Operations!BA92</f>
        <v>42.9880608120487</v>
      </c>
      <c r="BB7" s="11" t="n">
        <f aca="false">Operations!BB79-Tax!BB27-Operations!BB91-Reserves!BB7+Operations!BB74+Operations!BB92</f>
        <v>45.2182915838031</v>
      </c>
      <c r="BC7" s="11" t="n">
        <f aca="false">Operations!BC79-Tax!BC27-Operations!BC91-Reserves!BC7+Operations!BC74+Operations!BC92</f>
        <v>41.8144308241929</v>
      </c>
      <c r="BD7" s="11" t="n">
        <f aca="false">Operations!BD79-Tax!BD27-Operations!BD91-Reserves!BD7+Operations!BD74+Operations!BD92</f>
        <v>35.6951675310066</v>
      </c>
      <c r="BE7" s="11" t="n">
        <f aca="false">Operations!BE79-Tax!BE27-Operations!BE91-Reserves!BE7+Operations!BE74+Operations!BE92</f>
        <v>35.2587082349667</v>
      </c>
      <c r="BF7" s="11" t="n">
        <f aca="false">Operations!BF79-Tax!BF27-Operations!BF91-Reserves!BF7+Operations!BF74+Operations!BF92</f>
        <v>35.9424559019312</v>
      </c>
      <c r="BG7" s="11" t="n">
        <f aca="false">Operations!BG79-Tax!BG27-Operations!BG91-Reserves!BG7+Operations!BG74+Operations!BG92</f>
        <v>35.4712660294542</v>
      </c>
      <c r="BH7" s="11" t="n">
        <f aca="false">Operations!BH79-Tax!BH27-Operations!BH91-Reserves!BH7+Operations!BH74+Operations!BH92</f>
        <v>36.0914234938272</v>
      </c>
      <c r="BI7" s="11" t="n">
        <f aca="false">Operations!BI79-Tax!BI27-Operations!BI91-Reserves!BI7+Operations!BI74+Operations!BI92</f>
        <v>35.8251872192298</v>
      </c>
      <c r="BJ7" s="11" t="n">
        <f aca="false">Operations!BJ79-Tax!BJ27-Operations!BJ91-Reserves!BJ7+Operations!BJ74+Operations!BJ92</f>
        <v>43.8305275802351</v>
      </c>
      <c r="BK7" s="11" t="n">
        <f aca="false">Operations!BK79-Tax!BK27-Operations!BK91-Reserves!BK7+Operations!BK74+Operations!BK92</f>
        <v>38.5756693490245</v>
      </c>
      <c r="BL7" s="11" t="n">
        <f aca="false">Operations!BL79-Tax!BL27-Operations!BL91-Reserves!BL7+Operations!BL74+Operations!BL92</f>
        <v>39.3018793557663</v>
      </c>
      <c r="BM7" s="11" t="n">
        <f aca="false">Operations!BM79-Tax!BM27-Operations!BM91-Reserves!BM7+Operations!BM74+Operations!BM92</f>
        <v>35.8282755295198</v>
      </c>
      <c r="BN7" s="11" t="n">
        <f aca="false">Operations!BN79-Tax!BN27-Operations!BN91-Reserves!BN7+Operations!BN74+Operations!BN92</f>
        <v>0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1.7032219444511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1.70322194445222</v>
      </c>
      <c r="P9" s="11" t="n">
        <f aca="false">P7+P8</f>
        <v>50.977361330246</v>
      </c>
      <c r="Q9" s="11" t="n">
        <f aca="false">Q7+Q8</f>
        <v>49.146781503637</v>
      </c>
      <c r="R9" s="11" t="n">
        <f aca="false">R7+R8</f>
        <v>49.7616211880753</v>
      </c>
      <c r="S9" s="11" t="n">
        <f aca="false">S7+S8</f>
        <v>49.3624469584191</v>
      </c>
      <c r="T9" s="11" t="n">
        <f aca="false">T7+T8</f>
        <v>49.9096048739266</v>
      </c>
      <c r="U9" s="11" t="n">
        <f aca="false">U7+U8</f>
        <v>49.6591147796902</v>
      </c>
      <c r="V9" s="11" t="n">
        <f aca="false">V7+V8</f>
        <v>50.6119233096294</v>
      </c>
      <c r="W9" s="11" t="n">
        <f aca="false">W7+W8</f>
        <v>50.2476788598056</v>
      </c>
      <c r="X9" s="11" t="n">
        <f aca="false">X7+X8</f>
        <v>48.7497240997007</v>
      </c>
      <c r="Y9" s="11" t="n">
        <f aca="false">Y7+Y8</f>
        <v>48.2625101750522</v>
      </c>
      <c r="Z9" s="11" t="n">
        <f aca="false">Z7+Z8</f>
        <v>48.6506590615619</v>
      </c>
      <c r="AA9" s="11" t="n">
        <f aca="false">AA7+AA8</f>
        <v>48.2434034237692</v>
      </c>
      <c r="AB9" s="11" t="n">
        <f aca="false">AB7+AB8</f>
        <v>48.8059645328406</v>
      </c>
      <c r="AC9" s="11" t="n">
        <f aca="false">AC7+AC8</f>
        <v>48.5936102735477</v>
      </c>
      <c r="AD9" s="11" t="n">
        <f aca="false">AD7+AD8</f>
        <v>50.4878449463201</v>
      </c>
      <c r="AE9" s="11" t="n">
        <f aca="false">AE7+AE8</f>
        <v>50.5635966791877</v>
      </c>
      <c r="AF9" s="11" t="n">
        <f aca="false">AF7+AF8</f>
        <v>50.7050630837884</v>
      </c>
      <c r="AG9" s="11" t="n">
        <f aca="false">AG7+AG8</f>
        <v>50.3310347177414</v>
      </c>
      <c r="AH9" s="11" t="n">
        <f aca="false">AH7+AH8</f>
        <v>50.9806864126608</v>
      </c>
      <c r="AI9" s="11" t="n">
        <f aca="false">AI7+AI8</f>
        <v>50.5664149388007</v>
      </c>
      <c r="AJ9" s="11" t="n">
        <f aca="false">AJ7+AJ8</f>
        <v>51.1475227412747</v>
      </c>
      <c r="AK9" s="11" t="n">
        <f aca="false">AK7+AK8</f>
        <v>50.901386519151</v>
      </c>
      <c r="AL9" s="11" t="n">
        <f aca="false">AL7+AL8</f>
        <v>51.9940432440624</v>
      </c>
      <c r="AM9" s="11" t="n">
        <f aca="false">AM7+AM8</f>
        <v>51.6099492244837</v>
      </c>
      <c r="AN9" s="11" t="n">
        <f aca="false">AN7+AN8</f>
        <v>49.7527168243686</v>
      </c>
      <c r="AO9" s="11" t="n">
        <f aca="false">AO7+AO8</f>
        <v>43.3793136327231</v>
      </c>
      <c r="AP9" s="11" t="n">
        <f aca="false">AP7+AP8</f>
        <v>41.1521746171139</v>
      </c>
      <c r="AQ9" s="11" t="n">
        <f aca="false">AQ7+AQ8</f>
        <v>40.2334221291795</v>
      </c>
      <c r="AR9" s="11" t="n">
        <f aca="false">AR7+AR8</f>
        <v>40.812133420755</v>
      </c>
      <c r="AS9" s="11" t="n">
        <f aca="false">AS7+AS8</f>
        <v>40.5424703735348</v>
      </c>
      <c r="AT9" s="11" t="n">
        <f aca="false">AT7+AT8</f>
        <v>47.260030852876</v>
      </c>
      <c r="AU9" s="11" t="n">
        <f aca="false">AU7+AU8</f>
        <v>42.8184762079473</v>
      </c>
      <c r="AV9" s="11" t="n">
        <f aca="false">AV7+AV8</f>
        <v>42.9235396543305</v>
      </c>
      <c r="AW9" s="11" t="n">
        <f aca="false">AW7+AW8</f>
        <v>42.4959632438198</v>
      </c>
      <c r="AX9" s="11" t="n">
        <f aca="false">AX7+AX8</f>
        <v>43.1519623391802</v>
      </c>
      <c r="AY9" s="11" t="n">
        <f aca="false">AY7+AY8</f>
        <v>42.691778014356</v>
      </c>
      <c r="AZ9" s="11" t="n">
        <f aca="false">AZ7+AZ8</f>
        <v>43.29041271871</v>
      </c>
      <c r="BA9" s="11" t="n">
        <f aca="false">BA7+BA8</f>
        <v>42.9880608120487</v>
      </c>
      <c r="BB9" s="11" t="n">
        <f aca="false">BB7+BB8</f>
        <v>45.2182915838031</v>
      </c>
      <c r="BC9" s="11" t="n">
        <f aca="false">BC7+BC8</f>
        <v>41.8144308241929</v>
      </c>
      <c r="BD9" s="11" t="n">
        <f aca="false">BD7+BD8</f>
        <v>35.6951675310066</v>
      </c>
      <c r="BE9" s="11" t="n">
        <f aca="false">BE7+BE8</f>
        <v>35.2587082349667</v>
      </c>
      <c r="BF9" s="11" t="n">
        <f aca="false">BF7+BF8</f>
        <v>35.9424559019312</v>
      </c>
      <c r="BG9" s="11" t="n">
        <f aca="false">BG7+BG8</f>
        <v>35.4712660294542</v>
      </c>
      <c r="BH9" s="11" t="n">
        <f aca="false">BH7+BH8</f>
        <v>36.0914234938272</v>
      </c>
      <c r="BI9" s="11" t="n">
        <f aca="false">BI7+BI8</f>
        <v>35.8251872192298</v>
      </c>
      <c r="BJ9" s="11" t="n">
        <f aca="false">BJ7+BJ8</f>
        <v>43.8305275802351</v>
      </c>
      <c r="BK9" s="11" t="n">
        <f aca="false">BK7+BK8</f>
        <v>38.5756693490245</v>
      </c>
      <c r="BL9" s="11" t="n">
        <f aca="false">BL7+BL8</f>
        <v>39.3018793557663</v>
      </c>
      <c r="BM9" s="11" t="n">
        <f aca="false">BM7+BM8</f>
        <v>35.8282755295198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856.951202098203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36.4172054030019</v>
      </c>
      <c r="AC10" s="11" t="n">
        <f aca="false">Debt!AC121+Debt!AC117</f>
        <v>35.5566053990983</v>
      </c>
      <c r="AD10" s="11" t="n">
        <f aca="false">Debt!AD121+Debt!AD117</f>
        <v>36.1947955586994</v>
      </c>
      <c r="AE10" s="11" t="n">
        <f aca="false">Debt!AE121+Debt!AE117</f>
        <v>35.3240352970206</v>
      </c>
      <c r="AF10" s="11" t="n">
        <f aca="false">Debt!AF121+Debt!AF117</f>
        <v>34.3412412793165</v>
      </c>
      <c r="AG10" s="11" t="n">
        <f aca="false">Debt!AG121+Debt!AG117</f>
        <v>32.7613930020711</v>
      </c>
      <c r="AH10" s="11" t="n">
        <f aca="false">Debt!AH121+Debt!AH117</f>
        <v>31.6846738796716</v>
      </c>
      <c r="AI10" s="11" t="n">
        <f aca="false">Debt!AI121+Debt!AI117</f>
        <v>29.5665300514446</v>
      </c>
      <c r="AJ10" s="11" t="n">
        <f aca="false">Debt!AJ121+Debt!AJ117</f>
        <v>27.5645716619754</v>
      </c>
      <c r="AK10" s="11" t="n">
        <f aca="false">Debt!AK121+Debt!AK117</f>
        <v>24.281988622148</v>
      </c>
      <c r="AL10" s="11" t="n">
        <f aca="false">Debt!AL121+Debt!AL117</f>
        <v>23.7140398353964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1.70322194445222</v>
      </c>
      <c r="P13" s="11" t="n">
        <f aca="false">MAX(0,P9-P10)</f>
        <v>13.7314658931495</v>
      </c>
      <c r="Q13" s="11" t="n">
        <f aca="false">MAX(0,Q9-Q10)</f>
        <v>11.9897650484913</v>
      </c>
      <c r="R13" s="11" t="n">
        <f aca="false">MAX(0,R9-R10)</f>
        <v>12.1368361003973</v>
      </c>
      <c r="S13" s="11" t="n">
        <f aca="false">MAX(0,S9-S10)</f>
        <v>12.0291344658621</v>
      </c>
      <c r="T13" s="11" t="n">
        <f aca="false">MAX(0,T9-T10)</f>
        <v>12.1583870921788</v>
      </c>
      <c r="U13" s="11" t="n">
        <f aca="false">MAX(0,U9-U10)</f>
        <v>12.0884220248374</v>
      </c>
      <c r="V13" s="11" t="n">
        <f aca="false">MAX(0,V9-V10)</f>
        <v>12.3240030744711</v>
      </c>
      <c r="W13" s="11" t="n">
        <f aca="false">MAX(0,W9-W10)</f>
        <v>12.2244514339358</v>
      </c>
      <c r="X13" s="11" t="n">
        <f aca="false">MAX(0,X9-X10)</f>
        <v>11.8229290251113</v>
      </c>
      <c r="Y13" s="11" t="n">
        <f aca="false">MAX(0,Y9-Y10)</f>
        <v>11.692118130507</v>
      </c>
      <c r="Z13" s="11" t="n">
        <f aca="false">MAX(0,Z9-Z10)</f>
        <v>11.7792959530478</v>
      </c>
      <c r="AA13" s="11" t="n">
        <f aca="false">MAX(0,AA9-AA10)</f>
        <v>11.6691160689147</v>
      </c>
      <c r="AB13" s="11" t="n">
        <f aca="false">MAX(0,AB9-AB10)</f>
        <v>12.3887591298387</v>
      </c>
      <c r="AC13" s="11" t="n">
        <f aca="false">MAX(0,AC9-AC10)</f>
        <v>13.0370048744494</v>
      </c>
      <c r="AD13" s="11" t="n">
        <f aca="false">MAX(0,AD9-AD10)</f>
        <v>14.2930493876207</v>
      </c>
      <c r="AE13" s="11" t="n">
        <f aca="false">MAX(0,AE9-AE10)</f>
        <v>15.2395613821671</v>
      </c>
      <c r="AF13" s="11" t="n">
        <f aca="false">MAX(0,AF9-AF10)</f>
        <v>16.363821804472</v>
      </c>
      <c r="AG13" s="11" t="n">
        <f aca="false">MAX(0,AG9-AG10)</f>
        <v>17.5696417156703</v>
      </c>
      <c r="AH13" s="11" t="n">
        <f aca="false">MAX(0,AH9-AH10)</f>
        <v>19.2960125329892</v>
      </c>
      <c r="AI13" s="11" t="n">
        <f aca="false">MAX(0,AI9-AI10)</f>
        <v>20.9998848873562</v>
      </c>
      <c r="AJ13" s="11" t="n">
        <f aca="false">MAX(0,AJ9-AJ10)</f>
        <v>23.5829510792992</v>
      </c>
      <c r="AK13" s="11" t="n">
        <f aca="false">MAX(0,AK9-AK10)</f>
        <v>26.619397897003</v>
      </c>
      <c r="AL13" s="11" t="n">
        <f aca="false">MAX(0,AL9-AL10)</f>
        <v>28.2800034086661</v>
      </c>
      <c r="AM13" s="11" t="n">
        <f aca="false">MAX(0,AM9-AM10)</f>
        <v>28.0406573712056</v>
      </c>
      <c r="AN13" s="11" t="n">
        <f aca="false">MAX(0,AN9-AN10)</f>
        <v>30.6206995695044</v>
      </c>
      <c r="AO13" s="11" t="n">
        <f aca="false">MAX(0,AO9-AO10)</f>
        <v>24.4734058851149</v>
      </c>
      <c r="AP13" s="11" t="n">
        <f aca="false">MAX(0,AP9-AP10)</f>
        <v>41.1521746171139</v>
      </c>
      <c r="AQ13" s="11" t="n">
        <f aca="false">MAX(0,AQ9-AQ10)</f>
        <v>40.2334221291795</v>
      </c>
      <c r="AR13" s="11" t="n">
        <f aca="false">MAX(0,AR9-AR10)</f>
        <v>40.812133420755</v>
      </c>
      <c r="AS13" s="11" t="n">
        <f aca="false">MAX(0,AS9-AS10)</f>
        <v>40.5424703735348</v>
      </c>
      <c r="AT13" s="11" t="n">
        <f aca="false">MAX(0,AT9-AT10)</f>
        <v>47.260030852876</v>
      </c>
      <c r="AU13" s="11" t="n">
        <f aca="false">MAX(0,AU9-AU10)</f>
        <v>42.8184762079473</v>
      </c>
      <c r="AV13" s="11" t="n">
        <f aca="false">MAX(0,AV9-AV10)</f>
        <v>42.9235396543305</v>
      </c>
      <c r="AW13" s="11" t="n">
        <f aca="false">MAX(0,AW9-AW10)</f>
        <v>42.4959632438198</v>
      </c>
      <c r="AX13" s="11" t="n">
        <f aca="false">MAX(0,AX9-AX10)</f>
        <v>43.1519623391802</v>
      </c>
      <c r="AY13" s="11" t="n">
        <f aca="false">MAX(0,AY9-AY10)</f>
        <v>42.691778014356</v>
      </c>
      <c r="AZ13" s="11" t="n">
        <f aca="false">MAX(0,AZ9-AZ10)</f>
        <v>43.29041271871</v>
      </c>
      <c r="BA13" s="11" t="n">
        <f aca="false">MAX(0,BA9-BA10)</f>
        <v>42.9880608120487</v>
      </c>
      <c r="BB13" s="11" t="n">
        <f aca="false">MAX(0,BB9-BB10)</f>
        <v>45.2182915838031</v>
      </c>
      <c r="BC13" s="11" t="n">
        <f aca="false">MAX(0,BC9-BC10)</f>
        <v>41.8144308241929</v>
      </c>
      <c r="BD13" s="11" t="n">
        <f aca="false">MAX(0,BD9-BD10)</f>
        <v>35.6951675310066</v>
      </c>
      <c r="BE13" s="11" t="n">
        <f aca="false">MAX(0,BE9-BE10)</f>
        <v>35.2587082349667</v>
      </c>
      <c r="BF13" s="11" t="n">
        <f aca="false">MAX(0,BF9-BF10)</f>
        <v>35.9424559019312</v>
      </c>
      <c r="BG13" s="11" t="n">
        <f aca="false">MAX(0,BG9-BG10)</f>
        <v>35.4712660294542</v>
      </c>
      <c r="BH13" s="11" t="n">
        <f aca="false">MAX(0,BH9-BH10)</f>
        <v>36.0914234938272</v>
      </c>
      <c r="BI13" s="11" t="n">
        <f aca="false">MAX(0,BI9-BI10)</f>
        <v>35.8251872192298</v>
      </c>
      <c r="BJ13" s="11" t="n">
        <f aca="false">MAX(0,BJ9-BJ10)</f>
        <v>43.8305275802351</v>
      </c>
      <c r="BK13" s="11" t="n">
        <f aca="false">MAX(0,BK9-BK10)</f>
        <v>38.5756693490245</v>
      </c>
      <c r="BL13" s="11" t="n">
        <f aca="false">MAX(0,BL9-BL10)</f>
        <v>39.3018793557663</v>
      </c>
      <c r="BM13" s="11" t="n">
        <f aca="false">MAX(0,BM9-BM10)</f>
        <v>35.8282755295198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1.7032219444511</v>
      </c>
      <c r="P14" s="11" t="n">
        <f aca="false">P13-Reserves!P11+Reserves!P12</f>
        <v>13.8203448751002</v>
      </c>
      <c r="Q14" s="11" t="n">
        <f aca="false">Q13-Reserves!Q11+Reserves!Q12</f>
        <v>11.5219964159591</v>
      </c>
      <c r="R14" s="11" t="n">
        <f aca="false">R13-Reserves!R11+Reserves!R12</f>
        <v>12.4283086955183</v>
      </c>
      <c r="S14" s="11" t="n">
        <f aca="false">S13-Reserves!S11+Reserves!S12</f>
        <v>11.6112291766713</v>
      </c>
      <c r="T14" s="11" t="n">
        <f aca="false">T13-Reserves!T11+Reserves!T12</f>
        <v>12.3389121190739</v>
      </c>
      <c r="U14" s="11" t="n">
        <f aca="false">U13-Reserves!U11+Reserves!U12</f>
        <v>11.3711945445318</v>
      </c>
      <c r="V14" s="11" t="n">
        <f aca="false">V13-Reserves!V11+Reserves!V12</f>
        <v>12.5886958837596</v>
      </c>
      <c r="W14" s="11" t="n">
        <f aca="false">W13-Reserves!W11+Reserves!W12</f>
        <v>13.3208837852162</v>
      </c>
      <c r="X14" s="11" t="n">
        <f aca="false">X13-Reserves!X11+Reserves!X12</f>
        <v>12.1793320551556</v>
      </c>
      <c r="Y14" s="11" t="n">
        <f aca="false">Y13-Reserves!Y11+Reserves!Y12</f>
        <v>11.3911470665381</v>
      </c>
      <c r="Z14" s="11" t="n">
        <f aca="false">Z13-Reserves!Z11+Reserves!Z12</f>
        <v>12.0763717067075</v>
      </c>
      <c r="AA14" s="11" t="n">
        <f aca="false">AA13-Reserves!AA11+Reserves!AA12</f>
        <v>11.238654791793</v>
      </c>
      <c r="AB14" s="11" t="n">
        <f aca="false">AB13-Reserves!AB11+Reserves!AB12</f>
        <v>13.1203232538475</v>
      </c>
      <c r="AC14" s="11" t="n">
        <f aca="false">AC13-Reserves!AC11+Reserves!AC12</f>
        <v>12.3751746871298</v>
      </c>
      <c r="AD14" s="11" t="n">
        <f aca="false">AD13-Reserves!AD11+Reserves!AD12</f>
        <v>14.9512489707566</v>
      </c>
      <c r="AE14" s="11" t="n">
        <f aca="false">AE13-Reserves!AE11+Reserves!AE12</f>
        <v>16.0659481363265</v>
      </c>
      <c r="AF14" s="11" t="n">
        <f aca="false">AF13-Reserves!AF11+Reserves!AF12</f>
        <v>17.7186827500382</v>
      </c>
      <c r="AG14" s="11" t="n">
        <f aca="false">AG13-Reserves!AG11+Reserves!AG12</f>
        <v>18.4322701771756</v>
      </c>
      <c r="AH14" s="11" t="n">
        <f aca="false">AH13-Reserves!AH11+Reserves!AH12</f>
        <v>21.0061783357785</v>
      </c>
      <c r="AI14" s="11" t="n">
        <f aca="false">AI13-Reserves!AI11+Reserves!AI12</f>
        <v>22.5275339531022</v>
      </c>
      <c r="AJ14" s="11" t="n">
        <f aca="false">AJ13-Reserves!AJ11+Reserves!AJ12</f>
        <v>25.9983451718259</v>
      </c>
      <c r="AK14" s="11" t="n">
        <f aca="false">AK13-Reserves!AK11+Reserves!AK12</f>
        <v>29.2227324918413</v>
      </c>
      <c r="AL14" s="11" t="n">
        <f aca="false">AL13-Reserves!AL11+Reserves!AL12</f>
        <v>29.6871069504077</v>
      </c>
      <c r="AM14" s="11" t="n">
        <f aca="false">AM13-Reserves!AM11+Reserves!AM12</f>
        <v>32.4779319696195</v>
      </c>
      <c r="AN14" s="11" t="n">
        <f aca="false">AN13-Reserves!AN11+Reserves!AN12</f>
        <v>30.8468090767604</v>
      </c>
      <c r="AO14" s="11" t="n">
        <f aca="false">AO13-Reserves!AO11+Reserves!AO12</f>
        <v>43.3793136327231</v>
      </c>
      <c r="AP14" s="11" t="n">
        <f aca="false">AP13-Reserves!AP11+Reserves!AP12</f>
        <v>41.1521746171139</v>
      </c>
      <c r="AQ14" s="11" t="n">
        <f aca="false">AQ13-Reserves!AQ11+Reserves!AQ12</f>
        <v>40.2334221291795</v>
      </c>
      <c r="AR14" s="11" t="n">
        <f aca="false">AR13-Reserves!AR11+Reserves!AR12</f>
        <v>40.812133420755</v>
      </c>
      <c r="AS14" s="11" t="n">
        <f aca="false">AS13-Reserves!AS11+Reserves!AS12</f>
        <v>40.5424703735348</v>
      </c>
      <c r="AT14" s="11" t="n">
        <f aca="false">AT13-Reserves!AT11+Reserves!AT12</f>
        <v>47.260030852876</v>
      </c>
      <c r="AU14" s="11" t="n">
        <f aca="false">AU13-Reserves!AU11+Reserves!AU12</f>
        <v>42.8184762079473</v>
      </c>
      <c r="AV14" s="11" t="n">
        <f aca="false">AV13-Reserves!AV11+Reserves!AV12</f>
        <v>42.9235396543305</v>
      </c>
      <c r="AW14" s="11" t="n">
        <f aca="false">AW13-Reserves!AW11+Reserves!AW12</f>
        <v>42.4959632438198</v>
      </c>
      <c r="AX14" s="11" t="n">
        <f aca="false">AX13-Reserves!AX11+Reserves!AX12</f>
        <v>43.1519623391802</v>
      </c>
      <c r="AY14" s="11" t="n">
        <f aca="false">AY13-Reserves!AY11+Reserves!AY12</f>
        <v>42.691778014356</v>
      </c>
      <c r="AZ14" s="11" t="n">
        <f aca="false">AZ13-Reserves!AZ11+Reserves!AZ12</f>
        <v>43.29041271871</v>
      </c>
      <c r="BA14" s="11" t="n">
        <f aca="false">BA13-Reserves!BA11+Reserves!BA12</f>
        <v>42.9880608120487</v>
      </c>
      <c r="BB14" s="11" t="n">
        <f aca="false">BB13-Reserves!BB11+Reserves!BB12</f>
        <v>45.2182915838031</v>
      </c>
      <c r="BC14" s="11" t="n">
        <f aca="false">BC13-Reserves!BC11+Reserves!BC12</f>
        <v>41.8144308241929</v>
      </c>
      <c r="BD14" s="11" t="n">
        <f aca="false">BD13-Reserves!BD11+Reserves!BD12</f>
        <v>35.6951675310066</v>
      </c>
      <c r="BE14" s="11" t="n">
        <f aca="false">BE13-Reserves!BE11+Reserves!BE12</f>
        <v>35.2587082349667</v>
      </c>
      <c r="BF14" s="11" t="n">
        <f aca="false">BF13-Reserves!BF11+Reserves!BF12</f>
        <v>35.9424559019312</v>
      </c>
      <c r="BG14" s="11" t="n">
        <f aca="false">BG13-Reserves!BG11+Reserves!BG12</f>
        <v>35.4712660294542</v>
      </c>
      <c r="BH14" s="11" t="n">
        <f aca="false">BH13-Reserves!BH11+Reserves!BH12</f>
        <v>36.0914234938272</v>
      </c>
      <c r="BI14" s="11" t="n">
        <f aca="false">BI13-Reserves!BI11+Reserves!BI12</f>
        <v>35.8251872192298</v>
      </c>
      <c r="BJ14" s="11" t="n">
        <f aca="false">BJ13-Reserves!BJ11+Reserves!BJ12</f>
        <v>43.8305275802351</v>
      </c>
      <c r="BK14" s="11" t="n">
        <f aca="false">BK13-Reserves!BK11+Reserves!BK12</f>
        <v>38.5756693490245</v>
      </c>
      <c r="BL14" s="11" t="n">
        <f aca="false">BL13-Reserves!BL11+Reserves!BL12</f>
        <v>39.3018793557663</v>
      </c>
      <c r="BM14" s="11" t="n">
        <f aca="false">BM13-Reserves!BM11+Reserves!BM12</f>
        <v>35.8282755295198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1.7032219444511</v>
      </c>
      <c r="P15" s="11" t="n">
        <f aca="false">P14-Reserves!P14+Reserves!P15</f>
        <v>13.8203448751002</v>
      </c>
      <c r="Q15" s="11" t="n">
        <f aca="false">Q14-Reserves!Q14+Reserves!Q15</f>
        <v>11.5219964159591</v>
      </c>
      <c r="R15" s="11" t="n">
        <f aca="false">R14-Reserves!R14+Reserves!R15</f>
        <v>12.4283086955183</v>
      </c>
      <c r="S15" s="11" t="n">
        <f aca="false">S14-Reserves!S14+Reserves!S15</f>
        <v>11.6112291766713</v>
      </c>
      <c r="T15" s="11" t="n">
        <f aca="false">T14-Reserves!T14+Reserves!T15</f>
        <v>12.3389121190739</v>
      </c>
      <c r="U15" s="11" t="n">
        <f aca="false">U14-Reserves!U14+Reserves!U15</f>
        <v>11.3711945445318</v>
      </c>
      <c r="V15" s="11" t="n">
        <f aca="false">V14-Reserves!V14+Reserves!V15</f>
        <v>12.5886958837596</v>
      </c>
      <c r="W15" s="11" t="n">
        <f aca="false">W14-Reserves!W14+Reserves!W15</f>
        <v>13.3208837852162</v>
      </c>
      <c r="X15" s="11" t="n">
        <f aca="false">X14-Reserves!X14+Reserves!X15</f>
        <v>12.1793320551556</v>
      </c>
      <c r="Y15" s="11" t="n">
        <f aca="false">Y14-Reserves!Y14+Reserves!Y15</f>
        <v>11.3911470665381</v>
      </c>
      <c r="Z15" s="11" t="n">
        <f aca="false">Z14-Reserves!Z14+Reserves!Z15</f>
        <v>12.0763717067075</v>
      </c>
      <c r="AA15" s="11" t="n">
        <f aca="false">AA14-Reserves!AA14+Reserves!AA15</f>
        <v>11.238654791793</v>
      </c>
      <c r="AB15" s="11" t="n">
        <f aca="false">AB14-Reserves!AB14+Reserves!AB15</f>
        <v>13.1203232538475</v>
      </c>
      <c r="AC15" s="11" t="n">
        <f aca="false">AC14-Reserves!AC14+Reserves!AC15</f>
        <v>12.3751746871298</v>
      </c>
      <c r="AD15" s="11" t="n">
        <f aca="false">AD14-Reserves!AD14+Reserves!AD15</f>
        <v>14.9512489707566</v>
      </c>
      <c r="AE15" s="11" t="n">
        <f aca="false">AE14-Reserves!AE14+Reserves!AE15</f>
        <v>16.0659481363265</v>
      </c>
      <c r="AF15" s="11" t="n">
        <f aca="false">AF14-Reserves!AF14+Reserves!AF15</f>
        <v>17.7186827500382</v>
      </c>
      <c r="AG15" s="11" t="n">
        <f aca="false">AG14-Reserves!AG14+Reserves!AG15</f>
        <v>18.4322701771756</v>
      </c>
      <c r="AH15" s="11" t="n">
        <f aca="false">AH14-Reserves!AH14+Reserves!AH15</f>
        <v>21.0061783357785</v>
      </c>
      <c r="AI15" s="11" t="n">
        <f aca="false">AI14-Reserves!AI14+Reserves!AI15</f>
        <v>22.5275339531022</v>
      </c>
      <c r="AJ15" s="11" t="n">
        <f aca="false">AJ14-Reserves!AJ14+Reserves!AJ15</f>
        <v>25.9983451718259</v>
      </c>
      <c r="AK15" s="11" t="n">
        <f aca="false">AK14-Reserves!AK14+Reserves!AK15</f>
        <v>29.2227324918413</v>
      </c>
      <c r="AL15" s="11" t="n">
        <f aca="false">AL14-Reserves!AL14+Reserves!AL15</f>
        <v>29.6871069504077</v>
      </c>
      <c r="AM15" s="11" t="n">
        <f aca="false">AM14-Reserves!AM14+Reserves!AM15</f>
        <v>32.4779319696195</v>
      </c>
      <c r="AN15" s="11" t="n">
        <f aca="false">AN14-Reserves!AN14+Reserves!AN15</f>
        <v>30.8468090767604</v>
      </c>
      <c r="AO15" s="11" t="n">
        <f aca="false">AO14-Reserves!AO14+Reserves!AO15</f>
        <v>43.3793136327231</v>
      </c>
      <c r="AP15" s="11" t="n">
        <f aca="false">AP14-Reserves!AP14+Reserves!AP15</f>
        <v>41.1521746171139</v>
      </c>
      <c r="AQ15" s="11" t="n">
        <f aca="false">AQ14-Reserves!AQ14+Reserves!AQ15</f>
        <v>40.2334221291795</v>
      </c>
      <c r="AR15" s="11" t="n">
        <f aca="false">AR14-Reserves!AR14+Reserves!AR15</f>
        <v>40.812133420755</v>
      </c>
      <c r="AS15" s="11" t="n">
        <f aca="false">AS14-Reserves!AS14+Reserves!AS15</f>
        <v>40.5424703735348</v>
      </c>
      <c r="AT15" s="11" t="n">
        <f aca="false">AT14-Reserves!AT14+Reserves!AT15</f>
        <v>47.260030852876</v>
      </c>
      <c r="AU15" s="11" t="n">
        <f aca="false">AU14-Reserves!AU14+Reserves!AU15</f>
        <v>42.8184762079473</v>
      </c>
      <c r="AV15" s="11" t="n">
        <f aca="false">AV14-Reserves!AV14+Reserves!AV15</f>
        <v>42.9235396543305</v>
      </c>
      <c r="AW15" s="11" t="n">
        <f aca="false">AW14-Reserves!AW14+Reserves!AW15</f>
        <v>42.4959632438198</v>
      </c>
      <c r="AX15" s="11" t="n">
        <f aca="false">AX14-Reserves!AX14+Reserves!AX15</f>
        <v>43.1519623391802</v>
      </c>
      <c r="AY15" s="11" t="n">
        <f aca="false">AY14-Reserves!AY14+Reserves!AY15</f>
        <v>42.691778014356</v>
      </c>
      <c r="AZ15" s="11" t="n">
        <f aca="false">AZ14-Reserves!AZ14+Reserves!AZ15</f>
        <v>43.29041271871</v>
      </c>
      <c r="BA15" s="11" t="n">
        <f aca="false">BA14-Reserves!BA14+Reserves!BA15</f>
        <v>42.49309242544</v>
      </c>
      <c r="BB15" s="11" t="n">
        <f aca="false">BB14-Reserves!BB14+Reserves!BB15</f>
        <v>43.7171413291587</v>
      </c>
      <c r="BC15" s="11" t="n">
        <f aca="false">BC14-Reserves!BC14+Reserves!BC15</f>
        <v>40.2968577508507</v>
      </c>
      <c r="BD15" s="11" t="n">
        <f aca="false">BD14-Reserves!BD14+Reserves!BD15</f>
        <v>34.16099197076</v>
      </c>
      <c r="BE15" s="11" t="n">
        <f aca="false">BE14-Reserves!BE14+Reserves!BE15</f>
        <v>33.707748554011</v>
      </c>
      <c r="BF15" s="11" t="n">
        <f aca="false">BF14-Reserves!BF14+Reserves!BF15</f>
        <v>34.3745284793592</v>
      </c>
      <c r="BG15" s="11" t="n">
        <f aca="false">BG14-Reserves!BG14+Reserves!BG15</f>
        <v>33.8861852355174</v>
      </c>
      <c r="BH15" s="11" t="n">
        <f aca="false">BH14-Reserves!BH14+Reserves!BH15</f>
        <v>34.4890016679586</v>
      </c>
      <c r="BI15" s="11" t="n">
        <f aca="false">BI14-Reserves!BI14+Reserves!BI15</f>
        <v>34.2052346478264</v>
      </c>
      <c r="BJ15" s="11" t="n">
        <f aca="false">BJ14-Reserves!BJ14+Reserves!BJ15</f>
        <v>42.1928524741974</v>
      </c>
      <c r="BK15" s="11" t="n">
        <f aca="false">BK14-Reserves!BK14+Reserves!BK15</f>
        <v>36.9200778210503</v>
      </c>
      <c r="BL15" s="11" t="n">
        <f aca="false">BL14-Reserves!BL14+Reserves!BL15</f>
        <v>37.6281753973958</v>
      </c>
      <c r="BM15" s="11" t="n">
        <f aca="false">BM14-Reserves!BM14+Reserves!BM15</f>
        <v>53.7694556914808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1.32294146261063</v>
      </c>
      <c r="Q17" s="6" t="n">
        <f aca="false">IF(Debt!Q121&gt;0.000000001,Q7/Debt!Q121,0)</f>
        <v>1.3226783577461</v>
      </c>
      <c r="R17" s="6" t="n">
        <f aca="false">IF(Debt!R121&gt;0.000000001,R7/Debt!R121,0)</f>
        <v>1.32257555949129</v>
      </c>
      <c r="S17" s="6" t="n">
        <f aca="false">IF(Debt!S121&gt;0.000000001,S7/Debt!S121,0)</f>
        <v>1.32220913877547</v>
      </c>
      <c r="T17" s="6" t="n">
        <f aca="false">IF(Debt!T121&gt;0.000000001,T7/Debt!T121,0)</f>
        <v>1.32206608969465</v>
      </c>
      <c r="U17" s="6" t="n">
        <f aca="false">IF(Debt!U121&gt;0.000000001,U7/Debt!U121,0)</f>
        <v>1.32175137423507</v>
      </c>
      <c r="V17" s="6" t="n">
        <f aca="false">IF(Debt!V121&gt;0.000000001,V7/Debt!V121,0)</f>
        <v>1.3218770567526</v>
      </c>
      <c r="W17" s="6" t="n">
        <f aca="false">IF(Debt!W121&gt;0.000000001,W7/Debt!W121,0)</f>
        <v>1.32149957437907</v>
      </c>
      <c r="X17" s="6" t="n">
        <f aca="false">IF(Debt!X121&gt;0.000000001,X7/Debt!X121,0)</f>
        <v>1.32017208645456</v>
      </c>
      <c r="Y17" s="6" t="n">
        <f aca="false">IF(Debt!Y121&gt;0.000000001,Y7/Debt!Y121,0)</f>
        <v>1.31971541667547</v>
      </c>
      <c r="Z17" s="6" t="n">
        <f aca="false">IF(Debt!Z121&gt;0.000000001,Z7/Debt!Z121,0)</f>
        <v>1.31947004287259</v>
      </c>
      <c r="AA17" s="6" t="n">
        <f aca="false">IF(Debt!AA121&gt;0.000000001,AA7/Debt!AA121,0)</f>
        <v>1.31905245222409</v>
      </c>
      <c r="AB17" s="6" t="n">
        <f aca="false">IF(Debt!AB121&gt;0.000000001,AB7/Debt!AB121,0)</f>
        <v>1.34018972605782</v>
      </c>
      <c r="AC17" s="6" t="n">
        <f aca="false">IF(Debt!AC121&gt;0.000000001,AC7/Debt!AC121,0)</f>
        <v>1.36665493592873</v>
      </c>
      <c r="AD17" s="6" t="n">
        <f aca="false">IF(Debt!AD121&gt;0.000000001,AD7/Debt!AD121,0)</f>
        <v>1.39489239176502</v>
      </c>
      <c r="AE17" s="6" t="n">
        <f aca="false">IF(Debt!AE121&gt;0.000000001,AE7/Debt!AE121,0)</f>
        <v>1.43142187052034</v>
      </c>
      <c r="AF17" s="6" t="n">
        <f aca="false">IF(Debt!AF121&gt;0.000000001,AF7/Debt!AF121,0)</f>
        <v>1.47650641604291</v>
      </c>
      <c r="AG17" s="6" t="n">
        <f aca="false">IF(Debt!AG121&gt;0.000000001,AG7/Debt!AG121,0)</f>
        <v>1.53629104582212</v>
      </c>
      <c r="AH17" s="6" t="n">
        <f aca="false">IF(Debt!AH121&gt;0.000000001,AH7/Debt!AH121,0)</f>
        <v>1.60900145623305</v>
      </c>
      <c r="AI17" s="6" t="n">
        <f aca="false">IF(Debt!AI121&gt;0.000000001,AI7/Debt!AI121,0)</f>
        <v>1.71025868949847</v>
      </c>
      <c r="AJ17" s="6" t="n">
        <f aca="false">IF(Debt!AJ121&gt;0.000000001,AJ7/Debt!AJ121,0)</f>
        <v>1.85555296735596</v>
      </c>
      <c r="AK17" s="6" t="n">
        <f aca="false">IF(Debt!AK121&gt;0.000000001,AK7/Debt!AK121,0)</f>
        <v>2.09626103163244</v>
      </c>
      <c r="AL17" s="6" t="n">
        <f aca="false">IF(Debt!AL121&gt;0.000000001,AL7/Debt!AL121,0)</f>
        <v>2.19254262896423</v>
      </c>
      <c r="AM17" s="6" t="n">
        <f aca="false">IF(Debt!AM121&gt;0.000000001,AM7/Debt!AM121,0)</f>
        <v>2.18971149179035</v>
      </c>
      <c r="AN17" s="6" t="n">
        <f aca="false">IF(Debt!AN121&gt;0.000000001,AN7/Debt!AN121,0)</f>
        <v>2.60049508431837</v>
      </c>
      <c r="AO17" s="6" t="n">
        <f aca="false">IF(Debt!AO121&gt;0.000000001,AO7/Debt!AO121,0)</f>
        <v>2.29448457126906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1.32294146261063</v>
      </c>
      <c r="Q18" s="6" t="n">
        <f aca="false">IF(Debt!Q121&gt;0.000000001,IF(Debt!P121&gt;0.000000001,(Q7+P7)/(Debt!Q121+Debt!P121),Q17),0)</f>
        <v>1.32281006732606</v>
      </c>
      <c r="R18" s="6" t="n">
        <f aca="false">IF(Debt!R121&gt;0.000000001,IF(Debt!Q121&gt;0.000000001,(R7+Q7)/(Debt!R121+Debt!Q121),R17),0)</f>
        <v>1.32262663711134</v>
      </c>
      <c r="S18" s="6" t="n">
        <f aca="false">IF(Debt!S121&gt;0.000000001,IF(Debt!R121&gt;0.000000001,(S7+R7)/(Debt!S121+Debt!R121),S17),0)</f>
        <v>1.32239306154205</v>
      </c>
      <c r="T18" s="6" t="n">
        <f aca="false">IF(Debt!T121&gt;0.000000001,IF(Debt!S121&gt;0.000000001,(T7+S7)/(Debt!T121+Debt!S121),T17),0)</f>
        <v>1.32213721614395</v>
      </c>
      <c r="U18" s="6" t="n">
        <f aca="false">IF(Debt!U121&gt;0.000000001,IF(Debt!T121&gt;0.000000001,(U7+T7)/(Debt!U121+Debt!T121),U17),0)</f>
        <v>1.32190910910623</v>
      </c>
      <c r="V18" s="6" t="n">
        <f aca="false">IF(Debt!V121&gt;0.000000001,IF(Debt!U121&gt;0.000000001,(V7+U7)/(Debt!V121+Debt!U121),V17),0)</f>
        <v>1.32181480964493</v>
      </c>
      <c r="W18" s="6" t="n">
        <f aca="false">IF(Debt!W121&gt;0.000000001,IF(Debt!V121&gt;0.000000001,(W7+V7)/(Debt!W121+Debt!V121),W17),0)</f>
        <v>1.32168897023342</v>
      </c>
      <c r="X18" s="6" t="n">
        <f aca="false">IF(Debt!X121&gt;0.000000001,IF(Debt!W121&gt;0.000000001,(X7+W7)/(Debt!X121+Debt!W121),X17),0)</f>
        <v>1.32084554022515</v>
      </c>
      <c r="Y18" s="6" t="n">
        <f aca="false">IF(Debt!Y121&gt;0.000000001,IF(Debt!X121&gt;0.000000001,(Y7+X7)/(Debt!Y121+Debt!X121),Y17),0)</f>
        <v>1.31994485880802</v>
      </c>
      <c r="Z18" s="6" t="n">
        <f aca="false">IF(Debt!Z121&gt;0.000000001,IF(Debt!Y121&gt;0.000000001,(Z7+Y7)/(Debt!Z121+Debt!Y121),Z17),0)</f>
        <v>1.31959222699183</v>
      </c>
      <c r="AA18" s="6" t="n">
        <f aca="false">IF(Debt!AA121&gt;0.000000001,IF(Debt!Z121&gt;0.000000001,(AA7+Z7)/(Debt!AA121+Debt!Z121),AA17),0)</f>
        <v>1.31926209209159</v>
      </c>
      <c r="AB18" s="6" t="n">
        <f aca="false">IF(Debt!AB121&gt;0.000000001,IF(Debt!AA121&gt;0.000000001,(AB7+AA7)/(Debt!AB121+Debt!AA121),AB17),0)</f>
        <v>1.32959834481757</v>
      </c>
      <c r="AC18" s="6" t="n">
        <f aca="false">IF(Debt!AC121&gt;0.000000001,IF(Debt!AB121&gt;0.000000001,(AC7+AB7)/(Debt!AC121+Debt!AB121),AC17),0)</f>
        <v>1.35326410705415</v>
      </c>
      <c r="AD18" s="6" t="n">
        <f aca="false">IF(Debt!AD121&gt;0.000000001,IF(Debt!AC121&gt;0.000000001,(AD7+AC7)/(Debt!AD121+Debt!AC121),AD17),0)</f>
        <v>1.38089924234573</v>
      </c>
      <c r="AE18" s="6" t="n">
        <f aca="false">IF(Debt!AE121&gt;0.000000001,IF(Debt!AD121&gt;0.000000001,(AE7+AD7)/(Debt!AE121+Debt!AD121),AE17),0)</f>
        <v>1.41293475321718</v>
      </c>
      <c r="AF18" s="6" t="n">
        <f aca="false">IF(Debt!AF121&gt;0.000000001,IF(Debt!AE121&gt;0.000000001,(AF7+AE7)/(Debt!AF121+Debt!AE121),AF17),0)</f>
        <v>1.45364613103931</v>
      </c>
      <c r="AG18" s="6" t="n">
        <f aca="false">IF(Debt!AG121&gt;0.000000001,IF(Debt!AF121&gt;0.000000001,(AG7+AF7)/(Debt!AG121+Debt!AF121),AG17),0)</f>
        <v>1.50569495346257</v>
      </c>
      <c r="AH18" s="6" t="n">
        <f aca="false">IF(Debt!AH121&gt;0.000000001,IF(Debt!AG121&gt;0.000000001,(AH7+AG7)/(Debt!AH121+Debt!AG121),AH17),0)</f>
        <v>1.57203885407479</v>
      </c>
      <c r="AI18" s="6" t="n">
        <f aca="false">IF(Debt!AI121&gt;0.000000001,IF(Debt!AH121&gt;0.000000001,(AI7+AH7)/(Debt!AI121+Debt!AH121),AI17),0)</f>
        <v>1.6578792714942</v>
      </c>
      <c r="AJ18" s="6" t="n">
        <f aca="false">IF(Debt!AJ121&gt;0.000000001,IF(Debt!AI121&gt;0.000000001,(AJ7+AI7)/(Debt!AJ121+Debt!AI121),AJ17),0)</f>
        <v>1.78036016512146</v>
      </c>
      <c r="AK18" s="6" t="n">
        <f aca="false">IF(Debt!AK121&gt;0.000000001,IF(Debt!AJ121&gt;0.000000001,(AK7+AJ7)/(Debt!AK121+Debt!AJ121),AK17),0)</f>
        <v>1.96828697412498</v>
      </c>
      <c r="AL18" s="6" t="n">
        <f aca="false">IF(Debt!AL121&gt;0.000000001,IF(Debt!AK121&gt;0.000000001,(AL7+AK7)/(Debt!AL121+Debt!AK121),AL17),0)</f>
        <v>2.14383216841017</v>
      </c>
      <c r="AM18" s="6" t="n">
        <f aca="false">IF(Debt!AM121&gt;0.000000001,IF(Debt!AL121&gt;0.000000001,(AM7+AL7)/(Debt!AM121+Debt!AL121),AM17),0)</f>
        <v>2.191131393843</v>
      </c>
      <c r="AN18" s="6" t="n">
        <f aca="false">IF(Debt!AN121&gt;0.000000001,IF(Debt!AM121&gt;0.000000001,(AN7+AM7)/(Debt!AN121+Debt!AM121),AN17),0)</f>
        <v>2.37376015316412</v>
      </c>
      <c r="AO18" s="6" t="n">
        <f aca="false">IF(Debt!AO121&gt;0.000000001,IF(Debt!AN121&gt;0.000000001,(AO7+AN7)/(Debt!AO121+Debt!AN121),AO17),0)</f>
        <v>2.44839933963376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90.6510422504004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5.61932739589651</v>
      </c>
      <c r="AB29" s="11" t="n">
        <f aca="false">IF(AND(AB24=1,Time!AB21&gt;=2027,Inputs!$F$51=1),MIN(Inputs!$F$109*AB15,Debt!AB81),0)</f>
        <v>6.56016162692373</v>
      </c>
      <c r="AC29" s="11" t="n">
        <f aca="false">IF(AND(AC24=1,Time!AC21&gt;=2027,Inputs!$F$51=1),MIN(Inputs!$F$109*AC15,Debt!AC81),0)</f>
        <v>6.18758734356492</v>
      </c>
      <c r="AD29" s="11" t="n">
        <f aca="false">IF(AND(AD24=1,Time!AD21&gt;=2027,Inputs!$F$51=1),MIN(Inputs!$F$109*AD15,Debt!AD81),0)</f>
        <v>7.4756244853783</v>
      </c>
      <c r="AE29" s="11" t="n">
        <f aca="false">IF(AND(AE24=1,Time!AE21&gt;=2027,Inputs!$F$51=1),MIN(Inputs!$F$109*AE15,Debt!AE81),0)</f>
        <v>8.03297406816327</v>
      </c>
      <c r="AF29" s="11" t="n">
        <f aca="false">IF(AND(AF24=1,Time!AF21&gt;=2027,Inputs!$F$51=1),MIN(Inputs!$F$109*AF15,Debt!AF81),0)</f>
        <v>8.85934137501908</v>
      </c>
      <c r="AG29" s="11" t="n">
        <f aca="false">IF(AND(AG24=1,Time!AG21&gt;=2027,Inputs!$F$51=1),MIN(Inputs!$F$109*AG15,Debt!AG81),0)</f>
        <v>9.21613508858781</v>
      </c>
      <c r="AH29" s="11" t="n">
        <f aca="false">IF(AND(AH24=1,Time!AH21&gt;=2027,Inputs!$F$51=1),MIN(Inputs!$F$109*AH15,Debt!AH81),0)</f>
        <v>10.5030891678893</v>
      </c>
      <c r="AI29" s="11" t="n">
        <f aca="false">IF(AND(AI24=1,Time!AI21&gt;=2027,Inputs!$F$51=1),MIN(Inputs!$F$109*AI15,Debt!AI81),0)</f>
        <v>11.2637669765511</v>
      </c>
      <c r="AJ29" s="11" t="n">
        <f aca="false">IF(AND(AJ24=1,Time!AJ21&gt;=2027,Inputs!$F$51=1),MIN(Inputs!$F$109*AJ15,Debt!AJ81),0)</f>
        <v>12.999172585913</v>
      </c>
      <c r="AK29" s="11" t="n">
        <f aca="false">IF(AND(AK24=1,Time!AK21&gt;=2027,Inputs!$F$51=1),MIN(Inputs!$F$109*AK15,Debt!AK81),0)</f>
        <v>3.93386213651348</v>
      </c>
      <c r="AL29" s="11" t="n">
        <f aca="false">IF(AND(AL24=1,Time!AL21&gt;=2027,Inputs!$F$51=1),MIN(Inputs!$F$109*AL15,Debt!AL81),0)</f>
        <v>0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1.7032219444511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1352.25933543977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13.8203448751002</v>
      </c>
      <c r="Q31" s="11" t="n">
        <f aca="false">IF(Q24=1,Q15-Q29,0)</f>
        <v>11.5219964159591</v>
      </c>
      <c r="R31" s="11" t="n">
        <f aca="false">IF(R24=1,R15-R29,0)</f>
        <v>12.4283086955183</v>
      </c>
      <c r="S31" s="11" t="n">
        <f aca="false">IF(S24=1,S15-S29,0)</f>
        <v>11.6112291766713</v>
      </c>
      <c r="T31" s="11" t="n">
        <f aca="false">IF(T24=1,T15-T29,0)</f>
        <v>12.3389121190739</v>
      </c>
      <c r="U31" s="11" t="n">
        <f aca="false">IF(U24=1,U15-U29,0)</f>
        <v>11.3711945445318</v>
      </c>
      <c r="V31" s="11" t="n">
        <f aca="false">IF(V24=1,V15-V29,0)</f>
        <v>12.5886958837596</v>
      </c>
      <c r="W31" s="11" t="n">
        <f aca="false">IF(W24=1,W15-W29,0)</f>
        <v>13.3208837852162</v>
      </c>
      <c r="X31" s="11" t="n">
        <f aca="false">IF(X24=1,X15-X29,0)</f>
        <v>12.1793320551556</v>
      </c>
      <c r="Y31" s="11" t="n">
        <f aca="false">IF(Y24=1,Y15-Y29,0)</f>
        <v>11.3911470665381</v>
      </c>
      <c r="Z31" s="11" t="n">
        <f aca="false">IF(Z24=1,Z15-Z29,0)</f>
        <v>12.0763717067075</v>
      </c>
      <c r="AA31" s="11" t="n">
        <f aca="false">IF(AA24=1,AA15-AA29,0)</f>
        <v>5.61932739589651</v>
      </c>
      <c r="AB31" s="11" t="n">
        <f aca="false">IF(AB24=1,AB15-AB29,0)</f>
        <v>6.56016162692373</v>
      </c>
      <c r="AC31" s="11" t="n">
        <f aca="false">IF(AC24=1,AC15-AC29,0)</f>
        <v>6.18758734356492</v>
      </c>
      <c r="AD31" s="11" t="n">
        <f aca="false">IF(AD24=1,AD15-AD29,0)</f>
        <v>7.4756244853783</v>
      </c>
      <c r="AE31" s="11" t="n">
        <f aca="false">IF(AE24=1,AE15-AE29,0)</f>
        <v>8.03297406816327</v>
      </c>
      <c r="AF31" s="11" t="n">
        <f aca="false">IF(AF24=1,AF15-AF29,0)</f>
        <v>8.85934137501908</v>
      </c>
      <c r="AG31" s="11" t="n">
        <f aca="false">IF(AG24=1,AG15-AG29,0)</f>
        <v>9.21613508858781</v>
      </c>
      <c r="AH31" s="11" t="n">
        <f aca="false">IF(AH24=1,AH15-AH29,0)</f>
        <v>10.5030891678893</v>
      </c>
      <c r="AI31" s="11" t="n">
        <f aca="false">IF(AI24=1,AI15-AI29,0)</f>
        <v>11.2637669765511</v>
      </c>
      <c r="AJ31" s="11" t="n">
        <f aca="false">IF(AJ24=1,AJ15-AJ29,0)</f>
        <v>12.999172585913</v>
      </c>
      <c r="AK31" s="11" t="n">
        <f aca="false">IF(AK24=1,AK15-AK29,0)</f>
        <v>25.2888703553279</v>
      </c>
      <c r="AL31" s="11" t="n">
        <f aca="false">IF(AL24=1,AL15-AL29,0)</f>
        <v>29.6871069504077</v>
      </c>
      <c r="AM31" s="11" t="n">
        <f aca="false">IF(AM24=1,AM15-AM29,0)</f>
        <v>32.4779319696195</v>
      </c>
      <c r="AN31" s="11" t="n">
        <f aca="false">IF(AN24=1,AN15-AN29,0)</f>
        <v>30.8468090767604</v>
      </c>
      <c r="AO31" s="11" t="n">
        <f aca="false">IF(AO24=1,AO15-AO29,0)</f>
        <v>43.3793136327231</v>
      </c>
      <c r="AP31" s="11" t="n">
        <f aca="false">IF(AP24=1,AP15-AP29,0)</f>
        <v>41.1521746171139</v>
      </c>
      <c r="AQ31" s="11" t="n">
        <f aca="false">IF(AQ24=1,AQ15-AQ29,0)</f>
        <v>40.2334221291795</v>
      </c>
      <c r="AR31" s="11" t="n">
        <f aca="false">IF(AR24=1,AR15-AR29,0)</f>
        <v>40.812133420755</v>
      </c>
      <c r="AS31" s="11" t="n">
        <f aca="false">IF(AS24=1,AS15-AS29,0)</f>
        <v>40.5424703735348</v>
      </c>
      <c r="AT31" s="11" t="n">
        <f aca="false">IF(AT24=1,AT15-AT29,0)</f>
        <v>47.260030852876</v>
      </c>
      <c r="AU31" s="11" t="n">
        <f aca="false">IF(AU24=1,AU15-AU29,0)</f>
        <v>42.8184762079473</v>
      </c>
      <c r="AV31" s="11" t="n">
        <f aca="false">IF(AV24=1,AV15-AV29,0)</f>
        <v>42.9235396543305</v>
      </c>
      <c r="AW31" s="11" t="n">
        <f aca="false">IF(AW24=1,AW15-AW29,0)</f>
        <v>42.4959632438198</v>
      </c>
      <c r="AX31" s="11" t="n">
        <f aca="false">IF(AX24=1,AX15-AX29,0)</f>
        <v>43.1519623391802</v>
      </c>
      <c r="AY31" s="11" t="n">
        <f aca="false">IF(AY24=1,AY15-AY29,0)</f>
        <v>42.691778014356</v>
      </c>
      <c r="AZ31" s="11" t="n">
        <f aca="false">IF(AZ24=1,AZ15-AZ29,0)</f>
        <v>43.29041271871</v>
      </c>
      <c r="BA31" s="11" t="n">
        <f aca="false">IF(BA24=1,BA15-BA29,0)</f>
        <v>42.49309242544</v>
      </c>
      <c r="BB31" s="11" t="n">
        <f aca="false">IF(BB24=1,BB15-BB29,0)</f>
        <v>43.7171413291587</v>
      </c>
      <c r="BC31" s="11" t="n">
        <f aca="false">IF(BC24=1,BC15-BC29,0)</f>
        <v>40.2968577508507</v>
      </c>
      <c r="BD31" s="11" t="n">
        <f aca="false">IF(BD24=1,BD15-BD29,0)</f>
        <v>34.16099197076</v>
      </c>
      <c r="BE31" s="11" t="n">
        <f aca="false">IF(BE24=1,BE15-BE29,0)</f>
        <v>33.707748554011</v>
      </c>
      <c r="BF31" s="11" t="n">
        <f aca="false">IF(BF24=1,BF15-BF29,0)</f>
        <v>34.3745284793592</v>
      </c>
      <c r="BG31" s="11" t="n">
        <f aca="false">IF(BG24=1,BG15-BG29,0)</f>
        <v>33.8861852355174</v>
      </c>
      <c r="BH31" s="11" t="n">
        <f aca="false">IF(BH24=1,BH15-BH29,0)</f>
        <v>34.4890016679586</v>
      </c>
      <c r="BI31" s="11" t="n">
        <f aca="false">IF(BI24=1,BI15-BI29,0)</f>
        <v>34.2052346478264</v>
      </c>
      <c r="BJ31" s="11" t="n">
        <f aca="false">IF(BJ24=1,BJ15-BJ29,0)</f>
        <v>42.1928524741974</v>
      </c>
      <c r="BK31" s="11" t="n">
        <f aca="false">IF(BK24=1,BK15-BK29,0)</f>
        <v>36.9200778210503</v>
      </c>
      <c r="BL31" s="11" t="n">
        <f aca="false">IF(BL24=1,BL15-BL29,0)</f>
        <v>37.6281753973958</v>
      </c>
      <c r="BM31" s="11" t="n">
        <f aca="false">IF(BM24=1,BM15-BM29,0)</f>
        <v>53.7694556914808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200.851964405689</v>
      </c>
      <c r="R33" s="11" t="n">
        <f aca="false">IF(Time!R17&lt;Time!$F$11,0,IF(Time!R29=1,INDEX(Funding!$J$72:$BJ$72,1,Time!$F$13),Q36))</f>
        <v>198.792021490979</v>
      </c>
      <c r="S33" s="11" t="n">
        <f aca="false">IF(Time!S17&lt;Time!$F$11,0,IF(Time!S29=1,INDEX(Funding!$J$72:$BJ$72,1,Time!$F$13),R36))</f>
        <v>195.883944400014</v>
      </c>
      <c r="T33" s="11" t="n">
        <f aca="false">IF(Time!T17&lt;Time!$F$11,0,IF(Time!T29=1,INDEX(Funding!$J$72:$BJ$72,1,Time!$F$13),S36))</f>
        <v>193.500727343777</v>
      </c>
      <c r="U33" s="11" t="n">
        <f aca="false">IF(Time!U17&lt;Time!$F$11,0,IF(Time!U29=1,INDEX(Funding!$J$72:$BJ$72,1,Time!$F$13),T36))</f>
        <v>190.428644578043</v>
      </c>
      <c r="V33" s="11" t="n">
        <f aca="false">IF(Time!V17&lt;Time!$F$11,0,IF(Time!V29=1,INDEX(Funding!$J$72:$BJ$72,1,Time!$F$13),U36))</f>
        <v>188.078028841058</v>
      </c>
      <c r="W33" s="11" t="n">
        <f aca="false">IF(Time!W17&lt;Time!$F$11,0,IF(Time!W29=1,INDEX(Funding!$J$72:$BJ$72,1,Time!$F$13),V36))</f>
        <v>184.496467050837</v>
      </c>
      <c r="X33" s="11" t="n">
        <f aca="false">IF(Time!X17&lt;Time!$F$11,0,IF(Time!X29=1,INDEX(Funding!$J$72:$BJ$72,1,Time!$F$13),W36))</f>
        <v>179.86713600792</v>
      </c>
      <c r="Y33" s="11" t="n">
        <f aca="false">IF(Time!Y17&lt;Time!$F$11,0,IF(Time!Y29=1,INDEX(Funding!$J$72:$BJ$72,1,Time!$F$13),X36))</f>
        <v>176.301715014184</v>
      </c>
      <c r="Z33" s="11" t="n">
        <f aca="false">IF(Time!Z17&lt;Time!$F$11,0,IF(Time!Z29=1,INDEX(Funding!$J$72:$BJ$72,1,Time!$F$13),Y36))</f>
        <v>173.216069289205</v>
      </c>
      <c r="AA33" s="11" t="n">
        <f aca="false">IF(Time!AA17&lt;Time!$F$11,0,IF(Time!AA29=1,INDEX(Funding!$J$72:$BJ$72,1,Time!$F$13),Z36))</f>
        <v>169.435086325444</v>
      </c>
      <c r="AB33" s="11" t="n">
        <f aca="false">IF(Time!AB17&lt;Time!$F$11,0,IF(Time!AB29=1,INDEX(Funding!$J$72:$BJ$72,1,Time!$F$13),AA36))</f>
        <v>171.797776215481</v>
      </c>
      <c r="AC33" s="11" t="n">
        <f aca="false">IF(Time!AC17&lt;Time!$F$11,0,IF(Time!AC29=1,INDEX(Funding!$J$72:$BJ$72,1,Time!$F$13),AB36))</f>
        <v>173.465080693343</v>
      </c>
      <c r="AD33" s="11" t="n">
        <f aca="false">IF(Time!AD17&lt;Time!$F$11,0,IF(Time!AD29=1,INDEX(Funding!$J$72:$BJ$72,1,Time!$F$13),AC36))</f>
        <v>175.494510459882</v>
      </c>
      <c r="AE33" s="11" t="n">
        <f aca="false">IF(Time!AE17&lt;Time!$F$11,0,IF(Time!AE29=1,INDEX(Funding!$J$72:$BJ$72,1,Time!$F$13),AD36))</f>
        <v>176.423390201459</v>
      </c>
      <c r="AF33" s="11" t="n">
        <f aca="false">IF(Time!AF17&lt;Time!$F$11,0,IF(Time!AF29=1,INDEX(Funding!$J$72:$BJ$72,1,Time!$F$13),AE36))</f>
        <v>176.701649542923</v>
      </c>
      <c r="AG33" s="11" t="n">
        <f aca="false">IF(Time!AG17&lt;Time!$F$11,0,IF(Time!AG29=1,INDEX(Funding!$J$72:$BJ$72,1,Time!$F$13),AF36))</f>
        <v>176.304622781631</v>
      </c>
      <c r="AH33" s="11" t="n">
        <f aca="false">IF(Time!AH17&lt;Time!$F$11,0,IF(Time!AH29=1,INDEX(Funding!$J$72:$BJ$72,1,Time!$F$13),AG36))</f>
        <v>175.394126018331</v>
      </c>
      <c r="AI33" s="11" t="n">
        <f aca="false">IF(Time!AI17&lt;Time!$F$11,0,IF(Time!AI29=1,INDEX(Funding!$J$72:$BJ$72,1,Time!$F$13),AH36))</f>
        <v>173.290733625238</v>
      </c>
      <c r="AJ33" s="11" t="n">
        <f aca="false">IF(Time!AJ17&lt;Time!$F$11,0,IF(Time!AJ29=1,INDEX(Funding!$J$72:$BJ$72,1,Time!$F$13),AI36))</f>
        <v>170.190621894402</v>
      </c>
      <c r="AK33" s="11" t="n">
        <f aca="false">IF(Time!AK17&lt;Time!$F$11,0,IF(Time!AK29=1,INDEX(Funding!$J$72:$BJ$72,1,Time!$F$13),AJ36))</f>
        <v>165.341948132363</v>
      </c>
      <c r="AL33" s="11" t="n">
        <f aca="false">IF(Time!AL17&lt;Time!$F$11,0,IF(Time!AL29=1,INDEX(Funding!$J$72:$BJ$72,1,Time!$F$13),AK36))</f>
        <v>147.885303210483</v>
      </c>
      <c r="AM33" s="11" t="n">
        <f aca="false">IF(Time!AM17&lt;Time!$F$11,0,IF(Time!AM29=1,INDEX(Funding!$J$72:$BJ$72,1,Time!$F$13),AL36))</f>
        <v>125.280484205608</v>
      </c>
      <c r="AN33" s="11" t="n">
        <f aca="false">IF(Time!AN17&lt;Time!$F$11,0,IF(Time!AN29=1,INDEX(Funding!$J$72:$BJ$72,1,Time!$F$13),AM36))</f>
        <v>98.7044643617838</v>
      </c>
      <c r="AO33" s="11" t="n">
        <f aca="false">IF(Time!AO17&lt;Time!$F$11,0,IF(Time!AO29=1,INDEX(Funding!$J$72:$BJ$72,1,Time!$F$13),AN36))</f>
        <v>72.5846526467877</v>
      </c>
      <c r="AP33" s="11" t="n">
        <f aca="false">IF(Time!AP17&lt;Time!$F$11,0,IF(Time!AP29=1,INDEX(Funding!$J$72:$BJ$72,1,Time!$F$13),AO36))</f>
        <v>32.6247721709455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205.104839055864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9.46205350124882</v>
      </c>
      <c r="R34" s="11" t="n">
        <f aca="false">R24*MIN(R31,Tax!R13)</f>
        <v>9.52023160455426</v>
      </c>
      <c r="S34" s="11" t="n">
        <f aca="false">S24*MIN(S31,Tax!S13)</f>
        <v>9.22801212043356</v>
      </c>
      <c r="T34" s="11" t="n">
        <f aca="false">T24*MIN(T31,Tax!T13)</f>
        <v>9.26682935334032</v>
      </c>
      <c r="U34" s="11" t="n">
        <f aca="false">U24*MIN(U31,Tax!U13)</f>
        <v>9.02057880754621</v>
      </c>
      <c r="V34" s="11" t="n">
        <f aca="false">V24*MIN(V31,Tax!V13)</f>
        <v>9.00713409353886</v>
      </c>
      <c r="W34" s="11" t="n">
        <f aca="false">W24*MIN(W31,Tax!W13)</f>
        <v>8.69155274229901</v>
      </c>
      <c r="X34" s="11" t="n">
        <f aca="false">X24*MIN(X31,Tax!X13)</f>
        <v>8.61391106142037</v>
      </c>
      <c r="Y34" s="11" t="n">
        <f aca="false">Y24*MIN(Y31,Tax!Y13)</f>
        <v>8.30550134155863</v>
      </c>
      <c r="Z34" s="11" t="n">
        <f aca="false">Z24*MIN(Z31,Tax!Z13)</f>
        <v>8.29538874294604</v>
      </c>
      <c r="AA34" s="11" t="n">
        <f aca="false">AA24*MIN(AA31,Tax!AA13)</f>
        <v>5.61932739589651</v>
      </c>
      <c r="AB34" s="11" t="n">
        <f aca="false">AB24*MIN(AB31,Tax!AB13)</f>
        <v>6.56016162692373</v>
      </c>
      <c r="AC34" s="11" t="n">
        <f aca="false">AC24*MIN(AC31,Tax!AC13)</f>
        <v>6.18758734356492</v>
      </c>
      <c r="AD34" s="11" t="n">
        <f aca="false">AD24*MIN(AD31,Tax!AD13)</f>
        <v>7.4756244853783</v>
      </c>
      <c r="AE34" s="11" t="n">
        <f aca="false">AE24*MIN(AE31,Tax!AE13)</f>
        <v>8.03297406816327</v>
      </c>
      <c r="AF34" s="11" t="n">
        <f aca="false">AF24*MIN(AF31,Tax!AF13)</f>
        <v>8.46231461372684</v>
      </c>
      <c r="AG34" s="11" t="n">
        <f aca="false">AG24*MIN(AG31,Tax!AG13)</f>
        <v>8.30563832528807</v>
      </c>
      <c r="AH34" s="11" t="n">
        <f aca="false">AH24*MIN(AH31,Tax!AH13)</f>
        <v>8.3996967747957</v>
      </c>
      <c r="AI34" s="11" t="n">
        <f aca="false">AI24*MIN(AI31,Tax!AI13)</f>
        <v>8.16365524571496</v>
      </c>
      <c r="AJ34" s="11" t="n">
        <f aca="false">AJ24*MIN(AJ31,Tax!AJ13)</f>
        <v>8.15049882387435</v>
      </c>
      <c r="AK34" s="11" t="n">
        <f aca="false">AK24*MIN(AK31,Tax!AK13)</f>
        <v>7.83222543344809</v>
      </c>
      <c r="AL34" s="11" t="n">
        <f aca="false">AL24*MIN(AL31,Tax!AL13)</f>
        <v>7.08228794553218</v>
      </c>
      <c r="AM34" s="11" t="n">
        <f aca="false">AM24*MIN(AM31,Tax!AM13)</f>
        <v>5.90191212579568</v>
      </c>
      <c r="AN34" s="11" t="n">
        <f aca="false">AN24*MIN(AN31,Tax!AN13)</f>
        <v>4.72699736176433</v>
      </c>
      <c r="AO34" s="11" t="n">
        <f aca="false">AO24*MIN(AO31,Tax!AO13)</f>
        <v>3.41943315688086</v>
      </c>
      <c r="AP34" s="11" t="n">
        <f aca="false">AP24*MIN(AP31,Tax!AP13)</f>
        <v>1.5624137467072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212.127975284746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4.00944766157745</v>
      </c>
      <c r="Q35" s="11" t="n">
        <f aca="false">Q24*MIN(Q31-Q34,Q33+Tax!Q13-Q34)</f>
        <v>2.05994291471024</v>
      </c>
      <c r="R35" s="11" t="n">
        <f aca="false">R24*MIN(R31-R34,R33+Tax!R13-R34)</f>
        <v>2.90807709096406</v>
      </c>
      <c r="S35" s="11" t="n">
        <f aca="false">S24*MIN(S31-S34,S33+Tax!S13-S34)</f>
        <v>2.38321705623774</v>
      </c>
      <c r="T35" s="11" t="n">
        <f aca="false">T24*MIN(T31-T34,T33+Tax!T13-T34)</f>
        <v>3.07208276573355</v>
      </c>
      <c r="U35" s="11" t="n">
        <f aca="false">U24*MIN(U31-U34,U33+Tax!U13-U34)</f>
        <v>2.3506157369856</v>
      </c>
      <c r="V35" s="11" t="n">
        <f aca="false">V24*MIN(V31-V34,V33+Tax!V13-V34)</f>
        <v>3.58156179022075</v>
      </c>
      <c r="W35" s="11" t="n">
        <f aca="false">W24*MIN(W31-W34,W33+Tax!W13-W34)</f>
        <v>4.62933104291722</v>
      </c>
      <c r="X35" s="11" t="n">
        <f aca="false">X24*MIN(X31-X34,X33+Tax!X13-X34)</f>
        <v>3.56542099373519</v>
      </c>
      <c r="Y35" s="11" t="n">
        <f aca="false">Y24*MIN(Y31-Y34,Y33+Tax!Y13-Y34)</f>
        <v>3.08564572497944</v>
      </c>
      <c r="Z35" s="11" t="n">
        <f aca="false">Z24*MIN(Z31-Z34,Z33+Tax!Z13-Z34)</f>
        <v>3.78098296376145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</v>
      </c>
      <c r="AF35" s="11" t="n">
        <f aca="false">AF24*MIN(AF31-AF34,AF33+Tax!AF13-AF34)</f>
        <v>0.397026761292235</v>
      </c>
      <c r="AG35" s="11" t="n">
        <f aca="false">AG24*MIN(AG31-AG34,AG33+Tax!AG13-AG34)</f>
        <v>0.91049676329974</v>
      </c>
      <c r="AH35" s="11" t="n">
        <f aca="false">AH24*MIN(AH31-AH34,AH33+Tax!AH13-AH34)</f>
        <v>2.10339239309357</v>
      </c>
      <c r="AI35" s="11" t="n">
        <f aca="false">AI24*MIN(AI31-AI34,AI33+Tax!AI13-AI34)</f>
        <v>3.10011173083613</v>
      </c>
      <c r="AJ35" s="11" t="n">
        <f aca="false">AJ24*MIN(AJ31-AJ34,AJ33+Tax!AJ13-AJ34)</f>
        <v>4.84867376203862</v>
      </c>
      <c r="AK35" s="11" t="n">
        <f aca="false">AK24*MIN(AK31-AK34,AK33+Tax!AK13-AK34)</f>
        <v>17.4566449218798</v>
      </c>
      <c r="AL35" s="11" t="n">
        <f aca="false">AL24*MIN(AL31-AL34,AL33+Tax!AL13-AL34)</f>
        <v>22.6048190048756</v>
      </c>
      <c r="AM35" s="11" t="n">
        <f aca="false">AM24*MIN(AM31-AM34,AM33+Tax!AM13-AM34)</f>
        <v>26.5760198438238</v>
      </c>
      <c r="AN35" s="11" t="n">
        <f aca="false">AN24*MIN(AN31-AN34,AN33+Tax!AN13-AN34)</f>
        <v>26.1198117149961</v>
      </c>
      <c r="AO35" s="11" t="n">
        <f aca="false">AO24*MIN(AO31-AO34,AO33+Tax!AO13-AO34)</f>
        <v>39.9598804758422</v>
      </c>
      <c r="AP35" s="11" t="n">
        <f aca="false">AP24*MIN(AP31-AP34,AP33+Tax!AP13-AP34)</f>
        <v>32.6247721709455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200.851964405689</v>
      </c>
      <c r="Q36" s="11" t="n">
        <f aca="false">Q33+Tax!Q13-Q34-Q35</f>
        <v>198.792021490979</v>
      </c>
      <c r="R36" s="11" t="n">
        <f aca="false">R33+Tax!R13-R34-R35</f>
        <v>195.883944400014</v>
      </c>
      <c r="S36" s="11" t="n">
        <f aca="false">S33+Tax!S13-S34-S35</f>
        <v>193.500727343777</v>
      </c>
      <c r="T36" s="11" t="n">
        <f aca="false">T33+Tax!T13-T34-T35</f>
        <v>190.428644578043</v>
      </c>
      <c r="U36" s="11" t="n">
        <f aca="false">U33+Tax!U13-U34-U35</f>
        <v>188.078028841058</v>
      </c>
      <c r="V36" s="11" t="n">
        <f aca="false">V33+Tax!V13-V34-V35</f>
        <v>184.496467050837</v>
      </c>
      <c r="W36" s="11" t="n">
        <f aca="false">W33+Tax!W13-W34-W35</f>
        <v>179.86713600792</v>
      </c>
      <c r="X36" s="11" t="n">
        <f aca="false">X33+Tax!X13-X34-X35</f>
        <v>176.301715014184</v>
      </c>
      <c r="Y36" s="11" t="n">
        <f aca="false">Y33+Tax!Y13-Y34-Y35</f>
        <v>173.216069289205</v>
      </c>
      <c r="Z36" s="11" t="n">
        <f aca="false">Z33+Tax!Z13-Z34-Z35</f>
        <v>169.435086325444</v>
      </c>
      <c r="AA36" s="11" t="n">
        <f aca="false">AA33+Tax!AA13-AA34-AA35</f>
        <v>171.797776215481</v>
      </c>
      <c r="AB36" s="11" t="n">
        <f aca="false">AB33+Tax!AB13-AB34-AB35</f>
        <v>173.465080693343</v>
      </c>
      <c r="AC36" s="11" t="n">
        <f aca="false">AC33+Tax!AC13-AC34-AC35</f>
        <v>175.494510459882</v>
      </c>
      <c r="AD36" s="11" t="n">
        <f aca="false">AD33+Tax!AD13-AD34-AD35</f>
        <v>176.423390201459</v>
      </c>
      <c r="AE36" s="11" t="n">
        <f aca="false">AE33+Tax!AE13-AE34-AE35</f>
        <v>176.701649542923</v>
      </c>
      <c r="AF36" s="11" t="n">
        <f aca="false">AF33+Tax!AF13-AF34-AF35</f>
        <v>176.304622781631</v>
      </c>
      <c r="AG36" s="11" t="n">
        <f aca="false">AG33+Tax!AG13-AG34-AG35</f>
        <v>175.394126018331</v>
      </c>
      <c r="AH36" s="11" t="n">
        <f aca="false">AH33+Tax!AH13-AH34-AH35</f>
        <v>173.290733625238</v>
      </c>
      <c r="AI36" s="11" t="n">
        <f aca="false">AI33+Tax!AI13-AI34-AI35</f>
        <v>170.190621894402</v>
      </c>
      <c r="AJ36" s="11" t="n">
        <f aca="false">AJ33+Tax!AJ13-AJ34-AJ35</f>
        <v>165.341948132363</v>
      </c>
      <c r="AK36" s="11" t="n">
        <f aca="false">AK33+Tax!AK13-AK34-AK35</f>
        <v>147.885303210483</v>
      </c>
      <c r="AL36" s="11" t="n">
        <f aca="false">AL33+Tax!AL13-AL34-AL35</f>
        <v>125.280484205608</v>
      </c>
      <c r="AM36" s="11" t="n">
        <f aca="false">AM33+Tax!AM13-AM34-AM35</f>
        <v>98.7044643617838</v>
      </c>
      <c r="AN36" s="11" t="n">
        <f aca="false">AN33+Tax!AN13-AN34-AN35</f>
        <v>72.5846526467877</v>
      </c>
      <c r="AO36" s="11" t="n">
        <f aca="false">AO33+Tax!AO13-AO34-AO35</f>
        <v>32.6247721709455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9.44609069121115</v>
      </c>
      <c r="P37" s="11" t="n">
        <f aca="false">MAX(0,O43+Financials!P14)</f>
        <v>15.8193268888995</v>
      </c>
      <c r="Q37" s="11" t="n">
        <f aca="false">MAX(0,P43+Financials!Q14)</f>
        <v>23.4815393727732</v>
      </c>
      <c r="R37" s="11" t="n">
        <f aca="false">MAX(0,Q43+Financials!R14)</f>
        <v>31.5489984240967</v>
      </c>
      <c r="S37" s="11" t="n">
        <f aca="false">MAX(0,R43+Financials!S14)</f>
        <v>40.7821747223983</v>
      </c>
      <c r="T37" s="11" t="n">
        <f aca="false">MAX(0,S43+Financials!T14)</f>
        <v>50.4267894888981</v>
      </c>
      <c r="U37" s="11" t="n">
        <f aca="false">MAX(0,T43+Financials!U14)</f>
        <v>61.2330380942989</v>
      </c>
      <c r="V37" s="11" t="n">
        <f aca="false">MAX(0,U43+Financials!V14)</f>
        <v>70.2760850883358</v>
      </c>
      <c r="W37" s="11" t="n">
        <f aca="false">MAX(0,V43+Financials!W14)</f>
        <v>83.057131539936</v>
      </c>
      <c r="X37" s="11" t="n">
        <f aca="false">MAX(0,W43+Financials!X14)</f>
        <v>96.4268993850452</v>
      </c>
      <c r="Y37" s="11" t="n">
        <f aca="false">MAX(0,X43+Financials!Y14)</f>
        <v>107.883819529588</v>
      </c>
      <c r="Z37" s="11" t="n">
        <f aca="false">MAX(0,Y43+Financials!Z14)</f>
        <v>114.401768612728</v>
      </c>
      <c r="AA37" s="11" t="n">
        <f aca="false">MAX(0,Z43+Financials!AA14)</f>
        <v>121.834801996589</v>
      </c>
      <c r="AB37" s="11" t="n">
        <f aca="false">MAX(0,AA43+Financials!AB14)</f>
        <v>129.755997213789</v>
      </c>
      <c r="AC37" s="11" t="n">
        <f aca="false">MAX(0,AB43+Financials!AC14)</f>
        <v>138.665307809458</v>
      </c>
      <c r="AD37" s="11" t="n">
        <f aca="false">MAX(0,AC43+Financials!AD14)</f>
        <v>138.876691228756</v>
      </c>
      <c r="AE37" s="11" t="n">
        <f aca="false">MAX(0,AD43+Financials!AE14)</f>
        <v>150.097999929883</v>
      </c>
      <c r="AF37" s="11" t="n">
        <f aca="false">MAX(0,AE43+Financials!AF14)</f>
        <v>161.408826423486</v>
      </c>
      <c r="AG37" s="11" t="n">
        <f aca="false">MAX(0,AF43+Financials!AG14)</f>
        <v>173.730486866378</v>
      </c>
      <c r="AH37" s="11" t="n">
        <f aca="false">MAX(0,AG43+Financials!AH14)</f>
        <v>186.951226532769</v>
      </c>
      <c r="AI37" s="11" t="n">
        <f aca="false">MAX(0,AH43+Financials!AI14)</f>
        <v>201.395295086226</v>
      </c>
      <c r="AJ37" s="11" t="n">
        <f aca="false">MAX(0,AI43+Financials!AJ14)</f>
        <v>216.816381836892</v>
      </c>
      <c r="AK37" s="11" t="n">
        <f aca="false">MAX(0,AJ43+Financials!AK14)</f>
        <v>233.567912178906</v>
      </c>
      <c r="AL37" s="11" t="n">
        <f aca="false">MAX(0,AK43+Financials!AL14)</f>
        <v>249.496914580825</v>
      </c>
      <c r="AM37" s="11" t="n">
        <f aca="false">MAX(0,AL43+Financials!AM14)</f>
        <v>268.780207951914</v>
      </c>
      <c r="AN37" s="11" t="n">
        <f aca="false">MAX(0,AM43+Financials!AN14)</f>
        <v>289.281389702029</v>
      </c>
      <c r="AO37" s="11" t="n">
        <f aca="false">MAX(0,AN43+Financials!AO14)</f>
        <v>311.521588869675</v>
      </c>
      <c r="AP37" s="11" t="n">
        <f aca="false">MAX(0,AO43+Financials!AP14)</f>
        <v>335.522789599167</v>
      </c>
      <c r="AQ37" s="11" t="n">
        <f aca="false">MAX(0,AP43+Financials!AQ14)</f>
        <v>353.723228986733</v>
      </c>
      <c r="AR37" s="11" t="n">
        <f aca="false">MAX(0,AQ43+Financials!AR14)</f>
        <v>338.712894514208</v>
      </c>
      <c r="AS37" s="11" t="n">
        <f aca="false">MAX(0,AR43+Financials!AS14)</f>
        <v>323.293124129206</v>
      </c>
      <c r="AT37" s="11" t="n">
        <f aca="false">MAX(0,AS43+Financials!AT14)</f>
        <v>297.82390791768</v>
      </c>
      <c r="AU37" s="11" t="n">
        <f aca="false">MAX(0,AT43+Financials!AU14)</f>
        <v>276.219736216575</v>
      </c>
      <c r="AV37" s="11" t="n">
        <f aca="false">MAX(0,AU43+Financials!AV14)</f>
        <v>258.975844808311</v>
      </c>
      <c r="AW37" s="11" t="n">
        <f aca="false">MAX(0,AV43+Financials!AW14)</f>
        <v>241.731401294966</v>
      </c>
      <c r="AX37" s="11" t="n">
        <f aca="false">MAX(0,AW43+Financials!AX14)</f>
        <v>225.038192028793</v>
      </c>
      <c r="AY37" s="11" t="n">
        <f aca="false">MAX(0,AX43+Financials!AY14)</f>
        <v>207.76428912036</v>
      </c>
      <c r="AZ37" s="11" t="n">
        <f aca="false">MAX(0,AY43+Financials!AZ14)</f>
        <v>191.012666331037</v>
      </c>
      <c r="BA37" s="11" t="n">
        <f aca="false">MAX(0,AZ43+Financials!BA14)</f>
        <v>173.812846729076</v>
      </c>
      <c r="BB37" s="11" t="n">
        <f aca="false">MAX(0,BA43+Financials!BB14)</f>
        <v>155.148461855775</v>
      </c>
      <c r="BC37" s="11" t="n">
        <f aca="false">MAX(0,BB43+Financials!BC14)</f>
        <v>137.773114817056</v>
      </c>
      <c r="BD37" s="11" t="n">
        <f aca="false">MAX(0,BC43+Financials!BD14)</f>
        <v>123.796627301723</v>
      </c>
      <c r="BE37" s="11" t="n">
        <f aca="false">MAX(0,BD43+Financials!BE14)</f>
        <v>116.068899239352</v>
      </c>
      <c r="BF37" s="11" t="n">
        <f aca="false">MAX(0,BE43+Financials!BF14)</f>
        <v>108.9297082828</v>
      </c>
      <c r="BG37" s="11" t="n">
        <f aca="false">MAX(0,BF43+Financials!BG14)</f>
        <v>101.204132985405</v>
      </c>
      <c r="BH37" s="11" t="n">
        <f aca="false">MAX(0,BG43+Financials!BH14)</f>
        <v>94.0337723834923</v>
      </c>
      <c r="BI37" s="11" t="n">
        <f aca="false">MAX(0,BH43+Financials!BI14)</f>
        <v>86.4627441902514</v>
      </c>
      <c r="BJ37" s="11" t="n">
        <f aca="false">MAX(0,BI43+Financials!BJ14)</f>
        <v>66.9784874703688</v>
      </c>
      <c r="BK37" s="11" t="n">
        <f aca="false">MAX(0,BJ43+Financials!BK14)</f>
        <v>52.0174861283536</v>
      </c>
      <c r="BL37" s="11" t="n">
        <f aca="false">MAX(0,BK43+Financials!BL14)</f>
        <v>42.2245460069892</v>
      </c>
      <c r="BM37" s="11" t="n">
        <f aca="false">MAX(0,BL43+Financials!BM14)</f>
        <v>9.40270217466921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</v>
      </c>
      <c r="AP38" s="11" t="n">
        <f aca="false">AP24*MIN(AP31-AP34-AP35,AP37)</f>
        <v>6.96498869946122</v>
      </c>
      <c r="AQ38" s="11" t="n">
        <f aca="false">AQ24*MIN(AQ31-AQ34-AQ35,AQ37)</f>
        <v>40.2334221291795</v>
      </c>
      <c r="AR38" s="11" t="n">
        <f aca="false">AR24*MIN(AR31-AR34-AR35,AR37)</f>
        <v>40.812133420755</v>
      </c>
      <c r="AS38" s="11" t="n">
        <f aca="false">AS24*MIN(AS31-AS34-AS35,AS37)</f>
        <v>40.5424703735348</v>
      </c>
      <c r="AT38" s="11" t="n">
        <f aca="false">AT24*MIN(AT31-AT34-AT35,AT37)</f>
        <v>47.260030852876</v>
      </c>
      <c r="AU38" s="11" t="n">
        <f aca="false">AU24*MIN(AU31-AU34-AU35,AU37)</f>
        <v>42.8184762079473</v>
      </c>
      <c r="AV38" s="11" t="n">
        <f aca="false">AV24*MIN(AV31-AV34-AV35,AV37)</f>
        <v>42.9235396543305</v>
      </c>
      <c r="AW38" s="11" t="n">
        <f aca="false">AW24*MIN(AW31-AW34-AW35,AW37)</f>
        <v>42.4959632438198</v>
      </c>
      <c r="AX38" s="11" t="n">
        <f aca="false">AX24*MIN(AX31-AX34-AX35,AX37)</f>
        <v>43.1519623391802</v>
      </c>
      <c r="AY38" s="11" t="n">
        <f aca="false">AY24*MIN(AY31-AY34-AY35,AY37)</f>
        <v>42.691778014356</v>
      </c>
      <c r="AZ38" s="11" t="n">
        <f aca="false">AZ24*MIN(AZ31-AZ34-AZ35,AZ37)</f>
        <v>43.29041271871</v>
      </c>
      <c r="BA38" s="11" t="n">
        <f aca="false">BA24*MIN(BA31-BA34-BA35,BA37)</f>
        <v>42.49309242544</v>
      </c>
      <c r="BB38" s="11" t="n">
        <f aca="false">BB24*MIN(BB31-BB34-BB35,BB37)</f>
        <v>43.7171413291587</v>
      </c>
      <c r="BC38" s="11" t="n">
        <f aca="false">BC24*MIN(BC31-BC34-BC35,BC37)</f>
        <v>40.2968577508507</v>
      </c>
      <c r="BD38" s="11" t="n">
        <f aca="false">BD24*MIN(BD31-BD34-BD35,BD37)</f>
        <v>34.16099197076</v>
      </c>
      <c r="BE38" s="11" t="n">
        <f aca="false">BE24*MIN(BE31-BE34-BE35,BE37)</f>
        <v>33.707748554011</v>
      </c>
      <c r="BF38" s="11" t="n">
        <f aca="false">BF24*MIN(BF31-BF34-BF35,BF37)</f>
        <v>34.3745284793592</v>
      </c>
      <c r="BG38" s="11" t="n">
        <f aca="false">BG24*MIN(BG31-BG34-BG35,BG37)</f>
        <v>33.8861852355174</v>
      </c>
      <c r="BH38" s="11" t="n">
        <f aca="false">BH24*MIN(BH31-BH34-BH35,BH37)</f>
        <v>34.4890016679586</v>
      </c>
      <c r="BI38" s="11" t="n">
        <f aca="false">BI24*MIN(BI31-BI34-BI35,BI37)</f>
        <v>34.2052346478264</v>
      </c>
      <c r="BJ38" s="11" t="n">
        <f aca="false">BJ24*MIN(BJ31-BJ34-BJ35,BJ37)</f>
        <v>42.1928524741974</v>
      </c>
      <c r="BK38" s="11" t="n">
        <f aca="false">BK24*MIN(BK31-BK34-BK35,BK37)</f>
        <v>36.9200778210503</v>
      </c>
      <c r="BL38" s="11" t="n">
        <f aca="false">BL24*MIN(BL31-BL34-BL35,BL37)</f>
        <v>37.6281753973958</v>
      </c>
      <c r="BM38" s="11" t="n">
        <f aca="false">BM24*MIN(BM31-BM34-BM35,BM37)</f>
        <v>9.40270217466921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44.3667535168116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44.3667535168116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44.3667535168116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935.026521099157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</v>
      </c>
      <c r="AP41" s="11" t="n">
        <f aca="false">AP38+AP40</f>
        <v>6.96498869946122</v>
      </c>
      <c r="AQ41" s="11" t="n">
        <f aca="false">AQ38+AQ40</f>
        <v>40.2334221291795</v>
      </c>
      <c r="AR41" s="11" t="n">
        <f aca="false">AR38+AR40</f>
        <v>40.812133420755</v>
      </c>
      <c r="AS41" s="11" t="n">
        <f aca="false">AS38+AS40</f>
        <v>40.5424703735348</v>
      </c>
      <c r="AT41" s="11" t="n">
        <f aca="false">AT38+AT40</f>
        <v>47.260030852876</v>
      </c>
      <c r="AU41" s="11" t="n">
        <f aca="false">AU38+AU40</f>
        <v>42.8184762079473</v>
      </c>
      <c r="AV41" s="11" t="n">
        <f aca="false">AV38+AV40</f>
        <v>42.9235396543305</v>
      </c>
      <c r="AW41" s="11" t="n">
        <f aca="false">AW38+AW40</f>
        <v>42.4959632438198</v>
      </c>
      <c r="AX41" s="11" t="n">
        <f aca="false">AX38+AX40</f>
        <v>43.1519623391802</v>
      </c>
      <c r="AY41" s="11" t="n">
        <f aca="false">AY38+AY40</f>
        <v>42.691778014356</v>
      </c>
      <c r="AZ41" s="11" t="n">
        <f aca="false">AZ38+AZ40</f>
        <v>43.29041271871</v>
      </c>
      <c r="BA41" s="11" t="n">
        <f aca="false">BA38+BA40</f>
        <v>42.49309242544</v>
      </c>
      <c r="BB41" s="11" t="n">
        <f aca="false">BB38+BB40</f>
        <v>43.7171413291587</v>
      </c>
      <c r="BC41" s="11" t="n">
        <f aca="false">BC38+BC40</f>
        <v>40.2968577508507</v>
      </c>
      <c r="BD41" s="11" t="n">
        <f aca="false">BD38+BD40</f>
        <v>34.16099197076</v>
      </c>
      <c r="BE41" s="11" t="n">
        <f aca="false">BE38+BE40</f>
        <v>33.707748554011</v>
      </c>
      <c r="BF41" s="11" t="n">
        <f aca="false">BF38+BF40</f>
        <v>34.3745284793592</v>
      </c>
      <c r="BG41" s="11" t="n">
        <f aca="false">BG38+BG40</f>
        <v>33.8861852355174</v>
      </c>
      <c r="BH41" s="11" t="n">
        <f aca="false">BH38+BH40</f>
        <v>34.4890016679586</v>
      </c>
      <c r="BI41" s="11" t="n">
        <f aca="false">BI38+BI40</f>
        <v>34.2052346478264</v>
      </c>
      <c r="BJ41" s="11" t="n">
        <f aca="false">BJ38+BJ40</f>
        <v>42.1928524741974</v>
      </c>
      <c r="BK41" s="11" t="n">
        <f aca="false">BK38+BK40</f>
        <v>36.9200778210503</v>
      </c>
      <c r="BL41" s="11" t="n">
        <f aca="false">BL38+BL40</f>
        <v>37.6281753973958</v>
      </c>
      <c r="BM41" s="11" t="n">
        <f aca="false">BM38+BM40</f>
        <v>53.7694556914808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9.44609069121115</v>
      </c>
      <c r="P43" s="11" t="n">
        <f aca="false">IF(Time!P17&lt;Time!$F$11,0,O43+Financials!P14-P41)</f>
        <v>15.8193268888995</v>
      </c>
      <c r="Q43" s="11" t="n">
        <f aca="false">IF(Time!Q17&lt;Time!$F$11,0,P43+Financials!Q14-Q41)</f>
        <v>23.4815393727732</v>
      </c>
      <c r="R43" s="11" t="n">
        <f aca="false">IF(Time!R17&lt;Time!$F$11,0,Q43+Financials!R14-R41)</f>
        <v>31.5489984240967</v>
      </c>
      <c r="S43" s="11" t="n">
        <f aca="false">IF(Time!S17&lt;Time!$F$11,0,R43+Financials!S14-S41)</f>
        <v>40.7821747223983</v>
      </c>
      <c r="T43" s="11" t="n">
        <f aca="false">IF(Time!T17&lt;Time!$F$11,0,S43+Financials!T14-T41)</f>
        <v>50.4267894888981</v>
      </c>
      <c r="U43" s="11" t="n">
        <f aca="false">IF(Time!U17&lt;Time!$F$11,0,T43+Financials!U14-U41)</f>
        <v>61.2330380942989</v>
      </c>
      <c r="V43" s="11" t="n">
        <f aca="false">IF(Time!V17&lt;Time!$F$11,0,U43+Financials!V14-V41)</f>
        <v>70.2760850883358</v>
      </c>
      <c r="W43" s="11" t="n">
        <f aca="false">IF(Time!W17&lt;Time!$F$11,0,V43+Financials!W14-W41)</f>
        <v>83.057131539936</v>
      </c>
      <c r="X43" s="11" t="n">
        <f aca="false">IF(Time!X17&lt;Time!$F$11,0,W43+Financials!X14-X41)</f>
        <v>96.4268993850452</v>
      </c>
      <c r="Y43" s="11" t="n">
        <f aca="false">IF(Time!Y17&lt;Time!$F$11,0,X43+Financials!Y14-Y41)</f>
        <v>107.883819529588</v>
      </c>
      <c r="Z43" s="11" t="n">
        <f aca="false">IF(Time!Z17&lt;Time!$F$11,0,Y43+Financials!Z14-Z41)</f>
        <v>114.401768612728</v>
      </c>
      <c r="AA43" s="11" t="n">
        <f aca="false">IF(Time!AA17&lt;Time!$F$11,0,Z43+Financials!AA14-AA41)</f>
        <v>121.834801996589</v>
      </c>
      <c r="AB43" s="11" t="n">
        <f aca="false">IF(Time!AB17&lt;Time!$F$11,0,AA43+Financials!AB14-AB41)</f>
        <v>129.755997213789</v>
      </c>
      <c r="AC43" s="11" t="n">
        <f aca="false">IF(Time!AC17&lt;Time!$F$11,0,AB43+Financials!AC14-AC41)</f>
        <v>138.665307809458</v>
      </c>
      <c r="AD43" s="11" t="n">
        <f aca="false">IF(Time!AD17&lt;Time!$F$11,0,AC43+Financials!AD14-AD41)</f>
        <v>138.876691228756</v>
      </c>
      <c r="AE43" s="11" t="n">
        <f aca="false">IF(Time!AE17&lt;Time!$F$11,0,AD43+Financials!AE14-AE41)</f>
        <v>150.097999929883</v>
      </c>
      <c r="AF43" s="11" t="n">
        <f aca="false">IF(Time!AF17&lt;Time!$F$11,0,AE43+Financials!AF14-AF41)</f>
        <v>161.408826423486</v>
      </c>
      <c r="AG43" s="11" t="n">
        <f aca="false">IF(Time!AG17&lt;Time!$F$11,0,AF43+Financials!AG14-AG41)</f>
        <v>173.730486866378</v>
      </c>
      <c r="AH43" s="11" t="n">
        <f aca="false">IF(Time!AH17&lt;Time!$F$11,0,AG43+Financials!AH14-AH41)</f>
        <v>186.951226532769</v>
      </c>
      <c r="AI43" s="11" t="n">
        <f aca="false">IF(Time!AI17&lt;Time!$F$11,0,AH43+Financials!AI14-AI41)</f>
        <v>201.395295086226</v>
      </c>
      <c r="AJ43" s="11" t="n">
        <f aca="false">IF(Time!AJ17&lt;Time!$F$11,0,AI43+Financials!AJ14-AJ41)</f>
        <v>216.816381836892</v>
      </c>
      <c r="AK43" s="11" t="n">
        <f aca="false">IF(Time!AK17&lt;Time!$F$11,0,AJ43+Financials!AK14-AK41)</f>
        <v>233.567912178906</v>
      </c>
      <c r="AL43" s="11" t="n">
        <f aca="false">IF(Time!AL17&lt;Time!$F$11,0,AK43+Financials!AL14-AL41)</f>
        <v>249.496914580825</v>
      </c>
      <c r="AM43" s="11" t="n">
        <f aca="false">IF(Time!AM17&lt;Time!$F$11,0,AL43+Financials!AM14-AM41)</f>
        <v>268.780207951914</v>
      </c>
      <c r="AN43" s="11" t="n">
        <f aca="false">IF(Time!AN17&lt;Time!$F$11,0,AM43+Financials!AN14-AN41)</f>
        <v>289.281389702029</v>
      </c>
      <c r="AO43" s="11" t="n">
        <f aca="false">IF(Time!AO17&lt;Time!$F$11,0,AN43+Financials!AO14-AO41)</f>
        <v>311.521588869675</v>
      </c>
      <c r="AP43" s="11" t="n">
        <f aca="false">IF(Time!AP17&lt;Time!$F$11,0,AO43+Financials!AP14-AP41)</f>
        <v>328.557800899706</v>
      </c>
      <c r="AQ43" s="11" t="n">
        <f aca="false">IF(Time!AQ17&lt;Time!$F$11,0,AP43+Financials!AQ14-AQ41)</f>
        <v>313.489806857554</v>
      </c>
      <c r="AR43" s="11" t="n">
        <f aca="false">IF(Time!AR17&lt;Time!$F$11,0,AQ43+Financials!AR14-AR41)</f>
        <v>297.900761093453</v>
      </c>
      <c r="AS43" s="11" t="n">
        <f aca="false">IF(Time!AS17&lt;Time!$F$11,0,AR43+Financials!AS14-AS41)</f>
        <v>282.750653755671</v>
      </c>
      <c r="AT43" s="11" t="n">
        <f aca="false">IF(Time!AT17&lt;Time!$F$11,0,AS43+Financials!AT14-AT41)</f>
        <v>250.563877064804</v>
      </c>
      <c r="AU43" s="11" t="n">
        <f aca="false">IF(Time!AU17&lt;Time!$F$11,0,AT43+Financials!AU14-AU41)</f>
        <v>233.401260008627</v>
      </c>
      <c r="AV43" s="11" t="n">
        <f aca="false">IF(Time!AV17&lt;Time!$F$11,0,AU43+Financials!AV14-AV41)</f>
        <v>216.052305153981</v>
      </c>
      <c r="AW43" s="11" t="n">
        <f aca="false">IF(Time!AW17&lt;Time!$F$11,0,AV43+Financials!AW14-AW41)</f>
        <v>199.235438051147</v>
      </c>
      <c r="AX43" s="11" t="n">
        <f aca="false">IF(Time!AX17&lt;Time!$F$11,0,AW43+Financials!AX14-AX41)</f>
        <v>181.886229689613</v>
      </c>
      <c r="AY43" s="11" t="n">
        <f aca="false">IF(Time!AY17&lt;Time!$F$11,0,AX43+Financials!AY14-AY41)</f>
        <v>165.072511106004</v>
      </c>
      <c r="AZ43" s="11" t="n">
        <f aca="false">IF(Time!AZ17&lt;Time!$F$11,0,AY43+Financials!AZ14-AZ41)</f>
        <v>147.722253612327</v>
      </c>
      <c r="BA43" s="11" t="n">
        <f aca="false">IF(Time!BA17&lt;Time!$F$11,0,AZ43+Financials!BA14-BA41)</f>
        <v>131.319754303636</v>
      </c>
      <c r="BB43" s="11" t="n">
        <f aca="false">IF(Time!BB17&lt;Time!$F$11,0,BA43+Financials!BB14-BB41)</f>
        <v>111.431320526616</v>
      </c>
      <c r="BC43" s="11" t="n">
        <f aca="false">IF(Time!BC17&lt;Time!$F$11,0,BB43+Financials!BC14-BC41)</f>
        <v>97.4762570662057</v>
      </c>
      <c r="BD43" s="11" t="n">
        <f aca="false">IF(Time!BD17&lt;Time!$F$11,0,BC43+Financials!BD14-BD41)</f>
        <v>89.6356353309634</v>
      </c>
      <c r="BE43" s="11" t="n">
        <f aca="false">IF(Time!BE17&lt;Time!$F$11,0,BD43+Financials!BE14-BE41)</f>
        <v>82.3611506853409</v>
      </c>
      <c r="BF43" s="11" t="n">
        <f aca="false">IF(Time!BF17&lt;Time!$F$11,0,BE43+Financials!BF14-BF41)</f>
        <v>74.5551798034407</v>
      </c>
      <c r="BG43" s="11" t="n">
        <f aca="false">IF(Time!BG17&lt;Time!$F$11,0,BF43+Financials!BG14-BG41)</f>
        <v>67.3179477498877</v>
      </c>
      <c r="BH43" s="11" t="n">
        <f aca="false">IF(Time!BH17&lt;Time!$F$11,0,BG43+Financials!BH14-BH41)</f>
        <v>59.5447707155337</v>
      </c>
      <c r="BI43" s="11" t="n">
        <f aca="false">IF(Time!BI17&lt;Time!$F$11,0,BH43+Financials!BI14-BI41)</f>
        <v>52.2575095424249</v>
      </c>
      <c r="BJ43" s="11" t="n">
        <f aca="false">IF(Time!BJ17&lt;Time!$F$11,0,BI43+Financials!BJ14-BJ41)</f>
        <v>24.7856349961714</v>
      </c>
      <c r="BK43" s="11" t="n">
        <f aca="false">IF(Time!BK17&lt;Time!$F$11,0,BJ43+Financials!BK14-BK41)</f>
        <v>15.0974083073033</v>
      </c>
      <c r="BL43" s="11" t="n">
        <f aca="false">IF(Time!BL17&lt;Time!$F$11,0,BK43+Financials!BL14-BL41)</f>
        <v>4.59637060959349</v>
      </c>
      <c r="BM43" s="11" t="n">
        <f aca="false">IF(Time!BM17&lt;Time!$F$11,0,BL43+Financials!BM14-BM41)</f>
        <v>-44.3667535168116</v>
      </c>
      <c r="BN43" s="11" t="n">
        <f aca="false">IF(Time!BN17&lt;Time!$F$11,0,BM43+Financials!BN14-BN41)</f>
        <v>-44.3667535168116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1352.25933543977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13.8203448751002</v>
      </c>
      <c r="Q44" s="11" t="n">
        <f aca="false">Q34+Q35+Q41</f>
        <v>11.5219964159591</v>
      </c>
      <c r="R44" s="11" t="n">
        <f aca="false">R34+R35+R41</f>
        <v>12.4283086955183</v>
      </c>
      <c r="S44" s="11" t="n">
        <f aca="false">S34+S35+S41</f>
        <v>11.6112291766713</v>
      </c>
      <c r="T44" s="11" t="n">
        <f aca="false">T34+T35+T41</f>
        <v>12.3389121190739</v>
      </c>
      <c r="U44" s="11" t="n">
        <f aca="false">U34+U35+U41</f>
        <v>11.3711945445318</v>
      </c>
      <c r="V44" s="11" t="n">
        <f aca="false">V34+V35+V41</f>
        <v>12.5886958837596</v>
      </c>
      <c r="W44" s="11" t="n">
        <f aca="false">W34+W35+W41</f>
        <v>13.3208837852162</v>
      </c>
      <c r="X44" s="11" t="n">
        <f aca="false">X34+X35+X41</f>
        <v>12.1793320551556</v>
      </c>
      <c r="Y44" s="11" t="n">
        <f aca="false">Y34+Y35+Y41</f>
        <v>11.3911470665381</v>
      </c>
      <c r="Z44" s="11" t="n">
        <f aca="false">Z34+Z35+Z41</f>
        <v>12.0763717067075</v>
      </c>
      <c r="AA44" s="11" t="n">
        <f aca="false">AA34+AA35+AA41</f>
        <v>5.61932739589651</v>
      </c>
      <c r="AB44" s="11" t="n">
        <f aca="false">AB34+AB35+AB41</f>
        <v>6.56016162692373</v>
      </c>
      <c r="AC44" s="11" t="n">
        <f aca="false">AC34+AC35+AC41</f>
        <v>6.18758734356492</v>
      </c>
      <c r="AD44" s="11" t="n">
        <f aca="false">AD34+AD35+AD41</f>
        <v>7.4756244853783</v>
      </c>
      <c r="AE44" s="11" t="n">
        <f aca="false">AE34+AE35+AE41</f>
        <v>8.03297406816327</v>
      </c>
      <c r="AF44" s="11" t="n">
        <f aca="false">AF34+AF35+AF41</f>
        <v>8.85934137501908</v>
      </c>
      <c r="AG44" s="11" t="n">
        <f aca="false">AG34+AG35+AG41</f>
        <v>9.21613508858781</v>
      </c>
      <c r="AH44" s="11" t="n">
        <f aca="false">AH34+AH35+AH41</f>
        <v>10.5030891678893</v>
      </c>
      <c r="AI44" s="11" t="n">
        <f aca="false">AI34+AI35+AI41</f>
        <v>11.2637669765511</v>
      </c>
      <c r="AJ44" s="11" t="n">
        <f aca="false">AJ34+AJ35+AJ41</f>
        <v>12.999172585913</v>
      </c>
      <c r="AK44" s="11" t="n">
        <f aca="false">AK34+AK35+AK41</f>
        <v>25.2888703553279</v>
      </c>
      <c r="AL44" s="11" t="n">
        <f aca="false">AL34+AL35+AL41</f>
        <v>29.6871069504077</v>
      </c>
      <c r="AM44" s="11" t="n">
        <f aca="false">AM34+AM35+AM41</f>
        <v>32.4779319696195</v>
      </c>
      <c r="AN44" s="11" t="n">
        <f aca="false">AN34+AN35+AN41</f>
        <v>30.8468090767604</v>
      </c>
      <c r="AO44" s="11" t="n">
        <f aca="false">AO34+AO35+AO41</f>
        <v>43.3793136327231</v>
      </c>
      <c r="AP44" s="11" t="n">
        <f aca="false">AP34+AP35+AP41</f>
        <v>41.1521746171139</v>
      </c>
      <c r="AQ44" s="11" t="n">
        <f aca="false">AQ34+AQ35+AQ41</f>
        <v>40.2334221291795</v>
      </c>
      <c r="AR44" s="11" t="n">
        <f aca="false">AR34+AR35+AR41</f>
        <v>40.812133420755</v>
      </c>
      <c r="AS44" s="11" t="n">
        <f aca="false">AS34+AS35+AS41</f>
        <v>40.5424703735348</v>
      </c>
      <c r="AT44" s="11" t="n">
        <f aca="false">AT34+AT35+AT41</f>
        <v>47.260030852876</v>
      </c>
      <c r="AU44" s="11" t="n">
        <f aca="false">AU34+AU35+AU41</f>
        <v>42.8184762079473</v>
      </c>
      <c r="AV44" s="11" t="n">
        <f aca="false">AV34+AV35+AV41</f>
        <v>42.9235396543305</v>
      </c>
      <c r="AW44" s="11" t="n">
        <f aca="false">AW34+AW35+AW41</f>
        <v>42.4959632438198</v>
      </c>
      <c r="AX44" s="11" t="n">
        <f aca="false">AX34+AX35+AX41</f>
        <v>43.1519623391802</v>
      </c>
      <c r="AY44" s="11" t="n">
        <f aca="false">AY34+AY35+AY41</f>
        <v>42.691778014356</v>
      </c>
      <c r="AZ44" s="11" t="n">
        <f aca="false">AZ34+AZ35+AZ41</f>
        <v>43.29041271871</v>
      </c>
      <c r="BA44" s="11" t="n">
        <f aca="false">BA34+BA35+BA41</f>
        <v>42.49309242544</v>
      </c>
      <c r="BB44" s="11" t="n">
        <f aca="false">BB34+BB35+BB41</f>
        <v>43.7171413291587</v>
      </c>
      <c r="BC44" s="11" t="n">
        <f aca="false">BC34+BC35+BC41</f>
        <v>40.2968577508507</v>
      </c>
      <c r="BD44" s="11" t="n">
        <f aca="false">BD34+BD35+BD41</f>
        <v>34.16099197076</v>
      </c>
      <c r="BE44" s="11" t="n">
        <f aca="false">BE34+BE35+BE41</f>
        <v>33.707748554011</v>
      </c>
      <c r="BF44" s="11" t="n">
        <f aca="false">BF34+BF35+BF41</f>
        <v>34.3745284793592</v>
      </c>
      <c r="BG44" s="11" t="n">
        <f aca="false">BG34+BG35+BG41</f>
        <v>33.8861852355174</v>
      </c>
      <c r="BH44" s="11" t="n">
        <f aca="false">BH34+BH35+BH41</f>
        <v>34.4890016679586</v>
      </c>
      <c r="BI44" s="11" t="n">
        <f aca="false">BI34+BI35+BI41</f>
        <v>34.2052346478264</v>
      </c>
      <c r="BJ44" s="11" t="n">
        <f aca="false">BJ34+BJ35+BJ41</f>
        <v>42.1928524741974</v>
      </c>
      <c r="BK44" s="11" t="n">
        <f aca="false">BK34+BK35+BK41</f>
        <v>36.9200778210503</v>
      </c>
      <c r="BL44" s="11" t="n">
        <f aca="false">BL34+BL35+BL41</f>
        <v>37.6281753973958</v>
      </c>
      <c r="BM44" s="11" t="n">
        <f aca="false">BM34+BM35+BM41</f>
        <v>53.7694556914808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529.919364421649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30.4738036268076</v>
      </c>
      <c r="R9" s="11" t="n">
        <f aca="false">Debt!R119+Debt!R117+Debt!R111-Debt!R110+Tax!R13</f>
        <v>30.2044553468017</v>
      </c>
      <c r="S9" s="11" t="n">
        <f aca="false">Debt!S119+Debt!S117+Debt!S111-Debt!S110+Tax!S13</f>
        <v>29.1215523306907</v>
      </c>
      <c r="T9" s="11" t="n">
        <f aca="false">Debt!T119+Debt!T117+Debt!T111-Debt!T110+Tax!T13</f>
        <v>28.7760515773261</v>
      </c>
      <c r="U9" s="11" t="n">
        <f aca="false">Debt!U119+Debt!U117+Debt!U111-Debt!U110+Tax!U13</f>
        <v>27.767506652781</v>
      </c>
      <c r="V9" s="11" t="n">
        <f aca="false">Debt!V119+Debt!V117+Debt!V111-Debt!V110+Tax!V13</f>
        <v>27.2415461569505</v>
      </c>
      <c r="W9" s="11" t="n">
        <f aca="false">Debt!W119+Debt!W117+Debt!W111-Debt!W110+Tax!W13</f>
        <v>26.0482485590675</v>
      </c>
      <c r="X9" s="11" t="n">
        <f aca="false">Debt!X119+Debt!X117+Debt!X111-Debt!X110+Tax!X13</f>
        <v>25.4478306002745</v>
      </c>
      <c r="Y9" s="11" t="n">
        <f aca="false">Debt!Y119+Debt!Y117+Debt!Y111-Debt!Y110+Tax!Y13</f>
        <v>24.7735631583316</v>
      </c>
      <c r="Z9" s="11" t="n">
        <f aca="false">Debt!Z119+Debt!Z117+Debt!Z111-Debt!Z110+Tax!Z13</f>
        <v>24.2316231931583</v>
      </c>
      <c r="AA9" s="11" t="n">
        <f aca="false">Debt!AA119+Debt!AA117+Debt!AA111-Debt!AA110+Tax!AA13</f>
        <v>23.0102364411034</v>
      </c>
      <c r="AB9" s="11" t="n">
        <f aca="false">Debt!AB119+Debt!AB117+Debt!AB111-Debt!AB110+Tax!AB13</f>
        <v>22.3811170186477</v>
      </c>
      <c r="AC9" s="11" t="n">
        <f aca="false">Debt!AC119+Debt!AC117+Debt!AC111-Debt!AC110+Tax!AC13</f>
        <v>21.1707498685033</v>
      </c>
      <c r="AD9" s="11" t="n">
        <f aca="false">Debt!AD119+Debt!AD117+Debt!AD111-Debt!AD110+Tax!AD13</f>
        <v>20.3552714258313</v>
      </c>
      <c r="AE9" s="11" t="n">
        <f aca="false">Debt!AE119+Debt!AE117+Debt!AE111-Debt!AE110+Tax!AE13</f>
        <v>18.9412279032695</v>
      </c>
      <c r="AF9" s="11" t="n">
        <f aca="false">Debt!AF119+Debt!AF117+Debt!AF111-Debt!AF110+Tax!AF13</f>
        <v>17.958297320941</v>
      </c>
      <c r="AG9" s="11" t="n">
        <f aca="false">Debt!AG119+Debt!AG117+Debt!AG111-Debt!AG110+Tax!AG13</f>
        <v>16.6399602296309</v>
      </c>
      <c r="AH9" s="11" t="n">
        <f aca="false">Debt!AH119+Debt!AH117+Debt!AH111-Debt!AH110+Tax!AH13</f>
        <v>15.5009796917908</v>
      </c>
      <c r="AI9" s="11" t="n">
        <f aca="false">Debt!AI119+Debt!AI117+Debt!AI111-Debt!AI110+Tax!AI13</f>
        <v>13.8449945978216</v>
      </c>
      <c r="AJ9" s="11" t="n">
        <f aca="false">Debt!AJ119+Debt!AJ117+Debt!AJ111-Debt!AJ110+Tax!AJ13</f>
        <v>12.5227325917749</v>
      </c>
      <c r="AK9" s="11" t="n">
        <f aca="false">Debt!AK119+Debt!AK117+Debt!AK111-Debt!AK110+Tax!AK13</f>
        <v>10.8016114471328</v>
      </c>
      <c r="AL9" s="11" t="n">
        <f aca="false">Debt!AL119+Debt!AL117+Debt!AL111-Debt!AL110+Tax!AL13</f>
        <v>9.25594119695377</v>
      </c>
      <c r="AM9" s="11" t="n">
        <f aca="false">Debt!AM119+Debt!AM117+Debt!AM111-Debt!AM110+Tax!AM13</f>
        <v>7.48310117519703</v>
      </c>
      <c r="AN9" s="11" t="n">
        <f aca="false">Debt!AN119+Debt!AN117+Debt!AN111-Debt!AN110+Tax!AN13</f>
        <v>5.71909083087447</v>
      </c>
      <c r="AO9" s="11" t="n">
        <f aca="false">Debt!AO119+Debt!AO117+Debt!AO111-Debt!AO110+Tax!AO13</f>
        <v>3.91668654091147</v>
      </c>
      <c r="AP9" s="11" t="n">
        <f aca="false">Debt!AP119+Debt!AP117+Debt!AP111-Debt!AP110+Tax!AP13</f>
        <v>1.5624137467072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-1.67337310469454</v>
      </c>
      <c r="P12" s="11" t="n">
        <f aca="false">IF(Time!P17&gt;=Time!$F$11,Inputs!$F$181/100*(P11-P10-Tax!P21),0)</f>
        <v>-6.69349241877824</v>
      </c>
      <c r="Q12" s="11" t="n">
        <f aca="false">IF(Time!Q17&gt;=Time!$F$11,Inputs!$F$181/100*(Q11-Q10-Tax!Q21),0)</f>
        <v>-11.7136117328619</v>
      </c>
      <c r="R12" s="11" t="n">
        <f aca="false">IF(Time!R17&gt;=Time!$F$11,Inputs!$F$181/100*(R11-R10-Tax!R21),0)</f>
        <v>-16.7337310469456</v>
      </c>
      <c r="S12" s="11" t="n">
        <f aca="false">IF(Time!S17&gt;=Time!$F$11,Inputs!$F$181/100*(S11-S10-Tax!S21),0)</f>
        <v>-21.7538503610293</v>
      </c>
      <c r="T12" s="11" t="n">
        <f aca="false">IF(Time!T17&gt;=Time!$F$11,Inputs!$F$181/100*(T11-T10-Tax!T21),0)</f>
        <v>-26.773969675113</v>
      </c>
      <c r="U12" s="11" t="n">
        <f aca="false">IF(Time!U17&gt;=Time!$F$11,Inputs!$F$181/100*(U11-U10-Tax!U21),0)</f>
        <v>-31.7940889891967</v>
      </c>
      <c r="V12" s="11" t="n">
        <f aca="false">IF(Time!V17&gt;=Time!$F$11,Inputs!$F$181/100*(V11-V10-Tax!V21),0)</f>
        <v>-36.8142083032803</v>
      </c>
      <c r="W12" s="11" t="n">
        <f aca="false">IF(Time!W17&gt;=Time!$F$11,Inputs!$F$181/100*(W11-W10-Tax!W21),0)</f>
        <v>-41.834327617364</v>
      </c>
      <c r="X12" s="11" t="n">
        <f aca="false">IF(Time!X17&gt;=Time!$F$11,Inputs!$F$181/100*(X11-X10-Tax!X21),0)</f>
        <v>-46.8544469314477</v>
      </c>
      <c r="Y12" s="11" t="n">
        <f aca="false">IF(Time!Y17&gt;=Time!$F$11,Inputs!$F$181/100*(Y11-Y10-Tax!Y21),0)</f>
        <v>-49.2869464996064</v>
      </c>
      <c r="Z12" s="11" t="n">
        <f aca="false">IF(Time!Z17&gt;=Time!$F$11,Inputs!$F$181/100*(Z11-Z10-Tax!Z21),0)</f>
        <v>-46.3411862348289</v>
      </c>
      <c r="AA12" s="11" t="n">
        <f aca="false">IF(Time!AA17&gt;=Time!$F$11,Inputs!$F$181/100*(AA11-AA10-Tax!AA21),0)</f>
        <v>-43.0024862586291</v>
      </c>
      <c r="AB12" s="11" t="n">
        <f aca="false">IF(Time!AB17&gt;=Time!$F$11,Inputs!$F$181/100*(AB11-AB10-Tax!AB21),0)</f>
        <v>-39.4537455863297</v>
      </c>
      <c r="AC12" s="11" t="n">
        <f aca="false">IF(Time!AC17&gt;=Time!$F$11,Inputs!$F$181/100*(AC11-AC10-Tax!AC21),0)</f>
        <v>-35.4811455879802</v>
      </c>
      <c r="AD12" s="11" t="n">
        <f aca="false">IF(Time!AD17&gt;=Time!$F$11,Inputs!$F$181/100*(AD11-AD10-Tax!AD21),0)</f>
        <v>-34.4771217251635</v>
      </c>
      <c r="AE12" s="11" t="n">
        <f aca="false">IF(Time!AE17&gt;=Time!$F$11,Inputs!$F$181/100*(AE11-AE10-Tax!AE21),0)</f>
        <v>-30.2735940527594</v>
      </c>
      <c r="AF12" s="11" t="n">
        <f aca="false">IF(Time!AF17&gt;=Time!$F$11,Inputs!$F$181/100*(AF11-AF10-Tax!AF21),0)</f>
        <v>-25.2692307045772</v>
      </c>
      <c r="AG12" s="11" t="n">
        <f aca="false">IF(Time!AG17&gt;=Time!$F$11,Inputs!$F$181/100*(AG11-AG10-Tax!AG21),0)</f>
        <v>-19.8309643140743</v>
      </c>
      <c r="AH12" s="11" t="n">
        <f aca="false">IF(Time!AH17&gt;=Time!$F$11,Inputs!$F$181/100*(AH11-AH10-Tax!AH21),0)</f>
        <v>-14.0067457070083</v>
      </c>
      <c r="AI12" s="11" t="n">
        <f aca="false">IF(Time!AI17&gt;=Time!$F$11,Inputs!$F$181/100*(AI11-AI10-Tax!AI21),0)</f>
        <v>-7.65741505956047</v>
      </c>
      <c r="AJ12" s="11" t="n">
        <f aca="false">IF(Time!AJ17&gt;=Time!$F$11,Inputs!$F$181/100*(AJ11-AJ10-Tax!AJ21),0)</f>
        <v>-0.888460590080557</v>
      </c>
      <c r="AK12" s="11" t="n">
        <f aca="false">IF(Time!AK17&gt;=Time!$F$11,Inputs!$F$181/100*(AK11-AK10-Tax!AK21),0)</f>
        <v>6.45123738793855</v>
      </c>
      <c r="AL12" s="11" t="n">
        <f aca="false">IF(Time!AL17&gt;=Time!$F$11,Inputs!$F$181/100*(AL11-AL10-Tax!AL21),0)</f>
        <v>13.4387482611637</v>
      </c>
      <c r="AM12" s="11" t="n">
        <f aca="false">IF(Time!AM17&gt;=Time!$F$11,Inputs!$F$181/100*(AM11-AM10-Tax!AM21),0)</f>
        <v>21.8648401415686</v>
      </c>
      <c r="AN12" s="11" t="n">
        <f aca="false">IF(Time!AN17&gt;=Time!$F$11,Inputs!$F$181/100*(AN11-AN10-Tax!AN21),0)</f>
        <v>30.8141622011614</v>
      </c>
      <c r="AO12" s="11" t="n">
        <f aca="false">IF(Time!AO17&gt;=Time!$F$11,Inputs!$F$181/100*(AO11-AO10-Tax!AO21),0)</f>
        <v>33.9694740252996</v>
      </c>
      <c r="AP12" s="11" t="n">
        <f aca="false">IF(Time!AP17&gt;=Time!$F$11,Inputs!$F$181/100*(AP11-AP10-Tax!AP21),0)</f>
        <v>34.9734978881163</v>
      </c>
      <c r="AQ12" s="11" t="n">
        <f aca="false">IF(Time!AQ17&gt;=Time!$F$11,Inputs!$F$181/100*(AQ11-AQ10-Tax!AQ21),0)</f>
        <v>35.9775217509331</v>
      </c>
      <c r="AR12" s="11" t="n">
        <f aca="false">IF(Time!AR17&gt;=Time!$F$11,Inputs!$F$181/100*(AR11-AR10-Tax!AR21),0)</f>
        <v>36.9815456137498</v>
      </c>
      <c r="AS12" s="11" t="n">
        <f aca="false">IF(Time!AS17&gt;=Time!$F$11,Inputs!$F$181/100*(AS11-AS10-Tax!AS21),0)</f>
        <v>37.9855694765666</v>
      </c>
      <c r="AT12" s="11" t="n">
        <f aca="false">IF(Time!AT17&gt;=Time!$F$11,Inputs!$F$181/100*(AT11-AT10-Tax!AT21),0)</f>
        <v>38.9895933393833</v>
      </c>
      <c r="AU12" s="11" t="n">
        <f aca="false">IF(Time!AU17&gt;=Time!$F$11,Inputs!$F$181/100*(AU11-AU10-Tax!AU21),0)</f>
        <v>39.9936172022</v>
      </c>
      <c r="AV12" s="11" t="n">
        <f aca="false">IF(Time!AV17&gt;=Time!$F$11,Inputs!$F$181/100*(AV11-AV10-Tax!AV21),0)</f>
        <v>40.9976410650168</v>
      </c>
      <c r="AW12" s="11" t="n">
        <f aca="false">IF(Time!AW17&gt;=Time!$F$11,Inputs!$F$181/100*(AW11-AW10-Tax!AW21),0)</f>
        <v>42.0016649278335</v>
      </c>
      <c r="AX12" s="11" t="n">
        <f aca="false">IF(Time!AX17&gt;=Time!$F$11,Inputs!$F$181/100*(AX11-AX10-Tax!AX21),0)</f>
        <v>43.0056887906502</v>
      </c>
      <c r="AY12" s="11" t="n">
        <f aca="false">IF(Time!AY17&gt;=Time!$F$11,Inputs!$F$181/100*(AY11-AY10-Tax!AY21),0)</f>
        <v>44.009712653467</v>
      </c>
      <c r="AZ12" s="11" t="n">
        <f aca="false">IF(Time!AZ17&gt;=Time!$F$11,Inputs!$F$181/100*(AZ11-AZ10-Tax!AZ21),0)</f>
        <v>45.0137365162837</v>
      </c>
      <c r="BA12" s="11" t="n">
        <f aca="false">IF(Time!BA17&gt;=Time!$F$11,Inputs!$F$181/100*(BA11-BA10-Tax!BA21),0)</f>
        <v>46.0177603791004</v>
      </c>
      <c r="BB12" s="11" t="n">
        <f aca="false">IF(Time!BB17&gt;=Time!$F$11,Inputs!$F$181/100*(BB11-BB10-Tax!BB21),0)</f>
        <v>47.0217842419172</v>
      </c>
      <c r="BC12" s="11" t="n">
        <f aca="false">IF(Time!BC17&gt;=Time!$F$11,Inputs!$F$181/100*(BC11-BC10-Tax!BC21),0)</f>
        <v>46.1014290343352</v>
      </c>
      <c r="BD12" s="11" t="n">
        <f aca="false">IF(Time!BD17&gt;=Time!$F$11,Inputs!$F$181/100*(BD11-BD10-Tax!BD21),0)</f>
        <v>41.3323156859557</v>
      </c>
      <c r="BE12" s="11" t="n">
        <f aca="false">IF(Time!BE17&gt;=Time!$F$11,Inputs!$F$181/100*(BE11-BE10-Tax!BE21),0)</f>
        <v>36.5632023375762</v>
      </c>
      <c r="BF12" s="11" t="n">
        <f aca="false">IF(Time!BF17&gt;=Time!$F$11,Inputs!$F$181/100*(BF11-BF10-Tax!BF21),0)</f>
        <v>31.7940889891967</v>
      </c>
      <c r="BG12" s="11" t="n">
        <f aca="false">IF(Time!BG17&gt;=Time!$F$11,Inputs!$F$181/100*(BG11-BG10-Tax!BG21),0)</f>
        <v>27.0249756408172</v>
      </c>
      <c r="BH12" s="11" t="n">
        <f aca="false">IF(Time!BH17&gt;=Time!$F$11,Inputs!$F$181/100*(BH11-BH10-Tax!BH21),0)</f>
        <v>22.2558622924377</v>
      </c>
      <c r="BI12" s="11" t="n">
        <f aca="false">IF(Time!BI17&gt;=Time!$F$11,Inputs!$F$181/100*(BI11-BI10-Tax!BI21),0)</f>
        <v>17.4867489440582</v>
      </c>
      <c r="BJ12" s="11" t="n">
        <f aca="false">IF(Time!BJ17&gt;=Time!$F$11,Inputs!$F$181/100*(BJ11-BJ10-Tax!BJ21),0)</f>
        <v>12.7176355956787</v>
      </c>
      <c r="BK12" s="11" t="n">
        <f aca="false">IF(Time!BK17&gt;=Time!$F$11,Inputs!$F$181/100*(BK11-BK10-Tax!BK21),0)</f>
        <v>7.94852224729914</v>
      </c>
      <c r="BL12" s="11" t="n">
        <f aca="false">IF(Time!BL17&gt;=Time!$F$11,Inputs!$F$181/100*(BL11-BL10-Tax!BL21),0)</f>
        <v>3.17940889891969</v>
      </c>
      <c r="BM12" s="11" t="n">
        <f aca="false">IF(Time!BM17&gt;=Time!$F$11,Inputs!$F$181/100*(BM11-BM10-Tax!BM21),0)</f>
        <v>0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-5.02011931408369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-2.43249956815871</v>
      </c>
      <c r="Z13" s="11" t="n">
        <f aca="false">Z12-Y12</f>
        <v>2.94576026477746</v>
      </c>
      <c r="AA13" s="11" t="n">
        <f aca="false">AA12-Z12</f>
        <v>3.33869997619983</v>
      </c>
      <c r="AB13" s="11" t="n">
        <f aca="false">AB12-AA12</f>
        <v>3.54874067229942</v>
      </c>
      <c r="AC13" s="11" t="n">
        <f aca="false">AC12-AB12</f>
        <v>3.97259999834946</v>
      </c>
      <c r="AD13" s="11" t="n">
        <f aca="false">AD12-AC12</f>
        <v>1.00402386281673</v>
      </c>
      <c r="AE13" s="11" t="n">
        <f aca="false">AE12-AD12</f>
        <v>4.20352767240414</v>
      </c>
      <c r="AF13" s="11" t="n">
        <f aca="false">AF12-AE12</f>
        <v>5.00436334818219</v>
      </c>
      <c r="AG13" s="11" t="n">
        <f aca="false">AG12-AF12</f>
        <v>5.43826639050293</v>
      </c>
      <c r="AH13" s="11" t="n">
        <f aca="false">AH12-AG12</f>
        <v>5.82421860706592</v>
      </c>
      <c r="AI13" s="11" t="n">
        <f aca="false">AI12-AH12</f>
        <v>6.34933064744786</v>
      </c>
      <c r="AJ13" s="11" t="n">
        <f aca="false">AJ12-AI12</f>
        <v>6.76895446947991</v>
      </c>
      <c r="AK13" s="11" t="n">
        <f aca="false">AK12-AJ12</f>
        <v>7.33969797801911</v>
      </c>
      <c r="AL13" s="11" t="n">
        <f aca="false">AL12-AK12</f>
        <v>6.98751087322517</v>
      </c>
      <c r="AM13" s="11" t="n">
        <f aca="false">AM12-AL12</f>
        <v>8.42609188040485</v>
      </c>
      <c r="AN13" s="11" t="n">
        <f aca="false">AN12-AM12</f>
        <v>8.94932205959288</v>
      </c>
      <c r="AO13" s="11" t="n">
        <f aca="false">AO12-AN12</f>
        <v>3.15531182413815</v>
      </c>
      <c r="AP13" s="11" t="n">
        <f aca="false">AP12-AO12</f>
        <v>1.00402386281673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890.659767582345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9.44609069121115</v>
      </c>
      <c r="P14" s="11" t="n">
        <f aca="false">Operations!P79-P8-P9-Tax!P27-P13</f>
        <v>6.3732361976883</v>
      </c>
      <c r="Q14" s="11" t="n">
        <f aca="false">Operations!Q79-Q8-Q9-Tax!Q27-Q13</f>
        <v>7.66221248387377</v>
      </c>
      <c r="R14" s="11" t="n">
        <f aca="false">Operations!R79-R8-R9-Tax!R27-R13</f>
        <v>8.06745905132346</v>
      </c>
      <c r="S14" s="11" t="n">
        <f aca="false">Operations!S79-S8-S9-Tax!S27-S13</f>
        <v>9.23317629830163</v>
      </c>
      <c r="T14" s="11" t="n">
        <f aca="false">Operations!T79-T8-T9-Tax!T27-T13</f>
        <v>9.64461476649982</v>
      </c>
      <c r="U14" s="11" t="n">
        <f aca="false">Operations!U79-U8-U9-Tax!U27-U13</f>
        <v>10.8062486054007</v>
      </c>
      <c r="V14" s="11" t="n">
        <f aca="false">Operations!V79-V8-V9-Tax!V27-V13</f>
        <v>9.04304699403693</v>
      </c>
      <c r="W14" s="11" t="n">
        <f aca="false">Operations!W79-W8-W9-Tax!W27-W13</f>
        <v>12.7810464516002</v>
      </c>
      <c r="X14" s="11" t="n">
        <f aca="false">Operations!X79-X8-X9-Tax!X27-X13</f>
        <v>13.3697678451092</v>
      </c>
      <c r="Y14" s="11" t="n">
        <f aca="false">Operations!Y79-Y8-Y9-Tax!Y27-Y13</f>
        <v>11.4569201445425</v>
      </c>
      <c r="Z14" s="11" t="n">
        <f aca="false">Operations!Z79-Z8-Z9-Tax!Z27-Z13</f>
        <v>6.51794908314051</v>
      </c>
      <c r="AA14" s="11" t="n">
        <f aca="false">Operations!AA79-AA8-AA9-Tax!AA27-AA13</f>
        <v>7.43303338386037</v>
      </c>
      <c r="AB14" s="11" t="n">
        <f aca="false">Operations!AB79-AB8-AB9-Tax!AB27-AB13</f>
        <v>7.92119521720044</v>
      </c>
      <c r="AC14" s="11" t="n">
        <f aca="false">Operations!AC79-AC8-AC9-Tax!AC27-AC13</f>
        <v>8.90931059566886</v>
      </c>
      <c r="AD14" s="11" t="n">
        <f aca="false">Operations!AD79-AD8-AD9-Tax!AD27-AD13</f>
        <v>0.211383419298381</v>
      </c>
      <c r="AE14" s="11" t="n">
        <f aca="false">Operations!AE79-AE8-AE9-Tax!AE27-AE13</f>
        <v>11.2213087011267</v>
      </c>
      <c r="AF14" s="11" t="n">
        <f aca="false">Operations!AF79-AF8-AF9-Tax!AF27-AF13</f>
        <v>11.3108264936033</v>
      </c>
      <c r="AG14" s="11" t="n">
        <f aca="false">Operations!AG79-AG8-AG9-Tax!AG27-AG13</f>
        <v>12.3216604428921</v>
      </c>
      <c r="AH14" s="11" t="n">
        <f aca="false">Operations!AH79-AH8-AH9-Tax!AH27-AH13</f>
        <v>13.2207396663902</v>
      </c>
      <c r="AI14" s="11" t="n">
        <f aca="false">Operations!AI79-AI8-AI9-Tax!AI27-AI13</f>
        <v>14.4440685534577</v>
      </c>
      <c r="AJ14" s="11" t="n">
        <f aca="false">Operations!AJ79-AJ8-AJ9-Tax!AJ27-AJ13</f>
        <v>15.421086750666</v>
      </c>
      <c r="AK14" s="11" t="n">
        <f aca="false">Operations!AK79-AK8-AK9-Tax!AK27-AK13</f>
        <v>16.7515303420142</v>
      </c>
      <c r="AL14" s="11" t="n">
        <f aca="false">Operations!AL79-AL8-AL9-Tax!AL27-AL13</f>
        <v>15.9290024019186</v>
      </c>
      <c r="AM14" s="11" t="n">
        <f aca="false">Operations!AM79-AM8-AM9-Tax!AM27-AM13</f>
        <v>19.2832933710887</v>
      </c>
      <c r="AN14" s="11" t="n">
        <f aca="false">Operations!AN79-AN8-AN9-Tax!AN27-AN13</f>
        <v>20.5011817501154</v>
      </c>
      <c r="AO14" s="11" t="n">
        <f aca="false">Operations!AO79-AO8-AO9-Tax!AO27-AO13</f>
        <v>22.240199167646</v>
      </c>
      <c r="AP14" s="11" t="n">
        <f aca="false">Operations!AP79-AP8-AP9-Tax!AP27-AP13</f>
        <v>24.0012007294919</v>
      </c>
      <c r="AQ14" s="11" t="n">
        <f aca="false">Operations!AQ79-AQ8-AQ9-Tax!AQ27-AQ13</f>
        <v>25.1654280870273</v>
      </c>
      <c r="AR14" s="11" t="n">
        <f aca="false">Operations!AR79-AR8-AR9-Tax!AR27-AR13</f>
        <v>25.2230876566542</v>
      </c>
      <c r="AS14" s="11" t="n">
        <f aca="false">Operations!AS79-AS8-AS9-Tax!AS27-AS13</f>
        <v>25.3923630357536</v>
      </c>
      <c r="AT14" s="11" t="n">
        <f aca="false">Operations!AT79-AT8-AT9-Tax!AT27-AT13</f>
        <v>15.073254162008</v>
      </c>
      <c r="AU14" s="11" t="n">
        <f aca="false">Operations!AU79-AU8-AU9-Tax!AU27-AU13</f>
        <v>25.6558591517712</v>
      </c>
      <c r="AV14" s="11" t="n">
        <f aca="false">Operations!AV79-AV8-AV9-Tax!AV27-AV13</f>
        <v>25.5745847996837</v>
      </c>
      <c r="AW14" s="11" t="n">
        <f aca="false">Operations!AW79-AW8-AW9-Tax!AW27-AW13</f>
        <v>25.6790961409857</v>
      </c>
      <c r="AX14" s="11" t="n">
        <f aca="false">Operations!AX79-AX8-AX9-Tax!AX27-AX13</f>
        <v>25.8027539776467</v>
      </c>
      <c r="AY14" s="11" t="n">
        <f aca="false">Operations!AY79-AY8-AY9-Tax!AY27-AY13</f>
        <v>25.8780594307467</v>
      </c>
      <c r="AZ14" s="11" t="n">
        <f aca="false">Operations!AZ79-AZ8-AZ9-Tax!AZ27-AZ13</f>
        <v>25.9401552250338</v>
      </c>
      <c r="BA14" s="11" t="n">
        <f aca="false">Operations!BA79-BA8-BA9-Tax!BA27-BA13</f>
        <v>26.0905931167489</v>
      </c>
      <c r="BB14" s="11" t="n">
        <f aca="false">Operations!BB79-BB8-BB9-Tax!BB27-BB13</f>
        <v>23.8287075521386</v>
      </c>
      <c r="BC14" s="11" t="n">
        <f aca="false">Operations!BC79-BC8-BC9-Tax!BC27-BC13</f>
        <v>26.34179429044</v>
      </c>
      <c r="BD14" s="11" t="n">
        <f aca="false">Operations!BD79-BD8-BD9-Tax!BD27-BD13</f>
        <v>26.3203702355177</v>
      </c>
      <c r="BE14" s="11" t="n">
        <f aca="false">Operations!BE79-BE8-BE9-Tax!BE27-BE13</f>
        <v>26.4332639083884</v>
      </c>
      <c r="BF14" s="11" t="n">
        <f aca="false">Operations!BF79-BF8-BF9-Tax!BF27-BF13</f>
        <v>26.5685575974591</v>
      </c>
      <c r="BG14" s="11" t="n">
        <f aca="false">Operations!BG79-BG8-BG9-Tax!BG27-BG13</f>
        <v>26.6489531819644</v>
      </c>
      <c r="BH14" s="11" t="n">
        <f aca="false">Operations!BH79-BH8-BH9-Tax!BH27-BH13</f>
        <v>26.7158246336046</v>
      </c>
      <c r="BI14" s="11" t="n">
        <f aca="false">Operations!BI79-BI8-BI9-Tax!BI27-BI13</f>
        <v>26.9179734747177</v>
      </c>
      <c r="BJ14" s="11" t="n">
        <f aca="false">Operations!BJ79-BJ8-BJ9-Tax!BJ27-BJ13</f>
        <v>14.7209779279439</v>
      </c>
      <c r="BK14" s="11" t="n">
        <f aca="false">Operations!BK79-BK8-BK9-Tax!BK27-BK13</f>
        <v>27.2318511321822</v>
      </c>
      <c r="BL14" s="11" t="n">
        <f aca="false">Operations!BL79-BL8-BL9-Tax!BL27-BL13</f>
        <v>27.1271376996859</v>
      </c>
      <c r="BM14" s="11" t="n">
        <f aca="false">Operations!BM79-BM8-BM9-Tax!BM27-BM13</f>
        <v>4.80633156507572</v>
      </c>
      <c r="BN14" s="11" t="n">
        <f aca="false">Operations!BN79-BN8-BN9-Tax!BN27-BN13</f>
        <v>0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38.9491173815476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38.4573216925877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38.5821173999215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46.1368972261347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48.7714699570877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36.2768151121511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35.4504283579917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34.5909953673414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34.223794860752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33.0090570128786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31.9768359020485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30.0568697644376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27.9489631245152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23.5692918532781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39.1077129450201</v>
      </c>
      <c r="P18" s="11" t="n">
        <f aca="false">Operations!P83+Operations!P84</f>
        <v>38.9791719758974</v>
      </c>
      <c r="Q18" s="11" t="n">
        <f aca="false">Operations!Q83+Operations!Q84</f>
        <v>40.0120718392951</v>
      </c>
      <c r="R18" s="11" t="n">
        <f aca="false">Operations!R83+Operations!R84</f>
        <v>39.3348793527876</v>
      </c>
      <c r="S18" s="11" t="n">
        <f aca="false">Operations!S83+Operations!S84</f>
        <v>40.521706896867</v>
      </c>
      <c r="T18" s="11" t="n">
        <f aca="false">Operations!T83+Operations!T84</f>
        <v>40.1198396201344</v>
      </c>
      <c r="U18" s="11" t="n">
        <f aca="false">Operations!U83+Operations!U84</f>
        <v>40.7898991160633</v>
      </c>
      <c r="V18" s="11" t="n">
        <f aca="false">Operations!V83+Operations!V84</f>
        <v>39.9341822773552</v>
      </c>
      <c r="W18" s="11" t="n">
        <f aca="false">Operations!W83+Operations!W84</f>
        <v>41.3333166310765</v>
      </c>
      <c r="X18" s="11" t="n">
        <f aca="false">Operations!X83+Operations!X84</f>
        <v>41.3054133893148</v>
      </c>
      <c r="Y18" s="11" t="n">
        <f aca="false">Operations!Y83+Operations!Y84</f>
        <v>42.4083302853802</v>
      </c>
      <c r="Z18" s="11" t="n">
        <f aca="false">Operations!Z83+Operations!Z84</f>
        <v>41.6897358651796</v>
      </c>
      <c r="AA18" s="11" t="n">
        <f aca="false">Operations!AA83+Operations!AA84</f>
        <v>42.9589072846173</v>
      </c>
      <c r="AB18" s="11" t="n">
        <f aca="false">Operations!AB83+Operations!AB84</f>
        <v>42.5376635915379</v>
      </c>
      <c r="AC18" s="11" t="n">
        <f aca="false">Operations!AC83+Operations!AC84</f>
        <v>43.0859747166726</v>
      </c>
      <c r="AD18" s="11" t="n">
        <f aca="false">Operations!AD83+Operations!AD84</f>
        <v>41.6167054672967</v>
      </c>
      <c r="AE18" s="11" t="n">
        <f aca="false">Operations!AE83+Operations!AE84</f>
        <v>43.4936968755139</v>
      </c>
      <c r="AF18" s="11" t="n">
        <f aca="false">Operations!AF83+Operations!AF84</f>
        <v>43.8184303297045</v>
      </c>
      <c r="AG18" s="11" t="n">
        <f aca="false">Operations!AG83+Operations!AG84</f>
        <v>44.9970045987169</v>
      </c>
      <c r="AH18" s="11" t="n">
        <f aca="false">Operations!AH83+Operations!AH84</f>
        <v>44.2336846943227</v>
      </c>
      <c r="AI18" s="11" t="n">
        <f aca="false">Operations!AI83+Operations!AI84</f>
        <v>45.5918208874678</v>
      </c>
      <c r="AJ18" s="11" t="n">
        <f aca="false">Operations!AJ83+Operations!AJ84</f>
        <v>45.149626250459</v>
      </c>
      <c r="AK18" s="11" t="n">
        <f aca="false">Operations!AK83+Operations!AK84</f>
        <v>45.9135764668008</v>
      </c>
      <c r="AL18" s="11" t="n">
        <f aca="false">Operations!AL83+Operations!AL84</f>
        <v>44.9334921408051</v>
      </c>
      <c r="AM18" s="11" t="n">
        <f aca="false">Operations!AM83+Operations!AM84</f>
        <v>46.5392952944488</v>
      </c>
      <c r="AN18" s="11" t="n">
        <f aca="false">Operations!AN83+Operations!AN84</f>
        <v>46.5332394011983</v>
      </c>
      <c r="AO18" s="11" t="n">
        <f aca="false">Operations!AO83+Operations!AO84</f>
        <v>47.7935649078857</v>
      </c>
      <c r="AP18" s="11" t="n">
        <f aca="false">Operations!AP83+Operations!AP84</f>
        <v>46.9819309154102</v>
      </c>
      <c r="AQ18" s="11" t="n">
        <f aca="false">Operations!AQ83+Operations!AQ84</f>
        <v>48.436183684556</v>
      </c>
      <c r="AR18" s="11" t="n">
        <f aca="false">Operations!AR83+Operations!AR84</f>
        <v>47.9713361993852</v>
      </c>
      <c r="AS18" s="11" t="n">
        <f aca="false">Operations!AS83+Operations!AS84</f>
        <v>48.5933597760093</v>
      </c>
      <c r="AT18" s="11" t="n">
        <f aca="false">Operations!AT83+Operations!AT84</f>
        <v>46.919639546778</v>
      </c>
      <c r="AU18" s="11" t="n">
        <f aca="false">Operations!AU83+Operations!AU84</f>
        <v>49.0609568997731</v>
      </c>
      <c r="AV18" s="11" t="n">
        <f aca="false">Operations!AV83+Operations!AV84</f>
        <v>49.4660645185685</v>
      </c>
      <c r="AW18" s="11" t="n">
        <f aca="false">Operations!AW83+Operations!AW84</f>
        <v>50.8147250172617</v>
      </c>
      <c r="AX18" s="11" t="n">
        <f aca="false">Operations!AX83+Operations!AX84</f>
        <v>49.9509023002326</v>
      </c>
      <c r="AY18" s="11" t="n">
        <f aca="false">Operations!AY83+Operations!AY84</f>
        <v>51.5089967649398</v>
      </c>
      <c r="AZ18" s="11" t="n">
        <f aca="false">Operations!AZ83+Operations!AZ84</f>
        <v>51.0196568956865</v>
      </c>
      <c r="BA18" s="11" t="n">
        <f aca="false">Operations!BA83+Operations!BA84</f>
        <v>51.8932401037153</v>
      </c>
      <c r="BB18" s="11" t="n">
        <f aca="false">Operations!BB83+Operations!BB84</f>
        <v>50.7682379289699</v>
      </c>
      <c r="BC18" s="11" t="n">
        <f aca="false">Operations!BC83+Operations!BC84</f>
        <v>52.6152074294667</v>
      </c>
      <c r="BD18" s="11" t="n">
        <f aca="false">Operations!BD83+Operations!BD84</f>
        <v>52.6344338644045</v>
      </c>
      <c r="BE18" s="11" t="n">
        <f aca="false">Operations!BE83+Operations!BE84</f>
        <v>54.0785422695604</v>
      </c>
      <c r="BF18" s="11" t="n">
        <f aca="false">Operations!BF83+Operations!BF84</f>
        <v>53.1583475336749</v>
      </c>
      <c r="BG18" s="11" t="n">
        <f aca="false">Operations!BG83+Operations!BG84</f>
        <v>54.8286279167531</v>
      </c>
      <c r="BH18" s="11" t="n">
        <f aca="false">Operations!BH83+Operations!BH84</f>
        <v>54.3128074194288</v>
      </c>
      <c r="BI18" s="11" t="n">
        <f aca="false">Operations!BI83+Operations!BI84</f>
        <v>55.0209797406327</v>
      </c>
      <c r="BJ18" s="11" t="n">
        <f aca="false">Operations!BJ83+Operations!BJ84</f>
        <v>53.108670689654</v>
      </c>
      <c r="BK18" s="11" t="n">
        <f aca="false">Operations!BK83+Operations!BK84</f>
        <v>55.5587366627012</v>
      </c>
      <c r="BL18" s="11" t="n">
        <f aca="false">Operations!BL83+Operations!BL84</f>
        <v>56.0572846169271</v>
      </c>
      <c r="BM18" s="11" t="n">
        <f aca="false">Operations!BM83+Operations!BM84</f>
        <v>0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5.35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0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49.2869464996064</v>
      </c>
      <c r="Z20" s="11" t="n">
        <f aca="false">MAX(0,-Z12)</f>
        <v>46.3411862348289</v>
      </c>
      <c r="AA20" s="11" t="n">
        <f aca="false">MAX(0,-AA12)</f>
        <v>43.0024862586291</v>
      </c>
      <c r="AB20" s="11" t="n">
        <f aca="false">MAX(0,-AB12)</f>
        <v>39.4537455863297</v>
      </c>
      <c r="AC20" s="11" t="n">
        <f aca="false">MAX(0,-AC12)</f>
        <v>35.4811455879802</v>
      </c>
      <c r="AD20" s="11" t="n">
        <f aca="false">MAX(0,-AD12)</f>
        <v>34.4771217251635</v>
      </c>
      <c r="AE20" s="11" t="n">
        <f aca="false">MAX(0,-AE12)</f>
        <v>30.2735940527594</v>
      </c>
      <c r="AF20" s="11" t="n">
        <f aca="false">MAX(0,-AF12)</f>
        <v>25.2692307045772</v>
      </c>
      <c r="AG20" s="11" t="n">
        <f aca="false">MAX(0,-AG12)</f>
        <v>19.8309643140743</v>
      </c>
      <c r="AH20" s="11" t="n">
        <f aca="false">MAX(0,-AH12)</f>
        <v>14.0067457070083</v>
      </c>
      <c r="AI20" s="11" t="n">
        <f aca="false">MAX(0,-AI12)</f>
        <v>7.65741505956047</v>
      </c>
      <c r="AJ20" s="11" t="n">
        <f aca="false">MAX(0,-AJ12)</f>
        <v>0.888460590080557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916.188845429561</v>
      </c>
      <c r="P21" s="11" t="n">
        <f aca="false">P16+P17+P18+P19+P20</f>
        <v>902.970860103629</v>
      </c>
      <c r="Q21" s="11" t="n">
        <f aca="false">Q16+Q17+Q18+Q19+Q20</f>
        <v>893.174185169152</v>
      </c>
      <c r="R21" s="11" t="n">
        <f aca="false">R16+R17+R18+R19+R20</f>
        <v>880.908176657117</v>
      </c>
      <c r="S21" s="11" t="n">
        <f aca="false">S16+S17+S18+S19+S20</f>
        <v>871.21556605998</v>
      </c>
      <c r="T21" s="11" t="n">
        <f aca="false">T16+T17+T18+T19+T20</f>
        <v>859.335830325945</v>
      </c>
      <c r="U21" s="11" t="n">
        <f aca="false">U16+U17+U18+U19+U20</f>
        <v>849.425773871773</v>
      </c>
      <c r="V21" s="11" t="n">
        <f aca="false">V16+V17+V18+V19+V20</f>
        <v>834.094142676185</v>
      </c>
      <c r="W21" s="11" t="n">
        <f aca="false">W16+W17+W18+W19+W20</f>
        <v>822.683232945764</v>
      </c>
      <c r="X21" s="11" t="n">
        <f aca="false">X16+X17+X18+X19+X20</f>
        <v>812.55805748473</v>
      </c>
      <c r="Y21" s="11" t="n">
        <f aca="false">Y16+Y17+Y18+Y19+Y20</f>
        <v>801.63345650961</v>
      </c>
      <c r="Z21" s="11" t="n">
        <f aca="false">Z16+Z17+Z18+Z19+Z20</f>
        <v>782.91103756766</v>
      </c>
      <c r="AA21" s="11" t="n">
        <f aca="false">AA16+AA17+AA18+AA19+AA20</f>
        <v>766.510981784708</v>
      </c>
      <c r="AB21" s="11" t="n">
        <f aca="false">AB16+AB17+AB18+AB19+AB20</f>
        <v>747.048444792008</v>
      </c>
      <c r="AC21" s="11" t="n">
        <f aca="false">AC16+AC17+AC18+AC19+AC20</f>
        <v>729.524997602801</v>
      </c>
      <c r="AD21" s="11" t="n">
        <f aca="false">AD16+AD17+AD18+AD19+AD20</f>
        <v>697.823318598726</v>
      </c>
      <c r="AE21" s="11" t="n">
        <f aca="false">AE16+AE17+AE18+AE19+AE20</f>
        <v>677.936664533434</v>
      </c>
      <c r="AF21" s="11" t="n">
        <f aca="false">AF16+AF17+AF18+AF19+AF20</f>
        <v>655.663870601847</v>
      </c>
      <c r="AG21" s="11" t="n">
        <f aca="false">AG16+AG17+AG18+AG19+AG20</f>
        <v>634.303246926821</v>
      </c>
      <c r="AH21" s="11" t="n">
        <f aca="false">AH16+AH17+AH18+AH19+AH20</f>
        <v>609.767239520542</v>
      </c>
      <c r="AI21" s="11" t="n">
        <f aca="false">AI16+AI17+AI18+AI19+AI20</f>
        <v>587.010092908463</v>
      </c>
      <c r="AJ21" s="11" t="n">
        <f aca="false">AJ16+AJ17+AJ18+AJ19+AJ20</f>
        <v>561.145246617418</v>
      </c>
      <c r="AK21" s="11" t="n">
        <f aca="false">AK16+AK17+AK18+AK19+AK20</f>
        <v>542.179098556811</v>
      </c>
      <c r="AL21" s="11" t="n">
        <f aca="false">AL16+AL17+AL18+AL19+AL20</f>
        <v>520.085611912633</v>
      </c>
      <c r="AM21" s="11" t="n">
        <f aca="false">AM16+AM17+AM18+AM19+AM20</f>
        <v>500.520409420917</v>
      </c>
      <c r="AN21" s="11" t="n">
        <f aca="false">AN16+AN17+AN18+AN19+AN20</f>
        <v>485.902402058952</v>
      </c>
      <c r="AO21" s="11" t="n">
        <f aca="false">AO16+AO17+AO18+AO19+AO20</f>
        <v>453.870977856573</v>
      </c>
      <c r="AP21" s="11" t="n">
        <f aca="false">AP16+AP17+AP18+AP19+AP20</f>
        <v>438.673501902638</v>
      </c>
      <c r="AQ21" s="11" t="n">
        <f aca="false">AQ16+AQ17+AQ18+AQ19+AQ20</f>
        <v>425.741912710325</v>
      </c>
      <c r="AR21" s="11" t="n">
        <f aca="false">AR16+AR17+AR18+AR19+AR20</f>
        <v>410.891223263696</v>
      </c>
      <c r="AS21" s="11" t="n">
        <f aca="false">AS16+AS17+AS18+AS19+AS20</f>
        <v>397.127404878861</v>
      </c>
      <c r="AT21" s="11" t="n">
        <f aca="false">AT16+AT17+AT18+AT19+AT20</f>
        <v>364.632619089763</v>
      </c>
      <c r="AU21" s="11" t="n">
        <f aca="false">AU16+AU17+AU18+AU19+AU20</f>
        <v>350.040205395812</v>
      </c>
      <c r="AV21" s="11" t="n">
        <f aca="false">AV16+AV17+AV18+AV19+AV20</f>
        <v>334.301222968585</v>
      </c>
      <c r="AW21" s="11" t="n">
        <f aca="false">AW16+AW17+AW18+AW19+AW20</f>
        <v>319.505793421256</v>
      </c>
      <c r="AX21" s="11" t="n">
        <f aca="false">AX16+AX17+AX18+AX19+AX20</f>
        <v>302.497880658205</v>
      </c>
      <c r="AY21" s="11" t="n">
        <f aca="false">AY16+AY17+AY18+AY19+AY20</f>
        <v>287.91188507689</v>
      </c>
      <c r="AZ21" s="11" t="n">
        <f aca="false">AZ16+AZ17+AZ18+AZ19+AZ20</f>
        <v>271.278455161615</v>
      </c>
      <c r="BA21" s="11" t="n">
        <f aca="false">BA16+BA17+BA18+BA19+BA20</f>
        <v>256.50291671023</v>
      </c>
      <c r="BB21" s="11" t="n">
        <f aca="false">BB16+BB17+BB18+BB19+BB20</f>
        <v>236.607487737643</v>
      </c>
      <c r="BC21" s="11" t="n">
        <f aca="false">BC16+BC17+BC18+BC19+BC20</f>
        <v>223.238299264536</v>
      </c>
      <c r="BD21" s="11" t="n">
        <f aca="false">BD16+BD17+BD18+BD19+BD20</f>
        <v>210.852345573888</v>
      </c>
      <c r="BE21" s="11" t="n">
        <f aca="false">BE16+BE17+BE18+BE19+BE20</f>
        <v>199.908057974167</v>
      </c>
      <c r="BF21" s="11" t="n">
        <f aca="false">BF16+BF17+BF18+BF19+BF20</f>
        <v>186.616434975021</v>
      </c>
      <c r="BG21" s="11" t="n">
        <f aca="false">BG16+BG17+BG18+BG19+BG20</f>
        <v>175.932440466203</v>
      </c>
      <c r="BH21" s="11" t="n">
        <f aca="false">BH16+BH17+BH18+BH19+BH20</f>
        <v>163.079686108915</v>
      </c>
      <c r="BI21" s="11" t="n">
        <f aca="false">BI16+BI17+BI18+BI19+BI20</f>
        <v>151.46845531569</v>
      </c>
      <c r="BJ21" s="11" t="n">
        <f aca="false">BJ16+BJ17+BJ18+BJ19+BJ20</f>
        <v>117.693838157125</v>
      </c>
      <c r="BK21" s="11" t="n">
        <f aca="false">BK16+BK17+BK18+BK19+BK20</f>
        <v>105.065764611201</v>
      </c>
      <c r="BL21" s="11" t="n">
        <f aca="false">BL16+BL17+BL18+BL19+BL20</f>
        <v>90.5042854768518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401.159130519111</v>
      </c>
      <c r="AB22" s="11" t="n">
        <f aca="false">IF(Time!AB17&lt;Time!$F$11,SUMIFS(Funding!$J$73:$BJ$73,Construction!$J$12:$BJ$12,"&lt;="&amp;Time!AB17),Debt!AB123)</f>
        <v>372.335414403048</v>
      </c>
      <c r="AC22" s="11" t="n">
        <f aca="false">IF(Time!AC17&lt;Time!$F$11,SUMIFS(Funding!$J$73:$BJ$73,Construction!$J$12:$BJ$12,"&lt;="&amp;Time!AC17),Debt!AC123)</f>
        <v>343.544954418784</v>
      </c>
      <c r="AD22" s="11" t="n">
        <f aca="false">IF(Time!AD17&lt;Time!$F$11,SUMIFS(Funding!$J$73:$BJ$73,Construction!$J$12:$BJ$12,"&lt;="&amp;Time!AD17),Debt!AD123)</f>
        <v>311.825301573582</v>
      </c>
      <c r="AE22" s="11" t="n">
        <f aca="false">IF(Time!AE17&lt;Time!$F$11,SUMIFS(Funding!$J$73:$BJ$73,Construction!$J$12:$BJ$12,"&lt;="&amp;Time!AE17),Debt!AE123)</f>
        <v>279.09828670204</v>
      </c>
      <c r="AF22" s="11" t="n">
        <f aca="false">IF(Time!AF17&lt;Time!$F$11,SUMIFS(Funding!$J$73:$BJ$73,Construction!$J$12:$BJ$12,"&lt;="&amp;Time!AF17),Debt!AF123)</f>
        <v>245.393686754919</v>
      </c>
      <c r="AG22" s="11" t="n">
        <f aca="false">IF(Time!AG17&lt;Time!$F$11,SUMIFS(Funding!$J$73:$BJ$73,Construction!$J$12:$BJ$12,"&lt;="&amp;Time!AG17),Debt!AG123)</f>
        <v>211.750480568602</v>
      </c>
      <c r="AH22" s="11" t="n">
        <f aca="false">IF(Time!AH17&lt;Time!$F$11,SUMIFS(Funding!$J$73:$BJ$73,Construction!$J$12:$BJ$12,"&lt;="&amp;Time!AH17),Debt!AH123)</f>
        <v>176.664000438037</v>
      </c>
      <c r="AI22" s="11" t="n">
        <f aca="false">IF(Time!AI17&lt;Time!$F$11,SUMIFS(Funding!$J$73:$BJ$73,Construction!$J$12:$BJ$12,"&lt;="&amp;Time!AI17),Debt!AI123)</f>
        <v>141.515042762148</v>
      </c>
      <c r="AJ22" s="11" t="n">
        <f aca="false">IF(Time!AJ17&lt;Time!$F$11,SUMIFS(Funding!$J$73:$BJ$73,Construction!$J$12:$BJ$12,"&lt;="&amp;Time!AJ17),Debt!AJ123)</f>
        <v>105.32353228216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200.851964405689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198.792021490979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195.883944400014</v>
      </c>
      <c r="S23" s="11" t="n">
        <f aca="false">IF(Time!S17&lt;Time!$F$11,SUMIFS(Funding!$J$70:$BJ$70,Construction!$J$12:$BJ$12,"&lt;="&amp;Time!S17)+SUMIFS(Funding!$J$71:$BJ$71,Construction!$J$12:$BJ$12,"&lt;="&amp;Time!S17),Waterfall!S36)</f>
        <v>193.500727343777</v>
      </c>
      <c r="T23" s="11" t="n">
        <f aca="false">IF(Time!T17&lt;Time!$F$11,SUMIFS(Funding!$J$70:$BJ$70,Construction!$J$12:$BJ$12,"&lt;="&amp;Time!T17)+SUMIFS(Funding!$J$71:$BJ$71,Construction!$J$12:$BJ$12,"&lt;="&amp;Time!T17),Waterfall!T36)</f>
        <v>190.428644578043</v>
      </c>
      <c r="U23" s="11" t="n">
        <f aca="false">IF(Time!U17&lt;Time!$F$11,SUMIFS(Funding!$J$70:$BJ$70,Construction!$J$12:$BJ$12,"&lt;="&amp;Time!U17)+SUMIFS(Funding!$J$71:$BJ$71,Construction!$J$12:$BJ$12,"&lt;="&amp;Time!U17),Waterfall!U36)</f>
        <v>188.078028841058</v>
      </c>
      <c r="V23" s="11" t="n">
        <f aca="false">IF(Time!V17&lt;Time!$F$11,SUMIFS(Funding!$J$70:$BJ$70,Construction!$J$12:$BJ$12,"&lt;="&amp;Time!V17)+SUMIFS(Funding!$J$71:$BJ$71,Construction!$J$12:$BJ$12,"&lt;="&amp;Time!V17),Waterfall!V36)</f>
        <v>184.496467050837</v>
      </c>
      <c r="W23" s="11" t="n">
        <f aca="false">IF(Time!W17&lt;Time!$F$11,SUMIFS(Funding!$J$70:$BJ$70,Construction!$J$12:$BJ$12,"&lt;="&amp;Time!W17)+SUMIFS(Funding!$J$71:$BJ$71,Construction!$J$12:$BJ$12,"&lt;="&amp;Time!W17),Waterfall!W36)</f>
        <v>179.86713600792</v>
      </c>
      <c r="X23" s="11" t="n">
        <f aca="false">IF(Time!X17&lt;Time!$F$11,SUMIFS(Funding!$J$70:$BJ$70,Construction!$J$12:$BJ$12,"&lt;="&amp;Time!X17)+SUMIFS(Funding!$J$71:$BJ$71,Construction!$J$12:$BJ$12,"&lt;="&amp;Time!X17),Waterfall!X36)</f>
        <v>176.301715014184</v>
      </c>
      <c r="Y23" s="11" t="n">
        <f aca="false">IF(Time!Y17&lt;Time!$F$11,SUMIFS(Funding!$J$70:$BJ$70,Construction!$J$12:$BJ$12,"&lt;="&amp;Time!Y17)+SUMIFS(Funding!$J$71:$BJ$71,Construction!$J$12:$BJ$12,"&lt;="&amp;Time!Y17),Waterfall!Y36)</f>
        <v>173.216069289205</v>
      </c>
      <c r="Z23" s="11" t="n">
        <f aca="false">IF(Time!Z17&lt;Time!$F$11,SUMIFS(Funding!$J$70:$BJ$70,Construction!$J$12:$BJ$12,"&lt;="&amp;Time!Z17)+SUMIFS(Funding!$J$71:$BJ$71,Construction!$J$12:$BJ$12,"&lt;="&amp;Time!Z17),Waterfall!Z36)</f>
        <v>169.435086325444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171.797776215481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173.465080693343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175.494510459882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176.423390201459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176.701649542923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176.304622781631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175.394126018331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173.290733625238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170.190621894402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165.341948132363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147.885303210483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125.280484205608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98.7044643617838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72.5846526467877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32.6247721709455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24.2586136114806</v>
      </c>
      <c r="P24" s="11" t="n">
        <f aca="false">Operations!P85+Operations!P86+Operations!P87+Operations!P88+Operations!P89</f>
        <v>24.1665545501825</v>
      </c>
      <c r="Q24" s="11" t="n">
        <f aca="false">Operations!Q85+Operations!Q86+Operations!Q87+Operations!Q88+Operations!Q89</f>
        <v>24.9128763761288</v>
      </c>
      <c r="R24" s="11" t="n">
        <f aca="false">Operations!R85+Operations!R86+Operations!R87+Operations!R88+Operations!R89</f>
        <v>24.4280472491643</v>
      </c>
      <c r="S24" s="11" t="n">
        <f aca="false">Operations!S85+Operations!S86+Operations!S87+Operations!S88+Operations!S89</f>
        <v>25.3252496922635</v>
      </c>
      <c r="T24" s="11" t="n">
        <f aca="false">Operations!T85+Operations!T86+Operations!T87+Operations!T88+Operations!T89</f>
        <v>25.1149775152245</v>
      </c>
      <c r="U24" s="11" t="n">
        <f aca="false">Operations!U85+Operations!U86+Operations!U87+Operations!U88+Operations!U89</f>
        <v>25.5730531022548</v>
      </c>
      <c r="V24" s="11" t="n">
        <f aca="false">Operations!V85+Operations!V86+Operations!V87+Operations!V88+Operations!V89</f>
        <v>24.8334448745975</v>
      </c>
      <c r="W24" s="11" t="n">
        <f aca="false">Operations!W85+Operations!W86+Operations!W87+Operations!W88+Operations!W89</f>
        <v>25.9373513445947</v>
      </c>
      <c r="X24" s="11" t="n">
        <f aca="false">Operations!X85+Operations!X86+Operations!X87+Operations!X88+Operations!X89</f>
        <v>26.1007045679217</v>
      </c>
      <c r="Y24" s="11" t="n">
        <f aca="false">Operations!Y85+Operations!Y86+Operations!Y87+Operations!Y88+Operations!Y89</f>
        <v>26.9071594010118</v>
      </c>
      <c r="Z24" s="11" t="n">
        <f aca="false">Operations!Z85+Operations!Z86+Operations!Z87+Operations!Z88+Operations!Z89</f>
        <v>26.3829029979847</v>
      </c>
      <c r="AA24" s="11" t="n">
        <f aca="false">Operations!AA85+Operations!AA86+Operations!AA87+Operations!AA88+Operations!AA89</f>
        <v>27.3525195367158</v>
      </c>
      <c r="AB24" s="11" t="n">
        <f aca="false">Operations!AB85+Operations!AB86+Operations!AB87+Operations!AB88+Operations!AB89</f>
        <v>27.1251989650173</v>
      </c>
      <c r="AC24" s="11" t="n">
        <f aca="false">Operations!AC85+Operations!AC86+Operations!AC87+Operations!AC88+Operations!AC89</f>
        <v>27.453471397866</v>
      </c>
      <c r="AD24" s="11" t="n">
        <f aca="false">Operations!AD85+Operations!AD86+Operations!AD87+Operations!AD88+Operations!AD89</f>
        <v>26.3311820781173</v>
      </c>
      <c r="AE24" s="11" t="n">
        <f aca="false">Operations!AE85+Operations!AE86+Operations!AE87+Operations!AE88+Operations!AE89</f>
        <v>27.6719748417764</v>
      </c>
      <c r="AF24" s="11" t="n">
        <f aca="false">Operations!AF85+Operations!AF86+Operations!AF87+Operations!AF88+Operations!AF89</f>
        <v>28.1899811249992</v>
      </c>
      <c r="AG24" s="11" t="n">
        <f aca="false">Operations!AG85+Operations!AG86+Operations!AG87+Operations!AG88+Operations!AG89</f>
        <v>29.0613999566973</v>
      </c>
      <c r="AH24" s="11" t="n">
        <f aca="false">Operations!AH85+Operations!AH86+Operations!AH87+Operations!AH88+Operations!AH89</f>
        <v>28.4945254076874</v>
      </c>
      <c r="AI24" s="11" t="n">
        <f aca="false">Operations!AI85+Operations!AI86+Operations!AI87+Operations!AI88+Operations!AI89</f>
        <v>29.5423796488763</v>
      </c>
      <c r="AJ24" s="11" t="n">
        <f aca="false">Operations!AJ85+Operations!AJ86+Operations!AJ87+Operations!AJ88+Operations!AJ89</f>
        <v>29.2966308491916</v>
      </c>
      <c r="AK24" s="11" t="n">
        <f aca="false">Operations!AK85+Operations!AK86+Operations!AK87+Operations!AK88+Operations!AK89</f>
        <v>29.8308247254886</v>
      </c>
      <c r="AL24" s="11" t="n">
        <f aca="false">Operations!AL85+Operations!AL86+Operations!AL87+Operations!AL88+Operations!AL89</f>
        <v>28.9660303950168</v>
      </c>
      <c r="AM24" s="11" t="n">
        <f aca="false">Operations!AM85+Operations!AM86+Operations!AM87+Operations!AM88+Operations!AM89</f>
        <v>30.2555652995079</v>
      </c>
      <c r="AN24" s="11" t="n">
        <f aca="false">Operations!AN85+Operations!AN86+Operations!AN87+Operations!AN88+Operations!AN89</f>
        <v>30.4467896285846</v>
      </c>
      <c r="AO24" s="11" t="n">
        <f aca="false">Operations!AO85+Operations!AO86+Operations!AO87+Operations!AO88+Operations!AO89</f>
        <v>31.3883892738407</v>
      </c>
      <c r="AP24" s="11" t="n">
        <f aca="false">Operations!AP85+Operations!AP86+Operations!AP87+Operations!AP88+Operations!AP89</f>
        <v>30.7754495980045</v>
      </c>
      <c r="AQ24" s="11" t="n">
        <f aca="false">Operations!AQ85+Operations!AQ86+Operations!AQ87+Operations!AQ88+Operations!AQ89</f>
        <v>31.9078305850272</v>
      </c>
      <c r="AR24" s="11" t="n">
        <f aca="false">Operations!AR85+Operations!AR86+Operations!AR87+Operations!AR88+Operations!AR89</f>
        <v>31.6421630396818</v>
      </c>
      <c r="AS24" s="11" t="n">
        <f aca="false">Operations!AS85+Operations!AS86+Operations!AS87+Operations!AS88+Operations!AS89</f>
        <v>32.0244281298117</v>
      </c>
      <c r="AT24" s="11" t="n">
        <f aca="false">Operations!AT85+Operations!AT86+Operations!AT87+Operations!AT88+Operations!AT89</f>
        <v>30.7123951687644</v>
      </c>
      <c r="AU24" s="11" t="n">
        <f aca="false">Operations!AU85+Operations!AU86+Operations!AU87+Operations!AU88+Operations!AU89</f>
        <v>32.2785746681732</v>
      </c>
      <c r="AV24" s="11" t="n">
        <f aca="false">Operations!AV85+Operations!AV86+Operations!AV87+Operations!AV88+Operations!AV89</f>
        <v>32.8845232327764</v>
      </c>
      <c r="AW24" s="11" t="n">
        <f aca="false">Operations!AW85+Operations!AW86+Operations!AW87+Operations!AW88+Operations!AW89</f>
        <v>33.9019369254648</v>
      </c>
      <c r="AX24" s="11" t="n">
        <f aca="false">Operations!AX85+Operations!AX86+Operations!AX87+Operations!AX88+Operations!AX89</f>
        <v>33.2392086611303</v>
      </c>
      <c r="AY24" s="11" t="n">
        <f aca="false">Operations!AY85+Operations!AY86+Operations!AY87+Operations!AY88+Operations!AY89</f>
        <v>34.4629078006078</v>
      </c>
      <c r="AZ24" s="11" t="n">
        <f aca="false">Operations!AZ85+Operations!AZ86+Operations!AZ87+Operations!AZ88+Operations!AZ89</f>
        <v>34.1757115161918</v>
      </c>
      <c r="BA24" s="11" t="n">
        <f aca="false">Operations!BA85+Operations!BA86+Operations!BA87+Operations!BA88+Operations!BA89</f>
        <v>34.7986485106814</v>
      </c>
      <c r="BB24" s="11" t="n">
        <f aca="false">Operations!BB85+Operations!BB86+Operations!BB87+Operations!BB88+Operations!BB89</f>
        <v>33.7876294522977</v>
      </c>
      <c r="BC24" s="11" t="n">
        <f aca="false">Operations!BC85+Operations!BC86+Operations!BC87+Operations!BC88+Operations!BC89</f>
        <v>35.2938596471839</v>
      </c>
      <c r="BD24" s="11" t="n">
        <f aca="false">Operations!BD85+Operations!BD86+Operations!BD87+Operations!BD88+Operations!BD89</f>
        <v>35.5176410401575</v>
      </c>
      <c r="BE24" s="11" t="n">
        <f aca="false">Operations!BE85+Operations!BE86+Operations!BE87+Operations!BE88+Operations!BE89</f>
        <v>36.6169514344385</v>
      </c>
      <c r="BF24" s="11" t="n">
        <f aca="false">Operations!BF85+Operations!BF86+Operations!BF87+Operations!BF88+Operations!BF89</f>
        <v>35.9004126655721</v>
      </c>
      <c r="BG24" s="11" t="n">
        <f aca="false">Operations!BG85+Operations!BG86+Operations!BG87+Operations!BG88+Operations!BG89</f>
        <v>37.2227635586869</v>
      </c>
      <c r="BH24" s="11" t="n">
        <f aca="false">Operations!BH85+Operations!BH86+Operations!BH87+Operations!BH88+Operations!BH89</f>
        <v>36.9122995841322</v>
      </c>
      <c r="BI24" s="11" t="n">
        <f aca="false">Operations!BI85+Operations!BI86+Operations!BI87+Operations!BI88+Operations!BI89</f>
        <v>37.357443312395</v>
      </c>
      <c r="BJ24" s="11" t="n">
        <f aca="false">Operations!BJ85+Operations!BJ86+Operations!BJ87+Operations!BJ88+Operations!BJ89</f>
        <v>35.8238140484636</v>
      </c>
      <c r="BK24" s="11" t="n">
        <f aca="false">Operations!BK85+Operations!BK86+Operations!BK87+Operations!BK88+Operations!BK89</f>
        <v>37.653080539787</v>
      </c>
      <c r="BL24" s="11" t="n">
        <f aca="false">Operations!BL85+Operations!BL86+Operations!BL87+Operations!BL88+Operations!BL89</f>
        <v>38.3617524515271</v>
      </c>
      <c r="BM24" s="11" t="n">
        <f aca="false">Operations!BM85+Operations!BM86+Operations!BM87+Operations!BM88+Operations!BM89</f>
        <v>0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0</v>
      </c>
      <c r="AK25" s="11" t="n">
        <f aca="false">MAX(0,AK12)</f>
        <v>6.45123738793855</v>
      </c>
      <c r="AL25" s="11" t="n">
        <f aca="false">MAX(0,AL12)</f>
        <v>13.4387482611637</v>
      </c>
      <c r="AM25" s="11" t="n">
        <f aca="false">MAX(0,AM12)</f>
        <v>21.8648401415686</v>
      </c>
      <c r="AN25" s="11" t="n">
        <f aca="false">MAX(0,AN12)</f>
        <v>30.8141622011614</v>
      </c>
      <c r="AO25" s="11" t="n">
        <f aca="false">MAX(0,AO12)</f>
        <v>33.9694740252996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9.44609069121115</v>
      </c>
      <c r="P27" s="16" t="n">
        <f aca="false">Waterfall!P43</f>
        <v>15.8193268888995</v>
      </c>
      <c r="Q27" s="16" t="n">
        <f aca="false">Waterfall!Q43</f>
        <v>23.4815393727732</v>
      </c>
      <c r="R27" s="16" t="n">
        <f aca="false">Waterfall!R43</f>
        <v>31.5489984240967</v>
      </c>
      <c r="S27" s="16" t="n">
        <f aca="false">Waterfall!S43</f>
        <v>40.7821747223983</v>
      </c>
      <c r="T27" s="16" t="n">
        <f aca="false">Waterfall!T43</f>
        <v>50.4267894888981</v>
      </c>
      <c r="U27" s="16" t="n">
        <f aca="false">Waterfall!U43</f>
        <v>61.2330380942989</v>
      </c>
      <c r="V27" s="16" t="n">
        <f aca="false">Waterfall!V43</f>
        <v>70.2760850883358</v>
      </c>
      <c r="W27" s="16" t="n">
        <f aca="false">Waterfall!W43</f>
        <v>83.057131539936</v>
      </c>
      <c r="X27" s="16" t="n">
        <f aca="false">Waterfall!X43</f>
        <v>96.4268993850452</v>
      </c>
      <c r="Y27" s="16" t="n">
        <f aca="false">Waterfall!Y43</f>
        <v>107.883819529588</v>
      </c>
      <c r="Z27" s="16" t="n">
        <f aca="false">Waterfall!Z43</f>
        <v>114.401768612728</v>
      </c>
      <c r="AA27" s="16" t="n">
        <f aca="false">Waterfall!AA43</f>
        <v>121.834801996589</v>
      </c>
      <c r="AB27" s="16" t="n">
        <f aca="false">Waterfall!AB43</f>
        <v>129.755997213789</v>
      </c>
      <c r="AC27" s="16" t="n">
        <f aca="false">Waterfall!AC43</f>
        <v>138.665307809458</v>
      </c>
      <c r="AD27" s="16" t="n">
        <f aca="false">Waterfall!AD43</f>
        <v>138.876691228756</v>
      </c>
      <c r="AE27" s="16" t="n">
        <f aca="false">Waterfall!AE43</f>
        <v>150.097999929883</v>
      </c>
      <c r="AF27" s="16" t="n">
        <f aca="false">Waterfall!AF43</f>
        <v>161.408826423486</v>
      </c>
      <c r="AG27" s="16" t="n">
        <f aca="false">Waterfall!AG43</f>
        <v>173.730486866378</v>
      </c>
      <c r="AH27" s="16" t="n">
        <f aca="false">Waterfall!AH43</f>
        <v>186.951226532769</v>
      </c>
      <c r="AI27" s="16" t="n">
        <f aca="false">Waterfall!AI43</f>
        <v>201.395295086226</v>
      </c>
      <c r="AJ27" s="16" t="n">
        <f aca="false">Waterfall!AJ43</f>
        <v>216.816381836892</v>
      </c>
      <c r="AK27" s="16" t="n">
        <f aca="false">Waterfall!AK43</f>
        <v>233.567912178906</v>
      </c>
      <c r="AL27" s="16" t="n">
        <f aca="false">Waterfall!AL43</f>
        <v>249.496914580825</v>
      </c>
      <c r="AM27" s="16" t="n">
        <f aca="false">Waterfall!AM43</f>
        <v>268.780207951914</v>
      </c>
      <c r="AN27" s="16" t="n">
        <f aca="false">Waterfall!AN43</f>
        <v>289.281389702029</v>
      </c>
      <c r="AO27" s="16" t="n">
        <f aca="false">Waterfall!AO43</f>
        <v>311.521588869675</v>
      </c>
      <c r="AP27" s="16" t="n">
        <f aca="false">Waterfall!AP43</f>
        <v>328.557800899706</v>
      </c>
      <c r="AQ27" s="16" t="n">
        <f aca="false">Waterfall!AQ43</f>
        <v>313.489806857554</v>
      </c>
      <c r="AR27" s="16" t="n">
        <f aca="false">Waterfall!AR43</f>
        <v>297.900761093453</v>
      </c>
      <c r="AS27" s="16" t="n">
        <f aca="false">Waterfall!AS43</f>
        <v>282.750653755671</v>
      </c>
      <c r="AT27" s="16" t="n">
        <f aca="false">Waterfall!AT43</f>
        <v>250.563877064804</v>
      </c>
      <c r="AU27" s="16" t="n">
        <f aca="false">Waterfall!AU43</f>
        <v>233.401260008627</v>
      </c>
      <c r="AV27" s="16" t="n">
        <f aca="false">Waterfall!AV43</f>
        <v>216.052305153981</v>
      </c>
      <c r="AW27" s="16" t="n">
        <f aca="false">Waterfall!AW43</f>
        <v>199.235438051147</v>
      </c>
      <c r="AX27" s="16" t="n">
        <f aca="false">Waterfall!AX43</f>
        <v>181.886229689613</v>
      </c>
      <c r="AY27" s="16" t="n">
        <f aca="false">Waterfall!AY43</f>
        <v>165.072511106004</v>
      </c>
      <c r="AZ27" s="16" t="n">
        <f aca="false">Waterfall!AZ43</f>
        <v>147.722253612327</v>
      </c>
      <c r="BA27" s="16" t="n">
        <f aca="false">Waterfall!BA43</f>
        <v>131.319754303636</v>
      </c>
      <c r="BB27" s="16" t="n">
        <f aca="false">Waterfall!BB43</f>
        <v>111.431320526616</v>
      </c>
      <c r="BC27" s="16" t="n">
        <f aca="false">Waterfall!BC43</f>
        <v>97.4762570662057</v>
      </c>
      <c r="BD27" s="16" t="n">
        <f aca="false">Waterfall!BD43</f>
        <v>89.6356353309634</v>
      </c>
      <c r="BE27" s="16" t="n">
        <f aca="false">Waterfall!BE43</f>
        <v>82.3611506853409</v>
      </c>
      <c r="BF27" s="16" t="n">
        <f aca="false">Waterfall!BF43</f>
        <v>74.5551798034407</v>
      </c>
      <c r="BG27" s="16" t="n">
        <f aca="false">Waterfall!BG43</f>
        <v>67.3179477498877</v>
      </c>
      <c r="BH27" s="16" t="n">
        <f aca="false">Waterfall!BH43</f>
        <v>59.5447707155337</v>
      </c>
      <c r="BI27" s="16" t="n">
        <f aca="false">Waterfall!BI43</f>
        <v>52.2575095424249</v>
      </c>
      <c r="BJ27" s="16" t="n">
        <f aca="false">Waterfall!BJ43</f>
        <v>24.7856349961714</v>
      </c>
      <c r="BK27" s="16" t="n">
        <f aca="false">Waterfall!BK43</f>
        <v>15.0974083073033</v>
      </c>
      <c r="BL27" s="16" t="n">
        <f aca="false">Waterfall!BL43</f>
        <v>4.59637060959349</v>
      </c>
      <c r="BM27" s="16" t="n">
        <f aca="false">Waterfall!BM43</f>
        <v>-44.3667535168116</v>
      </c>
      <c r="BN27" s="16" t="n">
        <f aca="false">Waterfall!BN43</f>
        <v>-44.3667535168116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916.188845429561</v>
      </c>
      <c r="P28" s="11" t="n">
        <f aca="false">P22+P23+P24+P25+P26+P27</f>
        <v>902.970860103629</v>
      </c>
      <c r="Q28" s="11" t="n">
        <f aca="false">Q22+Q23+Q24+Q25+Q26+Q27</f>
        <v>893.174185169152</v>
      </c>
      <c r="R28" s="11" t="n">
        <f aca="false">R22+R23+R24+R25+R26+R27</f>
        <v>880.908176657116</v>
      </c>
      <c r="S28" s="11" t="n">
        <f aca="false">S22+S23+S24+S25+S26+S27</f>
        <v>871.21556605998</v>
      </c>
      <c r="T28" s="11" t="n">
        <f aca="false">T22+T23+T24+T25+T26+T27</f>
        <v>859.335830325945</v>
      </c>
      <c r="U28" s="11" t="n">
        <f aca="false">U22+U23+U24+U25+U26+U27</f>
        <v>849.425773871772</v>
      </c>
      <c r="V28" s="11" t="n">
        <f aca="false">V22+V23+V24+V25+V26+V27</f>
        <v>834.094142676185</v>
      </c>
      <c r="W28" s="11" t="n">
        <f aca="false">W22+W23+W24+W25+W26+W27</f>
        <v>822.683232945764</v>
      </c>
      <c r="X28" s="11" t="n">
        <f aca="false">X22+X23+X24+X25+X26+X27</f>
        <v>812.558057484729</v>
      </c>
      <c r="Y28" s="11" t="n">
        <f aca="false">Y22+Y23+Y24+Y25+Y26+Y27</f>
        <v>801.63345650961</v>
      </c>
      <c r="Z28" s="11" t="n">
        <f aca="false">Z22+Z23+Z24+Z25+Z26+Z27</f>
        <v>782.91103756766</v>
      </c>
      <c r="AA28" s="11" t="n">
        <f aca="false">AA22+AA23+AA24+AA25+AA26+AA27</f>
        <v>766.510981784708</v>
      </c>
      <c r="AB28" s="11" t="n">
        <f aca="false">AB22+AB23+AB24+AB25+AB26+AB27</f>
        <v>747.048444792008</v>
      </c>
      <c r="AC28" s="11" t="n">
        <f aca="false">AC22+AC23+AC24+AC25+AC26+AC27</f>
        <v>729.524997602801</v>
      </c>
      <c r="AD28" s="11" t="n">
        <f aca="false">AD22+AD23+AD24+AD25+AD26+AD27</f>
        <v>697.823318598726</v>
      </c>
      <c r="AE28" s="11" t="n">
        <f aca="false">AE22+AE23+AE24+AE25+AE26+AE27</f>
        <v>677.936664533434</v>
      </c>
      <c r="AF28" s="11" t="n">
        <f aca="false">AF22+AF23+AF24+AF25+AF26+AF27</f>
        <v>655.663870601846</v>
      </c>
      <c r="AG28" s="11" t="n">
        <f aca="false">AG22+AG23+AG24+AG25+AG26+AG27</f>
        <v>634.303246926821</v>
      </c>
      <c r="AH28" s="11" t="n">
        <f aca="false">AH22+AH23+AH24+AH25+AH26+AH27</f>
        <v>609.767239520542</v>
      </c>
      <c r="AI28" s="11" t="n">
        <f aca="false">AI22+AI23+AI24+AI25+AI26+AI27</f>
        <v>587.010092908463</v>
      </c>
      <c r="AJ28" s="11" t="n">
        <f aca="false">AJ22+AJ23+AJ24+AJ25+AJ26+AJ27</f>
        <v>561.145246617418</v>
      </c>
      <c r="AK28" s="11" t="n">
        <f aca="false">AK22+AK23+AK24+AK25+AK26+AK27</f>
        <v>542.179098556811</v>
      </c>
      <c r="AL28" s="11" t="n">
        <f aca="false">AL22+AL23+AL24+AL25+AL26+AL27</f>
        <v>520.085611912633</v>
      </c>
      <c r="AM28" s="11" t="n">
        <f aca="false">AM22+AM23+AM24+AM25+AM26+AM27</f>
        <v>500.520409420917</v>
      </c>
      <c r="AN28" s="11" t="n">
        <f aca="false">AN22+AN23+AN24+AN25+AN26+AN27</f>
        <v>485.902402058952</v>
      </c>
      <c r="AO28" s="11" t="n">
        <f aca="false">AO22+AO23+AO24+AO25+AO26+AO27</f>
        <v>453.870977856572</v>
      </c>
      <c r="AP28" s="11" t="n">
        <f aca="false">AP22+AP23+AP24+AP25+AP26+AP27</f>
        <v>438.673501902638</v>
      </c>
      <c r="AQ28" s="11" t="n">
        <f aca="false">AQ22+AQ23+AQ24+AQ25+AQ26+AQ27</f>
        <v>425.741912710325</v>
      </c>
      <c r="AR28" s="11" t="n">
        <f aca="false">AR22+AR23+AR24+AR25+AR26+AR27</f>
        <v>410.891223263696</v>
      </c>
      <c r="AS28" s="11" t="n">
        <f aca="false">AS22+AS23+AS24+AS25+AS26+AS27</f>
        <v>397.127404878861</v>
      </c>
      <c r="AT28" s="11" t="n">
        <f aca="false">AT22+AT23+AT24+AT25+AT26+AT27</f>
        <v>364.632619089763</v>
      </c>
      <c r="AU28" s="11" t="n">
        <f aca="false">AU22+AU23+AU24+AU25+AU26+AU27</f>
        <v>350.040205395812</v>
      </c>
      <c r="AV28" s="11" t="n">
        <f aca="false">AV22+AV23+AV24+AV25+AV26+AV27</f>
        <v>334.301222968585</v>
      </c>
      <c r="AW28" s="11" t="n">
        <f aca="false">AW22+AW23+AW24+AW25+AW26+AW27</f>
        <v>319.505793421256</v>
      </c>
      <c r="AX28" s="11" t="n">
        <f aca="false">AX22+AX23+AX24+AX25+AX26+AX27</f>
        <v>302.497880658205</v>
      </c>
      <c r="AY28" s="11" t="n">
        <f aca="false">AY22+AY23+AY24+AY25+AY26+AY27</f>
        <v>287.91188507689</v>
      </c>
      <c r="AZ28" s="11" t="n">
        <f aca="false">AZ22+AZ23+AZ24+AZ25+AZ26+AZ27</f>
        <v>271.278455161614</v>
      </c>
      <c r="BA28" s="11" t="n">
        <f aca="false">BA22+BA23+BA24+BA25+BA26+BA27</f>
        <v>256.50291671023</v>
      </c>
      <c r="BB28" s="11" t="n">
        <f aca="false">BB22+BB23+BB24+BB25+BB26+BB27</f>
        <v>236.607487737643</v>
      </c>
      <c r="BC28" s="11" t="n">
        <f aca="false">BC22+BC23+BC24+BC25+BC26+BC27</f>
        <v>223.238299264536</v>
      </c>
      <c r="BD28" s="11" t="n">
        <f aca="false">BD22+BD23+BD24+BD25+BD26+BD27</f>
        <v>210.852345573888</v>
      </c>
      <c r="BE28" s="11" t="n">
        <f aca="false">BE22+BE23+BE24+BE25+BE26+BE27</f>
        <v>199.908057974167</v>
      </c>
      <c r="BF28" s="11" t="n">
        <f aca="false">BF22+BF23+BF24+BF25+BF26+BF27</f>
        <v>186.616434975021</v>
      </c>
      <c r="BG28" s="11" t="n">
        <f aca="false">BG22+BG23+BG24+BG25+BG26+BG27</f>
        <v>175.932440466203</v>
      </c>
      <c r="BH28" s="11" t="n">
        <f aca="false">BH22+BH23+BH24+BH25+BH26+BH27</f>
        <v>163.079686108915</v>
      </c>
      <c r="BI28" s="11" t="n">
        <f aca="false">BI22+BI23+BI24+BI25+BI26+BI27</f>
        <v>151.46845531569</v>
      </c>
      <c r="BJ28" s="11" t="n">
        <f aca="false">BJ22+BJ23+BJ24+BJ25+BJ26+BJ27</f>
        <v>117.693838157125</v>
      </c>
      <c r="BK28" s="11" t="n">
        <f aca="false">BK22+BK23+BK24+BK25+BK26+BK27</f>
        <v>105.065764611201</v>
      </c>
      <c r="BL28" s="11" t="n">
        <f aca="false">BL22+BL23+BL24+BL25+BL26+BL27</f>
        <v>90.5042854768517</v>
      </c>
      <c r="BM28" s="11" t="n">
        <f aca="false">BM22+BM23+BM24+BM25+BM26+BM27</f>
        <v>0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0.0352818865061036</v>
      </c>
      <c r="AC7" s="14" t="n">
        <f aca="false">IF(Debt!AC122&gt;0.000000001,Debt!AC119/Debt!AC122,0)</f>
        <v>0.0347904933490352</v>
      </c>
      <c r="AD7" s="14" t="n">
        <f aca="false">IF(Debt!AD122&gt;0.000000001,Debt!AD119/Debt!AD122,0)</f>
        <v>0.0347866183018009</v>
      </c>
      <c r="AE7" s="14" t="n">
        <f aca="false">IF(Debt!AE122&gt;0.000000001,Debt!AE119/Debt!AE122,0)</f>
        <v>0.034089582981237</v>
      </c>
      <c r="AF7" s="14" t="n">
        <f aca="false">IF(Debt!AF122&gt;0.000000001,Debt!AF119/Debt!AF122,0)</f>
        <v>0.0340237943393465</v>
      </c>
      <c r="AG7" s="14" t="n">
        <f aca="false">IF(Debt!AG122&gt;0.000000001,Debt!AG119/Debt!AG122,0)</f>
        <v>0.033963065694785</v>
      </c>
      <c r="AH7" s="14" t="n">
        <f aca="false">IF(Debt!AH122&gt;0.000000001,Debt!AH119/Debt!AH122,0)</f>
        <v>0.0335360887867949</v>
      </c>
      <c r="AI7" s="14" t="n">
        <f aca="false">IF(Debt!AI122&gt;0.000000001,Debt!AI119/Debt!AI122,0)</f>
        <v>0.0321590099738479</v>
      </c>
      <c r="AJ7" s="14" t="n">
        <f aca="false">IF(Debt!AJ122&gt;0.000000001,Debt!AJ119/Debt!AJ122,0)</f>
        <v>0.0308958940516962</v>
      </c>
      <c r="AK7" s="14" t="n">
        <f aca="false">IF(Debt!AK122&gt;0.000000001,Debt!AK119/Debt!AK122,0)</f>
        <v>0.0281929968483184</v>
      </c>
      <c r="AL7" s="14" t="n">
        <f aca="false">IF(Debt!AL122&gt;0.000000001,Debt!AL119/Debt!AL122,0)</f>
        <v>0.0271445161301926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0.0352818865061036</v>
      </c>
      <c r="AC10" s="14" t="n">
        <f aca="false">IF(AC7&gt;0,AC7,$F$9)</f>
        <v>0.0347904933490352</v>
      </c>
      <c r="AD10" s="14" t="n">
        <f aca="false">IF(AD7&gt;0,AD7,$F$9)</f>
        <v>0.0347866183018009</v>
      </c>
      <c r="AE10" s="14" t="n">
        <f aca="false">IF(AE7&gt;0,AE7,$F$9)</f>
        <v>0.034089582981237</v>
      </c>
      <c r="AF10" s="14" t="n">
        <f aca="false">IF(AF7&gt;0,AF7,$F$9)</f>
        <v>0.0340237943393465</v>
      </c>
      <c r="AG10" s="14" t="n">
        <f aca="false">IF(AG7&gt;0,AG7,$F$9)</f>
        <v>0.033963065694785</v>
      </c>
      <c r="AH10" s="14" t="n">
        <f aca="false">IF(AH7&gt;0,AH7,$F$9)</f>
        <v>0.0335360887867949</v>
      </c>
      <c r="AI10" s="14" t="n">
        <f aca="false">IF(AI7&gt;0,AI7,$F$9)</f>
        <v>0.0321590099738479</v>
      </c>
      <c r="AJ10" s="14" t="n">
        <f aca="false">IF(AJ7&gt;0,AJ7,$F$9)</f>
        <v>0.0308958940516962</v>
      </c>
      <c r="AK10" s="14" t="n">
        <f aca="false">IF(AK7&gt;0,AK7,$F$9)</f>
        <v>0.0281929968483184</v>
      </c>
      <c r="AL10" s="14" t="n">
        <f aca="false">IF(AL7&gt;0,AL7,$F$9)</f>
        <v>0.0271445161301926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723.201328585832</v>
      </c>
      <c r="K11" s="11" t="n">
        <f aca="false">IF(Time!K17&lt;=$F$8,(Waterfall!K7+L11)/(1+K10),0)</f>
        <v>742.736396216101</v>
      </c>
      <c r="L11" s="11" t="n">
        <f aca="false">IF(Time!L17&lt;=$F$8,(Waterfall!L7+M11)/(1+L10),0)</f>
        <v>762.79914383289</v>
      </c>
      <c r="M11" s="11" t="n">
        <f aca="false">IF(Time!M17&lt;=$F$8,(Waterfall!M7+N11)/(1+M10),0)</f>
        <v>783.403825093951</v>
      </c>
      <c r="N11" s="11" t="n">
        <f aca="false">IF(Time!N17&lt;=$F$8,(Waterfall!N7+O11)/(1+N10),0)</f>
        <v>804.565078675921</v>
      </c>
      <c r="O11" s="11" t="n">
        <f aca="false">IF(Time!O17&lt;=$F$8,(Waterfall!O7+P11)/(1+O10),0)</f>
        <v>826.297938674424</v>
      </c>
      <c r="P11" s="11" t="n">
        <f aca="false">IF(Time!P17&lt;=$F$8,(Waterfall!P7+Q11)/(1+P10),0)</f>
        <v>846.914623340654</v>
      </c>
      <c r="Q11" s="11" t="n">
        <f aca="false">IF(Time!Q17&lt;=$F$8,(Waterfall!Q7+R11)/(1+Q10),0)</f>
        <v>826.737134030958</v>
      </c>
      <c r="R11" s="11" t="n">
        <f aca="false">IF(Time!R17&lt;=$F$8,(Waterfall!R7+S11)/(1+R10),0)</f>
        <v>805.709716085494</v>
      </c>
      <c r="S11" s="11" t="n">
        <f aca="false">IF(Time!S17&lt;=$F$8,(Waterfall!S7+T11)/(1+S10),0)</f>
        <v>783.649056455602</v>
      </c>
      <c r="T11" s="11" t="n">
        <f aca="false">IF(Time!T17&lt;=$F$8,(Waterfall!T7+U11)/(1+T10),0)</f>
        <v>760.949985135653</v>
      </c>
      <c r="U11" s="11" t="n">
        <f aca="false">IF(Time!U17&lt;=$F$8,(Waterfall!U7+V11)/(1+U10),0)</f>
        <v>737.211886269092</v>
      </c>
      <c r="V11" s="11" t="n">
        <f aca="false">IF(Time!V17&lt;=$F$8,(Waterfall!V7+W11)/(1+V10),0)</f>
        <v>712.726708902934</v>
      </c>
      <c r="W11" s="11" t="n">
        <f aca="false">IF(Time!W17&lt;=$F$8,(Waterfall!W7+X11)/(1+W10),0)</f>
        <v>686.627738754528</v>
      </c>
      <c r="X11" s="11" t="n">
        <f aca="false">IF(Time!X17&lt;=$F$8,(Waterfall!X7+Y11)/(1+X10),0)</f>
        <v>659.742320298646</v>
      </c>
      <c r="Y11" s="11" t="n">
        <f aca="false">IF(Time!Y17&lt;=$F$8,(Waterfall!Y7+Z11)/(1+Y10),0)</f>
        <v>633.683246617885</v>
      </c>
      <c r="Z11" s="11" t="n">
        <f aca="false">IF(Time!Z17&lt;=$F$8,(Waterfall!Z7+AA11)/(1+Z10),0)</f>
        <v>607.65418357115</v>
      </c>
      <c r="AA11" s="11" t="n">
        <f aca="false">IF(Time!AA17&lt;=$F$8,(Waterfall!AA7+AB11)/(1+AA10),0)</f>
        <v>580.558363523421</v>
      </c>
      <c r="AB11" s="11" t="n">
        <f aca="false">IF(Time!AB17&lt;=$F$8,(Waterfall!AB7+AC11)/(1+AB10),0)</f>
        <v>552.684464499827</v>
      </c>
      <c r="AC11" s="11" t="n">
        <f aca="false">IF(Time!AC17&lt;=$F$8,(Waterfall!AC7+AD11)/(1+AC10),0)</f>
        <v>523.378250517156</v>
      </c>
      <c r="AD11" s="11" t="n">
        <f aca="false">IF(Time!AD17&lt;=$F$8,(Waterfall!AD7+AE11)/(1+AD10),0)</f>
        <v>492.993227787256</v>
      </c>
      <c r="AE11" s="11" t="n">
        <f aca="false">IF(Time!AE17&lt;=$F$8,(Waterfall!AE7+AF11)/(1+AE10),0)</f>
        <v>459.654950081344</v>
      </c>
      <c r="AF11" s="11" t="n">
        <f aca="false">IF(Time!AF17&lt;=$F$8,(Waterfall!AF7+AG11)/(1+AF10),0)</f>
        <v>424.76079896569</v>
      </c>
      <c r="AG11" s="11" t="n">
        <f aca="false">IF(Time!AG17&lt;=$F$8,(Waterfall!AG7+AH11)/(1+AG10),0)</f>
        <v>388.507709949327</v>
      </c>
      <c r="AH11" s="11" t="n">
        <f aca="false">IF(Time!AH17&lt;=$F$8,(Waterfall!AH7+AI11)/(1+AH10),0)</f>
        <v>351.371588107525</v>
      </c>
      <c r="AI11" s="11" t="n">
        <f aca="false">IF(Time!AI17&lt;=$F$8,(Waterfall!AI7+AJ11)/(1+AI10),0)</f>
        <v>312.174530470795</v>
      </c>
      <c r="AJ11" s="11" t="n">
        <f aca="false">IF(Time!AJ17&lt;=$F$8,(Waterfall!AJ7+AK11)/(1+AJ10),0)</f>
        <v>271.647339370986</v>
      </c>
      <c r="AK11" s="11" t="n">
        <f aca="false">IF(Time!AK17&lt;=$F$8,(Waterfall!AK7+AL11)/(1+AK10),0)</f>
        <v>228.892604046342</v>
      </c>
      <c r="AL11" s="11" t="n">
        <f aca="false">IF(Time!AL17&lt;=$F$8,(Waterfall!AL7+AM11)/(1+AL10),0)</f>
        <v>184.444385991673</v>
      </c>
      <c r="AM11" s="11" t="n">
        <f aca="false">IF(Time!AM17&lt;=$F$8,(Waterfall!AM7+AN11)/(1+AM10),0)</f>
        <v>137.456996358285</v>
      </c>
      <c r="AN11" s="11" t="n">
        <f aca="false">IF(Time!AN17&lt;=$F$8,(Waterfall!AN7+AO11)/(1+AN10),0)</f>
        <v>89.5600266513636</v>
      </c>
      <c r="AO11" s="11" t="n">
        <f aca="false">IF(Time!AO17&lt;=$F$8,(Waterfall!AO7+AP11)/(1+AO10),0)</f>
        <v>42.2383734150535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985.261602482617</v>
      </c>
      <c r="K12" s="11" t="n">
        <f aca="false">IF(Time!K17&lt;=Time!$F$14,(Waterfall!K7+L12)/(1+K10),0)</f>
        <v>1011.87542532451</v>
      </c>
      <c r="L12" s="11" t="n">
        <f aca="false">IF(Time!L17&lt;=Time!$F$14,(Waterfall!L7+M12)/(1+L10),0)</f>
        <v>1039.20813903201</v>
      </c>
      <c r="M12" s="11" t="n">
        <f aca="false">IF(Time!M17&lt;=Time!$F$14,(Waterfall!M7+N12)/(1+M10),0)</f>
        <v>1067.27916223881</v>
      </c>
      <c r="N12" s="11" t="n">
        <f aca="false">IF(Time!N17&lt;=Time!$F$14,(Waterfall!N7+O12)/(1+N10),0)</f>
        <v>1096.10843811345</v>
      </c>
      <c r="O12" s="11" t="n">
        <f aca="false">IF(Time!O17&lt;=Time!$F$14,(Waterfall!O7+P12)/(1+O10),0)</f>
        <v>1125.7164485281</v>
      </c>
      <c r="P12" s="11" t="n">
        <f aca="false">IF(Time!P17&lt;=Time!$F$14,(Waterfall!P7+Q12)/(1+P10),0)</f>
        <v>1154.42100666545</v>
      </c>
      <c r="Q12" s="11" t="n">
        <f aca="false">IF(Time!Q17&lt;=Time!$F$14,(Waterfall!Q7+R12)/(1+Q10),0)</f>
        <v>1144.80822527929</v>
      </c>
      <c r="R12" s="11" t="n">
        <f aca="false">IF(Time!R17&lt;=Time!$F$14,(Waterfall!R7+S12)/(1+R10),0)</f>
        <v>1134.59918754683</v>
      </c>
      <c r="S12" s="11" t="n">
        <f aca="false">IF(Time!S17&lt;=Time!$F$14,(Waterfall!S7+T12)/(1+S10),0)</f>
        <v>1123.84601797689</v>
      </c>
      <c r="T12" s="11" t="n">
        <f aca="false">IF(Time!T17&lt;=Time!$F$14,(Waterfall!T7+U12)/(1+T10),0)</f>
        <v>1112.72202519673</v>
      </c>
      <c r="U12" s="11" t="n">
        <f aca="false">IF(Time!U17&lt;=Time!$F$14,(Waterfall!U7+V12)/(1+U10),0)</f>
        <v>1101.08249291079</v>
      </c>
      <c r="V12" s="11" t="n">
        <f aca="false">IF(Time!V17&lt;=Time!$F$14,(Waterfall!V7+W12)/(1+V10),0)</f>
        <v>1089.02258438366</v>
      </c>
      <c r="W12" s="11" t="n">
        <f aca="false">IF(Time!W17&lt;=Time!$F$14,(Waterfall!W7+X12)/(1+W10),0)</f>
        <v>1075.86563402376</v>
      </c>
      <c r="X12" s="11" t="n">
        <f aca="false">IF(Time!X17&lt;=Time!$F$14,(Waterfall!X7+Y12)/(1+X10),0)</f>
        <v>1062.22389413649</v>
      </c>
      <c r="Y12" s="11" t="n">
        <f aca="false">IF(Time!Y17&lt;=Time!$F$14,(Waterfall!Y7+Z12)/(1+Y10),0)</f>
        <v>1050.00745023865</v>
      </c>
      <c r="Z12" s="11" t="n">
        <f aca="false">IF(Time!Z17&lt;=Time!$F$14,(Waterfall!Z7+AA12)/(1+Z10),0)</f>
        <v>1038.58556233635</v>
      </c>
      <c r="AA12" s="11" t="n">
        <f aca="false">IF(Time!AA17&lt;=Time!$F$14,(Waterfall!AA7+AB12)/(1+AA10),0)</f>
        <v>1026.77583221678</v>
      </c>
      <c r="AB12" s="11" t="n">
        <f aca="false">IF(Time!AB17&lt;=Time!$F$14,(Waterfall!AB7+AC12)/(1+AB10),0)</f>
        <v>1014.55794516901</v>
      </c>
      <c r="AC12" s="11" t="n">
        <f aca="false">IF(Time!AC17&lt;=Time!$F$14,(Waterfall!AC7+AD12)/(1+AC10),0)</f>
        <v>1001.54749891148</v>
      </c>
      <c r="AD12" s="11" t="n">
        <f aca="false">IF(Time!AD17&lt;=Time!$F$14,(Waterfall!AD7+AE12)/(1+AD10),0)</f>
        <v>987.79822023756</v>
      </c>
      <c r="AE12" s="11" t="n">
        <f aca="false">IF(Time!AE17&lt;=Time!$F$14,(Waterfall!AE7+AF12)/(1+AE10),0)</f>
        <v>971.672534937842</v>
      </c>
      <c r="AF12" s="11" t="n">
        <f aca="false">IF(Time!AF17&lt;=Time!$F$14,(Waterfall!AF7+AG12)/(1+AF10),0)</f>
        <v>954.232849769006</v>
      </c>
      <c r="AG12" s="11" t="n">
        <f aca="false">IF(Time!AG17&lt;=Time!$F$14,(Waterfall!AG7+AH12)/(1+AG10),0)</f>
        <v>935.994408917607</v>
      </c>
      <c r="AH12" s="11" t="n">
        <f aca="false">IF(Time!AH17&lt;=Time!$F$14,(Waterfall!AH7+AI12)/(1+AH10),0)</f>
        <v>917.452613799886</v>
      </c>
      <c r="AI12" s="11" t="n">
        <f aca="false">IF(Time!AI17&lt;=Time!$F$14,(Waterfall!AI7+AJ12)/(1+AI10),0)</f>
        <v>897.239699701295</v>
      </c>
      <c r="AJ12" s="11" t="n">
        <f aca="false">IF(Time!AJ17&lt;=Time!$F$14,(Waterfall!AJ7+AK12)/(1+AJ10),0)</f>
        <v>875.52762521412</v>
      </c>
      <c r="AK12" s="11" t="n">
        <f aca="false">IF(Time!AK17&lt;=Time!$F$14,(Waterfall!AK7+AL12)/(1+AK10),0)</f>
        <v>851.430311220794</v>
      </c>
      <c r="AL12" s="11" t="n">
        <f aca="false">IF(Time!AL17&lt;=Time!$F$14,(Waterfall!AL7+AM12)/(1+AL10),0)</f>
        <v>824.533296782454</v>
      </c>
      <c r="AM12" s="11" t="n">
        <f aca="false">IF(Time!AM17&lt;=Time!$F$14,(Waterfall!AM7+AN12)/(1+AM10),0)</f>
        <v>794.920810912784</v>
      </c>
      <c r="AN12" s="11" t="n">
        <f aca="false">IF(Time!AN17&lt;=Time!$F$14,(Waterfall!AN7+AO12)/(1+AN10),0)</f>
        <v>764.783211348187</v>
      </c>
      <c r="AO12" s="11" t="n">
        <f aca="false">IF(Time!AO17&lt;=Time!$F$14,(Waterfall!AO7+AP12)/(1+AO10),0)</f>
        <v>735.79016474036</v>
      </c>
      <c r="AP12" s="11" t="n">
        <f aca="false">IF(Time!AP17&lt;=Time!$F$14,(Waterfall!AP7+AQ12)/(1+AP10),0)</f>
        <v>712.285967567941</v>
      </c>
      <c r="AQ12" s="11" t="n">
        <f aca="false">IF(Time!AQ17&lt;=Time!$F$14,(Waterfall!AQ7+AR12)/(1+AQ10),0)</f>
        <v>690.374015553488</v>
      </c>
      <c r="AR12" s="11" t="n">
        <f aca="false">IF(Time!AR17&lt;=Time!$F$14,(Waterfall!AR7+AS12)/(1+AR10),0)</f>
        <v>668.788931792809</v>
      </c>
      <c r="AS12" s="11" t="n">
        <f aca="false">IF(Time!AS17&lt;=Time!$F$14,(Waterfall!AS7+AT12)/(1+AS10),0)</f>
        <v>646.042081850578</v>
      </c>
      <c r="AT12" s="11" t="n">
        <f aca="false">IF(Time!AT17&lt;=Time!$F$14,(Waterfall!AT7+AU12)/(1+AT10),0)</f>
        <v>622.950458512446</v>
      </c>
      <c r="AU12" s="11" t="n">
        <f aca="false">IF(Time!AU17&lt;=Time!$F$14,(Waterfall!AU7+AV12)/(1+AU10),0)</f>
        <v>592.517525255124</v>
      </c>
      <c r="AV12" s="11" t="n">
        <f aca="false">IF(Time!AV17&lt;=Time!$F$14,(Waterfall!AV7+AW12)/(1+AV10),0)</f>
        <v>565.704094212971</v>
      </c>
      <c r="AW12" s="11" t="n">
        <f aca="false">IF(Time!AW17&lt;=Time!$F$14,(Waterfall!AW7+AX12)/(1+AW10),0)</f>
        <v>538.061317054998</v>
      </c>
      <c r="AX12" s="11" t="n">
        <f aca="false">IF(Time!AX17&lt;=Time!$F$14,(Waterfall!AX7+AY12)/(1+AX10),0)</f>
        <v>510.099431394325</v>
      </c>
      <c r="AY12" s="11" t="n">
        <f aca="false">IF(Time!AY17&lt;=Time!$F$14,(Waterfall!AY7+AZ12)/(1+AY10),0)</f>
        <v>480.726241986793</v>
      </c>
      <c r="AZ12" s="11" t="n">
        <f aca="false">IF(Time!AZ17&lt;=Time!$F$14,(Waterfall!AZ7+BA12)/(1+AZ10),0)</f>
        <v>451.019810206826</v>
      </c>
      <c r="BA12" s="11" t="n">
        <f aca="false">IF(Time!BA17&lt;=Time!$F$14,(Waterfall!BA7+BB12)/(1+BA10),0)</f>
        <v>419.912315503781</v>
      </c>
      <c r="BB12" s="11" t="n">
        <f aca="false">IF(Time!BB17&lt;=Time!$F$14,(Waterfall!BB7+BC12)/(1+BB10),0)</f>
        <v>388.266899067387</v>
      </c>
      <c r="BC12" s="11" t="n">
        <f aca="false">IF(Time!BC17&lt;=Time!$F$14,(Waterfall!BC7+BD12)/(1+BC10),0)</f>
        <v>353.536447912068</v>
      </c>
      <c r="BD12" s="11" t="n">
        <f aca="false">IF(Time!BD17&lt;=Time!$F$14,(Waterfall!BD7+BE12)/(1+BD10),0)</f>
        <v>321.271720810395</v>
      </c>
      <c r="BE12" s="11" t="n">
        <f aca="false">IF(Time!BE17&lt;=Time!$F$14,(Waterfall!BE7+BF12)/(1+BE10),0)</f>
        <v>294.254724275004</v>
      </c>
      <c r="BF12" s="11" t="n">
        <f aca="false">IF(Time!BF17&lt;=Time!$F$14,(Waterfall!BF7+BG12)/(1+BF10),0)</f>
        <v>266.944405668246</v>
      </c>
      <c r="BG12" s="11" t="n">
        <f aca="false">IF(Time!BG17&lt;=Time!$F$14,(Waterfall!BG7+BH12)/(1+BG10),0)</f>
        <v>238.212634830249</v>
      </c>
      <c r="BH12" s="11" t="n">
        <f aca="false">IF(Time!BH17&lt;=Time!$F$14,(Waterfall!BH7+BI12)/(1+BH10),0)</f>
        <v>209.17595312449</v>
      </c>
      <c r="BI12" s="11" t="n">
        <f aca="false">IF(Time!BI17&lt;=Time!$F$14,(Waterfall!BI7+BJ12)/(1+BI10),0)</f>
        <v>178.734776981429</v>
      </c>
      <c r="BJ12" s="11" t="n">
        <f aca="false">IF(Time!BJ17&lt;=Time!$F$14,(Waterfall!BJ7+BK12)/(1+BJ10),0)</f>
        <v>147.737562026909</v>
      </c>
      <c r="BK12" s="11" t="n">
        <f aca="false">IF(Time!BK17&lt;=Time!$F$14,(Waterfall!BK7+BL12)/(1+BK10),0)</f>
        <v>107.897711940823</v>
      </c>
      <c r="BL12" s="11" t="n">
        <f aca="false">IF(Time!BL17&lt;=Time!$F$14,(Waterfall!BL7+BM12)/(1+BL10),0)</f>
        <v>72.2365686257</v>
      </c>
      <c r="BM12" s="11" t="n">
        <f aca="false">IF(Time!BM17&lt;=Time!$F$14,(Waterfall!BM7+BN12)/(1+BM10),0)</f>
        <v>34.8859388012932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1.39621346331536</v>
      </c>
      <c r="Q13" s="6" t="n">
        <f aca="false">IF(Debt!Q122&gt;0.000000001,(Q11+Reserves!Q9)/Debt!Q122,0)</f>
        <v>1.39841588216296</v>
      </c>
      <c r="R13" s="6" t="n">
        <f aca="false">IF(Debt!R122&gt;0.000000001,(R11+Reserves!R9)/Debt!R122,0)</f>
        <v>1.40177039864902</v>
      </c>
      <c r="S13" s="6" t="n">
        <f aca="false">IF(Debt!S122&gt;0.000000001,(S11+Reserves!S9)/Debt!S122,0)</f>
        <v>1.40415571056752</v>
      </c>
      <c r="T13" s="6" t="n">
        <f aca="false">IF(Debt!T122&gt;0.000000001,(T11+Reserves!T9)/Debt!T122,0)</f>
        <v>1.40804645741098</v>
      </c>
      <c r="U13" s="6" t="n">
        <f aca="false">IF(Debt!U122&gt;0.000000001,(U11+Reserves!U9)/Debt!U122,0)</f>
        <v>1.41126495945784</v>
      </c>
      <c r="V13" s="6" t="n">
        <f aca="false">IF(Debt!V122&gt;0.000000001,(V11+Reserves!V9)/Debt!V122,0)</f>
        <v>1.41654127475396</v>
      </c>
      <c r="W13" s="6" t="n">
        <f aca="false">IF(Debt!W122&gt;0.000000001,(W11+Reserves!W9)/Debt!W122,0)</f>
        <v>1.42054612360495</v>
      </c>
      <c r="X13" s="6" t="n">
        <f aca="false">IF(Debt!X122&gt;0.000000001,(X11+Reserves!X9)/Debt!X122,0)</f>
        <v>1.42335723177741</v>
      </c>
      <c r="Y13" s="6" t="n">
        <f aca="false">IF(Debt!Y122&gt;0.000000001,(Y11+Reserves!Y9)/Debt!Y122,0)</f>
        <v>1.42801006489977</v>
      </c>
      <c r="Z13" s="6" t="n">
        <f aca="false">IF(Debt!Z122&gt;0.000000001,(Z11+Reserves!Z9)/Debt!Z122,0)</f>
        <v>1.4346392778255</v>
      </c>
      <c r="AA13" s="6" t="n">
        <f aca="false">IF(Debt!AA122&gt;0.000000001,(AA11+Reserves!AA9)/Debt!AA122,0)</f>
        <v>1.44080624211798</v>
      </c>
      <c r="AB13" s="6" t="n">
        <f aca="false">IF(Debt!AB122&gt;0.000000001,(AB11+Reserves!AB9)/Debt!AB122,0)</f>
        <v>1.46996333442225</v>
      </c>
      <c r="AC13" s="6" t="n">
        <f aca="false">IF(Debt!AC122&gt;0.000000001,(AC11+Reserves!AC9)/Debt!AC122,0)</f>
        <v>1.50308408326507</v>
      </c>
      <c r="AD13" s="6" t="n">
        <f aca="false">IF(Debt!AD122&gt;0.000000001,(AD11+Reserves!AD9)/Debt!AD122,0)</f>
        <v>1.54252954574485</v>
      </c>
      <c r="AE13" s="6" t="n">
        <f aca="false">IF(Debt!AE122&gt;0.000000001,(AE11+Reserves!AE9)/Debt!AE122,0)</f>
        <v>1.59041541109989</v>
      </c>
      <c r="AF13" s="6" t="n">
        <f aca="false">IF(Debt!AF122&gt;0.000000001,(AF11+Reserves!AF9)/Debt!AF122,0)</f>
        <v>1.64892172131101</v>
      </c>
      <c r="AG13" s="6" t="n">
        <f aca="false">IF(Debt!AG122&gt;0.000000001,(AG11+Reserves!AG9)/Debt!AG122,0)</f>
        <v>1.7221440492225</v>
      </c>
      <c r="AH13" s="6" t="n">
        <f aca="false">IF(Debt!AH122&gt;0.000000001,(AH11+Reserves!AH9)/Debt!AH122,0)</f>
        <v>1.81631005523901</v>
      </c>
      <c r="AI13" s="6" t="n">
        <f aca="false">IF(Debt!AI122&gt;0.000000001,(AI11+Reserves!AI9)/Debt!AI122,0)</f>
        <v>1.94548579657843</v>
      </c>
      <c r="AJ13" s="6" t="n">
        <f aca="false">IF(Debt!AJ122&gt;0.000000001,(AJ11+Reserves!AJ9)/Debt!AJ122,0)</f>
        <v>2.13152225774583</v>
      </c>
      <c r="AK13" s="6" t="n">
        <f aca="false">IF(Debt!AK122&gt;0.000000001,(AK11+Reserves!AK9)/Debt!AK122,0)</f>
        <v>2.4350905109137</v>
      </c>
      <c r="AL13" s="6" t="n">
        <f aca="false">IF(Debt!AL122&gt;0.000000001,(AL11+Reserves!AL9)/Debt!AL122,0)</f>
        <v>2.61524039063307</v>
      </c>
      <c r="AM13" s="6" t="n">
        <f aca="false">IF(Debt!AM122&gt;0.000000001,(AM11+Reserves!AM9)/Debt!AM122,0)</f>
        <v>2.75086126492687</v>
      </c>
      <c r="AN13" s="6" t="n">
        <f aca="false">IF(Debt!AN122&gt;0.000000001,(AN11+Reserves!AN9)/Debt!AN122,0)</f>
        <v>2.9739062204316</v>
      </c>
      <c r="AO13" s="6" t="n">
        <f aca="false">IF(Debt!AO122&gt;0.000000001,(AO11+Reserves!AO9)/Debt!AO122,0)</f>
        <v>3.32149650675384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1.33739697065586</v>
      </c>
      <c r="Q14" s="6" t="n">
        <f aca="false">IF(Debt!Q122&gt;0.000000001,Q11/Debt!Q122,0)</f>
        <v>1.33826851119694</v>
      </c>
      <c r="R14" s="6" t="n">
        <f aca="false">IF(Debt!R122&gt;0.000000001,R11/Debt!R122,0)</f>
        <v>1.3392313824958</v>
      </c>
      <c r="S14" s="6" t="n">
        <f aca="false">IF(Debt!S122&gt;0.000000001,S11/Debt!S122,0)</f>
        <v>1.34030320177614</v>
      </c>
      <c r="T14" s="6" t="n">
        <f aca="false">IF(Debt!T122&gt;0.000000001,T11/Debt!T122,0)</f>
        <v>1.34149407428399</v>
      </c>
      <c r="U14" s="6" t="n">
        <f aca="false">IF(Debt!U122&gt;0.000000001,U11/Debt!U122,0)</f>
        <v>1.34283001574205</v>
      </c>
      <c r="V14" s="6" t="n">
        <f aca="false">IF(Debt!V122&gt;0.000000001,V11/Debt!V122,0)</f>
        <v>1.34432374764689</v>
      </c>
      <c r="W14" s="6" t="n">
        <f aca="false">IF(Debt!W122&gt;0.000000001,W11/Debt!W122,0)</f>
        <v>1.34600851743646</v>
      </c>
      <c r="X14" s="6" t="n">
        <f aca="false">IF(Debt!X122&gt;0.000000001,X11/Debt!X122,0)</f>
        <v>1.3479124910017</v>
      </c>
      <c r="Y14" s="6" t="n">
        <f aca="false">IF(Debt!Y122&gt;0.000000001,Y11/Debt!Y122,0)</f>
        <v>1.3500949520163</v>
      </c>
      <c r="Z14" s="6" t="n">
        <f aca="false">IF(Debt!Z122&gt;0.000000001,Z11/Debt!Z122,0)</f>
        <v>1.35256789056251</v>
      </c>
      <c r="AA14" s="6" t="n">
        <f aca="false">IF(Debt!AA122&gt;0.000000001,AA11/Debt!AA122,0)</f>
        <v>1.35541704508409</v>
      </c>
      <c r="AB14" s="6" t="n">
        <f aca="false">IF(Debt!AB122&gt;0.000000001,AB11/Debt!AB122,0)</f>
        <v>1.37771877156239</v>
      </c>
      <c r="AC14" s="6" t="n">
        <f aca="false">IF(Debt!AC122&gt;0.000000001,AC11/Debt!AC122,0)</f>
        <v>1.40566336231076</v>
      </c>
      <c r="AD14" s="6" t="n">
        <f aca="false">IF(Debt!AD122&gt;0.000000001,AD11/Debt!AD122,0)</f>
        <v>1.43501810009497</v>
      </c>
      <c r="AE14" s="6" t="n">
        <f aca="false">IF(Debt!AE122&gt;0.000000001,AE11/Debt!AE122,0)</f>
        <v>1.47407842712493</v>
      </c>
      <c r="AF14" s="6" t="n">
        <f aca="false">IF(Debt!AF122&gt;0.000000001,AF11/Debt!AF122,0)</f>
        <v>1.52190400014586</v>
      </c>
      <c r="AG14" s="6" t="n">
        <f aca="false">IF(Debt!AG122&gt;0.000000001,AG11/Debt!AG122,0)</f>
        <v>1.58320173223258</v>
      </c>
      <c r="AH14" s="6" t="n">
        <f aca="false">IF(Debt!AH122&gt;0.000000001,AH11/Debt!AH122,0)</f>
        <v>1.6593661896965</v>
      </c>
      <c r="AI14" s="6" t="n">
        <f aca="false">IF(Debt!AI122&gt;0.000000001,AI11/Debt!AI122,0)</f>
        <v>1.76705231228072</v>
      </c>
      <c r="AJ14" s="6" t="n">
        <f aca="false">IF(Debt!AJ122&gt;0.000000001,AJ11/Debt!AJ122,0)</f>
        <v>1.9195651152617</v>
      </c>
      <c r="AK14" s="6" t="n">
        <f aca="false">IF(Debt!AK122&gt;0.000000001,AK11/Debt!AK122,0)</f>
        <v>2.17323326598222</v>
      </c>
      <c r="AL14" s="6" t="n">
        <f aca="false">IF(Debt!AL122&gt;0.000000001,AL11/Debt!AL122,0)</f>
        <v>2.30333591956309</v>
      </c>
      <c r="AM14" s="6" t="n">
        <f aca="false">IF(Debt!AM122&gt;0.000000001,AM11/Debt!AM122,0)</f>
        <v>2.34821985326026</v>
      </c>
      <c r="AN14" s="6" t="n">
        <f aca="false">IF(Debt!AN122&gt;0.000000001,AN11/Debt!AN122,0)</f>
        <v>2.45043805221193</v>
      </c>
      <c r="AO14" s="6" t="n">
        <f aca="false">IF(Debt!AO122&gt;0.000000001,AO11/Debt!AO122,0)</f>
        <v>2.29448457126906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1.82299267792292</v>
      </c>
      <c r="Q15" s="6" t="n">
        <f aca="false">IF(Debt!Q122&gt;0.000000001,Q12/Debt!Q122,0)</f>
        <v>1.85314138700966</v>
      </c>
      <c r="R15" s="6" t="n">
        <f aca="false">IF(Debt!R122&gt;0.000000001,R12/Debt!R122,0)</f>
        <v>1.88590358063364</v>
      </c>
      <c r="S15" s="6" t="n">
        <f aca="false">IF(Debt!S122&gt;0.000000001,S12/Debt!S122,0)</f>
        <v>1.92215431613058</v>
      </c>
      <c r="T15" s="6" t="n">
        <f aca="false">IF(Debt!T122&gt;0.000000001,T12/Debt!T122,0)</f>
        <v>1.96164009762166</v>
      </c>
      <c r="U15" s="6" t="n">
        <f aca="false">IF(Debt!U122&gt;0.000000001,U12/Debt!U122,0)</f>
        <v>2.00561961740941</v>
      </c>
      <c r="V15" s="6" t="n">
        <f aca="false">IF(Debt!V122&gt;0.000000001,V12/Debt!V122,0)</f>
        <v>2.05408174497095</v>
      </c>
      <c r="W15" s="6" t="n">
        <f aca="false">IF(Debt!W122&gt;0.000000001,W12/Debt!W122,0)</f>
        <v>2.10903845749068</v>
      </c>
      <c r="X15" s="6" t="n">
        <f aca="false">IF(Debt!X122&gt;0.000000001,X12/Debt!X122,0)</f>
        <v>2.17021829749972</v>
      </c>
      <c r="Y15" s="6" t="n">
        <f aca="false">IF(Debt!Y122&gt;0.000000001,Y12/Debt!Y122,0)</f>
        <v>2.23709521391455</v>
      </c>
      <c r="Z15" s="6" t="n">
        <f aca="false">IF(Debt!Z122&gt;0.000000001,Z12/Debt!Z122,0)</f>
        <v>2.3117712692477</v>
      </c>
      <c r="AA15" s="6" t="n">
        <f aca="false">IF(Debt!AA122&gt;0.000000001,AA12/Debt!AA122,0)</f>
        <v>2.39719131082828</v>
      </c>
      <c r="AB15" s="6" t="n">
        <f aca="false">IF(Debt!AB122&gt;0.000000001,AB12/Debt!AB122,0)</f>
        <v>2.52906606875965</v>
      </c>
      <c r="AC15" s="6" t="n">
        <f aca="false">IF(Debt!AC122&gt;0.000000001,AC12/Debt!AC122,0)</f>
        <v>2.68990662764978</v>
      </c>
      <c r="AD15" s="6" t="n">
        <f aca="false">IF(Debt!AD122&gt;0.000000001,AD12/Debt!AD122,0)</f>
        <v>2.87530993406303</v>
      </c>
      <c r="AE15" s="6" t="n">
        <f aca="false">IF(Debt!AE122&gt;0.000000001,AE12/Debt!AE122,0)</f>
        <v>3.11607983712173</v>
      </c>
      <c r="AF15" s="6" t="n">
        <f aca="false">IF(Debt!AF122&gt;0.000000001,AF12/Debt!AF122,0)</f>
        <v>3.41898497853456</v>
      </c>
      <c r="AG15" s="6" t="n">
        <f aca="false">IF(Debt!AG122&gt;0.000000001,AG12/Debt!AG122,0)</f>
        <v>3.81425627242159</v>
      </c>
      <c r="AH15" s="6" t="n">
        <f aca="false">IF(Debt!AH122&gt;0.000000001,AH12/Debt!AH122,0)</f>
        <v>4.33270617066039</v>
      </c>
      <c r="AI15" s="6" t="n">
        <f aca="false">IF(Debt!AI122&gt;0.000000001,AI12/Debt!AI122,0)</f>
        <v>5.07879192974572</v>
      </c>
      <c r="AJ15" s="6" t="n">
        <f aca="false">IF(Debt!AJ122&gt;0.000000001,AJ12/Debt!AJ122,0)</f>
        <v>6.18681666715579</v>
      </c>
      <c r="AK15" s="6" t="n">
        <f aca="false">IF(Debt!AK122&gt;0.000000001,AK12/Debt!AK122,0)</f>
        <v>8.08395135229445</v>
      </c>
      <c r="AL15" s="6" t="n">
        <f aca="false">IF(Debt!AL122&gt;0.000000001,AL12/Debt!AL122,0)</f>
        <v>10.2967468982251</v>
      </c>
      <c r="AM15" s="6" t="n">
        <f aca="false">IF(Debt!AM122&gt;0.000000001,AM12/Debt!AM122,0)</f>
        <v>13.5798750111611</v>
      </c>
      <c r="AN15" s="6" t="n">
        <f aca="false">IF(Debt!AN122&gt;0.000000001,AN12/Debt!AN122,0)</f>
        <v>20.9251152869314</v>
      </c>
      <c r="AO15" s="6" t="n">
        <f aca="false">IF(Debt!AO122&gt;0.000000001,AO12/Debt!AO122,0)</f>
        <v>39.9697962821312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e">
        <f aca="false">MIN(IF(Debt!$J$121:$BN$121&gt;0.000000001,Waterfall!$J$17:$BN$17,999))</f>
        <v>#VALUE!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e">
        <f aca="false">SUM(Waterfall!$J$7:$BN$7*(Debt!$J$121:$BN$121&gt;0.000000001))/SUM(Debt!$J$121:$BN$121)</f>
        <v>#VALUE!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1.39621346331536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1.82299267792292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1130.42556785571</v>
      </c>
      <c r="J8" s="11" t="n">
        <f aca="false">-Inputs!$F$66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13.8203448751002</v>
      </c>
      <c r="BS8" s="16" t="n">
        <f aca="false">Waterfall!Q44</f>
        <v>11.5219964159591</v>
      </c>
      <c r="BT8" s="16" t="n">
        <f aca="false">Waterfall!R44</f>
        <v>12.4283086955183</v>
      </c>
      <c r="BU8" s="16" t="n">
        <f aca="false">Waterfall!S44</f>
        <v>11.6112291766713</v>
      </c>
      <c r="BV8" s="16" t="n">
        <f aca="false">Waterfall!T44</f>
        <v>12.3389121190739</v>
      </c>
      <c r="BW8" s="16" t="n">
        <f aca="false">Waterfall!U44</f>
        <v>11.3711945445318</v>
      </c>
      <c r="BX8" s="16" t="n">
        <f aca="false">Waterfall!V44</f>
        <v>12.5886958837596</v>
      </c>
      <c r="BY8" s="16" t="n">
        <f aca="false">Waterfall!W44</f>
        <v>13.3208837852162</v>
      </c>
      <c r="BZ8" s="16" t="n">
        <f aca="false">Waterfall!X44</f>
        <v>12.1793320551556</v>
      </c>
      <c r="CA8" s="16" t="n">
        <f aca="false">Waterfall!Y44</f>
        <v>11.3911470665381</v>
      </c>
      <c r="CB8" s="16" t="n">
        <f aca="false">Waterfall!Z44</f>
        <v>12.0763717067075</v>
      </c>
      <c r="CC8" s="16" t="n">
        <f aca="false">Waterfall!AA44</f>
        <v>5.61932739589651</v>
      </c>
      <c r="CD8" s="16" t="n">
        <f aca="false">Waterfall!AB44</f>
        <v>6.56016162692373</v>
      </c>
      <c r="CE8" s="16" t="n">
        <f aca="false">Waterfall!AC44</f>
        <v>6.18758734356492</v>
      </c>
      <c r="CF8" s="16" t="n">
        <f aca="false">Waterfall!AD44</f>
        <v>7.4756244853783</v>
      </c>
      <c r="CG8" s="16" t="n">
        <f aca="false">Waterfall!AE44</f>
        <v>8.03297406816327</v>
      </c>
      <c r="CH8" s="16" t="n">
        <f aca="false">Waterfall!AF44</f>
        <v>8.85934137501908</v>
      </c>
      <c r="CI8" s="16" t="n">
        <f aca="false">Waterfall!AG44</f>
        <v>9.21613508858781</v>
      </c>
      <c r="CJ8" s="16" t="n">
        <f aca="false">Waterfall!AH44</f>
        <v>10.5030891678893</v>
      </c>
      <c r="CK8" s="16" t="n">
        <f aca="false">Waterfall!AI44</f>
        <v>11.2637669765511</v>
      </c>
      <c r="CL8" s="16" t="n">
        <f aca="false">Waterfall!AJ44</f>
        <v>12.999172585913</v>
      </c>
      <c r="CM8" s="16" t="n">
        <f aca="false">Waterfall!AK44</f>
        <v>25.2888703553279</v>
      </c>
      <c r="CN8" s="16" t="n">
        <f aca="false">Waterfall!AL44</f>
        <v>29.6871069504077</v>
      </c>
      <c r="CO8" s="16" t="n">
        <f aca="false">Waterfall!AM44</f>
        <v>32.4779319696195</v>
      </c>
      <c r="CP8" s="16" t="n">
        <f aca="false">Waterfall!AN44</f>
        <v>30.8468090767604</v>
      </c>
      <c r="CQ8" s="16" t="n">
        <f aca="false">Waterfall!AO44</f>
        <v>43.3793136327231</v>
      </c>
      <c r="CR8" s="16" t="n">
        <f aca="false">Waterfall!AP44</f>
        <v>41.1521746171139</v>
      </c>
      <c r="CS8" s="16" t="n">
        <f aca="false">Waterfall!AQ44</f>
        <v>40.2334221291795</v>
      </c>
      <c r="CT8" s="16" t="n">
        <f aca="false">Waterfall!AR44</f>
        <v>40.812133420755</v>
      </c>
      <c r="CU8" s="16" t="n">
        <f aca="false">Waterfall!AS44</f>
        <v>40.5424703735348</v>
      </c>
      <c r="CV8" s="16" t="n">
        <f aca="false">Waterfall!AT44</f>
        <v>47.260030852876</v>
      </c>
      <c r="CW8" s="16" t="n">
        <f aca="false">Waterfall!AU44</f>
        <v>42.8184762079473</v>
      </c>
      <c r="CX8" s="16" t="n">
        <f aca="false">Waterfall!AV44</f>
        <v>42.9235396543305</v>
      </c>
      <c r="CY8" s="16" t="n">
        <f aca="false">Waterfall!AW44</f>
        <v>42.4959632438198</v>
      </c>
      <c r="CZ8" s="16" t="n">
        <f aca="false">Waterfall!AX44</f>
        <v>43.1519623391802</v>
      </c>
      <c r="DA8" s="16" t="n">
        <f aca="false">Waterfall!AY44</f>
        <v>42.691778014356</v>
      </c>
      <c r="DB8" s="16" t="n">
        <f aca="false">Waterfall!AZ44</f>
        <v>43.29041271871</v>
      </c>
      <c r="DC8" s="16" t="n">
        <f aca="false">Waterfall!BA44</f>
        <v>42.49309242544</v>
      </c>
      <c r="DD8" s="16" t="n">
        <f aca="false">Waterfall!BB44</f>
        <v>43.7171413291587</v>
      </c>
      <c r="DE8" s="16" t="n">
        <f aca="false">Waterfall!BC44</f>
        <v>40.2968577508507</v>
      </c>
      <c r="DF8" s="16" t="n">
        <f aca="false">Waterfall!BD44</f>
        <v>34.16099197076</v>
      </c>
      <c r="DG8" s="16" t="n">
        <f aca="false">Waterfall!BE44</f>
        <v>33.707748554011</v>
      </c>
      <c r="DH8" s="16" t="n">
        <f aca="false">Waterfall!BF44</f>
        <v>34.3745284793592</v>
      </c>
      <c r="DI8" s="16" t="n">
        <f aca="false">Waterfall!BG44</f>
        <v>33.8861852355174</v>
      </c>
      <c r="DJ8" s="16" t="n">
        <f aca="false">Waterfall!BH44</f>
        <v>34.4890016679586</v>
      </c>
      <c r="DK8" s="16" t="n">
        <f aca="false">Waterfall!BI44</f>
        <v>34.2052346478264</v>
      </c>
      <c r="DL8" s="16" t="n">
        <f aca="false">Waterfall!BJ44</f>
        <v>42.1928524741974</v>
      </c>
      <c r="DM8" s="16" t="n">
        <f aca="false">Waterfall!BK44</f>
        <v>36.9200778210503</v>
      </c>
      <c r="DN8" s="16" t="n">
        <f aca="false">Waterfall!BL44</f>
        <v>37.6281753973958</v>
      </c>
      <c r="DO8" s="16" t="n">
        <f aca="false">Waterfall!BM44</f>
        <v>53.7694556914808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1551.62568435127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1.70322194445222</v>
      </c>
      <c r="BR9" s="16" t="n">
        <f aca="false">Waterfall!P7</f>
        <v>49.2741393857949</v>
      </c>
      <c r="BS9" s="16" t="n">
        <f aca="false">Waterfall!Q7</f>
        <v>49.146781503637</v>
      </c>
      <c r="BT9" s="16" t="n">
        <f aca="false">Waterfall!R7</f>
        <v>49.7616211880753</v>
      </c>
      <c r="BU9" s="16" t="n">
        <f aca="false">Waterfall!S7</f>
        <v>49.3624469584191</v>
      </c>
      <c r="BV9" s="16" t="n">
        <f aca="false">Waterfall!T7</f>
        <v>49.9096048739266</v>
      </c>
      <c r="BW9" s="16" t="n">
        <f aca="false">Waterfall!U7</f>
        <v>49.6591147796902</v>
      </c>
      <c r="BX9" s="16" t="n">
        <f aca="false">Waterfall!V7</f>
        <v>50.6119233096294</v>
      </c>
      <c r="BY9" s="16" t="n">
        <f aca="false">Waterfall!W7</f>
        <v>50.2476788598056</v>
      </c>
      <c r="BZ9" s="16" t="n">
        <f aca="false">Waterfall!X7</f>
        <v>48.7497240997007</v>
      </c>
      <c r="CA9" s="16" t="n">
        <f aca="false">Waterfall!Y7</f>
        <v>48.2625101750522</v>
      </c>
      <c r="CB9" s="16" t="n">
        <f aca="false">Waterfall!Z7</f>
        <v>48.6506590615619</v>
      </c>
      <c r="CC9" s="16" t="n">
        <f aca="false">Waterfall!AA7</f>
        <v>48.2434034237692</v>
      </c>
      <c r="CD9" s="16" t="n">
        <f aca="false">Waterfall!AB7</f>
        <v>48.8059645328406</v>
      </c>
      <c r="CE9" s="16" t="n">
        <f aca="false">Waterfall!AC7</f>
        <v>48.5936102735477</v>
      </c>
      <c r="CF9" s="16" t="n">
        <f aca="false">Waterfall!AD7</f>
        <v>50.4878449463201</v>
      </c>
      <c r="CG9" s="16" t="n">
        <f aca="false">Waterfall!AE7</f>
        <v>50.5635966791877</v>
      </c>
      <c r="CH9" s="16" t="n">
        <f aca="false">Waterfall!AF7</f>
        <v>50.7050630837884</v>
      </c>
      <c r="CI9" s="16" t="n">
        <f aca="false">Waterfall!AG7</f>
        <v>50.3310347177414</v>
      </c>
      <c r="CJ9" s="16" t="n">
        <f aca="false">Waterfall!AH7</f>
        <v>50.9806864126608</v>
      </c>
      <c r="CK9" s="16" t="n">
        <f aca="false">Waterfall!AI7</f>
        <v>50.5664149388007</v>
      </c>
      <c r="CL9" s="16" t="n">
        <f aca="false">Waterfall!AJ7</f>
        <v>51.1475227412747</v>
      </c>
      <c r="CM9" s="16" t="n">
        <f aca="false">Waterfall!AK7</f>
        <v>50.901386519151</v>
      </c>
      <c r="CN9" s="16" t="n">
        <f aca="false">Waterfall!AL7</f>
        <v>51.9940432440624</v>
      </c>
      <c r="CO9" s="16" t="n">
        <f aca="false">Waterfall!AM7</f>
        <v>51.6099492244837</v>
      </c>
      <c r="CP9" s="16" t="n">
        <f aca="false">Waterfall!AN7</f>
        <v>49.7527168243686</v>
      </c>
      <c r="CQ9" s="16" t="n">
        <f aca="false">Waterfall!AO7</f>
        <v>43.3793136327231</v>
      </c>
      <c r="CR9" s="16" t="n">
        <f aca="false">Waterfall!AP7</f>
        <v>41.1521746171139</v>
      </c>
      <c r="CS9" s="16" t="n">
        <f aca="false">Waterfall!AQ7</f>
        <v>40.2334221291795</v>
      </c>
      <c r="CT9" s="16" t="n">
        <f aca="false">Waterfall!AR7</f>
        <v>40.812133420755</v>
      </c>
      <c r="CU9" s="16" t="n">
        <f aca="false">Waterfall!AS7</f>
        <v>40.5424703735348</v>
      </c>
      <c r="CV9" s="16" t="n">
        <f aca="false">Waterfall!AT7</f>
        <v>47.260030852876</v>
      </c>
      <c r="CW9" s="16" t="n">
        <f aca="false">Waterfall!AU7</f>
        <v>42.8184762079473</v>
      </c>
      <c r="CX9" s="16" t="n">
        <f aca="false">Waterfall!AV7</f>
        <v>42.9235396543305</v>
      </c>
      <c r="CY9" s="16" t="n">
        <f aca="false">Waterfall!AW7</f>
        <v>42.4959632438198</v>
      </c>
      <c r="CZ9" s="16" t="n">
        <f aca="false">Waterfall!AX7</f>
        <v>43.1519623391802</v>
      </c>
      <c r="DA9" s="16" t="n">
        <f aca="false">Waterfall!AY7</f>
        <v>42.691778014356</v>
      </c>
      <c r="DB9" s="16" t="n">
        <f aca="false">Waterfall!AZ7</f>
        <v>43.29041271871</v>
      </c>
      <c r="DC9" s="16" t="n">
        <f aca="false">Waterfall!BA7</f>
        <v>42.9880608120487</v>
      </c>
      <c r="DD9" s="16" t="n">
        <f aca="false">Waterfall!BB7</f>
        <v>45.2182915838031</v>
      </c>
      <c r="DE9" s="16" t="n">
        <f aca="false">Waterfall!BC7</f>
        <v>41.8144308241929</v>
      </c>
      <c r="DF9" s="16" t="n">
        <f aca="false">Waterfall!BD7</f>
        <v>35.6951675310066</v>
      </c>
      <c r="DG9" s="16" t="n">
        <f aca="false">Waterfall!BE7</f>
        <v>35.2587082349667</v>
      </c>
      <c r="DH9" s="16" t="n">
        <f aca="false">Waterfall!BF7</f>
        <v>35.9424559019312</v>
      </c>
      <c r="DI9" s="16" t="n">
        <f aca="false">Waterfall!BG7</f>
        <v>35.4712660294542</v>
      </c>
      <c r="DJ9" s="16" t="n">
        <f aca="false">Waterfall!BH7</f>
        <v>36.0914234938272</v>
      </c>
      <c r="DK9" s="16" t="n">
        <f aca="false">Waterfall!BI7</f>
        <v>35.8251872192298</v>
      </c>
      <c r="DL9" s="16" t="n">
        <f aca="false">Waterfall!BJ7</f>
        <v>43.8305275802351</v>
      </c>
      <c r="DM9" s="16" t="n">
        <f aca="false">Waterfall!BK7</f>
        <v>38.5756693490245</v>
      </c>
      <c r="DN9" s="16" t="n">
        <f aca="false">Waterfall!BL7</f>
        <v>39.3018793557663</v>
      </c>
      <c r="DO9" s="16" t="n">
        <f aca="false">Waterfall!BM7</f>
        <v>35.8282755295198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1845.79649970451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1.70322194445222</v>
      </c>
      <c r="BR10" s="11" t="n">
        <f aca="false">Waterfall!P7+Tax!P27</f>
        <v>49.2741393857949</v>
      </c>
      <c r="BS10" s="11" t="n">
        <f aca="false">Waterfall!Q7+Tax!Q27</f>
        <v>49.146781503637</v>
      </c>
      <c r="BT10" s="11" t="n">
        <f aca="false">Waterfall!R7+Tax!R27</f>
        <v>49.7616211880753</v>
      </c>
      <c r="BU10" s="11" t="n">
        <f aca="false">Waterfall!S7+Tax!S27</f>
        <v>49.3624469584191</v>
      </c>
      <c r="BV10" s="11" t="n">
        <f aca="false">Waterfall!T7+Tax!T27</f>
        <v>49.9096048739266</v>
      </c>
      <c r="BW10" s="11" t="n">
        <f aca="false">Waterfall!U7+Tax!U27</f>
        <v>49.6591147796902</v>
      </c>
      <c r="BX10" s="11" t="n">
        <f aca="false">Waterfall!V7+Tax!V27</f>
        <v>50.6119233096294</v>
      </c>
      <c r="BY10" s="11" t="n">
        <f aca="false">Waterfall!W7+Tax!W27</f>
        <v>50.2476788598056</v>
      </c>
      <c r="BZ10" s="11" t="n">
        <f aca="false">Waterfall!X7+Tax!X27</f>
        <v>48.7497240997007</v>
      </c>
      <c r="CA10" s="11" t="n">
        <f aca="false">Waterfall!Y7+Tax!Y27</f>
        <v>48.3805560109725</v>
      </c>
      <c r="CB10" s="11" t="n">
        <f aca="false">Waterfall!Z7+Tax!Z27</f>
        <v>49.0061505962356</v>
      </c>
      <c r="CC10" s="11" t="n">
        <f aca="false">Waterfall!AA7+Tax!AA27</f>
        <v>48.6006699843752</v>
      </c>
      <c r="CD10" s="11" t="n">
        <f aca="false">Waterfall!AB7+Tax!AB27</f>
        <v>49.165164217672</v>
      </c>
      <c r="CE10" s="11" t="n">
        <f aca="false">Waterfall!AC7+Tax!AC27</f>
        <v>48.9536996740275</v>
      </c>
      <c r="CF10" s="11" t="n">
        <f aca="false">Waterfall!AD7+Tax!AD27</f>
        <v>50.8434271362621</v>
      </c>
      <c r="CG10" s="11" t="n">
        <f aca="false">Waterfall!AE7+Tax!AE27</f>
        <v>50.9262759510027</v>
      </c>
      <c r="CH10" s="11" t="n">
        <f aca="false">Waterfall!AF7+Tax!AF27</f>
        <v>51.0710844026103</v>
      </c>
      <c r="CI10" s="11" t="n">
        <f aca="false">Waterfall!AG7+Tax!AG27</f>
        <v>50.6986625193562</v>
      </c>
      <c r="CJ10" s="11" t="n">
        <f aca="false">Waterfall!AH7+Tax!AH27</f>
        <v>51.3497901627577</v>
      </c>
      <c r="CK10" s="11" t="n">
        <f aca="false">Waterfall!AI7+Tax!AI27</f>
        <v>50.9374512293881</v>
      </c>
      <c r="CL10" s="11" t="n">
        <f aca="false">Waterfall!AJ7+Tax!AJ27</f>
        <v>51.5206630860617</v>
      </c>
      <c r="CM10" s="11" t="n">
        <f aca="false">Waterfall!AK7+Tax!AK27</f>
        <v>51.275818125848</v>
      </c>
      <c r="CN10" s="11" t="n">
        <f aca="false">Waterfall!AL7+Tax!AL27</f>
        <v>52.3692328796693</v>
      </c>
      <c r="CO10" s="11" t="n">
        <f aca="false">Waterfall!AM7+Tax!AM27</f>
        <v>51.987536907673</v>
      </c>
      <c r="CP10" s="11" t="n">
        <f aca="false">Waterfall!AN7+Tax!AN27</f>
        <v>50.1332865466365</v>
      </c>
      <c r="CQ10" s="11" t="n">
        <f aca="false">Waterfall!AO7+Tax!AO27</f>
        <v>49.755515737576</v>
      </c>
      <c r="CR10" s="11" t="n">
        <f aca="false">Waterfall!AP7+Tax!AP27</f>
        <v>50.4343796383651</v>
      </c>
      <c r="CS10" s="11" t="n">
        <f aca="false">Waterfall!AQ7+Tax!AQ27</f>
        <v>50.0145817322316</v>
      </c>
      <c r="CT10" s="11" t="n">
        <f aca="false">Waterfall!AR7+Tax!AR27</f>
        <v>50.618004267933</v>
      </c>
      <c r="CU10" s="11" t="n">
        <f aca="false">Waterfall!AS7+Tax!AS27</f>
        <v>50.4208878117553</v>
      </c>
      <c r="CV10" s="11" t="n">
        <f aca="false">Waterfall!AT7+Tax!AT27</f>
        <v>52.7159730594912</v>
      </c>
      <c r="CW10" s="11" t="n">
        <f aca="false">Waterfall!AU7+Tax!AU27</f>
        <v>52.8098205530325</v>
      </c>
      <c r="CX10" s="11" t="n">
        <f aca="false">Waterfall!AV7+Tax!AV27</f>
        <v>52.8800521342354</v>
      </c>
      <c r="CY10" s="11" t="n">
        <f aca="false">Waterfall!AW7+Tax!AW27</f>
        <v>52.4972662985684</v>
      </c>
      <c r="CZ10" s="11" t="n">
        <f aca="false">Waterfall!AX7+Tax!AX27</f>
        <v>53.2062616096406</v>
      </c>
      <c r="DA10" s="11" t="n">
        <f aca="false">Waterfall!AY7+Tax!AY27</f>
        <v>52.7783510504307</v>
      </c>
      <c r="DB10" s="11" t="n">
        <f aca="false">Waterfall!AZ7+Tax!AZ27</f>
        <v>53.4035982380506</v>
      </c>
      <c r="DC10" s="11" t="n">
        <f aca="false">Waterfall!BA7+Tax!BA27</f>
        <v>53.1657197135529</v>
      </c>
      <c r="DD10" s="11" t="n">
        <f aca="false">Waterfall!BB7+Tax!BB27</f>
        <v>54.4265709576172</v>
      </c>
      <c r="DE10" s="11" t="n">
        <f aca="false">Waterfall!BC7+Tax!BC27</f>
        <v>54.0241264419635</v>
      </c>
      <c r="DF10" s="11" t="n">
        <f aca="false">Waterfall!BD7+Tax!BD27</f>
        <v>51.7444395517508</v>
      </c>
      <c r="DG10" s="11" t="n">
        <f aca="false">Waterfall!BE7+Tax!BE27</f>
        <v>51.3563632583698</v>
      </c>
      <c r="DH10" s="11" t="n">
        <f aca="false">Waterfall!BF7+Tax!BF27</f>
        <v>52.0980939349361</v>
      </c>
      <c r="DI10" s="11" t="n">
        <f aca="false">Waterfall!BG7+Tax!BG27</f>
        <v>51.6613593129613</v>
      </c>
      <c r="DJ10" s="11" t="n">
        <f aca="false">Waterfall!BH7+Tax!BH27</f>
        <v>52.3101759708944</v>
      </c>
      <c r="DK10" s="11" t="n">
        <f aca="false">Waterfall!BI7+Tax!BI27</f>
        <v>52.1305749139169</v>
      </c>
      <c r="DL10" s="11" t="n">
        <f aca="false">Waterfall!BJ7+Tax!BJ27</f>
        <v>54.908631469162</v>
      </c>
      <c r="DM10" s="11" t="n">
        <f aca="false">Waterfall!BK7+Tax!BK27</f>
        <v>55.0155760397678</v>
      </c>
      <c r="DN10" s="11" t="n">
        <f aca="false">Waterfall!BL7+Tax!BL27</f>
        <v>55.6969088611541</v>
      </c>
      <c r="DO10" s="11" t="n">
        <f aca="false">Waterfall!BM7+Tax!BM27</f>
        <v>41.0675408134719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-208.013422708957</v>
      </c>
      <c r="BS11" s="11" t="n">
        <f aca="false">BR11+BS8</f>
        <v>-196.491426292998</v>
      </c>
      <c r="BT11" s="11" t="n">
        <f aca="false">BS11+BT8</f>
        <v>-184.06311759748</v>
      </c>
      <c r="BU11" s="11" t="n">
        <f aca="false">BT11+BU8</f>
        <v>-172.451888420808</v>
      </c>
      <c r="BV11" s="11" t="n">
        <f aca="false">BU11+BV8</f>
        <v>-160.112976301734</v>
      </c>
      <c r="BW11" s="11" t="n">
        <f aca="false">BV11+BW8</f>
        <v>-148.741781757203</v>
      </c>
      <c r="BX11" s="11" t="n">
        <f aca="false">BW11+BX8</f>
        <v>-136.153085873443</v>
      </c>
      <c r="BY11" s="11" t="n">
        <f aca="false">BX11+BY8</f>
        <v>-122.832202088227</v>
      </c>
      <c r="BZ11" s="11" t="n">
        <f aca="false">BY11+BZ8</f>
        <v>-110.652870033071</v>
      </c>
      <c r="CA11" s="11" t="n">
        <f aca="false">BZ11+CA8</f>
        <v>-99.2617229665332</v>
      </c>
      <c r="CB11" s="11" t="n">
        <f aca="false">CA11+CB8</f>
        <v>-87.1853512598257</v>
      </c>
      <c r="CC11" s="11" t="n">
        <f aca="false">CB11+CC8</f>
        <v>-81.5660238639292</v>
      </c>
      <c r="CD11" s="11" t="n">
        <f aca="false">CC11+CD8</f>
        <v>-75.0058622370055</v>
      </c>
      <c r="CE11" s="11" t="n">
        <f aca="false">CD11+CE8</f>
        <v>-68.8182748934406</v>
      </c>
      <c r="CF11" s="11" t="n">
        <f aca="false">CE11+CF8</f>
        <v>-61.3426504080623</v>
      </c>
      <c r="CG11" s="11" t="n">
        <f aca="false">CF11+CG8</f>
        <v>-53.309676339899</v>
      </c>
      <c r="CH11" s="11" t="n">
        <f aca="false">CG11+CH8</f>
        <v>-44.4503349648799</v>
      </c>
      <c r="CI11" s="11" t="n">
        <f aca="false">CH11+CI8</f>
        <v>-35.2341998762921</v>
      </c>
      <c r="CJ11" s="11" t="n">
        <f aca="false">CI11+CJ8</f>
        <v>-24.7311107084028</v>
      </c>
      <c r="CK11" s="11" t="n">
        <f aca="false">CJ11+CK8</f>
        <v>-13.4673437318517</v>
      </c>
      <c r="CL11" s="11" t="n">
        <f aca="false">CK11+CL8</f>
        <v>-0.46817114593876</v>
      </c>
      <c r="CM11" s="11" t="n">
        <f aca="false">CL11+CM8</f>
        <v>24.8206992093891</v>
      </c>
      <c r="CN11" s="11" t="n">
        <f aca="false">CM11+CN8</f>
        <v>54.5078061597968</v>
      </c>
      <c r="CO11" s="11" t="n">
        <f aca="false">CN11+CO8</f>
        <v>86.9857381294163</v>
      </c>
      <c r="CP11" s="11" t="n">
        <f aca="false">CO11+CP8</f>
        <v>117.832547206177</v>
      </c>
      <c r="CQ11" s="11" t="n">
        <f aca="false">CP11+CQ8</f>
        <v>161.2118608389</v>
      </c>
      <c r="CR11" s="11" t="n">
        <f aca="false">CQ11+CR8</f>
        <v>202.364035456014</v>
      </c>
      <c r="CS11" s="11" t="n">
        <f aca="false">CR11+CS8</f>
        <v>242.597457585193</v>
      </c>
      <c r="CT11" s="11" t="n">
        <f aca="false">CS11+CT8</f>
        <v>283.409591005948</v>
      </c>
      <c r="CU11" s="11" t="n">
        <f aca="false">CT11+CU8</f>
        <v>323.952061379483</v>
      </c>
      <c r="CV11" s="11" t="n">
        <f aca="false">CU11+CV8</f>
        <v>371.212092232359</v>
      </c>
      <c r="CW11" s="11" t="n">
        <f aca="false">CV11+CW8</f>
        <v>414.030568440306</v>
      </c>
      <c r="CX11" s="11" t="n">
        <f aca="false">CW11+CX8</f>
        <v>456.954108094637</v>
      </c>
      <c r="CY11" s="11" t="n">
        <f aca="false">CX11+CY8</f>
        <v>499.450071338457</v>
      </c>
      <c r="CZ11" s="11" t="n">
        <f aca="false">CY11+CZ8</f>
        <v>542.602033677637</v>
      </c>
      <c r="DA11" s="11" t="n">
        <f aca="false">CZ11+DA8</f>
        <v>585.293811691993</v>
      </c>
      <c r="DB11" s="11" t="n">
        <f aca="false">DA11+DB8</f>
        <v>628.584224410703</v>
      </c>
      <c r="DC11" s="11" t="n">
        <f aca="false">DB11+DC8</f>
        <v>671.077316836143</v>
      </c>
      <c r="DD11" s="11" t="n">
        <f aca="false">DC11+DD8</f>
        <v>714.794458165302</v>
      </c>
      <c r="DE11" s="11" t="n">
        <f aca="false">DD11+DE8</f>
        <v>755.091315916152</v>
      </c>
      <c r="DF11" s="11" t="n">
        <f aca="false">DE11+DF8</f>
        <v>789.252307886912</v>
      </c>
      <c r="DG11" s="11" t="n">
        <f aca="false">DF11+DG8</f>
        <v>822.960056440923</v>
      </c>
      <c r="DH11" s="11" t="n">
        <f aca="false">DG11+DH8</f>
        <v>857.334584920282</v>
      </c>
      <c r="DI11" s="11" t="n">
        <f aca="false">DH11+DI8</f>
        <v>891.2207701558</v>
      </c>
      <c r="DJ11" s="11" t="n">
        <f aca="false">DI11+DJ8</f>
        <v>925.709771823758</v>
      </c>
      <c r="DK11" s="11" t="n">
        <f aca="false">DJ11+DK8</f>
        <v>959.915006471585</v>
      </c>
      <c r="DL11" s="11" t="n">
        <f aca="false">DK11+DL8</f>
        <v>1002.10785894578</v>
      </c>
      <c r="DM11" s="11" t="n">
        <f aca="false">DL11+DM8</f>
        <v>1039.02793676683</v>
      </c>
      <c r="DN11" s="11" t="n">
        <f aca="false">DM11+DN8</f>
        <v>1076.65611216423</v>
      </c>
      <c r="DO11" s="11" t="n">
        <f aca="false">DN11+DO8</f>
        <v>1130.42556785571</v>
      </c>
      <c r="DP11" s="11" t="n">
        <f aca="false">DO11+DP8</f>
        <v>1130.42556785571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0.127789379319677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0.10733810057655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0.113117763438359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-50.7974703672303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e">
        <f aca="false">Ratios!$F$16</f>
        <v>#VALUE!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e">
        <f aca="false">Ratios!$F$17</f>
        <v>#VALUE!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1.39621346331536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1.82299267792292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0.127789379319677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0.10733810057655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-50.7974703672303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2026-10-03T20:47:18Z</dcterms:created>
  <dc:creator>openpyxl</dc:creator>
  <dc:description/>
  <dc:language>en-US</dc:language>
  <cp:lastModifiedBy/>
  <dcterms:modified xsi:type="dcterms:W3CDTF">2026-10-03T20:47:18Z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