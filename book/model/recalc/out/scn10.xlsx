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<sst xmlns="http://schemas.openxmlformats.org/spreadsheetml/2006/main" count="2268" uniqueCount="840">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</sst>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10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0.4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90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1046.3851716069</v>
      </c>
      <c r="R11" s="11" t="n">
        <f aca="false">R10/(1-Inputs!$F$42*Time!R34)</f>
        <v>1073.17453979659</v>
      </c>
      <c r="S11" s="11" t="n">
        <f aca="false">S10/(1-Inputs!$F$42*Time!S34)</f>
        <v>1100.64976465501</v>
      </c>
      <c r="T11" s="11" t="n">
        <f aca="false">T10/(1-Inputs!$F$42*Time!T34)</f>
        <v>1128.82840536334</v>
      </c>
      <c r="U11" s="11" t="n">
        <f aca="false">U10/(1-Inputs!$F$42*Time!U34)</f>
        <v>1157.72847064984</v>
      </c>
      <c r="V11" s="11" t="n">
        <f aca="false">V10/(1-Inputs!$F$42*Time!V34)</f>
        <v>1187.36843029902</v>
      </c>
      <c r="W11" s="11" t="n">
        <f aca="false">W10/(1-Inputs!$F$42*Time!W34)</f>
        <v>1217.76722695555</v>
      </c>
      <c r="X11" s="11" t="n">
        <f aca="false">X10/(1-Inputs!$F$42*Time!X34)</f>
        <v>1248.94428823037</v>
      </c>
      <c r="Y11" s="11" t="n">
        <f aca="false">Y10/(1-Inputs!$F$42*Time!Y34)</f>
        <v>1280.91953911665</v>
      </c>
      <c r="Z11" s="11" t="n">
        <f aca="false">Z10/(1-Inputs!$F$42*Time!Z34)</f>
        <v>1313.71341472373</v>
      </c>
      <c r="AA11" s="11" t="n">
        <f aca="false">AA10/(1-Inputs!$F$42*Time!AA34)</f>
        <v>1347.34687333699</v>
      </c>
      <c r="AB11" s="11" t="n">
        <f aca="false">AB10/(1-Inputs!$F$42*Time!AB34)</f>
        <v>1381.84140981214</v>
      </c>
      <c r="AC11" s="11" t="n">
        <f aca="false">AC10/(1-Inputs!$F$42*Time!AC34)</f>
        <v>1417.21906931239</v>
      </c>
      <c r="AD11" s="11" t="n">
        <f aca="false">AD10/(1-Inputs!$F$42*Time!AD34)</f>
        <v>1453.50246139731</v>
      </c>
      <c r="AE11" s="11" t="n">
        <f aca="false">AE10/(1-Inputs!$F$42*Time!AE34)</f>
        <v>1490.71477447243</v>
      </c>
      <c r="AF11" s="11" t="n">
        <f aca="false">AF10/(1-Inputs!$F$42*Time!AF34)</f>
        <v>1528.87979060872</v>
      </c>
      <c r="AG11" s="11" t="n">
        <f aca="false">AG10/(1-Inputs!$F$42*Time!AG34)</f>
        <v>1568.02190074154</v>
      </c>
      <c r="AH11" s="11" t="n">
        <f aca="false">AH10/(1-Inputs!$F$42*Time!AH34)</f>
        <v>1608.16612025868</v>
      </c>
      <c r="AI11" s="11" t="n">
        <f aca="false">AI10/(1-Inputs!$F$42*Time!AI34)</f>
        <v>1649.33810498744</v>
      </c>
      <c r="AJ11" s="11" t="n">
        <f aca="false">AJ10/(1-Inputs!$F$42*Time!AJ34)</f>
        <v>1691.56416759108</v>
      </c>
      <c r="AK11" s="11" t="n">
        <f aca="false">AK10/(1-Inputs!$F$42*Time!AK34)</f>
        <v>1734.87129438502</v>
      </c>
      <c r="AL11" s="11" t="n">
        <f aca="false">AL10/(1-Inputs!$F$42*Time!AL34)</f>
        <v>1779.28716258357</v>
      </c>
      <c r="AM11" s="11" t="n">
        <f aca="false">AM10/(1-Inputs!$F$42*Time!AM34)</f>
        <v>1824.84015798816</v>
      </c>
      <c r="AN11" s="11" t="n">
        <f aca="false">AN10/(1-Inputs!$F$42*Time!AN34)</f>
        <v>1871.55939312851</v>
      </c>
      <c r="AO11" s="11" t="n">
        <f aca="false">AO10/(1-Inputs!$F$42*Time!AO34)</f>
        <v>1919.47472586817</v>
      </c>
      <c r="AP11" s="11" t="n">
        <f aca="false">AP10/(1-Inputs!$F$42*Time!AP34)</f>
        <v>1968.61677848645</v>
      </c>
      <c r="AQ11" s="11" t="n">
        <f aca="false">AQ10/(1-Inputs!$F$42*Time!AQ34)</f>
        <v>2019.01695724881</v>
      </c>
      <c r="AR11" s="11" t="n">
        <f aca="false">AR10/(1-Inputs!$F$42*Time!AR34)</f>
        <v>2070.70747247841</v>
      </c>
      <c r="AS11" s="11" t="n">
        <f aca="false">AS10/(1-Inputs!$F$42*Time!AS34)</f>
        <v>2123.72135914136</v>
      </c>
      <c r="AT11" s="11" t="n">
        <f aca="false">AT10/(1-Inputs!$F$42*Time!AT34)</f>
        <v>2178.09249795918</v>
      </c>
      <c r="AU11" s="11" t="n">
        <f aca="false">AU10/(1-Inputs!$F$42*Time!AU34)</f>
        <v>2233.85563706161</v>
      </c>
      <c r="AV11" s="11" t="n">
        <f aca="false">AV10/(1-Inputs!$F$42*Time!AV34)</f>
        <v>2291.04641419386</v>
      </c>
      <c r="AW11" s="11" t="n">
        <f aca="false">AW10/(1-Inputs!$F$42*Time!AW34)</f>
        <v>2349.7013794924</v>
      </c>
      <c r="AX11" s="11" t="n">
        <f aca="false">AX10/(1-Inputs!$F$42*Time!AX34)</f>
        <v>2409.85801884383</v>
      </c>
      <c r="AY11" s="11" t="n">
        <f aca="false">AY10/(1-Inputs!$F$42*Time!AY34)</f>
        <v>2471.55477784181</v>
      </c>
      <c r="AZ11" s="11" t="n">
        <f aca="false">AZ10/(1-Inputs!$F$42*Time!AZ34)</f>
        <v>2534.83108635726</v>
      </c>
      <c r="BA11" s="11" t="n">
        <f aca="false">BA10/(1-Inputs!$F$42*Time!BA34)</f>
        <v>2599.72738373771</v>
      </c>
      <c r="BB11" s="11" t="n">
        <f aca="false">BB10/(1-Inputs!$F$42*Time!BB34)</f>
        <v>2666.28514465171</v>
      </c>
      <c r="BC11" s="11" t="n">
        <f aca="false">BC10/(1-Inputs!$F$42*Time!BC34)</f>
        <v>2734.54690559495</v>
      </c>
      <c r="BD11" s="11" t="n">
        <f aca="false">BD10/(1-Inputs!$F$42*Time!BD34)</f>
        <v>2804.55629207494</v>
      </c>
      <c r="BE11" s="11" t="n">
        <f aca="false">BE10/(1-Inputs!$F$42*Time!BE34)</f>
        <v>2876.35804649175</v>
      </c>
      <c r="BF11" s="11" t="n">
        <f aca="false">BF10/(1-Inputs!$F$42*Time!BF34)</f>
        <v>2949.99805673245</v>
      </c>
      <c r="BG11" s="11" t="n">
        <f aca="false">BG10/(1-Inputs!$F$42*Time!BG34)</f>
        <v>3025.52338549769</v>
      </c>
      <c r="BH11" s="11" t="n">
        <f aca="false">BH10/(1-Inputs!$F$42*Time!BH34)</f>
        <v>3102.98230037905</v>
      </c>
      <c r="BI11" s="11" t="n">
        <f aca="false">BI10/(1-Inputs!$F$42*Time!BI34)</f>
        <v>3182.42430470647</v>
      </c>
      <c r="BJ11" s="11" t="n">
        <f aca="false">BJ10/(1-Inputs!$F$42*Time!BJ34)</f>
        <v>3263.90016918539</v>
      </c>
      <c r="BK11" s="11" t="n">
        <f aca="false">BK10/(1-Inputs!$F$42*Time!BK34)</f>
        <v>3347.46196434389</v>
      </c>
      <c r="BL11" s="11" t="n">
        <f aca="false">BL10/(1-Inputs!$F$42*Time!BL34)</f>
        <v>3433.16309381047</v>
      </c>
      <c r="BM11" s="11" t="n">
        <f aca="false">BM10/(1-Inputs!$F$42*Time!BM34)</f>
        <v>3521.05832844391</v>
      </c>
      <c r="BN11" s="11" t="n">
        <f aca="false">BN10/(1-Inputs!$F$42*Time!BN34)</f>
        <v>3611.20384133684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2.14234956065772</v>
      </c>
      <c r="R41" s="11" t="n">
        <f aca="false">Inputs!$F$133*(Inputs!$F$134*R18/100+(1-Inputs!$F$134)*R22/100*Inputs!$F$135/R11)</f>
        <v>2.16578720010334</v>
      </c>
      <c r="S41" s="11" t="n">
        <f aca="false">Inputs!$F$133*(Inputs!$F$134*S18/100+(1-Inputs!$F$134)*S22/100*Inputs!$F$135/S11)</f>
        <v>2.18948125099219</v>
      </c>
      <c r="T41" s="11" t="n">
        <f aca="false">Inputs!$F$133*(Inputs!$F$134*T18/100+(1-Inputs!$F$134)*T22/100*Inputs!$F$135/T11)</f>
        <v>2.21343451850561</v>
      </c>
      <c r="U41" s="11" t="n">
        <f aca="false">Inputs!$F$133*(Inputs!$F$134*U18/100+(1-Inputs!$F$134)*U22/100*Inputs!$F$135/U11)</f>
        <v>2.23764983851402</v>
      </c>
      <c r="V41" s="11" t="n">
        <f aca="false">Inputs!$F$133*(Inputs!$F$134*V18/100+(1-Inputs!$F$134)*V22/100*Inputs!$F$135/V11)</f>
        <v>2.26213007791273</v>
      </c>
      <c r="W41" s="11" t="n">
        <f aca="false">Inputs!$F$133*(Inputs!$F$134*W18/100+(1-Inputs!$F$134)*W22/100*Inputs!$F$135/W11)</f>
        <v>2.28687813496133</v>
      </c>
      <c r="X41" s="11" t="n">
        <f aca="false">Inputs!$F$133*(Inputs!$F$134*X18/100+(1-Inputs!$F$134)*X22/100*Inputs!$F$135/X11)</f>
        <v>2.31189693962681</v>
      </c>
      <c r="Y41" s="11" t="n">
        <f aca="false">Inputs!$F$133*(Inputs!$F$134*Y18/100+(1-Inputs!$F$134)*Y22/100*Inputs!$F$135/Y11)</f>
        <v>2.33718945393048</v>
      </c>
      <c r="Z41" s="11" t="n">
        <f aca="false">Inputs!$F$133*(Inputs!$F$134*Z18/100+(1-Inputs!$F$134)*Z22/100*Inputs!$F$135/Z11)</f>
        <v>2.3627586722986</v>
      </c>
      <c r="AA41" s="11" t="n">
        <f aca="false">Inputs!$F$133*(Inputs!$F$134*AA18/100+(1-Inputs!$F$134)*AA22/100*Inputs!$F$135/AA11)</f>
        <v>2.38860762191695</v>
      </c>
      <c r="AB41" s="11" t="n">
        <f aca="false">Inputs!$F$133*(Inputs!$F$134*AB18/100+(1-Inputs!$F$134)*AB22/100*Inputs!$F$135/AB11)</f>
        <v>2.41473936308917</v>
      </c>
      <c r="AC41" s="11" t="n">
        <f aca="false">Inputs!$F$133*(Inputs!$F$134*AC18/100+(1-Inputs!$F$134)*AC22/100*Inputs!$F$135/AC11)</f>
        <v>2.44115698959912</v>
      </c>
      <c r="AD41" s="11" t="n">
        <f aca="false">Inputs!$F$133*(Inputs!$F$134*AD18/100+(1-Inputs!$F$134)*AD22/100*Inputs!$F$135/AD11)</f>
        <v>2.46786362907713</v>
      </c>
      <c r="AE41" s="11" t="n">
        <f aca="false">Inputs!$F$133*(Inputs!$F$134*AE18/100+(1-Inputs!$F$134)*AE22/100*Inputs!$F$135/AE11)</f>
        <v>2.4948624433703</v>
      </c>
      <c r="AF41" s="11" t="n">
        <f aca="false">Inputs!$F$133*(Inputs!$F$134*AF18/100+(1-Inputs!$F$134)*AF22/100*Inputs!$F$135/AF11)</f>
        <v>2.52215662891683</v>
      </c>
      <c r="AG41" s="11" t="n">
        <f aca="false">Inputs!$F$133*(Inputs!$F$134*AG18/100+(1-Inputs!$F$134)*AG22/100*Inputs!$F$135/AG11)</f>
        <v>2.54974941712445</v>
      </c>
      <c r="AH41" s="11" t="n">
        <f aca="false">Inputs!$F$133*(Inputs!$F$134*AH18/100+(1-Inputs!$F$134)*AH22/100*Inputs!$F$135/AH11)</f>
        <v>2.577644074753</v>
      </c>
      <c r="AI41" s="11" t="n">
        <f aca="false">Inputs!$F$133*(Inputs!$F$134*AI18/100+(1-Inputs!$F$134)*AI22/100*Inputs!$F$135/AI11)</f>
        <v>2.60584390430118</v>
      </c>
      <c r="AJ41" s="11" t="n">
        <f aca="false">Inputs!$F$133*(Inputs!$F$134*AJ18/100+(1-Inputs!$F$134)*AJ22/100*Inputs!$F$135/AJ11)</f>
        <v>2.63435224439756</v>
      </c>
      <c r="AK41" s="11" t="n">
        <f aca="false">Inputs!$F$133*(Inputs!$F$134*AK18/100+(1-Inputs!$F$134)*AK22/100*Inputs!$F$135/AK11)</f>
        <v>2.66317247019581</v>
      </c>
      <c r="AL41" s="11" t="n">
        <f aca="false">Inputs!$F$133*(Inputs!$F$134*AL18/100+(1-Inputs!$F$134)*AL22/100*Inputs!$F$135/AL11)</f>
        <v>2.69230799377431</v>
      </c>
      <c r="AM41" s="11" t="n">
        <f aca="false">Inputs!$F$133*(Inputs!$F$134*AM18/100+(1-Inputs!$F$134)*AM22/100*Inputs!$F$135/AM11)</f>
        <v>2.72176226454012</v>
      </c>
      <c r="AN41" s="11" t="n">
        <f aca="false">Inputs!$F$133*(Inputs!$F$134*AN18/100+(1-Inputs!$F$134)*AN22/100*Inputs!$F$135/AN11)</f>
        <v>2.75153876963734</v>
      </c>
      <c r="AO41" s="11" t="n">
        <f aca="false">Inputs!$F$133*(Inputs!$F$134*AO18/100+(1-Inputs!$F$134)*AO22/100*Inputs!$F$135/AO11)</f>
        <v>2.78164103436</v>
      </c>
      <c r="AP41" s="11" t="n">
        <f aca="false">Inputs!$F$133*(Inputs!$F$134*AP18/100+(1-Inputs!$F$134)*AP22/100*Inputs!$F$135/AP11)</f>
        <v>2.81207262256936</v>
      </c>
      <c r="AQ41" s="11" t="n">
        <f aca="false">Inputs!$F$133*(Inputs!$F$134*AQ18/100+(1-Inputs!$F$134)*AQ22/100*Inputs!$F$135/AQ11)</f>
        <v>2.84283713711592</v>
      </c>
      <c r="AR41" s="11" t="n">
        <f aca="false">Inputs!$F$133*(Inputs!$F$134*AR18/100+(1-Inputs!$F$134)*AR22/100*Inputs!$F$135/AR11)</f>
        <v>2.87393822026589</v>
      </c>
      <c r="AS41" s="11" t="n">
        <f aca="false">Inputs!$F$133*(Inputs!$F$134*AS18/100+(1-Inputs!$F$134)*AS22/100*Inputs!$F$135/AS11)</f>
        <v>2.90537955413247</v>
      </c>
      <c r="AT41" s="11" t="n">
        <f aca="false">Inputs!$F$133*(Inputs!$F$134*AT18/100+(1-Inputs!$F$134)*AT22/100*Inputs!$F$135/AT11)</f>
        <v>2.93716486111174</v>
      </c>
      <c r="AU41" s="11" t="n">
        <f aca="false">Inputs!$F$133*(Inputs!$F$134*AU18/100+(1-Inputs!$F$134)*AU22/100*Inputs!$F$135/AU11)</f>
        <v>2.96929790432338</v>
      </c>
      <c r="AV41" s="11" t="n">
        <f aca="false">Inputs!$F$133*(Inputs!$F$134*AV18/100+(1-Inputs!$F$134)*AV22/100*Inputs!$F$135/AV11)</f>
        <v>3.0017824880562</v>
      </c>
      <c r="AW41" s="11" t="n">
        <f aca="false">Inputs!$F$133*(Inputs!$F$134*AW18/100+(1-Inputs!$F$134)*AW22/100*Inputs!$F$135/AW11)</f>
        <v>3.0346224582185</v>
      </c>
      <c r="AX41" s="11" t="n">
        <f aca="false">Inputs!$F$133*(Inputs!$F$134*AX18/100+(1-Inputs!$F$134)*AX22/100*Inputs!$F$135/AX11)</f>
        <v>3.06782170279343</v>
      </c>
      <c r="AY41" s="11" t="n">
        <f aca="false">Inputs!$F$133*(Inputs!$F$134*AY18/100+(1-Inputs!$F$134)*AY22/100*Inputs!$F$135/AY11)</f>
        <v>3.1013841522993</v>
      </c>
      <c r="AZ41" s="11" t="n">
        <f aca="false">Inputs!$F$133*(Inputs!$F$134*AZ18/100+(1-Inputs!$F$134)*AZ22/100*Inputs!$F$135/AZ11)</f>
        <v>3.13531378025489</v>
      </c>
      <c r="BA41" s="11" t="n">
        <f aca="false">Inputs!$F$133*(Inputs!$F$134*BA18/100+(1-Inputs!$F$134)*BA22/100*Inputs!$F$135/BA11)</f>
        <v>3.16961460364989</v>
      </c>
      <c r="BB41" s="11" t="n">
        <f aca="false">Inputs!$F$133*(Inputs!$F$134*BB18/100+(1-Inputs!$F$134)*BB22/100*Inputs!$F$135/BB11)</f>
        <v>3.2042906834205</v>
      </c>
      <c r="BC41" s="11" t="n">
        <f aca="false">Inputs!$F$133*(Inputs!$F$134*BC18/100+(1-Inputs!$F$134)*BC22/100*Inputs!$F$135/BC11)</f>
        <v>3.23934612493018</v>
      </c>
      <c r="BD41" s="11" t="n">
        <f aca="false">Inputs!$F$133*(Inputs!$F$134*BD18/100+(1-Inputs!$F$134)*BD22/100*Inputs!$F$135/BD11)</f>
        <v>3.27478507845575</v>
      </c>
      <c r="BE41" s="11" t="n">
        <f aca="false">Inputs!$F$133*(Inputs!$F$134*BE18/100+(1-Inputs!$F$134)*BE22/100*Inputs!$F$135/BE11)</f>
        <v>3.31061173967865</v>
      </c>
      <c r="BF41" s="11" t="n">
        <f aca="false">Inputs!$F$133*(Inputs!$F$134*BF18/100+(1-Inputs!$F$134)*BF22/100*Inputs!$F$135/BF11)</f>
        <v>3.34683035018177</v>
      </c>
      <c r="BG41" s="11" t="n">
        <f aca="false">Inputs!$F$133*(Inputs!$F$134*BG18/100+(1-Inputs!$F$134)*BG22/100*Inputs!$F$135/BG11)</f>
        <v>3.38344519795158</v>
      </c>
      <c r="BH41" s="11" t="n">
        <f aca="false">Inputs!$F$133*(Inputs!$F$134*BH18/100+(1-Inputs!$F$134)*BH22/100*Inputs!$F$135/BH11)</f>
        <v>3.42046061788577</v>
      </c>
      <c r="BI41" s="11" t="n">
        <f aca="false">Inputs!$F$133*(Inputs!$F$134*BI18/100+(1-Inputs!$F$134)*BI22/100*Inputs!$F$135/BI11)</f>
        <v>3.45788099230651</v>
      </c>
      <c r="BJ41" s="11" t="n">
        <f aca="false">Inputs!$F$133*(Inputs!$F$134*BJ18/100+(1-Inputs!$F$134)*BJ22/100*Inputs!$F$135/BJ11)</f>
        <v>3.49571075147926</v>
      </c>
      <c r="BK41" s="11" t="n">
        <f aca="false">Inputs!$F$133*(Inputs!$F$134*BK18/100+(1-Inputs!$F$134)*BK22/100*Inputs!$F$135/BK11)</f>
        <v>3.53395437413725</v>
      </c>
      <c r="BL41" s="11" t="n">
        <f aca="false">Inputs!$F$133*(Inputs!$F$134*BL18/100+(1-Inputs!$F$134)*BL22/100*Inputs!$F$135/BL11)</f>
        <v>3.5726163880118</v>
      </c>
      <c r="BM41" s="11" t="n">
        <f aca="false">Inputs!$F$133*(Inputs!$F$134*BM18/100+(1-Inputs!$F$134)*BM22/100*Inputs!$F$135/BM11)</f>
        <v>3.61170137036827</v>
      </c>
      <c r="BN41" s="11" t="n">
        <f aca="false">Inputs!$F$133*(Inputs!$F$134*BN18/100+(1-Inputs!$F$134)*BN22/100*Inputs!$F$135/BN11)</f>
        <v>3.65121394854806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3251.67269662979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59.3651445089026</v>
      </c>
      <c r="R43" s="11" t="n">
        <f aca="false">$F$30*1000*Time!R25*(R40+R41)*R42/1000000</f>
        <v>59.5709059799543</v>
      </c>
      <c r="S43" s="11" t="n">
        <f aca="false">$F$30*1000*Time!S25*(S40+S41)*S42/1000000</f>
        <v>59.7789185136985</v>
      </c>
      <c r="T43" s="11" t="n">
        <f aca="false">$F$30*1000*Time!T25*(T40+T41)*T42/1000000</f>
        <v>59.9892067371133</v>
      </c>
      <c r="U43" s="11" t="n">
        <f aca="false">$F$30*1000*Time!U25*(U40+U41)*U42/1000000</f>
        <v>60.2017955465999</v>
      </c>
      <c r="V43" s="11" t="n">
        <f aca="false">$F$30*1000*Time!V25*(V40+V41)*V42/1000000</f>
        <v>60.4167101109298</v>
      </c>
      <c r="W43" s="11" t="n">
        <f aca="false">$F$30*1000*Time!W25*(W40+W41)*W42/1000000</f>
        <v>60.6339758742251</v>
      </c>
      <c r="X43" s="11" t="n">
        <f aca="false">$F$30*1000*Time!X25*(X40+X41)*X42/1000000</f>
        <v>60.8536185589702</v>
      </c>
      <c r="Y43" s="11" t="n">
        <f aca="false">$F$30*1000*Time!Y25*(Y40+Y41)*Y42/1000000</f>
        <v>61.075664169058</v>
      </c>
      <c r="Z43" s="11" t="n">
        <f aca="false">$F$30*1000*Time!Z25*(Z40+Z41)*Z42/1000000</f>
        <v>61.3001389928676</v>
      </c>
      <c r="AA43" s="11" t="n">
        <f aca="false">$F$30*1000*Time!AA25*(AA40+AA41)*AA42/1000000</f>
        <v>61.5270696063773</v>
      </c>
      <c r="AB43" s="11" t="n">
        <f aca="false">$F$30*1000*Time!AB25*(AB40+AB41)*AB42/1000000</f>
        <v>61.7564828763107</v>
      </c>
      <c r="AC43" s="11" t="n">
        <f aca="false">$F$30*1000*Time!AC25*(AC40+AC41)*AC42/1000000</f>
        <v>61.9884059633176</v>
      </c>
      <c r="AD43" s="11" t="n">
        <f aca="false">$F$30*1000*Time!AD25*(AD40+AD41)*AD42/1000000</f>
        <v>61.3240915893812</v>
      </c>
      <c r="AE43" s="11" t="n">
        <f aca="false">$F$30*1000*Time!AE25*(AE40+AE41)*AE42/1000000</f>
        <v>62.4598917201106</v>
      </c>
      <c r="AF43" s="11" t="n">
        <f aca="false">$F$30*1000*Time!AF25*(AF40+AF41)*AF42/1000000</f>
        <v>62.6995102099437</v>
      </c>
      <c r="AG43" s="11" t="n">
        <f aca="false">$F$30*1000*Time!AG25*(AG40+AG41)*AG42/1000000</f>
        <v>62.941750163553</v>
      </c>
      <c r="AH43" s="11" t="n">
        <f aca="false">$F$30*1000*Time!AH25*(AH40+AH41)*AH42/1000000</f>
        <v>63.1866402601624</v>
      </c>
      <c r="AI43" s="11" t="n">
        <f aca="false">$F$30*1000*Time!AI25*(AI40+AI41)*AI42/1000000</f>
        <v>63.4342094927511</v>
      </c>
      <c r="AJ43" s="11" t="n">
        <f aca="false">$F$30*1000*Time!AJ25*(AJ40+AJ41)*AJ42/1000000</f>
        <v>63.684487171486</v>
      </c>
      <c r="AK43" s="11" t="n">
        <f aca="false">$F$30*1000*Time!AK25*(AK40+AK41)*AK42/1000000</f>
        <v>63.9375029271917</v>
      </c>
      <c r="AL43" s="11" t="n">
        <f aca="false">$F$30*1000*Time!AL25*(AL40+AL41)*AL42/1000000</f>
        <v>64.1932867148587</v>
      </c>
      <c r="AM43" s="11" t="n">
        <f aca="false">$F$30*1000*Time!AM25*(AM40+AM41)*AM42/1000000</f>
        <v>64.4518688171899</v>
      </c>
      <c r="AN43" s="11" t="n">
        <f aca="false">$F$30*1000*Time!AN25*(AN40+AN41)*AN42/1000000</f>
        <v>64.7132798481856</v>
      </c>
      <c r="AO43" s="11" t="n">
        <f aca="false">$F$30*1000*Time!AO25*(AO40+AO41)*AO42/1000000</f>
        <v>64.977550756768</v>
      </c>
      <c r="AP43" s="11" t="n">
        <f aca="false">$F$30*1000*Time!AP25*(AP40+AP41)*AP42/1000000</f>
        <v>65.2447128304456</v>
      </c>
      <c r="AQ43" s="11" t="n">
        <f aca="false">$F$30*1000*Time!AQ25*(AQ40+AQ41)*AQ42/1000000</f>
        <v>65.5147976990169</v>
      </c>
      <c r="AR43" s="11" t="n">
        <f aca="false">$F$30*1000*Time!AR25*(AR40+AR41)*AR42/1000000</f>
        <v>65.7878373383154</v>
      </c>
      <c r="AS43" s="11" t="n">
        <f aca="false">$F$30*1000*Time!AS25*(AS40+AS41)*AS42/1000000</f>
        <v>66.0638640739953</v>
      </c>
      <c r="AT43" s="11" t="n">
        <f aca="false">$F$30*1000*Time!AT25*(AT40+AT41)*AT42/1000000</f>
        <v>65.3846240991254</v>
      </c>
      <c r="AU43" s="11" t="n">
        <f aca="false">$F$30*1000*Time!AU25*(AU40+AU41)*AU42/1000000</f>
        <v>66.6250099092232</v>
      </c>
      <c r="AV43" s="11" t="n">
        <f aca="false">$F$30*1000*Time!AV25*(AV40+AV41)*AV42/1000000</f>
        <v>66.9101954438362</v>
      </c>
      <c r="AW43" s="11" t="n">
        <f aca="false">$F$30*1000*Time!AW25*(AW40+AW41)*AW42/1000000</f>
        <v>67.1985009528261</v>
      </c>
      <c r="AX43" s="11" t="n">
        <f aca="false">$F$30*1000*Time!AX25*(AX40+AX41)*AX42/1000000</f>
        <v>67.4899605692007</v>
      </c>
      <c r="AY43" s="11" t="n">
        <f aca="false">$F$30*1000*Time!AY25*(AY40+AY41)*AY42/1000000</f>
        <v>67.7846087993883</v>
      </c>
      <c r="AZ43" s="11" t="n">
        <f aca="false">$F$30*1000*Time!AZ25*(AZ40+AZ41)*AZ42/1000000</f>
        <v>68.0824805273231</v>
      </c>
      <c r="BA43" s="11" t="n">
        <f aca="false">$F$30*1000*Time!BA25*(BA40+BA41)*BA42/1000000</f>
        <v>68.3836110185748</v>
      </c>
      <c r="BB43" s="11" t="n">
        <f aca="false">$F$30*1000*Time!BB25*(BB40+BB41)*BB42/1000000</f>
        <v>68.6880359245242</v>
      </c>
      <c r="BC43" s="11" t="n">
        <f aca="false">$F$30*1000*Time!BC25*(BC40+BC41)*BC42/1000000</f>
        <v>68.9957912865834</v>
      </c>
      <c r="BD43" s="11" t="n">
        <f aca="false">$F$30*1000*Time!BD25*(BD40+BD41)*BD42/1000000</f>
        <v>69.3069135404637</v>
      </c>
      <c r="BE43" s="11" t="n">
        <f aca="false">$F$30*1000*Time!BE25*(BE40+BE41)*BE42/1000000</f>
        <v>69.6214395204883</v>
      </c>
      <c r="BF43" s="11" t="n">
        <f aca="false">$F$30*1000*Time!BF25*(BF40+BF41)*BF42/1000000</f>
        <v>69.9394064639539</v>
      </c>
      <c r="BG43" s="11" t="n">
        <f aca="false">$F$30*1000*Time!BG25*(BG40+BG41)*BG42/1000000</f>
        <v>70.260852015539</v>
      </c>
      <c r="BH43" s="11" t="n">
        <f aca="false">$F$30*1000*Time!BH25*(BH40+BH41)*BH42/1000000</f>
        <v>70.5858142317609</v>
      </c>
      <c r="BI43" s="11" t="n">
        <f aca="false">$F$30*1000*Time!BI25*(BI40+BI41)*BI42/1000000</f>
        <v>70.9143315854809</v>
      </c>
      <c r="BJ43" s="11" t="n">
        <f aca="false">$F$30*1000*Time!BJ25*(BJ40+BJ41)*BJ42/1000000</f>
        <v>70.2173276831085</v>
      </c>
      <c r="BK43" s="11" t="n">
        <f aca="false">$F$30*1000*Time!BK25*(BK40+BK41)*BK42/1000000</f>
        <v>71.5821877059615</v>
      </c>
      <c r="BL43" s="11" t="n">
        <f aca="false">$F$30*1000*Time!BL25*(BL40+BL41)*BL42/1000000</f>
        <v>71.9216055414097</v>
      </c>
      <c r="BM43" s="11" t="n">
        <f aca="false">$F$30*1000*Time!BM25*(BM40+BM41)*BM42/1000000</f>
        <v>48.176491107395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3.72741639713815</v>
      </c>
      <c r="R44" s="11" t="n">
        <f aca="false">Inputs!$F$136*(Inputs!$F$137*R18/100+(1-Inputs!$F$137)*R22/100*Inputs!$F$135/R11)</f>
        <v>3.76819491581881</v>
      </c>
      <c r="S44" s="11" t="n">
        <f aca="false">Inputs!$F$136*(Inputs!$F$137*S18/100+(1-Inputs!$F$137)*S22/100*Inputs!$F$135/S11)</f>
        <v>3.80941955787518</v>
      </c>
      <c r="T44" s="11" t="n">
        <f aca="false">Inputs!$F$136*(Inputs!$F$137*T18/100+(1-Inputs!$F$137)*T22/100*Inputs!$F$135/T11)</f>
        <v>3.85109520396682</v>
      </c>
      <c r="U44" s="11" t="n">
        <f aca="false">Inputs!$F$136*(Inputs!$F$137*U18/100+(1-Inputs!$F$137)*U22/100*Inputs!$F$135/U11)</f>
        <v>3.89322678814844</v>
      </c>
      <c r="V44" s="11" t="n">
        <f aca="false">Inputs!$F$136*(Inputs!$F$137*V18/100+(1-Inputs!$F$137)*V22/100*Inputs!$F$135/V11)</f>
        <v>3.93581929845409</v>
      </c>
      <c r="W44" s="11" t="n">
        <f aca="false">Inputs!$F$136*(Inputs!$F$137*W18/100+(1-Inputs!$F$137)*W22/100*Inputs!$F$135/W11)</f>
        <v>3.9788777774877</v>
      </c>
      <c r="X44" s="11" t="n">
        <f aca="false">Inputs!$F$136*(Inputs!$F$137*X18/100+(1-Inputs!$F$137)*X22/100*Inputs!$F$135/X11)</f>
        <v>4.02240732302008</v>
      </c>
      <c r="Y44" s="11" t="n">
        <f aca="false">Inputs!$F$136*(Inputs!$F$137*Y18/100+(1-Inputs!$F$137)*Y22/100*Inputs!$F$135/Y11)</f>
        <v>4.06641308859243</v>
      </c>
      <c r="Z44" s="11" t="n">
        <f aca="false">Inputs!$F$136*(Inputs!$F$137*Z18/100+(1-Inputs!$F$137)*Z22/100*Inputs!$F$135/Z11)</f>
        <v>4.11090028412652</v>
      </c>
      <c r="AA44" s="11" t="n">
        <f aca="false">Inputs!$F$136*(Inputs!$F$137*AA18/100+(1-Inputs!$F$137)*AA22/100*Inputs!$F$135/AA11)</f>
        <v>4.15587417654147</v>
      </c>
      <c r="AB44" s="11" t="n">
        <f aca="false">Inputs!$F$136*(Inputs!$F$137*AB18/100+(1-Inputs!$F$137)*AB22/100*Inputs!$F$135/AB11)</f>
        <v>4.2013400903773</v>
      </c>
      <c r="AC44" s="11" t="n">
        <f aca="false">Inputs!$F$136*(Inputs!$F$137*AC18/100+(1-Inputs!$F$137)*AC22/100*Inputs!$F$135/AC11)</f>
        <v>4.24730340842538</v>
      </c>
      <c r="AD44" s="11" t="n">
        <f aca="false">Inputs!$F$136*(Inputs!$F$137*AD18/100+(1-Inputs!$F$137)*AD22/100*Inputs!$F$135/AD11)</f>
        <v>4.2937695723656</v>
      </c>
      <c r="AE44" s="11" t="n">
        <f aca="false">Inputs!$F$136*(Inputs!$F$137*AE18/100+(1-Inputs!$F$137)*AE22/100*Inputs!$F$135/AE11)</f>
        <v>4.34074408341073</v>
      </c>
      <c r="AF44" s="11" t="n">
        <f aca="false">Inputs!$F$136*(Inputs!$F$137*AF18/100+(1-Inputs!$F$137)*AF22/100*Inputs!$F$135/AF11)</f>
        <v>4.38823250295765</v>
      </c>
      <c r="AG44" s="11" t="n">
        <f aca="false">Inputs!$F$136*(Inputs!$F$137*AG18/100+(1-Inputs!$F$137)*AG22/100*Inputs!$F$135/AG11)</f>
        <v>4.43624045324577</v>
      </c>
      <c r="AH44" s="11" t="n">
        <f aca="false">Inputs!$F$136*(Inputs!$F$137*AH18/100+(1-Inputs!$F$137)*AH22/100*Inputs!$F$135/AH11)</f>
        <v>4.48477361802271</v>
      </c>
      <c r="AI44" s="11" t="n">
        <f aca="false">Inputs!$F$136*(Inputs!$F$137*AI18/100+(1-Inputs!$F$137)*AI22/100*Inputs!$F$135/AI11)</f>
        <v>4.53383774321718</v>
      </c>
      <c r="AJ44" s="11" t="n">
        <f aca="false">Inputs!$F$136*(Inputs!$F$137*AJ18/100+(1-Inputs!$F$137)*AJ22/100*Inputs!$F$135/AJ11)</f>
        <v>4.58343863761921</v>
      </c>
      <c r="AK44" s="11" t="n">
        <f aca="false">Inputs!$F$136*(Inputs!$F$137*AK18/100+(1-Inputs!$F$137)*AK22/100*Inputs!$F$135/AK11)</f>
        <v>4.63358217356795</v>
      </c>
      <c r="AL44" s="11" t="n">
        <f aca="false">Inputs!$F$136*(Inputs!$F$137*AL18/100+(1-Inputs!$F$137)*AL22/100*Inputs!$F$135/AL11)</f>
        <v>4.68427428764683</v>
      </c>
      <c r="AM44" s="11" t="n">
        <f aca="false">Inputs!$F$136*(Inputs!$F$137*AM18/100+(1-Inputs!$F$137)*AM22/100*Inputs!$F$135/AM11)</f>
        <v>4.73552098138645</v>
      </c>
      <c r="AN44" s="11" t="n">
        <f aca="false">Inputs!$F$136*(Inputs!$F$137*AN18/100+(1-Inputs!$F$137)*AN22/100*Inputs!$F$135/AN11)</f>
        <v>4.78732832197506</v>
      </c>
      <c r="AO44" s="11" t="n">
        <f aca="false">Inputs!$F$136*(Inputs!$F$137*AO18/100+(1-Inputs!$F$137)*AO22/100*Inputs!$F$135/AO11)</f>
        <v>4.83970244297695</v>
      </c>
      <c r="AP44" s="11" t="n">
        <f aca="false">Inputs!$F$136*(Inputs!$F$137*AP18/100+(1-Inputs!$F$137)*AP22/100*Inputs!$F$135/AP11)</f>
        <v>4.89264954505851</v>
      </c>
      <c r="AQ44" s="11" t="n">
        <f aca="false">Inputs!$F$136*(Inputs!$F$137*AQ18/100+(1-Inputs!$F$137)*AQ22/100*Inputs!$F$135/AQ11)</f>
        <v>4.94617589672244</v>
      </c>
      <c r="AR44" s="11" t="n">
        <f aca="false">Inputs!$F$136*(Inputs!$F$137*AR18/100+(1-Inputs!$F$137)*AR22/100*Inputs!$F$135/AR11)</f>
        <v>5.0002878350498</v>
      </c>
      <c r="AS44" s="11" t="n">
        <f aca="false">Inputs!$F$136*(Inputs!$F$137*AS18/100+(1-Inputs!$F$137)*AS22/100*Inputs!$F$135/AS11)</f>
        <v>5.05499176645033</v>
      </c>
      <c r="AT44" s="11" t="n">
        <f aca="false">Inputs!$F$136*(Inputs!$F$137*AT18/100+(1-Inputs!$F$137)*AT22/100*Inputs!$F$135/AT11)</f>
        <v>5.1102941674209</v>
      </c>
      <c r="AU44" s="11" t="n">
        <f aca="false">Inputs!$F$136*(Inputs!$F$137*AU18/100+(1-Inputs!$F$137)*AU22/100*Inputs!$F$135/AU11)</f>
        <v>5.16620158531224</v>
      </c>
      <c r="AV44" s="11" t="n">
        <f aca="false">Inputs!$F$136*(Inputs!$F$137*AV18/100+(1-Inputs!$F$137)*AV22/100*Inputs!$F$135/AV11)</f>
        <v>5.22272063910415</v>
      </c>
      <c r="AW44" s="11" t="n">
        <f aca="false">Inputs!$F$136*(Inputs!$F$137*AW18/100+(1-Inputs!$F$137)*AW22/100*Inputs!$F$135/AW11)</f>
        <v>5.27985802018911</v>
      </c>
      <c r="AX44" s="11" t="n">
        <f aca="false">Inputs!$F$136*(Inputs!$F$137*AX18/100+(1-Inputs!$F$137)*AX22/100*Inputs!$F$135/AX11)</f>
        <v>5.33762049316445</v>
      </c>
      <c r="AY44" s="11" t="n">
        <f aca="false">Inputs!$F$136*(Inputs!$F$137*AY18/100+(1-Inputs!$F$137)*AY22/100*Inputs!$F$135/AY11)</f>
        <v>5.39601489663327</v>
      </c>
      <c r="AZ44" s="11" t="n">
        <f aca="false">Inputs!$F$136*(Inputs!$F$137*AZ18/100+(1-Inputs!$F$137)*AZ22/100*Inputs!$F$135/AZ11)</f>
        <v>5.45504814401406</v>
      </c>
      <c r="BA44" s="11" t="n">
        <f aca="false">Inputs!$F$136*(Inputs!$F$137*BA18/100+(1-Inputs!$F$137)*BA22/100*Inputs!$F$135/BA11)</f>
        <v>5.5147272243592</v>
      </c>
      <c r="BB44" s="11" t="n">
        <f aca="false">Inputs!$F$136*(Inputs!$F$137*BB18/100+(1-Inputs!$F$137)*BB22/100*Inputs!$F$135/BB11)</f>
        <v>5.57505920318237</v>
      </c>
      <c r="BC44" s="11" t="n">
        <f aca="false">Inputs!$F$136*(Inputs!$F$137*BC18/100+(1-Inputs!$F$137)*BC22/100*Inputs!$F$135/BC11)</f>
        <v>5.6360512232951</v>
      </c>
      <c r="BD44" s="11" t="n">
        <f aca="false">Inputs!$F$136*(Inputs!$F$137*BD18/100+(1-Inputs!$F$137)*BD22/100*Inputs!$F$135/BD11)</f>
        <v>5.69771050565238</v>
      </c>
      <c r="BE44" s="11" t="n">
        <f aca="false">Inputs!$F$136*(Inputs!$F$137*BE18/100+(1-Inputs!$F$137)*BE22/100*Inputs!$F$135/BE11)</f>
        <v>5.76004435020759</v>
      </c>
      <c r="BF44" s="11" t="n">
        <f aca="false">Inputs!$F$136*(Inputs!$F$137*BF18/100+(1-Inputs!$F$137)*BF22/100*Inputs!$F$135/BF11)</f>
        <v>5.82306013677673</v>
      </c>
      <c r="BG44" s="11" t="n">
        <f aca="false">Inputs!$F$136*(Inputs!$F$137*BG18/100+(1-Inputs!$F$137)*BG22/100*Inputs!$F$135/BG11)</f>
        <v>5.88676532591216</v>
      </c>
      <c r="BH44" s="11" t="n">
        <f aca="false">Inputs!$F$136*(Inputs!$F$137*BH18/100+(1-Inputs!$F$137)*BH22/100*Inputs!$F$135/BH11)</f>
        <v>5.95116745978582</v>
      </c>
      <c r="BI44" s="11" t="n">
        <f aca="false">Inputs!$F$136*(Inputs!$F$137*BI18/100+(1-Inputs!$F$137)*BI22/100*Inputs!$F$135/BI11)</f>
        <v>6.01627416308222</v>
      </c>
      <c r="BJ44" s="11" t="n">
        <f aca="false">Inputs!$F$136*(Inputs!$F$137*BJ18/100+(1-Inputs!$F$137)*BJ22/100*Inputs!$F$135/BJ11)</f>
        <v>6.08209314390111</v>
      </c>
      <c r="BK44" s="11" t="n">
        <f aca="false">Inputs!$F$136*(Inputs!$F$137*BK18/100+(1-Inputs!$F$137)*BK22/100*Inputs!$F$135/BK11)</f>
        <v>6.14863219467003</v>
      </c>
      <c r="BL44" s="11" t="n">
        <f aca="false">Inputs!$F$136*(Inputs!$F$137*BL18/100+(1-Inputs!$F$137)*BL22/100*Inputs!$F$135/BL11)</f>
        <v>6.21589919306693</v>
      </c>
      <c r="BM44" s="11" t="n">
        <f aca="false">Inputs!$F$136*(Inputs!$F$137*BM18/100+(1-Inputs!$F$137)*BM22/100*Inputs!$F$135/BM11)</f>
        <v>6.28390210295277</v>
      </c>
      <c r="BN44" s="11" t="n">
        <f aca="false">Inputs!$F$136*(Inputs!$F$137*BN18/100+(1-Inputs!$F$137)*BN22/100*Inputs!$F$135/BN11)</f>
        <v>6.3526489753144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430.820302722699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6.79305859516658</v>
      </c>
      <c r="R45" s="11" t="n">
        <f aca="false">R33*R44/1000000</f>
        <v>6.81818247156457</v>
      </c>
      <c r="S45" s="11" t="n">
        <f aca="false">S33*S44/1000000</f>
        <v>6.90983582598659</v>
      </c>
      <c r="T45" s="11" t="n">
        <f aca="false">T33*T44/1000000</f>
        <v>7.02511309008819</v>
      </c>
      <c r="U45" s="11" t="n">
        <f aca="false">U33*U44/1000000</f>
        <v>7.01592231134712</v>
      </c>
      <c r="V45" s="11" t="n">
        <f aca="false">V33*V44/1000000</f>
        <v>6.92429035160363</v>
      </c>
      <c r="W45" s="11" t="n">
        <f aca="false">W33*W44/1000000</f>
        <v>7.07711801291392</v>
      </c>
      <c r="X45" s="11" t="n">
        <f aca="false">X33*X44/1000000</f>
        <v>7.3155252792121</v>
      </c>
      <c r="Y45" s="11" t="n">
        <f aca="false">Y33*Y44/1000000</f>
        <v>7.3663392968533</v>
      </c>
      <c r="Z45" s="11" t="n">
        <f aca="false">Z33*Z44/1000000</f>
        <v>7.39354984105838</v>
      </c>
      <c r="AA45" s="11" t="n">
        <f aca="false">AA33*AA44/1000000</f>
        <v>7.49290347355078</v>
      </c>
      <c r="AB45" s="11" t="n">
        <f aca="false">AB33*AB44/1000000</f>
        <v>7.61787338174394</v>
      </c>
      <c r="AC45" s="11" t="n">
        <f aca="false">AC33*AC44/1000000</f>
        <v>7.55591351975947</v>
      </c>
      <c r="AD45" s="11" t="n">
        <f aca="false">AD33*AD44/1000000</f>
        <v>7.35101240655684</v>
      </c>
      <c r="AE45" s="11" t="n">
        <f aca="false">AE33*AE44/1000000</f>
        <v>7.56811815990791</v>
      </c>
      <c r="AF45" s="11" t="n">
        <f aca="false">AF33*AF44/1000000</f>
        <v>7.9326446367629</v>
      </c>
      <c r="AG45" s="11" t="n">
        <f aca="false">AG33*AG44/1000000</f>
        <v>7.98770852250016</v>
      </c>
      <c r="AH45" s="11" t="n">
        <f aca="false">AH33*AH44/1000000</f>
        <v>8.01717747838921</v>
      </c>
      <c r="AI45" s="11" t="n">
        <f aca="false">AI33*AI44/1000000</f>
        <v>8.12487392595492</v>
      </c>
      <c r="AJ45" s="11" t="n">
        <f aca="false">AJ33*AJ44/1000000</f>
        <v>8.26034601293571</v>
      </c>
      <c r="AK45" s="11" t="n">
        <f aca="false">AK33*AK44/1000000</f>
        <v>8.24946345424354</v>
      </c>
      <c r="AL45" s="11" t="n">
        <f aca="false">AL33*AL44/1000000</f>
        <v>8.14164586226516</v>
      </c>
      <c r="AM45" s="11" t="n">
        <f aca="false">AM33*AM44/1000000</f>
        <v>8.32126541969996</v>
      </c>
      <c r="AN45" s="11" t="n">
        <f aca="false">AN33*AN44/1000000</f>
        <v>8.60150499965713</v>
      </c>
      <c r="AO45" s="11" t="n">
        <f aca="false">AO33*AO44/1000000</f>
        <v>8.66117147825619</v>
      </c>
      <c r="AP45" s="11" t="n">
        <f aca="false">AP33*AP44/1000000</f>
        <v>8.69308456931913</v>
      </c>
      <c r="AQ45" s="11" t="n">
        <f aca="false">AQ33*AQ44/1000000</f>
        <v>8.80981955085932</v>
      </c>
      <c r="AR45" s="11" t="n">
        <f aca="false">AR33*AR44/1000000</f>
        <v>8.95667042953513</v>
      </c>
      <c r="AS45" s="11" t="n">
        <f aca="false">AS33*AS44/1000000</f>
        <v>8.88373890292515</v>
      </c>
      <c r="AT45" s="11" t="n">
        <f aca="false">AT33*AT44/1000000</f>
        <v>8.64274938639652</v>
      </c>
      <c r="AU45" s="11" t="n">
        <f aca="false">AU33*AU44/1000000</f>
        <v>8.8979225041915</v>
      </c>
      <c r="AV45" s="11" t="n">
        <f aca="false">AV33*AV44/1000000</f>
        <v>9.32641333344407</v>
      </c>
      <c r="AW45" s="11" t="n">
        <f aca="false">AW33*AW44/1000000</f>
        <v>9.39106413602555</v>
      </c>
      <c r="AX45" s="11" t="n">
        <f aca="false">AX33*AX44/1000000</f>
        <v>9.42562218761875</v>
      </c>
      <c r="AY45" s="11" t="n">
        <f aca="false">AY33*AY44/1000000</f>
        <v>9.55214896275005</v>
      </c>
      <c r="AZ45" s="11" t="n">
        <f aca="false">AZ33*AZ44/1000000</f>
        <v>9.71132782941569</v>
      </c>
      <c r="BA45" s="11" t="n">
        <f aca="false">BA33*BA44/1000000</f>
        <v>9.69844241972571</v>
      </c>
      <c r="BB45" s="11" t="n">
        <f aca="false">BB33*BB44/1000000</f>
        <v>9.57159697551459</v>
      </c>
      <c r="BC45" s="11" t="n">
        <f aca="false">BC33*BC44/1000000</f>
        <v>9.78267152599974</v>
      </c>
      <c r="BD45" s="11" t="n">
        <f aca="false">BD33*BD44/1000000</f>
        <v>10.1120320466864</v>
      </c>
      <c r="BE45" s="11" t="n">
        <f aca="false">BE33*BE44/1000000</f>
        <v>10.1820802692964</v>
      </c>
      <c r="BF45" s="11" t="n">
        <f aca="false">BF33*BF44/1000000</f>
        <v>10.2195004193969</v>
      </c>
      <c r="BG45" s="11" t="n">
        <f aca="false">BG33*BG44/1000000</f>
        <v>10.356634500225</v>
      </c>
      <c r="BH45" s="11" t="n">
        <f aca="false">BH33*BH44/1000000</f>
        <v>10.5291690862697</v>
      </c>
      <c r="BI45" s="11" t="n">
        <f aca="false">BI33*BI44/1000000</f>
        <v>10.4433336793789</v>
      </c>
      <c r="BJ45" s="11" t="n">
        <f aca="false">BJ33*BJ44/1000000</f>
        <v>10.159940040024</v>
      </c>
      <c r="BK45" s="11" t="n">
        <f aca="false">BK33*BK44/1000000</f>
        <v>10.4598075469878</v>
      </c>
      <c r="BL45" s="11" t="n">
        <f aca="false">BL33*BL44/1000000</f>
        <v>10.9634080194753</v>
      </c>
      <c r="BM45" s="11" t="n">
        <f aca="false">BM33*BM44/1000000</f>
        <v>7.38410598364987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3682.49299935249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66.1582031040692</v>
      </c>
      <c r="R50" s="11" t="n">
        <f aca="false">R43+R45</f>
        <v>66.3890884515189</v>
      </c>
      <c r="S50" s="11" t="n">
        <f aca="false">S43+S45</f>
        <v>66.6887543396851</v>
      </c>
      <c r="T50" s="11" t="n">
        <f aca="false">T43+T45</f>
        <v>67.0143198272015</v>
      </c>
      <c r="U50" s="11" t="n">
        <f aca="false">U43+U45</f>
        <v>67.217717857947</v>
      </c>
      <c r="V50" s="11" t="n">
        <f aca="false">V43+V45</f>
        <v>67.3410004625334</v>
      </c>
      <c r="W50" s="11" t="n">
        <f aca="false">W43+W45</f>
        <v>67.711093887139</v>
      </c>
      <c r="X50" s="11" t="n">
        <f aca="false">X43+X45</f>
        <v>68.1691438381823</v>
      </c>
      <c r="Y50" s="11" t="n">
        <f aca="false">Y43+Y45</f>
        <v>68.4420034659113</v>
      </c>
      <c r="Z50" s="11" t="n">
        <f aca="false">Z43+Z45</f>
        <v>68.693688833926</v>
      </c>
      <c r="AA50" s="11" t="n">
        <f aca="false">AA43+AA45</f>
        <v>69.019973079928</v>
      </c>
      <c r="AB50" s="11" t="n">
        <f aca="false">AB43+AB45</f>
        <v>69.3743562580546</v>
      </c>
      <c r="AC50" s="11" t="n">
        <f aca="false">AC43+AC45</f>
        <v>69.544319483077</v>
      </c>
      <c r="AD50" s="11" t="n">
        <f aca="false">AD43+AD45</f>
        <v>68.675103995938</v>
      </c>
      <c r="AE50" s="11" t="n">
        <f aca="false">AE43+AE45</f>
        <v>70.0280098800185</v>
      </c>
      <c r="AF50" s="11" t="n">
        <f aca="false">AF43+AF45</f>
        <v>70.6321548467066</v>
      </c>
      <c r="AG50" s="11" t="n">
        <f aca="false">AG43+AG45</f>
        <v>70.9294586860531</v>
      </c>
      <c r="AH50" s="11" t="n">
        <f aca="false">AH43+AH45</f>
        <v>71.2038177385516</v>
      </c>
      <c r="AI50" s="11" t="n">
        <f aca="false">AI43+AI45</f>
        <v>71.5590834187061</v>
      </c>
      <c r="AJ50" s="11" t="n">
        <f aca="false">AJ43+AJ45</f>
        <v>71.9448331844217</v>
      </c>
      <c r="AK50" s="11" t="n">
        <f aca="false">AK43+AK45</f>
        <v>72.1869663814352</v>
      </c>
      <c r="AL50" s="11" t="n">
        <f aca="false">AL43+AL45</f>
        <v>72.3349325771238</v>
      </c>
      <c r="AM50" s="11" t="n">
        <f aca="false">AM43+AM45</f>
        <v>72.7731342368898</v>
      </c>
      <c r="AN50" s="11" t="n">
        <f aca="false">AN43+AN45</f>
        <v>73.3147848478427</v>
      </c>
      <c r="AO50" s="11" t="n">
        <f aca="false">AO43+AO45</f>
        <v>73.6387222350242</v>
      </c>
      <c r="AP50" s="11" t="n">
        <f aca="false">AP43+AP45</f>
        <v>73.9377973997648</v>
      </c>
      <c r="AQ50" s="11" t="n">
        <f aca="false">AQ43+AQ45</f>
        <v>74.3246172498762</v>
      </c>
      <c r="AR50" s="11" t="n">
        <f aca="false">AR43+AR45</f>
        <v>74.7445077678506</v>
      </c>
      <c r="AS50" s="11" t="n">
        <f aca="false">AS43+AS45</f>
        <v>74.9476029769205</v>
      </c>
      <c r="AT50" s="11" t="n">
        <f aca="false">AT43+AT45</f>
        <v>74.0273734855219</v>
      </c>
      <c r="AU50" s="11" t="n">
        <f aca="false">AU43+AU45</f>
        <v>75.5229324134147</v>
      </c>
      <c r="AV50" s="11" t="n">
        <f aca="false">AV43+AV45</f>
        <v>76.2366087772803</v>
      </c>
      <c r="AW50" s="11" t="n">
        <f aca="false">AW43+AW45</f>
        <v>76.5895650888516</v>
      </c>
      <c r="AX50" s="11" t="n">
        <f aca="false">AX43+AX45</f>
        <v>76.9155827568194</v>
      </c>
      <c r="AY50" s="11" t="n">
        <f aca="false">AY43+AY45</f>
        <v>77.3367577621383</v>
      </c>
      <c r="AZ50" s="11" t="n">
        <f aca="false">AZ43+AZ45</f>
        <v>77.7938083567388</v>
      </c>
      <c r="BA50" s="11" t="n">
        <f aca="false">BA43+BA45</f>
        <v>78.0820534383005</v>
      </c>
      <c r="BB50" s="11" t="n">
        <f aca="false">BB43+BB45</f>
        <v>78.2596329000388</v>
      </c>
      <c r="BC50" s="11" t="n">
        <f aca="false">BC43+BC45</f>
        <v>78.7784628125832</v>
      </c>
      <c r="BD50" s="11" t="n">
        <f aca="false">BD43+BD45</f>
        <v>79.4189455871501</v>
      </c>
      <c r="BE50" s="11" t="n">
        <f aca="false">BE43+BE45</f>
        <v>79.8035197897846</v>
      </c>
      <c r="BF50" s="11" t="n">
        <f aca="false">BF43+BF45</f>
        <v>80.1589068833508</v>
      </c>
      <c r="BG50" s="11" t="n">
        <f aca="false">BG43+BG45</f>
        <v>80.617486515764</v>
      </c>
      <c r="BH50" s="11" t="n">
        <f aca="false">BH43+BH45</f>
        <v>81.1149833180306</v>
      </c>
      <c r="BI50" s="11" t="n">
        <f aca="false">BI43+BI45</f>
        <v>81.3576652648598</v>
      </c>
      <c r="BJ50" s="11" t="n">
        <f aca="false">BJ43+BJ45</f>
        <v>80.3772677231325</v>
      </c>
      <c r="BK50" s="11" t="n">
        <f aca="false">BK43+BK45</f>
        <v>82.0419952529493</v>
      </c>
      <c r="BL50" s="11" t="n">
        <f aca="false">BL43+BL45</f>
        <v>82.885013560885</v>
      </c>
      <c r="BM50" s="11" t="n">
        <f aca="false">BM43+BM45</f>
        <v>55.5605970910449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9406.0954121993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158.745478231784</v>
      </c>
      <c r="R51" s="11" t="n">
        <f aca="false">R50+R46+R47+R48+R49</f>
        <v>158.6264350229</v>
      </c>
      <c r="S51" s="11" t="n">
        <f aca="false">S50+S46+S47+S48+S49</f>
        <v>160.751391111706</v>
      </c>
      <c r="T51" s="11" t="n">
        <f aca="false">T50+T46+T47+T48+T49</f>
        <v>161.779998920833</v>
      </c>
      <c r="U51" s="11" t="n">
        <f aca="false">U50+U46+U47+U48+U49</f>
        <v>162.693375836555</v>
      </c>
      <c r="V51" s="11" t="n">
        <f aca="false">V50+V46+V47+V48+V49</f>
        <v>161.004407262644</v>
      </c>
      <c r="W51" s="11" t="n">
        <f aca="false">W50+W46+W47+W48+W49</f>
        <v>163.934716650589</v>
      </c>
      <c r="X51" s="11" t="n">
        <f aca="false">X50+X46+X47+X48+X49</f>
        <v>166.529784852756</v>
      </c>
      <c r="Y51" s="11" t="n">
        <f aca="false">Y50+Y46+Y47+Y48+Y49</f>
        <v>168.190230394897</v>
      </c>
      <c r="Z51" s="11" t="n">
        <f aca="false">Z50+Z46+Z47+Z48+Z49</f>
        <v>168.060079659042</v>
      </c>
      <c r="AA51" s="11" t="n">
        <f aca="false">AA50+AA46+AA47+AA48+AA49</f>
        <v>170.356932481306</v>
      </c>
      <c r="AB51" s="11" t="n">
        <f aca="false">AB50+AB46+AB47+AB48+AB49</f>
        <v>171.466199310512</v>
      </c>
      <c r="AC51" s="11" t="n">
        <f aca="false">AC50+AC46+AC47+AC48+AC49</f>
        <v>171.78527046343</v>
      </c>
      <c r="AD51" s="11" t="n">
        <f aca="false">AD50+AD46+AD47+AD48+AD49</f>
        <v>167.724750584927</v>
      </c>
      <c r="AE51" s="11" t="n">
        <f aca="false">AE50+AE46+AE47+AE48+AE49</f>
        <v>172.433469616305</v>
      </c>
      <c r="AF51" s="11" t="n">
        <f aca="false">AF50+AF46+AF47+AF48+AF49</f>
        <v>176.59658398602</v>
      </c>
      <c r="AG51" s="11" t="n">
        <f aca="false">AG50+AG46+AG47+AG48+AG49</f>
        <v>178.391850193497</v>
      </c>
      <c r="AH51" s="11" t="n">
        <f aca="false">AH50+AH46+AH47+AH48+AH49</f>
        <v>178.249689580411</v>
      </c>
      <c r="AI51" s="11" t="n">
        <f aca="false">AI50+AI46+AI47+AI48+AI49</f>
        <v>180.732260426376</v>
      </c>
      <c r="AJ51" s="11" t="n">
        <f aca="false">AJ50+AJ46+AJ47+AJ48+AJ49</f>
        <v>181.928569339992</v>
      </c>
      <c r="AK51" s="11" t="n">
        <f aca="false">AK50+AK46+AK47+AK48+AK49</f>
        <v>182.995554307753</v>
      </c>
      <c r="AL51" s="11" t="n">
        <f aca="false">AL50+AL46+AL47+AL48+AL49</f>
        <v>181.02506220926</v>
      </c>
      <c r="AM51" s="11" t="n">
        <f aca="false">AM50+AM46+AM47+AM48+AM49</f>
        <v>184.44698533893</v>
      </c>
      <c r="AN51" s="11" t="n">
        <f aca="false">AN50+AN46+AN47+AN48+AN49</f>
        <v>187.470085945829</v>
      </c>
      <c r="AO51" s="11" t="n">
        <f aca="false">AO50+AO46+AO47+AO48+AO49</f>
        <v>189.411057445622</v>
      </c>
      <c r="AP51" s="11" t="n">
        <f aca="false">AP50+AP46+AP47+AP48+AP49</f>
        <v>189.255919614355</v>
      </c>
      <c r="AQ51" s="11" t="n">
        <f aca="false">AQ50+AQ46+AQ47+AQ48+AQ49</f>
        <v>191.939133715493</v>
      </c>
      <c r="AR51" s="11" t="n">
        <f aca="false">AR50+AR46+AR47+AR48+AR49</f>
        <v>193.229376278188</v>
      </c>
      <c r="AS51" s="11" t="n">
        <f aca="false">AS50+AS46+AS47+AS48+AS49</f>
        <v>193.603453281011</v>
      </c>
      <c r="AT51" s="11" t="n">
        <f aca="false">AT50+AT46+AT47+AT48+AT49</f>
        <v>188.957481070981</v>
      </c>
      <c r="AU51" s="11" t="n">
        <f aca="false">AU50+AU46+AU47+AU48+AU49</f>
        <v>194.363621620488</v>
      </c>
      <c r="AV51" s="11" t="n">
        <f aca="false">AV50+AV46+AV47+AV48+AV49</f>
        <v>199.215006963585</v>
      </c>
      <c r="AW51" s="11" t="n">
        <f aca="false">AW50+AW46+AW47+AW48+AW49</f>
        <v>201.313441860851</v>
      </c>
      <c r="AX51" s="11" t="n">
        <f aca="false">AX50+AX46+AX47+AX48+AX49</f>
        <v>201.144290487198</v>
      </c>
      <c r="AY51" s="11" t="n">
        <f aca="false">AY50+AY46+AY47+AY48+AY49</f>
        <v>204.044264542466</v>
      </c>
      <c r="AZ51" s="11" t="n">
        <f aca="false">AZ50+AZ46+AZ47+AZ48+AZ49</f>
        <v>205.435881511102</v>
      </c>
      <c r="BA51" s="11" t="n">
        <f aca="false">BA50+BA46+BA47+BA48+BA49</f>
        <v>206.682306757615</v>
      </c>
      <c r="BB51" s="11" t="n">
        <f aca="false">BB50+BB46+BB47+BB48+BB49</f>
        <v>204.384139533276</v>
      </c>
      <c r="BC51" s="11" t="n">
        <f aca="false">BC50+BC46+BC47+BC48+BC49</f>
        <v>208.37958318229</v>
      </c>
      <c r="BD51" s="11" t="n">
        <f aca="false">BD50+BD46+BD47+BD48+BD49</f>
        <v>211.901253541943</v>
      </c>
      <c r="BE51" s="11" t="n">
        <f aca="false">BE50+BE46+BE47+BE48+BE49</f>
        <v>214.16985306207</v>
      </c>
      <c r="BF51" s="11" t="n">
        <f aca="false">BF50+BF46+BF47+BF48+BF49</f>
        <v>213.98557867266</v>
      </c>
      <c r="BG51" s="11" t="n">
        <f aca="false">BG50+BG46+BG47+BG48+BG49</f>
        <v>217.119715256702</v>
      </c>
      <c r="BH51" s="11" t="n">
        <f aca="false">BH50+BH46+BH47+BH48+BH49</f>
        <v>218.620740537336</v>
      </c>
      <c r="BI51" s="11" t="n">
        <f aca="false">BI50+BI46+BI47+BI48+BI49</f>
        <v>219.05944578917</v>
      </c>
      <c r="BJ51" s="11" t="n">
        <f aca="false">BJ50+BJ46+BJ47+BJ48+BJ49</f>
        <v>213.730357118966</v>
      </c>
      <c r="BK51" s="11" t="n">
        <f aca="false">BK50+BK46+BK47+BK48+BK49</f>
        <v>219.951278738174</v>
      </c>
      <c r="BL51" s="11" t="n">
        <f aca="false">BL50+BL46+BL47+BL48+BL49</f>
        <v>225.604338125025</v>
      </c>
      <c r="BM51" s="11" t="n">
        <f aca="false">BM50+BM46+BM47+BM48+BM49</f>
        <v>152.28055102645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241.164031065334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3.69065386454882</v>
      </c>
      <c r="R55" s="11" t="n">
        <f aca="false">Inputs!$F$148*(Inputs!$F$149*R19+(1-Inputs!$F$149)*R23*Inputs!$F$150/R11)*Time!R25/12*Inputs!$F$39</f>
        <v>3.73103019537006</v>
      </c>
      <c r="S55" s="11" t="n">
        <f aca="false">Inputs!$F$148*(Inputs!$F$149*S19+(1-Inputs!$F$149)*S23*Inputs!$F$150/S11)*Time!S25/12*Inputs!$F$39</f>
        <v>3.77184824956889</v>
      </c>
      <c r="T55" s="11" t="n">
        <f aca="false">Inputs!$F$148*(Inputs!$F$149*T19+(1-Inputs!$F$149)*T23*Inputs!$F$150/T11)*Time!T25/12*Inputs!$F$39</f>
        <v>3.8131128596682</v>
      </c>
      <c r="U55" s="11" t="n">
        <f aca="false">Inputs!$F$148*(Inputs!$F$149*U19+(1-Inputs!$F$149)*U23*Inputs!$F$150/U11)*Time!U25/12*Inputs!$F$39</f>
        <v>3.8548289110594</v>
      </c>
      <c r="V55" s="11" t="n">
        <f aca="false">Inputs!$F$148*(Inputs!$F$149*V19+(1-Inputs!$F$149)*V23*Inputs!$F$150/V11)*Time!V25/12*Inputs!$F$39</f>
        <v>3.8970013425809</v>
      </c>
      <c r="W55" s="11" t="n">
        <f aca="false">Inputs!$F$148*(Inputs!$F$149*W19+(1-Inputs!$F$149)*W23*Inputs!$F$150/W11)*Time!W25/12*Inputs!$F$39</f>
        <v>3.93963514710271</v>
      </c>
      <c r="X55" s="11" t="n">
        <f aca="false">Inputs!$F$148*(Inputs!$F$149*X19+(1-Inputs!$F$149)*X23*Inputs!$F$150/X11)*Time!X25/12*Inputs!$F$39</f>
        <v>3.98273537211767</v>
      </c>
      <c r="Y55" s="11" t="n">
        <f aca="false">Inputs!$F$148*(Inputs!$F$149*Y19+(1-Inputs!$F$149)*Y23*Inputs!$F$150/Y11)*Time!Y25/12*Inputs!$F$39</f>
        <v>4.02630712033897</v>
      </c>
      <c r="Z55" s="11" t="n">
        <f aca="false">Inputs!$F$148*(Inputs!$F$149*Z19+(1-Inputs!$F$149)*Z23*Inputs!$F$150/Z11)*Time!Z25/12*Inputs!$F$39</f>
        <v>4.07035555030426</v>
      </c>
      <c r="AA55" s="11" t="n">
        <f aca="false">Inputs!$F$148*(Inputs!$F$149*AA19+(1-Inputs!$F$149)*AA23*Inputs!$F$150/AA11)*Time!AA25/12*Inputs!$F$39</f>
        <v>4.11488587698643</v>
      </c>
      <c r="AB55" s="11" t="n">
        <f aca="false">Inputs!$F$148*(Inputs!$F$149*AB19+(1-Inputs!$F$149)*AB23*Inputs!$F$150/AB11)*Time!AB25/12*Inputs!$F$39</f>
        <v>4.15990337241096</v>
      </c>
      <c r="AC55" s="11" t="n">
        <f aca="false">Inputs!$F$148*(Inputs!$F$149*AC19+(1-Inputs!$F$149)*AC23*Inputs!$F$150/AC11)*Time!AC25/12*Inputs!$F$39</f>
        <v>4.20541336628013</v>
      </c>
      <c r="AD55" s="11" t="n">
        <f aca="false">Inputs!$F$148*(Inputs!$F$149*AD19+(1-Inputs!$F$149)*AD23*Inputs!$F$150/AD11)*Time!AD25/12*Inputs!$F$39</f>
        <v>4.251421246604</v>
      </c>
      <c r="AE55" s="11" t="n">
        <f aca="false">Inputs!$F$148*(Inputs!$F$149*AE19+(1-Inputs!$F$149)*AE23*Inputs!$F$150/AE11)*Time!AE25/12*Inputs!$F$39</f>
        <v>4.29793246033829</v>
      </c>
      <c r="AF55" s="11" t="n">
        <f aca="false">Inputs!$F$148*(Inputs!$F$149*AF19+(1-Inputs!$F$149)*AF23*Inputs!$F$150/AF11)*Time!AF25/12*Inputs!$F$39</f>
        <v>4.34495251402928</v>
      </c>
      <c r="AG55" s="11" t="n">
        <f aca="false">Inputs!$F$148*(Inputs!$F$149*AG19+(1-Inputs!$F$149)*AG23*Inputs!$F$150/AG11)*Time!AG25/12*Inputs!$F$39</f>
        <v>4.39248697446573</v>
      </c>
      <c r="AH55" s="11" t="n">
        <f aca="false">Inputs!$F$148*(Inputs!$F$149*AH19+(1-Inputs!$F$149)*AH23*Inputs!$F$150/AH11)*Time!AH25/12*Inputs!$F$39</f>
        <v>4.44054146933793</v>
      </c>
      <c r="AI55" s="11" t="n">
        <f aca="false">Inputs!$F$148*(Inputs!$F$149*AI19+(1-Inputs!$F$149)*AI23*Inputs!$F$150/AI11)*Time!AI25/12*Inputs!$F$39</f>
        <v>4.48912168790398</v>
      </c>
      <c r="AJ55" s="11" t="n">
        <f aca="false">Inputs!$F$148*(Inputs!$F$149*AJ19+(1-Inputs!$F$149)*AJ23*Inputs!$F$150/AJ11)*Time!AJ25/12*Inputs!$F$39</f>
        <v>4.53823338166336</v>
      </c>
      <c r="AK55" s="11" t="n">
        <f aca="false">Inputs!$F$148*(Inputs!$F$149*AK19+(1-Inputs!$F$149)*AK23*Inputs!$F$150/AK11)*Time!AK25/12*Inputs!$F$39</f>
        <v>4.58788236503786</v>
      </c>
      <c r="AL55" s="11" t="n">
        <f aca="false">Inputs!$F$148*(Inputs!$F$149*AL19+(1-Inputs!$F$149)*AL23*Inputs!$F$150/AL11)*Time!AL25/12*Inputs!$F$39</f>
        <v>4.63807451605995</v>
      </c>
      <c r="AM55" s="11" t="n">
        <f aca="false">Inputs!$F$148*(Inputs!$F$149*AM19+(1-Inputs!$F$149)*AM23*Inputs!$F$150/AM11)*Time!AM25/12*Inputs!$F$39</f>
        <v>4.6888157770687</v>
      </c>
      <c r="AN55" s="11" t="n">
        <f aca="false">Inputs!$F$148*(Inputs!$F$149*AN19+(1-Inputs!$F$149)*AN23*Inputs!$F$150/AN11)*Time!AN25/12*Inputs!$F$39</f>
        <v>4.74011215541327</v>
      </c>
      <c r="AO55" s="11" t="n">
        <f aca="false">Inputs!$F$148*(Inputs!$F$149*AO19+(1-Inputs!$F$149)*AO23*Inputs!$F$150/AO11)*Time!AO25/12*Inputs!$F$39</f>
        <v>4.79196972416421</v>
      </c>
      <c r="AP55" s="11" t="n">
        <f aca="false">Inputs!$F$148*(Inputs!$F$149*AP19+(1-Inputs!$F$149)*AP23*Inputs!$F$150/AP11)*Time!AP25/12*Inputs!$F$39</f>
        <v>4.84439462283236</v>
      </c>
      <c r="AQ55" s="11" t="n">
        <f aca="false">Inputs!$F$148*(Inputs!$F$149*AQ19+(1-Inputs!$F$149)*AQ23*Inputs!$F$150/AQ11)*Time!AQ25/12*Inputs!$F$39</f>
        <v>4.89739305809582</v>
      </c>
      <c r="AR55" s="11" t="n">
        <f aca="false">Inputs!$F$148*(Inputs!$F$149*AR19+(1-Inputs!$F$149)*AR23*Inputs!$F$150/AR11)*Time!AR25/12*Inputs!$F$39</f>
        <v>4.95097130453468</v>
      </c>
      <c r="AS55" s="11" t="n">
        <f aca="false">Inputs!$F$148*(Inputs!$F$149*AS19+(1-Inputs!$F$149)*AS23*Inputs!$F$150/AS11)*Time!AS25/12*Inputs!$F$39</f>
        <v>5.00513570537393</v>
      </c>
      <c r="AT55" s="11" t="n">
        <f aca="false">Inputs!$F$148*(Inputs!$F$149*AT19+(1-Inputs!$F$149)*AT23*Inputs!$F$150/AT11)*Time!AT25/12*Inputs!$F$39</f>
        <v>5.05989267323444</v>
      </c>
      <c r="AU55" s="11" t="n">
        <f aca="false">Inputs!$F$148*(Inputs!$F$149*AU19+(1-Inputs!$F$149)*AU23*Inputs!$F$150/AU11)*Time!AU25/12*Inputs!$F$39</f>
        <v>5.11524869089215</v>
      </c>
      <c r="AV55" s="11" t="n">
        <f aca="false">Inputs!$F$148*(Inputs!$F$149*AV19+(1-Inputs!$F$149)*AV23*Inputs!$F$150/AV11)*Time!AV25/12*Inputs!$F$39</f>
        <v>5.1712103120456</v>
      </c>
      <c r="AW55" s="11" t="n">
        <f aca="false">Inputs!$F$148*(Inputs!$F$149*AW19+(1-Inputs!$F$149)*AW23*Inputs!$F$150/AW11)*Time!AW25/12*Inputs!$F$39</f>
        <v>5.22778416209178</v>
      </c>
      <c r="AX55" s="11" t="n">
        <f aca="false">Inputs!$F$148*(Inputs!$F$149*AX19+(1-Inputs!$F$149)*AX23*Inputs!$F$150/AX11)*Time!AX25/12*Inputs!$F$39</f>
        <v>5.2849769389106</v>
      </c>
      <c r="AY55" s="11" t="n">
        <f aca="false">Inputs!$F$148*(Inputs!$F$149*AY19+(1-Inputs!$F$149)*AY23*Inputs!$F$150/AY11)*Time!AY25/12*Inputs!$F$39</f>
        <v>5.3427954136578</v>
      </c>
      <c r="AZ55" s="11" t="n">
        <f aca="false">Inputs!$F$148*(Inputs!$F$149*AZ19+(1-Inputs!$F$149)*AZ23*Inputs!$F$150/AZ11)*Time!AZ25/12*Inputs!$F$39</f>
        <v>5.40124643156663</v>
      </c>
      <c r="BA55" s="11" t="n">
        <f aca="false">Inputs!$F$148*(Inputs!$F$149*BA19+(1-Inputs!$F$149)*BA23*Inputs!$F$150/BA11)*Time!BA25/12*Inputs!$F$39</f>
        <v>5.46033691275827</v>
      </c>
      <c r="BB55" s="11" t="n">
        <f aca="false">Inputs!$F$148*(Inputs!$F$149*BB19+(1-Inputs!$F$149)*BB23*Inputs!$F$150/BB11)*Time!BB25/12*Inputs!$F$39</f>
        <v>5.52007385306109</v>
      </c>
      <c r="BC55" s="11" t="n">
        <f aca="false">Inputs!$F$148*(Inputs!$F$149*BC19+(1-Inputs!$F$149)*BC23*Inputs!$F$150/BC11)*Time!BC25/12*Inputs!$F$39</f>
        <v>5.58046432483895</v>
      </c>
      <c r="BD55" s="11" t="n">
        <f aca="false">Inputs!$F$148*(Inputs!$F$149*BD19+(1-Inputs!$F$149)*BD23*Inputs!$F$150/BD11)*Time!BD25/12*Inputs!$F$39</f>
        <v>5.64151547782844</v>
      </c>
      <c r="BE55" s="11" t="n">
        <f aca="false">Inputs!$F$148*(Inputs!$F$149*BE19+(1-Inputs!$F$149)*BE23*Inputs!$F$150/BE11)*Time!BE25/12*Inputs!$F$39</f>
        <v>5.7032345399854</v>
      </c>
      <c r="BF55" s="11" t="n">
        <f aca="false">Inputs!$F$148*(Inputs!$F$149*BF19+(1-Inputs!$F$149)*BF23*Inputs!$F$150/BF11)*Time!BF25/12*Inputs!$F$39</f>
        <v>5.76562881834066</v>
      </c>
      <c r="BG55" s="11" t="n">
        <f aca="false">Inputs!$F$148*(Inputs!$F$149*BG19+(1-Inputs!$F$149)*BG23*Inputs!$F$150/BG11)*Time!BG25/12*Inputs!$F$39</f>
        <v>5.82870569986508</v>
      </c>
      <c r="BH55" s="11" t="n">
        <f aca="false">Inputs!$F$148*(Inputs!$F$149*BH19+(1-Inputs!$F$149)*BH23*Inputs!$F$150/BH11)*Time!BH25/12*Inputs!$F$39</f>
        <v>5.89247265234416</v>
      </c>
      <c r="BI55" s="11" t="n">
        <f aca="false">Inputs!$F$148*(Inputs!$F$149*BI19+(1-Inputs!$F$149)*BI23*Inputs!$F$150/BI11)*Time!BI25/12*Inputs!$F$39</f>
        <v>5.95693722526211</v>
      </c>
      <c r="BJ55" s="11" t="n">
        <f aca="false">Inputs!$F$148*(Inputs!$F$149*BJ19+(1-Inputs!$F$149)*BJ23*Inputs!$F$150/BJ11)*Time!BJ25/12*Inputs!$F$39</f>
        <v>6.02210705069572</v>
      </c>
      <c r="BK55" s="11" t="n">
        <f aca="false">Inputs!$F$148*(Inputs!$F$149*BK19+(1-Inputs!$F$149)*BK23*Inputs!$F$150/BK11)*Time!BK25/12*Inputs!$F$39</f>
        <v>6.08798984421788</v>
      </c>
      <c r="BL55" s="11" t="n">
        <f aca="false">Inputs!$F$148*(Inputs!$F$149*BL19+(1-Inputs!$F$149)*BL23*Inputs!$F$150/BL11)*Time!BL25/12*Inputs!$F$39</f>
        <v>6.15459340581103</v>
      </c>
      <c r="BM55" s="11" t="n">
        <f aca="false">Inputs!$F$148*(Inputs!$F$149*BM19+(1-Inputs!$F$149)*BM23*Inputs!$F$150/BM11)*Time!BM25/12*Inputs!$F$39</f>
        <v>4.14795041386045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90.174021899449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1.37756456081767</v>
      </c>
      <c r="R61" s="11" t="n">
        <f aca="false">Inputs!$F$156*(0.5*R19+0.5*R23*Inputs!$F$150/R11)*Time!R25/12*Inputs!$F$39</f>
        <v>1.39263533268535</v>
      </c>
      <c r="S61" s="11" t="n">
        <f aca="false">Inputs!$F$156*(0.5*S19+0.5*S23*Inputs!$F$150/S11)*Time!S25/12*Inputs!$F$39</f>
        <v>1.40787098115566</v>
      </c>
      <c r="T61" s="11" t="n">
        <f aca="false">Inputs!$F$156*(0.5*T19+0.5*T23*Inputs!$F$150/T11)*Time!T25/12*Inputs!$F$39</f>
        <v>1.42327331000443</v>
      </c>
      <c r="U61" s="11" t="n">
        <f aca="false">Inputs!$F$156*(0.5*U19+0.5*U23*Inputs!$F$150/U11)*Time!U25/12*Inputs!$F$39</f>
        <v>1.43884414274108</v>
      </c>
      <c r="V61" s="11" t="n">
        <f aca="false">Inputs!$F$156*(0.5*V19+0.5*V23*Inputs!$F$150/V11)*Time!V25/12*Inputs!$F$39</f>
        <v>1.45458532282453</v>
      </c>
      <c r="W61" s="11" t="n">
        <f aca="false">Inputs!$F$156*(0.5*W19+0.5*W23*Inputs!$F$150/W11)*Time!W25/12*Inputs!$F$39</f>
        <v>1.47049871388139</v>
      </c>
      <c r="X61" s="11" t="n">
        <f aca="false">Inputs!$F$156*(0.5*X19+0.5*X23*Inputs!$F$150/X11)*Time!X25/12*Inputs!$F$39</f>
        <v>1.48658619992667</v>
      </c>
      <c r="Y61" s="11" t="n">
        <f aca="false">Inputs!$F$156*(0.5*Y19+0.5*Y23*Inputs!$F$150/Y11)*Time!Y25/12*Inputs!$F$39</f>
        <v>1.50284968558678</v>
      </c>
      <c r="Z61" s="11" t="n">
        <f aca="false">Inputs!$F$156*(0.5*Z19+0.5*Z23*Inputs!$F$150/Z11)*Time!Z25/12*Inputs!$F$39</f>
        <v>1.51929109632505</v>
      </c>
      <c r="AA61" s="11" t="n">
        <f aca="false">Inputs!$F$156*(0.5*AA19+0.5*AA23*Inputs!$F$150/AA11)*Time!AA25/12*Inputs!$F$39</f>
        <v>1.53591237866969</v>
      </c>
      <c r="AB61" s="11" t="n">
        <f aca="false">Inputs!$F$156*(0.5*AB19+0.5*AB23*Inputs!$F$150/AB11)*Time!AB25/12*Inputs!$F$39</f>
        <v>1.5527155004442</v>
      </c>
      <c r="AC61" s="11" t="n">
        <f aca="false">Inputs!$F$156*(0.5*AC19+0.5*AC23*Inputs!$F$150/AC11)*Time!AC25/12*Inputs!$F$39</f>
        <v>1.56970245100042</v>
      </c>
      <c r="AD61" s="11" t="n">
        <f aca="false">Inputs!$F$156*(0.5*AD19+0.5*AD23*Inputs!$F$150/AD11)*Time!AD25/12*Inputs!$F$39</f>
        <v>1.58687524145397</v>
      </c>
      <c r="AE61" s="11" t="n">
        <f aca="false">Inputs!$F$156*(0.5*AE19+0.5*AE23*Inputs!$F$150/AE11)*Time!AE25/12*Inputs!$F$39</f>
        <v>1.60423590492243</v>
      </c>
      <c r="AF61" s="11" t="n">
        <f aca="false">Inputs!$F$156*(0.5*AF19+0.5*AF23*Inputs!$F$150/AF11)*Time!AF25/12*Inputs!$F$39</f>
        <v>1.62178649676596</v>
      </c>
      <c r="AG61" s="11" t="n">
        <f aca="false">Inputs!$F$156*(0.5*AG19+0.5*AG23*Inputs!$F$150/AG11)*Time!AG25/12*Inputs!$F$39</f>
        <v>1.63952909483072</v>
      </c>
      <c r="AH61" s="11" t="n">
        <f aca="false">Inputs!$F$156*(0.5*AH19+0.5*AH23*Inputs!$F$150/AH11)*Time!AH25/12*Inputs!$F$39</f>
        <v>1.65746579969481</v>
      </c>
      <c r="AI61" s="11" t="n">
        <f aca="false">Inputs!$F$156*(0.5*AI19+0.5*AI23*Inputs!$F$150/AI11)*Time!AI25/12*Inputs!$F$39</f>
        <v>1.675598734917</v>
      </c>
      <c r="AJ61" s="11" t="n">
        <f aca="false">Inputs!$F$156*(0.5*AJ19+0.5*AJ23*Inputs!$F$150/AJ11)*Time!AJ25/12*Inputs!$F$39</f>
        <v>1.6939300472881</v>
      </c>
      <c r="AK61" s="11" t="n">
        <f aca="false">Inputs!$F$156*(0.5*AK19+0.5*AK23*Inputs!$F$150/AK11)*Time!AK25/12*Inputs!$F$39</f>
        <v>1.71246190708517</v>
      </c>
      <c r="AL61" s="11" t="n">
        <f aca="false">Inputs!$F$156*(0.5*AL19+0.5*AL23*Inputs!$F$150/AL11)*Time!AL25/12*Inputs!$F$39</f>
        <v>1.73119650832844</v>
      </c>
      <c r="AM61" s="11" t="n">
        <f aca="false">Inputs!$F$156*(0.5*AM19+0.5*AM23*Inputs!$F$150/AM11)*Time!AM25/12*Inputs!$F$39</f>
        <v>1.75013606904104</v>
      </c>
      <c r="AN61" s="11" t="n">
        <f aca="false">Inputs!$F$156*(0.5*AN19+0.5*AN23*Inputs!$F$150/AN11)*Time!AN25/12*Inputs!$F$39</f>
        <v>1.76928283151166</v>
      </c>
      <c r="AO61" s="11" t="n">
        <f aca="false">Inputs!$F$156*(0.5*AO19+0.5*AO23*Inputs!$F$150/AO11)*Time!AO25/12*Inputs!$F$39</f>
        <v>1.78863906255995</v>
      </c>
      <c r="AP61" s="11" t="n">
        <f aca="false">Inputs!$F$156*(0.5*AP19+0.5*AP23*Inputs!$F$150/AP11)*Time!AP25/12*Inputs!$F$39</f>
        <v>1.80820705380492</v>
      </c>
      <c r="AQ61" s="11" t="n">
        <f aca="false">Inputs!$F$156*(0.5*AQ19+0.5*AQ23*Inputs!$F$150/AQ11)*Time!AQ25/12*Inputs!$F$39</f>
        <v>1.82798912193627</v>
      </c>
      <c r="AR61" s="11" t="n">
        <f aca="false">Inputs!$F$156*(0.5*AR19+0.5*AR23*Inputs!$F$150/AR11)*Time!AR25/12*Inputs!$F$39</f>
        <v>1.84798760898863</v>
      </c>
      <c r="AS61" s="11" t="n">
        <f aca="false">Inputs!$F$156*(0.5*AS19+0.5*AS23*Inputs!$F$150/AS11)*Time!AS25/12*Inputs!$F$39</f>
        <v>1.86820488261886</v>
      </c>
      <c r="AT61" s="11" t="n">
        <f aca="false">Inputs!$F$156*(0.5*AT19+0.5*AT23*Inputs!$F$150/AT11)*Time!AT25/12*Inputs!$F$39</f>
        <v>1.88864333638638</v>
      </c>
      <c r="AU61" s="11" t="n">
        <f aca="false">Inputs!$F$156*(0.5*AU19+0.5*AU23*Inputs!$F$150/AU11)*Time!AU25/12*Inputs!$F$39</f>
        <v>1.90930539003648</v>
      </c>
      <c r="AV61" s="11" t="n">
        <f aca="false">Inputs!$F$156*(0.5*AV19+0.5*AV23*Inputs!$F$150/AV11)*Time!AV25/12*Inputs!$F$39</f>
        <v>1.93019348978688</v>
      </c>
      <c r="AW61" s="11" t="n">
        <f aca="false">Inputs!$F$156*(0.5*AW19+0.5*AW23*Inputs!$F$150/AW11)*Time!AW25/12*Inputs!$F$39</f>
        <v>1.95131010861728</v>
      </c>
      <c r="AX61" s="11" t="n">
        <f aca="false">Inputs!$F$156*(0.5*AX19+0.5*AX23*Inputs!$F$150/AX11)*Time!AX25/12*Inputs!$F$39</f>
        <v>1.97265774656219</v>
      </c>
      <c r="AY61" s="11" t="n">
        <f aca="false">Inputs!$F$156*(0.5*AY19+0.5*AY23*Inputs!$F$150/AY11)*Time!AY25/12*Inputs!$F$39</f>
        <v>1.99423893100686</v>
      </c>
      <c r="AZ61" s="11" t="n">
        <f aca="false">Inputs!$F$156*(0.5*AZ19+0.5*AZ23*Inputs!$F$150/AZ11)*Time!AZ25/12*Inputs!$F$39</f>
        <v>2.01605621698656</v>
      </c>
      <c r="BA61" s="11" t="n">
        <f aca="false">Inputs!$F$156*(0.5*BA19+0.5*BA23*Inputs!$F$150/BA11)*Time!BA25/12*Inputs!$F$39</f>
        <v>2.03811218748901</v>
      </c>
      <c r="BB61" s="11" t="n">
        <f aca="false">Inputs!$F$156*(0.5*BB19+0.5*BB23*Inputs!$F$150/BB11)*Time!BB25/12*Inputs!$F$39</f>
        <v>2.06040945376026</v>
      </c>
      <c r="BC61" s="11" t="n">
        <f aca="false">Inputs!$F$156*(0.5*BC19+0.5*BC23*Inputs!$F$150/BC11)*Time!BC25/12*Inputs!$F$39</f>
        <v>2.08295065561377</v>
      </c>
      <c r="BD61" s="11" t="n">
        <f aca="false">Inputs!$F$156*(0.5*BD19+0.5*BD23*Inputs!$F$150/BD11)*Time!BD25/12*Inputs!$F$39</f>
        <v>2.10573846174298</v>
      </c>
      <c r="BE61" s="11" t="n">
        <f aca="false">Inputs!$F$156*(0.5*BE19+0.5*BE23*Inputs!$F$150/BE11)*Time!BE25/12*Inputs!$F$39</f>
        <v>2.12877557003727</v>
      </c>
      <c r="BF61" s="11" t="n">
        <f aca="false">Inputs!$F$156*(0.5*BF19+0.5*BF23*Inputs!$F$150/BF11)*Time!BF25/12*Inputs!$F$39</f>
        <v>2.15206470790133</v>
      </c>
      <c r="BG61" s="11" t="n">
        <f aca="false">Inputs!$F$156*(0.5*BG19+0.5*BG23*Inputs!$F$150/BG11)*Time!BG25/12*Inputs!$F$39</f>
        <v>2.17560863257809</v>
      </c>
      <c r="BH61" s="11" t="n">
        <f aca="false">Inputs!$F$156*(0.5*BH19+0.5*BH23*Inputs!$F$150/BH11)*Time!BH25/12*Inputs!$F$39</f>
        <v>2.19941013147516</v>
      </c>
      <c r="BI61" s="11" t="n">
        <f aca="false">Inputs!$F$156*(0.5*BI19+0.5*BI23*Inputs!$F$150/BI11)*Time!BI25/12*Inputs!$F$39</f>
        <v>2.22347202249481</v>
      </c>
      <c r="BJ61" s="11" t="n">
        <f aca="false">Inputs!$F$156*(0.5*BJ19+0.5*BJ23*Inputs!$F$150/BJ11)*Time!BJ25/12*Inputs!$F$39</f>
        <v>2.24779715436761</v>
      </c>
      <c r="BK61" s="11" t="n">
        <f aca="false">Inputs!$F$156*(0.5*BK19+0.5*BK23*Inputs!$F$150/BK11)*Time!BK25/12*Inputs!$F$39</f>
        <v>2.27238840698969</v>
      </c>
      <c r="BL61" s="11" t="n">
        <f aca="false">Inputs!$F$156*(0.5*BL19+0.5*BL23*Inputs!$F$150/BL11)*Time!BL25/12*Inputs!$F$39</f>
        <v>2.2972486917637</v>
      </c>
      <c r="BM61" s="11" t="n">
        <f aca="false">Inputs!$F$156*(0.5*BM19+0.5*BM23*Inputs!$F$150/BM11)*Time!BM25/12*Inputs!$F$39</f>
        <v>1.54825396796231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15.2231752863897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0.230625851695631</v>
      </c>
      <c r="R62" s="11" t="n">
        <f aca="false">Inputs!$F$157*R23/R11*Time!R25/12*Inputs!$F$39</f>
        <v>0.233148934603361</v>
      </c>
      <c r="S62" s="11" t="n">
        <f aca="false">Inputs!$F$157*S23/S11*Time!S25/12*Inputs!$F$39</f>
        <v>0.235699620432934</v>
      </c>
      <c r="T62" s="11" t="n">
        <f aca="false">Inputs!$F$157*T23/T11*Time!T25/12*Inputs!$F$39</f>
        <v>0.238278211164635</v>
      </c>
      <c r="U62" s="11" t="n">
        <f aca="false">Inputs!$F$157*U23/U11*Time!U25/12*Inputs!$F$39</f>
        <v>0.240885012082459</v>
      </c>
      <c r="V62" s="11" t="n">
        <f aca="false">Inputs!$F$157*V23/V11*Time!V25/12*Inputs!$F$39</f>
        <v>0.243520331810257</v>
      </c>
      <c r="W62" s="11" t="n">
        <f aca="false">Inputs!$F$157*W23/W11*Time!W25/12*Inputs!$F$39</f>
        <v>0.246184482348273</v>
      </c>
      <c r="X62" s="11" t="n">
        <f aca="false">Inputs!$F$157*X23/X11*Time!X25/12*Inputs!$F$39</f>
        <v>0.248877779110083</v>
      </c>
      <c r="Y62" s="11" t="n">
        <f aca="false">Inputs!$F$157*Y23/Y11*Time!Y25/12*Inputs!$F$39</f>
        <v>0.251600540959935</v>
      </c>
      <c r="Z62" s="11" t="n">
        <f aca="false">Inputs!$F$157*Z23/Z11*Time!Z25/12*Inputs!$F$39</f>
        <v>0.254353090250505</v>
      </c>
      <c r="AA62" s="11" t="n">
        <f aca="false">Inputs!$F$157*AA23/AA11*Time!AA25/12*Inputs!$F$39</f>
        <v>0.257135752861054</v>
      </c>
      <c r="AB62" s="11" t="n">
        <f aca="false">Inputs!$F$157*AB23/AB11*Time!AB25/12*Inputs!$F$39</f>
        <v>0.259948858236016</v>
      </c>
      <c r="AC62" s="11" t="n">
        <f aca="false">Inputs!$F$157*AC23/AC11*Time!AC25/12*Inputs!$F$39</f>
        <v>0.262792739423997</v>
      </c>
      <c r="AD62" s="11" t="n">
        <f aca="false">Inputs!$F$157*AD23/AD11*Time!AD25/12*Inputs!$F$39</f>
        <v>0.265667733117208</v>
      </c>
      <c r="AE62" s="11" t="n">
        <f aca="false">Inputs!$F$157*AE23/AE11*Time!AE25/12*Inputs!$F$39</f>
        <v>0.268574179691325</v>
      </c>
      <c r="AF62" s="11" t="n">
        <f aca="false">Inputs!$F$157*AF23/AF11*Time!AF25/12*Inputs!$F$39</f>
        <v>0.271512423245787</v>
      </c>
      <c r="AG62" s="11" t="n">
        <f aca="false">Inputs!$F$157*AG23/AG11*Time!AG25/12*Inputs!$F$39</f>
        <v>0.274482811644534</v>
      </c>
      <c r="AH62" s="11" t="n">
        <f aca="false">Inputs!$F$157*AH23/AH11*Time!AH25/12*Inputs!$F$39</f>
        <v>0.277485696557194</v>
      </c>
      <c r="AI62" s="11" t="n">
        <f aca="false">Inputs!$F$157*AI23/AI11*Time!AI25/12*Inputs!$F$39</f>
        <v>0.280521433500714</v>
      </c>
      <c r="AJ62" s="11" t="n">
        <f aca="false">Inputs!$F$157*AJ23/AJ11*Time!AJ25/12*Inputs!$F$39</f>
        <v>0.283590381881452</v>
      </c>
      <c r="AK62" s="11" t="n">
        <f aca="false">Inputs!$F$157*AK23/AK11*Time!AK25/12*Inputs!$F$39</f>
        <v>0.286692905037729</v>
      </c>
      <c r="AL62" s="11" t="n">
        <f aca="false">Inputs!$F$157*AL23/AL11*Time!AL25/12*Inputs!$F$39</f>
        <v>0.289829370282844</v>
      </c>
      <c r="AM62" s="11" t="n">
        <f aca="false">Inputs!$F$157*AM23/AM11*Time!AM25/12*Inputs!$F$39</f>
        <v>0.293000148948559</v>
      </c>
      <c r="AN62" s="11" t="n">
        <f aca="false">Inputs!$F$157*AN23/AN11*Time!AN25/12*Inputs!$F$39</f>
        <v>0.296205616429067</v>
      </c>
      <c r="AO62" s="11" t="n">
        <f aca="false">Inputs!$F$157*AO23/AO11*Time!AO25/12*Inputs!$F$39</f>
        <v>0.299446152225428</v>
      </c>
      <c r="AP62" s="11" t="n">
        <f aca="false">Inputs!$F$157*AP23/AP11*Time!AP25/12*Inputs!$F$39</f>
        <v>0.302722139990506</v>
      </c>
      <c r="AQ62" s="11" t="n">
        <f aca="false">Inputs!$F$157*AQ23/AQ11*Time!AQ25/12*Inputs!$F$39</f>
        <v>0.306033967574387</v>
      </c>
      <c r="AR62" s="11" t="n">
        <f aca="false">Inputs!$F$157*AR23/AR11*Time!AR25/12*Inputs!$F$39</f>
        <v>0.309382027070297</v>
      </c>
      <c r="AS62" s="11" t="n">
        <f aca="false">Inputs!$F$157*AS23/AS11*Time!AS25/12*Inputs!$F$39</f>
        <v>0.312766714861024</v>
      </c>
      <c r="AT62" s="11" t="n">
        <f aca="false">Inputs!$F$157*AT23/AT11*Time!AT25/12*Inputs!$F$39</f>
        <v>0.316188431665844</v>
      </c>
      <c r="AU62" s="11" t="n">
        <f aca="false">Inputs!$F$157*AU23/AU11*Time!AU25/12*Inputs!$F$39</f>
        <v>0.319647582587966</v>
      </c>
      <c r="AV62" s="11" t="n">
        <f aca="false">Inputs!$F$157*AV23/AV11*Time!AV25/12*Inputs!$F$39</f>
        <v>0.323144577162492</v>
      </c>
      <c r="AW62" s="11" t="n">
        <f aca="false">Inputs!$F$157*AW23/AW11*Time!AW25/12*Inputs!$F$39</f>
        <v>0.326679829404902</v>
      </c>
      <c r="AX62" s="11" t="n">
        <f aca="false">Inputs!$F$157*AX23/AX11*Time!AX25/12*Inputs!$F$39</f>
        <v>0.330253757860067</v>
      </c>
      <c r="AY62" s="11" t="n">
        <f aca="false">Inputs!$F$157*AY23/AY11*Time!AY25/12*Inputs!$F$39</f>
        <v>0.333866785651809</v>
      </c>
      <c r="AZ62" s="11" t="n">
        <f aca="false">Inputs!$F$157*AZ23/AZ11*Time!AZ25/12*Inputs!$F$39</f>
        <v>0.337519340532989</v>
      </c>
      <c r="BA62" s="11" t="n">
        <f aca="false">Inputs!$F$157*BA23/BA11*Time!BA25/12*Inputs!$F$39</f>
        <v>0.341211854936149</v>
      </c>
      <c r="BB62" s="11" t="n">
        <f aca="false">Inputs!$F$157*BB23/BB11*Time!BB25/12*Inputs!$F$39</f>
        <v>0.344944766024714</v>
      </c>
      <c r="BC62" s="11" t="n">
        <f aca="false">Inputs!$F$157*BC23/BC11*Time!BC25/12*Inputs!$F$39</f>
        <v>0.348718515744744</v>
      </c>
      <c r="BD62" s="11" t="n">
        <f aca="false">Inputs!$F$157*BD23/BD11*Time!BD25/12*Inputs!$F$39</f>
        <v>0.352533550877258</v>
      </c>
      <c r="BE62" s="11" t="n">
        <f aca="false">Inputs!$F$157*BE23/BE11*Time!BE25/12*Inputs!$F$39</f>
        <v>0.356390323091129</v>
      </c>
      <c r="BF62" s="11" t="n">
        <f aca="false">Inputs!$F$157*BF23/BF11*Time!BF25/12*Inputs!$F$39</f>
        <v>0.360289288996558</v>
      </c>
      <c r="BG62" s="11" t="n">
        <f aca="false">Inputs!$F$157*BG23/BG11*Time!BG25/12*Inputs!$F$39</f>
        <v>0.364230910199134</v>
      </c>
      <c r="BH62" s="11" t="n">
        <f aca="false">Inputs!$F$157*BH23/BH11*Time!BH25/12*Inputs!$F$39</f>
        <v>0.368215653354482</v>
      </c>
      <c r="BI62" s="11" t="n">
        <f aca="false">Inputs!$F$157*BI23/BI11*Time!BI25/12*Inputs!$F$39</f>
        <v>0.372243990223515</v>
      </c>
      <c r="BJ62" s="11" t="n">
        <f aca="false">Inputs!$F$157*BJ23/BJ11*Time!BJ25/12*Inputs!$F$39</f>
        <v>0.376316397728281</v>
      </c>
      <c r="BK62" s="11" t="n">
        <f aca="false">Inputs!$F$157*BK23/BK11*Time!BK25/12*Inputs!$F$39</f>
        <v>0.380433358008432</v>
      </c>
      <c r="BL62" s="11" t="n">
        <f aca="false">Inputs!$F$157*BL23/BL11*Time!BL25/12*Inputs!$F$39</f>
        <v>0.384595358478303</v>
      </c>
      <c r="BM62" s="11" t="n">
        <f aca="false">Inputs!$F$157*BM23/BM11*Time!BM25/12*Inputs!$F$39</f>
        <v>0.259201927923078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20.2537114964387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0.363870117072381</v>
      </c>
      <c r="R63" s="11" t="n">
        <f aca="false">Inputs!$F$158/100*R50</f>
        <v>0.365139986483354</v>
      </c>
      <c r="S63" s="11" t="n">
        <f aca="false">Inputs!$F$158/100*S50</f>
        <v>0.366788148868268</v>
      </c>
      <c r="T63" s="11" t="n">
        <f aca="false">Inputs!$F$158/100*T50</f>
        <v>0.368578759049608</v>
      </c>
      <c r="U63" s="11" t="n">
        <f aca="false">Inputs!$F$158/100*U50</f>
        <v>0.369697448218708</v>
      </c>
      <c r="V63" s="11" t="n">
        <f aca="false">Inputs!$F$158/100*V50</f>
        <v>0.370375502543934</v>
      </c>
      <c r="W63" s="11" t="n">
        <f aca="false">Inputs!$F$158/100*W50</f>
        <v>0.372411016379264</v>
      </c>
      <c r="X63" s="11" t="n">
        <f aca="false">Inputs!$F$158/100*X50</f>
        <v>0.374930291110003</v>
      </c>
      <c r="Y63" s="11" t="n">
        <f aca="false">Inputs!$F$158/100*Y50</f>
        <v>0.376431019062512</v>
      </c>
      <c r="Z63" s="11" t="n">
        <f aca="false">Inputs!$F$158/100*Z50</f>
        <v>0.377815288586593</v>
      </c>
      <c r="AA63" s="11" t="n">
        <f aca="false">Inputs!$F$158/100*AA50</f>
        <v>0.379609851939604</v>
      </c>
      <c r="AB63" s="11" t="n">
        <f aca="false">Inputs!$F$158/100*AB50</f>
        <v>0.3815589594193</v>
      </c>
      <c r="AC63" s="11" t="n">
        <f aca="false">Inputs!$F$158/100*AC50</f>
        <v>0.382493757156924</v>
      </c>
      <c r="AD63" s="11" t="n">
        <f aca="false">Inputs!$F$158/100*AD50</f>
        <v>0.377713071977659</v>
      </c>
      <c r="AE63" s="11" t="n">
        <f aca="false">Inputs!$F$158/100*AE50</f>
        <v>0.385154054340102</v>
      </c>
      <c r="AF63" s="11" t="n">
        <f aca="false">Inputs!$F$158/100*AF50</f>
        <v>0.388476851656886</v>
      </c>
      <c r="AG63" s="11" t="n">
        <f aca="false">Inputs!$F$158/100*AG50</f>
        <v>0.390112022773292</v>
      </c>
      <c r="AH63" s="11" t="n">
        <f aca="false">Inputs!$F$158/100*AH50</f>
        <v>0.391620997562034</v>
      </c>
      <c r="AI63" s="11" t="n">
        <f aca="false">Inputs!$F$158/100*AI50</f>
        <v>0.393574958802883</v>
      </c>
      <c r="AJ63" s="11" t="n">
        <f aca="false">Inputs!$F$158/100*AJ50</f>
        <v>0.395696582514319</v>
      </c>
      <c r="AK63" s="11" t="n">
        <f aca="false">Inputs!$F$158/100*AK50</f>
        <v>0.397028315097894</v>
      </c>
      <c r="AL63" s="11" t="n">
        <f aca="false">Inputs!$F$158/100*AL50</f>
        <v>0.397842129174181</v>
      </c>
      <c r="AM63" s="11" t="n">
        <f aca="false">Inputs!$F$158/100*AM50</f>
        <v>0.400252238302894</v>
      </c>
      <c r="AN63" s="11" t="n">
        <f aca="false">Inputs!$F$158/100*AN50</f>
        <v>0.403231316663135</v>
      </c>
      <c r="AO63" s="11" t="n">
        <f aca="false">Inputs!$F$158/100*AO50</f>
        <v>0.405012972292633</v>
      </c>
      <c r="AP63" s="11" t="n">
        <f aca="false">Inputs!$F$158/100*AP50</f>
        <v>0.406657885698706</v>
      </c>
      <c r="AQ63" s="11" t="n">
        <f aca="false">Inputs!$F$158/100*AQ50</f>
        <v>0.408785394874319</v>
      </c>
      <c r="AR63" s="11" t="n">
        <f aca="false">Inputs!$F$158/100*AR50</f>
        <v>0.411094792723178</v>
      </c>
      <c r="AS63" s="11" t="n">
        <f aca="false">Inputs!$F$158/100*AS50</f>
        <v>0.412211816373063</v>
      </c>
      <c r="AT63" s="11" t="n">
        <f aca="false">Inputs!$F$158/100*AT50</f>
        <v>0.407150554170371</v>
      </c>
      <c r="AU63" s="11" t="n">
        <f aca="false">Inputs!$F$158/100*AU50</f>
        <v>0.415376128273781</v>
      </c>
      <c r="AV63" s="11" t="n">
        <f aca="false">Inputs!$F$158/100*AV50</f>
        <v>0.419301348275042</v>
      </c>
      <c r="AW63" s="11" t="n">
        <f aca="false">Inputs!$F$158/100*AW50</f>
        <v>0.421242607988684</v>
      </c>
      <c r="AX63" s="11" t="n">
        <f aca="false">Inputs!$F$158/100*AX50</f>
        <v>0.423035705162507</v>
      </c>
      <c r="AY63" s="11" t="n">
        <f aca="false">Inputs!$F$158/100*AY50</f>
        <v>0.425352167691761</v>
      </c>
      <c r="AZ63" s="11" t="n">
        <f aca="false">Inputs!$F$158/100*AZ50</f>
        <v>0.427865945962063</v>
      </c>
      <c r="BA63" s="11" t="n">
        <f aca="false">Inputs!$F$158/100*BA50</f>
        <v>0.429451293910653</v>
      </c>
      <c r="BB63" s="11" t="n">
        <f aca="false">Inputs!$F$158/100*BB50</f>
        <v>0.430427980950213</v>
      </c>
      <c r="BC63" s="11" t="n">
        <f aca="false">Inputs!$F$158/100*BC50</f>
        <v>0.433281545469208</v>
      </c>
      <c r="BD63" s="11" t="n">
        <f aca="false">Inputs!$F$158/100*BD50</f>
        <v>0.436804200729325</v>
      </c>
      <c r="BE63" s="11" t="n">
        <f aca="false">Inputs!$F$158/100*BE50</f>
        <v>0.438919358843816</v>
      </c>
      <c r="BF63" s="11" t="n">
        <f aca="false">Inputs!$F$158/100*BF50</f>
        <v>0.440873987858429</v>
      </c>
      <c r="BG63" s="11" t="n">
        <f aca="false">Inputs!$F$158/100*BG50</f>
        <v>0.443396175836702</v>
      </c>
      <c r="BH63" s="11" t="n">
        <f aca="false">Inputs!$F$158/100*BH50</f>
        <v>0.446132408249168</v>
      </c>
      <c r="BI63" s="11" t="n">
        <f aca="false">Inputs!$F$158/100*BI50</f>
        <v>0.447467158956729</v>
      </c>
      <c r="BJ63" s="11" t="n">
        <f aca="false">Inputs!$F$158/100*BJ50</f>
        <v>0.442074972477229</v>
      </c>
      <c r="BK63" s="11" t="n">
        <f aca="false">Inputs!$F$158/100*BK50</f>
        <v>0.451230973891221</v>
      </c>
      <c r="BL63" s="11" t="n">
        <f aca="false">Inputs!$F$158/100*BL50</f>
        <v>0.455867574584867</v>
      </c>
      <c r="BM63" s="11" t="n">
        <f aca="false">Inputs!$F$158/100*BM50</f>
        <v>0.305583284000747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119.079427845403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1.8774130421154</v>
      </c>
      <c r="R64" s="11" t="n">
        <f aca="false">Inputs!$F$159*(0.7*R19+0.3*R23*Inputs!$F$150/R11)*R33/1000000</f>
        <v>1.88435658493301</v>
      </c>
      <c r="S64" s="11" t="n">
        <f aca="false">Inputs!$F$159*(0.7*S19+0.3*S23*Inputs!$F$150/S11)*S33/1000000</f>
        <v>1.9096870307896</v>
      </c>
      <c r="T64" s="11" t="n">
        <f aca="false">Inputs!$F$159*(0.7*T19+0.3*T23*Inputs!$F$150/T11)*T33/1000000</f>
        <v>1.94154647025296</v>
      </c>
      <c r="U64" s="11" t="n">
        <f aca="false">Inputs!$F$159*(0.7*U19+0.3*U23*Inputs!$F$150/U11)*U33/1000000</f>
        <v>1.93900639384497</v>
      </c>
      <c r="V64" s="11" t="n">
        <f aca="false">Inputs!$F$159*(0.7*V19+0.3*V23*Inputs!$F$150/V11)*V33/1000000</f>
        <v>1.9136818608843</v>
      </c>
      <c r="W64" s="11" t="n">
        <f aca="false">Inputs!$F$159*(0.7*W19+0.3*W23*Inputs!$F$150/W11)*W33/1000000</f>
        <v>1.95591918896272</v>
      </c>
      <c r="X64" s="11" t="n">
        <f aca="false">Inputs!$F$159*(0.7*X19+0.3*X23*Inputs!$F$150/X11)*X33/1000000</f>
        <v>2.02180834696317</v>
      </c>
      <c r="Y64" s="11" t="n">
        <f aca="false">Inputs!$F$159*(0.7*Y19+0.3*Y23*Inputs!$F$150/Y11)*Y33/1000000</f>
        <v>2.03585193250058</v>
      </c>
      <c r="Z64" s="11" t="n">
        <f aca="false">Inputs!$F$159*(0.7*Z19+0.3*Z23*Inputs!$F$150/Z11)*Z33/1000000</f>
        <v>2.04337217244228</v>
      </c>
      <c r="AA64" s="11" t="n">
        <f aca="false">Inputs!$F$159*(0.7*AA19+0.3*AA23*Inputs!$F$150/AA11)*AA33/1000000</f>
        <v>2.07083076164914</v>
      </c>
      <c r="AB64" s="11" t="n">
        <f aca="false">Inputs!$F$159*(0.7*AB19+0.3*AB23*Inputs!$F$150/AB11)*AB33/1000000</f>
        <v>2.10536897918796</v>
      </c>
      <c r="AC64" s="11" t="n">
        <f aca="false">Inputs!$F$159*(0.7*AC19+0.3*AC23*Inputs!$F$150/AC11)*AC33/1000000</f>
        <v>2.08824499131892</v>
      </c>
      <c r="AD64" s="11" t="n">
        <f aca="false">Inputs!$F$159*(0.7*AD19+0.3*AD23*Inputs!$F$150/AD11)*AD33/1000000</f>
        <v>2.03161600499686</v>
      </c>
      <c r="AE64" s="11" t="n">
        <f aca="false">Inputs!$F$159*(0.7*AE19+0.3*AE23*Inputs!$F$150/AE11)*AE33/1000000</f>
        <v>2.09161801545348</v>
      </c>
      <c r="AF64" s="11" t="n">
        <f aca="false">Inputs!$F$159*(0.7*AF19+0.3*AF23*Inputs!$F$150/AF11)*AF33/1000000</f>
        <v>2.19236302629895</v>
      </c>
      <c r="AG64" s="11" t="n">
        <f aca="false">Inputs!$F$159*(0.7*AG19+0.3*AG23*Inputs!$F$150/AG11)*AG33/1000000</f>
        <v>2.20758115754048</v>
      </c>
      <c r="AH64" s="11" t="n">
        <f aca="false">Inputs!$F$159*(0.7*AH19+0.3*AH23*Inputs!$F$150/AH11)*AH33/1000000</f>
        <v>2.21572555985183</v>
      </c>
      <c r="AI64" s="11" t="n">
        <f aca="false">Inputs!$F$159*(0.7*AI19+0.3*AI23*Inputs!$F$150/AI11)*AI33/1000000</f>
        <v>2.2454898718207</v>
      </c>
      <c r="AJ64" s="11" t="n">
        <f aca="false">Inputs!$F$159*(0.7*AJ19+0.3*AJ23*Inputs!$F$150/AJ11)*AJ33/1000000</f>
        <v>2.28293060037872</v>
      </c>
      <c r="AK64" s="11" t="n">
        <f aca="false">Inputs!$F$159*(0.7*AK19+0.3*AK23*Inputs!$F$150/AK11)*AK33/1000000</f>
        <v>2.27992296290084</v>
      </c>
      <c r="AL64" s="11" t="n">
        <f aca="false">Inputs!$F$159*(0.7*AL19+0.3*AL23*Inputs!$F$150/AL11)*AL33/1000000</f>
        <v>2.25012516997532</v>
      </c>
      <c r="AM64" s="11" t="n">
        <f aca="false">Inputs!$F$159*(0.7*AM19+0.3*AM23*Inputs!$F$150/AM11)*AM33/1000000</f>
        <v>2.29976703527397</v>
      </c>
      <c r="AN64" s="11" t="n">
        <f aca="false">Inputs!$F$159*(0.7*AN19+0.3*AN23*Inputs!$F$150/AN11)*AN33/1000000</f>
        <v>2.3772174848701</v>
      </c>
      <c r="AO64" s="11" t="n">
        <f aca="false">Inputs!$F$159*(0.7*AO19+0.3*AO23*Inputs!$F$150/AO11)*AO33/1000000</f>
        <v>2.39370764516088</v>
      </c>
      <c r="AP64" s="11" t="n">
        <f aca="false">Inputs!$F$159*(0.7*AP19+0.3*AP23*Inputs!$F$150/AP11)*AP33/1000000</f>
        <v>2.40252753866488</v>
      </c>
      <c r="AQ64" s="11" t="n">
        <f aca="false">Inputs!$F$159*(0.7*AQ19+0.3*AQ23*Inputs!$F$150/AQ11)*AQ33/1000000</f>
        <v>2.4347898508096</v>
      </c>
      <c r="AR64" s="11" t="n">
        <f aca="false">Inputs!$F$159*(0.7*AR19+0.3*AR23*Inputs!$F$150/AR11)*AR33/1000000</f>
        <v>2.47537536188826</v>
      </c>
      <c r="AS64" s="11" t="n">
        <f aca="false">Inputs!$F$159*(0.7*AS19+0.3*AS23*Inputs!$F$150/AS11)*AS33/1000000</f>
        <v>2.45521911013203</v>
      </c>
      <c r="AT64" s="11" t="n">
        <f aca="false">Inputs!$F$159*(0.7*AT19+0.3*AT23*Inputs!$F$150/AT11)*AT33/1000000</f>
        <v>2.38861628976686</v>
      </c>
      <c r="AU64" s="11" t="n">
        <f aca="false">Inputs!$F$159*(0.7*AU19+0.3*AU23*Inputs!$F$150/AU11)*AU33/1000000</f>
        <v>2.45913906424822</v>
      </c>
      <c r="AV64" s="11" t="n">
        <f aca="false">Inputs!$F$159*(0.7*AV19+0.3*AV23*Inputs!$F$150/AV11)*AV33/1000000</f>
        <v>2.57756204853368</v>
      </c>
      <c r="AW64" s="11" t="n">
        <f aca="false">Inputs!$F$159*(0.7*AW19+0.3*AW23*Inputs!$F$150/AW11)*AW33/1000000</f>
        <v>2.59542973777105</v>
      </c>
      <c r="AX64" s="11" t="n">
        <f aca="false">Inputs!$F$159*(0.7*AX19+0.3*AX23*Inputs!$F$150/AX11)*AX33/1000000</f>
        <v>2.60498062502784</v>
      </c>
      <c r="AY64" s="11" t="n">
        <f aca="false">Inputs!$F$159*(0.7*AY19+0.3*AY23*Inputs!$F$150/AY11)*AY33/1000000</f>
        <v>2.63994911742054</v>
      </c>
      <c r="AZ64" s="11" t="n">
        <f aca="false">Inputs!$F$159*(0.7*AZ19+0.3*AZ23*Inputs!$F$150/AZ11)*AZ33/1000000</f>
        <v>2.68394174255701</v>
      </c>
      <c r="BA64" s="11" t="n">
        <f aca="false">Inputs!$F$159*(0.7*BA19+0.3*BA23*Inputs!$F$150/BA11)*BA33/1000000</f>
        <v>2.68038057259711</v>
      </c>
      <c r="BB64" s="11" t="n">
        <f aca="false">Inputs!$F$159*(0.7*BB19+0.3*BB23*Inputs!$F$150/BB11)*BB33/1000000</f>
        <v>2.64532400890659</v>
      </c>
      <c r="BC64" s="11" t="n">
        <f aca="false">Inputs!$F$159*(0.7*BC19+0.3*BC23*Inputs!$F$150/BC11)*BC33/1000000</f>
        <v>2.7036591621204</v>
      </c>
      <c r="BD64" s="11" t="n">
        <f aca="false">Inputs!$F$159*(0.7*BD19+0.3*BD23*Inputs!$F$150/BD11)*BD33/1000000</f>
        <v>2.7946852777401</v>
      </c>
      <c r="BE64" s="11" t="n">
        <f aca="false">Inputs!$F$159*(0.7*BE19+0.3*BE23*Inputs!$F$150/BE11)*BE33/1000000</f>
        <v>2.81404466421714</v>
      </c>
      <c r="BF64" s="11" t="n">
        <f aca="false">Inputs!$F$159*(0.7*BF19+0.3*BF23*Inputs!$F$150/BF11)*BF33/1000000</f>
        <v>2.82438655614291</v>
      </c>
      <c r="BG64" s="11" t="n">
        <f aca="false">Inputs!$F$159*(0.7*BG19+0.3*BG23*Inputs!$F$150/BG11)*BG33/1000000</f>
        <v>2.86228661371762</v>
      </c>
      <c r="BH64" s="11" t="n">
        <f aca="false">Inputs!$F$159*(0.7*BH19+0.3*BH23*Inputs!$F$150/BH11)*BH33/1000000</f>
        <v>2.90997038937162</v>
      </c>
      <c r="BI64" s="11" t="n">
        <f aca="false">Inputs!$F$159*(0.7*BI19+0.3*BI23*Inputs!$F$150/BI11)*BI33/1000000</f>
        <v>2.88624786289632</v>
      </c>
      <c r="BJ64" s="11" t="n">
        <f aca="false">Inputs!$F$159*(0.7*BJ19+0.3*BJ23*Inputs!$F$150/BJ11)*BJ33/1000000</f>
        <v>2.80792571873638</v>
      </c>
      <c r="BK64" s="11" t="n">
        <f aca="false">Inputs!$F$159*(0.7*BK19+0.3*BK23*Inputs!$F$150/BK11)*BK33/1000000</f>
        <v>2.89080078312655</v>
      </c>
      <c r="BL64" s="11" t="n">
        <f aca="false">Inputs!$F$159*(0.7*BL19+0.3*BL23*Inputs!$F$150/BL11)*BL33/1000000</f>
        <v>3.02998199020992</v>
      </c>
      <c r="BM64" s="11" t="n">
        <f aca="false">Inputs!$F$159*(0.7*BM19+0.3*BM23*Inputs!$F$150/BM11)*BM33/1000000</f>
        <v>2.04076215210781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1041.69337382548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16.2391120299916</v>
      </c>
      <c r="R67" s="11" t="n">
        <f aca="false">R55+R56+R57+R59+R60+R61+R62+R63+R64+R65+R66</f>
        <v>16.331552559279</v>
      </c>
      <c r="S67" s="11" t="n">
        <f aca="false">S55+S56+S57+S59+S60+S61+S62+S63+S64+S65+S66</f>
        <v>16.5427605837571</v>
      </c>
      <c r="T67" s="11" t="n">
        <f aca="false">T55+T56+T57+T59+T60+T61+T62+T63+T64+T65+T66</f>
        <v>16.7966503914625</v>
      </c>
      <c r="U67" s="11" t="n">
        <f aca="false">U55+U56+U57+U59+U60+U61+U62+U63+U64+U65+U66</f>
        <v>16.8297317142482</v>
      </c>
      <c r="V67" s="11" t="n">
        <f aca="false">V55+V56+V57+V59+V60+V61+V62+V63+V64+V65+V66</f>
        <v>16.7164357049753</v>
      </c>
      <c r="W67" s="11" t="n">
        <f aca="false">W55+W56+W57+W59+W60+W61+W62+W63+W64+W65+W66</f>
        <v>17.0390477666743</v>
      </c>
      <c r="X67" s="11" t="n">
        <f aca="false">X55+X56+X57+X59+X60+X61+X62+X63+X64+X65+X66</f>
        <v>17.5150878530466</v>
      </c>
      <c r="Y67" s="11" t="n">
        <f aca="false">Y55+Y56+Y57+Y59+Y60+Y61+Y62+Y63+Y64+Y65+Y66</f>
        <v>17.6574206124573</v>
      </c>
      <c r="Z67" s="11" t="n">
        <f aca="false">Z55+Z56+Z57+Z59+Z60+Z61+Z62+Z63+Z64+Z65+Z66</f>
        <v>17.7582124279632</v>
      </c>
      <c r="AA67" s="11" t="n">
        <f aca="false">AA55+AA56+AA57+AA59+AA60+AA61+AA62+AA63+AA64+AA65+AA66</f>
        <v>17.9884500774694</v>
      </c>
      <c r="AB67" s="11" t="n">
        <f aca="false">AB55+AB56+AB57+AB59+AB60+AB61+AB62+AB63+AB64+AB65+AB66</f>
        <v>18.2652072675596</v>
      </c>
      <c r="AC67" s="11" t="n">
        <f aca="false">AC55+AC56+AC57+AC59+AC60+AC61+AC62+AC63+AC64+AC65+AC66</f>
        <v>18.2083556671719</v>
      </c>
      <c r="AD67" s="11" t="n">
        <f aca="false">AD55+AD56+AD57+AD59+AD60+AD61+AD62+AD63+AD64+AD65+AD66</f>
        <v>17.9285547551591</v>
      </c>
      <c r="AE67" s="11" t="n">
        <f aca="false">AE55+AE56+AE57+AE59+AE60+AE61+AE62+AE63+AE64+AE65+AE66</f>
        <v>18.3395819871649</v>
      </c>
      <c r="AF67" s="11" t="n">
        <f aca="false">AF55+AF56+AF57+AF59+AF60+AF61+AF62+AF63+AF64+AF65+AF66</f>
        <v>19.0484056520773</v>
      </c>
      <c r="AG67" s="11" t="n">
        <f aca="false">AG55+AG56+AG57+AG59+AG60+AG61+AG62+AG63+AG64+AG65+AG66</f>
        <v>19.2035784071184</v>
      </c>
      <c r="AH67" s="11" t="n">
        <f aca="false">AH55+AH56+AH57+AH59+AH60+AH61+AH62+AH63+AH64+AH65+AH66</f>
        <v>19.3134759491161</v>
      </c>
      <c r="AI67" s="11" t="n">
        <f aca="false">AI55+AI56+AI57+AI59+AI60+AI61+AI62+AI63+AI64+AI65+AI66</f>
        <v>19.5644576213961</v>
      </c>
      <c r="AJ67" s="11" t="n">
        <f aca="false">AJ55+AJ56+AJ57+AJ59+AJ60+AJ61+AJ62+AJ63+AJ64+AJ65+AJ66</f>
        <v>19.8661416204105</v>
      </c>
      <c r="AK67" s="11" t="n">
        <f aca="false">AK55+AK56+AK57+AK59+AK60+AK61+AK62+AK63+AK64+AK65+AK66</f>
        <v>19.9055296326238</v>
      </c>
      <c r="AL67" s="11" t="n">
        <f aca="false">AL55+AL56+AL57+AL59+AL60+AL61+AL62+AL63+AL64+AL65+AL66</f>
        <v>19.7710380871187</v>
      </c>
      <c r="AM67" s="11" t="n">
        <f aca="false">AM55+AM56+AM57+AM59+AM60+AM61+AM62+AM63+AM64+AM65+AM66</f>
        <v>20.1543596528599</v>
      </c>
      <c r="AN67" s="11" t="n">
        <f aca="false">AN55+AN56+AN57+AN59+AN60+AN61+AN62+AN63+AN64+AN65+AN66</f>
        <v>20.7199380987892</v>
      </c>
      <c r="AO67" s="11" t="n">
        <f aca="false">AO55+AO56+AO57+AO59+AO60+AO61+AO62+AO63+AO64+AO65+AO66</f>
        <v>20.8891090826237</v>
      </c>
      <c r="AP67" s="11" t="n">
        <f aca="false">AP55+AP56+AP57+AP59+AP60+AP61+AP62+AP63+AP64+AP65+AP66</f>
        <v>21.0089349430795</v>
      </c>
      <c r="AQ67" s="11" t="n">
        <f aca="false">AQ55+AQ56+AQ57+AQ59+AQ60+AQ61+AQ62+AQ63+AQ64+AQ65+AQ66</f>
        <v>21.2825294737297</v>
      </c>
      <c r="AR67" s="11" t="n">
        <f aca="false">AR55+AR56+AR57+AR59+AR60+AR61+AR62+AR63+AR64+AR65+AR66</f>
        <v>21.6113851612665</v>
      </c>
      <c r="AS67" s="11" t="n">
        <f aca="false">AS55+AS56+AS57+AS59+AS60+AS61+AS62+AS63+AS64+AS65+AS66</f>
        <v>21.5439509565636</v>
      </c>
      <c r="AT67" s="11" t="n">
        <f aca="false">AT55+AT56+AT57+AT59+AT60+AT61+AT62+AT63+AT64+AT65+AT66</f>
        <v>21.2123652680986</v>
      </c>
      <c r="AU67" s="11" t="n">
        <f aca="false">AU55+AU56+AU57+AU59+AU60+AU61+AU62+AU63+AU64+AU65+AU66</f>
        <v>21.7000355450592</v>
      </c>
      <c r="AV67" s="11" t="n">
        <f aca="false">AV55+AV56+AV57+AV59+AV60+AV61+AV62+AV63+AV64+AV65+AV66</f>
        <v>22.5421429901199</v>
      </c>
      <c r="AW67" s="11" t="n">
        <f aca="false">AW55+AW56+AW57+AW59+AW60+AW61+AW62+AW63+AW64+AW65+AW66</f>
        <v>22.7265749073916</v>
      </c>
      <c r="AX67" s="11" t="n">
        <f aca="false">AX55+AX56+AX57+AX59+AX60+AX61+AX62+AX63+AX64+AX65+AX66</f>
        <v>22.8572259861039</v>
      </c>
      <c r="AY67" s="11" t="n">
        <f aca="false">AY55+AY56+AY57+AY59+AY60+AY61+AY62+AY63+AY64+AY65+AY66</f>
        <v>23.1554705594947</v>
      </c>
      <c r="AZ67" s="11" t="n">
        <f aca="false">AZ55+AZ56+AZ57+AZ59+AZ60+AZ61+AZ62+AZ63+AZ64+AZ65+AZ66</f>
        <v>23.5139449667591</v>
      </c>
      <c r="BA67" s="11" t="n">
        <f aca="false">BA55+BA56+BA57+BA59+BA60+BA61+BA62+BA63+BA64+BA65+BA66</f>
        <v>23.5608419807372</v>
      </c>
      <c r="BB67" s="11" t="n">
        <f aca="false">BB55+BB56+BB57+BB59+BB60+BB61+BB62+BB63+BB64+BB65+BB66</f>
        <v>23.4011906933681</v>
      </c>
      <c r="BC67" s="11" t="n">
        <f aca="false">BC55+BC56+BC57+BC59+BC60+BC61+BC62+BC63+BC64+BC65+BC66</f>
        <v>23.8566448768656</v>
      </c>
      <c r="BD67" s="11" t="n">
        <f aca="false">BD55+BD56+BD57+BD59+BD60+BD61+BD62+BD63+BD64+BD65+BD66</f>
        <v>24.5286008988946</v>
      </c>
      <c r="BE67" s="11" t="n">
        <f aca="false">BE55+BE56+BE57+BE59+BE60+BE61+BE62+BE63+BE64+BE65+BE66</f>
        <v>24.7296703483045</v>
      </c>
      <c r="BF67" s="11" t="n">
        <f aca="false">BF55+BF56+BF57+BF59+BF60+BF61+BF62+BF63+BF64+BF65+BF66</f>
        <v>24.8721245651013</v>
      </c>
      <c r="BG67" s="11" t="n">
        <f aca="false">BG55+BG56+BG57+BG59+BG60+BG61+BG62+BG63+BG64+BG65+BG66</f>
        <v>25.1972398782039</v>
      </c>
      <c r="BH67" s="11" t="n">
        <f aca="false">BH55+BH56+BH57+BH59+BH60+BH61+BH62+BH63+BH64+BH65+BH66</f>
        <v>25.5880003899722</v>
      </c>
      <c r="BI67" s="11" t="n">
        <f aca="false">BI55+BI56+BI57+BI59+BI60+BI61+BI62+BI63+BI64+BI65+BI66</f>
        <v>25.5080146079617</v>
      </c>
      <c r="BJ67" s="11" t="n">
        <f aca="false">BJ55+BJ56+BJ57+BJ59+BJ60+BJ61+BJ62+BJ63+BJ64+BJ65+BJ66</f>
        <v>25.1149506850312</v>
      </c>
      <c r="BK67" s="11" t="n">
        <f aca="false">BK55+BK56+BK57+BK59+BK60+BK61+BK62+BK63+BK64+BK65+BK66</f>
        <v>25.6936663086093</v>
      </c>
      <c r="BL67" s="11" t="n">
        <f aca="false">BL55+BL56+BL57+BL59+BL60+BL61+BL62+BL63+BL64+BL65+BL66</f>
        <v>26.6941163571443</v>
      </c>
      <c r="BM67" s="11" t="n">
        <f aca="false">BM55+BM56+BM57+BM59+BM60+BM61+BM62+BM63+BM64+BM65+BM66</f>
        <v>17.9857263901536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6839.90195175115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108.70543426881</v>
      </c>
      <c r="R78" s="11" t="n">
        <f aca="false">R67+R69+R70+R71+R74+R77</f>
        <v>108.443860898258</v>
      </c>
      <c r="S78" s="11" t="n">
        <f aca="false">S67+S69+S70+S71+S74+S77</f>
        <v>110.48542461333</v>
      </c>
      <c r="T78" s="11" t="n">
        <f aca="false">T67+T69+T70+T71+T74+T77</f>
        <v>111.449601927422</v>
      </c>
      <c r="U78" s="11" t="n">
        <f aca="false">U67+U69+U70+U71+U74+U77</f>
        <v>112.199787989638</v>
      </c>
      <c r="V78" s="11" t="n">
        <f aca="false">V67+V69+V70+V71+V74+V77</f>
        <v>112.782155376067</v>
      </c>
      <c r="W78" s="11" t="n">
        <f aca="false">W67+W69+W70+W71+W74+W77</f>
        <v>113.172438580479</v>
      </c>
      <c r="X78" s="11" t="n">
        <f aca="false">X67+X69+X70+X71+X74+X77</f>
        <v>115.791688762792</v>
      </c>
      <c r="Y78" s="11" t="n">
        <f aca="false">Y67+Y69+Y70+Y71+Y74+Y77</f>
        <v>117.328618746116</v>
      </c>
      <c r="Z78" s="11" t="n">
        <f aca="false">Z67+Z69+Z70+Z71+Z74+Z77</f>
        <v>117.056420149911</v>
      </c>
      <c r="AA78" s="11" t="n">
        <f aca="false">AA67+AA69+AA70+AA71+AA74+AA77</f>
        <v>119.264171219183</v>
      </c>
      <c r="AB78" s="11" t="n">
        <f aca="false">AB67+AB69+AB70+AB71+AB74+AB77</f>
        <v>120.303992931124</v>
      </c>
      <c r="AC78" s="11" t="n">
        <f aca="false">AC67+AC69+AC70+AC71+AC74+AC77</f>
        <v>120.404744090629</v>
      </c>
      <c r="AD78" s="11" t="n">
        <f aca="false">AD67+AD69+AD70+AD71+AD74+AD77</f>
        <v>128.779985268665</v>
      </c>
      <c r="AE78" s="11" t="n">
        <f aca="false">AE67+AE69+AE70+AE71+AE74+AE77</f>
        <v>120.717558473461</v>
      </c>
      <c r="AF78" s="11" t="n">
        <f aca="false">AF67+AF69+AF70+AF71+AF74+AF77</f>
        <v>124.993185666702</v>
      </c>
      <c r="AG78" s="11" t="n">
        <f aca="false">AG67+AG69+AG70+AG71+AG74+AG77</f>
        <v>126.654994458197</v>
      </c>
      <c r="AH78" s="11" t="n">
        <f aca="false">AH67+AH69+AH70+AH71+AH74+AH77</f>
        <v>126.357373969097</v>
      </c>
      <c r="AI78" s="11" t="n">
        <f aca="false">AI67+AI69+AI70+AI71+AI74+AI77</f>
        <v>128.744740182873</v>
      </c>
      <c r="AJ78" s="11" t="n">
        <f aca="false">AJ67+AJ69+AJ70+AJ71+AJ74+AJ77</f>
        <v>129.866199192422</v>
      </c>
      <c r="AK78" s="11" t="n">
        <f aca="false">AK67+AK69+AK70+AK71+AK74+AK77</f>
        <v>130.739809145477</v>
      </c>
      <c r="AL78" s="11" t="n">
        <f aca="false">AL67+AL69+AL70+AL71+AL74+AL77</f>
        <v>131.467842874107</v>
      </c>
      <c r="AM78" s="11" t="n">
        <f aca="false">AM67+AM69+AM70+AM71+AM74+AM77</f>
        <v>131.872690877322</v>
      </c>
      <c r="AN78" s="11" t="n">
        <f aca="false">AN67+AN69+AN70+AN71+AN74+AN77</f>
        <v>134.930236897775</v>
      </c>
      <c r="AO78" s="11" t="n">
        <f aca="false">AO67+AO69+AO70+AO71+AO74+AO77</f>
        <v>136.726988860125</v>
      </c>
      <c r="AP78" s="11" t="n">
        <f aca="false">AP67+AP69+AP70+AP71+AP74+AP77</f>
        <v>136.401730977941</v>
      </c>
      <c r="AQ78" s="11" t="n">
        <f aca="false">AQ67+AQ69+AQ70+AQ71+AQ74+AQ77</f>
        <v>138.983216477269</v>
      </c>
      <c r="AR78" s="11" t="n">
        <f aca="false">AR67+AR69+AR70+AR71+AR74+AR77</f>
        <v>140.192783912007</v>
      </c>
      <c r="AS78" s="11" t="n">
        <f aca="false">AS67+AS69+AS70+AS71+AS74+AS77</f>
        <v>140.306282276839</v>
      </c>
      <c r="AT78" s="11" t="n">
        <f aca="false">AT67+AT69+AT70+AT71+AT74+AT77</f>
        <v>150.341785580185</v>
      </c>
      <c r="AU78" s="11" t="n">
        <f aca="false">AU67+AU69+AU70+AU71+AU74+AU77</f>
        <v>140.666917386672</v>
      </c>
      <c r="AV78" s="11" t="n">
        <f aca="false">AV67+AV69+AV70+AV71+AV74+AV77</f>
        <v>145.661618087735</v>
      </c>
      <c r="AW78" s="11" t="n">
        <f aca="false">AW67+AW69+AW70+AW71+AW74+AW77</f>
        <v>147.604181672395</v>
      </c>
      <c r="AX78" s="11" t="n">
        <f aca="false">AX67+AX69+AX70+AX71+AX74+AX77</f>
        <v>147.248887029838</v>
      </c>
      <c r="AY78" s="11" t="n">
        <f aca="false">AY67+AY69+AY70+AY71+AY74+AY77</f>
        <v>150.04015783764</v>
      </c>
      <c r="AZ78" s="11" t="n">
        <f aca="false">AZ67+AZ69+AZ70+AZ71+AZ74+AZ77</f>
        <v>151.344821410839</v>
      </c>
      <c r="BA78" s="11" t="n">
        <f aca="false">BA67+BA69+BA70+BA71+BA74+BA77</f>
        <v>152.362038382762</v>
      </c>
      <c r="BB78" s="11" t="n">
        <f aca="false">BB67+BB69+BB70+BB71+BB74+BB77</f>
        <v>153.270158469714</v>
      </c>
      <c r="BC78" s="11" t="n">
        <f aca="false">BC67+BC69+BC70+BC71+BC74+BC77</f>
        <v>153.681601516944</v>
      </c>
      <c r="BD78" s="11" t="n">
        <f aca="false">BD67+BD69+BD70+BD71+BD74+BD77</f>
        <v>157.25079185311</v>
      </c>
      <c r="BE78" s="11" t="n">
        <f aca="false">BE67+BE69+BE70+BE71+BE74+BE77</f>
        <v>159.350903233205</v>
      </c>
      <c r="BF78" s="11" t="n">
        <f aca="false">BF67+BF69+BF70+BF71+BF74+BF77</f>
        <v>158.962973945765</v>
      </c>
      <c r="BG78" s="11" t="n">
        <f aca="false">BG67+BG69+BG70+BG71+BG74+BG77</f>
        <v>161.980950228971</v>
      </c>
      <c r="BH78" s="11" t="n">
        <f aca="false">BH67+BH69+BH70+BH71+BH74+BH77</f>
        <v>163.388255684707</v>
      </c>
      <c r="BI78" s="11" t="n">
        <f aca="false">BI67+BI69+BI70+BI71+BI74+BI77</f>
        <v>163.51594259123</v>
      </c>
      <c r="BJ78" s="11" t="n">
        <f aca="false">BJ67+BJ69+BJ70+BJ71+BJ74+BJ77</f>
        <v>175.539910702377</v>
      </c>
      <c r="BK78" s="11" t="n">
        <f aca="false">BK67+BK69+BK70+BK71+BK74+BK77</f>
        <v>163.931836298319</v>
      </c>
      <c r="BL78" s="11" t="n">
        <f aca="false">BL67+BL69+BL70+BL71+BL74+BL77</f>
        <v>169.766280264193</v>
      </c>
      <c r="BM78" s="11" t="n">
        <f aca="false">BM67+BM69+BM70+BM71+BM74+BM77</f>
        <v>134.02135517286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2566.19346044815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50.0400439629745</v>
      </c>
      <c r="R79" s="11" t="n">
        <f aca="false">R51-R78+R53</f>
        <v>50.1825741246421</v>
      </c>
      <c r="S79" s="11" t="n">
        <f aca="false">S51-S78+S53</f>
        <v>50.2659664983758</v>
      </c>
      <c r="T79" s="11" t="n">
        <f aca="false">T51-T78+T53</f>
        <v>50.3303969934115</v>
      </c>
      <c r="U79" s="11" t="n">
        <f aca="false">U51-U78+U53</f>
        <v>50.4935878469165</v>
      </c>
      <c r="V79" s="11" t="n">
        <f aca="false">V51-V78+V53</f>
        <v>48.222251886577</v>
      </c>
      <c r="W79" s="11" t="n">
        <f aca="false">W51-W78+W53</f>
        <v>50.76227807011</v>
      </c>
      <c r="X79" s="11" t="n">
        <f aca="false">X51-X78+X53</f>
        <v>50.7380960899645</v>
      </c>
      <c r="Y79" s="11" t="n">
        <f aca="false">Y51-Y78+Y53</f>
        <v>50.8616116487816</v>
      </c>
      <c r="Z79" s="11" t="n">
        <f aca="false">Z51-Z78+Z53</f>
        <v>51.0036595091316</v>
      </c>
      <c r="AA79" s="11" t="n">
        <f aca="false">AA51-AA78+AA53</f>
        <v>51.0927612621233</v>
      </c>
      <c r="AB79" s="11" t="n">
        <f aca="false">AB51-AB78+AB53</f>
        <v>51.1622063793877</v>
      </c>
      <c r="AC79" s="11" t="n">
        <f aca="false">AC51-AC78+AC53</f>
        <v>51.3805263728017</v>
      </c>
      <c r="AD79" s="11" t="n">
        <f aca="false">AD51-AD78+AD53</f>
        <v>38.9447653162626</v>
      </c>
      <c r="AE79" s="11" t="n">
        <f aca="false">AE51-AE78+AE53</f>
        <v>51.7159111428441</v>
      </c>
      <c r="AF79" s="11" t="n">
        <f aca="false">AF51-AF78+AF53</f>
        <v>51.603398319318</v>
      </c>
      <c r="AG79" s="11" t="n">
        <f aca="false">AG51-AG78+AG53</f>
        <v>51.7368557353003</v>
      </c>
      <c r="AH79" s="11" t="n">
        <f aca="false">AH51-AH78+AH53</f>
        <v>51.8923156113142</v>
      </c>
      <c r="AI79" s="11" t="n">
        <f aca="false">AI51-AI78+AI53</f>
        <v>51.9875202435028</v>
      </c>
      <c r="AJ79" s="11" t="n">
        <f aca="false">AJ51-AJ78+AJ53</f>
        <v>52.0623701475693</v>
      </c>
      <c r="AK79" s="11" t="n">
        <f aca="false">AK51-AK78+AK53</f>
        <v>52.2557451622764</v>
      </c>
      <c r="AL79" s="11" t="n">
        <f aca="false">AL51-AL78+AL53</f>
        <v>49.5572193351533</v>
      </c>
      <c r="AM79" s="11" t="n">
        <f aca="false">AM51-AM78+AM53</f>
        <v>52.5742944616083</v>
      </c>
      <c r="AN79" s="11" t="n">
        <f aca="false">AN51-AN78+AN53</f>
        <v>52.5398490480539</v>
      </c>
      <c r="AO79" s="11" t="n">
        <f aca="false">AO51-AO78+AO53</f>
        <v>52.6840685854972</v>
      </c>
      <c r="AP79" s="11" t="n">
        <f aca="false">AP51-AP78+AP53</f>
        <v>52.8541886364139</v>
      </c>
      <c r="AQ79" s="11" t="n">
        <f aca="false">AQ51-AQ78+AQ53</f>
        <v>52.9559172382238</v>
      </c>
      <c r="AR79" s="11" t="n">
        <f aca="false">AR51-AR78+AR53</f>
        <v>53.0365923661801</v>
      </c>
      <c r="AS79" s="11" t="n">
        <f aca="false">AS51-AS78+AS53</f>
        <v>53.2971710041726</v>
      </c>
      <c r="AT79" s="11" t="n">
        <f aca="false">AT51-AT78+AT53</f>
        <v>38.6156954907954</v>
      </c>
      <c r="AU79" s="11" t="n">
        <f aca="false">AU51-AU78+AU53</f>
        <v>53.6967042338164</v>
      </c>
      <c r="AV79" s="11" t="n">
        <f aca="false">AV51-AV78+AV53</f>
        <v>53.5533888758499</v>
      </c>
      <c r="AW79" s="11" t="n">
        <f aca="false">AW51-AW78+AW53</f>
        <v>53.7092601884567</v>
      </c>
      <c r="AX79" s="11" t="n">
        <f aca="false">AX51-AX78+AX53</f>
        <v>53.8954034573599</v>
      </c>
      <c r="AY79" s="11" t="n">
        <f aca="false">AY51-AY78+AY53</f>
        <v>54.0041067048262</v>
      </c>
      <c r="AZ79" s="11" t="n">
        <f aca="false">AZ51-AZ78+AZ53</f>
        <v>54.0910601002626</v>
      </c>
      <c r="BA79" s="11" t="n">
        <f aca="false">BA51-BA78+BA53</f>
        <v>54.3202683748525</v>
      </c>
      <c r="BB79" s="11" t="n">
        <f aca="false">BB51-BB78+BB53</f>
        <v>51.1139810635627</v>
      </c>
      <c r="BC79" s="11" t="n">
        <f aca="false">BC51-BC78+BC53</f>
        <v>54.6979816653459</v>
      </c>
      <c r="BD79" s="11" t="n">
        <f aca="false">BD51-BD78+BD53</f>
        <v>54.6504616888332</v>
      </c>
      <c r="BE79" s="11" t="n">
        <f aca="false">BE51-BE78+BE53</f>
        <v>54.818949828865</v>
      </c>
      <c r="BF79" s="11" t="n">
        <f aca="false">BF51-BF78+BF53</f>
        <v>55.0226047268959</v>
      </c>
      <c r="BG79" s="11" t="n">
        <f aca="false">BG51-BG78+BG53</f>
        <v>55.1387650277312</v>
      </c>
      <c r="BH79" s="11" t="n">
        <f aca="false">BH51-BH78+BH53</f>
        <v>55.2324848526287</v>
      </c>
      <c r="BI79" s="11" t="n">
        <f aca="false">BI51-BI78+BI53</f>
        <v>55.5435031979406</v>
      </c>
      <c r="BJ79" s="11" t="n">
        <f aca="false">BJ51-BJ78+BJ53</f>
        <v>38.1904464165889</v>
      </c>
      <c r="BK79" s="11" t="n">
        <f aca="false">BK51-BK78+BK53</f>
        <v>56.0194424398547</v>
      </c>
      <c r="BL79" s="11" t="n">
        <f aca="false">BL51-BL78+BL53</f>
        <v>55.8380578608321</v>
      </c>
      <c r="BM79" s="11" t="n">
        <f aca="false">BM51-BM78+BM53</f>
        <v>18.2591958535908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90</v>
      </c>
      <c r="R82" s="9" t="n">
        <f aca="false">Inputs!$F$43*Time!R33</f>
        <v>90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72.3634519325775</v>
      </c>
      <c r="R83" s="11" t="n">
        <f aca="false">(1-R81)*(R51/MAX(Time!R26,1)*Inputs!$F$165+R50/MAX(Time!R26,1)*R82)</f>
        <v>71.2674322644956</v>
      </c>
      <c r="S83" s="11" t="n">
        <f aca="false">(1-S81)*(S51/MAX(Time!S26,1)*Inputs!$F$165+S50/MAX(Time!S26,1)*S82)</f>
        <v>39.9658154697612</v>
      </c>
      <c r="T83" s="11" t="n">
        <f aca="false">(1-T81)*(T51/MAX(Time!T26,1)*Inputs!$F$165+T50/MAX(Time!T26,1)*T82)</f>
        <v>39.5657606056385</v>
      </c>
      <c r="U83" s="11" t="n">
        <f aca="false">(1-U81)*(U51/MAX(Time!U26,1)*Inputs!$F$165+U50/MAX(Time!U26,1)*U82)</f>
        <v>40.2263841354119</v>
      </c>
      <c r="V83" s="11" t="n">
        <f aca="false">(1-V81)*(V51/MAX(Time!V26,1)*Inputs!$F$165+V50/MAX(Time!V26,1)*V82)</f>
        <v>39.3760778631466</v>
      </c>
      <c r="W83" s="11" t="n">
        <f aca="false">(1-W81)*(W51/MAX(Time!W26,1)*Inputs!$F$165+W50/MAX(Time!W26,1)*W82)</f>
        <v>40.7572499960029</v>
      </c>
      <c r="X83" s="11" t="n">
        <f aca="false">(1-X81)*(X51/MAX(Time!X26,1)*Inputs!$F$165+X50/MAX(Time!X26,1)*X82)</f>
        <v>40.7273930346415</v>
      </c>
      <c r="Y83" s="11" t="n">
        <f aca="false">(1-Y81)*(Y51/MAX(Time!Y26,1)*Inputs!$F$165+Y50/MAX(Time!Y26,1)*Y82)</f>
        <v>41.8152506506651</v>
      </c>
      <c r="Z83" s="11" t="n">
        <f aca="false">(1-Z81)*(Z51/MAX(Time!Z26,1)*Inputs!$F$165+Z50/MAX(Time!Z26,1)*Z82)</f>
        <v>41.1016499166136</v>
      </c>
      <c r="AA83" s="11" t="n">
        <f aca="false">(1-AA81)*(AA51/MAX(Time!AA26,1)*Inputs!$F$165+AA50/MAX(Time!AA26,1)*AA82)</f>
        <v>42.3539334898275</v>
      </c>
      <c r="AB83" s="11" t="n">
        <f aca="false">(1-AB81)*(AB51/MAX(Time!AB26,1)*Inputs!$F$165+AB50/MAX(Time!AB26,1)*AB82)</f>
        <v>41.934668309636</v>
      </c>
      <c r="AC83" s="11" t="n">
        <f aca="false">(1-AC81)*(AC51/MAX(Time!AC26,1)*Inputs!$F$165+AC50/MAX(Time!AC26,1)*AC82)</f>
        <v>42.4743800596394</v>
      </c>
      <c r="AD83" s="11" t="n">
        <f aca="false">(1-AD81)*(AD51/MAX(Time!AD26,1)*Inputs!$F$165+AD50/MAX(Time!AD26,1)*AD82)</f>
        <v>41.0196400887051</v>
      </c>
      <c r="AE83" s="11" t="n">
        <f aca="false">(1-AE81)*(AE51/MAX(Time!AE26,1)*Inputs!$F$165+AE50/MAX(Time!AE26,1)*AE82)</f>
        <v>42.8701996283632</v>
      </c>
      <c r="AF83" s="11" t="n">
        <f aca="false">(1-AF81)*(AF51/MAX(Time!AF26,1)*Inputs!$F$165+AF50/MAX(Time!AF26,1)*AF82)</f>
        <v>43.1893819531027</v>
      </c>
      <c r="AG83" s="11" t="n">
        <f aca="false">(1-AG81)*(AG51/MAX(Time!AG26,1)*Inputs!$F$165+AG50/MAX(Time!AG26,1)*AG82)</f>
        <v>44.3515649652341</v>
      </c>
      <c r="AH83" s="11" t="n">
        <f aca="false">(1-AH81)*(AH51/MAX(Time!AH26,1)*Inputs!$F$165+AH50/MAX(Time!AH26,1)*AH82)</f>
        <v>43.5936740821658</v>
      </c>
      <c r="AI83" s="11" t="n">
        <f aca="false">(1-AI81)*(AI51/MAX(Time!AI26,1)*Inputs!$F$165+AI50/MAX(Time!AI26,1)*AI82)</f>
        <v>44.933434912635</v>
      </c>
      <c r="AJ83" s="11" t="n">
        <f aca="false">(1-AJ81)*(AJ51/MAX(Time!AJ26,1)*Inputs!$F$165+AJ50/MAX(Time!AJ26,1)*AJ82)</f>
        <v>44.493400110324</v>
      </c>
      <c r="AK83" s="11" t="n">
        <f aca="false">(1-AK81)*(AK51/MAX(Time!AK26,1)*Inputs!$F$165+AK50/MAX(Time!AK26,1)*AK82)</f>
        <v>45.2461535376313</v>
      </c>
      <c r="AL83" s="11" t="n">
        <f aca="false">(1-AL81)*(AL51/MAX(Time!AL26,1)*Inputs!$F$165+AL50/MAX(Time!AL26,1)*AL82)</f>
        <v>44.2724336924822</v>
      </c>
      <c r="AM83" s="11" t="n">
        <f aca="false">(1-AM81)*(AM51/MAX(Time!AM26,1)*Inputs!$F$165+AM50/MAX(Time!AM26,1)*AM82)</f>
        <v>45.8569853052588</v>
      </c>
      <c r="AN83" s="11" t="n">
        <f aca="false">(1-AN81)*(AN51/MAX(Time!AN26,1)*Inputs!$F$165+AN50/MAX(Time!AN26,1)*AN82)</f>
        <v>45.8486623237081</v>
      </c>
      <c r="AO83" s="11" t="n">
        <f aca="false">(1-AO81)*(AO51/MAX(Time!AO26,1)*Inputs!$F$165+AO50/MAX(Time!AO26,1)*AO82)</f>
        <v>47.0911468787458</v>
      </c>
      <c r="AP83" s="11" t="n">
        <f aca="false">(1-AP81)*(AP51/MAX(Time!AP26,1)*Inputs!$F$165+AP50/MAX(Time!AP26,1)*AP82)</f>
        <v>46.2854151230759</v>
      </c>
      <c r="AQ83" s="11" t="n">
        <f aca="false">(1-AQ81)*(AQ51/MAX(Time!AQ26,1)*Inputs!$F$165+AQ50/MAX(Time!AQ26,1)*AQ82)</f>
        <v>47.7196741281612</v>
      </c>
      <c r="AR83" s="11" t="n">
        <f aca="false">(1-AR81)*(AR51/MAX(Time!AR26,1)*Inputs!$F$165+AR50/MAX(Time!AR26,1)*AR82)</f>
        <v>47.2571844158611</v>
      </c>
      <c r="AS83" s="11" t="n">
        <f aca="false">(1-AS81)*(AS51/MAX(Time!AS26,1)*Inputs!$F$165+AS50/MAX(Time!AS26,1)*AS82)</f>
        <v>47.868985701349</v>
      </c>
      <c r="AT83" s="11" t="n">
        <f aca="false">(1-AT81)*(AT51/MAX(Time!AT26,1)*Inputs!$F$165+AT50/MAX(Time!AT26,1)*AT82)</f>
        <v>46.2124274358377</v>
      </c>
      <c r="AU83" s="11" t="n">
        <f aca="false">(1-AU81)*(AU51/MAX(Time!AU26,1)*Inputs!$F$165+AU50/MAX(Time!AU26,1)*AU82)</f>
        <v>48.3224473642097</v>
      </c>
      <c r="AV83" s="11" t="n">
        <f aca="false">(1-AV81)*(AV51/MAX(Time!AV26,1)*Inputs!$F$165+AV50/MAX(Time!AV26,1)*AV82)</f>
        <v>48.7210614856593</v>
      </c>
      <c r="AW83" s="11" t="n">
        <f aca="false">(1-AW81)*(AW51/MAX(Time!AW26,1)*Inputs!$F$165+AW50/MAX(Time!AW26,1)*AW82)</f>
        <v>50.0503032250736</v>
      </c>
      <c r="AX83" s="11" t="n">
        <f aca="false">(1-AX81)*(AX51/MAX(Time!AX26,1)*Inputs!$F$165+AX50/MAX(Time!AX26,1)*AX82)</f>
        <v>49.1928971300213</v>
      </c>
      <c r="AY83" s="11" t="n">
        <f aca="false">(1-AY81)*(AY51/MAX(Time!AY26,1)*Inputs!$F$165+AY50/MAX(Time!AY26,1)*AY82)</f>
        <v>50.7292370409446</v>
      </c>
      <c r="AZ83" s="11" t="n">
        <f aca="false">(1-AZ81)*(AZ51/MAX(Time!AZ26,1)*Inputs!$F$165+AZ50/MAX(Time!AZ26,1)*AZ82)</f>
        <v>50.2424710217369</v>
      </c>
      <c r="BA83" s="11" t="n">
        <f aca="false">(1-BA81)*(BA51/MAX(Time!BA26,1)*Inputs!$F$165+BA50/MAX(Time!BA26,1)*BA82)</f>
        <v>51.1027681543554</v>
      </c>
      <c r="BB83" s="11" t="n">
        <f aca="false">(1-BB81)*(BB51/MAX(Time!BB26,1)*Inputs!$F$165+BB50/MAX(Time!BB26,1)*BB82)</f>
        <v>49.9852515162904</v>
      </c>
      <c r="BC83" s="11" t="n">
        <f aca="false">(1-BC81)*(BC51/MAX(Time!BC26,1)*Inputs!$F$165+BC50/MAX(Time!BC26,1)*BC82)</f>
        <v>51.8070786917296</v>
      </c>
      <c r="BD83" s="11" t="n">
        <f aca="false">(1-BD81)*(BD51/MAX(Time!BD26,1)*Inputs!$F$165+BD50/MAX(Time!BD26,1)*BD82)</f>
        <v>51.8236761379752</v>
      </c>
      <c r="BE83" s="11" t="n">
        <f aca="false">(1-BE81)*(BE51/MAX(Time!BE26,1)*Inputs!$F$165+BE50/MAX(Time!BE26,1)*BE82)</f>
        <v>53.2466485513434</v>
      </c>
      <c r="BF83" s="11" t="n">
        <f aca="false">(1-BF81)*(BF51/MAX(Time!BF26,1)*Inputs!$F$165+BF50/MAX(Time!BF26,1)*BF82)</f>
        <v>52.3334295666833</v>
      </c>
      <c r="BG83" s="11" t="n">
        <f aca="false">(1-BG81)*(BG51/MAX(Time!BG26,1)*Inputs!$F$165+BG50/MAX(Time!BG26,1)*BG82)</f>
        <v>53.9800397047049</v>
      </c>
      <c r="BH83" s="11" t="n">
        <f aca="false">(1-BH81)*(BH51/MAX(Time!BH26,1)*Inputs!$F$165+BH50/MAX(Time!BH26,1)*BH82)</f>
        <v>53.4670289357615</v>
      </c>
      <c r="BI83" s="11" t="n">
        <f aca="false">(1-BI81)*(BI51/MAX(Time!BI26,1)*Inputs!$F$165+BI50/MAX(Time!BI26,1)*BI82)</f>
        <v>54.1630497830366</v>
      </c>
      <c r="BJ83" s="11" t="n">
        <f aca="false">(1-BJ81)*(BJ51/MAX(Time!BJ26,1)*Inputs!$F$165+BJ50/MAX(Time!BJ26,1)*BJ82)</f>
        <v>52.271011251921</v>
      </c>
      <c r="BK83" s="11" t="n">
        <f aca="false">(1-BK81)*(BK51/MAX(Time!BK26,1)*Inputs!$F$165+BK50/MAX(Time!BK26,1)*BK82)</f>
        <v>54.6840195757891</v>
      </c>
      <c r="BL83" s="11" t="n">
        <f aca="false">(1-BL81)*(BL51/MAX(Time!BL26,1)*Inputs!$F$165+BL50/MAX(Time!BL26,1)*BL82)</f>
        <v>55.1749739979681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1.61365653313456</v>
      </c>
      <c r="R87" s="11" t="n">
        <f aca="false">(1-R81)*(R55+R56+R57+R59)/MAX(Time!R26,1)*Inputs!$F$168</f>
        <v>1.59398221394773</v>
      </c>
      <c r="S87" s="11" t="n">
        <f aca="false">(1-S81)*(S55+S56+S57+S59)/MAX(Time!S26,1)*Inputs!$F$168</f>
        <v>1.64364311743885</v>
      </c>
      <c r="T87" s="11" t="n">
        <f aca="false">(1-T81)*(T55+T56+T57+T59)/MAX(Time!T26,1)*Inputs!$F$168</f>
        <v>1.64549971818137</v>
      </c>
      <c r="U87" s="11" t="n">
        <f aca="false">(1-U81)*(U55+U56+U57+U59)/MAX(Time!U26,1)*Inputs!$F$168</f>
        <v>1.66185593036222</v>
      </c>
      <c r="V87" s="11" t="n">
        <f aca="false">(1-V81)*(V55+V56+V57+V59)/MAX(Time!V26,1)*Inputs!$F$168</f>
        <v>1.62192544716934</v>
      </c>
      <c r="W87" s="11" t="n">
        <f aca="false">(1-W81)*(W55+W56+W57+W59)/MAX(Time!W26,1)*Inputs!$F$168</f>
        <v>1.68732334392203</v>
      </c>
      <c r="X87" s="11" t="n">
        <f aca="false">(1-X81)*(X55+X56+X57+X59)/MAX(Time!X26,1)*Inputs!$F$168</f>
        <v>1.71869812764495</v>
      </c>
      <c r="Y87" s="11" t="n">
        <f aca="false">(1-Y81)*(Y55+Y56+Y57+Y59)/MAX(Time!Y26,1)*Inputs!$F$168</f>
        <v>1.7604134734904</v>
      </c>
      <c r="Z87" s="11" t="n">
        <f aca="false">(1-Z81)*(Z55+Z56+Z57+Z59)/MAX(Time!Z26,1)*Inputs!$F$168</f>
        <v>1.73894983741479</v>
      </c>
      <c r="AA87" s="11" t="n">
        <f aca="false">(1-AA81)*(AA55+AA56+AA57+AA59)/MAX(Time!AA26,1)*Inputs!$F$168</f>
        <v>1.79312724246742</v>
      </c>
      <c r="AB87" s="11" t="n">
        <f aca="false">(1-AB81)*(AB55+AB56+AB57+AB59)/MAX(Time!AB26,1)*Inputs!$F$168</f>
        <v>1.79515269515511</v>
      </c>
      <c r="AC87" s="11" t="n">
        <f aca="false">(1-AC81)*(AC55+AC56+AC57+AC59)/MAX(Time!AC26,1)*Inputs!$F$168</f>
        <v>1.80008935969456</v>
      </c>
      <c r="AD87" s="11" t="n">
        <f aca="false">(1-AD81)*(AD55+AD56+AD57+AD59)/MAX(Time!AD26,1)*Inputs!$F$168</f>
        <v>1.73682860129558</v>
      </c>
      <c r="AE87" s="11" t="n">
        <f aca="false">(1-AE81)*(AE55+AE56+AE57+AE59)/MAX(Time!AE26,1)*Inputs!$F$168</f>
        <v>1.81425219090909</v>
      </c>
      <c r="AF87" s="11" t="n">
        <f aca="false">(1-AF81)*(AF55+AF56+AF57+AF59)/MAX(Time!AF26,1)*Inputs!$F$168</f>
        <v>1.87500826764639</v>
      </c>
      <c r="AG87" s="11" t="n">
        <f aca="false">(1-AG81)*(AG55+AG56+AG57+AG59)/MAX(Time!AG26,1)*Inputs!$F$168</f>
        <v>1.92051749180266</v>
      </c>
      <c r="AH87" s="11" t="n">
        <f aca="false">(1-AH81)*(AH55+AH56+AH57+AH59)/MAX(Time!AH26,1)*Inputs!$F$168</f>
        <v>1.89710180614605</v>
      </c>
      <c r="AI87" s="11" t="n">
        <f aca="false">(1-AI81)*(AI55+AI56+AI57+AI59)/MAX(Time!AI26,1)*Inputs!$F$168</f>
        <v>1.95620647424301</v>
      </c>
      <c r="AJ87" s="11" t="n">
        <f aca="false">(1-AJ81)*(AJ55+AJ56+AJ57+AJ59)/MAX(Time!AJ26,1)*Inputs!$F$168</f>
        <v>1.95841613542437</v>
      </c>
      <c r="AK87" s="11" t="n">
        <f aca="false">(1-AK81)*(AK55+AK56+AK57+AK59)/MAX(Time!AK26,1)*Inputs!$F$168</f>
        <v>1.97788272633014</v>
      </c>
      <c r="AL87" s="11" t="n">
        <f aca="false">(1-AL81)*(AL55+AL56+AL57+AL59)/MAX(Time!AL26,1)*Inputs!$F$168</f>
        <v>1.93035886369061</v>
      </c>
      <c r="AM87" s="11" t="n">
        <f aca="false">(1-AM81)*(AM55+AM56+AM57+AM59)/MAX(Time!AM26,1)*Inputs!$F$168</f>
        <v>2.00819315002208</v>
      </c>
      <c r="AN87" s="11" t="n">
        <f aca="false">(1-AN81)*(AN55+AN56+AN57+AN59)/MAX(Time!AN26,1)*Inputs!$F$168</f>
        <v>2.04553431879259</v>
      </c>
      <c r="AO87" s="11" t="n">
        <f aca="false">(1-AO81)*(AO55+AO56+AO57+AO59)/MAX(Time!AO26,1)*Inputs!$F$168</f>
        <v>2.09518246245124</v>
      </c>
      <c r="AP87" s="11" t="n">
        <f aca="false">(1-AP81)*(AP55+AP56+AP57+AP59)/MAX(Time!AP26,1)*Inputs!$F$168</f>
        <v>2.06963719449955</v>
      </c>
      <c r="AQ87" s="11" t="n">
        <f aca="false">(1-AQ81)*(AQ55+AQ56+AQ57+AQ59)/MAX(Time!AQ26,1)*Inputs!$F$168</f>
        <v>2.13411724457685</v>
      </c>
      <c r="AR87" s="11" t="n">
        <f aca="false">(1-AR81)*(AR55+AR56+AR57+AR59)/MAX(Time!AR26,1)*Inputs!$F$168</f>
        <v>2.13652786742975</v>
      </c>
      <c r="AS87" s="11" t="n">
        <f aca="false">(1-AS81)*(AS55+AS56+AS57+AS59)/MAX(Time!AS26,1)*Inputs!$F$168</f>
        <v>2.14240331267136</v>
      </c>
      <c r="AT87" s="11" t="n">
        <f aca="false">(1-AT81)*(AT55+AT56+AT57+AT59)/MAX(Time!AT26,1)*Inputs!$F$168</f>
        <v>2.06711257356101</v>
      </c>
      <c r="AU87" s="11" t="n">
        <f aca="false">(1-AU81)*(AU55+AU56+AU57+AU59)/MAX(Time!AU26,1)*Inputs!$F$168</f>
        <v>2.15925941836821</v>
      </c>
      <c r="AV87" s="11" t="n">
        <f aca="false">(1-AV81)*(AV55+AV56+AV57+AV59)/MAX(Time!AV26,1)*Inputs!$F$168</f>
        <v>2.2315691730845</v>
      </c>
      <c r="AW87" s="11" t="n">
        <f aca="false">(1-AW81)*(AW55+AW56+AW57+AW59)/MAX(Time!AW26,1)*Inputs!$F$168</f>
        <v>2.28573265783841</v>
      </c>
      <c r="AX87" s="11" t="n">
        <f aca="false">(1-AX81)*(AX55+AX56+AX57+AX59)/MAX(Time!AX26,1)*Inputs!$F$168</f>
        <v>2.25786412884066</v>
      </c>
      <c r="AY87" s="11" t="n">
        <f aca="false">(1-AY81)*(AY55+AY56+AY57+AY59)/MAX(Time!AY26,1)*Inputs!$F$168</f>
        <v>2.32820843482931</v>
      </c>
      <c r="AZ87" s="11" t="n">
        <f aca="false">(1-AZ81)*(AZ55+AZ56+AZ57+AZ59)/MAX(Time!AZ26,1)*Inputs!$F$168</f>
        <v>2.33083829617999</v>
      </c>
      <c r="BA87" s="11" t="n">
        <f aca="false">(1-BA81)*(BA55+BA56+BA57+BA59)/MAX(Time!BA26,1)*Inputs!$F$168</f>
        <v>2.35400675091161</v>
      </c>
      <c r="BB87" s="11" t="n">
        <f aca="false">(1-BB81)*(BB55+BB56+BB57+BB59)/MAX(Time!BB26,1)*Inputs!$F$168</f>
        <v>2.29744551399215</v>
      </c>
      <c r="BC87" s="11" t="n">
        <f aca="false">(1-BC81)*(BC55+BC56+BC57+BC59)/MAX(Time!BC26,1)*Inputs!$F$168</f>
        <v>2.39008115564955</v>
      </c>
      <c r="BD87" s="11" t="n">
        <f aca="false">(1-BD81)*(BD55+BD56+BD57+BD59)/MAX(Time!BD26,1)*Inputs!$F$168</f>
        <v>2.43452330694726</v>
      </c>
      <c r="BE87" s="11" t="n">
        <f aca="false">(1-BE81)*(BE55+BE56+BE57+BE59)/MAX(Time!BE26,1)*Inputs!$F$168</f>
        <v>2.4936127887385</v>
      </c>
      <c r="BF87" s="11" t="n">
        <f aca="false">(1-BF81)*(BF55+BF56+BF57+BF59)/MAX(Time!BF26,1)*Inputs!$F$168</f>
        <v>2.46320970547598</v>
      </c>
      <c r="BG87" s="11" t="n">
        <f aca="false">(1-BG81)*(BG55+BG56+BG57+BG59)/MAX(Time!BG26,1)*Inputs!$F$168</f>
        <v>2.53995160283948</v>
      </c>
      <c r="BH87" s="11" t="n">
        <f aca="false">(1-BH81)*(BH55+BH56+BH57+BH59)/MAX(Time!BH26,1)*Inputs!$F$168</f>
        <v>2.5428206417335</v>
      </c>
      <c r="BI87" s="11" t="n">
        <f aca="false">(1-BI81)*(BI55+BI56+BI57+BI59)/MAX(Time!BI26,1)*Inputs!$F$168</f>
        <v>2.54981339088855</v>
      </c>
      <c r="BJ87" s="11" t="n">
        <f aca="false">(1-BJ81)*(BJ55+BJ56+BJ57+BJ59)/MAX(Time!BJ26,1)*Inputs!$F$168</f>
        <v>2.46020499005291</v>
      </c>
      <c r="BK87" s="11" t="n">
        <f aca="false">(1-BK81)*(BK55+BK56+BK57+BK59)/MAX(Time!BK26,1)*Inputs!$F$168</f>
        <v>2.56987493754967</v>
      </c>
      <c r="BL87" s="11" t="n">
        <f aca="false">(1-BL81)*(BL55+BL56+BL57+BL59)/MAX(Time!BL26,1)*Inputs!$F$168</f>
        <v>2.65593547516037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1.0779089966983</v>
      </c>
      <c r="R88" s="11" t="n">
        <f aca="false">(1-R81)*(R60+R61+R62+R63+R64+R65+R66)/MAX(Time!R26,1)*Inputs!$F$169</f>
        <v>1.06877092071732</v>
      </c>
      <c r="S88" s="11" t="n">
        <f aca="false">(1-S81)*(S60+S61+S62+S63+S64+S65+S66)/MAX(Time!S26,1)*Inputs!$F$169</f>
        <v>1.09825090196842</v>
      </c>
      <c r="T88" s="11" t="n">
        <f aca="false">(1-T81)*(T60+T61+T62+T63+T64+T65+T66)/MAX(Time!T26,1)*Inputs!$F$169</f>
        <v>1.09308458477447</v>
      </c>
      <c r="U88" s="11" t="n">
        <f aca="false">(1-U81)*(U60+U61+U62+U63+U64+U65+U66)/MAX(Time!U26,1)*Inputs!$F$169</f>
        <v>1.11227567088748</v>
      </c>
      <c r="V88" s="11" t="n">
        <f aca="false">(1-V81)*(V60+V61+V62+V63+V64+V65+V66)/MAX(Time!V26,1)*Inputs!$F$169</f>
        <v>1.10358037429402</v>
      </c>
      <c r="W88" s="11" t="n">
        <f aca="false">(1-W81)*(W60+W61+W62+W63+W64+W65+W66)/MAX(Time!W26,1)*Inputs!$F$169</f>
        <v>1.13682821961515</v>
      </c>
      <c r="X88" s="11" t="n">
        <f aca="false">(1-X81)*(X60+X61+X62+X63+X64+X65+X66)/MAX(Time!X26,1)*Inputs!$F$169</f>
        <v>1.13702271796048</v>
      </c>
      <c r="Y88" s="11" t="n">
        <f aca="false">(1-Y81)*(Y60+Y61+Y62+Y63+Y64+Y65+Y66)/MAX(Time!Y26,1)*Inputs!$F$169</f>
        <v>1.16623082691689</v>
      </c>
      <c r="Z88" s="11" t="n">
        <f aca="false">(1-Z81)*(Z60+Z61+Z62+Z63+Z64+Z65+Z66)/MAX(Time!Z26,1)*Inputs!$F$169</f>
        <v>1.15641088453573</v>
      </c>
      <c r="AA88" s="11" t="n">
        <f aca="false">(1-AA81)*(AA60+AA61+AA62+AA63+AA64+AA65+AA66)/MAX(Time!AA26,1)*Inputs!$F$169</f>
        <v>1.18838382009656</v>
      </c>
      <c r="AB88" s="11" t="n">
        <f aca="false">(1-AB81)*(AB60+AB61+AB62+AB63+AB64+AB65+AB66)/MAX(Time!AB26,1)*Inputs!$F$169</f>
        <v>1.18287022890352</v>
      </c>
      <c r="AC88" s="11" t="n">
        <f aca="false">(1-AC81)*(AC60+AC61+AC62+AC63+AC64+AC65+AC66)/MAX(Time!AC26,1)*Inputs!$F$169</f>
        <v>1.20128794808103</v>
      </c>
      <c r="AD88" s="11" t="n">
        <f aca="false">(1-AD81)*(AD60+AD61+AD62+AD63+AD64+AD65+AD66)/MAX(Time!AD26,1)*Inputs!$F$169</f>
        <v>1.18630532617601</v>
      </c>
      <c r="AE88" s="11" t="n">
        <f aca="false">(1-AE81)*(AE60+AE61+AE62+AE63+AE64+AE65+AE66)/MAX(Time!AE26,1)*Inputs!$F$169</f>
        <v>1.22545753072045</v>
      </c>
      <c r="AF88" s="11" t="n">
        <f aca="false">(1-AF81)*(AF60+AF61+AF62+AF63+AF64+AF65+AF66)/MAX(Time!AF26,1)*Inputs!$F$169</f>
        <v>1.2307100451923</v>
      </c>
      <c r="AG88" s="11" t="n">
        <f aca="false">(1-AG81)*(AG60+AG61+AG62+AG63+AG64+AG65+AG66)/MAX(Time!AG26,1)*Inputs!$F$169</f>
        <v>1.26239605633852</v>
      </c>
      <c r="AH88" s="11" t="n">
        <f aca="false">(1-AH81)*(AH60+AH61+AH62+AH63+AH64+AH65+AH66)/MAX(Time!AH26,1)*Inputs!$F$169</f>
        <v>1.25183448990549</v>
      </c>
      <c r="AI88" s="11" t="n">
        <f aca="false">(1-AI81)*(AI60+AI61+AI62+AI63+AI64+AI65+AI66)/MAX(Time!AI26,1)*Inputs!$F$169</f>
        <v>1.28652130830884</v>
      </c>
      <c r="AJ88" s="11" t="n">
        <f aca="false">(1-AJ81)*(AJ60+AJ61+AJ62+AJ63+AJ64+AJ65+AJ66)/MAX(Time!AJ26,1)*Inputs!$F$169</f>
        <v>1.28062869399038</v>
      </c>
      <c r="AK88" s="11" t="n">
        <f aca="false">(1-AK81)*(AK60+AK61+AK62+AK63+AK64+AK65+AK66)/MAX(Time!AK26,1)*Inputs!$F$169</f>
        <v>1.30324853179466</v>
      </c>
      <c r="AL88" s="11" t="n">
        <f aca="false">(1-AL81)*(AL60+AL61+AL62+AL63+AL64+AL65+AL66)/MAX(Time!AL26,1)*Inputs!$F$169</f>
        <v>1.29317995486135</v>
      </c>
      <c r="AM88" s="11" t="n">
        <f aca="false">(1-AM81)*(AM60+AM61+AM62+AM63+AM64+AM65+AM66)/MAX(Time!AM26,1)*Inputs!$F$169</f>
        <v>1.33230844989944</v>
      </c>
      <c r="AN88" s="11" t="n">
        <f aca="false">(1-AN81)*(AN60+AN61+AN62+AN63+AN64+AN65+AN66)/MAX(Time!AN26,1)*Inputs!$F$169</f>
        <v>1.33271645818391</v>
      </c>
      <c r="AO88" s="11" t="n">
        <f aca="false">(1-AO81)*(AO60+AO61+AO62+AO63+AO64+AO65+AO66)/MAX(Time!AO26,1)*Inputs!$F$169</f>
        <v>1.36710081091181</v>
      </c>
      <c r="AP88" s="11" t="n">
        <f aca="false">(1-AP81)*(AP60+AP61+AP62+AP63+AP64+AP65+AP66)/MAX(Time!AP26,1)*Inputs!$F$169</f>
        <v>1.35573263317645</v>
      </c>
      <c r="AQ88" s="11" t="n">
        <f aca="false">(1-AQ81)*(AQ60+AQ61+AQ62+AQ63+AQ64+AQ65+AQ66)/MAX(Time!AQ26,1)*Inputs!$F$169</f>
        <v>1.39337382841702</v>
      </c>
      <c r="AR88" s="11" t="n">
        <f aca="false">(1-AR81)*(AR60+AR61+AR62+AR63+AR64+AR65+AR66)/MAX(Time!AR26,1)*Inputs!$F$169</f>
        <v>1.38706753929848</v>
      </c>
      <c r="AS88" s="11" t="n">
        <f aca="false">(1-AS81)*(AS60+AS61+AS62+AS63+AS64+AS65+AS66)/MAX(Time!AS26,1)*Inputs!$F$169</f>
        <v>1.40879739445451</v>
      </c>
      <c r="AT88" s="11" t="n">
        <f aca="false">(1-AT81)*(AT60+AT61+AT62+AT63+AT64+AT65+AT66)/MAX(Time!AT26,1)*Inputs!$F$169</f>
        <v>1.39142524188985</v>
      </c>
      <c r="AU88" s="11" t="n">
        <f aca="false">(1-AU81)*(AU60+AU61+AU62+AU63+AU64+AU65+AU66)/MAX(Time!AU26,1)*Inputs!$F$169</f>
        <v>1.437431555951</v>
      </c>
      <c r="AV88" s="11" t="n">
        <f aca="false">(1-AV81)*(AV60+AV61+AV62+AV63+AV64+AV65+AV66)/MAX(Time!AV26,1)*Inputs!$F$169</f>
        <v>1.44378022747852</v>
      </c>
      <c r="AW88" s="11" t="n">
        <f aca="false">(1-AW81)*(AW60+AW61+AW62+AW63+AW64+AW65+AW66)/MAX(Time!AW26,1)*Inputs!$F$169</f>
        <v>1.48110296217124</v>
      </c>
      <c r="AX88" s="11" t="n">
        <f aca="false">(1-AX81)*(AX60+AX61+AX62+AX63+AX64+AX65+AX66)/MAX(Time!AX26,1)*Inputs!$F$169</f>
        <v>1.46885749932845</v>
      </c>
      <c r="AY88" s="11" t="n">
        <f aca="false">(1-AY81)*(AY60+AY61+AY62+AY63+AY64+AY65+AY66)/MAX(Time!AY26,1)*Inputs!$F$169</f>
        <v>1.50971486232451</v>
      </c>
      <c r="AZ88" s="11" t="n">
        <f aca="false">(1-AZ81)*(AZ60+AZ61+AZ62+AZ63+AZ64+AZ65+AZ66)/MAX(Time!AZ26,1)*Inputs!$F$169</f>
        <v>1.50295707883507</v>
      </c>
      <c r="BA88" s="11" t="n">
        <f aca="false">(1-BA81)*(BA60+BA61+BA62+BA63+BA64+BA65+BA66)/MAX(Time!BA26,1)*Inputs!$F$169</f>
        <v>1.52964852063847</v>
      </c>
      <c r="BB88" s="11" t="n">
        <f aca="false">(1-BB81)*(BB60+BB61+BB62+BB63+BB64+BB65+BB66)/MAX(Time!BB26,1)*Inputs!$F$169</f>
        <v>1.51796601210047</v>
      </c>
      <c r="BC88" s="11" t="n">
        <f aca="false">(1-BC81)*(BC60+BC61+BC62+BC63+BC64+BC65+BC66)/MAX(Time!BC26,1)*Inputs!$F$169</f>
        <v>1.56405887919005</v>
      </c>
      <c r="BD88" s="11" t="n">
        <f aca="false">(1-BD81)*(BD60+BD61+BD62+BD63+BD64+BD65+BD66)/MAX(Time!BD26,1)*Inputs!$F$169</f>
        <v>1.56470510048121</v>
      </c>
      <c r="BE88" s="11" t="n">
        <f aca="false">(1-BE81)*(BE60+BE61+BE62+BE63+BE64+BE65+BE66)/MAX(Time!BE26,1)*Inputs!$F$169</f>
        <v>1.60522760048323</v>
      </c>
      <c r="BF88" s="11" t="n">
        <f aca="false">(1-BF81)*(BF60+BF61+BF62+BF63+BF64+BF65+BF66)/MAX(Time!BF26,1)*Inputs!$F$169</f>
        <v>1.59202799535575</v>
      </c>
      <c r="BG88" s="11" t="n">
        <f aca="false">(1-BG81)*(BG60+BG61+BG62+BG63+BG64+BG65+BG66)/MAX(Time!BG26,1)*Inputs!$F$169</f>
        <v>1.63638649852028</v>
      </c>
      <c r="BH88" s="11" t="n">
        <f aca="false">(1-BH81)*(BH60+BH61+BH62+BH63+BH64+BH65+BH66)/MAX(Time!BH26,1)*Inputs!$F$169</f>
        <v>1.62913594358805</v>
      </c>
      <c r="BI88" s="11" t="n">
        <f aca="false">(1-BI81)*(BI60+BI61+BI62+BI63+BI64+BI65+BI66)/MAX(Time!BI26,1)*Inputs!$F$169</f>
        <v>1.6548044016326</v>
      </c>
      <c r="BJ88" s="11" t="n">
        <f aca="false">(1-BJ81)*(BJ60+BJ61+BJ62+BJ63+BJ64+BJ65+BJ66)/MAX(Time!BJ26,1)*Inputs!$F$169</f>
        <v>1.63462392598479</v>
      </c>
      <c r="BK88" s="11" t="n">
        <f aca="false">(1-BK81)*(BK60+BK61+BK62+BK63+BK64+BK65+BK66)/MAX(Time!BK26,1)*Inputs!$F$169</f>
        <v>1.68874378763419</v>
      </c>
      <c r="BL88" s="11" t="n">
        <f aca="false">(1-BL81)*(BL60+BL61+BL62+BL63+BL64+BL65+BL66)/MAX(Time!BL26,1)*Inputs!$F$169</f>
        <v>1.69636610480881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47.84544556697</v>
      </c>
      <c r="R90" s="11" t="n">
        <f aca="false">R83+R84-R85-R86-R87-R88-R89</f>
        <v>47.2317595972041</v>
      </c>
      <c r="S90" s="11" t="n">
        <f aca="false">S83+S84-S85-S86-S87-S88-S89</f>
        <v>15.0439157754706</v>
      </c>
      <c r="T90" s="11" t="n">
        <f aca="false">T83+T84-T85-T86-T87-T88-T89</f>
        <v>14.8521450104133</v>
      </c>
      <c r="U90" s="11" t="n">
        <f aca="false">U83+U84-U85-U86-U87-U88-U89</f>
        <v>15.063000135695</v>
      </c>
      <c r="V90" s="11" t="n">
        <f aca="false">V83+V84-V85-V86-V87-V88-V89</f>
        <v>14.9512320006401</v>
      </c>
      <c r="W90" s="11" t="n">
        <f aca="false">W83+W84-W85-W86-W87-W88-W89</f>
        <v>15.240302963174</v>
      </c>
      <c r="X90" s="11" t="n">
        <f aca="false">X83+X84-X85-X86-X87-X88-X89</f>
        <v>15.0457667684852</v>
      </c>
      <c r="Y90" s="11" t="n">
        <f aca="false">Y83+Y84-Y85-Y86-Y87-Y88-Y89</f>
        <v>15.3385911033824</v>
      </c>
      <c r="Z90" s="11" t="n">
        <f aca="false">Z83+Z84-Z85-Z86-Z87-Z88-Z89</f>
        <v>15.1465277589397</v>
      </c>
      <c r="AA90" s="11" t="n">
        <f aca="false">AA83+AA84-AA85-AA86-AA87-AA88-AA89</f>
        <v>15.4411597367593</v>
      </c>
      <c r="AB90" s="11" t="n">
        <f aca="false">AB83+AB84-AB85-AB86-AB87-AB88-AB89</f>
        <v>15.2470459936976</v>
      </c>
      <c r="AC90" s="11" t="n">
        <f aca="false">AC83+AC84-AC85-AC86-AC87-AC88-AC89</f>
        <v>15.4672173555775</v>
      </c>
      <c r="AD90" s="11" t="n">
        <f aca="false">AD83+AD84-AD85-AD86-AD87-AD88-AD89</f>
        <v>15.1329320373092</v>
      </c>
      <c r="AE90" s="11" t="n">
        <f aca="false">AE83+AE84-AE85-AE86-AE87-AE88-AE89</f>
        <v>15.6558956755814</v>
      </c>
      <c r="AF90" s="11" t="n">
        <f aca="false">AF83+AF84-AF85-AF86-AF87-AF88-AF89</f>
        <v>15.456292302313</v>
      </c>
      <c r="AG90" s="11" t="n">
        <f aca="false">AG83+AG84-AG85-AG86-AG87-AG88-AG89</f>
        <v>15.7595094495221</v>
      </c>
      <c r="AH90" s="11" t="n">
        <f aca="false">AH83+AH84-AH85-AH86-AH87-AH88-AH89</f>
        <v>15.5655304891269</v>
      </c>
      <c r="AI90" s="11" t="n">
        <f aca="false">AI83+AI84-AI85-AI86-AI87-AI88-AI89</f>
        <v>15.8704807564683</v>
      </c>
      <c r="AJ90" s="11" t="n">
        <f aca="false">AJ83+AJ84-AJ85-AJ86-AJ87-AJ88-AJ89</f>
        <v>15.6738280736724</v>
      </c>
      <c r="AK90" s="11" t="n">
        <f aca="false">AK83+AK84-AK85-AK86-AK87-AK88-AK89</f>
        <v>15.9022679933694</v>
      </c>
      <c r="AL90" s="11" t="n">
        <f aca="false">AL83+AL84-AL85-AL86-AL87-AL88-AL89</f>
        <v>15.792083524328</v>
      </c>
      <c r="AM90" s="11" t="n">
        <f aca="false">AM83+AM84-AM85-AM86-AM87-AM88-AM89</f>
        <v>16.1011258133333</v>
      </c>
      <c r="AN90" s="11" t="n">
        <f aca="false">AN83+AN84-AN85-AN86-AN87-AN88-AN89</f>
        <v>15.8999889849054</v>
      </c>
      <c r="AO90" s="11" t="n">
        <f aca="false">AO83+AO84-AO85-AO86-AO87-AO88-AO89</f>
        <v>16.2144514127115</v>
      </c>
      <c r="AP90" s="11" t="n">
        <f aca="false">AP83+AP84-AP85-AP86-AP87-AP88-AP89</f>
        <v>16.0184312718234</v>
      </c>
      <c r="AQ90" s="11" t="n">
        <f aca="false">AQ83+AQ84-AQ85-AQ86-AQ87-AQ88-AQ89</f>
        <v>16.3345289517331</v>
      </c>
      <c r="AR90" s="11" t="n">
        <f aca="false">AR83+AR84-AR85-AR86-AR87-AR88-AR89</f>
        <v>16.1351245683343</v>
      </c>
      <c r="AS90" s="11" t="n">
        <f aca="false">AS83+AS84-AS85-AS86-AS87-AS88-AS89</f>
        <v>16.3750509213827</v>
      </c>
      <c r="AT90" s="11" t="n">
        <f aca="false">AT83+AT84-AT85-AT86-AT87-AT88-AT89</f>
        <v>16.0283674771149</v>
      </c>
      <c r="AU90" s="11" t="n">
        <f aca="false">AU83+AU84-AU85-AU86-AU87-AU88-AU89</f>
        <v>16.5878829655057</v>
      </c>
      <c r="AV90" s="11" t="n">
        <f aca="false">AV83+AV84-AV85-AV86-AV87-AV88-AV89</f>
        <v>16.3795987925486</v>
      </c>
      <c r="AW90" s="11" t="n">
        <f aca="false">AW83+AW84-AW85-AW86-AW87-AW88-AW89</f>
        <v>16.7062304547442</v>
      </c>
      <c r="AX90" s="11" t="n">
        <f aca="false">AX83+AX84-AX85-AX86-AX87-AX88-AX89</f>
        <v>16.5080353522097</v>
      </c>
      <c r="AY90" s="11" t="n">
        <f aca="false">AY83+AY84-AY85-AY86-AY87-AY88-AY89</f>
        <v>16.8361777847716</v>
      </c>
      <c r="AZ90" s="11" t="n">
        <f aca="false">AZ83+AZ84-AZ85-AZ86-AZ87-AZ88-AZ89</f>
        <v>16.6337906681625</v>
      </c>
      <c r="BA90" s="11" t="n">
        <f aca="false">BA83+BA84-BA85-BA86-BA87-BA88-BA89</f>
        <v>16.882902280638</v>
      </c>
      <c r="BB90" s="11" t="n">
        <f aca="false">BB83+BB84-BB85-BB86-BB87-BB88-BB89</f>
        <v>16.7749237494498</v>
      </c>
      <c r="BC90" s="11" t="n">
        <f aca="false">BC83+BC84-BC85-BC86-BC87-BC88-BC89</f>
        <v>17.1071841194265</v>
      </c>
      <c r="BD90" s="11" t="n">
        <f aca="false">BD83+BD84-BD85-BD86-BD87-BD88-BD89</f>
        <v>16.8980948793149</v>
      </c>
      <c r="BE90" s="11" t="n">
        <f aca="false">BE83+BE84-BE85-BE86-BE87-BE88-BE89</f>
        <v>17.2378973265922</v>
      </c>
      <c r="BF90" s="11" t="n">
        <f aca="false">BF83+BF84-BF85-BF86-BF87-BF88-BF89</f>
        <v>17.0373847229606</v>
      </c>
      <c r="BG90" s="11" t="n">
        <f aca="false">BG83+BG84-BG85-BG86-BG87-BG88-BG89</f>
        <v>17.3785432003345</v>
      </c>
      <c r="BH90" s="11" t="n">
        <f aca="false">BH83+BH84-BH85-BH86-BH87-BH88-BH89</f>
        <v>17.1729224420184</v>
      </c>
      <c r="BI90" s="11" t="n">
        <f aca="false">BI83+BI84-BI85-BI86-BI87-BI88-BI89</f>
        <v>17.4361626872391</v>
      </c>
      <c r="BJ90" s="11" t="n">
        <f aca="false">BJ83+BJ84-BJ85-BJ86-BJ87-BJ88-BJ89</f>
        <v>17.0752151277137</v>
      </c>
      <c r="BK90" s="11" t="n">
        <f aca="false">BK83+BK84-BK85-BK86-BK87-BK88-BK89</f>
        <v>17.677575515035</v>
      </c>
      <c r="BL90" s="11" t="n">
        <f aca="false">BL83+BL84-BL85-BL86-BL87-BL88-BL89</f>
        <v>17.4587013905066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32.8683645114599</v>
      </c>
      <c r="R91" s="11" t="n">
        <f aca="false">R90-Q90</f>
        <v>-0.613685969765832</v>
      </c>
      <c r="S91" s="11" t="n">
        <f aca="false">S90-R90</f>
        <v>-32.1878438217336</v>
      </c>
      <c r="T91" s="11" t="n">
        <f aca="false">T90-S90</f>
        <v>-0.191770765057239</v>
      </c>
      <c r="U91" s="11" t="n">
        <f aca="false">U90-T90</f>
        <v>0.210855125281675</v>
      </c>
      <c r="V91" s="11" t="n">
        <f aca="false">V90-U90</f>
        <v>-0.111768135054866</v>
      </c>
      <c r="W91" s="11" t="n">
        <f aca="false">W90-V90</f>
        <v>0.289070962533877</v>
      </c>
      <c r="X91" s="11" t="n">
        <f aca="false">X90-W90</f>
        <v>-0.1945361946888</v>
      </c>
      <c r="Y91" s="11" t="n">
        <f aca="false">Y90-X90</f>
        <v>0.292824334897215</v>
      </c>
      <c r="Z91" s="11" t="n">
        <f aca="false">Z90-Y90</f>
        <v>-0.192063344442749</v>
      </c>
      <c r="AA91" s="11" t="n">
        <f aca="false">AA90-Z90</f>
        <v>0.294631977819577</v>
      </c>
      <c r="AB91" s="11" t="n">
        <f aca="false">AB90-AA90</f>
        <v>-0.194113743061655</v>
      </c>
      <c r="AC91" s="11" t="n">
        <f aca="false">AC90-AB90</f>
        <v>0.220171361879855</v>
      </c>
      <c r="AD91" s="11" t="n">
        <f aca="false">AD90-AC90</f>
        <v>-0.334285318268217</v>
      </c>
      <c r="AE91" s="11" t="n">
        <f aca="false">AE90-AD90</f>
        <v>0.522963638272129</v>
      </c>
      <c r="AF91" s="11" t="n">
        <f aca="false">AF90-AE90</f>
        <v>-0.199603373268401</v>
      </c>
      <c r="AG91" s="11" t="n">
        <f aca="false">AG90-AF90</f>
        <v>0.303217147209082</v>
      </c>
      <c r="AH91" s="11" t="n">
        <f aca="false">AH90-AG90</f>
        <v>-0.193978960395107</v>
      </c>
      <c r="AI91" s="11" t="n">
        <f aca="false">AI90-AH90</f>
        <v>0.304950267341317</v>
      </c>
      <c r="AJ91" s="11" t="n">
        <f aca="false">AJ90-AI90</f>
        <v>-0.196652682795817</v>
      </c>
      <c r="AK91" s="11" t="n">
        <f aca="false">AK90-AJ90</f>
        <v>0.22843991969696</v>
      </c>
      <c r="AL91" s="11" t="n">
        <f aca="false">AL90-AK90</f>
        <v>-0.110184469041442</v>
      </c>
      <c r="AM91" s="11" t="n">
        <f aca="false">AM90-AL90</f>
        <v>0.309042289005319</v>
      </c>
      <c r="AN91" s="11" t="n">
        <f aca="false">AN90-AM90</f>
        <v>-0.201136828427913</v>
      </c>
      <c r="AO91" s="11" t="n">
        <f aca="false">AO90-AN90</f>
        <v>0.314462427806166</v>
      </c>
      <c r="AP91" s="11" t="n">
        <f aca="false">AP90-AO90</f>
        <v>-0.196020140888127</v>
      </c>
      <c r="AQ91" s="11" t="n">
        <f aca="false">AQ90-AP90</f>
        <v>0.31609767990966</v>
      </c>
      <c r="AR91" s="11" t="n">
        <f aca="false">AR90-AQ90</f>
        <v>-0.199404383398797</v>
      </c>
      <c r="AS91" s="11" t="n">
        <f aca="false">AS90-AR90</f>
        <v>0.239926353048439</v>
      </c>
      <c r="AT91" s="11" t="n">
        <f aca="false">AT90-AS90</f>
        <v>-0.34668344426785</v>
      </c>
      <c r="AU91" s="11" t="n">
        <f aca="false">AU90-AT90</f>
        <v>0.559515488390812</v>
      </c>
      <c r="AV91" s="11" t="n">
        <f aca="false">AV90-AU90</f>
        <v>-0.208284172957033</v>
      </c>
      <c r="AW91" s="11" t="n">
        <f aca="false">AW90-AV90</f>
        <v>0.326631662195521</v>
      </c>
      <c r="AX91" s="11" t="n">
        <f aca="false">AX90-AW90</f>
        <v>-0.19819510253447</v>
      </c>
      <c r="AY91" s="11" t="n">
        <f aca="false">AY90-AX90</f>
        <v>0.328142432561879</v>
      </c>
      <c r="AZ91" s="11" t="n">
        <f aca="false">AZ90-AY90</f>
        <v>-0.202387116609106</v>
      </c>
      <c r="BA91" s="11" t="n">
        <f aca="false">BA90-AZ90</f>
        <v>0.24911161247552</v>
      </c>
      <c r="BB91" s="11" t="n">
        <f aca="false">BB90-BA90</f>
        <v>-0.107978531188163</v>
      </c>
      <c r="BC91" s="11" t="n">
        <f aca="false">BC90-BB90</f>
        <v>0.332260369976719</v>
      </c>
      <c r="BD91" s="11" t="n">
        <f aca="false">BD90-BC90</f>
        <v>-0.209089240111606</v>
      </c>
      <c r="BE91" s="11" t="n">
        <f aca="false">BE90-BD90</f>
        <v>0.339802447277304</v>
      </c>
      <c r="BF91" s="11" t="n">
        <f aca="false">BF90-BE90</f>
        <v>-0.200512603631651</v>
      </c>
      <c r="BG91" s="11" t="n">
        <f aca="false">BG90-BF90</f>
        <v>0.34115847737392</v>
      </c>
      <c r="BH91" s="11" t="n">
        <f aca="false">BH90-BG90</f>
        <v>-0.20562075831614</v>
      </c>
      <c r="BI91" s="11" t="n">
        <f aca="false">BI90-BH90</f>
        <v>0.263240245220739</v>
      </c>
      <c r="BJ91" s="11" t="n">
        <f aca="false">BJ90-BI90</f>
        <v>-0.360947559525449</v>
      </c>
      <c r="BK91" s="11" t="n">
        <f aca="false">BK90-BJ90</f>
        <v>0.602360387321326</v>
      </c>
      <c r="BL91" s="11" t="n">
        <f aca="false">BL90-BK90</f>
        <v>-0.218874124528398</v>
      </c>
      <c r="BM91" s="11" t="n">
        <f aca="false">BM90-BL90</f>
        <v>-17.4587013905066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212.431593330018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9.40661283049369</v>
      </c>
      <c r="R13" s="11" t="n">
        <f aca="false">IF(Time!R17&gt;=Time!$F$11,Waterfall!R33*Inputs!$F$102/100*Time!R26/365,0)</f>
        <v>10.013010094575</v>
      </c>
      <c r="S13" s="11" t="n">
        <f aca="false">IF(Time!S17&gt;=Time!$F$11,Waterfall!S33*Inputs!$F$102/100*Time!S26/365,0)</f>
        <v>10.3214632858267</v>
      </c>
      <c r="T13" s="11" t="n">
        <f aca="false">IF(Time!T17&gt;=Time!$F$11,Waterfall!T33*Inputs!$F$102/100*Time!T26/365,0)</f>
        <v>9.24057817495686</v>
      </c>
      <c r="U13" s="11" t="n">
        <f aca="false">IF(Time!U17&gt;=Time!$F$11,Waterfall!U33*Inputs!$F$102/100*Time!U26/365,0)</f>
        <v>8.98407100587045</v>
      </c>
      <c r="V13" s="11" t="n">
        <f aca="false">IF(Time!V17&gt;=Time!$F$11,Waterfall!V33*Inputs!$F$102/100*Time!V26/365,0)</f>
        <v>8.9585466741565</v>
      </c>
      <c r="W13" s="11" t="n">
        <f aca="false">IF(Time!W17&gt;=Time!$F$11,Waterfall!W33*Inputs!$F$102/100*Time!W26/365,0)</f>
        <v>8.63111829155858</v>
      </c>
      <c r="X13" s="11" t="n">
        <f aca="false">IF(Time!X17&gt;=Time!$F$11,Waterfall!X33*Inputs!$F$102/100*Time!X26/365,0)</f>
        <v>8.5387800635502</v>
      </c>
      <c r="Y13" s="11" t="n">
        <f aca="false">IF(Time!Y17&gt;=Time!$F$11,Waterfall!Y33*Inputs!$F$102/100*Time!Y26/365,0)</f>
        <v>8.21815509818325</v>
      </c>
      <c r="Z13" s="11" t="n">
        <f aca="false">IF(Time!Z17&gt;=Time!$F$11,Waterfall!Z33*Inputs!$F$102/100*Time!Z26/365,0)</f>
        <v>8.19190147491058</v>
      </c>
      <c r="AA13" s="11" t="n">
        <f aca="false">IF(Time!AA17&gt;=Time!$F$11,Waterfall!AA33*Inputs!$F$102/100*Time!AA26/365,0)</f>
        <v>7.86456090608708</v>
      </c>
      <c r="AB13" s="11" t="n">
        <f aca="false">IF(Time!AB17&gt;=Time!$F$11,Waterfall!AB33*Inputs!$F$102/100*Time!AB26/365,0)</f>
        <v>8.09676567689036</v>
      </c>
      <c r="AC13" s="11" t="n">
        <f aca="false">IF(Time!AC17&gt;=Time!$F$11,Waterfall!AC33*Inputs!$F$102/100*Time!AC26/365,0)</f>
        <v>8.07549825240026</v>
      </c>
      <c r="AD13" s="11" t="n">
        <f aca="false">IF(Time!AD17&gt;=Time!$F$11,Waterfall!AD33*Inputs!$F$102/100*Time!AD26/365,0)</f>
        <v>8.2477771200343</v>
      </c>
      <c r="AE13" s="11" t="n">
        <f aca="false">IF(Time!AE17&gt;=Time!$F$11,Waterfall!AE33*Inputs!$F$102/100*Time!AE26/365,0)</f>
        <v>8.1415490379927</v>
      </c>
      <c r="AF13" s="11" t="n">
        <f aca="false">IF(Time!AF17&gt;=Time!$F$11,Waterfall!AF33*Inputs!$F$102/100*Time!AF26/365,0)</f>
        <v>8.27291086430751</v>
      </c>
      <c r="AG13" s="11" t="n">
        <f aca="false">IF(Time!AG17&gt;=Time!$F$11,Waterfall!AG33*Inputs!$F$102/100*Time!AG26/365,0)</f>
        <v>8.10180497136367</v>
      </c>
      <c r="AH13" s="11" t="n">
        <f aca="false">IF(Time!AH17&gt;=Time!$F$11,Waterfall!AH33*Inputs!$F$102/100*Time!AH26/365,0)</f>
        <v>8.17318747903484</v>
      </c>
      <c r="AI13" s="11" t="n">
        <f aca="false">IF(Time!AI17&gt;=Time!$F$11,Waterfall!AI33*Inputs!$F$102/100*Time!AI26/365,0)</f>
        <v>7.91989235334136</v>
      </c>
      <c r="AJ13" s="11" t="n">
        <f aca="false">IF(Time!AJ17&gt;=Time!$F$11,Waterfall!AJ33*Inputs!$F$102/100*Time!AJ26/365,0)</f>
        <v>7.87921215673951</v>
      </c>
      <c r="AK13" s="11" t="n">
        <f aca="false">IF(Time!AK17&gt;=Time!$F$11,Waterfall!AK33*Inputs!$F$102/100*Time!AK26/365,0)</f>
        <v>7.53805092934041</v>
      </c>
      <c r="AL13" s="11" t="n">
        <f aca="false">IF(Time!AL17&gt;=Time!$F$11,Waterfall!AL33*Inputs!$F$102/100*Time!AL26/365,0)</f>
        <v>6.69324165486581</v>
      </c>
      <c r="AM13" s="11" t="n">
        <f aca="false">IF(Time!AM17&gt;=Time!$F$11,Waterfall!AM33*Inputs!$F$102/100*Time!AM26/365,0)</f>
        <v>5.50214204826185</v>
      </c>
      <c r="AN13" s="11" t="n">
        <f aca="false">IF(Time!AN17&gt;=Time!$F$11,Waterfall!AN33*Inputs!$F$102/100*Time!AN26/365,0)</f>
        <v>4.28749905658264</v>
      </c>
      <c r="AO13" s="11" t="n">
        <f aca="false">IF(Time!AO17&gt;=Time!$F$11,Waterfall!AO33*Inputs!$F$102/100*Time!AO26/365,0)</f>
        <v>2.95349711026064</v>
      </c>
      <c r="AP13" s="11" t="n">
        <f aca="false">IF(Time!AP17&gt;=Time!$F$11,Waterfall!AP33*Inputs!$F$102/100*Time!AP26/365,0)</f>
        <v>1.16717616241733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0.92441244821243</v>
      </c>
      <c r="R14" s="6" t="n">
        <f aca="false">IF(Waterfall!R33&gt;0,MIN(1,Inputs!$F$180*(Waterfall!$F$32+MAX(0,Waterfall!Q43))/Waterfall!R33),1)</f>
        <v>0.996291601138575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208.563184700003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9.97587785934086</v>
      </c>
      <c r="S15" s="11" t="n">
        <f aca="false">S13*S14</f>
        <v>10.3214632858267</v>
      </c>
      <c r="T15" s="11" t="n">
        <f aca="false">T13*T14</f>
        <v>9.24057817495686</v>
      </c>
      <c r="U15" s="11" t="n">
        <f aca="false">U13*U14</f>
        <v>8.98407100587045</v>
      </c>
      <c r="V15" s="11" t="n">
        <f aca="false">V13*V14</f>
        <v>8.9585466741565</v>
      </c>
      <c r="W15" s="11" t="n">
        <f aca="false">W13*W14</f>
        <v>8.63111829155858</v>
      </c>
      <c r="X15" s="11" t="n">
        <f aca="false">X13*X14</f>
        <v>8.5387800635502</v>
      </c>
      <c r="Y15" s="11" t="n">
        <f aca="false">Y13*Y14</f>
        <v>8.21815509818325</v>
      </c>
      <c r="Z15" s="11" t="n">
        <f aca="false">Z13*Z14</f>
        <v>8.19190147491058</v>
      </c>
      <c r="AA15" s="11" t="n">
        <f aca="false">AA13*AA14</f>
        <v>7.86456090608708</v>
      </c>
      <c r="AB15" s="11" t="n">
        <f aca="false">AB13*AB14</f>
        <v>8.09676567689036</v>
      </c>
      <c r="AC15" s="11" t="n">
        <f aca="false">AC13*AC14</f>
        <v>8.07549825240026</v>
      </c>
      <c r="AD15" s="11" t="n">
        <f aca="false">AD13*AD14</f>
        <v>8.2477771200343</v>
      </c>
      <c r="AE15" s="11" t="n">
        <f aca="false">AE13*AE14</f>
        <v>8.1415490379927</v>
      </c>
      <c r="AF15" s="11" t="n">
        <f aca="false">AF13*AF14</f>
        <v>8.27291086430751</v>
      </c>
      <c r="AG15" s="11" t="n">
        <f aca="false">AG13*AG14</f>
        <v>8.10180497136367</v>
      </c>
      <c r="AH15" s="11" t="n">
        <f aca="false">AH13*AH14</f>
        <v>8.17318747903484</v>
      </c>
      <c r="AI15" s="11" t="n">
        <f aca="false">AI13*AI14</f>
        <v>7.91989235334136</v>
      </c>
      <c r="AJ15" s="11" t="n">
        <f aca="false">AJ13*AJ14</f>
        <v>7.87921215673951</v>
      </c>
      <c r="AK15" s="11" t="n">
        <f aca="false">AK13*AK14</f>
        <v>7.53805092934041</v>
      </c>
      <c r="AL15" s="11" t="n">
        <f aca="false">AL13*AL14</f>
        <v>6.69324165486581</v>
      </c>
      <c r="AM15" s="11" t="n">
        <f aca="false">AM13*AM14</f>
        <v>5.50214204826185</v>
      </c>
      <c r="AN15" s="11" t="n">
        <f aca="false">AN13*AN14</f>
        <v>4.28749905658264</v>
      </c>
      <c r="AO15" s="11" t="n">
        <f aca="false">AO13*AO14</f>
        <v>2.95349711026064</v>
      </c>
      <c r="AP15" s="11" t="n">
        <f aca="false">AP13*AP14</f>
        <v>1.16717616241733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313.994201689123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14.1478402208862</v>
      </c>
      <c r="AC16" s="11" t="n">
        <f aca="false">Debt!AC119+Debt!AC117+Debt!AC111-Debt!AC110</f>
        <v>12.9421087375784</v>
      </c>
      <c r="AD16" s="11" t="n">
        <f aca="false">Debt!AD119+Debt!AD117+Debt!AD111-Debt!AD110</f>
        <v>11.9326852899394</v>
      </c>
      <c r="AE16" s="11" t="n">
        <f aca="false">Debt!AE119+Debt!AE117+Debt!AE111-Debt!AE110</f>
        <v>10.6051349376686</v>
      </c>
      <c r="AF16" s="11" t="n">
        <f aca="false">Debt!AF119+Debt!AF117+Debt!AF111-Debt!AF110</f>
        <v>9.46371739126815</v>
      </c>
      <c r="AG16" s="11" t="n">
        <f aca="false">Debt!AG119+Debt!AG117+Debt!AG111-Debt!AG110</f>
        <v>8.29442016751283</v>
      </c>
      <c r="AH16" s="11" t="n">
        <f aca="false">Debt!AH119+Debt!AH117+Debt!AH111-Debt!AH110</f>
        <v>7.05442356273048</v>
      </c>
      <c r="AI16" s="11" t="n">
        <f aca="false">Debt!AI119+Debt!AI117+Debt!AI111-Debt!AI110</f>
        <v>5.62945943961754</v>
      </c>
      <c r="AJ16" s="11" t="n">
        <f aca="false">Debt!AJ119+Debt!AJ117+Debt!AJ111-Debt!AJ110</f>
        <v>4.31382634536918</v>
      </c>
      <c r="AK16" s="11" t="n">
        <f aca="false">Debt!AK119+Debt!AK117+Debt!AK111-Debt!AK110</f>
        <v>2.9070088177638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1204.08711136594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2.03163915916355</v>
      </c>
      <c r="Z18" s="11" t="n">
        <f aca="false">(Operations!Z79-Z16-Z15)*Z17-Z12</f>
        <v>6.79504632767409</v>
      </c>
      <c r="AA18" s="11" t="n">
        <f aca="false">(Operations!AA79-AA16-AA15)*AA17-AA12</f>
        <v>8.11950394453235</v>
      </c>
      <c r="AB18" s="11" t="n">
        <f aca="false">(Operations!AB79-AB16-AB15)*AB17-AB12</f>
        <v>8.83712322527633</v>
      </c>
      <c r="AC18" s="11" t="n">
        <f aca="false">(Operations!AC79-AC16-AC15)*AC17-AC12</f>
        <v>10.2824421264883</v>
      </c>
      <c r="AD18" s="11" t="n">
        <f aca="false">(Operations!AD79-AD16-AD15)*AD17-AD12</f>
        <v>-1.31617435004584</v>
      </c>
      <c r="AE18" s="11" t="n">
        <f aca="false">(Operations!AE79-AE16-AE15)*AE17-AE12</f>
        <v>12.8887499108481</v>
      </c>
      <c r="AF18" s="11" t="n">
        <f aca="false">(Operations!AF79-AF16-AF15)*AF17-AF12</f>
        <v>13.7862928074076</v>
      </c>
      <c r="AG18" s="11" t="n">
        <f aca="false">(Operations!AG79-AG16-AG15)*AG17-AG12</f>
        <v>15.260153340089</v>
      </c>
      <c r="AH18" s="11" t="n">
        <f aca="false">(Operations!AH79-AH16-AH15)*AH17-AH12</f>
        <v>16.5842273132142</v>
      </c>
      <c r="AI18" s="11" t="n">
        <f aca="false">(Operations!AI79-AI16-AI15)*AI17-AI12</f>
        <v>18.3576911942091</v>
      </c>
      <c r="AJ18" s="11" t="n">
        <f aca="false">(Operations!AJ79-AJ16-AJ15)*AJ17-AJ12</f>
        <v>19.7888543891259</v>
      </c>
      <c r="AK18" s="11" t="n">
        <f aca="false">(Operations!AK79-AK16-AK15)*AK17-AK12</f>
        <v>21.7302081588375</v>
      </c>
      <c r="AL18" s="11" t="n">
        <f aca="false">(Operations!AL79-AL16-AL15)*AL17-AL12</f>
        <v>20.6098471725312</v>
      </c>
      <c r="AM18" s="11" t="n">
        <f aca="false">(Operations!AM79-AM16-AM15)*AM17-AM12</f>
        <v>25.4104861076103</v>
      </c>
      <c r="AN18" s="11" t="n">
        <f aca="false">(Operations!AN79-AN16-AN15)*AN17-AN12</f>
        <v>27.1797792660263</v>
      </c>
      <c r="AO18" s="11" t="n">
        <f aca="false">(Operations!AO79-AO16-AO15)*AO17-AO12</f>
        <v>29.1528408348712</v>
      </c>
      <c r="AP18" s="11" t="n">
        <f aca="false">(Operations!AP79-AP16-AP15)*AP17-AP12</f>
        <v>31.6065352176618</v>
      </c>
      <c r="AQ18" s="11" t="n">
        <f aca="false">(Operations!AQ79-AQ16-AQ15)*AQ17-AQ12</f>
        <v>32.875439981889</v>
      </c>
      <c r="AR18" s="11" t="n">
        <f aca="false">(Operations!AR79-AR16-AR15)*AR17-AR12</f>
        <v>32.9561151098453</v>
      </c>
      <c r="AS18" s="11" t="n">
        <f aca="false">(Operations!AS79-AS16-AS15)*AS17-AS12</f>
        <v>33.2166937478379</v>
      </c>
      <c r="AT18" s="11" t="n">
        <f aca="false">(Operations!AT79-AT16-AT15)*AT17-AT12</f>
        <v>18.5352182344607</v>
      </c>
      <c r="AU18" s="11" t="n">
        <f aca="false">(Operations!AU79-AU16-AU15)*AU17-AU12</f>
        <v>33.6162269774817</v>
      </c>
      <c r="AV18" s="11" t="n">
        <f aca="false">(Operations!AV79-AV16-AV15)*AV17-AV12</f>
        <v>33.4729116195152</v>
      </c>
      <c r="AW18" s="11" t="n">
        <f aca="false">(Operations!AW79-AW16-AW15)*AW17-AW12</f>
        <v>33.6287829321219</v>
      </c>
      <c r="AX18" s="11" t="n">
        <f aca="false">(Operations!AX79-AX16-AX15)*AX17-AX12</f>
        <v>33.8149262010252</v>
      </c>
      <c r="AY18" s="11" t="n">
        <f aca="false">(Operations!AY79-AY16-AY15)*AY17-AY12</f>
        <v>33.9236294484915</v>
      </c>
      <c r="AZ18" s="11" t="n">
        <f aca="false">(Operations!AZ79-AZ16-AZ15)*AZ17-AZ12</f>
        <v>34.0105828439278</v>
      </c>
      <c r="BA18" s="11" t="n">
        <f aca="false">(Operations!BA79-BA16-BA15)*BA17-BA12</f>
        <v>34.2397911185178</v>
      </c>
      <c r="BB18" s="11" t="n">
        <f aca="false">(Operations!BB79-BB16-BB15)*BB17-BB12</f>
        <v>31.0335038072279</v>
      </c>
      <c r="BC18" s="11" t="n">
        <f aca="false">(Operations!BC79-BC16-BC15)*BC17-BC12</f>
        <v>41.0321013103404</v>
      </c>
      <c r="BD18" s="11" t="n">
        <f aca="false">(Operations!BD79-BD16-BD15)*BD17-BD12</f>
        <v>53.8137751364859</v>
      </c>
      <c r="BE18" s="11" t="n">
        <f aca="false">(Operations!BE79-BE16-BE15)*BE17-BE12</f>
        <v>53.9822632765178</v>
      </c>
      <c r="BF18" s="11" t="n">
        <f aca="false">(Operations!BF79-BF16-BF15)*BF17-BF12</f>
        <v>54.1859181745486</v>
      </c>
      <c r="BG18" s="11" t="n">
        <f aca="false">(Operations!BG79-BG16-BG15)*BG17-BG12</f>
        <v>54.3020784753839</v>
      </c>
      <c r="BH18" s="11" t="n">
        <f aca="false">(Operations!BH79-BH16-BH15)*BH17-BH12</f>
        <v>54.3957983002814</v>
      </c>
      <c r="BI18" s="11" t="n">
        <f aca="false">(Operations!BI79-BI16-BI15)*BI17-BI12</f>
        <v>54.7068166455933</v>
      </c>
      <c r="BJ18" s="11" t="n">
        <f aca="false">(Operations!BJ79-BJ16-BJ15)*BJ17-BJ12</f>
        <v>37.3537598642417</v>
      </c>
      <c r="BK18" s="11" t="n">
        <f aca="false">(Operations!BK79-BK16-BK15)*BK17-BK12</f>
        <v>55.1827558875075</v>
      </c>
      <c r="BL18" s="11" t="n">
        <f aca="false">(Operations!BL79-BL16-BL15)*BL17-BL12</f>
        <v>55.0013713084848</v>
      </c>
      <c r="BM18" s="11" t="n">
        <f aca="false">(Operations!BM79-BM16-BM15)*BM17-BM12</f>
        <v>17.7014048186926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1.31617435004584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1.31617435004584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2.03163915916355</v>
      </c>
      <c r="Z20" s="11" t="n">
        <f aca="false">MIN(Y21,MAX(0,Z18-Z19))</f>
        <v>6.79504632767409</v>
      </c>
      <c r="AA20" s="11" t="n">
        <f aca="false">MIN(Z21,MAX(0,AA18-AA19))</f>
        <v>8.11950394453235</v>
      </c>
      <c r="AB20" s="11" t="n">
        <f aca="false">MIN(AA21,MAX(0,AB18-AB19))</f>
        <v>8.83712322527633</v>
      </c>
      <c r="AC20" s="11" t="n">
        <f aca="false">MIN(AB21,MAX(0,AC18-AC19))</f>
        <v>10.2824421264883</v>
      </c>
      <c r="AD20" s="11" t="n">
        <f aca="false">MIN(AC21,MAX(0,AD18-AD19))</f>
        <v>0</v>
      </c>
      <c r="AE20" s="11" t="n">
        <f aca="false">MIN(AD21,MAX(0,AE18-AE19))</f>
        <v>11.5725755608022</v>
      </c>
      <c r="AF20" s="11" t="n">
        <f aca="false">MIN(AE21,MAX(0,AF18-AF19))</f>
        <v>13.7862928074076</v>
      </c>
      <c r="AG20" s="11" t="n">
        <f aca="false">MIN(AF21,MAX(0,AG18-AG19))</f>
        <v>15.260153340089</v>
      </c>
      <c r="AH20" s="11" t="n">
        <f aca="false">MIN(AG21,MAX(0,AH18-AH19))</f>
        <v>16.5842273132142</v>
      </c>
      <c r="AI20" s="11" t="n">
        <f aca="false">MIN(AH21,MAX(0,AI18-AI19))</f>
        <v>18.3576911942091</v>
      </c>
      <c r="AJ20" s="11" t="n">
        <f aca="false">MIN(AI21,MAX(0,AJ18-AJ19))</f>
        <v>19.7888543891259</v>
      </c>
      <c r="AK20" s="11" t="n">
        <f aca="false">MIN(AJ21,MAX(0,AK18-AK19))</f>
        <v>21.7302081588375</v>
      </c>
      <c r="AL20" s="11" t="n">
        <f aca="false">MIN(AK21,MAX(0,AL18-AL19))</f>
        <v>20.6098471725312</v>
      </c>
      <c r="AM20" s="11" t="n">
        <f aca="false">MIN(AL21,MAX(0,AM18-AM19))</f>
        <v>25.4104861076103</v>
      </c>
      <c r="AN20" s="11" t="n">
        <f aca="false">MIN(AM21,MAX(0,AN18-AN19))</f>
        <v>26.7392783068042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223.873729974602</v>
      </c>
      <c r="Z21" s="11" t="n">
        <f aca="false">Y21+Z11-Z20</f>
        <v>217.078683646928</v>
      </c>
      <c r="AA21" s="11" t="n">
        <f aca="false">Z21+AA11-AA20</f>
        <v>208.959179702396</v>
      </c>
      <c r="AB21" s="11" t="n">
        <f aca="false">AA21+AB11-AB20</f>
        <v>200.12205647712</v>
      </c>
      <c r="AC21" s="11" t="n">
        <f aca="false">AB21+AC11-AC20</f>
        <v>189.839614350631</v>
      </c>
      <c r="AD21" s="11" t="n">
        <f aca="false">AC21+AD11-AD20</f>
        <v>189.839614350631</v>
      </c>
      <c r="AE21" s="11" t="n">
        <f aca="false">AD21+AE11-AE20</f>
        <v>178.267038789829</v>
      </c>
      <c r="AF21" s="11" t="n">
        <f aca="false">AE21+AF11-AF20</f>
        <v>164.480745982421</v>
      </c>
      <c r="AG21" s="11" t="n">
        <f aca="false">AF21+AG11-AG20</f>
        <v>149.220592642332</v>
      </c>
      <c r="AH21" s="11" t="n">
        <f aca="false">AG21+AH11-AH20</f>
        <v>132.636365329118</v>
      </c>
      <c r="AI21" s="11" t="n">
        <f aca="false">AH21+AI11-AI20</f>
        <v>114.278674134909</v>
      </c>
      <c r="AJ21" s="11" t="n">
        <f aca="false">AI21+AJ11-AJ20</f>
        <v>94.4898197457832</v>
      </c>
      <c r="AK21" s="11" t="n">
        <f aca="false">AJ21+AK11-AK20</f>
        <v>72.7596115869457</v>
      </c>
      <c r="AL21" s="11" t="n">
        <f aca="false">AK21+AL11-AL20</f>
        <v>52.1497644144145</v>
      </c>
      <c r="AM21" s="11" t="n">
        <f aca="false">AL21+AM11-AM20</f>
        <v>26.7392783068042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1.31617435004584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978.181742232175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0.44050095922217</v>
      </c>
      <c r="AO23" s="11" t="n">
        <f aca="false">MAX(0,AO18-AO19-AO20)</f>
        <v>29.1528408348712</v>
      </c>
      <c r="AP23" s="11" t="n">
        <f aca="false">MAX(0,AP18-AP19-AP20)</f>
        <v>31.6065352176618</v>
      </c>
      <c r="AQ23" s="11" t="n">
        <f aca="false">MAX(0,AQ18-AQ19-AQ20)</f>
        <v>32.875439981889</v>
      </c>
      <c r="AR23" s="11" t="n">
        <f aca="false">MAX(0,AR18-AR19-AR20)</f>
        <v>32.9561151098453</v>
      </c>
      <c r="AS23" s="11" t="n">
        <f aca="false">MAX(0,AS18-AS19-AS20)</f>
        <v>33.2166937478379</v>
      </c>
      <c r="AT23" s="11" t="n">
        <f aca="false">MAX(0,AT18-AT19-AT20)</f>
        <v>18.5352182344607</v>
      </c>
      <c r="AU23" s="11" t="n">
        <f aca="false">MAX(0,AU18-AU19-AU20)</f>
        <v>33.6162269774817</v>
      </c>
      <c r="AV23" s="11" t="n">
        <f aca="false">MAX(0,AV18-AV19-AV20)</f>
        <v>33.4729116195152</v>
      </c>
      <c r="AW23" s="11" t="n">
        <f aca="false">MAX(0,AW18-AW19-AW20)</f>
        <v>33.6287829321219</v>
      </c>
      <c r="AX23" s="11" t="n">
        <f aca="false">MAX(0,AX18-AX19-AX20)</f>
        <v>33.8149262010252</v>
      </c>
      <c r="AY23" s="11" t="n">
        <f aca="false">MAX(0,AY18-AY19-AY20)</f>
        <v>33.9236294484915</v>
      </c>
      <c r="AZ23" s="11" t="n">
        <f aca="false">MAX(0,AZ18-AZ19-AZ20)</f>
        <v>34.0105828439278</v>
      </c>
      <c r="BA23" s="11" t="n">
        <f aca="false">MAX(0,BA18-BA19-BA20)</f>
        <v>34.2397911185178</v>
      </c>
      <c r="BB23" s="11" t="n">
        <f aca="false">MAX(0,BB18-BB19-BB20)</f>
        <v>31.0335038072279</v>
      </c>
      <c r="BC23" s="11" t="n">
        <f aca="false">MAX(0,BC18-BC19-BC20)</f>
        <v>41.0321013103404</v>
      </c>
      <c r="BD23" s="11" t="n">
        <f aca="false">MAX(0,BD18-BD19-BD20)</f>
        <v>53.8137751364859</v>
      </c>
      <c r="BE23" s="11" t="n">
        <f aca="false">MAX(0,BE18-BE19-BE20)</f>
        <v>53.9822632765178</v>
      </c>
      <c r="BF23" s="11" t="n">
        <f aca="false">MAX(0,BF18-BF19-BF20)</f>
        <v>54.1859181745486</v>
      </c>
      <c r="BG23" s="11" t="n">
        <f aca="false">MAX(0,BG18-BG19-BG20)</f>
        <v>54.3020784753839</v>
      </c>
      <c r="BH23" s="11" t="n">
        <f aca="false">MAX(0,BH18-BH19-BH20)</f>
        <v>54.3957983002814</v>
      </c>
      <c r="BI23" s="11" t="n">
        <f aca="false">MAX(0,BI18-BI19-BI20)</f>
        <v>54.7068166455933</v>
      </c>
      <c r="BJ23" s="11" t="n">
        <f aca="false">MAX(0,BJ18-BJ19-BJ20)</f>
        <v>37.3537598642417</v>
      </c>
      <c r="BK23" s="11" t="n">
        <f aca="false">MAX(0,BK18-BK19-BK20)</f>
        <v>55.1827558875075</v>
      </c>
      <c r="BL23" s="11" t="n">
        <f aca="false">MAX(0,BL18-BL19-BL20)</f>
        <v>55.0013713084848</v>
      </c>
      <c r="BM23" s="11" t="n">
        <f aca="false">MAX(0,BM18-BM19-BM20)</f>
        <v>17.7014048186926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293.454522669653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0.132150287766651</v>
      </c>
      <c r="AO25" s="11" t="n">
        <f aca="false">AO23*AO24</f>
        <v>8.74585225046136</v>
      </c>
      <c r="AP25" s="11" t="n">
        <f aca="false">AP23*AP24</f>
        <v>9.48196056529854</v>
      </c>
      <c r="AQ25" s="11" t="n">
        <f aca="false">AQ23*AQ24</f>
        <v>9.8626319945667</v>
      </c>
      <c r="AR25" s="11" t="n">
        <f aca="false">AR23*AR24</f>
        <v>9.8868345329536</v>
      </c>
      <c r="AS25" s="11" t="n">
        <f aca="false">AS23*AS24</f>
        <v>9.96500812435136</v>
      </c>
      <c r="AT25" s="11" t="n">
        <f aca="false">AT23*AT24</f>
        <v>5.56056547033821</v>
      </c>
      <c r="AU25" s="11" t="n">
        <f aca="false">AU23*AU24</f>
        <v>10.0848680932445</v>
      </c>
      <c r="AV25" s="11" t="n">
        <f aca="false">AV23*AV24</f>
        <v>10.0418734858545</v>
      </c>
      <c r="AW25" s="11" t="n">
        <f aca="false">AW23*AW24</f>
        <v>10.0886348796366</v>
      </c>
      <c r="AX25" s="11" t="n">
        <f aca="false">AX23*AX24</f>
        <v>10.1444778603076</v>
      </c>
      <c r="AY25" s="11" t="n">
        <f aca="false">AY23*AY24</f>
        <v>10.1770888345474</v>
      </c>
      <c r="AZ25" s="11" t="n">
        <f aca="false">AZ23*AZ24</f>
        <v>10.2031748531784</v>
      </c>
      <c r="BA25" s="11" t="n">
        <f aca="false">BA23*BA24</f>
        <v>10.2719373355553</v>
      </c>
      <c r="BB25" s="11" t="n">
        <f aca="false">BB23*BB24</f>
        <v>9.31005114216838</v>
      </c>
      <c r="BC25" s="11" t="n">
        <f aca="false">BC23*BC24</f>
        <v>12.3096303931021</v>
      </c>
      <c r="BD25" s="11" t="n">
        <f aca="false">BD23*BD24</f>
        <v>16.1441325409458</v>
      </c>
      <c r="BE25" s="11" t="n">
        <f aca="false">BE23*BE24</f>
        <v>16.1946789829553</v>
      </c>
      <c r="BF25" s="11" t="n">
        <f aca="false">BF23*BF24</f>
        <v>16.2557754523646</v>
      </c>
      <c r="BG25" s="11" t="n">
        <f aca="false">BG23*BG24</f>
        <v>16.2906235426152</v>
      </c>
      <c r="BH25" s="11" t="n">
        <f aca="false">BH23*BH24</f>
        <v>16.3187394900844</v>
      </c>
      <c r="BI25" s="11" t="n">
        <f aca="false">BI23*BI24</f>
        <v>16.412044993678</v>
      </c>
      <c r="BJ25" s="11" t="n">
        <f aca="false">BJ23*BJ24</f>
        <v>11.2061279592725</v>
      </c>
      <c r="BK25" s="11" t="n">
        <f aca="false">BK23*BK24</f>
        <v>16.5548267662522</v>
      </c>
      <c r="BL25" s="11" t="n">
        <f aca="false">BL23*BL24</f>
        <v>16.5004113925454</v>
      </c>
      <c r="BM25" s="11" t="n">
        <f aca="false">BM23*BM24</f>
        <v>5.31042144560778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15.0475051250603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0.114070005776519</v>
      </c>
      <c r="Z26" s="11" t="n">
        <f aca="false">IF(Time!Z25&gt;0,Inputs!$F$173/100*Operations!Z50*(Z8+Z9)/Time!Z25,0)</f>
        <v>0.34346844416963</v>
      </c>
      <c r="AA26" s="11" t="n">
        <f aca="false">IF(Time!AA25&gt;0,Inputs!$F$173/100*Operations!AA50*(AA8+AA9)/Time!AA25,0)</f>
        <v>0.34509986539964</v>
      </c>
      <c r="AB26" s="11" t="n">
        <f aca="false">IF(Time!AB25&gt;0,Inputs!$F$173/100*Operations!AB50*(AB8+AB9)/Time!AB25,0)</f>
        <v>0.346871781290273</v>
      </c>
      <c r="AC26" s="11" t="n">
        <f aca="false">IF(Time!AC25&gt;0,Inputs!$F$173/100*Operations!AC50*(AC8+AC9)/Time!AC25,0)</f>
        <v>0.347721597415385</v>
      </c>
      <c r="AD26" s="11" t="n">
        <f aca="false">IF(Time!AD25&gt;0,Inputs!$F$173/100*Operations!AD50*(AD8+AD9)/Time!AD25,0)</f>
        <v>0.34337551997969</v>
      </c>
      <c r="AE26" s="11" t="n">
        <f aca="false">IF(Time!AE25&gt;0,Inputs!$F$173/100*Operations!AE50*(AE8+AE9)/Time!AE25,0)</f>
        <v>0.350140049400092</v>
      </c>
      <c r="AF26" s="11" t="n">
        <f aca="false">IF(Time!AF25&gt;0,Inputs!$F$173/100*Operations!AF50*(AF8+AF9)/Time!AF25,0)</f>
        <v>0.353160774233533</v>
      </c>
      <c r="AG26" s="11" t="n">
        <f aca="false">IF(Time!AG25&gt;0,Inputs!$F$173/100*Operations!AG50*(AG8+AG9)/Time!AG25,0)</f>
        <v>0.354647293430266</v>
      </c>
      <c r="AH26" s="11" t="n">
        <f aca="false">IF(Time!AH25&gt;0,Inputs!$F$173/100*Operations!AH50*(AH8+AH9)/Time!AH25,0)</f>
        <v>0.356019088692758</v>
      </c>
      <c r="AI26" s="11" t="n">
        <f aca="false">IF(Time!AI25&gt;0,Inputs!$F$173/100*Operations!AI50*(AI8+AI9)/Time!AI25,0)</f>
        <v>0.35779541709353</v>
      </c>
      <c r="AJ26" s="11" t="n">
        <f aca="false">IF(Time!AJ25&gt;0,Inputs!$F$173/100*Operations!AJ50*(AJ8+AJ9)/Time!AJ25,0)</f>
        <v>0.359724165922109</v>
      </c>
      <c r="AK26" s="11" t="n">
        <f aca="false">IF(Time!AK25&gt;0,Inputs!$F$173/100*Operations!AK50*(AK8+AK9)/Time!AK25,0)</f>
        <v>0.360934831907176</v>
      </c>
      <c r="AL26" s="11" t="n">
        <f aca="false">IF(Time!AL25&gt;0,Inputs!$F$173/100*Operations!AL50*(AL8+AL9)/Time!AL25,0)</f>
        <v>0.361674662885619</v>
      </c>
      <c r="AM26" s="11" t="n">
        <f aca="false">IF(Time!AM25&gt;0,Inputs!$F$173/100*Operations!AM50*(AM8+AM9)/Time!AM25,0)</f>
        <v>0.363865671184449</v>
      </c>
      <c r="AN26" s="11" t="n">
        <f aca="false">IF(Time!AN25&gt;0,Inputs!$F$173/100*Operations!AN50*(AN8+AN9)/Time!AN25,0)</f>
        <v>0.366573924239213</v>
      </c>
      <c r="AO26" s="11" t="n">
        <f aca="false">IF(Time!AO25&gt;0,Inputs!$F$173/100*Operations!AO50*(AO8+AO9)/Time!AO25,0)</f>
        <v>0.368193611175121</v>
      </c>
      <c r="AP26" s="11" t="n">
        <f aca="false">IF(Time!AP25&gt;0,Inputs!$F$173/100*Operations!AP50*(AP8+AP9)/Time!AP25,0)</f>
        <v>0.369688986998824</v>
      </c>
      <c r="AQ26" s="11" t="n">
        <f aca="false">IF(Time!AQ25&gt;0,Inputs!$F$173/100*Operations!AQ50*(AQ8+AQ9)/Time!AQ25,0)</f>
        <v>0.371623086249381</v>
      </c>
      <c r="AR26" s="11" t="n">
        <f aca="false">IF(Time!AR25&gt;0,Inputs!$F$173/100*Operations!AR50*(AR8+AR9)/Time!AR25,0)</f>
        <v>0.373722538839253</v>
      </c>
      <c r="AS26" s="11" t="n">
        <f aca="false">IF(Time!AS25&gt;0,Inputs!$F$173/100*Operations!AS50*(AS8+AS9)/Time!AS25,0)</f>
        <v>0.374738014884602</v>
      </c>
      <c r="AT26" s="11" t="n">
        <f aca="false">IF(Time!AT25&gt;0,Inputs!$F$173/100*Operations!AT50*(AT8+AT9)/Time!AT25,0)</f>
        <v>0.37013686742761</v>
      </c>
      <c r="AU26" s="11" t="n">
        <f aca="false">IF(Time!AU25&gt;0,Inputs!$F$173/100*Operations!AU50*(AU8+AU9)/Time!AU25,0)</f>
        <v>0.377614662067074</v>
      </c>
      <c r="AV26" s="11" t="n">
        <f aca="false">IF(Time!AV25&gt;0,Inputs!$F$173/100*Operations!AV50*(AV8+AV9)/Time!AV25,0)</f>
        <v>0.381183043886402</v>
      </c>
      <c r="AW26" s="11" t="n">
        <f aca="false">IF(Time!AW25&gt;0,Inputs!$F$173/100*Operations!AW50*(AW8+AW9)/Time!AW25,0)</f>
        <v>0.382947825444258</v>
      </c>
      <c r="AX26" s="11" t="n">
        <f aca="false">IF(Time!AX25&gt;0,Inputs!$F$173/100*Operations!AX50*(AX8+AX9)/Time!AX25,0)</f>
        <v>0.384577913784097</v>
      </c>
      <c r="AY26" s="11" t="n">
        <f aca="false">IF(Time!AY25&gt;0,Inputs!$F$173/100*Operations!AY50*(AY8+AY9)/Time!AY25,0)</f>
        <v>0.386683788810692</v>
      </c>
      <c r="AZ26" s="11" t="n">
        <f aca="false">IF(Time!AZ25&gt;0,Inputs!$F$173/100*Operations!AZ50*(AZ8+AZ9)/Time!AZ25,0)</f>
        <v>0.388969041783694</v>
      </c>
      <c r="BA26" s="11" t="n">
        <f aca="false">IF(Time!BA25&gt;0,Inputs!$F$173/100*Operations!BA50*(BA8+BA9)/Time!BA25,0)</f>
        <v>0.390410267191502</v>
      </c>
      <c r="BB26" s="11" t="n">
        <f aca="false">IF(Time!BB25&gt;0,Inputs!$F$173/100*Operations!BB50*(BB8+BB9)/Time!BB25,0)</f>
        <v>0.391298164500194</v>
      </c>
      <c r="BC26" s="11" t="n">
        <f aca="false">IF(Time!BC25&gt;0,Inputs!$F$173/100*Operations!BC50*(BC8+BC9)/Time!BC25,0)</f>
        <v>0.393892314062916</v>
      </c>
      <c r="BD26" s="11" t="n">
        <f aca="false">IF(Time!BD25&gt;0,Inputs!$F$173/100*Operations!BD50*(BD8+BD9)/Time!BD25,0)</f>
        <v>0.39709472793575</v>
      </c>
      <c r="BE26" s="11" t="n">
        <f aca="false">IF(Time!BE25&gt;0,Inputs!$F$173/100*Operations!BE50*(BE8+BE9)/Time!BE25,0)</f>
        <v>0.399017598948923</v>
      </c>
      <c r="BF26" s="11" t="n">
        <f aca="false">IF(Time!BF25&gt;0,Inputs!$F$173/100*Operations!BF50*(BF8+BF9)/Time!BF25,0)</f>
        <v>0.400794534416754</v>
      </c>
      <c r="BG26" s="11" t="n">
        <f aca="false">IF(Time!BG25&gt;0,Inputs!$F$173/100*Operations!BG50*(BG8+BG9)/Time!BG25,0)</f>
        <v>0.40308743257882</v>
      </c>
      <c r="BH26" s="11" t="n">
        <f aca="false">IF(Time!BH25&gt;0,Inputs!$F$173/100*Operations!BH50*(BH8+BH9)/Time!BH25,0)</f>
        <v>0.405574916590153</v>
      </c>
      <c r="BI26" s="11" t="n">
        <f aca="false">IF(Time!BI25&gt;0,Inputs!$F$173/100*Operations!BI50*(BI8+BI9)/Time!BI25,0)</f>
        <v>0.406788326324299</v>
      </c>
      <c r="BJ26" s="11" t="n">
        <f aca="false">IF(Time!BJ25&gt;0,Inputs!$F$173/100*Operations!BJ50*(BJ8+BJ9)/Time!BJ25,0)</f>
        <v>0.401886338615662</v>
      </c>
      <c r="BK26" s="11" t="n">
        <f aca="false">IF(Time!BK25&gt;0,Inputs!$F$173/100*Operations!BK50*(BK8+BK9)/Time!BK25,0)</f>
        <v>0.410209976264746</v>
      </c>
      <c r="BL26" s="11" t="n">
        <f aca="false">IF(Time!BL25&gt;0,Inputs!$F$173/100*Operations!BL50*(BL8+BL9)/Time!BL25,0)</f>
        <v>0.414425067804425</v>
      </c>
      <c r="BM26" s="11" t="n">
        <f aca="false">IF(Time!BM25&gt;0,Inputs!$F$173/100*Operations!BM50*(BM8+BM9)/Time!BM25,0)</f>
        <v>0.277802985455225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298.747515474906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0.114070005776519</v>
      </c>
      <c r="Z27" s="11" t="n">
        <f aca="false">MAX(Z25,Z26)</f>
        <v>0.34346844416963</v>
      </c>
      <c r="AA27" s="11" t="n">
        <f aca="false">MAX(AA25,AA26)</f>
        <v>0.34509986539964</v>
      </c>
      <c r="AB27" s="11" t="n">
        <f aca="false">MAX(AB25,AB26)</f>
        <v>0.346871781290273</v>
      </c>
      <c r="AC27" s="11" t="n">
        <f aca="false">MAX(AC25,AC26)</f>
        <v>0.347721597415385</v>
      </c>
      <c r="AD27" s="11" t="n">
        <f aca="false">MAX(AD25,AD26)</f>
        <v>0.34337551997969</v>
      </c>
      <c r="AE27" s="11" t="n">
        <f aca="false">MAX(AE25,AE26)</f>
        <v>0.350140049400092</v>
      </c>
      <c r="AF27" s="11" t="n">
        <f aca="false">MAX(AF25,AF26)</f>
        <v>0.353160774233533</v>
      </c>
      <c r="AG27" s="11" t="n">
        <f aca="false">MAX(AG25,AG26)</f>
        <v>0.354647293430266</v>
      </c>
      <c r="AH27" s="11" t="n">
        <f aca="false">MAX(AH25,AH26)</f>
        <v>0.356019088692758</v>
      </c>
      <c r="AI27" s="11" t="n">
        <f aca="false">MAX(AI25,AI26)</f>
        <v>0.35779541709353</v>
      </c>
      <c r="AJ27" s="11" t="n">
        <f aca="false">MAX(AJ25,AJ26)</f>
        <v>0.359724165922109</v>
      </c>
      <c r="AK27" s="11" t="n">
        <f aca="false">MAX(AK25,AK26)</f>
        <v>0.360934831907176</v>
      </c>
      <c r="AL27" s="11" t="n">
        <f aca="false">MAX(AL25,AL26)</f>
        <v>0.361674662885619</v>
      </c>
      <c r="AM27" s="11" t="n">
        <f aca="false">MAX(AM25,AM26)</f>
        <v>0.363865671184449</v>
      </c>
      <c r="AN27" s="11" t="n">
        <f aca="false">MAX(AN25,AN26)</f>
        <v>0.366573924239213</v>
      </c>
      <c r="AO27" s="11" t="n">
        <f aca="false">MAX(AO25,AO26)</f>
        <v>8.74585225046136</v>
      </c>
      <c r="AP27" s="11" t="n">
        <f aca="false">MAX(AP25,AP26)</f>
        <v>9.48196056529854</v>
      </c>
      <c r="AQ27" s="11" t="n">
        <f aca="false">MAX(AQ25,AQ26)</f>
        <v>9.8626319945667</v>
      </c>
      <c r="AR27" s="11" t="n">
        <f aca="false">MAX(AR25,AR26)</f>
        <v>9.8868345329536</v>
      </c>
      <c r="AS27" s="11" t="n">
        <f aca="false">MAX(AS25,AS26)</f>
        <v>9.96500812435136</v>
      </c>
      <c r="AT27" s="11" t="n">
        <f aca="false">MAX(AT25,AT26)</f>
        <v>5.56056547033821</v>
      </c>
      <c r="AU27" s="11" t="n">
        <f aca="false">MAX(AU25,AU26)</f>
        <v>10.0848680932445</v>
      </c>
      <c r="AV27" s="11" t="n">
        <f aca="false">MAX(AV25,AV26)</f>
        <v>10.0418734858545</v>
      </c>
      <c r="AW27" s="11" t="n">
        <f aca="false">MAX(AW25,AW26)</f>
        <v>10.0886348796366</v>
      </c>
      <c r="AX27" s="11" t="n">
        <f aca="false">MAX(AX25,AX26)</f>
        <v>10.1444778603076</v>
      </c>
      <c r="AY27" s="11" t="n">
        <f aca="false">MAX(AY25,AY26)</f>
        <v>10.1770888345474</v>
      </c>
      <c r="AZ27" s="11" t="n">
        <f aca="false">MAX(AZ25,AZ26)</f>
        <v>10.2031748531784</v>
      </c>
      <c r="BA27" s="11" t="n">
        <f aca="false">MAX(BA25,BA26)</f>
        <v>10.2719373355553</v>
      </c>
      <c r="BB27" s="11" t="n">
        <f aca="false">MAX(BB25,BB26)</f>
        <v>9.31005114216838</v>
      </c>
      <c r="BC27" s="11" t="n">
        <f aca="false">MAX(BC25,BC26)</f>
        <v>12.3096303931021</v>
      </c>
      <c r="BD27" s="11" t="n">
        <f aca="false">MAX(BD25,BD26)</f>
        <v>16.1441325409458</v>
      </c>
      <c r="BE27" s="11" t="n">
        <f aca="false">MAX(BE25,BE26)</f>
        <v>16.1946789829553</v>
      </c>
      <c r="BF27" s="11" t="n">
        <f aca="false">MAX(BF25,BF26)</f>
        <v>16.2557754523646</v>
      </c>
      <c r="BG27" s="11" t="n">
        <f aca="false">MAX(BG25,BG26)</f>
        <v>16.2906235426152</v>
      </c>
      <c r="BH27" s="11" t="n">
        <f aca="false">MAX(BH25,BH26)</f>
        <v>16.3187394900844</v>
      </c>
      <c r="BI27" s="11" t="n">
        <f aca="false">MAX(BI25,BI26)</f>
        <v>16.412044993678</v>
      </c>
      <c r="BJ27" s="11" t="n">
        <f aca="false">MAX(BJ25,BJ26)</f>
        <v>11.2061279592725</v>
      </c>
      <c r="BK27" s="11" t="n">
        <f aca="false">MAX(BK25,BK26)</f>
        <v>16.5548267662522</v>
      </c>
      <c r="BL27" s="11" t="n">
        <f aca="false">MAX(BL25,BL26)</f>
        <v>16.5004113925454</v>
      </c>
      <c r="BM27" s="11" t="n">
        <f aca="false">MAX(BM25,BM26)</f>
        <v>5.31042144560778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3.86840863001552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0.037132235234159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148.838044886051</v>
      </c>
      <c r="AC70" s="11" t="n">
        <f aca="false">Time!AC30*AB83</f>
        <v>133.889987720255</v>
      </c>
      <c r="AD70" s="11" t="n">
        <f aca="false">Time!AD30*AC83</f>
        <v>119.430946749392</v>
      </c>
      <c r="AE70" s="11" t="n">
        <f aca="false">Time!AE30*AD83</f>
        <v>103.354498795632</v>
      </c>
      <c r="AF70" s="11" t="n">
        <f aca="false">Time!AF30*AE83</f>
        <v>86.9533353560002</v>
      </c>
      <c r="AG70" s="11" t="n">
        <f aca="false">Time!AG30*AF83</f>
        <v>70.1709837301729</v>
      </c>
      <c r="AH70" s="11" t="n">
        <f aca="false">Time!AH30*AG83</f>
        <v>53.7707444274905</v>
      </c>
      <c r="AI70" s="11" t="n">
        <f aca="false">Time!AI30*AH83</f>
        <v>36.8069570367785</v>
      </c>
      <c r="AJ70" s="11" t="n">
        <f aca="false">Time!AJ30*AI83</f>
        <v>20.3202477290731</v>
      </c>
      <c r="AK70" s="11" t="n">
        <f aca="false">Time!AK30*AJ83</f>
        <v>3.71673433718625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135.18388682242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6.5253538888808</v>
      </c>
      <c r="AC72" s="11" t="n">
        <f aca="false">AC70*AC13</f>
        <v>5.80619717118723</v>
      </c>
      <c r="AD72" s="11" t="n">
        <f aca="false">AD70*AD13</f>
        <v>5.23608861847457</v>
      </c>
      <c r="AE72" s="11" t="n">
        <f aca="false">AE70*AE13</f>
        <v>4.45738605731827</v>
      </c>
      <c r="AF72" s="11" t="n">
        <f aca="false">AF70*AF13</f>
        <v>3.81220598168182</v>
      </c>
      <c r="AG72" s="11" t="n">
        <f aca="false">AG70*AG13</f>
        <v>3.22227756214277</v>
      </c>
      <c r="AH72" s="11" t="n">
        <f aca="false">AH70*AH13</f>
        <v>2.51009801023737</v>
      </c>
      <c r="AI72" s="11" t="n">
        <f aca="false">AI70*AI13</f>
        <v>1.69018909933518</v>
      </c>
      <c r="AJ72" s="11" t="n">
        <f aca="false">AJ70*AJ13</f>
        <v>0.948579268063843</v>
      </c>
      <c r="AK72" s="11" t="n">
        <f aca="false">AK70*AK13</f>
        <v>0.171616766598892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149.089430997399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8.2602231141782</v>
      </c>
      <c r="AC73" s="11" t="n">
        <f aca="false">Time!AC30*(AC70-AC71)*AC19</f>
        <v>8.12788207417121</v>
      </c>
      <c r="AD73" s="11" t="n">
        <f aca="false">Time!AD30*(AD70-AD71)*AD19</f>
        <v>8.42826309276314</v>
      </c>
      <c r="AE73" s="11" t="n">
        <f aca="false">Time!AE30*(AE70-AE71)*AE19</f>
        <v>8.18484002931311</v>
      </c>
      <c r="AF73" s="11" t="n">
        <f aca="false">Time!AF30*(AF70-AF71)*AF19</f>
        <v>7.74056382127823</v>
      </c>
      <c r="AG73" s="11" t="n">
        <f aca="false">Time!AG30*(AG70-AG71)*AG19</f>
        <v>6.98498657908164</v>
      </c>
      <c r="AH73" s="11" t="n">
        <f aca="false">Time!AH30*(AH70-AH71)*AH19</f>
        <v>6.24257016591234</v>
      </c>
      <c r="AI73" s="11" t="n">
        <f aca="false">Time!AI30*(AI70-AI71)*AI19</f>
        <v>4.97634597714288</v>
      </c>
      <c r="AJ73" s="11" t="n">
        <f aca="false">Time!AJ30*(AJ70-AJ71)*AJ19</f>
        <v>3.33020463567303</v>
      </c>
      <c r="AK73" s="11" t="n">
        <f aca="false">Time!AK30*(AK70-AK71)*AK19</f>
        <v>0.752094809329691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149.089430997399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8.2602231141782</v>
      </c>
      <c r="AC77" s="11" t="n">
        <f aca="false">AC73-AC74+AC76</f>
        <v>8.12788207417121</v>
      </c>
      <c r="AD77" s="11" t="n">
        <f aca="false">AD73-AD74+AD76</f>
        <v>8.42826309276314</v>
      </c>
      <c r="AE77" s="11" t="n">
        <f aca="false">AE73-AE74+AE76</f>
        <v>8.18484002931311</v>
      </c>
      <c r="AF77" s="11" t="n">
        <f aca="false">AF73-AF74+AF76</f>
        <v>7.74056382127823</v>
      </c>
      <c r="AG77" s="11" t="n">
        <f aca="false">AG73-AG74+AG76</f>
        <v>6.98498657908164</v>
      </c>
      <c r="AH77" s="11" t="n">
        <f aca="false">AH73-AH74+AH76</f>
        <v>6.24257016591234</v>
      </c>
      <c r="AI77" s="11" t="n">
        <f aca="false">AI73-AI74+AI76</f>
        <v>4.97634597714288</v>
      </c>
      <c r="AJ77" s="11" t="n">
        <f aca="false">AJ73-AJ74+AJ76</f>
        <v>3.33020463567303</v>
      </c>
      <c r="AK77" s="11" t="n">
        <f aca="false">AK73-AK74+AK76</f>
        <v>0.752094809329691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140.577821771873</v>
      </c>
      <c r="AC81" s="11" t="n">
        <f aca="false">AC70-AC77-AC78-AC79</f>
        <v>125.762105646083</v>
      </c>
      <c r="AD81" s="11" t="n">
        <f aca="false">AD70-AD77-AD78-AD79</f>
        <v>111.002683656629</v>
      </c>
      <c r="AE81" s="11" t="n">
        <f aca="false">AE70-AE77-AE78-AE79</f>
        <v>95.1696587663186</v>
      </c>
      <c r="AF81" s="11" t="n">
        <f aca="false">AF70-AF77-AF78-AF79</f>
        <v>79.2127715347219</v>
      </c>
      <c r="AG81" s="11" t="n">
        <f aca="false">AG70-AG77-AG78-AG79</f>
        <v>63.1859971510913</v>
      </c>
      <c r="AH81" s="11" t="n">
        <f aca="false">AH70-AH77-AH78-AH79</f>
        <v>47.5281742615782</v>
      </c>
      <c r="AI81" s="11" t="n">
        <f aca="false">AI70-AI77-AI78-AI79</f>
        <v>31.8306110596356</v>
      </c>
      <c r="AJ81" s="11" t="n">
        <f aca="false">AJ70-AJ77-AJ78-AJ79</f>
        <v>16.9900430934001</v>
      </c>
      <c r="AK81" s="11" t="n">
        <f aca="false">AK70-AK77-AK78-AK79</f>
        <v>2.96463952785655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91.547839708855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5.73776912164723</v>
      </c>
      <c r="AB82" s="11" t="n">
        <f aca="false">Waterfall!AB28*AB81/(AB36+AB51+AB66+AB81+AB96+0.000000001)+Waterfall!AB29</f>
        <v>6.6878340516185</v>
      </c>
      <c r="AC82" s="11" t="n">
        <f aca="false">Waterfall!AC28*AC81/(AC36+AC51+AC66+AC81+AC96+0.000000001)+Waterfall!AC29</f>
        <v>6.3311588966915</v>
      </c>
      <c r="AD82" s="11" t="n">
        <f aca="false">Waterfall!AD28*AD81/(AD36+AD51+AD66+AD81+AD96+0.000000001)+Waterfall!AD29</f>
        <v>7.64818486099696</v>
      </c>
      <c r="AE82" s="11" t="n">
        <f aca="false">Waterfall!AE28*AE81/(AE36+AE51+AE66+AE81+AE96+0.000000001)+Waterfall!AE29</f>
        <v>8.21632341031843</v>
      </c>
      <c r="AF82" s="11" t="n">
        <f aca="false">Waterfall!AF28*AF81/(AF36+AF51+AF66+AF81+AF96+0.000000001)+Waterfall!AF29</f>
        <v>9.04178780454899</v>
      </c>
      <c r="AG82" s="11" t="n">
        <f aca="false">Waterfall!AG28*AG81/(AG36+AG51+AG66+AG81+AG96+0.000000001)+Waterfall!AG29</f>
        <v>9.41525272360075</v>
      </c>
      <c r="AH82" s="11" t="n">
        <f aca="false">Waterfall!AH28*AH81/(AH36+AH51+AH66+AH81+AH96+0.000000001)+Waterfall!AH29</f>
        <v>10.7212172247997</v>
      </c>
      <c r="AI82" s="11" t="n">
        <f aca="false">Waterfall!AI28*AI81/(AI36+AI51+AI66+AI81+AI96+0.000000001)+Waterfall!AI29</f>
        <v>11.5103633305625</v>
      </c>
      <c r="AJ82" s="11" t="n">
        <f aca="false">Waterfall!AJ28*AJ81/(AJ36+AJ51+AJ66+AJ81+AJ96+0.000000001)+Waterfall!AJ29</f>
        <v>13.2733087562138</v>
      </c>
      <c r="AK82" s="11" t="n">
        <f aca="false">Waterfall!AK28*AK81/(AK36+AK51+AK66+AK81+AK96+0.000000001)+Waterfall!AK29</f>
        <v>2.96463952785655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148.838044886051</v>
      </c>
      <c r="AB83" s="11" t="n">
        <f aca="false">IF(Time!AB29=1,INDEX(Funding!$J$64:$BJ$64,1,Time!$F$13),Time!AB30*(AB81-AB82))</f>
        <v>133.889987720255</v>
      </c>
      <c r="AC83" s="11" t="n">
        <f aca="false">IF(Time!AC29=1,INDEX(Funding!$J$64:$BJ$64,1,Time!$F$13),Time!AC30*(AC81-AC82))</f>
        <v>119.430946749392</v>
      </c>
      <c r="AD83" s="11" t="n">
        <f aca="false">IF(Time!AD29=1,INDEX(Funding!$J$64:$BJ$64,1,Time!$F$13),Time!AD30*(AD81-AD82))</f>
        <v>103.354498795632</v>
      </c>
      <c r="AE83" s="11" t="n">
        <f aca="false">IF(Time!AE29=1,INDEX(Funding!$J$64:$BJ$64,1,Time!$F$13),Time!AE30*(AE81-AE82))</f>
        <v>86.9533353560002</v>
      </c>
      <c r="AF83" s="11" t="n">
        <f aca="false">IF(Time!AF29=1,INDEX(Funding!$J$64:$BJ$64,1,Time!$F$13),Time!AF30*(AF81-AF82))</f>
        <v>70.1709837301729</v>
      </c>
      <c r="AG83" s="11" t="n">
        <f aca="false">IF(Time!AG29=1,INDEX(Funding!$J$64:$BJ$64,1,Time!$F$13),Time!AG30*(AG81-AG82))</f>
        <v>53.7707444274905</v>
      </c>
      <c r="AH83" s="11" t="n">
        <f aca="false">IF(Time!AH29=1,INDEX(Funding!$J$64:$BJ$64,1,Time!$F$13),Time!AH30*(AH81-AH82))</f>
        <v>36.8069570367785</v>
      </c>
      <c r="AI83" s="11" t="n">
        <f aca="false">IF(Time!AI29=1,INDEX(Funding!$J$64:$BJ$64,1,Time!$F$13),Time!AI30*(AI81-AI82))</f>
        <v>20.3202477290731</v>
      </c>
      <c r="AJ83" s="11" t="n">
        <f aca="false">IF(Time!AJ29=1,INDEX(Funding!$J$64:$BJ$64,1,Time!$F$13),Time!AJ30*(AJ81-AJ82))</f>
        <v>3.71673433718625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16.6824735988478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0.77656759638629</v>
      </c>
      <c r="AC115" s="11" t="n">
        <f aca="false">(Inputs!$F$93/100*Inputs!$F$94/100)*AC70*Time!AC20/365</f>
        <v>0.690982383201763</v>
      </c>
      <c r="AD115" s="11" t="n">
        <f aca="false">(Inputs!$F$93/100*Inputs!$F$94/100)*AD70*Time!AD20/365</f>
        <v>0.623135054765868</v>
      </c>
      <c r="AE115" s="11" t="n">
        <f aca="false">(Inputs!$F$93/100*Inputs!$F$94/100)*AE70*Time!AE20/365</f>
        <v>0.53046342553095</v>
      </c>
      <c r="AF115" s="11" t="n">
        <f aca="false">(Inputs!$F$93/100*Inputs!$F$94/100)*AF70*Time!AF20/365</f>
        <v>0.453682005073881</v>
      </c>
      <c r="AG115" s="11" t="n">
        <f aca="false">(Inputs!$F$93/100*Inputs!$F$94/100)*AG70*Time!AG20/365</f>
        <v>0.360150170879231</v>
      </c>
      <c r="AH115" s="11" t="n">
        <f aca="false">(Inputs!$F$93/100*Inputs!$F$94/100)*AH70*Time!AH20/365</f>
        <v>0.280550700514282</v>
      </c>
      <c r="AI115" s="11" t="n">
        <f aca="false">(Inputs!$F$93/100*Inputs!$F$94/100)*AI70*Time!AI20/365</f>
        <v>0.188910446479038</v>
      </c>
      <c r="AJ115" s="11" t="n">
        <f aca="false">(Inputs!$F$93/100*Inputs!$F$94/100)*AJ70*Time!AJ20/365</f>
        <v>0.106021588425334</v>
      </c>
      <c r="AK115" s="11" t="n">
        <f aca="false">(Inputs!$F$93/100*Inputs!$F$94/100)*AK70*Time!AK20/365</f>
        <v>0.0191814040300212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305.64593169326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13.7655765427464</v>
      </c>
      <c r="AC118" s="11" t="n">
        <f aca="false">AC27+AC42+AC57+AC72+AC87+AC101</f>
        <v>12.5702710140647</v>
      </c>
      <c r="AD118" s="11" t="n">
        <f aca="false">AD27+AD42+AD57+AD72+AD87+AD101</f>
        <v>11.659362993003</v>
      </c>
      <c r="AE118" s="11" t="n">
        <f aca="false">AE27+AE42+AE57+AE72+AE87+AE101</f>
        <v>10.3300321446111</v>
      </c>
      <c r="AF118" s="11" t="n">
        <f aca="false">AF27+AF42+AF57+AF72+AF87+AF101</f>
        <v>9.30941441474048</v>
      </c>
      <c r="AG118" s="11" t="n">
        <f aca="false">AG27+AG42+AG57+AG72+AG87+AG101</f>
        <v>8.14847619604427</v>
      </c>
      <c r="AH118" s="11" t="n">
        <f aca="false">AH27+AH42+AH57+AH72+AH87+AH101</f>
        <v>7.01945321389473</v>
      </c>
      <c r="AI118" s="11" t="n">
        <f aca="false">AI27+AI42+AI57+AI72+AI87+AI101</f>
        <v>5.61103957656844</v>
      </c>
      <c r="AJ118" s="11" t="n">
        <f aca="false">AJ27+AJ42+AJ57+AJ72+AJ87+AJ101</f>
        <v>4.39552614691999</v>
      </c>
      <c r="AK118" s="11" t="n">
        <f aca="false">AK27+AK42+AK57+AK72+AK87+AK101</f>
        <v>3.02233069499278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313.994201689123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14.1478402208862</v>
      </c>
      <c r="AC119" s="11" t="n">
        <f aca="false">AC118+AC114+AC115+AC116</f>
        <v>12.9421087375784</v>
      </c>
      <c r="AD119" s="11" t="n">
        <f aca="false">AD118+AD114+AD115+AD116</f>
        <v>11.9326852899394</v>
      </c>
      <c r="AE119" s="11" t="n">
        <f aca="false">AE118+AE114+AE115+AE116</f>
        <v>10.6051349376686</v>
      </c>
      <c r="AF119" s="11" t="n">
        <f aca="false">AF118+AF114+AF115+AF116</f>
        <v>9.46371739126815</v>
      </c>
      <c r="AG119" s="11" t="n">
        <f aca="false">AG118+AG114+AG115+AG116</f>
        <v>8.29442016751283</v>
      </c>
      <c r="AH119" s="11" t="n">
        <f aca="false">AH118+AH114+AH115+AH116</f>
        <v>7.05442356273048</v>
      </c>
      <c r="AI119" s="11" t="n">
        <f aca="false">AI118+AI114+AI115+AI116</f>
        <v>5.62945943961754</v>
      </c>
      <c r="AJ119" s="11" t="n">
        <f aca="false">AJ118+AJ114+AJ115+AJ116</f>
        <v>4.31382634536918</v>
      </c>
      <c r="AK119" s="11" t="n">
        <f aca="false">AK118+AK114+AK115+AK116</f>
        <v>2.9070088177638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541.708135833937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22.2569812028438</v>
      </c>
      <c r="AC120" s="11" t="n">
        <f aca="false">AC32+AC47+AC62+AC77+AC92+AC102</f>
        <v>22.5883311508615</v>
      </c>
      <c r="AD120" s="11" t="n">
        <f aca="false">AD32+AD47+AD62+AD77+AD92+AD102</f>
        <v>24.2180182441094</v>
      </c>
      <c r="AE120" s="11" t="n">
        <f aca="false">AE32+AE47+AE62+AE77+AE92+AE102</f>
        <v>24.6532473733563</v>
      </c>
      <c r="AF120" s="11" t="n">
        <f aca="false">AF32+AF47+AF62+AF77+AF92+AF102</f>
        <v>24.786712323802</v>
      </c>
      <c r="AG120" s="11" t="n">
        <f aca="false">AG32+AG47+AG62+AG77+AG92+AG102</f>
        <v>24.3492710367054</v>
      </c>
      <c r="AH120" s="11" t="n">
        <f aca="false">AH32+AH47+AH62+AH77+AH92+AH102</f>
        <v>24.4785684510506</v>
      </c>
      <c r="AI120" s="11" t="n">
        <f aca="false">AI32+AI47+AI62+AI77+AI92+AI102</f>
        <v>23.7477991522083</v>
      </c>
      <c r="AJ120" s="11" t="n">
        <f aca="false">AJ32+AJ47+AJ62+AJ77+AJ92+AJ102</f>
        <v>23.007899707746</v>
      </c>
      <c r="AK120" s="11" t="n">
        <f aca="false">AK32+AK47+AK62+AK77+AK92+AK102</f>
        <v>21.0667220262858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855.702337523059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36.40482142373</v>
      </c>
      <c r="AC121" s="11" t="n">
        <f aca="false">AC119+AC120</f>
        <v>35.5304398884399</v>
      </c>
      <c r="AD121" s="11" t="n">
        <f aca="false">AD119+AD120</f>
        <v>36.1507035340488</v>
      </c>
      <c r="AE121" s="11" t="n">
        <f aca="false">AE119+AE120</f>
        <v>35.258382311025</v>
      </c>
      <c r="AF121" s="11" t="n">
        <f aca="false">AF119+AF120</f>
        <v>34.2504297150702</v>
      </c>
      <c r="AG121" s="11" t="n">
        <f aca="false">AG119+AG120</f>
        <v>32.6436912042182</v>
      </c>
      <c r="AH121" s="11" t="n">
        <f aca="false">AH119+AH120</f>
        <v>31.5329920137811</v>
      </c>
      <c r="AI121" s="11" t="n">
        <f aca="false">AI119+AI120</f>
        <v>29.3772585918259</v>
      </c>
      <c r="AJ121" s="11" t="n">
        <f aca="false">AJ119+AJ120</f>
        <v>27.3217260531152</v>
      </c>
      <c r="AK121" s="11" t="n">
        <f aca="false">AK119+AK120</f>
        <v>23.9737308440496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401.04068879336</v>
      </c>
      <c r="AC122" s="11" t="n">
        <f aca="false">AC25+AC40+AC55+AC70+AC85+AC100</f>
        <v>372.095873538898</v>
      </c>
      <c r="AD122" s="11" t="n">
        <f aca="false">AD25+AD40+AD55+AD70+AD85+AD100</f>
        <v>343.176383491345</v>
      </c>
      <c r="AE122" s="11" t="n">
        <f aca="false">AE25+AE40+AE55+AE70+AE85+AE100</f>
        <v>311.310180386238</v>
      </c>
      <c r="AF122" s="11" t="n">
        <f aca="false">AF25+AF40+AF55+AF70+AF85+AF100</f>
        <v>278.440609602564</v>
      </c>
      <c r="AG122" s="11" t="n">
        <f aca="false">AG25+AG40+AG55+AG70+AG85+AG100</f>
        <v>244.612109474213</v>
      </c>
      <c r="AH122" s="11" t="n">
        <f aca="false">AH25+AH40+AH55+AH70+AH85+AH100</f>
        <v>210.847585713906</v>
      </c>
      <c r="AI122" s="11" t="n">
        <f aca="false">AI25+AI40+AI55+AI70+AI85+AI100</f>
        <v>175.647800038056</v>
      </c>
      <c r="AJ122" s="11" t="n">
        <f aca="false">AJ25+AJ40+AJ55+AJ70+AJ85+AJ100</f>
        <v>140.389637555285</v>
      </c>
      <c r="AK122" s="11" t="n">
        <f aca="false">AK25+AK40+AK55+AK70+AK85+AK100</f>
        <v>104.108429091325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401.04068879336</v>
      </c>
      <c r="AB123" s="11" t="n">
        <f aca="false">AB38+AB53+AB68+AB83+AB98+AB104</f>
        <v>372.095873538898</v>
      </c>
      <c r="AC123" s="11" t="n">
        <f aca="false">AC38+AC53+AC68+AC83+AC98+AC104</f>
        <v>343.176383491345</v>
      </c>
      <c r="AD123" s="11" t="n">
        <f aca="false">AD38+AD53+AD68+AD83+AD98+AD104</f>
        <v>311.310180386238</v>
      </c>
      <c r="AE123" s="11" t="n">
        <f aca="false">AE38+AE53+AE68+AE83+AE98+AE104</f>
        <v>278.440609602564</v>
      </c>
      <c r="AF123" s="11" t="n">
        <f aca="false">AF38+AF53+AF68+AF83+AF98+AF104</f>
        <v>244.612109474213</v>
      </c>
      <c r="AG123" s="11" t="n">
        <f aca="false">AG38+AG53+AG68+AG83+AG98+AG104</f>
        <v>210.847585713906</v>
      </c>
      <c r="AH123" s="11" t="n">
        <f aca="false">AH38+AH53+AH68+AH83+AH98+AH104</f>
        <v>175.647800038056</v>
      </c>
      <c r="AI123" s="11" t="n">
        <f aca="false">AI38+AI53+AI68+AI83+AI98+AI104</f>
        <v>140.389637555285</v>
      </c>
      <c r="AJ123" s="11" t="n">
        <f aca="false">AJ38+AJ53+AJ68+AJ83+AJ98+AJ104</f>
        <v>104.108429091325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140.577821771873</v>
      </c>
      <c r="AC125" s="11" t="n">
        <f aca="false">IF(Time!AC29=1,AC83,AC81)</f>
        <v>125.762105646083</v>
      </c>
      <c r="AD125" s="11" t="n">
        <f aca="false">IF(Time!AD29=1,AD83,AD81)</f>
        <v>111.002683656629</v>
      </c>
      <c r="AE125" s="11" t="n">
        <f aca="false">IF(Time!AE29=1,AE83,AE81)</f>
        <v>95.1696587663186</v>
      </c>
      <c r="AF125" s="11" t="n">
        <f aca="false">IF(Time!AF29=1,AF83,AF81)</f>
        <v>79.2127715347219</v>
      </c>
      <c r="AG125" s="11" t="n">
        <f aca="false">IF(Time!AG29=1,AG83,AG81)</f>
        <v>63.1859971510913</v>
      </c>
      <c r="AH125" s="11" t="n">
        <f aca="false">IF(Time!AH29=1,AH83,AH81)</f>
        <v>47.5281742615782</v>
      </c>
      <c r="AI125" s="11" t="n">
        <f aca="false">IF(Time!AI29=1,AI83,AI81)</f>
        <v>31.8306110596356</v>
      </c>
      <c r="AJ125" s="11" t="n">
        <f aca="false">IF(Time!AJ29=1,AJ83,AJ81)</f>
        <v>16.9900430934001</v>
      </c>
      <c r="AK125" s="11" t="n">
        <f aca="false">IF(Time!AK29=1,AK83,AK81)</f>
        <v>2.96463952785655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14.6300895388971</v>
      </c>
      <c r="AC129" s="11" t="n">
        <f aca="false">IF(AND(Time!AC17&gt;=Time!$F$11,Time!AC17&lt;57),(IF(Time!AC29=1,AC83,AC81)-AC80)*AD19+IF(Time!AC29=1,AC83,AC81)*AD13,0)</f>
        <v>14.3887132294098</v>
      </c>
      <c r="AD129" s="11" t="n">
        <f aca="false">IF(AND(Time!AD17&gt;=Time!$F$11,Time!AD17&lt;57),(IF(Time!AD29=1,AD83,AD81)-AD80)*AE19+IF(Time!AD29=1,AD83,AD81)*AE13,0)</f>
        <v>13.5777449396255</v>
      </c>
      <c r="AE129" s="11" t="n">
        <f aca="false">IF(AND(Time!AE17&gt;=Time!$F$11,Time!AE17&lt;57),(IF(Time!AE29=1,AE83,AE81)-AE80)*AF19+IF(Time!AE29=1,AE83,AE81)*AF13,0)</f>
        <v>12.6444046735197</v>
      </c>
      <c r="AF129" s="11" t="n">
        <f aca="false">IF(AND(Time!AF17&gt;=Time!$F$11,Time!AF17&lt;57),(IF(Time!AF29=1,AF83,AF81)-AF80)*AG19+IF(Time!AF29=1,AF83,AF81)*AG13,0)</f>
        <v>11.5225074444225</v>
      </c>
      <c r="AG129" s="11" t="n">
        <f aca="false">IF(AND(Time!AG17&gt;=Time!$F$11,Time!AG17&lt;57),(IF(Time!AG29=1,AG83,AG81)-AG80)*AH19+IF(Time!AG29=1,AG83,AG81)*AH13,0)</f>
        <v>10.2852596208413</v>
      </c>
      <c r="AH129" s="11" t="n">
        <f aca="false">IF(AND(Time!AH17&gt;=Time!$F$11,Time!AH17&lt;57),(IF(Time!AH29=1,AH83,AH81)-AH80)*AI19+IF(Time!AH29=1,AH83,AH81)*AI13,0)</f>
        <v>8.60837913112919</v>
      </c>
      <c r="AI129" s="11" t="n">
        <f aca="false">IF(AND(Time!AI17&gt;=Time!$F$11,Time!AI17&lt;57),(IF(Time!AI29=1,AI83,AI81)-AI80)*AJ19+IF(Time!AI29=1,AI83,AI81)*AJ13,0)</f>
        <v>6.70249241367345</v>
      </c>
      <c r="AJ129" s="11" t="n">
        <f aca="false">IF(AND(Time!AJ17&gt;=Time!$F$11,Time!AJ17&lt;57),(IF(Time!AJ29=1,AJ83,AJ81)-AJ80)*AK19+IF(Time!AJ29=1,AJ83,AJ81)*AK13,0)</f>
        <v>4.22249697103189</v>
      </c>
      <c r="AK129" s="11" t="n">
        <f aca="false">IF(AND(Time!AK17&gt;=Time!$F$11,Time!AK17&lt;57),(IF(Time!AK29=1,AK83,AK81)-AK80)*AL19+IF(Time!AK29=1,AK83,AK81)*AL13,0)</f>
        <v>0.935869040927646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36.2609649025348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36.9080980905849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36.2331552108941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35.3849335344041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34.0053411736729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33.1147078619982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31.3741289267183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29.8054902779195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27.3410174219038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24.6653769845894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842.867357384217</v>
      </c>
      <c r="Q136" s="11" t="n">
        <f aca="false">IF(Q134=1,(Waterfall!Q7+R136)/(1+Q135),0)</f>
        <v>821.543000501489</v>
      </c>
      <c r="R136" s="11" t="n">
        <f aca="false">IF(R134=1,(Waterfall!R7+S136)/(1+R135),0)</f>
        <v>832.730287652599</v>
      </c>
      <c r="S136" s="11" t="n">
        <f aca="false">IF(S134=1,(Waterfall!S7+T136)/(1+S135),0)</f>
        <v>810.98024685425</v>
      </c>
      <c r="T136" s="11" t="n">
        <f aca="false">IF(T134=1,(Waterfall!T7+U136)/(1+T135),0)</f>
        <v>756.536014340541</v>
      </c>
      <c r="U136" s="11" t="n">
        <f aca="false">IF(U134=1,(Waterfall!U7+V136)/(1+U135),0)</f>
        <v>732.449810305866</v>
      </c>
      <c r="V136" s="11" t="n">
        <f aca="false">IF(V134=1,(Waterfall!V7+W136)/(1+V135),0)</f>
        <v>707.594670346616</v>
      </c>
      <c r="W136" s="11" t="n">
        <f aca="false">IF(W134=1,(Waterfall!W7+X136)/(1+W135),0)</f>
        <v>681.099486436403</v>
      </c>
      <c r="X136" s="11" t="n">
        <f aca="false">IF(X134=1,(Waterfall!X7+Y136)/(1+X135),0)</f>
        <v>653.80044294763</v>
      </c>
      <c r="Y136" s="11" t="n">
        <f aca="false">IF(Y134=1,(Waterfall!Y7+Z136)/(1+Y135),0)</f>
        <v>627.326843441799</v>
      </c>
      <c r="Z136" s="11" t="n">
        <f aca="false">IF(Z134=1,(Waterfall!Z7+AA136)/(1+Z135),0)</f>
        <v>600.855294675296</v>
      </c>
      <c r="AA136" s="11" t="n">
        <f aca="false">IF(AA134=1,(Waterfall!AA7+AB136)/(1+AA135),0)</f>
        <v>573.289450183986</v>
      </c>
      <c r="AB136" s="11" t="n">
        <f aca="false">IF(AB134=1,(Waterfall!AB7+AC136)/(1+AB135),0)</f>
        <v>544.923630194051</v>
      </c>
      <c r="AC136" s="11" t="n">
        <f aca="false">IF(AC134=1,(Waterfall!AC7+AD136)/(1+AC135),0)</f>
        <v>515.216571819732</v>
      </c>
      <c r="AD136" s="11" t="n">
        <f aca="false">IF(AD134=1,(Waterfall!AD7+AE136)/(1+AD135),0)</f>
        <v>484.519917389453</v>
      </c>
      <c r="AE136" s="11" t="n">
        <f aca="false">IF(AE134=1,(Waterfall!AE7+AF136)/(1+AE135),0)</f>
        <v>450.934781031555</v>
      </c>
      <c r="AF136" s="11" t="n">
        <f aca="false">IF(AF134=1,(Waterfall!AF7+AG136)/(1+AF135),0)</f>
        <v>415.913497446384</v>
      </c>
      <c r="AG136" s="11" t="n">
        <f aca="false">IF(AG134=1,(Waterfall!AG7+AH136)/(1+AG135),0)</f>
        <v>379.712456916673</v>
      </c>
      <c r="AH136" s="11" t="n">
        <f aca="false">IF(AH134=1,(Waterfall!AH7+AI136)/(1+AH135),0)</f>
        <v>342.854541156218</v>
      </c>
      <c r="AI136" s="11" t="n">
        <f aca="false">IF(AI134=1,(Waterfall!AI7+AJ136)/(1+AI135),0)</f>
        <v>304.15144743929</v>
      </c>
      <c r="AJ136" s="11" t="n">
        <f aca="false">IF(AJ134=1,(Waterfall!AJ7+AK136)/(1+AJ135),0)</f>
        <v>264.316408507269</v>
      </c>
      <c r="AK136" s="11" t="n">
        <f aca="false">IF(AK134=1,(Waterfall!AK7+AL136)/(1+AK135),0)</f>
        <v>222.57362657462</v>
      </c>
      <c r="AL136" s="11" t="n">
        <f aca="false">IF(AL134=1,(Waterfall!AL7+AM136)/(1+AL135),0)</f>
        <v>179.478113898948</v>
      </c>
      <c r="AM136" s="11" t="n">
        <f aca="false">IF(AM134=1,(Waterfall!AM7+AN136)/(1+AM135),0)</f>
        <v>133.759962127258</v>
      </c>
      <c r="AN136" s="11" t="n">
        <f aca="false">IF(AN134=1,(Waterfall!AN7+AO136)/(1+AN135),0)</f>
        <v>86.6936608776797</v>
      </c>
      <c r="AO136" s="11" t="n">
        <f aca="false">IF(AO134=1,(Waterfall!AO7+AP136)/(1+AO135),0)</f>
        <v>39.8358976004705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1.33100577007865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624.346190654976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37.7774161276661</v>
      </c>
      <c r="Q140" s="11" t="n">
        <f aca="false">IF(Q134=1,Waterfall!Q7/$F$137,0)</f>
        <v>12.5885338183543</v>
      </c>
      <c r="R140" s="11" t="n">
        <f aca="false">IF(R134=1,Waterfall!R7/$F$137,0)</f>
        <v>37.8510694127014</v>
      </c>
      <c r="S140" s="11" t="n">
        <f aca="false">IF(S134=1,Waterfall!S7/$F$137,0)</f>
        <v>61.635752347495</v>
      </c>
      <c r="T140" s="11" t="n">
        <f aca="false">IF(T134=1,Waterfall!T7/$F$137,0)</f>
        <v>37.6451406766276</v>
      </c>
      <c r="U140" s="11" t="n">
        <f aca="false">IF(U134=1,Waterfall!U7/$F$137,0)</f>
        <v>37.4652503694506</v>
      </c>
      <c r="V140" s="11" t="n">
        <f aca="false">IF(V134=1,Waterfall!V7/$F$137,0)</f>
        <v>38.19039028911</v>
      </c>
      <c r="W140" s="11" t="n">
        <f aca="false">IF(W134=1,Waterfall!W7/$F$137,0)</f>
        <v>37.9211031553933</v>
      </c>
      <c r="X140" s="11" t="n">
        <f aca="false">IF(X134=1,Waterfall!X7/$F$137,0)</f>
        <v>36.7841303483807</v>
      </c>
      <c r="Y140" s="11" t="n">
        <f aca="false">IF(Y134=1,Waterfall!Y7/$F$137,0)</f>
        <v>36.42506730952</v>
      </c>
      <c r="Z140" s="11" t="n">
        <f aca="false">IF(Z134=1,Waterfall!Z7/$F$137,0)</f>
        <v>36.7237415228357</v>
      </c>
      <c r="AA140" s="11" t="n">
        <f aca="false">IF(AA134=1,Waterfall!AA7/$F$137,0)</f>
        <v>36.4237991788765</v>
      </c>
      <c r="AB140" s="11" t="n">
        <f aca="false">IF(AB134=1,Waterfall!AB7/$F$137,0)</f>
        <v>36.841843138387</v>
      </c>
      <c r="AC140" s="11" t="n">
        <f aca="false">IF(AC134=1,Waterfall!AC7/$F$137,0)</f>
        <v>36.6939738112383</v>
      </c>
      <c r="AD140" s="11" t="n">
        <f aca="false">IF(AD134=1,Waterfall!AD7/$F$137,0)</f>
        <v>38.1456876579518</v>
      </c>
      <c r="AE140" s="11" t="n">
        <f aca="false">IF(AE134=1,Waterfall!AE7/$F$137,0)</f>
        <v>38.1987881631554</v>
      </c>
      <c r="AF140" s="11" t="n">
        <f aca="false">IF(AF134=1,Waterfall!AF7/$F$137,0)</f>
        <v>38.2826386698729</v>
      </c>
      <c r="AG140" s="11" t="n">
        <f aca="false">IF(AG134=1,Waterfall!AG7/$F$137,0)</f>
        <v>38.0040150665583</v>
      </c>
      <c r="AH140" s="11" t="n">
        <f aca="false">IF(AH134=1,Waterfall!AH7/$F$137,0)</f>
        <v>38.4933323956012</v>
      </c>
      <c r="AI140" s="11" t="n">
        <f aca="false">IF(AI134=1,Waterfall!AI7/$F$137,0)</f>
        <v>38.188674870394</v>
      </c>
      <c r="AJ140" s="11" t="n">
        <f aca="false">IF(AJ134=1,Waterfall!AJ7/$F$137,0)</f>
        <v>38.6203214629863</v>
      </c>
      <c r="AK140" s="11" t="n">
        <f aca="false">IF(AK134=1,Waterfall!AK7/$F$137,0)</f>
        <v>38.445319777038</v>
      </c>
      <c r="AL140" s="11" t="n">
        <f aca="false">IF(AL134=1,Waterfall!AL7/$F$137,0)</f>
        <v>39.2772879322044</v>
      </c>
      <c r="AM140" s="11" t="n">
        <f aca="false">IF(AM134=1,Waterfall!AM7/$F$137,0)</f>
        <v>38.9941108206853</v>
      </c>
      <c r="AN140" s="11" t="n">
        <f aca="false">IF(AN134=1,Waterfall!AN7/$F$137,0)</f>
        <v>37.5855041288059</v>
      </c>
      <c r="AO140" s="11" t="n">
        <f aca="false">IF(AO134=1,Waterfall!AO7/$F$137,0)</f>
        <v>31.011033723245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617.23474005146</v>
      </c>
      <c r="R141" s="11" t="n">
        <f aca="false">IF(R134=1,IF(Time!R17=Time!$F$12,Funding!$F$25,Q141-Q142),0)</f>
        <v>625.639878032529</v>
      </c>
      <c r="S141" s="11" t="n">
        <f aca="false">IF(S134=1,IF(Time!S17=Time!$F$12,Funding!$F$25,R141-R142),0)</f>
        <v>609.298821301375</v>
      </c>
      <c r="T141" s="11" t="n">
        <f aca="false">IF(T134=1,IF(Time!T17=Time!$F$12,Funding!$F$25,S141-S142),0)</f>
        <v>568.394240917405</v>
      </c>
      <c r="U141" s="11" t="n">
        <f aca="false">IF(U134=1,IF(Time!U17=Time!$F$12,Funding!$F$25,T141-T142),0)</f>
        <v>550.297997778466</v>
      </c>
      <c r="V141" s="11" t="n">
        <f aca="false">IF(V134=1,IF(Time!V17=Time!$F$12,Funding!$F$25,U141-U142),0)</f>
        <v>531.624044202906</v>
      </c>
      <c r="W141" s="11" t="n">
        <f aca="false">IF(W134=1,IF(Time!W17=Time!$F$12,Funding!$F$25,V141-V142),0)</f>
        <v>511.717906674556</v>
      </c>
      <c r="X141" s="11" t="n">
        <f aca="false">IF(X134=1,IF(Time!X17=Time!$F$12,Funding!$F$25,W141-W142),0)</f>
        <v>491.207820165194</v>
      </c>
      <c r="Y141" s="11" t="n">
        <f aca="false">IF(Y134=1,IF(Time!Y17=Time!$F$12,Funding!$F$25,X141-X142),0)</f>
        <v>471.317899249023</v>
      </c>
      <c r="Z141" s="11" t="n">
        <f aca="false">IF(Z134=1,IF(Time!Z17=Time!$F$12,Funding!$F$25,Y141-Y142),0)</f>
        <v>451.429519076984</v>
      </c>
      <c r="AA141" s="11" t="n">
        <f aca="false">IF(AA134=1,IF(Time!AA17=Time!$F$12,Funding!$F$25,Z141-Z142),0)</f>
        <v>430.718981894503</v>
      </c>
      <c r="AB141" s="11" t="n">
        <f aca="false">IF(AB134=1,IF(Time!AB17=Time!$F$12,Funding!$F$25,AA141-AA142),0)</f>
        <v>409.407413885104</v>
      </c>
      <c r="AC141" s="11" t="n">
        <f aca="false">IF(AC134=1,IF(Time!AC17=Time!$F$12,Funding!$F$25,AB141-AB142),0)</f>
        <v>387.088157994452</v>
      </c>
      <c r="AD141" s="11" t="n">
        <f aca="false">IF(AD134=1,IF(Time!AD17=Time!$F$12,Funding!$F$25,AC141-AC142),0)</f>
        <v>364.025407163203</v>
      </c>
      <c r="AE141" s="11" t="n">
        <f aca="false">IF(AE134=1,IF(Time!AE17=Time!$F$12,Funding!$F$25,AD141-AD142),0)</f>
        <v>338.792506515511</v>
      </c>
      <c r="AF141" s="11" t="n">
        <f aca="false">IF(AF134=1,IF(Time!AF17=Time!$F$12,Funding!$F$25,AE141-AE142),0)</f>
        <v>312.480611877292</v>
      </c>
      <c r="AG141" s="11" t="n">
        <f aca="false">IF(AG134=1,IF(Time!AG17=Time!$F$12,Funding!$F$25,AF141-AF142),0)</f>
        <v>285.282352227695</v>
      </c>
      <c r="AH141" s="11" t="n">
        <f aca="false">IF(AH134=1,IF(Time!AH17=Time!$F$12,Funding!$F$25,AG141-AG142),0)</f>
        <v>257.590574634367</v>
      </c>
      <c r="AI141" s="11" t="n">
        <f aca="false">IF(AI134=1,IF(Time!AI17=Time!$F$12,Funding!$F$25,AH141-AH142),0)</f>
        <v>228.51249354187</v>
      </c>
      <c r="AJ141" s="11" t="n">
        <f aca="false">IF(AJ134=1,IF(Time!AJ17=Time!$F$12,Funding!$F$25,AI141-AI142),0)</f>
        <v>198.58396894226</v>
      </c>
      <c r="AK141" s="11" t="n">
        <f aca="false">IF(AK134=1,IF(Time!AK17=Time!$F$12,Funding!$F$25,AJ141-AJ142),0)</f>
        <v>167.222135003568</v>
      </c>
      <c r="AL141" s="11" t="n">
        <f aca="false">IF(AL134=1,IF(Time!AL17=Time!$F$12,Funding!$F$25,AK141-AK142),0)</f>
        <v>134.843978841911</v>
      </c>
      <c r="AM141" s="11" t="n">
        <f aca="false">IF(AM134=1,IF(Time!AM17=Time!$F$12,Funding!$F$25,AL141-AL142),0)</f>
        <v>100.495403652046</v>
      </c>
      <c r="AN141" s="11" t="n">
        <f aca="false">IF(AN134=1,IF(Time!AN17=Time!$F$12,Funding!$F$25,AM141-AM142),0)</f>
        <v>65.1339481966004</v>
      </c>
      <c r="AO141" s="11" t="n">
        <f aca="false">IF(AO134=1,IF(Time!AO17=Time!$F$12,Funding!$F$25,AN141-AN142),0)</f>
        <v>29.9291697271274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16.0212354913147</v>
      </c>
      <c r="Q142" s="11" t="n">
        <f aca="false">Q140-Q141*Q135</f>
        <v>-8.40513798106892</v>
      </c>
      <c r="R142" s="11" t="n">
        <f aca="false">R140-R141*R135</f>
        <v>16.341056731154</v>
      </c>
      <c r="S142" s="11" t="n">
        <f aca="false">S140-S141*S135</f>
        <v>40.9045803839696</v>
      </c>
      <c r="T142" s="11" t="n">
        <f aca="false">T140-T141*T135</f>
        <v>18.0962431389393</v>
      </c>
      <c r="U142" s="11" t="n">
        <f aca="false">U140-U141*U135</f>
        <v>18.6739535755594</v>
      </c>
      <c r="V142" s="11" t="n">
        <f aca="false">V140-V141*V135</f>
        <v>19.9061375283501</v>
      </c>
      <c r="W142" s="11" t="n">
        <f aca="false">W140-W141*W135</f>
        <v>20.510086509362</v>
      </c>
      <c r="X142" s="11" t="n">
        <f aca="false">X140-X141*X135</f>
        <v>19.8899209161708</v>
      </c>
      <c r="Y142" s="11" t="n">
        <f aca="false">Y140-Y141*Y135</f>
        <v>19.8883801720396</v>
      </c>
      <c r="Z142" s="11" t="n">
        <f aca="false">Z140-Z141*Z135</f>
        <v>20.7105371824807</v>
      </c>
      <c r="AA142" s="11" t="n">
        <f aca="false">AA140-AA141*AA135</f>
        <v>21.3115680093996</v>
      </c>
      <c r="AB142" s="11" t="n">
        <f aca="false">AB140-AB141*AB135</f>
        <v>22.3192558906521</v>
      </c>
      <c r="AC142" s="11" t="n">
        <f aca="false">AC140-AC141*AC135</f>
        <v>23.0627508312488</v>
      </c>
      <c r="AD142" s="11" t="n">
        <f aca="false">AD140-AD141*AD135</f>
        <v>25.2329006476916</v>
      </c>
      <c r="AE142" s="11" t="n">
        <f aca="false">AE140-AE141*AE135</f>
        <v>26.3118946382191</v>
      </c>
      <c r="AF142" s="11" t="n">
        <f aca="false">AF140-AF141*AF135</f>
        <v>27.1982596495968</v>
      </c>
      <c r="AG142" s="11" t="n">
        <f aca="false">AG140-AG141*AG135</f>
        <v>27.6917775933284</v>
      </c>
      <c r="AH142" s="11" t="n">
        <f aca="false">AH140-AH141*AH135</f>
        <v>29.0780810924971</v>
      </c>
      <c r="AI142" s="11" t="n">
        <f aca="false">AI140-AI141*AI135</f>
        <v>29.9285245996094</v>
      </c>
      <c r="AJ142" s="11" t="n">
        <f aca="false">AJ140-AJ141*AJ135</f>
        <v>31.3618339386926</v>
      </c>
      <c r="AK142" s="11" t="n">
        <f aca="false">AK140-AK141*AK135</f>
        <v>32.3781561616566</v>
      </c>
      <c r="AL142" s="11" t="n">
        <f aca="false">AL140-AL141*AL135</f>
        <v>34.3485751898646</v>
      </c>
      <c r="AM142" s="11" t="n">
        <f aca="false">AM140-AM141*AM135</f>
        <v>35.3614554554461</v>
      </c>
      <c r="AN142" s="11" t="n">
        <f aca="false">AN140-AN141*AN135</f>
        <v>35.204778469473</v>
      </c>
      <c r="AO142" s="11" t="n">
        <f aca="false">AO140-AO141*AO135</f>
        <v>29.9291697271279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16.7554111490597</v>
      </c>
      <c r="S9" s="11" t="n">
        <f aca="false">IF(Time!S29=1,SUM(Funding!$J$44:$BJ$44),R13)</f>
        <v>29.5106178533348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36.2609649025348</v>
      </c>
      <c r="AD9" s="11" t="n">
        <f aca="false">IF(Time!AD29=1,SUM(Funding!$J$44:$BJ$44),AC13)</f>
        <v>36.9080980905849</v>
      </c>
      <c r="AE9" s="11" t="n">
        <f aca="false">IF(Time!AE29=1,SUM(Funding!$J$44:$BJ$44),AD13)</f>
        <v>36.2331552108941</v>
      </c>
      <c r="AF9" s="11" t="n">
        <f aca="false">IF(Time!AF29=1,SUM(Funding!$J$44:$BJ$44),AE13)</f>
        <v>35.3849335344041</v>
      </c>
      <c r="AG9" s="11" t="n">
        <f aca="false">IF(Time!AG29=1,SUM(Funding!$J$44:$BJ$44),AF13)</f>
        <v>34.0053411736729</v>
      </c>
      <c r="AH9" s="11" t="n">
        <f aca="false">IF(Time!AH29=1,SUM(Funding!$J$44:$BJ$44),AG13)</f>
        <v>33.1147078619982</v>
      </c>
      <c r="AI9" s="11" t="n">
        <f aca="false">IF(Time!AI29=1,SUM(Funding!$J$44:$BJ$44),AH13)</f>
        <v>31.3741289267183</v>
      </c>
      <c r="AJ9" s="11" t="n">
        <f aca="false">IF(Time!AJ29=1,SUM(Funding!$J$44:$BJ$44),AI13)</f>
        <v>29.8054902779195</v>
      </c>
      <c r="AK9" s="11" t="n">
        <f aca="false">IF(Time!AK29=1,SUM(Funding!$J$44:$BJ$44),AJ13)</f>
        <v>27.3410174219038</v>
      </c>
      <c r="AL9" s="11" t="n">
        <f aca="false">IF(Time!AL29=1,SUM(Funding!$J$44:$BJ$44),AK13)</f>
        <v>24.6653769845894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20.401605306086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20.401605306086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23.0915996421356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</v>
      </c>
      <c r="R11" s="11" t="n">
        <f aca="false">MIN(Waterfall!R13,MAX(0,Debt!R132-(R9-R10)))</f>
        <v>12.7552067042751</v>
      </c>
      <c r="S11" s="11" t="n">
        <f aca="false">MIN(Waterfall!S13,MAX(0,Debt!S132-(S9-S10)))</f>
        <v>8.24059992841296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0.647133188050141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39.935889773145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0.743783729441425</v>
      </c>
      <c r="AC12" s="11" t="n">
        <f aca="false">MAX(0,AC9-AC10-Debt!AC132)</f>
        <v>0</v>
      </c>
      <c r="AD12" s="11" t="n">
        <f aca="false">MAX(0,AD9-AD10-Debt!AD132)</f>
        <v>0.674942879690825</v>
      </c>
      <c r="AE12" s="11" t="n">
        <f aca="false">MAX(0,AE9-AE10-Debt!AE132)</f>
        <v>0.848221676489942</v>
      </c>
      <c r="AF12" s="11" t="n">
        <f aca="false">MAX(0,AF9-AF10-Debt!AF132)</f>
        <v>1.37959236073123</v>
      </c>
      <c r="AG12" s="11" t="n">
        <f aca="false">MAX(0,AG9-AG10-Debt!AG132)</f>
        <v>0.890633311674691</v>
      </c>
      <c r="AH12" s="11" t="n">
        <f aca="false">MAX(0,AH9-AH10-Debt!AH132)</f>
        <v>1.7405789352799</v>
      </c>
      <c r="AI12" s="11" t="n">
        <f aca="false">MAX(0,AI9-AI10-Debt!AI132)</f>
        <v>1.56863864879882</v>
      </c>
      <c r="AJ12" s="11" t="n">
        <f aca="false">MAX(0,AJ9-AJ10-Debt!AJ132)</f>
        <v>2.46447285601572</v>
      </c>
      <c r="AK12" s="11" t="n">
        <f aca="false">MAX(0,AK9-AK10-Debt!AK132)</f>
        <v>2.6756404373144</v>
      </c>
      <c r="AL12" s="11" t="n">
        <f aca="false">MAX(0,AL9-AL10-Debt!AL132)</f>
        <v>1.09608513131129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16.7554111490597</v>
      </c>
      <c r="R13" s="11" t="n">
        <f aca="false">(1-Time!R32)*(R9-R10+R11-R12)</f>
        <v>29.5106178533348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36.2609649025348</v>
      </c>
      <c r="AC13" s="11" t="n">
        <f aca="false">(1-Time!AC32)*(AC9-AC10+AC11-AC12)</f>
        <v>36.9080980905849</v>
      </c>
      <c r="AD13" s="11" t="n">
        <f aca="false">(1-Time!AD32)*(AD9-AD10+AD11-AD12)</f>
        <v>36.2331552108941</v>
      </c>
      <c r="AE13" s="11" t="n">
        <f aca="false">(1-Time!AE32)*(AE9-AE10+AE11-AE12)</f>
        <v>35.3849335344041</v>
      </c>
      <c r="AF13" s="11" t="n">
        <f aca="false">(1-Time!AF32)*(AF9-AF10+AF11-AF12)</f>
        <v>34.0053411736729</v>
      </c>
      <c r="AG13" s="11" t="n">
        <f aca="false">(1-Time!AG32)*(AG9-AG10+AG11-AG12)</f>
        <v>33.1147078619982</v>
      </c>
      <c r="AH13" s="11" t="n">
        <f aca="false">(1-Time!AH32)*(AH9-AH10+AH11-AH12)</f>
        <v>31.3741289267183</v>
      </c>
      <c r="AI13" s="11" t="n">
        <f aca="false">(1-Time!AI32)*(AI9-AI10+AI11-AI12)</f>
        <v>29.8054902779195</v>
      </c>
      <c r="AJ13" s="11" t="n">
        <f aca="false">(1-Time!AJ32)*(AJ9-AJ10+AJ11-AJ12)</f>
        <v>27.3410174219038</v>
      </c>
      <c r="AK13" s="11" t="n">
        <f aca="false">(1-Time!AK32)*(AK9-AK10+AK11-AK12)</f>
        <v>24.6653769845894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2272.79594497325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16.7554111490597</v>
      </c>
      <c r="R7" s="11" t="n">
        <f aca="false">Operations!R79-Tax!R27-Operations!R91-Reserves!R7+Operations!R74+Operations!R92</f>
        <v>50.3799917919531</v>
      </c>
      <c r="S7" s="11" t="n">
        <f aca="false">Operations!S79-Tax!S27-Operations!S91-Reserves!S7+Operations!S74+Operations!S92</f>
        <v>82.0375420176545</v>
      </c>
      <c r="T7" s="11" t="n">
        <f aca="false">Operations!T79-Tax!T27-Operations!T91-Reserves!T7+Operations!T74+Operations!T92</f>
        <v>50.1058994560139</v>
      </c>
      <c r="U7" s="11" t="n">
        <f aca="false">Operations!U79-Tax!U27-Operations!U91-Reserves!U7+Operations!U74+Operations!U92</f>
        <v>49.86646441918</v>
      </c>
      <c r="V7" s="11" t="n">
        <f aca="false">Operations!V79-Tax!V27-Operations!V91-Reserves!V7+Operations!V74+Operations!V92</f>
        <v>50.8316298363611</v>
      </c>
      <c r="W7" s="11" t="n">
        <f aca="false">Operations!W79-Tax!W27-Operations!W91-Reserves!W7+Operations!W74+Operations!W92</f>
        <v>50.4732071075761</v>
      </c>
      <c r="X7" s="11" t="n">
        <f aca="false">Operations!X79-Tax!X27-Operations!X91-Reserves!X7+Operations!X74+Operations!X92</f>
        <v>48.9598897410199</v>
      </c>
      <c r="Y7" s="11" t="n">
        <f aca="false">Operations!Y79-Tax!Y27-Operations!Y91-Reserves!Y7+Operations!Y74+Operations!Y92</f>
        <v>48.4819747644744</v>
      </c>
      <c r="Z7" s="11" t="n">
        <f aca="false">Operations!Z79-Tax!Z27-Operations!Z91-Reserves!Z7+Operations!Z74+Operations!Z92</f>
        <v>48.8795118657713</v>
      </c>
      <c r="AA7" s="11" t="n">
        <f aca="false">Operations!AA79-Tax!AA27-Operations!AA91-Reserves!AA7+Operations!AA74+Operations!AA92</f>
        <v>48.4802868752706</v>
      </c>
      <c r="AB7" s="11" t="n">
        <f aca="false">Operations!AB79-Tax!AB27-Operations!AB91-Reserves!AB7+Operations!AB74+Operations!AB92</f>
        <v>49.0367057975256</v>
      </c>
      <c r="AC7" s="11" t="n">
        <f aca="false">Operations!AC79-Tax!AC27-Operations!AC91-Reserves!AC7+Operations!AC74+Operations!AC92</f>
        <v>48.839890869873</v>
      </c>
      <c r="AD7" s="11" t="n">
        <f aca="false">Operations!AD79-Tax!AD27-Operations!AD91-Reserves!AD7+Operations!AD74+Operations!AD92</f>
        <v>50.7721303763519</v>
      </c>
      <c r="AE7" s="11" t="n">
        <f aca="false">Operations!AE79-Tax!AE27-Operations!AE91-Reserves!AE7+Operations!AE74+Operations!AE92</f>
        <v>50.8428074551719</v>
      </c>
      <c r="AF7" s="11" t="n">
        <f aca="false">Operations!AF79-Tax!AF27-Operations!AF91-Reserves!AF7+Operations!AF74+Operations!AF92</f>
        <v>50.9544129634369</v>
      </c>
      <c r="AG7" s="11" t="n">
        <f aca="false">Operations!AG79-Tax!AG27-Operations!AG91-Reserves!AG7+Operations!AG74+Operations!AG92</f>
        <v>50.583563339745</v>
      </c>
      <c r="AH7" s="11" t="n">
        <f aca="false">Operations!AH79-Tax!AH27-Operations!AH91-Reserves!AH7+Operations!AH74+Operations!AH92</f>
        <v>51.2348475281006</v>
      </c>
      <c r="AI7" s="11" t="n">
        <f aca="false">Operations!AI79-Tax!AI27-Operations!AI91-Reserves!AI7+Operations!AI74+Operations!AI92</f>
        <v>50.829346604152</v>
      </c>
      <c r="AJ7" s="11" t="n">
        <f aca="false">Operations!AJ79-Tax!AJ27-Operations!AJ91-Reserves!AJ7+Operations!AJ74+Operations!AJ92</f>
        <v>51.4038707095271</v>
      </c>
      <c r="AK7" s="11" t="n">
        <f aca="false">Operations!AK79-Tax!AK27-Operations!AK91-Reserves!AK7+Operations!AK74+Operations!AK92</f>
        <v>51.1709424557564</v>
      </c>
      <c r="AL7" s="11" t="n">
        <f aca="false">Operations!AL79-Tax!AL27-Operations!AL91-Reserves!AL7+Operations!AL74+Operations!AL92</f>
        <v>52.2782968708046</v>
      </c>
      <c r="AM7" s="11" t="n">
        <f aca="false">Operations!AM79-Tax!AM27-Operations!AM91-Reserves!AM7+Operations!AM74+Operations!AM92</f>
        <v>51.9013865014185</v>
      </c>
      <c r="AN7" s="11" t="n">
        <f aca="false">Operations!AN79-Tax!AN27-Operations!AN91-Reserves!AN7+Operations!AN74+Operations!AN92</f>
        <v>50.0265228667556</v>
      </c>
      <c r="AO7" s="11" t="n">
        <f aca="false">Operations!AO79-Tax!AO27-Operations!AO91-Reserves!AO7+Operations!AO74+Operations!AO92</f>
        <v>41.2758648217427</v>
      </c>
      <c r="AP7" s="11" t="n">
        <f aca="false">Operations!AP79-Tax!AP27-Operations!AP91-Reserves!AP7+Operations!AP74+Operations!AP92</f>
        <v>41.2203591265165</v>
      </c>
      <c r="AQ7" s="11" t="n">
        <f aca="false">Operations!AQ79-Tax!AQ27-Operations!AQ91-Reserves!AQ7+Operations!AQ74+Operations!AQ92</f>
        <v>40.4292984782604</v>
      </c>
      <c r="AR7" s="11" t="n">
        <f aca="false">Operations!AR79-Tax!AR27-Operations!AR91-Reserves!AR7+Operations!AR74+Operations!AR92</f>
        <v>41.0012731311383</v>
      </c>
      <c r="AS7" s="11" t="n">
        <f aca="false">Operations!AS79-Tax!AS27-Operations!AS91-Reserves!AS7+Operations!AS74+Operations!AS92</f>
        <v>40.7443474412859</v>
      </c>
      <c r="AT7" s="11" t="n">
        <f aca="false">Operations!AT79-Tax!AT27-Operations!AT91-Reserves!AT7+Operations!AT74+Operations!AT92</f>
        <v>47.4891479776467</v>
      </c>
      <c r="AU7" s="11" t="n">
        <f aca="false">Operations!AU79-Tax!AU27-Operations!AU91-Reserves!AU7+Operations!AU74+Operations!AU92</f>
        <v>43.0523206521811</v>
      </c>
      <c r="AV7" s="11" t="n">
        <f aca="false">Operations!AV79-Tax!AV27-Operations!AV91-Reserves!AV7+Operations!AV74+Operations!AV92</f>
        <v>43.130158562029</v>
      </c>
      <c r="AW7" s="11" t="n">
        <f aca="false">Operations!AW79-Tax!AW27-Operations!AW91-Reserves!AW7+Operations!AW74+Operations!AW92</f>
        <v>42.7043526457012</v>
      </c>
      <c r="AX7" s="11" t="n">
        <f aca="false">Operations!AX79-Tax!AX27-Operations!AX91-Reserves!AX7+Operations!AX74+Operations!AX92</f>
        <v>43.3594796986634</v>
      </c>
      <c r="AY7" s="11" t="n">
        <f aca="false">Operations!AY79-Tax!AY27-Operations!AY91-Reserves!AY7+Operations!AY74+Operations!AY92</f>
        <v>42.9092344367935</v>
      </c>
      <c r="AZ7" s="11" t="n">
        <f aca="false">Operations!AZ79-Tax!AZ27-Operations!AZ91-Reserves!AZ7+Operations!AZ74+Operations!AZ92</f>
        <v>43.5006313627699</v>
      </c>
      <c r="BA7" s="11" t="n">
        <f aca="false">Operations!BA79-Tax!BA27-Operations!BA91-Reserves!BA7+Operations!BA74+Operations!BA92</f>
        <v>43.2095784258983</v>
      </c>
      <c r="BB7" s="11" t="n">
        <f aca="false">Operations!BB79-Tax!BB27-Operations!BB91-Reserves!BB7+Operations!BB74+Operations!BB92</f>
        <v>45.4497544581228</v>
      </c>
      <c r="BC7" s="11" t="n">
        <f aca="false">Operations!BC79-Tax!BC27-Operations!BC91-Reserves!BC7+Operations!BC74+Operations!BC92</f>
        <v>42.0560909022671</v>
      </c>
      <c r="BD7" s="11" t="n">
        <f aca="false">Operations!BD79-Tax!BD27-Operations!BD91-Reserves!BD7+Operations!BD74+Operations!BD92</f>
        <v>35.9210430268861</v>
      </c>
      <c r="BE7" s="11" t="n">
        <f aca="false">Operations!BE79-Tax!BE27-Operations!BE91-Reserves!BE7+Operations!BE74+Operations!BE92</f>
        <v>35.4900930375194</v>
      </c>
      <c r="BF7" s="11" t="n">
        <f aca="false">Operations!BF79-Tax!BF27-Operations!BF91-Reserves!BF7+Operations!BF74+Operations!BF92</f>
        <v>36.17296651705</v>
      </c>
      <c r="BG7" s="11" t="n">
        <f aca="false">Operations!BG79-Tax!BG27-Operations!BG91-Reserves!BG7+Operations!BG74+Operations!BG92</f>
        <v>35.7126076466291</v>
      </c>
      <c r="BH7" s="11" t="n">
        <f aca="false">Operations!BH79-Tax!BH27-Operations!BH91-Reserves!BH7+Operations!BH74+Operations!BH92</f>
        <v>36.3249907597474</v>
      </c>
      <c r="BI7" s="11" t="n">
        <f aca="false">Operations!BI79-Tax!BI27-Operations!BI91-Reserves!BI7+Operations!BI74+Operations!BI92</f>
        <v>36.0738425979289</v>
      </c>
      <c r="BJ7" s="11" t="n">
        <f aca="false">Operations!BJ79-Tax!BJ27-Operations!BJ91-Reserves!BJ7+Operations!BJ74+Operations!BJ92</f>
        <v>44.1115181835198</v>
      </c>
      <c r="BK7" s="11" t="n">
        <f aca="false">Operations!BK79-Tax!BK27-Operations!BK91-Reserves!BK7+Operations!BK74+Operations!BK92</f>
        <v>38.8622552862812</v>
      </c>
      <c r="BL7" s="11" t="n">
        <f aca="false">Operations!BL79-Tax!BL27-Operations!BL91-Reserves!BL7+Operations!BL74+Operations!BL92</f>
        <v>39.556520592815</v>
      </c>
      <c r="BM7" s="11" t="n">
        <f aca="false">Operations!BM79-Tax!BM27-Operations!BM91-Reserves!BM7+Operations!BM74+Operations!BM92</f>
        <v>35.7574757984896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16.7554111490597</v>
      </c>
      <c r="R9" s="11" t="n">
        <f aca="false">R7+R8</f>
        <v>50.3799917919531</v>
      </c>
      <c r="S9" s="11" t="n">
        <f aca="false">S7+S8</f>
        <v>82.0375420176545</v>
      </c>
      <c r="T9" s="11" t="n">
        <f aca="false">T7+T8</f>
        <v>50.1058994560139</v>
      </c>
      <c r="U9" s="11" t="n">
        <f aca="false">U7+U8</f>
        <v>49.86646441918</v>
      </c>
      <c r="V9" s="11" t="n">
        <f aca="false">V7+V8</f>
        <v>50.8316298363611</v>
      </c>
      <c r="W9" s="11" t="n">
        <f aca="false">W7+W8</f>
        <v>50.4732071075761</v>
      </c>
      <c r="X9" s="11" t="n">
        <f aca="false">X7+X8</f>
        <v>48.9598897410199</v>
      </c>
      <c r="Y9" s="11" t="n">
        <f aca="false">Y7+Y8</f>
        <v>48.4819747644744</v>
      </c>
      <c r="Z9" s="11" t="n">
        <f aca="false">Z7+Z8</f>
        <v>48.8795118657713</v>
      </c>
      <c r="AA9" s="11" t="n">
        <f aca="false">AA7+AA8</f>
        <v>48.4802868752706</v>
      </c>
      <c r="AB9" s="11" t="n">
        <f aca="false">AB7+AB8</f>
        <v>49.0367057975256</v>
      </c>
      <c r="AC9" s="11" t="n">
        <f aca="false">AC7+AC8</f>
        <v>48.839890869873</v>
      </c>
      <c r="AD9" s="11" t="n">
        <f aca="false">AD7+AD8</f>
        <v>50.7721303763519</v>
      </c>
      <c r="AE9" s="11" t="n">
        <f aca="false">AE7+AE8</f>
        <v>50.8428074551719</v>
      </c>
      <c r="AF9" s="11" t="n">
        <f aca="false">AF7+AF8</f>
        <v>50.9544129634369</v>
      </c>
      <c r="AG9" s="11" t="n">
        <f aca="false">AG7+AG8</f>
        <v>50.583563339745</v>
      </c>
      <c r="AH9" s="11" t="n">
        <f aca="false">AH7+AH8</f>
        <v>51.2348475281006</v>
      </c>
      <c r="AI9" s="11" t="n">
        <f aca="false">AI7+AI8</f>
        <v>50.829346604152</v>
      </c>
      <c r="AJ9" s="11" t="n">
        <f aca="false">AJ7+AJ8</f>
        <v>51.4038707095271</v>
      </c>
      <c r="AK9" s="11" t="n">
        <f aca="false">AK7+AK8</f>
        <v>51.1709424557564</v>
      </c>
      <c r="AL9" s="11" t="n">
        <f aca="false">AL7+AL8</f>
        <v>52.2782968708046</v>
      </c>
      <c r="AM9" s="11" t="n">
        <f aca="false">AM7+AM8</f>
        <v>51.9013865014185</v>
      </c>
      <c r="AN9" s="11" t="n">
        <f aca="false">AN7+AN8</f>
        <v>50.0265228667556</v>
      </c>
      <c r="AO9" s="11" t="n">
        <f aca="false">AO7+AO8</f>
        <v>41.2758648217427</v>
      </c>
      <c r="AP9" s="11" t="n">
        <f aca="false">AP7+AP8</f>
        <v>41.2203591265165</v>
      </c>
      <c r="AQ9" s="11" t="n">
        <f aca="false">AQ7+AQ8</f>
        <v>40.4292984782604</v>
      </c>
      <c r="AR9" s="11" t="n">
        <f aca="false">AR7+AR8</f>
        <v>41.0012731311383</v>
      </c>
      <c r="AS9" s="11" t="n">
        <f aca="false">AS7+AS8</f>
        <v>40.7443474412859</v>
      </c>
      <c r="AT9" s="11" t="n">
        <f aca="false">AT7+AT8</f>
        <v>47.4891479776467</v>
      </c>
      <c r="AU9" s="11" t="n">
        <f aca="false">AU7+AU8</f>
        <v>43.0523206521811</v>
      </c>
      <c r="AV9" s="11" t="n">
        <f aca="false">AV7+AV8</f>
        <v>43.130158562029</v>
      </c>
      <c r="AW9" s="11" t="n">
        <f aca="false">AW7+AW8</f>
        <v>42.7043526457012</v>
      </c>
      <c r="AX9" s="11" t="n">
        <f aca="false">AX7+AX8</f>
        <v>43.3594796986634</v>
      </c>
      <c r="AY9" s="11" t="n">
        <f aca="false">AY7+AY8</f>
        <v>42.9092344367935</v>
      </c>
      <c r="AZ9" s="11" t="n">
        <f aca="false">AZ7+AZ8</f>
        <v>43.5006313627699</v>
      </c>
      <c r="BA9" s="11" t="n">
        <f aca="false">BA7+BA8</f>
        <v>43.2095784258983</v>
      </c>
      <c r="BB9" s="11" t="n">
        <f aca="false">BB7+BB8</f>
        <v>45.4497544581228</v>
      </c>
      <c r="BC9" s="11" t="n">
        <f aca="false">BC7+BC8</f>
        <v>42.0560909022671</v>
      </c>
      <c r="BD9" s="11" t="n">
        <f aca="false">BD7+BD8</f>
        <v>35.9210430268861</v>
      </c>
      <c r="BE9" s="11" t="n">
        <f aca="false">BE7+BE8</f>
        <v>35.4900930375194</v>
      </c>
      <c r="BF9" s="11" t="n">
        <f aca="false">BF7+BF8</f>
        <v>36.17296651705</v>
      </c>
      <c r="BG9" s="11" t="n">
        <f aca="false">BG7+BG8</f>
        <v>35.7126076466291</v>
      </c>
      <c r="BH9" s="11" t="n">
        <f aca="false">BH7+BH8</f>
        <v>36.3249907597474</v>
      </c>
      <c r="BI9" s="11" t="n">
        <f aca="false">BI7+BI8</f>
        <v>36.0738425979289</v>
      </c>
      <c r="BJ9" s="11" t="n">
        <f aca="false">BJ7+BJ8</f>
        <v>44.1115181835198</v>
      </c>
      <c r="BK9" s="11" t="n">
        <f aca="false">BK7+BK8</f>
        <v>38.8622552862812</v>
      </c>
      <c r="BL9" s="11" t="n">
        <f aca="false">BL7+BL8</f>
        <v>39.556520592815</v>
      </c>
      <c r="BM9" s="11" t="n">
        <f aca="false">BM7+BM8</f>
        <v>35.7574757984896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855.702337523059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36.40482142373</v>
      </c>
      <c r="AC10" s="11" t="n">
        <f aca="false">Debt!AC121+Debt!AC117</f>
        <v>35.5304398884399</v>
      </c>
      <c r="AD10" s="11" t="n">
        <f aca="false">Debt!AD121+Debt!AD117</f>
        <v>36.1507035340488</v>
      </c>
      <c r="AE10" s="11" t="n">
        <f aca="false">Debt!AE121+Debt!AE117</f>
        <v>35.258382311025</v>
      </c>
      <c r="AF10" s="11" t="n">
        <f aca="false">Debt!AF121+Debt!AF117</f>
        <v>34.2504297150702</v>
      </c>
      <c r="AG10" s="11" t="n">
        <f aca="false">Debt!AG121+Debt!AG117</f>
        <v>32.6436912042182</v>
      </c>
      <c r="AH10" s="11" t="n">
        <f aca="false">Debt!AH121+Debt!AH117</f>
        <v>31.5329920137811</v>
      </c>
      <c r="AI10" s="11" t="n">
        <f aca="false">Debt!AI121+Debt!AI117</f>
        <v>29.3772585918259</v>
      </c>
      <c r="AJ10" s="11" t="n">
        <f aca="false">Debt!AJ121+Debt!AJ117</f>
        <v>27.3217260531152</v>
      </c>
      <c r="AK10" s="11" t="n">
        <f aca="false">Debt!AK121+Debt!AK117</f>
        <v>23.9737308440496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20.401605306086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20.401605306086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0</v>
      </c>
      <c r="R13" s="11" t="n">
        <f aca="false">MAX(0,R9-R10)</f>
        <v>12.7552067042751</v>
      </c>
      <c r="S13" s="11" t="n">
        <f aca="false">MAX(0,S9-S10)</f>
        <v>44.7042295250976</v>
      </c>
      <c r="T13" s="11" t="n">
        <f aca="false">MAX(0,T9-T10)</f>
        <v>12.3546816742661</v>
      </c>
      <c r="U13" s="11" t="n">
        <f aca="false">MAX(0,U9-U10)</f>
        <v>12.2957716643273</v>
      </c>
      <c r="V13" s="11" t="n">
        <f aca="false">MAX(0,V9-V10)</f>
        <v>12.5437096012027</v>
      </c>
      <c r="W13" s="11" t="n">
        <f aca="false">MAX(0,W9-W10)</f>
        <v>12.4499796817064</v>
      </c>
      <c r="X13" s="11" t="n">
        <f aca="false">MAX(0,X9-X10)</f>
        <v>12.0330946664305</v>
      </c>
      <c r="Y13" s="11" t="n">
        <f aca="false">MAX(0,Y9-Y10)</f>
        <v>11.9115827199292</v>
      </c>
      <c r="Z13" s="11" t="n">
        <f aca="false">MAX(0,Z9-Z10)</f>
        <v>12.0081487572572</v>
      </c>
      <c r="AA13" s="11" t="n">
        <f aca="false">MAX(0,AA9-AA10)</f>
        <v>11.9059995204162</v>
      </c>
      <c r="AB13" s="11" t="n">
        <f aca="false">MAX(0,AB9-AB10)</f>
        <v>12.6318843737956</v>
      </c>
      <c r="AC13" s="11" t="n">
        <f aca="false">MAX(0,AC9-AC10)</f>
        <v>13.3094509814331</v>
      </c>
      <c r="AD13" s="11" t="n">
        <f aca="false">MAX(0,AD9-AD10)</f>
        <v>14.6214268423031</v>
      </c>
      <c r="AE13" s="11" t="n">
        <f aca="false">MAX(0,AE9-AE10)</f>
        <v>15.5844251441469</v>
      </c>
      <c r="AF13" s="11" t="n">
        <f aca="false">MAX(0,AF9-AF10)</f>
        <v>16.7039832483668</v>
      </c>
      <c r="AG13" s="11" t="n">
        <f aca="false">MAX(0,AG9-AG10)</f>
        <v>17.9398721355268</v>
      </c>
      <c r="AH13" s="11" t="n">
        <f aca="false">MAX(0,AH9-AH10)</f>
        <v>19.7018555143195</v>
      </c>
      <c r="AI13" s="11" t="n">
        <f aca="false">MAX(0,AI9-AI10)</f>
        <v>21.4520880123262</v>
      </c>
      <c r="AJ13" s="11" t="n">
        <f aca="false">MAX(0,AJ9-AJ10)</f>
        <v>24.082144656412</v>
      </c>
      <c r="AK13" s="11" t="n">
        <f aca="false">MAX(0,AK9-AK10)</f>
        <v>27.1972116117068</v>
      </c>
      <c r="AL13" s="11" t="n">
        <f aca="false">MAX(0,AL9-AL10)</f>
        <v>28.5642570354082</v>
      </c>
      <c r="AM13" s="11" t="n">
        <f aca="false">MAX(0,AM9-AM10)</f>
        <v>28.3320946481404</v>
      </c>
      <c r="AN13" s="11" t="n">
        <f aca="false">MAX(0,AN9-AN10)</f>
        <v>30.8945056118914</v>
      </c>
      <c r="AO13" s="11" t="n">
        <f aca="false">MAX(0,AO9-AO10)</f>
        <v>22.3699570741346</v>
      </c>
      <c r="AP13" s="11" t="n">
        <f aca="false">MAX(0,AP9-AP10)</f>
        <v>41.2203591265165</v>
      </c>
      <c r="AQ13" s="11" t="n">
        <f aca="false">MAX(0,AQ9-AQ10)</f>
        <v>40.4292984782604</v>
      </c>
      <c r="AR13" s="11" t="n">
        <f aca="false">MAX(0,AR9-AR10)</f>
        <v>41.0012731311383</v>
      </c>
      <c r="AS13" s="11" t="n">
        <f aca="false">MAX(0,AS9-AS10)</f>
        <v>40.7443474412859</v>
      </c>
      <c r="AT13" s="11" t="n">
        <f aca="false">MAX(0,AT9-AT10)</f>
        <v>47.4891479776467</v>
      </c>
      <c r="AU13" s="11" t="n">
        <f aca="false">MAX(0,AU9-AU10)</f>
        <v>43.0523206521811</v>
      </c>
      <c r="AV13" s="11" t="n">
        <f aca="false">MAX(0,AV9-AV10)</f>
        <v>43.130158562029</v>
      </c>
      <c r="AW13" s="11" t="n">
        <f aca="false">MAX(0,AW9-AW10)</f>
        <v>42.7043526457012</v>
      </c>
      <c r="AX13" s="11" t="n">
        <f aca="false">MAX(0,AX9-AX10)</f>
        <v>43.3594796986634</v>
      </c>
      <c r="AY13" s="11" t="n">
        <f aca="false">MAX(0,AY9-AY10)</f>
        <v>42.9092344367935</v>
      </c>
      <c r="AZ13" s="11" t="n">
        <f aca="false">MAX(0,AZ9-AZ10)</f>
        <v>43.5006313627699</v>
      </c>
      <c r="BA13" s="11" t="n">
        <f aca="false">MAX(0,BA9-BA10)</f>
        <v>43.2095784258983</v>
      </c>
      <c r="BB13" s="11" t="n">
        <f aca="false">MAX(0,BB9-BB10)</f>
        <v>45.4497544581228</v>
      </c>
      <c r="BC13" s="11" t="n">
        <f aca="false">MAX(0,BC9-BC10)</f>
        <v>42.0560909022671</v>
      </c>
      <c r="BD13" s="11" t="n">
        <f aca="false">MAX(0,BD9-BD10)</f>
        <v>35.9210430268861</v>
      </c>
      <c r="BE13" s="11" t="n">
        <f aca="false">MAX(0,BE9-BE10)</f>
        <v>35.4900930375194</v>
      </c>
      <c r="BF13" s="11" t="n">
        <f aca="false">MAX(0,BF9-BF10)</f>
        <v>36.17296651705</v>
      </c>
      <c r="BG13" s="11" t="n">
        <f aca="false">MAX(0,BG9-BG10)</f>
        <v>35.7126076466291</v>
      </c>
      <c r="BH13" s="11" t="n">
        <f aca="false">MAX(0,BH9-BH10)</f>
        <v>36.3249907597474</v>
      </c>
      <c r="BI13" s="11" t="n">
        <f aca="false">MAX(0,BI9-BI10)</f>
        <v>36.0738425979289</v>
      </c>
      <c r="BJ13" s="11" t="n">
        <f aca="false">MAX(0,BJ9-BJ10)</f>
        <v>44.1115181835198</v>
      </c>
      <c r="BK13" s="11" t="n">
        <f aca="false">MAX(0,BK9-BK10)</f>
        <v>38.8622552862812</v>
      </c>
      <c r="BL13" s="11" t="n">
        <f aca="false">MAX(0,BL9-BL10)</f>
        <v>39.556520592815</v>
      </c>
      <c r="BM13" s="11" t="n">
        <f aca="false">MAX(0,BM9-BM10)</f>
        <v>35.7574757984896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0</v>
      </c>
      <c r="R14" s="11" t="n">
        <f aca="false">R13-Reserves!R11+Reserves!R12</f>
        <v>0</v>
      </c>
      <c r="S14" s="11" t="n">
        <f aca="false">S13-Reserves!S11+Reserves!S12</f>
        <v>36.4636295966846</v>
      </c>
      <c r="T14" s="11" t="n">
        <f aca="false">T13-Reserves!T11+Reserves!T12</f>
        <v>12.5352067011612</v>
      </c>
      <c r="U14" s="11" t="n">
        <f aca="false">U13-Reserves!U11+Reserves!U12</f>
        <v>11.5785441840217</v>
      </c>
      <c r="V14" s="11" t="n">
        <f aca="false">V13-Reserves!V11+Reserves!V12</f>
        <v>12.8084024104913</v>
      </c>
      <c r="W14" s="11" t="n">
        <f aca="false">W13-Reserves!W11+Reserves!W12</f>
        <v>13.5464120329868</v>
      </c>
      <c r="X14" s="11" t="n">
        <f aca="false">X13-Reserves!X11+Reserves!X12</f>
        <v>12.3894976964747</v>
      </c>
      <c r="Y14" s="11" t="n">
        <f aca="false">Y13-Reserves!Y11+Reserves!Y12</f>
        <v>11.6106116559603</v>
      </c>
      <c r="Z14" s="11" t="n">
        <f aca="false">Z13-Reserves!Z11+Reserves!Z12</f>
        <v>12.3052245109169</v>
      </c>
      <c r="AA14" s="11" t="n">
        <f aca="false">AA13-Reserves!AA11+Reserves!AA12</f>
        <v>11.4755382432945</v>
      </c>
      <c r="AB14" s="11" t="n">
        <f aca="false">AB13-Reserves!AB11+Reserves!AB12</f>
        <v>13.375668103237</v>
      </c>
      <c r="AC14" s="11" t="n">
        <f aca="false">AC13-Reserves!AC11+Reserves!AC12</f>
        <v>12.662317793383</v>
      </c>
      <c r="AD14" s="11" t="n">
        <f aca="false">AD13-Reserves!AD11+Reserves!AD12</f>
        <v>15.2963697219939</v>
      </c>
      <c r="AE14" s="11" t="n">
        <f aca="false">AE13-Reserves!AE11+Reserves!AE12</f>
        <v>16.4326468206369</v>
      </c>
      <c r="AF14" s="11" t="n">
        <f aca="false">AF13-Reserves!AF11+Reserves!AF12</f>
        <v>18.083575609098</v>
      </c>
      <c r="AG14" s="11" t="n">
        <f aca="false">AG13-Reserves!AG11+Reserves!AG12</f>
        <v>18.8305054472015</v>
      </c>
      <c r="AH14" s="11" t="n">
        <f aca="false">AH13-Reserves!AH11+Reserves!AH12</f>
        <v>21.4424344495994</v>
      </c>
      <c r="AI14" s="11" t="n">
        <f aca="false">AI13-Reserves!AI11+Reserves!AI12</f>
        <v>23.020726661125</v>
      </c>
      <c r="AJ14" s="11" t="n">
        <f aca="false">AJ13-Reserves!AJ11+Reserves!AJ12</f>
        <v>26.5466175124277</v>
      </c>
      <c r="AK14" s="11" t="n">
        <f aca="false">AK13-Reserves!AK11+Reserves!AK12</f>
        <v>29.8728520490212</v>
      </c>
      <c r="AL14" s="11" t="n">
        <f aca="false">AL13-Reserves!AL11+Reserves!AL12</f>
        <v>29.6603421667195</v>
      </c>
      <c r="AM14" s="11" t="n">
        <f aca="false">AM13-Reserves!AM11+Reserves!AM12</f>
        <v>32.7693692465543</v>
      </c>
      <c r="AN14" s="11" t="n">
        <f aca="false">AN13-Reserves!AN11+Reserves!AN12</f>
        <v>31.1206151191475</v>
      </c>
      <c r="AO14" s="11" t="n">
        <f aca="false">AO13-Reserves!AO11+Reserves!AO12</f>
        <v>41.2758648217427</v>
      </c>
      <c r="AP14" s="11" t="n">
        <f aca="false">AP13-Reserves!AP11+Reserves!AP12</f>
        <v>41.2203591265165</v>
      </c>
      <c r="AQ14" s="11" t="n">
        <f aca="false">AQ13-Reserves!AQ11+Reserves!AQ12</f>
        <v>40.4292984782604</v>
      </c>
      <c r="AR14" s="11" t="n">
        <f aca="false">AR13-Reserves!AR11+Reserves!AR12</f>
        <v>41.0012731311383</v>
      </c>
      <c r="AS14" s="11" t="n">
        <f aca="false">AS13-Reserves!AS11+Reserves!AS12</f>
        <v>40.7443474412859</v>
      </c>
      <c r="AT14" s="11" t="n">
        <f aca="false">AT13-Reserves!AT11+Reserves!AT12</f>
        <v>47.4891479776467</v>
      </c>
      <c r="AU14" s="11" t="n">
        <f aca="false">AU13-Reserves!AU11+Reserves!AU12</f>
        <v>43.0523206521811</v>
      </c>
      <c r="AV14" s="11" t="n">
        <f aca="false">AV13-Reserves!AV11+Reserves!AV12</f>
        <v>43.130158562029</v>
      </c>
      <c r="AW14" s="11" t="n">
        <f aca="false">AW13-Reserves!AW11+Reserves!AW12</f>
        <v>42.7043526457012</v>
      </c>
      <c r="AX14" s="11" t="n">
        <f aca="false">AX13-Reserves!AX11+Reserves!AX12</f>
        <v>43.3594796986634</v>
      </c>
      <c r="AY14" s="11" t="n">
        <f aca="false">AY13-Reserves!AY11+Reserves!AY12</f>
        <v>42.9092344367935</v>
      </c>
      <c r="AZ14" s="11" t="n">
        <f aca="false">AZ13-Reserves!AZ11+Reserves!AZ12</f>
        <v>43.5006313627699</v>
      </c>
      <c r="BA14" s="11" t="n">
        <f aca="false">BA13-Reserves!BA11+Reserves!BA12</f>
        <v>43.2095784258983</v>
      </c>
      <c r="BB14" s="11" t="n">
        <f aca="false">BB13-Reserves!BB11+Reserves!BB12</f>
        <v>45.4497544581228</v>
      </c>
      <c r="BC14" s="11" t="n">
        <f aca="false">BC13-Reserves!BC11+Reserves!BC12</f>
        <v>42.0560909022671</v>
      </c>
      <c r="BD14" s="11" t="n">
        <f aca="false">BD13-Reserves!BD11+Reserves!BD12</f>
        <v>35.9210430268861</v>
      </c>
      <c r="BE14" s="11" t="n">
        <f aca="false">BE13-Reserves!BE11+Reserves!BE12</f>
        <v>35.4900930375194</v>
      </c>
      <c r="BF14" s="11" t="n">
        <f aca="false">BF13-Reserves!BF11+Reserves!BF12</f>
        <v>36.17296651705</v>
      </c>
      <c r="BG14" s="11" t="n">
        <f aca="false">BG13-Reserves!BG11+Reserves!BG12</f>
        <v>35.7126076466291</v>
      </c>
      <c r="BH14" s="11" t="n">
        <f aca="false">BH13-Reserves!BH11+Reserves!BH12</f>
        <v>36.3249907597474</v>
      </c>
      <c r="BI14" s="11" t="n">
        <f aca="false">BI13-Reserves!BI11+Reserves!BI12</f>
        <v>36.0738425979289</v>
      </c>
      <c r="BJ14" s="11" t="n">
        <f aca="false">BJ13-Reserves!BJ11+Reserves!BJ12</f>
        <v>44.1115181835198</v>
      </c>
      <c r="BK14" s="11" t="n">
        <f aca="false">BK13-Reserves!BK11+Reserves!BK12</f>
        <v>38.8622552862812</v>
      </c>
      <c r="BL14" s="11" t="n">
        <f aca="false">BL13-Reserves!BL11+Reserves!BL12</f>
        <v>39.556520592815</v>
      </c>
      <c r="BM14" s="11" t="n">
        <f aca="false">BM13-Reserves!BM11+Reserves!BM12</f>
        <v>35.7574757984896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0</v>
      </c>
      <c r="R15" s="11" t="n">
        <f aca="false">R14-Reserves!R14+Reserves!R15</f>
        <v>0</v>
      </c>
      <c r="S15" s="11" t="n">
        <f aca="false">S14-Reserves!S14+Reserves!S15</f>
        <v>36.4636295966846</v>
      </c>
      <c r="T15" s="11" t="n">
        <f aca="false">T14-Reserves!T14+Reserves!T15</f>
        <v>12.5352067011612</v>
      </c>
      <c r="U15" s="11" t="n">
        <f aca="false">U14-Reserves!U14+Reserves!U15</f>
        <v>11.5785441840217</v>
      </c>
      <c r="V15" s="11" t="n">
        <f aca="false">V14-Reserves!V14+Reserves!V15</f>
        <v>12.8084024104913</v>
      </c>
      <c r="W15" s="11" t="n">
        <f aca="false">W14-Reserves!W14+Reserves!W15</f>
        <v>13.5464120329868</v>
      </c>
      <c r="X15" s="11" t="n">
        <f aca="false">X14-Reserves!X14+Reserves!X15</f>
        <v>12.3894976964747</v>
      </c>
      <c r="Y15" s="11" t="n">
        <f aca="false">Y14-Reserves!Y14+Reserves!Y15</f>
        <v>11.6106116559603</v>
      </c>
      <c r="Z15" s="11" t="n">
        <f aca="false">Z14-Reserves!Z14+Reserves!Z15</f>
        <v>12.3052245109169</v>
      </c>
      <c r="AA15" s="11" t="n">
        <f aca="false">AA14-Reserves!AA14+Reserves!AA15</f>
        <v>11.4755382432945</v>
      </c>
      <c r="AB15" s="11" t="n">
        <f aca="false">AB14-Reserves!AB14+Reserves!AB15</f>
        <v>13.375668103237</v>
      </c>
      <c r="AC15" s="11" t="n">
        <f aca="false">AC14-Reserves!AC14+Reserves!AC15</f>
        <v>12.662317793383</v>
      </c>
      <c r="AD15" s="11" t="n">
        <f aca="false">AD14-Reserves!AD14+Reserves!AD15</f>
        <v>15.2963697219939</v>
      </c>
      <c r="AE15" s="11" t="n">
        <f aca="false">AE14-Reserves!AE14+Reserves!AE15</f>
        <v>16.4326468206369</v>
      </c>
      <c r="AF15" s="11" t="n">
        <f aca="false">AF14-Reserves!AF14+Reserves!AF15</f>
        <v>18.083575609098</v>
      </c>
      <c r="AG15" s="11" t="n">
        <f aca="false">AG14-Reserves!AG14+Reserves!AG15</f>
        <v>18.8305054472015</v>
      </c>
      <c r="AH15" s="11" t="n">
        <f aca="false">AH14-Reserves!AH14+Reserves!AH15</f>
        <v>21.4424344495994</v>
      </c>
      <c r="AI15" s="11" t="n">
        <f aca="false">AI14-Reserves!AI14+Reserves!AI15</f>
        <v>23.020726661125</v>
      </c>
      <c r="AJ15" s="11" t="n">
        <f aca="false">AJ14-Reserves!AJ14+Reserves!AJ15</f>
        <v>26.5466175124277</v>
      </c>
      <c r="AK15" s="11" t="n">
        <f aca="false">AK14-Reserves!AK14+Reserves!AK15</f>
        <v>29.8728520490212</v>
      </c>
      <c r="AL15" s="11" t="n">
        <f aca="false">AL14-Reserves!AL14+Reserves!AL15</f>
        <v>29.6603421667195</v>
      </c>
      <c r="AM15" s="11" t="n">
        <f aca="false">AM14-Reserves!AM14+Reserves!AM15</f>
        <v>32.7693692465543</v>
      </c>
      <c r="AN15" s="11" t="n">
        <f aca="false">AN14-Reserves!AN14+Reserves!AN15</f>
        <v>31.1206151191475</v>
      </c>
      <c r="AO15" s="11" t="n">
        <f aca="false">AO14-Reserves!AO14+Reserves!AO15</f>
        <v>41.2758648217427</v>
      </c>
      <c r="AP15" s="11" t="n">
        <f aca="false">AP14-Reserves!AP14+Reserves!AP15</f>
        <v>41.2203591265165</v>
      </c>
      <c r="AQ15" s="11" t="n">
        <f aca="false">AQ14-Reserves!AQ14+Reserves!AQ15</f>
        <v>40.4292984782604</v>
      </c>
      <c r="AR15" s="11" t="n">
        <f aca="false">AR14-Reserves!AR14+Reserves!AR15</f>
        <v>41.0012731311383</v>
      </c>
      <c r="AS15" s="11" t="n">
        <f aca="false">AS14-Reserves!AS14+Reserves!AS15</f>
        <v>40.7443474412859</v>
      </c>
      <c r="AT15" s="11" t="n">
        <f aca="false">AT14-Reserves!AT14+Reserves!AT15</f>
        <v>47.4891479776467</v>
      </c>
      <c r="AU15" s="11" t="n">
        <f aca="false">AU14-Reserves!AU14+Reserves!AU15</f>
        <v>43.0523206521811</v>
      </c>
      <c r="AV15" s="11" t="n">
        <f aca="false">AV14-Reserves!AV14+Reserves!AV15</f>
        <v>43.130158562029</v>
      </c>
      <c r="AW15" s="11" t="n">
        <f aca="false">AW14-Reserves!AW14+Reserves!AW15</f>
        <v>42.7043526457012</v>
      </c>
      <c r="AX15" s="11" t="n">
        <f aca="false">AX14-Reserves!AX14+Reserves!AX15</f>
        <v>43.3594796986634</v>
      </c>
      <c r="AY15" s="11" t="n">
        <f aca="false">AY14-Reserves!AY14+Reserves!AY15</f>
        <v>42.9092344367935</v>
      </c>
      <c r="AZ15" s="11" t="n">
        <f aca="false">AZ14-Reserves!AZ14+Reserves!AZ15</f>
        <v>43.5006313627699</v>
      </c>
      <c r="BA15" s="11" t="n">
        <f aca="false">BA14-Reserves!BA14+Reserves!BA15</f>
        <v>42.7146100392896</v>
      </c>
      <c r="BB15" s="11" t="n">
        <f aca="false">BB14-Reserves!BB14+Reserves!BB15</f>
        <v>43.9486042034784</v>
      </c>
      <c r="BC15" s="11" t="n">
        <f aca="false">BC14-Reserves!BC14+Reserves!BC15</f>
        <v>40.5385178289249</v>
      </c>
      <c r="BD15" s="11" t="n">
        <f aca="false">BD14-Reserves!BD14+Reserves!BD15</f>
        <v>34.3868674666395</v>
      </c>
      <c r="BE15" s="11" t="n">
        <f aca="false">BE14-Reserves!BE14+Reserves!BE15</f>
        <v>33.9391333565637</v>
      </c>
      <c r="BF15" s="11" t="n">
        <f aca="false">BF14-Reserves!BF14+Reserves!BF15</f>
        <v>34.605039094478</v>
      </c>
      <c r="BG15" s="11" t="n">
        <f aca="false">BG14-Reserves!BG14+Reserves!BG15</f>
        <v>34.1275268526923</v>
      </c>
      <c r="BH15" s="11" t="n">
        <f aca="false">BH14-Reserves!BH14+Reserves!BH15</f>
        <v>34.7225689338788</v>
      </c>
      <c r="BI15" s="11" t="n">
        <f aca="false">BI14-Reserves!BI14+Reserves!BI15</f>
        <v>34.4538900265255</v>
      </c>
      <c r="BJ15" s="11" t="n">
        <f aca="false">BJ14-Reserves!BJ14+Reserves!BJ15</f>
        <v>42.4738430774821</v>
      </c>
      <c r="BK15" s="11" t="n">
        <f aca="false">BK14-Reserves!BK14+Reserves!BK15</f>
        <v>37.2066637583069</v>
      </c>
      <c r="BL15" s="11" t="n">
        <f aca="false">BL14-Reserves!BL14+Reserves!BL15</f>
        <v>37.8828166344445</v>
      </c>
      <c r="BM15" s="11" t="n">
        <f aca="false">BM14-Reserves!BM14+Reserves!BM15</f>
        <v>53.6986559604506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0.450935321173757</v>
      </c>
      <c r="R17" s="6" t="n">
        <f aca="false">IF(Debt!R121&gt;0.000000001,R7/Debt!R121,0)</f>
        <v>1.33901075247477</v>
      </c>
      <c r="S17" s="6" t="n">
        <f aca="false">IF(Debt!S121&gt;0.000000001,S7/Debt!S121,0)</f>
        <v>2.1974353878727</v>
      </c>
      <c r="T17" s="6" t="n">
        <f aca="false">IF(Debt!T121&gt;0.000000001,T7/Debt!T121,0)</f>
        <v>1.32726577843641</v>
      </c>
      <c r="U17" s="6" t="n">
        <f aca="false">IF(Debt!U121&gt;0.000000001,U7/Debt!U121,0)</f>
        <v>1.32727029401765</v>
      </c>
      <c r="V17" s="6" t="n">
        <f aca="false">IF(Debt!V121&gt;0.000000001,V7/Debt!V121,0)</f>
        <v>1.32761532943449</v>
      </c>
      <c r="W17" s="6" t="n">
        <f aca="false">IF(Debt!W121&gt;0.000000001,W7/Debt!W121,0)</f>
        <v>1.32743090275487</v>
      </c>
      <c r="X17" s="6" t="n">
        <f aca="false">IF(Debt!X121&gt;0.000000001,X7/Debt!X121,0)</f>
        <v>1.32586349944869</v>
      </c>
      <c r="Y17" s="6" t="n">
        <f aca="false">IF(Debt!Y121&gt;0.000000001,Y7/Debt!Y121,0)</f>
        <v>1.32571657163041</v>
      </c>
      <c r="Z17" s="6" t="n">
        <f aca="false">IF(Debt!Z121&gt;0.000000001,Z7/Debt!Z121,0)</f>
        <v>1.32567683277444</v>
      </c>
      <c r="AA17" s="6" t="n">
        <f aca="false">IF(Debt!AA121&gt;0.000000001,AA7/Debt!AA121,0)</f>
        <v>1.32552922781244</v>
      </c>
      <c r="AB17" s="6" t="n">
        <f aca="false">IF(Debt!AB121&gt;0.000000001,AB7/Debt!AB121,0)</f>
        <v>1.34698383015722</v>
      </c>
      <c r="AC17" s="6" t="n">
        <f aca="false">IF(Debt!AC121&gt;0.000000001,AC7/Debt!AC121,0)</f>
        <v>1.37459291309713</v>
      </c>
      <c r="AD17" s="6" t="n">
        <f aca="false">IF(Debt!AD121&gt;0.000000001,AD7/Debt!AD121,0)</f>
        <v>1.4044576014553</v>
      </c>
      <c r="AE17" s="6" t="n">
        <f aca="false">IF(Debt!AE121&gt;0.000000001,AE7/Debt!AE121,0)</f>
        <v>1.44200624426475</v>
      </c>
      <c r="AF17" s="6" t="n">
        <f aca="false">IF(Debt!AF121&gt;0.000000001,AF7/Debt!AF121,0)</f>
        <v>1.4877014211888</v>
      </c>
      <c r="AG17" s="6" t="n">
        <f aca="false">IF(Debt!AG121&gt;0.000000001,AG7/Debt!AG121,0)</f>
        <v>1.54956628597224</v>
      </c>
      <c r="AH17" s="6" t="n">
        <f aca="false">IF(Debt!AH121&gt;0.000000001,AH7/Debt!AH121,0)</f>
        <v>1.6248013352399</v>
      </c>
      <c r="AI17" s="6" t="n">
        <f aca="false">IF(Debt!AI121&gt;0.000000001,AI7/Debt!AI121,0)</f>
        <v>1.73022770131094</v>
      </c>
      <c r="AJ17" s="6" t="n">
        <f aca="false">IF(Debt!AJ121&gt;0.000000001,AJ7/Debt!AJ121,0)</f>
        <v>1.88142837716749</v>
      </c>
      <c r="AK17" s="6" t="n">
        <f aca="false">IF(Debt!AK121&gt;0.000000001,AK7/Debt!AK121,0)</f>
        <v>2.13445887036216</v>
      </c>
      <c r="AL17" s="6" t="n">
        <f aca="false">IF(Debt!AL121&gt;0.000000001,AL7/Debt!AL121,0)</f>
        <v>2.20452935196525</v>
      </c>
      <c r="AM17" s="6" t="n">
        <f aca="false">IF(Debt!AM121&gt;0.000000001,AM7/Debt!AM121,0)</f>
        <v>2.20207661836051</v>
      </c>
      <c r="AN17" s="6" t="n">
        <f aca="false">IF(Debt!AN121&gt;0.000000001,AN7/Debt!AN121,0)</f>
        <v>2.61480648905628</v>
      </c>
      <c r="AO17" s="6" t="n">
        <f aca="false">IF(Debt!AO121&gt;0.000000001,AO7/Debt!AO121,0)</f>
        <v>2.18322576058083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0.901004655445957</v>
      </c>
      <c r="R18" s="6" t="n">
        <f aca="false">IF(Debt!R121&gt;0.000000001,IF(Debt!Q121&gt;0.000000001,(R7+Q7)/(Debt!R121+Debt!Q121),R17),0)</f>
        <v>0.897750542992305</v>
      </c>
      <c r="S18" s="6" t="n">
        <f aca="false">IF(Debt!S121&gt;0.000000001,IF(Debt!R121&gt;0.000000001,(S7+R7)/(Debt!S121+Debt!R121),S17),0)</f>
        <v>1.76655408934129</v>
      </c>
      <c r="T18" s="6" t="n">
        <f aca="false">IF(Debt!T121&gt;0.000000001,IF(Debt!S121&gt;0.000000001,(T7+S7)/(Debt!T121+Debt!S121),T17),0)</f>
        <v>1.75992898924601</v>
      </c>
      <c r="U18" s="6" t="n">
        <f aca="false">IF(Debt!U121&gt;0.000000001,IF(Debt!T121&gt;0.000000001,(U7+T7)/(Debt!U121+Debt!T121),U17),0)</f>
        <v>1.32726803081575</v>
      </c>
      <c r="V18" s="6" t="n">
        <f aca="false">IF(Debt!V121&gt;0.000000001,IF(Debt!U121&gt;0.000000001,(V7+U7)/(Debt!V121+Debt!U121),V17),0)</f>
        <v>1.32744444284528</v>
      </c>
      <c r="W18" s="6" t="n">
        <f aca="false">IF(Debt!W121&gt;0.000000001,IF(Debt!V121&gt;0.000000001,(W7+V7)/(Debt!W121+Debt!V121),W17),0)</f>
        <v>1.32752343594582</v>
      </c>
      <c r="X18" s="6" t="n">
        <f aca="false">IF(Debt!X121&gt;0.000000001,IF(Debt!W121&gt;0.000000001,(X7+W7)/(Debt!X121+Debt!W121),X17),0)</f>
        <v>1.32665866575273</v>
      </c>
      <c r="Y18" s="6" t="n">
        <f aca="false">IF(Debt!Y121&gt;0.000000001,IF(Debt!X121&gt;0.000000001,(Y7+X7)/(Debt!Y121+Debt!X121),Y17),0)</f>
        <v>1.32579039178121</v>
      </c>
      <c r="Z18" s="6" t="n">
        <f aca="false">IF(Debt!Z121&gt;0.000000001,IF(Debt!Y121&gt;0.000000001,(Z7+Y7)/(Debt!Z121+Debt!Y121),Z17),0)</f>
        <v>1.32569662077568</v>
      </c>
      <c r="AA18" s="6" t="n">
        <f aca="false">IF(Debt!AA121&gt;0.000000001,IF(Debt!Z121&gt;0.000000001,(AA7+Z7)/(Debt!AA121+Debt!Z121),AA17),0)</f>
        <v>1.32560332881252</v>
      </c>
      <c r="AB18" s="6" t="n">
        <f aca="false">IF(Debt!AB121&gt;0.000000001,IF(Debt!AA121&gt;0.000000001,(AB7+AA7)/(Debt!AB121+Debt!AA121),AB17),0)</f>
        <v>1.33623161895082</v>
      </c>
      <c r="AC18" s="6" t="n">
        <f aca="false">IF(Debt!AC121&gt;0.000000001,IF(Debt!AB121&gt;0.000000001,(AC7+AB7)/(Debt!AC121+Debt!AB121),AC17),0)</f>
        <v>1.3606205758071</v>
      </c>
      <c r="AD18" s="6" t="n">
        <f aca="false">IF(Debt!AD121&gt;0.000000001,IF(Debt!AC121&gt;0.000000001,(AD7+AC7)/(Debt!AD121+Debt!AC121),AD17),0)</f>
        <v>1.38965446824853</v>
      </c>
      <c r="AE18" s="6" t="n">
        <f aca="false">IF(Debt!AE121&gt;0.000000001,IF(Debt!AD121&gt;0.000000001,(AE7+AD7)/(Debt!AE121+Debt!AD121),AE17),0)</f>
        <v>1.42299732070487</v>
      </c>
      <c r="AF18" s="6" t="n">
        <f aca="false">IF(Debt!AF121&gt;0.000000001,IF(Debt!AE121&gt;0.000000001,(AF7+AE7)/(Debt!AF121+Debt!AE121),AF17),0)</f>
        <v>1.46452251810018</v>
      </c>
      <c r="AG18" s="6" t="n">
        <f aca="false">IF(Debt!AG121&gt;0.000000001,IF(Debt!AF121&gt;0.000000001,(AG7+AF7)/(Debt!AG121+Debt!AF121),AG17),0)</f>
        <v>1.51789088350071</v>
      </c>
      <c r="AH18" s="6" t="n">
        <f aca="false">IF(Debt!AH121&gt;0.000000001,IF(Debt!AG121&gt;0.000000001,(AH7+AG7)/(Debt!AH121+Debt!AG121),AH17),0)</f>
        <v>1.58653276801455</v>
      </c>
      <c r="AI18" s="6" t="n">
        <f aca="false">IF(Debt!AI121&gt;0.000000001,IF(Debt!AH121&gt;0.000000001,(AI7+AH7)/(Debt!AI121+Debt!AH121),AI17),0)</f>
        <v>1.67564889517722</v>
      </c>
      <c r="AJ18" s="6" t="n">
        <f aca="false">IF(Debt!AJ121&gt;0.000000001,IF(Debt!AI121&gt;0.000000001,(AJ7+AI7)/(Debt!AJ121+Debt!AI121),AJ17),0)</f>
        <v>1.80308726785641</v>
      </c>
      <c r="AK18" s="6" t="n">
        <f aca="false">IF(Debt!AK121&gt;0.000000001,IF(Debt!AJ121&gt;0.000000001,(AK7+AJ7)/(Debt!AK121+Debt!AJ121),AK17),0)</f>
        <v>1.99968611978487</v>
      </c>
      <c r="AL18" s="6" t="n">
        <f aca="false">IF(Debt!AL121&gt;0.000000001,IF(Debt!AK121&gt;0.000000001,(AL7+AK7)/(Debt!AL121+Debt!AK121),AL17),0)</f>
        <v>2.16930332143098</v>
      </c>
      <c r="AM18" s="6" t="n">
        <f aca="false">IF(Debt!AM121&gt;0.000000001,IF(Debt!AL121&gt;0.000000001,(AM7+AL7)/(Debt!AM121+Debt!AL121),AM17),0)</f>
        <v>2.20330673942709</v>
      </c>
      <c r="AN18" s="6" t="n">
        <f aca="false">IF(Debt!AN121&gt;0.000000001,IF(Debt!AM121&gt;0.000000001,(AN7+AM7)/(Debt!AN121+Debt!AM121),AN17),0)</f>
        <v>2.38699729579809</v>
      </c>
      <c r="AO18" s="6" t="n">
        <f aca="false">IF(Debt!AO121&gt;0.000000001,IF(Debt!AN121&gt;0.000000001,(AO7+AN7)/(Debt!AO121+Debt!AN121),AO17),0)</f>
        <v>2.40029885127972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1</v>
      </c>
      <c r="R20" s="9" t="n">
        <f aca="false">IF(AND(Debt!R121&gt;0.000000001,R18&lt;Inputs!$F$107),1,0)</f>
        <v>1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0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1</v>
      </c>
      <c r="R25" s="9" t="n">
        <f aca="false">IF(AND(R24=0,R19=1,Debt!R121&gt;0.000000001),1,0)</f>
        <v>1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91.547839708855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5.73776912164723</v>
      </c>
      <c r="AB29" s="11" t="n">
        <f aca="false">IF(AND(AB24=1,Time!AB21&gt;=2027,Inputs!$F$51=1),MIN(Inputs!$F$109*AB15,Debt!AB81),0)</f>
        <v>6.6878340516185</v>
      </c>
      <c r="AC29" s="11" t="n">
        <f aca="false">IF(AND(AC24=1,Time!AC21&gt;=2027,Inputs!$F$51=1),MIN(Inputs!$F$109*AC15,Debt!AC81),0)</f>
        <v>6.3311588966915</v>
      </c>
      <c r="AD29" s="11" t="n">
        <f aca="false">IF(AND(AD24=1,Time!AD21&gt;=2027,Inputs!$F$51=1),MIN(Inputs!$F$109*AD15,Debt!AD81),0)</f>
        <v>7.64818486099696</v>
      </c>
      <c r="AE29" s="11" t="n">
        <f aca="false">IF(AND(AE24=1,Time!AE21&gt;=2027,Inputs!$F$51=1),MIN(Inputs!$F$109*AE15,Debt!AE81),0)</f>
        <v>8.21632341031843</v>
      </c>
      <c r="AF29" s="11" t="n">
        <f aca="false">IF(AND(AF24=1,Time!AF21&gt;=2027,Inputs!$F$51=1),MIN(Inputs!$F$109*AF15,Debt!AF81),0)</f>
        <v>9.04178780454899</v>
      </c>
      <c r="AG29" s="11" t="n">
        <f aca="false">IF(AND(AG24=1,Time!AG21&gt;=2027,Inputs!$F$51=1),MIN(Inputs!$F$109*AG15,Debt!AG81),0)</f>
        <v>9.41525272360075</v>
      </c>
      <c r="AH29" s="11" t="n">
        <f aca="false">IF(AND(AH24=1,Time!AH21&gt;=2027,Inputs!$F$51=1),MIN(Inputs!$F$109*AH15,Debt!AH81),0)</f>
        <v>10.7212172247997</v>
      </c>
      <c r="AI29" s="11" t="n">
        <f aca="false">IF(AND(AI24=1,Time!AI21&gt;=2027,Inputs!$F$51=1),MIN(Inputs!$F$109*AI15,Debt!AI81),0)</f>
        <v>11.5103633305625</v>
      </c>
      <c r="AJ29" s="11" t="n">
        <f aca="false">IF(AND(AJ24=1,Time!AJ21&gt;=2027,Inputs!$F$51=1),MIN(Inputs!$F$109*AJ15,Debt!AJ81),0)</f>
        <v>13.2733087562138</v>
      </c>
      <c r="AK29" s="11" t="n">
        <f aca="false">IF(AND(AK24=1,Time!AK21&gt;=2027,Inputs!$F$51=1),MIN(Inputs!$F$109*AK15,Debt!AK81),0)</f>
        <v>2.96463952785655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1362.79166317843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0</v>
      </c>
      <c r="R31" s="11" t="n">
        <f aca="false">IF(R24=1,R15-R29,0)</f>
        <v>0</v>
      </c>
      <c r="S31" s="11" t="n">
        <f aca="false">IF(S24=1,S15-S29,0)</f>
        <v>36.4636295966846</v>
      </c>
      <c r="T31" s="11" t="n">
        <f aca="false">IF(T24=1,T15-T29,0)</f>
        <v>12.5352067011612</v>
      </c>
      <c r="U31" s="11" t="n">
        <f aca="false">IF(U24=1,U15-U29,0)</f>
        <v>11.5785441840217</v>
      </c>
      <c r="V31" s="11" t="n">
        <f aca="false">IF(V24=1,V15-V29,0)</f>
        <v>12.8084024104913</v>
      </c>
      <c r="W31" s="11" t="n">
        <f aca="false">IF(W24=1,W15-W29,0)</f>
        <v>13.5464120329868</v>
      </c>
      <c r="X31" s="11" t="n">
        <f aca="false">IF(X24=1,X15-X29,0)</f>
        <v>12.3894976964747</v>
      </c>
      <c r="Y31" s="11" t="n">
        <f aca="false">IF(Y24=1,Y15-Y29,0)</f>
        <v>11.6106116559603</v>
      </c>
      <c r="Z31" s="11" t="n">
        <f aca="false">IF(Z24=1,Z15-Z29,0)</f>
        <v>12.3052245109169</v>
      </c>
      <c r="AA31" s="11" t="n">
        <f aca="false">IF(AA24=1,AA15-AA29,0)</f>
        <v>5.73776912164723</v>
      </c>
      <c r="AB31" s="11" t="n">
        <f aca="false">IF(AB24=1,AB15-AB29,0)</f>
        <v>6.6878340516185</v>
      </c>
      <c r="AC31" s="11" t="n">
        <f aca="false">IF(AC24=1,AC15-AC29,0)</f>
        <v>6.3311588966915</v>
      </c>
      <c r="AD31" s="11" t="n">
        <f aca="false">IF(AD24=1,AD15-AD29,0)</f>
        <v>7.64818486099696</v>
      </c>
      <c r="AE31" s="11" t="n">
        <f aca="false">IF(AE24=1,AE15-AE29,0)</f>
        <v>8.21632341031843</v>
      </c>
      <c r="AF31" s="11" t="n">
        <f aca="false">IF(AF24=1,AF15-AF29,0)</f>
        <v>9.04178780454899</v>
      </c>
      <c r="AG31" s="11" t="n">
        <f aca="false">IF(AG24=1,AG15-AG29,0)</f>
        <v>9.41525272360075</v>
      </c>
      <c r="AH31" s="11" t="n">
        <f aca="false">IF(AH24=1,AH15-AH29,0)</f>
        <v>10.7212172247997</v>
      </c>
      <c r="AI31" s="11" t="n">
        <f aca="false">IF(AI24=1,AI15-AI29,0)</f>
        <v>11.5103633305625</v>
      </c>
      <c r="AJ31" s="11" t="n">
        <f aca="false">IF(AJ24=1,AJ15-AJ29,0)</f>
        <v>13.2733087562138</v>
      </c>
      <c r="AK31" s="11" t="n">
        <f aca="false">IF(AK24=1,AK15-AK29,0)</f>
        <v>26.9082125211647</v>
      </c>
      <c r="AL31" s="11" t="n">
        <f aca="false">IF(AL24=1,AL15-AL29,0)</f>
        <v>29.6603421667195</v>
      </c>
      <c r="AM31" s="11" t="n">
        <f aca="false">IF(AM24=1,AM15-AM29,0)</f>
        <v>32.7693692465543</v>
      </c>
      <c r="AN31" s="11" t="n">
        <f aca="false">IF(AN24=1,AN15-AN29,0)</f>
        <v>31.1206151191475</v>
      </c>
      <c r="AO31" s="11" t="n">
        <f aca="false">IF(AO24=1,AO15-AO29,0)</f>
        <v>41.2758648217427</v>
      </c>
      <c r="AP31" s="11" t="n">
        <f aca="false">IF(AP24=1,AP15-AP29,0)</f>
        <v>41.2203591265165</v>
      </c>
      <c r="AQ31" s="11" t="n">
        <f aca="false">IF(AQ24=1,AQ15-AQ29,0)</f>
        <v>40.4292984782604</v>
      </c>
      <c r="AR31" s="11" t="n">
        <f aca="false">IF(AR24=1,AR15-AR29,0)</f>
        <v>41.0012731311383</v>
      </c>
      <c r="AS31" s="11" t="n">
        <f aca="false">IF(AS24=1,AS15-AS29,0)</f>
        <v>40.7443474412859</v>
      </c>
      <c r="AT31" s="11" t="n">
        <f aca="false">IF(AT24=1,AT15-AT29,0)</f>
        <v>47.4891479776467</v>
      </c>
      <c r="AU31" s="11" t="n">
        <f aca="false">IF(AU24=1,AU15-AU29,0)</f>
        <v>43.0523206521811</v>
      </c>
      <c r="AV31" s="11" t="n">
        <f aca="false">IF(AV24=1,AV15-AV29,0)</f>
        <v>43.130158562029</v>
      </c>
      <c r="AW31" s="11" t="n">
        <f aca="false">IF(AW24=1,AW15-AW29,0)</f>
        <v>42.7043526457012</v>
      </c>
      <c r="AX31" s="11" t="n">
        <f aca="false">IF(AX24=1,AX15-AX29,0)</f>
        <v>43.3594796986634</v>
      </c>
      <c r="AY31" s="11" t="n">
        <f aca="false">IF(AY24=1,AY15-AY29,0)</f>
        <v>42.9092344367935</v>
      </c>
      <c r="AZ31" s="11" t="n">
        <f aca="false">IF(AZ24=1,AZ15-AZ29,0)</f>
        <v>43.5006313627699</v>
      </c>
      <c r="BA31" s="11" t="n">
        <f aca="false">IF(BA24=1,BA15-BA29,0)</f>
        <v>42.7146100392896</v>
      </c>
      <c r="BB31" s="11" t="n">
        <f aca="false">IF(BB24=1,BB15-BB29,0)</f>
        <v>43.9486042034784</v>
      </c>
      <c r="BC31" s="11" t="n">
        <f aca="false">IF(BC24=1,BC15-BC29,0)</f>
        <v>40.5385178289249</v>
      </c>
      <c r="BD31" s="11" t="n">
        <f aca="false">IF(BD24=1,BD15-BD29,0)</f>
        <v>34.3868674666395</v>
      </c>
      <c r="BE31" s="11" t="n">
        <f aca="false">IF(BE24=1,BE15-BE29,0)</f>
        <v>33.9391333565637</v>
      </c>
      <c r="BF31" s="11" t="n">
        <f aca="false">IF(BF24=1,BF15-BF29,0)</f>
        <v>34.605039094478</v>
      </c>
      <c r="BG31" s="11" t="n">
        <f aca="false">IF(BG24=1,BG15-BG29,0)</f>
        <v>34.1275268526923</v>
      </c>
      <c r="BH31" s="11" t="n">
        <f aca="false">IF(BH24=1,BH15-BH29,0)</f>
        <v>34.7225689338788</v>
      </c>
      <c r="BI31" s="11" t="n">
        <f aca="false">IF(BI24=1,BI15-BI29,0)</f>
        <v>34.4538900265255</v>
      </c>
      <c r="BJ31" s="11" t="n">
        <f aca="false">IF(BJ24=1,BJ15-BJ29,0)</f>
        <v>42.4738430774821</v>
      </c>
      <c r="BK31" s="11" t="n">
        <f aca="false">IF(BK24=1,BK15-BK29,0)</f>
        <v>37.2066637583069</v>
      </c>
      <c r="BL31" s="11" t="n">
        <f aca="false">IF(BL24=1,BL15-BL29,0)</f>
        <v>37.8828166344445</v>
      </c>
      <c r="BM31" s="11" t="n">
        <f aca="false">IF(BM24=1,BM15-BM29,0)</f>
        <v>53.6986559604506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209.081732524021</v>
      </c>
      <c r="S33" s="11" t="n">
        <f aca="false">IF(Time!S17&lt;Time!$F$11,0,IF(Time!S29=1,INDEX(Funding!$J$72:$BJ$72,1,Time!$F$13),R36))</f>
        <v>219.094742618596</v>
      </c>
      <c r="T33" s="11" t="n">
        <f aca="false">IF(Time!T17&lt;Time!$F$11,0,IF(Time!T29=1,INDEX(Funding!$J$72:$BJ$72,1,Time!$F$13),S36))</f>
        <v>192.952576307738</v>
      </c>
      <c r="U33" s="11" t="n">
        <f aca="false">IF(Time!U17&lt;Time!$F$11,0,IF(Time!U29=1,INDEX(Funding!$J$72:$BJ$72,1,Time!$F$13),T36))</f>
        <v>189.657947781533</v>
      </c>
      <c r="V33" s="11" t="n">
        <f aca="false">IF(Time!V17&lt;Time!$F$11,0,IF(Time!V29=1,INDEX(Funding!$J$72:$BJ$72,1,Time!$F$13),U36))</f>
        <v>187.063474603382</v>
      </c>
      <c r="W33" s="11" t="n">
        <f aca="false">IF(Time!W17&lt;Time!$F$11,0,IF(Time!W29=1,INDEX(Funding!$J$72:$BJ$72,1,Time!$F$13),V36))</f>
        <v>183.213618867047</v>
      </c>
      <c r="X33" s="11" t="n">
        <f aca="false">IF(Time!X17&lt;Time!$F$11,0,IF(Time!X29=1,INDEX(Funding!$J$72:$BJ$72,1,Time!$F$13),W36))</f>
        <v>178.298325125619</v>
      </c>
      <c r="Y33" s="11" t="n">
        <f aca="false">IF(Time!Y17&lt;Time!$F$11,0,IF(Time!Y29=1,INDEX(Funding!$J$72:$BJ$72,1,Time!$F$13),X36))</f>
        <v>174.447607492695</v>
      </c>
      <c r="Z33" s="11" t="n">
        <f aca="false">IF(Time!Z17&lt;Time!$F$11,0,IF(Time!Z29=1,INDEX(Funding!$J$72:$BJ$72,1,Time!$F$13),Y36))</f>
        <v>171.055150934918</v>
      </c>
      <c r="AA33" s="11" t="n">
        <f aca="false">IF(Time!AA17&lt;Time!$F$11,0,IF(Time!AA29=1,INDEX(Funding!$J$72:$BJ$72,1,Time!$F$13),Z36))</f>
        <v>166.941827898911</v>
      </c>
      <c r="AB33" s="11" t="n">
        <f aca="false">IF(Time!AB17&lt;Time!$F$11,0,IF(Time!AB29=1,INDEX(Funding!$J$72:$BJ$72,1,Time!$F$13),AA36))</f>
        <v>169.068619683351</v>
      </c>
      <c r="AC33" s="11" t="n">
        <f aca="false">IF(Time!AC17&lt;Time!$F$11,0,IF(Time!AC29=1,INDEX(Funding!$J$72:$BJ$72,1,Time!$F$13),AB36))</f>
        <v>170.477551308623</v>
      </c>
      <c r="AD33" s="11" t="n">
        <f aca="false">IF(Time!AD17&lt;Time!$F$11,0,IF(Time!AD29=1,INDEX(Funding!$J$72:$BJ$72,1,Time!$F$13),AC36))</f>
        <v>172.221890664332</v>
      </c>
      <c r="AE33" s="11" t="n">
        <f aca="false">IF(Time!AE17&lt;Time!$F$11,0,IF(Time!AE29=1,INDEX(Funding!$J$72:$BJ$72,1,Time!$F$13),AD36))</f>
        <v>172.821482923369</v>
      </c>
      <c r="AF33" s="11" t="n">
        <f aca="false">IF(Time!AF17&lt;Time!$F$11,0,IF(Time!AF29=1,INDEX(Funding!$J$72:$BJ$72,1,Time!$F$13),AE36))</f>
        <v>172.746708551043</v>
      </c>
      <c r="AG33" s="11" t="n">
        <f aca="false">IF(Time!AG17&lt;Time!$F$11,0,IF(Time!AG29=1,INDEX(Funding!$J$72:$BJ$72,1,Time!$F$13),AF36))</f>
        <v>171.977831610802</v>
      </c>
      <c r="AH33" s="11" t="n">
        <f aca="false">IF(Time!AH17&lt;Time!$F$11,0,IF(Time!AH29=1,INDEX(Funding!$J$72:$BJ$72,1,Time!$F$13),AG36))</f>
        <v>170.664383858565</v>
      </c>
      <c r="AI33" s="11" t="n">
        <f aca="false">IF(Time!AI17&lt;Time!$F$11,0,IF(Time!AI29=1,INDEX(Funding!$J$72:$BJ$72,1,Time!$F$13),AH36))</f>
        <v>168.1163541128</v>
      </c>
      <c r="AJ33" s="11" t="n">
        <f aca="false">IF(Time!AJ17&lt;Time!$F$11,0,IF(Time!AJ29=1,INDEX(Funding!$J$72:$BJ$72,1,Time!$F$13),AI36))</f>
        <v>164.525883135579</v>
      </c>
      <c r="AK33" s="11" t="n">
        <f aca="false">IF(Time!AK17&lt;Time!$F$11,0,IF(Time!AK29=1,INDEX(Funding!$J$72:$BJ$72,1,Time!$F$13),AJ36))</f>
        <v>159.131786536105</v>
      </c>
      <c r="AL33" s="11" t="n">
        <f aca="false">IF(Time!AL17&lt;Time!$F$11,0,IF(Time!AL29=1,INDEX(Funding!$J$72:$BJ$72,1,Time!$F$13),AK36))</f>
        <v>139.76162494428</v>
      </c>
      <c r="AM33" s="11" t="n">
        <f aca="false">IF(Time!AM17&lt;Time!$F$11,0,IF(Time!AM29=1,INDEX(Funding!$J$72:$BJ$72,1,Time!$F$13),AL36))</f>
        <v>116.794524432427</v>
      </c>
      <c r="AN33" s="11" t="n">
        <f aca="false">IF(Time!AN17&lt;Time!$F$11,0,IF(Time!AN29=1,INDEX(Funding!$J$72:$BJ$72,1,Time!$F$13),AM36))</f>
        <v>89.5272972341342</v>
      </c>
      <c r="AO33" s="11" t="n">
        <f aca="false">IF(Time!AO17&lt;Time!$F$11,0,IF(Time!AO29=1,INDEX(Funding!$J$72:$BJ$72,1,Time!$F$13),AN36))</f>
        <v>62.6941811715693</v>
      </c>
      <c r="AP33" s="11" t="n">
        <f aca="false">IF(Time!AP17&lt;Time!$F$11,0,IF(Time!AP29=1,INDEX(Funding!$J$72:$BJ$72,1,Time!$F$13),AO36))</f>
        <v>24.3718134600872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183.930622037998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0</v>
      </c>
      <c r="R34" s="11" t="n">
        <f aca="false">R24*MIN(R31,Tax!R13)</f>
        <v>0</v>
      </c>
      <c r="S34" s="11" t="n">
        <f aca="false">S24*MIN(S31,Tax!S13)</f>
        <v>10.3214632858267</v>
      </c>
      <c r="T34" s="11" t="n">
        <f aca="false">T24*MIN(T31,Tax!T13)</f>
        <v>9.24057817495686</v>
      </c>
      <c r="U34" s="11" t="n">
        <f aca="false">U24*MIN(U31,Tax!U13)</f>
        <v>8.98407100587045</v>
      </c>
      <c r="V34" s="11" t="n">
        <f aca="false">V24*MIN(V31,Tax!V13)</f>
        <v>8.9585466741565</v>
      </c>
      <c r="W34" s="11" t="n">
        <f aca="false">W24*MIN(W31,Tax!W13)</f>
        <v>8.63111829155858</v>
      </c>
      <c r="X34" s="11" t="n">
        <f aca="false">X24*MIN(X31,Tax!X13)</f>
        <v>8.5387800635502</v>
      </c>
      <c r="Y34" s="11" t="n">
        <f aca="false">Y24*MIN(Y31,Tax!Y13)</f>
        <v>8.21815509818325</v>
      </c>
      <c r="Z34" s="11" t="n">
        <f aca="false">Z24*MIN(Z31,Tax!Z13)</f>
        <v>8.19190147491058</v>
      </c>
      <c r="AA34" s="11" t="n">
        <f aca="false">AA24*MIN(AA31,Tax!AA13)</f>
        <v>5.73776912164723</v>
      </c>
      <c r="AB34" s="11" t="n">
        <f aca="false">AB24*MIN(AB31,Tax!AB13)</f>
        <v>6.6878340516185</v>
      </c>
      <c r="AC34" s="11" t="n">
        <f aca="false">AC24*MIN(AC31,Tax!AC13)</f>
        <v>6.3311588966915</v>
      </c>
      <c r="AD34" s="11" t="n">
        <f aca="false">AD24*MIN(AD31,Tax!AD13)</f>
        <v>7.64818486099696</v>
      </c>
      <c r="AE34" s="11" t="n">
        <f aca="false">AE24*MIN(AE31,Tax!AE13)</f>
        <v>8.1415490379927</v>
      </c>
      <c r="AF34" s="11" t="n">
        <f aca="false">AF24*MIN(AF31,Tax!AF13)</f>
        <v>8.27291086430751</v>
      </c>
      <c r="AG34" s="11" t="n">
        <f aca="false">AG24*MIN(AG31,Tax!AG13)</f>
        <v>8.10180497136367</v>
      </c>
      <c r="AH34" s="11" t="n">
        <f aca="false">AH24*MIN(AH31,Tax!AH13)</f>
        <v>8.17318747903484</v>
      </c>
      <c r="AI34" s="11" t="n">
        <f aca="false">AI24*MIN(AI31,Tax!AI13)</f>
        <v>7.91989235334136</v>
      </c>
      <c r="AJ34" s="11" t="n">
        <f aca="false">AJ24*MIN(AJ31,Tax!AJ13)</f>
        <v>7.87921215673951</v>
      </c>
      <c r="AK34" s="11" t="n">
        <f aca="false">AK24*MIN(AK31,Tax!AK13)</f>
        <v>7.53805092934041</v>
      </c>
      <c r="AL34" s="11" t="n">
        <f aca="false">AL24*MIN(AL31,Tax!AL13)</f>
        <v>6.69324165486581</v>
      </c>
      <c r="AM34" s="11" t="n">
        <f aca="false">AM24*MIN(AM31,Tax!AM13)</f>
        <v>5.50214204826185</v>
      </c>
      <c r="AN34" s="11" t="n">
        <f aca="false">AN24*MIN(AN31,Tax!AN13)</f>
        <v>4.28749905658264</v>
      </c>
      <c r="AO34" s="11" t="n">
        <f aca="false">AO24*MIN(AO31,Tax!AO13)</f>
        <v>2.95349711026064</v>
      </c>
      <c r="AP34" s="11" t="n">
        <f aca="false">AP24*MIN(AP31,Tax!AP13)</f>
        <v>1.16717616241733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230.160690016793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26.1421663108579</v>
      </c>
      <c r="T35" s="11" t="n">
        <f aca="false">T24*MIN(T31-T34,T33+Tax!T13-T34)</f>
        <v>3.29462852620429</v>
      </c>
      <c r="U35" s="11" t="n">
        <f aca="false">U24*MIN(U31-U34,U33+Tax!U13-U34)</f>
        <v>2.59447317815121</v>
      </c>
      <c r="V35" s="11" t="n">
        <f aca="false">V24*MIN(V31-V34,V33+Tax!V13-V34)</f>
        <v>3.84985573633478</v>
      </c>
      <c r="W35" s="11" t="n">
        <f aca="false">W24*MIN(W31-W34,W33+Tax!W13-W34)</f>
        <v>4.91529374142817</v>
      </c>
      <c r="X35" s="11" t="n">
        <f aca="false">X24*MIN(X31-X34,X33+Tax!X13-X34)</f>
        <v>3.85071763292449</v>
      </c>
      <c r="Y35" s="11" t="n">
        <f aca="false">Y24*MIN(Y31-Y34,Y33+Tax!Y13-Y34)</f>
        <v>3.39245655777704</v>
      </c>
      <c r="Z35" s="11" t="n">
        <f aca="false">Z24*MIN(Z31-Z34,Z33+Tax!Z13-Z34)</f>
        <v>4.11332303600627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0.0747743723257397</v>
      </c>
      <c r="AF35" s="11" t="n">
        <f aca="false">AF24*MIN(AF31-AF34,AF33+Tax!AF13-AF34)</f>
        <v>0.768876940241485</v>
      </c>
      <c r="AG35" s="11" t="n">
        <f aca="false">AG24*MIN(AG31-AG34,AG33+Tax!AG13-AG34)</f>
        <v>1.31344775223708</v>
      </c>
      <c r="AH35" s="11" t="n">
        <f aca="false">AH24*MIN(AH31-AH34,AH33+Tax!AH13-AH34)</f>
        <v>2.54802974576487</v>
      </c>
      <c r="AI35" s="11" t="n">
        <f aca="false">AI24*MIN(AI31-AI34,AI33+Tax!AI13-AI34)</f>
        <v>3.59047097722113</v>
      </c>
      <c r="AJ35" s="11" t="n">
        <f aca="false">AJ24*MIN(AJ31-AJ34,AJ33+Tax!AJ13-AJ34)</f>
        <v>5.39409659947434</v>
      </c>
      <c r="AK35" s="11" t="n">
        <f aca="false">AK24*MIN(AK31-AK34,AK33+Tax!AK13-AK34)</f>
        <v>19.3701615918243</v>
      </c>
      <c r="AL35" s="11" t="n">
        <f aca="false">AL24*MIN(AL31-AL34,AL33+Tax!AL13-AL34)</f>
        <v>22.9671005118537</v>
      </c>
      <c r="AM35" s="11" t="n">
        <f aca="false">AM24*MIN(AM31-AM34,AM33+Tax!AM13-AM34)</f>
        <v>27.2672271982925</v>
      </c>
      <c r="AN35" s="11" t="n">
        <f aca="false">AN24*MIN(AN31-AN34,AN33+Tax!AN13-AN34)</f>
        <v>26.8331160625648</v>
      </c>
      <c r="AO35" s="11" t="n">
        <f aca="false">AO24*MIN(AO31-AO34,AO33+Tax!AO13-AO34)</f>
        <v>38.3223677114821</v>
      </c>
      <c r="AP35" s="11" t="n">
        <f aca="false">AP24*MIN(AP31-AP34,AP33+Tax!AP13-AP34)</f>
        <v>24.3718134600872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209.081732524021</v>
      </c>
      <c r="R36" s="11" t="n">
        <f aca="false">R33+Tax!R13-R34-R35</f>
        <v>219.094742618596</v>
      </c>
      <c r="S36" s="11" t="n">
        <f aca="false">S33+Tax!S13-S34-S35</f>
        <v>192.952576307738</v>
      </c>
      <c r="T36" s="11" t="n">
        <f aca="false">T33+Tax!T13-T34-T35</f>
        <v>189.657947781533</v>
      </c>
      <c r="U36" s="11" t="n">
        <f aca="false">U33+Tax!U13-U34-U35</f>
        <v>187.063474603382</v>
      </c>
      <c r="V36" s="11" t="n">
        <f aca="false">V33+Tax!V13-V34-V35</f>
        <v>183.213618867047</v>
      </c>
      <c r="W36" s="11" t="n">
        <f aca="false">W33+Tax!W13-W34-W35</f>
        <v>178.298325125619</v>
      </c>
      <c r="X36" s="11" t="n">
        <f aca="false">X33+Tax!X13-X34-X35</f>
        <v>174.447607492695</v>
      </c>
      <c r="Y36" s="11" t="n">
        <f aca="false">Y33+Tax!Y13-Y34-Y35</f>
        <v>171.055150934918</v>
      </c>
      <c r="Z36" s="11" t="n">
        <f aca="false">Z33+Tax!Z13-Z34-Z35</f>
        <v>166.941827898911</v>
      </c>
      <c r="AA36" s="11" t="n">
        <f aca="false">AA33+Tax!AA13-AA34-AA35</f>
        <v>169.068619683351</v>
      </c>
      <c r="AB36" s="11" t="n">
        <f aca="false">AB33+Tax!AB13-AB34-AB35</f>
        <v>170.477551308623</v>
      </c>
      <c r="AC36" s="11" t="n">
        <f aca="false">AC33+Tax!AC13-AC34-AC35</f>
        <v>172.221890664332</v>
      </c>
      <c r="AD36" s="11" t="n">
        <f aca="false">AD33+Tax!AD13-AD34-AD35</f>
        <v>172.821482923369</v>
      </c>
      <c r="AE36" s="11" t="n">
        <f aca="false">AE33+Tax!AE13-AE34-AE35</f>
        <v>172.746708551043</v>
      </c>
      <c r="AF36" s="11" t="n">
        <f aca="false">AF33+Tax!AF13-AF34-AF35</f>
        <v>171.977831610802</v>
      </c>
      <c r="AG36" s="11" t="n">
        <f aca="false">AG33+Tax!AG13-AG34-AG35</f>
        <v>170.664383858565</v>
      </c>
      <c r="AH36" s="11" t="n">
        <f aca="false">AH33+Tax!AH13-AH34-AH35</f>
        <v>168.1163541128</v>
      </c>
      <c r="AI36" s="11" t="n">
        <f aca="false">AI33+Tax!AI13-AI34-AI35</f>
        <v>164.525883135579</v>
      </c>
      <c r="AJ36" s="11" t="n">
        <f aca="false">AJ33+Tax!AJ13-AJ34-AJ35</f>
        <v>159.131786536105</v>
      </c>
      <c r="AK36" s="11" t="n">
        <f aca="false">AK33+Tax!AK13-AK34-AK35</f>
        <v>139.76162494428</v>
      </c>
      <c r="AL36" s="11" t="n">
        <f aca="false">AL33+Tax!AL13-AL34-AL35</f>
        <v>116.794524432427</v>
      </c>
      <c r="AM36" s="11" t="n">
        <f aca="false">AM33+Tax!AM13-AM34-AM35</f>
        <v>89.5272972341342</v>
      </c>
      <c r="AN36" s="11" t="n">
        <f aca="false">AN33+Tax!AN13-AN34-AN35</f>
        <v>62.6941811715693</v>
      </c>
      <c r="AO36" s="11" t="n">
        <f aca="false">AO33+Tax!AO13-AO34-AO35</f>
        <v>24.3718134600872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25.0687045049165</v>
      </c>
      <c r="R37" s="11" t="n">
        <f aca="false">MAX(0,Q43+Financials!R14)</f>
        <v>32.8404330598742</v>
      </c>
      <c r="S37" s="11" t="n">
        <f aca="false">MAX(0,R43+Financials!S14)</f>
        <v>41.1777843293043</v>
      </c>
      <c r="T37" s="11" t="n">
        <f aca="false">MAX(0,S43+Financials!T14)</f>
        <v>51.0447691909112</v>
      </c>
      <c r="U37" s="11" t="n">
        <f aca="false">MAX(0,T43+Financials!U14)</f>
        <v>62.0937464538606</v>
      </c>
      <c r="V37" s="11" t="n">
        <f aca="false">MAX(0,U43+Financials!V14)</f>
        <v>71.4094278700075</v>
      </c>
      <c r="W37" s="11" t="n">
        <f aca="false">MAX(0,V43+Financials!W14)</f>
        <v>84.4702800989286</v>
      </c>
      <c r="X37" s="11" t="n">
        <f aca="false">MAX(0,W43+Financials!X14)</f>
        <v>98.1220648536268</v>
      </c>
      <c r="Y37" s="11" t="n">
        <f aca="false">MAX(0,X43+Financials!Y14)</f>
        <v>109.852238375431</v>
      </c>
      <c r="Z37" s="11" t="n">
        <f aca="false">MAX(0,Y43+Financials!Z14)</f>
        <v>116.608024707206</v>
      </c>
      <c r="AA37" s="11" t="n">
        <f aca="false">MAX(0,Z43+Financials!AA14)</f>
        <v>124.289299949551</v>
      </c>
      <c r="AB37" s="11" t="n">
        <f aca="false">MAX(0,AA43+Financials!AB14)</f>
        <v>132.471136772527</v>
      </c>
      <c r="AC37" s="11" t="n">
        <f aca="false">MAX(0,AB43+Financials!AC14)</f>
        <v>141.663847010226</v>
      </c>
      <c r="AD37" s="11" t="n">
        <f aca="false">MAX(0,AC43+Financials!AD14)</f>
        <v>142.347019486773</v>
      </c>
      <c r="AE37" s="11" t="n">
        <f aca="false">MAX(0,AD43+Financials!AE14)</f>
        <v>153.756579026552</v>
      </c>
      <c r="AF37" s="11" t="n">
        <f aca="false">MAX(0,AE43+Financials!AF14)</f>
        <v>165.396545564076</v>
      </c>
      <c r="AG37" s="11" t="n">
        <f aca="false">MAX(0,AF43+Financials!AG14)</f>
        <v>178.066727955281</v>
      </c>
      <c r="AH37" s="11" t="n">
        <f aca="false">MAX(0,AG43+Financials!AH14)</f>
        <v>191.66239033241</v>
      </c>
      <c r="AI37" s="11" t="n">
        <f aca="false">MAX(0,AH43+Financials!AI14)</f>
        <v>206.497701097836</v>
      </c>
      <c r="AJ37" s="11" t="n">
        <f aca="false">MAX(0,AI43+Financials!AJ14)</f>
        <v>222.332897350874</v>
      </c>
      <c r="AK37" s="11" t="n">
        <f aca="false">MAX(0,AJ43+Financials!AK14)</f>
        <v>239.525830576725</v>
      </c>
      <c r="AL37" s="11" t="n">
        <f aca="false">MAX(0,AK43+Financials!AL14)</f>
        <v>255.933771281184</v>
      </c>
      <c r="AM37" s="11" t="n">
        <f aca="false">MAX(0,AL43+Financials!AM14)</f>
        <v>275.699968231899</v>
      </c>
      <c r="AN37" s="11" t="n">
        <f aca="false">MAX(0,AM43+Financials!AN14)</f>
        <v>296.834112428218</v>
      </c>
      <c r="AO37" s="11" t="n">
        <f aca="false">MAX(0,AN43+Financials!AO14)</f>
        <v>319.5838233592</v>
      </c>
      <c r="AP37" s="11" t="n">
        <f aca="false">MAX(0,AO43+Financials!AP14)</f>
        <v>344.051120358135</v>
      </c>
      <c r="AQ37" s="11" t="n">
        <f aca="false">MAX(0,AP43+Financials!AQ14)</f>
        <v>353.725281188018</v>
      </c>
      <c r="AR37" s="11" t="n">
        <f aca="false">MAX(0,AQ43+Financials!AR14)</f>
        <v>338.707985633222</v>
      </c>
      <c r="AS37" s="11" t="n">
        <f aca="false">MAX(0,AR43+Financials!AS14)</f>
        <v>323.301120472142</v>
      </c>
      <c r="AT37" s="11" t="n">
        <f aca="false">MAX(0,AS43+Financials!AT14)</f>
        <v>297.874148141552</v>
      </c>
      <c r="AU37" s="11" t="n">
        <f aca="false">MAX(0,AT43+Financials!AU14)</f>
        <v>276.259081394714</v>
      </c>
      <c r="AV37" s="11" t="n">
        <f aca="false">MAX(0,AU43+Financials!AV14)</f>
        <v>258.980521222766</v>
      </c>
      <c r="AW37" s="11" t="n">
        <f aca="false">MAX(0,AV43+Financials!AW14)</f>
        <v>241.733233059795</v>
      </c>
      <c r="AX37" s="11" t="n">
        <f aca="false">MAX(0,AW43+Financials!AX14)</f>
        <v>225.042051101384</v>
      </c>
      <c r="AY37" s="11" t="n">
        <f aca="false">MAX(0,AX43+Financials!AY14)</f>
        <v>207.771834363237</v>
      </c>
      <c r="AZ37" s="11" t="n">
        <f aca="false">MAX(0,AY43+Financials!AZ14)</f>
        <v>191.012730263765</v>
      </c>
      <c r="BA37" s="11" t="n">
        <f aca="false">MAX(0,AZ43+Financials!BA14)</f>
        <v>173.82267503053</v>
      </c>
      <c r="BB37" s="11" t="n">
        <f aca="false">MAX(0,BA43+Financials!BB14)</f>
        <v>155.174240002872</v>
      </c>
      <c r="BC37" s="11" t="n">
        <f aca="false">MAX(0,BB43+Financials!BC14)</f>
        <v>137.800611232274</v>
      </c>
      <c r="BD37" s="11" t="n">
        <f aca="false">MAX(0,BC43+Financials!BD14)</f>
        <v>123.803804852671</v>
      </c>
      <c r="BE37" s="11" t="n">
        <f aca="false">MAX(0,BD43+Financials!BE14)</f>
        <v>116.076590533375</v>
      </c>
      <c r="BF37" s="11" t="n">
        <f aca="false">MAX(0,BE43+Financials!BF14)</f>
        <v>108.939668752776</v>
      </c>
      <c r="BG37" s="11" t="n">
        <f aca="false">MAX(0,BF43+Financials!BG14)</f>
        <v>101.218153444848</v>
      </c>
      <c r="BH37" s="11" t="n">
        <f aca="false">MAX(0,BG43+Financials!BH14)</f>
        <v>94.0397542561342</v>
      </c>
      <c r="BI37" s="11" t="n">
        <f aca="false">MAX(0,BH43+Financials!BI14)</f>
        <v>86.4840258279518</v>
      </c>
      <c r="BJ37" s="11" t="n">
        <f aca="false">MAX(0,BI43+Financials!BJ14)</f>
        <v>67.0498365601767</v>
      </c>
      <c r="BK37" s="11" t="n">
        <f aca="false">MAX(0,BJ43+Financials!BK14)</f>
        <v>52.075991457731</v>
      </c>
      <c r="BL37" s="11" t="n">
        <f aca="false">MAX(0,BK43+Financials!BL14)</f>
        <v>42.2423564691446</v>
      </c>
      <c r="BM37" s="11" t="n">
        <f aca="false">MAX(0,BL43+Financials!BM14)</f>
        <v>9.33190244363902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15.6813695040119</v>
      </c>
      <c r="AQ38" s="11" t="n">
        <f aca="false">AQ24*MIN(AQ31-AQ34-AQ35,AQ37)</f>
        <v>40.4292984782604</v>
      </c>
      <c r="AR38" s="11" t="n">
        <f aca="false">AR24*MIN(AR31-AR34-AR35,AR37)</f>
        <v>41.0012731311383</v>
      </c>
      <c r="AS38" s="11" t="n">
        <f aca="false">AS24*MIN(AS31-AS34-AS35,AS37)</f>
        <v>40.7443474412859</v>
      </c>
      <c r="AT38" s="11" t="n">
        <f aca="false">AT24*MIN(AT31-AT34-AT35,AT37)</f>
        <v>47.4891479776467</v>
      </c>
      <c r="AU38" s="11" t="n">
        <f aca="false">AU24*MIN(AU31-AU34-AU35,AU37)</f>
        <v>43.0523206521811</v>
      </c>
      <c r="AV38" s="11" t="n">
        <f aca="false">AV24*MIN(AV31-AV34-AV35,AV37)</f>
        <v>43.130158562029</v>
      </c>
      <c r="AW38" s="11" t="n">
        <f aca="false">AW24*MIN(AW31-AW34-AW35,AW37)</f>
        <v>42.7043526457012</v>
      </c>
      <c r="AX38" s="11" t="n">
        <f aca="false">AX24*MIN(AX31-AX34-AX35,AX37)</f>
        <v>43.3594796986634</v>
      </c>
      <c r="AY38" s="11" t="n">
        <f aca="false">AY24*MIN(AY31-AY34-AY35,AY37)</f>
        <v>42.9092344367935</v>
      </c>
      <c r="AZ38" s="11" t="n">
        <f aca="false">AZ24*MIN(AZ31-AZ34-AZ35,AZ37)</f>
        <v>43.5006313627699</v>
      </c>
      <c r="BA38" s="11" t="n">
        <f aca="false">BA24*MIN(BA31-BA34-BA35,BA37)</f>
        <v>42.7146100392896</v>
      </c>
      <c r="BB38" s="11" t="n">
        <f aca="false">BB24*MIN(BB31-BB34-BB35,BB37)</f>
        <v>43.9486042034784</v>
      </c>
      <c r="BC38" s="11" t="n">
        <f aca="false">BC24*MIN(BC31-BC34-BC35,BC37)</f>
        <v>40.5385178289249</v>
      </c>
      <c r="BD38" s="11" t="n">
        <f aca="false">BD24*MIN(BD31-BD34-BD35,BD37)</f>
        <v>34.3868674666395</v>
      </c>
      <c r="BE38" s="11" t="n">
        <f aca="false">BE24*MIN(BE31-BE34-BE35,BE37)</f>
        <v>33.9391333565637</v>
      </c>
      <c r="BF38" s="11" t="n">
        <f aca="false">BF24*MIN(BF31-BF34-BF35,BF37)</f>
        <v>34.605039094478</v>
      </c>
      <c r="BG38" s="11" t="n">
        <f aca="false">BG24*MIN(BG31-BG34-BG35,BG37)</f>
        <v>34.1275268526923</v>
      </c>
      <c r="BH38" s="11" t="n">
        <f aca="false">BH24*MIN(BH31-BH34-BH35,BH37)</f>
        <v>34.7225689338788</v>
      </c>
      <c r="BI38" s="11" t="n">
        <f aca="false">BI24*MIN(BI31-BI34-BI35,BI37)</f>
        <v>34.4538900265255</v>
      </c>
      <c r="BJ38" s="11" t="n">
        <f aca="false">BJ24*MIN(BJ31-BJ34-BJ35,BJ37)</f>
        <v>42.4738430774821</v>
      </c>
      <c r="BK38" s="11" t="n">
        <f aca="false">BK24*MIN(BK31-BK34-BK35,BK37)</f>
        <v>37.2066637583069</v>
      </c>
      <c r="BL38" s="11" t="n">
        <f aca="false">BL24*MIN(BL31-BL34-BL35,BL37)</f>
        <v>37.8828166344445</v>
      </c>
      <c r="BM38" s="11" t="n">
        <f aca="false">BM24*MIN(BM31-BM34-BM35,BM37)</f>
        <v>9.33190244363902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948.700351123636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15.6813695040119</v>
      </c>
      <c r="AQ41" s="11" t="n">
        <f aca="false">AQ38+AQ40</f>
        <v>40.4292984782604</v>
      </c>
      <c r="AR41" s="11" t="n">
        <f aca="false">AR38+AR40</f>
        <v>41.0012731311383</v>
      </c>
      <c r="AS41" s="11" t="n">
        <f aca="false">AS38+AS40</f>
        <v>40.7443474412859</v>
      </c>
      <c r="AT41" s="11" t="n">
        <f aca="false">AT38+AT40</f>
        <v>47.4891479776467</v>
      </c>
      <c r="AU41" s="11" t="n">
        <f aca="false">AU38+AU40</f>
        <v>43.0523206521811</v>
      </c>
      <c r="AV41" s="11" t="n">
        <f aca="false">AV38+AV40</f>
        <v>43.130158562029</v>
      </c>
      <c r="AW41" s="11" t="n">
        <f aca="false">AW38+AW40</f>
        <v>42.7043526457012</v>
      </c>
      <c r="AX41" s="11" t="n">
        <f aca="false">AX38+AX40</f>
        <v>43.3594796986634</v>
      </c>
      <c r="AY41" s="11" t="n">
        <f aca="false">AY38+AY40</f>
        <v>42.9092344367935</v>
      </c>
      <c r="AZ41" s="11" t="n">
        <f aca="false">AZ38+AZ40</f>
        <v>43.5006313627699</v>
      </c>
      <c r="BA41" s="11" t="n">
        <f aca="false">BA38+BA40</f>
        <v>42.7146100392896</v>
      </c>
      <c r="BB41" s="11" t="n">
        <f aca="false">BB38+BB40</f>
        <v>43.9486042034784</v>
      </c>
      <c r="BC41" s="11" t="n">
        <f aca="false">BC38+BC40</f>
        <v>40.5385178289249</v>
      </c>
      <c r="BD41" s="11" t="n">
        <f aca="false">BD38+BD40</f>
        <v>34.3868674666395</v>
      </c>
      <c r="BE41" s="11" t="n">
        <f aca="false">BE38+BE40</f>
        <v>33.9391333565637</v>
      </c>
      <c r="BF41" s="11" t="n">
        <f aca="false">BF38+BF40</f>
        <v>34.605039094478</v>
      </c>
      <c r="BG41" s="11" t="n">
        <f aca="false">BG38+BG40</f>
        <v>34.1275268526923</v>
      </c>
      <c r="BH41" s="11" t="n">
        <f aca="false">BH38+BH40</f>
        <v>34.7225689338788</v>
      </c>
      <c r="BI41" s="11" t="n">
        <f aca="false">BI38+BI40</f>
        <v>34.4538900265255</v>
      </c>
      <c r="BJ41" s="11" t="n">
        <f aca="false">BJ38+BJ40</f>
        <v>42.4738430774821</v>
      </c>
      <c r="BK41" s="11" t="n">
        <f aca="false">BK38+BK40</f>
        <v>37.2066637583069</v>
      </c>
      <c r="BL41" s="11" t="n">
        <f aca="false">BL38+BL40</f>
        <v>37.8828166344445</v>
      </c>
      <c r="BM41" s="11" t="n">
        <f aca="false">BM38+BM40</f>
        <v>53.6986559604506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25.0687045049165</v>
      </c>
      <c r="R43" s="11" t="n">
        <f aca="false">IF(Time!R17&lt;Time!$F$11,0,Q43+Financials!R14-R41)</f>
        <v>32.8404330598742</v>
      </c>
      <c r="S43" s="11" t="n">
        <f aca="false">IF(Time!S17&lt;Time!$F$11,0,R43+Financials!S14-S41)</f>
        <v>41.1777843293043</v>
      </c>
      <c r="T43" s="11" t="n">
        <f aca="false">IF(Time!T17&lt;Time!$F$11,0,S43+Financials!T14-T41)</f>
        <v>51.0447691909112</v>
      </c>
      <c r="U43" s="11" t="n">
        <f aca="false">IF(Time!U17&lt;Time!$F$11,0,T43+Financials!U14-U41)</f>
        <v>62.0937464538606</v>
      </c>
      <c r="V43" s="11" t="n">
        <f aca="false">IF(Time!V17&lt;Time!$F$11,0,U43+Financials!V14-V41)</f>
        <v>71.4094278700075</v>
      </c>
      <c r="W43" s="11" t="n">
        <f aca="false">IF(Time!W17&lt;Time!$F$11,0,V43+Financials!W14-W41)</f>
        <v>84.4702800989286</v>
      </c>
      <c r="X43" s="11" t="n">
        <f aca="false">IF(Time!X17&lt;Time!$F$11,0,W43+Financials!X14-X41)</f>
        <v>98.1220648536268</v>
      </c>
      <c r="Y43" s="11" t="n">
        <f aca="false">IF(Time!Y17&lt;Time!$F$11,0,X43+Financials!Y14-Y41)</f>
        <v>109.852238375431</v>
      </c>
      <c r="Z43" s="11" t="n">
        <f aca="false">IF(Time!Z17&lt;Time!$F$11,0,Y43+Financials!Z14-Z41)</f>
        <v>116.608024707206</v>
      </c>
      <c r="AA43" s="11" t="n">
        <f aca="false">IF(Time!AA17&lt;Time!$F$11,0,Z43+Financials!AA14-AA41)</f>
        <v>124.289299949551</v>
      </c>
      <c r="AB43" s="11" t="n">
        <f aca="false">IF(Time!AB17&lt;Time!$F$11,0,AA43+Financials!AB14-AB41)</f>
        <v>132.471136772527</v>
      </c>
      <c r="AC43" s="11" t="n">
        <f aca="false">IF(Time!AC17&lt;Time!$F$11,0,AB43+Financials!AC14-AC41)</f>
        <v>141.663847010226</v>
      </c>
      <c r="AD43" s="11" t="n">
        <f aca="false">IF(Time!AD17&lt;Time!$F$11,0,AC43+Financials!AD14-AD41)</f>
        <v>142.347019486773</v>
      </c>
      <c r="AE43" s="11" t="n">
        <f aca="false">IF(Time!AE17&lt;Time!$F$11,0,AD43+Financials!AE14-AE41)</f>
        <v>153.756579026552</v>
      </c>
      <c r="AF43" s="11" t="n">
        <f aca="false">IF(Time!AF17&lt;Time!$F$11,0,AE43+Financials!AF14-AF41)</f>
        <v>165.396545564076</v>
      </c>
      <c r="AG43" s="11" t="n">
        <f aca="false">IF(Time!AG17&lt;Time!$F$11,0,AF43+Financials!AG14-AG41)</f>
        <v>178.066727955281</v>
      </c>
      <c r="AH43" s="11" t="n">
        <f aca="false">IF(Time!AH17&lt;Time!$F$11,0,AG43+Financials!AH14-AH41)</f>
        <v>191.66239033241</v>
      </c>
      <c r="AI43" s="11" t="n">
        <f aca="false">IF(Time!AI17&lt;Time!$F$11,0,AH43+Financials!AI14-AI41)</f>
        <v>206.497701097836</v>
      </c>
      <c r="AJ43" s="11" t="n">
        <f aca="false">IF(Time!AJ17&lt;Time!$F$11,0,AI43+Financials!AJ14-AJ41)</f>
        <v>222.332897350874</v>
      </c>
      <c r="AK43" s="11" t="n">
        <f aca="false">IF(Time!AK17&lt;Time!$F$11,0,AJ43+Financials!AK14-AK41)</f>
        <v>239.525830576725</v>
      </c>
      <c r="AL43" s="11" t="n">
        <f aca="false">IF(Time!AL17&lt;Time!$F$11,0,AK43+Financials!AL14-AL41)</f>
        <v>255.933771281184</v>
      </c>
      <c r="AM43" s="11" t="n">
        <f aca="false">IF(Time!AM17&lt;Time!$F$11,0,AL43+Financials!AM14-AM41)</f>
        <v>275.699968231899</v>
      </c>
      <c r="AN43" s="11" t="n">
        <f aca="false">IF(Time!AN17&lt;Time!$F$11,0,AM43+Financials!AN14-AN41)</f>
        <v>296.834112428218</v>
      </c>
      <c r="AO43" s="11" t="n">
        <f aca="false">IF(Time!AO17&lt;Time!$F$11,0,AN43+Financials!AO14-AO41)</f>
        <v>319.5838233592</v>
      </c>
      <c r="AP43" s="11" t="n">
        <f aca="false">IF(Time!AP17&lt;Time!$F$11,0,AO43+Financials!AP14-AP41)</f>
        <v>328.369750854124</v>
      </c>
      <c r="AQ43" s="11" t="n">
        <f aca="false">IF(Time!AQ17&lt;Time!$F$11,0,AP43+Financials!AQ14-AQ41)</f>
        <v>313.295982709758</v>
      </c>
      <c r="AR43" s="11" t="n">
        <f aca="false">IF(Time!AR17&lt;Time!$F$11,0,AQ43+Financials!AR14-AR41)</f>
        <v>297.706712502084</v>
      </c>
      <c r="AS43" s="11" t="n">
        <f aca="false">IF(Time!AS17&lt;Time!$F$11,0,AR43+Financials!AS14-AS41)</f>
        <v>282.556773030857</v>
      </c>
      <c r="AT43" s="11" t="n">
        <f aca="false">IF(Time!AT17&lt;Time!$F$11,0,AS43+Financials!AT14-AT41)</f>
        <v>250.385000163905</v>
      </c>
      <c r="AU43" s="11" t="n">
        <f aca="false">IF(Time!AU17&lt;Time!$F$11,0,AT43+Financials!AU14-AU41)</f>
        <v>233.206760742533</v>
      </c>
      <c r="AV43" s="11" t="n">
        <f aca="false">IF(Time!AV17&lt;Time!$F$11,0,AU43+Financials!AV14-AV41)</f>
        <v>215.850362660737</v>
      </c>
      <c r="AW43" s="11" t="n">
        <f aca="false">IF(Time!AW17&lt;Time!$F$11,0,AV43+Financials!AW14-AW41)</f>
        <v>199.028880414094</v>
      </c>
      <c r="AX43" s="11" t="n">
        <f aca="false">IF(Time!AX17&lt;Time!$F$11,0,AW43+Financials!AX14-AX41)</f>
        <v>181.68257140272</v>
      </c>
      <c r="AY43" s="11" t="n">
        <f aca="false">IF(Time!AY17&lt;Time!$F$11,0,AX43+Financials!AY14-AY41)</f>
        <v>164.862599926443</v>
      </c>
      <c r="AZ43" s="11" t="n">
        <f aca="false">IF(Time!AZ17&lt;Time!$F$11,0,AY43+Financials!AZ14-AZ41)</f>
        <v>147.512098900995</v>
      </c>
      <c r="BA43" s="11" t="n">
        <f aca="false">IF(Time!BA17&lt;Time!$F$11,0,AZ43+Financials!BA14-BA41)</f>
        <v>131.108064991241</v>
      </c>
      <c r="BB43" s="11" t="n">
        <f aca="false">IF(Time!BB17&lt;Time!$F$11,0,BA43+Financials!BB14-BB41)</f>
        <v>111.225635799394</v>
      </c>
      <c r="BC43" s="11" t="n">
        <f aca="false">IF(Time!BC17&lt;Time!$F$11,0,BB43+Financials!BC14-BC41)</f>
        <v>97.2620934033494</v>
      </c>
      <c r="BD43" s="11" t="n">
        <f aca="false">IF(Time!BD17&lt;Time!$F$11,0,BC43+Financials!BD14-BD41)</f>
        <v>89.4169373860313</v>
      </c>
      <c r="BE43" s="11" t="n">
        <f aca="false">IF(Time!BE17&lt;Time!$F$11,0,BD43+Financials!BE14-BE41)</f>
        <v>82.1374571768112</v>
      </c>
      <c r="BF43" s="11" t="n">
        <f aca="false">IF(Time!BF17&lt;Time!$F$11,0,BE43+Financials!BF14-BF41)</f>
        <v>74.3346296582984</v>
      </c>
      <c r="BG43" s="11" t="n">
        <f aca="false">IF(Time!BG17&lt;Time!$F$11,0,BF43+Financials!BG14-BG41)</f>
        <v>67.090626592156</v>
      </c>
      <c r="BH43" s="11" t="n">
        <f aca="false">IF(Time!BH17&lt;Time!$F$11,0,BG43+Financials!BH14-BH41)</f>
        <v>59.3171853222553</v>
      </c>
      <c r="BI43" s="11" t="n">
        <f aca="false">IF(Time!BI17&lt;Time!$F$11,0,BH43+Financials!BI14-BI41)</f>
        <v>52.0301358014264</v>
      </c>
      <c r="BJ43" s="11" t="n">
        <f aca="false">IF(Time!BJ17&lt;Time!$F$11,0,BI43+Financials!BJ14-BJ41)</f>
        <v>24.5759934826946</v>
      </c>
      <c r="BK43" s="11" t="n">
        <f aca="false">IF(Time!BK17&lt;Time!$F$11,0,BJ43+Financials!BK14-BK41)</f>
        <v>14.8693276994241</v>
      </c>
      <c r="BL43" s="11" t="n">
        <f aca="false">IF(Time!BL17&lt;Time!$F$11,0,BK43+Financials!BL14-BL41)</f>
        <v>4.35953983470006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1362.79166317843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0</v>
      </c>
      <c r="R44" s="11" t="n">
        <f aca="false">R34+R35+R41</f>
        <v>0</v>
      </c>
      <c r="S44" s="11" t="n">
        <f aca="false">S34+S35+S41</f>
        <v>36.4636295966846</v>
      </c>
      <c r="T44" s="11" t="n">
        <f aca="false">T34+T35+T41</f>
        <v>12.5352067011612</v>
      </c>
      <c r="U44" s="11" t="n">
        <f aca="false">U34+U35+U41</f>
        <v>11.5785441840217</v>
      </c>
      <c r="V44" s="11" t="n">
        <f aca="false">V34+V35+V41</f>
        <v>12.8084024104913</v>
      </c>
      <c r="W44" s="11" t="n">
        <f aca="false">W34+W35+W41</f>
        <v>13.5464120329868</v>
      </c>
      <c r="X44" s="11" t="n">
        <f aca="false">X34+X35+X41</f>
        <v>12.3894976964747</v>
      </c>
      <c r="Y44" s="11" t="n">
        <f aca="false">Y34+Y35+Y41</f>
        <v>11.6106116559603</v>
      </c>
      <c r="Z44" s="11" t="n">
        <f aca="false">Z34+Z35+Z41</f>
        <v>12.3052245109169</v>
      </c>
      <c r="AA44" s="11" t="n">
        <f aca="false">AA34+AA35+AA41</f>
        <v>5.73776912164723</v>
      </c>
      <c r="AB44" s="11" t="n">
        <f aca="false">AB34+AB35+AB41</f>
        <v>6.6878340516185</v>
      </c>
      <c r="AC44" s="11" t="n">
        <f aca="false">AC34+AC35+AC41</f>
        <v>6.3311588966915</v>
      </c>
      <c r="AD44" s="11" t="n">
        <f aca="false">AD34+AD35+AD41</f>
        <v>7.64818486099696</v>
      </c>
      <c r="AE44" s="11" t="n">
        <f aca="false">AE34+AE35+AE41</f>
        <v>8.21632341031843</v>
      </c>
      <c r="AF44" s="11" t="n">
        <f aca="false">AF34+AF35+AF41</f>
        <v>9.04178780454899</v>
      </c>
      <c r="AG44" s="11" t="n">
        <f aca="false">AG34+AG35+AG41</f>
        <v>9.41525272360075</v>
      </c>
      <c r="AH44" s="11" t="n">
        <f aca="false">AH34+AH35+AH41</f>
        <v>10.7212172247997</v>
      </c>
      <c r="AI44" s="11" t="n">
        <f aca="false">AI34+AI35+AI41</f>
        <v>11.5103633305625</v>
      </c>
      <c r="AJ44" s="11" t="n">
        <f aca="false">AJ34+AJ35+AJ41</f>
        <v>13.2733087562138</v>
      </c>
      <c r="AK44" s="11" t="n">
        <f aca="false">AK34+AK35+AK41</f>
        <v>26.9082125211647</v>
      </c>
      <c r="AL44" s="11" t="n">
        <f aca="false">AL34+AL35+AL41</f>
        <v>29.6603421667195</v>
      </c>
      <c r="AM44" s="11" t="n">
        <f aca="false">AM34+AM35+AM41</f>
        <v>32.7693692465543</v>
      </c>
      <c r="AN44" s="11" t="n">
        <f aca="false">AN34+AN35+AN41</f>
        <v>31.1206151191475</v>
      </c>
      <c r="AO44" s="11" t="n">
        <f aca="false">AO34+AO35+AO41</f>
        <v>41.2758648217427</v>
      </c>
      <c r="AP44" s="11" t="n">
        <f aca="false">AP34+AP35+AP41</f>
        <v>41.2203591265165</v>
      </c>
      <c r="AQ44" s="11" t="n">
        <f aca="false">AQ34+AQ35+AQ41</f>
        <v>40.4292984782604</v>
      </c>
      <c r="AR44" s="11" t="n">
        <f aca="false">AR34+AR35+AR41</f>
        <v>41.0012731311383</v>
      </c>
      <c r="AS44" s="11" t="n">
        <f aca="false">AS34+AS35+AS41</f>
        <v>40.7443474412859</v>
      </c>
      <c r="AT44" s="11" t="n">
        <f aca="false">AT34+AT35+AT41</f>
        <v>47.4891479776467</v>
      </c>
      <c r="AU44" s="11" t="n">
        <f aca="false">AU34+AU35+AU41</f>
        <v>43.0523206521811</v>
      </c>
      <c r="AV44" s="11" t="n">
        <f aca="false">AV34+AV35+AV41</f>
        <v>43.130158562029</v>
      </c>
      <c r="AW44" s="11" t="n">
        <f aca="false">AW34+AW35+AW41</f>
        <v>42.7043526457012</v>
      </c>
      <c r="AX44" s="11" t="n">
        <f aca="false">AX34+AX35+AX41</f>
        <v>43.3594796986634</v>
      </c>
      <c r="AY44" s="11" t="n">
        <f aca="false">AY34+AY35+AY41</f>
        <v>42.9092344367935</v>
      </c>
      <c r="AZ44" s="11" t="n">
        <f aca="false">AZ34+AZ35+AZ41</f>
        <v>43.5006313627699</v>
      </c>
      <c r="BA44" s="11" t="n">
        <f aca="false">BA34+BA35+BA41</f>
        <v>42.7146100392896</v>
      </c>
      <c r="BB44" s="11" t="n">
        <f aca="false">BB34+BB35+BB41</f>
        <v>43.9486042034784</v>
      </c>
      <c r="BC44" s="11" t="n">
        <f aca="false">BC34+BC35+BC41</f>
        <v>40.5385178289249</v>
      </c>
      <c r="BD44" s="11" t="n">
        <f aca="false">BD34+BD35+BD41</f>
        <v>34.3868674666395</v>
      </c>
      <c r="BE44" s="11" t="n">
        <f aca="false">BE34+BE35+BE41</f>
        <v>33.9391333565637</v>
      </c>
      <c r="BF44" s="11" t="n">
        <f aca="false">BF34+BF35+BF41</f>
        <v>34.605039094478</v>
      </c>
      <c r="BG44" s="11" t="n">
        <f aca="false">BG34+BG35+BG41</f>
        <v>34.1275268526923</v>
      </c>
      <c r="BH44" s="11" t="n">
        <f aca="false">BH34+BH35+BH41</f>
        <v>34.7225689338788</v>
      </c>
      <c r="BI44" s="11" t="n">
        <f aca="false">BI34+BI35+BI41</f>
        <v>34.4538900265255</v>
      </c>
      <c r="BJ44" s="11" t="n">
        <f aca="false">BJ34+BJ35+BJ41</f>
        <v>42.4738430774821</v>
      </c>
      <c r="BK44" s="11" t="n">
        <f aca="false">BK34+BK35+BK41</f>
        <v>37.2066637583069</v>
      </c>
      <c r="BL44" s="11" t="n">
        <f aca="false">BL34+BL35+BL41</f>
        <v>37.8828166344445</v>
      </c>
      <c r="BM44" s="11" t="n">
        <f aca="false">BM34+BM35+BM41</f>
        <v>53.6986559604506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526.425795019141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30.6972338368224</v>
      </c>
      <c r="S9" s="11" t="n">
        <f aca="false">Debt!S119+Debt!S117+Debt!S111-Debt!S110+Tax!S13</f>
        <v>30.2150034960838</v>
      </c>
      <c r="T9" s="11" t="n">
        <f aca="false">Debt!T119+Debt!T117+Debt!T111-Debt!T110+Tax!T13</f>
        <v>28.7498003989426</v>
      </c>
      <c r="U9" s="11" t="n">
        <f aca="false">Debt!U119+Debt!U117+Debt!U111-Debt!U110+Tax!U13</f>
        <v>27.7309988511053</v>
      </c>
      <c r="V9" s="11" t="n">
        <f aca="false">Debt!V119+Debt!V117+Debt!V111-Debt!V110+Tax!V13</f>
        <v>27.1929587375681</v>
      </c>
      <c r="W9" s="11" t="n">
        <f aca="false">Debt!W119+Debt!W117+Debt!W111-Debt!W110+Tax!W13</f>
        <v>25.9878141083271</v>
      </c>
      <c r="X9" s="11" t="n">
        <f aca="false">Debt!X119+Debt!X117+Debt!X111-Debt!X110+Tax!X13</f>
        <v>25.3726996024043</v>
      </c>
      <c r="Y9" s="11" t="n">
        <f aca="false">Debt!Y119+Debt!Y117+Debt!Y111-Debt!Y110+Tax!Y13</f>
        <v>24.6862169149562</v>
      </c>
      <c r="Z9" s="11" t="n">
        <f aca="false">Debt!Z119+Debt!Z117+Debt!Z111-Debt!Z110+Tax!Z13</f>
        <v>24.1281359251228</v>
      </c>
      <c r="AA9" s="11" t="n">
        <f aca="false">Debt!AA119+Debt!AA117+Debt!AA111-Debt!AA110+Tax!AA13</f>
        <v>22.8927800612562</v>
      </c>
      <c r="AB9" s="11" t="n">
        <f aca="false">Debt!AB119+Debt!AB117+Debt!AB111-Debt!AB110+Tax!AB13</f>
        <v>22.2446058977766</v>
      </c>
      <c r="AC9" s="11" t="n">
        <f aca="false">Debt!AC119+Debt!AC117+Debt!AC111-Debt!AC110+Tax!AC13</f>
        <v>21.0176069899787</v>
      </c>
      <c r="AD9" s="11" t="n">
        <f aca="false">Debt!AD119+Debt!AD117+Debt!AD111-Debt!AD110+Tax!AD13</f>
        <v>20.1804624099737</v>
      </c>
      <c r="AE9" s="11" t="n">
        <f aca="false">Debt!AE119+Debt!AE117+Debt!AE111-Debt!AE110+Tax!AE13</f>
        <v>18.7466839756613</v>
      </c>
      <c r="AF9" s="11" t="n">
        <f aca="false">Debt!AF119+Debt!AF117+Debt!AF111-Debt!AF110+Tax!AF13</f>
        <v>17.7366282555757</v>
      </c>
      <c r="AG9" s="11" t="n">
        <f aca="false">Debt!AG119+Debt!AG117+Debt!AG111-Debt!AG110+Tax!AG13</f>
        <v>16.3962251388765</v>
      </c>
      <c r="AH9" s="11" t="n">
        <f aca="false">Debt!AH119+Debt!AH117+Debt!AH111-Debt!AH110+Tax!AH13</f>
        <v>15.2276110417653</v>
      </c>
      <c r="AI9" s="11" t="n">
        <f aca="false">Debt!AI119+Debt!AI117+Debt!AI111-Debt!AI110+Tax!AI13</f>
        <v>13.5493517929589</v>
      </c>
      <c r="AJ9" s="11" t="n">
        <f aca="false">Debt!AJ119+Debt!AJ117+Debt!AJ111-Debt!AJ110+Tax!AJ13</f>
        <v>12.1930385021087</v>
      </c>
      <c r="AK9" s="11" t="n">
        <f aca="false">Debt!AK119+Debt!AK117+Debt!AK111-Debt!AK110+Tax!AK13</f>
        <v>10.4450597471042</v>
      </c>
      <c r="AL9" s="11" t="n">
        <f aca="false">Debt!AL119+Debt!AL117+Debt!AL111-Debt!AL110+Tax!AL13</f>
        <v>8.8668949062874</v>
      </c>
      <c r="AM9" s="11" t="n">
        <f aca="false">Debt!AM119+Debt!AM117+Debt!AM111-Debt!AM110+Tax!AM13</f>
        <v>7.08333109766321</v>
      </c>
      <c r="AN9" s="11" t="n">
        <f aca="false">Debt!AN119+Debt!AN117+Debt!AN111-Debt!AN110+Tax!AN13</f>
        <v>5.27959252569278</v>
      </c>
      <c r="AO9" s="11" t="n">
        <f aca="false">Debt!AO119+Debt!AO117+Debt!AO111-Debt!AO110+Tax!AO13</f>
        <v>3.45075049429126</v>
      </c>
      <c r="AP9" s="11" t="n">
        <f aca="false">Debt!AP119+Debt!AP117+Debt!AP111-Debt!AP110+Tax!AP13</f>
        <v>1.16717616241733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-49.2570267721488</v>
      </c>
      <c r="Z12" s="11" t="n">
        <f aca="false">IF(Time!Z17&gt;=Time!$F$11,Inputs!$F$181/100*(Z11-Z10-Tax!Z21),0)</f>
        <v>-46.2144890110299</v>
      </c>
      <c r="AA12" s="11" t="n">
        <f aca="false">IF(Time!AA17&gt;=Time!$F$11,Inputs!$F$181/100*(AA11-AA10-Tax!AA21),0)</f>
        <v>-42.7746139648535</v>
      </c>
      <c r="AB12" s="11" t="n">
        <f aca="false">IF(Time!AB17&gt;=Time!$F$11,Inputs!$F$181/100*(AB11-AB10-Tax!AB21),0)</f>
        <v>-39.1194531344538</v>
      </c>
      <c r="AC12" s="11" t="n">
        <f aca="false">IF(Time!AC17&gt;=Time!$F$11,Inputs!$F$181/100*(AC11-AC10-Tax!AC21),0)</f>
        <v>-35.0306966336906</v>
      </c>
      <c r="AD12" s="11" t="n">
        <f aca="false">IF(Time!AD17&gt;=Time!$F$11,Inputs!$F$181/100*(AD11-AD10-Tax!AD21),0)</f>
        <v>-34.0266727708738</v>
      </c>
      <c r="AE12" s="11" t="n">
        <f aca="false">IF(Time!AE17&gt;=Time!$F$11,Inputs!$F$181/100*(AE11-AE10-Tax!AE21),0)</f>
        <v>-29.5508762398164</v>
      </c>
      <c r="AF12" s="11" t="n">
        <f aca="false">IF(Time!AF17&gt;=Time!$F$11,Inputs!$F$181/100*(AF11-AF10-Tax!AF21),0)</f>
        <v>-24.4109645347774</v>
      </c>
      <c r="AG12" s="11" t="n">
        <f aca="false">IF(Time!AG17&gt;=Time!$F$11,Inputs!$F$181/100*(AG11-AG10-Tax!AG21),0)</f>
        <v>-18.828894669934</v>
      </c>
      <c r="AH12" s="11" t="n">
        <f aca="false">IF(Time!AH17&gt;=Time!$F$11,Inputs!$F$181/100*(AH11-AH10-Tax!AH21),0)</f>
        <v>-12.849602613153</v>
      </c>
      <c r="AI12" s="11" t="n">
        <f aca="false">IF(Time!AI17&gt;=Time!$F$11,Inputs!$F$181/100*(AI11-AI10-Tax!AI21),0)</f>
        <v>-6.33827139207353</v>
      </c>
      <c r="AJ12" s="11" t="n">
        <f aca="false">IF(Time!AJ17&gt;=Time!$F$11,Inputs!$F$181/100*(AJ11-AJ10-Tax!AJ21),0)</f>
        <v>0.602408787480992</v>
      </c>
      <c r="AK12" s="11" t="n">
        <f aca="false">IF(Time!AK17&gt;=Time!$F$11,Inputs!$F$181/100*(AK11-AK10-Tax!AK21),0)</f>
        <v>8.12549509794899</v>
      </c>
      <c r="AL12" s="11" t="n">
        <f aca="false">IF(Time!AL17&gt;=Time!$F$11,Inputs!$F$181/100*(AL11-AL10-Tax!AL21),0)</f>
        <v>15.312473112525</v>
      </c>
      <c r="AM12" s="11" t="n">
        <f aca="false">IF(Time!AM17&gt;=Time!$F$11,Inputs!$F$181/100*(AM11-AM10-Tax!AM21),0)</f>
        <v>23.9396428076249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-2.40257984070114</v>
      </c>
      <c r="Z13" s="11" t="n">
        <f aca="false">Z12-Y12</f>
        <v>3.04253776111894</v>
      </c>
      <c r="AA13" s="11" t="n">
        <f aca="false">AA12-Z12</f>
        <v>3.43987504617641</v>
      </c>
      <c r="AB13" s="11" t="n">
        <f aca="false">AB12-AA12</f>
        <v>3.65516083039967</v>
      </c>
      <c r="AC13" s="11" t="n">
        <f aca="false">AC12-AB12</f>
        <v>4.08875650076325</v>
      </c>
      <c r="AD13" s="11" t="n">
        <f aca="false">AD12-AC12</f>
        <v>1.00402386281672</v>
      </c>
      <c r="AE13" s="11" t="n">
        <f aca="false">AE12-AD12</f>
        <v>4.4757965310574</v>
      </c>
      <c r="AF13" s="11" t="n">
        <f aca="false">AF12-AE12</f>
        <v>5.139911705039</v>
      </c>
      <c r="AG13" s="11" t="n">
        <f aca="false">AG12-AF12</f>
        <v>5.58206986484344</v>
      </c>
      <c r="AH13" s="11" t="n">
        <f aca="false">AH12-AG12</f>
        <v>5.97929205678101</v>
      </c>
      <c r="AI13" s="11" t="n">
        <f aca="false">AI12-AH12</f>
        <v>6.51133122107947</v>
      </c>
      <c r="AJ13" s="11" t="n">
        <f aca="false">AJ12-AI12</f>
        <v>6.94068017955452</v>
      </c>
      <c r="AK13" s="11" t="n">
        <f aca="false">AK12-AJ12</f>
        <v>7.523086310468</v>
      </c>
      <c r="AL13" s="11" t="n">
        <f aca="false">AL12-AK12</f>
        <v>7.18697801457606</v>
      </c>
      <c r="AM13" s="11" t="n">
        <f aca="false">AM12-AL12</f>
        <v>8.62716969509982</v>
      </c>
      <c r="AN13" s="11" t="n">
        <f aca="false">AN12-AM12</f>
        <v>9.02580735485802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904.333597606824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7.90806927406015</v>
      </c>
      <c r="R14" s="11" t="n">
        <f aca="false">Operations!R79-R8-R9-Tax!R27-R13</f>
        <v>7.7717285549577</v>
      </c>
      <c r="S14" s="11" t="n">
        <f aca="false">Operations!S79-S8-S9-Tax!S27-S13</f>
        <v>8.33735126943009</v>
      </c>
      <c r="T14" s="11" t="n">
        <f aca="false">Operations!T79-T8-T9-Tax!T27-T13</f>
        <v>9.86698486160696</v>
      </c>
      <c r="U14" s="11" t="n">
        <f aca="false">Operations!U79-U8-U9-Tax!U27-U13</f>
        <v>11.0489772629493</v>
      </c>
      <c r="V14" s="11" t="n">
        <f aca="false">Operations!V79-V8-V9-Tax!V27-V13</f>
        <v>9.31568141614694</v>
      </c>
      <c r="W14" s="11" t="n">
        <f aca="false">Operations!W79-W8-W9-Tax!W27-W13</f>
        <v>13.060852228921</v>
      </c>
      <c r="X14" s="11" t="n">
        <f aca="false">Operations!X79-X8-X9-Tax!X27-X13</f>
        <v>13.6517847546983</v>
      </c>
      <c r="Y14" s="11" t="n">
        <f aca="false">Operations!Y79-Y8-Y9-Tax!Y27-Y13</f>
        <v>11.7301735218044</v>
      </c>
      <c r="Z14" s="11" t="n">
        <f aca="false">Operations!Z79-Z8-Z9-Tax!Z27-Z13</f>
        <v>6.75578633177465</v>
      </c>
      <c r="AA14" s="11" t="n">
        <f aca="false">Operations!AA79-AA8-AA9-Tax!AA27-AA13</f>
        <v>7.68127524234543</v>
      </c>
      <c r="AB14" s="11" t="n">
        <f aca="false">Operations!AB79-AB8-AB9-Tax!AB27-AB13</f>
        <v>8.18183682297551</v>
      </c>
      <c r="AC14" s="11" t="n">
        <f aca="false">Operations!AC79-AC8-AC9-Tax!AC27-AC13</f>
        <v>9.1927102376988</v>
      </c>
      <c r="AD14" s="11" t="n">
        <f aca="false">Operations!AD79-AD8-AD9-Tax!AD27-AD13</f>
        <v>0.683172476546877</v>
      </c>
      <c r="AE14" s="11" t="n">
        <f aca="false">Operations!AE79-AE8-AE9-Tax!AE27-AE13</f>
        <v>11.4095595397797</v>
      </c>
      <c r="AF14" s="11" t="n">
        <f aca="false">Operations!AF79-AF8-AF9-Tax!AF27-AF13</f>
        <v>11.6399665375241</v>
      </c>
      <c r="AG14" s="11" t="n">
        <f aca="false">Operations!AG79-AG8-AG9-Tax!AG27-AG13</f>
        <v>12.6701823912045</v>
      </c>
      <c r="AH14" s="11" t="n">
        <f aca="false">Operations!AH79-AH8-AH9-Tax!AH27-AH13</f>
        <v>13.5956623771295</v>
      </c>
      <c r="AI14" s="11" t="n">
        <f aca="false">Operations!AI79-AI8-AI9-Tax!AI27-AI13</f>
        <v>14.8353107654253</v>
      </c>
      <c r="AJ14" s="11" t="n">
        <f aca="false">Operations!AJ79-AJ8-AJ9-Tax!AJ27-AJ13</f>
        <v>15.8351962530384</v>
      </c>
      <c r="AK14" s="11" t="n">
        <f aca="false">Operations!AK79-AK8-AK9-Tax!AK27-AK13</f>
        <v>17.1929332258514</v>
      </c>
      <c r="AL14" s="11" t="n">
        <f aca="false">Operations!AL79-AL8-AL9-Tax!AL27-AL13</f>
        <v>16.4079407044586</v>
      </c>
      <c r="AM14" s="11" t="n">
        <f aca="false">Operations!AM79-AM8-AM9-Tax!AM27-AM13</f>
        <v>19.7661969507152</v>
      </c>
      <c r="AN14" s="11" t="n">
        <f aca="false">Operations!AN79-AN8-AN9-Tax!AN27-AN13</f>
        <v>21.1341441963182</v>
      </c>
      <c r="AO14" s="11" t="n">
        <f aca="false">Operations!AO79-AO8-AO9-Tax!AO27-AO13</f>
        <v>22.7497109309823</v>
      </c>
      <c r="AP14" s="11" t="n">
        <f aca="false">Operations!AP79-AP8-AP9-Tax!AP27-AP13</f>
        <v>24.4672969989356</v>
      </c>
      <c r="AQ14" s="11" t="n">
        <f aca="false">Operations!AQ79-AQ8-AQ9-Tax!AQ27-AQ13</f>
        <v>25.3555303338947</v>
      </c>
      <c r="AR14" s="11" t="n">
        <f aca="false">Operations!AR79-AR8-AR9-Tax!AR27-AR13</f>
        <v>25.4120029234641</v>
      </c>
      <c r="AS14" s="11" t="n">
        <f aca="false">Operations!AS79-AS8-AS9-Tax!AS27-AS13</f>
        <v>25.5944079700589</v>
      </c>
      <c r="AT14" s="11" t="n">
        <f aca="false">Operations!AT79-AT8-AT9-Tax!AT27-AT13</f>
        <v>15.3173751106949</v>
      </c>
      <c r="AU14" s="11" t="n">
        <f aca="false">Operations!AU79-AU8-AU9-Tax!AU27-AU13</f>
        <v>25.8740812308096</v>
      </c>
      <c r="AV14" s="11" t="n">
        <f aca="false">Operations!AV79-AV8-AV9-Tax!AV27-AV13</f>
        <v>25.773760480233</v>
      </c>
      <c r="AW14" s="11" t="n">
        <f aca="false">Operations!AW79-AW8-AW9-Tax!AW27-AW13</f>
        <v>25.8828703990577</v>
      </c>
      <c r="AX14" s="11" t="n">
        <f aca="false">Operations!AX79-AX8-AX9-Tax!AX27-AX13</f>
        <v>26.01317068729</v>
      </c>
      <c r="AY14" s="11" t="n">
        <f aca="false">Operations!AY79-AY8-AY9-Tax!AY27-AY13</f>
        <v>26.0892629605164</v>
      </c>
      <c r="AZ14" s="11" t="n">
        <f aca="false">Operations!AZ79-AZ8-AZ9-Tax!AZ27-AZ13</f>
        <v>26.1501303373219</v>
      </c>
      <c r="BA14" s="11" t="n">
        <f aca="false">Operations!BA79-BA8-BA9-Tax!BA27-BA13</f>
        <v>26.3105761295349</v>
      </c>
      <c r="BB14" s="11" t="n">
        <f aca="false">Operations!BB79-BB8-BB9-Tax!BB27-BB13</f>
        <v>24.0661750116319</v>
      </c>
      <c r="BC14" s="11" t="n">
        <f aca="false">Operations!BC79-BC8-BC9-Tax!BC27-BC13</f>
        <v>26.5749754328802</v>
      </c>
      <c r="BD14" s="11" t="n">
        <f aca="false">Operations!BD79-BD8-BD9-Tax!BD27-BD13</f>
        <v>26.5417114493213</v>
      </c>
      <c r="BE14" s="11" t="n">
        <f aca="false">Operations!BE79-BE8-BE9-Tax!BE27-BE13</f>
        <v>26.6596531473436</v>
      </c>
      <c r="BF14" s="11" t="n">
        <f aca="false">Operations!BF79-BF8-BF9-Tax!BF27-BF13</f>
        <v>26.8022115759652</v>
      </c>
      <c r="BG14" s="11" t="n">
        <f aca="false">Operations!BG79-BG8-BG9-Tax!BG27-BG13</f>
        <v>26.8835237865499</v>
      </c>
      <c r="BH14" s="11" t="n">
        <f aca="false">Operations!BH79-BH8-BH9-Tax!BH27-BH13</f>
        <v>26.9491276639781</v>
      </c>
      <c r="BI14" s="11" t="n">
        <f aca="false">Operations!BI79-BI8-BI9-Tax!BI27-BI13</f>
        <v>27.1668405056965</v>
      </c>
      <c r="BJ14" s="11" t="n">
        <f aca="false">Operations!BJ79-BJ8-BJ9-Tax!BJ27-BJ13</f>
        <v>15.0197007587503</v>
      </c>
      <c r="BK14" s="11" t="n">
        <f aca="false">Operations!BK79-BK8-BK9-Tax!BK27-BK13</f>
        <v>27.4999979750364</v>
      </c>
      <c r="BL14" s="11" t="n">
        <f aca="false">Operations!BL79-BL8-BL9-Tax!BL27-BL13</f>
        <v>27.3730287697205</v>
      </c>
      <c r="BM14" s="11" t="n">
        <f aca="false">Operations!BM79-BM8-BM9-Tax!BM27-BM13</f>
        <v>4.97236260893896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17.5879477539695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30.7594227606994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46.1246776207021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48.7445533523857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36.2331552108941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35.3849335344041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34.5007691285888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34.10556377183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32.8604127914661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31.7872020975831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29.8181571964833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27.6379447140849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72.3634519325775</v>
      </c>
      <c r="R18" s="11" t="n">
        <f aca="false">Operations!R83+Operations!R84</f>
        <v>71.2674322644956</v>
      </c>
      <c r="S18" s="11" t="n">
        <f aca="false">Operations!S83+Operations!S84</f>
        <v>39.9658154697612</v>
      </c>
      <c r="T18" s="11" t="n">
        <f aca="false">Operations!T83+Operations!T84</f>
        <v>39.5657606056385</v>
      </c>
      <c r="U18" s="11" t="n">
        <f aca="false">Operations!U83+Operations!U84</f>
        <v>40.2263841354119</v>
      </c>
      <c r="V18" s="11" t="n">
        <f aca="false">Operations!V83+Operations!V84</f>
        <v>39.3760778631466</v>
      </c>
      <c r="W18" s="11" t="n">
        <f aca="false">Operations!W83+Operations!W84</f>
        <v>40.7572499960029</v>
      </c>
      <c r="X18" s="11" t="n">
        <f aca="false">Operations!X83+Operations!X84</f>
        <v>40.7273930346415</v>
      </c>
      <c r="Y18" s="11" t="n">
        <f aca="false">Operations!Y83+Operations!Y84</f>
        <v>41.8152506506651</v>
      </c>
      <c r="Z18" s="11" t="n">
        <f aca="false">Operations!Z83+Operations!Z84</f>
        <v>41.1016499166136</v>
      </c>
      <c r="AA18" s="11" t="n">
        <f aca="false">Operations!AA83+Operations!AA84</f>
        <v>42.3539334898275</v>
      </c>
      <c r="AB18" s="11" t="n">
        <f aca="false">Operations!AB83+Operations!AB84</f>
        <v>41.934668309636</v>
      </c>
      <c r="AC18" s="11" t="n">
        <f aca="false">Operations!AC83+Operations!AC84</f>
        <v>42.4743800596394</v>
      </c>
      <c r="AD18" s="11" t="n">
        <f aca="false">Operations!AD83+Operations!AD84</f>
        <v>41.0196400887051</v>
      </c>
      <c r="AE18" s="11" t="n">
        <f aca="false">Operations!AE83+Operations!AE84</f>
        <v>42.8701996283632</v>
      </c>
      <c r="AF18" s="11" t="n">
        <f aca="false">Operations!AF83+Operations!AF84</f>
        <v>43.1893819531027</v>
      </c>
      <c r="AG18" s="11" t="n">
        <f aca="false">Operations!AG83+Operations!AG84</f>
        <v>44.3515649652341</v>
      </c>
      <c r="AH18" s="11" t="n">
        <f aca="false">Operations!AH83+Operations!AH84</f>
        <v>43.5936740821658</v>
      </c>
      <c r="AI18" s="11" t="n">
        <f aca="false">Operations!AI83+Operations!AI84</f>
        <v>44.933434912635</v>
      </c>
      <c r="AJ18" s="11" t="n">
        <f aca="false">Operations!AJ83+Operations!AJ84</f>
        <v>44.493400110324</v>
      </c>
      <c r="AK18" s="11" t="n">
        <f aca="false">Operations!AK83+Operations!AK84</f>
        <v>45.2461535376313</v>
      </c>
      <c r="AL18" s="11" t="n">
        <f aca="false">Operations!AL83+Operations!AL84</f>
        <v>44.2724336924822</v>
      </c>
      <c r="AM18" s="11" t="n">
        <f aca="false">Operations!AM83+Operations!AM84</f>
        <v>45.8569853052588</v>
      </c>
      <c r="AN18" s="11" t="n">
        <f aca="false">Operations!AN83+Operations!AN84</f>
        <v>45.8486623237081</v>
      </c>
      <c r="AO18" s="11" t="n">
        <f aca="false">Operations!AO83+Operations!AO84</f>
        <v>47.0911468787458</v>
      </c>
      <c r="AP18" s="11" t="n">
        <f aca="false">Operations!AP83+Operations!AP84</f>
        <v>46.2854151230759</v>
      </c>
      <c r="AQ18" s="11" t="n">
        <f aca="false">Operations!AQ83+Operations!AQ84</f>
        <v>47.7196741281612</v>
      </c>
      <c r="AR18" s="11" t="n">
        <f aca="false">Operations!AR83+Operations!AR84</f>
        <v>47.2571844158611</v>
      </c>
      <c r="AS18" s="11" t="n">
        <f aca="false">Operations!AS83+Operations!AS84</f>
        <v>47.868985701349</v>
      </c>
      <c r="AT18" s="11" t="n">
        <f aca="false">Operations!AT83+Operations!AT84</f>
        <v>46.2124274358377</v>
      </c>
      <c r="AU18" s="11" t="n">
        <f aca="false">Operations!AU83+Operations!AU84</f>
        <v>48.3224473642097</v>
      </c>
      <c r="AV18" s="11" t="n">
        <f aca="false">Operations!AV83+Operations!AV84</f>
        <v>48.7210614856593</v>
      </c>
      <c r="AW18" s="11" t="n">
        <f aca="false">Operations!AW83+Operations!AW84</f>
        <v>50.0503032250736</v>
      </c>
      <c r="AX18" s="11" t="n">
        <f aca="false">Operations!AX83+Operations!AX84</f>
        <v>49.1928971300213</v>
      </c>
      <c r="AY18" s="11" t="n">
        <f aca="false">Operations!AY83+Operations!AY84</f>
        <v>50.7292370409446</v>
      </c>
      <c r="AZ18" s="11" t="n">
        <f aca="false">Operations!AZ83+Operations!AZ84</f>
        <v>50.2424710217369</v>
      </c>
      <c r="BA18" s="11" t="n">
        <f aca="false">Operations!BA83+Operations!BA84</f>
        <v>51.1027681543554</v>
      </c>
      <c r="BB18" s="11" t="n">
        <f aca="false">Operations!BB83+Operations!BB84</f>
        <v>49.9852515162904</v>
      </c>
      <c r="BC18" s="11" t="n">
        <f aca="false">Operations!BC83+Operations!BC84</f>
        <v>51.8070786917296</v>
      </c>
      <c r="BD18" s="11" t="n">
        <f aca="false">Operations!BD83+Operations!BD84</f>
        <v>51.8236761379752</v>
      </c>
      <c r="BE18" s="11" t="n">
        <f aca="false">Operations!BE83+Operations!BE84</f>
        <v>53.2466485513434</v>
      </c>
      <c r="BF18" s="11" t="n">
        <f aca="false">Operations!BF83+Operations!BF84</f>
        <v>52.3334295666833</v>
      </c>
      <c r="BG18" s="11" t="n">
        <f aca="false">Operations!BG83+Operations!BG84</f>
        <v>53.9800397047049</v>
      </c>
      <c r="BH18" s="11" t="n">
        <f aca="false">Operations!BH83+Operations!BH84</f>
        <v>53.4670289357615</v>
      </c>
      <c r="BI18" s="11" t="n">
        <f aca="false">Operations!BI83+Operations!BI84</f>
        <v>54.1630497830366</v>
      </c>
      <c r="BJ18" s="11" t="n">
        <f aca="false">Operations!BJ83+Operations!BJ84</f>
        <v>52.271011251921</v>
      </c>
      <c r="BK18" s="11" t="n">
        <f aca="false">Operations!BK83+Operations!BK84</f>
        <v>54.6840195757891</v>
      </c>
      <c r="BL18" s="11" t="n">
        <f aca="false">Operations!BL83+Operations!BL84</f>
        <v>55.1749739979681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49.2570267721488</v>
      </c>
      <c r="Z20" s="11" t="n">
        <f aca="false">MAX(0,-Z12)</f>
        <v>46.2144890110299</v>
      </c>
      <c r="AA20" s="11" t="n">
        <f aca="false">MAX(0,-AA12)</f>
        <v>42.7746139648535</v>
      </c>
      <c r="AB20" s="11" t="n">
        <f aca="false">MAX(0,-AB12)</f>
        <v>39.1194531344538</v>
      </c>
      <c r="AC20" s="11" t="n">
        <f aca="false">MAX(0,-AC12)</f>
        <v>35.0306966336906</v>
      </c>
      <c r="AD20" s="11" t="n">
        <f aca="false">MAX(0,-AD12)</f>
        <v>34.0266727708738</v>
      </c>
      <c r="AE20" s="11" t="n">
        <f aca="false">MAX(0,-AE12)</f>
        <v>29.5508762398164</v>
      </c>
      <c r="AF20" s="11" t="n">
        <f aca="false">MAX(0,-AF12)</f>
        <v>24.4109645347774</v>
      </c>
      <c r="AG20" s="11" t="n">
        <f aca="false">MAX(0,-AG12)</f>
        <v>18.828894669934</v>
      </c>
      <c r="AH20" s="11" t="n">
        <f aca="false">MAX(0,-AH12)</f>
        <v>12.849602613153</v>
      </c>
      <c r="AI20" s="11" t="n">
        <f aca="false">MAX(0,-AI12)</f>
        <v>6.33827139207353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904.656191323817</v>
      </c>
      <c r="R21" s="11" t="n">
        <f aca="false">R16+R17+R18+R19+R20</f>
        <v>905.018034929603</v>
      </c>
      <c r="S21" s="11" t="n">
        <f aca="false">S16+S17+S18+S19+S20</f>
        <v>870.659674632874</v>
      </c>
      <c r="T21" s="11" t="n">
        <f aca="false">T16+T17+T18+T19+T20</f>
        <v>858.781751311449</v>
      </c>
      <c r="U21" s="11" t="n">
        <f aca="false">U16+U17+U18+U19+U20</f>
        <v>848.862258891121</v>
      </c>
      <c r="V21" s="11" t="n">
        <f aca="false">V16+V17+V18+V19+V20</f>
        <v>833.536038261976</v>
      </c>
      <c r="W21" s="11" t="n">
        <f aca="false">W16+W17+W18+W19+W20</f>
        <v>822.10716631069</v>
      </c>
      <c r="X21" s="11" t="n">
        <f aca="false">X16+X17+X18+X19+X20</f>
        <v>811.980037130056</v>
      </c>
      <c r="Y21" s="11" t="n">
        <f aca="false">Y16+Y17+Y18+Y19+Y20</f>
        <v>801.010457147438</v>
      </c>
      <c r="Z21" s="11" t="n">
        <f aca="false">Z16+Z17+Z18+Z19+Z20</f>
        <v>782.196254395295</v>
      </c>
      <c r="AA21" s="11" t="n">
        <f aca="false">AA16+AA17+AA18+AA19+AA20</f>
        <v>765.678135696142</v>
      </c>
      <c r="AB21" s="11" t="n">
        <f aca="false">AB16+AB17+AB18+AB19+AB20</f>
        <v>746.098937452798</v>
      </c>
      <c r="AC21" s="11" t="n">
        <f aca="false">AC16+AC17+AC18+AC19+AC20</f>
        <v>728.436037386776</v>
      </c>
      <c r="AD21" s="11" t="n">
        <f aca="false">AD16+AD17+AD18+AD19+AD20</f>
        <v>696.732144364588</v>
      </c>
      <c r="AE21" s="11" t="n">
        <f aca="false">AE16+AE17+AE18+AE19+AE20</f>
        <v>676.524954649753</v>
      </c>
      <c r="AF21" s="11" t="n">
        <f aca="false">AF16+AF17+AF18+AF19+AF20</f>
        <v>654.086329816692</v>
      </c>
      <c r="AG21" s="11" t="n">
        <f aca="false">AG16+AG17+AG18+AG19+AG20</f>
        <v>632.537506560276</v>
      </c>
      <c r="AH21" s="11" t="n">
        <f aca="false">AH16+AH17+AH18+AH19+AH20</f>
        <v>607.821441593117</v>
      </c>
      <c r="AI21" s="11" t="n">
        <f aca="false">AI16+AI17+AI18+AI19+AI20</f>
        <v>584.842929461678</v>
      </c>
      <c r="AJ21" s="11" t="n">
        <f aca="false">AJ16+AJ17+AJ18+AJ19+AJ20</f>
        <v>559.361847319248</v>
      </c>
      <c r="AK21" s="11" t="n">
        <f aca="false">AK16+AK17+AK18+AK19+AK20</f>
        <v>541.200657217211</v>
      </c>
      <c r="AL21" s="11" t="n">
        <f aca="false">AL16+AL17+AL18+AL19+AL20</f>
        <v>519.42455346431</v>
      </c>
      <c r="AM21" s="11" t="n">
        <f aca="false">AM16+AM17+AM18+AM19+AM20</f>
        <v>499.838099431727</v>
      </c>
      <c r="AN21" s="11" t="n">
        <f aca="false">AN16+AN17+AN18+AN19+AN20</f>
        <v>485.217824981462</v>
      </c>
      <c r="AO21" s="11" t="n">
        <f aca="false">AO16+AO17+AO18+AO19+AO20</f>
        <v>453.168559827433</v>
      </c>
      <c r="AP21" s="11" t="n">
        <f aca="false">AP16+AP17+AP18+AP19+AP20</f>
        <v>437.976986110304</v>
      </c>
      <c r="AQ21" s="11" t="n">
        <f aca="false">AQ16+AQ17+AQ18+AQ19+AQ20</f>
        <v>425.025403153931</v>
      </c>
      <c r="AR21" s="11" t="n">
        <f aca="false">AR16+AR17+AR18+AR19+AR20</f>
        <v>410.177071480172</v>
      </c>
      <c r="AS21" s="11" t="n">
        <f aca="false">AS16+AS17+AS18+AS19+AS20</f>
        <v>396.403030804201</v>
      </c>
      <c r="AT21" s="11" t="n">
        <f aca="false">AT16+AT17+AT18+AT19+AT20</f>
        <v>363.925406978822</v>
      </c>
      <c r="AU21" s="11" t="n">
        <f aca="false">AU16+AU17+AU18+AU19+AU20</f>
        <v>349.301695860249</v>
      </c>
      <c r="AV21" s="11" t="n">
        <f aca="false">AV16+AV17+AV18+AV19+AV20</f>
        <v>333.556219935676</v>
      </c>
      <c r="AW21" s="11" t="n">
        <f aca="false">AW16+AW17+AW18+AW19+AW20</f>
        <v>318.741371629068</v>
      </c>
      <c r="AX21" s="11" t="n">
        <f aca="false">AX16+AX17+AX18+AX19+AX20</f>
        <v>301.739875487994</v>
      </c>
      <c r="AY21" s="11" t="n">
        <f aca="false">AY16+AY17+AY18+AY19+AY20</f>
        <v>287.132125352895</v>
      </c>
      <c r="AZ21" s="11" t="n">
        <f aca="false">AZ16+AZ17+AZ18+AZ19+AZ20</f>
        <v>270.501269287665</v>
      </c>
      <c r="BA21" s="11" t="n">
        <f aca="false">BA16+BA17+BA18+BA19+BA20</f>
        <v>255.71244476087</v>
      </c>
      <c r="BB21" s="11" t="n">
        <f aca="false">BB16+BB17+BB18+BB19+BB20</f>
        <v>235.824501324963</v>
      </c>
      <c r="BC21" s="11" t="n">
        <f aca="false">BC16+BC17+BC18+BC19+BC20</f>
        <v>222.430170526799</v>
      </c>
      <c r="BD21" s="11" t="n">
        <f aca="false">BD16+BD17+BD18+BD19+BD20</f>
        <v>210.041587847459</v>
      </c>
      <c r="BE21" s="11" t="n">
        <f aca="false">BE16+BE17+BE18+BE19+BE20</f>
        <v>199.07616425595</v>
      </c>
      <c r="BF21" s="11" t="n">
        <f aca="false">BF16+BF17+BF18+BF19+BF20</f>
        <v>185.791517008029</v>
      </c>
      <c r="BG21" s="11" t="n">
        <f aca="false">BG16+BG17+BG18+BG19+BG20</f>
        <v>175.083852254155</v>
      </c>
      <c r="BH21" s="11" t="n">
        <f aca="false">BH16+BH17+BH18+BH19+BH20</f>
        <v>162.233907625248</v>
      </c>
      <c r="BI21" s="11" t="n">
        <f aca="false">BI16+BI17+BI18+BI19+BI20</f>
        <v>150.610525358094</v>
      </c>
      <c r="BJ21" s="11" t="n">
        <f aca="false">BJ16+BJ17+BJ18+BJ19+BJ20</f>
        <v>116.856178719392</v>
      </c>
      <c r="BK21" s="11" t="n">
        <f aca="false">BK16+BK17+BK18+BK19+BK20</f>
        <v>104.191047524289</v>
      </c>
      <c r="BL21" s="11" t="n">
        <f aca="false">BL16+BL17+BL18+BL19+BL20</f>
        <v>89.6219748578928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401.04068879336</v>
      </c>
      <c r="AB22" s="11" t="n">
        <f aca="false">IF(Time!AB17&lt;Time!$F$11,SUMIFS(Funding!$J$73:$BJ$73,Construction!$J$12:$BJ$12,"&lt;="&amp;Time!AB17),Debt!AB123)</f>
        <v>372.095873538898</v>
      </c>
      <c r="AC22" s="11" t="n">
        <f aca="false">IF(Time!AC17&lt;Time!$F$11,SUMIFS(Funding!$J$73:$BJ$73,Construction!$J$12:$BJ$12,"&lt;="&amp;Time!AC17),Debt!AC123)</f>
        <v>343.176383491345</v>
      </c>
      <c r="AD22" s="11" t="n">
        <f aca="false">IF(Time!AD17&lt;Time!$F$11,SUMIFS(Funding!$J$73:$BJ$73,Construction!$J$12:$BJ$12,"&lt;="&amp;Time!AD17),Debt!AD123)</f>
        <v>311.310180386238</v>
      </c>
      <c r="AE22" s="11" t="n">
        <f aca="false">IF(Time!AE17&lt;Time!$F$11,SUMIFS(Funding!$J$73:$BJ$73,Construction!$J$12:$BJ$12,"&lt;="&amp;Time!AE17),Debt!AE123)</f>
        <v>278.440609602564</v>
      </c>
      <c r="AF22" s="11" t="n">
        <f aca="false">IF(Time!AF17&lt;Time!$F$11,SUMIFS(Funding!$J$73:$BJ$73,Construction!$J$12:$BJ$12,"&lt;="&amp;Time!AF17),Debt!AF123)</f>
        <v>244.612109474213</v>
      </c>
      <c r="AG22" s="11" t="n">
        <f aca="false">IF(Time!AG17&lt;Time!$F$11,SUMIFS(Funding!$J$73:$BJ$73,Construction!$J$12:$BJ$12,"&lt;="&amp;Time!AG17),Debt!AG123)</f>
        <v>210.847585713906</v>
      </c>
      <c r="AH22" s="11" t="n">
        <f aca="false">IF(Time!AH17&lt;Time!$F$11,SUMIFS(Funding!$J$73:$BJ$73,Construction!$J$12:$BJ$12,"&lt;="&amp;Time!AH17),Debt!AH123)</f>
        <v>175.647800038056</v>
      </c>
      <c r="AI22" s="11" t="n">
        <f aca="false">IF(Time!AI17&lt;Time!$F$11,SUMIFS(Funding!$J$73:$BJ$73,Construction!$J$12:$BJ$12,"&lt;="&amp;Time!AI17),Debt!AI123)</f>
        <v>140.389637555285</v>
      </c>
      <c r="AJ22" s="11" t="n">
        <f aca="false">IF(Time!AJ17&lt;Time!$F$11,SUMIFS(Funding!$J$73:$BJ$73,Construction!$J$12:$BJ$12,"&lt;="&amp;Time!AJ17),Debt!AJ123)</f>
        <v>104.108429091325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209.081732524021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219.094742618596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192.952576307738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189.657947781533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187.063474603382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183.213618867047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178.298325125619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174.447607492695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171.055150934918</v>
      </c>
      <c r="Z23" s="11" t="n">
        <f aca="false">IF(Time!Z17&lt;Time!$F$11,SUMIFS(Funding!$J$70:$BJ$70,Construction!$J$12:$BJ$12,"&lt;="&amp;Time!Z17)+SUMIFS(Funding!$J$71:$BJ$71,Construction!$J$12:$BJ$12,"&lt;="&amp;Time!Z17),Waterfall!Z36)</f>
        <v>166.941827898911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169.068619683351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170.477551308623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172.221890664332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172.821482923369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172.746708551043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171.977831610802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170.664383858565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168.1163541128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164.525883135579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159.131786536105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139.76162494428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116.794524432427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89.5272972341342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62.6941811715693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24.3718134600872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24.5180063656075</v>
      </c>
      <c r="R24" s="11" t="n">
        <f aca="false">Operations!R85+Operations!R86+Operations!R87+Operations!R88+Operations!R89</f>
        <v>24.0356726672915</v>
      </c>
      <c r="S24" s="11" t="n">
        <f aca="false">Operations!S85+Operations!S86+Operations!S87+Operations!S88+Operations!S89</f>
        <v>24.9218996942907</v>
      </c>
      <c r="T24" s="11" t="n">
        <f aca="false">Operations!T85+Operations!T86+Operations!T87+Operations!T88+Operations!T89</f>
        <v>24.7136155952252</v>
      </c>
      <c r="U24" s="11" t="n">
        <f aca="false">Operations!U85+Operations!U86+Operations!U87+Operations!U88+Operations!U89</f>
        <v>25.1633839997169</v>
      </c>
      <c r="V24" s="11" t="n">
        <f aca="false">Operations!V85+Operations!V86+Operations!V87+Operations!V88+Operations!V89</f>
        <v>24.4248458625065</v>
      </c>
      <c r="W24" s="11" t="n">
        <f aca="false">Operations!W85+Operations!W86+Operations!W87+Operations!W88+Operations!W89</f>
        <v>25.5169470328288</v>
      </c>
      <c r="X24" s="11" t="n">
        <f aca="false">Operations!X85+Operations!X86+Operations!X87+Operations!X88+Operations!X89</f>
        <v>25.6816262661563</v>
      </c>
      <c r="Y24" s="11" t="n">
        <f aca="false">Operations!Y85+Operations!Y86+Operations!Y87+Operations!Y88+Operations!Y89</f>
        <v>26.4766595472827</v>
      </c>
      <c r="Z24" s="11" t="n">
        <f aca="false">Operations!Z85+Operations!Z86+Operations!Z87+Operations!Z88+Operations!Z89</f>
        <v>25.9551221576739</v>
      </c>
      <c r="AA24" s="11" t="n">
        <f aca="false">Operations!AA85+Operations!AA86+Operations!AA87+Operations!AA88+Operations!AA89</f>
        <v>26.9127737530683</v>
      </c>
      <c r="AB24" s="11" t="n">
        <f aca="false">Operations!AB85+Operations!AB86+Operations!AB87+Operations!AB88+Operations!AB89</f>
        <v>26.6876223159384</v>
      </c>
      <c r="AC24" s="11" t="n">
        <f aca="false">Operations!AC85+Operations!AC86+Operations!AC87+Operations!AC88+Operations!AC89</f>
        <v>27.0071627040619</v>
      </c>
      <c r="AD24" s="11" t="n">
        <f aca="false">Operations!AD85+Operations!AD86+Operations!AD87+Operations!AD88+Operations!AD89</f>
        <v>25.8867080513958</v>
      </c>
      <c r="AE24" s="11" t="n">
        <f aca="false">Operations!AE85+Operations!AE86+Operations!AE87+Operations!AE88+Operations!AE89</f>
        <v>27.2143039527818</v>
      </c>
      <c r="AF24" s="11" t="n">
        <f aca="false">Operations!AF85+Operations!AF86+Operations!AF87+Operations!AF88+Operations!AF89</f>
        <v>27.7330896507897</v>
      </c>
      <c r="AG24" s="11" t="n">
        <f aca="false">Operations!AG85+Operations!AG86+Operations!AG87+Operations!AG88+Operations!AG89</f>
        <v>28.592055515712</v>
      </c>
      <c r="AH24" s="11" t="n">
        <f aca="false">Operations!AH85+Operations!AH86+Operations!AH87+Operations!AH88+Operations!AH89</f>
        <v>28.0281435930388</v>
      </c>
      <c r="AI24" s="11" t="n">
        <f aca="false">Operations!AI85+Operations!AI86+Operations!AI87+Operations!AI88+Operations!AI89</f>
        <v>29.0629541561667</v>
      </c>
      <c r="AJ24" s="11" t="n">
        <f aca="false">Operations!AJ85+Operations!AJ86+Operations!AJ87+Operations!AJ88+Operations!AJ89</f>
        <v>28.8195720366516</v>
      </c>
      <c r="AK24" s="11" t="n">
        <f aca="false">Operations!AK85+Operations!AK86+Operations!AK87+Operations!AK88+Operations!AK89</f>
        <v>29.3438855442619</v>
      </c>
      <c r="AL24" s="11" t="n">
        <f aca="false">Operations!AL85+Operations!AL86+Operations!AL87+Operations!AL88+Operations!AL89</f>
        <v>28.4803501681542</v>
      </c>
      <c r="AM24" s="11" t="n">
        <f aca="false">Operations!AM85+Operations!AM86+Operations!AM87+Operations!AM88+Operations!AM89</f>
        <v>29.7558594919255</v>
      </c>
      <c r="AN24" s="11" t="n">
        <f aca="false">Operations!AN85+Operations!AN86+Operations!AN87+Operations!AN88+Operations!AN89</f>
        <v>29.9486733388028</v>
      </c>
      <c r="AO24" s="11" t="n">
        <f aca="false">Operations!AO85+Operations!AO86+Operations!AO87+Operations!AO88+Operations!AO89</f>
        <v>30.8766954660342</v>
      </c>
      <c r="AP24" s="11" t="n">
        <f aca="false">Operations!AP85+Operations!AP86+Operations!AP87+Operations!AP88+Operations!AP89</f>
        <v>30.2669838512525</v>
      </c>
      <c r="AQ24" s="11" t="n">
        <f aca="false">Operations!AQ85+Operations!AQ86+Operations!AQ87+Operations!AQ88+Operations!AQ89</f>
        <v>31.3851451764281</v>
      </c>
      <c r="AR24" s="11" t="n">
        <f aca="false">Operations!AR85+Operations!AR86+Operations!AR87+Operations!AR88+Operations!AR89</f>
        <v>31.1220598475268</v>
      </c>
      <c r="AS24" s="11" t="n">
        <f aca="false">Operations!AS85+Operations!AS86+Operations!AS87+Operations!AS88+Operations!AS89</f>
        <v>31.4939347799663</v>
      </c>
      <c r="AT24" s="11" t="n">
        <f aca="false">Operations!AT85+Operations!AT86+Operations!AT87+Operations!AT88+Operations!AT89</f>
        <v>30.1840599587228</v>
      </c>
      <c r="AU24" s="11" t="n">
        <f aca="false">Operations!AU85+Operations!AU86+Operations!AU87+Operations!AU88+Operations!AU89</f>
        <v>31.7345643987041</v>
      </c>
      <c r="AV24" s="11" t="n">
        <f aca="false">Operations!AV85+Operations!AV86+Operations!AV87+Operations!AV88+Operations!AV89</f>
        <v>32.3414626931107</v>
      </c>
      <c r="AW24" s="11" t="n">
        <f aca="false">Operations!AW85+Operations!AW86+Operations!AW87+Operations!AW88+Operations!AW89</f>
        <v>33.3440727703294</v>
      </c>
      <c r="AX24" s="11" t="n">
        <f aca="false">Operations!AX85+Operations!AX86+Operations!AX87+Operations!AX88+Operations!AX89</f>
        <v>32.6848617778116</v>
      </c>
      <c r="AY24" s="11" t="n">
        <f aca="false">Operations!AY85+Operations!AY86+Operations!AY87+Operations!AY88+Operations!AY89</f>
        <v>33.893059256173</v>
      </c>
      <c r="AZ24" s="11" t="n">
        <f aca="false">Operations!AZ85+Operations!AZ86+Operations!AZ87+Operations!AZ88+Operations!AZ89</f>
        <v>33.6086803535744</v>
      </c>
      <c r="BA24" s="11" t="n">
        <f aca="false">Operations!BA85+Operations!BA86+Operations!BA87+Operations!BA88+Operations!BA89</f>
        <v>34.2198658737174</v>
      </c>
      <c r="BB24" s="11" t="n">
        <f aca="false">Operations!BB85+Operations!BB86+Operations!BB87+Operations!BB88+Operations!BB89</f>
        <v>33.2103277668406</v>
      </c>
      <c r="BC24" s="11" t="n">
        <f aca="false">Operations!BC85+Operations!BC86+Operations!BC87+Operations!BC88+Operations!BC89</f>
        <v>34.699894572303</v>
      </c>
      <c r="BD24" s="11" t="n">
        <f aca="false">Operations!BD85+Operations!BD86+Operations!BD87+Operations!BD88+Operations!BD89</f>
        <v>34.9255812586603</v>
      </c>
      <c r="BE24" s="11" t="n">
        <f aca="false">Operations!BE85+Operations!BE86+Operations!BE87+Operations!BE88+Operations!BE89</f>
        <v>36.0087512247512</v>
      </c>
      <c r="BF24" s="11" t="n">
        <f aca="false">Operations!BF85+Operations!BF86+Operations!BF87+Operations!BF88+Operations!BF89</f>
        <v>35.2960448437227</v>
      </c>
      <c r="BG24" s="11" t="n">
        <f aca="false">Operations!BG85+Operations!BG86+Operations!BG87+Operations!BG88+Operations!BG89</f>
        <v>36.6014965043704</v>
      </c>
      <c r="BH24" s="11" t="n">
        <f aca="false">Operations!BH85+Operations!BH86+Operations!BH87+Operations!BH88+Operations!BH89</f>
        <v>36.2941064937431</v>
      </c>
      <c r="BI24" s="11" t="n">
        <f aca="false">Operations!BI85+Operations!BI86+Operations!BI87+Operations!BI88+Operations!BI89</f>
        <v>36.7268870957975</v>
      </c>
      <c r="BJ24" s="11" t="n">
        <f aca="false">Operations!BJ85+Operations!BJ86+Operations!BJ87+Operations!BJ88+Operations!BJ89</f>
        <v>35.1957961242074</v>
      </c>
      <c r="BK24" s="11" t="n">
        <f aca="false">Operations!BK85+Operations!BK86+Operations!BK87+Operations!BK88+Operations!BK89</f>
        <v>37.0064440607541</v>
      </c>
      <c r="BL24" s="11" t="n">
        <f aca="false">Operations!BL85+Operations!BL86+Operations!BL87+Operations!BL88+Operations!BL89</f>
        <v>37.7162726074615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0.602408787480992</v>
      </c>
      <c r="AK25" s="11" t="n">
        <f aca="false">MAX(0,AK12)</f>
        <v>8.12549509794899</v>
      </c>
      <c r="AL25" s="11" t="n">
        <f aca="false">MAX(0,AL12)</f>
        <v>15.312473112525</v>
      </c>
      <c r="AM25" s="11" t="n">
        <f aca="false">MAX(0,AM12)</f>
        <v>23.9396428076249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25.0687045049165</v>
      </c>
      <c r="R27" s="16" t="n">
        <f aca="false">Waterfall!R43</f>
        <v>32.8404330598742</v>
      </c>
      <c r="S27" s="16" t="n">
        <f aca="false">Waterfall!S43</f>
        <v>41.1777843293043</v>
      </c>
      <c r="T27" s="16" t="n">
        <f aca="false">Waterfall!T43</f>
        <v>51.0447691909112</v>
      </c>
      <c r="U27" s="16" t="n">
        <f aca="false">Waterfall!U43</f>
        <v>62.0937464538606</v>
      </c>
      <c r="V27" s="16" t="n">
        <f aca="false">Waterfall!V43</f>
        <v>71.4094278700075</v>
      </c>
      <c r="W27" s="16" t="n">
        <f aca="false">Waterfall!W43</f>
        <v>84.4702800989286</v>
      </c>
      <c r="X27" s="16" t="n">
        <f aca="false">Waterfall!X43</f>
        <v>98.1220648536268</v>
      </c>
      <c r="Y27" s="16" t="n">
        <f aca="false">Waterfall!Y43</f>
        <v>109.852238375431</v>
      </c>
      <c r="Z27" s="16" t="n">
        <f aca="false">Waterfall!Z43</f>
        <v>116.608024707206</v>
      </c>
      <c r="AA27" s="16" t="n">
        <f aca="false">Waterfall!AA43</f>
        <v>124.289299949551</v>
      </c>
      <c r="AB27" s="16" t="n">
        <f aca="false">Waterfall!AB43</f>
        <v>132.471136772527</v>
      </c>
      <c r="AC27" s="16" t="n">
        <f aca="false">Waterfall!AC43</f>
        <v>141.663847010226</v>
      </c>
      <c r="AD27" s="16" t="n">
        <f aca="false">Waterfall!AD43</f>
        <v>142.347019486773</v>
      </c>
      <c r="AE27" s="16" t="n">
        <f aca="false">Waterfall!AE43</f>
        <v>153.756579026552</v>
      </c>
      <c r="AF27" s="16" t="n">
        <f aca="false">Waterfall!AF43</f>
        <v>165.396545564076</v>
      </c>
      <c r="AG27" s="16" t="n">
        <f aca="false">Waterfall!AG43</f>
        <v>178.066727955281</v>
      </c>
      <c r="AH27" s="16" t="n">
        <f aca="false">Waterfall!AH43</f>
        <v>191.66239033241</v>
      </c>
      <c r="AI27" s="16" t="n">
        <f aca="false">Waterfall!AI43</f>
        <v>206.497701097836</v>
      </c>
      <c r="AJ27" s="16" t="n">
        <f aca="false">Waterfall!AJ43</f>
        <v>222.332897350874</v>
      </c>
      <c r="AK27" s="16" t="n">
        <f aca="false">Waterfall!AK43</f>
        <v>239.525830576725</v>
      </c>
      <c r="AL27" s="16" t="n">
        <f aca="false">Waterfall!AL43</f>
        <v>255.933771281184</v>
      </c>
      <c r="AM27" s="16" t="n">
        <f aca="false">Waterfall!AM43</f>
        <v>275.699968231899</v>
      </c>
      <c r="AN27" s="16" t="n">
        <f aca="false">Waterfall!AN43</f>
        <v>296.834112428218</v>
      </c>
      <c r="AO27" s="16" t="n">
        <f aca="false">Waterfall!AO43</f>
        <v>319.5838233592</v>
      </c>
      <c r="AP27" s="16" t="n">
        <f aca="false">Waterfall!AP43</f>
        <v>328.369750854124</v>
      </c>
      <c r="AQ27" s="16" t="n">
        <f aca="false">Waterfall!AQ43</f>
        <v>313.295982709758</v>
      </c>
      <c r="AR27" s="16" t="n">
        <f aca="false">Waterfall!AR43</f>
        <v>297.706712502084</v>
      </c>
      <c r="AS27" s="16" t="n">
        <f aca="false">Waterfall!AS43</f>
        <v>282.556773030857</v>
      </c>
      <c r="AT27" s="16" t="n">
        <f aca="false">Waterfall!AT43</f>
        <v>250.385000163905</v>
      </c>
      <c r="AU27" s="16" t="n">
        <f aca="false">Waterfall!AU43</f>
        <v>233.206760742533</v>
      </c>
      <c r="AV27" s="16" t="n">
        <f aca="false">Waterfall!AV43</f>
        <v>215.850362660737</v>
      </c>
      <c r="AW27" s="16" t="n">
        <f aca="false">Waterfall!AW43</f>
        <v>199.028880414094</v>
      </c>
      <c r="AX27" s="16" t="n">
        <f aca="false">Waterfall!AX43</f>
        <v>181.68257140272</v>
      </c>
      <c r="AY27" s="16" t="n">
        <f aca="false">Waterfall!AY43</f>
        <v>164.862599926443</v>
      </c>
      <c r="AZ27" s="16" t="n">
        <f aca="false">Waterfall!AZ43</f>
        <v>147.512098900995</v>
      </c>
      <c r="BA27" s="16" t="n">
        <f aca="false">Waterfall!BA43</f>
        <v>131.108064991241</v>
      </c>
      <c r="BB27" s="16" t="n">
        <f aca="false">Waterfall!BB43</f>
        <v>111.225635799394</v>
      </c>
      <c r="BC27" s="16" t="n">
        <f aca="false">Waterfall!BC43</f>
        <v>97.2620934033494</v>
      </c>
      <c r="BD27" s="16" t="n">
        <f aca="false">Waterfall!BD43</f>
        <v>89.4169373860313</v>
      </c>
      <c r="BE27" s="16" t="n">
        <f aca="false">Waterfall!BE43</f>
        <v>82.1374571768112</v>
      </c>
      <c r="BF27" s="16" t="n">
        <f aca="false">Waterfall!BF43</f>
        <v>74.3346296582984</v>
      </c>
      <c r="BG27" s="16" t="n">
        <f aca="false">Waterfall!BG43</f>
        <v>67.090626592156</v>
      </c>
      <c r="BH27" s="16" t="n">
        <f aca="false">Waterfall!BH43</f>
        <v>59.3171853222553</v>
      </c>
      <c r="BI27" s="16" t="n">
        <f aca="false">Waterfall!BI43</f>
        <v>52.0301358014264</v>
      </c>
      <c r="BJ27" s="16" t="n">
        <f aca="false">Waterfall!BJ43</f>
        <v>24.5759934826946</v>
      </c>
      <c r="BK27" s="16" t="n">
        <f aca="false">Waterfall!BK43</f>
        <v>14.8693276994241</v>
      </c>
      <c r="BL27" s="16" t="n">
        <f aca="false">Waterfall!BL43</f>
        <v>4.35953983470006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904.656191323816</v>
      </c>
      <c r="R28" s="11" t="n">
        <f aca="false">R22+R23+R24+R25+R26+R27</f>
        <v>905.018034929602</v>
      </c>
      <c r="S28" s="11" t="n">
        <f aca="false">S22+S23+S24+S25+S26+S27</f>
        <v>870.659674632874</v>
      </c>
      <c r="T28" s="11" t="n">
        <f aca="false">T22+T23+T24+T25+T26+T27</f>
        <v>858.781751311449</v>
      </c>
      <c r="U28" s="11" t="n">
        <f aca="false">U22+U23+U24+U25+U26+U27</f>
        <v>848.862258891121</v>
      </c>
      <c r="V28" s="11" t="n">
        <f aca="false">V22+V23+V24+V25+V26+V27</f>
        <v>833.536038261976</v>
      </c>
      <c r="W28" s="11" t="n">
        <f aca="false">W22+W23+W24+W25+W26+W27</f>
        <v>822.10716631069</v>
      </c>
      <c r="X28" s="11" t="n">
        <f aca="false">X22+X23+X24+X25+X26+X27</f>
        <v>811.980037130056</v>
      </c>
      <c r="Y28" s="11" t="n">
        <f aca="false">Y22+Y23+Y24+Y25+Y26+Y27</f>
        <v>801.010457147437</v>
      </c>
      <c r="Z28" s="11" t="n">
        <f aca="false">Z22+Z23+Z24+Z25+Z26+Z27</f>
        <v>782.196254395295</v>
      </c>
      <c r="AA28" s="11" t="n">
        <f aca="false">AA22+AA23+AA24+AA25+AA26+AA27</f>
        <v>765.678135696142</v>
      </c>
      <c r="AB28" s="11" t="n">
        <f aca="false">AB22+AB23+AB24+AB25+AB26+AB27</f>
        <v>746.098937452798</v>
      </c>
      <c r="AC28" s="11" t="n">
        <f aca="false">AC22+AC23+AC24+AC25+AC26+AC27</f>
        <v>728.436037386776</v>
      </c>
      <c r="AD28" s="11" t="n">
        <f aca="false">AD22+AD23+AD24+AD25+AD26+AD27</f>
        <v>696.732144364587</v>
      </c>
      <c r="AE28" s="11" t="n">
        <f aca="false">AE22+AE23+AE24+AE25+AE26+AE27</f>
        <v>676.524954649752</v>
      </c>
      <c r="AF28" s="11" t="n">
        <f aca="false">AF22+AF23+AF24+AF25+AF26+AF27</f>
        <v>654.086329816692</v>
      </c>
      <c r="AG28" s="11" t="n">
        <f aca="false">AG22+AG23+AG24+AG25+AG26+AG27</f>
        <v>632.537506560276</v>
      </c>
      <c r="AH28" s="11" t="n">
        <f aca="false">AH22+AH23+AH24+AH25+AH26+AH27</f>
        <v>607.821441593117</v>
      </c>
      <c r="AI28" s="11" t="n">
        <f aca="false">AI22+AI23+AI24+AI25+AI26+AI27</f>
        <v>584.842929461678</v>
      </c>
      <c r="AJ28" s="11" t="n">
        <f aca="false">AJ22+AJ23+AJ24+AJ25+AJ26+AJ27</f>
        <v>559.361847319248</v>
      </c>
      <c r="AK28" s="11" t="n">
        <f aca="false">AK22+AK23+AK24+AK25+AK26+AK27</f>
        <v>541.200657217211</v>
      </c>
      <c r="AL28" s="11" t="n">
        <f aca="false">AL22+AL23+AL24+AL25+AL26+AL27</f>
        <v>519.42455346431</v>
      </c>
      <c r="AM28" s="11" t="n">
        <f aca="false">AM22+AM23+AM24+AM25+AM26+AM27</f>
        <v>499.838099431727</v>
      </c>
      <c r="AN28" s="11" t="n">
        <f aca="false">AN22+AN23+AN24+AN25+AN26+AN27</f>
        <v>485.217824981461</v>
      </c>
      <c r="AO28" s="11" t="n">
        <f aca="false">AO22+AO23+AO24+AO25+AO26+AO27</f>
        <v>453.168559827432</v>
      </c>
      <c r="AP28" s="11" t="n">
        <f aca="false">AP22+AP23+AP24+AP25+AP26+AP27</f>
        <v>437.976986110304</v>
      </c>
      <c r="AQ28" s="11" t="n">
        <f aca="false">AQ22+AQ23+AQ24+AQ25+AQ26+AQ27</f>
        <v>425.02540315393</v>
      </c>
      <c r="AR28" s="11" t="n">
        <f aca="false">AR22+AR23+AR24+AR25+AR26+AR27</f>
        <v>410.177071480172</v>
      </c>
      <c r="AS28" s="11" t="n">
        <f aca="false">AS22+AS23+AS24+AS25+AS26+AS27</f>
        <v>396.403030804201</v>
      </c>
      <c r="AT28" s="11" t="n">
        <f aca="false">AT22+AT23+AT24+AT25+AT26+AT27</f>
        <v>363.925406978822</v>
      </c>
      <c r="AU28" s="11" t="n">
        <f aca="false">AU22+AU23+AU24+AU25+AU26+AU27</f>
        <v>349.301695860249</v>
      </c>
      <c r="AV28" s="11" t="n">
        <f aca="false">AV22+AV23+AV24+AV25+AV26+AV27</f>
        <v>333.556219935676</v>
      </c>
      <c r="AW28" s="11" t="n">
        <f aca="false">AW22+AW23+AW24+AW25+AW26+AW27</f>
        <v>318.741371629068</v>
      </c>
      <c r="AX28" s="11" t="n">
        <f aca="false">AX22+AX23+AX24+AX25+AX26+AX27</f>
        <v>301.739875487994</v>
      </c>
      <c r="AY28" s="11" t="n">
        <f aca="false">AY22+AY23+AY24+AY25+AY26+AY27</f>
        <v>287.132125352895</v>
      </c>
      <c r="AZ28" s="11" t="n">
        <f aca="false">AZ22+AZ23+AZ24+AZ25+AZ26+AZ27</f>
        <v>270.501269287665</v>
      </c>
      <c r="BA28" s="11" t="n">
        <f aca="false">BA22+BA23+BA24+BA25+BA26+BA27</f>
        <v>255.71244476087</v>
      </c>
      <c r="BB28" s="11" t="n">
        <f aca="false">BB22+BB23+BB24+BB25+BB26+BB27</f>
        <v>235.824501324963</v>
      </c>
      <c r="BC28" s="11" t="n">
        <f aca="false">BC22+BC23+BC24+BC25+BC26+BC27</f>
        <v>222.430170526799</v>
      </c>
      <c r="BD28" s="11" t="n">
        <f aca="false">BD22+BD23+BD24+BD25+BD26+BD27</f>
        <v>210.041587847459</v>
      </c>
      <c r="BE28" s="11" t="n">
        <f aca="false">BE22+BE23+BE24+BE25+BE26+BE27</f>
        <v>199.07616425595</v>
      </c>
      <c r="BF28" s="11" t="n">
        <f aca="false">BF22+BF23+BF24+BF25+BF26+BF27</f>
        <v>185.791517008029</v>
      </c>
      <c r="BG28" s="11" t="n">
        <f aca="false">BG22+BG23+BG24+BG25+BG26+BG27</f>
        <v>175.083852254155</v>
      </c>
      <c r="BH28" s="11" t="n">
        <f aca="false">BH22+BH23+BH24+BH25+BH26+BH27</f>
        <v>162.233907625248</v>
      </c>
      <c r="BI28" s="11" t="n">
        <f aca="false">BI22+BI23+BI24+BI25+BI26+BI27</f>
        <v>150.610525358093</v>
      </c>
      <c r="BJ28" s="11" t="n">
        <f aca="false">BJ22+BJ23+BJ24+BJ25+BJ26+BJ27</f>
        <v>116.856178719392</v>
      </c>
      <c r="BK28" s="11" t="n">
        <f aca="false">BK22+BK23+BK24+BK25+BK26+BK27</f>
        <v>104.191047524289</v>
      </c>
      <c r="BL28" s="11" t="n">
        <f aca="false">BL22+BL23+BL24+BL25+BL26+BL27</f>
        <v>89.6219748578927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0.0352778174789543</v>
      </c>
      <c r="AC7" s="14" t="n">
        <f aca="false">IF(Debt!AC122&gt;0.000000001,Debt!AC119/Debt!AC122,0)</f>
        <v>0.0347816508000739</v>
      </c>
      <c r="AD7" s="14" t="n">
        <f aca="false">IF(Debt!AD122&gt;0.000000001,Debt!AD119/Debt!AD122,0)</f>
        <v>0.0347712892377407</v>
      </c>
      <c r="AE7" s="14" t="n">
        <f aca="false">IF(Debt!AE122&gt;0.000000001,Debt!AE119/Debt!AE122,0)</f>
        <v>0.0340661359821609</v>
      </c>
      <c r="AF7" s="14" t="n">
        <f aca="false">IF(Debt!AF122&gt;0.000000001,Debt!AF119/Debt!AF122,0)</f>
        <v>0.0339882799595085</v>
      </c>
      <c r="AG7" s="14" t="n">
        <f aca="false">IF(Debt!AG122&gt;0.000000001,Debt!AG119/Debt!AG122,0)</f>
        <v>0.0339084609725229</v>
      </c>
      <c r="AH7" s="14" t="n">
        <f aca="false">IF(Debt!AH122&gt;0.000000001,Debt!AH119/Debt!AH122,0)</f>
        <v>0.0334574547716304</v>
      </c>
      <c r="AI7" s="14" t="n">
        <f aca="false">IF(Debt!AI122&gt;0.000000001,Debt!AI119/Debt!AI122,0)</f>
        <v>0.0320497008126367</v>
      </c>
      <c r="AJ7" s="14" t="n">
        <f aca="false">IF(Debt!AJ122&gt;0.000000001,Debt!AJ119/Debt!AJ122,0)</f>
        <v>0.0307275267640063</v>
      </c>
      <c r="AK7" s="14" t="n">
        <f aca="false">IF(Debt!AK122&gt;0.000000001,Debt!AK119/Debt!AK122,0)</f>
        <v>0.0279228958033142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0.0352778174789543</v>
      </c>
      <c r="AC10" s="14" t="n">
        <f aca="false">IF(AC7&gt;0,AC7,$F$9)</f>
        <v>0.0347816508000739</v>
      </c>
      <c r="AD10" s="14" t="n">
        <f aca="false">IF(AD7&gt;0,AD7,$F$9)</f>
        <v>0.0347712892377407</v>
      </c>
      <c r="AE10" s="14" t="n">
        <f aca="false">IF(AE7&gt;0,AE7,$F$9)</f>
        <v>0.0340661359821609</v>
      </c>
      <c r="AF10" s="14" t="n">
        <f aca="false">IF(AF7&gt;0,AF7,$F$9)</f>
        <v>0.0339882799595085</v>
      </c>
      <c r="AG10" s="14" t="n">
        <f aca="false">IF(AG7&gt;0,AG7,$F$9)</f>
        <v>0.0339084609725229</v>
      </c>
      <c r="AH10" s="14" t="n">
        <f aca="false">IF(AH7&gt;0,AH7,$F$9)</f>
        <v>0.0334574547716304</v>
      </c>
      <c r="AI10" s="14" t="n">
        <f aca="false">IF(AI7&gt;0,AI7,$F$9)</f>
        <v>0.0320497008126367</v>
      </c>
      <c r="AJ10" s="14" t="n">
        <f aca="false">IF(AJ7&gt;0,AJ7,$F$9)</f>
        <v>0.0307275267640063</v>
      </c>
      <c r="AK10" s="14" t="n">
        <f aca="false">IF(AK7&gt;0,AK7,$F$9)</f>
        <v>0.0279228958033142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725.18029591129</v>
      </c>
      <c r="K11" s="11" t="n">
        <f aca="false">IF(Time!K17&lt;=$F$8,(Waterfall!K7+L11)/(1+K10),0)</f>
        <v>744.768819279281</v>
      </c>
      <c r="L11" s="11" t="n">
        <f aca="false">IF(Time!L17&lt;=$F$8,(Waterfall!L7+M11)/(1+L10),0)</f>
        <v>764.88646657673</v>
      </c>
      <c r="M11" s="11" t="n">
        <f aca="false">IF(Time!M17&lt;=$F$8,(Waterfall!M7+N11)/(1+M10),0)</f>
        <v>785.547530465084</v>
      </c>
      <c r="N11" s="11" t="n">
        <f aca="false">IF(Time!N17&lt;=$F$8,(Waterfall!N7+O11)/(1+N10),0)</f>
        <v>806.766689678237</v>
      </c>
      <c r="O11" s="11" t="n">
        <f aca="false">IF(Time!O17&lt;=$F$8,(Waterfall!O7+P11)/(1+O10),0)</f>
        <v>828.559019451097</v>
      </c>
      <c r="P11" s="11" t="n">
        <f aca="false">IF(Time!P17&lt;=$F$8,(Waterfall!P7+Q11)/(1+P10),0)</f>
        <v>849.067755032022</v>
      </c>
      <c r="Q11" s="11" t="n">
        <f aca="false">IF(Time!Q17&lt;=$F$8,(Waterfall!Q7+R11)/(1+Q10),0)</f>
        <v>827.956419386286</v>
      </c>
      <c r="R11" s="11" t="n">
        <f aca="false">IF(Time!R17&lt;=$F$8,(Waterfall!R7+S11)/(1+R10),0)</f>
        <v>839.361842689564</v>
      </c>
      <c r="S11" s="11" t="n">
        <f aca="false">IF(Time!S17&lt;=$F$8,(Waterfall!S7+T11)/(1+S10),0)</f>
        <v>817.839800198153</v>
      </c>
      <c r="T11" s="11" t="n">
        <f aca="false">IF(Time!T17&lt;=$F$8,(Waterfall!T7+U11)/(1+T10),0)</f>
        <v>763.62896150533</v>
      </c>
      <c r="U11" s="11" t="n">
        <f aca="false">IF(Time!U17&lt;=$F$8,(Waterfall!U7+V11)/(1+U10),0)</f>
        <v>739.786706630206</v>
      </c>
      <c r="V11" s="11" t="n">
        <f aca="false">IF(Time!V17&lt;=$F$8,(Waterfall!V7+W11)/(1+V10),0)</f>
        <v>715.182103283724</v>
      </c>
      <c r="W11" s="11" t="n">
        <f aca="false">IF(Time!W17&lt;=$F$8,(Waterfall!W7+X11)/(1+W10),0)</f>
        <v>688.947875481761</v>
      </c>
      <c r="X11" s="11" t="n">
        <f aca="false">IF(Time!X17&lt;=$F$8,(Waterfall!X7+Y11)/(1+X10),0)</f>
        <v>661.915870590877</v>
      </c>
      <c r="Y11" s="11" t="n">
        <f aca="false">IF(Time!Y17&lt;=$F$8,(Waterfall!Y7+Z11)/(1+Y10),0)</f>
        <v>635.721386621502</v>
      </c>
      <c r="Z11" s="11" t="n">
        <f aca="false">IF(Time!Z17&lt;=$F$8,(Waterfall!Z7+AA11)/(1+Z10),0)</f>
        <v>609.544369283672</v>
      </c>
      <c r="AA11" s="11" t="n">
        <f aca="false">IF(Time!AA17&lt;=$F$8,(Waterfall!AA7+AB11)/(1+AA10),0)</f>
        <v>582.286745503133</v>
      </c>
      <c r="AB11" s="11" t="n">
        <f aca="false">IF(Time!AB17&lt;=$F$8,(Waterfall!AB7+AC11)/(1+AB10),0)</f>
        <v>554.23660513838</v>
      </c>
      <c r="AC11" s="11" t="n">
        <f aca="false">IF(Time!AC17&lt;=$F$8,(Waterfall!AC7+AD11)/(1+AC10),0)</f>
        <v>524.752157137081</v>
      </c>
      <c r="AD11" s="11" t="n">
        <f aca="false">IF(Time!AD17&lt;=$F$8,(Waterfall!AD7+AE11)/(1+AD10),0)</f>
        <v>494.164012553336</v>
      </c>
      <c r="AE11" s="11" t="n">
        <f aca="false">IF(Time!AE17&lt;=$F$8,(Waterfall!AE7+AF11)/(1+AE10),0)</f>
        <v>460.574601988358</v>
      </c>
      <c r="AF11" s="11" t="n">
        <f aca="false">IF(Time!AF17&lt;=$F$8,(Waterfall!AF7+AG11)/(1+AF10),0)</f>
        <v>425.421791554452</v>
      </c>
      <c r="AG11" s="11" t="n">
        <f aca="false">IF(Time!AG17&lt;=$F$8,(Waterfall!AG7+AH11)/(1+AG10),0)</f>
        <v>388.926733543243</v>
      </c>
      <c r="AH11" s="11" t="n">
        <f aca="false">IF(Time!AH17&lt;=$F$8,(Waterfall!AH7+AI11)/(1+AH10),0)</f>
        <v>351.53107716902</v>
      </c>
      <c r="AI11" s="11" t="n">
        <f aca="false">IF(Time!AI17&lt;=$F$8,(Waterfall!AI7+AJ11)/(1+AI10),0)</f>
        <v>312.057564756124</v>
      </c>
      <c r="AJ11" s="11" t="n">
        <f aca="false">IF(Time!AJ17&lt;=$F$8,(Waterfall!AJ7+AK11)/(1+AJ10),0)</f>
        <v>271.229569738726</v>
      </c>
      <c r="AK11" s="11" t="n">
        <f aca="false">IF(Time!AK17&lt;=$F$8,(Waterfall!AK7+AL11)/(1+AK10),0)</f>
        <v>228.159912892535</v>
      </c>
      <c r="AL11" s="11" t="n">
        <f aca="false">IF(Time!AL17&lt;=$F$8,(Waterfall!AL7+AM11)/(1+AL10),0)</f>
        <v>183.35985591097</v>
      </c>
      <c r="AM11" s="11" t="n">
        <f aca="false">IF(Time!AM17&lt;=$F$8,(Waterfall!AM7+AN11)/(1+AM10),0)</f>
        <v>136.058773606571</v>
      </c>
      <c r="AN11" s="11" t="n">
        <f aca="false">IF(Time!AN17&lt;=$F$8,(Waterfall!AN7+AO11)/(1+AN10),0)</f>
        <v>87.8325979199519</v>
      </c>
      <c r="AO11" s="11" t="n">
        <f aca="false">IF(Time!AO17&lt;=$F$8,(Waterfall!AO7+AP11)/(1+AO10),0)</f>
        <v>40.1902484241911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988.772833463495</v>
      </c>
      <c r="K12" s="11" t="n">
        <f aca="false">IF(Time!K17&lt;=Time!$F$14,(Waterfall!K7+L12)/(1+K10),0)</f>
        <v>1015.48150145012</v>
      </c>
      <c r="L12" s="11" t="n">
        <f aca="false">IF(Time!L17&lt;=Time!$F$14,(Waterfall!L7+M12)/(1+L10),0)</f>
        <v>1042.91162225328</v>
      </c>
      <c r="M12" s="11" t="n">
        <f aca="false">IF(Time!M17&lt;=Time!$F$14,(Waterfall!M7+N12)/(1+M10),0)</f>
        <v>1071.08268370991</v>
      </c>
      <c r="N12" s="11" t="n">
        <f aca="false">IF(Time!N17&lt;=Time!$F$14,(Waterfall!N7+O12)/(1+N10),0)</f>
        <v>1100.01470006115</v>
      </c>
      <c r="O12" s="11" t="n">
        <f aca="false">IF(Time!O17&lt;=Time!$F$14,(Waterfall!O7+P12)/(1+O10),0)</f>
        <v>1129.72822617152</v>
      </c>
      <c r="P12" s="11" t="n">
        <f aca="false">IF(Time!P17&lt;=Time!$F$14,(Waterfall!P7+Q12)/(1+P10),0)</f>
        <v>1158.37212493438</v>
      </c>
      <c r="Q12" s="11" t="n">
        <f aca="false">IF(Time!Q17&lt;=Time!$F$14,(Waterfall!Q7+R12)/(1+Q10),0)</f>
        <v>1147.8872689479</v>
      </c>
      <c r="R12" s="11" t="n">
        <f aca="false">IF(Time!R17&lt;=Time!$F$14,(Waterfall!R7+S12)/(1+R10),0)</f>
        <v>1170.1743274191</v>
      </c>
      <c r="S12" s="11" t="n">
        <f aca="false">IF(Time!S17&lt;=Time!$F$14,(Waterfall!S7+T12)/(1+S10),0)</f>
        <v>1160.02588976267</v>
      </c>
      <c r="T12" s="11" t="n">
        <f aca="false">IF(Time!T17&lt;=Time!$F$14,(Waterfall!T7+U12)/(1+T10),0)</f>
        <v>1117.45780897168</v>
      </c>
      <c r="U12" s="11" t="n">
        <f aca="false">IF(Time!U17&lt;=Time!$F$14,(Waterfall!U7+V12)/(1+U10),0)</f>
        <v>1105.78486086827</v>
      </c>
      <c r="V12" s="11" t="n">
        <f aca="false">IF(Time!V17&lt;=Time!$F$14,(Waterfall!V7+W12)/(1+V10),0)</f>
        <v>1093.67817677657</v>
      </c>
      <c r="W12" s="11" t="n">
        <f aca="false">IF(Time!W17&lt;=Time!$F$14,(Waterfall!W7+X12)/(1+W10),0)</f>
        <v>1080.46164061622</v>
      </c>
      <c r="X12" s="11" t="n">
        <f aca="false">IF(Time!X17&lt;=Time!$F$14,(Waterfall!X7+Y12)/(1+X10),0)</f>
        <v>1066.75074994274</v>
      </c>
      <c r="Y12" s="11" t="n">
        <f aca="false">IF(Time!Y17&lt;=Time!$F$14,(Waterfall!Y7+Z12)/(1+Y10),0)</f>
        <v>1054.47983346652</v>
      </c>
      <c r="Z12" s="11" t="n">
        <f aca="false">IF(Time!Z17&lt;=Time!$F$14,(Waterfall!Z7+AA12)/(1+Z10),0)</f>
        <v>1042.99539927202</v>
      </c>
      <c r="AA12" s="11" t="n">
        <f aca="false">IF(Time!AA17&lt;=Time!$F$14,(Waterfall!AA7+AB12)/(1+AA10),0)</f>
        <v>1031.1132430261</v>
      </c>
      <c r="AB12" s="11" t="n">
        <f aca="false">IF(Time!AB17&lt;=Time!$F$14,(Waterfall!AB7+AC12)/(1+AB10),0)</f>
        <v>1018.81065517394</v>
      </c>
      <c r="AC12" s="11" t="n">
        <f aca="false">IF(Time!AC17&lt;=Time!$F$14,(Waterfall!AC7+AD12)/(1+AC10),0)</f>
        <v>1005.71536571526</v>
      </c>
      <c r="AD12" s="11" t="n">
        <f aca="false">IF(Time!AD17&lt;=Time!$F$14,(Waterfall!AD7+AE12)/(1+AD10),0)</f>
        <v>991.85591549996</v>
      </c>
      <c r="AE12" s="11" t="n">
        <f aca="false">IF(Time!AE17&lt;=Time!$F$14,(Waterfall!AE7+AF12)/(1+AE10),0)</f>
        <v>975.571894043622</v>
      </c>
      <c r="AF12" s="11" t="n">
        <f aca="false">IF(Time!AF17&lt;=Time!$F$14,(Waterfall!AF7+AG12)/(1+AF10),0)</f>
        <v>957.963051391314</v>
      </c>
      <c r="AG12" s="11" t="n">
        <f aca="false">IF(Time!AG17&lt;=Time!$F$14,(Waterfall!AG7+AH12)/(1+AG10),0)</f>
        <v>939.56815480943</v>
      </c>
      <c r="AH12" s="11" t="n">
        <f aca="false">IF(Time!AH17&lt;=Time!$F$14,(Waterfall!AH7+AI12)/(1+AH10),0)</f>
        <v>920.843901578066</v>
      </c>
      <c r="AI12" s="11" t="n">
        <f aca="false">IF(Time!AI17&lt;=Time!$F$14,(Waterfall!AI7+AJ12)/(1+AI10),0)</f>
        <v>900.418147238745</v>
      </c>
      <c r="AJ12" s="11" t="n">
        <f aca="false">IF(Time!AJ17&lt;=Time!$F$14,(Waterfall!AJ7+AK12)/(1+AJ10),0)</f>
        <v>878.446932859864</v>
      </c>
      <c r="AK12" s="11" t="n">
        <f aca="false">IF(Time!AK17&lt;=Time!$F$14,(Waterfall!AK7+AL12)/(1+AK10),0)</f>
        <v>854.035563790547</v>
      </c>
      <c r="AL12" s="11" t="n">
        <f aca="false">IF(Time!AL17&lt;=Time!$F$14,(Waterfall!AL7+AM12)/(1+AL10),0)</f>
        <v>826.711767394839</v>
      </c>
      <c r="AM12" s="11" t="n">
        <f aca="false">IF(Time!AM17&lt;=Time!$F$14,(Waterfall!AM7+AN12)/(1+AM10),0)</f>
        <v>796.874161429104</v>
      </c>
      <c r="AN12" s="11" t="n">
        <f aca="false">IF(Time!AN17&lt;=Time!$F$14,(Waterfall!AN7+AO12)/(1+AN10),0)</f>
        <v>766.497888365698</v>
      </c>
      <c r="AO12" s="11" t="n">
        <f aca="false">IF(Time!AO17&lt;=Time!$F$14,(Waterfall!AO7+AP12)/(1+AO10),0)</f>
        <v>737.277579793444</v>
      </c>
      <c r="AP12" s="11" t="n">
        <f aca="false">IF(Time!AP17&lt;=Time!$F$14,(Waterfall!AP7+AQ12)/(1+AP10),0)</f>
        <v>715.917009391458</v>
      </c>
      <c r="AQ12" s="11" t="n">
        <f aca="false">IF(Time!AQ17&lt;=Time!$F$14,(Waterfall!AQ7+AR12)/(1+AQ10),0)</f>
        <v>694.034954335082</v>
      </c>
      <c r="AR12" s="11" t="n">
        <f aca="false">IF(Time!AR17&lt;=Time!$F$14,(Waterfall!AR7+AS12)/(1+AR10),0)</f>
        <v>672.352883267505</v>
      </c>
      <c r="AS12" s="11" t="n">
        <f aca="false">IF(Time!AS17&lt;=Time!$F$14,(Waterfall!AS7+AT12)/(1+AS10),0)</f>
        <v>649.513162842196</v>
      </c>
      <c r="AT12" s="11" t="n">
        <f aca="false">IF(Time!AT17&lt;=Time!$F$14,(Waterfall!AT7+AU12)/(1+AT10),0)</f>
        <v>626.313423052121</v>
      </c>
      <c r="AU12" s="11" t="n">
        <f aca="false">IF(Time!AU17&lt;=Time!$F$14,(Waterfall!AU7+AV12)/(1+AU10),0)</f>
        <v>595.742212851211</v>
      </c>
      <c r="AV12" s="11" t="n">
        <f aca="false">IF(Time!AV17&lt;=Time!$F$14,(Waterfall!AV7+AW12)/(1+AV10),0)</f>
        <v>568.782042418128</v>
      </c>
      <c r="AW12" s="11" t="n">
        <f aca="false">IF(Time!AW17&lt;=Time!$F$14,(Waterfall!AW7+AX12)/(1+AW10),0)</f>
        <v>541.0157876908</v>
      </c>
      <c r="AX12" s="11" t="n">
        <f aca="false">IF(Time!AX17&lt;=Time!$F$14,(Waterfall!AX7+AY12)/(1+AX10),0)</f>
        <v>512.925318598452</v>
      </c>
      <c r="AY12" s="11" t="n">
        <f aca="false">IF(Time!AY17&lt;=Time!$F$14,(Waterfall!AY7+AZ12)/(1+AY10),0)</f>
        <v>483.420944514281</v>
      </c>
      <c r="AZ12" s="11" t="n">
        <f aca="false">IF(Time!AZ17&lt;=Time!$F$14,(Waterfall!AZ7+BA12)/(1+AZ10),0)</f>
        <v>453.5698454427</v>
      </c>
      <c r="BA12" s="11" t="n">
        <f aca="false">IF(Time!BA17&lt;=Time!$F$14,(Waterfall!BA7+BB12)/(1+BA10),0)</f>
        <v>422.321013482871</v>
      </c>
      <c r="BB12" s="11" t="n">
        <f aca="false">IF(Time!BB17&lt;=Time!$F$14,(Waterfall!BB7+BC12)/(1+BB10),0)</f>
        <v>390.51914302704</v>
      </c>
      <c r="BC12" s="11" t="n">
        <f aca="false">IF(Time!BC17&lt;=Time!$F$14,(Waterfall!BC7+BD12)/(1+BC10),0)</f>
        <v>355.618066465936</v>
      </c>
      <c r="BD12" s="11" t="n">
        <f aca="false">IF(Time!BD17&lt;=Time!$F$14,(Waterfall!BD7+BE12)/(1+BD10),0)</f>
        <v>323.16790783227</v>
      </c>
      <c r="BE12" s="11" t="n">
        <f aca="false">IF(Time!BE17&lt;=Time!$F$14,(Waterfall!BE7+BF12)/(1+BE10),0)</f>
        <v>295.976255482501</v>
      </c>
      <c r="BF12" s="11" t="n">
        <f aca="false">IF(Time!BF17&lt;=Time!$F$14,(Waterfall!BF7+BG12)/(1+BF10),0)</f>
        <v>268.481053963103</v>
      </c>
      <c r="BG12" s="11" t="n">
        <f aca="false">IF(Time!BG17&lt;=Time!$F$14,(Waterfall!BG7+BH12)/(1+BG10),0)</f>
        <v>239.56028035459</v>
      </c>
      <c r="BH12" s="11" t="n">
        <f aca="false">IF(Time!BH17&lt;=Time!$F$14,(Waterfall!BH7+BI12)/(1+BH10),0)</f>
        <v>210.318659545616</v>
      </c>
      <c r="BI12" s="11" t="n">
        <f aca="false">IF(Time!BI17&lt;=Time!$F$14,(Waterfall!BI7+BJ12)/(1+BI10),0)</f>
        <v>179.674782848761</v>
      </c>
      <c r="BJ12" s="11" t="n">
        <f aca="false">IF(Time!BJ17&lt;=Time!$F$14,(Waterfall!BJ7+BK12)/(1+BJ10),0)</f>
        <v>148.454303893385</v>
      </c>
      <c r="BK12" s="11" t="n">
        <f aca="false">IF(Time!BK17&lt;=Time!$F$14,(Waterfall!BK7+BL12)/(1+BK10),0)</f>
        <v>108.352823789071</v>
      </c>
      <c r="BL12" s="11" t="n">
        <f aca="false">IF(Time!BL17&lt;=Time!$F$14,(Waterfall!BL7+BM12)/(1+BL10),0)</f>
        <v>72.4173879885745</v>
      </c>
      <c r="BM12" s="11" t="n">
        <f aca="false">IF(Time!BM17&lt;=Time!$F$14,(Waterfall!BM7+BN12)/(1+BM10),0)</f>
        <v>34.8170012080833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1.39961356023434</v>
      </c>
      <c r="Q13" s="6" t="n">
        <f aca="false">IF(Debt!Q122&gt;0.000000001,(Q11+Reserves!Q9)/Debt!Q122,0)</f>
        <v>1.40038958230298</v>
      </c>
      <c r="R13" s="6" t="n">
        <f aca="false">IF(Debt!R122&gt;0.000000001,(R11+Reserves!R9)/Debt!R122,0)</f>
        <v>1.42301758381072</v>
      </c>
      <c r="S13" s="6" t="n">
        <f aca="false">IF(Debt!S122&gt;0.000000001,(S11+Reserves!S9)/Debt!S122,0)</f>
        <v>1.44925393450672</v>
      </c>
      <c r="T13" s="6" t="n">
        <f aca="false">IF(Debt!T122&gt;0.000000001,(T11+Reserves!T9)/Debt!T122,0)</f>
        <v>1.41276927887792</v>
      </c>
      <c r="U13" s="6" t="n">
        <f aca="false">IF(Debt!U122&gt;0.000000001,(U11+Reserves!U9)/Debt!U122,0)</f>
        <v>1.41595498973332</v>
      </c>
      <c r="V13" s="6" t="n">
        <f aca="false">IF(Debt!V122&gt;0.000000001,(V11+Reserves!V9)/Debt!V122,0)</f>
        <v>1.42117256601147</v>
      </c>
      <c r="W13" s="6" t="n">
        <f aca="false">IF(Debt!W122&gt;0.000000001,(W11+Reserves!W9)/Debt!W122,0)</f>
        <v>1.42509432872427</v>
      </c>
      <c r="X13" s="6" t="n">
        <f aca="false">IF(Debt!X122&gt;0.000000001,(X11+Reserves!X9)/Debt!X122,0)</f>
        <v>1.42779798917402</v>
      </c>
      <c r="Y13" s="6" t="n">
        <f aca="false">IF(Debt!Y122&gt;0.000000001,(Y11+Reserves!Y9)/Debt!Y122,0)</f>
        <v>1.43235242765762</v>
      </c>
      <c r="Z13" s="6" t="n">
        <f aca="false">IF(Debt!Z122&gt;0.000000001,(Z11+Reserves!Z9)/Debt!Z122,0)</f>
        <v>1.43884661247584</v>
      </c>
      <c r="AA13" s="6" t="n">
        <f aca="false">IF(Debt!AA122&gt;0.000000001,(AA11+Reserves!AA9)/Debt!AA122,0)</f>
        <v>1.44484145811504</v>
      </c>
      <c r="AB13" s="6" t="n">
        <f aca="false">IF(Debt!AB122&gt;0.000000001,(AB11+Reserves!AB9)/Debt!AB122,0)</f>
        <v>1.47426774961231</v>
      </c>
      <c r="AC13" s="6" t="n">
        <f aca="false">IF(Debt!AC122&gt;0.000000001,(AC11+Reserves!AC9)/Debt!AC122,0)</f>
        <v>1.50771121620882</v>
      </c>
      <c r="AD13" s="6" t="n">
        <f aca="false">IF(Debt!AD122&gt;0.000000001,(AD11+Reserves!AD9)/Debt!AD122,0)</f>
        <v>1.54751939874474</v>
      </c>
      <c r="AE13" s="6" t="n">
        <f aca="false">IF(Debt!AE122&gt;0.000000001,(AE11+Reserves!AE9)/Debt!AE122,0)</f>
        <v>1.59586094030998</v>
      </c>
      <c r="AF13" s="6" t="n">
        <f aca="false">IF(Debt!AF122&gt;0.000000001,(AF11+Reserves!AF9)/Debt!AF122,0)</f>
        <v>1.65495516529214</v>
      </c>
      <c r="AG13" s="6" t="n">
        <f aca="false">IF(Debt!AG122&gt;0.000000001,(AG11+Reserves!AG9)/Debt!AG122,0)</f>
        <v>1.7289907504007</v>
      </c>
      <c r="AH13" s="6" t="n">
        <f aca="false">IF(Debt!AH122&gt;0.000000001,(AH11+Reserves!AH9)/Debt!AH122,0)</f>
        <v>1.82428356354497</v>
      </c>
      <c r="AI13" s="6" t="n">
        <f aca="false">IF(Debt!AI122&gt;0.000000001,(AI11+Reserves!AI9)/Debt!AI122,0)</f>
        <v>1.95522912105039</v>
      </c>
      <c r="AJ13" s="6" t="n">
        <f aca="false">IF(Debt!AJ122&gt;0.000000001,(AJ11+Reserves!AJ9)/Debt!AJ122,0)</f>
        <v>2.14428262127323</v>
      </c>
      <c r="AK13" s="6" t="n">
        <f aca="false">IF(Debt!AK122&gt;0.000000001,(AK11+Reserves!AK9)/Debt!AK122,0)</f>
        <v>2.45418101631627</v>
      </c>
      <c r="AL13" s="6" t="n">
        <f aca="false">IF(Debt!AL122&gt;0.000000001,(AL11+Reserves!AL9)/Debt!AL122,0)</f>
        <v>2.59781282324013</v>
      </c>
      <c r="AM13" s="6" t="n">
        <f aca="false">IF(Debt!AM122&gt;0.000000001,(AM11+Reserves!AM9)/Debt!AM122,0)</f>
        <v>2.72697499859018</v>
      </c>
      <c r="AN13" s="6" t="n">
        <f aca="false">IF(Debt!AN122&gt;0.000000001,(AN11+Reserves!AN9)/Debt!AN122,0)</f>
        <v>2.92664230979864</v>
      </c>
      <c r="AO13" s="6" t="n">
        <f aca="false">IF(Debt!AO122&gt;0.000000001,(AO11+Reserves!AO9)/Debt!AO122,0)</f>
        <v>3.21023769606561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1.34079706757484</v>
      </c>
      <c r="Q14" s="6" t="n">
        <f aca="false">IF(Debt!Q122&gt;0.000000001,Q11/Debt!Q122,0)</f>
        <v>1.34024221133696</v>
      </c>
      <c r="R14" s="6" t="n">
        <f aca="false">IF(Debt!R122&gt;0.000000001,R11/Debt!R122,0)</f>
        <v>1.39516714091615</v>
      </c>
      <c r="S14" s="6" t="n">
        <f aca="false">IF(Debt!S122&gt;0.000000001,S11/Debt!S122,0)</f>
        <v>1.3987808620652</v>
      </c>
      <c r="T14" s="6" t="n">
        <f aca="false">IF(Debt!T122&gt;0.000000001,T11/Debt!T122,0)</f>
        <v>1.34621689575094</v>
      </c>
      <c r="U14" s="6" t="n">
        <f aca="false">IF(Debt!U122&gt;0.000000001,U11/Debt!U122,0)</f>
        <v>1.34752004601753</v>
      </c>
      <c r="V14" s="6" t="n">
        <f aca="false">IF(Debt!V122&gt;0.000000001,V11/Debt!V122,0)</f>
        <v>1.34895503890439</v>
      </c>
      <c r="W14" s="6" t="n">
        <f aca="false">IF(Debt!W122&gt;0.000000001,W11/Debt!W122,0)</f>
        <v>1.35055672255579</v>
      </c>
      <c r="X14" s="6" t="n">
        <f aca="false">IF(Debt!X122&gt;0.000000001,X11/Debt!X122,0)</f>
        <v>1.3523532483983</v>
      </c>
      <c r="Y14" s="6" t="n">
        <f aca="false">IF(Debt!Y122&gt;0.000000001,Y11/Debt!Y122,0)</f>
        <v>1.35443731477415</v>
      </c>
      <c r="Z14" s="6" t="n">
        <f aca="false">IF(Debt!Z122&gt;0.000000001,Z11/Debt!Z122,0)</f>
        <v>1.35677522521284</v>
      </c>
      <c r="AA14" s="6" t="n">
        <f aca="false">IF(Debt!AA122&gt;0.000000001,AA11/Debt!AA122,0)</f>
        <v>1.35945226108115</v>
      </c>
      <c r="AB14" s="6" t="n">
        <f aca="false">IF(Debt!AB122&gt;0.000000001,AB11/Debt!AB122,0)</f>
        <v>1.38199594361847</v>
      </c>
      <c r="AC14" s="6" t="n">
        <f aca="false">IF(Debt!AC122&gt;0.000000001,AC11/Debt!AC122,0)</f>
        <v>1.41026061951806</v>
      </c>
      <c r="AD14" s="6" t="n">
        <f aca="false">IF(Debt!AD122&gt;0.000000001,AD11/Debt!AD122,0)</f>
        <v>1.43997091969413</v>
      </c>
      <c r="AE14" s="6" t="n">
        <f aca="false">IF(Debt!AE122&gt;0.000000001,AE11/Debt!AE122,0)</f>
        <v>1.47947170059434</v>
      </c>
      <c r="AF14" s="6" t="n">
        <f aca="false">IF(Debt!AF122&gt;0.000000001,AF11/Debt!AF122,0)</f>
        <v>1.52787264818046</v>
      </c>
      <c r="AG14" s="6" t="n">
        <f aca="false">IF(Debt!AG122&gt;0.000000001,AG11/Debt!AG122,0)</f>
        <v>1.58997334342617</v>
      </c>
      <c r="AH14" s="6" t="n">
        <f aca="false">IF(Debt!AH122&gt;0.000000001,AH11/Debt!AH122,0)</f>
        <v>1.66722837246998</v>
      </c>
      <c r="AI14" s="6" t="n">
        <f aca="false">IF(Debt!AI122&gt;0.000000001,AI11/Debt!AI122,0)</f>
        <v>1.77660958286135</v>
      </c>
      <c r="AJ14" s="6" t="n">
        <f aca="false">IF(Debt!AJ122&gt;0.000000001,AJ11/Debt!AJ122,0)</f>
        <v>1.93197713493573</v>
      </c>
      <c r="AK14" s="6" t="n">
        <f aca="false">IF(Debt!AK122&gt;0.000000001,AK11/Debt!AK122,0)</f>
        <v>2.19156042295471</v>
      </c>
      <c r="AL14" s="6" t="n">
        <f aca="false">IF(Debt!AL122&gt;0.000000001,AL11/Debt!AL122,0)</f>
        <v>2.28979234068267</v>
      </c>
      <c r="AM14" s="6" t="n">
        <f aca="false">IF(Debt!AM122&gt;0.000000001,AM11/Debt!AM122,0)</f>
        <v>2.32433358692357</v>
      </c>
      <c r="AN14" s="6" t="n">
        <f aca="false">IF(Debt!AN122&gt;0.000000001,AN11/Debt!AN122,0)</f>
        <v>2.40317414157897</v>
      </c>
      <c r="AO14" s="6" t="n">
        <f aca="false">IF(Debt!AO122&gt;0.000000001,AO11/Debt!AO122,0)</f>
        <v>2.18322576058083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1.82923204781682</v>
      </c>
      <c r="Q15" s="6" t="n">
        <f aca="false">IF(Debt!Q122&gt;0.000000001,Q12/Debt!Q122,0)</f>
        <v>1.85812554342006</v>
      </c>
      <c r="R15" s="6" t="n">
        <f aca="false">IF(Debt!R122&gt;0.000000001,R12/Debt!R122,0)</f>
        <v>1.94503572562637</v>
      </c>
      <c r="S15" s="6" t="n">
        <f aca="false">IF(Debt!S122&gt;0.000000001,S12/Debt!S122,0)</f>
        <v>1.98403405374381</v>
      </c>
      <c r="T15" s="6" t="n">
        <f aca="false">IF(Debt!T122&gt;0.000000001,T12/Debt!T122,0)</f>
        <v>1.9699889063414</v>
      </c>
      <c r="U15" s="6" t="n">
        <f aca="false">IF(Debt!U122&gt;0.000000001,U12/Debt!U122,0)</f>
        <v>2.01418497149008</v>
      </c>
      <c r="V15" s="6" t="n">
        <f aca="false">IF(Debt!V122&gt;0.000000001,V12/Debt!V122,0)</f>
        <v>2.06286298374729</v>
      </c>
      <c r="W15" s="6" t="n">
        <f aca="false">IF(Debt!W122&gt;0.000000001,W12/Debt!W122,0)</f>
        <v>2.1180480906157</v>
      </c>
      <c r="X15" s="6" t="n">
        <f aca="false">IF(Debt!X122&gt;0.000000001,X12/Debt!X122,0)</f>
        <v>2.17946706826745</v>
      </c>
      <c r="Y15" s="6" t="n">
        <f aca="false">IF(Debt!Y122&gt;0.000000001,Y12/Debt!Y122,0)</f>
        <v>2.2466238578414</v>
      </c>
      <c r="Z15" s="6" t="n">
        <f aca="false">IF(Debt!Z122&gt;0.000000001,Z12/Debt!Z122,0)</f>
        <v>2.32158705592878</v>
      </c>
      <c r="AA15" s="6" t="n">
        <f aca="false">IF(Debt!AA122&gt;0.000000001,AA12/Debt!AA122,0)</f>
        <v>2.40731776996119</v>
      </c>
      <c r="AB15" s="6" t="n">
        <f aca="false">IF(Debt!AB122&gt;0.000000001,AB12/Debt!AB122,0)</f>
        <v>2.54041717871399</v>
      </c>
      <c r="AC15" s="6" t="n">
        <f aca="false">IF(Debt!AC122&gt;0.000000001,AC12/Debt!AC122,0)</f>
        <v>2.70283934124339</v>
      </c>
      <c r="AD15" s="6" t="n">
        <f aca="false">IF(Debt!AD122&gt;0.000000001,AD12/Debt!AD122,0)</f>
        <v>2.89022194770281</v>
      </c>
      <c r="AE15" s="6" t="n">
        <f aca="false">IF(Debt!AE122&gt;0.000000001,AE12/Debt!AE122,0)</f>
        <v>3.13376161625438</v>
      </c>
      <c r="AF15" s="6" t="n">
        <f aca="false">IF(Debt!AF122&gt;0.000000001,AF12/Debt!AF122,0)</f>
        <v>3.44045738428269</v>
      </c>
      <c r="AG15" s="6" t="n">
        <f aca="false">IF(Debt!AG122&gt;0.000000001,AG12/Debt!AG122,0)</f>
        <v>3.84105331837008</v>
      </c>
      <c r="AH15" s="6" t="n">
        <f aca="false">IF(Debt!AH122&gt;0.000000001,AH12/Debt!AH122,0)</f>
        <v>4.36734382544714</v>
      </c>
      <c r="AI15" s="6" t="n">
        <f aca="false">IF(Debt!AI122&gt;0.000000001,AI12/Debt!AI122,0)</f>
        <v>5.12627056555026</v>
      </c>
      <c r="AJ15" s="6" t="n">
        <f aca="false">IF(Debt!AJ122&gt;0.000000001,AJ12/Debt!AJ122,0)</f>
        <v>6.25720635907998</v>
      </c>
      <c r="AK15" s="6" t="n">
        <f aca="false">IF(Debt!AK122&gt;0.000000001,AK12/Debt!AK122,0)</f>
        <v>8.2033277347925</v>
      </c>
      <c r="AL15" s="6" t="n">
        <f aca="false">IF(Debt!AL122&gt;0.000000001,AL12/Debt!AL122,0)</f>
        <v>10.3239515734135</v>
      </c>
      <c r="AM15" s="6" t="n">
        <f aca="false">IF(Debt!AM122&gt;0.000000001,AM12/Debt!AM122,0)</f>
        <v>13.6132446946572</v>
      </c>
      <c r="AN15" s="6" t="n">
        <f aca="false">IF(Debt!AN122&gt;0.000000001,AN12/Debt!AN122,0)</f>
        <v>20.9720302998905</v>
      </c>
      <c r="AO15" s="6" t="n">
        <f aca="false">IF(Debt!AO122&gt;0.000000001,AO12/Debt!AO122,0)</f>
        <v>40.0505960529188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1.39961356023434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1.82923204781682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1140.95789559437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0</v>
      </c>
      <c r="BT8" s="16" t="n">
        <f aca="false">Waterfall!R44</f>
        <v>0</v>
      </c>
      <c r="BU8" s="16" t="n">
        <f aca="false">Waterfall!S44</f>
        <v>36.4636295966846</v>
      </c>
      <c r="BV8" s="16" t="n">
        <f aca="false">Waterfall!T44</f>
        <v>12.5352067011612</v>
      </c>
      <c r="BW8" s="16" t="n">
        <f aca="false">Waterfall!U44</f>
        <v>11.5785441840217</v>
      </c>
      <c r="BX8" s="16" t="n">
        <f aca="false">Waterfall!V44</f>
        <v>12.8084024104913</v>
      </c>
      <c r="BY8" s="16" t="n">
        <f aca="false">Waterfall!W44</f>
        <v>13.5464120329868</v>
      </c>
      <c r="BZ8" s="16" t="n">
        <f aca="false">Waterfall!X44</f>
        <v>12.3894976964747</v>
      </c>
      <c r="CA8" s="16" t="n">
        <f aca="false">Waterfall!Y44</f>
        <v>11.6106116559603</v>
      </c>
      <c r="CB8" s="16" t="n">
        <f aca="false">Waterfall!Z44</f>
        <v>12.3052245109169</v>
      </c>
      <c r="CC8" s="16" t="n">
        <f aca="false">Waterfall!AA44</f>
        <v>5.73776912164723</v>
      </c>
      <c r="CD8" s="16" t="n">
        <f aca="false">Waterfall!AB44</f>
        <v>6.6878340516185</v>
      </c>
      <c r="CE8" s="16" t="n">
        <f aca="false">Waterfall!AC44</f>
        <v>6.3311588966915</v>
      </c>
      <c r="CF8" s="16" t="n">
        <f aca="false">Waterfall!AD44</f>
        <v>7.64818486099696</v>
      </c>
      <c r="CG8" s="16" t="n">
        <f aca="false">Waterfall!AE44</f>
        <v>8.21632341031843</v>
      </c>
      <c r="CH8" s="16" t="n">
        <f aca="false">Waterfall!AF44</f>
        <v>9.04178780454899</v>
      </c>
      <c r="CI8" s="16" t="n">
        <f aca="false">Waterfall!AG44</f>
        <v>9.41525272360075</v>
      </c>
      <c r="CJ8" s="16" t="n">
        <f aca="false">Waterfall!AH44</f>
        <v>10.7212172247997</v>
      </c>
      <c r="CK8" s="16" t="n">
        <f aca="false">Waterfall!AI44</f>
        <v>11.5103633305625</v>
      </c>
      <c r="CL8" s="16" t="n">
        <f aca="false">Waterfall!AJ44</f>
        <v>13.2733087562138</v>
      </c>
      <c r="CM8" s="16" t="n">
        <f aca="false">Waterfall!AK44</f>
        <v>26.9082125211647</v>
      </c>
      <c r="CN8" s="16" t="n">
        <f aca="false">Waterfall!AL44</f>
        <v>29.6603421667195</v>
      </c>
      <c r="CO8" s="16" t="n">
        <f aca="false">Waterfall!AM44</f>
        <v>32.7693692465543</v>
      </c>
      <c r="CP8" s="16" t="n">
        <f aca="false">Waterfall!AN44</f>
        <v>31.1206151191475</v>
      </c>
      <c r="CQ8" s="16" t="n">
        <f aca="false">Waterfall!AO44</f>
        <v>41.2758648217427</v>
      </c>
      <c r="CR8" s="16" t="n">
        <f aca="false">Waterfall!AP44</f>
        <v>41.2203591265165</v>
      </c>
      <c r="CS8" s="16" t="n">
        <f aca="false">Waterfall!AQ44</f>
        <v>40.4292984782604</v>
      </c>
      <c r="CT8" s="16" t="n">
        <f aca="false">Waterfall!AR44</f>
        <v>41.0012731311383</v>
      </c>
      <c r="CU8" s="16" t="n">
        <f aca="false">Waterfall!AS44</f>
        <v>40.7443474412859</v>
      </c>
      <c r="CV8" s="16" t="n">
        <f aca="false">Waterfall!AT44</f>
        <v>47.4891479776467</v>
      </c>
      <c r="CW8" s="16" t="n">
        <f aca="false">Waterfall!AU44</f>
        <v>43.0523206521811</v>
      </c>
      <c r="CX8" s="16" t="n">
        <f aca="false">Waterfall!AV44</f>
        <v>43.130158562029</v>
      </c>
      <c r="CY8" s="16" t="n">
        <f aca="false">Waterfall!AW44</f>
        <v>42.7043526457012</v>
      </c>
      <c r="CZ8" s="16" t="n">
        <f aca="false">Waterfall!AX44</f>
        <v>43.3594796986634</v>
      </c>
      <c r="DA8" s="16" t="n">
        <f aca="false">Waterfall!AY44</f>
        <v>42.9092344367935</v>
      </c>
      <c r="DB8" s="16" t="n">
        <f aca="false">Waterfall!AZ44</f>
        <v>43.5006313627699</v>
      </c>
      <c r="DC8" s="16" t="n">
        <f aca="false">Waterfall!BA44</f>
        <v>42.7146100392896</v>
      </c>
      <c r="DD8" s="16" t="n">
        <f aca="false">Waterfall!BB44</f>
        <v>43.9486042034784</v>
      </c>
      <c r="DE8" s="16" t="n">
        <f aca="false">Waterfall!BC44</f>
        <v>40.5385178289249</v>
      </c>
      <c r="DF8" s="16" t="n">
        <f aca="false">Waterfall!BD44</f>
        <v>34.3868674666395</v>
      </c>
      <c r="DG8" s="16" t="n">
        <f aca="false">Waterfall!BE44</f>
        <v>33.9391333565637</v>
      </c>
      <c r="DH8" s="16" t="n">
        <f aca="false">Waterfall!BF44</f>
        <v>34.605039094478</v>
      </c>
      <c r="DI8" s="16" t="n">
        <f aca="false">Waterfall!BG44</f>
        <v>34.1275268526923</v>
      </c>
      <c r="DJ8" s="16" t="n">
        <f aca="false">Waterfall!BH44</f>
        <v>34.7225689338788</v>
      </c>
      <c r="DK8" s="16" t="n">
        <f aca="false">Waterfall!BI44</f>
        <v>34.4538900265255</v>
      </c>
      <c r="DL8" s="16" t="n">
        <f aca="false">Waterfall!BJ44</f>
        <v>42.4738430774821</v>
      </c>
      <c r="DM8" s="16" t="n">
        <f aca="false">Waterfall!BK44</f>
        <v>37.2066637583069</v>
      </c>
      <c r="DN8" s="16" t="n">
        <f aca="false">Waterfall!BL44</f>
        <v>37.8828166344445</v>
      </c>
      <c r="DO8" s="16" t="n">
        <f aca="false">Waterfall!BM44</f>
        <v>53.6986559604506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1561.80594497325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16.7554111490597</v>
      </c>
      <c r="BT9" s="16" t="n">
        <f aca="false">Waterfall!R7</f>
        <v>50.3799917919531</v>
      </c>
      <c r="BU9" s="16" t="n">
        <f aca="false">Waterfall!S7</f>
        <v>82.0375420176545</v>
      </c>
      <c r="BV9" s="16" t="n">
        <f aca="false">Waterfall!T7</f>
        <v>50.1058994560139</v>
      </c>
      <c r="BW9" s="16" t="n">
        <f aca="false">Waterfall!U7</f>
        <v>49.86646441918</v>
      </c>
      <c r="BX9" s="16" t="n">
        <f aca="false">Waterfall!V7</f>
        <v>50.8316298363611</v>
      </c>
      <c r="BY9" s="16" t="n">
        <f aca="false">Waterfall!W7</f>
        <v>50.4732071075761</v>
      </c>
      <c r="BZ9" s="16" t="n">
        <f aca="false">Waterfall!X7</f>
        <v>48.9598897410199</v>
      </c>
      <c r="CA9" s="16" t="n">
        <f aca="false">Waterfall!Y7</f>
        <v>48.4819747644744</v>
      </c>
      <c r="CB9" s="16" t="n">
        <f aca="false">Waterfall!Z7</f>
        <v>48.8795118657713</v>
      </c>
      <c r="CC9" s="16" t="n">
        <f aca="false">Waterfall!AA7</f>
        <v>48.4802868752706</v>
      </c>
      <c r="CD9" s="16" t="n">
        <f aca="false">Waterfall!AB7</f>
        <v>49.0367057975256</v>
      </c>
      <c r="CE9" s="16" t="n">
        <f aca="false">Waterfall!AC7</f>
        <v>48.839890869873</v>
      </c>
      <c r="CF9" s="16" t="n">
        <f aca="false">Waterfall!AD7</f>
        <v>50.7721303763519</v>
      </c>
      <c r="CG9" s="16" t="n">
        <f aca="false">Waterfall!AE7</f>
        <v>50.8428074551719</v>
      </c>
      <c r="CH9" s="16" t="n">
        <f aca="false">Waterfall!AF7</f>
        <v>50.9544129634369</v>
      </c>
      <c r="CI9" s="16" t="n">
        <f aca="false">Waterfall!AG7</f>
        <v>50.583563339745</v>
      </c>
      <c r="CJ9" s="16" t="n">
        <f aca="false">Waterfall!AH7</f>
        <v>51.2348475281006</v>
      </c>
      <c r="CK9" s="16" t="n">
        <f aca="false">Waterfall!AI7</f>
        <v>50.829346604152</v>
      </c>
      <c r="CL9" s="16" t="n">
        <f aca="false">Waterfall!AJ7</f>
        <v>51.4038707095271</v>
      </c>
      <c r="CM9" s="16" t="n">
        <f aca="false">Waterfall!AK7</f>
        <v>51.1709424557564</v>
      </c>
      <c r="CN9" s="16" t="n">
        <f aca="false">Waterfall!AL7</f>
        <v>52.2782968708046</v>
      </c>
      <c r="CO9" s="16" t="n">
        <f aca="false">Waterfall!AM7</f>
        <v>51.9013865014185</v>
      </c>
      <c r="CP9" s="16" t="n">
        <f aca="false">Waterfall!AN7</f>
        <v>50.0265228667556</v>
      </c>
      <c r="CQ9" s="16" t="n">
        <f aca="false">Waterfall!AO7</f>
        <v>41.2758648217427</v>
      </c>
      <c r="CR9" s="16" t="n">
        <f aca="false">Waterfall!AP7</f>
        <v>41.2203591265165</v>
      </c>
      <c r="CS9" s="16" t="n">
        <f aca="false">Waterfall!AQ7</f>
        <v>40.4292984782604</v>
      </c>
      <c r="CT9" s="16" t="n">
        <f aca="false">Waterfall!AR7</f>
        <v>41.0012731311383</v>
      </c>
      <c r="CU9" s="16" t="n">
        <f aca="false">Waterfall!AS7</f>
        <v>40.7443474412859</v>
      </c>
      <c r="CV9" s="16" t="n">
        <f aca="false">Waterfall!AT7</f>
        <v>47.4891479776467</v>
      </c>
      <c r="CW9" s="16" t="n">
        <f aca="false">Waterfall!AU7</f>
        <v>43.0523206521811</v>
      </c>
      <c r="CX9" s="16" t="n">
        <f aca="false">Waterfall!AV7</f>
        <v>43.130158562029</v>
      </c>
      <c r="CY9" s="16" t="n">
        <f aca="false">Waterfall!AW7</f>
        <v>42.7043526457012</v>
      </c>
      <c r="CZ9" s="16" t="n">
        <f aca="false">Waterfall!AX7</f>
        <v>43.3594796986634</v>
      </c>
      <c r="DA9" s="16" t="n">
        <f aca="false">Waterfall!AY7</f>
        <v>42.9092344367935</v>
      </c>
      <c r="DB9" s="16" t="n">
        <f aca="false">Waterfall!AZ7</f>
        <v>43.5006313627699</v>
      </c>
      <c r="DC9" s="16" t="n">
        <f aca="false">Waterfall!BA7</f>
        <v>43.2095784258983</v>
      </c>
      <c r="DD9" s="16" t="n">
        <f aca="false">Waterfall!BB7</f>
        <v>45.4497544581228</v>
      </c>
      <c r="DE9" s="16" t="n">
        <f aca="false">Waterfall!BC7</f>
        <v>42.0560909022671</v>
      </c>
      <c r="DF9" s="16" t="n">
        <f aca="false">Waterfall!BD7</f>
        <v>35.9210430268861</v>
      </c>
      <c r="DG9" s="16" t="n">
        <f aca="false">Waterfall!BE7</f>
        <v>35.4900930375194</v>
      </c>
      <c r="DH9" s="16" t="n">
        <f aca="false">Waterfall!BF7</f>
        <v>36.17296651705</v>
      </c>
      <c r="DI9" s="16" t="n">
        <f aca="false">Waterfall!BG7</f>
        <v>35.7126076466291</v>
      </c>
      <c r="DJ9" s="16" t="n">
        <f aca="false">Waterfall!BH7</f>
        <v>36.3249907597474</v>
      </c>
      <c r="DK9" s="16" t="n">
        <f aca="false">Waterfall!BI7</f>
        <v>36.0738425979289</v>
      </c>
      <c r="DL9" s="16" t="n">
        <f aca="false">Waterfall!BJ7</f>
        <v>44.1115181835198</v>
      </c>
      <c r="DM9" s="16" t="n">
        <f aca="false">Waterfall!BK7</f>
        <v>38.8622552862812</v>
      </c>
      <c r="DN9" s="16" t="n">
        <f aca="false">Waterfall!BL7</f>
        <v>39.556520592815</v>
      </c>
      <c r="DO9" s="16" t="n">
        <f aca="false">Waterfall!BM7</f>
        <v>35.7574757984896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1860.55346044815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16.7554111490597</v>
      </c>
      <c r="BT10" s="11" t="n">
        <f aca="false">Waterfall!R7+Tax!R27</f>
        <v>50.3799917919531</v>
      </c>
      <c r="BU10" s="11" t="n">
        <f aca="false">Waterfall!S7+Tax!S27</f>
        <v>82.0375420176545</v>
      </c>
      <c r="BV10" s="11" t="n">
        <f aca="false">Waterfall!T7+Tax!T27</f>
        <v>50.1058994560139</v>
      </c>
      <c r="BW10" s="11" t="n">
        <f aca="false">Waterfall!U7+Tax!U27</f>
        <v>49.86646441918</v>
      </c>
      <c r="BX10" s="11" t="n">
        <f aca="false">Waterfall!V7+Tax!V27</f>
        <v>50.8316298363611</v>
      </c>
      <c r="BY10" s="11" t="n">
        <f aca="false">Waterfall!W7+Tax!W27</f>
        <v>50.4732071075761</v>
      </c>
      <c r="BZ10" s="11" t="n">
        <f aca="false">Waterfall!X7+Tax!X27</f>
        <v>48.9598897410199</v>
      </c>
      <c r="CA10" s="11" t="n">
        <f aca="false">Waterfall!Y7+Tax!Y27</f>
        <v>48.5960447702509</v>
      </c>
      <c r="CB10" s="11" t="n">
        <f aca="false">Waterfall!Z7+Tax!Z27</f>
        <v>49.2229803099409</v>
      </c>
      <c r="CC10" s="11" t="n">
        <f aca="false">Waterfall!AA7+Tax!AA27</f>
        <v>48.8253867406703</v>
      </c>
      <c r="CD10" s="11" t="n">
        <f aca="false">Waterfall!AB7+Tax!AB27</f>
        <v>49.3835775788159</v>
      </c>
      <c r="CE10" s="11" t="n">
        <f aca="false">Waterfall!AC7+Tax!AC27</f>
        <v>49.1876124672884</v>
      </c>
      <c r="CF10" s="11" t="n">
        <f aca="false">Waterfall!AD7+Tax!AD27</f>
        <v>51.1155058963315</v>
      </c>
      <c r="CG10" s="11" t="n">
        <f aca="false">Waterfall!AE7+Tax!AE27</f>
        <v>51.192947504572</v>
      </c>
      <c r="CH10" s="11" t="n">
        <f aca="false">Waterfall!AF7+Tax!AF27</f>
        <v>51.3075737376704</v>
      </c>
      <c r="CI10" s="11" t="n">
        <f aca="false">Waterfall!AG7+Tax!AG27</f>
        <v>50.9382106331753</v>
      </c>
      <c r="CJ10" s="11" t="n">
        <f aca="false">Waterfall!AH7+Tax!AH27</f>
        <v>51.5908666167934</v>
      </c>
      <c r="CK10" s="11" t="n">
        <f aca="false">Waterfall!AI7+Tax!AI27</f>
        <v>51.1871420212456</v>
      </c>
      <c r="CL10" s="11" t="n">
        <f aca="false">Waterfall!AJ7+Tax!AJ27</f>
        <v>51.7635948754492</v>
      </c>
      <c r="CM10" s="11" t="n">
        <f aca="false">Waterfall!AK7+Tax!AK27</f>
        <v>51.5318772876636</v>
      </c>
      <c r="CN10" s="11" t="n">
        <f aca="false">Waterfall!AL7+Tax!AL27</f>
        <v>52.6399715336902</v>
      </c>
      <c r="CO10" s="11" t="n">
        <f aca="false">Waterfall!AM7+Tax!AM27</f>
        <v>52.265252172603</v>
      </c>
      <c r="CP10" s="11" t="n">
        <f aca="false">Waterfall!AN7+Tax!AN27</f>
        <v>50.3930967909948</v>
      </c>
      <c r="CQ10" s="11" t="n">
        <f aca="false">Waterfall!AO7+Tax!AO27</f>
        <v>50.0217170722041</v>
      </c>
      <c r="CR10" s="11" t="n">
        <f aca="false">Waterfall!AP7+Tax!AP27</f>
        <v>50.702319691815</v>
      </c>
      <c r="CS10" s="11" t="n">
        <f aca="false">Waterfall!AQ7+Tax!AQ27</f>
        <v>50.2919304728272</v>
      </c>
      <c r="CT10" s="11" t="n">
        <f aca="false">Waterfall!AR7+Tax!AR27</f>
        <v>50.8881076640919</v>
      </c>
      <c r="CU10" s="11" t="n">
        <f aca="false">Waterfall!AS7+Tax!AS27</f>
        <v>50.7093555656372</v>
      </c>
      <c r="CV10" s="11" t="n">
        <f aca="false">Waterfall!AT7+Tax!AT27</f>
        <v>53.0497134479849</v>
      </c>
      <c r="CW10" s="11" t="n">
        <f aca="false">Waterfall!AU7+Tax!AU27</f>
        <v>53.1371887454256</v>
      </c>
      <c r="CX10" s="11" t="n">
        <f aca="false">Waterfall!AV7+Tax!AV27</f>
        <v>53.1720320478835</v>
      </c>
      <c r="CY10" s="11" t="n">
        <f aca="false">Waterfall!AW7+Tax!AW27</f>
        <v>52.7929875253377</v>
      </c>
      <c r="CZ10" s="11" t="n">
        <f aca="false">Waterfall!AX7+Tax!AX27</f>
        <v>53.503957558971</v>
      </c>
      <c r="DA10" s="11" t="n">
        <f aca="false">Waterfall!AY7+Tax!AY27</f>
        <v>53.0863232713409</v>
      </c>
      <c r="DB10" s="11" t="n">
        <f aca="false">Waterfall!AZ7+Tax!AZ27</f>
        <v>53.7038062159483</v>
      </c>
      <c r="DC10" s="11" t="n">
        <f aca="false">Waterfall!BA7+Tax!BA27</f>
        <v>53.4815157614536</v>
      </c>
      <c r="DD10" s="11" t="n">
        <f aca="false">Waterfall!BB7+Tax!BB27</f>
        <v>54.7598056002912</v>
      </c>
      <c r="DE10" s="11" t="n">
        <f aca="false">Waterfall!BC7+Tax!BC27</f>
        <v>54.3657212953692</v>
      </c>
      <c r="DF10" s="11" t="n">
        <f aca="false">Waterfall!BD7+Tax!BD27</f>
        <v>52.0651755678318</v>
      </c>
      <c r="DG10" s="11" t="n">
        <f aca="false">Waterfall!BE7+Tax!BE27</f>
        <v>51.6847720204748</v>
      </c>
      <c r="DH10" s="11" t="n">
        <f aca="false">Waterfall!BF7+Tax!BF27</f>
        <v>52.4287419694145</v>
      </c>
      <c r="DI10" s="11" t="n">
        <f aca="false">Waterfall!BG7+Tax!BG27</f>
        <v>52.0032311892443</v>
      </c>
      <c r="DJ10" s="11" t="n">
        <f aca="false">Waterfall!BH7+Tax!BH27</f>
        <v>52.6437302498318</v>
      </c>
      <c r="DK10" s="11" t="n">
        <f aca="false">Waterfall!BI7+Tax!BI27</f>
        <v>52.4858875916069</v>
      </c>
      <c r="DL10" s="11" t="n">
        <f aca="false">Waterfall!BJ7+Tax!BJ27</f>
        <v>55.3176461427923</v>
      </c>
      <c r="DM10" s="11" t="n">
        <f aca="false">Waterfall!BK7+Tax!BK27</f>
        <v>55.4170820525334</v>
      </c>
      <c r="DN10" s="11" t="n">
        <f aca="false">Waterfall!BL7+Tax!BL27</f>
        <v>56.0569319853605</v>
      </c>
      <c r="DO10" s="11" t="n">
        <f aca="false">Waterfall!BM7+Tax!BM27</f>
        <v>41.0678972440974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-206.836577996795</v>
      </c>
      <c r="BT11" s="11" t="n">
        <f aca="false">BS11+BT8</f>
        <v>-206.836577996795</v>
      </c>
      <c r="BU11" s="11" t="n">
        <f aca="false">BT11+BU8</f>
        <v>-170.372948400111</v>
      </c>
      <c r="BV11" s="11" t="n">
        <f aca="false">BU11+BV8</f>
        <v>-157.83774169895</v>
      </c>
      <c r="BW11" s="11" t="n">
        <f aca="false">BV11+BW8</f>
        <v>-146.259197514928</v>
      </c>
      <c r="BX11" s="11" t="n">
        <f aca="false">BW11+BX8</f>
        <v>-133.450795104437</v>
      </c>
      <c r="BY11" s="11" t="n">
        <f aca="false">BX11+BY8</f>
        <v>-119.90438307145</v>
      </c>
      <c r="BZ11" s="11" t="n">
        <f aca="false">BY11+BZ8</f>
        <v>-107.514885374975</v>
      </c>
      <c r="CA11" s="11" t="n">
        <f aca="false">BZ11+CA8</f>
        <v>-95.9042737190148</v>
      </c>
      <c r="CB11" s="11" t="n">
        <f aca="false">CA11+CB8</f>
        <v>-83.599049208098</v>
      </c>
      <c r="CC11" s="11" t="n">
        <f aca="false">CB11+CC8</f>
        <v>-77.8612800864507</v>
      </c>
      <c r="CD11" s="11" t="n">
        <f aca="false">CC11+CD8</f>
        <v>-71.1734460348322</v>
      </c>
      <c r="CE11" s="11" t="n">
        <f aca="false">CD11+CE8</f>
        <v>-64.8422871381407</v>
      </c>
      <c r="CF11" s="11" t="n">
        <f aca="false">CE11+CF8</f>
        <v>-57.1941022771438</v>
      </c>
      <c r="CG11" s="11" t="n">
        <f aca="false">CF11+CG8</f>
        <v>-48.9777788668253</v>
      </c>
      <c r="CH11" s="11" t="n">
        <f aca="false">CG11+CH8</f>
        <v>-39.9359910622763</v>
      </c>
      <c r="CI11" s="11" t="n">
        <f aca="false">CH11+CI8</f>
        <v>-30.5207383386756</v>
      </c>
      <c r="CJ11" s="11" t="n">
        <f aca="false">CI11+CJ8</f>
        <v>-19.7995211138759</v>
      </c>
      <c r="CK11" s="11" t="n">
        <f aca="false">CJ11+CK8</f>
        <v>-8.2891577833134</v>
      </c>
      <c r="CL11" s="11" t="n">
        <f aca="false">CK11+CL8</f>
        <v>4.98415097290045</v>
      </c>
      <c r="CM11" s="11" t="n">
        <f aca="false">CL11+CM8</f>
        <v>31.8923634940651</v>
      </c>
      <c r="CN11" s="11" t="n">
        <f aca="false">CM11+CN8</f>
        <v>61.5527056607846</v>
      </c>
      <c r="CO11" s="11" t="n">
        <f aca="false">CN11+CO8</f>
        <v>94.3220749073389</v>
      </c>
      <c r="CP11" s="11" t="n">
        <f aca="false">CO11+CP8</f>
        <v>125.442690026486</v>
      </c>
      <c r="CQ11" s="11" t="n">
        <f aca="false">CP11+CQ8</f>
        <v>166.718554848229</v>
      </c>
      <c r="CR11" s="11" t="n">
        <f aca="false">CQ11+CR8</f>
        <v>207.938913974746</v>
      </c>
      <c r="CS11" s="11" t="n">
        <f aca="false">CR11+CS8</f>
        <v>248.368212453006</v>
      </c>
      <c r="CT11" s="11" t="n">
        <f aca="false">CS11+CT8</f>
        <v>289.369485584144</v>
      </c>
      <c r="CU11" s="11" t="n">
        <f aca="false">CT11+CU8</f>
        <v>330.11383302543</v>
      </c>
      <c r="CV11" s="11" t="n">
        <f aca="false">CU11+CV8</f>
        <v>377.602981003077</v>
      </c>
      <c r="CW11" s="11" t="n">
        <f aca="false">CV11+CW8</f>
        <v>420.655301655258</v>
      </c>
      <c r="CX11" s="11" t="n">
        <f aca="false">CW11+CX8</f>
        <v>463.785460217287</v>
      </c>
      <c r="CY11" s="11" t="n">
        <f aca="false">CX11+CY8</f>
        <v>506.489812862988</v>
      </c>
      <c r="CZ11" s="11" t="n">
        <f aca="false">CY11+CZ8</f>
        <v>549.849292561652</v>
      </c>
      <c r="DA11" s="11" t="n">
        <f aca="false">CZ11+DA8</f>
        <v>592.758526998445</v>
      </c>
      <c r="DB11" s="11" t="n">
        <f aca="false">DA11+DB8</f>
        <v>636.259158361215</v>
      </c>
      <c r="DC11" s="11" t="n">
        <f aca="false">DB11+DC8</f>
        <v>678.973768400505</v>
      </c>
      <c r="DD11" s="11" t="n">
        <f aca="false">DC11+DD8</f>
        <v>722.922372603983</v>
      </c>
      <c r="DE11" s="11" t="n">
        <f aca="false">DD11+DE8</f>
        <v>763.460890432908</v>
      </c>
      <c r="DF11" s="11" t="n">
        <f aca="false">DE11+DF8</f>
        <v>797.847757899547</v>
      </c>
      <c r="DG11" s="11" t="n">
        <f aca="false">DF11+DG8</f>
        <v>831.786891256111</v>
      </c>
      <c r="DH11" s="11" t="n">
        <f aca="false">DG11+DH8</f>
        <v>866.391930350589</v>
      </c>
      <c r="DI11" s="11" t="n">
        <f aca="false">DH11+DI8</f>
        <v>900.519457203281</v>
      </c>
      <c r="DJ11" s="11" t="n">
        <f aca="false">DI11+DJ8</f>
        <v>935.24202613716</v>
      </c>
      <c r="DK11" s="11" t="n">
        <f aca="false">DJ11+DK8</f>
        <v>969.695916163686</v>
      </c>
      <c r="DL11" s="11" t="n">
        <f aca="false">DK11+DL8</f>
        <v>1012.16975924117</v>
      </c>
      <c r="DM11" s="11" t="n">
        <f aca="false">DL11+DM8</f>
        <v>1049.37642299947</v>
      </c>
      <c r="DN11" s="11" t="n">
        <f aca="false">DM11+DN8</f>
        <v>1087.25923963392</v>
      </c>
      <c r="DO11" s="11" t="n">
        <f aca="false">DN11+DO8</f>
        <v>1140.95789559437</v>
      </c>
      <c r="DP11" s="11" t="n">
        <f aca="false">DO11+DP8</f>
        <v>1140.95789559437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0.128571828791842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0.107574219959659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0.113425758381769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-49.8504188728202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1.39961356023434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1.82923204781682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0.128571828791842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0.107574219959659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-49.8504188728202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2026-10-03T20:48:12Z</dcterms:created>
  <dc:creator>openpyxl</dc:creator>
  <dc:description/>
  <dc:language>en-US</dc:language>
  <cp:lastModifiedBy/>
  <dcterms:modified xsi:type="dcterms:W3CDTF">2026-10-03T20:48:13Z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