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<sst xmlns="http://schemas.openxmlformats.org/spreadsheetml/2006/main" count="2268" uniqueCount="840">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</sst>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-6.5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1.015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1.1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87.3</v>
      </c>
      <c r="P28" s="11" t="n">
        <f aca="false">IF(Time!P25&gt;0,P27+Inputs!$F$36,0)</f>
        <v>87.3</v>
      </c>
      <c r="Q28" s="11" t="n">
        <f aca="false">IF(Time!Q25&gt;0,Q27+Inputs!$F$36,0)</f>
        <v>87</v>
      </c>
      <c r="R28" s="11" t="n">
        <f aca="false">IF(Time!R25&gt;0,R27+Inputs!$F$36,0)</f>
        <v>86.4</v>
      </c>
      <c r="S28" s="11" t="n">
        <f aca="false">IF(Time!S25&gt;0,S27+Inputs!$F$36,0)</f>
        <v>86.7</v>
      </c>
      <c r="T28" s="11" t="n">
        <f aca="false">IF(Time!T25&gt;0,T27+Inputs!$F$36,0)</f>
        <v>87.3</v>
      </c>
      <c r="U28" s="11" t="n">
        <f aca="false">IF(Time!U25&gt;0,U27+Inputs!$F$36,0)</f>
        <v>86.2333333333333</v>
      </c>
      <c r="V28" s="11" t="n">
        <f aca="false">IF(Time!V25&gt;0,V27+Inputs!$F$36,0)</f>
        <v>84.1</v>
      </c>
      <c r="W28" s="11" t="n">
        <f aca="false">IF(Time!W25&gt;0,W27+Inputs!$F$36,0)</f>
        <v>85.1666666666667</v>
      </c>
      <c r="X28" s="11" t="n">
        <f aca="false">IF(Time!X25&gt;0,X27+Inputs!$F$36,0)</f>
        <v>87.3</v>
      </c>
      <c r="Y28" s="11" t="n">
        <f aca="false">IF(Time!Y25&gt;0,Y27+Inputs!$F$36,0)</f>
        <v>87</v>
      </c>
      <c r="Z28" s="11" t="n">
        <f aca="false">IF(Time!Z25&gt;0,Z27+Inputs!$F$36,0)</f>
        <v>86.4</v>
      </c>
      <c r="AA28" s="11" t="n">
        <f aca="false">IF(Time!AA25&gt;0,AA27+Inputs!$F$36,0)</f>
        <v>86.7</v>
      </c>
      <c r="AB28" s="11" t="n">
        <f aca="false">IF(Time!AB25&gt;0,AB27+Inputs!$F$36,0)</f>
        <v>87.3</v>
      </c>
      <c r="AC28" s="11" t="n">
        <f aca="false">IF(Time!AC25&gt;0,AC27+Inputs!$F$36,0)</f>
        <v>85.6</v>
      </c>
      <c r="AD28" s="11" t="n">
        <f aca="false">IF(Time!AD25&gt;0,AD27+Inputs!$F$36,0)</f>
        <v>82.2</v>
      </c>
      <c r="AE28" s="11" t="n">
        <f aca="false">IF(Time!AE25&gt;0,AE27+Inputs!$F$36,0)</f>
        <v>83.9</v>
      </c>
      <c r="AF28" s="11" t="n">
        <f aca="false">IF(Time!AF25&gt;0,AF27+Inputs!$F$36,0)</f>
        <v>87.3</v>
      </c>
      <c r="AG28" s="11" t="n">
        <f aca="false">IF(Time!AG25&gt;0,AG27+Inputs!$F$36,0)</f>
        <v>87</v>
      </c>
      <c r="AH28" s="11" t="n">
        <f aca="false">IF(Time!AH25&gt;0,AH27+Inputs!$F$36,0)</f>
        <v>86.4</v>
      </c>
      <c r="AI28" s="11" t="n">
        <f aca="false">IF(Time!AI25&gt;0,AI27+Inputs!$F$36,0)</f>
        <v>86.7</v>
      </c>
      <c r="AJ28" s="11" t="n">
        <f aca="false">IF(Time!AJ25&gt;0,AJ27+Inputs!$F$36,0)</f>
        <v>87.3</v>
      </c>
      <c r="AK28" s="11" t="n">
        <f aca="false">IF(Time!AK25&gt;0,AK27+Inputs!$F$36,0)</f>
        <v>86.2333333333333</v>
      </c>
      <c r="AL28" s="11" t="n">
        <f aca="false">IF(Time!AL25&gt;0,AL27+Inputs!$F$36,0)</f>
        <v>84.1</v>
      </c>
      <c r="AM28" s="11" t="n">
        <f aca="false">IF(Time!AM25&gt;0,AM27+Inputs!$F$36,0)</f>
        <v>85.1666666666667</v>
      </c>
      <c r="AN28" s="11" t="n">
        <f aca="false">IF(Time!AN25&gt;0,AN27+Inputs!$F$36,0)</f>
        <v>87.3</v>
      </c>
      <c r="AO28" s="11" t="n">
        <f aca="false">IF(Time!AO25&gt;0,AO27+Inputs!$F$36,0)</f>
        <v>87</v>
      </c>
      <c r="AP28" s="11" t="n">
        <f aca="false">IF(Time!AP25&gt;0,AP27+Inputs!$F$36,0)</f>
        <v>86.4</v>
      </c>
      <c r="AQ28" s="11" t="n">
        <f aca="false">IF(Time!AQ25&gt;0,AQ27+Inputs!$F$36,0)</f>
        <v>86.7</v>
      </c>
      <c r="AR28" s="11" t="n">
        <f aca="false">IF(Time!AR25&gt;0,AR27+Inputs!$F$36,0)</f>
        <v>87.3</v>
      </c>
      <c r="AS28" s="11" t="n">
        <f aca="false">IF(Time!AS25&gt;0,AS27+Inputs!$F$36,0)</f>
        <v>85.6</v>
      </c>
      <c r="AT28" s="11" t="n">
        <f aca="false">IF(Time!AT25&gt;0,AT27+Inputs!$F$36,0)</f>
        <v>82.2</v>
      </c>
      <c r="AU28" s="11" t="n">
        <f aca="false">IF(Time!AU25&gt;0,AU27+Inputs!$F$36,0)</f>
        <v>83.9</v>
      </c>
      <c r="AV28" s="11" t="n">
        <f aca="false">IF(Time!AV25&gt;0,AV27+Inputs!$F$36,0)</f>
        <v>87.3</v>
      </c>
      <c r="AW28" s="11" t="n">
        <f aca="false">IF(Time!AW25&gt;0,AW27+Inputs!$F$36,0)</f>
        <v>87</v>
      </c>
      <c r="AX28" s="11" t="n">
        <f aca="false">IF(Time!AX25&gt;0,AX27+Inputs!$F$36,0)</f>
        <v>86.4</v>
      </c>
      <c r="AY28" s="11" t="n">
        <f aca="false">IF(Time!AY25&gt;0,AY27+Inputs!$F$36,0)</f>
        <v>86.7</v>
      </c>
      <c r="AZ28" s="11" t="n">
        <f aca="false">IF(Time!AZ25&gt;0,AZ27+Inputs!$F$36,0)</f>
        <v>87.3</v>
      </c>
      <c r="BA28" s="11" t="n">
        <f aca="false">IF(Time!BA25&gt;0,BA27+Inputs!$F$36,0)</f>
        <v>86.2333333333333</v>
      </c>
      <c r="BB28" s="11" t="n">
        <f aca="false">IF(Time!BB25&gt;0,BB27+Inputs!$F$36,0)</f>
        <v>84.1</v>
      </c>
      <c r="BC28" s="11" t="n">
        <f aca="false">IF(Time!BC25&gt;0,BC27+Inputs!$F$36,0)</f>
        <v>85.1666666666667</v>
      </c>
      <c r="BD28" s="11" t="n">
        <f aca="false">IF(Time!BD25&gt;0,BD27+Inputs!$F$36,0)</f>
        <v>87.3</v>
      </c>
      <c r="BE28" s="11" t="n">
        <f aca="false">IF(Time!BE25&gt;0,BE27+Inputs!$F$36,0)</f>
        <v>87</v>
      </c>
      <c r="BF28" s="11" t="n">
        <f aca="false">IF(Time!BF25&gt;0,BF27+Inputs!$F$36,0)</f>
        <v>86.4</v>
      </c>
      <c r="BG28" s="11" t="n">
        <f aca="false">IF(Time!BG25&gt;0,BG27+Inputs!$F$36,0)</f>
        <v>86.7</v>
      </c>
      <c r="BH28" s="11" t="n">
        <f aca="false">IF(Time!BH25&gt;0,BH27+Inputs!$F$36,0)</f>
        <v>87.3</v>
      </c>
      <c r="BI28" s="11" t="n">
        <f aca="false">IF(Time!BI25&gt;0,BI27+Inputs!$F$36,0)</f>
        <v>85.6</v>
      </c>
      <c r="BJ28" s="11" t="n">
        <f aca="false">IF(Time!BJ25&gt;0,BJ27+Inputs!$F$36,0)</f>
        <v>82.2</v>
      </c>
      <c r="BK28" s="11" t="n">
        <f aca="false">IF(Time!BK25&gt;0,BK27+Inputs!$F$36,0)</f>
        <v>83.9</v>
      </c>
      <c r="BL28" s="11" t="n">
        <f aca="false">IF(Time!BL25&gt;0,BL27+Inputs!$F$36,0)</f>
        <v>87.3</v>
      </c>
      <c r="BM28" s="11" t="n">
        <f aca="false">IF(Time!BM25&gt;0,BM27+Inputs!$F$36,0)</f>
        <v>87.3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567913.383061561</v>
      </c>
      <c r="P33" s="13" t="n">
        <f aca="false">$F$30*730*Time!P25*P28/100*Inputs!$F$37/100*P32</f>
        <v>1702888.17261302</v>
      </c>
      <c r="Q33" s="13" t="n">
        <f aca="false">$F$30*730*Time!Q25*Q28/100*Inputs!$F$37/100*Q32</f>
        <v>1695762.74999691</v>
      </c>
      <c r="R33" s="13" t="n">
        <f aca="false">$F$30*730*Time!R25*R28/100*Inputs!$F$37/100*R32</f>
        <v>1682803.04451764</v>
      </c>
      <c r="S33" s="13" t="n">
        <f aca="false">$F$30*730*Time!S25*S28/100*Inputs!$F$37/100*S32</f>
        <v>1687376.92905056</v>
      </c>
      <c r="T33" s="13" t="n">
        <f aca="false">$F$30*730*Time!T25*T28/100*Inputs!$F$37/100*T32</f>
        <v>1697776.31318304</v>
      </c>
      <c r="U33" s="13" t="n">
        <f aca="false">$F$30*730*Time!U25*U28/100*Inputs!$F$37/100*U32</f>
        <v>1675769.8461696</v>
      </c>
      <c r="V33" s="13" t="n">
        <f aca="false">$F$30*730*Time!V25*V28/100*Inputs!$F$37/100*V32</f>
        <v>1633081.72107288</v>
      </c>
      <c r="W33" s="13" t="n">
        <f aca="false">$F$30*730*Time!W25*W28/100*Inputs!$F$37/100*W32</f>
        <v>1652547.87306222</v>
      </c>
      <c r="X33" s="13" t="n">
        <f aca="false">$F$30*730*Time!X25*X28/100*Inputs!$F$37/100*X32</f>
        <v>1692664.45375305</v>
      </c>
      <c r="Y33" s="13" t="n">
        <f aca="false">$F$30*730*Time!Y25*Y28/100*Inputs!$F$37/100*Y32</f>
        <v>1685574.16419145</v>
      </c>
      <c r="Z33" s="13" t="n">
        <f aca="false">$F$30*730*Time!Z25*Z28/100*Inputs!$F$37/100*Z32</f>
        <v>1672684.72482118</v>
      </c>
      <c r="AA33" s="13" t="n">
        <f aca="false">$F$30*730*Time!AA25*AA28/100*Inputs!$F$37/100*AA32</f>
        <v>1677223.4762996</v>
      </c>
      <c r="AB33" s="13" t="n">
        <f aca="false">$F$30*730*Time!AB25*AB28/100*Inputs!$F$37/100*AB32</f>
        <v>1687552.59432307</v>
      </c>
      <c r="AC33" s="13" t="n">
        <f aca="false">$F$30*730*Time!AC25*AC28/100*Inputs!$F$37/100*AC32</f>
        <v>1653437.66646338</v>
      </c>
      <c r="AD33" s="13" t="n">
        <f aca="false">$F$30*730*Time!AD25*AD28/100*Inputs!$F$37/100*AD32</f>
        <v>1586560.43334232</v>
      </c>
      <c r="AE33" s="13" t="n">
        <f aca="false">$F$30*730*Time!AE25*AE28/100*Inputs!$F$37/100*AE32</f>
        <v>1618144.31740062</v>
      </c>
      <c r="AF33" s="13" t="n">
        <f aca="false">$F$30*730*Time!AF25*AF28/100*Inputs!$F$37/100*AF32</f>
        <v>1682440.73489309</v>
      </c>
      <c r="AG33" s="13" t="n">
        <f aca="false">$F$30*730*Time!AG25*AG28/100*Inputs!$F$37/100*AG32</f>
        <v>1675385.57838599</v>
      </c>
      <c r="AH33" s="13" t="n">
        <f aca="false">$F$30*730*Time!AH25*AH28/100*Inputs!$F$37/100*AH32</f>
        <v>1662566.40512472</v>
      </c>
      <c r="AI33" s="13" t="n">
        <f aca="false">$F$30*730*Time!AI25*AI28/100*Inputs!$F$37/100*AI32</f>
        <v>1667070.02354864</v>
      </c>
      <c r="AJ33" s="13" t="n">
        <f aca="false">$F$30*730*Time!AJ25*AJ28/100*Inputs!$F$37/100*AJ32</f>
        <v>1677328.87546311</v>
      </c>
      <c r="AK33" s="13" t="n">
        <f aca="false">$F$30*730*Time!AK25*AK28/100*Inputs!$F$37/100*AK32</f>
        <v>1655572.2435039</v>
      </c>
      <c r="AL33" s="13" t="n">
        <f aca="false">$F$30*730*Time!AL25*AL28/100*Inputs!$F$37/100*AL32</f>
        <v>1613383.78851565</v>
      </c>
      <c r="AM33" s="13" t="n">
        <f aca="false">$F$30*730*Time!AM25*AM28/100*Inputs!$F$37/100*AM32</f>
        <v>1632600.10545076</v>
      </c>
      <c r="AN33" s="13" t="n">
        <f aca="false">$F$30*730*Time!AN25*AN28/100*Inputs!$F$37/100*AN32</f>
        <v>1672217.01603312</v>
      </c>
      <c r="AO33" s="13" t="n">
        <f aca="false">$F$30*730*Time!AO25*AO28/100*Inputs!$F$37/100*AO32</f>
        <v>1665196.99258052</v>
      </c>
      <c r="AP33" s="13" t="n">
        <f aca="false">$F$30*730*Time!AP25*AP28/100*Inputs!$F$37/100*AP32</f>
        <v>1652448.08542825</v>
      </c>
      <c r="AQ33" s="13" t="n">
        <f aca="false">$F$30*730*Time!AQ25*AQ28/100*Inputs!$F$37/100*AQ32</f>
        <v>1656916.57079768</v>
      </c>
      <c r="AR33" s="13" t="n">
        <f aca="false">$F$30*730*Time!AR25*AR28/100*Inputs!$F$37/100*AR32</f>
        <v>1667105.15660314</v>
      </c>
      <c r="AS33" s="13" t="n">
        <f aca="false">$F$30*730*Time!AS25*AS28/100*Inputs!$F$37/100*AS32</f>
        <v>1633388.40336114</v>
      </c>
      <c r="AT33" s="13" t="n">
        <f aca="false">$F$30*730*Time!AT25*AT28/100*Inputs!$F$37/100*AT32</f>
        <v>1567307.51947544</v>
      </c>
      <c r="AU33" s="13" t="n">
        <f aca="false">$F$30*730*Time!AU25*AU28/100*Inputs!$F$37/100*AU32</f>
        <v>1598493.22891606</v>
      </c>
      <c r="AV33" s="13" t="n">
        <f aca="false">$F$30*730*Time!AV25*AV28/100*Inputs!$F$37/100*AV32</f>
        <v>1661993.29717316</v>
      </c>
      <c r="AW33" s="13" t="n">
        <f aca="false">$F$30*730*Time!AW25*AW28/100*Inputs!$F$37/100*AW32</f>
        <v>1655008.40677506</v>
      </c>
      <c r="AX33" s="13" t="n">
        <f aca="false">$F$30*730*Time!AX25*AX28/100*Inputs!$F$37/100*AX32</f>
        <v>1642329.76573179</v>
      </c>
      <c r="AY33" s="13" t="n">
        <f aca="false">$F$30*730*Time!AY25*AY28/100*Inputs!$F$37/100*AY32</f>
        <v>1646763.11804671</v>
      </c>
      <c r="AZ33" s="13" t="n">
        <f aca="false">$F$30*730*Time!AZ25*AZ28/100*Inputs!$F$37/100*AZ32</f>
        <v>1656881.43774317</v>
      </c>
      <c r="BA33" s="13" t="n">
        <f aca="false">$F$30*730*Time!BA25*BA28/100*Inputs!$F$37/100*BA32</f>
        <v>1635374.6408382</v>
      </c>
      <c r="BB33" s="13" t="n">
        <f aca="false">$F$30*730*Time!BB25*BB28/100*Inputs!$F$37/100*BB32</f>
        <v>1593685.85595842</v>
      </c>
      <c r="BC33" s="13" t="n">
        <f aca="false">$F$30*730*Time!BC25*BC28/100*Inputs!$F$37/100*BC32</f>
        <v>1612652.33783929</v>
      </c>
      <c r="BD33" s="13" t="n">
        <f aca="false">$F$30*730*Time!BD25*BD28/100*Inputs!$F$37/100*BD32</f>
        <v>1651769.57831319</v>
      </c>
      <c r="BE33" s="13" t="n">
        <f aca="false">$F$30*730*Time!BE25*BE28/100*Inputs!$F$37/100*BE32</f>
        <v>1644819.82096959</v>
      </c>
      <c r="BF33" s="13" t="n">
        <f aca="false">$F$30*730*Time!BF25*BF28/100*Inputs!$F$37/100*BF32</f>
        <v>1632211.44603533</v>
      </c>
      <c r="BG33" s="13" t="n">
        <f aca="false">$F$30*730*Time!BG25*BG28/100*Inputs!$F$37/100*BG32</f>
        <v>1636609.66529575</v>
      </c>
      <c r="BH33" s="13" t="n">
        <f aca="false">$F$30*730*Time!BH25*BH28/100*Inputs!$F$37/100*BH32</f>
        <v>1646657.71888321</v>
      </c>
      <c r="BI33" s="13" t="n">
        <f aca="false">$F$30*730*Time!BI25*BI28/100*Inputs!$F$37/100*BI32</f>
        <v>1613339.14025889</v>
      </c>
      <c r="BJ33" s="13" t="n">
        <f aca="false">$F$30*730*Time!BJ25*BJ28/100*Inputs!$F$37/100*BJ32</f>
        <v>1548054.60560856</v>
      </c>
      <c r="BK33" s="13" t="n">
        <f aca="false">$F$30*730*Time!BK25*BK28/100*Inputs!$F$37/100*BK32</f>
        <v>1578842.1404315</v>
      </c>
      <c r="BL33" s="13" t="n">
        <f aca="false">$F$30*730*Time!BL25*BL28/100*Inputs!$F$37/100*BL32</f>
        <v>1641545.85945323</v>
      </c>
      <c r="BM33" s="13" t="n">
        <f aca="false">$F$30*730*Time!BM25*BM28/100*Inputs!$F$37/100*BM32</f>
        <v>1093653.92582576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6553.08666936</v>
      </c>
      <c r="K34" s="11" t="n">
        <f aca="false">$F$31*(1+Inputs!$F$125/100*K29)*(1+Inputs!$F$126/100)*(1+Inputs!$F$120/100)*Inputs!$F$38</f>
        <v>6553.08666936</v>
      </c>
      <c r="L34" s="11" t="n">
        <f aca="false">$F$31*(1+Inputs!$F$125/100*L29)*(1+Inputs!$F$126/100)*(1+Inputs!$F$120/100)*Inputs!$F$38</f>
        <v>6553.08666936</v>
      </c>
      <c r="M34" s="11" t="n">
        <f aca="false">$F$31*(1+Inputs!$F$125/100*M29)*(1+Inputs!$F$126/100)*(1+Inputs!$F$120/100)*Inputs!$F$38</f>
        <v>6553.08666936</v>
      </c>
      <c r="N34" s="11" t="n">
        <f aca="false">$F$31*(1+Inputs!$F$125/100*N29)*(1+Inputs!$F$126/100)*(1+Inputs!$F$120/100)*Inputs!$F$38</f>
        <v>6553.08666936</v>
      </c>
      <c r="O34" s="11" t="n">
        <f aca="false">$F$31*(1+Inputs!$F$125/100*O29)*(1+Inputs!$F$126/100)*(1+Inputs!$F$120/100)*Inputs!$F$38</f>
        <v>6553.74197802694</v>
      </c>
      <c r="P34" s="11" t="n">
        <f aca="false">$F$31*(1+Inputs!$F$125/100*P29)*(1+Inputs!$F$126/100)*(1+Inputs!$F$120/100)*Inputs!$F$38</f>
        <v>6556.36321269468</v>
      </c>
      <c r="Q34" s="11" t="n">
        <f aca="false">$F$31*(1+Inputs!$F$125/100*Q29)*(1+Inputs!$F$126/100)*(1+Inputs!$F$120/100)*Inputs!$F$38</f>
        <v>6560.2950646963</v>
      </c>
      <c r="R34" s="11" t="n">
        <f aca="false">$F$31*(1+Inputs!$F$125/100*R29)*(1+Inputs!$F$126/100)*(1+Inputs!$F$120/100)*Inputs!$F$38</f>
        <v>6564.22691669791</v>
      </c>
      <c r="S34" s="11" t="n">
        <f aca="false">$F$31*(1+Inputs!$F$125/100*S29)*(1+Inputs!$F$126/100)*(1+Inputs!$F$120/100)*Inputs!$F$38</f>
        <v>6568.15876869953</v>
      </c>
      <c r="T34" s="11" t="n">
        <f aca="false">$F$31*(1+Inputs!$F$125/100*T29)*(1+Inputs!$F$126/100)*(1+Inputs!$F$120/100)*Inputs!$F$38</f>
        <v>6572.09062070114</v>
      </c>
      <c r="U34" s="11" t="n">
        <f aca="false">$F$31*(1+Inputs!$F$125/100*U29)*(1+Inputs!$F$126/100)*(1+Inputs!$F$120/100)*Inputs!$F$38</f>
        <v>6576.02247270276</v>
      </c>
      <c r="V34" s="11" t="n">
        <f aca="false">$F$31*(1+Inputs!$F$125/100*V29)*(1+Inputs!$F$126/100)*(1+Inputs!$F$120/100)*Inputs!$F$38</f>
        <v>6579.95432470438</v>
      </c>
      <c r="W34" s="11" t="n">
        <f aca="false">$F$31*(1+Inputs!$F$125/100*W29)*(1+Inputs!$F$126/100)*(1+Inputs!$F$120/100)*Inputs!$F$38</f>
        <v>6583.88617670599</v>
      </c>
      <c r="X34" s="11" t="n">
        <f aca="false">$F$31*(1+Inputs!$F$125/100*X29)*(1+Inputs!$F$126/100)*(1+Inputs!$F$120/100)*Inputs!$F$38</f>
        <v>6587.81802870761</v>
      </c>
      <c r="Y34" s="11" t="n">
        <f aca="false">$F$31*(1+Inputs!$F$125/100*Y29)*(1+Inputs!$F$126/100)*(1+Inputs!$F$120/100)*Inputs!$F$38</f>
        <v>6591.74988070922</v>
      </c>
      <c r="Z34" s="11" t="n">
        <f aca="false">$F$31*(1+Inputs!$F$125/100*Z29)*(1+Inputs!$F$126/100)*(1+Inputs!$F$120/100)*Inputs!$F$38</f>
        <v>6595.68173271084</v>
      </c>
      <c r="AA34" s="11" t="n">
        <f aca="false">$F$31*(1+Inputs!$F$125/100*AA29)*(1+Inputs!$F$126/100)*(1+Inputs!$F$120/100)*Inputs!$F$38</f>
        <v>6599.61358471246</v>
      </c>
      <c r="AB34" s="11" t="n">
        <f aca="false">$F$31*(1+Inputs!$F$125/100*AB29)*(1+Inputs!$F$126/100)*(1+Inputs!$F$120/100)*Inputs!$F$38</f>
        <v>6603.54543671407</v>
      </c>
      <c r="AC34" s="11" t="n">
        <f aca="false">$F$31*(1+Inputs!$F$125/100*AC29)*(1+Inputs!$F$126/100)*(1+Inputs!$F$120/100)*Inputs!$F$38</f>
        <v>6607.47728871569</v>
      </c>
      <c r="AD34" s="11" t="n">
        <f aca="false">$F$31*(1+Inputs!$F$125/100*AD29)*(1+Inputs!$F$126/100)*(1+Inputs!$F$120/100)*Inputs!$F$38</f>
        <v>6611.4091407173</v>
      </c>
      <c r="AE34" s="11" t="n">
        <f aca="false">$F$31*(1+Inputs!$F$125/100*AE29)*(1+Inputs!$F$126/100)*(1+Inputs!$F$120/100)*Inputs!$F$38</f>
        <v>6615.34099271892</v>
      </c>
      <c r="AF34" s="11" t="n">
        <f aca="false">$F$31*(1+Inputs!$F$125/100*AF29)*(1+Inputs!$F$126/100)*(1+Inputs!$F$120/100)*Inputs!$F$38</f>
        <v>6619.27284472054</v>
      </c>
      <c r="AG34" s="11" t="n">
        <f aca="false">$F$31*(1+Inputs!$F$125/100*AG29)*(1+Inputs!$F$126/100)*(1+Inputs!$F$120/100)*Inputs!$F$38</f>
        <v>6623.20469672215</v>
      </c>
      <c r="AH34" s="11" t="n">
        <f aca="false">$F$31*(1+Inputs!$F$125/100*AH29)*(1+Inputs!$F$126/100)*(1+Inputs!$F$120/100)*Inputs!$F$38</f>
        <v>6627.13654872377</v>
      </c>
      <c r="AI34" s="11" t="n">
        <f aca="false">$F$31*(1+Inputs!$F$125/100*AI29)*(1+Inputs!$F$126/100)*(1+Inputs!$F$120/100)*Inputs!$F$38</f>
        <v>6631.06840072538</v>
      </c>
      <c r="AJ34" s="11" t="n">
        <f aca="false">$F$31*(1+Inputs!$F$125/100*AJ29)*(1+Inputs!$F$126/100)*(1+Inputs!$F$120/100)*Inputs!$F$38</f>
        <v>6635.000252727</v>
      </c>
      <c r="AK34" s="11" t="n">
        <f aca="false">$F$31*(1+Inputs!$F$125/100*AK29)*(1+Inputs!$F$126/100)*(1+Inputs!$F$120/100)*Inputs!$F$38</f>
        <v>6638.93210472861</v>
      </c>
      <c r="AL34" s="11" t="n">
        <f aca="false">$F$31*(1+Inputs!$F$125/100*AL29)*(1+Inputs!$F$126/100)*(1+Inputs!$F$120/100)*Inputs!$F$38</f>
        <v>6642.86395673023</v>
      </c>
      <c r="AM34" s="11" t="n">
        <f aca="false">$F$31*(1+Inputs!$F$125/100*AM29)*(1+Inputs!$F$126/100)*(1+Inputs!$F$120/100)*Inputs!$F$38</f>
        <v>6646.79580873185</v>
      </c>
      <c r="AN34" s="11" t="n">
        <f aca="false">$F$31*(1+Inputs!$F$125/100*AN29)*(1+Inputs!$F$126/100)*(1+Inputs!$F$120/100)*Inputs!$F$38</f>
        <v>6650.72766073346</v>
      </c>
      <c r="AO34" s="11" t="n">
        <f aca="false">$F$31*(1+Inputs!$F$125/100*AO29)*(1+Inputs!$F$126/100)*(1+Inputs!$F$120/100)*Inputs!$F$38</f>
        <v>6654.65951273508</v>
      </c>
      <c r="AP34" s="11" t="n">
        <f aca="false">$F$31*(1+Inputs!$F$125/100*AP29)*(1+Inputs!$F$126/100)*(1+Inputs!$F$120/100)*Inputs!$F$38</f>
        <v>6658.59136473669</v>
      </c>
      <c r="AQ34" s="11" t="n">
        <f aca="false">$F$31*(1+Inputs!$F$125/100*AQ29)*(1+Inputs!$F$126/100)*(1+Inputs!$F$120/100)*Inputs!$F$38</f>
        <v>6662.52321673831</v>
      </c>
      <c r="AR34" s="11" t="n">
        <f aca="false">$F$31*(1+Inputs!$F$125/100*AR29)*(1+Inputs!$F$126/100)*(1+Inputs!$F$120/100)*Inputs!$F$38</f>
        <v>6666.45506873993</v>
      </c>
      <c r="AS34" s="11" t="n">
        <f aca="false">$F$31*(1+Inputs!$F$125/100*AS29)*(1+Inputs!$F$126/100)*(1+Inputs!$F$120/100)*Inputs!$F$38</f>
        <v>6670.38692074154</v>
      </c>
      <c r="AT34" s="11" t="n">
        <f aca="false">$F$31*(1+Inputs!$F$125/100*AT29)*(1+Inputs!$F$126/100)*(1+Inputs!$F$120/100)*Inputs!$F$38</f>
        <v>6674.31877274316</v>
      </c>
      <c r="AU34" s="11" t="n">
        <f aca="false">$F$31*(1+Inputs!$F$125/100*AU29)*(1+Inputs!$F$126/100)*(1+Inputs!$F$120/100)*Inputs!$F$38</f>
        <v>6678.25062474477</v>
      </c>
      <c r="AV34" s="11" t="n">
        <f aca="false">$F$31*(1+Inputs!$F$125/100*AV29)*(1+Inputs!$F$126/100)*(1+Inputs!$F$120/100)*Inputs!$F$38</f>
        <v>6682.18247674639</v>
      </c>
      <c r="AW34" s="11" t="n">
        <f aca="false">$F$31*(1+Inputs!$F$125/100*AW29)*(1+Inputs!$F$126/100)*(1+Inputs!$F$120/100)*Inputs!$F$38</f>
        <v>6686.11432874801</v>
      </c>
      <c r="AX34" s="11" t="n">
        <f aca="false">$F$31*(1+Inputs!$F$125/100*AX29)*(1+Inputs!$F$126/100)*(1+Inputs!$F$120/100)*Inputs!$F$38</f>
        <v>6690.04618074962</v>
      </c>
      <c r="AY34" s="11" t="n">
        <f aca="false">$F$31*(1+Inputs!$F$125/100*AY29)*(1+Inputs!$F$126/100)*(1+Inputs!$F$120/100)*Inputs!$F$38</f>
        <v>6693.97803275124</v>
      </c>
      <c r="AZ34" s="11" t="n">
        <f aca="false">$F$31*(1+Inputs!$F$125/100*AZ29)*(1+Inputs!$F$126/100)*(1+Inputs!$F$120/100)*Inputs!$F$38</f>
        <v>6697.90988475286</v>
      </c>
      <c r="BA34" s="11" t="n">
        <f aca="false">$F$31*(1+Inputs!$F$125/100*BA29)*(1+Inputs!$F$126/100)*(1+Inputs!$F$120/100)*Inputs!$F$38</f>
        <v>6701.84173675447</v>
      </c>
      <c r="BB34" s="11" t="n">
        <f aca="false">$F$31*(1+Inputs!$F$125/100*BB29)*(1+Inputs!$F$126/100)*(1+Inputs!$F$120/100)*Inputs!$F$38</f>
        <v>6705.77358875609</v>
      </c>
      <c r="BC34" s="11" t="n">
        <f aca="false">$F$31*(1+Inputs!$F$125/100*BC29)*(1+Inputs!$F$126/100)*(1+Inputs!$F$120/100)*Inputs!$F$38</f>
        <v>6709.7054407577</v>
      </c>
      <c r="BD34" s="11" t="n">
        <f aca="false">$F$31*(1+Inputs!$F$125/100*BD29)*(1+Inputs!$F$126/100)*(1+Inputs!$F$120/100)*Inputs!$F$38</f>
        <v>6713.63729275932</v>
      </c>
      <c r="BE34" s="11" t="n">
        <f aca="false">$F$31*(1+Inputs!$F$125/100*BE29)*(1+Inputs!$F$126/100)*(1+Inputs!$F$120/100)*Inputs!$F$38</f>
        <v>6717.56914476093</v>
      </c>
      <c r="BF34" s="11" t="n">
        <f aca="false">$F$31*(1+Inputs!$F$125/100*BF29)*(1+Inputs!$F$126/100)*(1+Inputs!$F$120/100)*Inputs!$F$38</f>
        <v>6721.50099676255</v>
      </c>
      <c r="BG34" s="11" t="n">
        <f aca="false">$F$31*(1+Inputs!$F$125/100*BG29)*(1+Inputs!$F$126/100)*(1+Inputs!$F$120/100)*Inputs!$F$38</f>
        <v>6725.43284876417</v>
      </c>
      <c r="BH34" s="11" t="n">
        <f aca="false">$F$31*(1+Inputs!$F$125/100*BH29)*(1+Inputs!$F$126/100)*(1+Inputs!$F$120/100)*Inputs!$F$38</f>
        <v>6729.36470076578</v>
      </c>
      <c r="BI34" s="11" t="n">
        <f aca="false">$F$31*(1+Inputs!$F$125/100*BI29)*(1+Inputs!$F$126/100)*(1+Inputs!$F$120/100)*Inputs!$F$38</f>
        <v>6733.2965527674</v>
      </c>
      <c r="BJ34" s="11" t="n">
        <f aca="false">$F$31*(1+Inputs!$F$125/100*BJ29)*(1+Inputs!$F$126/100)*(1+Inputs!$F$120/100)*Inputs!$F$38</f>
        <v>6737.22840476902</v>
      </c>
      <c r="BK34" s="11" t="n">
        <f aca="false">$F$31*(1+Inputs!$F$125/100*BK29)*(1+Inputs!$F$126/100)*(1+Inputs!$F$120/100)*Inputs!$F$38</f>
        <v>6741.16025677063</v>
      </c>
      <c r="BL34" s="11" t="n">
        <f aca="false">$F$31*(1+Inputs!$F$125/100*BL29)*(1+Inputs!$F$126/100)*(1+Inputs!$F$120/100)*Inputs!$F$38</f>
        <v>6745.09210877225</v>
      </c>
      <c r="BM34" s="11" t="n">
        <f aca="false">$F$31*(1+Inputs!$F$125/100*BM29)*(1+Inputs!$F$126/100)*(1+Inputs!$F$120/100)*Inputs!$F$38</f>
        <v>6748.36865210693</v>
      </c>
      <c r="BN34" s="11" t="n">
        <f aca="false">$F$31*(1+Inputs!$F$125/100*BN29)*(1+Inputs!$F$126/100)*(1+Inputs!$F$120/100)*Inputs!$F$38</f>
        <v>6553.08666936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3908730.17027235</v>
      </c>
      <c r="P37" s="13" t="n">
        <f aca="false">P33*P34*(1000*Inputs!$F$121/Inputs!$F$122)</f>
        <v>11725014.3444899</v>
      </c>
      <c r="Q37" s="13" t="n">
        <f aca="false">Q33*Q34*(1000*Inputs!$F$121/Inputs!$F$122)</f>
        <v>11682955.2475587</v>
      </c>
      <c r="R37" s="13" t="n">
        <f aca="false">R33*R34*(1000*Inputs!$F$121/Inputs!$F$122)</f>
        <v>11600617.9318243</v>
      </c>
      <c r="S37" s="13" t="n">
        <f aca="false">S33*S34*(1000*Inputs!$F$121/Inputs!$F$122)</f>
        <v>11639116.0341161</v>
      </c>
      <c r="T37" s="13" t="n">
        <f aca="false">T33*T34*(1000*Inputs!$F$121/Inputs!$F$122)</f>
        <v>11717858.8440633</v>
      </c>
      <c r="U37" s="13" t="n">
        <f aca="false">U33*U34*(1000*Inputs!$F$121/Inputs!$F$122)</f>
        <v>11572892.2309126</v>
      </c>
      <c r="V37" s="13" t="n">
        <f aca="false">V33*V34*(1000*Inputs!$F$121/Inputs!$F$122)</f>
        <v>11284830.6360529</v>
      </c>
      <c r="W37" s="13" t="n">
        <f aca="false">W33*W34*(1000*Inputs!$F$121/Inputs!$F$122)</f>
        <v>11426168.1885716</v>
      </c>
      <c r="X37" s="13" t="n">
        <f aca="false">X33*X34*(1000*Inputs!$F$121/Inputs!$F$122)</f>
        <v>11710534.4822696</v>
      </c>
      <c r="Y37" s="13" t="n">
        <f aca="false">Y33*Y34*(1000*Inputs!$F$121/Inputs!$F$122)</f>
        <v>11668441.0037713</v>
      </c>
      <c r="Z37" s="13" t="n">
        <f aca="false">Z33*Z34*(1000*Inputs!$F$121/Inputs!$F$122)</f>
        <v>11586120.226006</v>
      </c>
      <c r="AA37" s="13" t="n">
        <f aca="false">AA33*AA34*(1000*Inputs!$F$121/Inputs!$F$122)</f>
        <v>11624484.1386375</v>
      </c>
      <c r="AB37" s="13" t="n">
        <f aca="false">AB33*AB34*(1000*Inputs!$F$121/Inputs!$F$122)</f>
        <v>11703041.259109</v>
      </c>
      <c r="AC37" s="13" t="n">
        <f aca="false">AC33*AC34*(1000*Inputs!$F$121/Inputs!$F$122)</f>
        <v>11473284.2873231</v>
      </c>
      <c r="AD37" s="13" t="n">
        <f aca="false">AD33*AD34*(1000*Inputs!$F$121/Inputs!$F$122)</f>
        <v>11015771.0753175</v>
      </c>
      <c r="AE37" s="13" t="n">
        <f aca="false">AE33*AE34*(1000*Inputs!$F$121/Inputs!$F$122)</f>
        <v>11241745.1680473</v>
      </c>
      <c r="AF37" s="13" t="n">
        <f aca="false">AF33*AF34*(1000*Inputs!$F$121/Inputs!$F$122)</f>
        <v>11695379.1745813</v>
      </c>
      <c r="AG37" s="13" t="n">
        <f aca="false">AG33*AG34*(1000*Inputs!$F$121/Inputs!$F$122)</f>
        <v>11653253.6356345</v>
      </c>
      <c r="AH37" s="13" t="n">
        <f aca="false">AH33*AH34*(1000*Inputs!$F$121/Inputs!$F$122)</f>
        <v>11570954.0380749</v>
      </c>
      <c r="AI37" s="13" t="n">
        <f aca="false">AI33*AI34*(1000*Inputs!$F$121/Inputs!$F$122)</f>
        <v>11609181.4399278</v>
      </c>
      <c r="AJ37" s="13" t="n">
        <f aca="false">AJ33*AJ34*(1000*Inputs!$F$121/Inputs!$F$122)</f>
        <v>11687548.2286867</v>
      </c>
      <c r="AK37" s="13" t="n">
        <f aca="false">AK33*AK34*(1000*Inputs!$F$121/Inputs!$F$122)</f>
        <v>11542785.1647286</v>
      </c>
      <c r="AL37" s="13" t="n">
        <f aca="false">AL33*AL34*(1000*Inputs!$F$121/Inputs!$F$122)</f>
        <v>11255305.7192705</v>
      </c>
      <c r="AM37" s="13" t="n">
        <f aca="false">AM33*AM34*(1000*Inputs!$F$121/Inputs!$F$122)</f>
        <v>11396104.0630789</v>
      </c>
      <c r="AN37" s="13" t="n">
        <f aca="false">AN33*AN34*(1000*Inputs!$F$121/Inputs!$F$122)</f>
        <v>11679548.421425</v>
      </c>
      <c r="AO37" s="13" t="n">
        <f aca="false">AO33*AO34*(1000*Inputs!$F$121/Inputs!$F$122)</f>
        <v>11637393.1431481</v>
      </c>
      <c r="AP37" s="13" t="n">
        <f aca="false">AP33*AP34*(1000*Inputs!$F$121/Inputs!$F$122)</f>
        <v>11555119.3680312</v>
      </c>
      <c r="AQ37" s="13" t="n">
        <f aca="false">AQ33*AQ34*(1000*Inputs!$F$121/Inputs!$F$122)</f>
        <v>11593207.937987</v>
      </c>
      <c r="AR37" s="13" t="n">
        <f aca="false">AR33*AR34*(1000*Inputs!$F$121/Inputs!$F$122)</f>
        <v>11671379.7527963</v>
      </c>
      <c r="AS37" s="13" t="n">
        <f aca="false">AS33*AS34*(1000*Inputs!$F$121/Inputs!$F$122)</f>
        <v>11442073.754982</v>
      </c>
      <c r="AT37" s="13" t="n">
        <f aca="false">AT33*AT34*(1000*Inputs!$F$121/Inputs!$F$122)</f>
        <v>10985641.2170399</v>
      </c>
      <c r="AU37" s="13" t="n">
        <f aca="false">AU33*AU34*(1000*Inputs!$F$121/Inputs!$F$122)</f>
        <v>11210829.9013153</v>
      </c>
      <c r="AV37" s="13" t="n">
        <f aca="false">AV33*AV34*(1000*Inputs!$F$121/Inputs!$F$122)</f>
        <v>11663042.2228007</v>
      </c>
      <c r="AW37" s="13" t="n">
        <f aca="false">AW33*AW34*(1000*Inputs!$F$121/Inputs!$F$122)</f>
        <v>11620859.5263121</v>
      </c>
      <c r="AX37" s="13" t="n">
        <f aca="false">AX33*AX34*(1000*Inputs!$F$121/Inputs!$F$122)</f>
        <v>11538616.2158749</v>
      </c>
      <c r="AY37" s="13" t="n">
        <f aca="false">AY33*AY34*(1000*Inputs!$F$121/Inputs!$F$122)</f>
        <v>11576563.6328151</v>
      </c>
      <c r="AZ37" s="13" t="n">
        <f aca="false">AZ33*AZ34*(1000*Inputs!$F$121/Inputs!$F$122)</f>
        <v>11654535.831438</v>
      </c>
      <c r="BA37" s="13" t="n">
        <f aca="false">BA33*BA34*(1000*Inputs!$F$121/Inputs!$F$122)</f>
        <v>11510009.328135</v>
      </c>
      <c r="BB37" s="13" t="n">
        <f aca="false">BB33*BB34*(1000*Inputs!$F$121/Inputs!$F$122)</f>
        <v>11223178.0550032</v>
      </c>
      <c r="BC37" s="13" t="n">
        <f aca="false">BC33*BC34*(1000*Inputs!$F$121/Inputs!$F$122)</f>
        <v>11363404.1786389</v>
      </c>
      <c r="BD37" s="13" t="n">
        <f aca="false">BD33*BD34*(1000*Inputs!$F$121/Inputs!$F$122)</f>
        <v>11645860.5787084</v>
      </c>
      <c r="BE37" s="13" t="n">
        <f aca="false">BE33*BE34*(1000*Inputs!$F$121/Inputs!$F$122)</f>
        <v>11603652.7851266</v>
      </c>
      <c r="BF37" s="13" t="n">
        <f aca="false">BF33*BF34*(1000*Inputs!$F$121/Inputs!$F$122)</f>
        <v>11521444.5816059</v>
      </c>
      <c r="BG37" s="13" t="n">
        <f aca="false">BG33*BG34*(1000*Inputs!$F$121/Inputs!$F$122)</f>
        <v>11559248.5244121</v>
      </c>
      <c r="BH37" s="13" t="n">
        <f aca="false">BH33*BH34*(1000*Inputs!$F$121/Inputs!$F$122)</f>
        <v>11637016.4646117</v>
      </c>
      <c r="BI37" s="13" t="n">
        <f aca="false">BI33*BI34*(1000*Inputs!$F$121/Inputs!$F$122)</f>
        <v>11408214.0527871</v>
      </c>
      <c r="BJ37" s="13" t="n">
        <f aca="false">BJ33*BJ34*(1000*Inputs!$F$121/Inputs!$F$122)</f>
        <v>10952967.4129447</v>
      </c>
      <c r="BK37" s="13" t="n">
        <f aca="false">BK33*BK34*(1000*Inputs!$F$121/Inputs!$F$122)</f>
        <v>11177318.0767475</v>
      </c>
      <c r="BL37" s="13" t="n">
        <f aca="false">BL33*BL34*(1000*Inputs!$F$121/Inputs!$F$122)</f>
        <v>11628003.489148</v>
      </c>
      <c r="BM37" s="13" t="n">
        <f aca="false">BM33*BM34*(1000*Inputs!$F$121/Inputs!$F$122)</f>
        <v>7750736.35444968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0.97</v>
      </c>
      <c r="P42" s="11" t="n">
        <f aca="false">MIN(1,P28/Inputs!$F$130)</f>
        <v>0.97</v>
      </c>
      <c r="Q42" s="11" t="n">
        <f aca="false">MIN(1,Q28/Inputs!$F$130)</f>
        <v>0.966666666666667</v>
      </c>
      <c r="R42" s="11" t="n">
        <f aca="false">MIN(1,R28/Inputs!$F$130)</f>
        <v>0.96</v>
      </c>
      <c r="S42" s="11" t="n">
        <f aca="false">MIN(1,S28/Inputs!$F$130)</f>
        <v>0.963333333333333</v>
      </c>
      <c r="T42" s="11" t="n">
        <f aca="false">MIN(1,T28/Inputs!$F$130)</f>
        <v>0.97</v>
      </c>
      <c r="U42" s="11" t="n">
        <f aca="false">MIN(1,U28/Inputs!$F$130)</f>
        <v>0.958148148148148</v>
      </c>
      <c r="V42" s="11" t="n">
        <f aca="false">MIN(1,V28/Inputs!$F$130)</f>
        <v>0.934444444444444</v>
      </c>
      <c r="W42" s="11" t="n">
        <f aca="false">MIN(1,W28/Inputs!$F$130)</f>
        <v>0.946296296296296</v>
      </c>
      <c r="X42" s="11" t="n">
        <f aca="false">MIN(1,X28/Inputs!$F$130)</f>
        <v>0.97</v>
      </c>
      <c r="Y42" s="11" t="n">
        <f aca="false">MIN(1,Y28/Inputs!$F$130)</f>
        <v>0.966666666666667</v>
      </c>
      <c r="Z42" s="11" t="n">
        <f aca="false">MIN(1,Z28/Inputs!$F$130)</f>
        <v>0.96</v>
      </c>
      <c r="AA42" s="11" t="n">
        <f aca="false">MIN(1,AA28/Inputs!$F$130)</f>
        <v>0.963333333333333</v>
      </c>
      <c r="AB42" s="11" t="n">
        <f aca="false">MIN(1,AB28/Inputs!$F$130)</f>
        <v>0.97</v>
      </c>
      <c r="AC42" s="11" t="n">
        <f aca="false">MIN(1,AC28/Inputs!$F$130)</f>
        <v>0.951111111111111</v>
      </c>
      <c r="AD42" s="11" t="n">
        <f aca="false">MIN(1,AD28/Inputs!$F$130)</f>
        <v>0.913333333333333</v>
      </c>
      <c r="AE42" s="11" t="n">
        <f aca="false">MIN(1,AE28/Inputs!$F$130)</f>
        <v>0.932222222222222</v>
      </c>
      <c r="AF42" s="11" t="n">
        <f aca="false">MIN(1,AF28/Inputs!$F$130)</f>
        <v>0.97</v>
      </c>
      <c r="AG42" s="11" t="n">
        <f aca="false">MIN(1,AG28/Inputs!$F$130)</f>
        <v>0.966666666666667</v>
      </c>
      <c r="AH42" s="11" t="n">
        <f aca="false">MIN(1,AH28/Inputs!$F$130)</f>
        <v>0.96</v>
      </c>
      <c r="AI42" s="11" t="n">
        <f aca="false">MIN(1,AI28/Inputs!$F$130)</f>
        <v>0.963333333333333</v>
      </c>
      <c r="AJ42" s="11" t="n">
        <f aca="false">MIN(1,AJ28/Inputs!$F$130)</f>
        <v>0.97</v>
      </c>
      <c r="AK42" s="11" t="n">
        <f aca="false">MIN(1,AK28/Inputs!$F$130)</f>
        <v>0.958148148148148</v>
      </c>
      <c r="AL42" s="11" t="n">
        <f aca="false">MIN(1,AL28/Inputs!$F$130)</f>
        <v>0.934444444444444</v>
      </c>
      <c r="AM42" s="11" t="n">
        <f aca="false">MIN(1,AM28/Inputs!$F$130)</f>
        <v>0.946296296296296</v>
      </c>
      <c r="AN42" s="11" t="n">
        <f aca="false">MIN(1,AN28/Inputs!$F$130)</f>
        <v>0.97</v>
      </c>
      <c r="AO42" s="11" t="n">
        <f aca="false">MIN(1,AO28/Inputs!$F$130)</f>
        <v>0.966666666666667</v>
      </c>
      <c r="AP42" s="11" t="n">
        <f aca="false">MIN(1,AP28/Inputs!$F$130)</f>
        <v>0.96</v>
      </c>
      <c r="AQ42" s="11" t="n">
        <f aca="false">MIN(1,AQ28/Inputs!$F$130)</f>
        <v>0.963333333333333</v>
      </c>
      <c r="AR42" s="11" t="n">
        <f aca="false">MIN(1,AR28/Inputs!$F$130)</f>
        <v>0.97</v>
      </c>
      <c r="AS42" s="11" t="n">
        <f aca="false">MIN(1,AS28/Inputs!$F$130)</f>
        <v>0.951111111111111</v>
      </c>
      <c r="AT42" s="11" t="n">
        <f aca="false">MIN(1,AT28/Inputs!$F$130)</f>
        <v>0.913333333333333</v>
      </c>
      <c r="AU42" s="11" t="n">
        <f aca="false">MIN(1,AU28/Inputs!$F$130)</f>
        <v>0.932222222222222</v>
      </c>
      <c r="AV42" s="11" t="n">
        <f aca="false">MIN(1,AV28/Inputs!$F$130)</f>
        <v>0.97</v>
      </c>
      <c r="AW42" s="11" t="n">
        <f aca="false">MIN(1,AW28/Inputs!$F$130)</f>
        <v>0.966666666666667</v>
      </c>
      <c r="AX42" s="11" t="n">
        <f aca="false">MIN(1,AX28/Inputs!$F$130)</f>
        <v>0.96</v>
      </c>
      <c r="AY42" s="11" t="n">
        <f aca="false">MIN(1,AY28/Inputs!$F$130)</f>
        <v>0.963333333333333</v>
      </c>
      <c r="AZ42" s="11" t="n">
        <f aca="false">MIN(1,AZ28/Inputs!$F$130)</f>
        <v>0.97</v>
      </c>
      <c r="BA42" s="11" t="n">
        <f aca="false">MIN(1,BA28/Inputs!$F$130)</f>
        <v>0.958148148148148</v>
      </c>
      <c r="BB42" s="11" t="n">
        <f aca="false">MIN(1,BB28/Inputs!$F$130)</f>
        <v>0.934444444444444</v>
      </c>
      <c r="BC42" s="11" t="n">
        <f aca="false">MIN(1,BC28/Inputs!$F$130)</f>
        <v>0.946296296296296</v>
      </c>
      <c r="BD42" s="11" t="n">
        <f aca="false">MIN(1,BD28/Inputs!$F$130)</f>
        <v>0.97</v>
      </c>
      <c r="BE42" s="11" t="n">
        <f aca="false">MIN(1,BE28/Inputs!$F$130)</f>
        <v>0.966666666666667</v>
      </c>
      <c r="BF42" s="11" t="n">
        <f aca="false">MIN(1,BF28/Inputs!$F$130)</f>
        <v>0.96</v>
      </c>
      <c r="BG42" s="11" t="n">
        <f aca="false">MIN(1,BG28/Inputs!$F$130)</f>
        <v>0.963333333333333</v>
      </c>
      <c r="BH42" s="11" t="n">
        <f aca="false">MIN(1,BH28/Inputs!$F$130)</f>
        <v>0.97</v>
      </c>
      <c r="BI42" s="11" t="n">
        <f aca="false">MIN(1,BI28/Inputs!$F$130)</f>
        <v>0.951111111111111</v>
      </c>
      <c r="BJ42" s="11" t="n">
        <f aca="false">MIN(1,BJ28/Inputs!$F$130)</f>
        <v>0.913333333333333</v>
      </c>
      <c r="BK42" s="11" t="n">
        <f aca="false">MIN(1,BK28/Inputs!$F$130)</f>
        <v>0.932222222222222</v>
      </c>
      <c r="BL42" s="11" t="n">
        <f aca="false">MIN(1,BL28/Inputs!$F$130)</f>
        <v>0.97</v>
      </c>
      <c r="BM42" s="11" t="n">
        <f aca="false">MIN(1,BM28/Inputs!$F$130)</f>
        <v>0.97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3192.31470727148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19.4763630025018</v>
      </c>
      <c r="P43" s="11" t="n">
        <f aca="false">$F$30*1000*Time!P25*(P40+P41)*P42/1000000</f>
        <v>58.6379209598847</v>
      </c>
      <c r="Q43" s="11" t="n">
        <f aca="false">$F$30*1000*Time!Q25*(Q40+Q41)*Q42/1000000</f>
        <v>58.6468071968583</v>
      </c>
      <c r="R43" s="11" t="n">
        <f aca="false">$F$30*1000*Time!R25*(R40+R41)*R42/1000000</f>
        <v>58.4535724422276</v>
      </c>
      <c r="S43" s="11" t="n">
        <f aca="false">$F$30*1000*Time!S25*(S40+S41)*S42/1000000</f>
        <v>58.8708145127407</v>
      </c>
      <c r="T43" s="11" t="n">
        <f aca="false">$F$30*1000*Time!T25*(T40+T41)*T42/1000000</f>
        <v>59.4963466267465</v>
      </c>
      <c r="U43" s="11" t="n">
        <f aca="false">$F$30*1000*Time!U25*(U40+U41)*U42/1000000</f>
        <v>58.9872098917923</v>
      </c>
      <c r="V43" s="11" t="n">
        <f aca="false">$F$30*1000*Time!V25*(V40+V41)*V42/1000000</f>
        <v>57.7426697041026</v>
      </c>
      <c r="W43" s="11" t="n">
        <f aca="false">$F$30*1000*Time!W25*(W40+W41)*W42/1000000</f>
        <v>58.6948901222802</v>
      </c>
      <c r="X43" s="11" t="n">
        <f aca="false">$F$30*1000*Time!X25*(X40+X41)*X42/1000000</f>
        <v>60.392958500973</v>
      </c>
      <c r="Y43" s="11" t="n">
        <f aca="false">$F$30*1000*Time!Y25*(Y40+Y41)*Y42/1000000</f>
        <v>60.4149480857406</v>
      </c>
      <c r="Z43" s="11" t="n">
        <f aca="false">$F$30*1000*Time!Z25*(Z40+Z41)*Z42/1000000</f>
        <v>60.2287295889416</v>
      </c>
      <c r="AA43" s="11" t="n">
        <f aca="false">$F$30*1000*Time!AA25*(AA40+AA41)*AA42/1000000</f>
        <v>60.6716233288044</v>
      </c>
      <c r="AB43" s="11" t="n">
        <f aca="false">$F$30*1000*Time!AB25*(AB40+AB41)*AB42/1000000</f>
        <v>61.3294552578126</v>
      </c>
      <c r="AC43" s="11" t="n">
        <f aca="false">$F$30*1000*Time!AC25*(AC40+AC41)*AC42/1000000</f>
        <v>60.3710597093257</v>
      </c>
      <c r="AD43" s="11" t="n">
        <f aca="false">$F$30*1000*Time!AD25*(AD40+AD41)*AD42/1000000</f>
        <v>58.2021307682567</v>
      </c>
      <c r="AE43" s="11" t="n">
        <f aca="false">$F$30*1000*Time!AE25*(AE40+AE41)*AE42/1000000</f>
        <v>59.6421041559032</v>
      </c>
      <c r="AF43" s="11" t="n">
        <f aca="false">$F$30*1000*Time!AF25*(AF40+AF41)*AF42/1000000</f>
        <v>62.3076111363834</v>
      </c>
      <c r="AG43" s="11" t="n">
        <f aca="false">$F$30*1000*Time!AG25*(AG40+AG41)*AG42/1000000</f>
        <v>62.3438957768401</v>
      </c>
      <c r="AH43" s="11" t="n">
        <f aca="false">$F$30*1000*Time!AH25*(AH40+AH41)*AH42/1000000</f>
        <v>62.1653316442549</v>
      </c>
      <c r="AI43" s="11" t="n">
        <f aca="false">$F$30*1000*Time!AI25*(AI40+AI41)*AI42/1000000</f>
        <v>62.636209991383</v>
      </c>
      <c r="AJ43" s="11" t="n">
        <f aca="false">$F$30*1000*Time!AJ25*(AJ40+AJ41)*AJ42/1000000</f>
        <v>63.3292793010566</v>
      </c>
      <c r="AK43" s="11" t="n">
        <f aca="false">$F$30*1000*Time!AK25*(AK40+AK41)*AK42/1000000</f>
        <v>62.8147307766516</v>
      </c>
      <c r="AL43" s="11" t="n">
        <f aca="false">$F$30*1000*Time!AL25*(AL40+AL41)*AL42/1000000</f>
        <v>61.5163390047153</v>
      </c>
      <c r="AM43" s="11" t="n">
        <f aca="false">$F$30*1000*Time!AM25*(AM40+AM41)*AM42/1000000</f>
        <v>62.5582302110911</v>
      </c>
      <c r="AN43" s="11" t="n">
        <f aca="false">$F$30*1000*Time!AN25*(AN40+AN41)*AN42/1000000</f>
        <v>64.3963953523671</v>
      </c>
      <c r="AO43" s="11" t="n">
        <f aca="false">$F$30*1000*Time!AO25*(AO40+AO41)*AO42/1000000</f>
        <v>64.448275138459</v>
      </c>
      <c r="AP43" s="11" t="n">
        <f aca="false">$F$30*1000*Time!AP25*(AP40+AP41)*AP42/1000000</f>
        <v>64.2780615102197</v>
      </c>
      <c r="AQ43" s="11" t="n">
        <f aca="false">$F$30*1000*Time!AQ25*(AQ40+AQ41)*AQ42/1000000</f>
        <v>64.779469575828</v>
      </c>
      <c r="AR43" s="11" t="n">
        <f aca="false">$F$30*1000*Time!AR25*(AR40+AR41)*AR42/1000000</f>
        <v>65.5109809941041</v>
      </c>
      <c r="AS43" s="11" t="n">
        <f aca="false">$F$30*1000*Time!AS25*(AS40+AS41)*AS42/1000000</f>
        <v>64.5160139745807</v>
      </c>
      <c r="AT43" s="11" t="n">
        <f aca="false">$F$30*1000*Time!AT25*(AT40+AT41)*AT42/1000000</f>
        <v>62.2259943039345</v>
      </c>
      <c r="AU43" s="11" t="n">
        <f aca="false">$F$30*1000*Time!AU25*(AU40+AU41)*AU42/1000000</f>
        <v>63.7941184016707</v>
      </c>
      <c r="AV43" s="11" t="n">
        <f aca="false">$F$30*1000*Time!AV25*(AV40+AV41)*AV42/1000000</f>
        <v>66.6751478635281</v>
      </c>
      <c r="AW43" s="11" t="n">
        <f aca="false">$F$30*1000*Time!AW25*(AW40+AW41)*AW42/1000000</f>
        <v>66.7440411242558</v>
      </c>
      <c r="AX43" s="11" t="n">
        <f aca="false">$F$30*1000*Time!AX25*(AX40+AX41)*AX42/1000000</f>
        <v>66.5829374522303</v>
      </c>
      <c r="AY43" s="11" t="n">
        <f aca="false">$F$30*1000*Time!AY25*(AY40+AY41)*AY42/1000000</f>
        <v>67.117651817321</v>
      </c>
      <c r="AZ43" s="11" t="n">
        <f aca="false">$F$30*1000*Time!AZ25*(AZ40+AZ41)*AZ42/1000000</f>
        <v>67.8911015319716</v>
      </c>
      <c r="BA43" s="11" t="n">
        <f aca="false">$F$30*1000*Time!BA25*(BA40+BA41)*BA42/1000000</f>
        <v>67.3701120852956</v>
      </c>
      <c r="BB43" s="11" t="n">
        <f aca="false">$F$30*1000*Time!BB25*(BB40+BB41)*BB42/1000000</f>
        <v>66.0076280437942</v>
      </c>
      <c r="BC43" s="11" t="n">
        <f aca="false">$F$30*1000*Time!BC25*(BC40+BC41)*BC42/1000000</f>
        <v>67.1562422818078</v>
      </c>
      <c r="BD43" s="11" t="n">
        <f aca="false">$F$30*1000*Time!BD25*(BD40+BD41)*BD42/1000000</f>
        <v>69.1611456834021</v>
      </c>
      <c r="BE43" s="11" t="n">
        <f aca="false">$F$30*1000*Time!BE25*(BE40+BE41)*BE42/1000000</f>
        <v>69.2485997402873</v>
      </c>
      <c r="BF43" s="11" t="n">
        <f aca="false">$F$30*1000*Time!BF25*(BF40+BF41)*BF42/1000000</f>
        <v>69.0974345460806</v>
      </c>
      <c r="BG43" s="11" t="n">
        <f aca="false">$F$30*1000*Time!BG25*(BG40+BG41)*BG42/1000000</f>
        <v>69.6684843128858</v>
      </c>
      <c r="BH43" s="11" t="n">
        <f aca="false">$F$30*1000*Time!BH25*(BH40+BH41)*BH42/1000000</f>
        <v>70.4876864788649</v>
      </c>
      <c r="BI43" s="11" t="n">
        <f aca="false">$F$30*1000*Time!BI25*(BI40+BI41)*BI42/1000000</f>
        <v>69.4491933753302</v>
      </c>
      <c r="BJ43" s="11" t="n">
        <f aca="false">$F$30*1000*Time!BJ25*(BJ40+BJ41)*BJ42/1000000</f>
        <v>67.0150557592149</v>
      </c>
      <c r="BK43" s="11" t="n">
        <f aca="false">$F$30*1000*Time!BK25*(BK40+BK41)*BK42/1000000</f>
        <v>68.7357003439697</v>
      </c>
      <c r="BL43" s="11" t="n">
        <f aca="false">$F$30*1000*Time!BL25*(BL40+BL41)*BL42/1000000</f>
        <v>71.873237115073</v>
      </c>
      <c r="BM43" s="11" t="n">
        <f aca="false">$F$30*1000*Time!BM25*(BM40+BM41)*BM42/1000000</f>
        <v>48.1527667677313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451.697192439494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2.34204281433618</v>
      </c>
      <c r="P45" s="11" t="n">
        <f aca="false">P33*P44/1000000</f>
        <v>7.09944344599335</v>
      </c>
      <c r="Q45" s="11" t="n">
        <f aca="false">Q33*Q44/1000000</f>
        <v>7.14708116009503</v>
      </c>
      <c r="R45" s="11" t="n">
        <f aca="false">R33*R44/1000000</f>
        <v>7.1700528975778</v>
      </c>
      <c r="S45" s="11" t="n">
        <f aca="false">S33*S44/1000000</f>
        <v>7.26819591745947</v>
      </c>
      <c r="T45" s="11" t="n">
        <f aca="false">T33*T44/1000000</f>
        <v>7.39299541068171</v>
      </c>
      <c r="U45" s="11" t="n">
        <f aca="false">U33*U44/1000000</f>
        <v>7.37700003978082</v>
      </c>
      <c r="V45" s="11" t="n">
        <f aca="false">V33*V44/1000000</f>
        <v>7.26772992300032</v>
      </c>
      <c r="W45" s="11" t="n">
        <f aca="false">W33*W44/1000000</f>
        <v>7.43481830739172</v>
      </c>
      <c r="X45" s="11" t="n">
        <f aca="false">X33*X44/1000000</f>
        <v>7.69861554147054</v>
      </c>
      <c r="Y45" s="11" t="n">
        <f aca="false">Y33*Y44/1000000</f>
        <v>7.7502385810227</v>
      </c>
      <c r="Z45" s="11" t="n">
        <f aca="false">Z33*Z44/1000000</f>
        <v>7.77511362923407</v>
      </c>
      <c r="AA45" s="11" t="n">
        <f aca="false">AA33*AA44/1000000</f>
        <v>7.88150280380993</v>
      </c>
      <c r="AB45" s="11" t="n">
        <f aca="false">AB33*AB44/1000000</f>
        <v>8.01679663062624</v>
      </c>
      <c r="AC45" s="11" t="n">
        <f aca="false">AC33*AC44/1000000</f>
        <v>7.94066408659576</v>
      </c>
      <c r="AD45" s="11" t="n">
        <f aca="false">AD33*AD44/1000000</f>
        <v>7.70284333147942</v>
      </c>
      <c r="AE45" s="11" t="n">
        <f aca="false">AE33*AE44/1000000</f>
        <v>7.942132821069</v>
      </c>
      <c r="AF45" s="11" t="n">
        <f aca="false">AF33*AF44/1000000</f>
        <v>8.34805143235364</v>
      </c>
      <c r="AG45" s="11" t="n">
        <f aca="false">AG33*AG44/1000000</f>
        <v>8.40399067573353</v>
      </c>
      <c r="AH45" s="11" t="n">
        <f aca="false">AH33*AH44/1000000</f>
        <v>8.43092522810252</v>
      </c>
      <c r="AI45" s="11" t="n">
        <f aca="false">AI33*AI44/1000000</f>
        <v>8.54624870773493</v>
      </c>
      <c r="AJ45" s="11" t="n">
        <f aca="false">AJ33*AJ44/1000000</f>
        <v>8.69291346361943</v>
      </c>
      <c r="AK45" s="11" t="n">
        <f aca="false">AK33*AK44/1000000</f>
        <v>8.6740259554613</v>
      </c>
      <c r="AL45" s="11" t="n">
        <f aca="false">AL33*AL44/1000000</f>
        <v>8.54546534749983</v>
      </c>
      <c r="AM45" s="11" t="n">
        <f aca="false">AM33*AM44/1000000</f>
        <v>8.74184892355327</v>
      </c>
      <c r="AN45" s="11" t="n">
        <f aca="false">AN33*AN44/1000000</f>
        <v>9.05193783672209</v>
      </c>
      <c r="AO45" s="11" t="n">
        <f aca="false">AO33*AO44/1000000</f>
        <v>9.11255138306064</v>
      </c>
      <c r="AP45" s="11" t="n">
        <f aca="false">AP33*AP44/1000000</f>
        <v>9.14171430070757</v>
      </c>
      <c r="AQ45" s="11" t="n">
        <f aca="false">AQ33*AQ44/1000000</f>
        <v>9.26671719931462</v>
      </c>
      <c r="AR45" s="11" t="n">
        <f aca="false">AR33*AR44/1000000</f>
        <v>9.425702124848</v>
      </c>
      <c r="AS45" s="11" t="n">
        <f aca="false">AS33*AS44/1000000</f>
        <v>9.33610294462408</v>
      </c>
      <c r="AT45" s="11" t="n">
        <f aca="false">AT33*AT44/1000000</f>
        <v>9.05640485891043</v>
      </c>
      <c r="AU45" s="11" t="n">
        <f aca="false">AU33*AU44/1000000</f>
        <v>9.33765579060774</v>
      </c>
      <c r="AV45" s="11" t="n">
        <f aca="false">AV33*AV44/1000000</f>
        <v>9.81480726190092</v>
      </c>
      <c r="AW45" s="11" t="n">
        <f aca="false">AW33*AW44/1000000</f>
        <v>9.88048264556247</v>
      </c>
      <c r="AX45" s="11" t="n">
        <f aca="false">AX33*AX44/1000000</f>
        <v>9.91205646954494</v>
      </c>
      <c r="AY45" s="11" t="n">
        <f aca="false">AY33*AY44/1000000</f>
        <v>10.0475455339942</v>
      </c>
      <c r="AZ45" s="11" t="n">
        <f aca="false">AZ33*AZ44/1000000</f>
        <v>10.2198784779413</v>
      </c>
      <c r="BA45" s="11" t="n">
        <f aca="false">BA33*BA44/1000000</f>
        <v>10.197577302191</v>
      </c>
      <c r="BB45" s="11" t="n">
        <f aca="false">BB33*BB44/1000000</f>
        <v>10.0463409558983</v>
      </c>
      <c r="BC45" s="11" t="n">
        <f aca="false">BC33*BC44/1000000</f>
        <v>10.2771191923018</v>
      </c>
      <c r="BD45" s="11" t="n">
        <f aca="false">BD33*BD44/1000000</f>
        <v>10.6415662716229</v>
      </c>
      <c r="BE45" s="11" t="n">
        <f aca="false">BE33*BE44/1000000</f>
        <v>10.7127228543329</v>
      </c>
      <c r="BF45" s="11" t="n">
        <f aca="false">BF33*BF44/1000000</f>
        <v>10.7469048972343</v>
      </c>
      <c r="BG45" s="11" t="n">
        <f aca="false">BG33*BG44/1000000</f>
        <v>10.8937535549056</v>
      </c>
      <c r="BH45" s="11" t="n">
        <f aca="false">BH33*BH44/1000000</f>
        <v>11.0805474210675</v>
      </c>
      <c r="BI45" s="11" t="n">
        <f aca="false">BI33*BI44/1000000</f>
        <v>10.9751129992843</v>
      </c>
      <c r="BJ45" s="11" t="n">
        <f aca="false">BJ33*BJ44/1000000</f>
        <v>10.6462106247738</v>
      </c>
      <c r="BK45" s="11" t="n">
        <f aca="false">BK33*BK44/1000000</f>
        <v>10.9767288334737</v>
      </c>
      <c r="BL45" s="11" t="n">
        <f aca="false">BL33*BL44/1000000</f>
        <v>11.5375260346726</v>
      </c>
      <c r="BM45" s="11" t="n">
        <f aca="false">BM33*BM44/1000000</f>
        <v>7.77078759431409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4543.66874244896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23.9927201468989</v>
      </c>
      <c r="P46" s="11" t="n">
        <f aca="false">P33*P35*(1000*Inputs!$F$121/Inputs!$F$122)*P36/1000000</f>
        <v>71.9661455853391</v>
      </c>
      <c r="Q46" s="11" t="n">
        <f aca="false">Q33*Q35*(1000*Inputs!$F$121/Inputs!$F$122)*Q36/1000000</f>
        <v>73.1348507398765</v>
      </c>
      <c r="R46" s="11" t="n">
        <f aca="false">R33*R35*(1000*Inputs!$F$121/Inputs!$F$122)*R36/1000000</f>
        <v>72.6121793300627</v>
      </c>
      <c r="S46" s="11" t="n">
        <f aca="false">S33*S35*(1000*Inputs!$F$121/Inputs!$F$122)*S36/1000000</f>
        <v>74.3028114913277</v>
      </c>
      <c r="T46" s="11" t="n">
        <f aca="false">T33*T35*(1000*Inputs!$F$121/Inputs!$F$122)*T36/1000000</f>
        <v>74.798052109507</v>
      </c>
      <c r="U46" s="11" t="n">
        <f aca="false">U33*U35*(1000*Inputs!$F$121/Inputs!$F$122)*U36/1000000</f>
        <v>75.3426568497544</v>
      </c>
      <c r="V46" s="11" t="n">
        <f aca="false">V33*V35*(1000*Inputs!$F$121/Inputs!$F$122)*V36/1000000</f>
        <v>73.4600025445572</v>
      </c>
      <c r="W46" s="11" t="n">
        <f aca="false">W33*W35*(1000*Inputs!$F$121/Inputs!$F$122)*W36/1000000</f>
        <v>75.8601324204433</v>
      </c>
      <c r="X46" s="11" t="n">
        <f aca="false">X33*X35*(1000*Inputs!$F$121/Inputs!$F$122)*X36/1000000</f>
        <v>77.7403814399738</v>
      </c>
      <c r="Y46" s="11" t="n">
        <f aca="false">Y33*Y35*(1000*Inputs!$F$121/Inputs!$F$122)*Y36/1000000</f>
        <v>79.0023426321572</v>
      </c>
      <c r="Z46" s="11" t="n">
        <f aca="false">Z33*Z35*(1000*Inputs!$F$121/Inputs!$F$122)*Z36/1000000</f>
        <v>78.4372258966454</v>
      </c>
      <c r="AA46" s="11" t="n">
        <f aca="false">AA33*AA35*(1000*Inputs!$F$121/Inputs!$F$122)*AA36/1000000</f>
        <v>80.262958290682</v>
      </c>
      <c r="AB46" s="11" t="n">
        <f aca="false">AB33*AB35*(1000*Inputs!$F$121/Inputs!$F$122)*AB36/1000000</f>
        <v>80.7973958418784</v>
      </c>
      <c r="AC46" s="11" t="n">
        <f aca="false">AC33*AC35*(1000*Inputs!$F$121/Inputs!$F$122)*AC36/1000000</f>
        <v>80.7874228718365</v>
      </c>
      <c r="AD46" s="11" t="n">
        <f aca="false">AD33*AD35*(1000*Inputs!$F$121/Inputs!$F$122)*AD36/1000000</f>
        <v>77.5582763605385</v>
      </c>
      <c r="AE46" s="11" t="n">
        <f aca="false">AE33*AE35*(1000*Inputs!$F$121/Inputs!$F$122)*AE36/1000000</f>
        <v>80.724329932862</v>
      </c>
      <c r="AF46" s="11" t="n">
        <f aca="false">AF33*AF35*(1000*Inputs!$F$121/Inputs!$F$122)*AF36/1000000</f>
        <v>83.9735202176636</v>
      </c>
      <c r="AG46" s="11" t="n">
        <f aca="false">AG33*AG35*(1000*Inputs!$F$121/Inputs!$F$122)*AG36/1000000</f>
        <v>85.3361038435514</v>
      </c>
      <c r="AH46" s="11" t="n">
        <f aca="false">AH33*AH35*(1000*Inputs!$F$121/Inputs!$F$122)*AH36/1000000</f>
        <v>84.7251240257981</v>
      </c>
      <c r="AI46" s="11" t="n">
        <f aca="false">AI33*AI35*(1000*Inputs!$F$121/Inputs!$F$122)*AI36/1000000</f>
        <v>86.6966457067935</v>
      </c>
      <c r="AJ46" s="11" t="n">
        <f aca="false">AJ33*AJ35*(1000*Inputs!$F$121/Inputs!$F$122)*AJ36/1000000</f>
        <v>87.2733482298205</v>
      </c>
      <c r="AK46" s="11" t="n">
        <f aca="false">AK33*AK35*(1000*Inputs!$F$121/Inputs!$F$122)*AK36/1000000</f>
        <v>87.9076313575619</v>
      </c>
      <c r="AL46" s="11" t="n">
        <f aca="false">AL33*AL35*(1000*Inputs!$F$121/Inputs!$F$122)*AL36/1000000</f>
        <v>85.7098785394725</v>
      </c>
      <c r="AM46" s="11" t="n">
        <f aca="false">AM33*AM35*(1000*Inputs!$F$121/Inputs!$F$122)*AM36/1000000</f>
        <v>88.5090798763615</v>
      </c>
      <c r="AN46" s="11" t="n">
        <f aca="false">AN33*AN35*(1000*Inputs!$F$121/Inputs!$F$122)*AN36/1000000</f>
        <v>90.7016486504086</v>
      </c>
      <c r="AO46" s="11" t="n">
        <f aca="false">AO33*AO35*(1000*Inputs!$F$121/Inputs!$F$122)*AO36/1000000</f>
        <v>92.1727963771171</v>
      </c>
      <c r="AP46" s="11" t="n">
        <f aca="false">AP33*AP35*(1000*Inputs!$F$121/Inputs!$F$122)*AP36/1000000</f>
        <v>91.5122630123984</v>
      </c>
      <c r="AQ46" s="11" t="n">
        <f aca="false">AQ33*AQ35*(1000*Inputs!$F$121/Inputs!$F$122)*AQ36/1000000</f>
        <v>93.641099333468</v>
      </c>
      <c r="AR46" s="11" t="n">
        <f aca="false">AR33*AR35*(1000*Inputs!$F$121/Inputs!$F$122)*AR36/1000000</f>
        <v>94.2633719455835</v>
      </c>
      <c r="AS46" s="11" t="n">
        <f aca="false">AS33*AS35*(1000*Inputs!$F$121/Inputs!$F$122)*AS36/1000000</f>
        <v>94.2504916484603</v>
      </c>
      <c r="AT46" s="11" t="n">
        <f aca="false">AT33*AT35*(1000*Inputs!$F$121/Inputs!$F$122)*AT36/1000000</f>
        <v>90.4820177334227</v>
      </c>
      <c r="AU46" s="11" t="n">
        <f aca="false">AU33*AU35*(1000*Inputs!$F$121/Inputs!$F$122)*AU36/1000000</f>
        <v>94.1743930748232</v>
      </c>
      <c r="AV46" s="11" t="n">
        <f aca="false">AV33*AV35*(1000*Inputs!$F$121/Inputs!$F$122)*AV36/1000000</f>
        <v>97.9636571036508</v>
      </c>
      <c r="AW46" s="11" t="n">
        <f aca="false">AW33*AW35*(1000*Inputs!$F$121/Inputs!$F$122)*AW36/1000000</f>
        <v>99.5519302021799</v>
      </c>
      <c r="AX46" s="11" t="n">
        <f aca="false">AX33*AX35*(1000*Inputs!$F$121/Inputs!$F$122)*AX36/1000000</f>
        <v>98.8378585744444</v>
      </c>
      <c r="AY46" s="11" t="n">
        <f aca="false">AY33*AY35*(1000*Inputs!$F$121/Inputs!$F$122)*AY36/1000000</f>
        <v>101.136435776991</v>
      </c>
      <c r="AZ46" s="11" t="n">
        <f aca="false">AZ33*AZ35*(1000*Inputs!$F$121/Inputs!$F$122)*AZ36/1000000</f>
        <v>101.807838715468</v>
      </c>
      <c r="BA46" s="11" t="n">
        <f aca="false">BA33*BA35*(1000*Inputs!$F$121/Inputs!$F$122)*BA36/1000000</f>
        <v>102.546391890128</v>
      </c>
      <c r="BB46" s="11" t="n">
        <f aca="false">BB33*BB35*(1000*Inputs!$F$121/Inputs!$F$122)*BB36/1000000</f>
        <v>99.9813293981215</v>
      </c>
      <c r="BC46" s="11" t="n">
        <f aca="false">BC33*BC35*(1000*Inputs!$F$121/Inputs!$F$122)*BC36/1000000</f>
        <v>103.24524759027</v>
      </c>
      <c r="BD46" s="11" t="n">
        <f aca="false">BD33*BD35*(1000*Inputs!$F$121/Inputs!$F$122)*BD36/1000000</f>
        <v>105.801454316328</v>
      </c>
      <c r="BE46" s="11" t="n">
        <f aca="false">BE33*BE35*(1000*Inputs!$F$121/Inputs!$F$122)*BE36/1000000</f>
        <v>107.516081356883</v>
      </c>
      <c r="BF46" s="11" t="n">
        <f aca="false">BF33*BF35*(1000*Inputs!$F$121/Inputs!$F$122)*BF36/1000000</f>
        <v>106.744169272874</v>
      </c>
      <c r="BG46" s="11" t="n">
        <f aca="false">BG33*BG35*(1000*Inputs!$F$121/Inputs!$F$122)*BG36/1000000</f>
        <v>109.225883987838</v>
      </c>
      <c r="BH46" s="11" t="n">
        <f aca="false">BH33*BH35*(1000*Inputs!$F$121/Inputs!$F$122)*BH36/1000000</f>
        <v>109.950251998771</v>
      </c>
      <c r="BI46" s="11" t="n">
        <f aca="false">BI33*BI35*(1000*Inputs!$F$121/Inputs!$F$122)*BI36/1000000</f>
        <v>109.933757170662</v>
      </c>
      <c r="BJ46" s="11" t="n">
        <f aca="false">BJ33*BJ35*(1000*Inputs!$F$121/Inputs!$F$122)*BJ36/1000000</f>
        <v>105.536796479193</v>
      </c>
      <c r="BK46" s="11" t="n">
        <f aca="false">BK33*BK35*(1000*Inputs!$F$121/Inputs!$F$122)*BK36/1000000</f>
        <v>109.842052532037</v>
      </c>
      <c r="BL46" s="11" t="n">
        <f aca="false">BL33*BL35*(1000*Inputs!$F$121/Inputs!$F$122)*BL36/1000000</f>
        <v>114.260198306123</v>
      </c>
      <c r="BM46" s="11" t="n">
        <f aca="false">BM33*BM35*(1000*Inputs!$F$121/Inputs!$F$122)*BM36/1000000</f>
        <v>77.6781097199541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138.189950389416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0.776582176425133</v>
      </c>
      <c r="P48" s="11" t="n">
        <f aca="false">P37*Inputs!$F$145*(1+Inputs!$F$146/100)^(Time!P21-2018)/1000000</f>
        <v>2.32951284985361</v>
      </c>
      <c r="Q48" s="11" t="n">
        <f aca="false">Q37*Inputs!$F$145*(1+Inputs!$F$146/100)^(Time!Q21-2018)/1000000</f>
        <v>2.35597394403495</v>
      </c>
      <c r="R48" s="11" t="n">
        <f aca="false">R37*Inputs!$F$145*(1+Inputs!$F$146/100)^(Time!R21-2018)/1000000</f>
        <v>2.33936987713737</v>
      </c>
      <c r="S48" s="11" t="n">
        <f aca="false">S37*Inputs!$F$145*(1+Inputs!$F$146/100)^(Time!S21-2018)/1000000</f>
        <v>2.38234036935241</v>
      </c>
      <c r="T48" s="11" t="n">
        <f aca="false">T37*Inputs!$F$145*(1+Inputs!$F$146/100)^(Time!T21-2018)/1000000</f>
        <v>2.39845775957204</v>
      </c>
      <c r="U48" s="11" t="n">
        <f aca="false">U37*Inputs!$F$145*(1+Inputs!$F$146/100)^(Time!U21-2018)/1000000</f>
        <v>2.40431720030284</v>
      </c>
      <c r="V48" s="11" t="n">
        <f aca="false">V37*Inputs!$F$145*(1+Inputs!$F$146/100)^(Time!V21-2018)/1000000</f>
        <v>2.34447118830786</v>
      </c>
      <c r="W48" s="11" t="n">
        <f aca="false">W37*Inputs!$F$145*(1+Inputs!$F$146/100)^(Time!W21-2018)/1000000</f>
        <v>2.4094421812288</v>
      </c>
      <c r="X48" s="11" t="n">
        <f aca="false">X37*Inputs!$F$145*(1+Inputs!$F$146/100)^(Time!X21-2018)/1000000</f>
        <v>2.46940665327649</v>
      </c>
      <c r="Y48" s="11" t="n">
        <f aca="false">Y37*Inputs!$F$145*(1+Inputs!$F$146/100)^(Time!Y21-2018)/1000000</f>
        <v>2.49743833469589</v>
      </c>
      <c r="Z48" s="11" t="n">
        <f aca="false">Z37*Inputs!$F$145*(1+Inputs!$F$146/100)^(Time!Z21-2018)/1000000</f>
        <v>2.47981892297955</v>
      </c>
      <c r="AA48" s="11" t="n">
        <f aca="false">AA37*Inputs!$F$145*(1+Inputs!$F$146/100)^(Time!AA21-2018)/1000000</f>
        <v>2.52535054031701</v>
      </c>
      <c r="AB48" s="11" t="n">
        <f aca="false">AB37*Inputs!$F$145*(1+Inputs!$F$146/100)^(Time!AB21-2018)/1000000</f>
        <v>2.54241661088516</v>
      </c>
      <c r="AC48" s="11" t="n">
        <f aca="false">AC37*Inputs!$F$145*(1+Inputs!$F$146/100)^(Time!AC21-2018)/1000000</f>
        <v>2.52989081438603</v>
      </c>
      <c r="AD48" s="11" t="n">
        <f aca="false">AD37*Inputs!$F$145*(1+Inputs!$F$146/100)^(Time!AD21-2018)/1000000</f>
        <v>2.42900788988706</v>
      </c>
      <c r="AE48" s="11" t="n">
        <f aca="false">AE37*Inputs!$F$145*(1+Inputs!$F$146/100)^(Time!AE21-2018)/1000000</f>
        <v>2.51601833729348</v>
      </c>
      <c r="AF48" s="11" t="n">
        <f aca="false">AF37*Inputs!$F$145*(1+Inputs!$F$146/100)^(Time!AF21-2018)/1000000</f>
        <v>2.61754629952692</v>
      </c>
      <c r="AG48" s="11" t="n">
        <f aca="false">AG37*Inputs!$F$145*(1+Inputs!$F$146/100)^(Time!AG21-2018)/1000000</f>
        <v>2.64723994264881</v>
      </c>
      <c r="AH48" s="11" t="n">
        <f aca="false">AH37*Inputs!$F$145*(1+Inputs!$F$146/100)^(Time!AH21-2018)/1000000</f>
        <v>2.62854415272303</v>
      </c>
      <c r="AI48" s="11" t="n">
        <f aca="false">AI37*Inputs!$F$145*(1+Inputs!$F$146/100)^(Time!AI21-2018)/1000000</f>
        <v>2.67678659683393</v>
      </c>
      <c r="AJ48" s="11" t="n">
        <f aca="false">AJ37*Inputs!$F$145*(1+Inputs!$F$146/100)^(Time!AJ21-2018)/1000000</f>
        <v>2.6948560163595</v>
      </c>
      <c r="AK48" s="11" t="n">
        <f aca="false">AK37*Inputs!$F$145*(1+Inputs!$F$146/100)^(Time!AK21-2018)/1000000</f>
        <v>2.70139943721651</v>
      </c>
      <c r="AL48" s="11" t="n">
        <f aca="false">AL37*Inputs!$F$145*(1+Inputs!$F$146/100)^(Time!AL21-2018)/1000000</f>
        <v>2.63411959088055</v>
      </c>
      <c r="AM48" s="11" t="n">
        <f aca="false">AM37*Inputs!$F$145*(1+Inputs!$F$146/100)^(Time!AM21-2018)/1000000</f>
        <v>2.70707719957236</v>
      </c>
      <c r="AN48" s="11" t="n">
        <f aca="false">AN37*Inputs!$F$145*(1+Inputs!$F$146/100)^(Time!AN21-2018)/1000000</f>
        <v>2.77440773249651</v>
      </c>
      <c r="AO48" s="11" t="n">
        <f aca="false">AO37*Inputs!$F$145*(1+Inputs!$F$146/100)^(Time!AO21-2018)/1000000</f>
        <v>2.80585990509471</v>
      </c>
      <c r="AP48" s="11" t="n">
        <f aca="false">AP37*Inputs!$F$145*(1+Inputs!$F$146/100)^(Time!AP21-2018)/1000000</f>
        <v>2.78602310109561</v>
      </c>
      <c r="AQ48" s="11" t="n">
        <f aca="false">AQ37*Inputs!$F$145*(1+Inputs!$F$146/100)^(Time!AQ21-2018)/1000000</f>
        <v>2.83713462958263</v>
      </c>
      <c r="AR48" s="11" t="n">
        <f aca="false">AR37*Inputs!$F$145*(1+Inputs!$F$146/100)^(Time!AR21-2018)/1000000</f>
        <v>2.85626513806995</v>
      </c>
      <c r="AS48" s="11" t="n">
        <f aca="false">AS37*Inputs!$F$145*(1+Inputs!$F$146/100)^(Time!AS21-2018)/1000000</f>
        <v>2.84215071583428</v>
      </c>
      <c r="AT48" s="11" t="n">
        <f aca="false">AT37*Inputs!$F$145*(1+Inputs!$F$146/100)^(Time!AT21-2018)/1000000</f>
        <v>2.72877528300443</v>
      </c>
      <c r="AU48" s="11" t="n">
        <f aca="false">AU37*Inputs!$F$145*(1+Inputs!$F$146/100)^(Time!AU21-2018)/1000000</f>
        <v>2.82648162781462</v>
      </c>
      <c r="AV48" s="11" t="n">
        <f aca="false">AV37*Inputs!$F$145*(1+Inputs!$F$146/100)^(Time!AV21-2018)/1000000</f>
        <v>2.94049368845607</v>
      </c>
      <c r="AW48" s="11" t="n">
        <f aca="false">AW37*Inputs!$F$145*(1+Inputs!$F$146/100)^(Time!AW21-2018)/1000000</f>
        <v>2.97380643835138</v>
      </c>
      <c r="AX48" s="11" t="n">
        <f aca="false">AX37*Inputs!$F$145*(1+Inputs!$F$146/100)^(Time!AX21-2018)/1000000</f>
        <v>2.95276017361203</v>
      </c>
      <c r="AY48" s="11" t="n">
        <f aca="false">AY37*Inputs!$F$145*(1+Inputs!$F$146/100)^(Time!AY21-2018)/1000000</f>
        <v>3.00690807578483</v>
      </c>
      <c r="AZ48" s="11" t="n">
        <f aca="false">AZ37*Inputs!$F$145*(1+Inputs!$F$146/100)^(Time!AZ21-2018)/1000000</f>
        <v>3.02716065169269</v>
      </c>
      <c r="BA48" s="11" t="n">
        <f aca="false">BA37*Inputs!$F$145*(1+Inputs!$F$146/100)^(Time!BA21-2018)/1000000</f>
        <v>3.03446551285465</v>
      </c>
      <c r="BB48" s="11" t="n">
        <f aca="false">BB37*Inputs!$F$145*(1+Inputs!$F$146/100)^(Time!BB21-2018)/1000000</f>
        <v>2.95884614700415</v>
      </c>
      <c r="BC48" s="11" t="n">
        <f aca="false">BC37*Inputs!$F$145*(1+Inputs!$F$146/100)^(Time!BC21-2018)/1000000</f>
        <v>3.04075218032074</v>
      </c>
      <c r="BD48" s="11" t="n">
        <f aca="false">BD37*Inputs!$F$145*(1+Inputs!$F$146/100)^(Time!BD21-2018)/1000000</f>
        <v>3.11633515711667</v>
      </c>
      <c r="BE48" s="11" t="n">
        <f aca="false">BE37*Inputs!$F$145*(1+Inputs!$F$146/100)^(Time!BE21-2018)/1000000</f>
        <v>3.15161631414743</v>
      </c>
      <c r="BF48" s="11" t="n">
        <f aca="false">BF37*Inputs!$F$145*(1+Inputs!$F$146/100)^(Time!BF21-2018)/1000000</f>
        <v>3.12928811110909</v>
      </c>
      <c r="BG48" s="11" t="n">
        <f aca="false">BG37*Inputs!$F$145*(1+Inputs!$F$146/100)^(Time!BG21-2018)/1000000</f>
        <v>3.18664920926026</v>
      </c>
      <c r="BH48" s="11" t="n">
        <f aca="false">BH37*Inputs!$F$145*(1+Inputs!$F$146/100)^(Time!BH21-2018)/1000000</f>
        <v>3.20808824525117</v>
      </c>
      <c r="BI48" s="11" t="n">
        <f aca="false">BI37*Inputs!$F$145*(1+Inputs!$F$146/100)^(Time!BI21-2018)/1000000</f>
        <v>3.19218726518539</v>
      </c>
      <c r="BJ48" s="11" t="n">
        <f aca="false">BJ37*Inputs!$F$145*(1+Inputs!$F$146/100)^(Time!BJ21-2018)/1000000</f>
        <v>3.06480251245381</v>
      </c>
      <c r="BK48" s="11" t="n">
        <f aca="false">BK37*Inputs!$F$145*(1+Inputs!$F$146/100)^(Time!BK21-2018)/1000000</f>
        <v>3.17449283843208</v>
      </c>
      <c r="BL48" s="11" t="n">
        <f aca="false">BL37*Inputs!$F$145*(1+Inputs!$F$146/100)^(Time!BL21-2018)/1000000</f>
        <v>3.30249291897265</v>
      </c>
      <c r="BM48" s="11" t="n">
        <f aca="false">BM37*Inputs!$F$145*(1+Inputs!$F$146/100)^(Time!BM21-2018)/1000000</f>
        <v>2.23432193072109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3644.01189971097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21.818405816838</v>
      </c>
      <c r="P50" s="11" t="n">
        <f aca="false">P43+P45</f>
        <v>65.7373644058781</v>
      </c>
      <c r="Q50" s="11" t="n">
        <f aca="false">Q43+Q45</f>
        <v>65.7938883569533</v>
      </c>
      <c r="R50" s="11" t="n">
        <f aca="false">R43+R45</f>
        <v>65.6236253398054</v>
      </c>
      <c r="S50" s="11" t="n">
        <f aca="false">S43+S45</f>
        <v>66.1390104302001</v>
      </c>
      <c r="T50" s="11" t="n">
        <f aca="false">T43+T45</f>
        <v>66.8893420374282</v>
      </c>
      <c r="U50" s="11" t="n">
        <f aca="false">U43+U45</f>
        <v>66.3642099315731</v>
      </c>
      <c r="V50" s="11" t="n">
        <f aca="false">V43+V45</f>
        <v>65.0103996271029</v>
      </c>
      <c r="W50" s="11" t="n">
        <f aca="false">W43+W45</f>
        <v>66.129708429672</v>
      </c>
      <c r="X50" s="11" t="n">
        <f aca="false">X43+X45</f>
        <v>68.0915740424435</v>
      </c>
      <c r="Y50" s="11" t="n">
        <f aca="false">Y43+Y45</f>
        <v>68.1651866667633</v>
      </c>
      <c r="Z50" s="11" t="n">
        <f aca="false">Z43+Z45</f>
        <v>68.0038432181757</v>
      </c>
      <c r="AA50" s="11" t="n">
        <f aca="false">AA43+AA45</f>
        <v>68.5531261326143</v>
      </c>
      <c r="AB50" s="11" t="n">
        <f aca="false">AB43+AB45</f>
        <v>69.3462518884388</v>
      </c>
      <c r="AC50" s="11" t="n">
        <f aca="false">AC43+AC45</f>
        <v>68.3117237959215</v>
      </c>
      <c r="AD50" s="11" t="n">
        <f aca="false">AD43+AD45</f>
        <v>65.9049740997362</v>
      </c>
      <c r="AE50" s="11" t="n">
        <f aca="false">AE43+AE45</f>
        <v>67.5842369769722</v>
      </c>
      <c r="AF50" s="11" t="n">
        <f aca="false">AF43+AF45</f>
        <v>70.6556625687371</v>
      </c>
      <c r="AG50" s="11" t="n">
        <f aca="false">AG43+AG45</f>
        <v>70.7478864525737</v>
      </c>
      <c r="AH50" s="11" t="n">
        <f aca="false">AH43+AH45</f>
        <v>70.5962568723574</v>
      </c>
      <c r="AI50" s="11" t="n">
        <f aca="false">AI43+AI45</f>
        <v>71.1824586991179</v>
      </c>
      <c r="AJ50" s="11" t="n">
        <f aca="false">AJ43+AJ45</f>
        <v>72.022192764676</v>
      </c>
      <c r="AK50" s="11" t="n">
        <f aca="false">AK43+AK45</f>
        <v>71.4887567321129</v>
      </c>
      <c r="AL50" s="11" t="n">
        <f aca="false">AL43+AL45</f>
        <v>70.0618043522151</v>
      </c>
      <c r="AM50" s="11" t="n">
        <f aca="false">AM43+AM45</f>
        <v>71.3000791346443</v>
      </c>
      <c r="AN50" s="11" t="n">
        <f aca="false">AN43+AN45</f>
        <v>73.4483331890892</v>
      </c>
      <c r="AO50" s="11" t="n">
        <f aca="false">AO43+AO45</f>
        <v>73.5608265215197</v>
      </c>
      <c r="AP50" s="11" t="n">
        <f aca="false">AP43+AP45</f>
        <v>73.4197758109273</v>
      </c>
      <c r="AQ50" s="11" t="n">
        <f aca="false">AQ43+AQ45</f>
        <v>74.0461867751426</v>
      </c>
      <c r="AR50" s="11" t="n">
        <f aca="false">AR43+AR45</f>
        <v>74.9366831189521</v>
      </c>
      <c r="AS50" s="11" t="n">
        <f aca="false">AS43+AS45</f>
        <v>73.8521169192048</v>
      </c>
      <c r="AT50" s="11" t="n">
        <f aca="false">AT43+AT45</f>
        <v>71.282399162845</v>
      </c>
      <c r="AU50" s="11" t="n">
        <f aca="false">AU43+AU45</f>
        <v>73.1317741922785</v>
      </c>
      <c r="AV50" s="11" t="n">
        <f aca="false">AV43+AV45</f>
        <v>76.489955125429</v>
      </c>
      <c r="AW50" s="11" t="n">
        <f aca="false">AW43+AW45</f>
        <v>76.6245237698183</v>
      </c>
      <c r="AX50" s="11" t="n">
        <f aca="false">AX43+AX45</f>
        <v>76.4949939217753</v>
      </c>
      <c r="AY50" s="11" t="n">
        <f aca="false">AY43+AY45</f>
        <v>77.1651973513151</v>
      </c>
      <c r="AZ50" s="11" t="n">
        <f aca="false">AZ43+AZ45</f>
        <v>78.1109800099129</v>
      </c>
      <c r="BA50" s="11" t="n">
        <f aca="false">BA43+BA45</f>
        <v>77.5676893874865</v>
      </c>
      <c r="BB50" s="11" t="n">
        <f aca="false">BB43+BB45</f>
        <v>76.0539689996925</v>
      </c>
      <c r="BC50" s="11" t="n">
        <f aca="false">BC43+BC45</f>
        <v>77.4333614741096</v>
      </c>
      <c r="BD50" s="11" t="n">
        <f aca="false">BD43+BD45</f>
        <v>79.802711955025</v>
      </c>
      <c r="BE50" s="11" t="n">
        <f aca="false">BE43+BE45</f>
        <v>79.9613225946201</v>
      </c>
      <c r="BF50" s="11" t="n">
        <f aca="false">BF43+BF45</f>
        <v>79.8443394433149</v>
      </c>
      <c r="BG50" s="11" t="n">
        <f aca="false">BG43+BG45</f>
        <v>80.5622378677914</v>
      </c>
      <c r="BH50" s="11" t="n">
        <f aca="false">BH43+BH45</f>
        <v>81.5682338999323</v>
      </c>
      <c r="BI50" s="11" t="n">
        <f aca="false">BI43+BI45</f>
        <v>80.4243063746145</v>
      </c>
      <c r="BJ50" s="11" t="n">
        <f aca="false">BJ43+BJ45</f>
        <v>77.6612663839887</v>
      </c>
      <c r="BK50" s="11" t="n">
        <f aca="false">BK43+BK45</f>
        <v>79.7124291774434</v>
      </c>
      <c r="BL50" s="11" t="n">
        <f aca="false">BL43+BL45</f>
        <v>83.4107631497456</v>
      </c>
      <c r="BM50" s="11" t="n">
        <f aca="false">BM43+BM45</f>
        <v>55.9235543620454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9016.21732450544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50.4040473079133</v>
      </c>
      <c r="P51" s="11" t="n">
        <f aca="false">P50+P46+P47+P48+P49</f>
        <v>151.544603281501</v>
      </c>
      <c r="Q51" s="11" t="n">
        <f aca="false">Q50+Q46+Q47+Q48+Q49</f>
        <v>152.7784630442</v>
      </c>
      <c r="R51" s="11" t="n">
        <f aca="false">R50+R46+R47+R48+R49</f>
        <v>152.259428694042</v>
      </c>
      <c r="S51" s="11" t="n">
        <f aca="false">S50+S46+S47+S48+S49</f>
        <v>154.490318544265</v>
      </c>
      <c r="T51" s="11" t="n">
        <f aca="false">T50+T46+T47+T48+T49</f>
        <v>155.945369865749</v>
      </c>
      <c r="U51" s="11" t="n">
        <f aca="false">U50+U46+U47+U48+U49</f>
        <v>156.017753289298</v>
      </c>
      <c r="V51" s="11" t="n">
        <f aca="false">V50+V46+V47+V48+V49</f>
        <v>152.852284088599</v>
      </c>
      <c r="W51" s="11" t="n">
        <f aca="false">W50+W46+W47+W48+W49</f>
        <v>156.418048857487</v>
      </c>
      <c r="X51" s="11" t="n">
        <f aca="false">X50+X46+X47+X48+X49</f>
        <v>160.519334025254</v>
      </c>
      <c r="Y51" s="11" t="n">
        <f aca="false">Y50+Y46+Y47+Y48+Y49</f>
        <v>161.864014947152</v>
      </c>
      <c r="Z51" s="11" t="n">
        <f aca="false">Z50+Z46+Z47+Z48+Z49</f>
        <v>161.322129505704</v>
      </c>
      <c r="AA51" s="11" t="n">
        <f aca="false">AA50+AA46+AA47+AA48+AA49</f>
        <v>163.723467986852</v>
      </c>
      <c r="AB51" s="11" t="n">
        <f aca="false">AB50+AB46+AB47+AB48+AB49</f>
        <v>165.273324431124</v>
      </c>
      <c r="AC51" s="11" t="n">
        <f aca="false">AC50+AC46+AC47+AC48+AC49</f>
        <v>164.266236158292</v>
      </c>
      <c r="AD51" s="11" t="n">
        <f aca="false">AD50+AD46+AD47+AD48+AD49</f>
        <v>158.668327341433</v>
      </c>
      <c r="AE51" s="11" t="n">
        <f aca="false">AE50+AE46+AE47+AE48+AE49</f>
        <v>163.580865218494</v>
      </c>
      <c r="AF51" s="11" t="n">
        <f aca="false">AF50+AF46+AF47+AF48+AF49</f>
        <v>170.214439112068</v>
      </c>
      <c r="AG51" s="11" t="n">
        <f aca="false">AG50+AG46+AG47+AG48+AG49</f>
        <v>171.67885440971</v>
      </c>
      <c r="AH51" s="11" t="n">
        <f aca="false">AH50+AH46+AH47+AH48+AH49</f>
        <v>171.112150727411</v>
      </c>
      <c r="AI51" s="11" t="n">
        <f aca="false">AI50+AI46+AI47+AI48+AI49</f>
        <v>173.697729536246</v>
      </c>
      <c r="AJ51" s="11" t="n">
        <f aca="false">AJ50+AJ46+AJ47+AJ48+AJ49</f>
        <v>175.350056072536</v>
      </c>
      <c r="AK51" s="11" t="n">
        <f aca="false">AK50+AK46+AK47+AK48+AK49</f>
        <v>175.510449583762</v>
      </c>
      <c r="AL51" s="11" t="n">
        <f aca="false">AL50+AL46+AL47+AL48+AL49</f>
        <v>171.965856430173</v>
      </c>
      <c r="AM51" s="11" t="n">
        <f aca="false">AM50+AM46+AM47+AM48+AM49</f>
        <v>176.055286813754</v>
      </c>
      <c r="AN51" s="11" t="n">
        <f aca="false">AN50+AN46+AN47+AN48+AN49</f>
        <v>180.687844328814</v>
      </c>
      <c r="AO51" s="11" t="n">
        <f aca="false">AO50+AO46+AO47+AO48+AO49</f>
        <v>182.281619165955</v>
      </c>
      <c r="AP51" s="11" t="n">
        <f aca="false">AP50+AP46+AP47+AP48+AP49</f>
        <v>181.687968502593</v>
      </c>
      <c r="AQ51" s="11" t="n">
        <f aca="false">AQ50+AQ46+AQ47+AQ48+AQ49</f>
        <v>184.47268914585</v>
      </c>
      <c r="AR51" s="11" t="n">
        <f aca="false">AR50+AR46+AR47+AR48+AR49</f>
        <v>186.23577537945</v>
      </c>
      <c r="AS51" s="11" t="n">
        <f aca="false">AS50+AS46+AS47+AS48+AS49</f>
        <v>185.180469907513</v>
      </c>
      <c r="AT51" s="11" t="n">
        <f aca="false">AT50+AT46+AT47+AT48+AT49</f>
        <v>178.885339183769</v>
      </c>
      <c r="AU51" s="11" t="n">
        <f aca="false">AU50+AU46+AU47+AU48+AU49</f>
        <v>184.502503715194</v>
      </c>
      <c r="AV51" s="11" t="n">
        <f aca="false">AV50+AV46+AV47+AV48+AV49</f>
        <v>192.0021351271</v>
      </c>
      <c r="AW51" s="11" t="n">
        <f aca="false">AW50+AW46+AW47+AW48+AW49</f>
        <v>193.735663052932</v>
      </c>
      <c r="AX51" s="11" t="n">
        <f aca="false">AX50+AX46+AX47+AX48+AX49</f>
        <v>193.112762317539</v>
      </c>
      <c r="AY51" s="11" t="n">
        <f aca="false">AY50+AY46+AY47+AY48+AY49</f>
        <v>196.112724886312</v>
      </c>
      <c r="AZ51" s="11" t="n">
        <f aca="false">AZ50+AZ46+AZ47+AZ48+AZ49</f>
        <v>197.995536269497</v>
      </c>
      <c r="BA51" s="11" t="n">
        <f aca="false">BA50+BA46+BA47+BA48+BA49</f>
        <v>198.257811164042</v>
      </c>
      <c r="BB51" s="11" t="n">
        <f aca="false">BB50+BB46+BB47+BB48+BB49</f>
        <v>194.269444790628</v>
      </c>
      <c r="BC51" s="11" t="n">
        <f aca="false">BC50+BC46+BC47+BC48+BC49</f>
        <v>198.971001378716</v>
      </c>
      <c r="BD51" s="11" t="n">
        <f aca="false">BD50+BD46+BD47+BD48+BD49</f>
        <v>204.224931177966</v>
      </c>
      <c r="BE51" s="11" t="n">
        <f aca="false">BE50+BE46+BE47+BE48+BE49</f>
        <v>206.109435001677</v>
      </c>
      <c r="BF51" s="11" t="n">
        <f aca="false">BF50+BF46+BF47+BF48+BF49</f>
        <v>205.454793023037</v>
      </c>
      <c r="BG51" s="11" t="n">
        <f aca="false">BG50+BG46+BG47+BG48+BG49</f>
        <v>208.687392021957</v>
      </c>
      <c r="BH51" s="11" t="n">
        <f aca="false">BH50+BH46+BH47+BH48+BH49</f>
        <v>210.69962528263</v>
      </c>
      <c r="BI51" s="11" t="n">
        <f aca="false">BI50+BI46+BI47+BI48+BI49</f>
        <v>209.586673293328</v>
      </c>
      <c r="BJ51" s="11" t="n">
        <f aca="false">BJ50+BJ46+BJ47+BJ48+BJ49</f>
        <v>202.475512281391</v>
      </c>
      <c r="BK51" s="11" t="n">
        <f aca="false">BK50+BK46+BK47+BK48+BK49</f>
        <v>208.916509473406</v>
      </c>
      <c r="BL51" s="11" t="n">
        <f aca="false">BL50+BL46+BL47+BL48+BL49</f>
        <v>217.429290984183</v>
      </c>
      <c r="BM51" s="11" t="n">
        <f aca="false">BM50+BM46+BM47+BM48+BM49</f>
        <v>146.729034376948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307.295598966072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1.53884550107693</v>
      </c>
      <c r="P55" s="11" t="n">
        <f aca="false">Inputs!$F$148*(Inputs!$F$149*P19+(1-Inputs!$F$149)*P23*Inputs!$F$150/P11)*Time!P25/12*Inputs!$F$39</f>
        <v>4.66704213500875</v>
      </c>
      <c r="Q55" s="11" t="n">
        <f aca="false">Inputs!$F$148*(Inputs!$F$149*Q19+(1-Inputs!$F$149)*Q23*Inputs!$F$150/Q11)*Time!Q25/12*Inputs!$F$39</f>
        <v>4.71810030630188</v>
      </c>
      <c r="R55" s="11" t="n">
        <f aca="false">Inputs!$F$148*(Inputs!$F$149*R19+(1-Inputs!$F$149)*R23*Inputs!$F$150/R11)*Time!R25/12*Inputs!$F$39</f>
        <v>4.76971706197895</v>
      </c>
      <c r="S55" s="11" t="n">
        <f aca="false">Inputs!$F$148*(Inputs!$F$149*S19+(1-Inputs!$F$149)*S23*Inputs!$F$150/S11)*Time!S25/12*Inputs!$F$39</f>
        <v>4.82189851304052</v>
      </c>
      <c r="T55" s="11" t="n">
        <f aca="false">Inputs!$F$148*(Inputs!$F$149*T19+(1-Inputs!$F$149)*T23*Inputs!$F$150/T11)*Time!T25/12*Inputs!$F$39</f>
        <v>4.87465083734248</v>
      </c>
      <c r="U55" s="11" t="n">
        <f aca="false">Inputs!$F$148*(Inputs!$F$149*U19+(1-Inputs!$F$149)*U23*Inputs!$F$150/U11)*Time!U25/12*Inputs!$F$39</f>
        <v>4.92798028032741</v>
      </c>
      <c r="V55" s="11" t="n">
        <f aca="false">Inputs!$F$148*(Inputs!$F$149*V19+(1-Inputs!$F$149)*V23*Inputs!$F$150/V11)*Time!V25/12*Inputs!$F$39</f>
        <v>4.98189315576401</v>
      </c>
      <c r="W55" s="11" t="n">
        <f aca="false">Inputs!$F$148*(Inputs!$F$149*W19+(1-Inputs!$F$149)*W23*Inputs!$F$150/W11)*Time!W25/12*Inputs!$F$39</f>
        <v>5.03639584649461</v>
      </c>
      <c r="X55" s="11" t="n">
        <f aca="false">Inputs!$F$148*(Inputs!$F$149*X19+(1-Inputs!$F$149)*X23*Inputs!$F$150/X11)*Time!X25/12*Inputs!$F$39</f>
        <v>5.09149480519082</v>
      </c>
      <c r="Y55" s="11" t="n">
        <f aca="false">Inputs!$F$148*(Inputs!$F$149*Y19+(1-Inputs!$F$149)*Y23*Inputs!$F$150/Y11)*Time!Y25/12*Inputs!$F$39</f>
        <v>5.14719655511749</v>
      </c>
      <c r="Z55" s="11" t="n">
        <f aca="false">Inputs!$F$148*(Inputs!$F$149*Z19+(1-Inputs!$F$149)*Z23*Inputs!$F$150/Z11)*Time!Z25/12*Inputs!$F$39</f>
        <v>5.20350769090502</v>
      </c>
      <c r="AA55" s="11" t="n">
        <f aca="false">Inputs!$F$148*(Inputs!$F$149*AA19+(1-Inputs!$F$149)*AA23*Inputs!$F$150/AA11)*Time!AA25/12*Inputs!$F$39</f>
        <v>5.26043487933008</v>
      </c>
      <c r="AB55" s="11" t="n">
        <f aca="false">Inputs!$F$148*(Inputs!$F$149*AB19+(1-Inputs!$F$149)*AB23*Inputs!$F$150/AB11)*Time!AB25/12*Inputs!$F$39</f>
        <v>5.31798486010493</v>
      </c>
      <c r="AC55" s="11" t="n">
        <f aca="false">Inputs!$F$148*(Inputs!$F$149*AC19+(1-Inputs!$F$149)*AC23*Inputs!$F$150/AC11)*Time!AC25/12*Inputs!$F$39</f>
        <v>5.37616444667534</v>
      </c>
      <c r="AD55" s="11" t="n">
        <f aca="false">Inputs!$F$148*(Inputs!$F$149*AD19+(1-Inputs!$F$149)*AD23*Inputs!$F$150/AD11)*Time!AD25/12*Inputs!$F$39</f>
        <v>5.43498052702724</v>
      </c>
      <c r="AE55" s="11" t="n">
        <f aca="false">Inputs!$F$148*(Inputs!$F$149*AE19+(1-Inputs!$F$149)*AE23*Inputs!$F$150/AE11)*Time!AE25/12*Inputs!$F$39</f>
        <v>5.4944400645022</v>
      </c>
      <c r="AF55" s="11" t="n">
        <f aca="false">Inputs!$F$148*(Inputs!$F$149*AF19+(1-Inputs!$F$149)*AF23*Inputs!$F$150/AF11)*Time!AF25/12*Inputs!$F$39</f>
        <v>5.55455009862183</v>
      </c>
      <c r="AG55" s="11" t="n">
        <f aca="false">Inputs!$F$148*(Inputs!$F$149*AG19+(1-Inputs!$F$149)*AG23*Inputs!$F$150/AG11)*Time!AG25/12*Inputs!$F$39</f>
        <v>5.61531774592124</v>
      </c>
      <c r="AH55" s="11" t="n">
        <f aca="false">Inputs!$F$148*(Inputs!$F$149*AH19+(1-Inputs!$F$149)*AH23*Inputs!$F$150/AH11)*Time!AH25/12*Inputs!$F$39</f>
        <v>5.67675020079151</v>
      </c>
      <c r="AI55" s="11" t="n">
        <f aca="false">Inputs!$F$148*(Inputs!$F$149*AI19+(1-Inputs!$F$149)*AI23*Inputs!$F$150/AI11)*Time!AI25/12*Inputs!$F$39</f>
        <v>5.73885473633151</v>
      </c>
      <c r="AJ55" s="11" t="n">
        <f aca="false">Inputs!$F$148*(Inputs!$F$149*AJ19+(1-Inputs!$F$149)*AJ23*Inputs!$F$150/AJ11)*Time!AJ25/12*Inputs!$F$39</f>
        <v>5.80163870520893</v>
      </c>
      <c r="AK55" s="11" t="n">
        <f aca="false">Inputs!$F$148*(Inputs!$F$149*AK19+(1-Inputs!$F$149)*AK23*Inputs!$F$150/AK11)*Time!AK25/12*Inputs!$F$39</f>
        <v>5.8651095405308</v>
      </c>
      <c r="AL55" s="11" t="n">
        <f aca="false">Inputs!$F$148*(Inputs!$F$149*AL19+(1-Inputs!$F$149)*AL23*Inputs!$F$150/AL11)*Time!AL25/12*Inputs!$F$39</f>
        <v>5.92927475672352</v>
      </c>
      <c r="AM55" s="11" t="n">
        <f aca="false">Inputs!$F$148*(Inputs!$F$149*AM19+(1-Inputs!$F$149)*AM23*Inputs!$F$150/AM11)*Time!AM25/12*Inputs!$F$39</f>
        <v>5.99414195042248</v>
      </c>
      <c r="AN55" s="11" t="n">
        <f aca="false">Inputs!$F$148*(Inputs!$F$149*AN19+(1-Inputs!$F$149)*AN23*Inputs!$F$150/AN11)*Time!AN25/12*Inputs!$F$39</f>
        <v>6.05971880137144</v>
      </c>
      <c r="AO55" s="11" t="n">
        <f aca="false">Inputs!$F$148*(Inputs!$F$149*AO19+(1-Inputs!$F$149)*AO23*Inputs!$F$150/AO11)*Time!AO25/12*Inputs!$F$39</f>
        <v>6.12601307333177</v>
      </c>
      <c r="AP55" s="11" t="n">
        <f aca="false">Inputs!$F$148*(Inputs!$F$149*AP19+(1-Inputs!$F$149)*AP23*Inputs!$F$150/AP11)*Time!AP25/12*Inputs!$F$39</f>
        <v>6.19303261500161</v>
      </c>
      <c r="AQ55" s="11" t="n">
        <f aca="false">Inputs!$F$148*(Inputs!$F$149*AQ19+(1-Inputs!$F$149)*AQ23*Inputs!$F$150/AQ11)*Time!AQ25/12*Inputs!$F$39</f>
        <v>6.26078536094507</v>
      </c>
      <c r="AR55" s="11" t="n">
        <f aca="false">Inputs!$F$148*(Inputs!$F$149*AR19+(1-Inputs!$F$149)*AR23*Inputs!$F$150/AR11)*Time!AR25/12*Inputs!$F$39</f>
        <v>6.32927933253165</v>
      </c>
      <c r="AS55" s="11" t="n">
        <f aca="false">Inputs!$F$148*(Inputs!$F$149*AS19+(1-Inputs!$F$149)*AS23*Inputs!$F$150/AS11)*Time!AS25/12*Inputs!$F$39</f>
        <v>6.39852263888586</v>
      </c>
      <c r="AT55" s="11" t="n">
        <f aca="false">Inputs!$F$148*(Inputs!$F$149*AT19+(1-Inputs!$F$149)*AT23*Inputs!$F$150/AT11)*Time!AT25/12*Inputs!$F$39</f>
        <v>6.46852347784734</v>
      </c>
      <c r="AU55" s="11" t="n">
        <f aca="false">Inputs!$F$148*(Inputs!$F$149*AU19+(1-Inputs!$F$149)*AU23*Inputs!$F$150/AU11)*Time!AU25/12*Inputs!$F$39</f>
        <v>6.53929013694135</v>
      </c>
      <c r="AV55" s="11" t="n">
        <f aca="false">Inputs!$F$148*(Inputs!$F$149*AV19+(1-Inputs!$F$149)*AV23*Inputs!$F$150/AV11)*Time!AV25/12*Inputs!$F$39</f>
        <v>6.61083099435998</v>
      </c>
      <c r="AW55" s="11" t="n">
        <f aca="false">Inputs!$F$148*(Inputs!$F$149*AW19+(1-Inputs!$F$149)*AW23*Inputs!$F$150/AW11)*Time!AW25/12*Inputs!$F$39</f>
        <v>6.68315451995406</v>
      </c>
      <c r="AX55" s="11" t="n">
        <f aca="false">Inputs!$F$148*(Inputs!$F$149*AX19+(1-Inputs!$F$149)*AX23*Inputs!$F$150/AX11)*Time!AX25/12*Inputs!$F$39</f>
        <v>6.7562692762359</v>
      </c>
      <c r="AY55" s="11" t="n">
        <f aca="false">Inputs!$F$148*(Inputs!$F$149*AY19+(1-Inputs!$F$149)*AY23*Inputs!$F$150/AY11)*Time!AY25/12*Inputs!$F$39</f>
        <v>6.83018391939305</v>
      </c>
      <c r="AZ55" s="11" t="n">
        <f aca="false">Inputs!$F$148*(Inputs!$F$149*AZ19+(1-Inputs!$F$149)*AZ23*Inputs!$F$150/AZ11)*Time!AZ25/12*Inputs!$F$39</f>
        <v>6.90490720031309</v>
      </c>
      <c r="BA55" s="11" t="n">
        <f aca="false">Inputs!$F$148*(Inputs!$F$149*BA19+(1-Inputs!$F$149)*BA23*Inputs!$F$150/BA11)*Time!BA25/12*Inputs!$F$39</f>
        <v>6.98044796561969</v>
      </c>
      <c r="BB55" s="11" t="n">
        <f aca="false">Inputs!$F$148*(Inputs!$F$149*BB19+(1-Inputs!$F$149)*BB23*Inputs!$F$150/BB11)*Time!BB25/12*Inputs!$F$39</f>
        <v>7.05681515871998</v>
      </c>
      <c r="BC55" s="11" t="n">
        <f aca="false">Inputs!$F$148*(Inputs!$F$149*BC19+(1-Inputs!$F$149)*BC23*Inputs!$F$150/BC11)*Time!BC25/12*Inputs!$F$39</f>
        <v>7.13401782086333</v>
      </c>
      <c r="BD55" s="11" t="n">
        <f aca="false">Inputs!$F$148*(Inputs!$F$149*BD19+(1-Inputs!$F$149)*BD23*Inputs!$F$150/BD11)*Time!BD25/12*Inputs!$F$39</f>
        <v>7.21206509221181</v>
      </c>
      <c r="BE55" s="11" t="n">
        <f aca="false">Inputs!$F$148*(Inputs!$F$149*BE19+(1-Inputs!$F$149)*BE23*Inputs!$F$150/BE11)*Time!BE25/12*Inputs!$F$39</f>
        <v>7.29096621292232</v>
      </c>
      <c r="BF55" s="11" t="n">
        <f aca="false">Inputs!$F$148*(Inputs!$F$149*BF19+(1-Inputs!$F$149)*BF23*Inputs!$F$150/BF11)*Time!BF25/12*Inputs!$F$39</f>
        <v>7.37073052424047</v>
      </c>
      <c r="BG55" s="11" t="n">
        <f aca="false">Inputs!$F$148*(Inputs!$F$149*BG19+(1-Inputs!$F$149)*BG23*Inputs!$F$150/BG11)*Time!BG25/12*Inputs!$F$39</f>
        <v>7.45136746960661</v>
      </c>
      <c r="BH55" s="11" t="n">
        <f aca="false">Inputs!$F$148*(Inputs!$F$149*BH19+(1-Inputs!$F$149)*BH23*Inputs!$F$150/BH11)*Time!BH25/12*Inputs!$F$39</f>
        <v>7.53288659577376</v>
      </c>
      <c r="BI55" s="11" t="n">
        <f aca="false">Inputs!$F$148*(Inputs!$F$149*BI19+(1-Inputs!$F$149)*BI23*Inputs!$F$150/BI11)*Time!BI25/12*Inputs!$F$39</f>
        <v>7.61529755393795</v>
      </c>
      <c r="BJ55" s="11" t="n">
        <f aca="false">Inputs!$F$148*(Inputs!$F$149*BJ19+(1-Inputs!$F$149)*BJ23*Inputs!$F$150/BJ11)*Time!BJ25/12*Inputs!$F$39</f>
        <v>7.69861010088078</v>
      </c>
      <c r="BK55" s="11" t="n">
        <f aca="false">Inputs!$F$148*(Inputs!$F$149*BK19+(1-Inputs!$F$149)*BK23*Inputs!$F$150/BK11)*Time!BK25/12*Inputs!$F$39</f>
        <v>7.78283410012458</v>
      </c>
      <c r="BL55" s="11" t="n">
        <f aca="false">Inputs!$F$148*(Inputs!$F$149*BL19+(1-Inputs!$F$149)*BL23*Inputs!$F$150/BL11)*Time!BL25/12*Inputs!$F$39</f>
        <v>7.86797952310016</v>
      </c>
      <c r="BM55" s="11" t="n">
        <f aca="false">Inputs!$F$148*(Inputs!$F$149*BM19+(1-Inputs!$F$149)*BM23*Inputs!$F$150/BM11)*Time!BM25/12*Inputs!$F$39</f>
        <v>5.30270430021822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-21.2007529204956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-0.106167102167807</v>
      </c>
      <c r="P56" s="11" t="n">
        <f aca="false">IF(Time!P25&gt;0,Inputs!$F$151*MAX(-1,MIN(1,(P28-92)/3))*P19*Time!P25/12,0)</f>
        <v>-0.321985760638203</v>
      </c>
      <c r="Q56" s="11" t="n">
        <f aca="false">IF(Time!Q25&gt;0,Inputs!$F$151*MAX(-1,MIN(1,(Q28-92)/3))*Q19*Time!Q25/12,0)</f>
        <v>-0.325508335246496</v>
      </c>
      <c r="R56" s="11" t="n">
        <f aca="false">IF(Time!R25&gt;0,Inputs!$F$151*MAX(-1,MIN(1,(R28-92)/3))*R19*Time!R25/12,0)</f>
        <v>-0.329069447372244</v>
      </c>
      <c r="S56" s="11" t="n">
        <f aca="false">IF(Time!S25&gt;0,Inputs!$F$151*MAX(-1,MIN(1,(S28-92)/3))*S19*Time!S25/12,0)</f>
        <v>-0.332669518621919</v>
      </c>
      <c r="T56" s="11" t="n">
        <f aca="false">IF(Time!T25&gt;0,Inputs!$F$151*MAX(-1,MIN(1,(T28-92)/3))*T19*Time!T25/12,0)</f>
        <v>-0.336308975214433</v>
      </c>
      <c r="U56" s="11" t="n">
        <f aca="false">IF(Time!U25&gt;0,Inputs!$F$151*MAX(-1,MIN(1,(U28-92)/3))*U19*Time!U25/12,0)</f>
        <v>-0.339988248031601</v>
      </c>
      <c r="V56" s="11" t="n">
        <f aca="false">IF(Time!V25&gt;0,Inputs!$F$151*MAX(-1,MIN(1,(V28-92)/3))*V19*Time!V25/12,0)</f>
        <v>-0.34370777266915</v>
      </c>
      <c r="W56" s="11" t="n">
        <f aca="false">IF(Time!W25&gt;0,Inputs!$F$151*MAX(-1,MIN(1,(W28-92)/3))*W19*Time!W25/12,0)</f>
        <v>-0.347467989488296</v>
      </c>
      <c r="X56" s="11" t="n">
        <f aca="false">IF(Time!X25&gt;0,Inputs!$F$151*MAX(-1,MIN(1,(X28-92)/3))*X19*Time!X25/12,0)</f>
        <v>-0.351269343667872</v>
      </c>
      <c r="Y56" s="11" t="n">
        <f aca="false">IF(Time!Y25&gt;0,Inputs!$F$151*MAX(-1,MIN(1,(Y28-92)/3))*Y19*Time!Y25/12,0)</f>
        <v>-0.355112285257038</v>
      </c>
      <c r="Z56" s="11" t="n">
        <f aca="false">IF(Time!Z25&gt;0,Inputs!$F$151*MAX(-1,MIN(1,(Z28-92)/3))*Z19*Time!Z25/12,0)</f>
        <v>-0.358997269228565</v>
      </c>
      <c r="AA56" s="11" t="n">
        <f aca="false">IF(Time!AA25&gt;0,Inputs!$F$151*MAX(-1,MIN(1,(AA28-92)/3))*AA19*Time!AA25/12,0)</f>
        <v>-0.362924755532693</v>
      </c>
      <c r="AB56" s="11" t="n">
        <f aca="false">IF(Time!AB25&gt;0,Inputs!$F$151*MAX(-1,MIN(1,(AB28-92)/3))*AB19*Time!AB25/12,0)</f>
        <v>-0.366895209151593</v>
      </c>
      <c r="AC56" s="11" t="n">
        <f aca="false">IF(Time!AC25&gt;0,Inputs!$F$151*MAX(-1,MIN(1,(AC28-92)/3))*AC19*Time!AC25/12,0)</f>
        <v>-0.370909100154412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-0.379069100357809</v>
      </c>
      <c r="AF56" s="11" t="n">
        <f aca="false">IF(Time!AF25&gt;0,Inputs!$F$151*MAX(-1,MIN(1,(AF28-92)/3))*AF19*Time!AF25/12,0)</f>
        <v>-0.383216175635492</v>
      </c>
      <c r="AG56" s="11" t="n">
        <f aca="false">IF(Time!AG25&gt;0,Inputs!$F$151*MAX(-1,MIN(1,(AG28-92)/3))*AG19*Time!AG25/12,0)</f>
        <v>-0.387408620565681</v>
      </c>
      <c r="AH56" s="11" t="n">
        <f aca="false">IF(Time!AH25&gt;0,Inputs!$F$151*MAX(-1,MIN(1,(AH28-92)/3))*AH19*Time!AH25/12,0)</f>
        <v>-0.391646931499473</v>
      </c>
      <c r="AI56" s="11" t="n">
        <f aca="false">IF(Time!AI25&gt;0,Inputs!$F$151*MAX(-1,MIN(1,(AI28-92)/3))*AI19*Time!AI25/12,0)</f>
        <v>-0.395931610218126</v>
      </c>
      <c r="AJ56" s="11" t="n">
        <f aca="false">IF(Time!AJ25&gt;0,Inputs!$F$151*MAX(-1,MIN(1,(AJ28-92)/3))*AJ19*Time!AJ25/12,0)</f>
        <v>-0.400263163992461</v>
      </c>
      <c r="AK56" s="11" t="n">
        <f aca="false">IF(Time!AK25&gt;0,Inputs!$F$151*MAX(-1,MIN(1,(AK28-92)/3))*AK19*Time!AK25/12,0)</f>
        <v>-0.404642105642924</v>
      </c>
      <c r="AL56" s="11" t="n">
        <f aca="false">IF(Time!AL25&gt;0,Inputs!$F$151*MAX(-1,MIN(1,(AL28-92)/3))*AL19*Time!AL25/12,0)</f>
        <v>-0.409068953600295</v>
      </c>
      <c r="AM56" s="11" t="n">
        <f aca="false">IF(Time!AM25&gt;0,Inputs!$F$151*MAX(-1,MIN(1,(AM28-92)/3))*AM19*Time!AM25/12,0)</f>
        <v>-0.413544231967069</v>
      </c>
      <c r="AN56" s="11" t="n">
        <f aca="false">IF(Time!AN25&gt;0,Inputs!$F$151*MAX(-1,MIN(1,(AN28-92)/3))*AN19*Time!AN25/12,0)</f>
        <v>-0.418068470579502</v>
      </c>
      <c r="AO56" s="11" t="n">
        <f aca="false">IF(Time!AO25&gt;0,Inputs!$F$151*MAX(-1,MIN(1,(AO28-92)/3))*AO19*Time!AO25/12,0)</f>
        <v>-0.422642205070344</v>
      </c>
      <c r="AP56" s="11" t="n">
        <f aca="false">IF(Time!AP25&gt;0,Inputs!$F$151*MAX(-1,MIN(1,(AP28-92)/3))*AP19*Time!AP25/12,0)</f>
        <v>-0.427265976932251</v>
      </c>
      <c r="AQ56" s="11" t="n">
        <f aca="false">IF(Time!AQ25&gt;0,Inputs!$F$151*MAX(-1,MIN(1,(AQ28-92)/3))*AQ19*Time!AQ25/12,0)</f>
        <v>-0.431940333581892</v>
      </c>
      <c r="AR56" s="11" t="n">
        <f aca="false">IF(Time!AR25&gt;0,Inputs!$F$151*MAX(-1,MIN(1,(AR28-92)/3))*AR19*Time!AR25/12,0)</f>
        <v>-0.43666582842476</v>
      </c>
      <c r="AS56" s="11" t="n">
        <f aca="false">IF(Time!AS25&gt;0,Inputs!$F$151*MAX(-1,MIN(1,(AS28-92)/3))*AS19*Time!AS25/12,0)</f>
        <v>-0.441443020920693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-0.451154767380948</v>
      </c>
      <c r="AV56" s="11" t="n">
        <f aca="false">IF(Time!AV25&gt;0,Inputs!$F$151*MAX(-1,MIN(1,(AV28-92)/3))*AV19*Time!AV25/12,0)</f>
        <v>-0.456090471136407</v>
      </c>
      <c r="AW56" s="11" t="n">
        <f aca="false">IF(Time!AW25&gt;0,Inputs!$F$151*MAX(-1,MIN(1,(AW28-92)/3))*AW19*Time!AW25/12,0)</f>
        <v>-0.461080172263329</v>
      </c>
      <c r="AX56" s="11" t="n">
        <f aca="false">IF(Time!AX25&gt;0,Inputs!$F$151*MAX(-1,MIN(1,(AX28-92)/3))*AX19*Time!AX25/12,0)</f>
        <v>-0.466124461501408</v>
      </c>
      <c r="AY56" s="11" t="n">
        <f aca="false">IF(Time!AY25&gt;0,Inputs!$F$151*MAX(-1,MIN(1,(AY28-92)/3))*AY19*Time!AY25/12,0)</f>
        <v>-0.471223936053122</v>
      </c>
      <c r="AZ56" s="11" t="n">
        <f aca="false">IF(Time!AZ25&gt;0,Inputs!$F$151*MAX(-1,MIN(1,(AZ28-92)/3))*AZ19*Time!AZ25/12,0)</f>
        <v>-0.476379199654439</v>
      </c>
      <c r="BA56" s="11" t="n">
        <f aca="false">IF(Time!BA25&gt;0,Inputs!$F$151*MAX(-1,MIN(1,(BA28-92)/3))*BA19*Time!BA25/12,0)</f>
        <v>-0.481590862646291</v>
      </c>
      <c r="BB56" s="11" t="n">
        <f aca="false">IF(Time!BB25&gt;0,Inputs!$F$151*MAX(-1,MIN(1,(BB28-92)/3))*BB19*Time!BB25/12,0)</f>
        <v>-0.486859542046837</v>
      </c>
      <c r="BC56" s="11" t="n">
        <f aca="false">IF(Time!BC25&gt;0,Inputs!$F$151*MAX(-1,MIN(1,(BC28-92)/3))*BC19*Time!BC25/12,0)</f>
        <v>-0.492185861624509</v>
      </c>
      <c r="BD56" s="11" t="n">
        <f aca="false">IF(Time!BD25&gt;0,Inputs!$F$151*MAX(-1,MIN(1,(BD28-92)/3))*BD19*Time!BD25/12,0)</f>
        <v>-0.497570451971867</v>
      </c>
      <c r="BE56" s="11" t="n">
        <f aca="false">IF(Time!BE25&gt;0,Inputs!$F$151*MAX(-1,MIN(1,(BE28-92)/3))*BE19*Time!BE25/12,0)</f>
        <v>-0.503013950580248</v>
      </c>
      <c r="BF56" s="11" t="n">
        <f aca="false">IF(Time!BF25&gt;0,Inputs!$F$151*MAX(-1,MIN(1,(BF28-92)/3))*BF19*Time!BF25/12,0)</f>
        <v>-0.508517001915248</v>
      </c>
      <c r="BG56" s="11" t="n">
        <f aca="false">IF(Time!BG25&gt;0,Inputs!$F$151*MAX(-1,MIN(1,(BG28-92)/3))*BG19*Time!BG25/12,0)</f>
        <v>-0.514080257493014</v>
      </c>
      <c r="BH56" s="11" t="n">
        <f aca="false">IF(Time!BH25&gt;0,Inputs!$F$151*MAX(-1,MIN(1,(BH28-92)/3))*BH19*Time!BH25/12,0)</f>
        <v>-0.519704375957383</v>
      </c>
      <c r="BI56" s="11" t="n">
        <f aca="false">IF(Time!BI25&gt;0,Inputs!$F$151*MAX(-1,MIN(1,(BI28-92)/3))*BI19*Time!BI25/12,0)</f>
        <v>-0.52539002315786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-0.536948603667333</v>
      </c>
      <c r="BL56" s="11" t="n">
        <f aca="false">IF(Time!BL25&gt;0,Inputs!$F$151*MAX(-1,MIN(1,(BL28-92)/3))*BL19*Time!BL25/12,0)</f>
        <v>-0.542822905417471</v>
      </c>
      <c r="BM56" s="11" t="n">
        <f aca="false">IF(Time!BM25&gt;0,Inputs!$F$151*MAX(-1,MIN(1,(BM28-92)/3))*BM19*Time!BM25/12,0)</f>
        <v>-0.365840981965343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102.611644135199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0.513848774492185</v>
      </c>
      <c r="P57" s="11" t="n">
        <f aca="false">Inputs!$F$152*P19*Time!P25/12*Inputs!$F$39</f>
        <v>1.5584110814889</v>
      </c>
      <c r="Q57" s="11" t="n">
        <f aca="false">Inputs!$F$152*Q19*Time!Q25/12*Inputs!$F$39</f>
        <v>1.57546034259304</v>
      </c>
      <c r="R57" s="11" t="n">
        <f aca="false">Inputs!$F$152*R19*Time!R25/12*Inputs!$F$39</f>
        <v>1.59269612528166</v>
      </c>
      <c r="S57" s="11" t="n">
        <f aca="false">Inputs!$F$152*S19*Time!S25/12*Inputs!$F$39</f>
        <v>1.61012047013009</v>
      </c>
      <c r="T57" s="11" t="n">
        <f aca="false">Inputs!$F$152*T19*Time!T25/12*Inputs!$F$39</f>
        <v>1.62773544003786</v>
      </c>
      <c r="U57" s="11" t="n">
        <f aca="false">Inputs!$F$152*U19*Time!U25/12*Inputs!$F$39</f>
        <v>1.64554312047295</v>
      </c>
      <c r="V57" s="11" t="n">
        <f aca="false">Inputs!$F$152*V19*Time!V25/12*Inputs!$F$39</f>
        <v>1.66354561971869</v>
      </c>
      <c r="W57" s="11" t="n">
        <f aca="false">Inputs!$F$152*W19*Time!W25/12*Inputs!$F$39</f>
        <v>1.68174506912335</v>
      </c>
      <c r="X57" s="11" t="n">
        <f aca="false">Inputs!$F$152*X19*Time!X25/12*Inputs!$F$39</f>
        <v>1.7001436233525</v>
      </c>
      <c r="Y57" s="11" t="n">
        <f aca="false">Inputs!$F$152*Y19*Time!Y25/12*Inputs!$F$39</f>
        <v>1.71874346064407</v>
      </c>
      <c r="Z57" s="11" t="n">
        <f aca="false">Inputs!$F$152*Z19*Time!Z25/12*Inputs!$F$39</f>
        <v>1.73754678306625</v>
      </c>
      <c r="AA57" s="11" t="n">
        <f aca="false">Inputs!$F$152*AA19*Time!AA25/12*Inputs!$F$39</f>
        <v>1.75655581677823</v>
      </c>
      <c r="AB57" s="11" t="n">
        <f aca="false">Inputs!$F$152*AB19*Time!AB25/12*Inputs!$F$39</f>
        <v>1.77577281229371</v>
      </c>
      <c r="AC57" s="11" t="n">
        <f aca="false">Inputs!$F$152*AC19*Time!AC25/12*Inputs!$F$39</f>
        <v>1.79520004474736</v>
      </c>
      <c r="AD57" s="11" t="n">
        <f aca="false">Inputs!$F$152*AD19*Time!AD25/12*Inputs!$F$39</f>
        <v>1.81483981416417</v>
      </c>
      <c r="AE57" s="11" t="n">
        <f aca="false">Inputs!$F$152*AE19*Time!AE25/12*Inputs!$F$39</f>
        <v>1.8346944457318</v>
      </c>
      <c r="AF57" s="11" t="n">
        <f aca="false">Inputs!$F$152*AF19*Time!AF25/12*Inputs!$F$39</f>
        <v>1.85476629007578</v>
      </c>
      <c r="AG57" s="11" t="n">
        <f aca="false">Inputs!$F$152*AG19*Time!AG25/12*Inputs!$F$39</f>
        <v>1.8750577235379</v>
      </c>
      <c r="AH57" s="11" t="n">
        <f aca="false">Inputs!$F$152*AH19*Time!AH25/12*Inputs!$F$39</f>
        <v>1.89557114845745</v>
      </c>
      <c r="AI57" s="11" t="n">
        <f aca="false">Inputs!$F$152*AI19*Time!AI25/12*Inputs!$F$39</f>
        <v>1.91630899345573</v>
      </c>
      <c r="AJ57" s="11" t="n">
        <f aca="false">Inputs!$F$152*AJ19*Time!AJ25/12*Inputs!$F$39</f>
        <v>1.93727371372351</v>
      </c>
      <c r="AK57" s="11" t="n">
        <f aca="false">Inputs!$F$152*AK19*Time!AK25/12*Inputs!$F$39</f>
        <v>1.95846779131175</v>
      </c>
      <c r="AL57" s="11" t="n">
        <f aca="false">Inputs!$F$152*AL19*Time!AL25/12*Inputs!$F$39</f>
        <v>1.97989373542543</v>
      </c>
      <c r="AM57" s="11" t="n">
        <f aca="false">Inputs!$F$152*AM19*Time!AM25/12*Inputs!$F$39</f>
        <v>2.00155408272061</v>
      </c>
      <c r="AN57" s="11" t="n">
        <f aca="false">Inputs!$F$152*AN19*Time!AN25/12*Inputs!$F$39</f>
        <v>2.02345139760479</v>
      </c>
      <c r="AO57" s="11" t="n">
        <f aca="false">Inputs!$F$152*AO19*Time!AO25/12*Inputs!$F$39</f>
        <v>2.04558827254047</v>
      </c>
      <c r="AP57" s="11" t="n">
        <f aca="false">Inputs!$F$152*AP19*Time!AP25/12*Inputs!$F$39</f>
        <v>2.0679673283521</v>
      </c>
      <c r="AQ57" s="11" t="n">
        <f aca="false">Inputs!$F$152*AQ19*Time!AQ25/12*Inputs!$F$39</f>
        <v>2.09059121453636</v>
      </c>
      <c r="AR57" s="11" t="n">
        <f aca="false">Inputs!$F$152*AR19*Time!AR25/12*Inputs!$F$39</f>
        <v>2.11346260957584</v>
      </c>
      <c r="AS57" s="11" t="n">
        <f aca="false">Inputs!$F$152*AS19*Time!AS25/12*Inputs!$F$39</f>
        <v>2.13658422125616</v>
      </c>
      <c r="AT57" s="11" t="n">
        <f aca="false">Inputs!$F$152*AT19*Time!AT25/12*Inputs!$F$39</f>
        <v>2.15995878698651</v>
      </c>
      <c r="AU57" s="11" t="n">
        <f aca="false">Inputs!$F$152*AU19*Time!AU25/12*Inputs!$F$39</f>
        <v>2.18358907412379</v>
      </c>
      <c r="AV57" s="11" t="n">
        <f aca="false">Inputs!$F$152*AV19*Time!AV25/12*Inputs!$F$39</f>
        <v>2.20747788030021</v>
      </c>
      <c r="AW57" s="11" t="n">
        <f aca="false">Inputs!$F$152*AW19*Time!AW25/12*Inputs!$F$39</f>
        <v>2.23162803375451</v>
      </c>
      <c r="AX57" s="11" t="n">
        <f aca="false">Inputs!$F$152*AX19*Time!AX25/12*Inputs!$F$39</f>
        <v>2.25604239366682</v>
      </c>
      <c r="AY57" s="11" t="n">
        <f aca="false">Inputs!$F$152*AY19*Time!AY25/12*Inputs!$F$39</f>
        <v>2.28072385049711</v>
      </c>
      <c r="AZ57" s="11" t="n">
        <f aca="false">Inputs!$F$152*AZ19*Time!AZ25/12*Inputs!$F$39</f>
        <v>2.30567532632749</v>
      </c>
      <c r="BA57" s="11" t="n">
        <f aca="false">Inputs!$F$152*BA19*Time!BA25/12*Inputs!$F$39</f>
        <v>2.33089977520805</v>
      </c>
      <c r="BB57" s="11" t="n">
        <f aca="false">Inputs!$F$152*BB19*Time!BB25/12*Inputs!$F$39</f>
        <v>2.35640018350669</v>
      </c>
      <c r="BC57" s="11" t="n">
        <f aca="false">Inputs!$F$152*BC19*Time!BC25/12*Inputs!$F$39</f>
        <v>2.38217957026263</v>
      </c>
      <c r="BD57" s="11" t="n">
        <f aca="false">Inputs!$F$152*BD19*Time!BD25/12*Inputs!$F$39</f>
        <v>2.40824098754384</v>
      </c>
      <c r="BE57" s="11" t="n">
        <f aca="false">Inputs!$F$152*BE19*Time!BE25/12*Inputs!$F$39</f>
        <v>2.4345875208084</v>
      </c>
      <c r="BF57" s="11" t="n">
        <f aca="false">Inputs!$F$152*BF19*Time!BF25/12*Inputs!$F$39</f>
        <v>2.4612222892698</v>
      </c>
      <c r="BG57" s="11" t="n">
        <f aca="false">Inputs!$F$152*BG19*Time!BG25/12*Inputs!$F$39</f>
        <v>2.48814844626619</v>
      </c>
      <c r="BH57" s="11" t="n">
        <f aca="false">Inputs!$F$152*BH19*Time!BH25/12*Inputs!$F$39</f>
        <v>2.51536917963374</v>
      </c>
      <c r="BI57" s="11" t="n">
        <f aca="false">Inputs!$F$152*BI19*Time!BI25/12*Inputs!$F$39</f>
        <v>2.54288771208404</v>
      </c>
      <c r="BJ57" s="11" t="n">
        <f aca="false">Inputs!$F$152*BJ19*Time!BJ25/12*Inputs!$F$39</f>
        <v>2.57070730158568</v>
      </c>
      <c r="BK57" s="11" t="n">
        <f aca="false">Inputs!$F$152*BK19*Time!BK25/12*Inputs!$F$39</f>
        <v>2.59883124174989</v>
      </c>
      <c r="BL57" s="11" t="n">
        <f aca="false">Inputs!$F$152*BL19*Time!BL25/12*Inputs!$F$39</f>
        <v>2.62726286222056</v>
      </c>
      <c r="BM57" s="11" t="n">
        <f aca="false">Inputs!$F$152*BM19*Time!BM25/12*Inputs!$F$39</f>
        <v>1.77067035271226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2626.84683724236</v>
      </c>
      <c r="P58" s="13" t="n">
        <f aca="false">IF(P27&gt;0,2*(Inputs!$F$127*P28/P27+Inputs!$F$128*Inputs!$F$129)*Time!P25/12,0)</f>
        <v>7880.54051172708</v>
      </c>
      <c r="Q58" s="13" t="n">
        <f aca="false">IF(Q27&gt;0,2*(Inputs!$F$127*Q28/Q27+Inputs!$F$128*Inputs!$F$129)*Time!Q25/12,0)</f>
        <v>7878.7486631016</v>
      </c>
      <c r="R58" s="13" t="n">
        <f aca="false">IF(R27&gt;0,2*(Inputs!$F$127*R28/R27+Inputs!$F$128*Inputs!$F$129)*Time!R25/12,0)</f>
        <v>7875.13024757804</v>
      </c>
      <c r="S58" s="13" t="n">
        <f aca="false">IF(S27&gt;0,2*(Inputs!$F$127*S28/S27+Inputs!$F$128*Inputs!$F$129)*Time!S25/12,0)</f>
        <v>7876.94527896996</v>
      </c>
      <c r="T58" s="13" t="n">
        <f aca="false">IF(T27&gt;0,2*(Inputs!$F$127*T28/T27+Inputs!$F$128*Inputs!$F$129)*Time!T25/12,0)</f>
        <v>7880.54051172708</v>
      </c>
      <c r="U58" s="13" t="n">
        <f aca="false">IF(U27&gt;0,2*(Inputs!$F$127*U28/U27+Inputs!$F$128*Inputs!$F$129)*Time!U25/12,0)</f>
        <v>7874.11682242991</v>
      </c>
      <c r="V58" s="13" t="n">
        <f aca="false">IF(V27&gt;0,2*(Inputs!$F$127*V28/V27+Inputs!$F$128*Inputs!$F$129)*Time!V25/12,0)</f>
        <v>7860.81567328918</v>
      </c>
      <c r="W58" s="13" t="n">
        <f aca="false">IF(W27&gt;0,2*(Inputs!$F$127*W28/W27+Inputs!$F$128*Inputs!$F$129)*Time!W25/12,0)</f>
        <v>7867.54363636364</v>
      </c>
      <c r="X58" s="13" t="n">
        <f aca="false">IF(X27&gt;0,2*(Inputs!$F$127*X28/X27+Inputs!$F$128*Inputs!$F$129)*Time!X25/12,0)</f>
        <v>7880.54051172708</v>
      </c>
      <c r="Y58" s="13" t="n">
        <f aca="false">IF(Y27&gt;0,2*(Inputs!$F$127*Y28/Y27+Inputs!$F$128*Inputs!$F$129)*Time!Y25/12,0)</f>
        <v>7878.7486631016</v>
      </c>
      <c r="Z58" s="13" t="n">
        <f aca="false">IF(Z27&gt;0,2*(Inputs!$F$127*Z28/Z27+Inputs!$F$128*Inputs!$F$129)*Time!Z25/12,0)</f>
        <v>7875.13024757804</v>
      </c>
      <c r="AA58" s="13" t="n">
        <f aca="false">IF(AA27&gt;0,2*(Inputs!$F$127*AA28/AA27+Inputs!$F$128*Inputs!$F$129)*Time!AA25/12,0)</f>
        <v>7876.94527896996</v>
      </c>
      <c r="AB58" s="13" t="n">
        <f aca="false">IF(AB27&gt;0,2*(Inputs!$F$127*AB28/AB27+Inputs!$F$128*Inputs!$F$129)*Time!AB25/12,0)</f>
        <v>7880.54051172708</v>
      </c>
      <c r="AC58" s="13" t="n">
        <f aca="false">IF(AC27&gt;0,2*(Inputs!$F$127*AC28/AC27+Inputs!$F$128*Inputs!$F$129)*Time!AC25/12,0)</f>
        <v>7870.23235613464</v>
      </c>
      <c r="AD58" s="13" t="n">
        <f aca="false">IF(AD27&gt;0,2*(Inputs!$F$127*AD28/AD27+Inputs!$F$128*Inputs!$F$129)*Time!AD25/12,0)</f>
        <v>7848.43066516347</v>
      </c>
      <c r="AE58" s="13" t="n">
        <f aca="false">IF(AE27&gt;0,2*(Inputs!$F$127*AE28/AE27+Inputs!$F$128*Inputs!$F$129)*Time!AE25/12,0)</f>
        <v>7859.53650442478</v>
      </c>
      <c r="AF58" s="13" t="n">
        <f aca="false">IF(AF27&gt;0,2*(Inputs!$F$127*AF28/AF27+Inputs!$F$128*Inputs!$F$129)*Time!AF25/12,0)</f>
        <v>7880.54051172708</v>
      </c>
      <c r="AG58" s="13" t="n">
        <f aca="false">IF(AG27&gt;0,2*(Inputs!$F$127*AG28/AG27+Inputs!$F$128*Inputs!$F$129)*Time!AG25/12,0)</f>
        <v>7878.7486631016</v>
      </c>
      <c r="AH58" s="13" t="n">
        <f aca="false">IF(AH27&gt;0,2*(Inputs!$F$127*AH28/AH27+Inputs!$F$128*Inputs!$F$129)*Time!AH25/12,0)</f>
        <v>7875.13024757804</v>
      </c>
      <c r="AI58" s="13" t="n">
        <f aca="false">IF(AI27&gt;0,2*(Inputs!$F$127*AI28/AI27+Inputs!$F$128*Inputs!$F$129)*Time!AI25/12,0)</f>
        <v>7876.94527896996</v>
      </c>
      <c r="AJ58" s="13" t="n">
        <f aca="false">IF(AJ27&gt;0,2*(Inputs!$F$127*AJ28/AJ27+Inputs!$F$128*Inputs!$F$129)*Time!AJ25/12,0)</f>
        <v>7880.54051172708</v>
      </c>
      <c r="AK58" s="13" t="n">
        <f aca="false">IF(AK27&gt;0,2*(Inputs!$F$127*AK28/AK27+Inputs!$F$128*Inputs!$F$129)*Time!AK25/12,0)</f>
        <v>7874.11682242991</v>
      </c>
      <c r="AL58" s="13" t="n">
        <f aca="false">IF(AL27&gt;0,2*(Inputs!$F$127*AL28/AL27+Inputs!$F$128*Inputs!$F$129)*Time!AL25/12,0)</f>
        <v>7860.81567328918</v>
      </c>
      <c r="AM58" s="13" t="n">
        <f aca="false">IF(AM27&gt;0,2*(Inputs!$F$127*AM28/AM27+Inputs!$F$128*Inputs!$F$129)*Time!AM25/12,0)</f>
        <v>7867.54363636364</v>
      </c>
      <c r="AN58" s="13" t="n">
        <f aca="false">IF(AN27&gt;0,2*(Inputs!$F$127*AN28/AN27+Inputs!$F$128*Inputs!$F$129)*Time!AN25/12,0)</f>
        <v>7880.54051172708</v>
      </c>
      <c r="AO58" s="13" t="n">
        <f aca="false">IF(AO27&gt;0,2*(Inputs!$F$127*AO28/AO27+Inputs!$F$128*Inputs!$F$129)*Time!AO25/12,0)</f>
        <v>7878.7486631016</v>
      </c>
      <c r="AP58" s="13" t="n">
        <f aca="false">IF(AP27&gt;0,2*(Inputs!$F$127*AP28/AP27+Inputs!$F$128*Inputs!$F$129)*Time!AP25/12,0)</f>
        <v>7875.13024757804</v>
      </c>
      <c r="AQ58" s="13" t="n">
        <f aca="false">IF(AQ27&gt;0,2*(Inputs!$F$127*AQ28/AQ27+Inputs!$F$128*Inputs!$F$129)*Time!AQ25/12,0)</f>
        <v>7876.94527896996</v>
      </c>
      <c r="AR58" s="13" t="n">
        <f aca="false">IF(AR27&gt;0,2*(Inputs!$F$127*AR28/AR27+Inputs!$F$128*Inputs!$F$129)*Time!AR25/12,0)</f>
        <v>7880.54051172708</v>
      </c>
      <c r="AS58" s="13" t="n">
        <f aca="false">IF(AS27&gt;0,2*(Inputs!$F$127*AS28/AS27+Inputs!$F$128*Inputs!$F$129)*Time!AS25/12,0)</f>
        <v>7870.23235613464</v>
      </c>
      <c r="AT58" s="13" t="n">
        <f aca="false">IF(AT27&gt;0,2*(Inputs!$F$127*AT28/AT27+Inputs!$F$128*Inputs!$F$129)*Time!AT25/12,0)</f>
        <v>7848.43066516347</v>
      </c>
      <c r="AU58" s="13" t="n">
        <f aca="false">IF(AU27&gt;0,2*(Inputs!$F$127*AU28/AU27+Inputs!$F$128*Inputs!$F$129)*Time!AU25/12,0)</f>
        <v>7859.53650442478</v>
      </c>
      <c r="AV58" s="13" t="n">
        <f aca="false">IF(AV27&gt;0,2*(Inputs!$F$127*AV28/AV27+Inputs!$F$128*Inputs!$F$129)*Time!AV25/12,0)</f>
        <v>7880.54051172708</v>
      </c>
      <c r="AW58" s="13" t="n">
        <f aca="false">IF(AW27&gt;0,2*(Inputs!$F$127*AW28/AW27+Inputs!$F$128*Inputs!$F$129)*Time!AW25/12,0)</f>
        <v>7878.7486631016</v>
      </c>
      <c r="AX58" s="13" t="n">
        <f aca="false">IF(AX27&gt;0,2*(Inputs!$F$127*AX28/AX27+Inputs!$F$128*Inputs!$F$129)*Time!AX25/12,0)</f>
        <v>7875.13024757804</v>
      </c>
      <c r="AY58" s="13" t="n">
        <f aca="false">IF(AY27&gt;0,2*(Inputs!$F$127*AY28/AY27+Inputs!$F$128*Inputs!$F$129)*Time!AY25/12,0)</f>
        <v>7876.94527896996</v>
      </c>
      <c r="AZ58" s="13" t="n">
        <f aca="false">IF(AZ27&gt;0,2*(Inputs!$F$127*AZ28/AZ27+Inputs!$F$128*Inputs!$F$129)*Time!AZ25/12,0)</f>
        <v>7880.54051172708</v>
      </c>
      <c r="BA58" s="13" t="n">
        <f aca="false">IF(BA27&gt;0,2*(Inputs!$F$127*BA28/BA27+Inputs!$F$128*Inputs!$F$129)*Time!BA25/12,0)</f>
        <v>7874.11682242991</v>
      </c>
      <c r="BB58" s="13" t="n">
        <f aca="false">IF(BB27&gt;0,2*(Inputs!$F$127*BB28/BB27+Inputs!$F$128*Inputs!$F$129)*Time!BB25/12,0)</f>
        <v>7860.81567328918</v>
      </c>
      <c r="BC58" s="13" t="n">
        <f aca="false">IF(BC27&gt;0,2*(Inputs!$F$127*BC28/BC27+Inputs!$F$128*Inputs!$F$129)*Time!BC25/12,0)</f>
        <v>7867.54363636364</v>
      </c>
      <c r="BD58" s="13" t="n">
        <f aca="false">IF(BD27&gt;0,2*(Inputs!$F$127*BD28/BD27+Inputs!$F$128*Inputs!$F$129)*Time!BD25/12,0)</f>
        <v>7880.54051172708</v>
      </c>
      <c r="BE58" s="13" t="n">
        <f aca="false">IF(BE27&gt;0,2*(Inputs!$F$127*BE28/BE27+Inputs!$F$128*Inputs!$F$129)*Time!BE25/12,0)</f>
        <v>7878.7486631016</v>
      </c>
      <c r="BF58" s="13" t="n">
        <f aca="false">IF(BF27&gt;0,2*(Inputs!$F$127*BF28/BF27+Inputs!$F$128*Inputs!$F$129)*Time!BF25/12,0)</f>
        <v>7875.13024757804</v>
      </c>
      <c r="BG58" s="13" t="n">
        <f aca="false">IF(BG27&gt;0,2*(Inputs!$F$127*BG28/BG27+Inputs!$F$128*Inputs!$F$129)*Time!BG25/12,0)</f>
        <v>7876.94527896996</v>
      </c>
      <c r="BH58" s="13" t="n">
        <f aca="false">IF(BH27&gt;0,2*(Inputs!$F$127*BH28/BH27+Inputs!$F$128*Inputs!$F$129)*Time!BH25/12,0)</f>
        <v>7880.54051172708</v>
      </c>
      <c r="BI58" s="13" t="n">
        <f aca="false">IF(BI27&gt;0,2*(Inputs!$F$127*BI28/BI27+Inputs!$F$128*Inputs!$F$129)*Time!BI25/12,0)</f>
        <v>7870.23235613464</v>
      </c>
      <c r="BJ58" s="13" t="n">
        <f aca="false">IF(BJ27&gt;0,2*(Inputs!$F$127*BJ28/BJ27+Inputs!$F$128*Inputs!$F$129)*Time!BJ25/12,0)</f>
        <v>7848.43066516347</v>
      </c>
      <c r="BK58" s="13" t="n">
        <f aca="false">IF(BK27&gt;0,2*(Inputs!$F$127*BK28/BK27+Inputs!$F$128*Inputs!$F$129)*Time!BK25/12,0)</f>
        <v>7859.53650442478</v>
      </c>
      <c r="BL58" s="13" t="n">
        <f aca="false">IF(BL27&gt;0,2*(Inputs!$F$127*BL28/BL27+Inputs!$F$128*Inputs!$F$129)*Time!BL25/12,0)</f>
        <v>7880.54051172708</v>
      </c>
      <c r="BM58" s="13" t="n">
        <f aca="false">IF(BM27&gt;0,2*(Inputs!$F$127*BM28/BM27+Inputs!$F$128*Inputs!$F$129)*Time!BM25/12,0)</f>
        <v>5253.69367448472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270.397442158287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1.35537972242663</v>
      </c>
      <c r="P59" s="11" t="n">
        <f aca="false">P58*Inputs!$F$153*P19/1000000</f>
        <v>4.11062336607196</v>
      </c>
      <c r="Q59" s="11" t="n">
        <f aca="false">Q58*Inputs!$F$153*Q19/1000000</f>
        <v>4.15464934506585</v>
      </c>
      <c r="R59" s="11" t="n">
        <f aca="false">R58*Inputs!$F$153*R19/1000000</f>
        <v>4.19817290885901</v>
      </c>
      <c r="S59" s="11" t="n">
        <f aca="false">S58*Inputs!$F$153*S19/1000000</f>
        <v>4.24507974254913</v>
      </c>
      <c r="T59" s="11" t="n">
        <f aca="false">T58*Inputs!$F$153*T19/1000000</f>
        <v>4.29348033588831</v>
      </c>
      <c r="U59" s="11" t="n">
        <f aca="false">U58*Inputs!$F$153*U19/1000000</f>
        <v>4.33691363687164</v>
      </c>
      <c r="V59" s="11" t="n">
        <f aca="false">V58*Inputs!$F$153*V19/1000000</f>
        <v>4.37695398321494</v>
      </c>
      <c r="W59" s="11" t="n">
        <f aca="false">W58*Inputs!$F$153*W19/1000000</f>
        <v>4.42862570265271</v>
      </c>
      <c r="X59" s="11" t="n">
        <f aca="false">X58*Inputs!$F$153*X19/1000000</f>
        <v>4.48447151514996</v>
      </c>
      <c r="Y59" s="11" t="n">
        <f aca="false">Y58*Inputs!$F$153*Y19/1000000</f>
        <v>4.53250151720615</v>
      </c>
      <c r="Z59" s="11" t="n">
        <f aca="false">Z58*Inputs!$F$153*Z19/1000000</f>
        <v>4.57998341099366</v>
      </c>
      <c r="AA59" s="11" t="n">
        <f aca="false">AA58*Inputs!$F$153*AA19/1000000</f>
        <v>4.63115627233761</v>
      </c>
      <c r="AB59" s="11" t="n">
        <f aca="false">AB58*Inputs!$F$153*AB19/1000000</f>
        <v>4.68395874602989</v>
      </c>
      <c r="AC59" s="11" t="n">
        <f aca="false">AC58*Inputs!$F$153*AC19/1000000</f>
        <v>4.72900809797646</v>
      </c>
      <c r="AD59" s="11" t="n">
        <f aca="false">AD58*Inputs!$F$153*AD19/1000000</f>
        <v>4.76750082825413</v>
      </c>
      <c r="AE59" s="11" t="n">
        <f aca="false">AE58*Inputs!$F$153*AE19/1000000</f>
        <v>4.82647803977789</v>
      </c>
      <c r="AF59" s="11" t="n">
        <f aca="false">AF58*Inputs!$F$153*AF19/1000000</f>
        <v>4.89231996688828</v>
      </c>
      <c r="AG59" s="11" t="n">
        <f aca="false">AG58*Inputs!$F$153*AG19/1000000</f>
        <v>4.94471814519655</v>
      </c>
      <c r="AH59" s="11" t="n">
        <f aca="false">AH58*Inputs!$F$153*AH19/1000000</f>
        <v>4.99651836652865</v>
      </c>
      <c r="AI59" s="11" t="n">
        <f aca="false">AI58*Inputs!$F$153*AI19/1000000</f>
        <v>5.05234523720228</v>
      </c>
      <c r="AJ59" s="11" t="n">
        <f aca="false">AJ58*Inputs!$F$153*AJ19/1000000</f>
        <v>5.10994992829534</v>
      </c>
      <c r="AK59" s="11" t="n">
        <f aca="false">AK58*Inputs!$F$153*AK19/1000000</f>
        <v>5.16164272199239</v>
      </c>
      <c r="AL59" s="11" t="n">
        <f aca="false">AL58*Inputs!$F$153*AL19/1000000</f>
        <v>5.20929733990588</v>
      </c>
      <c r="AM59" s="11" t="n">
        <f aca="false">AM58*Inputs!$F$153*AM19/1000000</f>
        <v>5.27079521071919</v>
      </c>
      <c r="AN59" s="11" t="n">
        <f aca="false">AN58*Inputs!$F$153*AN19/1000000</f>
        <v>5.33726094090562</v>
      </c>
      <c r="AO59" s="11" t="n">
        <f aca="false">AO58*Inputs!$F$153*AO19/1000000</f>
        <v>5.39442456723263</v>
      </c>
      <c r="AP59" s="11" t="n">
        <f aca="false">AP58*Inputs!$F$153*AP19/1000000</f>
        <v>5.45093585429425</v>
      </c>
      <c r="AQ59" s="11" t="n">
        <f aca="false">AQ58*Inputs!$F$153*AQ19/1000000</f>
        <v>5.51184000167544</v>
      </c>
      <c r="AR59" s="11" t="n">
        <f aca="false">AR58*Inputs!$F$153*AR19/1000000</f>
        <v>5.57468365660087</v>
      </c>
      <c r="AS59" s="11" t="n">
        <f aca="false">AS58*Inputs!$F$153*AS19/1000000</f>
        <v>5.62829981755657</v>
      </c>
      <c r="AT59" s="11" t="n">
        <f aca="false">AT58*Inputs!$F$153*AT19/1000000</f>
        <v>5.6741125170298</v>
      </c>
      <c r="AU59" s="11" t="n">
        <f aca="false">AU58*Inputs!$F$153*AU19/1000000</f>
        <v>5.74430512866885</v>
      </c>
      <c r="AV59" s="11" t="n">
        <f aca="false">AV58*Inputs!$F$153*AV19/1000000</f>
        <v>5.8226678843811</v>
      </c>
      <c r="AW59" s="11" t="n">
        <f aca="false">AW58*Inputs!$F$153*AW19/1000000</f>
        <v>5.88503036109983</v>
      </c>
      <c r="AX59" s="11" t="n">
        <f aca="false">AX58*Inputs!$F$153*AX19/1000000</f>
        <v>5.94668117036734</v>
      </c>
      <c r="AY59" s="11" t="n">
        <f aca="false">AY58*Inputs!$F$153*AY19/1000000</f>
        <v>6.01312435665868</v>
      </c>
      <c r="AZ59" s="11" t="n">
        <f aca="false">AZ58*Inputs!$F$153*AZ19/1000000</f>
        <v>6.08168344254991</v>
      </c>
      <c r="BA59" s="11" t="n">
        <f aca="false">BA58*Inputs!$F$153*BA19/1000000</f>
        <v>6.14320639520854</v>
      </c>
      <c r="BB59" s="11" t="n">
        <f aca="false">BB58*Inputs!$F$153*BB19/1000000</f>
        <v>6.19992325247571</v>
      </c>
      <c r="BC59" s="11" t="n">
        <f aca="false">BC58*Inputs!$F$153*BC19/1000000</f>
        <v>6.27311586452194</v>
      </c>
      <c r="BD59" s="11" t="n">
        <f aca="false">BD58*Inputs!$F$153*BD19/1000000</f>
        <v>6.35222104880829</v>
      </c>
      <c r="BE59" s="11" t="n">
        <f aca="false">BE58*Inputs!$F$153*BE19/1000000</f>
        <v>6.42025519486205</v>
      </c>
      <c r="BF59" s="11" t="n">
        <f aca="false">BF58*Inputs!$F$153*BF19/1000000</f>
        <v>6.48751294956856</v>
      </c>
      <c r="BG59" s="11" t="n">
        <f aca="false">BG58*Inputs!$F$153*BG19/1000000</f>
        <v>6.55999893277943</v>
      </c>
      <c r="BH59" s="11" t="n">
        <f aca="false">BH58*Inputs!$F$153*BH19/1000000</f>
        <v>6.63479324994348</v>
      </c>
      <c r="BI59" s="11" t="n">
        <f aca="false">BI58*Inputs!$F$153*BI19/1000000</f>
        <v>6.69860532695265</v>
      </c>
      <c r="BJ59" s="11" t="n">
        <f aca="false">BJ58*Inputs!$F$153*BJ19/1000000</f>
        <v>6.75312999740041</v>
      </c>
      <c r="BK59" s="11" t="n">
        <f aca="false">BK58*Inputs!$F$153*BK19/1000000</f>
        <v>6.83667078546777</v>
      </c>
      <c r="BL59" s="11" t="n">
        <f aca="false">BL58*Inputs!$F$153*BL19/1000000</f>
        <v>6.92993539287396</v>
      </c>
      <c r="BM59" s="11" t="n">
        <f aca="false">BM58*Inputs!$F$153*BM19/1000000</f>
        <v>4.67049998034919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169.853365481371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0.850575433534413</v>
      </c>
      <c r="P60" s="11" t="n">
        <f aca="false">Inputs!$F$154*P19*Time!P25/12*(1+Inputs!$F$155*Inputs!$F$45*IF(Time!P17&gt;=9,1,0))*Inputs!$F$39</f>
        <v>2.5796425856464</v>
      </c>
      <c r="Q60" s="11" t="n">
        <f aca="false">Inputs!$F$154*Q19*Time!Q25/12*(1+Inputs!$F$155*Inputs!$F$45*IF(Time!Q17&gt;=9,1,0))*Inputs!$F$39</f>
        <v>2.60786427921651</v>
      </c>
      <c r="R60" s="11" t="n">
        <f aca="false">Inputs!$F$154*R19*Time!R25/12*(1+Inputs!$F$155*Inputs!$F$45*IF(Time!R17&gt;=9,1,0))*Inputs!$F$39</f>
        <v>2.63639472253063</v>
      </c>
      <c r="S60" s="11" t="n">
        <f aca="false">Inputs!$F$154*S19*Time!S25/12*(1+Inputs!$F$155*Inputs!$F$45*IF(Time!S17&gt;=9,1,0))*Inputs!$F$39</f>
        <v>2.66523729335927</v>
      </c>
      <c r="T60" s="11" t="n">
        <f aca="false">Inputs!$F$154*T19*Time!T25/12*(1+Inputs!$F$155*Inputs!$F$45*IF(Time!T17&gt;=9,1,0))*Inputs!$F$39</f>
        <v>2.6943954064263</v>
      </c>
      <c r="U60" s="11" t="n">
        <f aca="false">Inputs!$F$154*U19*Time!U25/12*(1+Inputs!$F$155*Inputs!$F$45*IF(Time!U17&gt;=9,1,0))*Inputs!$F$39</f>
        <v>2.72387251381317</v>
      </c>
      <c r="V60" s="11" t="n">
        <f aca="false">Inputs!$F$154*V19*Time!V25/12*(1+Inputs!$F$155*Inputs!$F$45*IF(Time!V17&gt;=9,1,0))*Inputs!$F$39</f>
        <v>2.75367210536768</v>
      </c>
      <c r="W60" s="11" t="n">
        <f aca="false">Inputs!$F$154*W19*Time!W25/12*(1+Inputs!$F$155*Inputs!$F$45*IF(Time!W17&gt;=9,1,0))*Inputs!$F$39</f>
        <v>2.78379770911706</v>
      </c>
      <c r="X60" s="11" t="n">
        <f aca="false">Inputs!$F$154*X19*Time!X25/12*(1+Inputs!$F$155*Inputs!$F$45*IF(Time!X17&gt;=9,1,0))*Inputs!$F$39</f>
        <v>2.81425289168576</v>
      </c>
      <c r="Y60" s="11" t="n">
        <f aca="false">Inputs!$F$154*Y19*Time!Y25/12*(1+Inputs!$F$155*Inputs!$F$45*IF(Time!Y17&gt;=9,1,0))*Inputs!$F$39</f>
        <v>2.84504125871764</v>
      </c>
      <c r="Z60" s="11" t="n">
        <f aca="false">Inputs!$F$154*Z19*Time!Z25/12*(1+Inputs!$F$155*Inputs!$F$45*IF(Time!Z17&gt;=9,1,0))*Inputs!$F$39</f>
        <v>2.87616645530285</v>
      </c>
      <c r="AA60" s="11" t="n">
        <f aca="false">Inputs!$F$154*AA19*Time!AA25/12*(1+Inputs!$F$155*Inputs!$F$45*IF(Time!AA17&gt;=9,1,0))*Inputs!$F$39</f>
        <v>2.90763216640943</v>
      </c>
      <c r="AB60" s="11" t="n">
        <f aca="false">Inputs!$F$154*AB19*Time!AB25/12*(1+Inputs!$F$155*Inputs!$F$45*IF(Time!AB17&gt;=9,1,0))*Inputs!$F$39</f>
        <v>2.93944211731951</v>
      </c>
      <c r="AC60" s="11" t="n">
        <f aca="false">Inputs!$F$154*AC19*Time!AC25/12*(1+Inputs!$F$155*Inputs!$F$45*IF(Time!AC17&gt;=9,1,0))*Inputs!$F$39</f>
        <v>2.97160007407043</v>
      </c>
      <c r="AD60" s="11" t="n">
        <f aca="false">Inputs!$F$154*AD19*Time!AD25/12*(1+Inputs!$F$155*Inputs!$F$45*IF(Time!AD17&gt;=9,1,0))*Inputs!$F$39</f>
        <v>3.00410984390054</v>
      </c>
      <c r="AE60" s="11" t="n">
        <f aca="false">Inputs!$F$154*AE19*Time!AE25/12*(1+Inputs!$F$155*Inputs!$F$45*IF(Time!AE17&gt;=9,1,0))*Inputs!$F$39</f>
        <v>3.03697527569998</v>
      </c>
      <c r="AF60" s="11" t="n">
        <f aca="false">Inputs!$F$154*AF19*Time!AF25/12*(1+Inputs!$F$155*Inputs!$F$45*IF(Time!AF17&gt;=9,1,0))*Inputs!$F$39</f>
        <v>3.07020026046635</v>
      </c>
      <c r="AG60" s="11" t="n">
        <f aca="false">Inputs!$F$154*AG19*Time!AG25/12*(1+Inputs!$F$155*Inputs!$F$45*IF(Time!AG17&gt;=9,1,0))*Inputs!$F$39</f>
        <v>3.10378873176538</v>
      </c>
      <c r="AH60" s="11" t="n">
        <f aca="false">Inputs!$F$154*AH19*Time!AH25/12*(1+Inputs!$F$155*Inputs!$F$45*IF(Time!AH17&gt;=9,1,0))*Inputs!$F$39</f>
        <v>3.13774466619661</v>
      </c>
      <c r="AI60" s="11" t="n">
        <f aca="false">Inputs!$F$154*AI19*Time!AI25/12*(1+Inputs!$F$155*Inputs!$F$45*IF(Time!AI17&gt;=9,1,0))*Inputs!$F$39</f>
        <v>3.17207208386422</v>
      </c>
      <c r="AJ60" s="11" t="n">
        <f aca="false">Inputs!$F$154*AJ19*Time!AJ25/12*(1+Inputs!$F$155*Inputs!$F$45*IF(Time!AJ17&gt;=9,1,0))*Inputs!$F$39</f>
        <v>3.20677504885294</v>
      </c>
      <c r="AK60" s="11" t="n">
        <f aca="false">Inputs!$F$154*AK19*Time!AK25/12*(1+Inputs!$F$155*Inputs!$F$45*IF(Time!AK17&gt;=9,1,0))*Inputs!$F$39</f>
        <v>3.24185766970923</v>
      </c>
      <c r="AL60" s="11" t="n">
        <f aca="false">Inputs!$F$154*AL19*Time!AL25/12*(1+Inputs!$F$155*Inputs!$F$45*IF(Time!AL17&gt;=9,1,0))*Inputs!$F$39</f>
        <v>3.2773240999277</v>
      </c>
      <c r="AM60" s="11" t="n">
        <f aca="false">Inputs!$F$154*AM19*Time!AM25/12*(1+Inputs!$F$155*Inputs!$F$45*IF(Time!AM17&gt;=9,1,0))*Inputs!$F$39</f>
        <v>3.31317853844283</v>
      </c>
      <c r="AN60" s="11" t="n">
        <f aca="false">Inputs!$F$154*AN19*Time!AN25/12*(1+Inputs!$F$155*Inputs!$F$45*IF(Time!AN17&gt;=9,1,0))*Inputs!$F$39</f>
        <v>3.34942523012611</v>
      </c>
      <c r="AO60" s="11" t="n">
        <f aca="false">Inputs!$F$154*AO19*Time!AO25/12*(1+Inputs!$F$155*Inputs!$F$45*IF(Time!AO17&gt;=9,1,0))*Inputs!$F$39</f>
        <v>3.38606846628857</v>
      </c>
      <c r="AP60" s="11" t="n">
        <f aca="false">Inputs!$F$154*AP19*Time!AP25/12*(1+Inputs!$F$155*Inputs!$F$45*IF(Time!AP17&gt;=9,1,0))*Inputs!$F$39</f>
        <v>3.42311258518888</v>
      </c>
      <c r="AQ60" s="11" t="n">
        <f aca="false">Inputs!$F$154*AQ19*Time!AQ25/12*(1+Inputs!$F$155*Inputs!$F$45*IF(Time!AQ17&gt;=9,1,0))*Inputs!$F$39</f>
        <v>3.46056197254692</v>
      </c>
      <c r="AR60" s="11" t="n">
        <f aca="false">Inputs!$F$154*AR19*Time!AR25/12*(1+Inputs!$F$155*Inputs!$F$45*IF(Time!AR17&gt;=9,1,0))*Inputs!$F$39</f>
        <v>3.49842106206304</v>
      </c>
      <c r="AS60" s="11" t="n">
        <f aca="false">Inputs!$F$154*AS19*Time!AS25/12*(1+Inputs!$F$155*Inputs!$F$45*IF(Time!AS17&gt;=9,1,0))*Inputs!$F$39</f>
        <v>3.53669433594295</v>
      </c>
      <c r="AT60" s="11" t="n">
        <f aca="false">Inputs!$F$154*AT19*Time!AT25/12*(1+Inputs!$F$155*Inputs!$F$45*IF(Time!AT17&gt;=9,1,0))*Inputs!$F$39</f>
        <v>3.57538632542843</v>
      </c>
      <c r="AU60" s="11" t="n">
        <f aca="false">Inputs!$F$154*AU19*Time!AU25/12*(1+Inputs!$F$155*Inputs!$F$45*IF(Time!AU17&gt;=9,1,0))*Inputs!$F$39</f>
        <v>3.6145016113337</v>
      </c>
      <c r="AV60" s="11" t="n">
        <f aca="false">Inputs!$F$154*AV19*Time!AV25/12*(1+Inputs!$F$155*Inputs!$F$45*IF(Time!AV17&gt;=9,1,0))*Inputs!$F$39</f>
        <v>3.65404482458785</v>
      </c>
      <c r="AW60" s="11" t="n">
        <f aca="false">Inputs!$F$154*AW19*Time!AW25/12*(1+Inputs!$F$155*Inputs!$F$45*IF(Time!AW17&gt;=9,1,0))*Inputs!$F$39</f>
        <v>3.69402064678304</v>
      </c>
      <c r="AX60" s="11" t="n">
        <f aca="false">Inputs!$F$154*AX19*Time!AX25/12*(1+Inputs!$F$155*Inputs!$F$45*IF(Time!AX17&gt;=9,1,0))*Inputs!$F$39</f>
        <v>3.73443381072878</v>
      </c>
      <c r="AY60" s="11" t="n">
        <f aca="false">Inputs!$F$154*AY19*Time!AY25/12*(1+Inputs!$F$155*Inputs!$F$45*IF(Time!AY17&gt;=9,1,0))*Inputs!$F$39</f>
        <v>3.77528910101227</v>
      </c>
      <c r="AZ60" s="11" t="n">
        <f aca="false">Inputs!$F$154*AZ19*Time!AZ25/12*(1+Inputs!$F$155*Inputs!$F$45*IF(Time!AZ17&gt;=9,1,0))*Inputs!$F$39</f>
        <v>3.81659135456481</v>
      </c>
      <c r="BA60" s="11" t="n">
        <f aca="false">Inputs!$F$154*BA19*Time!BA25/12*(1+Inputs!$F$155*Inputs!$F$45*IF(Time!BA17&gt;=9,1,0))*Inputs!$F$39</f>
        <v>3.85834546123453</v>
      </c>
      <c r="BB60" s="11" t="n">
        <f aca="false">Inputs!$F$154*BB19*Time!BB25/12*(1+Inputs!$F$155*Inputs!$F$45*IF(Time!BB17&gt;=9,1,0))*Inputs!$F$39</f>
        <v>3.90055636436524</v>
      </c>
      <c r="BC60" s="11" t="n">
        <f aca="false">Inputs!$F$154*BC19*Time!BC25/12*(1+Inputs!$F$155*Inputs!$F$45*IF(Time!BC17&gt;=9,1,0))*Inputs!$F$39</f>
        <v>3.94322906138169</v>
      </c>
      <c r="BD60" s="11" t="n">
        <f aca="false">Inputs!$F$154*BD19*Time!BD25/12*(1+Inputs!$F$155*Inputs!$F$45*IF(Time!BD17&gt;=9,1,0))*Inputs!$F$39</f>
        <v>3.98636860438127</v>
      </c>
      <c r="BE60" s="11" t="n">
        <f aca="false">Inputs!$F$154*BE19*Time!BE25/12*(1+Inputs!$F$155*Inputs!$F$45*IF(Time!BE17&gt;=9,1,0))*Inputs!$F$39</f>
        <v>4.02998010073209</v>
      </c>
      <c r="BF60" s="11" t="n">
        <f aca="false">Inputs!$F$154*BF19*Time!BF25/12*(1+Inputs!$F$155*Inputs!$F$45*IF(Time!BF17&gt;=9,1,0))*Inputs!$F$39</f>
        <v>4.07406871367766</v>
      </c>
      <c r="BG60" s="11" t="n">
        <f aca="false">Inputs!$F$154*BG19*Time!BG25/12*(1+Inputs!$F$155*Inputs!$F$45*IF(Time!BG17&gt;=9,1,0))*Inputs!$F$39</f>
        <v>4.11863966294819</v>
      </c>
      <c r="BH60" s="11" t="n">
        <f aca="false">Inputs!$F$154*BH19*Time!BH25/12*(1+Inputs!$F$155*Inputs!$F$45*IF(Time!BH17&gt;=9,1,0))*Inputs!$F$39</f>
        <v>4.16369822537857</v>
      </c>
      <c r="BI60" s="11" t="n">
        <f aca="false">Inputs!$F$154*BI19*Time!BI25/12*(1+Inputs!$F$155*Inputs!$F$45*IF(Time!BI17&gt;=9,1,0))*Inputs!$F$39</f>
        <v>4.20924973553306</v>
      </c>
      <c r="BJ60" s="11" t="n">
        <f aca="false">Inputs!$F$154*BJ19*Time!BJ25/12*(1+Inputs!$F$155*Inputs!$F$45*IF(Time!BJ17&gt;=9,1,0))*Inputs!$F$39</f>
        <v>4.2552995863369</v>
      </c>
      <c r="BK60" s="11" t="n">
        <f aca="false">Inputs!$F$154*BK19*Time!BK25/12*(1+Inputs!$F$155*Inputs!$F$45*IF(Time!BK17&gt;=9,1,0))*Inputs!$F$39</f>
        <v>4.30185322971478</v>
      </c>
      <c r="BL60" s="11" t="n">
        <f aca="false">Inputs!$F$154*BL19*Time!BL25/12*(1+Inputs!$F$155*Inputs!$F$45*IF(Time!BL17&gt;=9,1,0))*Inputs!$F$39</f>
        <v>4.34891617723631</v>
      </c>
      <c r="BM60" s="11" t="n">
        <f aca="false">Inputs!$F$154*BM19*Time!BM25/12*(1+Inputs!$F$155*Inputs!$F$45*IF(Time!BM17&gt;=9,1,0))*Inputs!$F$39</f>
        <v>2.93099600051234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123.291031601221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0.617405032616886</v>
      </c>
      <c r="P61" s="11" t="n">
        <f aca="false">Inputs!$F$156*(0.5*P19+0.5*P23*Inputs!$F$150/P11)*Time!P25/12*Inputs!$F$39</f>
        <v>1.8724786208706</v>
      </c>
      <c r="Q61" s="11" t="n">
        <f aca="false">Inputs!$F$156*(0.5*Q19+0.5*Q23*Inputs!$F$150/Q11)*Time!Q25/12*Inputs!$F$39</f>
        <v>1.89296383000337</v>
      </c>
      <c r="R61" s="11" t="n">
        <f aca="false">Inputs!$F$156*(0.5*R19+0.5*R23*Inputs!$F$150/R11)*Time!R25/12*Inputs!$F$39</f>
        <v>1.91367315052975</v>
      </c>
      <c r="S61" s="11" t="n">
        <f aca="false">Inputs!$F$156*(0.5*S19+0.5*S23*Inputs!$F$150/S11)*Time!S25/12*Inputs!$F$39</f>
        <v>1.93460903426345</v>
      </c>
      <c r="T61" s="11" t="n">
        <f aca="false">Inputs!$F$156*(0.5*T19+0.5*T23*Inputs!$F$150/T11)*Time!T25/12*Inputs!$F$39</f>
        <v>1.9557739598414</v>
      </c>
      <c r="U61" s="11" t="n">
        <f aca="false">Inputs!$F$156*(0.5*U19+0.5*U23*Inputs!$F$150/U11)*Time!U25/12*Inputs!$F$39</f>
        <v>1.97717043301724</v>
      </c>
      <c r="V61" s="11" t="n">
        <f aca="false">Inputs!$F$156*(0.5*V19+0.5*V23*Inputs!$F$150/V11)*Time!V25/12*Inputs!$F$39</f>
        <v>1.99880098695791</v>
      </c>
      <c r="W61" s="11" t="n">
        <f aca="false">Inputs!$F$156*(0.5*W19+0.5*W23*Inputs!$F$150/W11)*Time!W25/12*Inputs!$F$39</f>
        <v>2.02066818254362</v>
      </c>
      <c r="X61" s="11" t="n">
        <f aca="false">Inputs!$F$156*(0.5*X19+0.5*X23*Inputs!$F$150/X11)*Time!X25/12*Inputs!$F$39</f>
        <v>2.04277460867099</v>
      </c>
      <c r="Y61" s="11" t="n">
        <f aca="false">Inputs!$F$156*(0.5*Y19+0.5*Y23*Inputs!$F$150/Y11)*Time!Y25/12*Inputs!$F$39</f>
        <v>2.06512288255958</v>
      </c>
      <c r="Z61" s="11" t="n">
        <f aca="false">Inputs!$F$156*(0.5*Z19+0.5*Z23*Inputs!$F$150/Z11)*Time!Z25/12*Inputs!$F$39</f>
        <v>2.08771565006175</v>
      </c>
      <c r="AA61" s="11" t="n">
        <f aca="false">Inputs!$F$156*(0.5*AA19+0.5*AA23*Inputs!$F$150/AA11)*Time!AA25/12*Inputs!$F$39</f>
        <v>2.11055558597589</v>
      </c>
      <c r="AB61" s="11" t="n">
        <f aca="false">Inputs!$F$156*(0.5*AB19+0.5*AB23*Inputs!$F$150/AB11)*Time!AB25/12*Inputs!$F$39</f>
        <v>2.13364539436311</v>
      </c>
      <c r="AC61" s="11" t="n">
        <f aca="false">Inputs!$F$156*(0.5*AC19+0.5*AC23*Inputs!$F$150/AC11)*Time!AC25/12*Inputs!$F$39</f>
        <v>2.15698780886736</v>
      </c>
      <c r="AD61" s="11" t="n">
        <f aca="false">Inputs!$F$156*(0.5*AD19+0.5*AD23*Inputs!$F$150/AD11)*Time!AD25/12*Inputs!$F$39</f>
        <v>2.1805855930391</v>
      </c>
      <c r="AE61" s="11" t="n">
        <f aca="false">Inputs!$F$156*(0.5*AE19+0.5*AE23*Inputs!$F$150/AE11)*Time!AE25/12*Inputs!$F$39</f>
        <v>2.20444154066244</v>
      </c>
      <c r="AF61" s="11" t="n">
        <f aca="false">Inputs!$F$156*(0.5*AF19+0.5*AF23*Inputs!$F$150/AF11)*Time!AF25/12*Inputs!$F$39</f>
        <v>2.22855847608596</v>
      </c>
      <c r="AG61" s="11" t="n">
        <f aca="false">Inputs!$F$156*(0.5*AG19+0.5*AG23*Inputs!$F$150/AG11)*Time!AG25/12*Inputs!$F$39</f>
        <v>2.25293925455702</v>
      </c>
      <c r="AH61" s="11" t="n">
        <f aca="false">Inputs!$F$156*(0.5*AH19+0.5*AH23*Inputs!$F$150/AH11)*Time!AH25/12*Inputs!$F$39</f>
        <v>2.27758676255985</v>
      </c>
      <c r="AI61" s="11" t="n">
        <f aca="false">Inputs!$F$156*(0.5*AI19+0.5*AI23*Inputs!$F$150/AI11)*Time!AI25/12*Inputs!$F$39</f>
        <v>2.30250391815727</v>
      </c>
      <c r="AJ61" s="11" t="n">
        <f aca="false">Inputs!$F$156*(0.5*AJ19+0.5*AJ23*Inputs!$F$150/AJ11)*Time!AJ25/12*Inputs!$F$39</f>
        <v>2.32769367133616</v>
      </c>
      <c r="AK61" s="11" t="n">
        <f aca="false">Inputs!$F$156*(0.5*AK19+0.5*AK23*Inputs!$F$150/AK11)*Time!AK25/12*Inputs!$F$39</f>
        <v>2.35315900435673</v>
      </c>
      <c r="AL61" s="11" t="n">
        <f aca="false">Inputs!$F$156*(0.5*AL19+0.5*AL23*Inputs!$F$150/AL11)*Time!AL25/12*Inputs!$F$39</f>
        <v>2.37890293210556</v>
      </c>
      <c r="AM61" s="11" t="n">
        <f aca="false">Inputs!$F$156*(0.5*AM19+0.5*AM23*Inputs!$F$150/AM11)*Time!AM25/12*Inputs!$F$39</f>
        <v>2.40492850245258</v>
      </c>
      <c r="AN61" s="11" t="n">
        <f aca="false">Inputs!$F$156*(0.5*AN19+0.5*AN23*Inputs!$F$150/AN11)*Time!AN25/12*Inputs!$F$39</f>
        <v>2.43123879661188</v>
      </c>
      <c r="AO61" s="11" t="n">
        <f aca="false">Inputs!$F$156*(0.5*AO19+0.5*AO23*Inputs!$F$150/AO11)*Time!AO25/12*Inputs!$F$39</f>
        <v>2.45783692950653</v>
      </c>
      <c r="AP61" s="11" t="n">
        <f aca="false">Inputs!$F$156*(0.5*AP19+0.5*AP23*Inputs!$F$150/AP11)*Time!AP25/12*Inputs!$F$39</f>
        <v>2.48472605013734</v>
      </c>
      <c r="AQ61" s="11" t="n">
        <f aca="false">Inputs!$F$156*(0.5*AQ19+0.5*AQ23*Inputs!$F$150/AQ11)*Time!AQ25/12*Inputs!$F$39</f>
        <v>2.51190934195568</v>
      </c>
      <c r="AR61" s="11" t="n">
        <f aca="false">Inputs!$F$156*(0.5*AR19+0.5*AR23*Inputs!$F$150/AR11)*Time!AR25/12*Inputs!$F$39</f>
        <v>2.53939002324036</v>
      </c>
      <c r="AS61" s="11" t="n">
        <f aca="false">Inputs!$F$156*(0.5*AS19+0.5*AS23*Inputs!$F$150/AS11)*Time!AS25/12*Inputs!$F$39</f>
        <v>2.5671713474787</v>
      </c>
      <c r="AT61" s="11" t="n">
        <f aca="false">Inputs!$F$156*(0.5*AT19+0.5*AT23*Inputs!$F$150/AT11)*Time!AT25/12*Inputs!$F$39</f>
        <v>2.59525660375165</v>
      </c>
      <c r="AU61" s="11" t="n">
        <f aca="false">Inputs!$F$156*(0.5*AU19+0.5*AU23*Inputs!$F$150/AU11)*Time!AU25/12*Inputs!$F$39</f>
        <v>2.62364911712323</v>
      </c>
      <c r="AV61" s="11" t="n">
        <f aca="false">Inputs!$F$156*(0.5*AV19+0.5*AV23*Inputs!$F$150/AV11)*Time!AV25/12*Inputs!$F$39</f>
        <v>2.65235224903419</v>
      </c>
      <c r="AW61" s="11" t="n">
        <f aca="false">Inputs!$F$156*(0.5*AW19+0.5*AW23*Inputs!$F$150/AW11)*Time!AW25/12*Inputs!$F$39</f>
        <v>2.68136939769994</v>
      </c>
      <c r="AX61" s="11" t="n">
        <f aca="false">Inputs!$F$156*(0.5*AX19+0.5*AX23*Inputs!$F$150/AX11)*Time!AX25/12*Inputs!$F$39</f>
        <v>2.71070399851294</v>
      </c>
      <c r="AY61" s="11" t="n">
        <f aca="false">Inputs!$F$156*(0.5*AY19+0.5*AY23*Inputs!$F$150/AY11)*Time!AY25/12*Inputs!$F$39</f>
        <v>2.74035952444934</v>
      </c>
      <c r="AZ61" s="11" t="n">
        <f aca="false">Inputs!$F$156*(0.5*AZ19+0.5*AZ23*Inputs!$F$150/AZ11)*Time!AZ25/12*Inputs!$F$39</f>
        <v>2.77033948648022</v>
      </c>
      <c r="BA61" s="11" t="n">
        <f aca="false">Inputs!$F$156*(0.5*BA19+0.5*BA23*Inputs!$F$150/BA11)*Time!BA25/12*Inputs!$F$39</f>
        <v>2.80064743398723</v>
      </c>
      <c r="BB61" s="11" t="n">
        <f aca="false">Inputs!$F$156*(0.5*BB19+0.5*BB23*Inputs!$F$150/BB11)*Time!BB25/12*Inputs!$F$39</f>
        <v>2.83128695518279</v>
      </c>
      <c r="BC61" s="11" t="n">
        <f aca="false">Inputs!$F$156*(0.5*BC19+0.5*BC23*Inputs!$F$150/BC11)*Time!BC25/12*Inputs!$F$39</f>
        <v>2.86226167753495</v>
      </c>
      <c r="BD61" s="11" t="n">
        <f aca="false">Inputs!$F$156*(0.5*BD19+0.5*BD23*Inputs!$F$150/BD11)*Time!BD25/12*Inputs!$F$39</f>
        <v>2.89357526819681</v>
      </c>
      <c r="BE61" s="11" t="n">
        <f aca="false">Inputs!$F$156*(0.5*BE19+0.5*BE23*Inputs!$F$150/BE11)*Time!BE25/12*Inputs!$F$39</f>
        <v>2.92523143444072</v>
      </c>
      <c r="BF61" s="11" t="n">
        <f aca="false">Inputs!$F$156*(0.5*BF19+0.5*BF23*Inputs!$F$150/BF11)*Time!BF25/12*Inputs!$F$39</f>
        <v>2.95723392409714</v>
      </c>
      <c r="BG61" s="11" t="n">
        <f aca="false">Inputs!$F$156*(0.5*BG19+0.5*BG23*Inputs!$F$150/BG11)*Time!BG25/12*Inputs!$F$39</f>
        <v>2.98958652599841</v>
      </c>
      <c r="BH61" s="11" t="n">
        <f aca="false">Inputs!$F$156*(0.5*BH19+0.5*BH23*Inputs!$F$150/BH11)*Time!BH25/12*Inputs!$F$39</f>
        <v>3.02229307042728</v>
      </c>
      <c r="BI61" s="11" t="n">
        <f aca="false">Inputs!$F$156*(0.5*BI19+0.5*BI23*Inputs!$F$150/BI11)*Time!BI25/12*Inputs!$F$39</f>
        <v>3.05535742957037</v>
      </c>
      <c r="BJ61" s="11" t="n">
        <f aca="false">Inputs!$F$156*(0.5*BJ19+0.5*BJ23*Inputs!$F$150/BJ11)*Time!BJ25/12*Inputs!$F$39</f>
        <v>3.08878351797668</v>
      </c>
      <c r="BK61" s="11" t="n">
        <f aca="false">Inputs!$F$156*(0.5*BK19+0.5*BK23*Inputs!$F$150/BK11)*Time!BK25/12*Inputs!$F$39</f>
        <v>3.12257529302092</v>
      </c>
      <c r="BL61" s="11" t="n">
        <f aca="false">Inputs!$F$156*(0.5*BL19+0.5*BL23*Inputs!$F$150/BL11)*Time!BL25/12*Inputs!$F$39</f>
        <v>3.15673675537216</v>
      </c>
      <c r="BM61" s="11" t="n">
        <f aca="false">Inputs!$F$156*(0.5*BM19+0.5*BM23*Inputs!$F$150/BM11)*Time!BM25/12*Inputs!$F$39</f>
        <v>2.12751463297826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27.5383929605207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0.137904129628829</v>
      </c>
      <c r="P62" s="11" t="n">
        <f aca="false">Inputs!$F$157*P23/P11*Time!P25/12*Inputs!$F$39</f>
        <v>0.418238467161933</v>
      </c>
      <c r="Q62" s="11" t="n">
        <f aca="false">Inputs!$F$157*Q23/Q11*Time!Q25/12*Inputs!$F$39</f>
        <v>0.422814061441989</v>
      </c>
      <c r="R62" s="11" t="n">
        <f aca="false">Inputs!$F$157*R23/R11*Time!R25/12*Inputs!$F$39</f>
        <v>0.427439713439496</v>
      </c>
      <c r="S62" s="11" t="n">
        <f aca="false">Inputs!$F$157*S23/S11*Time!S25/12*Inputs!$F$39</f>
        <v>0.432115970793713</v>
      </c>
      <c r="T62" s="11" t="n">
        <f aca="false">Inputs!$F$157*T23/T11*Time!T25/12*Inputs!$F$39</f>
        <v>0.436843387135164</v>
      </c>
      <c r="U62" s="11" t="n">
        <f aca="false">Inputs!$F$157*U23/U11*Time!U25/12*Inputs!$F$39</f>
        <v>0.441622522151175</v>
      </c>
      <c r="V62" s="11" t="n">
        <f aca="false">Inputs!$F$157*V23/V11*Time!V25/12*Inputs!$F$39</f>
        <v>0.446453941652138</v>
      </c>
      <c r="W62" s="11" t="n">
        <f aca="false">Inputs!$F$157*W23/W11*Time!W25/12*Inputs!$F$39</f>
        <v>0.451338217638501</v>
      </c>
      <c r="X62" s="11" t="n">
        <f aca="false">Inputs!$F$157*X23/X11*Time!X25/12*Inputs!$F$39</f>
        <v>0.456275928368485</v>
      </c>
      <c r="Y62" s="11" t="n">
        <f aca="false">Inputs!$F$157*Y23/Y11*Time!Y25/12*Inputs!$F$39</f>
        <v>0.461267658426548</v>
      </c>
      <c r="Z62" s="11" t="n">
        <f aca="false">Inputs!$F$157*Z23/Z11*Time!Z25/12*Inputs!$F$39</f>
        <v>0.466313998792592</v>
      </c>
      <c r="AA62" s="11" t="n">
        <f aca="false">Inputs!$F$157*AA23/AA11*Time!AA25/12*Inputs!$F$39</f>
        <v>0.471415546911932</v>
      </c>
      <c r="AB62" s="11" t="n">
        <f aca="false">Inputs!$F$157*AB23/AB11*Time!AB25/12*Inputs!$F$39</f>
        <v>0.476572906766029</v>
      </c>
      <c r="AC62" s="11" t="n">
        <f aca="false">Inputs!$F$157*AC23/AC11*Time!AC25/12*Inputs!$F$39</f>
        <v>0.481786688943994</v>
      </c>
      <c r="AD62" s="11" t="n">
        <f aca="false">Inputs!$F$157*AD23/AD11*Time!AD25/12*Inputs!$F$39</f>
        <v>0.487057510714881</v>
      </c>
      <c r="AE62" s="11" t="n">
        <f aca="false">Inputs!$F$157*AE23/AE11*Time!AE25/12*Inputs!$F$39</f>
        <v>0.492385996100762</v>
      </c>
      <c r="AF62" s="11" t="n">
        <f aca="false">Inputs!$F$157*AF23/AF11*Time!AF25/12*Inputs!$F$39</f>
        <v>0.497772775950609</v>
      </c>
      <c r="AG62" s="11" t="n">
        <f aca="false">Inputs!$F$157*AG23/AG11*Time!AG25/12*Inputs!$F$39</f>
        <v>0.503218488014979</v>
      </c>
      <c r="AH62" s="11" t="n">
        <f aca="false">Inputs!$F$157*AH23/AH11*Time!AH25/12*Inputs!$F$39</f>
        <v>0.508723777021522</v>
      </c>
      <c r="AI62" s="11" t="n">
        <f aca="false">Inputs!$F$157*AI23/AI11*Time!AI25/12*Inputs!$F$39</f>
        <v>0.514289294751309</v>
      </c>
      <c r="AJ62" s="11" t="n">
        <f aca="false">Inputs!$F$157*AJ23/AJ11*Time!AJ25/12*Inputs!$F$39</f>
        <v>0.519915700115996</v>
      </c>
      <c r="AK62" s="11" t="n">
        <f aca="false">Inputs!$F$157*AK23/AK11*Time!AK25/12*Inputs!$F$39</f>
        <v>0.525603659235837</v>
      </c>
      <c r="AL62" s="11" t="n">
        <f aca="false">Inputs!$F$157*AL23/AL11*Time!AL25/12*Inputs!$F$39</f>
        <v>0.531353845518548</v>
      </c>
      <c r="AM62" s="11" t="n">
        <f aca="false">Inputs!$F$157*AM23/AM11*Time!AM25/12*Inputs!$F$39</f>
        <v>0.537166939739026</v>
      </c>
      <c r="AN62" s="11" t="n">
        <f aca="false">Inputs!$F$157*AN23/AN11*Time!AN25/12*Inputs!$F$39</f>
        <v>0.543043630119956</v>
      </c>
      <c r="AO62" s="11" t="n">
        <f aca="false">Inputs!$F$157*AO23/AO11*Time!AO25/12*Inputs!$F$39</f>
        <v>0.548984612413284</v>
      </c>
      <c r="AP62" s="11" t="n">
        <f aca="false">Inputs!$F$157*AP23/AP11*Time!AP25/12*Inputs!$F$39</f>
        <v>0.554990589982595</v>
      </c>
      <c r="AQ62" s="11" t="n">
        <f aca="false">Inputs!$F$157*AQ23/AQ11*Time!AQ25/12*Inputs!$F$39</f>
        <v>0.561062273886377</v>
      </c>
      <c r="AR62" s="11" t="n">
        <f aca="false">Inputs!$F$157*AR23/AR11*Time!AR25/12*Inputs!$F$39</f>
        <v>0.567200382962212</v>
      </c>
      <c r="AS62" s="11" t="n">
        <f aca="false">Inputs!$F$157*AS23/AS11*Time!AS25/12*Inputs!$F$39</f>
        <v>0.573405643911877</v>
      </c>
      <c r="AT62" s="11" t="n">
        <f aca="false">Inputs!$F$157*AT23/AT11*Time!AT25/12*Inputs!$F$39</f>
        <v>0.57967879138738</v>
      </c>
      <c r="AU62" s="11" t="n">
        <f aca="false">Inputs!$F$157*AU23/AU11*Time!AU25/12*Inputs!$F$39</f>
        <v>0.586020568077938</v>
      </c>
      <c r="AV62" s="11" t="n">
        <f aca="false">Inputs!$F$157*AV23/AV11*Time!AV25/12*Inputs!$F$39</f>
        <v>0.592431724797903</v>
      </c>
      <c r="AW62" s="11" t="n">
        <f aca="false">Inputs!$F$157*AW23/AW11*Time!AW25/12*Inputs!$F$39</f>
        <v>0.598913020575653</v>
      </c>
      <c r="AX62" s="11" t="n">
        <f aca="false">Inputs!$F$157*AX23/AX11*Time!AX25/12*Inputs!$F$39</f>
        <v>0.605465222743457</v>
      </c>
      <c r="AY62" s="11" t="n">
        <f aca="false">Inputs!$F$157*AY23/AY11*Time!AY25/12*Inputs!$F$39</f>
        <v>0.612089107028317</v>
      </c>
      <c r="AZ62" s="11" t="n">
        <f aca="false">Inputs!$F$157*AZ23/AZ11*Time!AZ25/12*Inputs!$F$39</f>
        <v>0.618785457643813</v>
      </c>
      <c r="BA62" s="11" t="n">
        <f aca="false">Inputs!$F$157*BA23/BA11*Time!BA25/12*Inputs!$F$39</f>
        <v>0.62555506738294</v>
      </c>
      <c r="BB62" s="11" t="n">
        <f aca="false">Inputs!$F$157*BB23/BB11*Time!BB25/12*Inputs!$F$39</f>
        <v>0.632398737711976</v>
      </c>
      <c r="BC62" s="11" t="n">
        <f aca="false">Inputs!$F$157*BC23/BC11*Time!BC25/12*Inputs!$F$39</f>
        <v>0.639317278865365</v>
      </c>
      <c r="BD62" s="11" t="n">
        <f aca="false">Inputs!$F$157*BD23/BD11*Time!BD25/12*Inputs!$F$39</f>
        <v>0.64631150994164</v>
      </c>
      <c r="BE62" s="11" t="n">
        <f aca="false">Inputs!$F$157*BE23/BE11*Time!BE25/12*Inputs!$F$39</f>
        <v>0.653382259000403</v>
      </c>
      <c r="BF62" s="11" t="n">
        <f aca="false">Inputs!$F$157*BF23/BF11*Time!BF25/12*Inputs!$F$39</f>
        <v>0.660530363160356</v>
      </c>
      <c r="BG62" s="11" t="n">
        <f aca="false">Inputs!$F$157*BG23/BG11*Time!BG25/12*Inputs!$F$39</f>
        <v>0.667756668698412</v>
      </c>
      <c r="BH62" s="11" t="n">
        <f aca="false">Inputs!$F$157*BH23/BH11*Time!BH25/12*Inputs!$F$39</f>
        <v>0.675062031149884</v>
      </c>
      <c r="BI62" s="11" t="n">
        <f aca="false">Inputs!$F$157*BI23/BI11*Time!BI25/12*Inputs!$F$39</f>
        <v>0.682447315409777</v>
      </c>
      <c r="BJ62" s="11" t="n">
        <f aca="false">Inputs!$F$157*BJ23/BJ11*Time!BJ25/12*Inputs!$F$39</f>
        <v>0.689913395835181</v>
      </c>
      <c r="BK62" s="11" t="n">
        <f aca="false">Inputs!$F$157*BK23/BK11*Time!BK25/12*Inputs!$F$39</f>
        <v>0.697461156348792</v>
      </c>
      <c r="BL62" s="11" t="n">
        <f aca="false">Inputs!$F$157*BL23/BL11*Time!BL25/12*Inputs!$F$39</f>
        <v>0.705091490543555</v>
      </c>
      <c r="BM62" s="11" t="n">
        <f aca="false">Inputs!$F$157*BM23/BM11*Time!BM25/12*Inputs!$F$39</f>
        <v>0.475203534525644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20.0420654484103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0.120001231992609</v>
      </c>
      <c r="P63" s="11" t="n">
        <f aca="false">Inputs!$F$158/100*P50</f>
        <v>0.361555504232329</v>
      </c>
      <c r="Q63" s="11" t="n">
        <f aca="false">Inputs!$F$158/100*Q50</f>
        <v>0.361866385963243</v>
      </c>
      <c r="R63" s="11" t="n">
        <f aca="false">Inputs!$F$158/100*R50</f>
        <v>0.36092993936893</v>
      </c>
      <c r="S63" s="11" t="n">
        <f aca="false">Inputs!$F$158/100*S50</f>
        <v>0.363764557366101</v>
      </c>
      <c r="T63" s="11" t="n">
        <f aca="false">Inputs!$F$158/100*T50</f>
        <v>0.367891381205855</v>
      </c>
      <c r="U63" s="11" t="n">
        <f aca="false">Inputs!$F$158/100*U50</f>
        <v>0.365003154623652</v>
      </c>
      <c r="V63" s="11" t="n">
        <f aca="false">Inputs!$F$158/100*V50</f>
        <v>0.357557197949066</v>
      </c>
      <c r="W63" s="11" t="n">
        <f aca="false">Inputs!$F$158/100*W50</f>
        <v>0.363713396363196</v>
      </c>
      <c r="X63" s="11" t="n">
        <f aca="false">Inputs!$F$158/100*X50</f>
        <v>0.37450365723344</v>
      </c>
      <c r="Y63" s="11" t="n">
        <f aca="false">Inputs!$F$158/100*Y50</f>
        <v>0.374908526667198</v>
      </c>
      <c r="Z63" s="11" t="n">
        <f aca="false">Inputs!$F$158/100*Z50</f>
        <v>0.374021137699966</v>
      </c>
      <c r="AA63" s="11" t="n">
        <f aca="false">Inputs!$F$158/100*AA50</f>
        <v>0.377042193729379</v>
      </c>
      <c r="AB63" s="11" t="n">
        <f aca="false">Inputs!$F$158/100*AB50</f>
        <v>0.381404385386414</v>
      </c>
      <c r="AC63" s="11" t="n">
        <f aca="false">Inputs!$F$158/100*AC50</f>
        <v>0.375714480877568</v>
      </c>
      <c r="AD63" s="11" t="n">
        <f aca="false">Inputs!$F$158/100*AD50</f>
        <v>0.362477357548549</v>
      </c>
      <c r="AE63" s="11" t="n">
        <f aca="false">Inputs!$F$158/100*AE50</f>
        <v>0.371713303373347</v>
      </c>
      <c r="AF63" s="11" t="n">
        <f aca="false">Inputs!$F$158/100*AF50</f>
        <v>0.388606144128054</v>
      </c>
      <c r="AG63" s="11" t="n">
        <f aca="false">Inputs!$F$158/100*AG50</f>
        <v>0.389113375489155</v>
      </c>
      <c r="AH63" s="11" t="n">
        <f aca="false">Inputs!$F$158/100*AH50</f>
        <v>0.388279412797966</v>
      </c>
      <c r="AI63" s="11" t="n">
        <f aca="false">Inputs!$F$158/100*AI50</f>
        <v>0.391503522845149</v>
      </c>
      <c r="AJ63" s="11" t="n">
        <f aca="false">Inputs!$F$158/100*AJ50</f>
        <v>0.396122060205718</v>
      </c>
      <c r="AK63" s="11" t="n">
        <f aca="false">Inputs!$F$158/100*AK50</f>
        <v>0.393188162026621</v>
      </c>
      <c r="AL63" s="11" t="n">
        <f aca="false">Inputs!$F$158/100*AL50</f>
        <v>0.385339923937183</v>
      </c>
      <c r="AM63" s="11" t="n">
        <f aca="false">Inputs!$F$158/100*AM50</f>
        <v>0.392150435240544</v>
      </c>
      <c r="AN63" s="11" t="n">
        <f aca="false">Inputs!$F$158/100*AN50</f>
        <v>0.403965832539991</v>
      </c>
      <c r="AO63" s="11" t="n">
        <f aca="false">Inputs!$F$158/100*AO50</f>
        <v>0.404584545868358</v>
      </c>
      <c r="AP63" s="11" t="n">
        <f aca="false">Inputs!$F$158/100*AP50</f>
        <v>0.4038087669601</v>
      </c>
      <c r="AQ63" s="11" t="n">
        <f aca="false">Inputs!$F$158/100*AQ50</f>
        <v>0.407254027263284</v>
      </c>
      <c r="AR63" s="11" t="n">
        <f aca="false">Inputs!$F$158/100*AR50</f>
        <v>0.412151757154237</v>
      </c>
      <c r="AS63" s="11" t="n">
        <f aca="false">Inputs!$F$158/100*AS50</f>
        <v>0.406186643055626</v>
      </c>
      <c r="AT63" s="11" t="n">
        <f aca="false">Inputs!$F$158/100*AT50</f>
        <v>0.392053195395647</v>
      </c>
      <c r="AU63" s="11" t="n">
        <f aca="false">Inputs!$F$158/100*AU50</f>
        <v>0.402224758057532</v>
      </c>
      <c r="AV63" s="11" t="n">
        <f aca="false">Inputs!$F$158/100*AV50</f>
        <v>0.42069475318986</v>
      </c>
      <c r="AW63" s="11" t="n">
        <f aca="false">Inputs!$F$158/100*AW50</f>
        <v>0.421434880734001</v>
      </c>
      <c r="AX63" s="11" t="n">
        <f aca="false">Inputs!$F$158/100*AX50</f>
        <v>0.420722466569764</v>
      </c>
      <c r="AY63" s="11" t="n">
        <f aca="false">Inputs!$F$158/100*AY50</f>
        <v>0.424408585432233</v>
      </c>
      <c r="AZ63" s="11" t="n">
        <f aca="false">Inputs!$F$158/100*AZ50</f>
        <v>0.429610390054521</v>
      </c>
      <c r="BA63" s="11" t="n">
        <f aca="false">Inputs!$F$158/100*BA50</f>
        <v>0.426622291631176</v>
      </c>
      <c r="BB63" s="11" t="n">
        <f aca="false">Inputs!$F$158/100*BB50</f>
        <v>0.418296829498309</v>
      </c>
      <c r="BC63" s="11" t="n">
        <f aca="false">Inputs!$F$158/100*BC50</f>
        <v>0.425883488107603</v>
      </c>
      <c r="BD63" s="11" t="n">
        <f aca="false">Inputs!$F$158/100*BD50</f>
        <v>0.438914915752637</v>
      </c>
      <c r="BE63" s="11" t="n">
        <f aca="false">Inputs!$F$158/100*BE50</f>
        <v>0.439787274270411</v>
      </c>
      <c r="BF63" s="11" t="n">
        <f aca="false">Inputs!$F$158/100*BF50</f>
        <v>0.439143866938232</v>
      </c>
      <c r="BG63" s="11" t="n">
        <f aca="false">Inputs!$F$158/100*BG50</f>
        <v>0.443092308272853</v>
      </c>
      <c r="BH63" s="11" t="n">
        <f aca="false">Inputs!$F$158/100*BH50</f>
        <v>0.448625286449628</v>
      </c>
      <c r="BI63" s="11" t="n">
        <f aca="false">Inputs!$F$158/100*BI50</f>
        <v>0.44233368506038</v>
      </c>
      <c r="BJ63" s="11" t="n">
        <f aca="false">Inputs!$F$158/100*BJ50</f>
        <v>0.427136965111938</v>
      </c>
      <c r="BK63" s="11" t="n">
        <f aca="false">Inputs!$F$158/100*BK50</f>
        <v>0.438418360475939</v>
      </c>
      <c r="BL63" s="11" t="n">
        <f aca="false">Inputs!$F$158/100*BL50</f>
        <v>0.458759197323601</v>
      </c>
      <c r="BM63" s="11" t="n">
        <f aca="false">Inputs!$F$158/100*BM50</f>
        <v>0.30757954899125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125.399469349463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0.65019426958431</v>
      </c>
      <c r="P64" s="11" t="n">
        <f aca="false">Inputs!$F$159*(0.7*P19+0.3*P23*Inputs!$F$150/P11)*P33/1000000</f>
        <v>1.97093640541798</v>
      </c>
      <c r="Q64" s="11" t="n">
        <f aca="false">Inputs!$F$159*(0.7*Q19+0.3*Q23*Inputs!$F$150/Q11)*Q33/1000000</f>
        <v>1.98416151323215</v>
      </c>
      <c r="R64" s="11" t="n">
        <f aca="false">Inputs!$F$159*(0.7*R19+0.3*R23*Inputs!$F$150/R11)*R33/1000000</f>
        <v>1.99053889112733</v>
      </c>
      <c r="S64" s="11" t="n">
        <f aca="false">Inputs!$F$159*(0.7*S19+0.3*S23*Inputs!$F$150/S11)*S33/1000000</f>
        <v>2.01778520308036</v>
      </c>
      <c r="T64" s="11" t="n">
        <f aca="false">Inputs!$F$159*(0.7*T19+0.3*T23*Inputs!$F$150/T11)*T33/1000000</f>
        <v>2.05243184354458</v>
      </c>
      <c r="U64" s="11" t="n">
        <f aca="false">Inputs!$F$159*(0.7*U19+0.3*U23*Inputs!$F$150/U11)*U33/1000000</f>
        <v>2.04799123364797</v>
      </c>
      <c r="V64" s="11" t="n">
        <f aca="false">Inputs!$F$159*(0.7*V19+0.3*V23*Inputs!$F$150/V11)*V33/1000000</f>
        <v>2.01765583442615</v>
      </c>
      <c r="W64" s="11" t="n">
        <f aca="false">Inputs!$F$159*(0.7*W19+0.3*W23*Inputs!$F$150/W11)*W33/1000000</f>
        <v>2.06404265083291</v>
      </c>
      <c r="X64" s="11" t="n">
        <f aca="false">Inputs!$F$159*(0.7*X19+0.3*X23*Inputs!$F$150/X11)*X33/1000000</f>
        <v>2.13727762710248</v>
      </c>
      <c r="Y64" s="11" t="n">
        <f aca="false">Inputs!$F$159*(0.7*Y19+0.3*Y23*Inputs!$F$150/Y11)*Y33/1000000</f>
        <v>2.1516091347461</v>
      </c>
      <c r="Z64" s="11" t="n">
        <f aca="false">Inputs!$F$159*(0.7*Z19+0.3*Z23*Inputs!$F$150/Z11)*Z33/1000000</f>
        <v>2.15851490679419</v>
      </c>
      <c r="AA64" s="11" t="n">
        <f aca="false">Inputs!$F$159*(0.7*AA19+0.3*AA23*Inputs!$F$150/AA11)*AA33/1000000</f>
        <v>2.18805050333905</v>
      </c>
      <c r="AB64" s="11" t="n">
        <f aca="false">Inputs!$F$159*(0.7*AB19+0.3*AB23*Inputs!$F$150/AB11)*AB33/1000000</f>
        <v>2.22561056431131</v>
      </c>
      <c r="AC64" s="11" t="n">
        <f aca="false">Inputs!$F$159*(0.7*AC19+0.3*AC23*Inputs!$F$150/AC11)*AC33/1000000</f>
        <v>2.20447476630006</v>
      </c>
      <c r="AD64" s="11" t="n">
        <f aca="false">Inputs!$F$159*(0.7*AD19+0.3*AD23*Inputs!$F$150/AD11)*AD33/1000000</f>
        <v>2.13845133956408</v>
      </c>
      <c r="AE64" s="11" t="n">
        <f aca="false">Inputs!$F$159*(0.7*AE19+0.3*AE23*Inputs!$F$150/AE11)*AE33/1000000</f>
        <v>2.20488251407145</v>
      </c>
      <c r="AF64" s="11" t="n">
        <f aca="false">Inputs!$F$159*(0.7*AF19+0.3*AF23*Inputs!$F$150/AF11)*AF33/1000000</f>
        <v>2.31757300519285</v>
      </c>
      <c r="AG64" s="11" t="n">
        <f aca="false">Inputs!$F$159*(0.7*AG19+0.3*AG23*Inputs!$F$150/AG11)*AG33/1000000</f>
        <v>2.33310277060442</v>
      </c>
      <c r="AH64" s="11" t="n">
        <f aca="false">Inputs!$F$159*(0.7*AH19+0.3*AH23*Inputs!$F$150/AH11)*AH33/1000000</f>
        <v>2.34058029898133</v>
      </c>
      <c r="AI64" s="11" t="n">
        <f aca="false">Inputs!$F$159*(0.7*AI19+0.3*AI23*Inputs!$F$150/AI11)*AI33/1000000</f>
        <v>2.37259622334724</v>
      </c>
      <c r="AJ64" s="11" t="n">
        <f aca="false">Inputs!$F$159*(0.7*AJ19+0.3*AJ23*Inputs!$F$150/AJ11)*AJ33/1000000</f>
        <v>2.41331306389446</v>
      </c>
      <c r="AK64" s="11" t="n">
        <f aca="false">Inputs!$F$159*(0.7*AK19+0.3*AK23*Inputs!$F$150/AK11)*AK33/1000000</f>
        <v>2.40806954336786</v>
      </c>
      <c r="AL64" s="11" t="n">
        <f aca="false">Inputs!$F$159*(0.7*AL19+0.3*AL23*Inputs!$F$150/AL11)*AL33/1000000</f>
        <v>2.3723787481018</v>
      </c>
      <c r="AM64" s="11" t="n">
        <f aca="false">Inputs!$F$159*(0.7*AM19+0.3*AM23*Inputs!$F$150/AM11)*AM33/1000000</f>
        <v>2.42689844988044</v>
      </c>
      <c r="AN64" s="11" t="n">
        <f aca="false">Inputs!$F$159*(0.7*AN19+0.3*AN23*Inputs!$F$150/AN11)*AN33/1000000</f>
        <v>2.51298484982576</v>
      </c>
      <c r="AO64" s="11" t="n">
        <f aca="false">Inputs!$F$159*(0.7*AO19+0.3*AO23*Inputs!$F$150/AO11)*AO33/1000000</f>
        <v>2.52981228792692</v>
      </c>
      <c r="AP64" s="11" t="n">
        <f aca="false">Inputs!$F$159*(0.7*AP19+0.3*AP23*Inputs!$F$150/AP11)*AP33/1000000</f>
        <v>2.53790845159324</v>
      </c>
      <c r="AQ64" s="11" t="n">
        <f aca="false">Inputs!$F$159*(0.7*AQ19+0.3*AQ23*Inputs!$F$150/AQ11)*AQ33/1000000</f>
        <v>2.57261156114282</v>
      </c>
      <c r="AR64" s="11" t="n">
        <f aca="false">Inputs!$F$159*(0.7*AR19+0.3*AR23*Inputs!$F$150/AR11)*AR33/1000000</f>
        <v>2.61674870795301</v>
      </c>
      <c r="AS64" s="11" t="n">
        <f aca="false">Inputs!$F$159*(0.7*AS19+0.3*AS23*Inputs!$F$150/AS11)*AS33/1000000</f>
        <v>2.59187432342663</v>
      </c>
      <c r="AT64" s="11" t="n">
        <f aca="false">Inputs!$F$159*(0.7*AT19+0.3*AT23*Inputs!$F$150/AT11)*AT33/1000000</f>
        <v>2.51422497755151</v>
      </c>
      <c r="AU64" s="11" t="n">
        <f aca="false">Inputs!$F$159*(0.7*AU19+0.3*AU23*Inputs!$F$150/AU11)*AU33/1000000</f>
        <v>2.59230542210422</v>
      </c>
      <c r="AV64" s="11" t="n">
        <f aca="false">Inputs!$F$159*(0.7*AV19+0.3*AV23*Inputs!$F$150/AV11)*AV33/1000000</f>
        <v>2.72477146860836</v>
      </c>
      <c r="AW64" s="11" t="n">
        <f aca="false">Inputs!$F$159*(0.7*AW19+0.3*AW23*Inputs!$F$150/AW11)*AW33/1000000</f>
        <v>2.7430041660843</v>
      </c>
      <c r="AX64" s="11" t="n">
        <f aca="false">Inputs!$F$159*(0.7*AX19+0.3*AX23*Inputs!$F$150/AX11)*AX33/1000000</f>
        <v>2.75176964180345</v>
      </c>
      <c r="AY64" s="11" t="n">
        <f aca="false">Inputs!$F$159*(0.7*AY19+0.3*AY23*Inputs!$F$150/AY11)*AY33/1000000</f>
        <v>2.78938390434254</v>
      </c>
      <c r="AZ64" s="11" t="n">
        <f aca="false">Inputs!$F$159*(0.7*AZ19+0.3*AZ23*Inputs!$F$150/AZ11)*AZ33/1000000</f>
        <v>2.83722670718504</v>
      </c>
      <c r="BA64" s="11" t="n">
        <f aca="false">Inputs!$F$159*(0.7*BA19+0.3*BA23*Inputs!$F$150/BA11)*BA33/1000000</f>
        <v>2.83103548959112</v>
      </c>
      <c r="BB64" s="11" t="n">
        <f aca="false">Inputs!$F$159*(0.7*BB19+0.3*BB23*Inputs!$F$150/BB11)*BB33/1000000</f>
        <v>2.78904949125221</v>
      </c>
      <c r="BC64" s="11" t="n">
        <f aca="false">Inputs!$F$159*(0.7*BC19+0.3*BC23*Inputs!$F$150/BC11)*BC33/1000000</f>
        <v>2.85311778493833</v>
      </c>
      <c r="BD64" s="11" t="n">
        <f aca="false">Inputs!$F$159*(0.7*BD19+0.3*BD23*Inputs!$F$150/BD11)*BD33/1000000</f>
        <v>2.95429501410374</v>
      </c>
      <c r="BE64" s="11" t="n">
        <f aca="false">Inputs!$F$159*(0.7*BE19+0.3*BE23*Inputs!$F$150/BE11)*BE33/1000000</f>
        <v>2.97404939350194</v>
      </c>
      <c r="BF64" s="11" t="n">
        <f aca="false">Inputs!$F$159*(0.7*BF19+0.3*BF23*Inputs!$F$150/BF11)*BF33/1000000</f>
        <v>2.98353895888527</v>
      </c>
      <c r="BG64" s="11" t="n">
        <f aca="false">Inputs!$F$159*(0.7*BG19+0.3*BG23*Inputs!$F$150/BG11)*BG33/1000000</f>
        <v>3.02430685395941</v>
      </c>
      <c r="BH64" s="11" t="n">
        <f aca="false">Inputs!$F$159*(0.7*BH19+0.3*BH23*Inputs!$F$150/BH11)*BH33/1000000</f>
        <v>3.07616427544997</v>
      </c>
      <c r="BI64" s="11" t="n">
        <f aca="false">Inputs!$F$159*(0.7*BI19+0.3*BI23*Inputs!$F$150/BI11)*BI33/1000000</f>
        <v>3.0468937358848</v>
      </c>
      <c r="BJ64" s="11" t="n">
        <f aca="false">Inputs!$F$159*(0.7*BJ19+0.3*BJ23*Inputs!$F$150/BJ11)*BJ33/1000000</f>
        <v>2.95558437217447</v>
      </c>
      <c r="BK64" s="11" t="n">
        <f aca="false">Inputs!$F$159*(0.7*BK19+0.3*BK23*Inputs!$F$150/BK11)*BK33/1000000</f>
        <v>3.04734232124974</v>
      </c>
      <c r="BL64" s="11" t="n">
        <f aca="false">Inputs!$F$159*(0.7*BL19+0.3*BL23*Inputs!$F$150/BL11)*BL33/1000000</f>
        <v>3.20302996469778</v>
      </c>
      <c r="BM64" s="11" t="n">
        <f aca="false">Inputs!$F$159*(0.7*BM19+0.3*BM23*Inputs!$F$150/BM11)*BM33/1000000</f>
        <v>2.15731391973376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1139.38450718005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5.77236199318499</v>
      </c>
      <c r="P67" s="11" t="n">
        <f aca="false">P55+P56+P57+P59+P60+P61+P62+P63+P64+P65+P66</f>
        <v>17.5000674052607</v>
      </c>
      <c r="Q67" s="11" t="n">
        <f aca="false">Q55+Q56+Q57+Q59+Q60+Q61+Q62+Q63+Q64+Q65+Q66</f>
        <v>17.6754967285715</v>
      </c>
      <c r="R67" s="11" t="n">
        <f aca="false">R55+R56+R57+R59+R60+R61+R62+R63+R64+R65+R66</f>
        <v>17.8436180657435</v>
      </c>
      <c r="S67" s="11" t="n">
        <f aca="false">S55+S56+S57+S59+S60+S61+S62+S63+S64+S65+S66</f>
        <v>18.0410662659607</v>
      </c>
      <c r="T67" s="11" t="n">
        <f aca="false">T55+T56+T57+T59+T60+T61+T62+T63+T64+T65+T66</f>
        <v>18.2500186162075</v>
      </c>
      <c r="U67" s="11" t="n">
        <f aca="false">U55+U56+U57+U59+U60+U61+U62+U63+U64+U65+U66</f>
        <v>18.4092336468936</v>
      </c>
      <c r="V67" s="11" t="n">
        <f aca="false">V55+V56+V57+V59+V60+V61+V62+V63+V64+V65+V66</f>
        <v>18.5359500523814</v>
      </c>
      <c r="W67" s="11" t="n">
        <f aca="false">W55+W56+W57+W59+W60+W61+W62+W63+W64+W65+W66</f>
        <v>18.7659837852777</v>
      </c>
      <c r="X67" s="11" t="n">
        <f aca="false">X55+X56+X57+X59+X60+X61+X62+X63+X64+X65+X66</f>
        <v>19.0330503130866</v>
      </c>
      <c r="Y67" s="11" t="n">
        <f aca="false">Y55+Y56+Y57+Y59+Y60+Y61+Y62+Y63+Y64+Y65+Y66</f>
        <v>19.2244037088277</v>
      </c>
      <c r="Z67" s="11" t="n">
        <f aca="false">Z55+Z56+Z57+Z59+Z60+Z61+Z62+Z63+Z64+Z65+Z66</f>
        <v>19.4078977643877</v>
      </c>
      <c r="AA67" s="11" t="n">
        <f aca="false">AA55+AA56+AA57+AA59+AA60+AA61+AA62+AA63+AA64+AA65+AA66</f>
        <v>19.6230432092789</v>
      </c>
      <c r="AB67" s="11" t="n">
        <f aca="false">AB55+AB56+AB57+AB59+AB60+AB61+AB62+AB63+AB64+AB65+AB66</f>
        <v>19.8506215774233</v>
      </c>
      <c r="AC67" s="11" t="n">
        <f aca="false">AC55+AC56+AC57+AC59+AC60+AC61+AC62+AC63+AC64+AC65+AC66</f>
        <v>20.0031523083042</v>
      </c>
      <c r="AD67" s="11" t="n">
        <f aca="false">AD55+AD56+AD57+AD59+AD60+AD61+AD62+AD63+AD64+AD65+AD66</f>
        <v>20.0981609104598</v>
      </c>
      <c r="AE67" s="11" t="n">
        <f aca="false">AE55+AE56+AE57+AE59+AE60+AE61+AE62+AE63+AE64+AE65+AE66</f>
        <v>20.3700670795621</v>
      </c>
      <c r="AF67" s="11" t="n">
        <f aca="false">AF55+AF56+AF57+AF59+AF60+AF61+AF62+AF63+AF64+AF65+AF66</f>
        <v>20.7042558417742</v>
      </c>
      <c r="AG67" s="11" t="n">
        <f aca="false">AG55+AG56+AG57+AG59+AG60+AG61+AG62+AG63+AG64+AG65+AG66</f>
        <v>20.912972614521</v>
      </c>
      <c r="AH67" s="11" t="n">
        <f aca="false">AH55+AH56+AH57+AH59+AH60+AH61+AH62+AH63+AH64+AH65+AH66</f>
        <v>21.1132327018354</v>
      </c>
      <c r="AI67" s="11" t="n">
        <f aca="false">AI55+AI56+AI57+AI59+AI60+AI61+AI62+AI63+AI64+AI65+AI66</f>
        <v>21.3476673997366</v>
      </c>
      <c r="AJ67" s="11" t="n">
        <f aca="false">AJ55+AJ56+AJ57+AJ59+AJ60+AJ61+AJ62+AJ63+AJ64+AJ65+AJ66</f>
        <v>21.5955437276406</v>
      </c>
      <c r="AK67" s="11" t="n">
        <f aca="false">AK55+AK56+AK57+AK59+AK60+AK61+AK62+AK63+AK64+AK65+AK66</f>
        <v>21.7855809868883</v>
      </c>
      <c r="AL67" s="11" t="n">
        <f aca="false">AL55+AL56+AL57+AL59+AL60+AL61+AL62+AL63+AL64+AL65+AL66</f>
        <v>21.9378214280453</v>
      </c>
      <c r="AM67" s="11" t="n">
        <f aca="false">AM55+AM56+AM57+AM59+AM60+AM61+AM62+AM63+AM64+AM65+AM66</f>
        <v>22.2103948776506</v>
      </c>
      <c r="AN67" s="11" t="n">
        <f aca="false">AN55+AN56+AN57+AN59+AN60+AN61+AN62+AN63+AN64+AN65+AN66</f>
        <v>22.5261460085261</v>
      </c>
      <c r="AO67" s="11" t="n">
        <f aca="false">AO55+AO56+AO57+AO59+AO60+AO61+AO62+AO63+AO64+AO65+AO66</f>
        <v>22.7537955500382</v>
      </c>
      <c r="AP67" s="11" t="n">
        <f aca="false">AP55+AP56+AP57+AP59+AP60+AP61+AP62+AP63+AP64+AP65+AP66</f>
        <v>22.9723412645779</v>
      </c>
      <c r="AQ67" s="11" t="n">
        <f aca="false">AQ55+AQ56+AQ57+AQ59+AQ60+AQ61+AQ62+AQ63+AQ64+AQ65+AQ66</f>
        <v>23.2278004203701</v>
      </c>
      <c r="AR67" s="11" t="n">
        <f aca="false">AR55+AR56+AR57+AR59+AR60+AR61+AR62+AR63+AR64+AR65+AR66</f>
        <v>23.4977967036565</v>
      </c>
      <c r="AS67" s="11" t="n">
        <f aca="false">AS55+AS56+AS57+AS59+AS60+AS61+AS62+AS63+AS64+AS65+AS66</f>
        <v>23.6804209505937</v>
      </c>
      <c r="AT67" s="11" t="n">
        <f aca="false">AT55+AT56+AT57+AT59+AT60+AT61+AT62+AT63+AT64+AT65+AT66</f>
        <v>23.7960471987282</v>
      </c>
      <c r="AU67" s="11" t="n">
        <f aca="false">AU55+AU56+AU57+AU59+AU60+AU61+AU62+AU63+AU64+AU65+AU66</f>
        <v>24.1178560490497</v>
      </c>
      <c r="AV67" s="11" t="n">
        <f aca="false">AV55+AV56+AV57+AV59+AV60+AV61+AV62+AV63+AV64+AV65+AV66</f>
        <v>24.512306308123</v>
      </c>
      <c r="AW67" s="11" t="n">
        <f aca="false">AW55+AW56+AW57+AW59+AW60+AW61+AW62+AW63+AW64+AW65+AW66</f>
        <v>24.760599854422</v>
      </c>
      <c r="AX67" s="11" t="n">
        <f aca="false">AX55+AX56+AX57+AX59+AX60+AX61+AX62+AX63+AX64+AX65+AX66</f>
        <v>24.999088519127</v>
      </c>
      <c r="AY67" s="11" t="n">
        <f aca="false">AY55+AY56+AY57+AY59+AY60+AY61+AY62+AY63+AY64+AY65+AY66</f>
        <v>25.2774634127604</v>
      </c>
      <c r="AZ67" s="11" t="n">
        <f aca="false">AZ55+AZ56+AZ57+AZ59+AZ60+AZ61+AZ62+AZ63+AZ64+AZ65+AZ66</f>
        <v>25.5715651654645</v>
      </c>
      <c r="BA67" s="11" t="n">
        <f aca="false">BA55+BA56+BA57+BA59+BA60+BA61+BA62+BA63+BA64+BA65+BA66</f>
        <v>25.798294017217</v>
      </c>
      <c r="BB67" s="11" t="n">
        <f aca="false">BB55+BB56+BB57+BB59+BB60+BB61+BB62+BB63+BB64+BB65+BB66</f>
        <v>25.9809924306661</v>
      </c>
      <c r="BC67" s="11" t="n">
        <f aca="false">BC55+BC56+BC57+BC59+BC60+BC61+BC62+BC63+BC64+BC65+BC66</f>
        <v>26.3040616848513</v>
      </c>
      <c r="BD67" s="11" t="n">
        <f aca="false">BD55+BD56+BD57+BD59+BD60+BD61+BD62+BD63+BD64+BD65+BD66</f>
        <v>26.6775469889682</v>
      </c>
      <c r="BE67" s="11" t="n">
        <f aca="false">BE55+BE56+BE57+BE59+BE60+BE61+BE62+BE63+BE64+BE65+BE66</f>
        <v>26.9483504399581</v>
      </c>
      <c r="BF67" s="11" t="n">
        <f aca="false">BF55+BF56+BF57+BF59+BF60+BF61+BF62+BF63+BF64+BF65+BF66</f>
        <v>27.2085895879222</v>
      </c>
      <c r="BG67" s="11" t="n">
        <f aca="false">BG55+BG56+BG57+BG59+BG60+BG61+BG62+BG63+BG64+BG65+BG66</f>
        <v>27.5119416110365</v>
      </c>
      <c r="BH67" s="11" t="n">
        <f aca="false">BH55+BH56+BH57+BH59+BH60+BH61+BH62+BH63+BH64+BH65+BH66</f>
        <v>27.8323125382489</v>
      </c>
      <c r="BI67" s="11" t="n">
        <f aca="false">BI55+BI56+BI57+BI59+BI60+BI61+BI62+BI63+BI64+BI65+BI66</f>
        <v>28.0508074712752</v>
      </c>
      <c r="BJ67" s="11" t="n">
        <f aca="false">BJ55+BJ56+BJ57+BJ59+BJ60+BJ61+BJ62+BJ63+BJ64+BJ65+BJ66</f>
        <v>28.1911523650736</v>
      </c>
      <c r="BK67" s="11" t="n">
        <f aca="false">BK55+BK56+BK57+BK59+BK60+BK61+BK62+BK63+BK64+BK65+BK66</f>
        <v>28.5721628844851</v>
      </c>
      <c r="BL67" s="11" t="n">
        <f aca="false">BL55+BL56+BL57+BL59+BL60+BL61+BL62+BL63+BL64+BL65+BL66</f>
        <v>29.0380134579506</v>
      </c>
      <c r="BM67" s="11" t="n">
        <f aca="false">BM55+BM56+BM57+BM59+BM60+BM61+BM62+BM63+BM64+BM65+BM66</f>
        <v>19.5653912880556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4615.34067912194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24.3071377574915</v>
      </c>
      <c r="P68" s="11" t="n">
        <f aca="false">P37*P36/1000000</f>
        <v>72.9140990717767</v>
      </c>
      <c r="Q68" s="11" t="n">
        <f aca="false">Q37*Q36/1000000</f>
        <v>74.1055979950577</v>
      </c>
      <c r="R68" s="11" t="n">
        <f aca="false">R37*R36/1000000</f>
        <v>73.5833280821369</v>
      </c>
      <c r="S68" s="11" t="n">
        <f aca="false">S37*S36/1000000</f>
        <v>75.3040740357814</v>
      </c>
      <c r="T68" s="11" t="n">
        <f aca="false">T37*T36/1000000</f>
        <v>75.8135332054184</v>
      </c>
      <c r="U68" s="11" t="n">
        <f aca="false">U37*U36/1000000</f>
        <v>76.3731239921061</v>
      </c>
      <c r="V68" s="11" t="n">
        <f aca="false">V37*V36/1000000</f>
        <v>74.4721157166797</v>
      </c>
      <c r="W68" s="11" t="n">
        <f aca="false">W37*W36/1000000</f>
        <v>76.912943217363</v>
      </c>
      <c r="X68" s="11" t="n">
        <f aca="false">X37*X36/1000000</f>
        <v>78.8270974849335</v>
      </c>
      <c r="Y68" s="11" t="n">
        <f aca="false">Y37*Y36/1000000</f>
        <v>80.1146288115175</v>
      </c>
      <c r="Z68" s="11" t="n">
        <f aca="false">Z37*Z36/1000000</f>
        <v>79.549420610009</v>
      </c>
      <c r="AA68" s="11" t="n">
        <f aca="false">AA37*AA36/1000000</f>
        <v>81.4090808037802</v>
      </c>
      <c r="AB68" s="11" t="n">
        <f aca="false">AB37*AB36/1000000</f>
        <v>81.9592353647828</v>
      </c>
      <c r="AC68" s="11" t="n">
        <f aca="false">AC37*AC36/1000000</f>
        <v>81.9571954180259</v>
      </c>
      <c r="AD68" s="11" t="n">
        <f aca="false">AD37*AD36/1000000</f>
        <v>78.6890379503248</v>
      </c>
      <c r="AE68" s="11" t="n">
        <f aca="false">AE37*AE36/1000000</f>
        <v>81.9093051435328</v>
      </c>
      <c r="AF68" s="11" t="n">
        <f aca="false">AF37*AF36/1000000</f>
        <v>85.2145611966845</v>
      </c>
      <c r="AG68" s="11" t="n">
        <f aca="false">AG37*AG36/1000000</f>
        <v>86.6057797576286</v>
      </c>
      <c r="AH68" s="11" t="n">
        <f aca="false">AH37*AH36/1000000</f>
        <v>85.9941376323264</v>
      </c>
      <c r="AI68" s="11" t="n">
        <f aca="false">AI37*AI36/1000000</f>
        <v>88.0038045371143</v>
      </c>
      <c r="AJ68" s="11" t="n">
        <f aca="false">AJ37*AJ36/1000000</f>
        <v>88.5978667107327</v>
      </c>
      <c r="AK68" s="11" t="n">
        <f aca="false">AK37*AK36/1000000</f>
        <v>89.2504949639359</v>
      </c>
      <c r="AL68" s="11" t="n">
        <f aca="false">AL37*AL36/1000000</f>
        <v>87.0276620485752</v>
      </c>
      <c r="AM68" s="11" t="n">
        <f aca="false">AM37*AM36/1000000</f>
        <v>89.8786620430448</v>
      </c>
      <c r="AN68" s="11" t="n">
        <f aca="false">AN37*AN36/1000000</f>
        <v>92.1141277382322</v>
      </c>
      <c r="AO68" s="11" t="n">
        <f aca="false">AO37*AO36/1000000</f>
        <v>93.6172911353985</v>
      </c>
      <c r="AP68" s="11" t="n">
        <f aca="false">AP37*AP36/1000000</f>
        <v>92.9554377578268</v>
      </c>
      <c r="AQ68" s="11" t="n">
        <f aca="false">AQ37*AQ36/1000000</f>
        <v>95.1270790254279</v>
      </c>
      <c r="AR68" s="11" t="n">
        <f aca="false">AR37*AR36/1000000</f>
        <v>95.7685111850772</v>
      </c>
      <c r="AS68" s="11" t="n">
        <f aca="false">AS37*AS36/1000000</f>
        <v>95.764699583558</v>
      </c>
      <c r="AT68" s="11" t="n">
        <f aca="false">AT37*AT36/1000000</f>
        <v>91.9445769543751</v>
      </c>
      <c r="AU68" s="11" t="n">
        <f aca="false">AU37*AU36/1000000</f>
        <v>95.7058848057729</v>
      </c>
      <c r="AV68" s="11" t="n">
        <f aca="false">AV37*AV36/1000000</f>
        <v>99.5663822648194</v>
      </c>
      <c r="AW68" s="11" t="n">
        <f aca="false">AW37*AW36/1000000</f>
        <v>101.190397679621</v>
      </c>
      <c r="AX68" s="11" t="n">
        <f aca="false">AX37*AX36/1000000</f>
        <v>100.474251574353</v>
      </c>
      <c r="AY68" s="11" t="n">
        <f aca="false">AY37*AY36/1000000</f>
        <v>102.820778154828</v>
      </c>
      <c r="AZ68" s="11" t="n">
        <f aca="false">AZ37*AZ36/1000000</f>
        <v>103.513312000893</v>
      </c>
      <c r="BA68" s="11" t="n">
        <f aca="false">BA37*BA36/1000000</f>
        <v>104.274248929982</v>
      </c>
      <c r="BB68" s="11" t="n">
        <f aca="false">BB37*BB36/1000000</f>
        <v>101.675717971163</v>
      </c>
      <c r="BC68" s="11" t="n">
        <f aca="false">BC37*BC36/1000000</f>
        <v>105.00501001171</v>
      </c>
      <c r="BD68" s="11" t="n">
        <f aca="false">BD37*BD36/1000000</f>
        <v>107.615085007803</v>
      </c>
      <c r="BE68" s="11" t="n">
        <f aca="false">BE37*BE36/1000000</f>
        <v>109.369559585707</v>
      </c>
      <c r="BF68" s="11" t="n">
        <f aca="false">BF37*BF36/1000000</f>
        <v>108.594710908321</v>
      </c>
      <c r="BG68" s="11" t="n">
        <f aca="false">BG37*BG36/1000000</f>
        <v>111.130050385057</v>
      </c>
      <c r="BH68" s="11" t="n">
        <f aca="false">BH37*BH36/1000000</f>
        <v>111.877707561427</v>
      </c>
      <c r="BI68" s="11" t="n">
        <f aca="false">BI37*BI36/1000000</f>
        <v>111.871572603401</v>
      </c>
      <c r="BJ68" s="11" t="n">
        <f aca="false">BJ37*BJ36/1000000</f>
        <v>107.407319278041</v>
      </c>
      <c r="BK68" s="11" t="n">
        <f aca="false">BK37*BK36/1000000</f>
        <v>111.799500592055</v>
      </c>
      <c r="BL68" s="11" t="n">
        <f aca="false">BL37*BL36/1000000</f>
        <v>116.30741596894</v>
      </c>
      <c r="BM68" s="11" t="n">
        <f aca="false">BM37*BM36/1000000</f>
        <v>79.0761269073873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5443.87736146745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28.9000591016678</v>
      </c>
      <c r="P69" s="11" t="n">
        <f aca="false">P68+P47+P48+P49</f>
        <v>86.7551923620603</v>
      </c>
      <c r="Q69" s="11" t="n">
        <f aca="false">Q68+Q47+Q48+Q49</f>
        <v>87.9553219424275</v>
      </c>
      <c r="R69" s="11" t="n">
        <f aca="false">R68+R47+R48+R49</f>
        <v>87.6069521063107</v>
      </c>
      <c r="S69" s="11" t="n">
        <f aca="false">S68+S47+S48+S49</f>
        <v>89.3525706585186</v>
      </c>
      <c r="T69" s="11" t="n">
        <f aca="false">T68+T47+T48+T49</f>
        <v>90.0715089242325</v>
      </c>
      <c r="U69" s="11" t="n">
        <f aca="false">U68+U47+U48+U49</f>
        <v>90.6840105000762</v>
      </c>
      <c r="V69" s="11" t="n">
        <f aca="false">V68+V47+V48+V49</f>
        <v>88.8539976336182</v>
      </c>
      <c r="W69" s="11" t="n">
        <f aca="false">W68+W47+W48+W49</f>
        <v>91.3411512247352</v>
      </c>
      <c r="X69" s="11" t="n">
        <f aca="false">X68+X47+X48+X49</f>
        <v>93.51447602777</v>
      </c>
      <c r="Y69" s="11" t="n">
        <f aca="false">Y68+Y47+Y48+Y49</f>
        <v>94.8111144597489</v>
      </c>
      <c r="Z69" s="11" t="n">
        <f aca="false">Z68+Z47+Z48+Z49</f>
        <v>94.430481000892</v>
      </c>
      <c r="AA69" s="11" t="n">
        <f aca="false">AA68+AA47+AA48+AA49</f>
        <v>96.3164643673357</v>
      </c>
      <c r="AB69" s="11" t="n">
        <f aca="false">AB68+AB47+AB48+AB49</f>
        <v>97.08891206559</v>
      </c>
      <c r="AC69" s="11" t="n">
        <f aca="false">AC68+AC47+AC48+AC49</f>
        <v>97.1242849085602</v>
      </c>
      <c r="AD69" s="11" t="n">
        <f aca="false">AD68+AD47+AD48+AD49</f>
        <v>93.8941148314827</v>
      </c>
      <c r="AE69" s="11" t="n">
        <f aca="false">AE68+AE47+AE48+AE49</f>
        <v>97.1816034521921</v>
      </c>
      <c r="AF69" s="11" t="n">
        <f aca="false">AF68+AF47+AF48+AF49</f>
        <v>100.799817522351</v>
      </c>
      <c r="AG69" s="11" t="n">
        <f aca="false">AG68+AG47+AG48+AG49</f>
        <v>102.200643871214</v>
      </c>
      <c r="AH69" s="11" t="n">
        <f aca="false">AH68+AH47+AH48+AH49</f>
        <v>101.784907461581</v>
      </c>
      <c r="AI69" s="11" t="n">
        <f aca="false">AI68+AI47+AI48+AI49</f>
        <v>103.822429667449</v>
      </c>
      <c r="AJ69" s="11" t="n">
        <f aca="false">AJ68+AJ47+AJ48+AJ49</f>
        <v>104.652381788772</v>
      </c>
      <c r="AK69" s="11" t="n">
        <f aca="false">AK68+AK47+AK48+AK49</f>
        <v>105.364556458023</v>
      </c>
      <c r="AL69" s="11" t="n">
        <f aca="false">AL68+AL47+AL48+AL49</f>
        <v>103.221835587061</v>
      </c>
      <c r="AM69" s="11" t="n">
        <f aca="false">AM68+AM47+AM48+AM49</f>
        <v>106.124789845793</v>
      </c>
      <c r="AN69" s="11" t="n">
        <f aca="false">AN68+AN47+AN48+AN49</f>
        <v>108.651990227548</v>
      </c>
      <c r="AO69" s="11" t="n">
        <f aca="false">AO68+AO47+AO48+AO49</f>
        <v>110.165287402716</v>
      </c>
      <c r="AP69" s="11" t="n">
        <f aca="false">AP68+AP47+AP48+AP49</f>
        <v>109.711367437094</v>
      </c>
      <c r="AQ69" s="11" t="n">
        <f aca="false">AQ68+AQ47+AQ48+AQ49</f>
        <v>111.912482062667</v>
      </c>
      <c r="AR69" s="11" t="n">
        <f aca="false">AR68+AR47+AR48+AR49</f>
        <v>112.804231499991</v>
      </c>
      <c r="AS69" s="11" t="n">
        <f aca="false">AS68+AS47+AS48+AS49</f>
        <v>112.842560923405</v>
      </c>
      <c r="AT69" s="11" t="n">
        <f aca="false">AT68+AT47+AT48+AT49</f>
        <v>109.065499241876</v>
      </c>
      <c r="AU69" s="11" t="n">
        <f aca="false">AU68+AU47+AU48+AU49</f>
        <v>112.902221253865</v>
      </c>
      <c r="AV69" s="11" t="n">
        <f aca="false">AV68+AV47+AV48+AV49</f>
        <v>117.11490516284</v>
      </c>
      <c r="AW69" s="11" t="n">
        <f aca="false">AW68+AW47+AW48+AW49</f>
        <v>118.749606760554</v>
      </c>
      <c r="AX69" s="11" t="n">
        <f aca="false">AX68+AX47+AX48+AX49</f>
        <v>118.254161395673</v>
      </c>
      <c r="AY69" s="11" t="n">
        <f aca="false">AY68+AY47+AY48+AY49</f>
        <v>120.631869912834</v>
      </c>
      <c r="AZ69" s="11" t="n">
        <f aca="false">AZ68+AZ47+AZ48+AZ49</f>
        <v>121.590029545009</v>
      </c>
      <c r="BA69" s="11" t="n">
        <f aca="false">BA68+BA47+BA48+BA49</f>
        <v>122.417978816409</v>
      </c>
      <c r="BB69" s="11" t="n">
        <f aca="false">BB68+BB47+BB48+BB49</f>
        <v>119.909864363976</v>
      </c>
      <c r="BC69" s="11" t="n">
        <f aca="false">BC68+BC47+BC48+BC49</f>
        <v>123.297402326047</v>
      </c>
      <c r="BD69" s="11" t="n">
        <f aca="false">BD68+BD47+BD48+BD49</f>
        <v>126.235849914417</v>
      </c>
      <c r="BE69" s="11" t="n">
        <f aca="false">BE68+BE47+BE48+BE49</f>
        <v>128.00159063588</v>
      </c>
      <c r="BF69" s="11" t="n">
        <f aca="false">BF68+BF47+BF48+BF49</f>
        <v>127.46099521517</v>
      </c>
      <c r="BG69" s="11" t="n">
        <f aca="false">BG68+BG47+BG48+BG49</f>
        <v>130.029320551383</v>
      </c>
      <c r="BH69" s="11" t="n">
        <f aca="false">BH68+BH47+BH48+BH49</f>
        <v>131.058846945353</v>
      </c>
      <c r="BI69" s="11" t="n">
        <f aca="false">BI68+BI47+BI48+BI49</f>
        <v>131.100182351454</v>
      </c>
      <c r="BJ69" s="11" t="n">
        <f aca="false">BJ68+BJ47+BJ48+BJ49</f>
        <v>126.68476869625</v>
      </c>
      <c r="BK69" s="11" t="n">
        <f aca="false">BK68+BK47+BK48+BK49</f>
        <v>131.161528355981</v>
      </c>
      <c r="BL69" s="11" t="n">
        <f aca="false">BL68+BL47+BL48+BL49</f>
        <v>136.065745497254</v>
      </c>
      <c r="BM69" s="11" t="n">
        <f aca="false">BM68+BM47+BM48+BM49</f>
        <v>92.2034972023357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6654.14052115733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34.6724210948528</v>
      </c>
      <c r="P78" s="11" t="n">
        <f aca="false">P67+P69+P70+P71+P74+P77</f>
        <v>104.353905500509</v>
      </c>
      <c r="Q78" s="11" t="n">
        <f aca="false">Q67+Q69+Q70+Q71+Q74+Q77</f>
        <v>105.643570100128</v>
      </c>
      <c r="R78" s="11" t="n">
        <f aca="false">R67+R69+R70+R71+R74+R77</f>
        <v>105.450570172054</v>
      </c>
      <c r="S78" s="11" t="n">
        <f aca="false">S67+S69+S70+S71+S74+S77</f>
        <v>107.393636924479</v>
      </c>
      <c r="T78" s="11" t="n">
        <f aca="false">T67+T69+T70+T71+T74+T77</f>
        <v>108.32152754044</v>
      </c>
      <c r="U78" s="11" t="n">
        <f aca="false">U67+U69+U70+U71+U74+U77</f>
        <v>109.09324414697</v>
      </c>
      <c r="V78" s="11" t="n">
        <f aca="false">V67+V69+V70+V71+V74+V77</f>
        <v>109.887557500729</v>
      </c>
      <c r="W78" s="11" t="n">
        <f aca="false">W67+W69+W70+W71+W74+W77</f>
        <v>110.107135010013</v>
      </c>
      <c r="X78" s="11" t="n">
        <f aca="false">X67+X69+X70+X71+X74+X77</f>
        <v>112.547526340857</v>
      </c>
      <c r="Y78" s="11" t="n">
        <f aca="false">Y67+Y69+Y70+Y71+Y74+Y77</f>
        <v>114.035518168577</v>
      </c>
      <c r="Z78" s="11" t="n">
        <f aca="false">Z67+Z69+Z70+Z71+Z74+Z77</f>
        <v>113.83837876528</v>
      </c>
      <c r="AA78" s="11" t="n">
        <f aca="false">AA67+AA69+AA70+AA71+AA74+AA77</f>
        <v>115.939507576615</v>
      </c>
      <c r="AB78" s="11" t="n">
        <f aca="false">AB67+AB69+AB70+AB71+AB74+AB77</f>
        <v>116.939533643013</v>
      </c>
      <c r="AC78" s="11" t="n">
        <f aca="false">AC67+AC69+AC70+AC71+AC74+AC77</f>
        <v>117.127437216864</v>
      </c>
      <c r="AD78" s="11" t="n">
        <f aca="false">AD67+AD69+AD70+AD71+AD74+AD77</f>
        <v>125.828731003743</v>
      </c>
      <c r="AE78" s="11" t="n">
        <f aca="false">AE67+AE69+AE70+AE71+AE74+AE77</f>
        <v>117.551670531754</v>
      </c>
      <c r="AF78" s="11" t="n">
        <f aca="false">AF67+AF69+AF70+AF71+AF74+AF77</f>
        <v>121.504073364126</v>
      </c>
      <c r="AG78" s="11" t="n">
        <f aca="false">AG67+AG69+AG70+AG71+AG74+AG77</f>
        <v>123.113616485735</v>
      </c>
      <c r="AH78" s="11" t="n">
        <f aca="false">AH67+AH69+AH70+AH71+AH74+AH77</f>
        <v>122.898140163417</v>
      </c>
      <c r="AI78" s="11" t="n">
        <f aca="false">AI67+AI69+AI70+AI71+AI74+AI77</f>
        <v>125.170097067185</v>
      </c>
      <c r="AJ78" s="11" t="n">
        <f aca="false">AJ67+AJ69+AJ70+AJ71+AJ74+AJ77</f>
        <v>126.247925516413</v>
      </c>
      <c r="AK78" s="11" t="n">
        <f aca="false">AK67+AK69+AK70+AK71+AK74+AK77</f>
        <v>127.150137444911</v>
      </c>
      <c r="AL78" s="11" t="n">
        <f aca="false">AL67+AL69+AL70+AL71+AL74+AL77</f>
        <v>128.132224744602</v>
      </c>
      <c r="AM78" s="11" t="n">
        <f aca="false">AM67+AM69+AM70+AM71+AM74+AM77</f>
        <v>128.335184723443</v>
      </c>
      <c r="AN78" s="11" t="n">
        <f aca="false">AN67+AN69+AN70+AN71+AN74+AN77</f>
        <v>131.178136236074</v>
      </c>
      <c r="AO78" s="11" t="n">
        <f aca="false">AO67+AO69+AO70+AO71+AO74+AO77</f>
        <v>132.919082952754</v>
      </c>
      <c r="AP78" s="11" t="n">
        <f aca="false">AP67+AP69+AP70+AP71+AP74+AP77</f>
        <v>132.683708701672</v>
      </c>
      <c r="AQ78" s="11" t="n">
        <f aca="false">AQ67+AQ69+AQ70+AQ71+AQ74+AQ77</f>
        <v>135.140282483037</v>
      </c>
      <c r="AR78" s="11" t="n">
        <f aca="false">AR67+AR69+AR70+AR71+AR74+AR77</f>
        <v>136.302028203648</v>
      </c>
      <c r="AS78" s="11" t="n">
        <f aca="false">AS67+AS69+AS70+AS71+AS74+AS77</f>
        <v>136.522981873999</v>
      </c>
      <c r="AT78" s="11" t="n">
        <f aca="false">AT67+AT69+AT70+AT71+AT74+AT77</f>
        <v>146.948880953526</v>
      </c>
      <c r="AU78" s="11" t="n">
        <f aca="false">AU67+AU69+AU70+AU71+AU74+AU77</f>
        <v>137.020077302915</v>
      </c>
      <c r="AV78" s="11" t="n">
        <f aca="false">AV67+AV69+AV70+AV71+AV74+AV77</f>
        <v>141.627211470963</v>
      </c>
      <c r="AW78" s="11" t="n">
        <f aca="false">AW67+AW69+AW70+AW71+AW74+AW77</f>
        <v>143.510206614976</v>
      </c>
      <c r="AX78" s="11" t="n">
        <f aca="false">AX67+AX69+AX70+AX71+AX74+AX77</f>
        <v>143.2532499148</v>
      </c>
      <c r="AY78" s="11" t="n">
        <f aca="false">AY67+AY69+AY70+AY71+AY74+AY77</f>
        <v>145.909333325594</v>
      </c>
      <c r="AZ78" s="11" t="n">
        <f aca="false">AZ67+AZ69+AZ70+AZ71+AZ74+AZ77</f>
        <v>147.161594710474</v>
      </c>
      <c r="BA78" s="11" t="n">
        <f aca="false">BA67+BA69+BA70+BA71+BA74+BA77</f>
        <v>148.216272833626</v>
      </c>
      <c r="BB78" s="11" t="n">
        <f aca="false">BB67+BB69+BB70+BB71+BB74+BB77</f>
        <v>149.428702800183</v>
      </c>
      <c r="BC78" s="11" t="n">
        <f aca="false">BC67+BC69+BC70+BC71+BC74+BC77</f>
        <v>149.601464010898</v>
      </c>
      <c r="BD78" s="11" t="n">
        <f aca="false">BD67+BD69+BD70+BD71+BD74+BD77</f>
        <v>152.913396903385</v>
      </c>
      <c r="BE78" s="11" t="n">
        <f aca="false">BE67+BE69+BE70+BE71+BE74+BE77</f>
        <v>154.949941075838</v>
      </c>
      <c r="BF78" s="11" t="n">
        <f aca="false">BF67+BF69+BF70+BF71+BF74+BF77</f>
        <v>154.669584803092</v>
      </c>
      <c r="BG78" s="11" t="n">
        <f aca="false">BG67+BG69+BG70+BG71+BG74+BG77</f>
        <v>157.54126216242</v>
      </c>
      <c r="BH78" s="11" t="n">
        <f aca="false">BH67+BH69+BH70+BH71+BH74+BH77</f>
        <v>158.891159483602</v>
      </c>
      <c r="BI78" s="11" t="n">
        <f aca="false">BI67+BI69+BI70+BI71+BI74+BI77</f>
        <v>159.150989822729</v>
      </c>
      <c r="BJ78" s="11" t="n">
        <f aca="false">BJ67+BJ69+BJ70+BJ71+BJ74+BJ77</f>
        <v>171.642173228002</v>
      </c>
      <c r="BK78" s="11" t="n">
        <f aca="false">BK67+BK69+BK70+BK71+BK74+BK77</f>
        <v>159.733691240466</v>
      </c>
      <c r="BL78" s="11" t="n">
        <f aca="false">BL67+BL69+BL70+BL71+BL74+BL77</f>
        <v>165.103758955205</v>
      </c>
      <c r="BM78" s="11" t="n">
        <f aca="false">BM67+BM69+BM70+BM71+BM74+BM77</f>
        <v>130.838078346745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2362.07680334811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15.7316262130605</v>
      </c>
      <c r="P79" s="11" t="n">
        <f aca="false">P51-P78+P53</f>
        <v>47.1906977809922</v>
      </c>
      <c r="Q79" s="11" t="n">
        <f aca="false">Q51-Q78+Q53</f>
        <v>47.134892944072</v>
      </c>
      <c r="R79" s="11" t="n">
        <f aca="false">R51-R78+R53</f>
        <v>46.8088585219877</v>
      </c>
      <c r="S79" s="11" t="n">
        <f aca="false">S51-S78+S53</f>
        <v>47.0966816197857</v>
      </c>
      <c r="T79" s="11" t="n">
        <f aca="false">T51-T78+T53</f>
        <v>47.6238423253093</v>
      </c>
      <c r="U79" s="11" t="n">
        <f aca="false">U51-U78+U53</f>
        <v>46.9245091423278</v>
      </c>
      <c r="V79" s="11" t="n">
        <f aca="false">V51-V78+V53</f>
        <v>42.9647265878698</v>
      </c>
      <c r="W79" s="11" t="n">
        <f aca="false">W51-W78+W53</f>
        <v>46.3109138474746</v>
      </c>
      <c r="X79" s="11" t="n">
        <f aca="false">X51-X78+X53</f>
        <v>47.9718076843973</v>
      </c>
      <c r="Y79" s="11" t="n">
        <f aca="false">Y51-Y78+Y53</f>
        <v>47.8284967785752</v>
      </c>
      <c r="Z79" s="11" t="n">
        <f aca="false">Z51-Z78+Z53</f>
        <v>47.4837507404244</v>
      </c>
      <c r="AA79" s="11" t="n">
        <f aca="false">AA51-AA78+AA53</f>
        <v>47.7839604102373</v>
      </c>
      <c r="AB79" s="11" t="n">
        <f aca="false">AB51-AB78+AB53</f>
        <v>48.3337907881111</v>
      </c>
      <c r="AC79" s="11" t="n">
        <f aca="false">AC51-AC78+AC53</f>
        <v>47.138798941428</v>
      </c>
      <c r="AD79" s="11" t="n">
        <f aca="false">AD51-AD78+AD53</f>
        <v>32.8395963376893</v>
      </c>
      <c r="AE79" s="11" t="n">
        <f aca="false">AE51-AE78+AE53</f>
        <v>46.0291946867393</v>
      </c>
      <c r="AF79" s="11" t="n">
        <f aca="false">AF51-AF78+AF53</f>
        <v>48.710365747942</v>
      </c>
      <c r="AG79" s="11" t="n">
        <f aca="false">AG51-AG78+AG53</f>
        <v>48.5652379239755</v>
      </c>
      <c r="AH79" s="11" t="n">
        <f aca="false">AH51-AH78+AH53</f>
        <v>48.2140105639937</v>
      </c>
      <c r="AI79" s="11" t="n">
        <f aca="false">AI51-AI78+AI53</f>
        <v>48.5276324690605</v>
      </c>
      <c r="AJ79" s="11" t="n">
        <f aca="false">AJ51-AJ78+AJ53</f>
        <v>49.1021305561232</v>
      </c>
      <c r="AK79" s="11" t="n">
        <f aca="false">AK51-AK78+AK53</f>
        <v>48.3603121388507</v>
      </c>
      <c r="AL79" s="11" t="n">
        <f aca="false">AL51-AL78+AL53</f>
        <v>43.8336316855716</v>
      </c>
      <c r="AM79" s="11" t="n">
        <f aca="false">AM51-AM78+AM53</f>
        <v>47.7201020903104</v>
      </c>
      <c r="AN79" s="11" t="n">
        <f aca="false">AN51-AN78+AN53</f>
        <v>49.5097080927396</v>
      </c>
      <c r="AO79" s="11" t="n">
        <f aca="false">AO51-AO78+AO53</f>
        <v>49.3625362132001</v>
      </c>
      <c r="AP79" s="11" t="n">
        <f aca="false">AP51-AP78+AP53</f>
        <v>49.004259800921</v>
      </c>
      <c r="AQ79" s="11" t="n">
        <f aca="false">AQ51-AQ78+AQ53</f>
        <v>49.3324066628126</v>
      </c>
      <c r="AR79" s="11" t="n">
        <f aca="false">AR51-AR78+AR53</f>
        <v>49.9337471758019</v>
      </c>
      <c r="AS79" s="11" t="n">
        <f aca="false">AS51-AS78+AS53</f>
        <v>48.6574880335134</v>
      </c>
      <c r="AT79" s="11" t="n">
        <f aca="false">AT51-AT78+AT53</f>
        <v>31.9364582302428</v>
      </c>
      <c r="AU79" s="11" t="n">
        <f aca="false">AU51-AU78+AU53</f>
        <v>47.4824264122791</v>
      </c>
      <c r="AV79" s="11" t="n">
        <f aca="false">AV51-AV78+AV53</f>
        <v>50.3749236561374</v>
      </c>
      <c r="AW79" s="11" t="n">
        <f aca="false">AW51-AW78+AW53</f>
        <v>50.2254564379554</v>
      </c>
      <c r="AX79" s="11" t="n">
        <f aca="false">AX51-AX78+AX53</f>
        <v>49.8595124027395</v>
      </c>
      <c r="AY79" s="11" t="n">
        <f aca="false">AY51-AY78+AY53</f>
        <v>50.2033915607177</v>
      </c>
      <c r="AZ79" s="11" t="n">
        <f aca="false">AZ51-AZ78+AZ53</f>
        <v>50.8339415590235</v>
      </c>
      <c r="BA79" s="11" t="n">
        <f aca="false">BA51-BA78+BA53</f>
        <v>50.041538330416</v>
      </c>
      <c r="BB79" s="11" t="n">
        <f aca="false">BB51-BB78+BB53</f>
        <v>44.8407419904449</v>
      </c>
      <c r="BC79" s="11" t="n">
        <f aca="false">BC51-BC78+BC53</f>
        <v>49.3695373678182</v>
      </c>
      <c r="BD79" s="11" t="n">
        <f aca="false">BD51-BD78+BD53</f>
        <v>51.3115342745816</v>
      </c>
      <c r="BE79" s="11" t="n">
        <f aca="false">BE51-BE78+BE53</f>
        <v>51.1594939258385</v>
      </c>
      <c r="BF79" s="11" t="n">
        <f aca="false">BF51-BF78+BF53</f>
        <v>50.785208219945</v>
      </c>
      <c r="BG79" s="11" t="n">
        <f aca="false">BG51-BG78+BG53</f>
        <v>51.1461298595366</v>
      </c>
      <c r="BH79" s="11" t="n">
        <f aca="false">BH51-BH78+BH53</f>
        <v>51.8084657990281</v>
      </c>
      <c r="BI79" s="11" t="n">
        <f aca="false">BI51-BI78+BI53</f>
        <v>50.4356834705996</v>
      </c>
      <c r="BJ79" s="11" t="n">
        <f aca="false">BJ51-BJ78+BJ53</f>
        <v>30.8333390533898</v>
      </c>
      <c r="BK79" s="11" t="n">
        <f aca="false">BK51-BK78+BK53</f>
        <v>49.1828182329402</v>
      </c>
      <c r="BL79" s="11" t="n">
        <f aca="false">BL51-BL78+BL53</f>
        <v>52.3255320289786</v>
      </c>
      <c r="BM79" s="11" t="n">
        <f aca="false">BM51-BM78+BM53</f>
        <v>15.8909560302025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37.1833135878049</v>
      </c>
      <c r="P83" s="11" t="n">
        <f aca="false">(1-P81)*(P51/MAX(Time!P26,1)*Inputs!$F$165+P50/MAX(Time!P26,1)*P82)</f>
        <v>37.0625388460192</v>
      </c>
      <c r="Q83" s="11" t="n">
        <f aca="false">(1-Q81)*(Q51/MAX(Time!Q26,1)*Inputs!$F$165+Q50/MAX(Time!Q26,1)*Q82)</f>
        <v>37.9835957844695</v>
      </c>
      <c r="R83" s="11" t="n">
        <f aca="false">(1-R81)*(R51/MAX(Time!R26,1)*Inputs!$F$165+R50/MAX(Time!R26,1)*R82)</f>
        <v>37.2373602784342</v>
      </c>
      <c r="S83" s="11" t="n">
        <f aca="false">(1-S81)*(S51/MAX(Time!S26,1)*Inputs!$F$165+S50/MAX(Time!S26,1)*S82)</f>
        <v>38.4091952181874</v>
      </c>
      <c r="T83" s="11" t="n">
        <f aca="false">(1-T81)*(T51/MAX(Time!T26,1)*Inputs!$F$165+T50/MAX(Time!T26,1)*T82)</f>
        <v>38.1388132823843</v>
      </c>
      <c r="U83" s="11" t="n">
        <f aca="false">(1-U81)*(U51/MAX(Time!U26,1)*Inputs!$F$165+U50/MAX(Time!U26,1)*U82)</f>
        <v>38.5758181209802</v>
      </c>
      <c r="V83" s="11" t="n">
        <f aca="false">(1-V81)*(V51/MAX(Time!V26,1)*Inputs!$F$165+V50/MAX(Time!V26,1)*V82)</f>
        <v>37.3823520868855</v>
      </c>
      <c r="W83" s="11" t="n">
        <f aca="false">(1-W81)*(W51/MAX(Time!W26,1)*Inputs!$F$165+W50/MAX(Time!W26,1)*W82)</f>
        <v>38.8884651855632</v>
      </c>
      <c r="X83" s="11" t="n">
        <f aca="false">(1-X81)*(X51/MAX(Time!X26,1)*Inputs!$F$165+X50/MAX(Time!X26,1)*X82)</f>
        <v>39.2574458213936</v>
      </c>
      <c r="Y83" s="11" t="n">
        <f aca="false">(1-Y81)*(Y51/MAX(Time!Y26,1)*Inputs!$F$165+Y50/MAX(Time!Y26,1)*Y82)</f>
        <v>40.2424346553692</v>
      </c>
      <c r="Z83" s="11" t="n">
        <f aca="false">(1-Z81)*(Z51/MAX(Time!Z26,1)*Inputs!$F$165+Z50/MAX(Time!Z26,1)*Z82)</f>
        <v>39.4537816725907</v>
      </c>
      <c r="AA83" s="11" t="n">
        <f aca="false">(1-AA81)*(AA51/MAX(Time!AA26,1)*Inputs!$F$165+AA50/MAX(Time!AA26,1)*AA82)</f>
        <v>40.7047296099908</v>
      </c>
      <c r="AB83" s="11" t="n">
        <f aca="false">(1-AB81)*(AB51/MAX(Time!AB26,1)*Inputs!$F$165+AB50/MAX(Time!AB26,1)*AB82)</f>
        <v>40.4201065184815</v>
      </c>
      <c r="AC83" s="11" t="n">
        <f aca="false">(1-AC81)*(AC51/MAX(Time!AC26,1)*Inputs!$F$165+AC50/MAX(Time!AC26,1)*AC82)</f>
        <v>40.6152781710064</v>
      </c>
      <c r="AD83" s="11" t="n">
        <f aca="false">(1-AD81)*(AD51/MAX(Time!AD26,1)*Inputs!$F$165+AD50/MAX(Time!AD26,1)*AD82)</f>
        <v>38.8047539693721</v>
      </c>
      <c r="AE83" s="11" t="n">
        <f aca="false">(1-AE81)*(AE51/MAX(Time!AE26,1)*Inputs!$F$165+AE50/MAX(Time!AE26,1)*AE82)</f>
        <v>40.6692758830509</v>
      </c>
      <c r="AF83" s="11" t="n">
        <f aca="false">(1-AF81)*(AF51/MAX(Time!AF26,1)*Inputs!$F$165+AF50/MAX(Time!AF26,1)*AF82)</f>
        <v>41.6285313045817</v>
      </c>
      <c r="AG83" s="11" t="n">
        <f aca="false">(1-AG81)*(AG51/MAX(Time!AG26,1)*Inputs!$F$165+AG50/MAX(Time!AG26,1)*AG82)</f>
        <v>42.6825881129114</v>
      </c>
      <c r="AH83" s="11" t="n">
        <f aca="false">(1-AH81)*(AH51/MAX(Time!AH26,1)*Inputs!$F$165+AH50/MAX(Time!AH26,1)*AH82)</f>
        <v>41.8480803409428</v>
      </c>
      <c r="AI83" s="11" t="n">
        <f aca="false">(1-AI81)*(AI51/MAX(Time!AI26,1)*Inputs!$F$165+AI50/MAX(Time!AI26,1)*AI82)</f>
        <v>43.1845183929893</v>
      </c>
      <c r="AJ83" s="11" t="n">
        <f aca="false">(1-AJ81)*(AJ51/MAX(Time!AJ26,1)*Inputs!$F$165+AJ50/MAX(Time!AJ26,1)*AJ82)</f>
        <v>42.8845245829572</v>
      </c>
      <c r="AK83" s="11" t="n">
        <f aca="false">(1-AK81)*(AK51/MAX(Time!AK26,1)*Inputs!$F$165+AK50/MAX(Time!AK26,1)*AK82)</f>
        <v>43.3954408311499</v>
      </c>
      <c r="AL83" s="11" t="n">
        <f aca="false">(1-AL81)*(AL51/MAX(Time!AL26,1)*Inputs!$F$165+AL50/MAX(Time!AL26,1)*AL82)</f>
        <v>42.0568670617272</v>
      </c>
      <c r="AM83" s="11" t="n">
        <f aca="false">(1-AM81)*(AM51/MAX(Time!AM26,1)*Inputs!$F$165+AM50/MAX(Time!AM26,1)*AM82)</f>
        <v>43.770651417784</v>
      </c>
      <c r="AN83" s="11" t="n">
        <f aca="false">(1-AN81)*(AN51/MAX(Time!AN26,1)*Inputs!$F$165+AN50/MAX(Time!AN26,1)*AN82)</f>
        <v>44.1899619282425</v>
      </c>
      <c r="AO83" s="11" t="n">
        <f aca="false">(1-AO81)*(AO51/MAX(Time!AO26,1)*Inputs!$F$165+AO50/MAX(Time!AO26,1)*AO82)</f>
        <v>45.3186345992705</v>
      </c>
      <c r="AP83" s="11" t="n">
        <f aca="false">(1-AP81)*(AP51/MAX(Time!AP26,1)*Inputs!$F$165+AP50/MAX(Time!AP26,1)*AP82)</f>
        <v>44.4345575142211</v>
      </c>
      <c r="AQ83" s="11" t="n">
        <f aca="false">(1-AQ81)*(AQ51/MAX(Time!AQ26,1)*Inputs!$F$165+AQ50/MAX(Time!AQ26,1)*AQ82)</f>
        <v>45.863375754493</v>
      </c>
      <c r="AR83" s="11" t="n">
        <f aca="false">(1-AR81)*(AR51/MAX(Time!AR26,1)*Inputs!$F$165+AR50/MAX(Time!AR26,1)*AR82)</f>
        <v>45.5467928917132</v>
      </c>
      <c r="AS83" s="11" t="n">
        <f aca="false">(1-AS81)*(AS51/MAX(Time!AS26,1)*Inputs!$F$165+AS50/MAX(Time!AS26,1)*AS82)</f>
        <v>45.7863799221872</v>
      </c>
      <c r="AT83" s="11" t="n">
        <f aca="false">(1-AT81)*(AT51/MAX(Time!AT26,1)*Inputs!$F$165+AT50/MAX(Time!AT26,1)*AT82)</f>
        <v>43.7491318655957</v>
      </c>
      <c r="AU83" s="11" t="n">
        <f aca="false">(1-AU81)*(AU51/MAX(Time!AU26,1)*Inputs!$F$165+AU50/MAX(Time!AU26,1)*AU82)</f>
        <v>45.8707882164847</v>
      </c>
      <c r="AV83" s="11" t="n">
        <f aca="false">(1-AV81)*(AV51/MAX(Time!AV26,1)*Inputs!$F$165+AV50/MAX(Time!AV26,1)*AV82)</f>
        <v>46.9570439169539</v>
      </c>
      <c r="AW83" s="11" t="n">
        <f aca="false">(1-AW81)*(AW51/MAX(Time!AW26,1)*Inputs!$F$165+AW50/MAX(Time!AW26,1)*AW82)</f>
        <v>48.1663250684084</v>
      </c>
      <c r="AX83" s="11" t="n">
        <f aca="false">(1-AX81)*(AX51/MAX(Time!AX26,1)*Inputs!$F$165+AX50/MAX(Time!AX26,1)*AX82)</f>
        <v>47.2286646972243</v>
      </c>
      <c r="AY83" s="11" t="n">
        <f aca="false">(1-AY81)*(AY51/MAX(Time!AY26,1)*Inputs!$F$165+AY50/MAX(Time!AY26,1)*AY82)</f>
        <v>48.757307292177</v>
      </c>
      <c r="AZ83" s="11" t="n">
        <f aca="false">(1-AZ81)*(AZ51/MAX(Time!AZ26,1)*Inputs!$F$165+AZ50/MAX(Time!AZ26,1)*AZ82)</f>
        <v>48.4228213702575</v>
      </c>
      <c r="BA83" s="11" t="n">
        <f aca="false">(1-BA81)*(BA51/MAX(Time!BA26,1)*Inputs!$F$165+BA50/MAX(Time!BA26,1)*BA82)</f>
        <v>49.0197884746258</v>
      </c>
      <c r="BB83" s="11" t="n">
        <f aca="false">(1-BB81)*(BB51/MAX(Time!BB26,1)*Inputs!$F$165+BB50/MAX(Time!BB26,1)*BB82)</f>
        <v>47.5115489977079</v>
      </c>
      <c r="BC83" s="11" t="n">
        <f aca="false">(1-BC81)*(BC51/MAX(Time!BC26,1)*Inputs!$F$165+BC50/MAX(Time!BC26,1)*BC82)</f>
        <v>49.4679285195703</v>
      </c>
      <c r="BD83" s="11" t="n">
        <f aca="false">(1-BD81)*(BD51/MAX(Time!BD26,1)*Inputs!$F$165+BD50/MAX(Time!BD26,1)*BD82)</f>
        <v>49.9463146902635</v>
      </c>
      <c r="BE83" s="11" t="n">
        <f aca="false">(1-BE81)*(BE51/MAX(Time!BE26,1)*Inputs!$F$165+BE50/MAX(Time!BE26,1)*BE82)</f>
        <v>51.2426772103617</v>
      </c>
      <c r="BF83" s="11" t="n">
        <f aca="false">(1-BF81)*(BF51/MAX(Time!BF26,1)*Inputs!$F$165+BF50/MAX(Time!BF26,1)*BF82)</f>
        <v>50.2470961197645</v>
      </c>
      <c r="BG83" s="11" t="n">
        <f aca="false">(1-BG81)*(BG51/MAX(Time!BG26,1)*Inputs!$F$165+BG50/MAX(Time!BG26,1)*BG82)</f>
        <v>51.8836057513152</v>
      </c>
      <c r="BH83" s="11" t="n">
        <f aca="false">(1-BH81)*(BH51/MAX(Time!BH26,1)*Inputs!$F$165+BH50/MAX(Time!BH26,1)*BH82)</f>
        <v>51.5297996615128</v>
      </c>
      <c r="BI83" s="11" t="n">
        <f aca="false">(1-BI81)*(BI51/MAX(Time!BI26,1)*Inputs!$F$165+BI50/MAX(Time!BI26,1)*BI82)</f>
        <v>51.8208807593394</v>
      </c>
      <c r="BJ83" s="11" t="n">
        <f aca="false">(1-BJ81)*(BJ51/MAX(Time!BJ26,1)*Inputs!$F$165+BJ50/MAX(Time!BJ26,1)*BJ82)</f>
        <v>49.5184676775142</v>
      </c>
      <c r="BK83" s="11" t="n">
        <f aca="false">(1-BK81)*(BK51/MAX(Time!BK26,1)*Inputs!$F$165+BK50/MAX(Time!BK26,1)*BK82)</f>
        <v>51.9405686536093</v>
      </c>
      <c r="BL83" s="11" t="n">
        <f aca="false">(1-BL81)*(BL51/MAX(Time!BL26,1)*Inputs!$F$165+BL50/MAX(Time!BL26,1)*BL82)</f>
        <v>53.175641816784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17.9314950670019</v>
      </c>
      <c r="P85" s="11" t="n">
        <f aca="false">(1-P81)*(P68+P49)/MAX(Time!P26,1)*Inputs!$F$166</f>
        <v>17.8322524903802</v>
      </c>
      <c r="Q85" s="11" t="n">
        <f aca="false">(1-Q81)*(Q68+Q49)/MAX(Time!Q26,1)*Inputs!$F$166</f>
        <v>18.4240437004287</v>
      </c>
      <c r="R85" s="11" t="n">
        <f aca="false">(1-R81)*(R68+R49)/MAX(Time!R26,1)*Inputs!$F$166</f>
        <v>17.9959226287835</v>
      </c>
      <c r="S85" s="11" t="n">
        <f aca="false">(1-S81)*(S68+S49)/MAX(Time!S26,1)*Inputs!$F$166</f>
        <v>18.7220073569622</v>
      </c>
      <c r="T85" s="11" t="n">
        <f aca="false">(1-T81)*(T68+T49)/MAX(Time!T26,1)*Inputs!$F$166</f>
        <v>18.541353229586</v>
      </c>
      <c r="U85" s="11" t="n">
        <f aca="false">(1-U81)*(U68+U49)/MAX(Time!U26,1)*Inputs!$F$166</f>
        <v>18.8834647233229</v>
      </c>
      <c r="V85" s="11" t="n">
        <f aca="false">(1-V81)*(V68+V49)/MAX(Time!V26,1)*Inputs!$F$166</f>
        <v>18.2132891698402</v>
      </c>
      <c r="W85" s="11" t="n">
        <f aca="false">(1-W81)*(W68+W49)/MAX(Time!W26,1)*Inputs!$F$166</f>
        <v>19.1220024573555</v>
      </c>
      <c r="X85" s="11" t="n">
        <f aca="false">(1-X81)*(X68+X49)/MAX(Time!X26,1)*Inputs!$F$166</f>
        <v>19.2783662327283</v>
      </c>
      <c r="Y85" s="11" t="n">
        <f aca="false">(1-Y81)*(Y68+Y49)/MAX(Time!Y26,1)*Inputs!$F$166</f>
        <v>19.9180016382226</v>
      </c>
      <c r="Z85" s="11" t="n">
        <f aca="false">(1-Z81)*(Z68+Z49)/MAX(Time!Z26,1)*Inputs!$F$166</f>
        <v>19.4550213448392</v>
      </c>
      <c r="AA85" s="11" t="n">
        <f aca="false">(1-AA81)*(AA68+AA49)/MAX(Time!AA26,1)*Inputs!$F$166</f>
        <v>20.2398267191719</v>
      </c>
      <c r="AB85" s="11" t="n">
        <f aca="false">(1-AB81)*(AB68+AB49)/MAX(Time!AB26,1)*Inputs!$F$166</f>
        <v>20.0443782142132</v>
      </c>
      <c r="AC85" s="11" t="n">
        <f aca="false">(1-AC81)*(AC68+AC49)/MAX(Time!AC26,1)*Inputs!$F$166</f>
        <v>20.2641417242372</v>
      </c>
      <c r="AD85" s="11" t="n">
        <f aca="false">(1-AD81)*(AD68+AD49)/MAX(Time!AD26,1)*Inputs!$F$166</f>
        <v>19.2446016726338</v>
      </c>
      <c r="AE85" s="11" t="n">
        <f aca="false">(1-AE81)*(AE68+AE49)/MAX(Time!AE26,1)*Inputs!$F$166</f>
        <v>20.3641918865137</v>
      </c>
      <c r="AF85" s="11" t="n">
        <f aca="false">(1-AF81)*(AF68+AF49)/MAX(Time!AF26,1)*Inputs!$F$166</f>
        <v>20.8405176839718</v>
      </c>
      <c r="AG85" s="11" t="n">
        <f aca="false">(1-AG81)*(AG68+AG49)/MAX(Time!AG26,1)*Inputs!$F$166</f>
        <v>21.531823696648</v>
      </c>
      <c r="AH85" s="11" t="n">
        <f aca="false">(1-AH81)*(AH68+AH49)/MAX(Time!AH26,1)*Inputs!$F$166</f>
        <v>21.0311749644277</v>
      </c>
      <c r="AI85" s="11" t="n">
        <f aca="false">(1-AI81)*(AI68+AI49)/MAX(Time!AI26,1)*Inputs!$F$166</f>
        <v>21.8793989180671</v>
      </c>
      <c r="AJ85" s="11" t="n">
        <f aca="false">(1-AJ81)*(AJ68+AJ49)/MAX(Time!AJ26,1)*Inputs!$F$166</f>
        <v>21.6679565325162</v>
      </c>
      <c r="AK85" s="11" t="n">
        <f aca="false">(1-AK81)*(AK68+AK49)/MAX(Time!AK26,1)*Inputs!$F$166</f>
        <v>22.0674300735006</v>
      </c>
      <c r="AL85" s="11" t="n">
        <f aca="false">(1-AL81)*(AL68+AL49)/MAX(Time!AL26,1)*Inputs!$F$166</f>
        <v>21.2839390879668</v>
      </c>
      <c r="AM85" s="11" t="n">
        <f aca="false">(1-AM81)*(AM68+AM49)/MAX(Time!AM26,1)*Inputs!$F$166</f>
        <v>22.3455237123592</v>
      </c>
      <c r="AN85" s="11" t="n">
        <f aca="false">(1-AN81)*(AN68+AN49)/MAX(Time!AN26,1)*Inputs!$F$166</f>
        <v>22.5279116751111</v>
      </c>
      <c r="AO85" s="11" t="n">
        <f aca="false">(1-AO81)*(AO68+AO49)/MAX(Time!AO26,1)*Inputs!$F$166</f>
        <v>23.2750171331101</v>
      </c>
      <c r="AP85" s="11" t="n">
        <f aca="false">(1-AP81)*(AP68+AP49)/MAX(Time!AP26,1)*Inputs!$F$166</f>
        <v>22.7336668429468</v>
      </c>
      <c r="AQ85" s="11" t="n">
        <f aca="false">(1-AQ81)*(AQ68+AQ49)/MAX(Time!AQ26,1)*Inputs!$F$166</f>
        <v>23.6503787632279</v>
      </c>
      <c r="AR85" s="11" t="n">
        <f aca="false">(1-AR81)*(AR68+AR49)/MAX(Time!AR26,1)*Inputs!$F$166</f>
        <v>23.42164675722</v>
      </c>
      <c r="AS85" s="11" t="n">
        <f aca="false">(1-AS81)*(AS68+AS49)/MAX(Time!AS26,1)*Inputs!$F$166</f>
        <v>23.6780850618687</v>
      </c>
      <c r="AT85" s="11" t="n">
        <f aca="false">(1-AT81)*(AT68+AT49)/MAX(Time!AT26,1)*Inputs!$F$166</f>
        <v>22.4864454507983</v>
      </c>
      <c r="AU85" s="11" t="n">
        <f aca="false">(1-AU81)*(AU68+AU49)/MAX(Time!AU26,1)*Inputs!$F$166</f>
        <v>23.7942807528165</v>
      </c>
      <c r="AV85" s="11" t="n">
        <f aca="false">(1-AV81)*(AV68+AV49)/MAX(Time!AV26,1)*Inputs!$F$166</f>
        <v>24.3504739234613</v>
      </c>
      <c r="AW85" s="11" t="n">
        <f aca="false">(1-AW81)*(AW68+AW49)/MAX(Time!AW26,1)*Inputs!$F$166</f>
        <v>25.1578336772538</v>
      </c>
      <c r="AX85" s="11" t="n">
        <f aca="false">(1-AX81)*(AX68+AX49)/MAX(Time!AX26,1)*Inputs!$F$166</f>
        <v>24.5725071785103</v>
      </c>
      <c r="AY85" s="11" t="n">
        <f aca="false">(1-AY81)*(AY68+AY49)/MAX(Time!AY26,1)*Inputs!$F$166</f>
        <v>25.563176889322</v>
      </c>
      <c r="AZ85" s="11" t="n">
        <f aca="false">(1-AZ81)*(AZ68+AZ49)/MAX(Time!AZ26,1)*Inputs!$F$166</f>
        <v>25.3157556523924</v>
      </c>
      <c r="BA85" s="11" t="n">
        <f aca="false">(1-BA81)*(BA68+BA49)/MAX(Time!BA26,1)*Inputs!$F$166</f>
        <v>25.7820945156549</v>
      </c>
      <c r="BB85" s="11" t="n">
        <f aca="false">(1-BB81)*(BB68+BB49)/MAX(Time!BB26,1)*Inputs!$F$166</f>
        <v>24.8663440690343</v>
      </c>
      <c r="BC85" s="11" t="n">
        <f aca="false">(1-BC81)*(BC68+BC49)/MAX(Time!BC26,1)*Inputs!$F$166</f>
        <v>26.1062179587124</v>
      </c>
      <c r="BD85" s="11" t="n">
        <f aca="false">(1-BD81)*(BD68+BD49)/MAX(Time!BD26,1)*Inputs!$F$166</f>
        <v>26.3189066595171</v>
      </c>
      <c r="BE85" s="11" t="n">
        <f aca="false">(1-BE81)*(BE68+BE49)/MAX(Time!BE26,1)*Inputs!$F$166</f>
        <v>27.1913269688221</v>
      </c>
      <c r="BF85" s="11" t="n">
        <f aca="false">(1-BF81)*(BF68+BF49)/MAX(Time!BF26,1)*Inputs!$F$166</f>
        <v>26.5584890808395</v>
      </c>
      <c r="BG85" s="11" t="n">
        <f aca="false">(1-BG81)*(BG68+BG49)/MAX(Time!BG26,1)*Inputs!$F$166</f>
        <v>27.6290180515334</v>
      </c>
      <c r="BH85" s="11" t="n">
        <f aca="false">(1-BH81)*(BH68+BH49)/MAX(Time!BH26,1)*Inputs!$F$166</f>
        <v>27.3613958710011</v>
      </c>
      <c r="BI85" s="11" t="n">
        <f aca="false">(1-BI81)*(BI68+BI49)/MAX(Time!BI26,1)*Inputs!$F$166</f>
        <v>27.6605536656762</v>
      </c>
      <c r="BJ85" s="11" t="n">
        <f aca="false">(1-BJ81)*(BJ68+BJ49)/MAX(Time!BJ26,1)*Inputs!$F$166</f>
        <v>26.2680943886513</v>
      </c>
      <c r="BK85" s="11" t="n">
        <f aca="false">(1-BK81)*(BK68+BK49)/MAX(Time!BK26,1)*Inputs!$F$166</f>
        <v>27.795455948301</v>
      </c>
      <c r="BL85" s="11" t="n">
        <f aca="false">(1-BL81)*(BL68+BL49)/MAX(Time!BL26,1)*Inputs!$F$166</f>
        <v>28.4447484706646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2.25881377582445</v>
      </c>
      <c r="P86" s="11" t="n">
        <f aca="false">(1-P81)*(P47+P48)/MAX(Time!P26,1)*Inputs!$F$167</f>
        <v>2.25669999298102</v>
      </c>
      <c r="Q86" s="11" t="n">
        <f aca="false">(1-Q81)*(Q47+Q48)/MAX(Time!Q26,1)*Inputs!$F$167</f>
        <v>2.29553435591763</v>
      </c>
      <c r="R86" s="11" t="n">
        <f aca="false">(1-R81)*(R47+R48)/MAX(Time!R26,1)*Inputs!$F$167</f>
        <v>2.28646043872399</v>
      </c>
      <c r="S86" s="11" t="n">
        <f aca="false">(1-S81)*(S47+S48)/MAX(Time!S26,1)*Inputs!$F$167</f>
        <v>2.32848010321611</v>
      </c>
      <c r="T86" s="11" t="n">
        <f aca="false">(1-T81)*(T47+T48)/MAX(Time!T26,1)*Inputs!$F$167</f>
        <v>2.32466995415446</v>
      </c>
      <c r="U86" s="11" t="n">
        <f aca="false">(1-U81)*(U47+U48)/MAX(Time!U26,1)*Inputs!$F$167</f>
        <v>2.35893733647859</v>
      </c>
      <c r="V86" s="11" t="n">
        <f aca="false">(1-V81)*(V47+V48)/MAX(Time!V26,1)*Inputs!$F$167</f>
        <v>2.34487205167475</v>
      </c>
      <c r="W86" s="11" t="n">
        <f aca="false">(1-W81)*(W47+W48)/MAX(Time!W26,1)*Inputs!$F$167</f>
        <v>2.39141569182964</v>
      </c>
      <c r="X86" s="11" t="n">
        <f aca="false">(1-X81)*(X47+X48)/MAX(Time!X26,1)*Inputs!$F$167</f>
        <v>2.39468128415814</v>
      </c>
      <c r="Y86" s="11" t="n">
        <f aca="false">(1-Y81)*(Y47+Y48)/MAX(Time!Y26,1)*Inputs!$F$167</f>
        <v>2.43588159915437</v>
      </c>
      <c r="Z86" s="11" t="n">
        <f aca="false">(1-Z81)*(Z47+Z48)/MAX(Time!Z26,1)*Inputs!$F$167</f>
        <v>2.42625984633962</v>
      </c>
      <c r="AA86" s="11" t="n">
        <f aca="false">(1-AA81)*(AA47+AA48)/MAX(Time!AA26,1)*Inputs!$F$167</f>
        <v>2.47083705473296</v>
      </c>
      <c r="AB86" s="11" t="n">
        <f aca="false">(1-AB81)*(AB47+AB48)/MAX(Time!AB26,1)*Inputs!$F$167</f>
        <v>2.46679511426204</v>
      </c>
      <c r="AC86" s="11" t="n">
        <f aca="false">(1-AC81)*(AC47+AC48)/MAX(Time!AC26,1)*Inputs!$F$167</f>
        <v>2.50006969624193</v>
      </c>
      <c r="AD86" s="11" t="n">
        <f aca="false">(1-AD81)*(AD47+AD48)/MAX(Time!AD26,1)*Inputs!$F$167</f>
        <v>2.47908862192792</v>
      </c>
      <c r="AE86" s="11" t="n">
        <f aca="false">(1-AE81)*(AE47+AE48)/MAX(Time!AE26,1)*Inputs!$F$167</f>
        <v>2.53132016165625</v>
      </c>
      <c r="AF86" s="11" t="n">
        <f aca="false">(1-AF81)*(AF47+AF48)/MAX(Time!AF26,1)*Inputs!$F$167</f>
        <v>2.54107440092394</v>
      </c>
      <c r="AG86" s="11" t="n">
        <f aca="false">(1-AG81)*(AG47+AG48)/MAX(Time!AG26,1)*Inputs!$F$167</f>
        <v>2.58478410722407</v>
      </c>
      <c r="AH86" s="11" t="n">
        <f aca="false">(1-AH81)*(AH47+AH48)/MAX(Time!AH26,1)*Inputs!$F$167</f>
        <v>2.57458203737854</v>
      </c>
      <c r="AI86" s="11" t="n">
        <f aca="false">(1-AI81)*(AI47+AI48)/MAX(Time!AI26,1)*Inputs!$F$167</f>
        <v>2.62187156856371</v>
      </c>
      <c r="AJ86" s="11" t="n">
        <f aca="false">(1-AJ81)*(AJ47+AJ48)/MAX(Time!AJ26,1)*Inputs!$F$167</f>
        <v>2.61758398011514</v>
      </c>
      <c r="AK86" s="11" t="n">
        <f aca="false">(1-AK81)*(AK47+AK48)/MAX(Time!AK26,1)*Inputs!$F$167</f>
        <v>2.65616398254179</v>
      </c>
      <c r="AL86" s="11" t="n">
        <f aca="false">(1-AL81)*(AL47+AL48)/MAX(Time!AL26,1)*Inputs!$F$167</f>
        <v>2.64035438127485</v>
      </c>
      <c r="AM86" s="11" t="n">
        <f aca="false">(1-AM81)*(AM47+AM48)/MAX(Time!AM26,1)*Inputs!$F$167</f>
        <v>2.69272836509633</v>
      </c>
      <c r="AN86" s="11" t="n">
        <f aca="false">(1-AN81)*(AN47+AN48)/MAX(Time!AN26,1)*Inputs!$F$167</f>
        <v>2.69639062325801</v>
      </c>
      <c r="AO86" s="11" t="n">
        <f aca="false">(1-AO81)*(AO47+AO48)/MAX(Time!AO26,1)*Inputs!$F$167</f>
        <v>2.74276181226262</v>
      </c>
      <c r="AP86" s="11" t="n">
        <f aca="false">(1-AP81)*(AP47+AP48)/MAX(Time!AP26,1)*Inputs!$F$167</f>
        <v>2.73194505640226</v>
      </c>
      <c r="AQ86" s="11" t="n">
        <f aca="false">(1-AQ81)*(AQ47+AQ48)/MAX(Time!AQ26,1)*Inputs!$F$167</f>
        <v>2.78211100064736</v>
      </c>
      <c r="AR86" s="11" t="n">
        <f aca="false">(1-AR81)*(AR47+AR48)/MAX(Time!AR26,1)*Inputs!$F$167</f>
        <v>2.77756309482295</v>
      </c>
      <c r="AS86" s="11" t="n">
        <f aca="false">(1-AS81)*(AS47+AS48)/MAX(Time!AS26,1)*Inputs!$F$167</f>
        <v>2.81503208898584</v>
      </c>
      <c r="AT86" s="11" t="n">
        <f aca="false">(1-AT81)*(AT47+AT48)/MAX(Time!AT26,1)*Inputs!$F$167</f>
        <v>2.79145472078824</v>
      </c>
      <c r="AU86" s="11" t="n">
        <f aca="false">(1-AU81)*(AU47+AU48)/MAX(Time!AU26,1)*Inputs!$F$167</f>
        <v>2.85022151073356</v>
      </c>
      <c r="AV86" s="11" t="n">
        <f aca="false">(1-AV81)*(AV47+AV48)/MAX(Time!AV26,1)*Inputs!$F$167</f>
        <v>2.86117221163375</v>
      </c>
      <c r="AW86" s="11" t="n">
        <f aca="false">(1-AW81)*(AW47+AW48)/MAX(Time!AW26,1)*Inputs!$F$167</f>
        <v>2.91036614601106</v>
      </c>
      <c r="AX86" s="11" t="n">
        <f aca="false">(1-AX81)*(AX47+AX48)/MAX(Time!AX26,1)*Inputs!$F$167</f>
        <v>2.89889834043257</v>
      </c>
      <c r="AY86" s="11" t="n">
        <f aca="false">(1-AY81)*(AY47+AY48)/MAX(Time!AY26,1)*Inputs!$F$167</f>
        <v>2.95211465602303</v>
      </c>
      <c r="AZ86" s="11" t="n">
        <f aca="false">(1-AZ81)*(AZ47+AZ48)/MAX(Time!AZ26,1)*Inputs!$F$167</f>
        <v>2.94729090393196</v>
      </c>
      <c r="BA86" s="11" t="n">
        <f aca="false">(1-BA81)*(BA47+BA48)/MAX(Time!BA26,1)*Inputs!$F$167</f>
        <v>2.99072470655394</v>
      </c>
      <c r="BB86" s="11" t="n">
        <f aca="false">(1-BB81)*(BB47+BB48)/MAX(Time!BB26,1)*Inputs!$F$167</f>
        <v>2.97295865100225</v>
      </c>
      <c r="BC86" s="11" t="n">
        <f aca="false">(1-BC81)*(BC47+BC48)/MAX(Time!BC26,1)*Inputs!$F$167</f>
        <v>3.03188822889557</v>
      </c>
      <c r="BD86" s="11" t="n">
        <f aca="false">(1-BD81)*(BD47+BD48)/MAX(Time!BD26,1)*Inputs!$F$167</f>
        <v>3.0359942782522</v>
      </c>
      <c r="BE86" s="11" t="n">
        <f aca="false">(1-BE81)*(BE47+BE48)/MAX(Time!BE26,1)*Inputs!$F$167</f>
        <v>3.08818194201772</v>
      </c>
      <c r="BF86" s="11" t="n">
        <f aca="false">(1-BF81)*(BF47+BF48)/MAX(Time!BF26,1)*Inputs!$F$167</f>
        <v>3.07602461524701</v>
      </c>
      <c r="BG86" s="11" t="n">
        <f aca="false">(1-BG81)*(BG47+BG48)/MAX(Time!BG26,1)*Inputs!$F$167</f>
        <v>3.13247571817571</v>
      </c>
      <c r="BH86" s="11" t="n">
        <f aca="false">(1-BH81)*(BH47+BH48)/MAX(Time!BH26,1)*Inputs!$F$167</f>
        <v>3.12735968216193</v>
      </c>
      <c r="BI86" s="11" t="n">
        <f aca="false">(1-BI81)*(BI47+BI48)/MAX(Time!BI26,1)*Inputs!$F$167</f>
        <v>3.16955105737125</v>
      </c>
      <c r="BJ86" s="11" t="n">
        <f aca="false">(1-BJ81)*(BJ47+BJ48)/MAX(Time!BJ26,1)*Inputs!$F$167</f>
        <v>3.14306240514282</v>
      </c>
      <c r="BK86" s="11" t="n">
        <f aca="false">(1-BK81)*(BK47+BK48)/MAX(Time!BK26,1)*Inputs!$F$167</f>
        <v>3.20917587247391</v>
      </c>
      <c r="BL86" s="11" t="n">
        <f aca="false">(1-BL81)*(BL47+BL48)/MAX(Time!BL26,1)*Inputs!$F$167</f>
        <v>3.22146677092084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1.62388863729243</v>
      </c>
      <c r="P87" s="11" t="n">
        <f aca="false">(1-P81)*(P55+P56+P57+P59)/MAX(Time!P26,1)*Inputs!$F$168</f>
        <v>1.63273219922795</v>
      </c>
      <c r="Q87" s="11" t="n">
        <f aca="false">(1-Q81)*(Q55+Q56+Q57+Q59)/MAX(Time!Q26,1)*Inputs!$F$168</f>
        <v>1.67779585503551</v>
      </c>
      <c r="R87" s="11" t="n">
        <f aca="false">(1-R81)*(R55+R56+R57+R59)/MAX(Time!R26,1)*Inputs!$F$168</f>
        <v>1.66818206229577</v>
      </c>
      <c r="S87" s="11" t="n">
        <f aca="false">(1-S81)*(S55+S56+S57+S59)/MAX(Time!S26,1)*Inputs!$F$168</f>
        <v>1.71454627741953</v>
      </c>
      <c r="T87" s="11" t="n">
        <f aca="false">(1-T81)*(T55+T56+T57+T59)/MAX(Time!T26,1)*Inputs!$F$168</f>
        <v>1.7053626583784</v>
      </c>
      <c r="U87" s="11" t="n">
        <f aca="false">(1-U81)*(U55+U56+U57+U59)/MAX(Time!U26,1)*Inputs!$F$168</f>
        <v>1.74238166862204</v>
      </c>
      <c r="V87" s="11" t="n">
        <f aca="false">(1-V81)*(V55+V56+V57+V59)/MAX(Time!V26,1)*Inputs!$F$168</f>
        <v>1.74108994337421</v>
      </c>
      <c r="W87" s="11" t="n">
        <f aca="false">(1-W81)*(W55+W56+W57+W59)/MAX(Time!W26,1)*Inputs!$F$168</f>
        <v>1.7899389992457</v>
      </c>
      <c r="X87" s="11" t="n">
        <f aca="false">(1-X81)*(X55+X56+X57+X59)/MAX(Time!X26,1)*Inputs!$F$168</f>
        <v>1.78122401087371</v>
      </c>
      <c r="Y87" s="11" t="n">
        <f aca="false">(1-Y81)*(Y55+Y56+Y57+Y59)/MAX(Time!Y26,1)*Inputs!$F$168</f>
        <v>1.83038606315646</v>
      </c>
      <c r="Z87" s="11" t="n">
        <f aca="false">(1-Z81)*(Z55+Z56+Z57+Z59)/MAX(Time!Z26,1)*Inputs!$F$168</f>
        <v>1.81989792647876</v>
      </c>
      <c r="AA87" s="11" t="n">
        <f aca="false">(1-AA81)*(AA55+AA56+AA57+AA59)/MAX(Time!AA26,1)*Inputs!$F$168</f>
        <v>1.87047881981987</v>
      </c>
      <c r="AB87" s="11" t="n">
        <f aca="false">(1-AB81)*(AB55+AB56+AB57+AB59)/MAX(Time!AB26,1)*Inputs!$F$168</f>
        <v>1.86045997977341</v>
      </c>
      <c r="AC87" s="11" t="n">
        <f aca="false">(1-AC81)*(AC55+AC56+AC57+AC59)/MAX(Time!AC26,1)*Inputs!$F$168</f>
        <v>1.90046101471067</v>
      </c>
      <c r="AD87" s="11" t="n">
        <f aca="false">(1-AD81)*(AD55+AD56+AD57+AD59)/MAX(Time!AD26,1)*Inputs!$F$168</f>
        <v>1.89820993462379</v>
      </c>
      <c r="AE87" s="11" t="n">
        <f aca="false">(1-AE81)*(AE55+AE56+AE57+AE59)/MAX(Time!AE26,1)*Inputs!$F$168</f>
        <v>1.95191327894819</v>
      </c>
      <c r="AF87" s="11" t="n">
        <f aca="false">(1-AF81)*(AF55+AF56+AF57+AF59)/MAX(Time!AF26,1)*Inputs!$F$168</f>
        <v>1.94322068151365</v>
      </c>
      <c r="AG87" s="11" t="n">
        <f aca="false">(1-AG81)*(AG55+AG56+AG57+AG59)/MAX(Time!AG26,1)*Inputs!$F$168</f>
        <v>1.99685386642376</v>
      </c>
      <c r="AH87" s="11" t="n">
        <f aca="false">(1-AH81)*(AH55+AH56+AH57+AH59)/MAX(Time!AH26,1)*Inputs!$F$168</f>
        <v>1.98541186700187</v>
      </c>
      <c r="AI87" s="11" t="n">
        <f aca="false">(1-AI81)*(AI55+AI56+AI57+AI59)/MAX(Time!AI26,1)*Inputs!$F$168</f>
        <v>2.04059293206156</v>
      </c>
      <c r="AJ87" s="11" t="n">
        <f aca="false">(1-AJ81)*(AJ55+AJ56+AJ57+AJ59)/MAX(Time!AJ26,1)*Inputs!$F$168</f>
        <v>2.02966291031011</v>
      </c>
      <c r="AK87" s="11" t="n">
        <f aca="false">(1-AK81)*(AK55+AK56+AK57+AK59)/MAX(Time!AK26,1)*Inputs!$F$168</f>
        <v>2.07372163981187</v>
      </c>
      <c r="AL87" s="11" t="n">
        <f aca="false">(1-AL81)*(AL55+AL56+AL57+AL59)/MAX(Time!AL26,1)*Inputs!$F$168</f>
        <v>2.07218427366107</v>
      </c>
      <c r="AM87" s="11" t="n">
        <f aca="false">(1-AM81)*(AM55+AM56+AM57+AM59)/MAX(Time!AM26,1)*Inputs!$F$168</f>
        <v>2.1303227091539</v>
      </c>
      <c r="AN87" s="11" t="n">
        <f aca="false">(1-AN81)*(AN55+AN56+AN57+AN59)/MAX(Time!AN26,1)*Inputs!$F$168</f>
        <v>2.11995043521234</v>
      </c>
      <c r="AO87" s="11" t="n">
        <f aca="false">(1-AO81)*(AO55+AO56+AO57+AO59)/MAX(Time!AO26,1)*Inputs!$F$168</f>
        <v>2.17846138807202</v>
      </c>
      <c r="AP87" s="11" t="n">
        <f aca="false">(1-AP81)*(AP55+AP56+AP57+AP59)/MAX(Time!AP26,1)*Inputs!$F$168</f>
        <v>2.16597877511669</v>
      </c>
      <c r="AQ87" s="11" t="n">
        <f aca="false">(1-AQ81)*(AQ55+AQ56+AQ57+AQ59)/MAX(Time!AQ26,1)*Inputs!$F$168</f>
        <v>2.22617838291298</v>
      </c>
      <c r="AR87" s="11" t="n">
        <f aca="false">(1-AR81)*(AR55+AR56+AR57+AR59)/MAX(Time!AR26,1)*Inputs!$F$168</f>
        <v>2.21425431037233</v>
      </c>
      <c r="AS87" s="11" t="n">
        <f aca="false">(1-AS81)*(AS55+AS56+AS57+AS59)/MAX(Time!AS26,1)*Inputs!$F$168</f>
        <v>2.26186214122713</v>
      </c>
      <c r="AT87" s="11" t="n">
        <f aca="false">(1-AT81)*(AT55+AT56+AT57+AT59)/MAX(Time!AT26,1)*Inputs!$F$168</f>
        <v>2.25918298454569</v>
      </c>
      <c r="AU87" s="11" t="n">
        <f aca="false">(1-AU81)*(AU55+AU56+AU57+AU59)/MAX(Time!AU26,1)*Inputs!$F$168</f>
        <v>2.32309882414691</v>
      </c>
      <c r="AV87" s="11" t="n">
        <f aca="false">(1-AV81)*(AV55+AV56+AV57+AV59)/MAX(Time!AV26,1)*Inputs!$F$168</f>
        <v>2.31275319911493</v>
      </c>
      <c r="AW87" s="11" t="n">
        <f aca="false">(1-AW81)*(AW55+AW56+AW57+AW59)/MAX(Time!AW26,1)*Inputs!$F$168</f>
        <v>2.37658553743841</v>
      </c>
      <c r="AX87" s="11" t="n">
        <f aca="false">(1-AX81)*(AX55+AX56+AX57+AX59)/MAX(Time!AX26,1)*Inputs!$F$168</f>
        <v>2.36296767045141</v>
      </c>
      <c r="AY87" s="11" t="n">
        <f aca="false">(1-AY81)*(AY55+AY56+AY57+AY59)/MAX(Time!AY26,1)*Inputs!$F$168</f>
        <v>2.42864224151863</v>
      </c>
      <c r="AZ87" s="11" t="n">
        <f aca="false">(1-AZ81)*(AZ55+AZ56+AZ57+AZ59)/MAX(Time!AZ26,1)*Inputs!$F$168</f>
        <v>2.41563371242435</v>
      </c>
      <c r="BA87" s="11" t="n">
        <f aca="false">(1-BA81)*(BA55+BA56+BA57+BA59)/MAX(Time!BA26,1)*Inputs!$F$168</f>
        <v>2.46807086924011</v>
      </c>
      <c r="BB87" s="11" t="n">
        <f aca="false">(1-BB81)*(BB55+BB56+BB57+BB59)/MAX(Time!BB26,1)*Inputs!$F$168</f>
        <v>2.46624114988949</v>
      </c>
      <c r="BC87" s="11" t="n">
        <f aca="false">(1-BC81)*(BC55+BC56+BC57+BC59)/MAX(Time!BC26,1)*Inputs!$F$168</f>
        <v>2.53543547967238</v>
      </c>
      <c r="BD87" s="11" t="n">
        <f aca="false">(1-BD81)*(BD55+BD56+BD57+BD59)/MAX(Time!BD26,1)*Inputs!$F$168</f>
        <v>2.52309076248784</v>
      </c>
      <c r="BE87" s="11" t="n">
        <f aca="false">(1-BE81)*(BE55+BE56+BE57+BE59)/MAX(Time!BE26,1)*Inputs!$F$168</f>
        <v>2.59272844939434</v>
      </c>
      <c r="BF87" s="11" t="n">
        <f aca="false">(1-BF81)*(BF55+BF56+BF57+BF59)/MAX(Time!BF26,1)*Inputs!$F$168</f>
        <v>2.5778720806245</v>
      </c>
      <c r="BG87" s="11" t="n">
        <f aca="false">(1-BG81)*(BG55+BG56+BG57+BG59)/MAX(Time!BG26,1)*Inputs!$F$168</f>
        <v>2.649519545496</v>
      </c>
      <c r="BH87" s="11" t="n">
        <f aca="false">(1-BH81)*(BH55+BH56+BH57+BH59)/MAX(Time!BH26,1)*Inputs!$F$168</f>
        <v>2.63532793196635</v>
      </c>
      <c r="BI87" s="11" t="n">
        <f aca="false">(1-BI81)*(BI55+BI56+BI57+BI59)/MAX(Time!BI26,1)*Inputs!$F$168</f>
        <v>2.69198910491486</v>
      </c>
      <c r="BJ87" s="11" t="n">
        <f aca="false">(1-BJ81)*(BJ55+BJ56+BJ57+BJ59)/MAX(Time!BJ26,1)*Inputs!$F$168</f>
        <v>2.68880046646279</v>
      </c>
      <c r="BK87" s="11" t="n">
        <f aca="false">(1-BK81)*(BK55+BK56+BK57+BK59)/MAX(Time!BK26,1)*Inputs!$F$168</f>
        <v>2.76487086027761</v>
      </c>
      <c r="BL87" s="11" t="n">
        <f aca="false">(1-BL81)*(BL55+BL56+BL57+BL59)/MAX(Time!BL26,1)*Inputs!$F$168</f>
        <v>2.75255785969194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1.21497791673297</v>
      </c>
      <c r="P88" s="11" t="n">
        <f aca="false">(1-P81)*(P60+P61+P62+P63+P64+P65+P66)/MAX(Time!P26,1)*Inputs!$F$169</f>
        <v>1.22053966032542</v>
      </c>
      <c r="Q88" s="11" t="n">
        <f aca="false">(1-Q81)*(Q60+Q61+Q62+Q63+Q64+Q65+Q66)/MAX(Time!Q26,1)*Inputs!$F$169</f>
        <v>1.25184448671667</v>
      </c>
      <c r="R88" s="11" t="n">
        <f aca="false">(1-R81)*(R60+R61+R62+R63+R64+R65+R66)/MAX(Time!R26,1)*Inputs!$F$169</f>
        <v>1.24110349190154</v>
      </c>
      <c r="S88" s="11" t="n">
        <f aca="false">(1-S81)*(S60+S61+S62+S63+S64+S65+S66)/MAX(Time!S26,1)*Inputs!$F$169</f>
        <v>1.27568570036401</v>
      </c>
      <c r="T88" s="11" t="n">
        <f aca="false">(1-T81)*(T60+T61+T62+T63+T64+T65+T66)/MAX(Time!T26,1)*Inputs!$F$169</f>
        <v>1.27018385513369</v>
      </c>
      <c r="U88" s="11" t="n">
        <f aca="false">(1-U81)*(U60+U61+U62+U63+U64+U65+U66)/MAX(Time!U26,1)*Inputs!$F$169</f>
        <v>1.29210739405273</v>
      </c>
      <c r="V88" s="11" t="n">
        <f aca="false">(1-V81)*(V60+V61+V62+V63+V64+V65+V66)/MAX(Time!V26,1)*Inputs!$F$169</f>
        <v>1.28107582603581</v>
      </c>
      <c r="W88" s="11" t="n">
        <f aca="false">(1-W81)*(W60+W61+W62+W63+W64+W65+W66)/MAX(Time!W26,1)*Inputs!$F$169</f>
        <v>1.32044505356276</v>
      </c>
      <c r="X88" s="11" t="n">
        <f aca="false">(1-X81)*(X60+X61+X62+X63+X64+X65+X66)/MAX(Time!X26,1)*Inputs!$F$169</f>
        <v>1.32199071408606</v>
      </c>
      <c r="Y88" s="11" t="n">
        <f aca="false">(1-Y81)*(Y60+Y61+Y62+Y63+Y64+Y65+Y66)/MAX(Time!Y26,1)*Inputs!$F$169</f>
        <v>1.35597919245034</v>
      </c>
      <c r="Z88" s="11" t="n">
        <f aca="false">(1-Z81)*(Z60+Z61+Z62+Z63+Z64+Z65+Z66)/MAX(Time!Z26,1)*Inputs!$F$169</f>
        <v>1.34443323075837</v>
      </c>
      <c r="AA88" s="11" t="n">
        <f aca="false">(1-AA81)*(AA60+AA61+AA62+AA63+AA64+AA65+AA66)/MAX(Time!AA26,1)*Inputs!$F$169</f>
        <v>1.38195928116558</v>
      </c>
      <c r="AB88" s="11" t="n">
        <f aca="false">(1-AB81)*(AB60+AB61+AB62+AB63+AB64+AB65+AB66)/MAX(Time!AB26,1)*Inputs!$F$169</f>
        <v>1.37605440784995</v>
      </c>
      <c r="AC88" s="11" t="n">
        <f aca="false">(1-AC81)*(AC60+AC61+AC62+AC63+AC64+AC65+AC66)/MAX(Time!AC26,1)*Inputs!$F$169</f>
        <v>1.39676189325155</v>
      </c>
      <c r="AD88" s="11" t="n">
        <f aca="false">(1-AD81)*(AD60+AD61+AD62+AD63+AD64+AD65+AD66)/MAX(Time!AD26,1)*Inputs!$F$169</f>
        <v>1.37866412686421</v>
      </c>
      <c r="AE88" s="11" t="n">
        <f aca="false">(1-AE81)*(AE60+AE61+AE62+AE63+AE64+AE65+AE66)/MAX(Time!AE26,1)*Inputs!$F$169</f>
        <v>1.42434093313392</v>
      </c>
      <c r="AF88" s="11" t="n">
        <f aca="false">(1-AF81)*(AF60+AF61+AF62+AF63+AF64+AF65+AF66)/MAX(Time!AF26,1)*Inputs!$F$169</f>
        <v>1.43247320573215</v>
      </c>
      <c r="AG88" s="11" t="n">
        <f aca="false">(1-AG81)*(AG60+AG61+AG62+AG63+AG64+AG65+AG66)/MAX(Time!AG26,1)*Inputs!$F$169</f>
        <v>1.46938468846922</v>
      </c>
      <c r="AH88" s="11" t="n">
        <f aca="false">(1-AH81)*(AH60+AH61+AH62+AH63+AH64+AH65+AH66)/MAX(Time!AH26,1)*Inputs!$F$169</f>
        <v>1.45696303003651</v>
      </c>
      <c r="AI88" s="11" t="n">
        <f aca="false">(1-AI81)*(AI60+AI61+AI62+AI63+AI64+AI65+AI66)/MAX(Time!AI26,1)*Inputs!$F$169</f>
        <v>1.49769448225942</v>
      </c>
      <c r="AJ88" s="11" t="n">
        <f aca="false">(1-AJ81)*(AJ60+AJ61+AJ62+AJ63+AJ64+AJ65+AJ66)/MAX(Time!AJ26,1)*Inputs!$F$169</f>
        <v>1.49134965397912</v>
      </c>
      <c r="AK88" s="11" t="n">
        <f aca="false">(1-AK81)*(AK60+AK61+AK62+AK63+AK64+AK65+AK66)/MAX(Time!AK26,1)*Inputs!$F$169</f>
        <v>1.51730819319169</v>
      </c>
      <c r="AL88" s="11" t="n">
        <f aca="false">(1-AL81)*(AL60+AL61+AL62+AL63+AL64+AL65+AL66)/MAX(Time!AL26,1)*Inputs!$F$169</f>
        <v>1.50463443743328</v>
      </c>
      <c r="AM88" s="11" t="n">
        <f aca="false">(1-AM81)*(AM60+AM61+AM62+AM63+AM64+AM65+AM66)/MAX(Time!AM26,1)*Inputs!$F$169</f>
        <v>1.55095820979372</v>
      </c>
      <c r="AN88" s="11" t="n">
        <f aca="false">(1-AN81)*(AN60+AN61+AN62+AN63+AN64+AN65+AN66)/MAX(Time!AN26,1)*Inputs!$F$169</f>
        <v>1.55279076182995</v>
      </c>
      <c r="AO88" s="11" t="n">
        <f aca="false">(1-AO81)*(AO60+AO61+AO62+AO63+AO64+AO65+AO66)/MAX(Time!AO26,1)*Inputs!$F$169</f>
        <v>1.59288594066359</v>
      </c>
      <c r="AP88" s="11" t="n">
        <f aca="false">(1-AP81)*(AP60+AP61+AP62+AP63+AP64+AP65+AP66)/MAX(Time!AP26,1)*Inputs!$F$169</f>
        <v>1.57951164845579</v>
      </c>
      <c r="AQ88" s="11" t="n">
        <f aca="false">(1-AQ81)*(AQ60+AQ61+AQ62+AQ63+AQ64+AQ65+AQ66)/MAX(Time!AQ26,1)*Inputs!$F$169</f>
        <v>1.62373328897156</v>
      </c>
      <c r="AR88" s="11" t="n">
        <f aca="false">(1-AR81)*(AR60+AR61+AR62+AR63+AR64+AR65+AR66)/MAX(Time!AR26,1)*Inputs!$F$169</f>
        <v>1.61690819565862</v>
      </c>
      <c r="AS88" s="11" t="n">
        <f aca="false">(1-AS81)*(AS60+AS61+AS62+AS63+AS64+AS65+AS66)/MAX(Time!AS26,1)*Inputs!$F$169</f>
        <v>1.64150394953007</v>
      </c>
      <c r="AT88" s="11" t="n">
        <f aca="false">(1-AT81)*(AT60+AT61+AT62+AT63+AT64+AT65+AT66)/MAX(Time!AT26,1)*Inputs!$F$169</f>
        <v>1.62060731959477</v>
      </c>
      <c r="AU88" s="11" t="n">
        <f aca="false">(1-AU81)*(AU60+AU61+AU62+AU63+AU64+AU65+AU66)/MAX(Time!AU26,1)*Inputs!$F$169</f>
        <v>1.67433588011546</v>
      </c>
      <c r="AV88" s="11" t="n">
        <f aca="false">(1-AV81)*(AV60+AV61+AV62+AV63+AV64+AV65+AV66)/MAX(Time!AV26,1)*Inputs!$F$169</f>
        <v>1.68381848155731</v>
      </c>
      <c r="AW88" s="11" t="n">
        <f aca="false">(1-AW81)*(AW60+AW61+AW62+AW63+AW64+AW65+AW66)/MAX(Time!AW26,1)*Inputs!$F$169</f>
        <v>1.72738128926137</v>
      </c>
      <c r="AX88" s="11" t="n">
        <f aca="false">(1-AX81)*(AX60+AX61+AX62+AX63+AX64+AX65+AX66)/MAX(Time!AX26,1)*Inputs!$F$169</f>
        <v>1.71297067505843</v>
      </c>
      <c r="AY88" s="11" t="n">
        <f aca="false">(1-AY81)*(AY60+AY61+AY62+AY63+AY64+AY65+AY66)/MAX(Time!AY26,1)*Inputs!$F$169</f>
        <v>1.76099257827592</v>
      </c>
      <c r="AZ88" s="11" t="n">
        <f aca="false">(1-AZ81)*(AZ60+AZ61+AZ62+AZ63+AZ64+AZ65+AZ66)/MAX(Time!AZ26,1)*Inputs!$F$169</f>
        <v>1.75364321672746</v>
      </c>
      <c r="BA88" s="11" t="n">
        <f aca="false">(1-BA81)*(BA60+BA61+BA62+BA63+BA64+BA65+BA66)/MAX(Time!BA26,1)*Inputs!$F$169</f>
        <v>1.7843951775539</v>
      </c>
      <c r="BB88" s="11" t="n">
        <f aca="false">(1-BB81)*(BB60+BB61+BB62+BB63+BB64+BB65+BB66)/MAX(Time!BB26,1)*Inputs!$F$169</f>
        <v>1.76979022467563</v>
      </c>
      <c r="BC88" s="11" t="n">
        <f aca="false">(1-BC81)*(BC60+BC61+BC62+BC63+BC64+BC65+BC66)/MAX(Time!BC26,1)*Inputs!$F$169</f>
        <v>1.82435374986098</v>
      </c>
      <c r="BD88" s="11" t="n">
        <f aca="false">(1-BD81)*(BD60+BD61+BD62+BD63+BD64+BD65+BD66)/MAX(Time!BD26,1)*Inputs!$F$169</f>
        <v>1.82650929006132</v>
      </c>
      <c r="BE88" s="11" t="n">
        <f aca="false">(1-BE81)*(BE60+BE61+BE62+BE63+BE64+BE65+BE66)/MAX(Time!BE26,1)*Inputs!$F$169</f>
        <v>1.87384897159319</v>
      </c>
      <c r="BF88" s="11" t="n">
        <f aca="false">(1-BF81)*(BF60+BF61+BF62+BF63+BF64+BF65+BF66)/MAX(Time!BF26,1)*Inputs!$F$169</f>
        <v>1.85831100436283</v>
      </c>
      <c r="BG88" s="11" t="n">
        <f aca="false">(1-BG81)*(BG60+BG61+BG62+BG63+BG64+BG65+BG66)/MAX(Time!BG26,1)*Inputs!$F$169</f>
        <v>1.91047077677524</v>
      </c>
      <c r="BH88" s="11" t="n">
        <f aca="false">(1-BH81)*(BH60+BH61+BH62+BH63+BH64+BH65+BH66)/MAX(Time!BH26,1)*Inputs!$F$169</f>
        <v>1.90254911231337</v>
      </c>
      <c r="BI88" s="11" t="n">
        <f aca="false">(1-BI81)*(BI60+BI61+BI62+BI63+BI64+BI65+BI66)/MAX(Time!BI26,1)*Inputs!$F$169</f>
        <v>1.93177036837226</v>
      </c>
      <c r="BJ88" s="11" t="n">
        <f aca="false">(1-BJ81)*(BJ60+BJ61+BJ62+BJ63+BJ64+BJ65+BJ66)/MAX(Time!BJ26,1)*Inputs!$F$169</f>
        <v>1.90758307132095</v>
      </c>
      <c r="BK88" s="11" t="n">
        <f aca="false">(1-BK81)*(BK60+BK61+BK62+BK63+BK64+BK65+BK66)/MAX(Time!BK26,1)*Inputs!$F$169</f>
        <v>1.97084674488566</v>
      </c>
      <c r="BL88" s="11" t="n">
        <f aca="false">(1-BL81)*(BL60+BL61+BL62+BL63+BL64+BL65+BL66)/MAX(Time!BL26,1)*Inputs!$F$169</f>
        <v>1.98190085627827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14.1541381909532</v>
      </c>
      <c r="P90" s="11" t="n">
        <f aca="false">P83+P84-P85-P86-P87-P88-P89</f>
        <v>14.1203145031047</v>
      </c>
      <c r="Q90" s="11" t="n">
        <f aca="false">Q83+Q84-Q85-Q86-Q87-Q88-Q89</f>
        <v>14.334377386371</v>
      </c>
      <c r="R90" s="11" t="n">
        <f aca="false">R83+R84-R85-R86-R87-R88-R89</f>
        <v>14.0456916567294</v>
      </c>
      <c r="S90" s="11" t="n">
        <f aca="false">S83+S84-S85-S86-S87-S88-S89</f>
        <v>14.3684757802256</v>
      </c>
      <c r="T90" s="11" t="n">
        <f aca="false">T83+T84-T85-T86-T87-T88-T89</f>
        <v>14.2972435851317</v>
      </c>
      <c r="U90" s="11" t="n">
        <f aca="false">U83+U84-U85-U86-U87-U88-U89</f>
        <v>14.2989269985039</v>
      </c>
      <c r="V90" s="11" t="n">
        <f aca="false">V83+V84-V85-V86-V87-V88-V89</f>
        <v>13.8020250959606</v>
      </c>
      <c r="W90" s="11" t="n">
        <f aca="false">W83+W84-W85-W86-W87-W88-W89</f>
        <v>14.2646629835696</v>
      </c>
      <c r="X90" s="11" t="n">
        <f aca="false">X83+X84-X85-X86-X87-X88-X89</f>
        <v>14.4811835795474</v>
      </c>
      <c r="Y90" s="11" t="n">
        <f aca="false">Y83+Y84-Y85-Y86-Y87-Y88-Y89</f>
        <v>14.7021861623855</v>
      </c>
      <c r="Z90" s="11" t="n">
        <f aca="false">Z83+Z84-Z85-Z86-Z87-Z88-Z89</f>
        <v>14.4081693241748</v>
      </c>
      <c r="AA90" s="11" t="n">
        <f aca="false">AA83+AA84-AA85-AA86-AA87-AA88-AA89</f>
        <v>14.7416277351005</v>
      </c>
      <c r="AB90" s="11" t="n">
        <f aca="false">AB83+AB84-AB85-AB86-AB87-AB88-AB89</f>
        <v>14.6724188023829</v>
      </c>
      <c r="AC90" s="11" t="n">
        <f aca="false">AC83+AC84-AC85-AC86-AC87-AC88-AC89</f>
        <v>14.553843842565</v>
      </c>
      <c r="AD90" s="11" t="n">
        <f aca="false">AD83+AD84-AD85-AD86-AD87-AD88-AD89</f>
        <v>13.8041896133224</v>
      </c>
      <c r="AE90" s="11" t="n">
        <f aca="false">AE83+AE84-AE85-AE86-AE87-AE88-AE89</f>
        <v>14.3975096227988</v>
      </c>
      <c r="AF90" s="11" t="n">
        <f aca="false">AF83+AF84-AF85-AF86-AF87-AF88-AF89</f>
        <v>14.8712453324402</v>
      </c>
      <c r="AG90" s="11" t="n">
        <f aca="false">AG83+AG84-AG85-AG86-AG87-AG88-AG89</f>
        <v>15.0997417541463</v>
      </c>
      <c r="AH90" s="11" t="n">
        <f aca="false">AH83+AH84-AH85-AH86-AH87-AH88-AH89</f>
        <v>14.7999484420982</v>
      </c>
      <c r="AI90" s="11" t="n">
        <f aca="false">AI83+AI84-AI85-AI86-AI87-AI88-AI89</f>
        <v>15.1449604920375</v>
      </c>
      <c r="AJ90" s="11" t="n">
        <f aca="false">AJ83+AJ84-AJ85-AJ86-AJ87-AJ88-AJ89</f>
        <v>15.0779715060367</v>
      </c>
      <c r="AK90" s="11" t="n">
        <f aca="false">AK83+AK84-AK85-AK86-AK87-AK88-AK89</f>
        <v>15.0808169421039</v>
      </c>
      <c r="AL90" s="11" t="n">
        <f aca="false">AL83+AL84-AL85-AL86-AL87-AL88-AL89</f>
        <v>14.5557548813912</v>
      </c>
      <c r="AM90" s="11" t="n">
        <f aca="false">AM83+AM84-AM85-AM86-AM87-AM88-AM89</f>
        <v>15.0511184213809</v>
      </c>
      <c r="AN90" s="11" t="n">
        <f aca="false">AN83+AN84-AN85-AN86-AN87-AN88-AN89</f>
        <v>15.292918432831</v>
      </c>
      <c r="AO90" s="11" t="n">
        <f aca="false">AO83+AO84-AO85-AO86-AO87-AO88-AO89</f>
        <v>15.5295083251621</v>
      </c>
      <c r="AP90" s="11" t="n">
        <f aca="false">AP83+AP84-AP85-AP86-AP87-AP88-AP89</f>
        <v>15.2234551912996</v>
      </c>
      <c r="AQ90" s="11" t="n">
        <f aca="false">AQ83+AQ84-AQ85-AQ86-AQ87-AQ88-AQ89</f>
        <v>15.5809743187332</v>
      </c>
      <c r="AR90" s="11" t="n">
        <f aca="false">AR83+AR84-AR85-AR86-AR87-AR88-AR89</f>
        <v>15.5164205336394</v>
      </c>
      <c r="AS90" s="11" t="n">
        <f aca="false">AS83+AS84-AS85-AS86-AS87-AS88-AS89</f>
        <v>15.3898966805754</v>
      </c>
      <c r="AT90" s="11" t="n">
        <f aca="false">AT83+AT84-AT85-AT86-AT87-AT88-AT89</f>
        <v>14.5914413898687</v>
      </c>
      <c r="AU90" s="11" t="n">
        <f aca="false">AU83+AU84-AU85-AU86-AU87-AU88-AU89</f>
        <v>15.2288512486723</v>
      </c>
      <c r="AV90" s="11" t="n">
        <f aca="false">AV83+AV84-AV85-AV86-AV87-AV88-AV89</f>
        <v>15.7488261011866</v>
      </c>
      <c r="AW90" s="11" t="n">
        <f aca="false">AW83+AW84-AW85-AW86-AW87-AW88-AW89</f>
        <v>15.9941584184438</v>
      </c>
      <c r="AX90" s="11" t="n">
        <f aca="false">AX83+AX84-AX85-AX86-AX87-AX88-AX89</f>
        <v>15.6813208327716</v>
      </c>
      <c r="AY90" s="11" t="n">
        <f aca="false">AY83+AY84-AY85-AY86-AY87-AY88-AY89</f>
        <v>16.0523809270375</v>
      </c>
      <c r="AZ90" s="11" t="n">
        <f aca="false">AZ83+AZ84-AZ85-AZ86-AZ87-AZ88-AZ89</f>
        <v>15.9904978847813</v>
      </c>
      <c r="BA90" s="11" t="n">
        <f aca="false">BA83+BA84-BA85-BA86-BA87-BA88-BA89</f>
        <v>15.994503205623</v>
      </c>
      <c r="BB90" s="11" t="n">
        <f aca="false">BB83+BB84-BB85-BB86-BB87-BB88-BB89</f>
        <v>15.4362149031062</v>
      </c>
      <c r="BC90" s="11" t="n">
        <f aca="false">BC83+BC84-BC85-BC86-BC87-BC88-BC89</f>
        <v>15.9700331024289</v>
      </c>
      <c r="BD90" s="11" t="n">
        <f aca="false">BD83+BD84-BD85-BD86-BD87-BD88-BD89</f>
        <v>16.2418136999451</v>
      </c>
      <c r="BE90" s="11" t="n">
        <f aca="false">BE83+BE84-BE85-BE86-BE87-BE88-BE89</f>
        <v>16.4965908785343</v>
      </c>
      <c r="BF90" s="11" t="n">
        <f aca="false">BF83+BF84-BF85-BF86-BF87-BF88-BF89</f>
        <v>16.1763993386907</v>
      </c>
      <c r="BG90" s="11" t="n">
        <f aca="false">BG83+BG84-BG85-BG86-BG87-BG88-BG89</f>
        <v>16.5621216593348</v>
      </c>
      <c r="BH90" s="11" t="n">
        <f aca="false">BH83+BH84-BH85-BH86-BH87-BH88-BH89</f>
        <v>16.5031670640701</v>
      </c>
      <c r="BI90" s="11" t="n">
        <f aca="false">BI83+BI84-BI85-BI86-BI87-BI88-BI89</f>
        <v>16.3670165630049</v>
      </c>
      <c r="BJ90" s="11" t="n">
        <f aca="false">BJ83+BJ84-BJ85-BJ86-BJ87-BJ88-BJ89</f>
        <v>15.5109273459364</v>
      </c>
      <c r="BK90" s="11" t="n">
        <f aca="false">BK83+BK84-BK85-BK86-BK87-BK88-BK89</f>
        <v>16.2002192276711</v>
      </c>
      <c r="BL90" s="11" t="n">
        <f aca="false">BL83+BL84-BL85-BL86-BL87-BL88-BL89</f>
        <v>16.7749678592283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14.1541381909532</v>
      </c>
      <c r="P91" s="11" t="n">
        <f aca="false">P90-O90</f>
        <v>-0.0338236878485176</v>
      </c>
      <c r="Q91" s="11" t="n">
        <f aca="false">Q90-P90</f>
        <v>0.214062883266307</v>
      </c>
      <c r="R91" s="11" t="n">
        <f aca="false">R90-Q90</f>
        <v>-0.288685729641593</v>
      </c>
      <c r="S91" s="11" t="n">
        <f aca="false">S90-R90</f>
        <v>0.322784123496181</v>
      </c>
      <c r="T91" s="11" t="n">
        <f aca="false">T90-S90</f>
        <v>-0.0712321950938204</v>
      </c>
      <c r="U91" s="11" t="n">
        <f aca="false">U90-T90</f>
        <v>0.0016834133721364</v>
      </c>
      <c r="V91" s="11" t="n">
        <f aca="false">V90-U90</f>
        <v>-0.496901902543275</v>
      </c>
      <c r="W91" s="11" t="n">
        <f aca="false">W90-V90</f>
        <v>0.462637887609034</v>
      </c>
      <c r="X91" s="11" t="n">
        <f aca="false">X90-W90</f>
        <v>0.216520595977798</v>
      </c>
      <c r="Y91" s="11" t="n">
        <f aca="false">Y90-X90</f>
        <v>0.221002582838038</v>
      </c>
      <c r="Z91" s="11" t="n">
        <f aca="false">Z90-Y90</f>
        <v>-0.294016838210696</v>
      </c>
      <c r="AA91" s="11" t="n">
        <f aca="false">AA90-Z90</f>
        <v>0.33345841092574</v>
      </c>
      <c r="AB91" s="11" t="n">
        <f aca="false">AB90-AA90</f>
        <v>-0.0692089327175829</v>
      </c>
      <c r="AC91" s="11" t="n">
        <f aca="false">AC90-AB90</f>
        <v>-0.118574959817897</v>
      </c>
      <c r="AD91" s="11" t="n">
        <f aca="false">AD90-AC90</f>
        <v>-0.749654229242644</v>
      </c>
      <c r="AE91" s="11" t="n">
        <f aca="false">AE90-AD90</f>
        <v>0.593320009476454</v>
      </c>
      <c r="AF91" s="11" t="n">
        <f aca="false">AF90-AE90</f>
        <v>0.473735709641392</v>
      </c>
      <c r="AG91" s="11" t="n">
        <f aca="false">AG90-AF90</f>
        <v>0.228496421706115</v>
      </c>
      <c r="AH91" s="11" t="n">
        <f aca="false">AH90-AG90</f>
        <v>-0.299793312048122</v>
      </c>
      <c r="AI91" s="11" t="n">
        <f aca="false">AI90-AH90</f>
        <v>0.345012049939264</v>
      </c>
      <c r="AJ91" s="11" t="n">
        <f aca="false">AJ90-AI90</f>
        <v>-0.066988986000819</v>
      </c>
      <c r="AK91" s="11" t="n">
        <f aca="false">AK90-AJ90</f>
        <v>0.00284543606721321</v>
      </c>
      <c r="AL91" s="11" t="n">
        <f aca="false">AL90-AK90</f>
        <v>-0.525062060712669</v>
      </c>
      <c r="AM91" s="11" t="n">
        <f aca="false">AM90-AL90</f>
        <v>0.495363539989686</v>
      </c>
      <c r="AN91" s="11" t="n">
        <f aca="false">AN90-AM90</f>
        <v>0.241800011450124</v>
      </c>
      <c r="AO91" s="11" t="n">
        <f aca="false">AO90-AN90</f>
        <v>0.236589892331104</v>
      </c>
      <c r="AP91" s="11" t="n">
        <f aca="false">AP90-AO90</f>
        <v>-0.306053133862553</v>
      </c>
      <c r="AQ91" s="11" t="n">
        <f aca="false">AQ90-AP90</f>
        <v>0.357519127433589</v>
      </c>
      <c r="AR91" s="11" t="n">
        <f aca="false">AR90-AQ90</f>
        <v>-0.0645537850937945</v>
      </c>
      <c r="AS91" s="11" t="n">
        <f aca="false">AS90-AR90</f>
        <v>-0.126523853063997</v>
      </c>
      <c r="AT91" s="11" t="n">
        <f aca="false">AT90-AS90</f>
        <v>-0.798455290706672</v>
      </c>
      <c r="AU91" s="11" t="n">
        <f aca="false">AU90-AT90</f>
        <v>0.637409858803631</v>
      </c>
      <c r="AV91" s="11" t="n">
        <f aca="false">AV90-AU90</f>
        <v>0.51997485251427</v>
      </c>
      <c r="AW91" s="11" t="n">
        <f aca="false">AW90-AV90</f>
        <v>0.245332317257175</v>
      </c>
      <c r="AX91" s="11" t="n">
        <f aca="false">AX90-AW90</f>
        <v>-0.312837585672156</v>
      </c>
      <c r="AY91" s="11" t="n">
        <f aca="false">AY90-AX90</f>
        <v>0.371060094265857</v>
      </c>
      <c r="AZ91" s="11" t="n">
        <f aca="false">AZ90-AY90</f>
        <v>-0.0618830422561505</v>
      </c>
      <c r="BA91" s="11" t="n">
        <f aca="false">BA90-AZ90</f>
        <v>0.00400532084167971</v>
      </c>
      <c r="BB91" s="11" t="n">
        <f aca="false">BB90-BA90</f>
        <v>-0.558288302516836</v>
      </c>
      <c r="BC91" s="11" t="n">
        <f aca="false">BC90-BB90</f>
        <v>0.533818199322765</v>
      </c>
      <c r="BD91" s="11" t="n">
        <f aca="false">BD90-BC90</f>
        <v>0.271780597516143</v>
      </c>
      <c r="BE91" s="11" t="n">
        <f aca="false">BE90-BD90</f>
        <v>0.254777178589215</v>
      </c>
      <c r="BF91" s="11" t="n">
        <f aca="false">BF90-BE90</f>
        <v>-0.320191539843631</v>
      </c>
      <c r="BG91" s="11" t="n">
        <f aca="false">BG90-BF90</f>
        <v>0.385722320644135</v>
      </c>
      <c r="BH91" s="11" t="n">
        <f aca="false">BH90-BG90</f>
        <v>-0.0589545952647157</v>
      </c>
      <c r="BI91" s="11" t="n">
        <f aca="false">BI90-BH90</f>
        <v>-0.136150501065181</v>
      </c>
      <c r="BJ91" s="11" t="n">
        <f aca="false">BJ90-BI90</f>
        <v>-0.856089217068547</v>
      </c>
      <c r="BK91" s="11" t="n">
        <f aca="false">BK90-BJ90</f>
        <v>0.689291881734761</v>
      </c>
      <c r="BL91" s="11" t="n">
        <f aca="false">BL90-BK90</f>
        <v>0.574748631557224</v>
      </c>
      <c r="BM91" s="11" t="n">
        <f aca="false">BM90-BL90</f>
        <v>-16.7749678592283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314.339273987499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9.58414366107747</v>
      </c>
      <c r="R13" s="11" t="n">
        <f aca="false">IF(Time!R17&gt;=Time!$F$11,Waterfall!R33*Inputs!$F$102/100*Time!R26/365,0)</f>
        <v>9.77672929556594</v>
      </c>
      <c r="S13" s="11" t="n">
        <f aca="false">IF(Time!S17&gt;=Time!$F$11,Waterfall!S33*Inputs!$F$102/100*Time!S26/365,0)</f>
        <v>9.63752508299727</v>
      </c>
      <c r="T13" s="11" t="n">
        <f aca="false">IF(Time!T17&gt;=Time!$F$11,Waterfall!T33*Inputs!$F$102/100*Time!T26/365,0)</f>
        <v>9.84664352524356</v>
      </c>
      <c r="U13" s="11" t="n">
        <f aca="false">IF(Time!U17&gt;=Time!$F$11,Waterfall!U33*Inputs!$F$102/100*Time!U26/365,0)</f>
        <v>9.74617694134076</v>
      </c>
      <c r="V13" s="11" t="n">
        <f aca="false">IF(Time!V17&gt;=Time!$F$11,Waterfall!V33*Inputs!$F$102/100*Time!V26/365,0)</f>
        <v>9.92643229323348</v>
      </c>
      <c r="W13" s="11" t="n">
        <f aca="false">IF(Time!W17&gt;=Time!$F$11,Waterfall!W33*Inputs!$F$102/100*Time!W26/365,0)</f>
        <v>9.8583562232828</v>
      </c>
      <c r="X13" s="11" t="n">
        <f aca="false">IF(Time!X17&gt;=Time!$F$11,Waterfall!X33*Inputs!$F$102/100*Time!X26/365,0)</f>
        <v>10.0666217376839</v>
      </c>
      <c r="Y13" s="11" t="n">
        <f aca="false">IF(Time!Y17&gt;=Time!$F$11,Waterfall!Y33*Inputs!$F$102/100*Time!Y26/365,0)</f>
        <v>9.94274573006323</v>
      </c>
      <c r="Z13" s="11" t="n">
        <f aca="false">IF(Time!Z17&gt;=Time!$F$11,Waterfall!Z33*Inputs!$F$102/100*Time!Z26/365,0)</f>
        <v>10.1694632856153</v>
      </c>
      <c r="AA13" s="11" t="n">
        <f aca="false">IF(Time!AA17&gt;=Time!$F$11,Waterfall!AA33*Inputs!$F$102/100*Time!AA26/365,0)</f>
        <v>10.063897962034</v>
      </c>
      <c r="AB13" s="11" t="n">
        <f aca="false">IF(Time!AB17&gt;=Time!$F$11,Waterfall!AB33*Inputs!$F$102/100*Time!AB26/365,0)</f>
        <v>10.5179867181359</v>
      </c>
      <c r="AC13" s="11" t="n">
        <f aca="false">IF(Time!AC17&gt;=Time!$F$11,Waterfall!AC33*Inputs!$F$102/100*Time!AC26/365,0)</f>
        <v>10.6632698798687</v>
      </c>
      <c r="AD13" s="11" t="n">
        <f aca="false">IF(Time!AD17&gt;=Time!$F$11,Waterfall!AD33*Inputs!$F$102/100*Time!AD26/365,0)</f>
        <v>11.0942330974101</v>
      </c>
      <c r="AE13" s="11" t="n">
        <f aca="false">IF(Time!AE17&gt;=Time!$F$11,Waterfall!AE33*Inputs!$F$102/100*Time!AE26/365,0)</f>
        <v>11.2303024014718</v>
      </c>
      <c r="AF13" s="11" t="n">
        <f aca="false">IF(Time!AF17&gt;=Time!$F$11,Waterfall!AF33*Inputs!$F$102/100*Time!AF26/365,0)</f>
        <v>11.7332175644676</v>
      </c>
      <c r="AG13" s="11" t="n">
        <f aca="false">IF(Time!AG17&gt;=Time!$F$11,Waterfall!AG33*Inputs!$F$102/100*Time!AG26/365,0)</f>
        <v>11.8003576147981</v>
      </c>
      <c r="AH13" s="11" t="n">
        <f aca="false">IF(Time!AH17&gt;=Time!$F$11,Waterfall!AH33*Inputs!$F$102/100*Time!AH26/365,0)</f>
        <v>12.2411926166882</v>
      </c>
      <c r="AI13" s="11" t="n">
        <f aca="false">IF(Time!AI17&gt;=Time!$F$11,Waterfall!AI33*Inputs!$F$102/100*Time!AI26/365,0)</f>
        <v>12.2638554565209</v>
      </c>
      <c r="AJ13" s="11" t="n">
        <f aca="false">IF(Time!AJ17&gt;=Time!$F$11,Waterfall!AJ33*Inputs!$F$102/100*Time!AJ26/365,0)</f>
        <v>12.6722911005437</v>
      </c>
      <c r="AK13" s="11" t="n">
        <f aca="false">IF(Time!AK17&gt;=Time!$F$11,Waterfall!AK33*Inputs!$F$102/100*Time!AK26/365,0)</f>
        <v>12.6841441123673</v>
      </c>
      <c r="AL13" s="11" t="n">
        <f aca="false">IF(Time!AL17&gt;=Time!$F$11,Waterfall!AL33*Inputs!$F$102/100*Time!AL26/365,0)</f>
        <v>12.9379011075206</v>
      </c>
      <c r="AM13" s="11" t="n">
        <f aca="false">IF(Time!AM17&gt;=Time!$F$11,Waterfall!AM33*Inputs!$F$102/100*Time!AM26/365,0)</f>
        <v>12.4313214328468</v>
      </c>
      <c r="AN13" s="11" t="n">
        <f aca="false">IF(Time!AN17&gt;=Time!$F$11,Waterfall!AN33*Inputs!$F$102/100*Time!AN26/365,0)</f>
        <v>11.7969555897726</v>
      </c>
      <c r="AO13" s="11" t="n">
        <f aca="false">IF(Time!AO17&gt;=Time!$F$11,Waterfall!AO33*Inputs!$F$102/100*Time!AO26/365,0)</f>
        <v>10.8579309880257</v>
      </c>
      <c r="AP13" s="11" t="n">
        <f aca="false">IF(Time!AP17&gt;=Time!$F$11,Waterfall!AP33*Inputs!$F$102/100*Time!AP26/365,0)</f>
        <v>9.33528137839092</v>
      </c>
      <c r="AQ13" s="11" t="n">
        <f aca="false">IF(Time!AQ17&gt;=Time!$F$11,Waterfall!AQ33*Inputs!$F$102/100*Time!AQ26/365,0)</f>
        <v>7.42777036247782</v>
      </c>
      <c r="AR13" s="11" t="n">
        <f aca="false">IF(Time!AR17&gt;=Time!$F$11,Waterfall!AR33*Inputs!$F$102/100*Time!AR26/365,0)</f>
        <v>5.69134594762541</v>
      </c>
      <c r="AS13" s="11" t="n">
        <f aca="false">IF(Time!AS17&gt;=Time!$F$11,Waterfall!AS33*Inputs!$F$102/100*Time!AS26/365,0)</f>
        <v>3.65963698856134</v>
      </c>
      <c r="AT13" s="11" t="n">
        <f aca="false">IF(Time!AT17&gt;=Time!$F$11,Waterfall!AT33*Inputs!$F$102/100*Time!AT26/365,0)</f>
        <v>1.66895333585191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0.77601948470937</v>
      </c>
      <c r="Q14" s="6" t="n">
        <f aca="false">IF(Waterfall!Q33&gt;0,MIN(1,Inputs!$F$180*(Waterfall!$F$32+MAX(0,Waterfall!P43))/Waterfall!Q33),1)</f>
        <v>0.83908505841447</v>
      </c>
      <c r="R14" s="6" t="n">
        <f aca="false">IF(Waterfall!R33&gt;0,MIN(1,Inputs!$F$180*(Waterfall!$F$32+MAX(0,Waterfall!Q43))/Waterfall!R33),1)</f>
        <v>0.907100134499417</v>
      </c>
      <c r="S14" s="6" t="n">
        <f aca="false">IF(Waterfall!S33&gt;0,MIN(1,Inputs!$F$180*(Waterfall!$F$32+MAX(0,Waterfall!R43))/Waterfall!S33),1)</f>
        <v>0.973158226920891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308.344148364016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7.61344740017454</v>
      </c>
      <c r="Q15" s="11" t="n">
        <f aca="false">Q13*Q14</f>
        <v>8.04191174370786</v>
      </c>
      <c r="R15" s="11" t="n">
        <f aca="false">R13*R14</f>
        <v>8.86847245897226</v>
      </c>
      <c r="S15" s="11" t="n">
        <f aca="false">S13*S14</f>
        <v>9.37883682167524</v>
      </c>
      <c r="T15" s="11" t="n">
        <f aca="false">T13*T14</f>
        <v>9.84664352524356</v>
      </c>
      <c r="U15" s="11" t="n">
        <f aca="false">U13*U14</f>
        <v>9.74617694134076</v>
      </c>
      <c r="V15" s="11" t="n">
        <f aca="false">V13*V14</f>
        <v>9.92643229323348</v>
      </c>
      <c r="W15" s="11" t="n">
        <f aca="false">W13*W14</f>
        <v>9.8583562232828</v>
      </c>
      <c r="X15" s="11" t="n">
        <f aca="false">X13*X14</f>
        <v>10.0666217376839</v>
      </c>
      <c r="Y15" s="11" t="n">
        <f aca="false">Y13*Y14</f>
        <v>9.94274573006323</v>
      </c>
      <c r="Z15" s="11" t="n">
        <f aca="false">Z13*Z14</f>
        <v>10.1694632856153</v>
      </c>
      <c r="AA15" s="11" t="n">
        <f aca="false">AA13*AA14</f>
        <v>10.063897962034</v>
      </c>
      <c r="AB15" s="11" t="n">
        <f aca="false">AB13*AB14</f>
        <v>10.5179867181359</v>
      </c>
      <c r="AC15" s="11" t="n">
        <f aca="false">AC13*AC14</f>
        <v>10.6632698798687</v>
      </c>
      <c r="AD15" s="11" t="n">
        <f aca="false">AD13*AD14</f>
        <v>11.0942330974101</v>
      </c>
      <c r="AE15" s="11" t="n">
        <f aca="false">AE13*AE14</f>
        <v>11.2303024014718</v>
      </c>
      <c r="AF15" s="11" t="n">
        <f aca="false">AF13*AF14</f>
        <v>11.7332175644676</v>
      </c>
      <c r="AG15" s="11" t="n">
        <f aca="false">AG13*AG14</f>
        <v>11.8003576147981</v>
      </c>
      <c r="AH15" s="11" t="n">
        <f aca="false">AH13*AH14</f>
        <v>12.2411926166882</v>
      </c>
      <c r="AI15" s="11" t="n">
        <f aca="false">AI13*AI14</f>
        <v>12.2638554565209</v>
      </c>
      <c r="AJ15" s="11" t="n">
        <f aca="false">AJ13*AJ14</f>
        <v>12.6722911005437</v>
      </c>
      <c r="AK15" s="11" t="n">
        <f aca="false">AK13*AK14</f>
        <v>12.6841441123673</v>
      </c>
      <c r="AL15" s="11" t="n">
        <f aca="false">AL13*AL14</f>
        <v>12.9379011075206</v>
      </c>
      <c r="AM15" s="11" t="n">
        <f aca="false">AM13*AM14</f>
        <v>12.4313214328468</v>
      </c>
      <c r="AN15" s="11" t="n">
        <f aca="false">AN13*AN14</f>
        <v>11.7969555897726</v>
      </c>
      <c r="AO15" s="11" t="n">
        <f aca="false">AO13*AO14</f>
        <v>10.8579309880257</v>
      </c>
      <c r="AP15" s="11" t="n">
        <f aca="false">AP13*AP14</f>
        <v>9.33528137839092</v>
      </c>
      <c r="AQ15" s="11" t="n">
        <f aca="false">AQ13*AQ14</f>
        <v>7.42777036247782</v>
      </c>
      <c r="AR15" s="11" t="n">
        <f aca="false">AR13*AR14</f>
        <v>5.69134594762541</v>
      </c>
      <c r="AS15" s="11" t="n">
        <f aca="false">AS13*AS14</f>
        <v>3.65963698856134</v>
      </c>
      <c r="AT15" s="11" t="n">
        <f aca="false">AT13*AT14</f>
        <v>1.66895333585191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319.853065368393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14.2298994390683</v>
      </c>
      <c r="AC16" s="11" t="n">
        <f aca="false">Debt!AC119+Debt!AC117+Debt!AC111-Debt!AC110</f>
        <v>13.0988550905938</v>
      </c>
      <c r="AD16" s="11" t="n">
        <f aca="false">Debt!AD119+Debt!AD117+Debt!AD111-Debt!AD110</f>
        <v>12.1904474514969</v>
      </c>
      <c r="AE16" s="11" t="n">
        <f aca="false">Debt!AE119+Debt!AE117+Debt!AE111-Debt!AE110</f>
        <v>10.9991867103857</v>
      </c>
      <c r="AF16" s="11" t="n">
        <f aca="false">Debt!AF119+Debt!AF117+Debt!AF111-Debt!AF110</f>
        <v>10.0092238577653</v>
      </c>
      <c r="AG16" s="11" t="n">
        <f aca="false">Debt!AG119+Debt!AG117+Debt!AG111-Debt!AG110</f>
        <v>8.95422706292133</v>
      </c>
      <c r="AH16" s="11" t="n">
        <f aca="false">Debt!AH119+Debt!AH117+Debt!AH111-Debt!AH110</f>
        <v>7.80039175313076</v>
      </c>
      <c r="AI16" s="11" t="n">
        <f aca="false">Debt!AI119+Debt!AI117+Debt!AI111-Debt!AI110</f>
        <v>6.44132456430518</v>
      </c>
      <c r="AJ16" s="11" t="n">
        <f aca="false">Debt!AJ119+Debt!AJ117+Debt!AJ111-Debt!AJ110</f>
        <v>5.21079840653317</v>
      </c>
      <c r="AK16" s="11" t="n">
        <f aca="false">Debt!AK119+Debt!AK117+Debt!AK111-Debt!AK110</f>
        <v>3.84179800202054</v>
      </c>
      <c r="AL16" s="11" t="n">
        <f aca="false">Debt!AL119+Debt!AL117+Debt!AL111-Debt!AL110</f>
        <v>2.54698950280577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932.548356142714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0.445737325134756</v>
      </c>
      <c r="Z18" s="11" t="n">
        <f aca="false">(Operations!Z79-Z16-Z15)*Z17-Z12</f>
        <v>1.29757574826218</v>
      </c>
      <c r="AA18" s="11" t="n">
        <f aca="false">(Operations!AA79-AA16-AA15)*AA17-AA12</f>
        <v>2.61136603669934</v>
      </c>
      <c r="AB18" s="11" t="n">
        <f aca="false">(Operations!AB79-AB16-AB15)*AB17-AB12</f>
        <v>3.50542737457219</v>
      </c>
      <c r="AC18" s="11" t="n">
        <f aca="false">(Operations!AC79-AC16-AC15)*AC17-AC12</f>
        <v>3.2961967146307</v>
      </c>
      <c r="AD18" s="11" t="n">
        <f aca="false">(Operations!AD79-AD16-AD15)*AD17-AD12</f>
        <v>-10.5255614675525</v>
      </c>
      <c r="AE18" s="11" t="n">
        <f aca="false">(Operations!AE79-AE16-AE15)*AE17-AE12</f>
        <v>3.71922831854711</v>
      </c>
      <c r="AF18" s="11" t="n">
        <f aca="false">(Operations!AF79-AF16-AF15)*AF17-AF12</f>
        <v>6.88744706937435</v>
      </c>
      <c r="AG18" s="11" t="n">
        <f aca="false">(Operations!AG79-AG16-AG15)*AG17-AG12</f>
        <v>7.73017598992135</v>
      </c>
      <c r="AH18" s="11" t="n">
        <f aca="false">(Operations!AH79-AH16-AH15)*AH17-AH12</f>
        <v>8.09194893783997</v>
      </c>
      <c r="AI18" s="11" t="n">
        <f aca="false">(Operations!AI79-AI16-AI15)*AI17-AI12</f>
        <v>9.74197519189963</v>
      </c>
      <c r="AJ18" s="11" t="n">
        <f aca="false">(Operations!AJ79-AJ16-AJ15)*AJ17-AJ12</f>
        <v>11.1385637927116</v>
      </c>
      <c r="AK18" s="11" t="n">
        <f aca="false">(Operations!AK79-AK16-AK15)*AK17-AK12</f>
        <v>11.7538927681281</v>
      </c>
      <c r="AL18" s="11" t="n">
        <f aca="false">(Operations!AL79-AL16-AL15)*AL17-AL12</f>
        <v>8.26826381891048</v>
      </c>
      <c r="AM18" s="11" t="n">
        <f aca="false">(Operations!AM79-AM16-AM15)*AM17-AM12</f>
        <v>13.6271143517275</v>
      </c>
      <c r="AN18" s="11" t="n">
        <f aca="false">(Operations!AN79-AN16-AN15)*AN17-AN12</f>
        <v>16.6401817775221</v>
      </c>
      <c r="AO18" s="11" t="n">
        <f aca="false">(Operations!AO79-AO16-AO15)*AO17-AO12</f>
        <v>17.9268745848091</v>
      </c>
      <c r="AP18" s="11" t="n">
        <f aca="false">(Operations!AP79-AP16-AP15)*AP17-AP12</f>
        <v>19.5885011661954</v>
      </c>
      <c r="AQ18" s="11" t="n">
        <f aca="false">(Operations!AQ79-AQ16-AQ15)*AQ17-AQ12</f>
        <v>21.824159044</v>
      </c>
      <c r="AR18" s="11" t="n">
        <f aca="false">(Operations!AR79-AR16-AR15)*AR17-AR12</f>
        <v>24.1619239718418</v>
      </c>
      <c r="AS18" s="11" t="n">
        <f aca="false">(Operations!AS79-AS16-AS15)*AS17-AS12</f>
        <v>24.9173737886173</v>
      </c>
      <c r="AT18" s="11" t="n">
        <f aca="false">(Operations!AT79-AT16-AT15)*AT17-AT12</f>
        <v>10.1870276380562</v>
      </c>
      <c r="AU18" s="11" t="n">
        <f aca="false">(Operations!AU79-AU16-AU15)*AU17-AU12</f>
        <v>27.4019491559444</v>
      </c>
      <c r="AV18" s="11" t="n">
        <f aca="false">(Operations!AV79-AV16-AV15)*AV17-AV12</f>
        <v>30.2944463998027</v>
      </c>
      <c r="AW18" s="11" t="n">
        <f aca="false">(Operations!AW79-AW16-AW15)*AW17-AW12</f>
        <v>30.1449791816207</v>
      </c>
      <c r="AX18" s="11" t="n">
        <f aca="false">(Operations!AX79-AX16-AX15)*AX17-AX12</f>
        <v>29.7790351464048</v>
      </c>
      <c r="AY18" s="11" t="n">
        <f aca="false">(Operations!AY79-AY16-AY15)*AY17-AY12</f>
        <v>30.1229143043829</v>
      </c>
      <c r="AZ18" s="11" t="n">
        <f aca="false">(Operations!AZ79-AZ16-AZ15)*AZ17-AZ12</f>
        <v>30.7534643026888</v>
      </c>
      <c r="BA18" s="11" t="n">
        <f aca="false">(Operations!BA79-BA16-BA15)*BA17-BA12</f>
        <v>29.9610610740813</v>
      </c>
      <c r="BB18" s="11" t="n">
        <f aca="false">(Operations!BB79-BB16-BB15)*BB17-BB12</f>
        <v>24.7602647341102</v>
      </c>
      <c r="BC18" s="11" t="n">
        <f aca="false">(Operations!BC79-BC16-BC15)*BC17-BC12</f>
        <v>35.7036570128126</v>
      </c>
      <c r="BD18" s="11" t="n">
        <f aca="false">(Operations!BD79-BD16-BD15)*BD17-BD12</f>
        <v>50.4748477222343</v>
      </c>
      <c r="BE18" s="11" t="n">
        <f aca="false">(Operations!BE79-BE16-BE15)*BE17-BE12</f>
        <v>50.3228073734912</v>
      </c>
      <c r="BF18" s="11" t="n">
        <f aca="false">(Operations!BF79-BF16-BF15)*BF17-BF12</f>
        <v>49.9485216675977</v>
      </c>
      <c r="BG18" s="11" t="n">
        <f aca="false">(Operations!BG79-BG16-BG15)*BG17-BG12</f>
        <v>50.3094433071894</v>
      </c>
      <c r="BH18" s="11" t="n">
        <f aca="false">(Operations!BH79-BH16-BH15)*BH17-BH12</f>
        <v>50.9717792466808</v>
      </c>
      <c r="BI18" s="11" t="n">
        <f aca="false">(Operations!BI79-BI16-BI15)*BI17-BI12</f>
        <v>49.5989969182523</v>
      </c>
      <c r="BJ18" s="11" t="n">
        <f aca="false">(Operations!BJ79-BJ16-BJ15)*BJ17-BJ12</f>
        <v>29.9966525010425</v>
      </c>
      <c r="BK18" s="11" t="n">
        <f aca="false">(Operations!BK79-BK16-BK15)*BK17-BK12</f>
        <v>48.3461316805929</v>
      </c>
      <c r="BL18" s="11" t="n">
        <f aca="false">(Operations!BL79-BL16-BL15)*BL17-BL12</f>
        <v>51.4888454766314</v>
      </c>
      <c r="BM18" s="11" t="n">
        <f aca="false">(Operations!BM79-BM16-BM15)*BM17-BM12</f>
        <v>15.3331649953043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10.5255614675525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3.71922831854711</v>
      </c>
      <c r="AF19" s="11" t="n">
        <f aca="false">MIN(AE22,MAX(0,AF18))</f>
        <v>6.80633314900537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0.445737325134756</v>
      </c>
      <c r="Z20" s="11" t="n">
        <f aca="false">MIN(Y21,MAX(0,Z18-Z19))</f>
        <v>1.29757574826218</v>
      </c>
      <c r="AA20" s="11" t="n">
        <f aca="false">MIN(Z21,MAX(0,AA18-AA19))</f>
        <v>2.61136603669934</v>
      </c>
      <c r="AB20" s="11" t="n">
        <f aca="false">MIN(AA21,MAX(0,AB18-AB19))</f>
        <v>3.50542737457219</v>
      </c>
      <c r="AC20" s="11" t="n">
        <f aca="false">MIN(AB21,MAX(0,AC18-AC19))</f>
        <v>3.2961967146307</v>
      </c>
      <c r="AD20" s="11" t="n">
        <f aca="false">MIN(AC21,MAX(0,AD18-AD19))</f>
        <v>0</v>
      </c>
      <c r="AE20" s="11" t="n">
        <f aca="false">MIN(AD21,MAX(0,AE18-AE19))</f>
        <v>0</v>
      </c>
      <c r="AF20" s="11" t="n">
        <f aca="false">MIN(AE21,MAX(0,AF18-AF19))</f>
        <v>0.0811139203689848</v>
      </c>
      <c r="AG20" s="11" t="n">
        <f aca="false">MIN(AF21,MAX(0,AG18-AG19))</f>
        <v>7.73017598992135</v>
      </c>
      <c r="AH20" s="11" t="n">
        <f aca="false">MIN(AG21,MAX(0,AH18-AH19))</f>
        <v>8.09194893783997</v>
      </c>
      <c r="AI20" s="11" t="n">
        <f aca="false">MIN(AH21,MAX(0,AI18-AI19))</f>
        <v>9.74197519189963</v>
      </c>
      <c r="AJ20" s="11" t="n">
        <f aca="false">MIN(AI21,MAX(0,AJ18-AJ19))</f>
        <v>11.1385637927116</v>
      </c>
      <c r="AK20" s="11" t="n">
        <f aca="false">MIN(AJ21,MAX(0,AK18-AK19))</f>
        <v>11.7538927681281</v>
      </c>
      <c r="AL20" s="11" t="n">
        <f aca="false">MIN(AK21,MAX(0,AL18-AL19))</f>
        <v>8.26826381891048</v>
      </c>
      <c r="AM20" s="11" t="n">
        <f aca="false">MIN(AL21,MAX(0,AM18-AM19))</f>
        <v>13.6271143517275</v>
      </c>
      <c r="AN20" s="11" t="n">
        <f aca="false">MIN(AM21,MAX(0,AN18-AN19))</f>
        <v>16.6401817775221</v>
      </c>
      <c r="AO20" s="11" t="n">
        <f aca="false">MIN(AN21,MAX(0,AO18-AO19))</f>
        <v>17.9268745848091</v>
      </c>
      <c r="AP20" s="11" t="n">
        <f aca="false">MIN(AO21,MAX(0,AP18-AP19))</f>
        <v>19.5885011661954</v>
      </c>
      <c r="AQ20" s="11" t="n">
        <f aca="false">MIN(AP21,MAX(0,AQ18-AQ19))</f>
        <v>21.824159044</v>
      </c>
      <c r="AR20" s="11" t="n">
        <f aca="false">MIN(AQ21,MAX(0,AR18-AR19))</f>
        <v>24.1619239718418</v>
      </c>
      <c r="AS20" s="11" t="n">
        <f aca="false">MIN(AR21,MAX(0,AS18-AS19))</f>
        <v>24.9173737886173</v>
      </c>
      <c r="AT20" s="11" t="n">
        <f aca="false">MIN(AS21,MAX(0,AT18-AT19))</f>
        <v>10.1870276380562</v>
      </c>
      <c r="AU20" s="11" t="n">
        <f aca="false">MIN(AT21,MAX(0,AU18-AU19))</f>
        <v>9.0699751919172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225.459631808631</v>
      </c>
      <c r="Z21" s="11" t="n">
        <f aca="false">Y21+Z11-Z20</f>
        <v>224.162056060369</v>
      </c>
      <c r="AA21" s="11" t="n">
        <f aca="false">Z21+AA11-AA20</f>
        <v>221.55069002367</v>
      </c>
      <c r="AB21" s="11" t="n">
        <f aca="false">AA21+AB11-AB20</f>
        <v>218.045262649097</v>
      </c>
      <c r="AC21" s="11" t="n">
        <f aca="false">AB21+AC11-AC20</f>
        <v>214.749065934467</v>
      </c>
      <c r="AD21" s="11" t="n">
        <f aca="false">AC21+AD11-AD20</f>
        <v>214.749065934467</v>
      </c>
      <c r="AE21" s="11" t="n">
        <f aca="false">AD21+AE11-AE20</f>
        <v>214.749065934467</v>
      </c>
      <c r="AF21" s="11" t="n">
        <f aca="false">AE21+AF11-AF20</f>
        <v>214.667952014098</v>
      </c>
      <c r="AG21" s="11" t="n">
        <f aca="false">AF21+AG11-AG20</f>
        <v>206.937776024176</v>
      </c>
      <c r="AH21" s="11" t="n">
        <f aca="false">AG21+AH11-AH20</f>
        <v>198.845827086336</v>
      </c>
      <c r="AI21" s="11" t="n">
        <f aca="false">AH21+AI11-AI20</f>
        <v>189.103851894437</v>
      </c>
      <c r="AJ21" s="11" t="n">
        <f aca="false">AI21+AJ11-AJ20</f>
        <v>177.965288101725</v>
      </c>
      <c r="AK21" s="11" t="n">
        <f aca="false">AJ21+AK11-AK20</f>
        <v>166.211395333597</v>
      </c>
      <c r="AL21" s="11" t="n">
        <f aca="false">AK21+AL11-AL20</f>
        <v>157.943131514687</v>
      </c>
      <c r="AM21" s="11" t="n">
        <f aca="false">AL21+AM11-AM20</f>
        <v>144.316017162959</v>
      </c>
      <c r="AN21" s="11" t="n">
        <f aca="false">AM21+AN11-AN20</f>
        <v>127.675835385437</v>
      </c>
      <c r="AO21" s="11" t="n">
        <f aca="false">AN21+AO11-AO20</f>
        <v>109.748960800628</v>
      </c>
      <c r="AP21" s="11" t="n">
        <f aca="false">AO21+AP11-AP20</f>
        <v>90.1604596344325</v>
      </c>
      <c r="AQ21" s="11" t="n">
        <f aca="false">AP21+AQ11-AQ20</f>
        <v>68.3363005904325</v>
      </c>
      <c r="AR21" s="11" t="n">
        <f aca="false">AQ21+AR11-AR20</f>
        <v>44.1743766185907</v>
      </c>
      <c r="AS21" s="11" t="n">
        <f aca="false">AR21+AS11-AS20</f>
        <v>19.2570028299734</v>
      </c>
      <c r="AT21" s="11" t="n">
        <f aca="false">AS21+AT11-AT20</f>
        <v>9.0699751919172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10.5255614675525</v>
      </c>
      <c r="AE22" s="11" t="n">
        <f aca="false">AD22-AE19+MAX(0,-AE18)</f>
        <v>6.80633314900537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706.642987008948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0</v>
      </c>
      <c r="AS23" s="11" t="n">
        <f aca="false">MAX(0,AS18-AS19-AS20)</f>
        <v>0</v>
      </c>
      <c r="AT23" s="11" t="n">
        <f aca="false">MAX(0,AT18-AT19-AT20)</f>
        <v>0</v>
      </c>
      <c r="AU23" s="11" t="n">
        <f aca="false">MAX(0,AU18-AU19-AU20)</f>
        <v>18.3319739640272</v>
      </c>
      <c r="AV23" s="11" t="n">
        <f aca="false">MAX(0,AV18-AV19-AV20)</f>
        <v>30.2944463998027</v>
      </c>
      <c r="AW23" s="11" t="n">
        <f aca="false">MAX(0,AW18-AW19-AW20)</f>
        <v>30.1449791816207</v>
      </c>
      <c r="AX23" s="11" t="n">
        <f aca="false">MAX(0,AX18-AX19-AX20)</f>
        <v>29.7790351464048</v>
      </c>
      <c r="AY23" s="11" t="n">
        <f aca="false">MAX(0,AY18-AY19-AY20)</f>
        <v>30.1229143043829</v>
      </c>
      <c r="AZ23" s="11" t="n">
        <f aca="false">MAX(0,AZ18-AZ19-AZ20)</f>
        <v>30.7534643026888</v>
      </c>
      <c r="BA23" s="11" t="n">
        <f aca="false">MAX(0,BA18-BA19-BA20)</f>
        <v>29.9610610740813</v>
      </c>
      <c r="BB23" s="11" t="n">
        <f aca="false">MAX(0,BB18-BB19-BB20)</f>
        <v>24.7602647341102</v>
      </c>
      <c r="BC23" s="11" t="n">
        <f aca="false">MAX(0,BC18-BC19-BC20)</f>
        <v>35.7036570128126</v>
      </c>
      <c r="BD23" s="11" t="n">
        <f aca="false">MAX(0,BD18-BD19-BD20)</f>
        <v>50.4748477222343</v>
      </c>
      <c r="BE23" s="11" t="n">
        <f aca="false">MAX(0,BE18-BE19-BE20)</f>
        <v>50.3228073734912</v>
      </c>
      <c r="BF23" s="11" t="n">
        <f aca="false">MAX(0,BF18-BF19-BF20)</f>
        <v>49.9485216675977</v>
      </c>
      <c r="BG23" s="11" t="n">
        <f aca="false">MAX(0,BG18-BG19-BG20)</f>
        <v>50.3094433071894</v>
      </c>
      <c r="BH23" s="11" t="n">
        <f aca="false">MAX(0,BH18-BH19-BH20)</f>
        <v>50.9717792466808</v>
      </c>
      <c r="BI23" s="11" t="n">
        <f aca="false">MAX(0,BI18-BI19-BI20)</f>
        <v>49.5989969182523</v>
      </c>
      <c r="BJ23" s="11" t="n">
        <f aca="false">MAX(0,BJ18-BJ19-BJ20)</f>
        <v>29.9966525010425</v>
      </c>
      <c r="BK23" s="11" t="n">
        <f aca="false">MAX(0,BK18-BK19-BK20)</f>
        <v>48.3461316805929</v>
      </c>
      <c r="BL23" s="11" t="n">
        <f aca="false">MAX(0,BL18-BL19-BL20)</f>
        <v>51.4888454766314</v>
      </c>
      <c r="BM23" s="11" t="n">
        <f aca="false">MAX(0,BM18-BM19-BM20)</f>
        <v>15.3331649953043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211.992896102684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0</v>
      </c>
      <c r="AS25" s="11" t="n">
        <f aca="false">AS23*AS24</f>
        <v>0</v>
      </c>
      <c r="AT25" s="11" t="n">
        <f aca="false">AT23*AT24</f>
        <v>0</v>
      </c>
      <c r="AU25" s="11" t="n">
        <f aca="false">AU23*AU24</f>
        <v>5.49959218920816</v>
      </c>
      <c r="AV25" s="11" t="n">
        <f aca="false">AV23*AV24</f>
        <v>9.0883339199408</v>
      </c>
      <c r="AW25" s="11" t="n">
        <f aca="false">AW23*AW24</f>
        <v>9.04349375448619</v>
      </c>
      <c r="AX25" s="11" t="n">
        <f aca="false">AX23*AX24</f>
        <v>8.93371054392143</v>
      </c>
      <c r="AY25" s="11" t="n">
        <f aca="false">AY23*AY24</f>
        <v>9.03687429131488</v>
      </c>
      <c r="AZ25" s="11" t="n">
        <f aca="false">AZ23*AZ24</f>
        <v>9.22603929080664</v>
      </c>
      <c r="BA25" s="11" t="n">
        <f aca="false">BA23*BA24</f>
        <v>8.98831832222439</v>
      </c>
      <c r="BB25" s="11" t="n">
        <f aca="false">BB23*BB24</f>
        <v>7.42807942023305</v>
      </c>
      <c r="BC25" s="11" t="n">
        <f aca="false">BC23*BC24</f>
        <v>10.7110971038438</v>
      </c>
      <c r="BD25" s="11" t="n">
        <f aca="false">BD23*BD24</f>
        <v>15.1424543166703</v>
      </c>
      <c r="BE25" s="11" t="n">
        <f aca="false">BE23*BE24</f>
        <v>15.0968422120474</v>
      </c>
      <c r="BF25" s="11" t="n">
        <f aca="false">BF23*BF24</f>
        <v>14.9845565002793</v>
      </c>
      <c r="BG25" s="11" t="n">
        <f aca="false">BG23*BG24</f>
        <v>15.0928329921568</v>
      </c>
      <c r="BH25" s="11" t="n">
        <f aca="false">BH23*BH24</f>
        <v>15.2915337740042</v>
      </c>
      <c r="BI25" s="11" t="n">
        <f aca="false">BI23*BI24</f>
        <v>14.8796990754757</v>
      </c>
      <c r="BJ25" s="11" t="n">
        <f aca="false">BJ23*BJ24</f>
        <v>8.99899575031276</v>
      </c>
      <c r="BK25" s="11" t="n">
        <f aca="false">BK23*BK24</f>
        <v>14.5038395041779</v>
      </c>
      <c r="BL25" s="11" t="n">
        <f aca="false">BL23*BL24</f>
        <v>15.4466536429894</v>
      </c>
      <c r="BM25" s="11" t="n">
        <f aca="false">BM23*BM24</f>
        <v>4.59994949859128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14.9048545675762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0.113608644444605</v>
      </c>
      <c r="Z26" s="11" t="n">
        <f aca="false">IF(Time!Z25&gt;0,Inputs!$F$173/100*Operations!Z50*(Z8+Z9)/Time!Z25,0)</f>
        <v>0.340019216090878</v>
      </c>
      <c r="AA26" s="11" t="n">
        <f aca="false">IF(Time!AA25&gt;0,Inputs!$F$173/100*Operations!AA50*(AA8+AA9)/Time!AA25,0)</f>
        <v>0.342765630663072</v>
      </c>
      <c r="AB26" s="11" t="n">
        <f aca="false">IF(Time!AB25&gt;0,Inputs!$F$173/100*Operations!AB50*(AB8+AB9)/Time!AB25,0)</f>
        <v>0.346731259442194</v>
      </c>
      <c r="AC26" s="11" t="n">
        <f aca="false">IF(Time!AC25&gt;0,Inputs!$F$173/100*Operations!AC50*(AC8+AC9)/Time!AC25,0)</f>
        <v>0.341558618979607</v>
      </c>
      <c r="AD26" s="11" t="n">
        <f aca="false">IF(Time!AD25&gt;0,Inputs!$F$173/100*Operations!AD50*(AD8+AD9)/Time!AD25,0)</f>
        <v>0.329524870498681</v>
      </c>
      <c r="AE26" s="11" t="n">
        <f aca="false">IF(Time!AE25&gt;0,Inputs!$F$173/100*Operations!AE50*(AE8+AE9)/Time!AE25,0)</f>
        <v>0.337921184884861</v>
      </c>
      <c r="AF26" s="11" t="n">
        <f aca="false">IF(Time!AF25&gt;0,Inputs!$F$173/100*Operations!AF50*(AF8+AF9)/Time!AF25,0)</f>
        <v>0.353278312843685</v>
      </c>
      <c r="AG26" s="11" t="n">
        <f aca="false">IF(Time!AG25&gt;0,Inputs!$F$173/100*Operations!AG50*(AG8+AG9)/Time!AG25,0)</f>
        <v>0.353739432262868</v>
      </c>
      <c r="AH26" s="11" t="n">
        <f aca="false">IF(Time!AH25&gt;0,Inputs!$F$173/100*Operations!AH50*(AH8+AH9)/Time!AH25,0)</f>
        <v>0.352981284361787</v>
      </c>
      <c r="AI26" s="11" t="n">
        <f aca="false">IF(Time!AI25&gt;0,Inputs!$F$173/100*Operations!AI50*(AI8+AI9)/Time!AI25,0)</f>
        <v>0.35591229349559</v>
      </c>
      <c r="AJ26" s="11" t="n">
        <f aca="false">IF(Time!AJ25&gt;0,Inputs!$F$173/100*Operations!AJ50*(AJ8+AJ9)/Time!AJ25,0)</f>
        <v>0.36011096382338</v>
      </c>
      <c r="AK26" s="11" t="n">
        <f aca="false">IF(Time!AK25&gt;0,Inputs!$F$173/100*Operations!AK50*(AK8+AK9)/Time!AK25,0)</f>
        <v>0.357443783660565</v>
      </c>
      <c r="AL26" s="11" t="n">
        <f aca="false">IF(Time!AL25&gt;0,Inputs!$F$173/100*Operations!AL50*(AL8+AL9)/Time!AL25,0)</f>
        <v>0.350309021761076</v>
      </c>
      <c r="AM26" s="11" t="n">
        <f aca="false">IF(Time!AM25&gt;0,Inputs!$F$173/100*Operations!AM50*(AM8+AM9)/Time!AM25,0)</f>
        <v>0.356500395673222</v>
      </c>
      <c r="AN26" s="11" t="n">
        <f aca="false">IF(Time!AN25&gt;0,Inputs!$F$173/100*Operations!AN50*(AN8+AN9)/Time!AN25,0)</f>
        <v>0.367241665945446</v>
      </c>
      <c r="AO26" s="11" t="n">
        <f aca="false">IF(Time!AO25&gt;0,Inputs!$F$173/100*Operations!AO50*(AO8+AO9)/Time!AO25,0)</f>
        <v>0.367804132607598</v>
      </c>
      <c r="AP26" s="11" t="n">
        <f aca="false">IF(Time!AP25&gt;0,Inputs!$F$173/100*Operations!AP50*(AP8+AP9)/Time!AP25,0)</f>
        <v>0.367098879054636</v>
      </c>
      <c r="AQ26" s="11" t="n">
        <f aca="false">IF(Time!AQ25&gt;0,Inputs!$F$173/100*Operations!AQ50*(AQ8+AQ9)/Time!AQ25,0)</f>
        <v>0.370230933875713</v>
      </c>
      <c r="AR26" s="11" t="n">
        <f aca="false">IF(Time!AR25&gt;0,Inputs!$F$173/100*Operations!AR50*(AR8+AR9)/Time!AR25,0)</f>
        <v>0.374683415594761</v>
      </c>
      <c r="AS26" s="11" t="n">
        <f aca="false">IF(Time!AS25&gt;0,Inputs!$F$173/100*Operations!AS50*(AS8+AS9)/Time!AS25,0)</f>
        <v>0.369260584596024</v>
      </c>
      <c r="AT26" s="11" t="n">
        <f aca="false">IF(Time!AT25&gt;0,Inputs!$F$173/100*Operations!AT50*(AT8+AT9)/Time!AT25,0)</f>
        <v>0.356411995814225</v>
      </c>
      <c r="AU26" s="11" t="n">
        <f aca="false">IF(Time!AU25&gt;0,Inputs!$F$173/100*Operations!AU50*(AU8+AU9)/Time!AU25,0)</f>
        <v>0.365658870961392</v>
      </c>
      <c r="AV26" s="11" t="n">
        <f aca="false">IF(Time!AV25&gt;0,Inputs!$F$173/100*Operations!AV50*(AV8+AV9)/Time!AV25,0)</f>
        <v>0.382449775627145</v>
      </c>
      <c r="AW26" s="11" t="n">
        <f aca="false">IF(Time!AW25&gt;0,Inputs!$F$173/100*Operations!AW50*(AW8+AW9)/Time!AW25,0)</f>
        <v>0.383122618849092</v>
      </c>
      <c r="AX26" s="11" t="n">
        <f aca="false">IF(Time!AX25&gt;0,Inputs!$F$173/100*Operations!AX50*(AX8+AX9)/Time!AX25,0)</f>
        <v>0.382474969608876</v>
      </c>
      <c r="AY26" s="11" t="n">
        <f aca="false">IF(Time!AY25&gt;0,Inputs!$F$173/100*Operations!AY50*(AY8+AY9)/Time!AY25,0)</f>
        <v>0.385825986756576</v>
      </c>
      <c r="AZ26" s="11" t="n">
        <f aca="false">IF(Time!AZ25&gt;0,Inputs!$F$173/100*Operations!AZ50*(AZ8+AZ9)/Time!AZ25,0)</f>
        <v>0.390554900049564</v>
      </c>
      <c r="BA26" s="11" t="n">
        <f aca="false">IF(Time!BA25&gt;0,Inputs!$F$173/100*Operations!BA50*(BA8+BA9)/Time!BA25,0)</f>
        <v>0.387838446937433</v>
      </c>
      <c r="BB26" s="11" t="n">
        <f aca="false">IF(Time!BB25&gt;0,Inputs!$F$173/100*Operations!BB50*(BB8+BB9)/Time!BB25,0)</f>
        <v>0.380269844998462</v>
      </c>
      <c r="BC26" s="11" t="n">
        <f aca="false">IF(Time!BC25&gt;0,Inputs!$F$173/100*Operations!BC50*(BC8+BC9)/Time!BC25,0)</f>
        <v>0.387166807370548</v>
      </c>
      <c r="BD26" s="11" t="n">
        <f aca="false">IF(Time!BD25&gt;0,Inputs!$F$173/100*Operations!BD50*(BD8+BD9)/Time!BD25,0)</f>
        <v>0.399013559775125</v>
      </c>
      <c r="BE26" s="11" t="n">
        <f aca="false">IF(Time!BE25&gt;0,Inputs!$F$173/100*Operations!BE50*(BE8+BE9)/Time!BE25,0)</f>
        <v>0.399806612973101</v>
      </c>
      <c r="BF26" s="11" t="n">
        <f aca="false">IF(Time!BF25&gt;0,Inputs!$F$173/100*Operations!BF50*(BF8+BF9)/Time!BF25,0)</f>
        <v>0.399221697216575</v>
      </c>
      <c r="BG26" s="11" t="n">
        <f aca="false">IF(Time!BG25&gt;0,Inputs!$F$173/100*Operations!BG50*(BG8+BG9)/Time!BG25,0)</f>
        <v>0.402811189338957</v>
      </c>
      <c r="BH26" s="11" t="n">
        <f aca="false">IF(Time!BH25&gt;0,Inputs!$F$173/100*Operations!BH50*(BH8+BH9)/Time!BH25,0)</f>
        <v>0.407841169499662</v>
      </c>
      <c r="BI26" s="11" t="n">
        <f aca="false">IF(Time!BI25&gt;0,Inputs!$F$173/100*Operations!BI50*(BI8+BI9)/Time!BI25,0)</f>
        <v>0.402121531873073</v>
      </c>
      <c r="BJ26" s="11" t="n">
        <f aca="false">IF(Time!BJ25&gt;0,Inputs!$F$173/100*Operations!BJ50*(BJ8+BJ9)/Time!BJ25,0)</f>
        <v>0.388306331919944</v>
      </c>
      <c r="BK26" s="11" t="n">
        <f aca="false">IF(Time!BK25&gt;0,Inputs!$F$173/100*Operations!BK50*(BK8+BK9)/Time!BK25,0)</f>
        <v>0.398562145887217</v>
      </c>
      <c r="BL26" s="11" t="n">
        <f aca="false">IF(Time!BL25&gt;0,Inputs!$F$173/100*Operations!BL50*(BL8+BL9)/Time!BL25,0)</f>
        <v>0.417053815748728</v>
      </c>
      <c r="BM26" s="11" t="n">
        <f aca="false">IF(Time!BM25&gt;0,Inputs!$F$173/100*Operations!BM50*(BM8+BM9)/Time!BM25,0)</f>
        <v>0.279617771810227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219.558032623059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0.113608644444605</v>
      </c>
      <c r="Z27" s="11" t="n">
        <f aca="false">MAX(Z25,Z26)</f>
        <v>0.340019216090878</v>
      </c>
      <c r="AA27" s="11" t="n">
        <f aca="false">MAX(AA25,AA26)</f>
        <v>0.342765630663072</v>
      </c>
      <c r="AB27" s="11" t="n">
        <f aca="false">MAX(AB25,AB26)</f>
        <v>0.346731259442194</v>
      </c>
      <c r="AC27" s="11" t="n">
        <f aca="false">MAX(AC25,AC26)</f>
        <v>0.341558618979607</v>
      </c>
      <c r="AD27" s="11" t="n">
        <f aca="false">MAX(AD25,AD26)</f>
        <v>0.329524870498681</v>
      </c>
      <c r="AE27" s="11" t="n">
        <f aca="false">MAX(AE25,AE26)</f>
        <v>0.337921184884861</v>
      </c>
      <c r="AF27" s="11" t="n">
        <f aca="false">MAX(AF25,AF26)</f>
        <v>0.353278312843685</v>
      </c>
      <c r="AG27" s="11" t="n">
        <f aca="false">MAX(AG25,AG26)</f>
        <v>0.353739432262868</v>
      </c>
      <c r="AH27" s="11" t="n">
        <f aca="false">MAX(AH25,AH26)</f>
        <v>0.352981284361787</v>
      </c>
      <c r="AI27" s="11" t="n">
        <f aca="false">MAX(AI25,AI26)</f>
        <v>0.35591229349559</v>
      </c>
      <c r="AJ27" s="11" t="n">
        <f aca="false">MAX(AJ25,AJ26)</f>
        <v>0.36011096382338</v>
      </c>
      <c r="AK27" s="11" t="n">
        <f aca="false">MAX(AK25,AK26)</f>
        <v>0.357443783660565</v>
      </c>
      <c r="AL27" s="11" t="n">
        <f aca="false">MAX(AL25,AL26)</f>
        <v>0.350309021761076</v>
      </c>
      <c r="AM27" s="11" t="n">
        <f aca="false">MAX(AM25,AM26)</f>
        <v>0.356500395673222</v>
      </c>
      <c r="AN27" s="11" t="n">
        <f aca="false">MAX(AN25,AN26)</f>
        <v>0.367241665945446</v>
      </c>
      <c r="AO27" s="11" t="n">
        <f aca="false">MAX(AO25,AO26)</f>
        <v>0.367804132607598</v>
      </c>
      <c r="AP27" s="11" t="n">
        <f aca="false">MAX(AP25,AP26)</f>
        <v>0.367098879054636</v>
      </c>
      <c r="AQ27" s="11" t="n">
        <f aca="false">MAX(AQ25,AQ26)</f>
        <v>0.370230933875713</v>
      </c>
      <c r="AR27" s="11" t="n">
        <f aca="false">MAX(AR25,AR26)</f>
        <v>0.374683415594761</v>
      </c>
      <c r="AS27" s="11" t="n">
        <f aca="false">MAX(AS25,AS26)</f>
        <v>0.369260584596024</v>
      </c>
      <c r="AT27" s="11" t="n">
        <f aca="false">MAX(AT25,AT26)</f>
        <v>0.356411995814225</v>
      </c>
      <c r="AU27" s="11" t="n">
        <f aca="false">MAX(AU25,AU26)</f>
        <v>5.49959218920816</v>
      </c>
      <c r="AV27" s="11" t="n">
        <f aca="false">MAX(AV25,AV26)</f>
        <v>9.0883339199408</v>
      </c>
      <c r="AW27" s="11" t="n">
        <f aca="false">MAX(AW25,AW26)</f>
        <v>9.04349375448619</v>
      </c>
      <c r="AX27" s="11" t="n">
        <f aca="false">MAX(AX25,AX26)</f>
        <v>8.93371054392143</v>
      </c>
      <c r="AY27" s="11" t="n">
        <f aca="false">MAX(AY25,AY26)</f>
        <v>9.03687429131488</v>
      </c>
      <c r="AZ27" s="11" t="n">
        <f aca="false">MAX(AZ25,AZ26)</f>
        <v>9.22603929080664</v>
      </c>
      <c r="BA27" s="11" t="n">
        <f aca="false">MAX(BA25,BA26)</f>
        <v>8.98831832222439</v>
      </c>
      <c r="BB27" s="11" t="n">
        <f aca="false">MAX(BB25,BB26)</f>
        <v>7.42807942023305</v>
      </c>
      <c r="BC27" s="11" t="n">
        <f aca="false">MAX(BC25,BC26)</f>
        <v>10.7110971038438</v>
      </c>
      <c r="BD27" s="11" t="n">
        <f aca="false">MAX(BD25,BD26)</f>
        <v>15.1424543166703</v>
      </c>
      <c r="BE27" s="11" t="n">
        <f aca="false">MAX(BE25,BE26)</f>
        <v>15.0968422120474</v>
      </c>
      <c r="BF27" s="11" t="n">
        <f aca="false">MAX(BF25,BF26)</f>
        <v>14.9845565002793</v>
      </c>
      <c r="BG27" s="11" t="n">
        <f aca="false">MAX(BG25,BG26)</f>
        <v>15.0928329921568</v>
      </c>
      <c r="BH27" s="11" t="n">
        <f aca="false">MAX(BH25,BH26)</f>
        <v>15.2915337740042</v>
      </c>
      <c r="BI27" s="11" t="n">
        <f aca="false">MAX(BI25,BI26)</f>
        <v>14.8796990754757</v>
      </c>
      <c r="BJ27" s="11" t="n">
        <f aca="false">MAX(BJ25,BJ26)</f>
        <v>8.99899575031276</v>
      </c>
      <c r="BK27" s="11" t="n">
        <f aca="false">MAX(BK25,BK26)</f>
        <v>14.5038395041779</v>
      </c>
      <c r="BL27" s="11" t="n">
        <f aca="false">MAX(BL25,BL26)</f>
        <v>15.4466536429894</v>
      </c>
      <c r="BM27" s="11" t="n">
        <f aca="false">MAX(BM25,BM26)</f>
        <v>4.59994949859128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5.99512562348367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2.19744981334823</v>
      </c>
      <c r="Q28" s="11" t="n">
        <f aca="false">Q13-Q15</f>
        <v>1.54223191736961</v>
      </c>
      <c r="R28" s="11" t="n">
        <f aca="false">R13-R15</f>
        <v>0.908256836593685</v>
      </c>
      <c r="S28" s="11" t="n">
        <f aca="false">S13-S15</f>
        <v>0.25868826132203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150.510691411179</v>
      </c>
      <c r="AC70" s="11" t="n">
        <f aca="false">Time!AC30*AB83</f>
        <v>137.120122751116</v>
      </c>
      <c r="AD70" s="11" t="n">
        <f aca="false">Time!AD30*AC83</f>
        <v>124.685018057778</v>
      </c>
      <c r="AE70" s="11" t="n">
        <f aca="false">Time!AE30*AD83</f>
        <v>111.519745884331</v>
      </c>
      <c r="AF70" s="11" t="n">
        <f aca="false">Time!AF30*AE83</f>
        <v>98.0726162343219</v>
      </c>
      <c r="AG70" s="11" t="n">
        <f aca="false">Time!AG30*AF83</f>
        <v>83.0949845400119</v>
      </c>
      <c r="AH70" s="11" t="n">
        <f aca="false">Time!AH30*AG83</f>
        <v>68.1441998762229</v>
      </c>
      <c r="AI70" s="11" t="n">
        <f aca="false">Time!AI30*AH83</f>
        <v>52.7094060744578</v>
      </c>
      <c r="AJ70" s="11" t="n">
        <f aca="false">Time!AJ30*AI83</f>
        <v>37.6032741715011</v>
      </c>
      <c r="AK70" s="11" t="n">
        <f aca="false">Time!AK30*AJ83</f>
        <v>21.9263589248071</v>
      </c>
      <c r="AL70" s="11" t="n">
        <f aca="false">Time!AL30*AK83</f>
        <v>7.19351313597933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140.445388306827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6.59868601653554</v>
      </c>
      <c r="AC72" s="11" t="n">
        <f aca="false">AC70*AC13</f>
        <v>5.94627337253789</v>
      </c>
      <c r="AD72" s="11" t="n">
        <f aca="false">AD70*AD13</f>
        <v>5.46643748304667</v>
      </c>
      <c r="AE72" s="11" t="n">
        <f aca="false">AE70*AE13</f>
        <v>4.80952997898435</v>
      </c>
      <c r="AF72" s="11" t="n">
        <f aca="false">AF70*AF13</f>
        <v>4.29969721939906</v>
      </c>
      <c r="AG72" s="11" t="n">
        <f aca="false">AG70*AG13</f>
        <v>3.81575246599755</v>
      </c>
      <c r="AH72" s="11" t="n">
        <f aca="false">AH70*AH13</f>
        <v>3.18107220459227</v>
      </c>
      <c r="AI72" s="11" t="n">
        <f aca="false">AI70*AI13</f>
        <v>2.42043544894135</v>
      </c>
      <c r="AJ72" s="11" t="n">
        <f aca="false">AJ70*AJ13</f>
        <v>1.75537654688</v>
      </c>
      <c r="AK72" s="11" t="n">
        <f aca="false">AK70*AK13</f>
        <v>1.01242932116878</v>
      </c>
      <c r="AL72" s="11" t="n">
        <f aca="false">AL70*AL13</f>
        <v>0.335803850244013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164.943057467731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8.35305175553323</v>
      </c>
      <c r="AC73" s="11" t="n">
        <f aca="false">Time!AC30*(AC70-AC71)*AC19</f>
        <v>8.32396960141293</v>
      </c>
      <c r="AD73" s="11" t="n">
        <f aca="false">Time!AD30*(AD70-AD71)*AD19</f>
        <v>8.79904383678701</v>
      </c>
      <c r="AE73" s="11" t="n">
        <f aca="false">Time!AE30*(AE70-AE71)*AE19</f>
        <v>8.83146153103376</v>
      </c>
      <c r="AF73" s="11" t="n">
        <f aca="false">Time!AF30*(AF70-AF71)*AF19</f>
        <v>8.73039938000621</v>
      </c>
      <c r="AG73" s="11" t="n">
        <f aca="false">Time!AG30*(AG70-AG71)*AG19</f>
        <v>8.27147235149</v>
      </c>
      <c r="AH73" s="11" t="n">
        <f aca="false">Time!AH30*(AH70-AH71)*AH19</f>
        <v>7.91127133642195</v>
      </c>
      <c r="AI73" s="11" t="n">
        <f aca="false">Time!AI30*(AI70-AI71)*AI19</f>
        <v>7.12637669596324</v>
      </c>
      <c r="AJ73" s="11" t="n">
        <f aca="false">Time!AJ30*(AJ70-AJ71)*AJ19</f>
        <v>6.16265114638586</v>
      </c>
      <c r="AK73" s="11" t="n">
        <f aca="false">Time!AK30*(AK70-AK71)*AK19</f>
        <v>4.43687905531915</v>
      </c>
      <c r="AL73" s="11" t="n">
        <f aca="false">Time!AL30*(AL70-AL71)*AL19</f>
        <v>1.93502407882189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164.943057467731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8.35305175553323</v>
      </c>
      <c r="AC77" s="11" t="n">
        <f aca="false">AC73-AC74+AC76</f>
        <v>8.32396960141293</v>
      </c>
      <c r="AD77" s="11" t="n">
        <f aca="false">AD73-AD74+AD76</f>
        <v>8.79904383678701</v>
      </c>
      <c r="AE77" s="11" t="n">
        <f aca="false">AE73-AE74+AE76</f>
        <v>8.83146153103376</v>
      </c>
      <c r="AF77" s="11" t="n">
        <f aca="false">AF73-AF74+AF76</f>
        <v>8.73039938000621</v>
      </c>
      <c r="AG77" s="11" t="n">
        <f aca="false">AG73-AG74+AG76</f>
        <v>8.27147235149</v>
      </c>
      <c r="AH77" s="11" t="n">
        <f aca="false">AH73-AH74+AH76</f>
        <v>7.91127133642195</v>
      </c>
      <c r="AI77" s="11" t="n">
        <f aca="false">AI73-AI74+AI76</f>
        <v>7.12637669596324</v>
      </c>
      <c r="AJ77" s="11" t="n">
        <f aca="false">AJ73-AJ74+AJ76</f>
        <v>6.16265114638586</v>
      </c>
      <c r="AK77" s="11" t="n">
        <f aca="false">AK73-AK74+AK76</f>
        <v>4.43687905531915</v>
      </c>
      <c r="AL77" s="11" t="n">
        <f aca="false">AL73-AL74+AL76</f>
        <v>1.93502407882189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142.157639655646</v>
      </c>
      <c r="AC81" s="11" t="n">
        <f aca="false">AC70-AC77-AC78-AC79</f>
        <v>128.796153149703</v>
      </c>
      <c r="AD81" s="11" t="n">
        <f aca="false">AD70-AD77-AD78-AD79</f>
        <v>115.885974220991</v>
      </c>
      <c r="AE81" s="11" t="n">
        <f aca="false">AE70-AE77-AE78-AE79</f>
        <v>102.688284353297</v>
      </c>
      <c r="AF81" s="11" t="n">
        <f aca="false">AF70-AF77-AF78-AF79</f>
        <v>89.3422168543157</v>
      </c>
      <c r="AG81" s="11" t="n">
        <f aca="false">AG70-AG77-AG78-AG79</f>
        <v>74.8235121885219</v>
      </c>
      <c r="AH81" s="11" t="n">
        <f aca="false">AH70-AH77-AH78-AH79</f>
        <v>60.2329285398009</v>
      </c>
      <c r="AI81" s="11" t="n">
        <f aca="false">AI70-AI77-AI78-AI79</f>
        <v>45.5830293784946</v>
      </c>
      <c r="AJ81" s="11" t="n">
        <f aca="false">AJ70-AJ77-AJ78-AJ79</f>
        <v>31.4406230251153</v>
      </c>
      <c r="AK81" s="11" t="n">
        <f aca="false">AK70-AK77-AK78-AK79</f>
        <v>17.4894798694879</v>
      </c>
      <c r="AL81" s="11" t="n">
        <f aca="false">AL70-AL77-AL78-AL79</f>
        <v>5.25848905715745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75.6942132385233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4.06512259651941</v>
      </c>
      <c r="AB82" s="11" t="n">
        <f aca="false">Waterfall!AB28*AB81/(AB36+AB51+AB66+AB81+AB96+0.000000001)+Waterfall!AB29</f>
        <v>5.03751690453018</v>
      </c>
      <c r="AC82" s="11" t="n">
        <f aca="false">Waterfall!AC28*AC81/(AC36+AC51+AC66+AC81+AC96+0.000000001)+Waterfall!AC29</f>
        <v>4.11113509192494</v>
      </c>
      <c r="AD82" s="11" t="n">
        <f aca="false">Waterfall!AD28*AD81/(AD36+AD51+AD66+AD81+AD96+0.000000001)+Waterfall!AD29</f>
        <v>4.36622833666002</v>
      </c>
      <c r="AE82" s="11" t="n">
        <f aca="false">Waterfall!AE28*AE81/(AE36+AE51+AE66+AE81+AE96+0.000000001)+Waterfall!AE29</f>
        <v>4.61566811897511</v>
      </c>
      <c r="AF82" s="11" t="n">
        <f aca="false">Waterfall!AF28*AF81/(AF36+AF51+AF66+AF81+AF96+0.000000001)+Waterfall!AF29</f>
        <v>6.24723231430377</v>
      </c>
      <c r="AG82" s="11" t="n">
        <f aca="false">Waterfall!AG28*AG81/(AG36+AG51+AG66+AG81+AG96+0.000000001)+Waterfall!AG29</f>
        <v>6.67931231229901</v>
      </c>
      <c r="AH82" s="11" t="n">
        <f aca="false">Waterfall!AH28*AH81/(AH36+AH51+AH66+AH81+AH96+0.000000001)+Waterfall!AH29</f>
        <v>7.52352246534315</v>
      </c>
      <c r="AI82" s="11" t="n">
        <f aca="false">Waterfall!AI28*AI81/(AI36+AI51+AI66+AI81+AI96+0.000000001)+Waterfall!AI29</f>
        <v>7.97975520699342</v>
      </c>
      <c r="AJ82" s="11" t="n">
        <f aca="false">Waterfall!AJ28*AJ81/(AJ36+AJ51+AJ66+AJ81+AJ96+0.000000001)+Waterfall!AJ29</f>
        <v>9.51426410030822</v>
      </c>
      <c r="AK82" s="11" t="n">
        <f aca="false">Waterfall!AK28*AK81/(AK36+AK51+AK66+AK81+AK96+0.000000001)+Waterfall!AK29</f>
        <v>10.2959667335086</v>
      </c>
      <c r="AL82" s="11" t="n">
        <f aca="false">Waterfall!AL28*AL81/(AL36+AL51+AL66+AL81+AL96+0.000000001)+Waterfall!AL29</f>
        <v>5.25848905715745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150.510691411179</v>
      </c>
      <c r="AB83" s="11" t="n">
        <f aca="false">IF(Time!AB29=1,INDEX(Funding!$J$64:$BJ$64,1,Time!$F$13),Time!AB30*(AB81-AB82))</f>
        <v>137.120122751116</v>
      </c>
      <c r="AC83" s="11" t="n">
        <f aca="false">IF(Time!AC29=1,INDEX(Funding!$J$64:$BJ$64,1,Time!$F$13),Time!AC30*(AC81-AC82))</f>
        <v>124.685018057778</v>
      </c>
      <c r="AD83" s="11" t="n">
        <f aca="false">IF(Time!AD29=1,INDEX(Funding!$J$64:$BJ$64,1,Time!$F$13),Time!AD30*(AD81-AD82))</f>
        <v>111.519745884331</v>
      </c>
      <c r="AE83" s="11" t="n">
        <f aca="false">IF(Time!AE29=1,INDEX(Funding!$J$64:$BJ$64,1,Time!$F$13),Time!AE30*(AE81-AE82))</f>
        <v>98.0726162343219</v>
      </c>
      <c r="AF83" s="11" t="n">
        <f aca="false">IF(Time!AF29=1,INDEX(Funding!$J$64:$BJ$64,1,Time!$F$13),Time!AF30*(AF81-AF82))</f>
        <v>83.0949845400119</v>
      </c>
      <c r="AG83" s="11" t="n">
        <f aca="false">IF(Time!AG29=1,INDEX(Funding!$J$64:$BJ$64,1,Time!$F$13),Time!AG30*(AG81-AG82))</f>
        <v>68.1441998762229</v>
      </c>
      <c r="AH83" s="11" t="n">
        <f aca="false">IF(Time!AH29=1,INDEX(Funding!$J$64:$BJ$64,1,Time!$F$13),Time!AH30*(AH81-AH82))</f>
        <v>52.7094060744578</v>
      </c>
      <c r="AI83" s="11" t="n">
        <f aca="false">IF(Time!AI29=1,INDEX(Funding!$J$64:$BJ$64,1,Time!$F$13),Time!AI30*(AI81-AI82))</f>
        <v>37.6032741715011</v>
      </c>
      <c r="AJ83" s="11" t="n">
        <f aca="false">IF(Time!AJ29=1,INDEX(Funding!$J$64:$BJ$64,1,Time!$F$13),Time!AJ30*(AJ81-AJ82))</f>
        <v>21.9263589248071</v>
      </c>
      <c r="AK83" s="11" t="n">
        <f aca="false">IF(Time!AK29=1,INDEX(Funding!$J$64:$BJ$64,1,Time!$F$13),Time!AK30*(AK81-AK82))</f>
        <v>7.19351313597933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17.2798357937116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0.78529468691356</v>
      </c>
      <c r="AC115" s="11" t="n">
        <f aca="false">(Inputs!$F$93/100*Inputs!$F$94/100)*AC70*Time!AC20/365</f>
        <v>0.707652534866511</v>
      </c>
      <c r="AD115" s="11" t="n">
        <f aca="false">(Inputs!$F$93/100*Inputs!$F$94/100)*AD70*Time!AD20/365</f>
        <v>0.650548351751321</v>
      </c>
      <c r="AE115" s="11" t="n">
        <f aca="false">(Inputs!$F$93/100*Inputs!$F$94/100)*AE70*Time!AE20/365</f>
        <v>0.572371276581948</v>
      </c>
      <c r="AF115" s="11" t="n">
        <f aca="false">(Inputs!$F$93/100*Inputs!$F$94/100)*AF70*Time!AF20/365</f>
        <v>0.511697233853815</v>
      </c>
      <c r="AG115" s="11" t="n">
        <f aca="false">(Inputs!$F$93/100*Inputs!$F$94/100)*AG70*Time!AG20/365</f>
        <v>0.426482162432963</v>
      </c>
      <c r="AH115" s="11" t="n">
        <f aca="false">(Inputs!$F$93/100*Inputs!$F$94/100)*AH70*Time!AH20/365</f>
        <v>0.355544696559668</v>
      </c>
      <c r="AI115" s="11" t="n">
        <f aca="false">(Inputs!$F$93/100*Inputs!$F$94/100)*AI70*Time!AI20/365</f>
        <v>0.270529221560508</v>
      </c>
      <c r="AJ115" s="11" t="n">
        <f aca="false">(Inputs!$F$93/100*Inputs!$F$94/100)*AJ70*Time!AJ20/365</f>
        <v>0.196196370773169</v>
      </c>
      <c r="AK115" s="11" t="n">
        <f aca="false">(Inputs!$F$93/100*Inputs!$F$94/100)*AK70*Time!AK20/365</f>
        <v>0.113158033716874</v>
      </c>
      <c r="AL115" s="11" t="n">
        <f aca="false">(Inputs!$F$93/100*Inputs!$F$94/100)*AL70*Time!AL20/365</f>
        <v>0.0375324011401618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310.907433177667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13.8389086704012</v>
      </c>
      <c r="AC118" s="11" t="n">
        <f aca="false">AC27+AC42+AC57+AC72+AC87+AC101</f>
        <v>12.7103472154153</v>
      </c>
      <c r="AD118" s="11" t="n">
        <f aca="false">AD27+AD42+AD57+AD72+AD87+AD101</f>
        <v>11.8897118575751</v>
      </c>
      <c r="AE118" s="11" t="n">
        <f aca="false">AE27+AE42+AE57+AE72+AE87+AE101</f>
        <v>10.6821760662772</v>
      </c>
      <c r="AF118" s="11" t="n">
        <f aca="false">AF27+AF42+AF57+AF72+AF87+AF101</f>
        <v>9.79690565245772</v>
      </c>
      <c r="AG118" s="11" t="n">
        <f aca="false">AG27+AG42+AG57+AG72+AG87+AG101</f>
        <v>8.74195109989904</v>
      </c>
      <c r="AH118" s="11" t="n">
        <f aca="false">AH27+AH42+AH57+AH72+AH87+AH101</f>
        <v>7.69042740824963</v>
      </c>
      <c r="AI118" s="11" t="n">
        <f aca="false">AI27+AI42+AI57+AI72+AI87+AI101</f>
        <v>6.34128592617461</v>
      </c>
      <c r="AJ118" s="11" t="n">
        <f aca="false">AJ27+AJ42+AJ57+AJ72+AJ87+AJ101</f>
        <v>5.20232342573615</v>
      </c>
      <c r="AK118" s="11" t="n">
        <f aca="false">AK27+AK42+AK57+AK72+AK87+AK101</f>
        <v>3.86314324956267</v>
      </c>
      <c r="AL118" s="11" t="n">
        <f aca="false">AL27+AL42+AL57+AL72+AL87+AL101</f>
        <v>2.63465286092657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319.853065368393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14.2298994390683</v>
      </c>
      <c r="AC119" s="11" t="n">
        <f aca="false">AC118+AC114+AC115+AC116</f>
        <v>13.0988550905938</v>
      </c>
      <c r="AD119" s="11" t="n">
        <f aca="false">AD118+AD114+AD115+AD116</f>
        <v>12.1904474514969</v>
      </c>
      <c r="AE119" s="11" t="n">
        <f aca="false">AE118+AE114+AE115+AE116</f>
        <v>10.9991867103857</v>
      </c>
      <c r="AF119" s="11" t="n">
        <f aca="false">AF118+AF114+AF115+AF116</f>
        <v>10.0092238577653</v>
      </c>
      <c r="AG119" s="11" t="n">
        <f aca="false">AG118+AG114+AG115+AG116</f>
        <v>8.95422706292133</v>
      </c>
      <c r="AH119" s="11" t="n">
        <f aca="false">AH118+AH114+AH115+AH116</f>
        <v>7.80039175313076</v>
      </c>
      <c r="AI119" s="11" t="n">
        <f aca="false">AI118+AI114+AI115+AI116</f>
        <v>6.44132456430518</v>
      </c>
      <c r="AJ119" s="11" t="n">
        <f aca="false">AJ118+AJ114+AJ115+AJ116</f>
        <v>5.21079840653317</v>
      </c>
      <c r="AK119" s="11" t="n">
        <f aca="false">AK118+AK114+AK115+AK116</f>
        <v>3.84179800202054</v>
      </c>
      <c r="AL119" s="11" t="n">
        <f aca="false">AL118+AL114+AL115+AL116</f>
        <v>2.54698950280577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557.561762304268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22.3498098441988</v>
      </c>
      <c r="AC120" s="11" t="n">
        <f aca="false">AC32+AC47+AC62+AC77+AC92+AC102</f>
        <v>22.7844186781032</v>
      </c>
      <c r="AD120" s="11" t="n">
        <f aca="false">AD32+AD47+AD62+AD77+AD92+AD102</f>
        <v>24.5887989881333</v>
      </c>
      <c r="AE120" s="11" t="n">
        <f aca="false">AE32+AE47+AE62+AE77+AE92+AE102</f>
        <v>25.299868875077</v>
      </c>
      <c r="AF120" s="11" t="n">
        <f aca="false">AF32+AF47+AF62+AF77+AF92+AF102</f>
        <v>25.77654788253</v>
      </c>
      <c r="AG120" s="11" t="n">
        <f aca="false">AG32+AG47+AG62+AG77+AG92+AG102</f>
        <v>25.6357568091137</v>
      </c>
      <c r="AH120" s="11" t="n">
        <f aca="false">AH32+AH47+AH62+AH77+AH92+AH102</f>
        <v>26.1472696215603</v>
      </c>
      <c r="AI120" s="11" t="n">
        <f aca="false">AI32+AI47+AI62+AI77+AI92+AI102</f>
        <v>25.8978298710287</v>
      </c>
      <c r="AJ120" s="11" t="n">
        <f aca="false">AJ32+AJ47+AJ62+AJ77+AJ92+AJ102</f>
        <v>25.8403462184588</v>
      </c>
      <c r="AK120" s="11" t="n">
        <f aca="false">AK32+AK47+AK62+AK77+AK92+AK102</f>
        <v>24.7515062722752</v>
      </c>
      <c r="AL120" s="11" t="n">
        <f aca="false">AL32+AL47+AL62+AL77+AL92+AL102</f>
        <v>23.4754106627967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877.414827672662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36.5797092832671</v>
      </c>
      <c r="AC121" s="11" t="n">
        <f aca="false">AC119+AC120</f>
        <v>35.883273768697</v>
      </c>
      <c r="AD121" s="11" t="n">
        <f aca="false">AD119+AD120</f>
        <v>36.7792464396302</v>
      </c>
      <c r="AE121" s="11" t="n">
        <f aca="false">AE119+AE120</f>
        <v>36.2990555854627</v>
      </c>
      <c r="AF121" s="11" t="n">
        <f aca="false">AF119+AF120</f>
        <v>35.7857717402953</v>
      </c>
      <c r="AG121" s="11" t="n">
        <f aca="false">AG119+AG120</f>
        <v>34.5899838720351</v>
      </c>
      <c r="AH121" s="11" t="n">
        <f aca="false">AH119+AH120</f>
        <v>33.947661374691</v>
      </c>
      <c r="AI121" s="11" t="n">
        <f aca="false">AI119+AI120</f>
        <v>32.3391544353339</v>
      </c>
      <c r="AJ121" s="11" t="n">
        <f aca="false">AJ119+AJ120</f>
        <v>31.051144624992</v>
      </c>
      <c r="AK121" s="11" t="n">
        <f aca="false">AK119+AK120</f>
        <v>28.5933042742957</v>
      </c>
      <c r="AL121" s="11" t="n">
        <f aca="false">AL119+AL120</f>
        <v>26.0224001656024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402.713335318488</v>
      </c>
      <c r="AC122" s="11" t="n">
        <f aca="false">AC25+AC40+AC55+AC70+AC85+AC100</f>
        <v>375.326008569759</v>
      </c>
      <c r="AD122" s="11" t="n">
        <f aca="false">AD25+AD40+AD55+AD70+AD85+AD100</f>
        <v>348.430454799731</v>
      </c>
      <c r="AE122" s="11" t="n">
        <f aca="false">AE25+AE40+AE55+AE70+AE85+AE100</f>
        <v>319.475427474937</v>
      </c>
      <c r="AF122" s="11" t="n">
        <f aca="false">AF25+AF40+AF55+AF70+AF85+AF100</f>
        <v>289.559890480885</v>
      </c>
      <c r="AG122" s="11" t="n">
        <f aca="false">AG25+AG40+AG55+AG70+AG85+AG100</f>
        <v>257.536110284052</v>
      </c>
      <c r="AH122" s="11" t="n">
        <f aca="false">AH25+AH40+AH55+AH70+AH85+AH100</f>
        <v>225.221041162639</v>
      </c>
      <c r="AI122" s="11" t="n">
        <f aca="false">AI25+AI40+AI55+AI70+AI85+AI100</f>
        <v>191.550249075735</v>
      </c>
      <c r="AJ122" s="11" t="n">
        <f aca="false">AJ25+AJ40+AJ55+AJ70+AJ85+AJ100</f>
        <v>157.672663997713</v>
      </c>
      <c r="AK122" s="11" t="n">
        <f aca="false">AK25+AK40+AK55+AK70+AK85+AK100</f>
        <v>122.318053678946</v>
      </c>
      <c r="AL122" s="11" t="n">
        <f aca="false">AL25+AL40+AL55+AL70+AL85+AL100</f>
        <v>87.2705806731624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402.713335318488</v>
      </c>
      <c r="AB123" s="11" t="n">
        <f aca="false">AB38+AB53+AB68+AB83+AB98+AB104</f>
        <v>375.326008569759</v>
      </c>
      <c r="AC123" s="11" t="n">
        <f aca="false">AC38+AC53+AC68+AC83+AC98+AC104</f>
        <v>348.430454799731</v>
      </c>
      <c r="AD123" s="11" t="n">
        <f aca="false">AD38+AD53+AD68+AD83+AD98+AD104</f>
        <v>319.475427474937</v>
      </c>
      <c r="AE123" s="11" t="n">
        <f aca="false">AE38+AE53+AE68+AE83+AE98+AE104</f>
        <v>289.559890480885</v>
      </c>
      <c r="AF123" s="11" t="n">
        <f aca="false">AF38+AF53+AF68+AF83+AF98+AF104</f>
        <v>257.536110284052</v>
      </c>
      <c r="AG123" s="11" t="n">
        <f aca="false">AG38+AG53+AG68+AG83+AG98+AG104</f>
        <v>225.221041162639</v>
      </c>
      <c r="AH123" s="11" t="n">
        <f aca="false">AH38+AH53+AH68+AH83+AH98+AH104</f>
        <v>191.550249075735</v>
      </c>
      <c r="AI123" s="11" t="n">
        <f aca="false">AI38+AI53+AI68+AI83+AI98+AI104</f>
        <v>157.672663997713</v>
      </c>
      <c r="AJ123" s="11" t="n">
        <f aca="false">AJ38+AJ53+AJ68+AJ83+AJ98+AJ104</f>
        <v>122.318053678946</v>
      </c>
      <c r="AK123" s="11" t="n">
        <f aca="false">AK38+AK53+AK68+AK83+AK98+AK104</f>
        <v>87.2705806731624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142.157639655646</v>
      </c>
      <c r="AC125" s="11" t="n">
        <f aca="false">IF(Time!AC29=1,AC83,AC81)</f>
        <v>128.796153149703</v>
      </c>
      <c r="AD125" s="11" t="n">
        <f aca="false">IF(Time!AD29=1,AD83,AD81)</f>
        <v>115.885974220991</v>
      </c>
      <c r="AE125" s="11" t="n">
        <f aca="false">IF(Time!AE29=1,AE83,AE81)</f>
        <v>102.688284353297</v>
      </c>
      <c r="AF125" s="11" t="n">
        <f aca="false">IF(Time!AF29=1,AF83,AF81)</f>
        <v>89.3422168543157</v>
      </c>
      <c r="AG125" s="11" t="n">
        <f aca="false">IF(Time!AG29=1,AG83,AG81)</f>
        <v>74.8235121885219</v>
      </c>
      <c r="AH125" s="11" t="n">
        <f aca="false">IF(Time!AH29=1,AH83,AH81)</f>
        <v>60.2329285398009</v>
      </c>
      <c r="AI125" s="11" t="n">
        <f aca="false">IF(Time!AI29=1,AI83,AI81)</f>
        <v>45.5830293784946</v>
      </c>
      <c r="AJ125" s="11" t="n">
        <f aca="false">IF(Time!AJ29=1,AJ83,AJ81)</f>
        <v>31.4406230251153</v>
      </c>
      <c r="AK125" s="11" t="n">
        <f aca="false">IF(Time!AK29=1,AK83,AK81)</f>
        <v>17.4894798694879</v>
      </c>
      <c r="AL125" s="11" t="n">
        <f aca="false">IF(Time!AL29=1,AL83,AL81)</f>
        <v>5.25848905715745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14.7945029350034</v>
      </c>
      <c r="AC129" s="11" t="n">
        <f aca="false">IF(AND(Time!AC17&gt;=Time!$F$11,Time!AC17&lt;57),(IF(Time!AC29=1,AC83,AC81)-AC80)*AD19+IF(Time!AC29=1,AC83,AC81)*AD13,0)</f>
        <v>14.7358451355568</v>
      </c>
      <c r="AD129" s="11" t="n">
        <f aca="false">IF(AND(Time!AD17&gt;=Time!$F$11,Time!AD17&lt;57),(IF(Time!AD29=1,AD83,AD81)-AD80)*AE19+IF(Time!AD29=1,AD83,AD81)*AE13,0)</f>
        <v>14.1750644959174</v>
      </c>
      <c r="AE129" s="11" t="n">
        <f aca="false">IF(AND(Time!AE17&gt;=Time!$F$11,Time!AE17&lt;57),(IF(Time!AE29=1,AE83,AE81)-AE80)*AF19+IF(Time!AE29=1,AE83,AE81)*AF13,0)</f>
        <v>13.643342210365</v>
      </c>
      <c r="AF129" s="11" t="n">
        <f aca="false">IF(AND(Time!AF17&gt;=Time!$F$11,Time!AF17&lt;57),(IF(Time!AF29=1,AF83,AF81)-AF80)*AG19+IF(Time!AF29=1,AF83,AF81)*AG13,0)</f>
        <v>12.9959643989204</v>
      </c>
      <c r="AG129" s="11" t="n">
        <f aca="false">IF(AND(Time!AG17&gt;=Time!$F$11,Time!AG17&lt;57),(IF(Time!AG29=1,AG83,AG81)-AG80)*AH19+IF(Time!AG29=1,AG83,AG81)*AH13,0)</f>
        <v>12.1795854034225</v>
      </c>
      <c r="AH129" s="11" t="n">
        <f aca="false">IF(AND(Time!AH17&gt;=Time!$F$11,Time!AH17&lt;57),(IF(Time!AH29=1,AH83,AH81)-AH80)*AI19+IF(Time!AH29=1,AH83,AH81)*AI13,0)</f>
        <v>10.9094845973913</v>
      </c>
      <c r="AI129" s="11" t="n">
        <f aca="false">IF(AND(Time!AI17&gt;=Time!$F$11,Time!AI17&lt;57),(IF(Time!AI29=1,AI83,AI81)-AI80)*AJ19+IF(Time!AI29=1,AI83,AI81)*AJ13,0)</f>
        <v>9.59830485281018</v>
      </c>
      <c r="AJ129" s="11" t="n">
        <f aca="false">IF(AND(Time!AJ17&gt;=Time!$F$11,Time!AJ17&lt;57),(IF(Time!AJ29=1,AJ83,AJ81)-AJ80)*AK19+IF(Time!AJ29=1,AJ83,AJ81)*AK13,0)</f>
        <v>7.81386690787592</v>
      </c>
      <c r="AK129" s="11" t="n">
        <f aca="false">IF(AND(Time!AK17&gt;=Time!$F$11,Time!AK17&lt;57),(IF(Time!AK29=1,AK83,AK81)-AK80)*AL19+IF(Time!AK29=1,AK83,AK81)*AL13,0)</f>
        <v>5.52102965570828</v>
      </c>
      <c r="AL129" s="11" t="n">
        <f aca="false">IF(AND(Time!AL17&gt;=Time!$F$11,Time!AL17&lt;57),(IF(Time!AL29=1,AL83,AL81)-AL80)*AM19+IF(Time!AL29=1,AL83,AL81)*AM13,0)</f>
        <v>2.21671525514116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36.4335314574018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37.2710602434878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36.8555380887716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36.4230997577367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35.5307871593748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35.0697527778323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33.7404411092191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32.7730564306081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31.0069642283844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29.3263214512785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25.8129961234199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785.713564156245</v>
      </c>
      <c r="Q136" s="11" t="n">
        <f aca="false">IF(Q134=1,(Waterfall!Q7+R136)/(1+Q135),0)</f>
        <v>765.899333771189</v>
      </c>
      <c r="R136" s="11" t="n">
        <f aca="false">IF(R134=1,(Waterfall!R7+S136)/(1+R135),0)</f>
        <v>745.444892333753</v>
      </c>
      <c r="S136" s="11" t="n">
        <f aca="false">IF(S134=1,(Waterfall!S7+T136)/(1+S135),0)</f>
        <v>724.392623822401</v>
      </c>
      <c r="T136" s="11" t="n">
        <f aca="false">IF(T134=1,(Waterfall!T7+U136)/(1+T135),0)</f>
        <v>702.682191584399</v>
      </c>
      <c r="U136" s="11" t="n">
        <f aca="false">IF(U134=1,(Waterfall!U7+V136)/(1+U135),0)</f>
        <v>679.570875421716</v>
      </c>
      <c r="V136" s="11" t="n">
        <f aca="false">IF(V134=1,(Waterfall!V7+W136)/(1+V135),0)</f>
        <v>656.269959418746</v>
      </c>
      <c r="W136" s="11" t="n">
        <f aca="false">IF(W134=1,(Waterfall!W7+X136)/(1+W135),0)</f>
        <v>632.881945925863</v>
      </c>
      <c r="X136" s="11" t="n">
        <f aca="false">IF(X134=1,(Waterfall!X7+Y136)/(1+X135),0)</f>
        <v>608.567249213002</v>
      </c>
      <c r="Y136" s="11" t="n">
        <f aca="false">IF(Y134=1,(Waterfall!Y7+Z136)/(1+Y135),0)</f>
        <v>583.71528056648</v>
      </c>
      <c r="Z136" s="11" t="n">
        <f aca="false">IF(Z134=1,(Waterfall!Z7+AA136)/(1+Z135),0)</f>
        <v>558.674405733389</v>
      </c>
      <c r="AA136" s="11" t="n">
        <f aca="false">IF(AA134=1,(Waterfall!AA7+AB136)/(1+AA135),0)</f>
        <v>533.026817785217</v>
      </c>
      <c r="AB136" s="11" t="n">
        <f aca="false">IF(AB134=1,(Waterfall!AB7+AC136)/(1+AB135),0)</f>
        <v>506.593633790989</v>
      </c>
      <c r="AC136" s="11" t="n">
        <f aca="false">IF(AC134=1,(Waterfall!AC7+AD136)/(1+AC135),0)</f>
        <v>478.480105475529</v>
      </c>
      <c r="AD136" s="11" t="n">
        <f aca="false">IF(AD134=1,(Waterfall!AD7+AE136)/(1+AD135),0)</f>
        <v>450.386602723792</v>
      </c>
      <c r="AE136" s="11" t="n">
        <f aca="false">IF(AE134=1,(Waterfall!AE7+AF136)/(1+AE135),0)</f>
        <v>421.266631554232</v>
      </c>
      <c r="AF136" s="11" t="n">
        <f aca="false">IF(AF134=1,(Waterfall!AF7+AG136)/(1+AF135),0)</f>
        <v>390.949263519297</v>
      </c>
      <c r="AG136" s="11" t="n">
        <f aca="false">IF(AG134=1,(Waterfall!AG7+AH136)/(1+AG135),0)</f>
        <v>357.429175543469</v>
      </c>
      <c r="AH136" s="11" t="n">
        <f aca="false">IF(AH134=1,(Waterfall!AH7+AI136)/(1+AH135),0)</f>
        <v>322.861764590533</v>
      </c>
      <c r="AI136" s="11" t="n">
        <f aca="false">IF(AI134=1,(Waterfall!AI7+AJ136)/(1+AI135),0)</f>
        <v>286.997363270773</v>
      </c>
      <c r="AJ136" s="11" t="n">
        <f aca="false">IF(AJ134=1,(Waterfall!AJ7+AK136)/(1+AJ135),0)</f>
        <v>250.040313896776</v>
      </c>
      <c r="AK136" s="11" t="n">
        <f aca="false">IF(AK134=1,(Waterfall!AK7+AL136)/(1+AK135),0)</f>
        <v>210.866013290087</v>
      </c>
      <c r="AL136" s="11" t="n">
        <f aca="false">IF(AL134=1,(Waterfall!AL7+AM136)/(1+AL135),0)</f>
        <v>171.012071772727</v>
      </c>
      <c r="AM136" s="11" t="n">
        <f aca="false">IF(AM134=1,(Waterfall!AM7+AN136)/(1+AM135),0)</f>
        <v>130.281820198933</v>
      </c>
      <c r="AN136" s="11" t="n">
        <f aca="false">IF(AN134=1,(Waterfall!AN7+AO136)/(1+AN135),0)</f>
        <v>88.1229412382388</v>
      </c>
      <c r="AO136" s="11" t="n">
        <f aca="false">IF(AO134=1,(Waterfall!AO7+AP136)/(1+AO135),0)</f>
        <v>44.7911654473721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1.24075191471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582.010047523145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37.725715037342</v>
      </c>
      <c r="Q140" s="11" t="n">
        <f aca="false">IF(Q134=1,Waterfall!Q7/$F$137,0)</f>
        <v>37.4809510321976</v>
      </c>
      <c r="R140" s="11" t="n">
        <f aca="false">IF(R134=1,Waterfall!R7/$F$137,0)</f>
        <v>37.6233761122869</v>
      </c>
      <c r="S140" s="11" t="n">
        <f aca="false">IF(S134=1,Waterfall!S7/$F$137,0)</f>
        <v>37.362528837741</v>
      </c>
      <c r="T140" s="11" t="n">
        <f aca="false">IF(T134=1,Waterfall!T7/$F$137,0)</f>
        <v>38.1049633350747</v>
      </c>
      <c r="U140" s="11" t="n">
        <f aca="false">IF(U134=1,Waterfall!U7/$F$137,0)</f>
        <v>37.4825594666689</v>
      </c>
      <c r="V140" s="11" t="n">
        <f aca="false">IF(V134=1,Waterfall!V7/$F$137,0)</f>
        <v>37.0414405654045</v>
      </c>
      <c r="W140" s="11" t="n">
        <f aca="false">IF(W134=1,Waterfall!W7/$F$137,0)</f>
        <v>36.9520090328305</v>
      </c>
      <c r="X140" s="11" t="n">
        <f aca="false">IF(X134=1,Waterfall!X7/$F$137,0)</f>
        <v>36.8990319515137</v>
      </c>
      <c r="Y140" s="11" t="n">
        <f aca="false">IF(Y134=1,Waterfall!Y7/$F$137,0)</f>
        <v>36.6883520129798</v>
      </c>
      <c r="Z140" s="11" t="n">
        <f aca="false">IF(Z134=1,Waterfall!Z7/$F$137,0)</f>
        <v>36.6431075220523</v>
      </c>
      <c r="AA140" s="11" t="n">
        <f aca="false">IF(AA134=1,Waterfall!AA7/$F$137,0)</f>
        <v>36.3771301014389</v>
      </c>
      <c r="AB140" s="11" t="n">
        <f aca="false">IF(AB134=1,Waterfall!AB7/$F$137,0)</f>
        <v>37.1416117689604</v>
      </c>
      <c r="AC140" s="11" t="n">
        <f aca="false">IF(AC134=1,Waterfall!AC7/$F$137,0)</f>
        <v>36.2224488278443</v>
      </c>
      <c r="AD140" s="11" t="n">
        <f aca="false">IF(AD134=1,Waterfall!AD7/$F$137,0)</f>
        <v>36.3458483711261</v>
      </c>
      <c r="AE140" s="11" t="n">
        <f aca="false">IF(AE134=1,Waterfall!AE7/$F$137,0)</f>
        <v>36.3472769678689</v>
      </c>
      <c r="AF140" s="11" t="n">
        <f aca="false">IF(AF134=1,Waterfall!AF7/$F$137,0)</f>
        <v>38.1929080332042</v>
      </c>
      <c r="AG140" s="11" t="n">
        <f aca="false">IF(AG134=1,Waterfall!AG7/$F$137,0)</f>
        <v>38.273222512971</v>
      </c>
      <c r="AH140" s="11" t="n">
        <f aca="false">IF(AH134=1,Waterfall!AH7/$F$137,0)</f>
        <v>38.4165392546704</v>
      </c>
      <c r="AI140" s="11" t="n">
        <f aca="false">IF(AI134=1,Waterfall!AI7/$F$137,0)</f>
        <v>38.1472553937364</v>
      </c>
      <c r="AJ140" s="11" t="n">
        <f aca="false">IF(AJ134=1,Waterfall!AJ7/$F$137,0)</f>
        <v>38.9389531062518</v>
      </c>
      <c r="AK140" s="11" t="n">
        <f aca="false">IF(AK134=1,Waterfall!AK7/$F$137,0)</f>
        <v>38.2869406857295</v>
      </c>
      <c r="AL140" s="11" t="n">
        <f aca="false">IF(AL134=1,Waterfall!AL7/$F$137,0)</f>
        <v>37.8649042544492</v>
      </c>
      <c r="AM140" s="11" t="n">
        <f aca="false">IF(AM134=1,Waterfall!AM7/$F$137,0)</f>
        <v>37.7740607118885</v>
      </c>
      <c r="AN140" s="11" t="n">
        <f aca="false">IF(AN134=1,Waterfall!AN7/$F$137,0)</f>
        <v>37.5198109935924</v>
      </c>
      <c r="AO140" s="11" t="n">
        <f aca="false">IF(AO134=1,Waterfall!AO7/$F$137,0)</f>
        <v>37.4049417555177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617.286441141784</v>
      </c>
      <c r="R141" s="11" t="n">
        <f aca="false">IF(R134=1,IF(Time!R17=Time!$F$12,Funding!$F$25,Q141-Q142),0)</f>
        <v>600.800920390267</v>
      </c>
      <c r="S141" s="11" t="n">
        <f aca="false">IF(S134=1,IF(Time!S17=Time!$F$12,Funding!$F$25,R141-R142),0)</f>
        <v>583.833573202031</v>
      </c>
      <c r="T141" s="11" t="n">
        <f aca="false">IF(T134=1,IF(Time!T17=Time!$F$12,Funding!$F$25,S141-S142),0)</f>
        <v>566.335770474017</v>
      </c>
      <c r="U141" s="11" t="n">
        <f aca="false">IF(U134=1,IF(Time!U17=Time!$F$12,Funding!$F$25,T141-T142),0)</f>
        <v>547.708907288329</v>
      </c>
      <c r="V141" s="11" t="n">
        <f aca="false">IF(V134=1,IF(Time!V17=Time!$F$12,Funding!$F$25,U141-U142),0)</f>
        <v>528.929233667261</v>
      </c>
      <c r="W141" s="11" t="n">
        <f aca="false">IF(W134=1,IF(Time!W17=Time!$F$12,Funding!$F$25,V141-V142),0)</f>
        <v>510.079362701436</v>
      </c>
      <c r="X141" s="11" t="n">
        <f aca="false">IF(X134=1,IF(Time!X17=Time!$F$12,Funding!$F$25,W141-W142),0)</f>
        <v>490.482619448741</v>
      </c>
      <c r="Y141" s="11" t="n">
        <f aca="false">IF(Y134=1,IF(Time!Y17=Time!$F$12,Funding!$F$25,X141-X142),0)</f>
        <v>470.452854955224</v>
      </c>
      <c r="Z141" s="11" t="n">
        <f aca="false">IF(Z134=1,IF(Time!Z17=Time!$F$12,Funding!$F$25,Y141-Y142),0)</f>
        <v>450.270839085482</v>
      </c>
      <c r="AA141" s="11" t="n">
        <f aca="false">IF(AA134=1,IF(Time!AA17=Time!$F$12,Funding!$F$25,Z141-Z142),0)</f>
        <v>429.599834959595</v>
      </c>
      <c r="AB141" s="11" t="n">
        <f aca="false">IF(AB134=1,IF(Time!AB17=Time!$F$12,Funding!$F$25,AA141-AA142),0)</f>
        <v>408.295669573393</v>
      </c>
      <c r="AC141" s="11" t="n">
        <f aca="false">IF(AC134=1,IF(Time!AC17=Time!$F$12,Funding!$F$25,AB141-AB142),0)</f>
        <v>385.637209020439</v>
      </c>
      <c r="AD141" s="11" t="n">
        <f aca="false">IF(AD134=1,IF(Time!AD17=Time!$F$12,Funding!$F$25,AC141-AC142),0)</f>
        <v>362.994888328712</v>
      </c>
      <c r="AE141" s="11" t="n">
        <f aca="false">IF(AE134=1,IF(Time!AE17=Time!$F$12,Funding!$F$25,AD141-AD142),0)</f>
        <v>339.525272183597</v>
      </c>
      <c r="AF141" s="11" t="n">
        <f aca="false">IF(AF134=1,IF(Time!AF17=Time!$F$12,Funding!$F$25,AE141-AE142),0)</f>
        <v>315.090598599377</v>
      </c>
      <c r="AG141" s="11" t="n">
        <f aca="false">IF(AG134=1,IF(Time!AG17=Time!$F$12,Funding!$F$25,AF141-AF142),0)</f>
        <v>288.074651593031</v>
      </c>
      <c r="AH141" s="11" t="n">
        <f aca="false">IF(AH134=1,IF(Time!AH17=Time!$F$12,Funding!$F$25,AG141-AG142),0)</f>
        <v>260.214601132407</v>
      </c>
      <c r="AI141" s="11" t="n">
        <f aca="false">IF(AI134=1,IF(Time!AI17=Time!$F$12,Funding!$F$25,AH141-AH142),0)</f>
        <v>231.309224566341</v>
      </c>
      <c r="AJ141" s="11" t="n">
        <f aca="false">IF(AJ134=1,IF(Time!AJ17=Time!$F$12,Funding!$F$25,AI141-AI142),0)</f>
        <v>201.523214215807</v>
      </c>
      <c r="AK141" s="11" t="n">
        <f aca="false">IF(AK134=1,IF(Time!AK17=Time!$F$12,Funding!$F$25,AJ141-AJ142),0)</f>
        <v>169.950181652045</v>
      </c>
      <c r="AL141" s="11" t="n">
        <f aca="false">IF(AL134=1,IF(Time!AL17=Time!$F$12,Funding!$F$25,AK141-AK142),0)</f>
        <v>137.829383735182</v>
      </c>
      <c r="AM141" s="11" t="n">
        <f aca="false">IF(AM134=1,IF(Time!AM17=Time!$F$12,Funding!$F$25,AL141-AL142),0)</f>
        <v>105.002312431961</v>
      </c>
      <c r="AN141" s="11" t="n">
        <f aca="false">IF(AN134=1,IF(Time!AN17=Time!$F$12,Funding!$F$25,AM141-AM142),0)</f>
        <v>71.0238204700537</v>
      </c>
      <c r="AO141" s="11" t="n">
        <f aca="false">IF(AO134=1,IF(Time!AO17=Time!$F$12,Funding!$F$25,AN141-AN142),0)</f>
        <v>36.1000171882391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15.9695344009906</v>
      </c>
      <c r="Q142" s="11" t="n">
        <f aca="false">Q140-Q141*Q135</f>
        <v>16.4855207515168</v>
      </c>
      <c r="R142" s="11" t="n">
        <f aca="false">R140-R141*R135</f>
        <v>16.9673471882354</v>
      </c>
      <c r="S142" s="11" t="n">
        <f aca="false">S140-S141*S135</f>
        <v>17.4978027280148</v>
      </c>
      <c r="T142" s="11" t="n">
        <f aca="false">T140-T141*T135</f>
        <v>18.6268631856872</v>
      </c>
      <c r="U142" s="11" t="n">
        <f aca="false">U140-U141*U135</f>
        <v>18.779673621069</v>
      </c>
      <c r="V142" s="11" t="n">
        <f aca="false">V140-V141*V135</f>
        <v>18.8498709658247</v>
      </c>
      <c r="W142" s="11" t="n">
        <f aca="false">W140-W141*W135</f>
        <v>19.5967432526945</v>
      </c>
      <c r="X142" s="11" t="n">
        <f aca="false">X140-X141*X135</f>
        <v>20.0297644935176</v>
      </c>
      <c r="Y142" s="11" t="n">
        <f aca="false">Y140-Y141*Y135</f>
        <v>20.1820158697422</v>
      </c>
      <c r="Z142" s="11" t="n">
        <f aca="false">Z140-Z141*Z135</f>
        <v>20.6710041258866</v>
      </c>
      <c r="AA142" s="11" t="n">
        <f aca="false">AA140-AA141*AA135</f>
        <v>21.3041653862021</v>
      </c>
      <c r="AB142" s="11" t="n">
        <f aca="false">AB140-AB141*AB135</f>
        <v>22.6584605529544</v>
      </c>
      <c r="AC142" s="11" t="n">
        <f aca="false">AC140-AC141*AC135</f>
        <v>22.6423206917267</v>
      </c>
      <c r="AD142" s="11" t="n">
        <f aca="false">AD140-AD141*AD135</f>
        <v>23.4696161451144</v>
      </c>
      <c r="AE142" s="11" t="n">
        <f aca="false">AE140-AE141*AE135</f>
        <v>24.4346735842204</v>
      </c>
      <c r="AF142" s="11" t="n">
        <f aca="false">AF140-AF141*AF135</f>
        <v>27.0159470063464</v>
      </c>
      <c r="AG142" s="11" t="n">
        <f aca="false">AG140-AG141*AG135</f>
        <v>27.8600504606238</v>
      </c>
      <c r="AH142" s="11" t="n">
        <f aca="false">AH140-AH141*AH135</f>
        <v>28.9053765660658</v>
      </c>
      <c r="AI142" s="11" t="n">
        <f aca="false">AI140-AI141*AI135</f>
        <v>29.7860103505345</v>
      </c>
      <c r="AJ142" s="11" t="n">
        <f aca="false">AJ140-AJ141*AJ135</f>
        <v>31.5730325637618</v>
      </c>
      <c r="AK142" s="11" t="n">
        <f aca="false">AK140-AK141*AK135</f>
        <v>32.1207979168625</v>
      </c>
      <c r="AL142" s="11" t="n">
        <f aca="false">AL140-AL141*AL135</f>
        <v>32.8270713032215</v>
      </c>
      <c r="AM142" s="11" t="n">
        <f aca="false">AM140-AM141*AM135</f>
        <v>33.978491961907</v>
      </c>
      <c r="AN142" s="11" t="n">
        <f aca="false">AN140-AN141*AN135</f>
        <v>34.9238032818146</v>
      </c>
      <c r="AO142" s="11" t="n">
        <f aca="false">AO140-AO141*AO135</f>
        <v>36.1000171882396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36.4335314574018</v>
      </c>
      <c r="AD9" s="11" t="n">
        <f aca="false">IF(Time!AD29=1,SUM(Funding!$J$44:$BJ$44),AC13)</f>
        <v>37.2710602434878</v>
      </c>
      <c r="AE9" s="11" t="n">
        <f aca="false">IF(Time!AE29=1,SUM(Funding!$J$44:$BJ$44),AD13)</f>
        <v>36.8555380887716</v>
      </c>
      <c r="AF9" s="11" t="n">
        <f aca="false">IF(Time!AF29=1,SUM(Funding!$J$44:$BJ$44),AE13)</f>
        <v>36.4230997577367</v>
      </c>
      <c r="AG9" s="11" t="n">
        <f aca="false">IF(Time!AG29=1,SUM(Funding!$J$44:$BJ$44),AF13)</f>
        <v>35.5307871593748</v>
      </c>
      <c r="AH9" s="11" t="n">
        <f aca="false">IF(Time!AH29=1,SUM(Funding!$J$44:$BJ$44),AG13)</f>
        <v>35.0697527778323</v>
      </c>
      <c r="AI9" s="11" t="n">
        <f aca="false">IF(Time!AI29=1,SUM(Funding!$J$44:$BJ$44),AH13)</f>
        <v>33.7404411092191</v>
      </c>
      <c r="AJ9" s="11" t="n">
        <f aca="false">IF(Time!AJ29=1,SUM(Funding!$J$44:$BJ$44),AI13)</f>
        <v>32.7730564306081</v>
      </c>
      <c r="AK9" s="11" t="n">
        <f aca="false">IF(Time!AK29=1,SUM(Funding!$J$44:$BJ$44),AJ13)</f>
        <v>31.0069642283844</v>
      </c>
      <c r="AL9" s="11" t="n">
        <f aca="false">IF(Time!AL29=1,SUM(Funding!$J$44:$BJ$44),AK13)</f>
        <v>29.3263214512785</v>
      </c>
      <c r="AM9" s="11" t="n">
        <f aca="false">IF(Time!AM29=1,SUM(Funding!$J$44:$BJ$44),AL13)</f>
        <v>25.8129961234199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3.17186252920642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0.837528786085947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40.4177579663018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0.57121717457435</v>
      </c>
      <c r="AC12" s="11" t="n">
        <f aca="false">MAX(0,AC9-AC10-Debt!AC132)</f>
        <v>0</v>
      </c>
      <c r="AD12" s="11" t="n">
        <f aca="false">MAX(0,AD9-AD10-Debt!AD132)</f>
        <v>0.415522154716186</v>
      </c>
      <c r="AE12" s="11" t="n">
        <f aca="false">MAX(0,AE9-AE10-Debt!AE132)</f>
        <v>0.432438331034923</v>
      </c>
      <c r="AF12" s="11" t="n">
        <f aca="false">MAX(0,AF9-AF10-Debt!AF132)</f>
        <v>0.892312598361862</v>
      </c>
      <c r="AG12" s="11" t="n">
        <f aca="false">MAX(0,AG9-AG10-Debt!AG132)</f>
        <v>0.461034381542511</v>
      </c>
      <c r="AH12" s="11" t="n">
        <f aca="false">MAX(0,AH9-AH10-Debt!AH132)</f>
        <v>1.3293116686132</v>
      </c>
      <c r="AI12" s="11" t="n">
        <f aca="false">MAX(0,AI9-AI10-Debt!AI132)</f>
        <v>0.967384678611005</v>
      </c>
      <c r="AJ12" s="11" t="n">
        <f aca="false">MAX(0,AJ9-AJ10-Debt!AJ132)</f>
        <v>1.76609220222366</v>
      </c>
      <c r="AK12" s="11" t="n">
        <f aca="false">MAX(0,AK9-AK10-Debt!AK132)</f>
        <v>1.68064277710593</v>
      </c>
      <c r="AL12" s="11" t="n">
        <f aca="false">MAX(0,AL9-AL10-Debt!AL132)</f>
        <v>3.51332532785864</v>
      </c>
      <c r="AM12" s="11" t="n">
        <f aca="false">MAX(0,AM9-AM10-Debt!AM132)</f>
        <v>6.68097886855566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36.4335314574018</v>
      </c>
      <c r="AC13" s="11" t="n">
        <f aca="false">(1-Time!AC32)*(AC9-AC10+AC11-AC12)</f>
        <v>37.2710602434878</v>
      </c>
      <c r="AD13" s="11" t="n">
        <f aca="false">(1-Time!AD32)*(AD9-AD10+AD11-AD12)</f>
        <v>36.8555380887716</v>
      </c>
      <c r="AE13" s="11" t="n">
        <f aca="false">(1-Time!AE32)*(AE9-AE10+AE11-AE12)</f>
        <v>36.4230997577367</v>
      </c>
      <c r="AF13" s="11" t="n">
        <f aca="false">(1-Time!AF32)*(AF9-AF10+AF11-AF12)</f>
        <v>35.5307871593748</v>
      </c>
      <c r="AG13" s="11" t="n">
        <f aca="false">(1-Time!AG32)*(AG9-AG10+AG11-AG12)</f>
        <v>35.0697527778323</v>
      </c>
      <c r="AH13" s="11" t="n">
        <f aca="false">(1-Time!AH32)*(AH9-AH10+AH11-AH12)</f>
        <v>33.7404411092191</v>
      </c>
      <c r="AI13" s="11" t="n">
        <f aca="false">(1-Time!AI32)*(AI9-AI10+AI11-AI12)</f>
        <v>32.7730564306081</v>
      </c>
      <c r="AJ13" s="11" t="n">
        <f aca="false">(1-Time!AJ32)*(AJ9-AJ10+AJ11-AJ12)</f>
        <v>31.0069642283844</v>
      </c>
      <c r="AK13" s="11" t="n">
        <f aca="false">(1-Time!AK32)*(AK9-AK10+AK11-AK12)</f>
        <v>29.3263214512785</v>
      </c>
      <c r="AL13" s="11" t="n">
        <f aca="false">(1-Time!AL32)*(AL9-AL10+AL11-AL12)</f>
        <v>25.8129961234199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2147.86877072505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1.57748802210733</v>
      </c>
      <c r="P7" s="11" t="n">
        <f aca="false">Operations!P79-Tax!P27-Operations!P91-Reserves!P7+Operations!P74+Operations!P92</f>
        <v>46.8082531663859</v>
      </c>
      <c r="Q7" s="11" t="n">
        <f aca="false">Operations!Q79-Tax!Q27-Operations!Q91-Reserves!Q7+Operations!Q74+Operations!Q92</f>
        <v>46.5045617583508</v>
      </c>
      <c r="R7" s="11" t="n">
        <f aca="false">Operations!R79-Tax!R27-Operations!R91-Reserves!R7+Operations!R74+Operations!R92</f>
        <v>46.6812759491744</v>
      </c>
      <c r="S7" s="11" t="n">
        <f aca="false">Operations!S79-Tax!S27-Operations!S91-Reserves!S7+Operations!S74+Operations!S92</f>
        <v>46.3576291938347</v>
      </c>
      <c r="T7" s="11" t="n">
        <f aca="false">Operations!T79-Tax!T27-Operations!T91-Reserves!T7+Operations!T74+Operations!T92</f>
        <v>47.2788062179482</v>
      </c>
      <c r="U7" s="11" t="n">
        <f aca="false">Operations!U79-Tax!U27-Operations!U91-Reserves!U7+Operations!U74+Operations!U92</f>
        <v>46.5065574265008</v>
      </c>
      <c r="V7" s="11" t="n">
        <f aca="false">Operations!V79-Tax!V27-Operations!V91-Reserves!V7+Operations!V74+Operations!V92</f>
        <v>45.9592383051422</v>
      </c>
      <c r="W7" s="11" t="n">
        <f aca="false">Operations!W79-Tax!W27-Operations!W91-Reserves!W7+Operations!W74+Operations!W92</f>
        <v>45.8482759598656</v>
      </c>
      <c r="X7" s="11" t="n">
        <f aca="false">Operations!X79-Tax!X27-Operations!X91-Reserves!X7+Operations!X74+Operations!X92</f>
        <v>45.7825445447861</v>
      </c>
      <c r="Y7" s="11" t="n">
        <f aca="false">Operations!Y79-Tax!Y27-Operations!Y91-Reserves!Y7+Operations!Y74+Operations!Y92</f>
        <v>45.5211430076591</v>
      </c>
      <c r="Z7" s="11" t="n">
        <f aca="false">Operations!Z79-Tax!Z27-Operations!Z91-Reserves!Z7+Operations!Z74+Operations!Z92</f>
        <v>45.4650058189108</v>
      </c>
      <c r="AA7" s="11" t="n">
        <f aca="false">Operations!AA79-Tax!AA27-Operations!AA91-Reserves!AA7+Operations!AA74+Operations!AA92</f>
        <v>45.134993825015</v>
      </c>
      <c r="AB7" s="11" t="n">
        <f aca="false">Operations!AB79-Tax!AB27-Operations!AB91-Reserves!AB7+Operations!AB74+Operations!AB92</f>
        <v>46.0835259177531</v>
      </c>
      <c r="AC7" s="11" t="n">
        <f aca="false">Operations!AC79-Tax!AC27-Operations!AC91-Reserves!AC7+Operations!AC74+Operations!AC92</f>
        <v>44.9430727386328</v>
      </c>
      <c r="AD7" s="11" t="n">
        <f aca="false">Operations!AD79-Tax!AD27-Operations!AD91-Reserves!AD7+Operations!AD74+Operations!AD92</f>
        <v>45.096180958234</v>
      </c>
      <c r="AE7" s="11" t="n">
        <f aca="false">Operations!AE79-Tax!AE27-Operations!AE91-Reserves!AE7+Operations!AE74+Operations!AE92</f>
        <v>45.097953492378</v>
      </c>
      <c r="AF7" s="11" t="n">
        <f aca="false">Operations!AF79-Tax!AF27-Operations!AF91-Reserves!AF7+Operations!AF74+Operations!AF92</f>
        <v>47.387923770541</v>
      </c>
      <c r="AG7" s="11" t="n">
        <f aca="false">Operations!AG79-Tax!AG27-Operations!AG91-Reserves!AG7+Operations!AG74+Operations!AG92</f>
        <v>47.4875741150906</v>
      </c>
      <c r="AH7" s="11" t="n">
        <f aca="false">Operations!AH79-Tax!AH27-Operations!AH91-Reserves!AH7+Operations!AH74+Operations!AH92</f>
        <v>47.6653946367641</v>
      </c>
      <c r="AI7" s="11" t="n">
        <f aca="false">Operations!AI79-Tax!AI27-Operations!AI91-Reserves!AI7+Operations!AI74+Operations!AI92</f>
        <v>47.3312801707097</v>
      </c>
      <c r="AJ7" s="11" t="n">
        <f aca="false">Operations!AJ79-Tax!AJ27-Operations!AJ91-Reserves!AJ7+Operations!AJ74+Operations!AJ92</f>
        <v>48.3135806233848</v>
      </c>
      <c r="AK7" s="11" t="n">
        <f aca="false">Operations!AK79-Tax!AK27-Operations!AK91-Reserves!AK7+Operations!AK74+Operations!AK92</f>
        <v>47.504594964207</v>
      </c>
      <c r="AL7" s="11" t="n">
        <f aca="false">Operations!AL79-Tax!AL27-Operations!AL91-Reserves!AL7+Operations!AL74+Operations!AL92</f>
        <v>46.9809524540187</v>
      </c>
      <c r="AM7" s="11" t="n">
        <f aca="false">Operations!AM79-Tax!AM27-Operations!AM91-Reserves!AM7+Operations!AM74+Operations!AM92</f>
        <v>46.8682381546474</v>
      </c>
      <c r="AN7" s="11" t="n">
        <f aca="false">Operations!AN79-Tax!AN27-Operations!AN91-Reserves!AN7+Operations!AN74+Operations!AN92</f>
        <v>46.5527773298571</v>
      </c>
      <c r="AO7" s="11" t="n">
        <f aca="false">Operations!AO79-Tax!AO27-Operations!AO91-Reserves!AO7+Operations!AO74+Operations!AO92</f>
        <v>46.4102531027745</v>
      </c>
      <c r="AP7" s="11" t="n">
        <f aca="false">Operations!AP79-Tax!AP27-Operations!AP91-Reserves!AP7+Operations!AP74+Operations!AP92</f>
        <v>46.595324970242</v>
      </c>
      <c r="AQ7" s="11" t="n">
        <f aca="false">Operations!AQ79-Tax!AQ27-Operations!AQ91-Reserves!AQ7+Operations!AQ74+Operations!AQ92</f>
        <v>46.2567675160163</v>
      </c>
      <c r="AR7" s="11" t="n">
        <f aca="false">Operations!AR79-Tax!AR27-Operations!AR91-Reserves!AR7+Operations!AR74+Operations!AR92</f>
        <v>47.275728459814</v>
      </c>
      <c r="AS7" s="11" t="n">
        <f aca="false">Operations!AS79-Tax!AS27-Operations!AS91-Reserves!AS7+Operations!AS74+Operations!AS92</f>
        <v>46.0668622164945</v>
      </c>
      <c r="AT7" s="11" t="n">
        <f aca="false">Operations!AT79-Tax!AT27-Operations!AT91-Reserves!AT7+Operations!AT74+Operations!AT92</f>
        <v>46.4658360380569</v>
      </c>
      <c r="AU7" s="11" t="n">
        <f aca="false">Operations!AU79-Tax!AU27-Operations!AU91-Reserves!AU7+Operations!AU74+Operations!AU92</f>
        <v>41.3454243642673</v>
      </c>
      <c r="AV7" s="11" t="n">
        <f aca="false">Operations!AV79-Tax!AV27-Operations!AV91-Reserves!AV7+Operations!AV74+Operations!AV92</f>
        <v>40.1769738827589</v>
      </c>
      <c r="AW7" s="11" t="n">
        <f aca="false">Operations!AW79-Tax!AW27-Operations!AW91-Reserves!AW7+Operations!AW74+Operations!AW92</f>
        <v>40.3469893652886</v>
      </c>
      <c r="AX7" s="11" t="n">
        <f aca="false">Operations!AX79-Tax!AX27-Operations!AX91-Reserves!AX7+Operations!AX74+Operations!AX92</f>
        <v>40.6489984435668</v>
      </c>
      <c r="AY7" s="11" t="n">
        <f aca="false">Operations!AY79-Tax!AY27-Operations!AY91-Reserves!AY7+Operations!AY74+Operations!AY92</f>
        <v>40.2058161742135</v>
      </c>
      <c r="AZ7" s="11" t="n">
        <f aca="false">Operations!AZ79-Tax!AZ27-Operations!AZ91-Reserves!AZ7+Operations!AZ74+Operations!AZ92</f>
        <v>41.0801443095497</v>
      </c>
      <c r="BA7" s="11" t="n">
        <f aca="false">Operations!BA79-Tax!BA27-Operations!BA91-Reserves!BA7+Operations!BA74+Operations!BA92</f>
        <v>40.4595736864266</v>
      </c>
      <c r="BB7" s="11" t="n">
        <f aca="false">Operations!BB79-Tax!BB27-Operations!BB91-Reserves!BB7+Operations!BB74+Operations!BB92</f>
        <v>41.508796878269</v>
      </c>
      <c r="BC7" s="11" t="n">
        <f aca="false">Operations!BC79-Tax!BC27-Operations!BC91-Reserves!BC7+Operations!BC74+Operations!BC92</f>
        <v>38.1246220646516</v>
      </c>
      <c r="BD7" s="11" t="n">
        <f aca="false">Operations!BD79-Tax!BD27-Operations!BD91-Reserves!BD7+Operations!BD74+Operations!BD92</f>
        <v>33.1029239992822</v>
      </c>
      <c r="BE7" s="11" t="n">
        <f aca="false">Operations!BE79-Tax!BE27-Operations!BE91-Reserves!BE7+Operations!BE74+Operations!BE92</f>
        <v>33.0134991740889</v>
      </c>
      <c r="BF7" s="11" t="n">
        <f aca="false">Operations!BF79-Tax!BF27-Operations!BF91-Reserves!BF7+Operations!BF74+Operations!BF92</f>
        <v>33.3264678983963</v>
      </c>
      <c r="BG7" s="11" t="n">
        <f aca="false">Operations!BG79-Tax!BG27-Operations!BG91-Reserves!BG7+Operations!BG74+Operations!BG92</f>
        <v>32.8731991856227</v>
      </c>
      <c r="BH7" s="11" t="n">
        <f aca="false">Operations!BH79-Tax!BH27-Operations!BH91-Reserves!BH7+Operations!BH74+Operations!BH92</f>
        <v>33.7815112591756</v>
      </c>
      <c r="BI7" s="11" t="n">
        <f aca="false">Operations!BI79-Tax!BI27-Operations!BI91-Reserves!BI7+Operations!BI74+Operations!BI92</f>
        <v>32.8977595350761</v>
      </c>
      <c r="BJ7" s="11" t="n">
        <f aca="false">Operations!BJ79-Tax!BJ27-Operations!BJ91-Reserves!BJ7+Operations!BJ74+Operations!BJ92</f>
        <v>39.4566846868235</v>
      </c>
      <c r="BK7" s="11" t="n">
        <f aca="false">Operations!BK79-Tax!BK27-Operations!BK91-Reserves!BK7+Operations!BK74+Operations!BK92</f>
        <v>33.9896868470275</v>
      </c>
      <c r="BL7" s="11" t="n">
        <f aca="false">Operations!BL79-Tax!BL27-Operations!BL91-Reserves!BL7+Operations!BL74+Operations!BL92</f>
        <v>36.304129754432</v>
      </c>
      <c r="BM7" s="11" t="n">
        <f aca="false">Operations!BM79-Tax!BM27-Operations!BM91-Reserves!BM7+Operations!BM74+Operations!BM92</f>
        <v>33.4159743908395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1.57748802210621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1.57748802210733</v>
      </c>
      <c r="P9" s="11" t="n">
        <f aca="false">P7+P8</f>
        <v>48.3857411884921</v>
      </c>
      <c r="Q9" s="11" t="n">
        <f aca="false">Q7+Q8</f>
        <v>46.5045617583508</v>
      </c>
      <c r="R9" s="11" t="n">
        <f aca="false">R7+R8</f>
        <v>46.6812759491744</v>
      </c>
      <c r="S9" s="11" t="n">
        <f aca="false">S7+S8</f>
        <v>46.3576291938347</v>
      </c>
      <c r="T9" s="11" t="n">
        <f aca="false">T7+T8</f>
        <v>47.2788062179482</v>
      </c>
      <c r="U9" s="11" t="n">
        <f aca="false">U7+U8</f>
        <v>46.5065574265008</v>
      </c>
      <c r="V9" s="11" t="n">
        <f aca="false">V7+V8</f>
        <v>45.9592383051422</v>
      </c>
      <c r="W9" s="11" t="n">
        <f aca="false">W7+W8</f>
        <v>45.8482759598656</v>
      </c>
      <c r="X9" s="11" t="n">
        <f aca="false">X7+X8</f>
        <v>45.7825445447861</v>
      </c>
      <c r="Y9" s="11" t="n">
        <f aca="false">Y7+Y8</f>
        <v>45.5211430076591</v>
      </c>
      <c r="Z9" s="11" t="n">
        <f aca="false">Z7+Z8</f>
        <v>45.4650058189108</v>
      </c>
      <c r="AA9" s="11" t="n">
        <f aca="false">AA7+AA8</f>
        <v>45.134993825015</v>
      </c>
      <c r="AB9" s="11" t="n">
        <f aca="false">AB7+AB8</f>
        <v>46.0835259177531</v>
      </c>
      <c r="AC9" s="11" t="n">
        <f aca="false">AC7+AC8</f>
        <v>44.9430727386328</v>
      </c>
      <c r="AD9" s="11" t="n">
        <f aca="false">AD7+AD8</f>
        <v>45.096180958234</v>
      </c>
      <c r="AE9" s="11" t="n">
        <f aca="false">AE7+AE8</f>
        <v>45.097953492378</v>
      </c>
      <c r="AF9" s="11" t="n">
        <f aca="false">AF7+AF8</f>
        <v>47.387923770541</v>
      </c>
      <c r="AG9" s="11" t="n">
        <f aca="false">AG7+AG8</f>
        <v>47.4875741150906</v>
      </c>
      <c r="AH9" s="11" t="n">
        <f aca="false">AH7+AH8</f>
        <v>47.6653946367641</v>
      </c>
      <c r="AI9" s="11" t="n">
        <f aca="false">AI7+AI8</f>
        <v>47.3312801707097</v>
      </c>
      <c r="AJ9" s="11" t="n">
        <f aca="false">AJ7+AJ8</f>
        <v>48.3135806233848</v>
      </c>
      <c r="AK9" s="11" t="n">
        <f aca="false">AK7+AK8</f>
        <v>47.504594964207</v>
      </c>
      <c r="AL9" s="11" t="n">
        <f aca="false">AL7+AL8</f>
        <v>46.9809524540187</v>
      </c>
      <c r="AM9" s="11" t="n">
        <f aca="false">AM7+AM8</f>
        <v>46.8682381546474</v>
      </c>
      <c r="AN9" s="11" t="n">
        <f aca="false">AN7+AN8</f>
        <v>46.5527773298571</v>
      </c>
      <c r="AO9" s="11" t="n">
        <f aca="false">AO7+AO8</f>
        <v>46.4102531027745</v>
      </c>
      <c r="AP9" s="11" t="n">
        <f aca="false">AP7+AP8</f>
        <v>46.595324970242</v>
      </c>
      <c r="AQ9" s="11" t="n">
        <f aca="false">AQ7+AQ8</f>
        <v>46.2567675160163</v>
      </c>
      <c r="AR9" s="11" t="n">
        <f aca="false">AR7+AR8</f>
        <v>47.275728459814</v>
      </c>
      <c r="AS9" s="11" t="n">
        <f aca="false">AS7+AS8</f>
        <v>46.0668622164945</v>
      </c>
      <c r="AT9" s="11" t="n">
        <f aca="false">AT7+AT8</f>
        <v>46.4658360380569</v>
      </c>
      <c r="AU9" s="11" t="n">
        <f aca="false">AU7+AU8</f>
        <v>41.3454243642673</v>
      </c>
      <c r="AV9" s="11" t="n">
        <f aca="false">AV7+AV8</f>
        <v>40.1769738827589</v>
      </c>
      <c r="AW9" s="11" t="n">
        <f aca="false">AW7+AW8</f>
        <v>40.3469893652886</v>
      </c>
      <c r="AX9" s="11" t="n">
        <f aca="false">AX7+AX8</f>
        <v>40.6489984435668</v>
      </c>
      <c r="AY9" s="11" t="n">
        <f aca="false">AY7+AY8</f>
        <v>40.2058161742135</v>
      </c>
      <c r="AZ9" s="11" t="n">
        <f aca="false">AZ7+AZ8</f>
        <v>41.0801443095497</v>
      </c>
      <c r="BA9" s="11" t="n">
        <f aca="false">BA7+BA8</f>
        <v>40.4595736864266</v>
      </c>
      <c r="BB9" s="11" t="n">
        <f aca="false">BB7+BB8</f>
        <v>41.508796878269</v>
      </c>
      <c r="BC9" s="11" t="n">
        <f aca="false">BC7+BC8</f>
        <v>38.1246220646516</v>
      </c>
      <c r="BD9" s="11" t="n">
        <f aca="false">BD7+BD8</f>
        <v>33.1029239992822</v>
      </c>
      <c r="BE9" s="11" t="n">
        <f aca="false">BE7+BE8</f>
        <v>33.0134991740889</v>
      </c>
      <c r="BF9" s="11" t="n">
        <f aca="false">BF7+BF8</f>
        <v>33.3264678983963</v>
      </c>
      <c r="BG9" s="11" t="n">
        <f aca="false">BG7+BG8</f>
        <v>32.8731991856227</v>
      </c>
      <c r="BH9" s="11" t="n">
        <f aca="false">BH7+BH8</f>
        <v>33.7815112591756</v>
      </c>
      <c r="BI9" s="11" t="n">
        <f aca="false">BI7+BI8</f>
        <v>32.8977595350761</v>
      </c>
      <c r="BJ9" s="11" t="n">
        <f aca="false">BJ7+BJ8</f>
        <v>39.4566846868235</v>
      </c>
      <c r="BK9" s="11" t="n">
        <f aca="false">BK7+BK8</f>
        <v>33.9896868470275</v>
      </c>
      <c r="BL9" s="11" t="n">
        <f aca="false">BL7+BL8</f>
        <v>36.304129754432</v>
      </c>
      <c r="BM9" s="11" t="n">
        <f aca="false">BM7+BM8</f>
        <v>33.4159743908395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877.414827672662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36.5797092832671</v>
      </c>
      <c r="AC10" s="11" t="n">
        <f aca="false">Debt!AC121+Debt!AC117</f>
        <v>35.883273768697</v>
      </c>
      <c r="AD10" s="11" t="n">
        <f aca="false">Debt!AD121+Debt!AD117</f>
        <v>36.7792464396302</v>
      </c>
      <c r="AE10" s="11" t="n">
        <f aca="false">Debt!AE121+Debt!AE117</f>
        <v>36.2990555854627</v>
      </c>
      <c r="AF10" s="11" t="n">
        <f aca="false">Debt!AF121+Debt!AF117</f>
        <v>35.7857717402953</v>
      </c>
      <c r="AG10" s="11" t="n">
        <f aca="false">Debt!AG121+Debt!AG117</f>
        <v>34.5899838720351</v>
      </c>
      <c r="AH10" s="11" t="n">
        <f aca="false">Debt!AH121+Debt!AH117</f>
        <v>33.947661374691</v>
      </c>
      <c r="AI10" s="11" t="n">
        <f aca="false">Debt!AI121+Debt!AI117</f>
        <v>32.3391544353339</v>
      </c>
      <c r="AJ10" s="11" t="n">
        <f aca="false">Debt!AJ121+Debt!AJ117</f>
        <v>31.051144624992</v>
      </c>
      <c r="AK10" s="11" t="n">
        <f aca="false">Debt!AK121+Debt!AK117</f>
        <v>28.5933042742957</v>
      </c>
      <c r="AL10" s="11" t="n">
        <f aca="false">Debt!AL121+Debt!AL117</f>
        <v>26.0224001656024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1.57748802210733</v>
      </c>
      <c r="P13" s="11" t="n">
        <f aca="false">MAX(0,P9-P10)</f>
        <v>11.1398457513956</v>
      </c>
      <c r="Q13" s="11" t="n">
        <f aca="false">MAX(0,Q9-Q10)</f>
        <v>9.34754530320508</v>
      </c>
      <c r="R13" s="11" t="n">
        <f aca="false">MAX(0,R9-R10)</f>
        <v>9.05649086149643</v>
      </c>
      <c r="S13" s="11" t="n">
        <f aca="false">MAX(0,S9-S10)</f>
        <v>9.02431670127773</v>
      </c>
      <c r="T13" s="11" t="n">
        <f aca="false">MAX(0,T9-T10)</f>
        <v>9.52758843620046</v>
      </c>
      <c r="U13" s="11" t="n">
        <f aca="false">MAX(0,U9-U10)</f>
        <v>8.93586467164806</v>
      </c>
      <c r="V13" s="11" t="n">
        <f aca="false">MAX(0,V9-V10)</f>
        <v>7.67131806998386</v>
      </c>
      <c r="W13" s="11" t="n">
        <f aca="false">MAX(0,W9-W10)</f>
        <v>7.82504853399578</v>
      </c>
      <c r="X13" s="11" t="n">
        <f aca="false">MAX(0,X9-X10)</f>
        <v>8.85574947019669</v>
      </c>
      <c r="Y13" s="11" t="n">
        <f aca="false">MAX(0,Y9-Y10)</f>
        <v>8.95075096311393</v>
      </c>
      <c r="Z13" s="11" t="n">
        <f aca="false">MAX(0,Z9-Z10)</f>
        <v>8.59364271039664</v>
      </c>
      <c r="AA13" s="11" t="n">
        <f aca="false">MAX(0,AA9-AA10)</f>
        <v>8.56070647016054</v>
      </c>
      <c r="AB13" s="11" t="n">
        <f aca="false">MAX(0,AB9-AB10)</f>
        <v>9.503816634486</v>
      </c>
      <c r="AC13" s="11" t="n">
        <f aca="false">MAX(0,AC9-AC10)</f>
        <v>9.05979896993582</v>
      </c>
      <c r="AD13" s="11" t="n">
        <f aca="false">MAX(0,AD9-AD10)</f>
        <v>8.31693451860385</v>
      </c>
      <c r="AE13" s="11" t="n">
        <f aca="false">MAX(0,AE9-AE10)</f>
        <v>8.79889790691529</v>
      </c>
      <c r="AF13" s="11" t="n">
        <f aca="false">MAX(0,AF9-AF10)</f>
        <v>11.6021520302457</v>
      </c>
      <c r="AG13" s="11" t="n">
        <f aca="false">MAX(0,AG9-AG10)</f>
        <v>12.8975902430555</v>
      </c>
      <c r="AH13" s="11" t="n">
        <f aca="false">MAX(0,AH9-AH10)</f>
        <v>13.7177332620731</v>
      </c>
      <c r="AI13" s="11" t="n">
        <f aca="false">MAX(0,AI9-AI10)</f>
        <v>14.9921257353758</v>
      </c>
      <c r="AJ13" s="11" t="n">
        <f aca="false">MAX(0,AJ9-AJ10)</f>
        <v>17.2624359983928</v>
      </c>
      <c r="AK13" s="11" t="n">
        <f aca="false">MAX(0,AK9-AK10)</f>
        <v>18.9112906899112</v>
      </c>
      <c r="AL13" s="11" t="n">
        <f aca="false">MAX(0,AL9-AL10)</f>
        <v>20.9585522884162</v>
      </c>
      <c r="AM13" s="11" t="n">
        <f aca="false">MAX(0,AM9-AM10)</f>
        <v>23.2989463013694</v>
      </c>
      <c r="AN13" s="11" t="n">
        <f aca="false">MAX(0,AN9-AN10)</f>
        <v>27.4207600749929</v>
      </c>
      <c r="AO13" s="11" t="n">
        <f aca="false">MAX(0,AO9-AO10)</f>
        <v>27.5043453551664</v>
      </c>
      <c r="AP13" s="11" t="n">
        <f aca="false">MAX(0,AP9-AP10)</f>
        <v>46.595324970242</v>
      </c>
      <c r="AQ13" s="11" t="n">
        <f aca="false">MAX(0,AQ9-AQ10)</f>
        <v>46.2567675160163</v>
      </c>
      <c r="AR13" s="11" t="n">
        <f aca="false">MAX(0,AR9-AR10)</f>
        <v>47.275728459814</v>
      </c>
      <c r="AS13" s="11" t="n">
        <f aca="false">MAX(0,AS9-AS10)</f>
        <v>46.0668622164945</v>
      </c>
      <c r="AT13" s="11" t="n">
        <f aca="false">MAX(0,AT9-AT10)</f>
        <v>46.4658360380569</v>
      </c>
      <c r="AU13" s="11" t="n">
        <f aca="false">MAX(0,AU9-AU10)</f>
        <v>41.3454243642673</v>
      </c>
      <c r="AV13" s="11" t="n">
        <f aca="false">MAX(0,AV9-AV10)</f>
        <v>40.1769738827589</v>
      </c>
      <c r="AW13" s="11" t="n">
        <f aca="false">MAX(0,AW9-AW10)</f>
        <v>40.3469893652886</v>
      </c>
      <c r="AX13" s="11" t="n">
        <f aca="false">MAX(0,AX9-AX10)</f>
        <v>40.6489984435668</v>
      </c>
      <c r="AY13" s="11" t="n">
        <f aca="false">MAX(0,AY9-AY10)</f>
        <v>40.2058161742135</v>
      </c>
      <c r="AZ13" s="11" t="n">
        <f aca="false">MAX(0,AZ9-AZ10)</f>
        <v>41.0801443095497</v>
      </c>
      <c r="BA13" s="11" t="n">
        <f aca="false">MAX(0,BA9-BA10)</f>
        <v>40.4595736864266</v>
      </c>
      <c r="BB13" s="11" t="n">
        <f aca="false">MAX(0,BB9-BB10)</f>
        <v>41.508796878269</v>
      </c>
      <c r="BC13" s="11" t="n">
        <f aca="false">MAX(0,BC9-BC10)</f>
        <v>38.1246220646516</v>
      </c>
      <c r="BD13" s="11" t="n">
        <f aca="false">MAX(0,BD9-BD10)</f>
        <v>33.1029239992822</v>
      </c>
      <c r="BE13" s="11" t="n">
        <f aca="false">MAX(0,BE9-BE10)</f>
        <v>33.0134991740889</v>
      </c>
      <c r="BF13" s="11" t="n">
        <f aca="false">MAX(0,BF9-BF10)</f>
        <v>33.3264678983963</v>
      </c>
      <c r="BG13" s="11" t="n">
        <f aca="false">MAX(0,BG9-BG10)</f>
        <v>32.8731991856227</v>
      </c>
      <c r="BH13" s="11" t="n">
        <f aca="false">MAX(0,BH9-BH10)</f>
        <v>33.7815112591756</v>
      </c>
      <c r="BI13" s="11" t="n">
        <f aca="false">MAX(0,BI9-BI10)</f>
        <v>32.8977595350761</v>
      </c>
      <c r="BJ13" s="11" t="n">
        <f aca="false">MAX(0,BJ9-BJ10)</f>
        <v>39.4566846868235</v>
      </c>
      <c r="BK13" s="11" t="n">
        <f aca="false">MAX(0,BK9-BK10)</f>
        <v>33.9896868470275</v>
      </c>
      <c r="BL13" s="11" t="n">
        <f aca="false">MAX(0,BL9-BL10)</f>
        <v>36.304129754432</v>
      </c>
      <c r="BM13" s="11" t="n">
        <f aca="false">MAX(0,BM9-BM10)</f>
        <v>33.4159743908395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1.57748802210621</v>
      </c>
      <c r="P14" s="11" t="n">
        <f aca="false">P13-Reserves!P11+Reserves!P12</f>
        <v>11.2287247333463</v>
      </c>
      <c r="Q14" s="11" t="n">
        <f aca="false">Q13-Reserves!Q11+Reserves!Q12</f>
        <v>8.87977667067287</v>
      </c>
      <c r="R14" s="11" t="n">
        <f aca="false">R13-Reserves!R11+Reserves!R12</f>
        <v>9.34796345661746</v>
      </c>
      <c r="S14" s="11" t="n">
        <f aca="false">S13-Reserves!S11+Reserves!S12</f>
        <v>8.6064114120869</v>
      </c>
      <c r="T14" s="11" t="n">
        <f aca="false">T13-Reserves!T11+Reserves!T12</f>
        <v>9.70811346309553</v>
      </c>
      <c r="U14" s="11" t="n">
        <f aca="false">U13-Reserves!U11+Reserves!U12</f>
        <v>8.21863719134242</v>
      </c>
      <c r="V14" s="11" t="n">
        <f aca="false">V13-Reserves!V11+Reserves!V12</f>
        <v>7.93601087927242</v>
      </c>
      <c r="W14" s="11" t="n">
        <f aca="false">W13-Reserves!W11+Reserves!W12</f>
        <v>8.92148088527618</v>
      </c>
      <c r="X14" s="11" t="n">
        <f aca="false">X13-Reserves!X11+Reserves!X12</f>
        <v>9.21215250024091</v>
      </c>
      <c r="Y14" s="11" t="n">
        <f aca="false">Y13-Reserves!Y11+Reserves!Y12</f>
        <v>8.64977989914497</v>
      </c>
      <c r="Z14" s="11" t="n">
        <f aca="false">Z13-Reserves!Z11+Reserves!Z12</f>
        <v>8.89071846405631</v>
      </c>
      <c r="AA14" s="11" t="n">
        <f aca="false">AA13-Reserves!AA11+Reserves!AA12</f>
        <v>8.13024519303881</v>
      </c>
      <c r="AB14" s="11" t="n">
        <f aca="false">AB13-Reserves!AB11+Reserves!AB12</f>
        <v>10.0750338090604</v>
      </c>
      <c r="AC14" s="11" t="n">
        <f aca="false">AC13-Reserves!AC11+Reserves!AC12</f>
        <v>8.22227018384987</v>
      </c>
      <c r="AD14" s="11" t="n">
        <f aca="false">AD13-Reserves!AD11+Reserves!AD12</f>
        <v>8.73245667332004</v>
      </c>
      <c r="AE14" s="11" t="n">
        <f aca="false">AE13-Reserves!AE11+Reserves!AE12</f>
        <v>9.23133623795021</v>
      </c>
      <c r="AF14" s="11" t="n">
        <f aca="false">AF13-Reserves!AF11+Reserves!AF12</f>
        <v>12.4944646286075</v>
      </c>
      <c r="AG14" s="11" t="n">
        <f aca="false">AG13-Reserves!AG11+Reserves!AG12</f>
        <v>13.358624624598</v>
      </c>
      <c r="AH14" s="11" t="n">
        <f aca="false">AH13-Reserves!AH11+Reserves!AH12</f>
        <v>15.0470449306863</v>
      </c>
      <c r="AI14" s="11" t="n">
        <f aca="false">AI13-Reserves!AI11+Reserves!AI12</f>
        <v>15.9595104139868</v>
      </c>
      <c r="AJ14" s="11" t="n">
        <f aca="false">AJ13-Reserves!AJ11+Reserves!AJ12</f>
        <v>19.0285282006164</v>
      </c>
      <c r="AK14" s="11" t="n">
        <f aca="false">AK13-Reserves!AK11+Reserves!AK12</f>
        <v>20.5919334670172</v>
      </c>
      <c r="AL14" s="11" t="n">
        <f aca="false">AL13-Reserves!AL11+Reserves!AL12</f>
        <v>24.4718776162749</v>
      </c>
      <c r="AM14" s="11" t="n">
        <f aca="false">AM13-Reserves!AM11+Reserves!AM12</f>
        <v>29.979925169925</v>
      </c>
      <c r="AN14" s="11" t="n">
        <f aca="false">AN13-Reserves!AN11+Reserves!AN12</f>
        <v>27.6468695822489</v>
      </c>
      <c r="AO14" s="11" t="n">
        <f aca="false">AO13-Reserves!AO11+Reserves!AO12</f>
        <v>46.4102531027745</v>
      </c>
      <c r="AP14" s="11" t="n">
        <f aca="false">AP13-Reserves!AP11+Reserves!AP12</f>
        <v>46.595324970242</v>
      </c>
      <c r="AQ14" s="11" t="n">
        <f aca="false">AQ13-Reserves!AQ11+Reserves!AQ12</f>
        <v>46.2567675160163</v>
      </c>
      <c r="AR14" s="11" t="n">
        <f aca="false">AR13-Reserves!AR11+Reserves!AR12</f>
        <v>47.275728459814</v>
      </c>
      <c r="AS14" s="11" t="n">
        <f aca="false">AS13-Reserves!AS11+Reserves!AS12</f>
        <v>46.0668622164945</v>
      </c>
      <c r="AT14" s="11" t="n">
        <f aca="false">AT13-Reserves!AT11+Reserves!AT12</f>
        <v>46.4658360380569</v>
      </c>
      <c r="AU14" s="11" t="n">
        <f aca="false">AU13-Reserves!AU11+Reserves!AU12</f>
        <v>41.3454243642673</v>
      </c>
      <c r="AV14" s="11" t="n">
        <f aca="false">AV13-Reserves!AV11+Reserves!AV12</f>
        <v>40.1769738827589</v>
      </c>
      <c r="AW14" s="11" t="n">
        <f aca="false">AW13-Reserves!AW11+Reserves!AW12</f>
        <v>40.3469893652886</v>
      </c>
      <c r="AX14" s="11" t="n">
        <f aca="false">AX13-Reserves!AX11+Reserves!AX12</f>
        <v>40.6489984435668</v>
      </c>
      <c r="AY14" s="11" t="n">
        <f aca="false">AY13-Reserves!AY11+Reserves!AY12</f>
        <v>40.2058161742135</v>
      </c>
      <c r="AZ14" s="11" t="n">
        <f aca="false">AZ13-Reserves!AZ11+Reserves!AZ12</f>
        <v>41.0801443095497</v>
      </c>
      <c r="BA14" s="11" t="n">
        <f aca="false">BA13-Reserves!BA11+Reserves!BA12</f>
        <v>40.4595736864266</v>
      </c>
      <c r="BB14" s="11" t="n">
        <f aca="false">BB13-Reserves!BB11+Reserves!BB12</f>
        <v>41.508796878269</v>
      </c>
      <c r="BC14" s="11" t="n">
        <f aca="false">BC13-Reserves!BC11+Reserves!BC12</f>
        <v>38.1246220646516</v>
      </c>
      <c r="BD14" s="11" t="n">
        <f aca="false">BD13-Reserves!BD11+Reserves!BD12</f>
        <v>33.1029239992822</v>
      </c>
      <c r="BE14" s="11" t="n">
        <f aca="false">BE13-Reserves!BE11+Reserves!BE12</f>
        <v>33.0134991740889</v>
      </c>
      <c r="BF14" s="11" t="n">
        <f aca="false">BF13-Reserves!BF11+Reserves!BF12</f>
        <v>33.3264678983963</v>
      </c>
      <c r="BG14" s="11" t="n">
        <f aca="false">BG13-Reserves!BG11+Reserves!BG12</f>
        <v>32.8731991856227</v>
      </c>
      <c r="BH14" s="11" t="n">
        <f aca="false">BH13-Reserves!BH11+Reserves!BH12</f>
        <v>33.7815112591756</v>
      </c>
      <c r="BI14" s="11" t="n">
        <f aca="false">BI13-Reserves!BI11+Reserves!BI12</f>
        <v>32.8977595350761</v>
      </c>
      <c r="BJ14" s="11" t="n">
        <f aca="false">BJ13-Reserves!BJ11+Reserves!BJ12</f>
        <v>39.4566846868235</v>
      </c>
      <c r="BK14" s="11" t="n">
        <f aca="false">BK13-Reserves!BK11+Reserves!BK12</f>
        <v>33.9896868470275</v>
      </c>
      <c r="BL14" s="11" t="n">
        <f aca="false">BL13-Reserves!BL11+Reserves!BL12</f>
        <v>36.304129754432</v>
      </c>
      <c r="BM14" s="11" t="n">
        <f aca="false">BM13-Reserves!BM11+Reserves!BM12</f>
        <v>33.4159743908395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1.57748802210621</v>
      </c>
      <c r="P15" s="11" t="n">
        <f aca="false">P14-Reserves!P14+Reserves!P15</f>
        <v>11.2287247333463</v>
      </c>
      <c r="Q15" s="11" t="n">
        <f aca="false">Q14-Reserves!Q14+Reserves!Q15</f>
        <v>8.87977667067287</v>
      </c>
      <c r="R15" s="11" t="n">
        <f aca="false">R14-Reserves!R14+Reserves!R15</f>
        <v>9.34796345661746</v>
      </c>
      <c r="S15" s="11" t="n">
        <f aca="false">S14-Reserves!S14+Reserves!S15</f>
        <v>8.6064114120869</v>
      </c>
      <c r="T15" s="11" t="n">
        <f aca="false">T14-Reserves!T14+Reserves!T15</f>
        <v>9.70811346309553</v>
      </c>
      <c r="U15" s="11" t="n">
        <f aca="false">U14-Reserves!U14+Reserves!U15</f>
        <v>8.21863719134242</v>
      </c>
      <c r="V15" s="11" t="n">
        <f aca="false">V14-Reserves!V14+Reserves!V15</f>
        <v>7.93601087927242</v>
      </c>
      <c r="W15" s="11" t="n">
        <f aca="false">W14-Reserves!W14+Reserves!W15</f>
        <v>8.92148088527618</v>
      </c>
      <c r="X15" s="11" t="n">
        <f aca="false">X14-Reserves!X14+Reserves!X15</f>
        <v>9.21215250024091</v>
      </c>
      <c r="Y15" s="11" t="n">
        <f aca="false">Y14-Reserves!Y14+Reserves!Y15</f>
        <v>8.64977989914497</v>
      </c>
      <c r="Z15" s="11" t="n">
        <f aca="false">Z14-Reserves!Z14+Reserves!Z15</f>
        <v>8.89071846405631</v>
      </c>
      <c r="AA15" s="11" t="n">
        <f aca="false">AA14-Reserves!AA14+Reserves!AA15</f>
        <v>8.13024519303881</v>
      </c>
      <c r="AB15" s="11" t="n">
        <f aca="false">AB14-Reserves!AB14+Reserves!AB15</f>
        <v>10.0750338090604</v>
      </c>
      <c r="AC15" s="11" t="n">
        <f aca="false">AC14-Reserves!AC14+Reserves!AC15</f>
        <v>8.22227018384987</v>
      </c>
      <c r="AD15" s="11" t="n">
        <f aca="false">AD14-Reserves!AD14+Reserves!AD15</f>
        <v>8.73245667332004</v>
      </c>
      <c r="AE15" s="11" t="n">
        <f aca="false">AE14-Reserves!AE14+Reserves!AE15</f>
        <v>9.23133623795021</v>
      </c>
      <c r="AF15" s="11" t="n">
        <f aca="false">AF14-Reserves!AF14+Reserves!AF15</f>
        <v>12.4944646286075</v>
      </c>
      <c r="AG15" s="11" t="n">
        <f aca="false">AG14-Reserves!AG14+Reserves!AG15</f>
        <v>13.358624624598</v>
      </c>
      <c r="AH15" s="11" t="n">
        <f aca="false">AH14-Reserves!AH14+Reserves!AH15</f>
        <v>15.0470449306863</v>
      </c>
      <c r="AI15" s="11" t="n">
        <f aca="false">AI14-Reserves!AI14+Reserves!AI15</f>
        <v>15.9595104139868</v>
      </c>
      <c r="AJ15" s="11" t="n">
        <f aca="false">AJ14-Reserves!AJ14+Reserves!AJ15</f>
        <v>19.0285282006164</v>
      </c>
      <c r="AK15" s="11" t="n">
        <f aca="false">AK14-Reserves!AK14+Reserves!AK15</f>
        <v>20.5919334670172</v>
      </c>
      <c r="AL15" s="11" t="n">
        <f aca="false">AL14-Reserves!AL14+Reserves!AL15</f>
        <v>24.4718776162749</v>
      </c>
      <c r="AM15" s="11" t="n">
        <f aca="false">AM14-Reserves!AM14+Reserves!AM15</f>
        <v>29.979925169925</v>
      </c>
      <c r="AN15" s="11" t="n">
        <f aca="false">AN14-Reserves!AN14+Reserves!AN15</f>
        <v>27.6468695822489</v>
      </c>
      <c r="AO15" s="11" t="n">
        <f aca="false">AO14-Reserves!AO14+Reserves!AO15</f>
        <v>46.4102531027745</v>
      </c>
      <c r="AP15" s="11" t="n">
        <f aca="false">AP14-Reserves!AP14+Reserves!AP15</f>
        <v>46.595324970242</v>
      </c>
      <c r="AQ15" s="11" t="n">
        <f aca="false">AQ14-Reserves!AQ14+Reserves!AQ15</f>
        <v>46.2567675160163</v>
      </c>
      <c r="AR15" s="11" t="n">
        <f aca="false">AR14-Reserves!AR14+Reserves!AR15</f>
        <v>47.275728459814</v>
      </c>
      <c r="AS15" s="11" t="n">
        <f aca="false">AS14-Reserves!AS14+Reserves!AS15</f>
        <v>46.0668622164945</v>
      </c>
      <c r="AT15" s="11" t="n">
        <f aca="false">AT14-Reserves!AT14+Reserves!AT15</f>
        <v>46.4658360380569</v>
      </c>
      <c r="AU15" s="11" t="n">
        <f aca="false">AU14-Reserves!AU14+Reserves!AU15</f>
        <v>41.3454243642673</v>
      </c>
      <c r="AV15" s="11" t="n">
        <f aca="false">AV14-Reserves!AV14+Reserves!AV15</f>
        <v>40.1769738827589</v>
      </c>
      <c r="AW15" s="11" t="n">
        <f aca="false">AW14-Reserves!AW14+Reserves!AW15</f>
        <v>40.3469893652886</v>
      </c>
      <c r="AX15" s="11" t="n">
        <f aca="false">AX14-Reserves!AX14+Reserves!AX15</f>
        <v>40.6489984435668</v>
      </c>
      <c r="AY15" s="11" t="n">
        <f aca="false">AY14-Reserves!AY14+Reserves!AY15</f>
        <v>40.2058161742135</v>
      </c>
      <c r="AZ15" s="11" t="n">
        <f aca="false">AZ14-Reserves!AZ14+Reserves!AZ15</f>
        <v>41.0801443095497</v>
      </c>
      <c r="BA15" s="11" t="n">
        <f aca="false">BA14-Reserves!BA14+Reserves!BA15</f>
        <v>39.9646052998179</v>
      </c>
      <c r="BB15" s="11" t="n">
        <f aca="false">BB14-Reserves!BB14+Reserves!BB15</f>
        <v>40.0076466236246</v>
      </c>
      <c r="BC15" s="11" t="n">
        <f aca="false">BC14-Reserves!BC14+Reserves!BC15</f>
        <v>36.6070489913094</v>
      </c>
      <c r="BD15" s="11" t="n">
        <f aca="false">BD14-Reserves!BD14+Reserves!BD15</f>
        <v>31.5687484390356</v>
      </c>
      <c r="BE15" s="11" t="n">
        <f aca="false">BE14-Reserves!BE14+Reserves!BE15</f>
        <v>31.4625394931332</v>
      </c>
      <c r="BF15" s="11" t="n">
        <f aca="false">BF14-Reserves!BF14+Reserves!BF15</f>
        <v>31.7585404758243</v>
      </c>
      <c r="BG15" s="11" t="n">
        <f aca="false">BG14-Reserves!BG14+Reserves!BG15</f>
        <v>31.2881183916859</v>
      </c>
      <c r="BH15" s="11" t="n">
        <f aca="false">BH14-Reserves!BH14+Reserves!BH15</f>
        <v>32.179089433307</v>
      </c>
      <c r="BI15" s="11" t="n">
        <f aca="false">BI14-Reserves!BI14+Reserves!BI15</f>
        <v>31.2778069636727</v>
      </c>
      <c r="BJ15" s="11" t="n">
        <f aca="false">BJ14-Reserves!BJ14+Reserves!BJ15</f>
        <v>37.8190095807858</v>
      </c>
      <c r="BK15" s="11" t="n">
        <f aca="false">BK14-Reserves!BK14+Reserves!BK15</f>
        <v>32.3340953190533</v>
      </c>
      <c r="BL15" s="11" t="n">
        <f aca="false">BL14-Reserves!BL14+Reserves!BL15</f>
        <v>34.6304257960615</v>
      </c>
      <c r="BM15" s="11" t="n">
        <f aca="false">BM14-Reserves!BM14+Reserves!BM15</f>
        <v>51.3571545528005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1.25673587967402</v>
      </c>
      <c r="Q17" s="6" t="n">
        <f aca="false">IF(Debt!Q121&gt;0.000000001,Q7/Debt!Q121,0)</f>
        <v>1.25156878013844</v>
      </c>
      <c r="R17" s="6" t="n">
        <f aca="false">IF(Debt!R121&gt;0.000000001,R7/Debt!R121,0)</f>
        <v>1.24070545095186</v>
      </c>
      <c r="S17" s="6" t="n">
        <f aca="false">IF(Debt!S121&gt;0.000000001,S7/Debt!S121,0)</f>
        <v>1.24172290372243</v>
      </c>
      <c r="T17" s="6" t="n">
        <f aca="false">IF(Debt!T121&gt;0.000000001,T7/Debt!T121,0)</f>
        <v>1.25237830713919</v>
      </c>
      <c r="U17" s="6" t="n">
        <f aca="false">IF(Debt!U121&gt;0.000000001,U7/Debt!U121,0)</f>
        <v>1.23784136028458</v>
      </c>
      <c r="V17" s="6" t="n">
        <f aca="false">IF(Debt!V121&gt;0.000000001,V7/Debt!V121,0)</f>
        <v>1.20035870381227</v>
      </c>
      <c r="W17" s="6" t="n">
        <f aca="false">IF(Debt!W121&gt;0.000000001,W7/Debt!W121,0)</f>
        <v>1.20579653711015</v>
      </c>
      <c r="X17" s="6" t="n">
        <f aca="false">IF(Debt!X121&gt;0.000000001,X7/Debt!X121,0)</f>
        <v>1.23981906505313</v>
      </c>
      <c r="Y17" s="6" t="n">
        <f aca="false">IF(Debt!Y121&gt;0.000000001,Y7/Debt!Y121,0)</f>
        <v>1.24475403359667</v>
      </c>
      <c r="Z17" s="6" t="n">
        <f aca="false">IF(Debt!Z121&gt;0.000000001,Z7/Debt!Z121,0)</f>
        <v>1.23307092512705</v>
      </c>
      <c r="AA17" s="6" t="n">
        <f aca="false">IF(Debt!AA121&gt;0.000000001,AA7/Debt!AA121,0)</f>
        <v>1.23406352083096</v>
      </c>
      <c r="AB17" s="6" t="n">
        <f aca="false">IF(Debt!AB121&gt;0.000000001,AB7/Debt!AB121,0)</f>
        <v>1.25981115817215</v>
      </c>
      <c r="AC17" s="6" t="n">
        <f aca="false">IF(Debt!AC121&gt;0.000000001,AC7/Debt!AC121,0)</f>
        <v>1.25247972156429</v>
      </c>
      <c r="AD17" s="6" t="n">
        <f aca="false">IF(Debt!AD121&gt;0.000000001,AD7/Debt!AD121,0)</f>
        <v>1.22613118330892</v>
      </c>
      <c r="AE17" s="6" t="n">
        <f aca="false">IF(Debt!AE121&gt;0.000000001,AE7/Debt!AE121,0)</f>
        <v>1.24240018824179</v>
      </c>
      <c r="AF17" s="6" t="n">
        <f aca="false">IF(Debt!AF121&gt;0.000000001,AF7/Debt!AF121,0)</f>
        <v>1.32421131265367</v>
      </c>
      <c r="AG17" s="6" t="n">
        <f aca="false">IF(Debt!AG121&gt;0.000000001,AG7/Debt!AG121,0)</f>
        <v>1.37287066368027</v>
      </c>
      <c r="AH17" s="6" t="n">
        <f aca="false">IF(Debt!AH121&gt;0.000000001,AH7/Debt!AH121,0)</f>
        <v>1.4040847795277</v>
      </c>
      <c r="AI17" s="6" t="n">
        <f aca="false">IF(Debt!AI121&gt;0.000000001,AI7/Debt!AI121,0)</f>
        <v>1.46359052972008</v>
      </c>
      <c r="AJ17" s="6" t="n">
        <f aca="false">IF(Debt!AJ121&gt;0.000000001,AJ7/Debt!AJ121,0)</f>
        <v>1.55593557683213</v>
      </c>
      <c r="AK17" s="6" t="n">
        <f aca="false">IF(Debt!AK121&gt;0.000000001,AK7/Debt!AK121,0)</f>
        <v>1.66138878209021</v>
      </c>
      <c r="AL17" s="6" t="n">
        <f aca="false">IF(Debt!AL121&gt;0.000000001,AL7/Debt!AL121,0)</f>
        <v>1.80540427305088</v>
      </c>
      <c r="AM17" s="6" t="n">
        <f aca="false">IF(Debt!AM121&gt;0.000000001,AM7/Debt!AM121,0)</f>
        <v>1.9885297550053</v>
      </c>
      <c r="AN17" s="6" t="n">
        <f aca="false">IF(Debt!AN121&gt;0.000000001,AN7/Debt!AN121,0)</f>
        <v>2.43323935524997</v>
      </c>
      <c r="AO17" s="6" t="n">
        <f aca="false">IF(Debt!AO121&gt;0.000000001,AO7/Debt!AO121,0)</f>
        <v>2.45480162721338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1.25673587967402</v>
      </c>
      <c r="Q18" s="6" t="n">
        <f aca="false">IF(Debt!Q121&gt;0.000000001,IF(Debt!P121&gt;0.000000001,(Q7+P7)/(Debt!Q121+Debt!P121),Q17),0)</f>
        <v>1.25415541611976</v>
      </c>
      <c r="R18" s="6" t="n">
        <f aca="false">IF(Debt!R121&gt;0.000000001,IF(Debt!Q121&gt;0.000000001,(R7+Q7)/(Debt!R121+Debt!Q121),R17),0)</f>
        <v>1.24610313986836</v>
      </c>
      <c r="S18" s="6" t="n">
        <f aca="false">IF(Debt!S121&gt;0.000000001,IF(Debt!R121&gt;0.000000001,(S7+R7)/(Debt!S121+Debt!R121),S17),0)</f>
        <v>1.24121219916795</v>
      </c>
      <c r="T18" s="6" t="n">
        <f aca="false">IF(Debt!T121&gt;0.000000001,IF(Debt!S121&gt;0.000000001,(T7+S7)/(Debt!T121+Debt!S121),T17),0)</f>
        <v>1.24708025833954</v>
      </c>
      <c r="U18" s="6" t="n">
        <f aca="false">IF(Debt!U121&gt;0.000000001,IF(Debt!T121&gt;0.000000001,(U7+T7)/(Debt!U121+Debt!T121),U17),0)</f>
        <v>1.24512725415902</v>
      </c>
      <c r="V18" s="6" t="n">
        <f aca="false">IF(Debt!V121&gt;0.000000001,IF(Debt!U121&gt;0.000000001,(V7+U7)/(Debt!V121+Debt!U121),V17),0)</f>
        <v>1.21892283667009</v>
      </c>
      <c r="W18" s="6" t="n">
        <f aca="false">IF(Debt!W121&gt;0.000000001,IF(Debt!V121&gt;0.000000001,(W7+V7)/(Debt!W121+Debt!V121),W17),0)</f>
        <v>1.20306818962826</v>
      </c>
      <c r="X18" s="6" t="n">
        <f aca="false">IF(Debt!X121&gt;0.000000001,IF(Debt!W121&gt;0.000000001,(X7+W7)/(Debt!X121+Debt!W121),X17),0)</f>
        <v>1.22255894591746</v>
      </c>
      <c r="Y18" s="6" t="n">
        <f aca="false">IF(Debt!Y121&gt;0.000000001,IF(Debt!X121&gt;0.000000001,(Y7+X7)/(Debt!Y121+Debt!X121),Y17),0)</f>
        <v>1.24227458398438</v>
      </c>
      <c r="Z18" s="6" t="n">
        <f aca="false">IF(Debt!Z121&gt;0.000000001,IF(Debt!Y121&gt;0.000000001,(Z7+Y7)/(Debt!Z121+Debt!Y121),Z17),0)</f>
        <v>1.2388885401356</v>
      </c>
      <c r="AA18" s="6" t="n">
        <f aca="false">IF(Debt!AA121&gt;0.000000001,IF(Debt!Z121&gt;0.000000001,(AA7+Z7)/(Debt!AA121+Debt!Z121),AA17),0)</f>
        <v>1.23356521553462</v>
      </c>
      <c r="AB18" s="6" t="n">
        <f aca="false">IF(Debt!AB121&gt;0.000000001,IF(Debt!AA121&gt;0.000000001,(AB7+AA7)/(Debt!AB121+Debt!AA121),AB17),0)</f>
        <v>1.24693829366573</v>
      </c>
      <c r="AC18" s="6" t="n">
        <f aca="false">IF(Debt!AC121&gt;0.000000001,IF(Debt!AB121&gt;0.000000001,(AC7+AB7)/(Debt!AC121+Debt!AB121),AC17),0)</f>
        <v>1.25618067077241</v>
      </c>
      <c r="AD18" s="6" t="n">
        <f aca="false">IF(Debt!AD121&gt;0.000000001,IF(Debt!AC121&gt;0.000000001,(AD7+AC7)/(Debt!AD121+Debt!AC121),AD17),0)</f>
        <v>1.23914300575757</v>
      </c>
      <c r="AE18" s="6" t="n">
        <f aca="false">IF(Debt!AE121&gt;0.000000001,IF(Debt!AD121&gt;0.000000001,(AE7+AD7)/(Debt!AE121+Debt!AD121),AE17),0)</f>
        <v>1.23421223470192</v>
      </c>
      <c r="AF18" s="6" t="n">
        <f aca="false">IF(Debt!AF121&gt;0.000000001,IF(Debt!AE121&gt;0.000000001,(AF7+AE7)/(Debt!AF121+Debt!AE121),AF17),0)</f>
        <v>1.28301448021741</v>
      </c>
      <c r="AG18" s="6" t="n">
        <f aca="false">IF(Debt!AG121&gt;0.000000001,IF(Debt!AF121&gt;0.000000001,(AG7+AF7)/(Debt!AG121+Debt!AF121),AG17),0)</f>
        <v>1.34812759110197</v>
      </c>
      <c r="AH18" s="6" t="n">
        <f aca="false">IF(Debt!AH121&gt;0.000000001,IF(Debt!AG121&gt;0.000000001,(AH7+AG7)/(Debt!AH121+Debt!AG121),AH17),0)</f>
        <v>1.38833145506119</v>
      </c>
      <c r="AI18" s="6" t="n">
        <f aca="false">IF(Debt!AI121&gt;0.000000001,IF(Debt!AH121&gt;0.000000001,(AI7+AH7)/(Debt!AI121+Debt!AH121),AI17),0)</f>
        <v>1.43311567536643</v>
      </c>
      <c r="AJ18" s="6" t="n">
        <f aca="false">IF(Debt!AJ121&gt;0.000000001,IF(Debt!AI121&gt;0.000000001,(AJ7+AI7)/(Debt!AJ121+Debt!AI121),AJ17),0)</f>
        <v>1.50882488664509</v>
      </c>
      <c r="AK18" s="6" t="n">
        <f aca="false">IF(Debt!AK121&gt;0.000000001,IF(Debt!AJ121&gt;0.000000001,(AK7+AJ7)/(Debt!AK121+Debt!AJ121),AK17),0)</f>
        <v>1.60648941109985</v>
      </c>
      <c r="AL18" s="6" t="n">
        <f aca="false">IF(Debt!AL121&gt;0.000000001,IF(Debt!AK121&gt;0.000000001,(AL7+AK7)/(Debt!AL121+Debt!AK121),AL17),0)</f>
        <v>1.73000693458421</v>
      </c>
      <c r="AM18" s="6" t="n">
        <f aca="false">IF(Debt!AM121&gt;0.000000001,IF(Debt!AL121&gt;0.000000001,(AM7+AL7)/(Debt!AM121+Debt!AL121),AM17),0)</f>
        <v>1.89243776100513</v>
      </c>
      <c r="AN18" s="6" t="n">
        <f aca="false">IF(Debt!AN121&gt;0.000000001,IF(Debt!AM121&gt;0.000000001,(AN7+AM7)/(Debt!AN121+Debt!AM121),AN17),0)</f>
        <v>2.18777872237858</v>
      </c>
      <c r="AO18" s="6" t="n">
        <f aca="false">IF(Debt!AO121&gt;0.000000001,IF(Debt!AN121&gt;0.000000001,(AO7+AN7)/(Debt!AO121+Debt!AN121),AO17),0)</f>
        <v>2.44395640473525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75.6942132385233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4.06512259651941</v>
      </c>
      <c r="AB29" s="11" t="n">
        <f aca="false">IF(AND(AB24=1,Time!AB21&gt;=2027,Inputs!$F$51=1),MIN(Inputs!$F$109*AB15,Debt!AB81),0)</f>
        <v>5.03751690453018</v>
      </c>
      <c r="AC29" s="11" t="n">
        <f aca="false">IF(AND(AC24=1,Time!AC21&gt;=2027,Inputs!$F$51=1),MIN(Inputs!$F$109*AC15,Debt!AC81),0)</f>
        <v>4.11113509192494</v>
      </c>
      <c r="AD29" s="11" t="n">
        <f aca="false">IF(AND(AD24=1,Time!AD21&gt;=2027,Inputs!$F$51=1),MIN(Inputs!$F$109*AD15,Debt!AD81),0)</f>
        <v>4.36622833666002</v>
      </c>
      <c r="AE29" s="11" t="n">
        <f aca="false">IF(AND(AE24=1,Time!AE21&gt;=2027,Inputs!$F$51=1),MIN(Inputs!$F$109*AE15,Debt!AE81),0)</f>
        <v>4.61566811897511</v>
      </c>
      <c r="AF29" s="11" t="n">
        <f aca="false">IF(AND(AF24=1,Time!AF21&gt;=2027,Inputs!$F$51=1),MIN(Inputs!$F$109*AF15,Debt!AF81),0)</f>
        <v>6.24723231430377</v>
      </c>
      <c r="AG29" s="11" t="n">
        <f aca="false">IF(AND(AG24=1,Time!AG21&gt;=2027,Inputs!$F$51=1),MIN(Inputs!$F$109*AG15,Debt!AG81),0)</f>
        <v>6.67931231229901</v>
      </c>
      <c r="AH29" s="11" t="n">
        <f aca="false">IF(AND(AH24=1,Time!AH21&gt;=2027,Inputs!$F$51=1),MIN(Inputs!$F$109*AH15,Debt!AH81),0)</f>
        <v>7.52352246534315</v>
      </c>
      <c r="AI29" s="11" t="n">
        <f aca="false">IF(AND(AI24=1,Time!AI21&gt;=2027,Inputs!$F$51=1),MIN(Inputs!$F$109*AI15,Debt!AI81),0)</f>
        <v>7.97975520699342</v>
      </c>
      <c r="AJ29" s="11" t="n">
        <f aca="false">IF(AND(AJ24=1,Time!AJ21&gt;=2027,Inputs!$F$51=1),MIN(Inputs!$F$109*AJ15,Debt!AJ81),0)</f>
        <v>9.51426410030822</v>
      </c>
      <c r="AK29" s="11" t="n">
        <f aca="false">IF(AND(AK24=1,Time!AK21&gt;=2027,Inputs!$F$51=1),MIN(Inputs!$F$109*AK15,Debt!AK81),0)</f>
        <v>10.2959667335086</v>
      </c>
      <c r="AL29" s="11" t="n">
        <f aca="false">IF(AND(AL24=1,Time!AL21&gt;=2027,Inputs!$F$51=1),MIN(Inputs!$F$109*AL15,Debt!AL81),0)</f>
        <v>5.25848905715745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1.57748802210621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1232.00562525096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11.2287247333463</v>
      </c>
      <c r="Q31" s="11" t="n">
        <f aca="false">IF(Q24=1,Q15-Q29,0)</f>
        <v>8.87977667067287</v>
      </c>
      <c r="R31" s="11" t="n">
        <f aca="false">IF(R24=1,R15-R29,0)</f>
        <v>9.34796345661746</v>
      </c>
      <c r="S31" s="11" t="n">
        <f aca="false">IF(S24=1,S15-S29,0)</f>
        <v>8.6064114120869</v>
      </c>
      <c r="T31" s="11" t="n">
        <f aca="false">IF(T24=1,T15-T29,0)</f>
        <v>9.70811346309553</v>
      </c>
      <c r="U31" s="11" t="n">
        <f aca="false">IF(U24=1,U15-U29,0)</f>
        <v>8.21863719134242</v>
      </c>
      <c r="V31" s="11" t="n">
        <f aca="false">IF(V24=1,V15-V29,0)</f>
        <v>7.93601087927242</v>
      </c>
      <c r="W31" s="11" t="n">
        <f aca="false">IF(W24=1,W15-W29,0)</f>
        <v>8.92148088527618</v>
      </c>
      <c r="X31" s="11" t="n">
        <f aca="false">IF(X24=1,X15-X29,0)</f>
        <v>9.21215250024091</v>
      </c>
      <c r="Y31" s="11" t="n">
        <f aca="false">IF(Y24=1,Y15-Y29,0)</f>
        <v>8.64977989914497</v>
      </c>
      <c r="Z31" s="11" t="n">
        <f aca="false">IF(Z24=1,Z15-Z29,0)</f>
        <v>8.89071846405631</v>
      </c>
      <c r="AA31" s="11" t="n">
        <f aca="false">IF(AA24=1,AA15-AA29,0)</f>
        <v>4.06512259651941</v>
      </c>
      <c r="AB31" s="11" t="n">
        <f aca="false">IF(AB24=1,AB15-AB29,0)</f>
        <v>5.03751690453018</v>
      </c>
      <c r="AC31" s="11" t="n">
        <f aca="false">IF(AC24=1,AC15-AC29,0)</f>
        <v>4.11113509192494</v>
      </c>
      <c r="AD31" s="11" t="n">
        <f aca="false">IF(AD24=1,AD15-AD29,0)</f>
        <v>4.36622833666002</v>
      </c>
      <c r="AE31" s="11" t="n">
        <f aca="false">IF(AE24=1,AE15-AE29,0)</f>
        <v>4.61566811897511</v>
      </c>
      <c r="AF31" s="11" t="n">
        <f aca="false">IF(AF24=1,AF15-AF29,0)</f>
        <v>6.24723231430377</v>
      </c>
      <c r="AG31" s="11" t="n">
        <f aca="false">IF(AG24=1,AG15-AG29,0)</f>
        <v>6.67931231229901</v>
      </c>
      <c r="AH31" s="11" t="n">
        <f aca="false">IF(AH24=1,AH15-AH29,0)</f>
        <v>7.52352246534315</v>
      </c>
      <c r="AI31" s="11" t="n">
        <f aca="false">IF(AI24=1,AI15-AI29,0)</f>
        <v>7.97975520699342</v>
      </c>
      <c r="AJ31" s="11" t="n">
        <f aca="false">IF(AJ24=1,AJ15-AJ29,0)</f>
        <v>9.51426410030822</v>
      </c>
      <c r="AK31" s="11" t="n">
        <f aca="false">IF(AK24=1,AK15-AK29,0)</f>
        <v>10.2959667335086</v>
      </c>
      <c r="AL31" s="11" t="n">
        <f aca="false">IF(AL24=1,AL15-AL29,0)</f>
        <v>19.2133885591174</v>
      </c>
      <c r="AM31" s="11" t="n">
        <f aca="false">IF(AM24=1,AM15-AM29,0)</f>
        <v>29.979925169925</v>
      </c>
      <c r="AN31" s="11" t="n">
        <f aca="false">IF(AN24=1,AN15-AN29,0)</f>
        <v>27.6468695822489</v>
      </c>
      <c r="AO31" s="11" t="n">
        <f aca="false">IF(AO24=1,AO15-AO29,0)</f>
        <v>46.4102531027745</v>
      </c>
      <c r="AP31" s="11" t="n">
        <f aca="false">IF(AP24=1,AP15-AP29,0)</f>
        <v>46.595324970242</v>
      </c>
      <c r="AQ31" s="11" t="n">
        <f aca="false">IF(AQ24=1,AQ15-AQ29,0)</f>
        <v>46.2567675160163</v>
      </c>
      <c r="AR31" s="11" t="n">
        <f aca="false">IF(AR24=1,AR15-AR29,0)</f>
        <v>47.275728459814</v>
      </c>
      <c r="AS31" s="11" t="n">
        <f aca="false">IF(AS24=1,AS15-AS29,0)</f>
        <v>46.0668622164945</v>
      </c>
      <c r="AT31" s="11" t="n">
        <f aca="false">IF(AT24=1,AT15-AT29,0)</f>
        <v>46.4658360380569</v>
      </c>
      <c r="AU31" s="11" t="n">
        <f aca="false">IF(AU24=1,AU15-AU29,0)</f>
        <v>41.3454243642673</v>
      </c>
      <c r="AV31" s="11" t="n">
        <f aca="false">IF(AV24=1,AV15-AV29,0)</f>
        <v>40.1769738827589</v>
      </c>
      <c r="AW31" s="11" t="n">
        <f aca="false">IF(AW24=1,AW15-AW29,0)</f>
        <v>40.3469893652886</v>
      </c>
      <c r="AX31" s="11" t="n">
        <f aca="false">IF(AX24=1,AX15-AX29,0)</f>
        <v>40.6489984435668</v>
      </c>
      <c r="AY31" s="11" t="n">
        <f aca="false">IF(AY24=1,AY15-AY29,0)</f>
        <v>40.2058161742135</v>
      </c>
      <c r="AZ31" s="11" t="n">
        <f aca="false">IF(AZ24=1,AZ15-AZ29,0)</f>
        <v>41.0801443095497</v>
      </c>
      <c r="BA31" s="11" t="n">
        <f aca="false">IF(BA24=1,BA15-BA29,0)</f>
        <v>39.9646052998179</v>
      </c>
      <c r="BB31" s="11" t="n">
        <f aca="false">IF(BB24=1,BB15-BB29,0)</f>
        <v>40.0076466236246</v>
      </c>
      <c r="BC31" s="11" t="n">
        <f aca="false">IF(BC24=1,BC15-BC29,0)</f>
        <v>36.6070489913094</v>
      </c>
      <c r="BD31" s="11" t="n">
        <f aca="false">IF(BD24=1,BD15-BD29,0)</f>
        <v>31.5687484390356</v>
      </c>
      <c r="BE31" s="11" t="n">
        <f aca="false">IF(BE24=1,BE15-BE29,0)</f>
        <v>31.4625394931332</v>
      </c>
      <c r="BF31" s="11" t="n">
        <f aca="false">IF(BF24=1,BF15-BF29,0)</f>
        <v>31.7585404758243</v>
      </c>
      <c r="BG31" s="11" t="n">
        <f aca="false">IF(BG24=1,BG15-BG29,0)</f>
        <v>31.2881183916859</v>
      </c>
      <c r="BH31" s="11" t="n">
        <f aca="false">IF(BH24=1,BH15-BH29,0)</f>
        <v>32.179089433307</v>
      </c>
      <c r="BI31" s="11" t="n">
        <f aca="false">IF(BI24=1,BI15-BI29,0)</f>
        <v>31.2778069636727</v>
      </c>
      <c r="BJ31" s="11" t="n">
        <f aca="false">IF(BJ24=1,BJ15-BJ29,0)</f>
        <v>37.8190095807858</v>
      </c>
      <c r="BK31" s="11" t="n">
        <f aca="false">IF(BK24=1,BK15-BK29,0)</f>
        <v>32.3340953190533</v>
      </c>
      <c r="BL31" s="11" t="n">
        <f aca="false">IF(BL24=1,BL15-BL29,0)</f>
        <v>34.6304257960615</v>
      </c>
      <c r="BM31" s="11" t="n">
        <f aca="false">IF(BM24=1,BM15-BM29,0)</f>
        <v>51.3571545528005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203.443584547443</v>
      </c>
      <c r="R33" s="11" t="n">
        <f aca="false">IF(Time!R17&lt;Time!$F$11,0,IF(Time!R29=1,INDEX(Funding!$J$72:$BJ$72,1,Time!$F$13),Q36))</f>
        <v>204.147951537847</v>
      </c>
      <c r="S33" s="11" t="n">
        <f aca="false">IF(Time!S17&lt;Time!$F$11,0,IF(Time!S29=1,INDEX(Funding!$J$72:$BJ$72,1,Time!$F$13),R36))</f>
        <v>204.576717376796</v>
      </c>
      <c r="T33" s="11" t="n">
        <f aca="false">IF(Time!T17&lt;Time!$F$11,0,IF(Time!T29=1,INDEX(Funding!$J$72:$BJ$72,1,Time!$F$13),S36))</f>
        <v>205.607831047706</v>
      </c>
      <c r="U33" s="11" t="n">
        <f aca="false">IF(Time!U17&lt;Time!$F$11,0,IF(Time!U29=1,INDEX(Funding!$J$72:$BJ$72,1,Time!$F$13),T36))</f>
        <v>205.746361109854</v>
      </c>
      <c r="V33" s="11" t="n">
        <f aca="false">IF(Time!V17&lt;Time!$F$11,0,IF(Time!V29=1,INDEX(Funding!$J$72:$BJ$72,1,Time!$F$13),U36))</f>
        <v>207.273900859852</v>
      </c>
      <c r="W33" s="11" t="n">
        <f aca="false">IF(Time!W17&lt;Time!$F$11,0,IF(Time!W29=1,INDEX(Funding!$J$72:$BJ$72,1,Time!$F$13),V36))</f>
        <v>209.264322273814</v>
      </c>
      <c r="X33" s="11" t="n">
        <f aca="false">IF(Time!X17&lt;Time!$F$11,0,IF(Time!X29=1,INDEX(Funding!$J$72:$BJ$72,1,Time!$F$13),W36))</f>
        <v>210.20119761182</v>
      </c>
      <c r="Y33" s="11" t="n">
        <f aca="false">IF(Time!Y17&lt;Time!$F$11,0,IF(Time!Y29=1,INDEX(Funding!$J$72:$BJ$72,1,Time!$F$13),X36))</f>
        <v>211.055666849263</v>
      </c>
      <c r="Z33" s="11" t="n">
        <f aca="false">IF(Time!Z17&lt;Time!$F$11,0,IF(Time!Z29=1,INDEX(Funding!$J$72:$BJ$72,1,Time!$F$13),Y36))</f>
        <v>212.348632680181</v>
      </c>
      <c r="AA33" s="11" t="n">
        <f aca="false">IF(Time!AA17&lt;Time!$F$11,0,IF(Time!AA29=1,INDEX(Funding!$J$72:$BJ$72,1,Time!$F$13),Z36))</f>
        <v>213.62737750174</v>
      </c>
      <c r="AB33" s="11" t="n">
        <f aca="false">IF(Time!AB17&lt;Time!$F$11,0,IF(Time!AB29=1,INDEX(Funding!$J$72:$BJ$72,1,Time!$F$13),AA36))</f>
        <v>219.626152867255</v>
      </c>
      <c r="AC33" s="11" t="n">
        <f aca="false">IF(Time!AC17&lt;Time!$F$11,0,IF(Time!AC29=1,INDEX(Funding!$J$72:$BJ$72,1,Time!$F$13),AB36))</f>
        <v>225.106622680861</v>
      </c>
      <c r="AD33" s="11" t="n">
        <f aca="false">IF(Time!AD17&lt;Time!$F$11,0,IF(Time!AD29=1,INDEX(Funding!$J$72:$BJ$72,1,Time!$F$13),AC36))</f>
        <v>231.658757468804</v>
      </c>
      <c r="AE33" s="11" t="n">
        <f aca="false">IF(Time!AE17&lt;Time!$F$11,0,IF(Time!AE29=1,INDEX(Funding!$J$72:$BJ$72,1,Time!$F$13),AD36))</f>
        <v>238.386762229555</v>
      </c>
      <c r="AF33" s="11" t="n">
        <f aca="false">IF(Time!AF17&lt;Time!$F$11,0,IF(Time!AF29=1,INDEX(Funding!$J$72:$BJ$72,1,Time!$F$13),AE36))</f>
        <v>245.001396512051</v>
      </c>
      <c r="AG33" s="11" t="n">
        <f aca="false">IF(Time!AG17&lt;Time!$F$11,0,IF(Time!AG29=1,INDEX(Funding!$J$72:$BJ$72,1,Time!$F$13),AF36))</f>
        <v>250.487381762215</v>
      </c>
      <c r="AH33" s="11" t="n">
        <f aca="false">IF(Time!AH17&lt;Time!$F$11,0,IF(Time!AH29=1,INDEX(Funding!$J$72:$BJ$72,1,Time!$F$13),AG36))</f>
        <v>255.608427064714</v>
      </c>
      <c r="AI33" s="11" t="n">
        <f aca="false">IF(Time!AI17&lt;Time!$F$11,0,IF(Time!AI29=1,INDEX(Funding!$J$72:$BJ$72,1,Time!$F$13),AH36))</f>
        <v>260.326097216059</v>
      </c>
      <c r="AJ33" s="11" t="n">
        <f aca="false">IF(Time!AJ17&lt;Time!$F$11,0,IF(Time!AJ29=1,INDEX(Funding!$J$72:$BJ$72,1,Time!$F$13),AI36))</f>
        <v>264.610197465587</v>
      </c>
      <c r="AK33" s="11" t="n">
        <f aca="false">IF(Time!AK17&lt;Time!$F$11,0,IF(Time!AK29=1,INDEX(Funding!$J$72:$BJ$72,1,Time!$F$13),AJ36))</f>
        <v>267.768224465822</v>
      </c>
      <c r="AL33" s="11" t="n">
        <f aca="false">IF(Time!AL17&lt;Time!$F$11,0,IF(Time!AL29=1,INDEX(Funding!$J$72:$BJ$72,1,Time!$F$13),AK36))</f>
        <v>270.156401844681</v>
      </c>
      <c r="AM33" s="11" t="n">
        <f aca="false">IF(Time!AM17&lt;Time!$F$11,0,IF(Time!AM29=1,INDEX(Funding!$J$72:$BJ$72,1,Time!$F$13),AL36))</f>
        <v>263.880914393084</v>
      </c>
      <c r="AN33" s="11" t="n">
        <f aca="false">IF(Time!AN17&lt;Time!$F$11,0,IF(Time!AN29=1,INDEX(Funding!$J$72:$BJ$72,1,Time!$F$13),AM36))</f>
        <v>246.332310656006</v>
      </c>
      <c r="AO33" s="11" t="n">
        <f aca="false">IF(Time!AO17&lt;Time!$F$11,0,IF(Time!AO29=1,INDEX(Funding!$J$72:$BJ$72,1,Time!$F$13),AN36))</f>
        <v>230.482396663529</v>
      </c>
      <c r="AP33" s="11" t="n">
        <f aca="false">IF(Time!AP17&lt;Time!$F$11,0,IF(Time!AP29=1,INDEX(Funding!$J$72:$BJ$72,1,Time!$F$13),AO36))</f>
        <v>194.930074548781</v>
      </c>
      <c r="AQ33" s="11" t="n">
        <f aca="false">IF(Time!AQ17&lt;Time!$F$11,0,IF(Time!AQ29=1,INDEX(Funding!$J$72:$BJ$72,1,Time!$F$13),AP36))</f>
        <v>157.67003095693</v>
      </c>
      <c r="AR33" s="11" t="n">
        <f aca="false">IF(Time!AR17&lt;Time!$F$11,0,IF(Time!AR29=1,INDEX(Funding!$J$72:$BJ$72,1,Time!$F$13),AQ36))</f>
        <v>118.841033803391</v>
      </c>
      <c r="AS33" s="11" t="n">
        <f aca="false">IF(Time!AS17&lt;Time!$F$11,0,IF(Time!AS29=1,INDEX(Funding!$J$72:$BJ$72,1,Time!$F$13),AR36))</f>
        <v>77.2566512912025</v>
      </c>
      <c r="AT33" s="11" t="n">
        <f aca="false">IF(Time!AT17&lt;Time!$F$11,0,IF(Time!AT29=1,INDEX(Funding!$J$72:$BJ$72,1,Time!$F$13),AS36))</f>
        <v>34.8494260632693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244.424763347768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8.87977667067287</v>
      </c>
      <c r="R34" s="11" t="n">
        <f aca="false">R24*MIN(R31,Tax!R13)</f>
        <v>9.34796345661746</v>
      </c>
      <c r="S34" s="11" t="n">
        <f aca="false">S24*MIN(S31,Tax!S13)</f>
        <v>8.6064114120869</v>
      </c>
      <c r="T34" s="11" t="n">
        <f aca="false">T24*MIN(T31,Tax!T13)</f>
        <v>9.70811346309553</v>
      </c>
      <c r="U34" s="11" t="n">
        <f aca="false">U24*MIN(U31,Tax!U13)</f>
        <v>8.21863719134242</v>
      </c>
      <c r="V34" s="11" t="n">
        <f aca="false">V24*MIN(V31,Tax!V13)</f>
        <v>7.93601087927242</v>
      </c>
      <c r="W34" s="11" t="n">
        <f aca="false">W24*MIN(W31,Tax!W13)</f>
        <v>8.92148088527618</v>
      </c>
      <c r="X34" s="11" t="n">
        <f aca="false">X24*MIN(X31,Tax!X13)</f>
        <v>9.21215250024091</v>
      </c>
      <c r="Y34" s="11" t="n">
        <f aca="false">Y24*MIN(Y31,Tax!Y13)</f>
        <v>8.64977989914497</v>
      </c>
      <c r="Z34" s="11" t="n">
        <f aca="false">Z24*MIN(Z31,Tax!Z13)</f>
        <v>8.89071846405631</v>
      </c>
      <c r="AA34" s="11" t="n">
        <f aca="false">AA24*MIN(AA31,Tax!AA13)</f>
        <v>4.06512259651941</v>
      </c>
      <c r="AB34" s="11" t="n">
        <f aca="false">AB24*MIN(AB31,Tax!AB13)</f>
        <v>5.03751690453018</v>
      </c>
      <c r="AC34" s="11" t="n">
        <f aca="false">AC24*MIN(AC31,Tax!AC13)</f>
        <v>4.11113509192494</v>
      </c>
      <c r="AD34" s="11" t="n">
        <f aca="false">AD24*MIN(AD31,Tax!AD13)</f>
        <v>4.36622833666002</v>
      </c>
      <c r="AE34" s="11" t="n">
        <f aca="false">AE24*MIN(AE31,Tax!AE13)</f>
        <v>4.61566811897511</v>
      </c>
      <c r="AF34" s="11" t="n">
        <f aca="false">AF24*MIN(AF31,Tax!AF13)</f>
        <v>6.24723231430377</v>
      </c>
      <c r="AG34" s="11" t="n">
        <f aca="false">AG24*MIN(AG31,Tax!AG13)</f>
        <v>6.67931231229901</v>
      </c>
      <c r="AH34" s="11" t="n">
        <f aca="false">AH24*MIN(AH31,Tax!AH13)</f>
        <v>7.52352246534315</v>
      </c>
      <c r="AI34" s="11" t="n">
        <f aca="false">AI24*MIN(AI31,Tax!AI13)</f>
        <v>7.97975520699342</v>
      </c>
      <c r="AJ34" s="11" t="n">
        <f aca="false">AJ24*MIN(AJ31,Tax!AJ13)</f>
        <v>9.51426410030822</v>
      </c>
      <c r="AK34" s="11" t="n">
        <f aca="false">AK24*MIN(AK31,Tax!AK13)</f>
        <v>10.2959667335086</v>
      </c>
      <c r="AL34" s="11" t="n">
        <f aca="false">AL24*MIN(AL31,Tax!AL13)</f>
        <v>12.9379011075206</v>
      </c>
      <c r="AM34" s="11" t="n">
        <f aca="false">AM24*MIN(AM31,Tax!AM13)</f>
        <v>12.4313214328468</v>
      </c>
      <c r="AN34" s="11" t="n">
        <f aca="false">AN24*MIN(AN31,Tax!AN13)</f>
        <v>11.7969555897726</v>
      </c>
      <c r="AO34" s="11" t="n">
        <f aca="false">AO24*MIN(AO31,Tax!AO13)</f>
        <v>10.8579309880257</v>
      </c>
      <c r="AP34" s="11" t="n">
        <f aca="false">AP24*MIN(AP31,Tax!AP13)</f>
        <v>9.33528137839092</v>
      </c>
      <c r="AQ34" s="11" t="n">
        <f aca="false">AQ24*MIN(AQ31,Tax!AQ13)</f>
        <v>7.42777036247782</v>
      </c>
      <c r="AR34" s="11" t="n">
        <f aca="false">AR24*MIN(AR31,Tax!AR13)</f>
        <v>5.69134594762541</v>
      </c>
      <c r="AS34" s="11" t="n">
        <f aca="false">AS24*MIN(AS31,Tax!AS13)</f>
        <v>3.65963698856134</v>
      </c>
      <c r="AT34" s="11" t="n">
        <f aca="false">AT24*MIN(AT31,Tax!AT13)</f>
        <v>1.66895333585191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271.574229364504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1.41782751982355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0</v>
      </c>
      <c r="W35" s="11" t="n">
        <f aca="false">W24*MIN(W31-W34,W33+Tax!W13-W34)</f>
        <v>0</v>
      </c>
      <c r="X35" s="11" t="n">
        <f aca="false">X24*MIN(X31-X34,X33+Tax!X13-X34)</f>
        <v>0</v>
      </c>
      <c r="Y35" s="11" t="n">
        <f aca="false">Y24*MIN(Y31-Y34,Y33+Tax!Y13-Y34)</f>
        <v>0</v>
      </c>
      <c r="Z35" s="11" t="n">
        <f aca="false">Z24*MIN(Z31-Z34,Z33+Tax!Z13-Z34)</f>
        <v>0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0</v>
      </c>
      <c r="AL35" s="11" t="n">
        <f aca="false">AL24*MIN(AL31-AL34,AL33+Tax!AL13-AL34)</f>
        <v>6.27548745159681</v>
      </c>
      <c r="AM35" s="11" t="n">
        <f aca="false">AM24*MIN(AM31-AM34,AM33+Tax!AM13-AM34)</f>
        <v>17.5486037370782</v>
      </c>
      <c r="AN35" s="11" t="n">
        <f aca="false">AN24*MIN(AN31-AN34,AN33+Tax!AN13-AN34)</f>
        <v>15.8499139924764</v>
      </c>
      <c r="AO35" s="11" t="n">
        <f aca="false">AO24*MIN(AO31-AO34,AO33+Tax!AO13-AO34)</f>
        <v>35.5523221147488</v>
      </c>
      <c r="AP35" s="11" t="n">
        <f aca="false">AP24*MIN(AP31-AP34,AP33+Tax!AP13-AP34)</f>
        <v>37.2600435918511</v>
      </c>
      <c r="AQ35" s="11" t="n">
        <f aca="false">AQ24*MIN(AQ31-AQ34,AQ33+Tax!AQ13-AQ34)</f>
        <v>38.8289971535385</v>
      </c>
      <c r="AR35" s="11" t="n">
        <f aca="false">AR24*MIN(AR31-AR34,AR33+Tax!AR13-AR34)</f>
        <v>41.5843825121886</v>
      </c>
      <c r="AS35" s="11" t="n">
        <f aca="false">AS24*MIN(AS31-AS34,AS33+Tax!AS13-AS34)</f>
        <v>42.4072252279331</v>
      </c>
      <c r="AT35" s="11" t="n">
        <f aca="false">AT24*MIN(AT31-AT34,AT33+Tax!AT13-AT34)</f>
        <v>34.8494260632693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203.443584547443</v>
      </c>
      <c r="Q36" s="11" t="n">
        <f aca="false">Q33+Tax!Q13-Q34-Q35</f>
        <v>204.147951537847</v>
      </c>
      <c r="R36" s="11" t="n">
        <f aca="false">R33+Tax!R13-R34-R35</f>
        <v>204.576717376796</v>
      </c>
      <c r="S36" s="11" t="n">
        <f aca="false">S33+Tax!S13-S34-S35</f>
        <v>205.607831047706</v>
      </c>
      <c r="T36" s="11" t="n">
        <f aca="false">T33+Tax!T13-T34-T35</f>
        <v>205.746361109854</v>
      </c>
      <c r="U36" s="11" t="n">
        <f aca="false">U33+Tax!U13-U34-U35</f>
        <v>207.273900859852</v>
      </c>
      <c r="V36" s="11" t="n">
        <f aca="false">V33+Tax!V13-V34-V35</f>
        <v>209.264322273814</v>
      </c>
      <c r="W36" s="11" t="n">
        <f aca="false">W33+Tax!W13-W34-W35</f>
        <v>210.20119761182</v>
      </c>
      <c r="X36" s="11" t="n">
        <f aca="false">X33+Tax!X13-X34-X35</f>
        <v>211.055666849263</v>
      </c>
      <c r="Y36" s="11" t="n">
        <f aca="false">Y33+Tax!Y13-Y34-Y35</f>
        <v>212.348632680181</v>
      </c>
      <c r="Z36" s="11" t="n">
        <f aca="false">Z33+Tax!Z13-Z34-Z35</f>
        <v>213.62737750174</v>
      </c>
      <c r="AA36" s="11" t="n">
        <f aca="false">AA33+Tax!AA13-AA34-AA35</f>
        <v>219.626152867255</v>
      </c>
      <c r="AB36" s="11" t="n">
        <f aca="false">AB33+Tax!AB13-AB34-AB35</f>
        <v>225.106622680861</v>
      </c>
      <c r="AC36" s="11" t="n">
        <f aca="false">AC33+Tax!AC13-AC34-AC35</f>
        <v>231.658757468804</v>
      </c>
      <c r="AD36" s="11" t="n">
        <f aca="false">AD33+Tax!AD13-AD34-AD35</f>
        <v>238.386762229555</v>
      </c>
      <c r="AE36" s="11" t="n">
        <f aca="false">AE33+Tax!AE13-AE34-AE35</f>
        <v>245.001396512051</v>
      </c>
      <c r="AF36" s="11" t="n">
        <f aca="false">AF33+Tax!AF13-AF34-AF35</f>
        <v>250.487381762215</v>
      </c>
      <c r="AG36" s="11" t="n">
        <f aca="false">AG33+Tax!AG13-AG34-AG35</f>
        <v>255.608427064714</v>
      </c>
      <c r="AH36" s="11" t="n">
        <f aca="false">AH33+Tax!AH13-AH34-AH35</f>
        <v>260.326097216059</v>
      </c>
      <c r="AI36" s="11" t="n">
        <f aca="false">AI33+Tax!AI13-AI34-AI35</f>
        <v>264.610197465587</v>
      </c>
      <c r="AJ36" s="11" t="n">
        <f aca="false">AJ33+Tax!AJ13-AJ34-AJ35</f>
        <v>267.768224465822</v>
      </c>
      <c r="AK36" s="11" t="n">
        <f aca="false">AK33+Tax!AK13-AK34-AK35</f>
        <v>270.156401844681</v>
      </c>
      <c r="AL36" s="11" t="n">
        <f aca="false">AL33+Tax!AL13-AL34-AL35</f>
        <v>263.880914393084</v>
      </c>
      <c r="AM36" s="11" t="n">
        <f aca="false">AM33+Tax!AM13-AM34-AM35</f>
        <v>246.332310656006</v>
      </c>
      <c r="AN36" s="11" t="n">
        <f aca="false">AN33+Tax!AN13-AN34-AN35</f>
        <v>230.482396663529</v>
      </c>
      <c r="AO36" s="11" t="n">
        <f aca="false">AO33+Tax!AO13-AO34-AO35</f>
        <v>194.930074548781</v>
      </c>
      <c r="AP36" s="11" t="n">
        <f aca="false">AP33+Tax!AP13-AP34-AP35</f>
        <v>157.67003095693</v>
      </c>
      <c r="AQ36" s="11" t="n">
        <f aca="false">AQ33+Tax!AQ13-AQ34-AQ35</f>
        <v>118.841033803391</v>
      </c>
      <c r="AR36" s="11" t="n">
        <f aca="false">AR33+Tax!AR13-AR34-AR35</f>
        <v>77.2566512912025</v>
      </c>
      <c r="AS36" s="11" t="n">
        <f aca="false">AS33+Tax!AS13-AS34-AS35</f>
        <v>34.8494260632693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8.62539562627987</v>
      </c>
      <c r="P37" s="11" t="n">
        <f aca="false">MAX(0,O43+Financials!P14)</f>
        <v>12.5354038245353</v>
      </c>
      <c r="Q37" s="11" t="n">
        <f aca="false">MAX(0,P43+Financials!Q14)</f>
        <v>17.3607912491092</v>
      </c>
      <c r="R37" s="11" t="n">
        <f aca="false">MAX(0,Q43+Financials!R14)</f>
        <v>21.9950850004215</v>
      </c>
      <c r="S37" s="11" t="n">
        <f aca="false">MAX(0,R43+Financials!S14)</f>
        <v>27.847089594091</v>
      </c>
      <c r="T37" s="11" t="n">
        <f aca="false">MAX(0,S43+Financials!T14)</f>
        <v>34.401454437309</v>
      </c>
      <c r="U37" s="11" t="n">
        <f aca="false">MAX(0,T43+Financials!U14)</f>
        <v>41.1192470601993</v>
      </c>
      <c r="V37" s="11" t="n">
        <f aca="false">MAX(0,U43+Financials!V14)</f>
        <v>44.209517558562</v>
      </c>
      <c r="W37" s="11" t="n">
        <f aca="false">MAX(0,V43+Financials!W14)</f>
        <v>51.5917676331234</v>
      </c>
      <c r="X37" s="11" t="n">
        <f aca="false">MAX(0,W43+Financials!X14)</f>
        <v>60.9494223081208</v>
      </c>
      <c r="Y37" s="11" t="n">
        <f aca="false">MAX(0,X43+Financials!Y14)</f>
        <v>68.3981222393794</v>
      </c>
      <c r="Z37" s="11" t="n">
        <f aca="false">MAX(0,Y43+Financials!Z14)</f>
        <v>71.3091283936444</v>
      </c>
      <c r="AA37" s="11" t="n">
        <f aca="false">MAX(0,Z43+Financials!AA14)</f>
        <v>75.1370413352433</v>
      </c>
      <c r="AB37" s="11" t="n">
        <f aca="false">MAX(0,AA43+Financials!AB14)</f>
        <v>79.586831584574</v>
      </c>
      <c r="AC37" s="11" t="n">
        <f aca="false">MAX(0,AB43+Financials!AC14)</f>
        <v>83.8953330124082</v>
      </c>
      <c r="AD37" s="11" t="n">
        <f aca="false">MAX(0,AC43+Financials!AD14)</f>
        <v>75.3829690209295</v>
      </c>
      <c r="AE37" s="11" t="n">
        <f aca="false">MAX(0,AD43+Financials!AE14)</f>
        <v>81.1069985011641</v>
      </c>
      <c r="AF37" s="11" t="n">
        <f aca="false">MAX(0,AE43+Financials!AF14)</f>
        <v>89.9595554281565</v>
      </c>
      <c r="AG37" s="11" t="n">
        <f aca="false">MAX(0,AF43+Financials!AG14)</f>
        <v>97.359661535411</v>
      </c>
      <c r="AH37" s="11" t="n">
        <f aca="false">MAX(0,AG43+Financials!AH14)</f>
        <v>105.01376685411</v>
      </c>
      <c r="AI37" s="11" t="n">
        <f aca="false">MAX(0,AH43+Financials!AI14)</f>
        <v>113.819959541516</v>
      </c>
      <c r="AJ37" s="11" t="n">
        <f aca="false">MAX(0,AI43+Financials!AJ14)</f>
        <v>123.599565579163</v>
      </c>
      <c r="AK37" s="11" t="n">
        <f aca="false">MAX(0,AJ43+Financials!AK14)</f>
        <v>133.812569079765</v>
      </c>
      <c r="AL37" s="11" t="n">
        <f aca="false">MAX(0,AK43+Financials!AL14)</f>
        <v>141.592767077813</v>
      </c>
      <c r="AM37" s="11" t="n">
        <f aca="false">MAX(0,AL43+Financials!AM14)</f>
        <v>153.117969074922</v>
      </c>
      <c r="AN37" s="11" t="n">
        <f aca="false">MAX(0,AM43+Financials!AN14)</f>
        <v>166.741576999814</v>
      </c>
      <c r="AO37" s="11" t="n">
        <f aca="false">MAX(0,AN43+Financials!AO14)</f>
        <v>181.265307423145</v>
      </c>
      <c r="AP37" s="11" t="n">
        <f aca="false">MAX(0,AO43+Financials!AP14)</f>
        <v>196.952881707</v>
      </c>
      <c r="AQ37" s="11" t="n">
        <f aca="false">MAX(0,AP43+Financials!AQ14)</f>
        <v>214.202284450496</v>
      </c>
      <c r="AR37" s="11" t="n">
        <f aca="false">MAX(0,AQ43+Financials!AR14)</f>
        <v>233.083670161763</v>
      </c>
      <c r="AS37" s="11" t="n">
        <f aca="false">MAX(0,AR43+Financials!AS14)</f>
        <v>252.499293575772</v>
      </c>
      <c r="AT37" s="11" t="n">
        <f aca="false">MAX(0,AS43+Financials!AT14)</f>
        <v>261.616523273169</v>
      </c>
      <c r="AU37" s="11" t="n">
        <f aca="false">MAX(0,AT43+Financials!AU14)</f>
        <v>273.193153389967</v>
      </c>
      <c r="AV37" s="11" t="n">
        <f aca="false">MAX(0,AU43+Financials!AV14)</f>
        <v>255.396563852134</v>
      </c>
      <c r="AW37" s="11" t="n">
        <f aca="false">MAX(0,AV43+Financials!AW14)</f>
        <v>238.663797743082</v>
      </c>
      <c r="AX37" s="11" t="n">
        <f aca="false">MAX(0,AW43+Financials!AX14)</f>
        <v>221.504855326849</v>
      </c>
      <c r="AY37" s="11" t="n">
        <f aca="false">MAX(0,AX43+Financials!AY14)</f>
        <v>204.284619242923</v>
      </c>
      <c r="AZ37" s="11" t="n">
        <f aca="false">MAX(0,AY43+Financials!AZ14)</f>
        <v>187.948950427164</v>
      </c>
      <c r="BA37" s="11" t="n">
        <f aca="false">MAX(0,AZ43+Financials!BA14)</f>
        <v>170.184271216043</v>
      </c>
      <c r="BB37" s="11" t="n">
        <f aca="false">MAX(0,BA43+Financials!BB14)</f>
        <v>149.894573576675</v>
      </c>
      <c r="BC37" s="11" t="n">
        <f aca="false">MAX(0,BB43+Financials!BC14)</f>
        <v>132.731991377661</v>
      </c>
      <c r="BD37" s="11" t="n">
        <f aca="false">MAX(0,BC43+Financials!BD14)</f>
        <v>120.329404645697</v>
      </c>
      <c r="BE37" s="11" t="n">
        <f aca="false">MAX(0,BD43+Financials!BE14)</f>
        <v>112.858690221886</v>
      </c>
      <c r="BF37" s="11" t="n">
        <f aca="false">MAX(0,BE43+Financials!BF14)</f>
        <v>105.232184749853</v>
      </c>
      <c r="BG37" s="11" t="n">
        <f aca="false">MAX(0,BF43+Financials!BG14)</f>
        <v>97.5623234428421</v>
      </c>
      <c r="BH37" s="11" t="n">
        <f aca="false">MAX(0,BG43+Financials!BH14)</f>
        <v>90.826519377614</v>
      </c>
      <c r="BI37" s="11" t="n">
        <f aca="false">MAX(0,BH43+Financials!BI14)</f>
        <v>82.2387966408648</v>
      </c>
      <c r="BJ37" s="11" t="n">
        <f aca="false">MAX(0,BI43+Financials!BJ14)</f>
        <v>60.830715281703</v>
      </c>
      <c r="BK37" s="11" t="n">
        <f aca="false">MAX(0,BJ43+Financials!BK14)</f>
        <v>45.7260667311134</v>
      </c>
      <c r="BL37" s="11" t="n">
        <f aca="false">MAX(0,BK43+Financials!BL14)</f>
        <v>38.3062320994832</v>
      </c>
      <c r="BM37" s="11" t="n">
        <f aca="false">MAX(0,BL43+Financials!BM14)</f>
        <v>6.99040103598889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0</v>
      </c>
      <c r="AT38" s="11" t="n">
        <f aca="false">AT24*MIN(AT31-AT34-AT35,AT37)</f>
        <v>9.94745663893566</v>
      </c>
      <c r="AU38" s="11" t="n">
        <f aca="false">AU24*MIN(AU31-AU34-AU35,AU37)</f>
        <v>41.3454243642673</v>
      </c>
      <c r="AV38" s="11" t="n">
        <f aca="false">AV24*MIN(AV31-AV34-AV35,AV37)</f>
        <v>40.1769738827589</v>
      </c>
      <c r="AW38" s="11" t="n">
        <f aca="false">AW24*MIN(AW31-AW34-AW35,AW37)</f>
        <v>40.3469893652886</v>
      </c>
      <c r="AX38" s="11" t="n">
        <f aca="false">AX24*MIN(AX31-AX34-AX35,AX37)</f>
        <v>40.6489984435668</v>
      </c>
      <c r="AY38" s="11" t="n">
        <f aca="false">AY24*MIN(AY31-AY34-AY35,AY37)</f>
        <v>40.2058161742135</v>
      </c>
      <c r="AZ38" s="11" t="n">
        <f aca="false">AZ24*MIN(AZ31-AZ34-AZ35,AZ37)</f>
        <v>41.0801443095497</v>
      </c>
      <c r="BA38" s="11" t="n">
        <f aca="false">BA24*MIN(BA31-BA34-BA35,BA37)</f>
        <v>39.9646052998179</v>
      </c>
      <c r="BB38" s="11" t="n">
        <f aca="false">BB24*MIN(BB31-BB34-BB35,BB37)</f>
        <v>40.0076466236246</v>
      </c>
      <c r="BC38" s="11" t="n">
        <f aca="false">BC24*MIN(BC31-BC34-BC35,BC37)</f>
        <v>36.6070489913094</v>
      </c>
      <c r="BD38" s="11" t="n">
        <f aca="false">BD24*MIN(BD31-BD34-BD35,BD37)</f>
        <v>31.5687484390356</v>
      </c>
      <c r="BE38" s="11" t="n">
        <f aca="false">BE24*MIN(BE31-BE34-BE35,BE37)</f>
        <v>31.4625394931332</v>
      </c>
      <c r="BF38" s="11" t="n">
        <f aca="false">BF24*MIN(BF31-BF34-BF35,BF37)</f>
        <v>31.7585404758243</v>
      </c>
      <c r="BG38" s="11" t="n">
        <f aca="false">BG24*MIN(BG31-BG34-BG35,BG37)</f>
        <v>31.2881183916859</v>
      </c>
      <c r="BH38" s="11" t="n">
        <f aca="false">BH24*MIN(BH31-BH34-BH35,BH37)</f>
        <v>32.179089433307</v>
      </c>
      <c r="BI38" s="11" t="n">
        <f aca="false">BI24*MIN(BI31-BI34-BI35,BI37)</f>
        <v>31.2778069636727</v>
      </c>
      <c r="BJ38" s="11" t="n">
        <f aca="false">BJ24*MIN(BJ31-BJ34-BJ35,BJ37)</f>
        <v>37.8190095807858</v>
      </c>
      <c r="BK38" s="11" t="n">
        <f aca="false">BK24*MIN(BK31-BK34-BK35,BK37)</f>
        <v>32.3340953190533</v>
      </c>
      <c r="BL38" s="11" t="n">
        <f aca="false">BL24*MIN(BL31-BL34-BL35,BL37)</f>
        <v>34.6304257960615</v>
      </c>
      <c r="BM38" s="11" t="n">
        <f aca="false">BM24*MIN(BM31-BM34-BM35,BM37)</f>
        <v>6.99040103598889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716.006632538692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0</v>
      </c>
      <c r="AT41" s="11" t="n">
        <f aca="false">AT38+AT40</f>
        <v>9.94745663893566</v>
      </c>
      <c r="AU41" s="11" t="n">
        <f aca="false">AU38+AU40</f>
        <v>41.3454243642673</v>
      </c>
      <c r="AV41" s="11" t="n">
        <f aca="false">AV38+AV40</f>
        <v>40.1769738827589</v>
      </c>
      <c r="AW41" s="11" t="n">
        <f aca="false">AW38+AW40</f>
        <v>40.3469893652886</v>
      </c>
      <c r="AX41" s="11" t="n">
        <f aca="false">AX38+AX40</f>
        <v>40.6489984435668</v>
      </c>
      <c r="AY41" s="11" t="n">
        <f aca="false">AY38+AY40</f>
        <v>40.2058161742135</v>
      </c>
      <c r="AZ41" s="11" t="n">
        <f aca="false">AZ38+AZ40</f>
        <v>41.0801443095497</v>
      </c>
      <c r="BA41" s="11" t="n">
        <f aca="false">BA38+BA40</f>
        <v>39.9646052998179</v>
      </c>
      <c r="BB41" s="11" t="n">
        <f aca="false">BB38+BB40</f>
        <v>40.0076466236246</v>
      </c>
      <c r="BC41" s="11" t="n">
        <f aca="false">BC38+BC40</f>
        <v>36.6070489913094</v>
      </c>
      <c r="BD41" s="11" t="n">
        <f aca="false">BD38+BD40</f>
        <v>31.5687484390356</v>
      </c>
      <c r="BE41" s="11" t="n">
        <f aca="false">BE38+BE40</f>
        <v>31.4625394931332</v>
      </c>
      <c r="BF41" s="11" t="n">
        <f aca="false">BF38+BF40</f>
        <v>31.7585404758243</v>
      </c>
      <c r="BG41" s="11" t="n">
        <f aca="false">BG38+BG40</f>
        <v>31.2881183916859</v>
      </c>
      <c r="BH41" s="11" t="n">
        <f aca="false">BH38+BH40</f>
        <v>32.179089433307</v>
      </c>
      <c r="BI41" s="11" t="n">
        <f aca="false">BI38+BI40</f>
        <v>31.2778069636727</v>
      </c>
      <c r="BJ41" s="11" t="n">
        <f aca="false">BJ38+BJ40</f>
        <v>37.8190095807858</v>
      </c>
      <c r="BK41" s="11" t="n">
        <f aca="false">BK38+BK40</f>
        <v>32.3340953190533</v>
      </c>
      <c r="BL41" s="11" t="n">
        <f aca="false">BL38+BL40</f>
        <v>34.6304257960615</v>
      </c>
      <c r="BM41" s="11" t="n">
        <f aca="false">BM38+BM40</f>
        <v>51.3571545528005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8.62539562627987</v>
      </c>
      <c r="P43" s="11" t="n">
        <f aca="false">IF(Time!P17&lt;Time!$F$11,0,O43+Financials!P14-P41)</f>
        <v>12.5354038245353</v>
      </c>
      <c r="Q43" s="11" t="n">
        <f aca="false">IF(Time!Q17&lt;Time!$F$11,0,P43+Financials!Q14-Q41)</f>
        <v>17.3607912491092</v>
      </c>
      <c r="R43" s="11" t="n">
        <f aca="false">IF(Time!R17&lt;Time!$F$11,0,Q43+Financials!R14-R41)</f>
        <v>21.9950850004215</v>
      </c>
      <c r="S43" s="11" t="n">
        <f aca="false">IF(Time!S17&lt;Time!$F$11,0,R43+Financials!S14-S41)</f>
        <v>27.847089594091</v>
      </c>
      <c r="T43" s="11" t="n">
        <f aca="false">IF(Time!T17&lt;Time!$F$11,0,S43+Financials!T14-T41)</f>
        <v>34.401454437309</v>
      </c>
      <c r="U43" s="11" t="n">
        <f aca="false">IF(Time!U17&lt;Time!$F$11,0,T43+Financials!U14-U41)</f>
        <v>41.1192470601993</v>
      </c>
      <c r="V43" s="11" t="n">
        <f aca="false">IF(Time!V17&lt;Time!$F$11,0,U43+Financials!V14-V41)</f>
        <v>44.209517558562</v>
      </c>
      <c r="W43" s="11" t="n">
        <f aca="false">IF(Time!W17&lt;Time!$F$11,0,V43+Financials!W14-W41)</f>
        <v>51.5917676331234</v>
      </c>
      <c r="X43" s="11" t="n">
        <f aca="false">IF(Time!X17&lt;Time!$F$11,0,W43+Financials!X14-X41)</f>
        <v>60.9494223081208</v>
      </c>
      <c r="Y43" s="11" t="n">
        <f aca="false">IF(Time!Y17&lt;Time!$F$11,0,X43+Financials!Y14-Y41)</f>
        <v>68.3981222393794</v>
      </c>
      <c r="Z43" s="11" t="n">
        <f aca="false">IF(Time!Z17&lt;Time!$F$11,0,Y43+Financials!Z14-Z41)</f>
        <v>71.3091283936444</v>
      </c>
      <c r="AA43" s="11" t="n">
        <f aca="false">IF(Time!AA17&lt;Time!$F$11,0,Z43+Financials!AA14-AA41)</f>
        <v>75.1370413352433</v>
      </c>
      <c r="AB43" s="11" t="n">
        <f aca="false">IF(Time!AB17&lt;Time!$F$11,0,AA43+Financials!AB14-AB41)</f>
        <v>79.586831584574</v>
      </c>
      <c r="AC43" s="11" t="n">
        <f aca="false">IF(Time!AC17&lt;Time!$F$11,0,AB43+Financials!AC14-AC41)</f>
        <v>83.8953330124082</v>
      </c>
      <c r="AD43" s="11" t="n">
        <f aca="false">IF(Time!AD17&lt;Time!$F$11,0,AC43+Financials!AD14-AD41)</f>
        <v>75.3829690209295</v>
      </c>
      <c r="AE43" s="11" t="n">
        <f aca="false">IF(Time!AE17&lt;Time!$F$11,0,AD43+Financials!AE14-AE41)</f>
        <v>81.1069985011641</v>
      </c>
      <c r="AF43" s="11" t="n">
        <f aca="false">IF(Time!AF17&lt;Time!$F$11,0,AE43+Financials!AF14-AF41)</f>
        <v>89.9595554281565</v>
      </c>
      <c r="AG43" s="11" t="n">
        <f aca="false">IF(Time!AG17&lt;Time!$F$11,0,AF43+Financials!AG14-AG41)</f>
        <v>97.359661535411</v>
      </c>
      <c r="AH43" s="11" t="n">
        <f aca="false">IF(Time!AH17&lt;Time!$F$11,0,AG43+Financials!AH14-AH41)</f>
        <v>105.01376685411</v>
      </c>
      <c r="AI43" s="11" t="n">
        <f aca="false">IF(Time!AI17&lt;Time!$F$11,0,AH43+Financials!AI14-AI41)</f>
        <v>113.819959541516</v>
      </c>
      <c r="AJ43" s="11" t="n">
        <f aca="false">IF(Time!AJ17&lt;Time!$F$11,0,AI43+Financials!AJ14-AJ41)</f>
        <v>123.599565579163</v>
      </c>
      <c r="AK43" s="11" t="n">
        <f aca="false">IF(Time!AK17&lt;Time!$F$11,0,AJ43+Financials!AK14-AK41)</f>
        <v>133.812569079765</v>
      </c>
      <c r="AL43" s="11" t="n">
        <f aca="false">IF(Time!AL17&lt;Time!$F$11,0,AK43+Financials!AL14-AL41)</f>
        <v>141.592767077813</v>
      </c>
      <c r="AM43" s="11" t="n">
        <f aca="false">IF(Time!AM17&lt;Time!$F$11,0,AL43+Financials!AM14-AM41)</f>
        <v>153.117969074922</v>
      </c>
      <c r="AN43" s="11" t="n">
        <f aca="false">IF(Time!AN17&lt;Time!$F$11,0,AM43+Financials!AN14-AN41)</f>
        <v>166.741576999814</v>
      </c>
      <c r="AO43" s="11" t="n">
        <f aca="false">IF(Time!AO17&lt;Time!$F$11,0,AN43+Financials!AO14-AO41)</f>
        <v>181.265307423145</v>
      </c>
      <c r="AP43" s="11" t="n">
        <f aca="false">IF(Time!AP17&lt;Time!$F$11,0,AO43+Financials!AP14-AP41)</f>
        <v>196.952881707</v>
      </c>
      <c r="AQ43" s="11" t="n">
        <f aca="false">IF(Time!AQ17&lt;Time!$F$11,0,AP43+Financials!AQ14-AQ41)</f>
        <v>214.202284450496</v>
      </c>
      <c r="AR43" s="11" t="n">
        <f aca="false">IF(Time!AR17&lt;Time!$F$11,0,AQ43+Financials!AR14-AR41)</f>
        <v>233.083670161763</v>
      </c>
      <c r="AS43" s="11" t="n">
        <f aca="false">IF(Time!AS17&lt;Time!$F$11,0,AR43+Financials!AS14-AS41)</f>
        <v>252.499293575772</v>
      </c>
      <c r="AT43" s="11" t="n">
        <f aca="false">IF(Time!AT17&lt;Time!$F$11,0,AS43+Financials!AT14-AT41)</f>
        <v>251.669066634234</v>
      </c>
      <c r="AU43" s="11" t="n">
        <f aca="false">IF(Time!AU17&lt;Time!$F$11,0,AT43+Financials!AU14-AU41)</f>
        <v>231.8477290257</v>
      </c>
      <c r="AV43" s="11" t="n">
        <f aca="false">IF(Time!AV17&lt;Time!$F$11,0,AU43+Financials!AV14-AV41)</f>
        <v>215.219589969375</v>
      </c>
      <c r="AW43" s="11" t="n">
        <f aca="false">IF(Time!AW17&lt;Time!$F$11,0,AV43+Financials!AW14-AW41)</f>
        <v>198.316808377793</v>
      </c>
      <c r="AX43" s="11" t="n">
        <f aca="false">IF(Time!AX17&lt;Time!$F$11,0,AW43+Financials!AX14-AX41)</f>
        <v>180.855856883282</v>
      </c>
      <c r="AY43" s="11" t="n">
        <f aca="false">IF(Time!AY17&lt;Time!$F$11,0,AX43+Financials!AY14-AY41)</f>
        <v>164.078803068709</v>
      </c>
      <c r="AZ43" s="11" t="n">
        <f aca="false">IF(Time!AZ17&lt;Time!$F$11,0,AY43+Financials!AZ14-AZ41)</f>
        <v>146.868806117614</v>
      </c>
      <c r="BA43" s="11" t="n">
        <f aca="false">IF(Time!BA17&lt;Time!$F$11,0,AZ43+Financials!BA14-BA41)</f>
        <v>130.219665916225</v>
      </c>
      <c r="BB43" s="11" t="n">
        <f aca="false">IF(Time!BB17&lt;Time!$F$11,0,BA43+Financials!BB14-BB41)</f>
        <v>109.88692695305</v>
      </c>
      <c r="BC43" s="11" t="n">
        <f aca="false">IF(Time!BC17&lt;Time!$F$11,0,BB43+Financials!BC14-BC41)</f>
        <v>96.1249423863517</v>
      </c>
      <c r="BD43" s="11" t="n">
        <f aca="false">IF(Time!BD17&lt;Time!$F$11,0,BC43+Financials!BD14-BD41)</f>
        <v>88.7606562066613</v>
      </c>
      <c r="BE43" s="11" t="n">
        <f aca="false">IF(Time!BE17&lt;Time!$F$11,0,BD43+Financials!BE14-BE41)</f>
        <v>81.3961507287532</v>
      </c>
      <c r="BF43" s="11" t="n">
        <f aca="false">IF(Time!BF17&lt;Time!$F$11,0,BE43+Financials!BF14-BF41)</f>
        <v>73.4736442740284</v>
      </c>
      <c r="BG43" s="11" t="n">
        <f aca="false">IF(Time!BG17&lt;Time!$F$11,0,BF43+Financials!BG14-BG41)</f>
        <v>66.2742050511562</v>
      </c>
      <c r="BH43" s="11" t="n">
        <f aca="false">IF(Time!BH17&lt;Time!$F$11,0,BG43+Financials!BH14-BH41)</f>
        <v>58.647429944307</v>
      </c>
      <c r="BI43" s="11" t="n">
        <f aca="false">IF(Time!BI17&lt;Time!$F$11,0,BH43+Financials!BI14-BI41)</f>
        <v>50.9609896771921</v>
      </c>
      <c r="BJ43" s="11" t="n">
        <f aca="false">IF(Time!BJ17&lt;Time!$F$11,0,BI43+Financials!BJ14-BJ41)</f>
        <v>23.0117057009172</v>
      </c>
      <c r="BK43" s="11" t="n">
        <f aca="false">IF(Time!BK17&lt;Time!$F$11,0,BJ43+Financials!BK14-BK41)</f>
        <v>13.3919714120602</v>
      </c>
      <c r="BL43" s="11" t="n">
        <f aca="false">IF(Time!BL17&lt;Time!$F$11,0,BK43+Financials!BL14-BL41)</f>
        <v>3.67580630342177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1232.00562525096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11.2287247333463</v>
      </c>
      <c r="Q44" s="11" t="n">
        <f aca="false">Q34+Q35+Q41</f>
        <v>8.87977667067287</v>
      </c>
      <c r="R44" s="11" t="n">
        <f aca="false">R34+R35+R41</f>
        <v>9.34796345661746</v>
      </c>
      <c r="S44" s="11" t="n">
        <f aca="false">S34+S35+S41</f>
        <v>8.6064114120869</v>
      </c>
      <c r="T44" s="11" t="n">
        <f aca="false">T34+T35+T41</f>
        <v>9.70811346309553</v>
      </c>
      <c r="U44" s="11" t="n">
        <f aca="false">U34+U35+U41</f>
        <v>8.21863719134242</v>
      </c>
      <c r="V44" s="11" t="n">
        <f aca="false">V34+V35+V41</f>
        <v>7.93601087927242</v>
      </c>
      <c r="W44" s="11" t="n">
        <f aca="false">W34+W35+W41</f>
        <v>8.92148088527618</v>
      </c>
      <c r="X44" s="11" t="n">
        <f aca="false">X34+X35+X41</f>
        <v>9.21215250024091</v>
      </c>
      <c r="Y44" s="11" t="n">
        <f aca="false">Y34+Y35+Y41</f>
        <v>8.64977989914497</v>
      </c>
      <c r="Z44" s="11" t="n">
        <f aca="false">Z34+Z35+Z41</f>
        <v>8.89071846405631</v>
      </c>
      <c r="AA44" s="11" t="n">
        <f aca="false">AA34+AA35+AA41</f>
        <v>4.06512259651941</v>
      </c>
      <c r="AB44" s="11" t="n">
        <f aca="false">AB34+AB35+AB41</f>
        <v>5.03751690453018</v>
      </c>
      <c r="AC44" s="11" t="n">
        <f aca="false">AC34+AC35+AC41</f>
        <v>4.11113509192494</v>
      </c>
      <c r="AD44" s="11" t="n">
        <f aca="false">AD34+AD35+AD41</f>
        <v>4.36622833666002</v>
      </c>
      <c r="AE44" s="11" t="n">
        <f aca="false">AE34+AE35+AE41</f>
        <v>4.61566811897511</v>
      </c>
      <c r="AF44" s="11" t="n">
        <f aca="false">AF34+AF35+AF41</f>
        <v>6.24723231430377</v>
      </c>
      <c r="AG44" s="11" t="n">
        <f aca="false">AG34+AG35+AG41</f>
        <v>6.67931231229901</v>
      </c>
      <c r="AH44" s="11" t="n">
        <f aca="false">AH34+AH35+AH41</f>
        <v>7.52352246534315</v>
      </c>
      <c r="AI44" s="11" t="n">
        <f aca="false">AI34+AI35+AI41</f>
        <v>7.97975520699342</v>
      </c>
      <c r="AJ44" s="11" t="n">
        <f aca="false">AJ34+AJ35+AJ41</f>
        <v>9.51426410030822</v>
      </c>
      <c r="AK44" s="11" t="n">
        <f aca="false">AK34+AK35+AK41</f>
        <v>10.2959667335086</v>
      </c>
      <c r="AL44" s="11" t="n">
        <f aca="false">AL34+AL35+AL41</f>
        <v>19.2133885591174</v>
      </c>
      <c r="AM44" s="11" t="n">
        <f aca="false">AM34+AM35+AM41</f>
        <v>29.979925169925</v>
      </c>
      <c r="AN44" s="11" t="n">
        <f aca="false">AN34+AN35+AN41</f>
        <v>27.6468695822489</v>
      </c>
      <c r="AO44" s="11" t="n">
        <f aca="false">AO34+AO35+AO41</f>
        <v>46.4102531027745</v>
      </c>
      <c r="AP44" s="11" t="n">
        <f aca="false">AP34+AP35+AP41</f>
        <v>46.595324970242</v>
      </c>
      <c r="AQ44" s="11" t="n">
        <f aca="false">AQ34+AQ35+AQ41</f>
        <v>46.2567675160163</v>
      </c>
      <c r="AR44" s="11" t="n">
        <f aca="false">AR34+AR35+AR41</f>
        <v>47.275728459814</v>
      </c>
      <c r="AS44" s="11" t="n">
        <f aca="false">AS34+AS35+AS41</f>
        <v>46.0668622164945</v>
      </c>
      <c r="AT44" s="11" t="n">
        <f aca="false">AT34+AT35+AT41</f>
        <v>46.4658360380569</v>
      </c>
      <c r="AU44" s="11" t="n">
        <f aca="false">AU34+AU35+AU41</f>
        <v>41.3454243642673</v>
      </c>
      <c r="AV44" s="11" t="n">
        <f aca="false">AV34+AV35+AV41</f>
        <v>40.1769738827589</v>
      </c>
      <c r="AW44" s="11" t="n">
        <f aca="false">AW34+AW35+AW41</f>
        <v>40.3469893652886</v>
      </c>
      <c r="AX44" s="11" t="n">
        <f aca="false">AX34+AX35+AX41</f>
        <v>40.6489984435668</v>
      </c>
      <c r="AY44" s="11" t="n">
        <f aca="false">AY34+AY35+AY41</f>
        <v>40.2058161742135</v>
      </c>
      <c r="AZ44" s="11" t="n">
        <f aca="false">AZ34+AZ35+AZ41</f>
        <v>41.0801443095497</v>
      </c>
      <c r="BA44" s="11" t="n">
        <f aca="false">BA34+BA35+BA41</f>
        <v>39.9646052998179</v>
      </c>
      <c r="BB44" s="11" t="n">
        <f aca="false">BB34+BB35+BB41</f>
        <v>40.0076466236246</v>
      </c>
      <c r="BC44" s="11" t="n">
        <f aca="false">BC34+BC35+BC41</f>
        <v>36.6070489913094</v>
      </c>
      <c r="BD44" s="11" t="n">
        <f aca="false">BD34+BD35+BD41</f>
        <v>31.5687484390356</v>
      </c>
      <c r="BE44" s="11" t="n">
        <f aca="false">BE34+BE35+BE41</f>
        <v>31.4625394931332</v>
      </c>
      <c r="BF44" s="11" t="n">
        <f aca="false">BF34+BF35+BF41</f>
        <v>31.7585404758243</v>
      </c>
      <c r="BG44" s="11" t="n">
        <f aca="false">BG34+BG35+BG41</f>
        <v>31.2881183916859</v>
      </c>
      <c r="BH44" s="11" t="n">
        <f aca="false">BH34+BH35+BH41</f>
        <v>32.179089433307</v>
      </c>
      <c r="BI44" s="11" t="n">
        <f aca="false">BI34+BI35+BI41</f>
        <v>31.2778069636727</v>
      </c>
      <c r="BJ44" s="11" t="n">
        <f aca="false">BJ34+BJ35+BJ41</f>
        <v>37.8190095807858</v>
      </c>
      <c r="BK44" s="11" t="n">
        <f aca="false">BK34+BK35+BK41</f>
        <v>32.3340953190533</v>
      </c>
      <c r="BL44" s="11" t="n">
        <f aca="false">BL34+BL35+BL41</f>
        <v>34.6304257960615</v>
      </c>
      <c r="BM44" s="11" t="n">
        <f aca="false">BM34+BM35+BM41</f>
        <v>51.3571545528005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634.192339355893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30.5958937866362</v>
      </c>
      <c r="R9" s="11" t="n">
        <f aca="false">Debt!R119+Debt!R117+Debt!R111-Debt!R110+Tax!R13</f>
        <v>30.4609530378134</v>
      </c>
      <c r="S9" s="11" t="n">
        <f aca="false">Debt!S119+Debt!S117+Debt!S111-Debt!S110+Tax!S13</f>
        <v>29.5310652932544</v>
      </c>
      <c r="T9" s="11" t="n">
        <f aca="false">Debt!T119+Debt!T117+Debt!T111-Debt!T110+Tax!T13</f>
        <v>29.3558657492293</v>
      </c>
      <c r="U9" s="11" t="n">
        <f aca="false">Debt!U119+Debt!U117+Debt!U111-Debt!U110+Tax!U13</f>
        <v>28.4931047865756</v>
      </c>
      <c r="V9" s="11" t="n">
        <f aca="false">Debt!V119+Debt!V117+Debt!V111-Debt!V110+Tax!V13</f>
        <v>28.1608443566451</v>
      </c>
      <c r="W9" s="11" t="n">
        <f aca="false">Debt!W119+Debt!W117+Debt!W111-Debt!W110+Tax!W13</f>
        <v>27.2150520400513</v>
      </c>
      <c r="X9" s="11" t="n">
        <f aca="false">Debt!X119+Debt!X117+Debt!X111-Debt!X110+Tax!X13</f>
        <v>26.900541276538</v>
      </c>
      <c r="Y9" s="11" t="n">
        <f aca="false">Debt!Y119+Debt!Y117+Debt!Y111-Debt!Y110+Tax!Y13</f>
        <v>26.4108075468362</v>
      </c>
      <c r="Z9" s="11" t="n">
        <f aca="false">Debt!Z119+Debt!Z117+Debt!Z111-Debt!Z110+Tax!Z13</f>
        <v>26.1056977358275</v>
      </c>
      <c r="AA9" s="11" t="n">
        <f aca="false">Debt!AA119+Debt!AA117+Debt!AA111-Debt!AA110+Tax!AA13</f>
        <v>25.0921171172032</v>
      </c>
      <c r="AB9" s="11" t="n">
        <f aca="false">Debt!AB119+Debt!AB117+Debt!AB111-Debt!AB110+Tax!AB13</f>
        <v>24.7478861572042</v>
      </c>
      <c r="AC9" s="11" t="n">
        <f aca="false">Debt!AC119+Debt!AC117+Debt!AC111-Debt!AC110+Tax!AC13</f>
        <v>23.7621249704625</v>
      </c>
      <c r="AD9" s="11" t="n">
        <f aca="false">Debt!AD119+Debt!AD117+Debt!AD111-Debt!AD110+Tax!AD13</f>
        <v>23.2846805489071</v>
      </c>
      <c r="AE9" s="11" t="n">
        <f aca="false">Debt!AE119+Debt!AE117+Debt!AE111-Debt!AE110+Tax!AE13</f>
        <v>22.2294891118575</v>
      </c>
      <c r="AF9" s="11" t="n">
        <f aca="false">Debt!AF119+Debt!AF117+Debt!AF111-Debt!AF110+Tax!AF13</f>
        <v>21.7424414222329</v>
      </c>
      <c r="AG9" s="11" t="n">
        <f aca="false">Debt!AG119+Debt!AG117+Debt!AG111-Debt!AG110+Tax!AG13</f>
        <v>20.7545846777194</v>
      </c>
      <c r="AH9" s="11" t="n">
        <f aca="false">Debt!AH119+Debt!AH117+Debt!AH111-Debt!AH110+Tax!AH13</f>
        <v>20.041584369819</v>
      </c>
      <c r="AI9" s="11" t="n">
        <f aca="false">Debt!AI119+Debt!AI117+Debt!AI111-Debt!AI110+Tax!AI13</f>
        <v>18.7051800208261</v>
      </c>
      <c r="AJ9" s="11" t="n">
        <f aca="false">Debt!AJ119+Debt!AJ117+Debt!AJ111-Debt!AJ110+Tax!AJ13</f>
        <v>17.8830895070769</v>
      </c>
      <c r="AK9" s="11" t="n">
        <f aca="false">Debt!AK119+Debt!AK117+Debt!AK111-Debt!AK110+Tax!AK13</f>
        <v>16.5259421143878</v>
      </c>
      <c r="AL9" s="11" t="n">
        <f aca="false">Debt!AL119+Debt!AL117+Debt!AL111-Debt!AL110+Tax!AL13</f>
        <v>15.4848906103264</v>
      </c>
      <c r="AM9" s="11" t="n">
        <f aca="false">Debt!AM119+Debt!AM117+Debt!AM111-Debt!AM110+Tax!AM13</f>
        <v>14.0125104822482</v>
      </c>
      <c r="AN9" s="11" t="n">
        <f aca="false">Debt!AN119+Debt!AN117+Debt!AN111-Debt!AN110+Tax!AN13</f>
        <v>12.7890490588827</v>
      </c>
      <c r="AO9" s="11" t="n">
        <f aca="false">Debt!AO119+Debt!AO117+Debt!AO111-Debt!AO110+Tax!AO13</f>
        <v>11.3551843720563</v>
      </c>
      <c r="AP9" s="11" t="n">
        <f aca="false">Debt!AP119+Debt!AP117+Debt!AP111-Debt!AP110+Tax!AP13</f>
        <v>9.33528137839092</v>
      </c>
      <c r="AQ9" s="11" t="n">
        <f aca="false">Debt!AQ119+Debt!AQ117+Debt!AQ111-Debt!AQ110+Tax!AQ13</f>
        <v>7.42777036247782</v>
      </c>
      <c r="AR9" s="11" t="n">
        <f aca="false">Debt!AR119+Debt!AR117+Debt!AR111-Debt!AR110+Tax!AR13</f>
        <v>5.69134594762541</v>
      </c>
      <c r="AS9" s="11" t="n">
        <f aca="false">Debt!AS119+Debt!AS117+Debt!AS111-Debt!AS110+Tax!AS13</f>
        <v>3.65963698856134</v>
      </c>
      <c r="AT9" s="11" t="n">
        <f aca="false">Debt!AT119+Debt!AT117+Debt!AT111-Debt!AT110+Tax!AT13</f>
        <v>1.66895333585191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-49.7327973223575</v>
      </c>
      <c r="Z12" s="11" t="n">
        <f aca="false">IF(Time!Z17&gt;=Time!$F$11,Inputs!$F$181/100*(Z11-Z10-Tax!Z21),0)</f>
        <v>-48.3395007350621</v>
      </c>
      <c r="AA12" s="11" t="n">
        <f aca="false">IF(Time!AA17&gt;=Time!$F$11,Inputs!$F$181/100*(AA11-AA10-Tax!AA21),0)</f>
        <v>-46.5520670612356</v>
      </c>
      <c r="AB12" s="11" t="n">
        <f aca="false">IF(Time!AB17&gt;=Time!$F$11,Inputs!$F$181/100*(AB11-AB10-Tax!AB21),0)</f>
        <v>-44.4964149860472</v>
      </c>
      <c r="AC12" s="11" t="n">
        <f aca="false">IF(Time!AC17&gt;=Time!$F$11,Inputs!$F$181/100*(AC11-AC10-Tax!AC21),0)</f>
        <v>-42.5035321088412</v>
      </c>
      <c r="AD12" s="11" t="n">
        <f aca="false">IF(Time!AD17&gt;=Time!$F$11,Inputs!$F$181/100*(AD11-AD10-Tax!AD21),0)</f>
        <v>-41.4995082460245</v>
      </c>
      <c r="AE12" s="11" t="n">
        <f aca="false">IF(Time!AE17&gt;=Time!$F$11,Inputs!$F$181/100*(AE11-AE10-Tax!AE21),0)</f>
        <v>-40.4954843832077</v>
      </c>
      <c r="AF12" s="11" t="n">
        <f aca="false">IF(Time!AF17&gt;=Time!$F$11,Inputs!$F$181/100*(AF11-AF10-Tax!AF21),0)</f>
        <v>-39.4671263442803</v>
      </c>
      <c r="AG12" s="11" t="n">
        <f aca="false">IF(Time!AG17&gt;=Time!$F$11,Inputs!$F$181/100*(AG11-AG10-Tax!AG21),0)</f>
        <v>-36.1440496844872</v>
      </c>
      <c r="AH12" s="11" t="n">
        <f aca="false">IF(Time!AH17&gt;=Time!$F$11,Inputs!$F$181/100*(AH11-AH10-Tax!AH21),0)</f>
        <v>-32.7124411403184</v>
      </c>
      <c r="AI12" s="11" t="n">
        <f aca="false">IF(Time!AI17&gt;=Time!$F$11,Inputs!$F$181/100*(AI11-AI10-Tax!AI21),0)</f>
        <v>-28.7858247199318</v>
      </c>
      <c r="AJ12" s="11" t="n">
        <f aca="false">IF(Time!AJ17&gt;=Time!$F$11,Inputs!$F$181/100*(AJ11-AJ10-Tax!AJ21),0)</f>
        <v>-24.4402317193016</v>
      </c>
      <c r="AK12" s="11" t="n">
        <f aca="false">IF(Time!AK17&gt;=Time!$F$11,Inputs!$F$181/100*(AK11-AK10-Tax!AK21),0)</f>
        <v>-19.9100400260464</v>
      </c>
      <c r="AL12" s="11" t="n">
        <f aca="false">IF(Time!AL17&gt;=Time!$F$11,Inputs!$F$181/100*(AL11-AL10-Tax!AL21),0)</f>
        <v>-16.4255370175566</v>
      </c>
      <c r="AM12" s="11" t="n">
        <f aca="false">IF(Time!AM17&gt;=Time!$F$11,Inputs!$F$181/100*(AM11-AM10-Tax!AM21),0)</f>
        <v>-11.3333788492216</v>
      </c>
      <c r="AN12" s="11" t="n">
        <f aca="false">IF(Time!AN17&gt;=Time!$F$11,Inputs!$F$181/100*(AN11-AN10-Tax!AN21),0)</f>
        <v>-5.3373004531482</v>
      </c>
      <c r="AO12" s="11" t="n">
        <f aca="false">IF(Time!AO17&gt;=Time!$F$11,Inputs!$F$181/100*(AO11-AO10-Tax!AO21),0)</f>
        <v>1.04478578511123</v>
      </c>
      <c r="AP12" s="11" t="n">
        <f aca="false">IF(Time!AP17&gt;=Time!$F$11,Inputs!$F$181/100*(AP11-AP10-Tax!AP21),0)</f>
        <v>7.92535999778658</v>
      </c>
      <c r="AQ12" s="11" t="n">
        <f aca="false">IF(Time!AQ17&gt;=Time!$F$11,Inputs!$F$181/100*(AQ11-AQ10-Tax!AQ21),0)</f>
        <v>15.4766315738033</v>
      </c>
      <c r="AR12" s="11" t="n">
        <f aca="false">IF(Time!AR17&gt;=Time!$F$11,Inputs!$F$181/100*(AR11-AR10-Tax!AR21),0)</f>
        <v>23.7292326281726</v>
      </c>
      <c r="AS12" s="11" t="n">
        <f aca="false">IF(Time!AS17&gt;=Time!$F$11,Inputs!$F$181/100*(AS11-AS10-Tax!AS21),0)</f>
        <v>32.2084686275746</v>
      </c>
      <c r="AT12" s="11" t="n">
        <f aca="false">IF(Time!AT17&gt;=Time!$F$11,Inputs!$F$181/100*(AT11-AT10-Tax!AT21),0)</f>
        <v>36.2686007818081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-2.87835039090978</v>
      </c>
      <c r="Z13" s="11" t="n">
        <f aca="false">Z12-Y12</f>
        <v>1.39329658729536</v>
      </c>
      <c r="AA13" s="11" t="n">
        <f aca="false">AA12-Z12</f>
        <v>1.78743367382651</v>
      </c>
      <c r="AB13" s="11" t="n">
        <f aca="false">AB12-AA12</f>
        <v>2.05565207518845</v>
      </c>
      <c r="AC13" s="11" t="n">
        <f aca="false">AC12-AB12</f>
        <v>1.99288287720595</v>
      </c>
      <c r="AD13" s="11" t="n">
        <f aca="false">AD12-AC12</f>
        <v>1.00402386281673</v>
      </c>
      <c r="AE13" s="11" t="n">
        <f aca="false">AE12-AD12</f>
        <v>1.00402386281673</v>
      </c>
      <c r="AF13" s="11" t="n">
        <f aca="false">AF12-AE12</f>
        <v>1.02835803892742</v>
      </c>
      <c r="AG13" s="11" t="n">
        <f aca="false">AG12-AF12</f>
        <v>3.32307665979313</v>
      </c>
      <c r="AH13" s="11" t="n">
        <f aca="false">AH12-AG12</f>
        <v>3.43160854416875</v>
      </c>
      <c r="AI13" s="11" t="n">
        <f aca="false">AI12-AH12</f>
        <v>3.92661642038662</v>
      </c>
      <c r="AJ13" s="11" t="n">
        <f aca="false">AJ12-AI12</f>
        <v>4.34559300063023</v>
      </c>
      <c r="AK13" s="11" t="n">
        <f aca="false">AK12-AJ12</f>
        <v>4.53019169325517</v>
      </c>
      <c r="AL13" s="11" t="n">
        <f aca="false">AL12-AK12</f>
        <v>3.48450300848985</v>
      </c>
      <c r="AM13" s="11" t="n">
        <f aca="false">AM12-AL12</f>
        <v>5.09215816833496</v>
      </c>
      <c r="AN13" s="11" t="n">
        <f aca="false">AN12-AM12</f>
        <v>5.99607839607341</v>
      </c>
      <c r="AO13" s="11" t="n">
        <f aca="false">AO12-AN12</f>
        <v>6.38208623825943</v>
      </c>
      <c r="AP13" s="11" t="n">
        <f aca="false">AP12-AO12</f>
        <v>6.88057421267534</v>
      </c>
      <c r="AQ13" s="11" t="n">
        <f aca="false">AQ12-AP12</f>
        <v>7.55127157601675</v>
      </c>
      <c r="AR13" s="11" t="n">
        <f aca="false">AR12-AQ12</f>
        <v>8.25260105436926</v>
      </c>
      <c r="AS13" s="11" t="n">
        <f aca="false">AS12-AR12</f>
        <v>8.47923599940197</v>
      </c>
      <c r="AT13" s="11" t="n">
        <f aca="false">AT12-AS12</f>
        <v>4.06013215423354</v>
      </c>
      <c r="AU13" s="11" t="n">
        <f aca="false">AU12-AT12</f>
        <v>3.72501642039191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671.639879021881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8.62539562627987</v>
      </c>
      <c r="P14" s="11" t="n">
        <f aca="false">Operations!P79-P8-P9-Tax!P27-P13</f>
        <v>3.9100081982554</v>
      </c>
      <c r="Q14" s="11" t="n">
        <f aca="false">Operations!Q79-Q8-Q9-Tax!Q27-Q13</f>
        <v>4.82538742457388</v>
      </c>
      <c r="R14" s="11" t="n">
        <f aca="false">Operations!R79-R8-R9-Tax!R27-R13</f>
        <v>4.63429375131236</v>
      </c>
      <c r="S14" s="11" t="n">
        <f aca="false">Operations!S79-S8-S9-Tax!S27-S13</f>
        <v>5.85200459366944</v>
      </c>
      <c r="T14" s="11" t="n">
        <f aca="false">Operations!T79-T8-T9-Tax!T27-T13</f>
        <v>6.55436484321806</v>
      </c>
      <c r="U14" s="11" t="n">
        <f aca="false">Operations!U79-U8-U9-Tax!U27-U13</f>
        <v>6.71779262289025</v>
      </c>
      <c r="V14" s="11" t="n">
        <f aca="false">Operations!V79-V8-V9-Tax!V27-V13</f>
        <v>3.09027049836269</v>
      </c>
      <c r="W14" s="11" t="n">
        <f aca="false">Operations!W79-W8-W9-Tax!W27-W13</f>
        <v>7.3822500745614</v>
      </c>
      <c r="X14" s="11" t="n">
        <f aca="false">Operations!X79-X8-X9-Tax!X27-X13</f>
        <v>9.35765467499743</v>
      </c>
      <c r="Y14" s="11" t="n">
        <f aca="false">Operations!Y79-Y8-Y9-Tax!Y27-Y13</f>
        <v>7.44869993125858</v>
      </c>
      <c r="Z14" s="11" t="n">
        <f aca="false">Operations!Z79-Z8-Z9-Tax!Z27-Z13</f>
        <v>2.91100615426506</v>
      </c>
      <c r="AA14" s="11" t="n">
        <f aca="false">Operations!AA79-AA8-AA9-Tax!AA27-AA13</f>
        <v>3.82791294159888</v>
      </c>
      <c r="AB14" s="11" t="n">
        <f aca="false">Operations!AB79-AB8-AB9-Tax!AB27-AB13</f>
        <v>4.44979024933068</v>
      </c>
      <c r="AC14" s="11" t="n">
        <f aca="false">Operations!AC79-AC8-AC9-Tax!AC27-AC13</f>
        <v>4.30850142783427</v>
      </c>
      <c r="AD14" s="11" t="n">
        <f aca="false">Operations!AD79-AD8-AD9-Tax!AD27-AD13</f>
        <v>-8.51236399147877</v>
      </c>
      <c r="AE14" s="11" t="n">
        <f aca="false">Operations!AE79-AE8-AE9-Tax!AE27-AE13</f>
        <v>5.72402948023464</v>
      </c>
      <c r="AF14" s="11" t="n">
        <f aca="false">Operations!AF79-AF8-AF9-Tax!AF27-AF13</f>
        <v>8.85255692699237</v>
      </c>
      <c r="AG14" s="11" t="n">
        <f aca="false">Operations!AG79-AG8-AG9-Tax!AG27-AG13</f>
        <v>7.40010610725448</v>
      </c>
      <c r="AH14" s="11" t="n">
        <f aca="false">Operations!AH79-AH8-AH9-Tax!AH27-AH13</f>
        <v>7.65410531869855</v>
      </c>
      <c r="AI14" s="11" t="n">
        <f aca="false">Operations!AI79-AI8-AI9-Tax!AI27-AI13</f>
        <v>8.80619268740655</v>
      </c>
      <c r="AJ14" s="11" t="n">
        <f aca="false">Operations!AJ79-AJ8-AJ9-Tax!AJ27-AJ13</f>
        <v>9.77960603764714</v>
      </c>
      <c r="AK14" s="11" t="n">
        <f aca="false">Operations!AK79-AK8-AK9-Tax!AK27-AK13</f>
        <v>10.2130035006015</v>
      </c>
      <c r="AL14" s="11" t="n">
        <f aca="false">Operations!AL79-AL8-AL9-Tax!AL27-AL13</f>
        <v>7.78019799804867</v>
      </c>
      <c r="AM14" s="11" t="n">
        <f aca="false">Operations!AM79-AM8-AM9-Tax!AM27-AM13</f>
        <v>11.5252019971084</v>
      </c>
      <c r="AN14" s="11" t="n">
        <f aca="false">Operations!AN79-AN8-AN9-Tax!AN27-AN13</f>
        <v>13.6236079248924</v>
      </c>
      <c r="AO14" s="11" t="n">
        <f aca="false">Operations!AO79-AO8-AO9-Tax!AO27-AO13</f>
        <v>14.5237304233312</v>
      </c>
      <c r="AP14" s="11" t="n">
        <f aca="false">Operations!AP79-AP8-AP9-Tax!AP27-AP13</f>
        <v>15.6875742838545</v>
      </c>
      <c r="AQ14" s="11" t="n">
        <f aca="false">Operations!AQ79-AQ8-AQ9-Tax!AQ27-AQ13</f>
        <v>17.2494027434967</v>
      </c>
      <c r="AR14" s="11" t="n">
        <f aca="false">Operations!AR79-AR8-AR9-Tax!AR27-AR13</f>
        <v>18.8813857112669</v>
      </c>
      <c r="AS14" s="11" t="n">
        <f aca="false">Operations!AS79-AS8-AS9-Tax!AS27-AS13</f>
        <v>19.4156234140085</v>
      </c>
      <c r="AT14" s="11" t="n">
        <f aca="false">Operations!AT79-AT8-AT9-Tax!AT27-AT13</f>
        <v>9.11722969739752</v>
      </c>
      <c r="AU14" s="11" t="n">
        <f aca="false">Operations!AU79-AU8-AU9-Tax!AU27-AU13</f>
        <v>21.5240867557334</v>
      </c>
      <c r="AV14" s="11" t="n">
        <f aca="false">Operations!AV79-AV8-AV9-Tax!AV27-AV13</f>
        <v>23.5488348264343</v>
      </c>
      <c r="AW14" s="11" t="n">
        <f aca="false">Operations!AW79-AW8-AW9-Tax!AW27-AW13</f>
        <v>23.4442077737068</v>
      </c>
      <c r="AX14" s="11" t="n">
        <f aca="false">Operations!AX79-AX8-AX9-Tax!AX27-AX13</f>
        <v>23.1880469490558</v>
      </c>
      <c r="AY14" s="11" t="n">
        <f aca="false">Operations!AY79-AY8-AY9-Tax!AY27-AY13</f>
        <v>23.4287623596404</v>
      </c>
      <c r="AZ14" s="11" t="n">
        <f aca="false">Operations!AZ79-AZ8-AZ9-Tax!AZ27-AZ13</f>
        <v>23.8701473584545</v>
      </c>
      <c r="BA14" s="11" t="n">
        <f aca="false">Operations!BA79-BA8-BA9-Tax!BA27-BA13</f>
        <v>23.3154650984293</v>
      </c>
      <c r="BB14" s="11" t="n">
        <f aca="false">Operations!BB79-BB8-BB9-Tax!BB27-BB13</f>
        <v>19.6749076604495</v>
      </c>
      <c r="BC14" s="11" t="n">
        <f aca="false">Operations!BC79-BC8-BC9-Tax!BC27-BC13</f>
        <v>22.8450644246108</v>
      </c>
      <c r="BD14" s="11" t="n">
        <f aca="false">Operations!BD79-BD8-BD9-Tax!BD27-BD13</f>
        <v>24.2044622593452</v>
      </c>
      <c r="BE14" s="11" t="n">
        <f aca="false">Operations!BE79-BE8-BE9-Tax!BE27-BE13</f>
        <v>24.098034015225</v>
      </c>
      <c r="BF14" s="11" t="n">
        <f aca="false">Operations!BF79-BF8-BF9-Tax!BF27-BF13</f>
        <v>23.8360340210995</v>
      </c>
      <c r="BG14" s="11" t="n">
        <f aca="false">Operations!BG79-BG8-BG9-Tax!BG27-BG13</f>
        <v>24.0886791688137</v>
      </c>
      <c r="BH14" s="11" t="n">
        <f aca="false">Operations!BH79-BH8-BH9-Tax!BH27-BH13</f>
        <v>24.5523143264577</v>
      </c>
      <c r="BI14" s="11" t="n">
        <f aca="false">Operations!BI79-BI8-BI9-Tax!BI27-BI13</f>
        <v>23.5913666965578</v>
      </c>
      <c r="BJ14" s="11" t="n">
        <f aca="false">Operations!BJ79-BJ8-BJ9-Tax!BJ27-BJ13</f>
        <v>9.86972560451095</v>
      </c>
      <c r="BK14" s="11" t="n">
        <f aca="false">Operations!BK79-BK8-BK9-Tax!BK27-BK13</f>
        <v>22.7143610301962</v>
      </c>
      <c r="BL14" s="11" t="n">
        <f aca="false">Operations!BL79-BL8-BL9-Tax!BL27-BL13</f>
        <v>24.9142606874231</v>
      </c>
      <c r="BM14" s="11" t="n">
        <f aca="false">Operations!BM79-BM8-BM9-Tax!BM27-BM13</f>
        <v>3.31459473256713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38.8233834592027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46.2972441755691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49.1075155052885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36.8555380887716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36.4230997577367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36.0262151142907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36.0606086876641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35.2267249739668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34.7547682502717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33.484104002964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32.298889180774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25.8129961234199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37.1833135878049</v>
      </c>
      <c r="P18" s="11" t="n">
        <f aca="false">Operations!P83+Operations!P84</f>
        <v>37.0625388460192</v>
      </c>
      <c r="Q18" s="11" t="n">
        <f aca="false">Operations!Q83+Operations!Q84</f>
        <v>37.9835957844695</v>
      </c>
      <c r="R18" s="11" t="n">
        <f aca="false">Operations!R83+Operations!R84</f>
        <v>37.2373602784342</v>
      </c>
      <c r="S18" s="11" t="n">
        <f aca="false">Operations!S83+Operations!S84</f>
        <v>38.4091952181874</v>
      </c>
      <c r="T18" s="11" t="n">
        <f aca="false">Operations!T83+Operations!T84</f>
        <v>38.1388132823843</v>
      </c>
      <c r="U18" s="11" t="n">
        <f aca="false">Operations!U83+Operations!U84</f>
        <v>38.5758181209802</v>
      </c>
      <c r="V18" s="11" t="n">
        <f aca="false">Operations!V83+Operations!V84</f>
        <v>37.3823520868855</v>
      </c>
      <c r="W18" s="11" t="n">
        <f aca="false">Operations!W83+Operations!W84</f>
        <v>38.8884651855632</v>
      </c>
      <c r="X18" s="11" t="n">
        <f aca="false">Operations!X83+Operations!X84</f>
        <v>39.2574458213936</v>
      </c>
      <c r="Y18" s="11" t="n">
        <f aca="false">Operations!Y83+Operations!Y84</f>
        <v>40.2424346553692</v>
      </c>
      <c r="Z18" s="11" t="n">
        <f aca="false">Operations!Z83+Operations!Z84</f>
        <v>39.4537816725907</v>
      </c>
      <c r="AA18" s="11" t="n">
        <f aca="false">Operations!AA83+Operations!AA84</f>
        <v>40.7047296099908</v>
      </c>
      <c r="AB18" s="11" t="n">
        <f aca="false">Operations!AB83+Operations!AB84</f>
        <v>40.4201065184815</v>
      </c>
      <c r="AC18" s="11" t="n">
        <f aca="false">Operations!AC83+Operations!AC84</f>
        <v>40.6152781710064</v>
      </c>
      <c r="AD18" s="11" t="n">
        <f aca="false">Operations!AD83+Operations!AD84</f>
        <v>38.8047539693721</v>
      </c>
      <c r="AE18" s="11" t="n">
        <f aca="false">Operations!AE83+Operations!AE84</f>
        <v>40.6692758830509</v>
      </c>
      <c r="AF18" s="11" t="n">
        <f aca="false">Operations!AF83+Operations!AF84</f>
        <v>41.6285313045817</v>
      </c>
      <c r="AG18" s="11" t="n">
        <f aca="false">Operations!AG83+Operations!AG84</f>
        <v>42.6825881129114</v>
      </c>
      <c r="AH18" s="11" t="n">
        <f aca="false">Operations!AH83+Operations!AH84</f>
        <v>41.8480803409428</v>
      </c>
      <c r="AI18" s="11" t="n">
        <f aca="false">Operations!AI83+Operations!AI84</f>
        <v>43.1845183929893</v>
      </c>
      <c r="AJ18" s="11" t="n">
        <f aca="false">Operations!AJ83+Operations!AJ84</f>
        <v>42.8845245829572</v>
      </c>
      <c r="AK18" s="11" t="n">
        <f aca="false">Operations!AK83+Operations!AK84</f>
        <v>43.3954408311499</v>
      </c>
      <c r="AL18" s="11" t="n">
        <f aca="false">Operations!AL83+Operations!AL84</f>
        <v>42.0568670617272</v>
      </c>
      <c r="AM18" s="11" t="n">
        <f aca="false">Operations!AM83+Operations!AM84</f>
        <v>43.770651417784</v>
      </c>
      <c r="AN18" s="11" t="n">
        <f aca="false">Operations!AN83+Operations!AN84</f>
        <v>44.1899619282425</v>
      </c>
      <c r="AO18" s="11" t="n">
        <f aca="false">Operations!AO83+Operations!AO84</f>
        <v>45.3186345992705</v>
      </c>
      <c r="AP18" s="11" t="n">
        <f aca="false">Operations!AP83+Operations!AP84</f>
        <v>44.4345575142211</v>
      </c>
      <c r="AQ18" s="11" t="n">
        <f aca="false">Operations!AQ83+Operations!AQ84</f>
        <v>45.863375754493</v>
      </c>
      <c r="AR18" s="11" t="n">
        <f aca="false">Operations!AR83+Operations!AR84</f>
        <v>45.5467928917132</v>
      </c>
      <c r="AS18" s="11" t="n">
        <f aca="false">Operations!AS83+Operations!AS84</f>
        <v>45.7863799221872</v>
      </c>
      <c r="AT18" s="11" t="n">
        <f aca="false">Operations!AT83+Operations!AT84</f>
        <v>43.7491318655957</v>
      </c>
      <c r="AU18" s="11" t="n">
        <f aca="false">Operations!AU83+Operations!AU84</f>
        <v>45.8707882164847</v>
      </c>
      <c r="AV18" s="11" t="n">
        <f aca="false">Operations!AV83+Operations!AV84</f>
        <v>46.9570439169539</v>
      </c>
      <c r="AW18" s="11" t="n">
        <f aca="false">Operations!AW83+Operations!AW84</f>
        <v>48.1663250684084</v>
      </c>
      <c r="AX18" s="11" t="n">
        <f aca="false">Operations!AX83+Operations!AX84</f>
        <v>47.2286646972243</v>
      </c>
      <c r="AY18" s="11" t="n">
        <f aca="false">Operations!AY83+Operations!AY84</f>
        <v>48.757307292177</v>
      </c>
      <c r="AZ18" s="11" t="n">
        <f aca="false">Operations!AZ83+Operations!AZ84</f>
        <v>48.4228213702575</v>
      </c>
      <c r="BA18" s="11" t="n">
        <f aca="false">Operations!BA83+Operations!BA84</f>
        <v>49.0197884746258</v>
      </c>
      <c r="BB18" s="11" t="n">
        <f aca="false">Operations!BB83+Operations!BB84</f>
        <v>47.5115489977079</v>
      </c>
      <c r="BC18" s="11" t="n">
        <f aca="false">Operations!BC83+Operations!BC84</f>
        <v>49.4679285195703</v>
      </c>
      <c r="BD18" s="11" t="n">
        <f aca="false">Operations!BD83+Operations!BD84</f>
        <v>49.9463146902635</v>
      </c>
      <c r="BE18" s="11" t="n">
        <f aca="false">Operations!BE83+Operations!BE84</f>
        <v>51.2426772103617</v>
      </c>
      <c r="BF18" s="11" t="n">
        <f aca="false">Operations!BF83+Operations!BF84</f>
        <v>50.2470961197645</v>
      </c>
      <c r="BG18" s="11" t="n">
        <f aca="false">Operations!BG83+Operations!BG84</f>
        <v>51.8836057513152</v>
      </c>
      <c r="BH18" s="11" t="n">
        <f aca="false">Operations!BH83+Operations!BH84</f>
        <v>51.5297996615128</v>
      </c>
      <c r="BI18" s="11" t="n">
        <f aca="false">Operations!BI83+Operations!BI84</f>
        <v>51.8208807593394</v>
      </c>
      <c r="BJ18" s="11" t="n">
        <f aca="false">Operations!BJ83+Operations!BJ84</f>
        <v>49.5184676775142</v>
      </c>
      <c r="BK18" s="11" t="n">
        <f aca="false">Operations!BK83+Operations!BK84</f>
        <v>51.9405686536093</v>
      </c>
      <c r="BL18" s="11" t="n">
        <f aca="false">Operations!BL83+Operations!BL84</f>
        <v>53.175641816784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49.7327973223575</v>
      </c>
      <c r="Z20" s="11" t="n">
        <f aca="false">MAX(0,-Z12)</f>
        <v>48.3395007350621</v>
      </c>
      <c r="AA20" s="11" t="n">
        <f aca="false">MAX(0,-AA12)</f>
        <v>46.5520670612356</v>
      </c>
      <c r="AB20" s="11" t="n">
        <f aca="false">MAX(0,-AB12)</f>
        <v>44.4964149860472</v>
      </c>
      <c r="AC20" s="11" t="n">
        <f aca="false">MAX(0,-AC12)</f>
        <v>42.5035321088412</v>
      </c>
      <c r="AD20" s="11" t="n">
        <f aca="false">MAX(0,-AD12)</f>
        <v>41.4995082460245</v>
      </c>
      <c r="AE20" s="11" t="n">
        <f aca="false">MAX(0,-AE12)</f>
        <v>40.4954843832077</v>
      </c>
      <c r="AF20" s="11" t="n">
        <f aca="false">MAX(0,-AF12)</f>
        <v>39.4671263442803</v>
      </c>
      <c r="AG20" s="11" t="n">
        <f aca="false">MAX(0,-AG12)</f>
        <v>36.1440496844872</v>
      </c>
      <c r="AH20" s="11" t="n">
        <f aca="false">MAX(0,-AH12)</f>
        <v>32.7124411403184</v>
      </c>
      <c r="AI20" s="11" t="n">
        <f aca="false">MAX(0,-AI12)</f>
        <v>28.7858247199318</v>
      </c>
      <c r="AJ20" s="11" t="n">
        <f aca="false">MAX(0,-AJ12)</f>
        <v>24.4402317193016</v>
      </c>
      <c r="AK20" s="11" t="n">
        <f aca="false">MAX(0,-AK12)</f>
        <v>19.9100400260464</v>
      </c>
      <c r="AL20" s="11" t="n">
        <f aca="false">MAX(0,-AL12)</f>
        <v>16.4255370175566</v>
      </c>
      <c r="AM20" s="11" t="n">
        <f aca="false">MAX(0,-AM12)</f>
        <v>11.3333788492216</v>
      </c>
      <c r="AN20" s="11" t="n">
        <f aca="false">MAX(0,-AN12)</f>
        <v>5.3373004531482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914.138712150001</v>
      </c>
      <c r="P21" s="11" t="n">
        <f aca="false">P16+P17+P18+P19+P20</f>
        <v>901.054226973751</v>
      </c>
      <c r="Q21" s="11" t="n">
        <f aca="false">Q16+Q17+Q18+Q19+Q20</f>
        <v>891.145709114327</v>
      </c>
      <c r="R21" s="11" t="n">
        <f aca="false">R16+R17+R18+R19+R20</f>
        <v>878.810657582763</v>
      </c>
      <c r="S21" s="11" t="n">
        <f aca="false">S16+S17+S18+S19+S20</f>
        <v>869.1030543813</v>
      </c>
      <c r="T21" s="11" t="n">
        <f aca="false">T16+T17+T18+T19+T20</f>
        <v>857.354803988195</v>
      </c>
      <c r="U21" s="11" t="n">
        <f aca="false">U16+U17+U18+U19+U20</f>
        <v>847.21169287669</v>
      </c>
      <c r="V21" s="11" t="n">
        <f aca="false">V16+V17+V18+V19+V20</f>
        <v>831.542312485715</v>
      </c>
      <c r="W21" s="11" t="n">
        <f aca="false">W16+W17+W18+W19+W20</f>
        <v>820.23838150025</v>
      </c>
      <c r="X21" s="11" t="n">
        <f aca="false">X16+X17+X18+X19+X20</f>
        <v>810.510089916808</v>
      </c>
      <c r="Y21" s="11" t="n">
        <f aca="false">Y16+Y17+Y18+Y19+Y20</f>
        <v>799.913411702351</v>
      </c>
      <c r="Z21" s="11" t="n">
        <f aca="false">Z16+Z17+Z18+Z19+Z20</f>
        <v>782.673397875305</v>
      </c>
      <c r="AA21" s="11" t="n">
        <f aca="false">AA16+AA17+AA18+AA19+AA20</f>
        <v>767.806384912688</v>
      </c>
      <c r="AB21" s="11" t="n">
        <f aca="false">AB16+AB17+AB18+AB19+AB20</f>
        <v>750.133904068104</v>
      </c>
      <c r="AC21" s="11" t="n">
        <f aca="false">AC16+AC17+AC18+AC19+AC20</f>
        <v>734.412733126196</v>
      </c>
      <c r="AD21" s="11" t="n">
        <f aca="false">AD16+AD17+AD18+AD19+AD20</f>
        <v>702.612476598283</v>
      </c>
      <c r="AE21" s="11" t="n">
        <f aca="false">AE16+AE17+AE18+AE19+AE20</f>
        <v>686.306805271164</v>
      </c>
      <c r="AF21" s="11" t="n">
        <f aca="false">AF16+AF17+AF18+AF19+AF20</f>
        <v>669.107086963376</v>
      </c>
      <c r="AG21" s="11" t="n">
        <f aca="false">AG16+AG17+AG18+AG19+AG20</f>
        <v>650.138729638341</v>
      </c>
      <c r="AH21" s="11" t="n">
        <f aca="false">AH16+AH17+AH18+AH19+AH20</f>
        <v>628.30499856156</v>
      </c>
      <c r="AI21" s="11" t="n">
        <f aca="false">AI16+AI17+AI18+AI19+AI20</f>
        <v>608.509132422579</v>
      </c>
      <c r="AJ21" s="11" t="n">
        <f aca="false">AJ16+AJ17+AJ18+AJ19+AJ20</f>
        <v>585.859150317664</v>
      </c>
      <c r="AK21" s="11" t="n">
        <f aca="false">AK16+AK17+AK18+AK19+AK20</f>
        <v>563.920929003466</v>
      </c>
      <c r="AL21" s="11" t="n">
        <f aca="false">AL16+AL17+AL18+AL19+AL20</f>
        <v>535.878228121253</v>
      </c>
      <c r="AM21" s="11" t="n">
        <f aca="false">AM16+AM17+AM18+AM19+AM20</f>
        <v>509.085144393474</v>
      </c>
      <c r="AN21" s="11" t="n">
        <f aca="false">AN16+AN17+AN18+AN19+AN20</f>
        <v>488.896425039144</v>
      </c>
      <c r="AO21" s="11" t="n">
        <f aca="false">AO16+AO17+AO18+AO19+AO20</f>
        <v>451.396047547957</v>
      </c>
      <c r="AP21" s="11" t="n">
        <f aca="false">AP16+AP17+AP18+AP19+AP20</f>
        <v>436.126128501449</v>
      </c>
      <c r="AQ21" s="11" t="n">
        <f aca="false">AQ16+AQ17+AQ18+AQ19+AQ20</f>
        <v>423.169104780262</v>
      </c>
      <c r="AR21" s="11" t="n">
        <f aca="false">AR16+AR17+AR18+AR19+AR20</f>
        <v>408.466679956024</v>
      </c>
      <c r="AS21" s="11" t="n">
        <f aca="false">AS16+AS17+AS18+AS19+AS20</f>
        <v>394.320425025039</v>
      </c>
      <c r="AT21" s="11" t="n">
        <f aca="false">AT16+AT17+AT18+AT19+AT20</f>
        <v>361.46211140858</v>
      </c>
      <c r="AU21" s="11" t="n">
        <f aca="false">AU16+AU17+AU18+AU19+AU20</f>
        <v>346.850036712524</v>
      </c>
      <c r="AV21" s="11" t="n">
        <f aca="false">AV16+AV17+AV18+AV19+AV20</f>
        <v>331.792202366971</v>
      </c>
      <c r="AW21" s="11" t="n">
        <f aca="false">AW16+AW17+AW18+AW19+AW20</f>
        <v>316.857393472403</v>
      </c>
      <c r="AX21" s="11" t="n">
        <f aca="false">AX16+AX17+AX18+AX19+AX20</f>
        <v>299.775643055197</v>
      </c>
      <c r="AY21" s="11" t="n">
        <f aca="false">AY16+AY17+AY18+AY19+AY20</f>
        <v>285.160195604127</v>
      </c>
      <c r="AZ21" s="11" t="n">
        <f aca="false">AZ16+AZ17+AZ18+AZ19+AZ20</f>
        <v>268.681619636186</v>
      </c>
      <c r="BA21" s="11" t="n">
        <f aca="false">BA16+BA17+BA18+BA19+BA20</f>
        <v>253.62946508114</v>
      </c>
      <c r="BB21" s="11" t="n">
        <f aca="false">BB16+BB17+BB18+BB19+BB20</f>
        <v>233.350798806381</v>
      </c>
      <c r="BC21" s="11" t="n">
        <f aca="false">BC16+BC17+BC18+BC19+BC20</f>
        <v>220.09102035464</v>
      </c>
      <c r="BD21" s="11" t="n">
        <f aca="false">BD16+BD17+BD18+BD19+BD20</f>
        <v>208.164226399747</v>
      </c>
      <c r="BE21" s="11" t="n">
        <f aca="false">BE16+BE17+BE18+BE19+BE20</f>
        <v>197.072192914968</v>
      </c>
      <c r="BF21" s="11" t="n">
        <f aca="false">BF16+BF17+BF18+BF19+BF20</f>
        <v>183.705183561111</v>
      </c>
      <c r="BG21" s="11" t="n">
        <f aca="false">BG16+BG17+BG18+BG19+BG20</f>
        <v>172.987418300765</v>
      </c>
      <c r="BH21" s="11" t="n">
        <f aca="false">BH16+BH17+BH18+BH19+BH20</f>
        <v>160.296678350999</v>
      </c>
      <c r="BI21" s="11" t="n">
        <f aca="false">BI16+BI17+BI18+BI19+BI20</f>
        <v>148.268356334396</v>
      </c>
      <c r="BJ21" s="11" t="n">
        <f aca="false">BJ16+BJ17+BJ18+BJ19+BJ20</f>
        <v>114.103635144985</v>
      </c>
      <c r="BK21" s="11" t="n">
        <f aca="false">BK16+BK17+BK18+BK19+BK20</f>
        <v>101.447596602109</v>
      </c>
      <c r="BL21" s="11" t="n">
        <f aca="false">BL16+BL17+BL18+BL19+BL20</f>
        <v>87.6226426767087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402.713335318488</v>
      </c>
      <c r="AB22" s="11" t="n">
        <f aca="false">IF(Time!AB17&lt;Time!$F$11,SUMIFS(Funding!$J$73:$BJ$73,Construction!$J$12:$BJ$12,"&lt;="&amp;Time!AB17),Debt!AB123)</f>
        <v>375.326008569759</v>
      </c>
      <c r="AC22" s="11" t="n">
        <f aca="false">IF(Time!AC17&lt;Time!$F$11,SUMIFS(Funding!$J$73:$BJ$73,Construction!$J$12:$BJ$12,"&lt;="&amp;Time!AC17),Debt!AC123)</f>
        <v>348.430454799731</v>
      </c>
      <c r="AD22" s="11" t="n">
        <f aca="false">IF(Time!AD17&lt;Time!$F$11,SUMIFS(Funding!$J$73:$BJ$73,Construction!$J$12:$BJ$12,"&lt;="&amp;Time!AD17),Debt!AD123)</f>
        <v>319.475427474937</v>
      </c>
      <c r="AE22" s="11" t="n">
        <f aca="false">IF(Time!AE17&lt;Time!$F$11,SUMIFS(Funding!$J$73:$BJ$73,Construction!$J$12:$BJ$12,"&lt;="&amp;Time!AE17),Debt!AE123)</f>
        <v>289.559890480885</v>
      </c>
      <c r="AF22" s="11" t="n">
        <f aca="false">IF(Time!AF17&lt;Time!$F$11,SUMIFS(Funding!$J$73:$BJ$73,Construction!$J$12:$BJ$12,"&lt;="&amp;Time!AF17),Debt!AF123)</f>
        <v>257.536110284052</v>
      </c>
      <c r="AG22" s="11" t="n">
        <f aca="false">IF(Time!AG17&lt;Time!$F$11,SUMIFS(Funding!$J$73:$BJ$73,Construction!$J$12:$BJ$12,"&lt;="&amp;Time!AG17),Debt!AG123)</f>
        <v>225.221041162639</v>
      </c>
      <c r="AH22" s="11" t="n">
        <f aca="false">IF(Time!AH17&lt;Time!$F$11,SUMIFS(Funding!$J$73:$BJ$73,Construction!$J$12:$BJ$12,"&lt;="&amp;Time!AH17),Debt!AH123)</f>
        <v>191.550249075735</v>
      </c>
      <c r="AI22" s="11" t="n">
        <f aca="false">IF(Time!AI17&lt;Time!$F$11,SUMIFS(Funding!$J$73:$BJ$73,Construction!$J$12:$BJ$12,"&lt;="&amp;Time!AI17),Debt!AI123)</f>
        <v>157.672663997713</v>
      </c>
      <c r="AJ22" s="11" t="n">
        <f aca="false">IF(Time!AJ17&lt;Time!$F$11,SUMIFS(Funding!$J$73:$BJ$73,Construction!$J$12:$BJ$12,"&lt;="&amp;Time!AJ17),Debt!AJ123)</f>
        <v>122.318053678946</v>
      </c>
      <c r="AK22" s="11" t="n">
        <f aca="false">IF(Time!AK17&lt;Time!$F$11,SUMIFS(Funding!$J$73:$BJ$73,Construction!$J$12:$BJ$12,"&lt;="&amp;Time!AK17),Debt!AK123)</f>
        <v>87.2705806731624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203.443584547443</v>
      </c>
      <c r="Q23" s="11" t="n">
        <f aca="false">IF(Time!Q17&lt;Time!$F$11,SUMIFS(Funding!$J$70:$BJ$70,Construction!$J$12:$BJ$12,"&lt;="&amp;Time!Q17)+SUMIFS(Funding!$J$71:$BJ$71,Construction!$J$12:$BJ$12,"&lt;="&amp;Time!Q17),Waterfall!Q36)</f>
        <v>204.147951537847</v>
      </c>
      <c r="R23" s="11" t="n">
        <f aca="false">IF(Time!R17&lt;Time!$F$11,SUMIFS(Funding!$J$70:$BJ$70,Construction!$J$12:$BJ$12,"&lt;="&amp;Time!R17)+SUMIFS(Funding!$J$71:$BJ$71,Construction!$J$12:$BJ$12,"&lt;="&amp;Time!R17),Waterfall!R36)</f>
        <v>204.576717376796</v>
      </c>
      <c r="S23" s="11" t="n">
        <f aca="false">IF(Time!S17&lt;Time!$F$11,SUMIFS(Funding!$J$70:$BJ$70,Construction!$J$12:$BJ$12,"&lt;="&amp;Time!S17)+SUMIFS(Funding!$J$71:$BJ$71,Construction!$J$12:$BJ$12,"&lt;="&amp;Time!S17),Waterfall!S36)</f>
        <v>205.607831047706</v>
      </c>
      <c r="T23" s="11" t="n">
        <f aca="false">IF(Time!T17&lt;Time!$F$11,SUMIFS(Funding!$J$70:$BJ$70,Construction!$J$12:$BJ$12,"&lt;="&amp;Time!T17)+SUMIFS(Funding!$J$71:$BJ$71,Construction!$J$12:$BJ$12,"&lt;="&amp;Time!T17),Waterfall!T36)</f>
        <v>205.746361109854</v>
      </c>
      <c r="U23" s="11" t="n">
        <f aca="false">IF(Time!U17&lt;Time!$F$11,SUMIFS(Funding!$J$70:$BJ$70,Construction!$J$12:$BJ$12,"&lt;="&amp;Time!U17)+SUMIFS(Funding!$J$71:$BJ$71,Construction!$J$12:$BJ$12,"&lt;="&amp;Time!U17),Waterfall!U36)</f>
        <v>207.273900859852</v>
      </c>
      <c r="V23" s="11" t="n">
        <f aca="false">IF(Time!V17&lt;Time!$F$11,SUMIFS(Funding!$J$70:$BJ$70,Construction!$J$12:$BJ$12,"&lt;="&amp;Time!V17)+SUMIFS(Funding!$J$71:$BJ$71,Construction!$J$12:$BJ$12,"&lt;="&amp;Time!V17),Waterfall!V36)</f>
        <v>209.264322273814</v>
      </c>
      <c r="W23" s="11" t="n">
        <f aca="false">IF(Time!W17&lt;Time!$F$11,SUMIFS(Funding!$J$70:$BJ$70,Construction!$J$12:$BJ$12,"&lt;="&amp;Time!W17)+SUMIFS(Funding!$J$71:$BJ$71,Construction!$J$12:$BJ$12,"&lt;="&amp;Time!W17),Waterfall!W36)</f>
        <v>210.20119761182</v>
      </c>
      <c r="X23" s="11" t="n">
        <f aca="false">IF(Time!X17&lt;Time!$F$11,SUMIFS(Funding!$J$70:$BJ$70,Construction!$J$12:$BJ$12,"&lt;="&amp;Time!X17)+SUMIFS(Funding!$J$71:$BJ$71,Construction!$J$12:$BJ$12,"&lt;="&amp;Time!X17),Waterfall!X36)</f>
        <v>211.055666849263</v>
      </c>
      <c r="Y23" s="11" t="n">
        <f aca="false">IF(Time!Y17&lt;Time!$F$11,SUMIFS(Funding!$J$70:$BJ$70,Construction!$J$12:$BJ$12,"&lt;="&amp;Time!Y17)+SUMIFS(Funding!$J$71:$BJ$71,Construction!$J$12:$BJ$12,"&lt;="&amp;Time!Y17),Waterfall!Y36)</f>
        <v>212.348632680181</v>
      </c>
      <c r="Z23" s="11" t="n">
        <f aca="false">IF(Time!Z17&lt;Time!$F$11,SUMIFS(Funding!$J$70:$BJ$70,Construction!$J$12:$BJ$12,"&lt;="&amp;Time!Z17)+SUMIFS(Funding!$J$71:$BJ$71,Construction!$J$12:$BJ$12,"&lt;="&amp;Time!Z17),Waterfall!Z36)</f>
        <v>213.62737750174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219.626152867255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225.106622680861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231.658757468804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238.386762229555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245.001396512051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250.487381762215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255.608427064714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260.326097216059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264.610197465587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267.768224465822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270.156401844681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263.880914393084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246.332310656006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230.482396663529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194.930074548781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157.67003095693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118.841033803391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77.2566512912025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34.8494260632693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23.0291753968517</v>
      </c>
      <c r="P24" s="11" t="n">
        <f aca="false">Operations!P85+Operations!P86+Operations!P87+Operations!P88+Operations!P89</f>
        <v>22.9422243429146</v>
      </c>
      <c r="Q24" s="11" t="n">
        <f aca="false">Operations!Q85+Operations!Q86+Operations!Q87+Operations!Q88+Operations!Q89</f>
        <v>23.6492183980985</v>
      </c>
      <c r="R24" s="11" t="n">
        <f aca="false">Operations!R85+Operations!R86+Operations!R87+Operations!R88+Operations!R89</f>
        <v>23.1916686217048</v>
      </c>
      <c r="S24" s="11" t="n">
        <f aca="false">Operations!S85+Operations!S86+Operations!S87+Operations!S88+Operations!S89</f>
        <v>24.0407194379619</v>
      </c>
      <c r="T24" s="11" t="n">
        <f aca="false">Operations!T85+Operations!T86+Operations!T87+Operations!T88+Operations!T89</f>
        <v>23.8415696972526</v>
      </c>
      <c r="U24" s="11" t="n">
        <f aca="false">Operations!U85+Operations!U86+Operations!U87+Operations!U88+Operations!U89</f>
        <v>24.2768911224763</v>
      </c>
      <c r="V24" s="11" t="n">
        <f aca="false">Operations!V85+Operations!V86+Operations!V87+Operations!V88+Operations!V89</f>
        <v>23.5803269909249</v>
      </c>
      <c r="W24" s="11" t="n">
        <f aca="false">Operations!W85+Operations!W86+Operations!W87+Operations!W88+Operations!W89</f>
        <v>24.6238022019935</v>
      </c>
      <c r="X24" s="11" t="n">
        <f aca="false">Operations!X85+Operations!X86+Operations!X87+Operations!X88+Operations!X89</f>
        <v>24.7762622418462</v>
      </c>
      <c r="Y24" s="11" t="n">
        <f aca="false">Operations!Y85+Operations!Y86+Operations!Y87+Operations!Y88+Operations!Y89</f>
        <v>25.5402484929838</v>
      </c>
      <c r="Z24" s="11" t="n">
        <f aca="false">Operations!Z85+Operations!Z86+Operations!Z87+Operations!Z88+Operations!Z89</f>
        <v>25.0456123484159</v>
      </c>
      <c r="AA24" s="11" t="n">
        <f aca="false">Operations!AA85+Operations!AA86+Operations!AA87+Operations!AA88+Operations!AA89</f>
        <v>25.9631018748903</v>
      </c>
      <c r="AB24" s="11" t="n">
        <f aca="false">Operations!AB85+Operations!AB86+Operations!AB87+Operations!AB88+Operations!AB89</f>
        <v>25.7476877160986</v>
      </c>
      <c r="AC24" s="11" t="n">
        <f aca="false">Operations!AC85+Operations!AC86+Operations!AC87+Operations!AC88+Operations!AC89</f>
        <v>26.0614343284413</v>
      </c>
      <c r="AD24" s="11" t="n">
        <f aca="false">Operations!AD85+Operations!AD86+Operations!AD87+Operations!AD88+Operations!AD89</f>
        <v>25.0005643560497</v>
      </c>
      <c r="AE24" s="11" t="n">
        <f aca="false">Operations!AE85+Operations!AE86+Operations!AE87+Operations!AE88+Operations!AE89</f>
        <v>26.271766260252</v>
      </c>
      <c r="AF24" s="11" t="n">
        <f aca="false">Operations!AF85+Operations!AF86+Operations!AF87+Operations!AF88+Operations!AF89</f>
        <v>26.7572859721415</v>
      </c>
      <c r="AG24" s="11" t="n">
        <f aca="false">Operations!AG85+Operations!AG86+Operations!AG87+Operations!AG88+Operations!AG89</f>
        <v>27.582846358765</v>
      </c>
      <c r="AH24" s="11" t="n">
        <f aca="false">Operations!AH85+Operations!AH86+Operations!AH87+Operations!AH88+Operations!AH89</f>
        <v>27.0481318988446</v>
      </c>
      <c r="AI24" s="11" t="n">
        <f aca="false">Operations!AI85+Operations!AI86+Operations!AI87+Operations!AI88+Operations!AI89</f>
        <v>28.0395579009518</v>
      </c>
      <c r="AJ24" s="11" t="n">
        <f aca="false">Operations!AJ85+Operations!AJ86+Operations!AJ87+Operations!AJ88+Operations!AJ89</f>
        <v>27.8065530769205</v>
      </c>
      <c r="AK24" s="11" t="n">
        <f aca="false">Operations!AK85+Operations!AK86+Operations!AK87+Operations!AK88+Operations!AK89</f>
        <v>28.314623889046</v>
      </c>
      <c r="AL24" s="11" t="n">
        <f aca="false">Operations!AL85+Operations!AL86+Operations!AL87+Operations!AL88+Operations!AL89</f>
        <v>27.501112180336</v>
      </c>
      <c r="AM24" s="11" t="n">
        <f aca="false">Operations!AM85+Operations!AM86+Operations!AM87+Operations!AM88+Operations!AM89</f>
        <v>28.7195329964031</v>
      </c>
      <c r="AN24" s="11" t="n">
        <f aca="false">Operations!AN85+Operations!AN86+Operations!AN87+Operations!AN88+Operations!AN89</f>
        <v>28.8970434954114</v>
      </c>
      <c r="AO24" s="11" t="n">
        <f aca="false">Operations!AO85+Operations!AO86+Operations!AO87+Operations!AO88+Operations!AO89</f>
        <v>29.7891262741083</v>
      </c>
      <c r="AP24" s="11" t="n">
        <f aca="false">Operations!AP85+Operations!AP86+Operations!AP87+Operations!AP88+Operations!AP89</f>
        <v>29.2111023229215</v>
      </c>
      <c r="AQ24" s="11" t="n">
        <f aca="false">Operations!AQ85+Operations!AQ86+Operations!AQ87+Operations!AQ88+Operations!AQ89</f>
        <v>30.2824014357598</v>
      </c>
      <c r="AR24" s="11" t="n">
        <f aca="false">Operations!AR85+Operations!AR86+Operations!AR87+Operations!AR88+Operations!AR89</f>
        <v>30.0303723580739</v>
      </c>
      <c r="AS24" s="11" t="n">
        <f aca="false">Operations!AS85+Operations!AS86+Operations!AS87+Operations!AS88+Operations!AS89</f>
        <v>30.3964832416118</v>
      </c>
      <c r="AT24" s="11" t="n">
        <f aca="false">Operations!AT85+Operations!AT86+Operations!AT87+Operations!AT88+Operations!AT89</f>
        <v>29.157690475727</v>
      </c>
      <c r="AU24" s="11" t="n">
        <f aca="false">Operations!AU85+Operations!AU86+Operations!AU87+Operations!AU88+Operations!AU89</f>
        <v>30.6419369678124</v>
      </c>
      <c r="AV24" s="11" t="n">
        <f aca="false">Operations!AV85+Operations!AV86+Operations!AV87+Operations!AV88+Operations!AV89</f>
        <v>31.2082178157673</v>
      </c>
      <c r="AW24" s="11" t="n">
        <f aca="false">Operations!AW85+Operations!AW86+Operations!AW87+Operations!AW88+Operations!AW89</f>
        <v>32.1721666499646</v>
      </c>
      <c r="AX24" s="11" t="n">
        <f aca="false">Operations!AX85+Operations!AX86+Operations!AX87+Operations!AX88+Operations!AX89</f>
        <v>31.5473438644527</v>
      </c>
      <c r="AY24" s="11" t="n">
        <f aca="false">Operations!AY85+Operations!AY86+Operations!AY87+Operations!AY88+Operations!AY89</f>
        <v>32.7049263651395</v>
      </c>
      <c r="AZ24" s="11" t="n">
        <f aca="false">Operations!AZ85+Operations!AZ86+Operations!AZ87+Operations!AZ88+Operations!AZ89</f>
        <v>32.4323234854761</v>
      </c>
      <c r="BA24" s="11" t="n">
        <f aca="false">Operations!BA85+Operations!BA86+Operations!BA87+Operations!BA88+Operations!BA89</f>
        <v>33.0252852690028</v>
      </c>
      <c r="BB24" s="11" t="n">
        <f aca="false">Operations!BB85+Operations!BB86+Operations!BB87+Operations!BB88+Operations!BB89</f>
        <v>32.0753340946017</v>
      </c>
      <c r="BC24" s="11" t="n">
        <f aca="false">Operations!BC85+Operations!BC86+Operations!BC87+Operations!BC88+Operations!BC89</f>
        <v>33.4978954171414</v>
      </c>
      <c r="BD24" s="11" t="n">
        <f aca="false">Operations!BD85+Operations!BD86+Operations!BD87+Operations!BD88+Operations!BD89</f>
        <v>33.7045009903185</v>
      </c>
      <c r="BE24" s="11" t="n">
        <f aca="false">Operations!BE85+Operations!BE86+Operations!BE87+Operations!BE88+Operations!BE89</f>
        <v>34.7460863318274</v>
      </c>
      <c r="BF24" s="11" t="n">
        <f aca="false">Operations!BF85+Operations!BF86+Operations!BF87+Operations!BF88+Operations!BF89</f>
        <v>34.0706967810738</v>
      </c>
      <c r="BG24" s="11" t="n">
        <f aca="false">Operations!BG85+Operations!BG86+Operations!BG87+Operations!BG88+Operations!BG89</f>
        <v>35.3214840919804</v>
      </c>
      <c r="BH24" s="11" t="n">
        <f aca="false">Operations!BH85+Operations!BH86+Operations!BH87+Operations!BH88+Operations!BH89</f>
        <v>35.0266325974427</v>
      </c>
      <c r="BI24" s="11" t="n">
        <f aca="false">Operations!BI85+Operations!BI86+Operations!BI87+Operations!BI88+Operations!BI89</f>
        <v>35.4538641963345</v>
      </c>
      <c r="BJ24" s="11" t="n">
        <f aca="false">Operations!BJ85+Operations!BJ86+Operations!BJ87+Operations!BJ88+Operations!BJ89</f>
        <v>34.0075403315778</v>
      </c>
      <c r="BK24" s="11" t="n">
        <f aca="false">Operations!BK85+Operations!BK86+Operations!BK87+Operations!BK88+Operations!BK89</f>
        <v>35.7403494259382</v>
      </c>
      <c r="BL24" s="11" t="n">
        <f aca="false">Operations!BL85+Operations!BL86+Operations!BL87+Operations!BL88+Operations!BL89</f>
        <v>36.4006739575556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0</v>
      </c>
      <c r="AN25" s="11" t="n">
        <f aca="false">MAX(0,AN12)</f>
        <v>0</v>
      </c>
      <c r="AO25" s="11" t="n">
        <f aca="false">MAX(0,AO12)</f>
        <v>1.04478578511123</v>
      </c>
      <c r="AP25" s="11" t="n">
        <f aca="false">MAX(0,AP12)</f>
        <v>7.92535999778658</v>
      </c>
      <c r="AQ25" s="11" t="n">
        <f aca="false">MAX(0,AQ12)</f>
        <v>15.4766315738033</v>
      </c>
      <c r="AR25" s="11" t="n">
        <f aca="false">MAX(0,AR12)</f>
        <v>23.7292326281726</v>
      </c>
      <c r="AS25" s="11" t="n">
        <f aca="false">MAX(0,AS12)</f>
        <v>32.2084686275746</v>
      </c>
      <c r="AT25" s="11" t="n">
        <f aca="false">MAX(0,AT12)</f>
        <v>36.2686007818081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8.62539562627987</v>
      </c>
      <c r="P27" s="16" t="n">
        <f aca="false">Waterfall!P43</f>
        <v>12.5354038245353</v>
      </c>
      <c r="Q27" s="16" t="n">
        <f aca="false">Waterfall!Q43</f>
        <v>17.3607912491092</v>
      </c>
      <c r="R27" s="16" t="n">
        <f aca="false">Waterfall!R43</f>
        <v>21.9950850004215</v>
      </c>
      <c r="S27" s="16" t="n">
        <f aca="false">Waterfall!S43</f>
        <v>27.847089594091</v>
      </c>
      <c r="T27" s="16" t="n">
        <f aca="false">Waterfall!T43</f>
        <v>34.401454437309</v>
      </c>
      <c r="U27" s="16" t="n">
        <f aca="false">Waterfall!U43</f>
        <v>41.1192470601993</v>
      </c>
      <c r="V27" s="16" t="n">
        <f aca="false">Waterfall!V43</f>
        <v>44.209517558562</v>
      </c>
      <c r="W27" s="16" t="n">
        <f aca="false">Waterfall!W43</f>
        <v>51.5917676331234</v>
      </c>
      <c r="X27" s="16" t="n">
        <f aca="false">Waterfall!X43</f>
        <v>60.9494223081208</v>
      </c>
      <c r="Y27" s="16" t="n">
        <f aca="false">Waterfall!Y43</f>
        <v>68.3981222393794</v>
      </c>
      <c r="Z27" s="16" t="n">
        <f aca="false">Waterfall!Z43</f>
        <v>71.3091283936444</v>
      </c>
      <c r="AA27" s="16" t="n">
        <f aca="false">Waterfall!AA43</f>
        <v>75.1370413352433</v>
      </c>
      <c r="AB27" s="16" t="n">
        <f aca="false">Waterfall!AB43</f>
        <v>79.586831584574</v>
      </c>
      <c r="AC27" s="16" t="n">
        <f aca="false">Waterfall!AC43</f>
        <v>83.8953330124082</v>
      </c>
      <c r="AD27" s="16" t="n">
        <f aca="false">Waterfall!AD43</f>
        <v>75.3829690209295</v>
      </c>
      <c r="AE27" s="16" t="n">
        <f aca="false">Waterfall!AE43</f>
        <v>81.1069985011641</v>
      </c>
      <c r="AF27" s="16" t="n">
        <f aca="false">Waterfall!AF43</f>
        <v>89.9595554281565</v>
      </c>
      <c r="AG27" s="16" t="n">
        <f aca="false">Waterfall!AG43</f>
        <v>97.359661535411</v>
      </c>
      <c r="AH27" s="16" t="n">
        <f aca="false">Waterfall!AH43</f>
        <v>105.01376685411</v>
      </c>
      <c r="AI27" s="16" t="n">
        <f aca="false">Waterfall!AI43</f>
        <v>113.819959541516</v>
      </c>
      <c r="AJ27" s="16" t="n">
        <f aca="false">Waterfall!AJ43</f>
        <v>123.599565579163</v>
      </c>
      <c r="AK27" s="16" t="n">
        <f aca="false">Waterfall!AK43</f>
        <v>133.812569079765</v>
      </c>
      <c r="AL27" s="16" t="n">
        <f aca="false">Waterfall!AL43</f>
        <v>141.592767077813</v>
      </c>
      <c r="AM27" s="16" t="n">
        <f aca="false">Waterfall!AM43</f>
        <v>153.117969074922</v>
      </c>
      <c r="AN27" s="16" t="n">
        <f aca="false">Waterfall!AN43</f>
        <v>166.741576999814</v>
      </c>
      <c r="AO27" s="16" t="n">
        <f aca="false">Waterfall!AO43</f>
        <v>181.265307423145</v>
      </c>
      <c r="AP27" s="16" t="n">
        <f aca="false">Waterfall!AP43</f>
        <v>196.952881707</v>
      </c>
      <c r="AQ27" s="16" t="n">
        <f aca="false">Waterfall!AQ43</f>
        <v>214.202284450496</v>
      </c>
      <c r="AR27" s="16" t="n">
        <f aca="false">Waterfall!AR43</f>
        <v>233.083670161763</v>
      </c>
      <c r="AS27" s="16" t="n">
        <f aca="false">Waterfall!AS43</f>
        <v>252.499293575772</v>
      </c>
      <c r="AT27" s="16" t="n">
        <f aca="false">Waterfall!AT43</f>
        <v>251.669066634234</v>
      </c>
      <c r="AU27" s="16" t="n">
        <f aca="false">Waterfall!AU43</f>
        <v>231.8477290257</v>
      </c>
      <c r="AV27" s="16" t="n">
        <f aca="false">Waterfall!AV43</f>
        <v>215.219589969375</v>
      </c>
      <c r="AW27" s="16" t="n">
        <f aca="false">Waterfall!AW43</f>
        <v>198.316808377793</v>
      </c>
      <c r="AX27" s="16" t="n">
        <f aca="false">Waterfall!AX43</f>
        <v>180.855856883282</v>
      </c>
      <c r="AY27" s="16" t="n">
        <f aca="false">Waterfall!AY43</f>
        <v>164.078803068709</v>
      </c>
      <c r="AZ27" s="16" t="n">
        <f aca="false">Waterfall!AZ43</f>
        <v>146.868806117614</v>
      </c>
      <c r="BA27" s="16" t="n">
        <f aca="false">Waterfall!BA43</f>
        <v>130.219665916225</v>
      </c>
      <c r="BB27" s="16" t="n">
        <f aca="false">Waterfall!BB43</f>
        <v>109.88692695305</v>
      </c>
      <c r="BC27" s="16" t="n">
        <f aca="false">Waterfall!BC43</f>
        <v>96.1249423863517</v>
      </c>
      <c r="BD27" s="16" t="n">
        <f aca="false">Waterfall!BD43</f>
        <v>88.7606562066613</v>
      </c>
      <c r="BE27" s="16" t="n">
        <f aca="false">Waterfall!BE43</f>
        <v>81.3961507287532</v>
      </c>
      <c r="BF27" s="16" t="n">
        <f aca="false">Waterfall!BF43</f>
        <v>73.4736442740284</v>
      </c>
      <c r="BG27" s="16" t="n">
        <f aca="false">Waterfall!BG43</f>
        <v>66.2742050511562</v>
      </c>
      <c r="BH27" s="16" t="n">
        <f aca="false">Waterfall!BH43</f>
        <v>58.647429944307</v>
      </c>
      <c r="BI27" s="16" t="n">
        <f aca="false">Waterfall!BI43</f>
        <v>50.9609896771921</v>
      </c>
      <c r="BJ27" s="16" t="n">
        <f aca="false">Waterfall!BJ43</f>
        <v>23.0117057009172</v>
      </c>
      <c r="BK27" s="16" t="n">
        <f aca="false">Waterfall!BK43</f>
        <v>13.3919714120602</v>
      </c>
      <c r="BL27" s="16" t="n">
        <f aca="false">Waterfall!BL43</f>
        <v>3.67580630342177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914.138712150001</v>
      </c>
      <c r="P28" s="11" t="n">
        <f aca="false">P22+P23+P24+P25+P26+P27</f>
        <v>901.054226973751</v>
      </c>
      <c r="Q28" s="11" t="n">
        <f aca="false">Q22+Q23+Q24+Q25+Q26+Q27</f>
        <v>891.145709114327</v>
      </c>
      <c r="R28" s="11" t="n">
        <f aca="false">R22+R23+R24+R25+R26+R27</f>
        <v>878.810657582763</v>
      </c>
      <c r="S28" s="11" t="n">
        <f aca="false">S22+S23+S24+S25+S26+S27</f>
        <v>869.1030543813</v>
      </c>
      <c r="T28" s="11" t="n">
        <f aca="false">T22+T23+T24+T25+T26+T27</f>
        <v>857.354803988195</v>
      </c>
      <c r="U28" s="11" t="n">
        <f aca="false">U22+U23+U24+U25+U26+U27</f>
        <v>847.211692876689</v>
      </c>
      <c r="V28" s="11" t="n">
        <f aca="false">V22+V23+V24+V25+V26+V27</f>
        <v>831.542312485715</v>
      </c>
      <c r="W28" s="11" t="n">
        <f aca="false">W22+W23+W24+W25+W26+W27</f>
        <v>820.23838150025</v>
      </c>
      <c r="X28" s="11" t="n">
        <f aca="false">X22+X23+X24+X25+X26+X27</f>
        <v>810.510089916808</v>
      </c>
      <c r="Y28" s="11" t="n">
        <f aca="false">Y22+Y23+Y24+Y25+Y26+Y27</f>
        <v>799.91341170235</v>
      </c>
      <c r="Z28" s="11" t="n">
        <f aca="false">Z22+Z23+Z24+Z25+Z26+Z27</f>
        <v>782.673397875305</v>
      </c>
      <c r="AA28" s="11" t="n">
        <f aca="false">AA22+AA23+AA24+AA25+AA26+AA27</f>
        <v>767.806384912688</v>
      </c>
      <c r="AB28" s="11" t="n">
        <f aca="false">AB22+AB23+AB24+AB25+AB26+AB27</f>
        <v>750.133904068104</v>
      </c>
      <c r="AC28" s="11" t="n">
        <f aca="false">AC22+AC23+AC24+AC25+AC26+AC27</f>
        <v>734.412733126196</v>
      </c>
      <c r="AD28" s="11" t="n">
        <f aca="false">AD22+AD23+AD24+AD25+AD26+AD27</f>
        <v>702.612476598283</v>
      </c>
      <c r="AE28" s="11" t="n">
        <f aca="false">AE22+AE23+AE24+AE25+AE26+AE27</f>
        <v>686.306805271164</v>
      </c>
      <c r="AF28" s="11" t="n">
        <f aca="false">AF22+AF23+AF24+AF25+AF26+AF27</f>
        <v>669.107086963376</v>
      </c>
      <c r="AG28" s="11" t="n">
        <f aca="false">AG22+AG23+AG24+AG25+AG26+AG27</f>
        <v>650.13872963834</v>
      </c>
      <c r="AH28" s="11" t="n">
        <f aca="false">AH22+AH23+AH24+AH25+AH26+AH27</f>
        <v>628.30499856156</v>
      </c>
      <c r="AI28" s="11" t="n">
        <f aca="false">AI22+AI23+AI24+AI25+AI26+AI27</f>
        <v>608.509132422579</v>
      </c>
      <c r="AJ28" s="11" t="n">
        <f aca="false">AJ22+AJ23+AJ24+AJ25+AJ26+AJ27</f>
        <v>585.859150317664</v>
      </c>
      <c r="AK28" s="11" t="n">
        <f aca="false">AK22+AK23+AK24+AK25+AK26+AK27</f>
        <v>563.920929003465</v>
      </c>
      <c r="AL28" s="11" t="n">
        <f aca="false">AL22+AL23+AL24+AL25+AL26+AL27</f>
        <v>535.878228121253</v>
      </c>
      <c r="AM28" s="11" t="n">
        <f aca="false">AM22+AM23+AM24+AM25+AM26+AM27</f>
        <v>509.085144393474</v>
      </c>
      <c r="AN28" s="11" t="n">
        <f aca="false">AN22+AN23+AN24+AN25+AN26+AN27</f>
        <v>488.896425039144</v>
      </c>
      <c r="AO28" s="11" t="n">
        <f aca="false">AO22+AO23+AO24+AO25+AO26+AO27</f>
        <v>451.396047547957</v>
      </c>
      <c r="AP28" s="11" t="n">
        <f aca="false">AP22+AP23+AP24+AP25+AP26+AP27</f>
        <v>436.126128501449</v>
      </c>
      <c r="AQ28" s="11" t="n">
        <f aca="false">AQ22+AQ23+AQ24+AQ25+AQ26+AQ27</f>
        <v>423.169104780262</v>
      </c>
      <c r="AR28" s="11" t="n">
        <f aca="false">AR22+AR23+AR24+AR25+AR26+AR27</f>
        <v>408.466679956024</v>
      </c>
      <c r="AS28" s="11" t="n">
        <f aca="false">AS22+AS23+AS24+AS25+AS26+AS27</f>
        <v>394.320425025039</v>
      </c>
      <c r="AT28" s="11" t="n">
        <f aca="false">AT22+AT23+AT24+AT25+AT26+AT27</f>
        <v>361.46211140858</v>
      </c>
      <c r="AU28" s="11" t="n">
        <f aca="false">AU22+AU23+AU24+AU25+AU26+AU27</f>
        <v>346.850036712524</v>
      </c>
      <c r="AV28" s="11" t="n">
        <f aca="false">AV22+AV23+AV24+AV25+AV26+AV27</f>
        <v>331.792202366971</v>
      </c>
      <c r="AW28" s="11" t="n">
        <f aca="false">AW22+AW23+AW24+AW25+AW26+AW27</f>
        <v>316.857393472403</v>
      </c>
      <c r="AX28" s="11" t="n">
        <f aca="false">AX22+AX23+AX24+AX25+AX26+AX27</f>
        <v>299.775643055197</v>
      </c>
      <c r="AY28" s="11" t="n">
        <f aca="false">AY22+AY23+AY24+AY25+AY26+AY27</f>
        <v>285.160195604127</v>
      </c>
      <c r="AZ28" s="11" t="n">
        <f aca="false">AZ22+AZ23+AZ24+AZ25+AZ26+AZ27</f>
        <v>268.681619636185</v>
      </c>
      <c r="BA28" s="11" t="n">
        <f aca="false">BA22+BA23+BA24+BA25+BA26+BA27</f>
        <v>253.62946508114</v>
      </c>
      <c r="BB28" s="11" t="n">
        <f aca="false">BB22+BB23+BB24+BB25+BB26+BB27</f>
        <v>233.350798806381</v>
      </c>
      <c r="BC28" s="11" t="n">
        <f aca="false">BC22+BC23+BC24+BC25+BC26+BC27</f>
        <v>220.09102035464</v>
      </c>
      <c r="BD28" s="11" t="n">
        <f aca="false">BD22+BD23+BD24+BD25+BD26+BD27</f>
        <v>208.164226399747</v>
      </c>
      <c r="BE28" s="11" t="n">
        <f aca="false">BE22+BE23+BE24+BE25+BE26+BE27</f>
        <v>197.072192914968</v>
      </c>
      <c r="BF28" s="11" t="n">
        <f aca="false">BF22+BF23+BF24+BF25+BF26+BF27</f>
        <v>183.70518356111</v>
      </c>
      <c r="BG28" s="11" t="n">
        <f aca="false">BG22+BG23+BG24+BG25+BG26+BG27</f>
        <v>172.987418300765</v>
      </c>
      <c r="BH28" s="11" t="n">
        <f aca="false">BH22+BH23+BH24+BH25+BH26+BH27</f>
        <v>160.296678350999</v>
      </c>
      <c r="BI28" s="11" t="n">
        <f aca="false">BI22+BI23+BI24+BI25+BI26+BI27</f>
        <v>148.268356334396</v>
      </c>
      <c r="BJ28" s="11" t="n">
        <f aca="false">BJ22+BJ23+BJ24+BJ25+BJ26+BJ27</f>
        <v>114.103635144985</v>
      </c>
      <c r="BK28" s="11" t="n">
        <f aca="false">BK22+BK23+BK24+BK25+BK26+BK27</f>
        <v>101.447596602109</v>
      </c>
      <c r="BL28" s="11" t="n">
        <f aca="false">BL22+BL23+BL24+BL25+BL26+BL27</f>
        <v>87.6226426767085</v>
      </c>
      <c r="BM28" s="11" t="n">
        <f aca="false">BM22+BM23+BM24+BM25+BM26+BM27</f>
        <v>-2.06057393370429E-013</v>
      </c>
      <c r="BN28" s="11" t="n">
        <f aca="false">BN22+BN23+BN24+BN25+BN26+BN27</f>
        <v>-2.06057393370429E-013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0.0353350589391694</v>
      </c>
      <c r="AC7" s="14" t="n">
        <f aca="false">IF(Debt!AC122&gt;0.000000001,Debt!AC119/Debt!AC122,0)</f>
        <v>0.0348999397630586</v>
      </c>
      <c r="AD7" s="14" t="n">
        <f aca="false">IF(Debt!AD122&gt;0.000000001,Debt!AD119/Debt!AD122,0)</f>
        <v>0.0349867449402598</v>
      </c>
      <c r="AE7" s="14" t="n">
        <f aca="false">IF(Debt!AE122&gt;0.000000001,Debt!AE119/Debt!AE122,0)</f>
        <v>0.0344288973875732</v>
      </c>
      <c r="AF7" s="14" t="n">
        <f aca="false">IF(Debt!AF122&gt;0.000000001,Debt!AF119/Debt!AF122,0)</f>
        <v>0.0345670246011716</v>
      </c>
      <c r="AG7" s="14" t="n">
        <f aca="false">IF(Debt!AG122&gt;0.000000001,Debt!AG119/Debt!AG122,0)</f>
        <v>0.0347688215568885</v>
      </c>
      <c r="AH7" s="14" t="n">
        <f aca="false">IF(Debt!AH122&gt;0.000000001,Debt!AH119/Debt!AH122,0)</f>
        <v>0.0346343827950687</v>
      </c>
      <c r="AI7" s="14" t="n">
        <f aca="false">IF(Debt!AI122&gt;0.000000001,Debt!AI119/Debt!AI122,0)</f>
        <v>0.0336273358838516</v>
      </c>
      <c r="AJ7" s="14" t="n">
        <f aca="false">IF(Debt!AJ122&gt;0.000000001,Debt!AJ119/Debt!AJ122,0)</f>
        <v>0.0330482042632878</v>
      </c>
      <c r="AK7" s="14" t="n">
        <f aca="false">IF(Debt!AK122&gt;0.000000001,Debt!AK119/Debt!AK122,0)</f>
        <v>0.0314082662899811</v>
      </c>
      <c r="AL7" s="14" t="n">
        <f aca="false">IF(Debt!AL122&gt;0.000000001,Debt!AL119/Debt!AL122,0)</f>
        <v>0.0291849725664656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0.0353350589391694</v>
      </c>
      <c r="AC10" s="14" t="n">
        <f aca="false">IF(AC7&gt;0,AC7,$F$9)</f>
        <v>0.0348999397630586</v>
      </c>
      <c r="AD10" s="14" t="n">
        <f aca="false">IF(AD7&gt;0,AD7,$F$9)</f>
        <v>0.0349867449402598</v>
      </c>
      <c r="AE10" s="14" t="n">
        <f aca="false">IF(AE7&gt;0,AE7,$F$9)</f>
        <v>0.0344288973875732</v>
      </c>
      <c r="AF10" s="14" t="n">
        <f aca="false">IF(AF7&gt;0,AF7,$F$9)</f>
        <v>0.0345670246011716</v>
      </c>
      <c r="AG10" s="14" t="n">
        <f aca="false">IF(AG7&gt;0,AG7,$F$9)</f>
        <v>0.0347688215568885</v>
      </c>
      <c r="AH10" s="14" t="n">
        <f aca="false">IF(AH7&gt;0,AH7,$F$9)</f>
        <v>0.0346343827950687</v>
      </c>
      <c r="AI10" s="14" t="n">
        <f aca="false">IF(AI7&gt;0,AI7,$F$9)</f>
        <v>0.0336273358838516</v>
      </c>
      <c r="AJ10" s="14" t="n">
        <f aca="false">IF(AJ7&gt;0,AJ7,$F$9)</f>
        <v>0.0330482042632878</v>
      </c>
      <c r="AK10" s="14" t="n">
        <f aca="false">IF(AK7&gt;0,AK7,$F$9)</f>
        <v>0.0314082662899811</v>
      </c>
      <c r="AL10" s="14" t="n">
        <f aca="false">IF(AL7&gt;0,AL7,$F$9)</f>
        <v>0.0291849725664656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674.484580598154</v>
      </c>
      <c r="K11" s="11" t="n">
        <f aca="false">IF(Time!K17&lt;=$F$8,(Waterfall!K7+L11)/(1+K10),0)</f>
        <v>692.703714574751</v>
      </c>
      <c r="L11" s="11" t="n">
        <f aca="false">IF(Time!L17&lt;=$F$8,(Waterfall!L7+M11)/(1+L10),0)</f>
        <v>711.414982622914</v>
      </c>
      <c r="M11" s="11" t="n">
        <f aca="false">IF(Time!M17&lt;=$F$8,(Waterfall!M7+N11)/(1+M10),0)</f>
        <v>730.631678236432</v>
      </c>
      <c r="N11" s="11" t="n">
        <f aca="false">IF(Time!N17&lt;=$F$8,(Waterfall!N7+O11)/(1+N10),0)</f>
        <v>750.367453992092</v>
      </c>
      <c r="O11" s="11" t="n">
        <f aca="false">IF(Time!O17&lt;=$F$8,(Waterfall!O7+P11)/(1+O10),0)</f>
        <v>770.636331249207</v>
      </c>
      <c r="P11" s="11" t="n">
        <f aca="false">IF(Time!P17&lt;=$F$8,(Waterfall!P7+Q11)/(1+P10),0)</f>
        <v>789.875222089033</v>
      </c>
      <c r="Q11" s="11" t="n">
        <f aca="false">IF(Time!Q17&lt;=$F$8,(Waterfall!Q7+R11)/(1+Q10),0)</f>
        <v>770.203969875884</v>
      </c>
      <c r="R11" s="11" t="n">
        <f aca="false">IF(Time!R17&lt;=$F$8,(Waterfall!R7+S11)/(1+R10),0)</f>
        <v>749.895939701026</v>
      </c>
      <c r="S11" s="11" t="n">
        <f aca="false">IF(Time!S17&lt;=$F$8,(Waterfall!S7+T11)/(1+S10),0)</f>
        <v>728.996701852644</v>
      </c>
      <c r="T11" s="11" t="n">
        <f aca="false">IF(Time!T17&lt;=$F$8,(Waterfall!T7+U11)/(1+T10),0)</f>
        <v>707.442921703965</v>
      </c>
      <c r="U11" s="11" t="n">
        <f aca="false">IF(Time!U17&lt;=$F$8,(Waterfall!U7+V11)/(1+U10),0)</f>
        <v>684.495342290553</v>
      </c>
      <c r="V11" s="11" t="n">
        <f aca="false">IF(Time!V17&lt;=$F$8,(Waterfall!V7+W11)/(1+V10),0)</f>
        <v>661.362584483429</v>
      </c>
      <c r="W11" s="11" t="n">
        <f aca="false">IF(Time!W17&lt;=$F$8,(Waterfall!W7+X11)/(1+W10),0)</f>
        <v>638.149722669469</v>
      </c>
      <c r="X11" s="11" t="n">
        <f aca="false">IF(Time!X17&lt;=$F$8,(Waterfall!X7+Y11)/(1+X10),0)</f>
        <v>614.014260154541</v>
      </c>
      <c r="Y11" s="11" t="n">
        <f aca="false">IF(Time!Y17&lt;=$F$8,(Waterfall!Y7+Z11)/(1+Y10),0)</f>
        <v>589.349631651738</v>
      </c>
      <c r="Z11" s="11" t="n">
        <f aca="false">IF(Time!Z17&lt;=$F$8,(Waterfall!Z7+AA11)/(1+Z10),0)</f>
        <v>564.506443987474</v>
      </c>
      <c r="AA11" s="11" t="n">
        <f aca="false">IF(Time!AA17&lt;=$F$8,(Waterfall!AA7+AB11)/(1+AA10),0)</f>
        <v>539.065731346159</v>
      </c>
      <c r="AB11" s="11" t="n">
        <f aca="false">IF(Time!AB17&lt;=$F$8,(Waterfall!AB7+AC11)/(1+AB10),0)</f>
        <v>512.844429023233</v>
      </c>
      <c r="AC11" s="11" t="n">
        <f aca="false">IF(Time!AC17&lt;=$F$8,(Waterfall!AC7+AD11)/(1+AC10),0)</f>
        <v>484.88229123164</v>
      </c>
      <c r="AD11" s="11" t="n">
        <f aca="false">IF(Time!AD17&lt;=$F$8,(Waterfall!AD7+AE11)/(1+AD10),0)</f>
        <v>456.861581249166</v>
      </c>
      <c r="AE11" s="11" t="n">
        <f aca="false">IF(Time!AE17&lt;=$F$8,(Waterfall!AE7+AF11)/(1+AE10),0)</f>
        <v>427.7494999071</v>
      </c>
      <c r="AF11" s="11" t="n">
        <f aca="false">IF(Time!AF17&lt;=$F$8,(Waterfall!AF7+AG11)/(1+AF10),0)</f>
        <v>397.378490054609</v>
      </c>
      <c r="AG11" s="11" t="n">
        <f aca="false">IF(Time!AG17&lt;=$F$8,(Waterfall!AG7+AH11)/(1+AG10),0)</f>
        <v>363.726758325762</v>
      </c>
      <c r="AH11" s="11" t="n">
        <f aca="false">IF(Time!AH17&lt;=$F$8,(Waterfall!AH7+AI11)/(1+AH10),0)</f>
        <v>328.885534966366</v>
      </c>
      <c r="AI11" s="11" t="n">
        <f aca="false">IF(Time!AI17&lt;=$F$8,(Waterfall!AI7+AJ11)/(1+AI10),0)</f>
        <v>292.610887843388</v>
      </c>
      <c r="AJ11" s="11" t="n">
        <f aca="false">IF(Time!AJ17&lt;=$F$8,(Waterfall!AJ7+AK11)/(1+AJ10),0)</f>
        <v>255.11933228146</v>
      </c>
      <c r="AK11" s="11" t="n">
        <f aca="false">IF(Time!AK17&lt;=$F$8,(Waterfall!AK7+AL11)/(1+AK10),0)</f>
        <v>215.236987462826</v>
      </c>
      <c r="AL11" s="11" t="n">
        <f aca="false">IF(Time!AL17&lt;=$F$8,(Waterfall!AL7+AM11)/(1+AL10),0)</f>
        <v>174.492613116305</v>
      </c>
      <c r="AM11" s="11" t="n">
        <f aca="false">IF(Time!AM17&lt;=$F$8,(Waterfall!AM7+AN11)/(1+AM10),0)</f>
        <v>132.604222789136</v>
      </c>
      <c r="AN11" s="11" t="n">
        <f aca="false">IF(Time!AN17&lt;=$F$8,(Waterfall!AN7+AO11)/(1+AN10),0)</f>
        <v>89.3178813454789</v>
      </c>
      <c r="AO11" s="11" t="n">
        <f aca="false">IF(Time!AO17&lt;=$F$8,(Waterfall!AO7+AP11)/(1+AO10),0)</f>
        <v>45.1895946865188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928.388531228179</v>
      </c>
      <c r="K12" s="11" t="n">
        <f aca="false">IF(Time!K17&lt;=Time!$F$14,(Waterfall!K7+L12)/(1+K10),0)</f>
        <v>953.466102338526</v>
      </c>
      <c r="L12" s="11" t="n">
        <f aca="false">IF(Time!L17&lt;=Time!$F$14,(Waterfall!L7+M12)/(1+L10),0)</f>
        <v>979.221067181822</v>
      </c>
      <c r="M12" s="11" t="n">
        <f aca="false">IF(Time!M17&lt;=Time!$F$14,(Waterfall!M7+N12)/(1+M10),0)</f>
        <v>1005.67172347388</v>
      </c>
      <c r="N12" s="11" t="n">
        <f aca="false">IF(Time!N17&lt;=Time!$F$14,(Waterfall!N7+O12)/(1+N10),0)</f>
        <v>1032.83686318722</v>
      </c>
      <c r="O12" s="11" t="n">
        <f aca="false">IF(Time!O17&lt;=Time!$F$14,(Waterfall!O7+P12)/(1+O10),0)</f>
        <v>1060.73578590194</v>
      </c>
      <c r="P12" s="11" t="n">
        <f aca="false">IF(Time!P17&lt;=Time!$F$14,(Waterfall!P7+Q12)/(1+P10),0)</f>
        <v>1087.81082449502</v>
      </c>
      <c r="Q12" s="11" t="n">
        <f aca="false">IF(Time!Q17&lt;=Time!$F$14,(Waterfall!Q7+R12)/(1+Q10),0)</f>
        <v>1078.3754658767</v>
      </c>
      <c r="R12" s="11" t="n">
        <f aca="false">IF(Time!R17&lt;=Time!$F$14,(Waterfall!R7+S12)/(1+R10),0)</f>
        <v>1068.54910632919</v>
      </c>
      <c r="S12" s="11" t="n">
        <f aca="false">IF(Time!S17&lt;=Time!$F$14,(Waterfall!S7+T12)/(1+S10),0)</f>
        <v>1058.60542597619</v>
      </c>
      <c r="T12" s="11" t="n">
        <f aca="false">IF(Time!T17&lt;=Time!$F$14,(Waterfall!T7+U12)/(1+T10),0)</f>
        <v>1048.26646342044</v>
      </c>
      <c r="U12" s="11" t="n">
        <f aca="false">IF(Time!U17&lt;=Time!$F$14,(Waterfall!U7+V12)/(1+U10),0)</f>
        <v>1037.0408966803</v>
      </c>
      <c r="V12" s="11" t="n">
        <f aca="false">IF(Time!V17&lt;=Time!$F$14,(Waterfall!V7+W12)/(1+V10),0)</f>
        <v>1025.9466855745</v>
      </c>
      <c r="W12" s="11" t="n">
        <f aca="false">IF(Time!W17&lt;=Time!$F$14,(Waterfall!W7+X12)/(1+W10),0)</f>
        <v>1015.27303813505</v>
      </c>
      <c r="X12" s="11" t="n">
        <f aca="false">IF(Time!X17&lt;=Time!$F$14,(Waterfall!X7+Y12)/(1+X10),0)</f>
        <v>1003.96905999371</v>
      </c>
      <c r="Y12" s="11" t="n">
        <f aca="false">IF(Time!Y17&lt;=Time!$F$14,(Waterfall!Y7+Z12)/(1+Y10),0)</f>
        <v>992.716225414225</v>
      </c>
      <c r="Z12" s="11" t="n">
        <f aca="false">IF(Time!Z17&lt;=Time!$F$14,(Waterfall!Z7+AA12)/(1+Z10),0)</f>
        <v>982.025581443697</v>
      </c>
      <c r="AA12" s="11" t="n">
        <f aca="false">IF(Time!AA17&lt;=Time!$F$14,(Waterfall!AA7+AB12)/(1+AA10),0)</f>
        <v>971.395196841553</v>
      </c>
      <c r="AB12" s="11" t="n">
        <f aca="false">IF(Time!AB17&lt;=Time!$F$14,(Waterfall!AB7+AC12)/(1+AB10),0)</f>
        <v>960.342631209092</v>
      </c>
      <c r="AC12" s="11" t="n">
        <f aca="false">IF(Time!AC17&lt;=Time!$F$14,(Waterfall!AC7+AD12)/(1+AC10),0)</f>
        <v>948.192868766909</v>
      </c>
      <c r="AD12" s="11" t="n">
        <f aca="false">IF(Time!AD17&lt;=Time!$F$14,(Waterfall!AD7+AE12)/(1+AD10),0)</f>
        <v>936.341670032003</v>
      </c>
      <c r="AE12" s="11" t="n">
        <f aca="false">IF(Time!AE17&lt;=Time!$F$14,(Waterfall!AE7+AF12)/(1+AE10),0)</f>
        <v>924.005036260116</v>
      </c>
      <c r="AF12" s="11" t="n">
        <f aca="false">IF(Time!AF17&lt;=Time!$F$14,(Waterfall!AF7+AG12)/(1+AF10),0)</f>
        <v>910.719557346738</v>
      </c>
      <c r="AG12" s="11" t="n">
        <f aca="false">IF(Time!AG17&lt;=Time!$F$14,(Waterfall!AG7+AH12)/(1+AG10),0)</f>
        <v>894.81249891977</v>
      </c>
      <c r="AH12" s="11" t="n">
        <f aca="false">IF(Time!AH17&lt;=Time!$F$14,(Waterfall!AH7+AI12)/(1+AH10),0)</f>
        <v>878.436500906494</v>
      </c>
      <c r="AI12" s="11" t="n">
        <f aca="false">IF(Time!AI17&lt;=Time!$F$14,(Waterfall!AI7+AJ12)/(1+AI10),0)</f>
        <v>861.195212303286</v>
      </c>
      <c r="AJ12" s="11" t="n">
        <f aca="false">IF(Time!AJ17&lt;=Time!$F$14,(Waterfall!AJ7+AK12)/(1+AJ10),0)</f>
        <v>842.823632798264</v>
      </c>
      <c r="AK12" s="11" t="n">
        <f aca="false">IF(Time!AK17&lt;=Time!$F$14,(Waterfall!AK7+AL12)/(1+AK10),0)</f>
        <v>822.363859749523</v>
      </c>
      <c r="AL12" s="11" t="n">
        <f aca="false">IF(Time!AL17&lt;=Time!$F$14,(Waterfall!AL7+AM12)/(1+AL10),0)</f>
        <v>800.688287879585</v>
      </c>
      <c r="AM12" s="11" t="n">
        <f aca="false">IF(Time!AM17&lt;=Time!$F$14,(Waterfall!AM7+AN12)/(1+AM10),0)</f>
        <v>777.075401141623</v>
      </c>
      <c r="AN12" s="11" t="n">
        <f aca="false">IF(Time!AN17&lt;=Time!$F$14,(Waterfall!AN7+AO12)/(1+AN10),0)</f>
        <v>751.197473589424</v>
      </c>
      <c r="AO12" s="11" t="n">
        <f aca="false">IF(Time!AO17&lt;=Time!$F$14,(Waterfall!AO7+AP12)/(1+AO10),0)</f>
        <v>725.035588198375</v>
      </c>
      <c r="AP12" s="11" t="n">
        <f aca="false">IF(Time!AP17&lt;=Time!$F$14,(Waterfall!AP7+AQ12)/(1+AP10),0)</f>
        <v>698.209949628186</v>
      </c>
      <c r="AQ12" s="11" t="n">
        <f aca="false">IF(Time!AQ17&lt;=Time!$F$14,(Waterfall!AQ7+AR12)/(1+AQ10),0)</f>
        <v>670.474626772134</v>
      </c>
      <c r="AR12" s="11" t="n">
        <f aca="false">IF(Time!AR17&lt;=Time!$F$14,(Waterfall!AR7+AS12)/(1+AR10),0)</f>
        <v>642.32867661867</v>
      </c>
      <c r="AS12" s="11" t="n">
        <f aca="false">IF(Time!AS17&lt;=Time!$F$14,(Waterfall!AS7+AT12)/(1+AS10),0)</f>
        <v>612.403488931705</v>
      </c>
      <c r="AT12" s="11" t="n">
        <f aca="false">IF(Time!AT17&lt;=Time!$F$14,(Waterfall!AT7+AU12)/(1+AT10),0)</f>
        <v>582.87883024889</v>
      </c>
      <c r="AU12" s="11" t="n">
        <f aca="false">IF(Time!AU17&lt;=Time!$F$14,(Waterfall!AU7+AV12)/(1+AU10),0)</f>
        <v>552.157679568961</v>
      </c>
      <c r="AV12" s="11" t="n">
        <f aca="false">IF(Time!AV17&lt;=Time!$F$14,(Waterfall!AV7+AW12)/(1+AV10),0)</f>
        <v>525.727102822638</v>
      </c>
      <c r="AW12" s="11" t="n">
        <f aca="false">IF(Time!AW17&lt;=Time!$F$14,(Waterfall!AW7+AX12)/(1+AW10),0)</f>
        <v>499.751035523926</v>
      </c>
      <c r="AX12" s="11" t="n">
        <f aca="false">IF(Time!AX17&lt;=Time!$F$14,(Waterfall!AX7+AY12)/(1+AX10),0)</f>
        <v>472.903288888663</v>
      </c>
      <c r="AY12" s="11" t="n">
        <f aca="false">IF(Time!AY17&lt;=Time!$F$14,(Waterfall!AY7+AZ12)/(1+AY10),0)</f>
        <v>445.028323575098</v>
      </c>
      <c r="AZ12" s="11" t="n">
        <f aca="false">IF(Time!AZ17&lt;=Time!$F$14,(Waterfall!AZ7+BA12)/(1+AZ10),0)</f>
        <v>416.843583766196</v>
      </c>
      <c r="BA12" s="11" t="n">
        <f aca="false">IF(Time!BA17&lt;=Time!$F$14,(Waterfall!BA7+BB12)/(1+BA10),0)</f>
        <v>387.023191448584</v>
      </c>
      <c r="BB12" s="11" t="n">
        <f aca="false">IF(Time!BB17&lt;=Time!$F$14,(Waterfall!BB7+BC12)/(1+BB10),0)</f>
        <v>357.017863240681</v>
      </c>
      <c r="BC12" s="11" t="n">
        <f aca="false">IF(Time!BC17&lt;=Time!$F$14,(Waterfall!BC7+BD12)/(1+BC10),0)</f>
        <v>325.152809851184</v>
      </c>
      <c r="BD12" s="11" t="n">
        <f aca="false">IF(Time!BD17&lt;=Time!$F$14,(Waterfall!BD7+BE12)/(1+BD10),0)</f>
        <v>295.811194508929</v>
      </c>
      <c r="BE12" s="11" t="n">
        <f aca="false">IF(Time!BE17&lt;=Time!$F$14,(Waterfall!BE7+BF12)/(1+BE10),0)</f>
        <v>270.698703411398</v>
      </c>
      <c r="BF12" s="11" t="n">
        <f aca="false">IF(Time!BF17&lt;=Time!$F$14,(Waterfall!BF7+BG12)/(1+BF10),0)</f>
        <v>244.997300149672</v>
      </c>
      <c r="BG12" s="11" t="n">
        <f aca="false">IF(Time!BG17&lt;=Time!$F$14,(Waterfall!BG7+BH12)/(1+BG10),0)</f>
        <v>218.288683516865</v>
      </c>
      <c r="BH12" s="11" t="n">
        <f aca="false">IF(Time!BH17&lt;=Time!$F$14,(Waterfall!BH7+BI12)/(1+BH10),0)</f>
        <v>191.311884167458</v>
      </c>
      <c r="BI12" s="11" t="n">
        <f aca="false">IF(Time!BI17&lt;=Time!$F$14,(Waterfall!BI7+BJ12)/(1+BI10),0)</f>
        <v>162.698077180885</v>
      </c>
      <c r="BJ12" s="11" t="n">
        <f aca="false">IF(Time!BJ17&lt;=Time!$F$14,(Waterfall!BJ7+BK12)/(1+BJ10),0)</f>
        <v>134.195107610118</v>
      </c>
      <c r="BK12" s="11" t="n">
        <f aca="false">IF(Time!BK17&lt;=Time!$F$14,(Waterfall!BK7+BL12)/(1+BK10),0)</f>
        <v>98.363292512432</v>
      </c>
      <c r="BL12" s="11" t="n">
        <f aca="false">IF(Time!BL17&lt;=Time!$F$14,(Waterfall!BL7+BM12)/(1+BL10),0)</f>
        <v>67.0305885768211</v>
      </c>
      <c r="BM12" s="11" t="n">
        <f aca="false">IF(Time!BM17&lt;=Time!$F$14,(Waterfall!BM7+BN12)/(1+BM10),0)</f>
        <v>32.5370847565332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1.30614024892093</v>
      </c>
      <c r="Q13" s="6" t="n">
        <f aca="false">IF(Debt!Q122&gt;0.000000001,(Q11+Reserves!Q9)/Debt!Q122,0)</f>
        <v>1.30690365861231</v>
      </c>
      <c r="R13" s="6" t="n">
        <f aca="false">IF(Debt!R122&gt;0.000000001,(R11+Reserves!R9)/Debt!R122,0)</f>
        <v>1.30899807703319</v>
      </c>
      <c r="S13" s="6" t="n">
        <f aca="false">IF(Debt!S122&gt;0.000000001,(S11+Reserves!S9)/Debt!S122,0)</f>
        <v>1.3106818203669</v>
      </c>
      <c r="T13" s="6" t="n">
        <f aca="false">IF(Debt!T122&gt;0.000000001,(T11+Reserves!T9)/Debt!T122,0)</f>
        <v>1.31371777625179</v>
      </c>
      <c r="U13" s="6" t="n">
        <f aca="false">IF(Debt!U122&gt;0.000000001,(U11+Reserves!U9)/Debt!U122,0)</f>
        <v>1.31524187722185</v>
      </c>
      <c r="V13" s="6" t="n">
        <f aca="false">IF(Debt!V122&gt;0.000000001,(V11+Reserves!V9)/Debt!V122,0)</f>
        <v>1.31965980339656</v>
      </c>
      <c r="W13" s="6" t="n">
        <f aca="false">IF(Debt!W122&gt;0.000000001,(W11+Reserves!W9)/Debt!W122,0)</f>
        <v>1.32551381005865</v>
      </c>
      <c r="X13" s="6" t="n">
        <f aca="false">IF(Debt!X122&gt;0.000000001,(X11+Reserves!X9)/Debt!X122,0)</f>
        <v>1.32993072030303</v>
      </c>
      <c r="Y13" s="6" t="n">
        <f aca="false">IF(Debt!Y122&gt;0.000000001,(Y11+Reserves!Y9)/Debt!Y122,0)</f>
        <v>1.33355500381068</v>
      </c>
      <c r="Z13" s="6" t="n">
        <f aca="false">IF(Debt!Z122&gt;0.000000001,(Z11+Reserves!Z9)/Debt!Z122,0)</f>
        <v>1.33859740287575</v>
      </c>
      <c r="AA13" s="6" t="n">
        <f aca="false">IF(Debt!AA122&gt;0.000000001,(AA11+Reserves!AA9)/Debt!AA122,0)</f>
        <v>1.3439342918852</v>
      </c>
      <c r="AB13" s="6" t="n">
        <f aca="false">IF(Debt!AB122&gt;0.000000001,(AB11+Reserves!AB9)/Debt!AB122,0)</f>
        <v>1.3653612369711</v>
      </c>
      <c r="AC13" s="6" t="n">
        <f aca="false">IF(Debt!AC122&gt;0.000000001,(AC11+Reserves!AC9)/Debt!AC122,0)</f>
        <v>1.38896801923107</v>
      </c>
      <c r="AD13" s="6" t="n">
        <f aca="false">IF(Debt!AD122&gt;0.000000001,(AD11+Reserves!AD9)/Debt!AD122,0)</f>
        <v>1.41816719717187</v>
      </c>
      <c r="AE13" s="6" t="n">
        <f aca="false">IF(Debt!AE122&gt;0.000000001,(AE11+Reserves!AE9)/Debt!AE122,0)</f>
        <v>1.45427472049417</v>
      </c>
      <c r="AF13" s="6" t="n">
        <f aca="false">IF(Debt!AF122&gt;0.000000001,(AF11+Reserves!AF9)/Debt!AF122,0)</f>
        <v>1.49814115861113</v>
      </c>
      <c r="AG13" s="6" t="n">
        <f aca="false">IF(Debt!AG122&gt;0.000000001,(AG11+Reserves!AG9)/Debt!AG122,0)</f>
        <v>1.5502973351767</v>
      </c>
      <c r="AH13" s="6" t="n">
        <f aca="false">IF(Debt!AH122&gt;0.000000001,(AH11+Reserves!AH9)/Debt!AH122,0)</f>
        <v>1.61599149824272</v>
      </c>
      <c r="AI13" s="6" t="n">
        <f aca="false">IF(Debt!AI122&gt;0.000000001,(AI11+Reserves!AI9)/Debt!AI122,0)</f>
        <v>1.70373742935502</v>
      </c>
      <c r="AJ13" s="6" t="n">
        <f aca="false">IF(Debt!AJ122&gt;0.000000001,(AJ11+Reserves!AJ9)/Debt!AJ122,0)</f>
        <v>1.82588650063173</v>
      </c>
      <c r="AK13" s="6" t="n">
        <f aca="false">IF(Debt!AK122&gt;0.000000001,(AK11+Reserves!AK9)/Debt!AK122,0)</f>
        <v>2.01314478349646</v>
      </c>
      <c r="AL13" s="6" t="n">
        <f aca="false">IF(Debt!AL122&gt;0.000000001,(AL11+Reserves!AL9)/Debt!AL122,0)</f>
        <v>2.3354827365124</v>
      </c>
      <c r="AM13" s="6" t="n">
        <f aca="false">IF(Debt!AM122&gt;0.000000001,(AM11+Reserves!AM9)/Debt!AM122,0)</f>
        <v>2.70628973718527</v>
      </c>
      <c r="AN13" s="6" t="n">
        <f aca="false">IF(Debt!AN122&gt;0.000000001,(AN11+Reserves!AN9)/Debt!AN122,0)</f>
        <v>2.96728092012867</v>
      </c>
      <c r="AO13" s="6" t="n">
        <f aca="false">IF(Debt!AO122&gt;0.000000001,(AO11+Reserves!AO9)/Debt!AO122,0)</f>
        <v>3.48181356269816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1.24732375626143</v>
      </c>
      <c r="Q14" s="6" t="n">
        <f aca="false">IF(Debt!Q122&gt;0.000000001,Q11/Debt!Q122,0)</f>
        <v>1.24675628764629</v>
      </c>
      <c r="R14" s="6" t="n">
        <f aca="false">IF(Debt!R122&gt;0.000000001,R11/Debt!R122,0)</f>
        <v>1.24645906087997</v>
      </c>
      <c r="S14" s="6" t="n">
        <f aca="false">IF(Debt!S122&gt;0.000000001,S11/Debt!S122,0)</f>
        <v>1.24682931157553</v>
      </c>
      <c r="T14" s="6" t="n">
        <f aca="false">IF(Debt!T122&gt;0.000000001,T11/Debt!T122,0)</f>
        <v>1.24716539312481</v>
      </c>
      <c r="U14" s="6" t="n">
        <f aca="false">IF(Debt!U122&gt;0.000000001,U11/Debt!U122,0)</f>
        <v>1.24680693350605</v>
      </c>
      <c r="V14" s="6" t="n">
        <f aca="false">IF(Debt!V122&gt;0.000000001,V11/Debt!V122,0)</f>
        <v>1.24744227628949</v>
      </c>
      <c r="W14" s="6" t="n">
        <f aca="false">IF(Debt!W122&gt;0.000000001,W11/Debt!W122,0)</f>
        <v>1.25097620389016</v>
      </c>
      <c r="X14" s="6" t="n">
        <f aca="false">IF(Debt!X122&gt;0.000000001,X11/Debt!X122,0)</f>
        <v>1.25448597952732</v>
      </c>
      <c r="Y14" s="6" t="n">
        <f aca="false">IF(Debt!Y122&gt;0.000000001,Y11/Debt!Y122,0)</f>
        <v>1.2556398909272</v>
      </c>
      <c r="Z14" s="6" t="n">
        <f aca="false">IF(Debt!Z122&gt;0.000000001,Z11/Debt!Z122,0)</f>
        <v>1.25652601561276</v>
      </c>
      <c r="AA14" s="6" t="n">
        <f aca="false">IF(Debt!AA122&gt;0.000000001,AA11/Debt!AA122,0)</f>
        <v>1.25854509485131</v>
      </c>
      <c r="AB14" s="6" t="n">
        <f aca="false">IF(Debt!AB122&gt;0.000000001,AB11/Debt!AB122,0)</f>
        <v>1.27347267658184</v>
      </c>
      <c r="AC14" s="6" t="n">
        <f aca="false">IF(Debt!AC122&gt;0.000000001,AC11/Debt!AC122,0)</f>
        <v>1.29189632522234</v>
      </c>
      <c r="AD14" s="6" t="n">
        <f aca="false">IF(Debt!AD122&gt;0.000000001,AD11/Debt!AD122,0)</f>
        <v>1.31119876278254</v>
      </c>
      <c r="AE14" s="6" t="n">
        <f aca="false">IF(Debt!AE122&gt;0.000000001,AE11/Debt!AE122,0)</f>
        <v>1.33891205119573</v>
      </c>
      <c r="AF14" s="6" t="n">
        <f aca="false">IF(Debt!AF122&gt;0.000000001,AF11/Debt!AF122,0)</f>
        <v>1.37235336494521</v>
      </c>
      <c r="AG14" s="6" t="n">
        <f aca="false">IF(Debt!AG122&gt;0.000000001,AG11/Debt!AG122,0)</f>
        <v>1.41233304302293</v>
      </c>
      <c r="AH14" s="6" t="n">
        <f aca="false">IF(Debt!AH122&gt;0.000000001,AH11/Debt!AH122,0)</f>
        <v>1.46027890319923</v>
      </c>
      <c r="AI14" s="6" t="n">
        <f aca="false">IF(Debt!AI122&gt;0.000000001,AI11/Debt!AI122,0)</f>
        <v>1.52759335607909</v>
      </c>
      <c r="AJ14" s="6" t="n">
        <f aca="false">IF(Debt!AJ122&gt;0.000000001,AJ11/Debt!AJ122,0)</f>
        <v>1.61803146983779</v>
      </c>
      <c r="AK14" s="6" t="n">
        <f aca="false">IF(Debt!AK122&gt;0.000000001,AK11/Debt!AK122,0)</f>
        <v>1.75965019871693</v>
      </c>
      <c r="AL14" s="6" t="n">
        <f aca="false">IF(Debt!AL122&gt;0.000000001,AL11/Debt!AL122,0)</f>
        <v>1.99944370451479</v>
      </c>
      <c r="AM14" s="6" t="n">
        <f aca="false">IF(Debt!AM122&gt;0.000000001,AM11/Debt!AM122,0)</f>
        <v>2.26531844016121</v>
      </c>
      <c r="AN14" s="6" t="n">
        <f aca="false">IF(Debt!AN122&gt;0.000000001,AN11/Debt!AN122,0)</f>
        <v>2.44381275190899</v>
      </c>
      <c r="AO14" s="6" t="n">
        <f aca="false">IF(Debt!AO122&gt;0.000000001,AO11/Debt!AO122,0)</f>
        <v>2.45480162721338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1.71780585814861</v>
      </c>
      <c r="Q15" s="6" t="n">
        <f aca="false">IF(Debt!Q122&gt;0.000000001,Q12/Debt!Q122,0)</f>
        <v>1.74560434003206</v>
      </c>
      <c r="R15" s="6" t="n">
        <f aca="false">IF(Debt!R122&gt;0.000000001,R12/Debt!R122,0)</f>
        <v>1.77611671842125</v>
      </c>
      <c r="S15" s="6" t="n">
        <f aca="false">IF(Debt!S122&gt;0.000000001,S12/Debt!S122,0)</f>
        <v>1.81057098220837</v>
      </c>
      <c r="T15" s="6" t="n">
        <f aca="false">IF(Debt!T122&gt;0.000000001,T12/Debt!T122,0)</f>
        <v>1.84801008794089</v>
      </c>
      <c r="U15" s="6" t="n">
        <f aca="false">IF(Debt!U122&gt;0.000000001,U12/Debt!U122,0)</f>
        <v>1.88896797454246</v>
      </c>
      <c r="V15" s="6" t="n">
        <f aca="false">IF(Debt!V122&gt;0.000000001,V12/Debt!V122,0)</f>
        <v>1.93510987593037</v>
      </c>
      <c r="W15" s="6" t="n">
        <f aca="false">IF(Debt!W122&gt;0.000000001,W12/Debt!W122,0)</f>
        <v>1.9902577185888</v>
      </c>
      <c r="X15" s="6" t="n">
        <f aca="false">IF(Debt!X122&gt;0.000000001,X12/Debt!X122,0)</f>
        <v>2.05119846780812</v>
      </c>
      <c r="Y15" s="6" t="n">
        <f aca="false">IF(Debt!Y122&gt;0.000000001,Y12/Debt!Y122,0)</f>
        <v>2.11503329442542</v>
      </c>
      <c r="Z15" s="6" t="n">
        <f aca="false">IF(Debt!Z122&gt;0.000000001,Z12/Debt!Z122,0)</f>
        <v>2.18587529730419</v>
      </c>
      <c r="AA15" s="6" t="n">
        <f aca="false">IF(Debt!AA122&gt;0.000000001,AA12/Debt!AA122,0)</f>
        <v>2.26789534013619</v>
      </c>
      <c r="AB15" s="6" t="n">
        <f aca="false">IF(Debt!AB122&gt;0.000000001,AB12/Debt!AB122,0)</f>
        <v>2.38468048357425</v>
      </c>
      <c r="AC15" s="6" t="n">
        <f aca="false">IF(Debt!AC122&gt;0.000000001,AC12/Debt!AC122,0)</f>
        <v>2.52631804649018</v>
      </c>
      <c r="AD15" s="6" t="n">
        <f aca="false">IF(Debt!AD122&gt;0.000000001,AD12/Debt!AD122,0)</f>
        <v>2.68731294045519</v>
      </c>
      <c r="AE15" s="6" t="n">
        <f aca="false">IF(Debt!AE122&gt;0.000000001,AE12/Debt!AE122,0)</f>
        <v>2.89225698377883</v>
      </c>
      <c r="AF15" s="6" t="n">
        <f aca="false">IF(Debt!AF122&gt;0.000000001,AF12/Debt!AF122,0)</f>
        <v>3.1451854600244</v>
      </c>
      <c r="AG15" s="6" t="n">
        <f aca="false">IF(Debt!AG122&gt;0.000000001,AG12/Debt!AG122,0)</f>
        <v>3.47451275059187</v>
      </c>
      <c r="AH15" s="6" t="n">
        <f aca="false">IF(Debt!AH122&gt;0.000000001,AH12/Debt!AH122,0)</f>
        <v>3.90033052139276</v>
      </c>
      <c r="AI15" s="6" t="n">
        <f aca="false">IF(Debt!AI122&gt;0.000000001,AI12/Debt!AI122,0)</f>
        <v>4.49592321836546</v>
      </c>
      <c r="AJ15" s="6" t="n">
        <f aca="false">IF(Debt!AJ122&gt;0.000000001,AJ12/Debt!AJ122,0)</f>
        <v>5.34540110776899</v>
      </c>
      <c r="AK15" s="6" t="n">
        <f aca="false">IF(Debt!AK122&gt;0.000000001,AK12/Debt!AK122,0)</f>
        <v>6.72316011427077</v>
      </c>
      <c r="AL15" s="6" t="n">
        <f aca="false">IF(Debt!AL122&gt;0.000000001,AL12/Debt!AL122,0)</f>
        <v>9.17477896564305</v>
      </c>
      <c r="AM15" s="6" t="n">
        <f aca="false">IF(Debt!AM122&gt;0.000000001,AM12/Debt!AM122,0)</f>
        <v>13.2750164253895</v>
      </c>
      <c r="AN15" s="6" t="n">
        <f aca="false">IF(Debt!AN122&gt;0.000000001,AN12/Debt!AN122,0)</f>
        <v>20.5533980151062</v>
      </c>
      <c r="AO15" s="6" t="n">
        <f aca="false">IF(Debt!AO122&gt;0.000000001,AO12/Debt!AO122,0)</f>
        <v>39.3855832087812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1.30614024892093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1.71780585814861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1010.17185766691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11.2287247333463</v>
      </c>
      <c r="BS8" s="16" t="n">
        <f aca="false">Waterfall!Q44</f>
        <v>8.87977667067287</v>
      </c>
      <c r="BT8" s="16" t="n">
        <f aca="false">Waterfall!R44</f>
        <v>9.34796345661746</v>
      </c>
      <c r="BU8" s="16" t="n">
        <f aca="false">Waterfall!S44</f>
        <v>8.6064114120869</v>
      </c>
      <c r="BV8" s="16" t="n">
        <f aca="false">Waterfall!T44</f>
        <v>9.70811346309553</v>
      </c>
      <c r="BW8" s="16" t="n">
        <f aca="false">Waterfall!U44</f>
        <v>8.21863719134242</v>
      </c>
      <c r="BX8" s="16" t="n">
        <f aca="false">Waterfall!V44</f>
        <v>7.93601087927242</v>
      </c>
      <c r="BY8" s="16" t="n">
        <f aca="false">Waterfall!W44</f>
        <v>8.92148088527618</v>
      </c>
      <c r="BZ8" s="16" t="n">
        <f aca="false">Waterfall!X44</f>
        <v>9.21215250024091</v>
      </c>
      <c r="CA8" s="16" t="n">
        <f aca="false">Waterfall!Y44</f>
        <v>8.64977989914497</v>
      </c>
      <c r="CB8" s="16" t="n">
        <f aca="false">Waterfall!Z44</f>
        <v>8.89071846405631</v>
      </c>
      <c r="CC8" s="16" t="n">
        <f aca="false">Waterfall!AA44</f>
        <v>4.06512259651941</v>
      </c>
      <c r="CD8" s="16" t="n">
        <f aca="false">Waterfall!AB44</f>
        <v>5.03751690453018</v>
      </c>
      <c r="CE8" s="16" t="n">
        <f aca="false">Waterfall!AC44</f>
        <v>4.11113509192494</v>
      </c>
      <c r="CF8" s="16" t="n">
        <f aca="false">Waterfall!AD44</f>
        <v>4.36622833666002</v>
      </c>
      <c r="CG8" s="16" t="n">
        <f aca="false">Waterfall!AE44</f>
        <v>4.61566811897511</v>
      </c>
      <c r="CH8" s="16" t="n">
        <f aca="false">Waterfall!AF44</f>
        <v>6.24723231430377</v>
      </c>
      <c r="CI8" s="16" t="n">
        <f aca="false">Waterfall!AG44</f>
        <v>6.67931231229901</v>
      </c>
      <c r="CJ8" s="16" t="n">
        <f aca="false">Waterfall!AH44</f>
        <v>7.52352246534315</v>
      </c>
      <c r="CK8" s="16" t="n">
        <f aca="false">Waterfall!AI44</f>
        <v>7.97975520699342</v>
      </c>
      <c r="CL8" s="16" t="n">
        <f aca="false">Waterfall!AJ44</f>
        <v>9.51426410030822</v>
      </c>
      <c r="CM8" s="16" t="n">
        <f aca="false">Waterfall!AK44</f>
        <v>10.2959667335086</v>
      </c>
      <c r="CN8" s="16" t="n">
        <f aca="false">Waterfall!AL44</f>
        <v>19.2133885591174</v>
      </c>
      <c r="CO8" s="16" t="n">
        <f aca="false">Waterfall!AM44</f>
        <v>29.979925169925</v>
      </c>
      <c r="CP8" s="16" t="n">
        <f aca="false">Waterfall!AN44</f>
        <v>27.6468695822489</v>
      </c>
      <c r="CQ8" s="16" t="n">
        <f aca="false">Waterfall!AO44</f>
        <v>46.4102531027745</v>
      </c>
      <c r="CR8" s="16" t="n">
        <f aca="false">Waterfall!AP44</f>
        <v>46.595324970242</v>
      </c>
      <c r="CS8" s="16" t="n">
        <f aca="false">Waterfall!AQ44</f>
        <v>46.2567675160163</v>
      </c>
      <c r="CT8" s="16" t="n">
        <f aca="false">Waterfall!AR44</f>
        <v>47.275728459814</v>
      </c>
      <c r="CU8" s="16" t="n">
        <f aca="false">Waterfall!AS44</f>
        <v>46.0668622164945</v>
      </c>
      <c r="CV8" s="16" t="n">
        <f aca="false">Waterfall!AT44</f>
        <v>46.4658360380569</v>
      </c>
      <c r="CW8" s="16" t="n">
        <f aca="false">Waterfall!AU44</f>
        <v>41.3454243642673</v>
      </c>
      <c r="CX8" s="16" t="n">
        <f aca="false">Waterfall!AV44</f>
        <v>40.1769738827589</v>
      </c>
      <c r="CY8" s="16" t="n">
        <f aca="false">Waterfall!AW44</f>
        <v>40.3469893652886</v>
      </c>
      <c r="CZ8" s="16" t="n">
        <f aca="false">Waterfall!AX44</f>
        <v>40.6489984435668</v>
      </c>
      <c r="DA8" s="16" t="n">
        <f aca="false">Waterfall!AY44</f>
        <v>40.2058161742135</v>
      </c>
      <c r="DB8" s="16" t="n">
        <f aca="false">Waterfall!AZ44</f>
        <v>41.0801443095497</v>
      </c>
      <c r="DC8" s="16" t="n">
        <f aca="false">Waterfall!BA44</f>
        <v>39.9646052998179</v>
      </c>
      <c r="DD8" s="16" t="n">
        <f aca="false">Waterfall!BB44</f>
        <v>40.0076466236246</v>
      </c>
      <c r="DE8" s="16" t="n">
        <f aca="false">Waterfall!BC44</f>
        <v>36.6070489913094</v>
      </c>
      <c r="DF8" s="16" t="n">
        <f aca="false">Waterfall!BD44</f>
        <v>31.5687484390356</v>
      </c>
      <c r="DG8" s="16" t="n">
        <f aca="false">Waterfall!BE44</f>
        <v>31.4625394931332</v>
      </c>
      <c r="DH8" s="16" t="n">
        <f aca="false">Waterfall!BF44</f>
        <v>31.7585404758243</v>
      </c>
      <c r="DI8" s="16" t="n">
        <f aca="false">Waterfall!BG44</f>
        <v>31.2881183916859</v>
      </c>
      <c r="DJ8" s="16" t="n">
        <f aca="false">Waterfall!BH44</f>
        <v>32.179089433307</v>
      </c>
      <c r="DK8" s="16" t="n">
        <f aca="false">Waterfall!BI44</f>
        <v>31.2778069636727</v>
      </c>
      <c r="DL8" s="16" t="n">
        <f aca="false">Waterfall!BJ44</f>
        <v>37.8190095807858</v>
      </c>
      <c r="DM8" s="16" t="n">
        <f aca="false">Waterfall!BK44</f>
        <v>32.3340953190533</v>
      </c>
      <c r="DN8" s="16" t="n">
        <f aca="false">Waterfall!BL44</f>
        <v>34.6304257960615</v>
      </c>
      <c r="DO8" s="16" t="n">
        <f aca="false">Waterfall!BM44</f>
        <v>51.3571545528005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1436.87877072505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1.57748802210733</v>
      </c>
      <c r="BR9" s="16" t="n">
        <f aca="false">Waterfall!P7</f>
        <v>46.8082531663859</v>
      </c>
      <c r="BS9" s="16" t="n">
        <f aca="false">Waterfall!Q7</f>
        <v>46.5045617583508</v>
      </c>
      <c r="BT9" s="16" t="n">
        <f aca="false">Waterfall!R7</f>
        <v>46.6812759491744</v>
      </c>
      <c r="BU9" s="16" t="n">
        <f aca="false">Waterfall!S7</f>
        <v>46.3576291938347</v>
      </c>
      <c r="BV9" s="16" t="n">
        <f aca="false">Waterfall!T7</f>
        <v>47.2788062179482</v>
      </c>
      <c r="BW9" s="16" t="n">
        <f aca="false">Waterfall!U7</f>
        <v>46.5065574265008</v>
      </c>
      <c r="BX9" s="16" t="n">
        <f aca="false">Waterfall!V7</f>
        <v>45.9592383051422</v>
      </c>
      <c r="BY9" s="16" t="n">
        <f aca="false">Waterfall!W7</f>
        <v>45.8482759598656</v>
      </c>
      <c r="BZ9" s="16" t="n">
        <f aca="false">Waterfall!X7</f>
        <v>45.7825445447861</v>
      </c>
      <c r="CA9" s="16" t="n">
        <f aca="false">Waterfall!Y7</f>
        <v>45.5211430076591</v>
      </c>
      <c r="CB9" s="16" t="n">
        <f aca="false">Waterfall!Z7</f>
        <v>45.4650058189108</v>
      </c>
      <c r="CC9" s="16" t="n">
        <f aca="false">Waterfall!AA7</f>
        <v>45.134993825015</v>
      </c>
      <c r="CD9" s="16" t="n">
        <f aca="false">Waterfall!AB7</f>
        <v>46.0835259177531</v>
      </c>
      <c r="CE9" s="16" t="n">
        <f aca="false">Waterfall!AC7</f>
        <v>44.9430727386328</v>
      </c>
      <c r="CF9" s="16" t="n">
        <f aca="false">Waterfall!AD7</f>
        <v>45.096180958234</v>
      </c>
      <c r="CG9" s="16" t="n">
        <f aca="false">Waterfall!AE7</f>
        <v>45.097953492378</v>
      </c>
      <c r="CH9" s="16" t="n">
        <f aca="false">Waterfall!AF7</f>
        <v>47.387923770541</v>
      </c>
      <c r="CI9" s="16" t="n">
        <f aca="false">Waterfall!AG7</f>
        <v>47.4875741150906</v>
      </c>
      <c r="CJ9" s="16" t="n">
        <f aca="false">Waterfall!AH7</f>
        <v>47.6653946367641</v>
      </c>
      <c r="CK9" s="16" t="n">
        <f aca="false">Waterfall!AI7</f>
        <v>47.3312801707097</v>
      </c>
      <c r="CL9" s="16" t="n">
        <f aca="false">Waterfall!AJ7</f>
        <v>48.3135806233848</v>
      </c>
      <c r="CM9" s="16" t="n">
        <f aca="false">Waterfall!AK7</f>
        <v>47.504594964207</v>
      </c>
      <c r="CN9" s="16" t="n">
        <f aca="false">Waterfall!AL7</f>
        <v>46.9809524540187</v>
      </c>
      <c r="CO9" s="16" t="n">
        <f aca="false">Waterfall!AM7</f>
        <v>46.8682381546474</v>
      </c>
      <c r="CP9" s="16" t="n">
        <f aca="false">Waterfall!AN7</f>
        <v>46.5527773298571</v>
      </c>
      <c r="CQ9" s="16" t="n">
        <f aca="false">Waterfall!AO7</f>
        <v>46.4102531027745</v>
      </c>
      <c r="CR9" s="16" t="n">
        <f aca="false">Waterfall!AP7</f>
        <v>46.595324970242</v>
      </c>
      <c r="CS9" s="16" t="n">
        <f aca="false">Waterfall!AQ7</f>
        <v>46.2567675160163</v>
      </c>
      <c r="CT9" s="16" t="n">
        <f aca="false">Waterfall!AR7</f>
        <v>47.275728459814</v>
      </c>
      <c r="CU9" s="16" t="n">
        <f aca="false">Waterfall!AS7</f>
        <v>46.0668622164945</v>
      </c>
      <c r="CV9" s="16" t="n">
        <f aca="false">Waterfall!AT7</f>
        <v>46.4658360380569</v>
      </c>
      <c r="CW9" s="16" t="n">
        <f aca="false">Waterfall!AU7</f>
        <v>41.3454243642673</v>
      </c>
      <c r="CX9" s="16" t="n">
        <f aca="false">Waterfall!AV7</f>
        <v>40.1769738827589</v>
      </c>
      <c r="CY9" s="16" t="n">
        <f aca="false">Waterfall!AW7</f>
        <v>40.3469893652886</v>
      </c>
      <c r="CZ9" s="16" t="n">
        <f aca="false">Waterfall!AX7</f>
        <v>40.6489984435668</v>
      </c>
      <c r="DA9" s="16" t="n">
        <f aca="false">Waterfall!AY7</f>
        <v>40.2058161742135</v>
      </c>
      <c r="DB9" s="16" t="n">
        <f aca="false">Waterfall!AZ7</f>
        <v>41.0801443095497</v>
      </c>
      <c r="DC9" s="16" t="n">
        <f aca="false">Waterfall!BA7</f>
        <v>40.4595736864266</v>
      </c>
      <c r="DD9" s="16" t="n">
        <f aca="false">Waterfall!BB7</f>
        <v>41.508796878269</v>
      </c>
      <c r="DE9" s="16" t="n">
        <f aca="false">Waterfall!BC7</f>
        <v>38.1246220646516</v>
      </c>
      <c r="DF9" s="16" t="n">
        <f aca="false">Waterfall!BD7</f>
        <v>33.1029239992822</v>
      </c>
      <c r="DG9" s="16" t="n">
        <f aca="false">Waterfall!BE7</f>
        <v>33.0134991740889</v>
      </c>
      <c r="DH9" s="16" t="n">
        <f aca="false">Waterfall!BF7</f>
        <v>33.3264678983963</v>
      </c>
      <c r="DI9" s="16" t="n">
        <f aca="false">Waterfall!BG7</f>
        <v>32.8731991856227</v>
      </c>
      <c r="DJ9" s="16" t="n">
        <f aca="false">Waterfall!BH7</f>
        <v>33.7815112591756</v>
      </c>
      <c r="DK9" s="16" t="n">
        <f aca="false">Waterfall!BI7</f>
        <v>32.8977595350761</v>
      </c>
      <c r="DL9" s="16" t="n">
        <f aca="false">Waterfall!BJ7</f>
        <v>39.4566846868235</v>
      </c>
      <c r="DM9" s="16" t="n">
        <f aca="false">Waterfall!BK7</f>
        <v>33.9896868470275</v>
      </c>
      <c r="DN9" s="16" t="n">
        <f aca="false">Waterfall!BL7</f>
        <v>36.304129754432</v>
      </c>
      <c r="DO9" s="16" t="n">
        <f aca="false">Waterfall!BM7</f>
        <v>33.4159743908395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1656.43680334811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1.57748802210733</v>
      </c>
      <c r="BR10" s="11" t="n">
        <f aca="false">Waterfall!P7+Tax!P27</f>
        <v>46.8082531663859</v>
      </c>
      <c r="BS10" s="11" t="n">
        <f aca="false">Waterfall!Q7+Tax!Q27</f>
        <v>46.5045617583508</v>
      </c>
      <c r="BT10" s="11" t="n">
        <f aca="false">Waterfall!R7+Tax!R27</f>
        <v>46.6812759491744</v>
      </c>
      <c r="BU10" s="11" t="n">
        <f aca="false">Waterfall!S7+Tax!S27</f>
        <v>46.3576291938347</v>
      </c>
      <c r="BV10" s="11" t="n">
        <f aca="false">Waterfall!T7+Tax!T27</f>
        <v>47.2788062179482</v>
      </c>
      <c r="BW10" s="11" t="n">
        <f aca="false">Waterfall!U7+Tax!U27</f>
        <v>46.5065574265008</v>
      </c>
      <c r="BX10" s="11" t="n">
        <f aca="false">Waterfall!V7+Tax!V27</f>
        <v>45.9592383051422</v>
      </c>
      <c r="BY10" s="11" t="n">
        <f aca="false">Waterfall!W7+Tax!W27</f>
        <v>45.8482759598656</v>
      </c>
      <c r="BZ10" s="11" t="n">
        <f aca="false">Waterfall!X7+Tax!X27</f>
        <v>45.7825445447861</v>
      </c>
      <c r="CA10" s="11" t="n">
        <f aca="false">Waterfall!Y7+Tax!Y27</f>
        <v>45.6347516521037</v>
      </c>
      <c r="CB10" s="11" t="n">
        <f aca="false">Waterfall!Z7+Tax!Z27</f>
        <v>45.8050250350016</v>
      </c>
      <c r="CC10" s="11" t="n">
        <f aca="false">Waterfall!AA7+Tax!AA27</f>
        <v>45.4777594556781</v>
      </c>
      <c r="CD10" s="11" t="n">
        <f aca="false">Waterfall!AB7+Tax!AB27</f>
        <v>46.4302571771952</v>
      </c>
      <c r="CE10" s="11" t="n">
        <f aca="false">Waterfall!AC7+Tax!AC27</f>
        <v>45.2846313576124</v>
      </c>
      <c r="CF10" s="11" t="n">
        <f aca="false">Waterfall!AD7+Tax!AD27</f>
        <v>45.4257058287327</v>
      </c>
      <c r="CG10" s="11" t="n">
        <f aca="false">Waterfall!AE7+Tax!AE27</f>
        <v>45.4358746772629</v>
      </c>
      <c r="CH10" s="11" t="n">
        <f aca="false">Waterfall!AF7+Tax!AF27</f>
        <v>47.7412020833847</v>
      </c>
      <c r="CI10" s="11" t="n">
        <f aca="false">Waterfall!AG7+Tax!AG27</f>
        <v>47.8413135473535</v>
      </c>
      <c r="CJ10" s="11" t="n">
        <f aca="false">Waterfall!AH7+Tax!AH27</f>
        <v>48.0183759211259</v>
      </c>
      <c r="CK10" s="11" t="n">
        <f aca="false">Waterfall!AI7+Tax!AI27</f>
        <v>47.6871924642053</v>
      </c>
      <c r="CL10" s="11" t="n">
        <f aca="false">Waterfall!AJ7+Tax!AJ27</f>
        <v>48.6736915872082</v>
      </c>
      <c r="CM10" s="11" t="n">
        <f aca="false">Waterfall!AK7+Tax!AK27</f>
        <v>47.8620387478676</v>
      </c>
      <c r="CN10" s="11" t="n">
        <f aca="false">Waterfall!AL7+Tax!AL27</f>
        <v>47.3312614757797</v>
      </c>
      <c r="CO10" s="11" t="n">
        <f aca="false">Waterfall!AM7+Tax!AM27</f>
        <v>47.2247385503207</v>
      </c>
      <c r="CP10" s="11" t="n">
        <f aca="false">Waterfall!AN7+Tax!AN27</f>
        <v>46.9200189958025</v>
      </c>
      <c r="CQ10" s="11" t="n">
        <f aca="false">Waterfall!AO7+Tax!AO27</f>
        <v>46.7780572353821</v>
      </c>
      <c r="CR10" s="11" t="n">
        <f aca="false">Waterfall!AP7+Tax!AP27</f>
        <v>46.9624238492967</v>
      </c>
      <c r="CS10" s="11" t="n">
        <f aca="false">Waterfall!AQ7+Tax!AQ27</f>
        <v>46.6269984498921</v>
      </c>
      <c r="CT10" s="11" t="n">
        <f aca="false">Waterfall!AR7+Tax!AR27</f>
        <v>47.6504118754088</v>
      </c>
      <c r="CU10" s="11" t="n">
        <f aca="false">Waterfall!AS7+Tax!AS27</f>
        <v>46.4361228010905</v>
      </c>
      <c r="CV10" s="11" t="n">
        <f aca="false">Waterfall!AT7+Tax!AT27</f>
        <v>46.8222480338711</v>
      </c>
      <c r="CW10" s="11" t="n">
        <f aca="false">Waterfall!AU7+Tax!AU27</f>
        <v>46.8450165534755</v>
      </c>
      <c r="CX10" s="11" t="n">
        <f aca="false">Waterfall!AV7+Tax!AV27</f>
        <v>49.2653078026997</v>
      </c>
      <c r="CY10" s="11" t="n">
        <f aca="false">Waterfall!AW7+Tax!AW27</f>
        <v>49.3904831197748</v>
      </c>
      <c r="CZ10" s="11" t="n">
        <f aca="false">Waterfall!AX7+Tax!AX27</f>
        <v>49.5827089874883</v>
      </c>
      <c r="DA10" s="11" t="n">
        <f aca="false">Waterfall!AY7+Tax!AY27</f>
        <v>49.2426904655284</v>
      </c>
      <c r="DB10" s="11" t="n">
        <f aca="false">Waterfall!AZ7+Tax!AZ27</f>
        <v>50.3061836003563</v>
      </c>
      <c r="DC10" s="11" t="n">
        <f aca="false">Waterfall!BA7+Tax!BA27</f>
        <v>49.447892008651</v>
      </c>
      <c r="DD10" s="11" t="n">
        <f aca="false">Waterfall!BB7+Tax!BB27</f>
        <v>48.9368762985021</v>
      </c>
      <c r="DE10" s="11" t="n">
        <f aca="false">Waterfall!BC7+Tax!BC27</f>
        <v>48.8357191684954</v>
      </c>
      <c r="DF10" s="11" t="n">
        <f aca="false">Waterfall!BD7+Tax!BD27</f>
        <v>48.2453783159525</v>
      </c>
      <c r="DG10" s="11" t="n">
        <f aca="false">Waterfall!BE7+Tax!BE27</f>
        <v>48.1103413861363</v>
      </c>
      <c r="DH10" s="11" t="n">
        <f aca="false">Waterfall!BF7+Tax!BF27</f>
        <v>48.3110243986756</v>
      </c>
      <c r="DI10" s="11" t="n">
        <f aca="false">Waterfall!BG7+Tax!BG27</f>
        <v>47.9660321777795</v>
      </c>
      <c r="DJ10" s="11" t="n">
        <f aca="false">Waterfall!BH7+Tax!BH27</f>
        <v>49.0730450331798</v>
      </c>
      <c r="DK10" s="11" t="n">
        <f aca="false">Waterfall!BI7+Tax!BI27</f>
        <v>47.7774586105518</v>
      </c>
      <c r="DL10" s="11" t="n">
        <f aca="false">Waterfall!BJ7+Tax!BJ27</f>
        <v>48.4556804371363</v>
      </c>
      <c r="DM10" s="11" t="n">
        <f aca="false">Waterfall!BK7+Tax!BK27</f>
        <v>48.4935263512054</v>
      </c>
      <c r="DN10" s="11" t="n">
        <f aca="false">Waterfall!BL7+Tax!BL27</f>
        <v>51.7507833974214</v>
      </c>
      <c r="DO10" s="11" t="n">
        <f aca="false">Waterfall!BM7+Tax!BM27</f>
        <v>38.0159238894308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-210.605042850711</v>
      </c>
      <c r="BS11" s="11" t="n">
        <f aca="false">BR11+BS8</f>
        <v>-201.725266180038</v>
      </c>
      <c r="BT11" s="11" t="n">
        <f aca="false">BS11+BT8</f>
        <v>-192.377302723421</v>
      </c>
      <c r="BU11" s="11" t="n">
        <f aca="false">BT11+BU8</f>
        <v>-183.770891311334</v>
      </c>
      <c r="BV11" s="11" t="n">
        <f aca="false">BU11+BV8</f>
        <v>-174.062777848238</v>
      </c>
      <c r="BW11" s="11" t="n">
        <f aca="false">BV11+BW8</f>
        <v>-165.844140656896</v>
      </c>
      <c r="BX11" s="11" t="n">
        <f aca="false">BW11+BX8</f>
        <v>-157.908129777623</v>
      </c>
      <c r="BY11" s="11" t="n">
        <f aca="false">BX11+BY8</f>
        <v>-148.986648892347</v>
      </c>
      <c r="BZ11" s="11" t="n">
        <f aca="false">BY11+BZ8</f>
        <v>-139.774496392106</v>
      </c>
      <c r="CA11" s="11" t="n">
        <f aca="false">BZ11+CA8</f>
        <v>-131.124716492961</v>
      </c>
      <c r="CB11" s="11" t="n">
        <f aca="false">CA11+CB8</f>
        <v>-122.233998028905</v>
      </c>
      <c r="CC11" s="11" t="n">
        <f aca="false">CB11+CC8</f>
        <v>-118.168875432386</v>
      </c>
      <c r="CD11" s="11" t="n">
        <f aca="false">CC11+CD8</f>
        <v>-113.131358527855</v>
      </c>
      <c r="CE11" s="11" t="n">
        <f aca="false">CD11+CE8</f>
        <v>-109.02022343593</v>
      </c>
      <c r="CF11" s="11" t="n">
        <f aca="false">CE11+CF8</f>
        <v>-104.65399509927</v>
      </c>
      <c r="CG11" s="11" t="n">
        <f aca="false">CF11+CG8</f>
        <v>-100.038326980295</v>
      </c>
      <c r="CH11" s="11" t="n">
        <f aca="false">CG11+CH8</f>
        <v>-93.7910946659916</v>
      </c>
      <c r="CI11" s="11" t="n">
        <f aca="false">CH11+CI8</f>
        <v>-87.1117823536926</v>
      </c>
      <c r="CJ11" s="11" t="n">
        <f aca="false">CI11+CJ8</f>
        <v>-79.5882598883494</v>
      </c>
      <c r="CK11" s="11" t="n">
        <f aca="false">CJ11+CK8</f>
        <v>-71.608504681356</v>
      </c>
      <c r="CL11" s="11" t="n">
        <f aca="false">CK11+CL8</f>
        <v>-62.0942405810478</v>
      </c>
      <c r="CM11" s="11" t="n">
        <f aca="false">CL11+CM8</f>
        <v>-51.7982738475392</v>
      </c>
      <c r="CN11" s="11" t="n">
        <f aca="false">CM11+CN8</f>
        <v>-32.5848852884218</v>
      </c>
      <c r="CO11" s="11" t="n">
        <f aca="false">CN11+CO8</f>
        <v>-2.60496011849673</v>
      </c>
      <c r="CP11" s="11" t="n">
        <f aca="false">CO11+CP8</f>
        <v>25.0419094637522</v>
      </c>
      <c r="CQ11" s="11" t="n">
        <f aca="false">CP11+CQ8</f>
        <v>71.4521625665267</v>
      </c>
      <c r="CR11" s="11" t="n">
        <f aca="false">CQ11+CR8</f>
        <v>118.047487536769</v>
      </c>
      <c r="CS11" s="11" t="n">
        <f aca="false">CR11+CS8</f>
        <v>164.304255052785</v>
      </c>
      <c r="CT11" s="11" t="n">
        <f aca="false">CS11+CT8</f>
        <v>211.579983512599</v>
      </c>
      <c r="CU11" s="11" t="n">
        <f aca="false">CT11+CU8</f>
        <v>257.646845729094</v>
      </c>
      <c r="CV11" s="11" t="n">
        <f aca="false">CU11+CV8</f>
        <v>304.11268176715</v>
      </c>
      <c r="CW11" s="11" t="n">
        <f aca="false">CV11+CW8</f>
        <v>345.458106131418</v>
      </c>
      <c r="CX11" s="11" t="n">
        <f aca="false">CW11+CX8</f>
        <v>385.635080014177</v>
      </c>
      <c r="CY11" s="11" t="n">
        <f aca="false">CX11+CY8</f>
        <v>425.982069379465</v>
      </c>
      <c r="CZ11" s="11" t="n">
        <f aca="false">CY11+CZ8</f>
        <v>466.631067823032</v>
      </c>
      <c r="DA11" s="11" t="n">
        <f aca="false">CZ11+DA8</f>
        <v>506.836883997246</v>
      </c>
      <c r="DB11" s="11" t="n">
        <f aca="false">DA11+DB8</f>
        <v>547.917028306795</v>
      </c>
      <c r="DC11" s="11" t="n">
        <f aca="false">DB11+DC8</f>
        <v>587.881633606613</v>
      </c>
      <c r="DD11" s="11" t="n">
        <f aca="false">DC11+DD8</f>
        <v>627.889280230238</v>
      </c>
      <c r="DE11" s="11" t="n">
        <f aca="false">DD11+DE8</f>
        <v>664.496329221547</v>
      </c>
      <c r="DF11" s="11" t="n">
        <f aca="false">DE11+DF8</f>
        <v>696.065077660583</v>
      </c>
      <c r="DG11" s="11" t="n">
        <f aca="false">DF11+DG8</f>
        <v>727.527617153716</v>
      </c>
      <c r="DH11" s="11" t="n">
        <f aca="false">DG11+DH8</f>
        <v>759.28615762954</v>
      </c>
      <c r="DI11" s="11" t="n">
        <f aca="false">DH11+DI8</f>
        <v>790.574276021226</v>
      </c>
      <c r="DJ11" s="11" t="n">
        <f aca="false">DI11+DJ8</f>
        <v>822.753365454533</v>
      </c>
      <c r="DK11" s="11" t="n">
        <f aca="false">DJ11+DK8</f>
        <v>854.031172418206</v>
      </c>
      <c r="DL11" s="11" t="n">
        <f aca="false">DK11+DL8</f>
        <v>891.850181998992</v>
      </c>
      <c r="DM11" s="11" t="n">
        <f aca="false">DL11+DM8</f>
        <v>924.184277318045</v>
      </c>
      <c r="DN11" s="11" t="n">
        <f aca="false">DM11+DN8</f>
        <v>958.814703114106</v>
      </c>
      <c r="DO11" s="11" t="n">
        <f aca="false">DN11+DO8</f>
        <v>1010.17185766691</v>
      </c>
      <c r="DP11" s="11" t="n">
        <f aca="false">DO11+DP8</f>
        <v>1010.17185766691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0.113604871033352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0.100651471285979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0.104868306689124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-73.6294296527949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1.30614024892093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1.71780585814861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0.113604871033352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0.100651471285979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-73.6294296527949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2026-10-03T20:47:11Z</dcterms:created>
  <dc:creator>openpyxl</dc:creator>
  <dc:description/>
  <dc:language>en-US</dc:language>
  <cp:lastModifiedBy/>
  <dcterms:modified xsi:type="dcterms:W3CDTF">2026-10-03T20:47:11Z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