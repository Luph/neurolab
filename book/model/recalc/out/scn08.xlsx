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<sst xmlns="http://schemas.openxmlformats.org/spreadsheetml/2006/main" count="2278" uniqueCount="844">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</sst>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8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6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2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109</v>
      </c>
      <c r="F186" s="7" t="n">
        <v>0.8</v>
      </c>
    </row>
    <row r="187" customFormat="false" ht="15" hidden="false" customHeight="false" outlineLevel="0" collapsed="false">
      <c r="D187" s="0" t="s">
        <v>296</v>
      </c>
      <c r="E187" s="0" t="s">
        <v>103</v>
      </c>
      <c r="F187" s="7" t="n">
        <v>2</v>
      </c>
    </row>
    <row r="188" customFormat="false" ht="15" hidden="false" customHeight="false" outlineLevel="0" collapsed="false">
      <c r="D188" s="0" t="s">
        <v>297</v>
      </c>
      <c r="E188" s="0" t="s">
        <v>109</v>
      </c>
      <c r="F188" s="7" t="n">
        <v>0.6</v>
      </c>
    </row>
    <row r="189" customFormat="false" ht="15" hidden="false" customHeight="false" outlineLevel="0" collapsed="false">
      <c r="D189" s="0" t="s">
        <v>298</v>
      </c>
      <c r="E189" s="0" t="s">
        <v>149</v>
      </c>
      <c r="F189" s="7" t="n">
        <v>10.1393</v>
      </c>
    </row>
    <row r="190" customFormat="false" ht="15" hidden="false" customHeight="false" outlineLevel="0" collapsed="false">
      <c r="D190" s="0" t="s">
        <v>299</v>
      </c>
      <c r="E190" s="0" t="s">
        <v>149</v>
      </c>
      <c r="F190" s="7" t="n">
        <v>7.0804</v>
      </c>
    </row>
    <row r="191" customFormat="false" ht="15" hidden="false" customHeight="false" outlineLevel="0" collapsed="false">
      <c r="D191" s="0" t="s">
        <v>300</v>
      </c>
      <c r="E191" s="0" t="s">
        <v>149</v>
      </c>
      <c r="F191" s="7" t="n">
        <v>18.485</v>
      </c>
    </row>
    <row r="192" customFormat="false" ht="15" hidden="false" customHeight="false" outlineLevel="0" collapsed="false">
      <c r="D192" s="0" t="s">
        <v>301</v>
      </c>
      <c r="E192" s="0" t="s">
        <v>302</v>
      </c>
      <c r="F192" s="7" t="n">
        <v>0.25</v>
      </c>
    </row>
    <row r="193" customFormat="false" ht="15" hidden="false" customHeight="false" outlineLevel="0" collapsed="false">
      <c r="D193" s="0" t="s">
        <v>303</v>
      </c>
      <c r="E193" s="0" t="s">
        <v>103</v>
      </c>
      <c r="F193" s="7" t="n">
        <v>0.5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0.6</v>
      </c>
    </row>
    <row r="195" customFormat="false" ht="15" hidden="false" customHeight="false" outlineLevel="0" collapsed="false">
      <c r="D195" s="0" t="s">
        <v>305</v>
      </c>
      <c r="E195" s="0" t="s">
        <v>103</v>
      </c>
      <c r="F195" s="7" t="n">
        <v>7.875</v>
      </c>
    </row>
    <row r="196" customFormat="false" ht="15" hidden="false" customHeight="false" outlineLevel="0" collapsed="false">
      <c r="D196" s="0" t="s">
        <v>306</v>
      </c>
      <c r="E196" s="0" t="s">
        <v>109</v>
      </c>
      <c r="F196" s="7" t="n">
        <v>0.99512</v>
      </c>
    </row>
    <row r="197" customFormat="false" ht="15" hidden="false" customHeight="false" outlineLevel="0" collapsed="false">
      <c r="D197" s="0" t="s">
        <v>307</v>
      </c>
      <c r="E197" s="0" t="s">
        <v>109</v>
      </c>
      <c r="F197" s="7" t="n">
        <v>0.01</v>
      </c>
    </row>
    <row r="198" customFormat="false" ht="15" hidden="false" customHeight="false" outlineLevel="0" collapsed="false">
      <c r="D198" s="0" t="s">
        <v>308</v>
      </c>
      <c r="E198" s="0" t="s">
        <v>149</v>
      </c>
      <c r="F198" s="7" t="n">
        <v>3.1</v>
      </c>
    </row>
    <row r="199" customFormat="false" ht="15" hidden="false" customHeight="false" outlineLevel="0" collapsed="false">
      <c r="D199" s="0" t="s">
        <v>309</v>
      </c>
      <c r="E199" s="0" t="s">
        <v>149</v>
      </c>
      <c r="F199" s="7" t="n">
        <v>95</v>
      </c>
    </row>
    <row r="200" customFormat="false" ht="15" hidden="false" customHeight="false" outlineLevel="0" collapsed="false">
      <c r="D200" s="0" t="s">
        <v>310</v>
      </c>
      <c r="E200" s="0" t="s">
        <v>180</v>
      </c>
      <c r="F200" s="7" t="n">
        <v>1.1</v>
      </c>
    </row>
    <row r="201" customFormat="false" ht="15" hidden="false" customHeight="false" outlineLevel="0" collapsed="false">
      <c r="D201" s="0" t="s">
        <v>311</v>
      </c>
      <c r="E201" s="0" t="s">
        <v>103</v>
      </c>
      <c r="F201" s="7" t="n">
        <v>0.75</v>
      </c>
    </row>
    <row r="202" customFormat="false" ht="15" hidden="false" customHeight="false" outlineLevel="0" collapsed="false">
      <c r="D202" s="0" t="s">
        <v>312</v>
      </c>
      <c r="E202" s="0" t="s">
        <v>103</v>
      </c>
      <c r="F202" s="7" t="n">
        <v>3.68</v>
      </c>
    </row>
    <row r="203" customFormat="false" ht="15" hidden="false" customHeight="false" outlineLevel="0" collapsed="false">
      <c r="D203" s="0" t="s">
        <v>313</v>
      </c>
      <c r="E203" s="0" t="s">
        <v>109</v>
      </c>
      <c r="F203" s="7" t="n">
        <v>0.48</v>
      </c>
    </row>
    <row r="204" customFormat="false" ht="15" hidden="false" customHeight="false" outlineLevel="0" collapsed="false">
      <c r="D204" s="0" t="s">
        <v>314</v>
      </c>
      <c r="E204" s="0" t="s">
        <v>109</v>
      </c>
      <c r="F204" s="7" t="n">
        <v>0.52</v>
      </c>
    </row>
    <row r="205" customFormat="false" ht="15" hidden="false" customHeight="false" outlineLevel="0" collapsed="false">
      <c r="B205" s="2" t="s">
        <v>315</v>
      </c>
    </row>
    <row r="206" customFormat="false" ht="15" hidden="false" customHeight="false" outlineLevel="0" collapsed="false">
      <c r="D206" s="0" t="s">
        <v>316</v>
      </c>
      <c r="E206" s="0" t="s">
        <v>317</v>
      </c>
      <c r="J206" s="5" t="n">
        <v>2015</v>
      </c>
      <c r="K206" s="5" t="n">
        <v>2016</v>
      </c>
      <c r="L206" s="5" t="n">
        <v>2017</v>
      </c>
      <c r="M206" s="5" t="n">
        <v>2018</v>
      </c>
      <c r="N206" s="5" t="n">
        <v>2019</v>
      </c>
      <c r="O206" s="5" t="n">
        <v>2020</v>
      </c>
      <c r="P206" s="5" t="n">
        <v>2021</v>
      </c>
      <c r="Q206" s="5" t="n">
        <v>2022</v>
      </c>
      <c r="R206" s="5" t="n">
        <v>2023</v>
      </c>
      <c r="S206" s="5" t="n">
        <v>2024</v>
      </c>
      <c r="T206" s="5" t="n">
        <v>2025</v>
      </c>
      <c r="U206" s="5" t="n">
        <v>2026</v>
      </c>
      <c r="V206" s="5" t="n">
        <v>2027</v>
      </c>
      <c r="W206" s="5" t="n">
        <v>2028</v>
      </c>
      <c r="X206" s="5" t="n">
        <v>2029</v>
      </c>
      <c r="Y206" s="5" t="n">
        <v>2030</v>
      </c>
      <c r="Z206" s="5" t="n">
        <v>2031</v>
      </c>
      <c r="AA206" s="5" t="n">
        <v>2032</v>
      </c>
      <c r="AB206" s="5" t="n">
        <v>2033</v>
      </c>
      <c r="AC206" s="5" t="n">
        <v>2034</v>
      </c>
      <c r="AD206" s="5" t="n">
        <v>2035</v>
      </c>
      <c r="AE206" s="5" t="n">
        <v>2036</v>
      </c>
      <c r="AF206" s="5" t="n">
        <v>2037</v>
      </c>
      <c r="AG206" s="5" t="n">
        <v>2038</v>
      </c>
      <c r="AH206" s="5" t="n">
        <v>2039</v>
      </c>
      <c r="AI206" s="5" t="n">
        <v>2040</v>
      </c>
      <c r="AJ206" s="5" t="n">
        <v>2041</v>
      </c>
      <c r="AK206" s="5" t="n">
        <v>2042</v>
      </c>
      <c r="AL206" s="5" t="n">
        <v>2043</v>
      </c>
      <c r="AM206" s="5" t="n">
        <v>2044</v>
      </c>
      <c r="AN206" s="5" t="n">
        <v>2045</v>
      </c>
      <c r="AO206" s="5" t="n">
        <v>2046</v>
      </c>
      <c r="AP206" s="5" t="n">
        <v>2047</v>
      </c>
      <c r="AQ206" s="5" t="n">
        <v>2048</v>
      </c>
      <c r="AR206" s="5" t="n">
        <v>2049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0.1</v>
      </c>
      <c r="K207" s="5" t="n">
        <v>1.3</v>
      </c>
      <c r="L207" s="5" t="n">
        <v>2.1</v>
      </c>
      <c r="M207" s="5" t="n">
        <v>2.2</v>
      </c>
      <c r="N207" s="5" t="n">
        <v>2.2</v>
      </c>
      <c r="O207" s="5" t="n">
        <v>2.2</v>
      </c>
      <c r="P207" s="5" t="n">
        <v>2.2</v>
      </c>
      <c r="Q207" s="5" t="n">
        <v>2.2</v>
      </c>
      <c r="R207" s="5" t="n">
        <v>2.2</v>
      </c>
      <c r="S207" s="5" t="n">
        <v>2.2</v>
      </c>
      <c r="T207" s="5" t="n">
        <v>2.2</v>
      </c>
      <c r="U207" s="5" t="n">
        <v>2.2</v>
      </c>
      <c r="V207" s="5" t="n">
        <v>2.2</v>
      </c>
      <c r="W207" s="5" t="n">
        <v>2.2</v>
      </c>
      <c r="X207" s="5" t="n">
        <v>2.2</v>
      </c>
      <c r="Y207" s="5" t="n">
        <v>2.2</v>
      </c>
      <c r="Z207" s="5" t="n">
        <v>2.2</v>
      </c>
      <c r="AA207" s="5" t="n">
        <v>2.2</v>
      </c>
      <c r="AB207" s="5" t="n">
        <v>2.2</v>
      </c>
      <c r="AC207" s="5" t="n">
        <v>2.2</v>
      </c>
      <c r="AD207" s="5" t="n">
        <v>2.2</v>
      </c>
      <c r="AE207" s="5" t="n">
        <v>2.2</v>
      </c>
      <c r="AF207" s="5" t="n">
        <v>2.2</v>
      </c>
      <c r="AG207" s="5" t="n">
        <v>2.2</v>
      </c>
      <c r="AH207" s="5" t="n">
        <v>2.2</v>
      </c>
      <c r="AI207" s="5" t="n">
        <v>2.2</v>
      </c>
      <c r="AJ207" s="5" t="n">
        <v>2.2</v>
      </c>
      <c r="AK207" s="5" t="n">
        <v>2.2</v>
      </c>
      <c r="AL207" s="5" t="n">
        <v>2.2</v>
      </c>
      <c r="AM207" s="5" t="n">
        <v>2.2</v>
      </c>
      <c r="AN207" s="5" t="n">
        <v>2.2</v>
      </c>
      <c r="AO207" s="5" t="n">
        <v>2.2</v>
      </c>
      <c r="AP207" s="5" t="n">
        <v>2.2</v>
      </c>
      <c r="AQ207" s="5" t="n">
        <v>2.2</v>
      </c>
      <c r="AR207" s="5" t="n">
        <v>2.2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8.7</v>
      </c>
      <c r="K208" s="5" t="n">
        <v>9.4</v>
      </c>
      <c r="L208" s="5" t="n">
        <v>8.1</v>
      </c>
      <c r="M208" s="5" t="n">
        <v>7.5</v>
      </c>
      <c r="N208" s="5" t="n">
        <v>7.5</v>
      </c>
      <c r="O208" s="5" t="n">
        <v>7.5</v>
      </c>
      <c r="P208" s="5" t="n">
        <v>7.5</v>
      </c>
      <c r="Q208" s="5" t="n">
        <v>7.5</v>
      </c>
      <c r="R208" s="5" t="n">
        <v>7.5</v>
      </c>
      <c r="S208" s="5" t="n">
        <v>7.5</v>
      </c>
      <c r="T208" s="5" t="n">
        <v>7.5</v>
      </c>
      <c r="U208" s="5" t="n">
        <v>7.5</v>
      </c>
      <c r="V208" s="5" t="n">
        <v>7.5</v>
      </c>
      <c r="W208" s="5" t="n">
        <v>7.5</v>
      </c>
      <c r="X208" s="5" t="n">
        <v>7.5</v>
      </c>
      <c r="Y208" s="5" t="n">
        <v>7.5</v>
      </c>
      <c r="Z208" s="5" t="n">
        <v>7.5</v>
      </c>
      <c r="AA208" s="5" t="n">
        <v>7.5</v>
      </c>
      <c r="AB208" s="5" t="n">
        <v>7.5</v>
      </c>
      <c r="AC208" s="5" t="n">
        <v>7.5</v>
      </c>
      <c r="AD208" s="5" t="n">
        <v>7.5</v>
      </c>
      <c r="AE208" s="5" t="n">
        <v>7.5</v>
      </c>
      <c r="AF208" s="5" t="n">
        <v>7.5</v>
      </c>
      <c r="AG208" s="5" t="n">
        <v>7.5</v>
      </c>
      <c r="AH208" s="5" t="n">
        <v>7.5</v>
      </c>
      <c r="AI208" s="5" t="n">
        <v>7.5</v>
      </c>
      <c r="AJ208" s="5" t="n">
        <v>7.5</v>
      </c>
      <c r="AK208" s="5" t="n">
        <v>7.5</v>
      </c>
      <c r="AL208" s="5" t="n">
        <v>7.5</v>
      </c>
      <c r="AM208" s="5" t="n">
        <v>7.5</v>
      </c>
      <c r="AN208" s="5" t="n">
        <v>7.5</v>
      </c>
      <c r="AO208" s="5" t="n">
        <v>7.5</v>
      </c>
      <c r="AP208" s="5" t="n">
        <v>7.5</v>
      </c>
      <c r="AQ208" s="5" t="n">
        <v>7.5</v>
      </c>
      <c r="AR208" s="5" t="n">
        <v>7.5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0.1</v>
      </c>
      <c r="K209" s="5" t="n">
        <v>1.3</v>
      </c>
      <c r="L209" s="5" t="n">
        <v>2.1</v>
      </c>
      <c r="M209" s="5" t="n">
        <v>2.4</v>
      </c>
      <c r="N209" s="5" t="n">
        <v>1.8</v>
      </c>
      <c r="O209" s="5" t="n">
        <v>1.2</v>
      </c>
      <c r="P209" s="5" t="n">
        <v>4.7</v>
      </c>
      <c r="Q209" s="5" t="n">
        <v>8</v>
      </c>
      <c r="R209" s="5" t="n">
        <v>4.1</v>
      </c>
      <c r="S209" s="5" t="n">
        <v>2.9</v>
      </c>
      <c r="T209" s="5" t="n">
        <v>2.7</v>
      </c>
      <c r="U209" s="5" t="n">
        <v>2.6</v>
      </c>
      <c r="V209" s="5" t="n">
        <v>2.3</v>
      </c>
      <c r="W209" s="5" t="n">
        <v>2.3</v>
      </c>
      <c r="X209" s="5" t="n">
        <v>2.3</v>
      </c>
      <c r="Y209" s="5" t="n">
        <v>2.3</v>
      </c>
      <c r="Z209" s="5" t="n">
        <v>2.3</v>
      </c>
      <c r="AA209" s="5" t="n">
        <v>2.3</v>
      </c>
      <c r="AB209" s="5" t="n">
        <v>2.3</v>
      </c>
      <c r="AC209" s="5" t="n">
        <v>2.3</v>
      </c>
      <c r="AD209" s="5" t="n">
        <v>2.3</v>
      </c>
      <c r="AE209" s="5" t="n">
        <v>2.3</v>
      </c>
      <c r="AF209" s="5" t="n">
        <v>2.3</v>
      </c>
      <c r="AG209" s="5" t="n">
        <v>2.3</v>
      </c>
      <c r="AH209" s="5" t="n">
        <v>2.3</v>
      </c>
      <c r="AI209" s="5" t="n">
        <v>2.3</v>
      </c>
      <c r="AJ209" s="5" t="n">
        <v>2.3</v>
      </c>
      <c r="AK209" s="5" t="n">
        <v>2.3</v>
      </c>
      <c r="AL209" s="5" t="n">
        <v>2.3</v>
      </c>
      <c r="AM209" s="5" t="n">
        <v>2.3</v>
      </c>
      <c r="AN209" s="5" t="n">
        <v>2.3</v>
      </c>
      <c r="AO209" s="5" t="n">
        <v>2.3</v>
      </c>
      <c r="AP209" s="5" t="n">
        <v>2.3</v>
      </c>
      <c r="AQ209" s="5" t="n">
        <v>2.3</v>
      </c>
      <c r="AR209" s="5" t="n">
        <v>2.3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8.7</v>
      </c>
      <c r="K210" s="5" t="n">
        <v>9.4</v>
      </c>
      <c r="L210" s="5" t="n">
        <v>8.1</v>
      </c>
      <c r="M210" s="5" t="n">
        <v>7.6</v>
      </c>
      <c r="N210" s="5" t="n">
        <v>7.9</v>
      </c>
      <c r="O210" s="5" t="n">
        <v>9.8</v>
      </c>
      <c r="P210" s="5" t="n">
        <v>10.6</v>
      </c>
      <c r="Q210" s="5" t="n">
        <v>26.3</v>
      </c>
      <c r="R210" s="5" t="n">
        <v>34.8</v>
      </c>
      <c r="S210" s="5" t="n">
        <v>19.2</v>
      </c>
      <c r="T210" s="5" t="n">
        <v>12.4</v>
      </c>
      <c r="U210" s="5" t="n">
        <v>9.6</v>
      </c>
      <c r="V210" s="5" t="n">
        <v>8</v>
      </c>
      <c r="W210" s="5" t="n">
        <v>7</v>
      </c>
      <c r="X210" s="5" t="n">
        <v>7</v>
      </c>
      <c r="Y210" s="5" t="n">
        <v>7</v>
      </c>
      <c r="Z210" s="5" t="n">
        <v>7</v>
      </c>
      <c r="AA210" s="5" t="n">
        <v>7</v>
      </c>
      <c r="AB210" s="5" t="n">
        <v>7</v>
      </c>
      <c r="AC210" s="5" t="n">
        <v>7</v>
      </c>
      <c r="AD210" s="5" t="n">
        <v>7</v>
      </c>
      <c r="AE210" s="5" t="n">
        <v>7</v>
      </c>
      <c r="AF210" s="5" t="n">
        <v>7</v>
      </c>
      <c r="AG210" s="5" t="n">
        <v>7</v>
      </c>
      <c r="AH210" s="5" t="n">
        <v>7</v>
      </c>
      <c r="AI210" s="5" t="n">
        <v>7</v>
      </c>
      <c r="AJ210" s="5" t="n">
        <v>7</v>
      </c>
      <c r="AK210" s="5" t="n">
        <v>7</v>
      </c>
      <c r="AL210" s="5" t="n">
        <v>7</v>
      </c>
      <c r="AM210" s="5" t="n">
        <v>7</v>
      </c>
      <c r="AN210" s="5" t="n">
        <v>7</v>
      </c>
      <c r="AO210" s="5" t="n">
        <v>7</v>
      </c>
      <c r="AP210" s="5" t="n">
        <v>7</v>
      </c>
      <c r="AQ210" s="5" t="n">
        <v>7</v>
      </c>
      <c r="AR210" s="5" t="n">
        <v>7</v>
      </c>
    </row>
    <row r="211" customFormat="false" ht="15" hidden="false" customHeight="false" outlineLevel="0" collapsed="false">
      <c r="D211" s="0" t="s">
        <v>322</v>
      </c>
      <c r="E211" s="0" t="s">
        <v>103</v>
      </c>
      <c r="J211" s="5" t="n">
        <v>0.1</v>
      </c>
      <c r="K211" s="5" t="n">
        <v>1.3</v>
      </c>
      <c r="L211" s="5" t="n">
        <v>2.1</v>
      </c>
      <c r="M211" s="5" t="n">
        <v>2.4</v>
      </c>
      <c r="N211" s="5" t="n">
        <v>1.8</v>
      </c>
      <c r="O211" s="5" t="n">
        <v>1.2</v>
      </c>
      <c r="P211" s="5" t="n">
        <v>4.7</v>
      </c>
      <c r="Q211" s="5" t="n">
        <v>2.2</v>
      </c>
      <c r="R211" s="5" t="n">
        <v>2.2</v>
      </c>
      <c r="S211" s="5" t="n">
        <v>2.2</v>
      </c>
      <c r="T211" s="5" t="n">
        <v>2.2</v>
      </c>
      <c r="U211" s="5" t="n">
        <v>2.2</v>
      </c>
      <c r="V211" s="5" t="n">
        <v>2.2</v>
      </c>
      <c r="W211" s="5" t="n">
        <v>2.2</v>
      </c>
      <c r="X211" s="5" t="n">
        <v>2.2</v>
      </c>
      <c r="Y211" s="5" t="n">
        <v>2.2</v>
      </c>
      <c r="Z211" s="5" t="n">
        <v>2.2</v>
      </c>
      <c r="AA211" s="5" t="n">
        <v>2.2</v>
      </c>
      <c r="AB211" s="5" t="n">
        <v>2.2</v>
      </c>
      <c r="AC211" s="5" t="n">
        <v>2.2</v>
      </c>
      <c r="AD211" s="5" t="n">
        <v>2.2</v>
      </c>
      <c r="AE211" s="5" t="n">
        <v>2.2</v>
      </c>
      <c r="AF211" s="5" t="n">
        <v>2.2</v>
      </c>
      <c r="AG211" s="5" t="n">
        <v>2.2</v>
      </c>
      <c r="AH211" s="5" t="n">
        <v>2.2</v>
      </c>
      <c r="AI211" s="5" t="n">
        <v>2.2</v>
      </c>
      <c r="AJ211" s="5" t="n">
        <v>2.2</v>
      </c>
      <c r="AK211" s="5" t="n">
        <v>2.2</v>
      </c>
      <c r="AL211" s="5" t="n">
        <v>2.2</v>
      </c>
      <c r="AM211" s="5" t="n">
        <v>2.2</v>
      </c>
      <c r="AN211" s="5" t="n">
        <v>2.2</v>
      </c>
      <c r="AO211" s="5" t="n">
        <v>2.2</v>
      </c>
      <c r="AP211" s="5" t="n">
        <v>2.2</v>
      </c>
      <c r="AQ211" s="5" t="n">
        <v>2.2</v>
      </c>
      <c r="AR211" s="5" t="n">
        <v>2.2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8.7</v>
      </c>
      <c r="K212" s="5" t="n">
        <v>9.4</v>
      </c>
      <c r="L212" s="5" t="n">
        <v>8.1</v>
      </c>
      <c r="M212" s="5" t="n">
        <v>7.6</v>
      </c>
      <c r="N212" s="5" t="n">
        <v>7.9</v>
      </c>
      <c r="O212" s="5" t="n">
        <v>9.8</v>
      </c>
      <c r="P212" s="5" t="n">
        <v>10.6</v>
      </c>
      <c r="Q212" s="5" t="n">
        <v>7.5</v>
      </c>
      <c r="R212" s="5" t="n">
        <v>7.5</v>
      </c>
      <c r="S212" s="5" t="n">
        <v>7.5</v>
      </c>
      <c r="T212" s="5" t="n">
        <v>7.5</v>
      </c>
      <c r="U212" s="5" t="n">
        <v>7.5</v>
      </c>
      <c r="V212" s="5" t="n">
        <v>7.5</v>
      </c>
      <c r="W212" s="5" t="n">
        <v>7.5</v>
      </c>
      <c r="X212" s="5" t="n">
        <v>7.5</v>
      </c>
      <c r="Y212" s="5" t="n">
        <v>7.5</v>
      </c>
      <c r="Z212" s="5" t="n">
        <v>7.5</v>
      </c>
      <c r="AA212" s="5" t="n">
        <v>7.5</v>
      </c>
      <c r="AB212" s="5" t="n">
        <v>7.5</v>
      </c>
      <c r="AC212" s="5" t="n">
        <v>7.5</v>
      </c>
      <c r="AD212" s="5" t="n">
        <v>7.5</v>
      </c>
      <c r="AE212" s="5" t="n">
        <v>7.5</v>
      </c>
      <c r="AF212" s="5" t="n">
        <v>7.5</v>
      </c>
      <c r="AG212" s="5" t="n">
        <v>7.5</v>
      </c>
      <c r="AH212" s="5" t="n">
        <v>7.5</v>
      </c>
      <c r="AI212" s="5" t="n">
        <v>7.5</v>
      </c>
      <c r="AJ212" s="5" t="n">
        <v>7.5</v>
      </c>
      <c r="AK212" s="5" t="n">
        <v>7.5</v>
      </c>
      <c r="AL212" s="5" t="n">
        <v>7.5</v>
      </c>
      <c r="AM212" s="5" t="n">
        <v>7.5</v>
      </c>
      <c r="AN212" s="5" t="n">
        <v>7.5</v>
      </c>
      <c r="AO212" s="5" t="n">
        <v>7.5</v>
      </c>
      <c r="AP212" s="5" t="n">
        <v>7.5</v>
      </c>
      <c r="AQ212" s="5" t="n">
        <v>7.5</v>
      </c>
      <c r="AR212" s="5" t="n">
        <v>7.5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15.5</v>
      </c>
      <c r="K213" s="5" t="n">
        <v>15.5</v>
      </c>
      <c r="L213" s="5" t="n">
        <v>15.5</v>
      </c>
      <c r="M213" s="5" t="n">
        <v>13.5</v>
      </c>
      <c r="N213" s="5" t="n">
        <v>13.5</v>
      </c>
      <c r="O213" s="5" t="n">
        <v>13.5</v>
      </c>
      <c r="P213" s="5" t="n">
        <v>13.5</v>
      </c>
      <c r="Q213" s="5" t="n">
        <v>19</v>
      </c>
      <c r="R213" s="5" t="n">
        <v>27</v>
      </c>
      <c r="S213" s="5" t="n">
        <v>24.5</v>
      </c>
      <c r="T213" s="5" t="n">
        <v>18</v>
      </c>
      <c r="U213" s="5" t="n">
        <v>15.5</v>
      </c>
      <c r="V213" s="5" t="n">
        <v>15.5</v>
      </c>
      <c r="W213" s="5" t="n">
        <v>15.5</v>
      </c>
      <c r="X213" s="5" t="n">
        <v>15.5</v>
      </c>
      <c r="Y213" s="5" t="n">
        <v>15.5</v>
      </c>
      <c r="Z213" s="5" t="n">
        <v>15.5</v>
      </c>
      <c r="AA213" s="5" t="n">
        <v>15.5</v>
      </c>
      <c r="AB213" s="5" t="n">
        <v>15.5</v>
      </c>
      <c r="AC213" s="5" t="n">
        <v>15.5</v>
      </c>
      <c r="AD213" s="5" t="n">
        <v>15.5</v>
      </c>
      <c r="AE213" s="5" t="n">
        <v>15.5</v>
      </c>
      <c r="AF213" s="5" t="n">
        <v>15.5</v>
      </c>
      <c r="AG213" s="5" t="n">
        <v>15.5</v>
      </c>
      <c r="AH213" s="5" t="n">
        <v>15.5</v>
      </c>
      <c r="AI213" s="5" t="n">
        <v>15.5</v>
      </c>
      <c r="AJ213" s="5" t="n">
        <v>15.5</v>
      </c>
      <c r="AK213" s="5" t="n">
        <v>15.5</v>
      </c>
      <c r="AL213" s="5" t="n">
        <v>15.5</v>
      </c>
      <c r="AM213" s="5" t="n">
        <v>15.5</v>
      </c>
      <c r="AN213" s="5" t="n">
        <v>15.5</v>
      </c>
      <c r="AO213" s="5" t="n">
        <v>15.5</v>
      </c>
      <c r="AP213" s="5" t="n">
        <v>15.5</v>
      </c>
      <c r="AQ213" s="5" t="n">
        <v>15.5</v>
      </c>
      <c r="AR213" s="5" t="n">
        <v>15.5</v>
      </c>
    </row>
    <row r="214" customFormat="false" ht="15" hidden="false" customHeight="false" outlineLevel="0" collapsed="false">
      <c r="B214" s="2" t="s">
        <v>325</v>
      </c>
    </row>
    <row r="215" customFormat="false" ht="15" hidden="false" customHeight="false" outlineLevel="0" collapsed="false">
      <c r="D215" s="0" t="s">
        <v>326</v>
      </c>
      <c r="E215" s="0" t="s">
        <v>103</v>
      </c>
      <c r="J215" s="5" t="n">
        <v>2.52</v>
      </c>
      <c r="K215" s="5" t="n">
        <v>2.79</v>
      </c>
      <c r="L215" s="5" t="n">
        <v>2.94</v>
      </c>
      <c r="M215" s="5" t="n">
        <v>3.02</v>
      </c>
      <c r="N215" s="5" t="n">
        <v>3.06</v>
      </c>
      <c r="O215" s="5" t="n">
        <v>3.09</v>
      </c>
      <c r="P215" s="5" t="n">
        <v>3.09</v>
      </c>
      <c r="Q215" s="5" t="n">
        <v>3.11</v>
      </c>
      <c r="R215" s="5" t="n">
        <v>3.11</v>
      </c>
      <c r="S215" s="5" t="n">
        <v>3.12</v>
      </c>
      <c r="T215" s="5" t="n">
        <v>3.12</v>
      </c>
      <c r="U215" s="5" t="n">
        <v>3.12</v>
      </c>
      <c r="V215" s="5" t="n">
        <v>3.12</v>
      </c>
      <c r="W215" s="5" t="n">
        <v>3.12</v>
      </c>
      <c r="X215" s="5" t="n">
        <v>3.12</v>
      </c>
      <c r="Y215" s="5" t="n">
        <v>3.12</v>
      </c>
      <c r="Z215" s="5" t="n">
        <v>3.12</v>
      </c>
      <c r="AA215" s="5" t="n">
        <v>3.12</v>
      </c>
      <c r="AB215" s="5" t="n">
        <v>3.12</v>
      </c>
      <c r="AC215" s="5" t="n">
        <v>3.12</v>
      </c>
      <c r="AD215" s="5" t="n">
        <v>3.12</v>
      </c>
      <c r="AE215" s="5" t="n">
        <v>3.12</v>
      </c>
      <c r="AF215" s="5" t="n">
        <v>3.12</v>
      </c>
      <c r="AG215" s="5" t="n">
        <v>3.12</v>
      </c>
      <c r="AH215" s="5" t="n">
        <v>3.12</v>
      </c>
      <c r="AI215" s="5" t="n">
        <v>3.12</v>
      </c>
      <c r="AJ215" s="5" t="n">
        <v>3.12</v>
      </c>
      <c r="AK215" s="5" t="n">
        <v>3.12</v>
      </c>
      <c r="AL215" s="5" t="n">
        <v>3.12</v>
      </c>
      <c r="AM215" s="5" t="n">
        <v>3.12</v>
      </c>
      <c r="AN215" s="5" t="n">
        <v>3.12</v>
      </c>
      <c r="AO215" s="5" t="n">
        <v>3.12</v>
      </c>
      <c r="AP215" s="5" t="n">
        <v>3.12</v>
      </c>
      <c r="AQ215" s="5" t="n">
        <v>3.12</v>
      </c>
      <c r="AR215" s="5" t="n">
        <v>3.12</v>
      </c>
      <c r="AS215" s="5" t="n">
        <v>3.12</v>
      </c>
      <c r="AT215" s="5" t="n">
        <v>3.12</v>
      </c>
      <c r="AU215" s="5" t="n">
        <v>3.12</v>
      </c>
      <c r="AV215" s="5" t="n">
        <v>3.12</v>
      </c>
      <c r="AW215" s="5" t="n">
        <v>3.12</v>
      </c>
      <c r="AX215" s="5" t="n">
        <v>3.12</v>
      </c>
      <c r="AY215" s="5" t="n">
        <v>3.12</v>
      </c>
      <c r="AZ215" s="5" t="n">
        <v>3.12</v>
      </c>
      <c r="BA215" s="5" t="n">
        <v>3.12</v>
      </c>
      <c r="BB215" s="5" t="n">
        <v>3.12</v>
      </c>
      <c r="BC215" s="5" t="n">
        <v>3.12</v>
      </c>
      <c r="BD215" s="5" t="n">
        <v>3.12</v>
      </c>
      <c r="BE215" s="5" t="n">
        <v>3.12</v>
      </c>
      <c r="BF215" s="5" t="n">
        <v>3.12</v>
      </c>
      <c r="BG215" s="5" t="n">
        <v>3.12</v>
      </c>
      <c r="BH215" s="5" t="n">
        <v>3.12</v>
      </c>
      <c r="BI215" s="5" t="n">
        <v>3.12</v>
      </c>
      <c r="BJ215" s="5" t="n">
        <v>3.12</v>
      </c>
      <c r="BK215" s="5" t="n">
        <v>3.12</v>
      </c>
      <c r="BL215" s="5" t="n">
        <v>3.12</v>
      </c>
      <c r="BM215" s="5" t="n">
        <v>3.12</v>
      </c>
      <c r="BN215" s="5" t="n">
        <v>3.12</v>
      </c>
    </row>
    <row r="216" customFormat="false" ht="15" hidden="false" customHeight="false" outlineLevel="0" collapsed="false">
      <c r="D216" s="0" t="s">
        <v>327</v>
      </c>
      <c r="E216" s="0" t="s">
        <v>103</v>
      </c>
      <c r="J216" s="5" t="n">
        <v>2.52</v>
      </c>
      <c r="K216" s="5" t="n">
        <v>2.87</v>
      </c>
      <c r="L216" s="5" t="n">
        <v>2.2</v>
      </c>
      <c r="M216" s="5" t="n">
        <v>1.91</v>
      </c>
      <c r="N216" s="5" t="n">
        <v>0.37</v>
      </c>
      <c r="O216" s="5" t="n">
        <v>0.25</v>
      </c>
      <c r="P216" s="5" t="n">
        <v>0.16</v>
      </c>
      <c r="Q216" s="5" t="n">
        <v>0.34</v>
      </c>
      <c r="R216" s="5" t="n">
        <v>2.94</v>
      </c>
      <c r="S216" s="5" t="n">
        <v>5.28826</v>
      </c>
      <c r="T216" s="5" t="n">
        <v>5.89826</v>
      </c>
      <c r="U216" s="5" t="n">
        <v>5.58826</v>
      </c>
      <c r="V216" s="5" t="n">
        <v>5.64826</v>
      </c>
      <c r="W216" s="5" t="n">
        <v>4.67826</v>
      </c>
      <c r="X216" s="5" t="n">
        <v>4.59826</v>
      </c>
      <c r="Y216" s="5" t="n">
        <v>4.04826</v>
      </c>
      <c r="Z216" s="5" t="n">
        <v>4.00826</v>
      </c>
      <c r="AA216" s="5" t="n">
        <v>3.87826</v>
      </c>
      <c r="AB216" s="5" t="n">
        <v>3.87826</v>
      </c>
      <c r="AC216" s="5" t="n">
        <v>3.92826</v>
      </c>
      <c r="AD216" s="5" t="n">
        <v>3.92826</v>
      </c>
      <c r="AE216" s="5" t="n">
        <v>3.92826</v>
      </c>
      <c r="AF216" s="5" t="n">
        <v>3.92826</v>
      </c>
      <c r="AG216" s="5" t="n">
        <v>3.92826</v>
      </c>
      <c r="AH216" s="5" t="n">
        <v>3.92826</v>
      </c>
      <c r="AI216" s="5" t="n">
        <v>3.92826</v>
      </c>
      <c r="AJ216" s="5" t="n">
        <v>3.92826</v>
      </c>
      <c r="AK216" s="5" t="n">
        <v>3.92826</v>
      </c>
      <c r="AL216" s="5" t="n">
        <v>3.92826</v>
      </c>
      <c r="AM216" s="5" t="n">
        <v>3.92826</v>
      </c>
      <c r="AN216" s="5" t="n">
        <v>3.92826</v>
      </c>
      <c r="AO216" s="5" t="n">
        <v>3.92826</v>
      </c>
      <c r="AP216" s="5" t="n">
        <v>3.92826</v>
      </c>
      <c r="AQ216" s="5" t="n">
        <v>3.92826</v>
      </c>
      <c r="AR216" s="5" t="n">
        <v>3.92826</v>
      </c>
      <c r="AS216" s="5" t="n">
        <v>3.92826</v>
      </c>
      <c r="AT216" s="5" t="n">
        <v>3.92826</v>
      </c>
      <c r="AU216" s="5" t="n">
        <v>3.92826</v>
      </c>
      <c r="AV216" s="5" t="n">
        <v>3.92826</v>
      </c>
      <c r="AW216" s="5" t="n">
        <v>3.92826</v>
      </c>
      <c r="AX216" s="5" t="n">
        <v>3.92826</v>
      </c>
      <c r="AY216" s="5" t="n">
        <v>3.92826</v>
      </c>
      <c r="AZ216" s="5" t="n">
        <v>3.92826</v>
      </c>
      <c r="BA216" s="5" t="n">
        <v>3.92826</v>
      </c>
      <c r="BB216" s="5" t="n">
        <v>3.92826</v>
      </c>
      <c r="BC216" s="5" t="n">
        <v>3.92826</v>
      </c>
      <c r="BD216" s="5" t="n">
        <v>3.92826</v>
      </c>
      <c r="BE216" s="5" t="n">
        <v>3.92826</v>
      </c>
      <c r="BF216" s="5" t="n">
        <v>3.92826</v>
      </c>
      <c r="BG216" s="5" t="n">
        <v>3.92826</v>
      </c>
      <c r="BH216" s="5" t="n">
        <v>3.92826</v>
      </c>
      <c r="BI216" s="5" t="n">
        <v>3.92826</v>
      </c>
      <c r="BJ216" s="5" t="n">
        <v>3.92826</v>
      </c>
      <c r="BK216" s="5" t="n">
        <v>3.92826</v>
      </c>
      <c r="BL216" s="5" t="n">
        <v>3.92826</v>
      </c>
      <c r="BM216" s="5" t="n">
        <v>3.92826</v>
      </c>
      <c r="BN216" s="5" t="n">
        <v>3.92826</v>
      </c>
    </row>
    <row r="217" customFormat="false" ht="15" hidden="false" customHeight="false" outlineLevel="0" collapsed="false">
      <c r="D217" s="0" t="s">
        <v>328</v>
      </c>
      <c r="E217" s="0" t="s">
        <v>103</v>
      </c>
      <c r="J217" s="5" t="n">
        <v>2.52</v>
      </c>
      <c r="K217" s="5" t="n">
        <v>2.87</v>
      </c>
      <c r="L217" s="5" t="n">
        <v>2.2</v>
      </c>
      <c r="M217" s="5" t="n">
        <v>1.91</v>
      </c>
      <c r="N217" s="5" t="n">
        <v>0.37</v>
      </c>
      <c r="O217" s="5" t="n">
        <v>0.25</v>
      </c>
      <c r="P217" s="5" t="n">
        <v>0.16</v>
      </c>
      <c r="Q217" s="5" t="n">
        <v>3.11</v>
      </c>
      <c r="R217" s="5" t="n">
        <v>3.11</v>
      </c>
      <c r="S217" s="5" t="n">
        <v>3.12</v>
      </c>
      <c r="T217" s="5" t="n">
        <v>3.12</v>
      </c>
      <c r="U217" s="5" t="n">
        <v>3.12</v>
      </c>
      <c r="V217" s="5" t="n">
        <v>3.12</v>
      </c>
      <c r="W217" s="5" t="n">
        <v>3.12</v>
      </c>
      <c r="X217" s="5" t="n">
        <v>3.12</v>
      </c>
      <c r="Y217" s="5" t="n">
        <v>3.12</v>
      </c>
      <c r="Z217" s="5" t="n">
        <v>3.12</v>
      </c>
      <c r="AA217" s="5" t="n">
        <v>3.12</v>
      </c>
      <c r="AB217" s="5" t="n">
        <v>3.12</v>
      </c>
      <c r="AC217" s="5" t="n">
        <v>3.12</v>
      </c>
      <c r="AD217" s="5" t="n">
        <v>3.12</v>
      </c>
      <c r="AE217" s="5" t="n">
        <v>3.12</v>
      </c>
      <c r="AF217" s="5" t="n">
        <v>3.12</v>
      </c>
      <c r="AG217" s="5" t="n">
        <v>3.12</v>
      </c>
      <c r="AH217" s="5" t="n">
        <v>3.12</v>
      </c>
      <c r="AI217" s="5" t="n">
        <v>3.12</v>
      </c>
      <c r="AJ217" s="5" t="n">
        <v>3.12</v>
      </c>
      <c r="AK217" s="5" t="n">
        <v>3.12</v>
      </c>
      <c r="AL217" s="5" t="n">
        <v>3.12</v>
      </c>
      <c r="AM217" s="5" t="n">
        <v>3.12</v>
      </c>
      <c r="AN217" s="5" t="n">
        <v>3.12</v>
      </c>
      <c r="AO217" s="5" t="n">
        <v>3.12</v>
      </c>
      <c r="AP217" s="5" t="n">
        <v>3.12</v>
      </c>
      <c r="AQ217" s="5" t="n">
        <v>3.12</v>
      </c>
      <c r="AR217" s="5" t="n">
        <v>3.12</v>
      </c>
      <c r="AS217" s="5" t="n">
        <v>3.12</v>
      </c>
      <c r="AT217" s="5" t="n">
        <v>3.12</v>
      </c>
      <c r="AU217" s="5" t="n">
        <v>3.12</v>
      </c>
      <c r="AV217" s="5" t="n">
        <v>3.12</v>
      </c>
      <c r="AW217" s="5" t="n">
        <v>3.12</v>
      </c>
      <c r="AX217" s="5" t="n">
        <v>3.12</v>
      </c>
      <c r="AY217" s="5" t="n">
        <v>3.12</v>
      </c>
      <c r="AZ217" s="5" t="n">
        <v>3.12</v>
      </c>
      <c r="BA217" s="5" t="n">
        <v>3.12</v>
      </c>
      <c r="BB217" s="5" t="n">
        <v>3.12</v>
      </c>
      <c r="BC217" s="5" t="n">
        <v>3.12</v>
      </c>
      <c r="BD217" s="5" t="n">
        <v>3.12</v>
      </c>
      <c r="BE217" s="5" t="n">
        <v>3.12</v>
      </c>
      <c r="BF217" s="5" t="n">
        <v>3.12</v>
      </c>
      <c r="BG217" s="5" t="n">
        <v>3.12</v>
      </c>
      <c r="BH217" s="5" t="n">
        <v>3.12</v>
      </c>
      <c r="BI217" s="5" t="n">
        <v>3.12</v>
      </c>
      <c r="BJ217" s="5" t="n">
        <v>3.12</v>
      </c>
      <c r="BK217" s="5" t="n">
        <v>3.12</v>
      </c>
      <c r="BL217" s="5" t="n">
        <v>3.12</v>
      </c>
      <c r="BM217" s="5" t="n">
        <v>3.12</v>
      </c>
      <c r="BN217" s="5" t="n">
        <v>3.12</v>
      </c>
    </row>
    <row r="218" customFormat="false" ht="15" hidden="false" customHeight="false" outlineLevel="0" collapsed="false">
      <c r="D218" s="0" t="s">
        <v>329</v>
      </c>
      <c r="E218" s="0" t="s">
        <v>153</v>
      </c>
      <c r="J218" s="5" t="n">
        <v>524.6</v>
      </c>
      <c r="K218" s="5" t="n">
        <v>539.1</v>
      </c>
      <c r="L218" s="5" t="n">
        <v>551.3</v>
      </c>
      <c r="M218" s="5" t="n">
        <v>566</v>
      </c>
      <c r="N218" s="5" t="n">
        <v>579.8</v>
      </c>
      <c r="O218" s="5" t="n">
        <v>597.4</v>
      </c>
      <c r="P218" s="5" t="n">
        <v>609.6</v>
      </c>
      <c r="Q218" s="5" t="n">
        <v>654.9</v>
      </c>
      <c r="R218" s="5" t="n">
        <v>830.3</v>
      </c>
      <c r="S218" s="5" t="n">
        <v>1052.8</v>
      </c>
      <c r="T218" s="5" t="n">
        <v>1043.8</v>
      </c>
      <c r="U218" s="5" t="n">
        <v>1093.1</v>
      </c>
      <c r="V218" s="5" t="n">
        <v>1050.7</v>
      </c>
      <c r="W218" s="5" t="n">
        <v>1035.6</v>
      </c>
      <c r="X218" s="5" t="n">
        <v>1023.8</v>
      </c>
      <c r="Y218" s="5" t="n">
        <v>1028.9</v>
      </c>
      <c r="Z218" s="5" t="n">
        <v>1043.9</v>
      </c>
    </row>
    <row r="219" customFormat="false" ht="15" hidden="false" customHeight="false" outlineLevel="0" collapsed="false">
      <c r="D219" s="0" t="s">
        <v>330</v>
      </c>
      <c r="E219" s="0" t="s">
        <v>149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18.4</v>
      </c>
      <c r="R219" s="5" t="n">
        <v>68.9</v>
      </c>
      <c r="S219" s="5" t="n">
        <v>112.6</v>
      </c>
      <c r="T219" s="5" t="n">
        <v>71.8</v>
      </c>
      <c r="U219" s="5" t="n">
        <v>34.6</v>
      </c>
      <c r="V219" s="5" t="n">
        <v>12.3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0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 t="n">
        <v>0</v>
      </c>
      <c r="AL219" s="5" t="n">
        <v>0</v>
      </c>
      <c r="AM219" s="5" t="n">
        <v>0</v>
      </c>
      <c r="AN219" s="5" t="n">
        <v>0</v>
      </c>
      <c r="AO219" s="5" t="n">
        <v>0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149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1.27</v>
      </c>
      <c r="S220" s="5" t="n">
        <v>3.84</v>
      </c>
      <c r="T220" s="5" t="n">
        <v>1.12</v>
      </c>
      <c r="U220" s="5" t="n">
        <v>0.31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 t="n">
        <v>0</v>
      </c>
      <c r="AL220" s="5" t="n">
        <v>0</v>
      </c>
      <c r="AM220" s="5" t="n">
        <v>0</v>
      </c>
      <c r="AN220" s="5" t="n">
        <v>0</v>
      </c>
      <c r="AO220" s="5" t="n">
        <v>0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0.2</v>
      </c>
      <c r="V221" s="5" t="n">
        <v>0.4</v>
      </c>
      <c r="W221" s="5" t="n">
        <v>0.4</v>
      </c>
      <c r="X221" s="5" t="n">
        <v>0</v>
      </c>
      <c r="Y221" s="5" t="n">
        <v>0</v>
      </c>
      <c r="Z221" s="5" t="n">
        <v>0</v>
      </c>
      <c r="AA221" s="5" t="n">
        <v>0</v>
      </c>
      <c r="AB221" s="5" t="n">
        <v>0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 t="n">
        <v>0</v>
      </c>
      <c r="AL221" s="5" t="n">
        <v>0</v>
      </c>
      <c r="AM221" s="5" t="n">
        <v>0</v>
      </c>
      <c r="AN221" s="5" t="n">
        <v>0</v>
      </c>
      <c r="AO221" s="5" t="n">
        <v>0</v>
      </c>
      <c r="AP221" s="5" t="n">
        <v>0</v>
      </c>
      <c r="AQ221" s="5" t="n">
        <v>0</v>
      </c>
      <c r="AR221" s="5" t="n">
        <v>0</v>
      </c>
      <c r="AS221" s="5" t="n">
        <v>0</v>
      </c>
      <c r="AT221" s="5" t="n">
        <v>0</v>
      </c>
      <c r="AU221" s="5" t="n">
        <v>0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109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0.024460432114308</v>
      </c>
      <c r="Q222" s="5" t="n">
        <v>0.0254956399199363</v>
      </c>
      <c r="R222" s="5" t="n">
        <v>0.0267515222906662</v>
      </c>
      <c r="S222" s="5" t="n">
        <v>0.0275398463746851</v>
      </c>
      <c r="T222" s="5" t="n">
        <v>0.0288066694390464</v>
      </c>
      <c r="U222" s="5" t="n">
        <v>0.0297253648392077</v>
      </c>
      <c r="V222" s="5" t="n">
        <v>0.0316673019225092</v>
      </c>
      <c r="W222" s="5" t="n">
        <v>0.0326353519070817</v>
      </c>
      <c r="X222" s="5" t="n">
        <v>0.0317294685115491</v>
      </c>
      <c r="Y222" s="5" t="n">
        <v>0.0317443987963029</v>
      </c>
      <c r="Z222" s="5" t="n">
        <v>0.0330595043187038</v>
      </c>
      <c r="AA222" s="5" t="n">
        <v>0.0340242635392698</v>
      </c>
      <c r="AB222" s="5" t="n">
        <v>0.035649748512346</v>
      </c>
      <c r="AC222" s="5" t="n">
        <v>0.036830769646369</v>
      </c>
      <c r="AD222" s="5" t="n">
        <v>0.0402165127561107</v>
      </c>
      <c r="AE222" s="5" t="n">
        <v>0.0419450401653678</v>
      </c>
      <c r="AF222" s="5" t="n">
        <v>0.0434165471296656</v>
      </c>
      <c r="AG222" s="5" t="n">
        <v>0.0442268395359645</v>
      </c>
      <c r="AH222" s="5" t="n">
        <v>0.0464470950071792</v>
      </c>
      <c r="AI222" s="5" t="n">
        <v>0.0478108988283702</v>
      </c>
      <c r="AJ222" s="5" t="n">
        <v>0.0501190973065472</v>
      </c>
      <c r="AK222" s="5" t="n">
        <v>0.0517413637371501</v>
      </c>
      <c r="AL222" s="5" t="n">
        <v>0.0548633733406637</v>
      </c>
      <c r="AM222" s="5" t="n">
        <v>0.0560037067338176</v>
      </c>
      <c r="AN222" s="5" t="n">
        <v>0.0462023932183935</v>
      </c>
      <c r="AO222" s="5" t="n">
        <v>0.0468868501087888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109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0.0254815794663755</v>
      </c>
      <c r="R223" s="5" t="n">
        <v>0.0272404616966825</v>
      </c>
      <c r="S223" s="5" t="n">
        <v>0.0281997800818635</v>
      </c>
      <c r="T223" s="5" t="n">
        <v>0.0295228109676876</v>
      </c>
      <c r="U223" s="5" t="n">
        <v>0.0303446121914986</v>
      </c>
      <c r="V223" s="5" t="n">
        <v>0.0317336885618467</v>
      </c>
      <c r="W223" s="5" t="n">
        <v>0.033467483780784</v>
      </c>
      <c r="X223" s="5" t="n">
        <v>0.0350039124595733</v>
      </c>
      <c r="Y223" s="5" t="n">
        <v>0.0325817454453932</v>
      </c>
      <c r="Z223" s="5" t="n">
        <v>0.0341159156522278</v>
      </c>
      <c r="AA223" s="5" t="n">
        <v>0.0348226141250488</v>
      </c>
      <c r="AB223" s="5" t="n">
        <v>0.0365180095175597</v>
      </c>
      <c r="AC223" s="5" t="n">
        <v>0.0375492755811024</v>
      </c>
      <c r="AD223" s="5" t="n">
        <v>0.0393340416498319</v>
      </c>
      <c r="AE223" s="5" t="n">
        <v>0.0424788624188137</v>
      </c>
      <c r="AF223" s="5" t="n">
        <v>0.0447618765783362</v>
      </c>
      <c r="AG223" s="5" t="n">
        <v>0.0451083917771355</v>
      </c>
      <c r="AH223" s="5" t="n">
        <v>0.0474375734175925</v>
      </c>
      <c r="AI223" s="5" t="n">
        <v>0.0489070592882663</v>
      </c>
      <c r="AJ223" s="5" t="n">
        <v>0.0513038213658132</v>
      </c>
      <c r="AK223" s="5" t="n">
        <v>0.0528163392817864</v>
      </c>
      <c r="AL223" s="5" t="n">
        <v>0.0552930464138874</v>
      </c>
      <c r="AM223" s="5" t="n">
        <v>0.0578441612372633</v>
      </c>
      <c r="AN223" s="5" t="n">
        <v>0.050237404554169</v>
      </c>
      <c r="AO223" s="5" t="n">
        <v>0.0478955324894626</v>
      </c>
      <c r="AP223" s="5" t="n">
        <v>0</v>
      </c>
      <c r="AQ223" s="5" t="n">
        <v>0</v>
      </c>
      <c r="AR223" s="5" t="n">
        <v>0</v>
      </c>
      <c r="AS223" s="5" t="n">
        <v>0</v>
      </c>
      <c r="AT223" s="5" t="n">
        <v>0</v>
      </c>
      <c r="AU223" s="5" t="n">
        <v>0</v>
      </c>
      <c r="AV223" s="5" t="n">
        <v>0</v>
      </c>
      <c r="AW223" s="5" t="n">
        <v>0</v>
      </c>
      <c r="AX223" s="5" t="n">
        <v>0</v>
      </c>
      <c r="AY223" s="5" t="n">
        <v>0</v>
      </c>
      <c r="AZ223" s="5" t="n">
        <v>0</v>
      </c>
      <c r="BA223" s="5" t="n">
        <v>0</v>
      </c>
      <c r="BB223" s="5" t="n">
        <v>0</v>
      </c>
      <c r="BC223" s="5" t="n">
        <v>0</v>
      </c>
      <c r="BD223" s="5" t="n">
        <v>0</v>
      </c>
      <c r="BE223" s="5" t="n">
        <v>0</v>
      </c>
      <c r="BF223" s="5" t="n">
        <v>0</v>
      </c>
      <c r="BG223" s="5" t="n">
        <v>0</v>
      </c>
      <c r="BH223" s="5" t="n">
        <v>0</v>
      </c>
      <c r="BI223" s="5" t="n">
        <v>0</v>
      </c>
      <c r="BJ223" s="5" t="n">
        <v>0</v>
      </c>
      <c r="BK223" s="5" t="n">
        <v>0</v>
      </c>
      <c r="BL223" s="5" t="n">
        <v>0</v>
      </c>
      <c r="BM223" s="5" t="n">
        <v>0</v>
      </c>
      <c r="BN223" s="5" t="n">
        <v>0</v>
      </c>
    </row>
    <row r="224" customFormat="false" ht="15" hidden="false" customHeight="false" outlineLevel="0" collapsed="false">
      <c r="D224" s="0" t="s">
        <v>335</v>
      </c>
      <c r="E224" s="0" t="s">
        <v>109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0.0112446792656657</v>
      </c>
      <c r="Y224" s="5" t="n">
        <v>0.0166044948312686</v>
      </c>
      <c r="Z224" s="5" t="n">
        <v>0.018134080626777</v>
      </c>
      <c r="AA224" s="5" t="n">
        <v>0.0180818761438085</v>
      </c>
      <c r="AB224" s="5" t="n">
        <v>0.0194216374020789</v>
      </c>
      <c r="AC224" s="5" t="n">
        <v>0.019460397096262</v>
      </c>
      <c r="AD224" s="5" t="n">
        <v>0.0205929299479628</v>
      </c>
      <c r="AE224" s="5" t="n">
        <v>0.0226422219505928</v>
      </c>
      <c r="AF224" s="5" t="n">
        <v>0.0241540569543948</v>
      </c>
      <c r="AG224" s="5" t="n">
        <v>0.0243817345221278</v>
      </c>
      <c r="AH224" s="5" t="n">
        <v>0.0257776829177445</v>
      </c>
      <c r="AI224" s="5" t="n">
        <v>0.0258644850439458</v>
      </c>
      <c r="AJ224" s="5" t="n">
        <v>0.027144560096898</v>
      </c>
      <c r="AK224" s="5" t="n">
        <v>0.0272624404276804</v>
      </c>
      <c r="AL224" s="5" t="n">
        <v>0.0283936733862867</v>
      </c>
      <c r="AM224" s="5" t="n">
        <v>0.0256865156686768</v>
      </c>
      <c r="AN224" s="5" t="n">
        <v>0.0235119055190009</v>
      </c>
      <c r="AO224" s="5" t="n">
        <v>0.0205075628133926</v>
      </c>
      <c r="AP224" s="5" t="n">
        <v>0.0890892224864926</v>
      </c>
      <c r="AQ224" s="5" t="n">
        <v>0.0910548118277837</v>
      </c>
      <c r="AR224" s="5" t="n">
        <v>0.0958509778997726</v>
      </c>
      <c r="AS224" s="5" t="n">
        <v>0.0980653776749948</v>
      </c>
      <c r="AT224" s="5" t="n">
        <v>0.102789589089454</v>
      </c>
      <c r="AU224" s="5" t="n">
        <v>0.124283086406939</v>
      </c>
      <c r="AV224" s="5" t="n">
        <v>0</v>
      </c>
      <c r="AW224" s="5" t="n">
        <v>0</v>
      </c>
      <c r="AX224" s="5" t="n">
        <v>0</v>
      </c>
      <c r="AY224" s="5" t="n">
        <v>0</v>
      </c>
      <c r="AZ224" s="5" t="n">
        <v>0</v>
      </c>
      <c r="BA224" s="5" t="n">
        <v>0</v>
      </c>
      <c r="BB224" s="5" t="n">
        <v>0</v>
      </c>
      <c r="BC224" s="5" t="n">
        <v>0</v>
      </c>
      <c r="BD224" s="5" t="n">
        <v>0</v>
      </c>
      <c r="BE224" s="5" t="n">
        <v>0</v>
      </c>
      <c r="BF224" s="5" t="n">
        <v>0</v>
      </c>
      <c r="BG224" s="5" t="n">
        <v>0</v>
      </c>
      <c r="BH224" s="5" t="n">
        <v>0</v>
      </c>
      <c r="BI224" s="5" t="n">
        <v>0</v>
      </c>
      <c r="BJ224" s="5" t="n">
        <v>0</v>
      </c>
      <c r="BK224" s="5" t="n">
        <v>0</v>
      </c>
      <c r="BL224" s="5" t="n">
        <v>0</v>
      </c>
      <c r="BM224" s="5" t="n">
        <v>0</v>
      </c>
      <c r="BN224" s="5" t="n">
        <v>0</v>
      </c>
    </row>
    <row r="225" customFormat="false" ht="15" hidden="false" customHeight="false" outlineLevel="0" collapsed="false">
      <c r="D225" s="0" t="s">
        <v>336</v>
      </c>
      <c r="E225" s="0" t="s">
        <v>149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506.604780058454</v>
      </c>
      <c r="Q225" s="5" t="n">
        <v>494.213008227051</v>
      </c>
      <c r="R225" s="5" t="n">
        <v>481.296795172962</v>
      </c>
      <c r="S225" s="5" t="n">
        <v>467.74434610667</v>
      </c>
      <c r="T225" s="5" t="n">
        <v>453.792528291179</v>
      </c>
      <c r="U225" s="5" t="n">
        <v>439.198931855794</v>
      </c>
      <c r="V225" s="5" t="n">
        <v>424.13991993927</v>
      </c>
      <c r="W225" s="5" t="n">
        <v>408.097113413773</v>
      </c>
      <c r="X225" s="5" t="n">
        <v>391.563888138755</v>
      </c>
      <c r="Y225" s="5" t="n">
        <v>375.48958772209</v>
      </c>
      <c r="Z225" s="5" t="n">
        <v>359.407723551801</v>
      </c>
      <c r="AA225" s="5" t="n">
        <v>342.659620637583</v>
      </c>
      <c r="AB225" s="5" t="n">
        <v>325.42276609062</v>
      </c>
      <c r="AC225" s="5" t="n">
        <v>307.362433086384</v>
      </c>
      <c r="AD225" s="5" t="n">
        <v>288.703789130302</v>
      </c>
      <c r="AE225" s="5" t="n">
        <v>268.329911530774</v>
      </c>
      <c r="AF225" s="5" t="n">
        <v>247.080353683255</v>
      </c>
      <c r="AG225" s="5" t="n">
        <v>225.085323373733</v>
      </c>
      <c r="AH225" s="5" t="n">
        <v>202.679795057935</v>
      </c>
      <c r="AI225" s="5" t="n">
        <v>179.149474707469</v>
      </c>
      <c r="AJ225" s="5" t="n">
        <v>154.928244822126</v>
      </c>
      <c r="AK225" s="5" t="n">
        <v>129.537670554414</v>
      </c>
      <c r="AL225" s="5" t="n">
        <v>103.325248358431</v>
      </c>
      <c r="AM225" s="5" t="n">
        <v>75.5312011739189</v>
      </c>
      <c r="AN225" s="5" t="n">
        <v>47.1594556415751</v>
      </c>
      <c r="AO225" s="5" t="n">
        <v>23.7531023869967</v>
      </c>
      <c r="AP225" s="5" t="n">
        <v>0</v>
      </c>
      <c r="AQ225" s="5" t="n">
        <v>0</v>
      </c>
      <c r="AR225" s="5" t="n">
        <v>0</v>
      </c>
      <c r="AS225" s="5" t="n">
        <v>0</v>
      </c>
      <c r="AT225" s="5" t="n">
        <v>0</v>
      </c>
      <c r="AU225" s="5" t="n">
        <v>0</v>
      </c>
      <c r="AV225" s="5" t="n">
        <v>0</v>
      </c>
      <c r="AW225" s="5" t="n">
        <v>0</v>
      </c>
      <c r="AX225" s="5" t="n">
        <v>0</v>
      </c>
      <c r="AY225" s="5" t="n">
        <v>0</v>
      </c>
      <c r="AZ225" s="5" t="n">
        <v>0</v>
      </c>
      <c r="BA225" s="5" t="n">
        <v>0</v>
      </c>
      <c r="BB225" s="5" t="n">
        <v>0</v>
      </c>
      <c r="BC225" s="5" t="n">
        <v>0</v>
      </c>
      <c r="BD225" s="5" t="n">
        <v>0</v>
      </c>
      <c r="BE225" s="5" t="n">
        <v>0</v>
      </c>
      <c r="BF225" s="5" t="n">
        <v>0</v>
      </c>
      <c r="BG225" s="5" t="n">
        <v>0</v>
      </c>
      <c r="BH225" s="5" t="n">
        <v>0</v>
      </c>
      <c r="BI225" s="5" t="n">
        <v>0</v>
      </c>
      <c r="BJ225" s="5" t="n">
        <v>0</v>
      </c>
      <c r="BK225" s="5" t="n">
        <v>0</v>
      </c>
      <c r="BL225" s="5" t="n">
        <v>0</v>
      </c>
      <c r="BM225" s="5" t="n">
        <v>0</v>
      </c>
      <c r="BN225" s="5" t="n">
        <v>0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93.8</v>
      </c>
      <c r="K226" s="5" t="n">
        <v>92.9</v>
      </c>
      <c r="L226" s="5" t="n">
        <v>93.8</v>
      </c>
      <c r="M226" s="5" t="n">
        <v>90.6</v>
      </c>
      <c r="N226" s="5" t="n">
        <v>93.8</v>
      </c>
      <c r="O226" s="5" t="n">
        <v>92.9</v>
      </c>
      <c r="P226" s="5" t="n">
        <v>93.8</v>
      </c>
      <c r="Q226" s="5" t="n">
        <v>88.7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84</v>
      </c>
      <c r="R227" s="5" t="n">
        <v>81.5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 t="n">
        <v>0</v>
      </c>
      <c r="AL227" s="5" t="n">
        <v>0</v>
      </c>
      <c r="AM227" s="5" t="n">
        <v>0</v>
      </c>
      <c r="AN227" s="5" t="n">
        <v>0</v>
      </c>
      <c r="AO227" s="5" t="n">
        <v>0</v>
      </c>
      <c r="AP227" s="5" t="n">
        <v>0</v>
      </c>
      <c r="AQ227" s="5" t="n">
        <v>0</v>
      </c>
      <c r="AR227" s="5" t="n">
        <v>0</v>
      </c>
      <c r="AS227" s="5" t="n">
        <v>0</v>
      </c>
      <c r="AT227" s="5" t="n">
        <v>0</v>
      </c>
      <c r="AU227" s="5" t="n">
        <v>0</v>
      </c>
      <c r="AV227" s="5" t="n">
        <v>0</v>
      </c>
      <c r="AW227" s="5" t="n">
        <v>0</v>
      </c>
      <c r="AX227" s="5" t="n">
        <v>0</v>
      </c>
      <c r="AY227" s="5" t="n">
        <v>0</v>
      </c>
      <c r="AZ227" s="5" t="n">
        <v>0</v>
      </c>
      <c r="BA227" s="5" t="n">
        <v>0</v>
      </c>
      <c r="BB227" s="5" t="n">
        <v>0</v>
      </c>
      <c r="BC227" s="5" t="n">
        <v>0</v>
      </c>
      <c r="BD227" s="5" t="n">
        <v>0</v>
      </c>
      <c r="BE227" s="5" t="n">
        <v>0</v>
      </c>
      <c r="BF227" s="5" t="n">
        <v>0</v>
      </c>
      <c r="BG227" s="5" t="n">
        <v>0</v>
      </c>
      <c r="BH227" s="5" t="n">
        <v>0</v>
      </c>
      <c r="BI227" s="5" t="n">
        <v>0</v>
      </c>
      <c r="BJ227" s="5" t="n">
        <v>0</v>
      </c>
      <c r="BK227" s="5" t="n">
        <v>0</v>
      </c>
      <c r="BL227" s="5" t="n">
        <v>0</v>
      </c>
      <c r="BM227" s="5" t="n">
        <v>0</v>
      </c>
      <c r="BN227" s="5" t="n">
        <v>0</v>
      </c>
    </row>
    <row r="228" customFormat="false" ht="15" hidden="false" customHeight="false" outlineLevel="0" collapsed="false">
      <c r="B228" s="2" t="s">
        <v>339</v>
      </c>
    </row>
    <row r="229" customFormat="false" ht="15" hidden="false" customHeight="false" outlineLevel="0" collapsed="false">
      <c r="D229" s="0" t="s">
        <v>340</v>
      </c>
      <c r="E229" s="0" t="s">
        <v>103</v>
      </c>
      <c r="J229" s="5" t="n">
        <v>10</v>
      </c>
      <c r="K229" s="5" t="n">
        <v>0.0108</v>
      </c>
      <c r="L229" s="5" t="n">
        <v>0.1133</v>
      </c>
      <c r="M229" s="5" t="n">
        <v>0.3239</v>
      </c>
      <c r="N229" s="5" t="n">
        <v>0.6294</v>
      </c>
      <c r="O229" s="5" t="n">
        <v>1.0114</v>
      </c>
      <c r="P229" s="5" t="n">
        <v>1.4496</v>
      </c>
      <c r="Q229" s="5" t="n">
        <v>1.9236</v>
      </c>
      <c r="R229" s="5" t="n">
        <v>2.4133</v>
      </c>
      <c r="S229" s="5" t="n">
        <v>2.8999</v>
      </c>
      <c r="T229" s="5" t="n">
        <v>3.3659</v>
      </c>
      <c r="U229" s="5" t="n">
        <v>3.7957</v>
      </c>
      <c r="V229" s="5" t="n">
        <v>4.1755</v>
      </c>
      <c r="W229" s="5" t="n">
        <v>4.4935</v>
      </c>
      <c r="X229" s="5" t="n">
        <v>4.7405</v>
      </c>
      <c r="Y229" s="5" t="n">
        <v>4.9091</v>
      </c>
      <c r="Z229" s="5" t="n">
        <v>4.9946</v>
      </c>
      <c r="AA229" s="5" t="n">
        <v>4.9946</v>
      </c>
      <c r="AB229" s="5" t="n">
        <v>4.9091</v>
      </c>
      <c r="AC229" s="5" t="n">
        <v>4.7405</v>
      </c>
      <c r="AD229" s="5" t="n">
        <v>4.4935</v>
      </c>
      <c r="AE229" s="5" t="n">
        <v>4.1755</v>
      </c>
      <c r="AF229" s="5" t="n">
        <v>3.7957</v>
      </c>
      <c r="AG229" s="5" t="n">
        <v>3.3659</v>
      </c>
      <c r="AH229" s="5" t="n">
        <v>2.8999</v>
      </c>
      <c r="AI229" s="5" t="n">
        <v>2.4133</v>
      </c>
      <c r="AJ229" s="5" t="n">
        <v>1.9236</v>
      </c>
      <c r="AK229" s="5" t="n">
        <v>1.4496</v>
      </c>
      <c r="AL229" s="5" t="n">
        <v>1.0114</v>
      </c>
      <c r="AM229" s="5" t="n">
        <v>0.6294</v>
      </c>
      <c r="AN229" s="5" t="n">
        <v>0.3239</v>
      </c>
      <c r="AO229" s="5" t="n">
        <v>0.1133</v>
      </c>
      <c r="AP229" s="5" t="n">
        <v>7.5108</v>
      </c>
    </row>
    <row r="230" customFormat="false" ht="15" hidden="false" customHeight="false" outlineLevel="0" collapsed="false">
      <c r="D230" s="0" t="s">
        <v>341</v>
      </c>
      <c r="E230" s="0" t="s">
        <v>103</v>
      </c>
      <c r="J230" s="5" t="n">
        <v>10</v>
      </c>
      <c r="K230" s="5" t="n">
        <v>0.0102</v>
      </c>
      <c r="L230" s="5" t="n">
        <v>0.0868</v>
      </c>
      <c r="M230" s="5" t="n">
        <v>0.2284</v>
      </c>
      <c r="N230" s="5" t="n">
        <v>0.4235</v>
      </c>
      <c r="O230" s="5" t="n">
        <v>0.6612</v>
      </c>
      <c r="P230" s="5" t="n">
        <v>0.9313</v>
      </c>
      <c r="Q230" s="5" t="n">
        <v>1.2242</v>
      </c>
      <c r="R230" s="5" t="n">
        <v>1.5311</v>
      </c>
      <c r="S230" s="5" t="n">
        <v>1.8437</v>
      </c>
      <c r="T230" s="5" t="n">
        <v>2.1545</v>
      </c>
      <c r="U230" s="5" t="n">
        <v>2.4565</v>
      </c>
      <c r="V230" s="5" t="n">
        <v>2.7436</v>
      </c>
      <c r="W230" s="5" t="n">
        <v>3.01</v>
      </c>
      <c r="X230" s="5" t="n">
        <v>3.2509</v>
      </c>
      <c r="Y230" s="5" t="n">
        <v>3.4619</v>
      </c>
      <c r="Z230" s="5" t="n">
        <v>3.6396</v>
      </c>
      <c r="AA230" s="5" t="n">
        <v>3.7808</v>
      </c>
      <c r="AB230" s="5" t="n">
        <v>3.8833</v>
      </c>
      <c r="AC230" s="5" t="n">
        <v>3.9455</v>
      </c>
      <c r="AD230" s="5" t="n">
        <v>3.966</v>
      </c>
      <c r="AE230" s="5" t="n">
        <v>3.9455</v>
      </c>
      <c r="AF230" s="5" t="n">
        <v>3.8833</v>
      </c>
      <c r="AG230" s="5" t="n">
        <v>3.7808</v>
      </c>
      <c r="AH230" s="5" t="n">
        <v>3.6396</v>
      </c>
      <c r="AI230" s="5" t="n">
        <v>3.4619</v>
      </c>
      <c r="AJ230" s="5" t="n">
        <v>3.2509</v>
      </c>
      <c r="AK230" s="5" t="n">
        <v>3.01</v>
      </c>
      <c r="AL230" s="5" t="n">
        <v>2.7436</v>
      </c>
      <c r="AM230" s="5" t="n">
        <v>2.4565</v>
      </c>
      <c r="AN230" s="5" t="n">
        <v>2.1545</v>
      </c>
      <c r="AO230" s="5" t="n">
        <v>1.8437</v>
      </c>
      <c r="AP230" s="5" t="n">
        <v>1.5311</v>
      </c>
      <c r="AQ230" s="5" t="n">
        <v>1.2242</v>
      </c>
      <c r="AR230" s="5" t="n">
        <v>0.9313</v>
      </c>
      <c r="AS230" s="5" t="n">
        <v>0.6612</v>
      </c>
      <c r="AT230" s="5" t="n">
        <v>0.4235</v>
      </c>
      <c r="AU230" s="5" t="n">
        <v>0.2284</v>
      </c>
      <c r="AV230" s="5" t="n">
        <v>0.0868</v>
      </c>
      <c r="AW230" s="5" t="n">
        <v>7.5102</v>
      </c>
    </row>
    <row r="231" customFormat="false" ht="15" hidden="false" customHeight="false" outlineLevel="0" collapsed="false">
      <c r="D231" s="0" t="s">
        <v>342</v>
      </c>
      <c r="E231" s="0" t="s">
        <v>103</v>
      </c>
      <c r="J231" s="5" t="n">
        <v>12</v>
      </c>
      <c r="K231" s="5" t="n">
        <v>2.75</v>
      </c>
      <c r="L231" s="5" t="n">
        <v>2.75</v>
      </c>
      <c r="M231" s="5" t="n">
        <v>2.75</v>
      </c>
      <c r="N231" s="5" t="n">
        <v>2.75</v>
      </c>
      <c r="O231" s="5" t="n">
        <v>2.75</v>
      </c>
      <c r="P231" s="5" t="n">
        <v>2.75</v>
      </c>
      <c r="Q231" s="5" t="n">
        <v>2.75</v>
      </c>
      <c r="R231" s="5" t="n">
        <v>2.75</v>
      </c>
      <c r="S231" s="5" t="n">
        <v>2.75</v>
      </c>
      <c r="T231" s="5" t="n">
        <v>2.75</v>
      </c>
      <c r="U231" s="5" t="n">
        <v>2.75</v>
      </c>
      <c r="V231" s="5" t="n">
        <v>2.75</v>
      </c>
      <c r="W231" s="5" t="n">
        <v>2.75</v>
      </c>
      <c r="X231" s="5" t="n">
        <v>2.75</v>
      </c>
      <c r="Y231" s="5" t="n">
        <v>2.75</v>
      </c>
      <c r="Z231" s="5" t="n">
        <v>2.75</v>
      </c>
      <c r="AA231" s="5" t="n">
        <v>2.75</v>
      </c>
      <c r="AB231" s="5" t="n">
        <v>2.75</v>
      </c>
      <c r="AC231" s="5" t="n">
        <v>2.75</v>
      </c>
      <c r="AD231" s="5" t="n">
        <v>2.75</v>
      </c>
      <c r="AE231" s="5" t="n">
        <v>2.75</v>
      </c>
      <c r="AF231" s="5" t="n">
        <v>2.75</v>
      </c>
      <c r="AG231" s="5" t="n">
        <v>2.75</v>
      </c>
      <c r="AH231" s="5" t="n">
        <v>2.75</v>
      </c>
      <c r="AI231" s="5" t="n">
        <v>2.75</v>
      </c>
      <c r="AJ231" s="5" t="n">
        <v>2.75</v>
      </c>
      <c r="AK231" s="5" t="n">
        <v>2.75</v>
      </c>
      <c r="AL231" s="5" t="n">
        <v>2.75</v>
      </c>
      <c r="AM231" s="5" t="n">
        <v>2.75</v>
      </c>
      <c r="AN231" s="5" t="n">
        <v>2.75</v>
      </c>
      <c r="AO231" s="5" t="n">
        <v>2.75</v>
      </c>
      <c r="AP231" s="5" t="n">
        <v>2.75</v>
      </c>
    </row>
    <row r="232" customFormat="false" ht="15" hidden="false" customHeight="false" outlineLevel="0" collapsed="false">
      <c r="D232" s="0" t="s">
        <v>343</v>
      </c>
      <c r="E232" s="0" t="s">
        <v>149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0</v>
      </c>
      <c r="AC232" s="5" t="n">
        <v>0</v>
      </c>
      <c r="AD232" s="5" t="n">
        <v>0.3425</v>
      </c>
      <c r="AE232" s="5" t="n">
        <v>0.3425</v>
      </c>
      <c r="AF232" s="5" t="n">
        <v>0.3425</v>
      </c>
      <c r="AG232" s="5" t="n">
        <v>0.3425</v>
      </c>
      <c r="AH232" s="5" t="n">
        <v>0.3425</v>
      </c>
      <c r="AI232" s="5" t="n">
        <v>0.3425</v>
      </c>
      <c r="AJ232" s="5" t="n">
        <v>1.90916666666667</v>
      </c>
      <c r="AK232" s="5" t="n">
        <v>1.90916666666667</v>
      </c>
      <c r="AL232" s="5" t="n">
        <v>1.90916666666667</v>
      </c>
      <c r="AM232" s="5" t="n">
        <v>2.45416666666667</v>
      </c>
      <c r="AN232" s="5" t="n">
        <v>2.45416666666667</v>
      </c>
      <c r="AO232" s="5" t="n">
        <v>2.45416666666667</v>
      </c>
      <c r="AP232" s="5" t="n">
        <v>0.545</v>
      </c>
      <c r="AQ232" s="5" t="n">
        <v>2.08785714285714</v>
      </c>
      <c r="AR232" s="5" t="n">
        <v>0.667857142857143</v>
      </c>
      <c r="AS232" s="5" t="n">
        <v>1.12285714285714</v>
      </c>
      <c r="AT232" s="5" t="n">
        <v>0.122857142857143</v>
      </c>
      <c r="AU232" s="5" t="n">
        <v>2.76285714285714</v>
      </c>
      <c r="AV232" s="5" t="n">
        <v>0.807857142857143</v>
      </c>
      <c r="AW232" s="5" t="n">
        <v>9.07785714285714</v>
      </c>
      <c r="AX232" s="5" t="n">
        <v>0</v>
      </c>
      <c r="AY232" s="5" t="n">
        <v>0</v>
      </c>
      <c r="AZ232" s="5" t="n">
        <v>0</v>
      </c>
      <c r="BA232" s="5" t="n">
        <v>0</v>
      </c>
      <c r="BB232" s="5" t="n">
        <v>0</v>
      </c>
      <c r="BC232" s="5" t="n">
        <v>0</v>
      </c>
      <c r="BD232" s="5" t="n">
        <v>0</v>
      </c>
      <c r="BE232" s="5" t="n">
        <v>0</v>
      </c>
      <c r="BF232" s="5" t="n">
        <v>0</v>
      </c>
      <c r="BG232" s="5" t="n">
        <v>0</v>
      </c>
      <c r="BH232" s="5" t="n">
        <v>0</v>
      </c>
      <c r="BI232" s="5" t="n">
        <v>0</v>
      </c>
      <c r="BJ232" s="5" t="n">
        <v>0</v>
      </c>
    </row>
    <row r="233" customFormat="false" ht="15" hidden="false" customHeight="false" outlineLevel="0" collapsed="false">
      <c r="D233" s="0" t="s">
        <v>344</v>
      </c>
      <c r="E233" s="0" t="s">
        <v>149</v>
      </c>
      <c r="J233" s="5" t="n">
        <v>0</v>
      </c>
      <c r="K233" s="5" t="n">
        <v>72.038294745219</v>
      </c>
      <c r="L233" s="5" t="n">
        <v>73.5188727634301</v>
      </c>
      <c r="M233" s="5" t="n">
        <v>75.4061755390283</v>
      </c>
      <c r="N233" s="5" t="n">
        <v>78.0742147371756</v>
      </c>
      <c r="O233" s="5" t="n">
        <v>81.9159930804807</v>
      </c>
      <c r="P233" s="5" t="n">
        <v>87.2100026806785</v>
      </c>
      <c r="Q233" s="5" t="n">
        <v>94.1161870320207</v>
      </c>
      <c r="R233" s="5" t="n">
        <v>102.882341590788</v>
      </c>
      <c r="S233" s="5" t="n">
        <v>113.502241333422</v>
      </c>
      <c r="T233" s="5" t="n">
        <v>126.009719559759</v>
      </c>
      <c r="U233" s="5" t="n">
        <v>140.283618220881</v>
      </c>
      <c r="V233" s="5" t="n">
        <v>156.251143836047</v>
      </c>
      <c r="W233" s="5" t="n">
        <v>173.70770245687</v>
      </c>
      <c r="X233" s="5" t="n">
        <v>192.40256095453</v>
      </c>
      <c r="Y233" s="5" t="n">
        <v>212.12249619229</v>
      </c>
      <c r="Z233" s="5" t="n">
        <v>232.524998799284</v>
      </c>
      <c r="AA233" s="5" t="n">
        <v>253.355055082995</v>
      </c>
      <c r="AB233" s="5" t="n">
        <v>274.962511213658</v>
      </c>
      <c r="AC233" s="5" t="n">
        <v>295.573347969675</v>
      </c>
      <c r="AD233" s="5" t="n">
        <v>315.694288641713</v>
      </c>
      <c r="AE233" s="5" t="n">
        <v>334.928570701731</v>
      </c>
      <c r="AF233" s="5" t="n">
        <v>353.076211300926</v>
      </c>
      <c r="AG233" s="5" t="n">
        <v>369.827085578369</v>
      </c>
      <c r="AH233" s="5" t="n">
        <v>385.065863152433</v>
      </c>
      <c r="AI233" s="5" t="n">
        <v>398.61005725205</v>
      </c>
      <c r="AJ233" s="5" t="n">
        <v>410.334188843346</v>
      </c>
      <c r="AK233" s="5" t="n">
        <v>420.301584953568</v>
      </c>
      <c r="AL233" s="5" t="n">
        <v>428.480478068478</v>
      </c>
      <c r="AM233" s="5" t="n">
        <v>435.083252022206</v>
      </c>
      <c r="AN233" s="5" t="n">
        <v>440.274336168893</v>
      </c>
      <c r="AO233" s="5" t="n">
        <v>444.202704163639</v>
      </c>
      <c r="AP233" s="5" t="n">
        <v>447.481635057216</v>
      </c>
      <c r="AQ233" s="5" t="n">
        <v>479.624991969377</v>
      </c>
      <c r="AR233" s="5" t="n">
        <v>504.400258343845</v>
      </c>
      <c r="AS233" s="5" t="n">
        <v>0</v>
      </c>
      <c r="AT233" s="5" t="n">
        <v>0</v>
      </c>
      <c r="AU233" s="5" t="n">
        <v>0</v>
      </c>
      <c r="AV233" s="5" t="n">
        <v>0</v>
      </c>
      <c r="AW233" s="5" t="n">
        <v>0</v>
      </c>
      <c r="AX233" s="5" t="n">
        <v>0</v>
      </c>
      <c r="AY233" s="5" t="n">
        <v>0</v>
      </c>
      <c r="AZ233" s="5" t="n">
        <v>0</v>
      </c>
      <c r="BA233" s="5" t="n">
        <v>0</v>
      </c>
      <c r="BB233" s="5" t="n">
        <v>0</v>
      </c>
      <c r="BC233" s="5" t="n">
        <v>0</v>
      </c>
      <c r="BD233" s="5" t="n">
        <v>0</v>
      </c>
      <c r="BE233" s="5" t="n">
        <v>0</v>
      </c>
      <c r="BF233" s="5" t="n">
        <v>0</v>
      </c>
      <c r="BG233" s="5" t="n">
        <v>0</v>
      </c>
      <c r="BH233" s="5" t="n">
        <v>0</v>
      </c>
      <c r="BI233" s="5" t="n">
        <v>0</v>
      </c>
      <c r="BJ233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347</v>
      </c>
    </row>
    <row r="8" customFormat="false" ht="15" hidden="false" customHeight="false" outlineLevel="0" collapsed="false">
      <c r="D8" s="0" t="s">
        <v>348</v>
      </c>
      <c r="E8" s="0" t="s">
        <v>349</v>
      </c>
      <c r="F8" s="8" t="n">
        <f aca="false">IF(Inputs!$F$34=2,DATE(2021,12,1),EDATE(DATE(2021,5,1),Inputs!$F$35))</f>
        <v>44501</v>
      </c>
    </row>
    <row r="9" customFormat="false" ht="15" hidden="false" customHeight="false" outlineLevel="0" collapsed="false">
      <c r="D9" s="0" t="s">
        <v>350</v>
      </c>
      <c r="E9" s="0" t="s">
        <v>349</v>
      </c>
      <c r="F9" s="8" t="n">
        <f aca="false">EDATE(Time!$F$8,300)-1</f>
        <v>53631</v>
      </c>
    </row>
    <row r="10" customFormat="false" ht="15" hidden="false" customHeight="false" outlineLevel="0" collapsed="false">
      <c r="D10" s="0" t="s">
        <v>351</v>
      </c>
      <c r="E10" s="0" t="s">
        <v>97</v>
      </c>
      <c r="F10" s="9" t="n">
        <f aca="false">(YEAR(Time!$F$8)-2018)*12+MONTH(Time!$F$8)-8</f>
        <v>39</v>
      </c>
    </row>
    <row r="11" customFormat="false" ht="15" hidden="false" customHeight="false" outlineLevel="0" collapsed="false">
      <c r="D11" s="0" t="s">
        <v>352</v>
      </c>
      <c r="E11" s="0" t="s">
        <v>91</v>
      </c>
      <c r="F11" s="9" t="n">
        <f aca="false">(YEAR(Time!$F$8)-2018)*2+IF(MONTH(Time!$F$8)&lt;=6,0,1)</f>
        <v>7</v>
      </c>
    </row>
    <row r="12" customFormat="false" ht="15" hidden="false" customHeight="false" outlineLevel="0" collapsed="false">
      <c r="D12" s="0" t="s">
        <v>353</v>
      </c>
      <c r="E12" s="0" t="s">
        <v>91</v>
      </c>
      <c r="F12" s="9" t="n">
        <f aca="false">Time!$F$11+1</f>
        <v>8</v>
      </c>
    </row>
    <row r="13" customFormat="false" ht="15" hidden="false" customHeight="false" outlineLevel="0" collapsed="false">
      <c r="D13" s="0" t="s">
        <v>354</v>
      </c>
      <c r="E13" s="0" t="s">
        <v>91</v>
      </c>
      <c r="F13" s="9" t="n">
        <f aca="false">(YEAR(Time!$F$8)-2018)*12+IF(MONTH(Time!$F$8)&lt;=6,6,12)-7</f>
        <v>41</v>
      </c>
    </row>
    <row r="14" customFormat="false" ht="15" hidden="false" customHeight="false" outlineLevel="0" collapsed="false">
      <c r="D14" s="0" t="s">
        <v>355</v>
      </c>
      <c r="E14" s="0" t="s">
        <v>91</v>
      </c>
      <c r="F14" s="9" t="n">
        <f aca="false">SUMPRODUCT($J$32:$BN$32,$J$17:$BN$17)</f>
        <v>57</v>
      </c>
    </row>
    <row r="15" customFormat="false" ht="15" hidden="false" customHeight="false" outlineLevel="0" collapsed="false">
      <c r="D15" s="0" t="s">
        <v>356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357</v>
      </c>
    </row>
    <row r="17" customFormat="false" ht="15" hidden="false" customHeight="false" outlineLevel="0" collapsed="false">
      <c r="D17" s="0" t="s">
        <v>358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359</v>
      </c>
      <c r="E18" s="0" t="s">
        <v>349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360</v>
      </c>
      <c r="E19" s="0" t="s">
        <v>349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361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316</v>
      </c>
      <c r="E21" s="0" t="s">
        <v>317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362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363</v>
      </c>
      <c r="E23" s="0" t="s">
        <v>349</v>
      </c>
      <c r="J23" s="8" t="n">
        <f aca="false">MAX(J18,$F$8)</f>
        <v>44501</v>
      </c>
      <c r="K23" s="8" t="n">
        <f aca="false">MAX(K18,$F$8)</f>
        <v>44501</v>
      </c>
      <c r="L23" s="8" t="n">
        <f aca="false">MAX(L18,$F$8)</f>
        <v>44501</v>
      </c>
      <c r="M23" s="8" t="n">
        <f aca="false">MAX(M18,$F$8)</f>
        <v>44501</v>
      </c>
      <c r="N23" s="8" t="n">
        <f aca="false">MAX(N18,$F$8)</f>
        <v>44501</v>
      </c>
      <c r="O23" s="8" t="n">
        <f aca="false">MAX(O18,$F$8)</f>
        <v>44501</v>
      </c>
      <c r="P23" s="8" t="n">
        <f aca="false">MAX(P18,$F$8)</f>
        <v>44501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364</v>
      </c>
      <c r="E24" s="0" t="s">
        <v>349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53508</v>
      </c>
      <c r="BN24" s="8" t="n">
        <f aca="false">MIN(BN19,$F$9)</f>
        <v>53631</v>
      </c>
    </row>
    <row r="25" customFormat="false" ht="15" hidden="false" customHeight="false" outlineLevel="0" collapsed="false">
      <c r="D25" s="0" t="s">
        <v>365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0</v>
      </c>
      <c r="P25" s="9" t="n">
        <f aca="false">IF(P24&gt;=P23,(YEAR(P24)-YEAR(P23))*12+MONTH(P24)-MONTH(P23)+1,0)</f>
        <v>2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6</v>
      </c>
      <c r="BN25" s="9" t="n">
        <f aca="false">IF(BN24&gt;=BN23,(YEAR(BN24)-YEAR(BN23))*12+MONTH(BN24)-MONTH(BN23)+1,0)</f>
        <v>4</v>
      </c>
    </row>
    <row r="26" customFormat="false" ht="15" hidden="false" customHeight="false" outlineLevel="0" collapsed="false">
      <c r="D26" s="0" t="s">
        <v>366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0</v>
      </c>
      <c r="P26" s="9" t="n">
        <f aca="false">IF(P24&gt;=P23,P24-P23+1,0)</f>
        <v>61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181</v>
      </c>
      <c r="BN26" s="9" t="n">
        <f aca="false">IF(BN24&gt;=BN23,BN24-BN23+1,0)</f>
        <v>123</v>
      </c>
    </row>
    <row r="27" customFormat="false" ht="15" hidden="false" customHeight="false" outlineLevel="0" collapsed="false">
      <c r="D27" s="0" t="s">
        <v>367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0</v>
      </c>
      <c r="Q27" s="9" t="n">
        <f aca="false">MIN(MAX((YEAR(Q18)-YEAR($F$8))*12+MONTH(Q18)-MONTH($F$8),0),300)</f>
        <v>2</v>
      </c>
      <c r="R27" s="9" t="n">
        <f aca="false">MIN(MAX((YEAR(R18)-YEAR($F$8))*12+MONTH(R18)-MONTH($F$8),0),300)</f>
        <v>8</v>
      </c>
      <c r="S27" s="9" t="n">
        <f aca="false">MIN(MAX((YEAR(S18)-YEAR($F$8))*12+MONTH(S18)-MONTH($F$8),0),300)</f>
        <v>14</v>
      </c>
      <c r="T27" s="9" t="n">
        <f aca="false">MIN(MAX((YEAR(T18)-YEAR($F$8))*12+MONTH(T18)-MONTH($F$8),0),300)</f>
        <v>20</v>
      </c>
      <c r="U27" s="9" t="n">
        <f aca="false">MIN(MAX((YEAR(U18)-YEAR($F$8))*12+MONTH(U18)-MONTH($F$8),0),300)</f>
        <v>26</v>
      </c>
      <c r="V27" s="9" t="n">
        <f aca="false">MIN(MAX((YEAR(V18)-YEAR($F$8))*12+MONTH(V18)-MONTH($F$8),0),300)</f>
        <v>32</v>
      </c>
      <c r="W27" s="9" t="n">
        <f aca="false">MIN(MAX((YEAR(W18)-YEAR($F$8))*12+MONTH(W18)-MONTH($F$8),0),300)</f>
        <v>38</v>
      </c>
      <c r="X27" s="9" t="n">
        <f aca="false">MIN(MAX((YEAR(X18)-YEAR($F$8))*12+MONTH(X18)-MONTH($F$8),0),300)</f>
        <v>44</v>
      </c>
      <c r="Y27" s="9" t="n">
        <f aca="false">MIN(MAX((YEAR(Y18)-YEAR($F$8))*12+MONTH(Y18)-MONTH($F$8),0),300)</f>
        <v>50</v>
      </c>
      <c r="Z27" s="9" t="n">
        <f aca="false">MIN(MAX((YEAR(Z18)-YEAR($F$8))*12+MONTH(Z18)-MONTH($F$8),0),300)</f>
        <v>56</v>
      </c>
      <c r="AA27" s="9" t="n">
        <f aca="false">MIN(MAX((YEAR(AA18)-YEAR($F$8))*12+MONTH(AA18)-MONTH($F$8),0),300)</f>
        <v>62</v>
      </c>
      <c r="AB27" s="9" t="n">
        <f aca="false">MIN(MAX((YEAR(AB18)-YEAR($F$8))*12+MONTH(AB18)-MONTH($F$8),0),300)</f>
        <v>68</v>
      </c>
      <c r="AC27" s="9" t="n">
        <f aca="false">MIN(MAX((YEAR(AC18)-YEAR($F$8))*12+MONTH(AC18)-MONTH($F$8),0),300)</f>
        <v>74</v>
      </c>
      <c r="AD27" s="9" t="n">
        <f aca="false">MIN(MAX((YEAR(AD18)-YEAR($F$8))*12+MONTH(AD18)-MONTH($F$8),0),300)</f>
        <v>80</v>
      </c>
      <c r="AE27" s="9" t="n">
        <f aca="false">MIN(MAX((YEAR(AE18)-YEAR($F$8))*12+MONTH(AE18)-MONTH($F$8),0),300)</f>
        <v>86</v>
      </c>
      <c r="AF27" s="9" t="n">
        <f aca="false">MIN(MAX((YEAR(AF18)-YEAR($F$8))*12+MONTH(AF18)-MONTH($F$8),0),300)</f>
        <v>92</v>
      </c>
      <c r="AG27" s="9" t="n">
        <f aca="false">MIN(MAX((YEAR(AG18)-YEAR($F$8))*12+MONTH(AG18)-MONTH($F$8),0),300)</f>
        <v>98</v>
      </c>
      <c r="AH27" s="9" t="n">
        <f aca="false">MIN(MAX((YEAR(AH18)-YEAR($F$8))*12+MONTH(AH18)-MONTH($F$8),0),300)</f>
        <v>104</v>
      </c>
      <c r="AI27" s="9" t="n">
        <f aca="false">MIN(MAX((YEAR(AI18)-YEAR($F$8))*12+MONTH(AI18)-MONTH($F$8),0),300)</f>
        <v>110</v>
      </c>
      <c r="AJ27" s="9" t="n">
        <f aca="false">MIN(MAX((YEAR(AJ18)-YEAR($F$8))*12+MONTH(AJ18)-MONTH($F$8),0),300)</f>
        <v>116</v>
      </c>
      <c r="AK27" s="9" t="n">
        <f aca="false">MIN(MAX((YEAR(AK18)-YEAR($F$8))*12+MONTH(AK18)-MONTH($F$8),0),300)</f>
        <v>122</v>
      </c>
      <c r="AL27" s="9" t="n">
        <f aca="false">MIN(MAX((YEAR(AL18)-YEAR($F$8))*12+MONTH(AL18)-MONTH($F$8),0),300)</f>
        <v>128</v>
      </c>
      <c r="AM27" s="9" t="n">
        <f aca="false">MIN(MAX((YEAR(AM18)-YEAR($F$8))*12+MONTH(AM18)-MONTH($F$8),0),300)</f>
        <v>134</v>
      </c>
      <c r="AN27" s="9" t="n">
        <f aca="false">MIN(MAX((YEAR(AN18)-YEAR($F$8))*12+MONTH(AN18)-MONTH($F$8),0),300)</f>
        <v>140</v>
      </c>
      <c r="AO27" s="9" t="n">
        <f aca="false">MIN(MAX((YEAR(AO18)-YEAR($F$8))*12+MONTH(AO18)-MONTH($F$8),0),300)</f>
        <v>146</v>
      </c>
      <c r="AP27" s="9" t="n">
        <f aca="false">MIN(MAX((YEAR(AP18)-YEAR($F$8))*12+MONTH(AP18)-MONTH($F$8),0),300)</f>
        <v>152</v>
      </c>
      <c r="AQ27" s="9" t="n">
        <f aca="false">MIN(MAX((YEAR(AQ18)-YEAR($F$8))*12+MONTH(AQ18)-MONTH($F$8),0),300)</f>
        <v>158</v>
      </c>
      <c r="AR27" s="9" t="n">
        <f aca="false">MIN(MAX((YEAR(AR18)-YEAR($F$8))*12+MONTH(AR18)-MONTH($F$8),0),300)</f>
        <v>164</v>
      </c>
      <c r="AS27" s="9" t="n">
        <f aca="false">MIN(MAX((YEAR(AS18)-YEAR($F$8))*12+MONTH(AS18)-MONTH($F$8),0),300)</f>
        <v>170</v>
      </c>
      <c r="AT27" s="9" t="n">
        <f aca="false">MIN(MAX((YEAR(AT18)-YEAR($F$8))*12+MONTH(AT18)-MONTH($F$8),0),300)</f>
        <v>176</v>
      </c>
      <c r="AU27" s="9" t="n">
        <f aca="false">MIN(MAX((YEAR(AU18)-YEAR($F$8))*12+MONTH(AU18)-MONTH($F$8),0),300)</f>
        <v>182</v>
      </c>
      <c r="AV27" s="9" t="n">
        <f aca="false">MIN(MAX((YEAR(AV18)-YEAR($F$8))*12+MONTH(AV18)-MONTH($F$8),0),300)</f>
        <v>188</v>
      </c>
      <c r="AW27" s="9" t="n">
        <f aca="false">MIN(MAX((YEAR(AW18)-YEAR($F$8))*12+MONTH(AW18)-MONTH($F$8),0),300)</f>
        <v>194</v>
      </c>
      <c r="AX27" s="9" t="n">
        <f aca="false">MIN(MAX((YEAR(AX18)-YEAR($F$8))*12+MONTH(AX18)-MONTH($F$8),0),300)</f>
        <v>200</v>
      </c>
      <c r="AY27" s="9" t="n">
        <f aca="false">MIN(MAX((YEAR(AY18)-YEAR($F$8))*12+MONTH(AY18)-MONTH($F$8),0),300)</f>
        <v>206</v>
      </c>
      <c r="AZ27" s="9" t="n">
        <f aca="false">MIN(MAX((YEAR(AZ18)-YEAR($F$8))*12+MONTH(AZ18)-MONTH($F$8),0),300)</f>
        <v>212</v>
      </c>
      <c r="BA27" s="9" t="n">
        <f aca="false">MIN(MAX((YEAR(BA18)-YEAR($F$8))*12+MONTH(BA18)-MONTH($F$8),0),300)</f>
        <v>218</v>
      </c>
      <c r="BB27" s="9" t="n">
        <f aca="false">MIN(MAX((YEAR(BB18)-YEAR($F$8))*12+MONTH(BB18)-MONTH($F$8),0),300)</f>
        <v>224</v>
      </c>
      <c r="BC27" s="9" t="n">
        <f aca="false">MIN(MAX((YEAR(BC18)-YEAR($F$8))*12+MONTH(BC18)-MONTH($F$8),0),300)</f>
        <v>230</v>
      </c>
      <c r="BD27" s="9" t="n">
        <f aca="false">MIN(MAX((YEAR(BD18)-YEAR($F$8))*12+MONTH(BD18)-MONTH($F$8),0),300)</f>
        <v>236</v>
      </c>
      <c r="BE27" s="9" t="n">
        <f aca="false">MIN(MAX((YEAR(BE18)-YEAR($F$8))*12+MONTH(BE18)-MONTH($F$8),0),300)</f>
        <v>242</v>
      </c>
      <c r="BF27" s="9" t="n">
        <f aca="false">MIN(MAX((YEAR(BF18)-YEAR($F$8))*12+MONTH(BF18)-MONTH($F$8),0),300)</f>
        <v>248</v>
      </c>
      <c r="BG27" s="9" t="n">
        <f aca="false">MIN(MAX((YEAR(BG18)-YEAR($F$8))*12+MONTH(BG18)-MONTH($F$8),0),300)</f>
        <v>254</v>
      </c>
      <c r="BH27" s="9" t="n">
        <f aca="false">MIN(MAX((YEAR(BH18)-YEAR($F$8))*12+MONTH(BH18)-MONTH($F$8),0),300)</f>
        <v>260</v>
      </c>
      <c r="BI27" s="9" t="n">
        <f aca="false">MIN(MAX((YEAR(BI18)-YEAR($F$8))*12+MONTH(BI18)-MONTH($F$8),0),300)</f>
        <v>266</v>
      </c>
      <c r="BJ27" s="9" t="n">
        <f aca="false">MIN(MAX((YEAR(BJ18)-YEAR($F$8))*12+MONTH(BJ18)-MONTH($F$8),0),300)</f>
        <v>272</v>
      </c>
      <c r="BK27" s="9" t="n">
        <f aca="false">MIN(MAX((YEAR(BK18)-YEAR($F$8))*12+MONTH(BK18)-MONTH($F$8),0),300)</f>
        <v>278</v>
      </c>
      <c r="BL27" s="9" t="n">
        <f aca="false">MIN(MAX((YEAR(BL18)-YEAR($F$8))*12+MONTH(BL18)-MONTH($F$8),0),300)</f>
        <v>284</v>
      </c>
      <c r="BM27" s="9" t="n">
        <f aca="false">MIN(MAX((YEAR(BM18)-YEAR($F$8))*12+MONTH(BM18)-MONTH($F$8),0),300)</f>
        <v>290</v>
      </c>
      <c r="BN27" s="9" t="n">
        <f aca="false">MIN(MAX((YEAR(BN18)-YEAR($F$8))*12+MONTH(BN18)-MONTH($F$8),0),300)</f>
        <v>296</v>
      </c>
    </row>
    <row r="28" customFormat="false" ht="15" hidden="false" customHeight="false" outlineLevel="0" collapsed="false">
      <c r="D28" s="0" t="s">
        <v>368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0</v>
      </c>
      <c r="P28" s="9" t="n">
        <f aca="false">P27+P25</f>
        <v>2</v>
      </c>
      <c r="Q28" s="9" t="n">
        <f aca="false">Q27+Q25</f>
        <v>8</v>
      </c>
      <c r="R28" s="9" t="n">
        <f aca="false">R27+R25</f>
        <v>14</v>
      </c>
      <c r="S28" s="9" t="n">
        <f aca="false">S27+S25</f>
        <v>20</v>
      </c>
      <c r="T28" s="9" t="n">
        <f aca="false">T27+T25</f>
        <v>26</v>
      </c>
      <c r="U28" s="9" t="n">
        <f aca="false">U27+U25</f>
        <v>32</v>
      </c>
      <c r="V28" s="9" t="n">
        <f aca="false">V27+V25</f>
        <v>38</v>
      </c>
      <c r="W28" s="9" t="n">
        <f aca="false">W27+W25</f>
        <v>44</v>
      </c>
      <c r="X28" s="9" t="n">
        <f aca="false">X27+X25</f>
        <v>50</v>
      </c>
      <c r="Y28" s="9" t="n">
        <f aca="false">Y27+Y25</f>
        <v>56</v>
      </c>
      <c r="Z28" s="9" t="n">
        <f aca="false">Z27+Z25</f>
        <v>62</v>
      </c>
      <c r="AA28" s="9" t="n">
        <f aca="false">AA27+AA25</f>
        <v>68</v>
      </c>
      <c r="AB28" s="9" t="n">
        <f aca="false">AB27+AB25</f>
        <v>74</v>
      </c>
      <c r="AC28" s="9" t="n">
        <f aca="false">AC27+AC25</f>
        <v>80</v>
      </c>
      <c r="AD28" s="9" t="n">
        <f aca="false">AD27+AD25</f>
        <v>86</v>
      </c>
      <c r="AE28" s="9" t="n">
        <f aca="false">AE27+AE25</f>
        <v>92</v>
      </c>
      <c r="AF28" s="9" t="n">
        <f aca="false">AF27+AF25</f>
        <v>98</v>
      </c>
      <c r="AG28" s="9" t="n">
        <f aca="false">AG27+AG25</f>
        <v>104</v>
      </c>
      <c r="AH28" s="9" t="n">
        <f aca="false">AH27+AH25</f>
        <v>110</v>
      </c>
      <c r="AI28" s="9" t="n">
        <f aca="false">AI27+AI25</f>
        <v>116</v>
      </c>
      <c r="AJ28" s="9" t="n">
        <f aca="false">AJ27+AJ25</f>
        <v>122</v>
      </c>
      <c r="AK28" s="9" t="n">
        <f aca="false">AK27+AK25</f>
        <v>128</v>
      </c>
      <c r="AL28" s="9" t="n">
        <f aca="false">AL27+AL25</f>
        <v>134</v>
      </c>
      <c r="AM28" s="9" t="n">
        <f aca="false">AM27+AM25</f>
        <v>140</v>
      </c>
      <c r="AN28" s="9" t="n">
        <f aca="false">AN27+AN25</f>
        <v>146</v>
      </c>
      <c r="AO28" s="9" t="n">
        <f aca="false">AO27+AO25</f>
        <v>152</v>
      </c>
      <c r="AP28" s="9" t="n">
        <f aca="false">AP27+AP25</f>
        <v>158</v>
      </c>
      <c r="AQ28" s="9" t="n">
        <f aca="false">AQ27+AQ25</f>
        <v>164</v>
      </c>
      <c r="AR28" s="9" t="n">
        <f aca="false">AR27+AR25</f>
        <v>170</v>
      </c>
      <c r="AS28" s="9" t="n">
        <f aca="false">AS27+AS25</f>
        <v>176</v>
      </c>
      <c r="AT28" s="9" t="n">
        <f aca="false">AT27+AT25</f>
        <v>182</v>
      </c>
      <c r="AU28" s="9" t="n">
        <f aca="false">AU27+AU25</f>
        <v>188</v>
      </c>
      <c r="AV28" s="9" t="n">
        <f aca="false">AV27+AV25</f>
        <v>194</v>
      </c>
      <c r="AW28" s="9" t="n">
        <f aca="false">AW27+AW25</f>
        <v>200</v>
      </c>
      <c r="AX28" s="9" t="n">
        <f aca="false">AX27+AX25</f>
        <v>206</v>
      </c>
      <c r="AY28" s="9" t="n">
        <f aca="false">AY27+AY25</f>
        <v>212</v>
      </c>
      <c r="AZ28" s="9" t="n">
        <f aca="false">AZ27+AZ25</f>
        <v>218</v>
      </c>
      <c r="BA28" s="9" t="n">
        <f aca="false">BA27+BA25</f>
        <v>224</v>
      </c>
      <c r="BB28" s="9" t="n">
        <f aca="false">BB27+BB25</f>
        <v>230</v>
      </c>
      <c r="BC28" s="9" t="n">
        <f aca="false">BC27+BC25</f>
        <v>236</v>
      </c>
      <c r="BD28" s="9" t="n">
        <f aca="false">BD27+BD25</f>
        <v>242</v>
      </c>
      <c r="BE28" s="9" t="n">
        <f aca="false">BE27+BE25</f>
        <v>248</v>
      </c>
      <c r="BF28" s="9" t="n">
        <f aca="false">BF27+BF25</f>
        <v>254</v>
      </c>
      <c r="BG28" s="9" t="n">
        <f aca="false">BG27+BG25</f>
        <v>260</v>
      </c>
      <c r="BH28" s="9" t="n">
        <f aca="false">BH27+BH25</f>
        <v>266</v>
      </c>
      <c r="BI28" s="9" t="n">
        <f aca="false">BI27+BI25</f>
        <v>272</v>
      </c>
      <c r="BJ28" s="9" t="n">
        <f aca="false">BJ27+BJ25</f>
        <v>278</v>
      </c>
      <c r="BK28" s="9" t="n">
        <f aca="false">BK27+BK25</f>
        <v>284</v>
      </c>
      <c r="BL28" s="9" t="n">
        <f aca="false">BL27+BL25</f>
        <v>290</v>
      </c>
      <c r="BM28" s="9" t="n">
        <f aca="false">BM27+BM25</f>
        <v>296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369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0</v>
      </c>
      <c r="P29" s="9" t="n">
        <f aca="false">IF(P17=$F$11,1,0)</f>
        <v>1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370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0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371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0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1</v>
      </c>
    </row>
    <row r="32" customFormat="false" ht="15" hidden="false" customHeight="false" outlineLevel="0" collapsed="false">
      <c r="D32" s="0" t="s">
        <v>372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0</v>
      </c>
      <c r="BN32" s="9" t="n">
        <f aca="false">IF(AND(BN25&gt;0,0=0),1,0)</f>
        <v>1</v>
      </c>
    </row>
    <row r="33" customFormat="false" ht="15" hidden="false" customHeight="false" outlineLevel="0" collapsed="false">
      <c r="D33" s="0" t="s">
        <v>373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374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432</v>
      </c>
      <c r="E9" s="0" t="s">
        <v>349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433</v>
      </c>
      <c r="E10" s="0" t="s">
        <v>349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434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435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436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1</v>
      </c>
      <c r="AR13" s="9" t="n">
        <f aca="false">IF(AR8&lt;=Time!$F$10,1,0)</f>
        <v>1</v>
      </c>
      <c r="AS13" s="9" t="n">
        <f aca="false">IF(AS8&lt;=Time!$F$10,1,0)</f>
        <v>1</v>
      </c>
      <c r="AT13" s="9" t="n">
        <f aca="false">IF(AT8&lt;=Time!$F$10,1,0)</f>
        <v>1</v>
      </c>
      <c r="AU13" s="9" t="n">
        <f aca="false">IF(AU8&lt;=Time!$F$10,1,0)</f>
        <v>1</v>
      </c>
      <c r="AV13" s="9" t="n">
        <f aca="false">IF(AV8&lt;=Time!$F$10,1,0)</f>
        <v>1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437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1</v>
      </c>
      <c r="AT14" s="9" t="n">
        <f aca="false">IF(AT8&lt;=Time!$F$13,1,0)</f>
        <v>1</v>
      </c>
      <c r="AU14" s="9" t="n">
        <f aca="false">IF(AU8&lt;=Time!$F$13,1,0)</f>
        <v>1</v>
      </c>
      <c r="AV14" s="9" t="n">
        <f aca="false">IF(AV8&lt;=Time!$F$13,1,0)</f>
        <v>1</v>
      </c>
      <c r="AW14" s="9" t="n">
        <f aca="false">IF(AW8&lt;=Time!$F$13,1,0)</f>
        <v>1</v>
      </c>
      <c r="AX14" s="9" t="n">
        <f aca="false">IF(AX8&lt;=Time!$F$13,1,0)</f>
        <v>1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438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0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1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439</v>
      </c>
      <c r="E16" s="0" t="s">
        <v>153</v>
      </c>
      <c r="J16" s="11" t="n">
        <f aca="false">IF(Inputs!$F$33=1,Inputs!$F$60*Time!$F$15^((J8-0.5)/12),INDEX(Operations!$J$11:$BN$11,1,J12))</f>
        <v>520.495338031746</v>
      </c>
      <c r="K16" s="11" t="n">
        <f aca="false">IF(Inputs!$F$33=1,Inputs!$F$60*Time!$F$15^((K8-0.5)/12),INDEX(Operations!$J$11:$BN$11,1,K12))</f>
        <v>522.692948685804</v>
      </c>
      <c r="L16" s="11" t="n">
        <f aca="false">IF(Inputs!$F$33=1,Inputs!$F$60*Time!$F$15^((L8-0.5)/12),INDEX(Operations!$J$11:$BN$11,1,L12))</f>
        <v>524.899837987016</v>
      </c>
      <c r="M16" s="11" t="n">
        <f aca="false">IF(Inputs!$F$33=1,Inputs!$F$60*Time!$F$15^((M8-0.5)/12),INDEX(Operations!$J$11:$BN$11,1,M12))</f>
        <v>527.116045111244</v>
      </c>
      <c r="N16" s="11" t="n">
        <f aca="false">IF(Inputs!$F$33=1,Inputs!$F$60*Time!$F$15^((N8-0.5)/12),INDEX(Operations!$J$11:$BN$11,1,N12))</f>
        <v>529.341609399758</v>
      </c>
      <c r="O16" s="11" t="n">
        <f aca="false">IF(Inputs!$F$33=1,Inputs!$F$60*Time!$F$15^((O8-0.5)/12),INDEX(Operations!$J$11:$BN$11,1,O12))</f>
        <v>531.576570359931</v>
      </c>
      <c r="P16" s="11" t="n">
        <f aca="false">IF(Inputs!$F$33=1,Inputs!$F$60*Time!$F$15^((P8-0.5)/12),INDEX(Operations!$J$11:$BN$11,1,P12))</f>
        <v>533.820967665944</v>
      </c>
      <c r="Q16" s="11" t="n">
        <f aca="false">IF(Inputs!$F$33=1,Inputs!$F$60*Time!$F$15^((Q8-0.5)/12),INDEX(Operations!$J$11:$BN$11,1,Q12))</f>
        <v>536.074841159486</v>
      </c>
      <c r="R16" s="11" t="n">
        <f aca="false">IF(Inputs!$F$33=1,Inputs!$F$60*Time!$F$15^((R8-0.5)/12),INDEX(Operations!$J$11:$BN$11,1,R12))</f>
        <v>538.338230850467</v>
      </c>
      <c r="S16" s="11" t="n">
        <f aca="false">IF(Inputs!$F$33=1,Inputs!$F$60*Time!$F$15^((S8-0.5)/12),INDEX(Operations!$J$11:$BN$11,1,S12))</f>
        <v>540.611176917722</v>
      </c>
      <c r="T16" s="11" t="n">
        <f aca="false">IF(Inputs!$F$33=1,Inputs!$F$60*Time!$F$15^((T8-0.5)/12),INDEX(Operations!$J$11:$BN$11,1,T12))</f>
        <v>542.893719709728</v>
      </c>
      <c r="U16" s="11" t="n">
        <f aca="false">IF(Inputs!$F$33=1,Inputs!$F$60*Time!$F$15^((U8-0.5)/12),INDEX(Operations!$J$11:$BN$11,1,U12))</f>
        <v>545.18589974532</v>
      </c>
      <c r="V16" s="11" t="n">
        <f aca="false">IF(Inputs!$F$33=1,Inputs!$F$60*Time!$F$15^((V8-0.5)/12),INDEX(Operations!$J$11:$BN$11,1,V12))</f>
        <v>547.48775771441</v>
      </c>
      <c r="W16" s="11" t="n">
        <f aca="false">IF(Inputs!$F$33=1,Inputs!$F$60*Time!$F$15^((W8-0.5)/12),INDEX(Operations!$J$11:$BN$11,1,W12))</f>
        <v>549.799334478708</v>
      </c>
      <c r="X16" s="11" t="n">
        <f aca="false">IF(Inputs!$F$33=1,Inputs!$F$60*Time!$F$15^((X8-0.5)/12),INDEX(Operations!$J$11:$BN$11,1,X12))</f>
        <v>552.120671072448</v>
      </c>
      <c r="Y16" s="11" t="n">
        <f aca="false">IF(Inputs!$F$33=1,Inputs!$F$60*Time!$F$15^((Y8-0.5)/12),INDEX(Operations!$J$11:$BN$11,1,Y12))</f>
        <v>554.451808703119</v>
      </c>
      <c r="Z16" s="11" t="n">
        <f aca="false">IF(Inputs!$F$33=1,Inputs!$F$60*Time!$F$15^((Z8-0.5)/12),INDEX(Operations!$J$11:$BN$11,1,Z12))</f>
        <v>556.792788752192</v>
      </c>
      <c r="AA16" s="11" t="n">
        <f aca="false">IF(Inputs!$F$33=1,Inputs!$F$60*Time!$F$15^((AA8-0.5)/12),INDEX(Operations!$J$11:$BN$11,1,AA12))</f>
        <v>559.143652775857</v>
      </c>
      <c r="AB16" s="11" t="n">
        <f aca="false">IF(Inputs!$F$33=1,Inputs!$F$60*Time!$F$15^((AB8-0.5)/12),INDEX(Operations!$J$11:$BN$11,1,AB12))</f>
        <v>561.504442505763</v>
      </c>
      <c r="AC16" s="11" t="n">
        <f aca="false">IF(Inputs!$F$33=1,Inputs!$F$60*Time!$F$15^((AC8-0.5)/12),INDEX(Operations!$J$11:$BN$11,1,AC12))</f>
        <v>563.875199849753</v>
      </c>
      <c r="AD16" s="11" t="n">
        <f aca="false">IF(Inputs!$F$33=1,Inputs!$F$60*Time!$F$15^((AD8-0.5)/12),INDEX(Operations!$J$11:$BN$11,1,AD12))</f>
        <v>566.255966892614</v>
      </c>
      <c r="AE16" s="11" t="n">
        <f aca="false">IF(Inputs!$F$33=1,Inputs!$F$60*Time!$F$15^((AE8-0.5)/12),INDEX(Operations!$J$11:$BN$11,1,AE12))</f>
        <v>568.646785896821</v>
      </c>
      <c r="AF16" s="11" t="n">
        <f aca="false">IF(Inputs!$F$33=1,Inputs!$F$60*Time!$F$15^((AF8-0.5)/12),INDEX(Operations!$J$11:$BN$11,1,AF12))</f>
        <v>571.047699303285</v>
      </c>
      <c r="AG16" s="11" t="n">
        <f aca="false">IF(Inputs!$F$33=1,Inputs!$F$60*Time!$F$15^((AG8-0.5)/12),INDEX(Operations!$J$11:$BN$11,1,AG12))</f>
        <v>573.458749732113</v>
      </c>
      <c r="AH16" s="11" t="n">
        <f aca="false">IF(Inputs!$F$33=1,Inputs!$F$60*Time!$F$15^((AH8-0.5)/12),INDEX(Operations!$J$11:$BN$11,1,AH12))</f>
        <v>575.879979983357</v>
      </c>
      <c r="AI16" s="11" t="n">
        <f aca="false">IF(Inputs!$F$33=1,Inputs!$F$60*Time!$F$15^((AI8-0.5)/12),INDEX(Operations!$J$11:$BN$11,1,AI12))</f>
        <v>578.31143303778</v>
      </c>
      <c r="AJ16" s="11" t="n">
        <f aca="false">IF(Inputs!$F$33=1,Inputs!$F$60*Time!$F$15^((AJ8-0.5)/12),INDEX(Operations!$J$11:$BN$11,1,AJ12))</f>
        <v>580.753152057614</v>
      </c>
      <c r="AK16" s="11" t="n">
        <f aca="false">IF(Inputs!$F$33=1,Inputs!$F$60*Time!$F$15^((AK8-0.5)/12),INDEX(Operations!$J$11:$BN$11,1,AK12))</f>
        <v>583.205180387331</v>
      </c>
      <c r="AL16" s="11" t="n">
        <f aca="false">IF(Inputs!$F$33=1,Inputs!$F$60*Time!$F$15^((AL8-0.5)/12),INDEX(Operations!$J$11:$BN$11,1,AL12))</f>
        <v>585.667561554409</v>
      </c>
      <c r="AM16" s="11" t="n">
        <f aca="false">IF(Inputs!$F$33=1,Inputs!$F$60*Time!$F$15^((AM8-0.5)/12),INDEX(Operations!$J$11:$BN$11,1,AM12))</f>
        <v>588.140339270104</v>
      </c>
      <c r="AN16" s="11" t="n">
        <f aca="false">IF(Inputs!$F$33=1,Inputs!$F$60*Time!$F$15^((AN8-0.5)/12),INDEX(Operations!$J$11:$BN$11,1,AN12))</f>
        <v>590.62355743023</v>
      </c>
      <c r="AO16" s="11" t="n">
        <f aca="false">IF(Inputs!$F$33=1,Inputs!$F$60*Time!$F$15^((AO8-0.5)/12),INDEX(Operations!$J$11:$BN$11,1,AO12))</f>
        <v>593.117260115934</v>
      </c>
      <c r="AP16" s="11" t="n">
        <f aca="false">IF(Inputs!$F$33=1,Inputs!$F$60*Time!$F$15^((AP8-0.5)/12),INDEX(Operations!$J$11:$BN$11,1,AP12))</f>
        <v>595.621491594482</v>
      </c>
      <c r="AQ16" s="11" t="n">
        <f aca="false">IF(Inputs!$F$33=1,Inputs!$F$60*Time!$F$15^((AQ8-0.5)/12),INDEX(Operations!$J$11:$BN$11,1,AQ12))</f>
        <v>598.136296320041</v>
      </c>
      <c r="AR16" s="11" t="n">
        <f aca="false">IF(Inputs!$F$33=1,Inputs!$F$60*Time!$F$15^((AR8-0.5)/12),INDEX(Operations!$J$11:$BN$11,1,AR12))</f>
        <v>600.661718934473</v>
      </c>
      <c r="AS16" s="11" t="n">
        <f aca="false">IF(Inputs!$F$33=1,Inputs!$F$60*Time!$F$15^((AS8-0.5)/12),INDEX(Operations!$J$11:$BN$11,1,AS12))</f>
        <v>603.197804268122</v>
      </c>
      <c r="AT16" s="11" t="n">
        <f aca="false">IF(Inputs!$F$33=1,Inputs!$F$60*Time!$F$15^((AT8-0.5)/12),INDEX(Operations!$J$11:$BN$11,1,AT12))</f>
        <v>605.744597340615</v>
      </c>
      <c r="AU16" s="11" t="n">
        <f aca="false">IF(Inputs!$F$33=1,Inputs!$F$60*Time!$F$15^((AU8-0.5)/12),INDEX(Operations!$J$11:$BN$11,1,AU12))</f>
        <v>608.302143361657</v>
      </c>
      <c r="AV16" s="11" t="n">
        <f aca="false">IF(Inputs!$F$33=1,Inputs!$F$60*Time!$F$15^((AV8-0.5)/12),INDEX(Operations!$J$11:$BN$11,1,AV12))</f>
        <v>610.870487731835</v>
      </c>
      <c r="AW16" s="11" t="n">
        <f aca="false">IF(Inputs!$F$33=1,Inputs!$F$60*Time!$F$15^((AW8-0.5)/12),INDEX(Operations!$J$11:$BN$11,1,AW12))</f>
        <v>613.449676043426</v>
      </c>
      <c r="AX16" s="11" t="n">
        <f aca="false">IF(Inputs!$F$33=1,Inputs!$F$60*Time!$F$15^((AX8-0.5)/12),INDEX(Operations!$J$11:$BN$11,1,AX12))</f>
        <v>616.039754081203</v>
      </c>
      <c r="AY16" s="11" t="n">
        <f aca="false">IF(Inputs!$F$33=1,Inputs!$F$60*Time!$F$15^((AY8-0.5)/12),INDEX(Operations!$J$11:$BN$11,1,AY12))</f>
        <v>618.64076782325</v>
      </c>
      <c r="AZ16" s="11" t="n">
        <f aca="false">IF(Inputs!$F$33=1,Inputs!$F$60*Time!$F$15^((AZ8-0.5)/12),INDEX(Operations!$J$11:$BN$11,1,AZ12))</f>
        <v>621.252763441778</v>
      </c>
      <c r="BA16" s="11" t="n">
        <f aca="false">IF(Inputs!$F$33=1,Inputs!$F$60*Time!$F$15^((BA8-0.5)/12),INDEX(Operations!$J$11:$BN$11,1,BA12))</f>
        <v>623.875787303942</v>
      </c>
      <c r="BB16" s="11" t="n">
        <f aca="false">IF(Inputs!$F$33=1,Inputs!$F$60*Time!$F$15^((BB8-0.5)/12),INDEX(Operations!$J$11:$BN$11,1,BB12))</f>
        <v>626.509885972669</v>
      </c>
      <c r="BC16" s="11" t="n">
        <f aca="false">IF(Inputs!$F$33=1,Inputs!$F$60*Time!$F$15^((BC8-0.5)/12),INDEX(Operations!$J$11:$BN$11,1,BC12))</f>
        <v>629.15510620748</v>
      </c>
      <c r="BD16" s="11" t="n">
        <f aca="false">IF(Inputs!$F$33=1,Inputs!$F$60*Time!$F$15^((BD8-0.5)/12),INDEX(Operations!$J$11:$BN$11,1,BD12))</f>
        <v>631.811494965321</v>
      </c>
      <c r="BE16" s="11" t="n">
        <f aca="false">IF(Inputs!$F$33=1,Inputs!$F$60*Time!$F$15^((BE8-0.5)/12),INDEX(Operations!$J$11:$BN$11,1,BE12))</f>
        <v>634.479099401401</v>
      </c>
      <c r="BF16" s="11" t="n">
        <f aca="false">IF(Inputs!$F$33=1,Inputs!$F$60*Time!$F$15^((BF8-0.5)/12),INDEX(Operations!$J$11:$BN$11,1,BF12))</f>
        <v>637.157966870021</v>
      </c>
      <c r="BG16" s="11" t="n">
        <f aca="false">IF(Inputs!$F$33=1,Inputs!$F$60*Time!$F$15^((BG8-0.5)/12),INDEX(Operations!$J$11:$BN$11,1,BG12))</f>
        <v>639.848144925422</v>
      </c>
      <c r="BH16" s="11" t="n">
        <f aca="false">IF(Inputs!$F$33=1,Inputs!$F$60*Time!$F$15^((BH8-0.5)/12),INDEX(Operations!$J$11:$BN$11,1,BH12))</f>
        <v>642.549681322625</v>
      </c>
      <c r="BI16" s="11" t="n">
        <f aca="false">IF(Inputs!$F$33=1,Inputs!$F$60*Time!$F$15^((BI8-0.5)/12),INDEX(Operations!$J$11:$BN$11,1,BI12))</f>
        <v>645.262624018281</v>
      </c>
      <c r="BJ16" s="11" t="n">
        <f aca="false">IF(Inputs!$F$33=1,Inputs!$F$60*Time!$F$15^((BJ8-0.5)/12),INDEX(Operations!$J$11:$BN$11,1,BJ12))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440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441</v>
      </c>
      <c r="E18" s="0" t="s">
        <v>103</v>
      </c>
      <c r="J18" s="11" t="n">
        <f aca="false">IF(Inputs!$F$33=1,Inputs!$F$73,INDEX(Inputs!$J$213:$AR$213,1,YEAR(J9)-2014))</f>
        <v>13.5</v>
      </c>
      <c r="K18" s="11" t="n">
        <f aca="false">IF(Inputs!$F$33=1,Inputs!$F$73,INDEX(Inputs!$J$213:$AR$213,1,YEAR(K9)-2014))</f>
        <v>13.5</v>
      </c>
      <c r="L18" s="11" t="n">
        <f aca="false">IF(Inputs!$F$33=1,Inputs!$F$73,INDEX(Inputs!$J$213:$AR$213,1,YEAR(L9)-2014))</f>
        <v>13.5</v>
      </c>
      <c r="M18" s="11" t="n">
        <f aca="false">IF(Inputs!$F$33=1,Inputs!$F$73,INDEX(Inputs!$J$213:$AR$213,1,YEAR(M9)-2014))</f>
        <v>13.5</v>
      </c>
      <c r="N18" s="11" t="n">
        <f aca="false">IF(Inputs!$F$33=1,Inputs!$F$73,INDEX(Inputs!$J$213:$AR$213,1,YEAR(N9)-2014))</f>
        <v>13.5</v>
      </c>
      <c r="O18" s="11" t="n">
        <f aca="false">IF(Inputs!$F$33=1,Inputs!$F$73,INDEX(Inputs!$J$213:$AR$213,1,YEAR(O9)-2014))</f>
        <v>13.5</v>
      </c>
      <c r="P18" s="11" t="n">
        <f aca="false">IF(Inputs!$F$33=1,Inputs!$F$73,INDEX(Inputs!$J$213:$AR$213,1,YEAR(P9)-2014))</f>
        <v>13.5</v>
      </c>
      <c r="Q18" s="11" t="n">
        <f aca="false">IF(Inputs!$F$33=1,Inputs!$F$73,INDEX(Inputs!$J$213:$AR$213,1,YEAR(Q9)-2014))</f>
        <v>13.5</v>
      </c>
      <c r="R18" s="11" t="n">
        <f aca="false">IF(Inputs!$F$33=1,Inputs!$F$73,INDEX(Inputs!$J$213:$AR$213,1,YEAR(R9)-2014))</f>
        <v>13.5</v>
      </c>
      <c r="S18" s="11" t="n">
        <f aca="false">IF(Inputs!$F$33=1,Inputs!$F$73,INDEX(Inputs!$J$213:$AR$213,1,YEAR(S9)-2014))</f>
        <v>13.5</v>
      </c>
      <c r="T18" s="11" t="n">
        <f aca="false">IF(Inputs!$F$33=1,Inputs!$F$73,INDEX(Inputs!$J$213:$AR$213,1,YEAR(T9)-2014))</f>
        <v>13.5</v>
      </c>
      <c r="U18" s="11" t="n">
        <f aca="false">IF(Inputs!$F$33=1,Inputs!$F$73,INDEX(Inputs!$J$213:$AR$213,1,YEAR(U9)-2014))</f>
        <v>13.5</v>
      </c>
      <c r="V18" s="11" t="n">
        <f aca="false">IF(Inputs!$F$33=1,Inputs!$F$73,INDEX(Inputs!$J$213:$AR$213,1,YEAR(V9)-2014))</f>
        <v>13.5</v>
      </c>
      <c r="W18" s="11" t="n">
        <f aca="false">IF(Inputs!$F$33=1,Inputs!$F$73,INDEX(Inputs!$J$213:$AR$213,1,YEAR(W9)-2014))</f>
        <v>13.5</v>
      </c>
      <c r="X18" s="11" t="n">
        <f aca="false">IF(Inputs!$F$33=1,Inputs!$F$73,INDEX(Inputs!$J$213:$AR$213,1,YEAR(X9)-2014))</f>
        <v>13.5</v>
      </c>
      <c r="Y18" s="11" t="n">
        <f aca="false">IF(Inputs!$F$33=1,Inputs!$F$73,INDEX(Inputs!$J$213:$AR$213,1,YEAR(Y9)-2014))</f>
        <v>13.5</v>
      </c>
      <c r="Z18" s="11" t="n">
        <f aca="false">IF(Inputs!$F$33=1,Inputs!$F$73,INDEX(Inputs!$J$213:$AR$213,1,YEAR(Z9)-2014))</f>
        <v>13.5</v>
      </c>
      <c r="AA18" s="11" t="n">
        <f aca="false">IF(Inputs!$F$33=1,Inputs!$F$73,INDEX(Inputs!$J$213:$AR$213,1,YEAR(AA9)-2014))</f>
        <v>13.5</v>
      </c>
      <c r="AB18" s="11" t="n">
        <f aca="false">IF(Inputs!$F$33=1,Inputs!$F$73,INDEX(Inputs!$J$213:$AR$213,1,YEAR(AB9)-2014))</f>
        <v>13.5</v>
      </c>
      <c r="AC18" s="11" t="n">
        <f aca="false">IF(Inputs!$F$33=1,Inputs!$F$73,INDEX(Inputs!$J$213:$AR$213,1,YEAR(AC9)-2014))</f>
        <v>13.5</v>
      </c>
      <c r="AD18" s="11" t="n">
        <f aca="false">IF(Inputs!$F$33=1,Inputs!$F$73,INDEX(Inputs!$J$213:$AR$213,1,YEAR(AD9)-2014))</f>
        <v>13.5</v>
      </c>
      <c r="AE18" s="11" t="n">
        <f aca="false">IF(Inputs!$F$33=1,Inputs!$F$73,INDEX(Inputs!$J$213:$AR$213,1,YEAR(AE9)-2014))</f>
        <v>13.5</v>
      </c>
      <c r="AF18" s="11" t="n">
        <f aca="false">IF(Inputs!$F$33=1,Inputs!$F$73,INDEX(Inputs!$J$213:$AR$213,1,YEAR(AF9)-2014))</f>
        <v>13.5</v>
      </c>
      <c r="AG18" s="11" t="n">
        <f aca="false">IF(Inputs!$F$33=1,Inputs!$F$73,INDEX(Inputs!$J$213:$AR$213,1,YEAR(AG9)-2014))</f>
        <v>13.5</v>
      </c>
      <c r="AH18" s="11" t="n">
        <f aca="false">IF(Inputs!$F$33=1,Inputs!$F$73,INDEX(Inputs!$J$213:$AR$213,1,YEAR(AH9)-2014))</f>
        <v>13.5</v>
      </c>
      <c r="AI18" s="11" t="n">
        <f aca="false">IF(Inputs!$F$33=1,Inputs!$F$73,INDEX(Inputs!$J$213:$AR$213,1,YEAR(AI9)-2014))</f>
        <v>13.5</v>
      </c>
      <c r="AJ18" s="11" t="n">
        <f aca="false">IF(Inputs!$F$33=1,Inputs!$F$73,INDEX(Inputs!$J$213:$AR$213,1,YEAR(AJ9)-2014))</f>
        <v>13.5</v>
      </c>
      <c r="AK18" s="11" t="n">
        <f aca="false">IF(Inputs!$F$33=1,Inputs!$F$73,INDEX(Inputs!$J$213:$AR$213,1,YEAR(AK9)-2014))</f>
        <v>13.5</v>
      </c>
      <c r="AL18" s="11" t="n">
        <f aca="false">IF(Inputs!$F$33=1,Inputs!$F$73,INDEX(Inputs!$J$213:$AR$213,1,YEAR(AL9)-2014))</f>
        <v>13.5</v>
      </c>
      <c r="AM18" s="11" t="n">
        <f aca="false">IF(Inputs!$F$33=1,Inputs!$F$73,INDEX(Inputs!$J$213:$AR$213,1,YEAR(AM9)-2014))</f>
        <v>13.5</v>
      </c>
      <c r="AN18" s="11" t="n">
        <f aca="false">IF(Inputs!$F$33=1,Inputs!$F$73,INDEX(Inputs!$J$213:$AR$213,1,YEAR(AN9)-2014))</f>
        <v>13.5</v>
      </c>
      <c r="AO18" s="11" t="n">
        <f aca="false">IF(Inputs!$F$33=1,Inputs!$F$73,INDEX(Inputs!$J$213:$AR$213,1,YEAR(AO9)-2014))</f>
        <v>13.5</v>
      </c>
      <c r="AP18" s="11" t="n">
        <f aca="false">IF(Inputs!$F$33=1,Inputs!$F$73,INDEX(Inputs!$J$213:$AR$213,1,YEAR(AP9)-2014))</f>
        <v>13.5</v>
      </c>
      <c r="AQ18" s="11" t="n">
        <f aca="false">IF(Inputs!$F$33=1,Inputs!$F$73,INDEX(Inputs!$J$213:$AR$213,1,YEAR(AQ9)-2014))</f>
        <v>13.5</v>
      </c>
      <c r="AR18" s="11" t="n">
        <f aca="false">IF(Inputs!$F$33=1,Inputs!$F$73,INDEX(Inputs!$J$213:$AR$213,1,YEAR(AR9)-2014))</f>
        <v>13.5</v>
      </c>
      <c r="AS18" s="11" t="n">
        <f aca="false">IF(Inputs!$F$33=1,Inputs!$F$73,INDEX(Inputs!$J$213:$AR$213,1,YEAR(AS9)-2014))</f>
        <v>13.5</v>
      </c>
      <c r="AT18" s="11" t="n">
        <f aca="false">IF(Inputs!$F$33=1,Inputs!$F$73,INDEX(Inputs!$J$213:$AR$213,1,YEAR(AT9)-2014))</f>
        <v>13.5</v>
      </c>
      <c r="AU18" s="11" t="n">
        <f aca="false">IF(Inputs!$F$33=1,Inputs!$F$73,INDEX(Inputs!$J$213:$AR$213,1,YEAR(AU9)-2014))</f>
        <v>13.5</v>
      </c>
      <c r="AV18" s="11" t="n">
        <f aca="false">IF(Inputs!$F$33=1,Inputs!$F$73,INDEX(Inputs!$J$213:$AR$213,1,YEAR(AV9)-2014))</f>
        <v>13.5</v>
      </c>
      <c r="AW18" s="11" t="n">
        <f aca="false">IF(Inputs!$F$33=1,Inputs!$F$73,INDEX(Inputs!$J$213:$AR$213,1,YEAR(AW9)-2014))</f>
        <v>13.5</v>
      </c>
      <c r="AX18" s="11" t="n">
        <f aca="false">IF(Inputs!$F$33=1,Inputs!$F$73,INDEX(Inputs!$J$213:$AR$213,1,YEAR(AX9)-2014))</f>
        <v>13.5</v>
      </c>
      <c r="AY18" s="11" t="n">
        <f aca="false">IF(Inputs!$F$33=1,Inputs!$F$73,INDEX(Inputs!$J$213:$AR$213,1,YEAR(AY9)-2014))</f>
        <v>13.5</v>
      </c>
      <c r="AZ18" s="11" t="n">
        <f aca="false">IF(Inputs!$F$33=1,Inputs!$F$73,INDEX(Inputs!$J$213:$AR$213,1,YEAR(AZ9)-2014))</f>
        <v>13.5</v>
      </c>
      <c r="BA18" s="11" t="n">
        <f aca="false">IF(Inputs!$F$33=1,Inputs!$F$73,INDEX(Inputs!$J$213:$AR$213,1,YEAR(BA9)-2014))</f>
        <v>13.5</v>
      </c>
      <c r="BB18" s="11" t="n">
        <f aca="false">IF(Inputs!$F$33=1,Inputs!$F$73,INDEX(Inputs!$J$213:$AR$213,1,YEAR(BB9)-2014))</f>
        <v>13.5</v>
      </c>
      <c r="BC18" s="11" t="n">
        <f aca="false">IF(Inputs!$F$33=1,Inputs!$F$73,INDEX(Inputs!$J$213:$AR$213,1,YEAR(BC9)-2014))</f>
        <v>13.5</v>
      </c>
      <c r="BD18" s="11" t="n">
        <f aca="false">IF(Inputs!$F$33=1,Inputs!$F$73,INDEX(Inputs!$J$213:$AR$213,1,YEAR(BD9)-2014))</f>
        <v>13.5</v>
      </c>
      <c r="BE18" s="11" t="n">
        <f aca="false">IF(Inputs!$F$33=1,Inputs!$F$73,INDEX(Inputs!$J$213:$AR$213,1,YEAR(BE9)-2014))</f>
        <v>13.5</v>
      </c>
      <c r="BF18" s="11" t="n">
        <f aca="false">IF(Inputs!$F$33=1,Inputs!$F$73,INDEX(Inputs!$J$213:$AR$213,1,YEAR(BF9)-2014))</f>
        <v>13.5</v>
      </c>
      <c r="BG18" s="11" t="n">
        <f aca="false">IF(Inputs!$F$33=1,Inputs!$F$73,INDEX(Inputs!$J$213:$AR$213,1,YEAR(BG9)-2014))</f>
        <v>13.5</v>
      </c>
      <c r="BH18" s="11" t="n">
        <f aca="false">IF(Inputs!$F$33=1,Inputs!$F$73,INDEX(Inputs!$J$213:$AR$213,1,YEAR(BH9)-2014))</f>
        <v>13.5</v>
      </c>
      <c r="BI18" s="11" t="n">
        <f aca="false">IF(Inputs!$F$33=1,Inputs!$F$73,INDEX(Inputs!$J$213:$AR$213,1,YEAR(BI9)-2014))</f>
        <v>13.5</v>
      </c>
      <c r="BJ18" s="11" t="n">
        <f aca="false">IF(Inputs!$F$33=1,Inputs!$F$73,INDEX(Inputs!$J$213:$AR$213,1,YEAR(BJ9)-2014))</f>
        <v>13.5</v>
      </c>
    </row>
    <row r="19" customFormat="false" ht="15" hidden="false" customHeight="false" outlineLevel="0" collapsed="false">
      <c r="B19" s="2" t="s">
        <v>442</v>
      </c>
    </row>
    <row r="20" customFormat="false" ht="15" hidden="false" customHeight="false" outlineLevel="0" collapsed="false">
      <c r="D20" s="0" t="s">
        <v>443</v>
      </c>
      <c r="E20" s="0" t="s">
        <v>103</v>
      </c>
      <c r="J20" s="11" t="n">
        <f aca="false">IF(Inputs!$F$34=2,Inputs!J230,Inputs!J229+IF(Inputs!$F$35&gt;0,IF(J8=33,-7.5,0)+IF(J8=33+Inputs!$F$35,7.5,0),0))</f>
        <v>10</v>
      </c>
      <c r="K20" s="11" t="n">
        <f aca="false">IF(Inputs!$F$34=2,Inputs!K230,Inputs!K229+IF(Inputs!$F$35&gt;0,IF(K8=33,-7.5,0)+IF(K8=33+Inputs!$F$35,7.5,0),0))</f>
        <v>0.0108</v>
      </c>
      <c r="L20" s="11" t="n">
        <f aca="false">IF(Inputs!$F$34=2,Inputs!L230,Inputs!L229+IF(Inputs!$F$35&gt;0,IF(L8=33,-7.5,0)+IF(L8=33+Inputs!$F$35,7.5,0),0))</f>
        <v>0.1133</v>
      </c>
      <c r="M20" s="11" t="n">
        <f aca="false">IF(Inputs!$F$34=2,Inputs!M230,Inputs!M229+IF(Inputs!$F$35&gt;0,IF(M8=33,-7.5,0)+IF(M8=33+Inputs!$F$35,7.5,0),0))</f>
        <v>0.3239</v>
      </c>
      <c r="N20" s="11" t="n">
        <f aca="false">IF(Inputs!$F$34=2,Inputs!N230,Inputs!N229+IF(Inputs!$F$35&gt;0,IF(N8=33,-7.5,0)+IF(N8=33+Inputs!$F$35,7.5,0),0))</f>
        <v>0.6294</v>
      </c>
      <c r="O20" s="11" t="n">
        <f aca="false">IF(Inputs!$F$34=2,Inputs!O230,Inputs!O229+IF(Inputs!$F$35&gt;0,IF(O8=33,-7.5,0)+IF(O8=33+Inputs!$F$35,7.5,0),0))</f>
        <v>1.0114</v>
      </c>
      <c r="P20" s="11" t="n">
        <f aca="false">IF(Inputs!$F$34=2,Inputs!P230,Inputs!P229+IF(Inputs!$F$35&gt;0,IF(P8=33,-7.5,0)+IF(P8=33+Inputs!$F$35,7.5,0),0))</f>
        <v>1.4496</v>
      </c>
      <c r="Q20" s="11" t="n">
        <f aca="false">IF(Inputs!$F$34=2,Inputs!Q230,Inputs!Q229+IF(Inputs!$F$35&gt;0,IF(Q8=33,-7.5,0)+IF(Q8=33+Inputs!$F$35,7.5,0),0))</f>
        <v>1.9236</v>
      </c>
      <c r="R20" s="11" t="n">
        <f aca="false">IF(Inputs!$F$34=2,Inputs!R230,Inputs!R229+IF(Inputs!$F$35&gt;0,IF(R8=33,-7.5,0)+IF(R8=33+Inputs!$F$35,7.5,0),0))</f>
        <v>2.4133</v>
      </c>
      <c r="S20" s="11" t="n">
        <f aca="false">IF(Inputs!$F$34=2,Inputs!S230,Inputs!S229+IF(Inputs!$F$35&gt;0,IF(S8=33,-7.5,0)+IF(S8=33+Inputs!$F$35,7.5,0),0))</f>
        <v>2.8999</v>
      </c>
      <c r="T20" s="11" t="n">
        <f aca="false">IF(Inputs!$F$34=2,Inputs!T230,Inputs!T229+IF(Inputs!$F$35&gt;0,IF(T8=33,-7.5,0)+IF(T8=33+Inputs!$F$35,7.5,0),0))</f>
        <v>3.3659</v>
      </c>
      <c r="U20" s="11" t="n">
        <f aca="false">IF(Inputs!$F$34=2,Inputs!U230,Inputs!U229+IF(Inputs!$F$35&gt;0,IF(U8=33,-7.5,0)+IF(U8=33+Inputs!$F$35,7.5,0),0))</f>
        <v>3.7957</v>
      </c>
      <c r="V20" s="11" t="n">
        <f aca="false">IF(Inputs!$F$34=2,Inputs!V230,Inputs!V229+IF(Inputs!$F$35&gt;0,IF(V8=33,-7.5,0)+IF(V8=33+Inputs!$F$35,7.5,0),0))</f>
        <v>4.1755</v>
      </c>
      <c r="W20" s="11" t="n">
        <f aca="false">IF(Inputs!$F$34=2,Inputs!W230,Inputs!W229+IF(Inputs!$F$35&gt;0,IF(W8=33,-7.5,0)+IF(W8=33+Inputs!$F$35,7.5,0),0))</f>
        <v>4.4935</v>
      </c>
      <c r="X20" s="11" t="n">
        <f aca="false">IF(Inputs!$F$34=2,Inputs!X230,Inputs!X229+IF(Inputs!$F$35&gt;0,IF(X8=33,-7.5,0)+IF(X8=33+Inputs!$F$35,7.5,0),0))</f>
        <v>4.7405</v>
      </c>
      <c r="Y20" s="11" t="n">
        <f aca="false">IF(Inputs!$F$34=2,Inputs!Y230,Inputs!Y229+IF(Inputs!$F$35&gt;0,IF(Y8=33,-7.5,0)+IF(Y8=33+Inputs!$F$35,7.5,0),0))</f>
        <v>4.9091</v>
      </c>
      <c r="Z20" s="11" t="n">
        <f aca="false">IF(Inputs!$F$34=2,Inputs!Z230,Inputs!Z229+IF(Inputs!$F$35&gt;0,IF(Z8=33,-7.5,0)+IF(Z8=33+Inputs!$F$35,7.5,0),0))</f>
        <v>4.9946</v>
      </c>
      <c r="AA20" s="11" t="n">
        <f aca="false">IF(Inputs!$F$34=2,Inputs!AA230,Inputs!AA229+IF(Inputs!$F$35&gt;0,IF(AA8=33,-7.5,0)+IF(AA8=33+Inputs!$F$35,7.5,0),0))</f>
        <v>4.9946</v>
      </c>
      <c r="AB20" s="11" t="n">
        <f aca="false">IF(Inputs!$F$34=2,Inputs!AB230,Inputs!AB229+IF(Inputs!$F$35&gt;0,IF(AB8=33,-7.5,0)+IF(AB8=33+Inputs!$F$35,7.5,0),0))</f>
        <v>4.9091</v>
      </c>
      <c r="AC20" s="11" t="n">
        <f aca="false">IF(Inputs!$F$34=2,Inputs!AC230,Inputs!AC229+IF(Inputs!$F$35&gt;0,IF(AC8=33,-7.5,0)+IF(AC8=33+Inputs!$F$35,7.5,0),0))</f>
        <v>4.7405</v>
      </c>
      <c r="AD20" s="11" t="n">
        <f aca="false">IF(Inputs!$F$34=2,Inputs!AD230,Inputs!AD229+IF(Inputs!$F$35&gt;0,IF(AD8=33,-7.5,0)+IF(AD8=33+Inputs!$F$35,7.5,0),0))</f>
        <v>4.4935</v>
      </c>
      <c r="AE20" s="11" t="n">
        <f aca="false">IF(Inputs!$F$34=2,Inputs!AE230,Inputs!AE229+IF(Inputs!$F$35&gt;0,IF(AE8=33,-7.5,0)+IF(AE8=33+Inputs!$F$35,7.5,0),0))</f>
        <v>4.1755</v>
      </c>
      <c r="AF20" s="11" t="n">
        <f aca="false">IF(Inputs!$F$34=2,Inputs!AF230,Inputs!AF229+IF(Inputs!$F$35&gt;0,IF(AF8=33,-7.5,0)+IF(AF8=33+Inputs!$F$35,7.5,0),0))</f>
        <v>3.7957</v>
      </c>
      <c r="AG20" s="11" t="n">
        <f aca="false">IF(Inputs!$F$34=2,Inputs!AG230,Inputs!AG229+IF(Inputs!$F$35&gt;0,IF(AG8=33,-7.5,0)+IF(AG8=33+Inputs!$F$35,7.5,0),0))</f>
        <v>3.3659</v>
      </c>
      <c r="AH20" s="11" t="n">
        <f aca="false">IF(Inputs!$F$34=2,Inputs!AH230,Inputs!AH229+IF(Inputs!$F$35&gt;0,IF(AH8=33,-7.5,0)+IF(AH8=33+Inputs!$F$35,7.5,0),0))</f>
        <v>2.8999</v>
      </c>
      <c r="AI20" s="11" t="n">
        <f aca="false">IF(Inputs!$F$34=2,Inputs!AI230,Inputs!AI229+IF(Inputs!$F$35&gt;0,IF(AI8=33,-7.5,0)+IF(AI8=33+Inputs!$F$35,7.5,0),0))</f>
        <v>2.4133</v>
      </c>
      <c r="AJ20" s="11" t="n">
        <f aca="false">IF(Inputs!$F$34=2,Inputs!AJ230,Inputs!AJ229+IF(Inputs!$F$35&gt;0,IF(AJ8=33,-7.5,0)+IF(AJ8=33+Inputs!$F$35,7.5,0),0))</f>
        <v>1.9236</v>
      </c>
      <c r="AK20" s="11" t="n">
        <f aca="false">IF(Inputs!$F$34=2,Inputs!AK230,Inputs!AK229+IF(Inputs!$F$35&gt;0,IF(AK8=33,-7.5,0)+IF(AK8=33+Inputs!$F$35,7.5,0),0))</f>
        <v>1.4496</v>
      </c>
      <c r="AL20" s="11" t="n">
        <f aca="false">IF(Inputs!$F$34=2,Inputs!AL230,Inputs!AL229+IF(Inputs!$F$35&gt;0,IF(AL8=33,-7.5,0)+IF(AL8=33+Inputs!$F$35,7.5,0),0))</f>
        <v>1.0114</v>
      </c>
      <c r="AM20" s="11" t="n">
        <f aca="false">IF(Inputs!$F$34=2,Inputs!AM230,Inputs!AM229+IF(Inputs!$F$35&gt;0,IF(AM8=33,-7.5,0)+IF(AM8=33+Inputs!$F$35,7.5,0),0))</f>
        <v>0.6294</v>
      </c>
      <c r="AN20" s="11" t="n">
        <f aca="false">IF(Inputs!$F$34=2,Inputs!AN230,Inputs!AN229+IF(Inputs!$F$35&gt;0,IF(AN8=33,-7.5,0)+IF(AN8=33+Inputs!$F$35,7.5,0),0))</f>
        <v>0.3239</v>
      </c>
      <c r="AO20" s="11" t="n">
        <f aca="false">IF(Inputs!$F$34=2,Inputs!AO230,Inputs!AO229+IF(Inputs!$F$35&gt;0,IF(AO8=33,-7.5,0)+IF(AO8=33+Inputs!$F$35,7.5,0),0))</f>
        <v>0.1133</v>
      </c>
      <c r="AP20" s="11" t="n">
        <f aca="false">IF(Inputs!$F$34=2,Inputs!AP230,Inputs!AP229+IF(Inputs!$F$35&gt;0,IF(AP8=33,-7.5,0)+IF(AP8=33+Inputs!$F$35,7.5,0),0))</f>
        <v>0.0107999999999997</v>
      </c>
      <c r="AQ20" s="11" t="n">
        <f aca="false">IF(Inputs!$F$34=2,Inputs!AQ230,Inputs!AQ229+IF(Inputs!$F$35&gt;0,IF(AQ8=33,-7.5,0)+IF(AQ8=33+Inputs!$F$35,7.5,0),0))</f>
        <v>0</v>
      </c>
      <c r="AR20" s="11" t="n">
        <f aca="false">IF(Inputs!$F$34=2,Inputs!AR230,Inputs!AR229+IF(Inputs!$F$35&gt;0,IF(AR8=33,-7.5,0)+IF(AR8=33+Inputs!$F$35,7.5,0),0))</f>
        <v>0</v>
      </c>
      <c r="AS20" s="11" t="n">
        <f aca="false">IF(Inputs!$F$34=2,Inputs!AS230,Inputs!AS229+IF(Inputs!$F$35&gt;0,IF(AS8=33,-7.5,0)+IF(AS8=33+Inputs!$F$35,7.5,0),0))</f>
        <v>0</v>
      </c>
      <c r="AT20" s="11" t="n">
        <f aca="false">IF(Inputs!$F$34=2,Inputs!AT230,Inputs!AT229+IF(Inputs!$F$35&gt;0,IF(AT8=33,-7.5,0)+IF(AT8=33+Inputs!$F$35,7.5,0),0))</f>
        <v>0</v>
      </c>
      <c r="AU20" s="11" t="n">
        <f aca="false">IF(Inputs!$F$34=2,Inputs!AU230,Inputs!AU229+IF(Inputs!$F$35&gt;0,IF(AU8=33,-7.5,0)+IF(AU8=33+Inputs!$F$35,7.5,0),0))</f>
        <v>0</v>
      </c>
      <c r="AV20" s="11" t="n">
        <f aca="false">IF(Inputs!$F$34=2,Inputs!AV230,Inputs!AV229+IF(Inputs!$F$35&gt;0,IF(AV8=33,-7.5,0)+IF(AV8=33+Inputs!$F$35,7.5,0),0))</f>
        <v>7.5</v>
      </c>
      <c r="AW20" s="11" t="n">
        <f aca="false">IF(Inputs!$F$34=2,Inputs!AW230,Inputs!AW229+IF(Inputs!$F$35&gt;0,IF(AW8=33,-7.5,0)+IF(AW8=33+Inputs!$F$35,7.5,0),0))</f>
        <v>0</v>
      </c>
      <c r="AX20" s="11" t="n">
        <f aca="false">IF(Inputs!$F$34=2,Inputs!AX230,Inputs!AX229+IF(Inputs!$F$35&gt;0,IF(AX8=33,-7.5,0)+IF(AX8=33+Inputs!$F$35,7.5,0),0))</f>
        <v>0</v>
      </c>
      <c r="AY20" s="11" t="n">
        <f aca="false">IF(Inputs!$F$34=2,Inputs!AY230,Inputs!AY229+IF(Inputs!$F$35&gt;0,IF(AY8=33,-7.5,0)+IF(AY8=33+Inputs!$F$35,7.5,0),0))</f>
        <v>0</v>
      </c>
      <c r="AZ20" s="11" t="n">
        <f aca="false">IF(Inputs!$F$34=2,Inputs!AZ230,Inputs!AZ229+IF(Inputs!$F$35&gt;0,IF(AZ8=33,-7.5,0)+IF(AZ8=33+Inputs!$F$35,7.5,0),0))</f>
        <v>0</v>
      </c>
      <c r="BA20" s="11" t="n">
        <f aca="false">IF(Inputs!$F$34=2,Inputs!BA230,Inputs!BA229+IF(Inputs!$F$35&gt;0,IF(BA8=33,-7.5,0)+IF(BA8=33+Inputs!$F$35,7.5,0),0))</f>
        <v>0</v>
      </c>
      <c r="BB20" s="11" t="n">
        <f aca="false">IF(Inputs!$F$34=2,Inputs!BB230,Inputs!BB229+IF(Inputs!$F$35&gt;0,IF(BB8=33,-7.5,0)+IF(BB8=33+Inputs!$F$35,7.5,0),0))</f>
        <v>0</v>
      </c>
      <c r="BC20" s="11" t="n">
        <f aca="false">IF(Inputs!$F$34=2,Inputs!BC230,Inputs!BC229+IF(Inputs!$F$35&gt;0,IF(BC8=33,-7.5,0)+IF(BC8=33+Inputs!$F$35,7.5,0),0))</f>
        <v>0</v>
      </c>
      <c r="BD20" s="11" t="n">
        <f aca="false">IF(Inputs!$F$34=2,Inputs!BD230,Inputs!BD229+IF(Inputs!$F$35&gt;0,IF(BD8=33,-7.5,0)+IF(BD8=33+Inputs!$F$35,7.5,0),0))</f>
        <v>0</v>
      </c>
      <c r="BE20" s="11" t="n">
        <f aca="false">IF(Inputs!$F$34=2,Inputs!BE230,Inputs!BE229+IF(Inputs!$F$35&gt;0,IF(BE8=33,-7.5,0)+IF(BE8=33+Inputs!$F$35,7.5,0),0))</f>
        <v>0</v>
      </c>
      <c r="BF20" s="11" t="n">
        <f aca="false">IF(Inputs!$F$34=2,Inputs!BF230,Inputs!BF229+IF(Inputs!$F$35&gt;0,IF(BF8=33,-7.5,0)+IF(BF8=33+Inputs!$F$35,7.5,0),0))</f>
        <v>0</v>
      </c>
      <c r="BG20" s="11" t="n">
        <f aca="false">IF(Inputs!$F$34=2,Inputs!BG230,Inputs!BG229+IF(Inputs!$F$35&gt;0,IF(BG8=33,-7.5,0)+IF(BG8=33+Inputs!$F$35,7.5,0),0))</f>
        <v>0</v>
      </c>
      <c r="BH20" s="11" t="n">
        <f aca="false">IF(Inputs!$F$34=2,Inputs!BH230,Inputs!BH229+IF(Inputs!$F$35&gt;0,IF(BH8=33,-7.5,0)+IF(BH8=33+Inputs!$F$35,7.5,0),0))</f>
        <v>0</v>
      </c>
      <c r="BI20" s="11" t="n">
        <f aca="false">IF(Inputs!$F$34=2,Inputs!BI230,Inputs!BI229+IF(Inputs!$F$35&gt;0,IF(BI8=33,-7.5,0)+IF(BI8=33+Inputs!$F$35,7.5,0),0))</f>
        <v>0</v>
      </c>
      <c r="BJ20" s="11" t="n">
        <f aca="false">IF(Inputs!$F$34=2,Inputs!BJ230,Inputs!BJ229+IF(Inputs!$F$35&gt;0,IF(BJ8=33,-7.5,0)+IF(BJ8=33+Inputs!$F$35,7.5,0),0))</f>
        <v>0</v>
      </c>
    </row>
    <row r="21" customFormat="false" ht="15" hidden="false" customHeight="false" outlineLevel="0" collapsed="false">
      <c r="D21" s="0" t="s">
        <v>444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445</v>
      </c>
      <c r="E22" s="0" t="s">
        <v>149</v>
      </c>
      <c r="G22" s="11" t="n">
        <f aca="false">SUM(J22:BJ22)</f>
        <v>571.84</v>
      </c>
      <c r="J22" s="11" t="n">
        <f aca="false">IF(Inputs!$F$34=2,J20/100*Inputs!$F$58+J20/100*Inputs!$F$59*Inputs!$F$60/J16,Inputs!$F$57*Inputs!$F$36*J20/100)</f>
        <v>57.184</v>
      </c>
      <c r="K22" s="11" t="n">
        <f aca="false">IF(Inputs!$F$34=2,K20/100*Inputs!$F$58+K20/100*Inputs!$F$59*Inputs!$F$60/K16,Inputs!$F$57*Inputs!$F$36*K20/100)</f>
        <v>0.06175872</v>
      </c>
      <c r="L22" s="11" t="n">
        <f aca="false">IF(Inputs!$F$34=2,L20/100*Inputs!$F$58+L20/100*Inputs!$F$59*Inputs!$F$60/L16,Inputs!$F$57*Inputs!$F$36*L20/100)</f>
        <v>0.64789472</v>
      </c>
      <c r="M22" s="11" t="n">
        <f aca="false">IF(Inputs!$F$34=2,M20/100*Inputs!$F$58+M20/100*Inputs!$F$59*Inputs!$F$60/M16,Inputs!$F$57*Inputs!$F$36*M20/100)</f>
        <v>1.85218976</v>
      </c>
      <c r="N22" s="11" t="n">
        <f aca="false">IF(Inputs!$F$34=2,N20/100*Inputs!$F$58+N20/100*Inputs!$F$59*Inputs!$F$60/N16,Inputs!$F$57*Inputs!$F$36*N20/100)</f>
        <v>3.59916096</v>
      </c>
      <c r="O22" s="11" t="n">
        <f aca="false">IF(Inputs!$F$34=2,O20/100*Inputs!$F$58+O20/100*Inputs!$F$59*Inputs!$F$60/O16,Inputs!$F$57*Inputs!$F$36*O20/100)</f>
        <v>5.78358976</v>
      </c>
      <c r="P22" s="11" t="n">
        <f aca="false">IF(Inputs!$F$34=2,P20/100*Inputs!$F$58+P20/100*Inputs!$F$59*Inputs!$F$60/P16,Inputs!$F$57*Inputs!$F$36*P20/100)</f>
        <v>8.28939264</v>
      </c>
      <c r="Q22" s="11" t="n">
        <f aca="false">IF(Inputs!$F$34=2,Q20/100*Inputs!$F$58+Q20/100*Inputs!$F$59*Inputs!$F$60/Q16,Inputs!$F$57*Inputs!$F$36*Q20/100)</f>
        <v>10.99991424</v>
      </c>
      <c r="R22" s="11" t="n">
        <f aca="false">IF(Inputs!$F$34=2,R20/100*Inputs!$F$58+R20/100*Inputs!$F$59*Inputs!$F$60/R16,Inputs!$F$57*Inputs!$F$36*R20/100)</f>
        <v>13.80021472</v>
      </c>
      <c r="S22" s="11" t="n">
        <f aca="false">IF(Inputs!$F$34=2,S20/100*Inputs!$F$58+S20/100*Inputs!$F$59*Inputs!$F$60/S16,Inputs!$F$57*Inputs!$F$36*S20/100)</f>
        <v>16.58278816</v>
      </c>
      <c r="T22" s="11" t="n">
        <f aca="false">IF(Inputs!$F$34=2,T20/100*Inputs!$F$58+T20/100*Inputs!$F$59*Inputs!$F$60/T16,Inputs!$F$57*Inputs!$F$36*T20/100)</f>
        <v>19.24756256</v>
      </c>
      <c r="U22" s="11" t="n">
        <f aca="false">IF(Inputs!$F$34=2,U20/100*Inputs!$F$58+U20/100*Inputs!$F$59*Inputs!$F$60/U16,Inputs!$F$57*Inputs!$F$36*U20/100)</f>
        <v>21.70533088</v>
      </c>
      <c r="V22" s="11" t="n">
        <f aca="false">IF(Inputs!$F$34=2,V20/100*Inputs!$F$58+V20/100*Inputs!$F$59*Inputs!$F$60/V16,Inputs!$F$57*Inputs!$F$36*V20/100)</f>
        <v>23.8771792</v>
      </c>
      <c r="W22" s="11" t="n">
        <f aca="false">IF(Inputs!$F$34=2,W20/100*Inputs!$F$58+W20/100*Inputs!$F$59*Inputs!$F$60/W16,Inputs!$F$57*Inputs!$F$36*W20/100)</f>
        <v>25.6956304</v>
      </c>
      <c r="X22" s="11" t="n">
        <f aca="false">IF(Inputs!$F$34=2,X20/100*Inputs!$F$58+X20/100*Inputs!$F$59*Inputs!$F$60/X16,Inputs!$F$57*Inputs!$F$36*X20/100)</f>
        <v>27.1080752</v>
      </c>
      <c r="Y22" s="11" t="n">
        <f aca="false">IF(Inputs!$F$34=2,Y20/100*Inputs!$F$58+Y20/100*Inputs!$F$59*Inputs!$F$60/Y16,Inputs!$F$57*Inputs!$F$36*Y20/100)</f>
        <v>28.07219744</v>
      </c>
      <c r="Z22" s="11" t="n">
        <f aca="false">IF(Inputs!$F$34=2,Z20/100*Inputs!$F$58+Z20/100*Inputs!$F$59*Inputs!$F$60/Z16,Inputs!$F$57*Inputs!$F$36*Z20/100)</f>
        <v>28.56112064</v>
      </c>
      <c r="AA22" s="11" t="n">
        <f aca="false">IF(Inputs!$F$34=2,AA20/100*Inputs!$F$58+AA20/100*Inputs!$F$59*Inputs!$F$60/AA16,Inputs!$F$57*Inputs!$F$36*AA20/100)</f>
        <v>28.56112064</v>
      </c>
      <c r="AB22" s="11" t="n">
        <f aca="false">IF(Inputs!$F$34=2,AB20/100*Inputs!$F$58+AB20/100*Inputs!$F$59*Inputs!$F$60/AB16,Inputs!$F$57*Inputs!$F$36*AB20/100)</f>
        <v>28.07219744</v>
      </c>
      <c r="AC22" s="11" t="n">
        <f aca="false">IF(Inputs!$F$34=2,AC20/100*Inputs!$F$58+AC20/100*Inputs!$F$59*Inputs!$F$60/AC16,Inputs!$F$57*Inputs!$F$36*AC20/100)</f>
        <v>27.1080752</v>
      </c>
      <c r="AD22" s="11" t="n">
        <f aca="false">IF(Inputs!$F$34=2,AD20/100*Inputs!$F$58+AD20/100*Inputs!$F$59*Inputs!$F$60/AD16,Inputs!$F$57*Inputs!$F$36*AD20/100)</f>
        <v>25.6956304</v>
      </c>
      <c r="AE22" s="11" t="n">
        <f aca="false">IF(Inputs!$F$34=2,AE20/100*Inputs!$F$58+AE20/100*Inputs!$F$59*Inputs!$F$60/AE16,Inputs!$F$57*Inputs!$F$36*AE20/100)</f>
        <v>23.8771792</v>
      </c>
      <c r="AF22" s="11" t="n">
        <f aca="false">IF(Inputs!$F$34=2,AF20/100*Inputs!$F$58+AF20/100*Inputs!$F$59*Inputs!$F$60/AF16,Inputs!$F$57*Inputs!$F$36*AF20/100)</f>
        <v>21.70533088</v>
      </c>
      <c r="AG22" s="11" t="n">
        <f aca="false">IF(Inputs!$F$34=2,AG20/100*Inputs!$F$58+AG20/100*Inputs!$F$59*Inputs!$F$60/AG16,Inputs!$F$57*Inputs!$F$36*AG20/100)</f>
        <v>19.24756256</v>
      </c>
      <c r="AH22" s="11" t="n">
        <f aca="false">IF(Inputs!$F$34=2,AH20/100*Inputs!$F$58+AH20/100*Inputs!$F$59*Inputs!$F$60/AH16,Inputs!$F$57*Inputs!$F$36*AH20/100)</f>
        <v>16.58278816</v>
      </c>
      <c r="AI22" s="11" t="n">
        <f aca="false">IF(Inputs!$F$34=2,AI20/100*Inputs!$F$58+AI20/100*Inputs!$F$59*Inputs!$F$60/AI16,Inputs!$F$57*Inputs!$F$36*AI20/100)</f>
        <v>13.80021472</v>
      </c>
      <c r="AJ22" s="11" t="n">
        <f aca="false">IF(Inputs!$F$34=2,AJ20/100*Inputs!$F$58+AJ20/100*Inputs!$F$59*Inputs!$F$60/AJ16,Inputs!$F$57*Inputs!$F$36*AJ20/100)</f>
        <v>10.99991424</v>
      </c>
      <c r="AK22" s="11" t="n">
        <f aca="false">IF(Inputs!$F$34=2,AK20/100*Inputs!$F$58+AK20/100*Inputs!$F$59*Inputs!$F$60/AK16,Inputs!$F$57*Inputs!$F$36*AK20/100)</f>
        <v>8.28939264</v>
      </c>
      <c r="AL22" s="11" t="n">
        <f aca="false">IF(Inputs!$F$34=2,AL20/100*Inputs!$F$58+AL20/100*Inputs!$F$59*Inputs!$F$60/AL16,Inputs!$F$57*Inputs!$F$36*AL20/100)</f>
        <v>5.78358976</v>
      </c>
      <c r="AM22" s="11" t="n">
        <f aca="false">IF(Inputs!$F$34=2,AM20/100*Inputs!$F$58+AM20/100*Inputs!$F$59*Inputs!$F$60/AM16,Inputs!$F$57*Inputs!$F$36*AM20/100)</f>
        <v>3.59916096</v>
      </c>
      <c r="AN22" s="11" t="n">
        <f aca="false">IF(Inputs!$F$34=2,AN20/100*Inputs!$F$58+AN20/100*Inputs!$F$59*Inputs!$F$60/AN16,Inputs!$F$57*Inputs!$F$36*AN20/100)</f>
        <v>1.85218976</v>
      </c>
      <c r="AO22" s="11" t="n">
        <f aca="false">IF(Inputs!$F$34=2,AO20/100*Inputs!$F$58+AO20/100*Inputs!$F$59*Inputs!$F$60/AO16,Inputs!$F$57*Inputs!$F$36*AO20/100)</f>
        <v>0.64789472</v>
      </c>
      <c r="AP22" s="11" t="n">
        <f aca="false">IF(Inputs!$F$34=2,AP20/100*Inputs!$F$58+AP20/100*Inputs!$F$59*Inputs!$F$60/AP16,Inputs!$F$57*Inputs!$F$36*AP20/100)</f>
        <v>0.0617587199999983</v>
      </c>
      <c r="AQ22" s="11" t="n">
        <f aca="false">IF(Inputs!$F$34=2,AQ20/100*Inputs!$F$58+AQ20/100*Inputs!$F$59*Inputs!$F$60/AQ16,Inputs!$F$57*Inputs!$F$36*AQ20/100)</f>
        <v>0</v>
      </c>
      <c r="AR22" s="11" t="n">
        <f aca="false">IF(Inputs!$F$34=2,AR20/100*Inputs!$F$58+AR20/100*Inputs!$F$59*Inputs!$F$60/AR16,Inputs!$F$57*Inputs!$F$36*AR20/100)</f>
        <v>0</v>
      </c>
      <c r="AS22" s="11" t="n">
        <f aca="false">IF(Inputs!$F$34=2,AS20/100*Inputs!$F$58+AS20/100*Inputs!$F$59*Inputs!$F$60/AS16,Inputs!$F$57*Inputs!$F$36*AS20/100)</f>
        <v>0</v>
      </c>
      <c r="AT22" s="11" t="n">
        <f aca="false">IF(Inputs!$F$34=2,AT20/100*Inputs!$F$58+AT20/100*Inputs!$F$59*Inputs!$F$60/AT16,Inputs!$F$57*Inputs!$F$36*AT20/100)</f>
        <v>0</v>
      </c>
      <c r="AU22" s="11" t="n">
        <f aca="false">IF(Inputs!$F$34=2,AU20/100*Inputs!$F$58+AU20/100*Inputs!$F$59*Inputs!$F$60/AU16,Inputs!$F$57*Inputs!$F$36*AU20/100)</f>
        <v>0</v>
      </c>
      <c r="AV22" s="11" t="n">
        <f aca="false">IF(Inputs!$F$34=2,AV20/100*Inputs!$F$58+AV20/100*Inputs!$F$59*Inputs!$F$60/AV16,Inputs!$F$57*Inputs!$F$36*AV20/100)</f>
        <v>42.888</v>
      </c>
      <c r="AW22" s="11" t="n">
        <f aca="false">IF(Inputs!$F$34=2,AW20/100*Inputs!$F$58+AW20/100*Inputs!$F$59*Inputs!$F$60/AW16,Inputs!$F$57*Inputs!$F$36*AW20/100)</f>
        <v>0</v>
      </c>
      <c r="AX22" s="11" t="n">
        <f aca="false">IF(Inputs!$F$34=2,AX20/100*Inputs!$F$58+AX20/100*Inputs!$F$59*Inputs!$F$60/AX16,Inputs!$F$57*Inputs!$F$36*AX20/100)</f>
        <v>0</v>
      </c>
      <c r="AY22" s="11" t="n">
        <f aca="false">IF(Inputs!$F$34=2,AY20/100*Inputs!$F$58+AY20/100*Inputs!$F$59*Inputs!$F$60/AY16,Inputs!$F$57*Inputs!$F$36*AY20/100)</f>
        <v>0</v>
      </c>
      <c r="AZ22" s="11" t="n">
        <f aca="false">IF(Inputs!$F$34=2,AZ20/100*Inputs!$F$58+AZ20/100*Inputs!$F$59*Inputs!$F$60/AZ16,Inputs!$F$57*Inputs!$F$36*AZ20/100)</f>
        <v>0</v>
      </c>
      <c r="BA22" s="11" t="n">
        <f aca="false">IF(Inputs!$F$34=2,BA20/100*Inputs!$F$58+BA20/100*Inputs!$F$59*Inputs!$F$60/BA16,Inputs!$F$57*Inputs!$F$36*BA20/100)</f>
        <v>0</v>
      </c>
      <c r="BB22" s="11" t="n">
        <f aca="false">IF(Inputs!$F$34=2,BB20/100*Inputs!$F$58+BB20/100*Inputs!$F$59*Inputs!$F$60/BB16,Inputs!$F$57*Inputs!$F$36*BB20/100)</f>
        <v>0</v>
      </c>
      <c r="BC22" s="11" t="n">
        <f aca="false">IF(Inputs!$F$34=2,BC20/100*Inputs!$F$58+BC20/100*Inputs!$F$59*Inputs!$F$60/BC16,Inputs!$F$57*Inputs!$F$36*BC20/100)</f>
        <v>0</v>
      </c>
      <c r="BD22" s="11" t="n">
        <f aca="false">IF(Inputs!$F$34=2,BD20/100*Inputs!$F$58+BD20/100*Inputs!$F$59*Inputs!$F$60/BD16,Inputs!$F$57*Inputs!$F$36*BD20/100)</f>
        <v>0</v>
      </c>
      <c r="BE22" s="11" t="n">
        <f aca="false">IF(Inputs!$F$34=2,BE20/100*Inputs!$F$58+BE20/100*Inputs!$F$59*Inputs!$F$60/BE16,Inputs!$F$57*Inputs!$F$36*BE20/100)</f>
        <v>0</v>
      </c>
      <c r="BF22" s="11" t="n">
        <f aca="false">IF(Inputs!$F$34=2,BF20/100*Inputs!$F$58+BF20/100*Inputs!$F$59*Inputs!$F$60/BF16,Inputs!$F$57*Inputs!$F$36*BF20/100)</f>
        <v>0</v>
      </c>
      <c r="BG22" s="11" t="n">
        <f aca="false">IF(Inputs!$F$34=2,BG20/100*Inputs!$F$58+BG20/100*Inputs!$F$59*Inputs!$F$60/BG16,Inputs!$F$57*Inputs!$F$36*BG20/100)</f>
        <v>0</v>
      </c>
      <c r="BH22" s="11" t="n">
        <f aca="false">IF(Inputs!$F$34=2,BH20/100*Inputs!$F$58+BH20/100*Inputs!$F$59*Inputs!$F$60/BH16,Inputs!$F$57*Inputs!$F$36*BH20/100)</f>
        <v>0</v>
      </c>
      <c r="BI22" s="11" t="n">
        <f aca="false">IF(Inputs!$F$34=2,BI20/100*Inputs!$F$58+BI20/100*Inputs!$F$59*Inputs!$F$60/BI16,Inputs!$F$57*Inputs!$F$36*BI20/100)</f>
        <v>0</v>
      </c>
      <c r="BJ22" s="11" t="n">
        <f aca="false">IF(Inputs!$F$34=2,BJ20/100*Inputs!$F$58+BJ20/100*Inputs!$F$59*Inputs!$F$60/BJ16,Inputs!$F$57*Inputs!$F$36*BJ20/100)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1" t="n">
        <f aca="false">SUM(J23:BJ23)</f>
        <v>53.7997</v>
      </c>
      <c r="J23" s="11" t="n">
        <f aca="false">Inputs!$F$61*IF(Inputs!$F$34=1,Inputs!$F$36,1)*(Inputs!J231+IF(AND(Inputs!$F$34=1,J8&gt;33,J8&lt;=Time!$F$10),2.75,0))/100+IF(AND(Inputs!$F$34=2,J8&gt;=34,J8&lt;=40),Inputs!$F$69/7,0)</f>
        <v>5.5416</v>
      </c>
      <c r="K23" s="11" t="n">
        <f aca="false">Inputs!$F$61*IF(Inputs!$F$34=1,Inputs!$F$36,1)*(Inputs!K231+IF(AND(Inputs!$F$34=1,K8&gt;33,K8&lt;=Time!$F$10),2.75,0))/100+IF(AND(Inputs!$F$34=2,K8&gt;=34,K8&lt;=40),Inputs!$F$69/7,0)</f>
        <v>1.26995</v>
      </c>
      <c r="L23" s="11" t="n">
        <f aca="false">Inputs!$F$61*IF(Inputs!$F$34=1,Inputs!$F$36,1)*(Inputs!L231+IF(AND(Inputs!$F$34=1,L8&gt;33,L8&lt;=Time!$F$10),2.75,0))/100+IF(AND(Inputs!$F$34=2,L8&gt;=34,L8&lt;=40),Inputs!$F$69/7,0)</f>
        <v>1.26995</v>
      </c>
      <c r="M23" s="11" t="n">
        <f aca="false">Inputs!$F$61*IF(Inputs!$F$34=1,Inputs!$F$36,1)*(Inputs!M231+IF(AND(Inputs!$F$34=1,M8&gt;33,M8&lt;=Time!$F$10),2.75,0))/100+IF(AND(Inputs!$F$34=2,M8&gt;=34,M8&lt;=40),Inputs!$F$69/7,0)</f>
        <v>1.26995</v>
      </c>
      <c r="N23" s="11" t="n">
        <f aca="false">Inputs!$F$61*IF(Inputs!$F$34=1,Inputs!$F$36,1)*(Inputs!N231+IF(AND(Inputs!$F$34=1,N8&gt;33,N8&lt;=Time!$F$10),2.75,0))/100+IF(AND(Inputs!$F$34=2,N8&gt;=34,N8&lt;=40),Inputs!$F$69/7,0)</f>
        <v>1.26995</v>
      </c>
      <c r="O23" s="11" t="n">
        <f aca="false">Inputs!$F$61*IF(Inputs!$F$34=1,Inputs!$F$36,1)*(Inputs!O231+IF(AND(Inputs!$F$34=1,O8&gt;33,O8&lt;=Time!$F$10),2.75,0))/100+IF(AND(Inputs!$F$34=2,O8&gt;=34,O8&lt;=40),Inputs!$F$69/7,0)</f>
        <v>1.26995</v>
      </c>
      <c r="P23" s="11" t="n">
        <f aca="false">Inputs!$F$61*IF(Inputs!$F$34=1,Inputs!$F$36,1)*(Inputs!P231+IF(AND(Inputs!$F$34=1,P8&gt;33,P8&lt;=Time!$F$10),2.75,0))/100+IF(AND(Inputs!$F$34=2,P8&gt;=34,P8&lt;=40),Inputs!$F$69/7,0)</f>
        <v>1.26995</v>
      </c>
      <c r="Q23" s="11" t="n">
        <f aca="false">Inputs!$F$61*IF(Inputs!$F$34=1,Inputs!$F$36,1)*(Inputs!Q231+IF(AND(Inputs!$F$34=1,Q8&gt;33,Q8&lt;=Time!$F$10),2.75,0))/100+IF(AND(Inputs!$F$34=2,Q8&gt;=34,Q8&lt;=40),Inputs!$F$69/7,0)</f>
        <v>1.26995</v>
      </c>
      <c r="R23" s="11" t="n">
        <f aca="false">Inputs!$F$61*IF(Inputs!$F$34=1,Inputs!$F$36,1)*(Inputs!R231+IF(AND(Inputs!$F$34=1,R8&gt;33,R8&lt;=Time!$F$10),2.75,0))/100+IF(AND(Inputs!$F$34=2,R8&gt;=34,R8&lt;=40),Inputs!$F$69/7,0)</f>
        <v>1.26995</v>
      </c>
      <c r="S23" s="11" t="n">
        <f aca="false">Inputs!$F$61*IF(Inputs!$F$34=1,Inputs!$F$36,1)*(Inputs!S231+IF(AND(Inputs!$F$34=1,S8&gt;33,S8&lt;=Time!$F$10),2.75,0))/100+IF(AND(Inputs!$F$34=2,S8&gt;=34,S8&lt;=40),Inputs!$F$69/7,0)</f>
        <v>1.26995</v>
      </c>
      <c r="T23" s="11" t="n">
        <f aca="false">Inputs!$F$61*IF(Inputs!$F$34=1,Inputs!$F$36,1)*(Inputs!T231+IF(AND(Inputs!$F$34=1,T8&gt;33,T8&lt;=Time!$F$10),2.75,0))/100+IF(AND(Inputs!$F$34=2,T8&gt;=34,T8&lt;=40),Inputs!$F$69/7,0)</f>
        <v>1.26995</v>
      </c>
      <c r="U23" s="11" t="n">
        <f aca="false">Inputs!$F$61*IF(Inputs!$F$34=1,Inputs!$F$36,1)*(Inputs!U231+IF(AND(Inputs!$F$34=1,U8&gt;33,U8&lt;=Time!$F$10),2.75,0))/100+IF(AND(Inputs!$F$34=2,U8&gt;=34,U8&lt;=40),Inputs!$F$69/7,0)</f>
        <v>1.26995</v>
      </c>
      <c r="V23" s="11" t="n">
        <f aca="false">Inputs!$F$61*IF(Inputs!$F$34=1,Inputs!$F$36,1)*(Inputs!V231+IF(AND(Inputs!$F$34=1,V8&gt;33,V8&lt;=Time!$F$10),2.75,0))/100+IF(AND(Inputs!$F$34=2,V8&gt;=34,V8&lt;=40),Inputs!$F$69/7,0)</f>
        <v>1.26995</v>
      </c>
      <c r="W23" s="11" t="n">
        <f aca="false">Inputs!$F$61*IF(Inputs!$F$34=1,Inputs!$F$36,1)*(Inputs!W231+IF(AND(Inputs!$F$34=1,W8&gt;33,W8&lt;=Time!$F$10),2.75,0))/100+IF(AND(Inputs!$F$34=2,W8&gt;=34,W8&lt;=40),Inputs!$F$69/7,0)</f>
        <v>1.26995</v>
      </c>
      <c r="X23" s="11" t="n">
        <f aca="false">Inputs!$F$61*IF(Inputs!$F$34=1,Inputs!$F$36,1)*(Inputs!X231+IF(AND(Inputs!$F$34=1,X8&gt;33,X8&lt;=Time!$F$10),2.75,0))/100+IF(AND(Inputs!$F$34=2,X8&gt;=34,X8&lt;=40),Inputs!$F$69/7,0)</f>
        <v>1.26995</v>
      </c>
      <c r="Y23" s="11" t="n">
        <f aca="false">Inputs!$F$61*IF(Inputs!$F$34=1,Inputs!$F$36,1)*(Inputs!Y231+IF(AND(Inputs!$F$34=1,Y8&gt;33,Y8&lt;=Time!$F$10),2.75,0))/100+IF(AND(Inputs!$F$34=2,Y8&gt;=34,Y8&lt;=40),Inputs!$F$69/7,0)</f>
        <v>1.26995</v>
      </c>
      <c r="Z23" s="11" t="n">
        <f aca="false">Inputs!$F$61*IF(Inputs!$F$34=1,Inputs!$F$36,1)*(Inputs!Z231+IF(AND(Inputs!$F$34=1,Z8&gt;33,Z8&lt;=Time!$F$10),2.75,0))/100+IF(AND(Inputs!$F$34=2,Z8&gt;=34,Z8&lt;=40),Inputs!$F$69/7,0)</f>
        <v>1.26995</v>
      </c>
      <c r="AA23" s="11" t="n">
        <f aca="false">Inputs!$F$61*IF(Inputs!$F$34=1,Inputs!$F$36,1)*(Inputs!AA231+IF(AND(Inputs!$F$34=1,AA8&gt;33,AA8&lt;=Time!$F$10),2.75,0))/100+IF(AND(Inputs!$F$34=2,AA8&gt;=34,AA8&lt;=40),Inputs!$F$69/7,0)</f>
        <v>1.26995</v>
      </c>
      <c r="AB23" s="11" t="n">
        <f aca="false">Inputs!$F$61*IF(Inputs!$F$34=1,Inputs!$F$36,1)*(Inputs!AB231+IF(AND(Inputs!$F$34=1,AB8&gt;33,AB8&lt;=Time!$F$10),2.75,0))/100+IF(AND(Inputs!$F$34=2,AB8&gt;=34,AB8&lt;=40),Inputs!$F$69/7,0)</f>
        <v>1.26995</v>
      </c>
      <c r="AC23" s="11" t="n">
        <f aca="false">Inputs!$F$61*IF(Inputs!$F$34=1,Inputs!$F$36,1)*(Inputs!AC231+IF(AND(Inputs!$F$34=1,AC8&gt;33,AC8&lt;=Time!$F$10),2.75,0))/100+IF(AND(Inputs!$F$34=2,AC8&gt;=34,AC8&lt;=40),Inputs!$F$69/7,0)</f>
        <v>1.26995</v>
      </c>
      <c r="AD23" s="11" t="n">
        <f aca="false">Inputs!$F$61*IF(Inputs!$F$34=1,Inputs!$F$36,1)*(Inputs!AD231+IF(AND(Inputs!$F$34=1,AD8&gt;33,AD8&lt;=Time!$F$10),2.75,0))/100+IF(AND(Inputs!$F$34=2,AD8&gt;=34,AD8&lt;=40),Inputs!$F$69/7,0)</f>
        <v>1.26995</v>
      </c>
      <c r="AE23" s="11" t="n">
        <f aca="false">Inputs!$F$61*IF(Inputs!$F$34=1,Inputs!$F$36,1)*(Inputs!AE231+IF(AND(Inputs!$F$34=1,AE8&gt;33,AE8&lt;=Time!$F$10),2.75,0))/100+IF(AND(Inputs!$F$34=2,AE8&gt;=34,AE8&lt;=40),Inputs!$F$69/7,0)</f>
        <v>1.26995</v>
      </c>
      <c r="AF23" s="11" t="n">
        <f aca="false">Inputs!$F$61*IF(Inputs!$F$34=1,Inputs!$F$36,1)*(Inputs!AF231+IF(AND(Inputs!$F$34=1,AF8&gt;33,AF8&lt;=Time!$F$10),2.75,0))/100+IF(AND(Inputs!$F$34=2,AF8&gt;=34,AF8&lt;=40),Inputs!$F$69/7,0)</f>
        <v>1.26995</v>
      </c>
      <c r="AG23" s="11" t="n">
        <f aca="false">Inputs!$F$61*IF(Inputs!$F$34=1,Inputs!$F$36,1)*(Inputs!AG231+IF(AND(Inputs!$F$34=1,AG8&gt;33,AG8&lt;=Time!$F$10),2.75,0))/100+IF(AND(Inputs!$F$34=2,AG8&gt;=34,AG8&lt;=40),Inputs!$F$69/7,0)</f>
        <v>1.26995</v>
      </c>
      <c r="AH23" s="11" t="n">
        <f aca="false">Inputs!$F$61*IF(Inputs!$F$34=1,Inputs!$F$36,1)*(Inputs!AH231+IF(AND(Inputs!$F$34=1,AH8&gt;33,AH8&lt;=Time!$F$10),2.75,0))/100+IF(AND(Inputs!$F$34=2,AH8&gt;=34,AH8&lt;=40),Inputs!$F$69/7,0)</f>
        <v>1.26995</v>
      </c>
      <c r="AI23" s="11" t="n">
        <f aca="false">Inputs!$F$61*IF(Inputs!$F$34=1,Inputs!$F$36,1)*(Inputs!AI231+IF(AND(Inputs!$F$34=1,AI8&gt;33,AI8&lt;=Time!$F$10),2.75,0))/100+IF(AND(Inputs!$F$34=2,AI8&gt;=34,AI8&lt;=40),Inputs!$F$69/7,0)</f>
        <v>1.26995</v>
      </c>
      <c r="AJ23" s="11" t="n">
        <f aca="false">Inputs!$F$61*IF(Inputs!$F$34=1,Inputs!$F$36,1)*(Inputs!AJ231+IF(AND(Inputs!$F$34=1,AJ8&gt;33,AJ8&lt;=Time!$F$10),2.75,0))/100+IF(AND(Inputs!$F$34=2,AJ8&gt;=34,AJ8&lt;=40),Inputs!$F$69/7,0)</f>
        <v>1.26995</v>
      </c>
      <c r="AK23" s="11" t="n">
        <f aca="false">Inputs!$F$61*IF(Inputs!$F$34=1,Inputs!$F$36,1)*(Inputs!AK231+IF(AND(Inputs!$F$34=1,AK8&gt;33,AK8&lt;=Time!$F$10),2.75,0))/100+IF(AND(Inputs!$F$34=2,AK8&gt;=34,AK8&lt;=40),Inputs!$F$69/7,0)</f>
        <v>1.26995</v>
      </c>
      <c r="AL23" s="11" t="n">
        <f aca="false">Inputs!$F$61*IF(Inputs!$F$34=1,Inputs!$F$36,1)*(Inputs!AL231+IF(AND(Inputs!$F$34=1,AL8&gt;33,AL8&lt;=Time!$F$10),2.75,0))/100+IF(AND(Inputs!$F$34=2,AL8&gt;=34,AL8&lt;=40),Inputs!$F$69/7,0)</f>
        <v>1.26995</v>
      </c>
      <c r="AM23" s="11" t="n">
        <f aca="false">Inputs!$F$61*IF(Inputs!$F$34=1,Inputs!$F$36,1)*(Inputs!AM231+IF(AND(Inputs!$F$34=1,AM8&gt;33,AM8&lt;=Time!$F$10),2.75,0))/100+IF(AND(Inputs!$F$34=2,AM8&gt;=34,AM8&lt;=40),Inputs!$F$69/7,0)</f>
        <v>1.26995</v>
      </c>
      <c r="AN23" s="11" t="n">
        <f aca="false">Inputs!$F$61*IF(Inputs!$F$34=1,Inputs!$F$36,1)*(Inputs!AN231+IF(AND(Inputs!$F$34=1,AN8&gt;33,AN8&lt;=Time!$F$10),2.75,0))/100+IF(AND(Inputs!$F$34=2,AN8&gt;=34,AN8&lt;=40),Inputs!$F$69/7,0)</f>
        <v>1.26995</v>
      </c>
      <c r="AO23" s="11" t="n">
        <f aca="false">Inputs!$F$61*IF(Inputs!$F$34=1,Inputs!$F$36,1)*(Inputs!AO231+IF(AND(Inputs!$F$34=1,AO8&gt;33,AO8&lt;=Time!$F$10),2.75,0))/100+IF(AND(Inputs!$F$34=2,AO8&gt;=34,AO8&lt;=40),Inputs!$F$69/7,0)</f>
        <v>1.26995</v>
      </c>
      <c r="AP23" s="11" t="n">
        <f aca="false">Inputs!$F$61*IF(Inputs!$F$34=1,Inputs!$F$36,1)*(Inputs!AP231+IF(AND(Inputs!$F$34=1,AP8&gt;33,AP8&lt;=Time!$F$10),2.75,0))/100+IF(AND(Inputs!$F$34=2,AP8&gt;=34,AP8&lt;=40),Inputs!$F$69/7,0)</f>
        <v>1.26995</v>
      </c>
      <c r="AQ23" s="11" t="n">
        <f aca="false">Inputs!$F$61*IF(Inputs!$F$34=1,Inputs!$F$36,1)*(Inputs!AQ231+IF(AND(Inputs!$F$34=1,AQ8&gt;33,AQ8&lt;=Time!$F$10),2.75,0))/100+IF(AND(Inputs!$F$34=2,AQ8&gt;=34,AQ8&lt;=40),Inputs!$F$69/7,0)</f>
        <v>1.26995</v>
      </c>
      <c r="AR23" s="11" t="n">
        <f aca="false">Inputs!$F$61*IF(Inputs!$F$34=1,Inputs!$F$36,1)*(Inputs!AR231+IF(AND(Inputs!$F$34=1,AR8&gt;33,AR8&lt;=Time!$F$10),2.75,0))/100+IF(AND(Inputs!$F$34=2,AR8&gt;=34,AR8&lt;=40),Inputs!$F$69/7,0)</f>
        <v>1.26995</v>
      </c>
      <c r="AS23" s="11" t="n">
        <f aca="false">Inputs!$F$61*IF(Inputs!$F$34=1,Inputs!$F$36,1)*(Inputs!AS231+IF(AND(Inputs!$F$34=1,AS8&gt;33,AS8&lt;=Time!$F$10),2.75,0))/100+IF(AND(Inputs!$F$34=2,AS8&gt;=34,AS8&lt;=40),Inputs!$F$69/7,0)</f>
        <v>1.26995</v>
      </c>
      <c r="AT23" s="11" t="n">
        <f aca="false">Inputs!$F$61*IF(Inputs!$F$34=1,Inputs!$F$36,1)*(Inputs!AT231+IF(AND(Inputs!$F$34=1,AT8&gt;33,AT8&lt;=Time!$F$10),2.75,0))/100+IF(AND(Inputs!$F$34=2,AT8&gt;=34,AT8&lt;=40),Inputs!$F$69/7,0)</f>
        <v>1.26995</v>
      </c>
      <c r="AU23" s="11" t="n">
        <f aca="false">Inputs!$F$61*IF(Inputs!$F$34=1,Inputs!$F$36,1)*(Inputs!AU231+IF(AND(Inputs!$F$34=1,AU8&gt;33,AU8&lt;=Time!$F$10),2.75,0))/100+IF(AND(Inputs!$F$34=2,AU8&gt;=34,AU8&lt;=40),Inputs!$F$69/7,0)</f>
        <v>1.26995</v>
      </c>
      <c r="AV23" s="11" t="n">
        <f aca="false">Inputs!$F$61*IF(Inputs!$F$34=1,Inputs!$F$36,1)*(Inputs!AV231+IF(AND(Inputs!$F$34=1,AV8&gt;33,AV8&lt;=Time!$F$10),2.75,0))/100+IF(AND(Inputs!$F$34=2,AV8&gt;=34,AV8&lt;=40),Inputs!$F$69/7,0)</f>
        <v>1.26995</v>
      </c>
      <c r="AW23" s="11" t="n">
        <f aca="false">Inputs!$F$61*IF(Inputs!$F$34=1,Inputs!$F$36,1)*(Inputs!AW231+IF(AND(Inputs!$F$34=1,AW8&gt;33,AW8&lt;=Time!$F$10),2.75,0))/100+IF(AND(Inputs!$F$34=2,AW8&gt;=34,AW8&lt;=40),Inputs!$F$69/7,0)</f>
        <v>0</v>
      </c>
      <c r="AX23" s="11" t="n">
        <f aca="false">Inputs!$F$61*IF(Inputs!$F$34=1,Inputs!$F$36,1)*(Inputs!AX231+IF(AND(Inputs!$F$34=1,AX8&gt;33,AX8&lt;=Time!$F$10),2.75,0))/100+IF(AND(Inputs!$F$34=2,AX8&gt;=34,AX8&lt;=40),Inputs!$F$69/7,0)</f>
        <v>0</v>
      </c>
      <c r="AY23" s="11" t="n">
        <f aca="false">Inputs!$F$61*IF(Inputs!$F$34=1,Inputs!$F$36,1)*(Inputs!AY231+IF(AND(Inputs!$F$34=1,AY8&gt;33,AY8&lt;=Time!$F$10),2.75,0))/100+IF(AND(Inputs!$F$34=2,AY8&gt;=34,AY8&lt;=40),Inputs!$F$69/7,0)</f>
        <v>0</v>
      </c>
      <c r="AZ23" s="11" t="n">
        <f aca="false">Inputs!$F$61*IF(Inputs!$F$34=1,Inputs!$F$36,1)*(Inputs!AZ231+IF(AND(Inputs!$F$34=1,AZ8&gt;33,AZ8&lt;=Time!$F$10),2.75,0))/100+IF(AND(Inputs!$F$34=2,AZ8&gt;=34,AZ8&lt;=40),Inputs!$F$69/7,0)</f>
        <v>0</v>
      </c>
      <c r="BA23" s="11" t="n">
        <f aca="false">Inputs!$F$61*IF(Inputs!$F$34=1,Inputs!$F$36,1)*(Inputs!BA231+IF(AND(Inputs!$F$34=1,BA8&gt;33,BA8&lt;=Time!$F$10),2.75,0))/100+IF(AND(Inputs!$F$34=2,BA8&gt;=34,BA8&lt;=40),Inputs!$F$69/7,0)</f>
        <v>0</v>
      </c>
      <c r="BB23" s="11" t="n">
        <f aca="false">Inputs!$F$61*IF(Inputs!$F$34=1,Inputs!$F$36,1)*(Inputs!BB231+IF(AND(Inputs!$F$34=1,BB8&gt;33,BB8&lt;=Time!$F$10),2.75,0))/100+IF(AND(Inputs!$F$34=2,BB8&gt;=34,BB8&lt;=40),Inputs!$F$69/7,0)</f>
        <v>0</v>
      </c>
      <c r="BC23" s="11" t="n">
        <f aca="false">Inputs!$F$61*IF(Inputs!$F$34=1,Inputs!$F$36,1)*(Inputs!BC231+IF(AND(Inputs!$F$34=1,BC8&gt;33,BC8&lt;=Time!$F$10),2.75,0))/100+IF(AND(Inputs!$F$34=2,BC8&gt;=34,BC8&lt;=40),Inputs!$F$69/7,0)</f>
        <v>0</v>
      </c>
      <c r="BD23" s="11" t="n">
        <f aca="false">Inputs!$F$61*IF(Inputs!$F$34=1,Inputs!$F$36,1)*(Inputs!BD231+IF(AND(Inputs!$F$34=1,BD8&gt;33,BD8&lt;=Time!$F$10),2.75,0))/100+IF(AND(Inputs!$F$34=2,BD8&gt;=34,BD8&lt;=40),Inputs!$F$69/7,0)</f>
        <v>0</v>
      </c>
      <c r="BE23" s="11" t="n">
        <f aca="false">Inputs!$F$61*IF(Inputs!$F$34=1,Inputs!$F$36,1)*(Inputs!BE231+IF(AND(Inputs!$F$34=1,BE8&gt;33,BE8&lt;=Time!$F$10),2.75,0))/100+IF(AND(Inputs!$F$34=2,BE8&gt;=34,BE8&lt;=40),Inputs!$F$69/7,0)</f>
        <v>0</v>
      </c>
      <c r="BF23" s="11" t="n">
        <f aca="false">Inputs!$F$61*IF(Inputs!$F$34=1,Inputs!$F$36,1)*(Inputs!BF231+IF(AND(Inputs!$F$34=1,BF8&gt;33,BF8&lt;=Time!$F$10),2.75,0))/100+IF(AND(Inputs!$F$34=2,BF8&gt;=34,BF8&lt;=40),Inputs!$F$69/7,0)</f>
        <v>0</v>
      </c>
      <c r="BG23" s="11" t="n">
        <f aca="false">Inputs!$F$61*IF(Inputs!$F$34=1,Inputs!$F$36,1)*(Inputs!BG231+IF(AND(Inputs!$F$34=1,BG8&gt;33,BG8&lt;=Time!$F$10),2.75,0))/100+IF(AND(Inputs!$F$34=2,BG8&gt;=34,BG8&lt;=40),Inputs!$F$69/7,0)</f>
        <v>0</v>
      </c>
      <c r="BH23" s="11" t="n">
        <f aca="false">Inputs!$F$61*IF(Inputs!$F$34=1,Inputs!$F$36,1)*(Inputs!BH231+IF(AND(Inputs!$F$34=1,BH8&gt;33,BH8&lt;=Time!$F$10),2.75,0))/100+IF(AND(Inputs!$F$34=2,BH8&gt;=34,BH8&lt;=40),Inputs!$F$69/7,0)</f>
        <v>0</v>
      </c>
      <c r="BI23" s="11" t="n">
        <f aca="false">Inputs!$F$61*IF(Inputs!$F$34=1,Inputs!$F$36,1)*(Inputs!BI231+IF(AND(Inputs!$F$34=1,BI8&gt;33,BI8&lt;=Time!$F$10),2.75,0))/100+IF(AND(Inputs!$F$34=2,BI8&gt;=34,BI8&lt;=40),Inputs!$F$69/7,0)</f>
        <v>0</v>
      </c>
      <c r="BJ23" s="11" t="n">
        <f aca="false">Inputs!$F$61*IF(Inputs!$F$34=1,Inputs!$F$36,1)*(Inputs!BJ231+IF(AND(Inputs!$F$34=1,BJ8&gt;33,BJ8&lt;=Time!$F$10),2.75,0))/100+IF(AND(Inputs!$F$34=2,BJ8&gt;=34,BJ8&lt;=40),Inputs!$F$69/7,0)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1" t="n">
        <f aca="false">SUM(J24:BJ24)</f>
        <v>7.62</v>
      </c>
      <c r="J24" s="11" t="n">
        <f aca="false">Inputs!$F$62*Inputs!$F$36*(0.85*IF(J8=1,1,0)+0.15*IF(J8=18,1,0))</f>
        <v>6.477</v>
      </c>
      <c r="K24" s="11" t="n">
        <f aca="false">Inputs!$F$62*Inputs!$F$36*(0.85*IF(K8=1,1,0)+0.15*IF(K8=18,1,0))</f>
        <v>0</v>
      </c>
      <c r="L24" s="11" t="n">
        <f aca="false">Inputs!$F$62*Inputs!$F$36*(0.85*IF(L8=1,1,0)+0.15*IF(L8=18,1,0))</f>
        <v>0</v>
      </c>
      <c r="M24" s="11" t="n">
        <f aca="false">Inputs!$F$62*Inputs!$F$36*(0.85*IF(M8=1,1,0)+0.15*IF(M8=18,1,0))</f>
        <v>0</v>
      </c>
      <c r="N24" s="11" t="n">
        <f aca="false">Inputs!$F$62*Inputs!$F$36*(0.85*IF(N8=1,1,0)+0.15*IF(N8=18,1,0))</f>
        <v>0</v>
      </c>
      <c r="O24" s="11" t="n">
        <f aca="false">Inputs!$F$62*Inputs!$F$36*(0.85*IF(O8=1,1,0)+0.15*IF(O8=18,1,0))</f>
        <v>0</v>
      </c>
      <c r="P24" s="11" t="n">
        <f aca="false">Inputs!$F$62*Inputs!$F$36*(0.85*IF(P8=1,1,0)+0.15*IF(P8=18,1,0))</f>
        <v>0</v>
      </c>
      <c r="Q24" s="11" t="n">
        <f aca="false">Inputs!$F$62*Inputs!$F$36*(0.85*IF(Q8=1,1,0)+0.15*IF(Q8=18,1,0))</f>
        <v>0</v>
      </c>
      <c r="R24" s="11" t="n">
        <f aca="false">Inputs!$F$62*Inputs!$F$36*(0.85*IF(R8=1,1,0)+0.15*IF(R8=18,1,0))</f>
        <v>0</v>
      </c>
      <c r="S24" s="11" t="n">
        <f aca="false">Inputs!$F$62*Inputs!$F$36*(0.85*IF(S8=1,1,0)+0.15*IF(S8=18,1,0))</f>
        <v>0</v>
      </c>
      <c r="T24" s="11" t="n">
        <f aca="false">Inputs!$F$62*Inputs!$F$36*(0.85*IF(T8=1,1,0)+0.15*IF(T8=18,1,0))</f>
        <v>0</v>
      </c>
      <c r="U24" s="11" t="n">
        <f aca="false">Inputs!$F$62*Inputs!$F$36*(0.85*IF(U8=1,1,0)+0.15*IF(U8=18,1,0))</f>
        <v>0</v>
      </c>
      <c r="V24" s="11" t="n">
        <f aca="false">Inputs!$F$62*Inputs!$F$36*(0.85*IF(V8=1,1,0)+0.15*IF(V8=18,1,0))</f>
        <v>0</v>
      </c>
      <c r="W24" s="11" t="n">
        <f aca="false">Inputs!$F$62*Inputs!$F$36*(0.85*IF(W8=1,1,0)+0.15*IF(W8=18,1,0))</f>
        <v>0</v>
      </c>
      <c r="X24" s="11" t="n">
        <f aca="false">Inputs!$F$62*Inputs!$F$36*(0.85*IF(X8=1,1,0)+0.15*IF(X8=18,1,0))</f>
        <v>0</v>
      </c>
      <c r="Y24" s="11" t="n">
        <f aca="false">Inputs!$F$62*Inputs!$F$36*(0.85*IF(Y8=1,1,0)+0.15*IF(Y8=18,1,0))</f>
        <v>0</v>
      </c>
      <c r="Z24" s="11" t="n">
        <f aca="false">Inputs!$F$62*Inputs!$F$36*(0.85*IF(Z8=1,1,0)+0.15*IF(Z8=18,1,0))</f>
        <v>0</v>
      </c>
      <c r="AA24" s="11" t="n">
        <f aca="false">Inputs!$F$62*Inputs!$F$36*(0.85*IF(AA8=1,1,0)+0.15*IF(AA8=18,1,0))</f>
        <v>1.143</v>
      </c>
      <c r="AB24" s="11" t="n">
        <f aca="false">Inputs!$F$62*Inputs!$F$36*(0.85*IF(AB8=1,1,0)+0.15*IF(AB8=18,1,0))</f>
        <v>0</v>
      </c>
      <c r="AC24" s="11" t="n">
        <f aca="false">Inputs!$F$62*Inputs!$F$36*(0.85*IF(AC8=1,1,0)+0.15*IF(AC8=18,1,0))</f>
        <v>0</v>
      </c>
      <c r="AD24" s="11" t="n">
        <f aca="false">Inputs!$F$62*Inputs!$F$36*(0.85*IF(AD8=1,1,0)+0.15*IF(AD8=18,1,0))</f>
        <v>0</v>
      </c>
      <c r="AE24" s="11" t="n">
        <f aca="false">Inputs!$F$62*Inputs!$F$36*(0.85*IF(AE8=1,1,0)+0.15*IF(AE8=18,1,0))</f>
        <v>0</v>
      </c>
      <c r="AF24" s="11" t="n">
        <f aca="false">Inputs!$F$62*Inputs!$F$36*(0.85*IF(AF8=1,1,0)+0.15*IF(AF8=18,1,0))</f>
        <v>0</v>
      </c>
      <c r="AG24" s="11" t="n">
        <f aca="false">Inputs!$F$62*Inputs!$F$36*(0.85*IF(AG8=1,1,0)+0.15*IF(AG8=18,1,0))</f>
        <v>0</v>
      </c>
      <c r="AH24" s="11" t="n">
        <f aca="false">Inputs!$F$62*Inputs!$F$36*(0.85*IF(AH8=1,1,0)+0.15*IF(AH8=18,1,0))</f>
        <v>0</v>
      </c>
      <c r="AI24" s="11" t="n">
        <f aca="false">Inputs!$F$62*Inputs!$F$36*(0.85*IF(AI8=1,1,0)+0.15*IF(AI8=18,1,0))</f>
        <v>0</v>
      </c>
      <c r="AJ24" s="11" t="n">
        <f aca="false">Inputs!$F$62*Inputs!$F$36*(0.85*IF(AJ8=1,1,0)+0.15*IF(AJ8=18,1,0))</f>
        <v>0</v>
      </c>
      <c r="AK24" s="11" t="n">
        <f aca="false">Inputs!$F$62*Inputs!$F$36*(0.85*IF(AK8=1,1,0)+0.15*IF(AK8=18,1,0))</f>
        <v>0</v>
      </c>
      <c r="AL24" s="11" t="n">
        <f aca="false">Inputs!$F$62*Inputs!$F$36*(0.85*IF(AL8=1,1,0)+0.15*IF(AL8=18,1,0))</f>
        <v>0</v>
      </c>
      <c r="AM24" s="11" t="n">
        <f aca="false">Inputs!$F$62*Inputs!$F$36*(0.85*IF(AM8=1,1,0)+0.15*IF(AM8=18,1,0))</f>
        <v>0</v>
      </c>
      <c r="AN24" s="11" t="n">
        <f aca="false">Inputs!$F$62*Inputs!$F$36*(0.85*IF(AN8=1,1,0)+0.15*IF(AN8=18,1,0))</f>
        <v>0</v>
      </c>
      <c r="AO24" s="11" t="n">
        <f aca="false">Inputs!$F$62*Inputs!$F$36*(0.85*IF(AO8=1,1,0)+0.15*IF(AO8=18,1,0))</f>
        <v>0</v>
      </c>
      <c r="AP24" s="11" t="n">
        <f aca="false">Inputs!$F$62*Inputs!$F$36*(0.85*IF(AP8=1,1,0)+0.15*IF(AP8=18,1,0))</f>
        <v>0</v>
      </c>
      <c r="AQ24" s="11" t="n">
        <f aca="false">Inputs!$F$62*Inputs!$F$36*(0.85*IF(AQ8=1,1,0)+0.15*IF(AQ8=18,1,0))</f>
        <v>0</v>
      </c>
      <c r="AR24" s="11" t="n">
        <f aca="false">Inputs!$F$62*Inputs!$F$36*(0.85*IF(AR8=1,1,0)+0.15*IF(AR8=18,1,0))</f>
        <v>0</v>
      </c>
      <c r="AS24" s="11" t="n">
        <f aca="false">Inputs!$F$62*Inputs!$F$36*(0.85*IF(AS8=1,1,0)+0.15*IF(AS8=18,1,0))</f>
        <v>0</v>
      </c>
      <c r="AT24" s="11" t="n">
        <f aca="false">Inputs!$F$62*Inputs!$F$36*(0.85*IF(AT8=1,1,0)+0.15*IF(AT8=18,1,0))</f>
        <v>0</v>
      </c>
      <c r="AU24" s="11" t="n">
        <f aca="false">Inputs!$F$62*Inputs!$F$36*(0.85*IF(AU8=1,1,0)+0.15*IF(AU8=18,1,0))</f>
        <v>0</v>
      </c>
      <c r="AV24" s="11" t="n">
        <f aca="false">Inputs!$F$62*Inputs!$F$36*(0.85*IF(AV8=1,1,0)+0.15*IF(AV8=18,1,0))</f>
        <v>0</v>
      </c>
      <c r="AW24" s="11" t="n">
        <f aca="false">Inputs!$F$62*Inputs!$F$36*(0.85*IF(AW8=1,1,0)+0.15*IF(AW8=18,1,0))</f>
        <v>0</v>
      </c>
      <c r="AX24" s="11" t="n">
        <f aca="false">Inputs!$F$62*Inputs!$F$36*(0.85*IF(AX8=1,1,0)+0.15*IF(AX8=18,1,0))</f>
        <v>0</v>
      </c>
      <c r="AY24" s="11" t="n">
        <f aca="false">Inputs!$F$62*Inputs!$F$36*(0.85*IF(AY8=1,1,0)+0.15*IF(AY8=18,1,0))</f>
        <v>0</v>
      </c>
      <c r="AZ24" s="11" t="n">
        <f aca="false">Inputs!$F$62*Inputs!$F$36*(0.85*IF(AZ8=1,1,0)+0.15*IF(AZ8=18,1,0))</f>
        <v>0</v>
      </c>
      <c r="BA24" s="11" t="n">
        <f aca="false">Inputs!$F$62*Inputs!$F$36*(0.85*IF(BA8=1,1,0)+0.15*IF(BA8=18,1,0))</f>
        <v>0</v>
      </c>
      <c r="BB24" s="11" t="n">
        <f aca="false">Inputs!$F$62*Inputs!$F$36*(0.85*IF(BB8=1,1,0)+0.15*IF(BB8=18,1,0))</f>
        <v>0</v>
      </c>
      <c r="BC24" s="11" t="n">
        <f aca="false">Inputs!$F$62*Inputs!$F$36*(0.85*IF(BC8=1,1,0)+0.15*IF(BC8=18,1,0))</f>
        <v>0</v>
      </c>
      <c r="BD24" s="11" t="n">
        <f aca="false">Inputs!$F$62*Inputs!$F$36*(0.85*IF(BD8=1,1,0)+0.15*IF(BD8=18,1,0))</f>
        <v>0</v>
      </c>
      <c r="BE24" s="11" t="n">
        <f aca="false">Inputs!$F$62*Inputs!$F$36*(0.85*IF(BE8=1,1,0)+0.15*IF(BE8=18,1,0))</f>
        <v>0</v>
      </c>
      <c r="BF24" s="11" t="n">
        <f aca="false">Inputs!$F$62*Inputs!$F$36*(0.85*IF(BF8=1,1,0)+0.15*IF(BF8=18,1,0))</f>
        <v>0</v>
      </c>
      <c r="BG24" s="11" t="n">
        <f aca="false">Inputs!$F$62*Inputs!$F$36*(0.85*IF(BG8=1,1,0)+0.15*IF(BG8=18,1,0))</f>
        <v>0</v>
      </c>
      <c r="BH24" s="11" t="n">
        <f aca="false">Inputs!$F$62*Inputs!$F$36*(0.85*IF(BH8=1,1,0)+0.15*IF(BH8=18,1,0))</f>
        <v>0</v>
      </c>
      <c r="BI24" s="11" t="n">
        <f aca="false">Inputs!$F$62*Inputs!$F$36*(0.85*IF(BI8=1,1,0)+0.15*IF(BI8=18,1,0))</f>
        <v>0</v>
      </c>
      <c r="BJ24" s="11" t="n">
        <f aca="false">Inputs!$F$62*Inputs!$F$36*(0.85*IF(BJ8=1,1,0)+0.15*IF(BJ8=18,1,0))</f>
        <v>0</v>
      </c>
    </row>
    <row r="25" customFormat="false" ht="15" hidden="false" customHeight="false" outlineLevel="0" collapsed="false">
      <c r="D25" s="0" t="s">
        <v>446</v>
      </c>
      <c r="E25" s="0" t="s">
        <v>149</v>
      </c>
      <c r="G25" s="11" t="n">
        <f aca="false">SUM(J25:BJ25)</f>
        <v>32.63</v>
      </c>
      <c r="J25" s="11" t="n">
        <f aca="false">IF(J8=1,Inputs!$F$63+Inputs!$F$64,0)</f>
        <v>32.63</v>
      </c>
      <c r="K25" s="11" t="n">
        <f aca="false">IF(K8=1,Inputs!$F$63+Inputs!$F$64,0)</f>
        <v>0</v>
      </c>
      <c r="L25" s="11" t="n">
        <f aca="false">IF(L8=1,Inputs!$F$63+Inputs!$F$64,0)</f>
        <v>0</v>
      </c>
      <c r="M25" s="11" t="n">
        <f aca="false">IF(M8=1,Inputs!$F$63+Inputs!$F$64,0)</f>
        <v>0</v>
      </c>
      <c r="N25" s="11" t="n">
        <f aca="false">IF(N8=1,Inputs!$F$63+Inputs!$F$64,0)</f>
        <v>0</v>
      </c>
      <c r="O25" s="11" t="n">
        <f aca="false">IF(O8=1,Inputs!$F$63+Inputs!$F$64,0)</f>
        <v>0</v>
      </c>
      <c r="P25" s="11" t="n">
        <f aca="false">IF(P8=1,Inputs!$F$63+Inputs!$F$64,0)</f>
        <v>0</v>
      </c>
      <c r="Q25" s="11" t="n">
        <f aca="false">IF(Q8=1,Inputs!$F$63+Inputs!$F$64,0)</f>
        <v>0</v>
      </c>
      <c r="R25" s="11" t="n">
        <f aca="false">IF(R8=1,Inputs!$F$63+Inputs!$F$64,0)</f>
        <v>0</v>
      </c>
      <c r="S25" s="11" t="n">
        <f aca="false">IF(S8=1,Inputs!$F$63+Inputs!$F$64,0)</f>
        <v>0</v>
      </c>
      <c r="T25" s="11" t="n">
        <f aca="false">IF(T8=1,Inputs!$F$63+Inputs!$F$64,0)</f>
        <v>0</v>
      </c>
      <c r="U25" s="11" t="n">
        <f aca="false">IF(U8=1,Inputs!$F$63+Inputs!$F$64,0)</f>
        <v>0</v>
      </c>
      <c r="V25" s="11" t="n">
        <f aca="false">IF(V8=1,Inputs!$F$63+Inputs!$F$64,0)</f>
        <v>0</v>
      </c>
      <c r="W25" s="11" t="n">
        <f aca="false">IF(W8=1,Inputs!$F$63+Inputs!$F$64,0)</f>
        <v>0</v>
      </c>
      <c r="X25" s="11" t="n">
        <f aca="false">IF(X8=1,Inputs!$F$63+Inputs!$F$64,0)</f>
        <v>0</v>
      </c>
      <c r="Y25" s="11" t="n">
        <f aca="false">IF(Y8=1,Inputs!$F$63+Inputs!$F$64,0)</f>
        <v>0</v>
      </c>
      <c r="Z25" s="11" t="n">
        <f aca="false">IF(Z8=1,Inputs!$F$63+Inputs!$F$64,0)</f>
        <v>0</v>
      </c>
      <c r="AA25" s="11" t="n">
        <f aca="false">IF(AA8=1,Inputs!$F$63+Inputs!$F$64,0)</f>
        <v>0</v>
      </c>
      <c r="AB25" s="11" t="n">
        <f aca="false">IF(AB8=1,Inputs!$F$63+Inputs!$F$64,0)</f>
        <v>0</v>
      </c>
      <c r="AC25" s="11" t="n">
        <f aca="false">IF(AC8=1,Inputs!$F$63+Inputs!$F$64,0)</f>
        <v>0</v>
      </c>
      <c r="AD25" s="11" t="n">
        <f aca="false">IF(AD8=1,Inputs!$F$63+Inputs!$F$64,0)</f>
        <v>0</v>
      </c>
      <c r="AE25" s="11" t="n">
        <f aca="false">IF(AE8=1,Inputs!$F$63+Inputs!$F$64,0)</f>
        <v>0</v>
      </c>
      <c r="AF25" s="11" t="n">
        <f aca="false">IF(AF8=1,Inputs!$F$63+Inputs!$F$64,0)</f>
        <v>0</v>
      </c>
      <c r="AG25" s="11" t="n">
        <f aca="false">IF(AG8=1,Inputs!$F$63+Inputs!$F$64,0)</f>
        <v>0</v>
      </c>
      <c r="AH25" s="11" t="n">
        <f aca="false">IF(AH8=1,Inputs!$F$63+Inputs!$F$64,0)</f>
        <v>0</v>
      </c>
      <c r="AI25" s="11" t="n">
        <f aca="false">IF(AI8=1,Inputs!$F$63+Inputs!$F$64,0)</f>
        <v>0</v>
      </c>
      <c r="AJ25" s="11" t="n">
        <f aca="false">IF(AJ8=1,Inputs!$F$63+Inputs!$F$64,0)</f>
        <v>0</v>
      </c>
      <c r="AK25" s="11" t="n">
        <f aca="false">IF(AK8=1,Inputs!$F$63+Inputs!$F$64,0)</f>
        <v>0</v>
      </c>
      <c r="AL25" s="11" t="n">
        <f aca="false">IF(AL8=1,Inputs!$F$63+Inputs!$F$64,0)</f>
        <v>0</v>
      </c>
      <c r="AM25" s="11" t="n">
        <f aca="false">IF(AM8=1,Inputs!$F$63+Inputs!$F$64,0)</f>
        <v>0</v>
      </c>
      <c r="AN25" s="11" t="n">
        <f aca="false">IF(AN8=1,Inputs!$F$63+Inputs!$F$64,0)</f>
        <v>0</v>
      </c>
      <c r="AO25" s="11" t="n">
        <f aca="false">IF(AO8=1,Inputs!$F$63+Inputs!$F$64,0)</f>
        <v>0</v>
      </c>
      <c r="AP25" s="11" t="n">
        <f aca="false">IF(AP8=1,Inputs!$F$63+Inputs!$F$64,0)</f>
        <v>0</v>
      </c>
      <c r="AQ25" s="11" t="n">
        <f aca="false">IF(AQ8=1,Inputs!$F$63+Inputs!$F$64,0)</f>
        <v>0</v>
      </c>
      <c r="AR25" s="11" t="n">
        <f aca="false">IF(AR8=1,Inputs!$F$63+Inputs!$F$64,0)</f>
        <v>0</v>
      </c>
      <c r="AS25" s="11" t="n">
        <f aca="false">IF(AS8=1,Inputs!$F$63+Inputs!$F$64,0)</f>
        <v>0</v>
      </c>
      <c r="AT25" s="11" t="n">
        <f aca="false">IF(AT8=1,Inputs!$F$63+Inputs!$F$64,0)</f>
        <v>0</v>
      </c>
      <c r="AU25" s="11" t="n">
        <f aca="false">IF(AU8=1,Inputs!$F$63+Inputs!$F$64,0)</f>
        <v>0</v>
      </c>
      <c r="AV25" s="11" t="n">
        <f aca="false">IF(AV8=1,Inputs!$F$63+Inputs!$F$64,0)</f>
        <v>0</v>
      </c>
      <c r="AW25" s="11" t="n">
        <f aca="false">IF(AW8=1,Inputs!$F$63+Inputs!$F$64,0)</f>
        <v>0</v>
      </c>
      <c r="AX25" s="11" t="n">
        <f aca="false">IF(AX8=1,Inputs!$F$63+Inputs!$F$64,0)</f>
        <v>0</v>
      </c>
      <c r="AY25" s="11" t="n">
        <f aca="false">IF(AY8=1,Inputs!$F$63+Inputs!$F$64,0)</f>
        <v>0</v>
      </c>
      <c r="AZ25" s="11" t="n">
        <f aca="false">IF(AZ8=1,Inputs!$F$63+Inputs!$F$64,0)</f>
        <v>0</v>
      </c>
      <c r="BA25" s="11" t="n">
        <f aca="false">IF(BA8=1,Inputs!$F$63+Inputs!$F$64,0)</f>
        <v>0</v>
      </c>
      <c r="BB25" s="11" t="n">
        <f aca="false">IF(BB8=1,Inputs!$F$63+Inputs!$F$64,0)</f>
        <v>0</v>
      </c>
      <c r="BC25" s="11" t="n">
        <f aca="false">IF(BC8=1,Inputs!$F$63+Inputs!$F$64,0)</f>
        <v>0</v>
      </c>
      <c r="BD25" s="11" t="n">
        <f aca="false">IF(BD8=1,Inputs!$F$63+Inputs!$F$64,0)</f>
        <v>0</v>
      </c>
      <c r="BE25" s="11" t="n">
        <f aca="false">IF(BE8=1,Inputs!$F$63+Inputs!$F$64,0)</f>
        <v>0</v>
      </c>
      <c r="BF25" s="11" t="n">
        <f aca="false">IF(BF8=1,Inputs!$F$63+Inputs!$F$64,0)</f>
        <v>0</v>
      </c>
      <c r="BG25" s="11" t="n">
        <f aca="false">IF(BG8=1,Inputs!$F$63+Inputs!$F$64,0)</f>
        <v>0</v>
      </c>
      <c r="BH25" s="11" t="n">
        <f aca="false">IF(BH8=1,Inputs!$F$63+Inputs!$F$64,0)</f>
        <v>0</v>
      </c>
      <c r="BI25" s="11" t="n">
        <f aca="false">IF(BI8=1,Inputs!$F$63+Inputs!$F$64,0)</f>
        <v>0</v>
      </c>
      <c r="BJ25" s="11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1" t="n">
        <f aca="false">SUM(J26:BJ26)</f>
        <v>8.97</v>
      </c>
      <c r="J26" s="11" t="n">
        <f aca="false">Inputs!$F$65*Inputs!$F$36*(0.7*IF(J8=1,1,0)+0.3/(Time!$F$10-1)*IF(AND(J8&gt;=2,J8&lt;=Time!$F$10),1,0))</f>
        <v>6.279</v>
      </c>
      <c r="K26" s="11" t="n">
        <f aca="false">Inputs!$F$65*Inputs!$F$36*(0.7*IF(K8=1,1,0)+0.3/(Time!$F$10-1)*IF(AND(K8&gt;=2,K8&lt;=Time!$F$10),1,0))</f>
        <v>0.0708157894736842</v>
      </c>
      <c r="L26" s="11" t="n">
        <f aca="false">Inputs!$F$65*Inputs!$F$36*(0.7*IF(L8=1,1,0)+0.3/(Time!$F$10-1)*IF(AND(L8&gt;=2,L8&lt;=Time!$F$10),1,0))</f>
        <v>0.0708157894736842</v>
      </c>
      <c r="M26" s="11" t="n">
        <f aca="false">Inputs!$F$65*Inputs!$F$36*(0.7*IF(M8=1,1,0)+0.3/(Time!$F$10-1)*IF(AND(M8&gt;=2,M8&lt;=Time!$F$10),1,0))</f>
        <v>0.0708157894736842</v>
      </c>
      <c r="N26" s="11" t="n">
        <f aca="false">Inputs!$F$65*Inputs!$F$36*(0.7*IF(N8=1,1,0)+0.3/(Time!$F$10-1)*IF(AND(N8&gt;=2,N8&lt;=Time!$F$10),1,0))</f>
        <v>0.0708157894736842</v>
      </c>
      <c r="O26" s="11" t="n">
        <f aca="false">Inputs!$F$65*Inputs!$F$36*(0.7*IF(O8=1,1,0)+0.3/(Time!$F$10-1)*IF(AND(O8&gt;=2,O8&lt;=Time!$F$10),1,0))</f>
        <v>0.0708157894736842</v>
      </c>
      <c r="P26" s="11" t="n">
        <f aca="false">Inputs!$F$65*Inputs!$F$36*(0.7*IF(P8=1,1,0)+0.3/(Time!$F$10-1)*IF(AND(P8&gt;=2,P8&lt;=Time!$F$10),1,0))</f>
        <v>0.0708157894736842</v>
      </c>
      <c r="Q26" s="11" t="n">
        <f aca="false">Inputs!$F$65*Inputs!$F$36*(0.7*IF(Q8=1,1,0)+0.3/(Time!$F$10-1)*IF(AND(Q8&gt;=2,Q8&lt;=Time!$F$10),1,0))</f>
        <v>0.0708157894736842</v>
      </c>
      <c r="R26" s="11" t="n">
        <f aca="false">Inputs!$F$65*Inputs!$F$36*(0.7*IF(R8=1,1,0)+0.3/(Time!$F$10-1)*IF(AND(R8&gt;=2,R8&lt;=Time!$F$10),1,0))</f>
        <v>0.0708157894736842</v>
      </c>
      <c r="S26" s="11" t="n">
        <f aca="false">Inputs!$F$65*Inputs!$F$36*(0.7*IF(S8=1,1,0)+0.3/(Time!$F$10-1)*IF(AND(S8&gt;=2,S8&lt;=Time!$F$10),1,0))</f>
        <v>0.0708157894736842</v>
      </c>
      <c r="T26" s="11" t="n">
        <f aca="false">Inputs!$F$65*Inputs!$F$36*(0.7*IF(T8=1,1,0)+0.3/(Time!$F$10-1)*IF(AND(T8&gt;=2,T8&lt;=Time!$F$10),1,0))</f>
        <v>0.0708157894736842</v>
      </c>
      <c r="U26" s="11" t="n">
        <f aca="false">Inputs!$F$65*Inputs!$F$36*(0.7*IF(U8=1,1,0)+0.3/(Time!$F$10-1)*IF(AND(U8&gt;=2,U8&lt;=Time!$F$10),1,0))</f>
        <v>0.0708157894736842</v>
      </c>
      <c r="V26" s="11" t="n">
        <f aca="false">Inputs!$F$65*Inputs!$F$36*(0.7*IF(V8=1,1,0)+0.3/(Time!$F$10-1)*IF(AND(V8&gt;=2,V8&lt;=Time!$F$10),1,0))</f>
        <v>0.0708157894736842</v>
      </c>
      <c r="W26" s="11" t="n">
        <f aca="false">Inputs!$F$65*Inputs!$F$36*(0.7*IF(W8=1,1,0)+0.3/(Time!$F$10-1)*IF(AND(W8&gt;=2,W8&lt;=Time!$F$10),1,0))</f>
        <v>0.0708157894736842</v>
      </c>
      <c r="X26" s="11" t="n">
        <f aca="false">Inputs!$F$65*Inputs!$F$36*(0.7*IF(X8=1,1,0)+0.3/(Time!$F$10-1)*IF(AND(X8&gt;=2,X8&lt;=Time!$F$10),1,0))</f>
        <v>0.0708157894736842</v>
      </c>
      <c r="Y26" s="11" t="n">
        <f aca="false">Inputs!$F$65*Inputs!$F$36*(0.7*IF(Y8=1,1,0)+0.3/(Time!$F$10-1)*IF(AND(Y8&gt;=2,Y8&lt;=Time!$F$10),1,0))</f>
        <v>0.0708157894736842</v>
      </c>
      <c r="Z26" s="11" t="n">
        <f aca="false">Inputs!$F$65*Inputs!$F$36*(0.7*IF(Z8=1,1,0)+0.3/(Time!$F$10-1)*IF(AND(Z8&gt;=2,Z8&lt;=Time!$F$10),1,0))</f>
        <v>0.0708157894736842</v>
      </c>
      <c r="AA26" s="11" t="n">
        <f aca="false">Inputs!$F$65*Inputs!$F$36*(0.7*IF(AA8=1,1,0)+0.3/(Time!$F$10-1)*IF(AND(AA8&gt;=2,AA8&lt;=Time!$F$10),1,0))</f>
        <v>0.0708157894736842</v>
      </c>
      <c r="AB26" s="11" t="n">
        <f aca="false">Inputs!$F$65*Inputs!$F$36*(0.7*IF(AB8=1,1,0)+0.3/(Time!$F$10-1)*IF(AND(AB8&gt;=2,AB8&lt;=Time!$F$10),1,0))</f>
        <v>0.0708157894736842</v>
      </c>
      <c r="AC26" s="11" t="n">
        <f aca="false">Inputs!$F$65*Inputs!$F$36*(0.7*IF(AC8=1,1,0)+0.3/(Time!$F$10-1)*IF(AND(AC8&gt;=2,AC8&lt;=Time!$F$10),1,0))</f>
        <v>0.0708157894736842</v>
      </c>
      <c r="AD26" s="11" t="n">
        <f aca="false">Inputs!$F$65*Inputs!$F$36*(0.7*IF(AD8=1,1,0)+0.3/(Time!$F$10-1)*IF(AND(AD8&gt;=2,AD8&lt;=Time!$F$10),1,0))</f>
        <v>0.0708157894736842</v>
      </c>
      <c r="AE26" s="11" t="n">
        <f aca="false">Inputs!$F$65*Inputs!$F$36*(0.7*IF(AE8=1,1,0)+0.3/(Time!$F$10-1)*IF(AND(AE8&gt;=2,AE8&lt;=Time!$F$10),1,0))</f>
        <v>0.0708157894736842</v>
      </c>
      <c r="AF26" s="11" t="n">
        <f aca="false">Inputs!$F$65*Inputs!$F$36*(0.7*IF(AF8=1,1,0)+0.3/(Time!$F$10-1)*IF(AND(AF8&gt;=2,AF8&lt;=Time!$F$10),1,0))</f>
        <v>0.0708157894736842</v>
      </c>
      <c r="AG26" s="11" t="n">
        <f aca="false">Inputs!$F$65*Inputs!$F$36*(0.7*IF(AG8=1,1,0)+0.3/(Time!$F$10-1)*IF(AND(AG8&gt;=2,AG8&lt;=Time!$F$10),1,0))</f>
        <v>0.0708157894736842</v>
      </c>
      <c r="AH26" s="11" t="n">
        <f aca="false">Inputs!$F$65*Inputs!$F$36*(0.7*IF(AH8=1,1,0)+0.3/(Time!$F$10-1)*IF(AND(AH8&gt;=2,AH8&lt;=Time!$F$10),1,0))</f>
        <v>0.0708157894736842</v>
      </c>
      <c r="AI26" s="11" t="n">
        <f aca="false">Inputs!$F$65*Inputs!$F$36*(0.7*IF(AI8=1,1,0)+0.3/(Time!$F$10-1)*IF(AND(AI8&gt;=2,AI8&lt;=Time!$F$10),1,0))</f>
        <v>0.0708157894736842</v>
      </c>
      <c r="AJ26" s="11" t="n">
        <f aca="false">Inputs!$F$65*Inputs!$F$36*(0.7*IF(AJ8=1,1,0)+0.3/(Time!$F$10-1)*IF(AND(AJ8&gt;=2,AJ8&lt;=Time!$F$10),1,0))</f>
        <v>0.0708157894736842</v>
      </c>
      <c r="AK26" s="11" t="n">
        <f aca="false">Inputs!$F$65*Inputs!$F$36*(0.7*IF(AK8=1,1,0)+0.3/(Time!$F$10-1)*IF(AND(AK8&gt;=2,AK8&lt;=Time!$F$10),1,0))</f>
        <v>0.0708157894736842</v>
      </c>
      <c r="AL26" s="11" t="n">
        <f aca="false">Inputs!$F$65*Inputs!$F$36*(0.7*IF(AL8=1,1,0)+0.3/(Time!$F$10-1)*IF(AND(AL8&gt;=2,AL8&lt;=Time!$F$10),1,0))</f>
        <v>0.0708157894736842</v>
      </c>
      <c r="AM26" s="11" t="n">
        <f aca="false">Inputs!$F$65*Inputs!$F$36*(0.7*IF(AM8=1,1,0)+0.3/(Time!$F$10-1)*IF(AND(AM8&gt;=2,AM8&lt;=Time!$F$10),1,0))</f>
        <v>0.0708157894736842</v>
      </c>
      <c r="AN26" s="11" t="n">
        <f aca="false">Inputs!$F$65*Inputs!$F$36*(0.7*IF(AN8=1,1,0)+0.3/(Time!$F$10-1)*IF(AND(AN8&gt;=2,AN8&lt;=Time!$F$10),1,0))</f>
        <v>0.0708157894736842</v>
      </c>
      <c r="AO26" s="11" t="n">
        <f aca="false">Inputs!$F$65*Inputs!$F$36*(0.7*IF(AO8=1,1,0)+0.3/(Time!$F$10-1)*IF(AND(AO8&gt;=2,AO8&lt;=Time!$F$10),1,0))</f>
        <v>0.0708157894736842</v>
      </c>
      <c r="AP26" s="11" t="n">
        <f aca="false">Inputs!$F$65*Inputs!$F$36*(0.7*IF(AP8=1,1,0)+0.3/(Time!$F$10-1)*IF(AND(AP8&gt;=2,AP8&lt;=Time!$F$10),1,0))</f>
        <v>0.0708157894736842</v>
      </c>
      <c r="AQ26" s="11" t="n">
        <f aca="false">Inputs!$F$65*Inputs!$F$36*(0.7*IF(AQ8=1,1,0)+0.3/(Time!$F$10-1)*IF(AND(AQ8&gt;=2,AQ8&lt;=Time!$F$10),1,0))</f>
        <v>0.0708157894736842</v>
      </c>
      <c r="AR26" s="11" t="n">
        <f aca="false">Inputs!$F$65*Inputs!$F$36*(0.7*IF(AR8=1,1,0)+0.3/(Time!$F$10-1)*IF(AND(AR8&gt;=2,AR8&lt;=Time!$F$10),1,0))</f>
        <v>0.0708157894736842</v>
      </c>
      <c r="AS26" s="11" t="n">
        <f aca="false">Inputs!$F$65*Inputs!$F$36*(0.7*IF(AS8=1,1,0)+0.3/(Time!$F$10-1)*IF(AND(AS8&gt;=2,AS8&lt;=Time!$F$10),1,0))</f>
        <v>0.0708157894736842</v>
      </c>
      <c r="AT26" s="11" t="n">
        <f aca="false">Inputs!$F$65*Inputs!$F$36*(0.7*IF(AT8=1,1,0)+0.3/(Time!$F$10-1)*IF(AND(AT8&gt;=2,AT8&lt;=Time!$F$10),1,0))</f>
        <v>0.0708157894736842</v>
      </c>
      <c r="AU26" s="11" t="n">
        <f aca="false">Inputs!$F$65*Inputs!$F$36*(0.7*IF(AU8=1,1,0)+0.3/(Time!$F$10-1)*IF(AND(AU8&gt;=2,AU8&lt;=Time!$F$10),1,0))</f>
        <v>0.0708157894736842</v>
      </c>
      <c r="AV26" s="11" t="n">
        <f aca="false">Inputs!$F$65*Inputs!$F$36*(0.7*IF(AV8=1,1,0)+0.3/(Time!$F$10-1)*IF(AND(AV8&gt;=2,AV8&lt;=Time!$F$10),1,0))</f>
        <v>0.0708157894736842</v>
      </c>
      <c r="AW26" s="11" t="n">
        <f aca="false">Inputs!$F$65*Inputs!$F$36*(0.7*IF(AW8=1,1,0)+0.3/(Time!$F$10-1)*IF(AND(AW8&gt;=2,AW8&lt;=Time!$F$10),1,0))</f>
        <v>0</v>
      </c>
      <c r="AX26" s="11" t="n">
        <f aca="false">Inputs!$F$65*Inputs!$F$36*(0.7*IF(AX8=1,1,0)+0.3/(Time!$F$10-1)*IF(AND(AX8&gt;=2,AX8&lt;=Time!$F$10),1,0))</f>
        <v>0</v>
      </c>
      <c r="AY26" s="11" t="n">
        <f aca="false">Inputs!$F$65*Inputs!$F$36*(0.7*IF(AY8=1,1,0)+0.3/(Time!$F$10-1)*IF(AND(AY8&gt;=2,AY8&lt;=Time!$F$10),1,0))</f>
        <v>0</v>
      </c>
      <c r="AZ26" s="11" t="n">
        <f aca="false">Inputs!$F$65*Inputs!$F$36*(0.7*IF(AZ8=1,1,0)+0.3/(Time!$F$10-1)*IF(AND(AZ8&gt;=2,AZ8&lt;=Time!$F$10),1,0))</f>
        <v>0</v>
      </c>
      <c r="BA26" s="11" t="n">
        <f aca="false">Inputs!$F$65*Inputs!$F$36*(0.7*IF(BA8=1,1,0)+0.3/(Time!$F$10-1)*IF(AND(BA8&gt;=2,BA8&lt;=Time!$F$10),1,0))</f>
        <v>0</v>
      </c>
      <c r="BB26" s="11" t="n">
        <f aca="false">Inputs!$F$65*Inputs!$F$36*(0.7*IF(BB8=1,1,0)+0.3/(Time!$F$10-1)*IF(AND(BB8&gt;=2,BB8&lt;=Time!$F$10),1,0))</f>
        <v>0</v>
      </c>
      <c r="BC26" s="11" t="n">
        <f aca="false">Inputs!$F$65*Inputs!$F$36*(0.7*IF(BC8=1,1,0)+0.3/(Time!$F$10-1)*IF(AND(BC8&gt;=2,BC8&lt;=Time!$F$10),1,0))</f>
        <v>0</v>
      </c>
      <c r="BD26" s="11" t="n">
        <f aca="false">Inputs!$F$65*Inputs!$F$36*(0.7*IF(BD8=1,1,0)+0.3/(Time!$F$10-1)*IF(AND(BD8&gt;=2,BD8&lt;=Time!$F$10),1,0))</f>
        <v>0</v>
      </c>
      <c r="BE26" s="11" t="n">
        <f aca="false">Inputs!$F$65*Inputs!$F$36*(0.7*IF(BE8=1,1,0)+0.3/(Time!$F$10-1)*IF(AND(BE8&gt;=2,BE8&lt;=Time!$F$10),1,0))</f>
        <v>0</v>
      </c>
      <c r="BF26" s="11" t="n">
        <f aca="false">Inputs!$F$65*Inputs!$F$36*(0.7*IF(BF8=1,1,0)+0.3/(Time!$F$10-1)*IF(AND(BF8&gt;=2,BF8&lt;=Time!$F$10),1,0))</f>
        <v>0</v>
      </c>
      <c r="BG26" s="11" t="n">
        <f aca="false">Inputs!$F$65*Inputs!$F$36*(0.7*IF(BG8=1,1,0)+0.3/(Time!$F$10-1)*IF(AND(BG8&gt;=2,BG8&lt;=Time!$F$10),1,0))</f>
        <v>0</v>
      </c>
      <c r="BH26" s="11" t="n">
        <f aca="false">Inputs!$F$65*Inputs!$F$36*(0.7*IF(BH8=1,1,0)+0.3/(Time!$F$10-1)*IF(AND(BH8&gt;=2,BH8&lt;=Time!$F$10),1,0))</f>
        <v>0</v>
      </c>
      <c r="BI26" s="11" t="n">
        <f aca="false">Inputs!$F$65*Inputs!$F$36*(0.7*IF(BI8=1,1,0)+0.3/(Time!$F$10-1)*IF(AND(BI8&gt;=2,BI8&lt;=Time!$F$10),1,0))</f>
        <v>0</v>
      </c>
      <c r="BJ26" s="11" t="n">
        <f aca="false">Inputs!$F$65*Inputs!$F$36*(0.7*IF(BJ8=1,1,0)+0.3/(Time!$F$10-1)*IF(AND(BJ8&gt;=2,BJ8&lt;=Time!$F$10),1,0))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447</v>
      </c>
      <c r="E27" s="0" t="s">
        <v>149</v>
      </c>
      <c r="G27" s="11" t="n">
        <f aca="false">SUM(J27:BJ27)</f>
        <v>38.4</v>
      </c>
      <c r="J27" s="11" t="n">
        <f aca="false">IF(Inputs!$F$34=1,Inputs!$F$66*Inputs!$F$36*J21/SUM($J$21:$BJ$21),0)</f>
        <v>0</v>
      </c>
      <c r="K27" s="11" t="n">
        <f aca="false">IF(Inputs!$F$34=1,Inputs!$F$66*Inputs!$F$36*K21/SUM($J$21:$BJ$21),0)</f>
        <v>0.00502690909090909</v>
      </c>
      <c r="L27" s="11" t="n">
        <f aca="false">IF(Inputs!$F$34=1,Inputs!$F$66*Inputs!$F$36*L21/SUM($J$21:$BJ$21),0)</f>
        <v>0.052736</v>
      </c>
      <c r="M27" s="11" t="n">
        <f aca="false">IF(Inputs!$F$34=1,Inputs!$F$66*Inputs!$F$36*M21/SUM($J$21:$BJ$21),0)</f>
        <v>0.150760727272727</v>
      </c>
      <c r="N27" s="11" t="n">
        <f aca="false">IF(Inputs!$F$34=1,Inputs!$F$66*Inputs!$F$36*N21/SUM($J$21:$BJ$21),0)</f>
        <v>0.292957090909091</v>
      </c>
      <c r="O27" s="11" t="n">
        <f aca="false">IF(Inputs!$F$34=1,Inputs!$F$66*Inputs!$F$36*O21/SUM($J$21:$BJ$21),0)</f>
        <v>0.470760727272727</v>
      </c>
      <c r="P27" s="11" t="n">
        <f aca="false">IF(Inputs!$F$34=1,Inputs!$F$66*Inputs!$F$36*P21/SUM($J$21:$BJ$21),0)</f>
        <v>0.674722909090909</v>
      </c>
      <c r="Q27" s="11" t="n">
        <f aca="false">IF(Inputs!$F$34=1,Inputs!$F$66*Inputs!$F$36*Q21/SUM($J$21:$BJ$21),0)</f>
        <v>0.895348363636364</v>
      </c>
      <c r="R27" s="11" t="n">
        <f aca="false">IF(Inputs!$F$34=1,Inputs!$F$66*Inputs!$F$36*R21/SUM($J$21:$BJ$21),0)</f>
        <v>1.12328145454545</v>
      </c>
      <c r="S27" s="11" t="n">
        <f aca="false">IF(Inputs!$F$34=1,Inputs!$F$66*Inputs!$F$36*S21/SUM($J$21:$BJ$21),0)</f>
        <v>1.34977163636364</v>
      </c>
      <c r="T27" s="11" t="n">
        <f aca="false">IF(Inputs!$F$34=1,Inputs!$F$66*Inputs!$F$36*T21/SUM($J$21:$BJ$21),0)</f>
        <v>1.56667345454545</v>
      </c>
      <c r="U27" s="11" t="n">
        <f aca="false">IF(Inputs!$F$34=1,Inputs!$F$66*Inputs!$F$36*U21/SUM($J$21:$BJ$21),0)</f>
        <v>1.76672581818182</v>
      </c>
      <c r="V27" s="11" t="n">
        <f aca="false">IF(Inputs!$F$34=1,Inputs!$F$66*Inputs!$F$36*V21/SUM($J$21:$BJ$21),0)</f>
        <v>1.94350545454545</v>
      </c>
      <c r="W27" s="11" t="n">
        <f aca="false">IF(Inputs!$F$34=1,Inputs!$F$66*Inputs!$F$36*W21/SUM($J$21:$BJ$21),0)</f>
        <v>2.09152</v>
      </c>
      <c r="X27" s="11" t="n">
        <f aca="false">IF(Inputs!$F$34=1,Inputs!$F$66*Inputs!$F$36*X21/SUM($J$21:$BJ$21),0)</f>
        <v>2.20648727272727</v>
      </c>
      <c r="Y27" s="11" t="n">
        <f aca="false">IF(Inputs!$F$34=1,Inputs!$F$66*Inputs!$F$36*Y21/SUM($J$21:$BJ$21),0)</f>
        <v>2.28496290909091</v>
      </c>
      <c r="Z27" s="11" t="n">
        <f aca="false">IF(Inputs!$F$34=1,Inputs!$F$66*Inputs!$F$36*Z21/SUM($J$21:$BJ$21),0)</f>
        <v>2.32475927272727</v>
      </c>
      <c r="AA27" s="11" t="n">
        <f aca="false">IF(Inputs!$F$34=1,Inputs!$F$66*Inputs!$F$36*AA21/SUM($J$21:$BJ$21),0)</f>
        <v>2.32475927272727</v>
      </c>
      <c r="AB27" s="11" t="n">
        <f aca="false">IF(Inputs!$F$34=1,Inputs!$F$66*Inputs!$F$36*AB21/SUM($J$21:$BJ$21),0)</f>
        <v>2.28496290909091</v>
      </c>
      <c r="AC27" s="11" t="n">
        <f aca="false">IF(Inputs!$F$34=1,Inputs!$F$66*Inputs!$F$36*AC21/SUM($J$21:$BJ$21),0)</f>
        <v>2.20648727272727</v>
      </c>
      <c r="AD27" s="11" t="n">
        <f aca="false">IF(Inputs!$F$34=1,Inputs!$F$66*Inputs!$F$36*AD21/SUM($J$21:$BJ$21),0)</f>
        <v>2.09152</v>
      </c>
      <c r="AE27" s="11" t="n">
        <f aca="false">IF(Inputs!$F$34=1,Inputs!$F$66*Inputs!$F$36*AE21/SUM($J$21:$BJ$21),0)</f>
        <v>1.94350545454545</v>
      </c>
      <c r="AF27" s="11" t="n">
        <f aca="false">IF(Inputs!$F$34=1,Inputs!$F$66*Inputs!$F$36*AF21/SUM($J$21:$BJ$21),0)</f>
        <v>1.76672581818182</v>
      </c>
      <c r="AG27" s="11" t="n">
        <f aca="false">IF(Inputs!$F$34=1,Inputs!$F$66*Inputs!$F$36*AG21/SUM($J$21:$BJ$21),0)</f>
        <v>1.56667345454545</v>
      </c>
      <c r="AH27" s="11" t="n">
        <f aca="false">IF(Inputs!$F$34=1,Inputs!$F$66*Inputs!$F$36*AH21/SUM($J$21:$BJ$21),0)</f>
        <v>1.34977163636364</v>
      </c>
      <c r="AI27" s="11" t="n">
        <f aca="false">IF(Inputs!$F$34=1,Inputs!$F$66*Inputs!$F$36*AI21/SUM($J$21:$BJ$21),0)</f>
        <v>1.12328145454545</v>
      </c>
      <c r="AJ27" s="11" t="n">
        <f aca="false">IF(Inputs!$F$34=1,Inputs!$F$66*Inputs!$F$36*AJ21/SUM($J$21:$BJ$21),0)</f>
        <v>0.895348363636364</v>
      </c>
      <c r="AK27" s="11" t="n">
        <f aca="false">IF(Inputs!$F$34=1,Inputs!$F$66*Inputs!$F$36*AK21/SUM($J$21:$BJ$21),0)</f>
        <v>0.674722909090909</v>
      </c>
      <c r="AL27" s="11" t="n">
        <f aca="false">IF(Inputs!$F$34=1,Inputs!$F$66*Inputs!$F$36*AL21/SUM($J$21:$BJ$21),0)</f>
        <v>0.470760727272727</v>
      </c>
      <c r="AM27" s="11" t="n">
        <f aca="false">IF(Inputs!$F$34=1,Inputs!$F$66*Inputs!$F$36*AM21/SUM($J$21:$BJ$21),0)</f>
        <v>0.292957090909091</v>
      </c>
      <c r="AN27" s="11" t="n">
        <f aca="false">IF(Inputs!$F$34=1,Inputs!$F$66*Inputs!$F$36*AN21/SUM($J$21:$BJ$21),0)</f>
        <v>0.150760727272727</v>
      </c>
      <c r="AO27" s="11" t="n">
        <f aca="false">IF(Inputs!$F$34=1,Inputs!$F$66*Inputs!$F$36*AO21/SUM($J$21:$BJ$21),0)</f>
        <v>0.052736</v>
      </c>
      <c r="AP27" s="11" t="n">
        <f aca="false">IF(Inputs!$F$34=1,Inputs!$F$66*Inputs!$F$36*AP21/SUM($J$21:$BJ$21),0)</f>
        <v>0.00502690909090895</v>
      </c>
      <c r="AQ27" s="11" t="n">
        <f aca="false">IF(Inputs!$F$34=1,Inputs!$F$66*Inputs!$F$36*AQ21/SUM($J$21:$BJ$21),0)</f>
        <v>0</v>
      </c>
      <c r="AR27" s="11" t="n">
        <f aca="false">IF(Inputs!$F$34=1,Inputs!$F$66*Inputs!$F$36*AR21/SUM($J$21:$BJ$21),0)</f>
        <v>0</v>
      </c>
      <c r="AS27" s="11" t="n">
        <f aca="false">IF(Inputs!$F$34=1,Inputs!$F$66*Inputs!$F$36*AS21/SUM($J$21:$BJ$21),0)</f>
        <v>0</v>
      </c>
      <c r="AT27" s="11" t="n">
        <f aca="false">IF(Inputs!$F$34=1,Inputs!$F$66*Inputs!$F$36*AT21/SUM($J$21:$BJ$21),0)</f>
        <v>0</v>
      </c>
      <c r="AU27" s="11" t="n">
        <f aca="false">IF(Inputs!$F$34=1,Inputs!$F$66*Inputs!$F$36*AU21/SUM($J$21:$BJ$21),0)</f>
        <v>0</v>
      </c>
      <c r="AV27" s="11" t="n">
        <f aca="false">IF(Inputs!$F$34=1,Inputs!$F$66*Inputs!$F$36*AV21/SUM($J$21:$BJ$21),0)</f>
        <v>0</v>
      </c>
      <c r="AW27" s="11" t="n">
        <f aca="false">IF(Inputs!$F$34=1,Inputs!$F$66*Inputs!$F$36*AW21/SUM($J$21:$BJ$21),0)</f>
        <v>0</v>
      </c>
      <c r="AX27" s="11" t="n">
        <f aca="false">IF(Inputs!$F$34=1,Inputs!$F$66*Inputs!$F$36*AX21/SUM($J$21:$BJ$21),0)</f>
        <v>0</v>
      </c>
      <c r="AY27" s="11" t="n">
        <f aca="false">IF(Inputs!$F$34=1,Inputs!$F$66*Inputs!$F$36*AY21/SUM($J$21:$BJ$21),0)</f>
        <v>0</v>
      </c>
      <c r="AZ27" s="11" t="n">
        <f aca="false">IF(Inputs!$F$34=1,Inputs!$F$66*Inputs!$F$36*AZ21/SUM($J$21:$BJ$21),0)</f>
        <v>0</v>
      </c>
      <c r="BA27" s="11" t="n">
        <f aca="false">IF(Inputs!$F$34=1,Inputs!$F$66*Inputs!$F$36*BA21/SUM($J$21:$BJ$21),0)</f>
        <v>0</v>
      </c>
      <c r="BB27" s="11" t="n">
        <f aca="false">IF(Inputs!$F$34=1,Inputs!$F$66*Inputs!$F$36*BB21/SUM($J$21:$BJ$21),0)</f>
        <v>0</v>
      </c>
      <c r="BC27" s="11" t="n">
        <f aca="false">IF(Inputs!$F$34=1,Inputs!$F$66*Inputs!$F$36*BC21/SUM($J$21:$BJ$21),0)</f>
        <v>0</v>
      </c>
      <c r="BD27" s="11" t="n">
        <f aca="false">IF(Inputs!$F$34=1,Inputs!$F$66*Inputs!$F$36*BD21/SUM($J$21:$BJ$21),0)</f>
        <v>0</v>
      </c>
      <c r="BE27" s="11" t="n">
        <f aca="false">IF(Inputs!$F$34=1,Inputs!$F$66*Inputs!$F$36*BE21/SUM($J$21:$BJ$21),0)</f>
        <v>0</v>
      </c>
      <c r="BF27" s="11" t="n">
        <f aca="false">IF(Inputs!$F$34=1,Inputs!$F$66*Inputs!$F$36*BF21/SUM($J$21:$BJ$21),0)</f>
        <v>0</v>
      </c>
      <c r="BG27" s="11" t="n">
        <f aca="false">IF(Inputs!$F$34=1,Inputs!$F$66*Inputs!$F$36*BG21/SUM($J$21:$BJ$21),0)</f>
        <v>0</v>
      </c>
      <c r="BH27" s="11" t="n">
        <f aca="false">IF(Inputs!$F$34=1,Inputs!$F$66*Inputs!$F$36*BH21/SUM($J$21:$BJ$21),0)</f>
        <v>0</v>
      </c>
      <c r="BI27" s="11" t="n">
        <f aca="false">IF(Inputs!$F$34=1,Inputs!$F$66*Inputs!$F$36*BI21/SUM($J$21:$BJ$21),0)</f>
        <v>0</v>
      </c>
      <c r="BJ27" s="11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448</v>
      </c>
      <c r="E28" s="0" t="s">
        <v>149</v>
      </c>
      <c r="G28" s="11" t="n">
        <f aca="false">SUM(J28:BJ28)</f>
        <v>5.35</v>
      </c>
      <c r="J28" s="11" t="n">
        <f aca="false">IF(J8=Time!$F$10,Inputs!$F$67*Inputs!$F$36,0)</f>
        <v>0</v>
      </c>
      <c r="K28" s="11" t="n">
        <f aca="false">IF(K8=Time!$F$10,Inputs!$F$67*Inputs!$F$36,0)</f>
        <v>0</v>
      </c>
      <c r="L28" s="11" t="n">
        <f aca="false">IF(L8=Time!$F$10,Inputs!$F$67*Inputs!$F$36,0)</f>
        <v>0</v>
      </c>
      <c r="M28" s="11" t="n">
        <f aca="false">IF(M8=Time!$F$10,Inputs!$F$67*Inputs!$F$36,0)</f>
        <v>0</v>
      </c>
      <c r="N28" s="11" t="n">
        <f aca="false">IF(N8=Time!$F$10,Inputs!$F$67*Inputs!$F$36,0)</f>
        <v>0</v>
      </c>
      <c r="O28" s="11" t="n">
        <f aca="false">IF(O8=Time!$F$10,Inputs!$F$67*Inputs!$F$36,0)</f>
        <v>0</v>
      </c>
      <c r="P28" s="11" t="n">
        <f aca="false">IF(P8=Time!$F$10,Inputs!$F$67*Inputs!$F$36,0)</f>
        <v>0</v>
      </c>
      <c r="Q28" s="11" t="n">
        <f aca="false">IF(Q8=Time!$F$10,Inputs!$F$67*Inputs!$F$36,0)</f>
        <v>0</v>
      </c>
      <c r="R28" s="11" t="n">
        <f aca="false">IF(R8=Time!$F$10,Inputs!$F$67*Inputs!$F$36,0)</f>
        <v>0</v>
      </c>
      <c r="S28" s="11" t="n">
        <f aca="false">IF(S8=Time!$F$10,Inputs!$F$67*Inputs!$F$36,0)</f>
        <v>0</v>
      </c>
      <c r="T28" s="11" t="n">
        <f aca="false">IF(T8=Time!$F$10,Inputs!$F$67*Inputs!$F$36,0)</f>
        <v>0</v>
      </c>
      <c r="U28" s="11" t="n">
        <f aca="false">IF(U8=Time!$F$10,Inputs!$F$67*Inputs!$F$36,0)</f>
        <v>0</v>
      </c>
      <c r="V28" s="11" t="n">
        <f aca="false">IF(V8=Time!$F$10,Inputs!$F$67*Inputs!$F$36,0)</f>
        <v>0</v>
      </c>
      <c r="W28" s="11" t="n">
        <f aca="false">IF(W8=Time!$F$10,Inputs!$F$67*Inputs!$F$36,0)</f>
        <v>0</v>
      </c>
      <c r="X28" s="11" t="n">
        <f aca="false">IF(X8=Time!$F$10,Inputs!$F$67*Inputs!$F$36,0)</f>
        <v>0</v>
      </c>
      <c r="Y28" s="11" t="n">
        <f aca="false">IF(Y8=Time!$F$10,Inputs!$F$67*Inputs!$F$36,0)</f>
        <v>0</v>
      </c>
      <c r="Z28" s="11" t="n">
        <f aca="false">IF(Z8=Time!$F$10,Inputs!$F$67*Inputs!$F$36,0)</f>
        <v>0</v>
      </c>
      <c r="AA28" s="11" t="n">
        <f aca="false">IF(AA8=Time!$F$10,Inputs!$F$67*Inputs!$F$36,0)</f>
        <v>0</v>
      </c>
      <c r="AB28" s="11" t="n">
        <f aca="false">IF(AB8=Time!$F$10,Inputs!$F$67*Inputs!$F$36,0)</f>
        <v>0</v>
      </c>
      <c r="AC28" s="11" t="n">
        <f aca="false">IF(AC8=Time!$F$10,Inputs!$F$67*Inputs!$F$36,0)</f>
        <v>0</v>
      </c>
      <c r="AD28" s="11" t="n">
        <f aca="false">IF(AD8=Time!$F$10,Inputs!$F$67*Inputs!$F$36,0)</f>
        <v>0</v>
      </c>
      <c r="AE28" s="11" t="n">
        <f aca="false">IF(AE8=Time!$F$10,Inputs!$F$67*Inputs!$F$36,0)</f>
        <v>0</v>
      </c>
      <c r="AF28" s="11" t="n">
        <f aca="false">IF(AF8=Time!$F$10,Inputs!$F$67*Inputs!$F$36,0)</f>
        <v>0</v>
      </c>
      <c r="AG28" s="11" t="n">
        <f aca="false">IF(AG8=Time!$F$10,Inputs!$F$67*Inputs!$F$36,0)</f>
        <v>0</v>
      </c>
      <c r="AH28" s="11" t="n">
        <f aca="false">IF(AH8=Time!$F$10,Inputs!$F$67*Inputs!$F$36,0)</f>
        <v>0</v>
      </c>
      <c r="AI28" s="11" t="n">
        <f aca="false">IF(AI8=Time!$F$10,Inputs!$F$67*Inputs!$F$36,0)</f>
        <v>0</v>
      </c>
      <c r="AJ28" s="11" t="n">
        <f aca="false">IF(AJ8=Time!$F$10,Inputs!$F$67*Inputs!$F$36,0)</f>
        <v>0</v>
      </c>
      <c r="AK28" s="11" t="n">
        <f aca="false">IF(AK8=Time!$F$10,Inputs!$F$67*Inputs!$F$36,0)</f>
        <v>0</v>
      </c>
      <c r="AL28" s="11" t="n">
        <f aca="false">IF(AL8=Time!$F$10,Inputs!$F$67*Inputs!$F$36,0)</f>
        <v>0</v>
      </c>
      <c r="AM28" s="11" t="n">
        <f aca="false">IF(AM8=Time!$F$10,Inputs!$F$67*Inputs!$F$36,0)</f>
        <v>0</v>
      </c>
      <c r="AN28" s="11" t="n">
        <f aca="false">IF(AN8=Time!$F$10,Inputs!$F$67*Inputs!$F$36,0)</f>
        <v>0</v>
      </c>
      <c r="AO28" s="11" t="n">
        <f aca="false">IF(AO8=Time!$F$10,Inputs!$F$67*Inputs!$F$36,0)</f>
        <v>0</v>
      </c>
      <c r="AP28" s="11" t="n">
        <f aca="false">IF(AP8=Time!$F$10,Inputs!$F$67*Inputs!$F$36,0)</f>
        <v>0</v>
      </c>
      <c r="AQ28" s="11" t="n">
        <f aca="false">IF(AQ8=Time!$F$10,Inputs!$F$67*Inputs!$F$36,0)</f>
        <v>0</v>
      </c>
      <c r="AR28" s="11" t="n">
        <f aca="false">IF(AR8=Time!$F$10,Inputs!$F$67*Inputs!$F$36,0)</f>
        <v>0</v>
      </c>
      <c r="AS28" s="11" t="n">
        <f aca="false">IF(AS8=Time!$F$10,Inputs!$F$67*Inputs!$F$36,0)</f>
        <v>0</v>
      </c>
      <c r="AT28" s="11" t="n">
        <f aca="false">IF(AT8=Time!$F$10,Inputs!$F$67*Inputs!$F$36,0)</f>
        <v>0</v>
      </c>
      <c r="AU28" s="11" t="n">
        <f aca="false">IF(AU8=Time!$F$10,Inputs!$F$67*Inputs!$F$36,0)</f>
        <v>0</v>
      </c>
      <c r="AV28" s="11" t="n">
        <f aca="false">IF(AV8=Time!$F$10,Inputs!$F$67*Inputs!$F$36,0)</f>
        <v>5.35</v>
      </c>
      <c r="AW28" s="11" t="n">
        <f aca="false">IF(AW8=Time!$F$10,Inputs!$F$67*Inputs!$F$36,0)</f>
        <v>0</v>
      </c>
      <c r="AX28" s="11" t="n">
        <f aca="false">IF(AX8=Time!$F$10,Inputs!$F$67*Inputs!$F$36,0)</f>
        <v>0</v>
      </c>
      <c r="AY28" s="11" t="n">
        <f aca="false">IF(AY8=Time!$F$10,Inputs!$F$67*Inputs!$F$36,0)</f>
        <v>0</v>
      </c>
      <c r="AZ28" s="11" t="n">
        <f aca="false">IF(AZ8=Time!$F$10,Inputs!$F$67*Inputs!$F$36,0)</f>
        <v>0</v>
      </c>
      <c r="BA28" s="11" t="n">
        <f aca="false">IF(BA8=Time!$F$10,Inputs!$F$67*Inputs!$F$36,0)</f>
        <v>0</v>
      </c>
      <c r="BB28" s="11" t="n">
        <f aca="false">IF(BB8=Time!$F$10,Inputs!$F$67*Inputs!$F$36,0)</f>
        <v>0</v>
      </c>
      <c r="BC28" s="11" t="n">
        <f aca="false">IF(BC8=Time!$F$10,Inputs!$F$67*Inputs!$F$36,0)</f>
        <v>0</v>
      </c>
      <c r="BD28" s="11" t="n">
        <f aca="false">IF(BD8=Time!$F$10,Inputs!$F$67*Inputs!$F$36,0)</f>
        <v>0</v>
      </c>
      <c r="BE28" s="11" t="n">
        <f aca="false">IF(BE8=Time!$F$10,Inputs!$F$67*Inputs!$F$36,0)</f>
        <v>0</v>
      </c>
      <c r="BF28" s="11" t="n">
        <f aca="false">IF(BF8=Time!$F$10,Inputs!$F$67*Inputs!$F$36,0)</f>
        <v>0</v>
      </c>
      <c r="BG28" s="11" t="n">
        <f aca="false">IF(BG8=Time!$F$10,Inputs!$F$67*Inputs!$F$36,0)</f>
        <v>0</v>
      </c>
      <c r="BH28" s="11" t="n">
        <f aca="false">IF(BH8=Time!$F$10,Inputs!$F$67*Inputs!$F$36,0)</f>
        <v>0</v>
      </c>
      <c r="BI28" s="11" t="n">
        <f aca="false">IF(BI8=Time!$F$10,Inputs!$F$67*Inputs!$F$36,0)</f>
        <v>0</v>
      </c>
      <c r="BJ28" s="11" t="n">
        <f aca="false">IF(BJ8=Time!$F$10,Inputs!$F$67*Inputs!$F$36,0)</f>
        <v>0</v>
      </c>
    </row>
    <row r="29" customFormat="false" ht="15" hidden="false" customHeight="false" outlineLevel="0" collapsed="false">
      <c r="D29" s="0" t="s">
        <v>449</v>
      </c>
      <c r="E29" s="0" t="s">
        <v>149</v>
      </c>
      <c r="G29" s="11" t="n">
        <f aca="false">SUM(J29:BJ29)</f>
        <v>0</v>
      </c>
      <c r="J29" s="11" t="n">
        <f aca="false">IF(Inputs!$F$34=2,Inputs!J232,0)</f>
        <v>0</v>
      </c>
      <c r="K29" s="11" t="n">
        <f aca="false">IF(Inputs!$F$34=2,Inputs!K232,0)</f>
        <v>0</v>
      </c>
      <c r="L29" s="11" t="n">
        <f aca="false">IF(Inputs!$F$34=2,Inputs!L232,0)</f>
        <v>0</v>
      </c>
      <c r="M29" s="11" t="n">
        <f aca="false">IF(Inputs!$F$34=2,Inputs!M232,0)</f>
        <v>0</v>
      </c>
      <c r="N29" s="11" t="n">
        <f aca="false">IF(Inputs!$F$34=2,Inputs!N232,0)</f>
        <v>0</v>
      </c>
      <c r="O29" s="11" t="n">
        <f aca="false">IF(Inputs!$F$34=2,Inputs!O232,0)</f>
        <v>0</v>
      </c>
      <c r="P29" s="11" t="n">
        <f aca="false">IF(Inputs!$F$34=2,Inputs!P232,0)</f>
        <v>0</v>
      </c>
      <c r="Q29" s="11" t="n">
        <f aca="false">IF(Inputs!$F$34=2,Inputs!Q232,0)</f>
        <v>0</v>
      </c>
      <c r="R29" s="11" t="n">
        <f aca="false">IF(Inputs!$F$34=2,Inputs!R232,0)</f>
        <v>0</v>
      </c>
      <c r="S29" s="11" t="n">
        <f aca="false">IF(Inputs!$F$34=2,Inputs!S232,0)</f>
        <v>0</v>
      </c>
      <c r="T29" s="11" t="n">
        <f aca="false">IF(Inputs!$F$34=2,Inputs!T232,0)</f>
        <v>0</v>
      </c>
      <c r="U29" s="11" t="n">
        <f aca="false">IF(Inputs!$F$34=2,Inputs!U232,0)</f>
        <v>0</v>
      </c>
      <c r="V29" s="11" t="n">
        <f aca="false">IF(Inputs!$F$34=2,Inputs!V232,0)</f>
        <v>0</v>
      </c>
      <c r="W29" s="11" t="n">
        <f aca="false">IF(Inputs!$F$34=2,Inputs!W232,0)</f>
        <v>0</v>
      </c>
      <c r="X29" s="11" t="n">
        <f aca="false">IF(Inputs!$F$34=2,Inputs!X232,0)</f>
        <v>0</v>
      </c>
      <c r="Y29" s="11" t="n">
        <f aca="false">IF(Inputs!$F$34=2,Inputs!Y232,0)</f>
        <v>0</v>
      </c>
      <c r="Z29" s="11" t="n">
        <f aca="false">IF(Inputs!$F$34=2,Inputs!Z232,0)</f>
        <v>0</v>
      </c>
      <c r="AA29" s="11" t="n">
        <f aca="false">IF(Inputs!$F$34=2,Inputs!AA232,0)</f>
        <v>0</v>
      </c>
      <c r="AB29" s="11" t="n">
        <f aca="false">IF(Inputs!$F$34=2,Inputs!AB232,0)</f>
        <v>0</v>
      </c>
      <c r="AC29" s="11" t="n">
        <f aca="false">IF(Inputs!$F$34=2,Inputs!AC232,0)</f>
        <v>0</v>
      </c>
      <c r="AD29" s="11" t="n">
        <f aca="false">IF(Inputs!$F$34=2,Inputs!AD232,0)</f>
        <v>0</v>
      </c>
      <c r="AE29" s="11" t="n">
        <f aca="false">IF(Inputs!$F$34=2,Inputs!AE232,0)</f>
        <v>0</v>
      </c>
      <c r="AF29" s="11" t="n">
        <f aca="false">IF(Inputs!$F$34=2,Inputs!AF232,0)</f>
        <v>0</v>
      </c>
      <c r="AG29" s="11" t="n">
        <f aca="false">IF(Inputs!$F$34=2,Inputs!AG232,0)</f>
        <v>0</v>
      </c>
      <c r="AH29" s="11" t="n">
        <f aca="false">IF(Inputs!$F$34=2,Inputs!AH232,0)</f>
        <v>0</v>
      </c>
      <c r="AI29" s="11" t="n">
        <f aca="false">IF(Inputs!$F$34=2,Inputs!AI232,0)</f>
        <v>0</v>
      </c>
      <c r="AJ29" s="11" t="n">
        <f aca="false">IF(Inputs!$F$34=2,Inputs!AJ232,0)</f>
        <v>0</v>
      </c>
      <c r="AK29" s="11" t="n">
        <f aca="false">IF(Inputs!$F$34=2,Inputs!AK232,0)</f>
        <v>0</v>
      </c>
      <c r="AL29" s="11" t="n">
        <f aca="false">IF(Inputs!$F$34=2,Inputs!AL232,0)</f>
        <v>0</v>
      </c>
      <c r="AM29" s="11" t="n">
        <f aca="false">IF(Inputs!$F$34=2,Inputs!AM232,0)</f>
        <v>0</v>
      </c>
      <c r="AN29" s="11" t="n">
        <f aca="false">IF(Inputs!$F$34=2,Inputs!AN232,0)</f>
        <v>0</v>
      </c>
      <c r="AO29" s="11" t="n">
        <f aca="false">IF(Inputs!$F$34=2,Inputs!AO232,0)</f>
        <v>0</v>
      </c>
      <c r="AP29" s="11" t="n">
        <f aca="false">IF(Inputs!$F$34=2,Inputs!AP232,0)</f>
        <v>0</v>
      </c>
      <c r="AQ29" s="11" t="n">
        <f aca="false">IF(Inputs!$F$34=2,Inputs!AQ232,0)</f>
        <v>0</v>
      </c>
      <c r="AR29" s="11" t="n">
        <f aca="false">IF(Inputs!$F$34=2,Inputs!AR232,0)</f>
        <v>0</v>
      </c>
      <c r="AS29" s="11" t="n">
        <f aca="false">IF(Inputs!$F$34=2,Inputs!AS232,0)</f>
        <v>0</v>
      </c>
      <c r="AT29" s="11" t="n">
        <f aca="false">IF(Inputs!$F$34=2,Inputs!AT232,0)</f>
        <v>0</v>
      </c>
      <c r="AU29" s="11" t="n">
        <f aca="false">IF(Inputs!$F$34=2,Inputs!AU232,0)</f>
        <v>0</v>
      </c>
      <c r="AV29" s="11" t="n">
        <f aca="false">IF(Inputs!$F$34=2,Inputs!AV232,0)</f>
        <v>0</v>
      </c>
      <c r="AW29" s="11" t="n">
        <f aca="false">IF(Inputs!$F$34=2,Inputs!AW232,0)</f>
        <v>0</v>
      </c>
      <c r="AX29" s="11" t="n">
        <f aca="false">IF(Inputs!$F$34=2,Inputs!AX232,0)</f>
        <v>0</v>
      </c>
      <c r="AY29" s="11" t="n">
        <f aca="false">IF(Inputs!$F$34=2,Inputs!AY232,0)</f>
        <v>0</v>
      </c>
      <c r="AZ29" s="11" t="n">
        <f aca="false">IF(Inputs!$F$34=2,Inputs!AZ232,0)</f>
        <v>0</v>
      </c>
      <c r="BA29" s="11" t="n">
        <f aca="false">IF(Inputs!$F$34=2,Inputs!BA232,0)</f>
        <v>0</v>
      </c>
      <c r="BB29" s="11" t="n">
        <f aca="false">IF(Inputs!$F$34=2,Inputs!BB232,0)</f>
        <v>0</v>
      </c>
      <c r="BC29" s="11" t="n">
        <f aca="false">IF(Inputs!$F$34=2,Inputs!BC232,0)</f>
        <v>0</v>
      </c>
      <c r="BD29" s="11" t="n">
        <f aca="false">IF(Inputs!$F$34=2,Inputs!BD232,0)</f>
        <v>0</v>
      </c>
      <c r="BE29" s="11" t="n">
        <f aca="false">IF(Inputs!$F$34=2,Inputs!BE232,0)</f>
        <v>0</v>
      </c>
      <c r="BF29" s="11" t="n">
        <f aca="false">IF(Inputs!$F$34=2,Inputs!BF232,0)</f>
        <v>0</v>
      </c>
      <c r="BG29" s="11" t="n">
        <f aca="false">IF(Inputs!$F$34=2,Inputs!BG232,0)</f>
        <v>0</v>
      </c>
      <c r="BH29" s="11" t="n">
        <f aca="false">IF(Inputs!$F$34=2,Inputs!BH232,0)</f>
        <v>0</v>
      </c>
      <c r="BI29" s="11" t="n">
        <f aca="false">IF(Inputs!$F$34=2,Inputs!BI232,0)</f>
        <v>0</v>
      </c>
      <c r="BJ29" s="11" t="n">
        <f aca="false">IF(Inputs!$F$34=2,Inputs!BJ232,0)</f>
        <v>0</v>
      </c>
    </row>
    <row r="30" customFormat="false" ht="15" hidden="false" customHeight="false" outlineLevel="0" collapsed="false">
      <c r="D30" s="0" t="s">
        <v>450</v>
      </c>
      <c r="E30" s="0" t="s">
        <v>149</v>
      </c>
      <c r="G30" s="11" t="n">
        <f aca="false">SUM(J30:BJ30)</f>
        <v>718.6097</v>
      </c>
      <c r="J30" s="11" t="n">
        <f aca="false">J22+J23+J24+J25+J26+J27+J28+J29</f>
        <v>108.1116</v>
      </c>
      <c r="K30" s="11" t="n">
        <f aca="false">K22+K23+K24+K25+K26+K27+K28+K29</f>
        <v>1.40755141856459</v>
      </c>
      <c r="L30" s="11" t="n">
        <f aca="false">L22+L23+L24+L25+L26+L27+L28+L29</f>
        <v>2.04139650947368</v>
      </c>
      <c r="M30" s="11" t="n">
        <f aca="false">M22+M23+M24+M25+M26+M27+M28+M29</f>
        <v>3.34371627674641</v>
      </c>
      <c r="N30" s="11" t="n">
        <f aca="false">N22+N23+N24+N25+N26+N27+N28+N29</f>
        <v>5.23288384038278</v>
      </c>
      <c r="O30" s="11" t="n">
        <f aca="false">O22+O23+O24+O25+O26+O27+O28+O29</f>
        <v>7.59511627674641</v>
      </c>
      <c r="P30" s="11" t="n">
        <f aca="false">P22+P23+P24+P25+P26+P27+P28+P29</f>
        <v>10.3048813385646</v>
      </c>
      <c r="Q30" s="11" t="n">
        <f aca="false">Q22+Q23+Q24+Q25+Q26+Q27+Q28+Q29</f>
        <v>13.23602839311</v>
      </c>
      <c r="R30" s="11" t="n">
        <f aca="false">R22+R23+R24+R25+R26+R27+R28+R29</f>
        <v>16.2642619640191</v>
      </c>
      <c r="S30" s="11" t="n">
        <f aca="false">S22+S23+S24+S25+S26+S27+S28+S29</f>
        <v>19.2733255858373</v>
      </c>
      <c r="T30" s="11" t="n">
        <f aca="false">T22+T23+T24+T25+T26+T27+T28+T29</f>
        <v>22.1550018040191</v>
      </c>
      <c r="U30" s="11" t="n">
        <f aca="false">U22+U23+U24+U25+U26+U27+U28+U29</f>
        <v>24.8128224876555</v>
      </c>
      <c r="V30" s="11" t="n">
        <f aca="false">V22+V23+V24+V25+V26+V27+V28+V29</f>
        <v>27.1614504440191</v>
      </c>
      <c r="W30" s="11" t="n">
        <f aca="false">W22+W23+W24+W25+W26+W27+W28+W29</f>
        <v>29.1279161894737</v>
      </c>
      <c r="X30" s="11" t="n">
        <f aca="false">X22+X23+X24+X25+X26+X27+X28+X29</f>
        <v>30.655328262201</v>
      </c>
      <c r="Y30" s="11" t="n">
        <f aca="false">Y22+Y23+Y24+Y25+Y26+Y27+Y28+Y29</f>
        <v>31.6979261385646</v>
      </c>
      <c r="Z30" s="11" t="n">
        <f aca="false">Z22+Z23+Z24+Z25+Z26+Z27+Z28+Z29</f>
        <v>32.226645702201</v>
      </c>
      <c r="AA30" s="11" t="n">
        <f aca="false">AA22+AA23+AA24+AA25+AA26+AA27+AA28+AA29</f>
        <v>33.369645702201</v>
      </c>
      <c r="AB30" s="11" t="n">
        <f aca="false">AB22+AB23+AB24+AB25+AB26+AB27+AB28+AB29</f>
        <v>31.6979261385646</v>
      </c>
      <c r="AC30" s="11" t="n">
        <f aca="false">AC22+AC23+AC24+AC25+AC26+AC27+AC28+AC29</f>
        <v>30.655328262201</v>
      </c>
      <c r="AD30" s="11" t="n">
        <f aca="false">AD22+AD23+AD24+AD25+AD26+AD27+AD28+AD29</f>
        <v>29.1279161894737</v>
      </c>
      <c r="AE30" s="11" t="n">
        <f aca="false">AE22+AE23+AE24+AE25+AE26+AE27+AE28+AE29</f>
        <v>27.1614504440191</v>
      </c>
      <c r="AF30" s="11" t="n">
        <f aca="false">AF22+AF23+AF24+AF25+AF26+AF27+AF28+AF29</f>
        <v>24.8128224876555</v>
      </c>
      <c r="AG30" s="11" t="n">
        <f aca="false">AG22+AG23+AG24+AG25+AG26+AG27+AG28+AG29</f>
        <v>22.1550018040191</v>
      </c>
      <c r="AH30" s="11" t="n">
        <f aca="false">AH22+AH23+AH24+AH25+AH26+AH27+AH28+AH29</f>
        <v>19.2733255858373</v>
      </c>
      <c r="AI30" s="11" t="n">
        <f aca="false">AI22+AI23+AI24+AI25+AI26+AI27+AI28+AI29</f>
        <v>16.2642619640191</v>
      </c>
      <c r="AJ30" s="11" t="n">
        <f aca="false">AJ22+AJ23+AJ24+AJ25+AJ26+AJ27+AJ28+AJ29</f>
        <v>13.23602839311</v>
      </c>
      <c r="AK30" s="11" t="n">
        <f aca="false">AK22+AK23+AK24+AK25+AK26+AK27+AK28+AK29</f>
        <v>10.3048813385646</v>
      </c>
      <c r="AL30" s="11" t="n">
        <f aca="false">AL22+AL23+AL24+AL25+AL26+AL27+AL28+AL29</f>
        <v>7.59511627674641</v>
      </c>
      <c r="AM30" s="11" t="n">
        <f aca="false">AM22+AM23+AM24+AM25+AM26+AM27+AM28+AM29</f>
        <v>5.23288384038278</v>
      </c>
      <c r="AN30" s="11" t="n">
        <f aca="false">AN22+AN23+AN24+AN25+AN26+AN27+AN28+AN29</f>
        <v>3.34371627674641</v>
      </c>
      <c r="AO30" s="11" t="n">
        <f aca="false">AO22+AO23+AO24+AO25+AO26+AO27+AO28+AO29</f>
        <v>2.04139650947368</v>
      </c>
      <c r="AP30" s="11" t="n">
        <f aca="false">AP22+AP23+AP24+AP25+AP26+AP27+AP28+AP29</f>
        <v>1.40755141856459</v>
      </c>
      <c r="AQ30" s="11" t="n">
        <f aca="false">AQ22+AQ23+AQ24+AQ25+AQ26+AQ27+AQ28+AQ29</f>
        <v>1.34076578947368</v>
      </c>
      <c r="AR30" s="11" t="n">
        <f aca="false">AR22+AR23+AR24+AR25+AR26+AR27+AR28+AR29</f>
        <v>1.34076578947368</v>
      </c>
      <c r="AS30" s="11" t="n">
        <f aca="false">AS22+AS23+AS24+AS25+AS26+AS27+AS28+AS29</f>
        <v>1.34076578947368</v>
      </c>
      <c r="AT30" s="11" t="n">
        <f aca="false">AT22+AT23+AT24+AT25+AT26+AT27+AT28+AT29</f>
        <v>1.34076578947368</v>
      </c>
      <c r="AU30" s="11" t="n">
        <f aca="false">AU22+AU23+AU24+AU25+AU26+AU27+AU28+AU29</f>
        <v>1.34076578947368</v>
      </c>
      <c r="AV30" s="11" t="n">
        <f aca="false">AV22+AV23+AV24+AV25+AV26+AV27+AV28+AV29</f>
        <v>49.5787657894737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451</v>
      </c>
    </row>
    <row r="32" customFormat="false" ht="15" hidden="false" customHeight="false" outlineLevel="0" collapsed="false">
      <c r="D32" s="0" t="s">
        <v>452</v>
      </c>
      <c r="E32" s="0" t="s">
        <v>166</v>
      </c>
      <c r="G32" s="11" t="n">
        <f aca="false">SUM(J32:BJ32)</f>
        <v>42938.798</v>
      </c>
      <c r="J32" s="11" t="n">
        <f aca="false">J20/100*Inputs!$F$59*Inputs!$F$60*Inputs!$F$36</f>
        <v>4293.8798</v>
      </c>
      <c r="K32" s="11" t="n">
        <f aca="false">K20/100*Inputs!$F$59*Inputs!$F$60*Inputs!$F$36</f>
        <v>4.637390184</v>
      </c>
      <c r="L32" s="11" t="n">
        <f aca="false">L20/100*Inputs!$F$59*Inputs!$F$60*Inputs!$F$36</f>
        <v>48.649658134</v>
      </c>
      <c r="M32" s="11" t="n">
        <f aca="false">M20/100*Inputs!$F$59*Inputs!$F$60*Inputs!$F$36</f>
        <v>139.078766722</v>
      </c>
      <c r="N32" s="11" t="n">
        <f aca="false">N20/100*Inputs!$F$59*Inputs!$F$60*Inputs!$F$36</f>
        <v>270.256794612</v>
      </c>
      <c r="O32" s="11" t="n">
        <f aca="false">O20/100*Inputs!$F$59*Inputs!$F$60*Inputs!$F$36</f>
        <v>434.283002972</v>
      </c>
      <c r="P32" s="11" t="n">
        <f aca="false">P20/100*Inputs!$F$59*Inputs!$F$60*Inputs!$F$36</f>
        <v>622.440815808</v>
      </c>
      <c r="Q32" s="11" t="n">
        <f aca="false">Q20/100*Inputs!$F$59*Inputs!$F$60*Inputs!$F$36</f>
        <v>825.970718328</v>
      </c>
      <c r="R32" s="11" t="n">
        <f aca="false">R20/100*Inputs!$F$59*Inputs!$F$60*Inputs!$F$36</f>
        <v>1036.242012134</v>
      </c>
      <c r="S32" s="11" t="n">
        <f aca="false">S20/100*Inputs!$F$59*Inputs!$F$60*Inputs!$F$36</f>
        <v>1245.182203202</v>
      </c>
      <c r="T32" s="11" t="n">
        <f aca="false">T20/100*Inputs!$F$59*Inputs!$F$60*Inputs!$F$36</f>
        <v>1445.277001882</v>
      </c>
      <c r="U32" s="11" t="n">
        <f aca="false">U20/100*Inputs!$F$59*Inputs!$F$60*Inputs!$F$36</f>
        <v>1629.827955686</v>
      </c>
      <c r="V32" s="11" t="n">
        <f aca="false">V20/100*Inputs!$F$59*Inputs!$F$60*Inputs!$F$36</f>
        <v>1792.90951049</v>
      </c>
      <c r="W32" s="11" t="n">
        <f aca="false">W20/100*Inputs!$F$59*Inputs!$F$60*Inputs!$F$36</f>
        <v>1929.45488813</v>
      </c>
      <c r="X32" s="11" t="n">
        <f aca="false">X20/100*Inputs!$F$59*Inputs!$F$60*Inputs!$F$36</f>
        <v>2035.51371919</v>
      </c>
      <c r="Y32" s="11" t="n">
        <f aca="false">Y20/100*Inputs!$F$59*Inputs!$F$60*Inputs!$F$36</f>
        <v>2107.908532618</v>
      </c>
      <c r="Z32" s="11" t="n">
        <f aca="false">Z20/100*Inputs!$F$59*Inputs!$F$60*Inputs!$F$36</f>
        <v>2144.621204908</v>
      </c>
      <c r="AA32" s="11" t="n">
        <f aca="false">AA20/100*Inputs!$F$59*Inputs!$F$60*Inputs!$F$36</f>
        <v>2144.621204908</v>
      </c>
      <c r="AB32" s="11" t="n">
        <f aca="false">AB20/100*Inputs!$F$59*Inputs!$F$60*Inputs!$F$36</f>
        <v>2107.908532618</v>
      </c>
      <c r="AC32" s="11" t="n">
        <f aca="false">AC20/100*Inputs!$F$59*Inputs!$F$60*Inputs!$F$36</f>
        <v>2035.51371919</v>
      </c>
      <c r="AD32" s="11" t="n">
        <f aca="false">AD20/100*Inputs!$F$59*Inputs!$F$60*Inputs!$F$36</f>
        <v>1929.45488813</v>
      </c>
      <c r="AE32" s="11" t="n">
        <f aca="false">AE20/100*Inputs!$F$59*Inputs!$F$60*Inputs!$F$36</f>
        <v>1792.90951049</v>
      </c>
      <c r="AF32" s="11" t="n">
        <f aca="false">AF20/100*Inputs!$F$59*Inputs!$F$60*Inputs!$F$36</f>
        <v>1629.827955686</v>
      </c>
      <c r="AG32" s="11" t="n">
        <f aca="false">AG20/100*Inputs!$F$59*Inputs!$F$60*Inputs!$F$36</f>
        <v>1445.277001882</v>
      </c>
      <c r="AH32" s="11" t="n">
        <f aca="false">AH20/100*Inputs!$F$59*Inputs!$F$60*Inputs!$F$36</f>
        <v>1245.182203202</v>
      </c>
      <c r="AI32" s="11" t="n">
        <f aca="false">AI20/100*Inputs!$F$59*Inputs!$F$60*Inputs!$F$36</f>
        <v>1036.242012134</v>
      </c>
      <c r="AJ32" s="11" t="n">
        <f aca="false">AJ20/100*Inputs!$F$59*Inputs!$F$60*Inputs!$F$36</f>
        <v>825.970718328</v>
      </c>
      <c r="AK32" s="11" t="n">
        <f aca="false">AK20/100*Inputs!$F$59*Inputs!$F$60*Inputs!$F$36</f>
        <v>622.440815808</v>
      </c>
      <c r="AL32" s="11" t="n">
        <f aca="false">AL20/100*Inputs!$F$59*Inputs!$F$60*Inputs!$F$36</f>
        <v>434.283002972</v>
      </c>
      <c r="AM32" s="11" t="n">
        <f aca="false">AM20/100*Inputs!$F$59*Inputs!$F$60*Inputs!$F$36</f>
        <v>270.256794612</v>
      </c>
      <c r="AN32" s="11" t="n">
        <f aca="false">AN20/100*Inputs!$F$59*Inputs!$F$60*Inputs!$F$36</f>
        <v>139.078766722</v>
      </c>
      <c r="AO32" s="11" t="n">
        <f aca="false">AO20/100*Inputs!$F$59*Inputs!$F$60*Inputs!$F$36</f>
        <v>48.649658134</v>
      </c>
      <c r="AP32" s="11" t="n">
        <f aca="false">AP20/100*Inputs!$F$59*Inputs!$F$60*Inputs!$F$36</f>
        <v>4.63739018399987</v>
      </c>
      <c r="AQ32" s="11" t="n">
        <f aca="false">AQ20/100*Inputs!$F$59*Inputs!$F$60*Inputs!$F$36</f>
        <v>0</v>
      </c>
      <c r="AR32" s="11" t="n">
        <f aca="false">AR20/100*Inputs!$F$59*Inputs!$F$60*Inputs!$F$36</f>
        <v>0</v>
      </c>
      <c r="AS32" s="11" t="n">
        <f aca="false">AS20/100*Inputs!$F$59*Inputs!$F$60*Inputs!$F$36</f>
        <v>0</v>
      </c>
      <c r="AT32" s="11" t="n">
        <f aca="false">AT20/100*Inputs!$F$59*Inputs!$F$60*Inputs!$F$36</f>
        <v>0</v>
      </c>
      <c r="AU32" s="11" t="n">
        <f aca="false">AU20/100*Inputs!$F$59*Inputs!$F$60*Inputs!$F$36</f>
        <v>0</v>
      </c>
      <c r="AV32" s="11" t="n">
        <f aca="false">AV20/100*Inputs!$F$59*Inputs!$F$60*Inputs!$F$36</f>
        <v>3220.40985</v>
      </c>
      <c r="AW32" s="11" t="n">
        <f aca="false">AW20/100*Inputs!$F$59*Inputs!$F$60*Inputs!$F$36</f>
        <v>0</v>
      </c>
      <c r="AX32" s="11" t="n">
        <f aca="false">AX20/100*Inputs!$F$59*Inputs!$F$60*Inputs!$F$36</f>
        <v>0</v>
      </c>
      <c r="AY32" s="11" t="n">
        <f aca="false">AY20/100*Inputs!$F$59*Inputs!$F$60*Inputs!$F$36</f>
        <v>0</v>
      </c>
      <c r="AZ32" s="11" t="n">
        <f aca="false">AZ20/100*Inputs!$F$59*Inputs!$F$60*Inputs!$F$36</f>
        <v>0</v>
      </c>
      <c r="BA32" s="11" t="n">
        <f aca="false">BA20/100*Inputs!$F$59*Inputs!$F$60*Inputs!$F$36</f>
        <v>0</v>
      </c>
      <c r="BB32" s="11" t="n">
        <f aca="false">BB20/100*Inputs!$F$59*Inputs!$F$60*Inputs!$F$36</f>
        <v>0</v>
      </c>
      <c r="BC32" s="11" t="n">
        <f aca="false">BC20/100*Inputs!$F$59*Inputs!$F$60*Inputs!$F$36</f>
        <v>0</v>
      </c>
      <c r="BD32" s="11" t="n">
        <f aca="false">BD20/100*Inputs!$F$59*Inputs!$F$60*Inputs!$F$36</f>
        <v>0</v>
      </c>
      <c r="BE32" s="11" t="n">
        <f aca="false">BE20/100*Inputs!$F$59*Inputs!$F$60*Inputs!$F$36</f>
        <v>0</v>
      </c>
      <c r="BF32" s="11" t="n">
        <f aca="false">BF20/100*Inputs!$F$59*Inputs!$F$60*Inputs!$F$36</f>
        <v>0</v>
      </c>
      <c r="BG32" s="11" t="n">
        <f aca="false">BG20/100*Inputs!$F$59*Inputs!$F$60*Inputs!$F$36</f>
        <v>0</v>
      </c>
      <c r="BH32" s="11" t="n">
        <f aca="false">BH20/100*Inputs!$F$59*Inputs!$F$60*Inputs!$F$36</f>
        <v>0</v>
      </c>
      <c r="BI32" s="11" t="n">
        <f aca="false">BI20/100*Inputs!$F$59*Inputs!$F$60*Inputs!$F$36</f>
        <v>0</v>
      </c>
      <c r="BJ32" s="11" t="n">
        <f aca="false">BJ20/100*Inputs!$F$59*Inputs!$F$60*Inputs!$F$36</f>
        <v>0</v>
      </c>
    </row>
    <row r="33" customFormat="false" ht="15" hidden="false" customHeight="false" outlineLevel="0" collapsed="false">
      <c r="D33" s="0" t="s">
        <v>453</v>
      </c>
      <c r="E33" s="0" t="s">
        <v>166</v>
      </c>
      <c r="G33" s="11" t="n">
        <f aca="false">SUM(J33:BJ33)</f>
        <v>7728.98364</v>
      </c>
      <c r="J33" s="11" t="n">
        <f aca="false">Inputs!$F$70/100*J32</f>
        <v>772.898364</v>
      </c>
      <c r="K33" s="11" t="n">
        <f aca="false">Inputs!$F$70/100*K32</f>
        <v>0.83473023312</v>
      </c>
      <c r="L33" s="11" t="n">
        <f aca="false">Inputs!$F$70/100*L32</f>
        <v>8.75693846412</v>
      </c>
      <c r="M33" s="11" t="n">
        <f aca="false">Inputs!$F$70/100*M32</f>
        <v>25.03417800996</v>
      </c>
      <c r="N33" s="11" t="n">
        <f aca="false">Inputs!$F$70/100*N32</f>
        <v>48.64622303016</v>
      </c>
      <c r="O33" s="11" t="n">
        <f aca="false">Inputs!$F$70/100*O32</f>
        <v>78.17094053496</v>
      </c>
      <c r="P33" s="11" t="n">
        <f aca="false">Inputs!$F$70/100*P32</f>
        <v>112.03934684544</v>
      </c>
      <c r="Q33" s="11" t="n">
        <f aca="false">Inputs!$F$70/100*Q32</f>
        <v>148.67472929904</v>
      </c>
      <c r="R33" s="11" t="n">
        <f aca="false">Inputs!$F$70/100*R32</f>
        <v>186.52356218412</v>
      </c>
      <c r="S33" s="11" t="n">
        <f aca="false">Inputs!$F$70/100*S32</f>
        <v>224.13279657636</v>
      </c>
      <c r="T33" s="11" t="n">
        <f aca="false">Inputs!$F$70/100*T32</f>
        <v>260.14986033876</v>
      </c>
      <c r="U33" s="11" t="n">
        <f aca="false">Inputs!$F$70/100*U32</f>
        <v>293.36903202348</v>
      </c>
      <c r="V33" s="11" t="n">
        <f aca="false">Inputs!$F$70/100*V32</f>
        <v>322.7237118882</v>
      </c>
      <c r="W33" s="11" t="n">
        <f aca="false">Inputs!$F$70/100*W32</f>
        <v>347.3018798634</v>
      </c>
      <c r="X33" s="11" t="n">
        <f aca="false">Inputs!$F$70/100*X32</f>
        <v>366.3924694542</v>
      </c>
      <c r="Y33" s="11" t="n">
        <f aca="false">Inputs!$F$70/100*Y32</f>
        <v>379.42353587124</v>
      </c>
      <c r="Z33" s="11" t="n">
        <f aca="false">Inputs!$F$70/100*Z32</f>
        <v>386.03181688344</v>
      </c>
      <c r="AA33" s="11" t="n">
        <f aca="false">Inputs!$F$70/100*AA32</f>
        <v>386.03181688344</v>
      </c>
      <c r="AB33" s="11" t="n">
        <f aca="false">Inputs!$F$70/100*AB32</f>
        <v>379.42353587124</v>
      </c>
      <c r="AC33" s="11" t="n">
        <f aca="false">Inputs!$F$70/100*AC32</f>
        <v>366.3924694542</v>
      </c>
      <c r="AD33" s="11" t="n">
        <f aca="false">Inputs!$F$70/100*AD32</f>
        <v>347.3018798634</v>
      </c>
      <c r="AE33" s="11" t="n">
        <f aca="false">Inputs!$F$70/100*AE32</f>
        <v>322.7237118882</v>
      </c>
      <c r="AF33" s="11" t="n">
        <f aca="false">Inputs!$F$70/100*AF32</f>
        <v>293.36903202348</v>
      </c>
      <c r="AG33" s="11" t="n">
        <f aca="false">Inputs!$F$70/100*AG32</f>
        <v>260.14986033876</v>
      </c>
      <c r="AH33" s="11" t="n">
        <f aca="false">Inputs!$F$70/100*AH32</f>
        <v>224.13279657636</v>
      </c>
      <c r="AI33" s="11" t="n">
        <f aca="false">Inputs!$F$70/100*AI32</f>
        <v>186.52356218412</v>
      </c>
      <c r="AJ33" s="11" t="n">
        <f aca="false">Inputs!$F$70/100*AJ32</f>
        <v>148.67472929904</v>
      </c>
      <c r="AK33" s="11" t="n">
        <f aca="false">Inputs!$F$70/100*AK32</f>
        <v>112.03934684544</v>
      </c>
      <c r="AL33" s="11" t="n">
        <f aca="false">Inputs!$F$70/100*AL32</f>
        <v>78.17094053496</v>
      </c>
      <c r="AM33" s="11" t="n">
        <f aca="false">Inputs!$F$70/100*AM32</f>
        <v>48.64622303016</v>
      </c>
      <c r="AN33" s="11" t="n">
        <f aca="false">Inputs!$F$70/100*AN32</f>
        <v>25.03417800996</v>
      </c>
      <c r="AO33" s="11" t="n">
        <f aca="false">Inputs!$F$70/100*AO32</f>
        <v>8.75693846412</v>
      </c>
      <c r="AP33" s="11" t="n">
        <f aca="false">Inputs!$F$70/100*AP32</f>
        <v>0.834730233119977</v>
      </c>
      <c r="AQ33" s="11" t="n">
        <f aca="false">Inputs!$F$70/100*AQ32</f>
        <v>0</v>
      </c>
      <c r="AR33" s="11" t="n">
        <f aca="false">Inputs!$F$70/100*AR32</f>
        <v>0</v>
      </c>
      <c r="AS33" s="11" t="n">
        <f aca="false">Inputs!$F$70/100*AS32</f>
        <v>0</v>
      </c>
      <c r="AT33" s="11" t="n">
        <f aca="false">Inputs!$F$70/100*AT32</f>
        <v>0</v>
      </c>
      <c r="AU33" s="11" t="n">
        <f aca="false">Inputs!$F$70/100*AU32</f>
        <v>0</v>
      </c>
      <c r="AV33" s="11" t="n">
        <f aca="false">Inputs!$F$70/100*AV32</f>
        <v>579.673773</v>
      </c>
      <c r="AW33" s="11" t="n">
        <f aca="false">Inputs!$F$70/100*AW32</f>
        <v>0</v>
      </c>
      <c r="AX33" s="11" t="n">
        <f aca="false">Inputs!$F$70/100*AX32</f>
        <v>0</v>
      </c>
      <c r="AY33" s="11" t="n">
        <f aca="false">Inputs!$F$70/100*AY32</f>
        <v>0</v>
      </c>
      <c r="AZ33" s="11" t="n">
        <f aca="false">Inputs!$F$70/100*AZ32</f>
        <v>0</v>
      </c>
      <c r="BA33" s="11" t="n">
        <f aca="false">Inputs!$F$70/100*BA32</f>
        <v>0</v>
      </c>
      <c r="BB33" s="11" t="n">
        <f aca="false">Inputs!$F$70/100*BB32</f>
        <v>0</v>
      </c>
      <c r="BC33" s="11" t="n">
        <f aca="false">Inputs!$F$70/100*BC32</f>
        <v>0</v>
      </c>
      <c r="BD33" s="11" t="n">
        <f aca="false">Inputs!$F$70/100*BD32</f>
        <v>0</v>
      </c>
      <c r="BE33" s="11" t="n">
        <f aca="false">Inputs!$F$70/100*BE32</f>
        <v>0</v>
      </c>
      <c r="BF33" s="11" t="n">
        <f aca="false">Inputs!$F$70/100*BF32</f>
        <v>0</v>
      </c>
      <c r="BG33" s="11" t="n">
        <f aca="false">Inputs!$F$70/100*BG32</f>
        <v>0</v>
      </c>
      <c r="BH33" s="11" t="n">
        <f aca="false">Inputs!$F$70/100*BH32</f>
        <v>0</v>
      </c>
      <c r="BI33" s="11" t="n">
        <f aca="false">Inputs!$F$70/100*BI32</f>
        <v>0</v>
      </c>
      <c r="BJ33" s="11" t="n">
        <f aca="false">Inputs!$F$70/100*BJ32</f>
        <v>0</v>
      </c>
    </row>
    <row r="34" customFormat="false" ht="15" hidden="false" customHeight="false" outlineLevel="0" collapsed="false">
      <c r="D34" s="0" t="s">
        <v>454</v>
      </c>
      <c r="E34" s="0" t="s">
        <v>166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0.834730233119977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579.673773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455</v>
      </c>
      <c r="E35" s="0" t="s">
        <v>166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832.813445177281</v>
      </c>
      <c r="AQ35" s="11" t="n">
        <f aca="false">AP35+AQ33-AQ34</f>
        <v>608.680648600921</v>
      </c>
      <c r="AR35" s="11" t="n">
        <f aca="false">AQ35+AR33-AR34</f>
        <v>422.157086416801</v>
      </c>
      <c r="AS35" s="11" t="n">
        <f aca="false">AR35+AS33-AS34</f>
        <v>273.482357117761</v>
      </c>
      <c r="AT35" s="11" t="n">
        <f aca="false">AS35+AT33-AT34</f>
        <v>161.443010272321</v>
      </c>
      <c r="AU35" s="11" t="n">
        <f aca="false">AT35+AU33-AU34</f>
        <v>83.2720697373606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579.673773</v>
      </c>
      <c r="AZ35" s="11" t="n">
        <f aca="false">AY35+AZ33-AZ34</f>
        <v>579.673773</v>
      </c>
      <c r="BA35" s="11" t="n">
        <f aca="false">AZ35+BA33-BA34</f>
        <v>579.673773</v>
      </c>
      <c r="BB35" s="11" t="n">
        <f aca="false">BA35+BB33-BB34</f>
        <v>579.673773</v>
      </c>
      <c r="BC35" s="11" t="n">
        <f aca="false">BB35+BC33-BC34</f>
        <v>579.673773</v>
      </c>
      <c r="BD35" s="11" t="n">
        <f aca="false">BC35+BD33-BD34</f>
        <v>579.673773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456</v>
      </c>
      <c r="E36" s="0" t="s">
        <v>149</v>
      </c>
      <c r="G36" s="11" t="n">
        <f aca="false">SUM(J36:BJ36)</f>
        <v>1.63076356999541</v>
      </c>
      <c r="J36" s="11" t="n">
        <f aca="false">0*(J18+Inputs!$F$71)/100*J11/365/J16</f>
        <v>0</v>
      </c>
      <c r="K36" s="11" t="n">
        <f aca="false">J35*(K18+Inputs!$F$71)/100*K11/365/K16</f>
        <v>0.0194457240997733</v>
      </c>
      <c r="L36" s="11" t="n">
        <f aca="false">K35*(L18+Inputs!$F$71)/100*L11/365/L16</f>
        <v>0.0200310422177048</v>
      </c>
      <c r="M36" s="11" t="n">
        <f aca="false">L35*(M18+Inputs!$F$71)/100*M11/365/M16</f>
        <v>0.0195218490832966</v>
      </c>
      <c r="N36" s="11" t="n">
        <f aca="false">M35*(N18+Inputs!$F$71)/100*N11/365/N16</f>
        <v>0.0207304309549175</v>
      </c>
      <c r="O36" s="11" t="n">
        <f aca="false">N35*(O18+Inputs!$F$71)/100*O11/365/O16</f>
        <v>0.021886847272568</v>
      </c>
      <c r="P36" s="11" t="n">
        <f aca="false">O35*(P18+Inputs!$F$71)/100*P11/365/P16</f>
        <v>0.0214830085816359</v>
      </c>
      <c r="Q36" s="11" t="n">
        <f aca="false">P35*(Q18+Inputs!$F$71)/100*Q11/365/Q16</f>
        <v>0.026524860951246</v>
      </c>
      <c r="R36" s="11" t="n">
        <f aca="false">Q35*(R18+Inputs!$F$71)/100*R11/365/R16</f>
        <v>0.0291931666812582</v>
      </c>
      <c r="S36" s="11" t="n">
        <f aca="false">R35*(S18+Inputs!$F$71)/100*S11/365/S16</f>
        <v>0.034727979703444</v>
      </c>
      <c r="T36" s="11" t="n">
        <f aca="false">S35*(T18+Inputs!$F$71)/100*T11/365/T16</f>
        <v>0.0201735014177452</v>
      </c>
      <c r="U36" s="11" t="n">
        <f aca="false">T35*(U18+Inputs!$F$71)/100*U11/365/U16</f>
        <v>0.0272218707388594</v>
      </c>
      <c r="V36" s="11" t="n">
        <f aca="false">U35*(V18+Inputs!$F$71)/100*V11/365/V16</f>
        <v>0.0341716965606389</v>
      </c>
      <c r="W36" s="11" t="n">
        <f aca="false">V35*(W18+Inputs!$F$71)/100*W11/365/W16</f>
        <v>0.0400508015468132</v>
      </c>
      <c r="X36" s="11" t="n">
        <f aca="false">W35*(X18+Inputs!$F$71)/100*X11/365/X16</f>
        <v>0.0485624723651726</v>
      </c>
      <c r="Y36" s="11" t="n">
        <f aca="false">X35*(Y18+Inputs!$F$71)/100*Y11/365/Y16</f>
        <v>0.0536344918211279</v>
      </c>
      <c r="Z36" s="11" t="n">
        <f aca="false">Y35*(Z18+Inputs!$F$71)/100*Z11/365/Z16</f>
        <v>0.0617150481464958</v>
      </c>
      <c r="AA36" s="11" t="n">
        <f aca="false">Z35*(AA18+Inputs!$F$71)/100*AA11/365/AA16</f>
        <v>0.0672241360452611</v>
      </c>
      <c r="AB36" s="11" t="n">
        <f aca="false">AA35*(AB18+Inputs!$F$71)/100*AB11/365/AB16</f>
        <v>0.0671395125097447</v>
      </c>
      <c r="AC36" s="11" t="n">
        <f aca="false">AB35*(AC18+Inputs!$F$71)/100*AC11/365/AC16</f>
        <v>0.0752104847039138</v>
      </c>
      <c r="AD36" s="11" t="n">
        <f aca="false">AC35*(AD18+Inputs!$F$71)/100*AD11/365/AD16</f>
        <v>0.0749456956637847</v>
      </c>
      <c r="AE36" s="11" t="n">
        <f aca="false">AD35*(AE18+Inputs!$F$71)/100*AE11/365/AE16</f>
        <v>0.0784071220767009</v>
      </c>
      <c r="AF36" s="11" t="n">
        <f aca="false">AE35*(AF18+Inputs!$F$71)/100*AF11/365/AF16</f>
        <v>0.0755588391382728</v>
      </c>
      <c r="AG36" s="11" t="n">
        <f aca="false">AF35*(AG18+Inputs!$F$71)/100*AG11/365/AG16</f>
        <v>0.0764711712832112</v>
      </c>
      <c r="AH36" s="11" t="n">
        <f aca="false">AG35*(AH18+Inputs!$F$71)/100*AH11/365/AH16</f>
        <v>0.0736426487589338</v>
      </c>
      <c r="AI36" s="11" t="n">
        <f aca="false">AH35*(AI18+Inputs!$F$71)/100*AI11/365/AI16</f>
        <v>0.0674361640987342</v>
      </c>
      <c r="AJ36" s="11" t="n">
        <f aca="false">AI35*(AJ18+Inputs!$F$71)/100*AJ11/365/AJ16</f>
        <v>0.0647227636214697</v>
      </c>
      <c r="AK36" s="11" t="n">
        <f aca="false">AJ35*(AK18+Inputs!$F$71)/100*AK11/365/AK16</f>
        <v>0.0570194287412817</v>
      </c>
      <c r="AL36" s="11" t="n">
        <f aca="false">AK35*(AL18+Inputs!$F$71)/100*AL11/365/AL16</f>
        <v>0.0524683302432578</v>
      </c>
      <c r="AM36" s="11" t="n">
        <f aca="false">AL35*(AM18+Inputs!$F$71)/100*AM11/365/AM16</f>
        <v>0.0455883452314648</v>
      </c>
      <c r="AN36" s="11" t="n">
        <f aca="false">AM35*(AN18+Inputs!$F$71)/100*AN11/365/AN16</f>
        <v>0.0347969703795965</v>
      </c>
      <c r="AO36" s="11" t="n">
        <f aca="false">AN35*(AO18+Inputs!$F$71)/100*AO11/365/AO16</f>
        <v>0.031542810815562</v>
      </c>
      <c r="AP36" s="11" t="n">
        <f aca="false">AO35*(AP18+Inputs!$F$71)/100*AP11/365/AP16</f>
        <v>0.0241130298367733</v>
      </c>
      <c r="AQ36" s="11" t="n">
        <f aca="false">AP35*(AQ18+Inputs!$F$71)/100*AQ11/365/AQ16</f>
        <v>0.0189206644060081</v>
      </c>
      <c r="AR36" s="11" t="n">
        <f aca="false">AQ35*(AR18+Inputs!$F$71)/100*AR11/365/AR16</f>
        <v>0.0133262486709748</v>
      </c>
      <c r="AS36" s="11" t="n">
        <f aca="false">AR35*(AS18+Inputs!$F$71)/100*AS11/365/AS16</f>
        <v>0.00951049548862297</v>
      </c>
      <c r="AT36" s="11" t="n">
        <f aca="false">AS35*(AT18+Inputs!$F$71)/100*AT11/365/AT16</f>
        <v>0.00613519791375784</v>
      </c>
      <c r="AU36" s="11" t="n">
        <f aca="false">AT35*(AU18+Inputs!$F$71)/100*AU11/365/AU16</f>
        <v>0.00349018359651425</v>
      </c>
      <c r="AV36" s="11" t="n">
        <f aca="false">AU35*(AV18+Inputs!$F$71)/100*AV11/365/AV16</f>
        <v>0.00185241814840726</v>
      </c>
      <c r="AW36" s="11" t="n">
        <f aca="false">AV35*(AW18+Inputs!$F$71)/100*AW11/365/AW16</f>
        <v>0.013168905401365</v>
      </c>
      <c r="AX36" s="11" t="n">
        <f aca="false">AW35*(AX18+Inputs!$F$71)/100*AX11/365/AX16</f>
        <v>0.0129984343551899</v>
      </c>
      <c r="AY36" s="11" t="n">
        <f aca="false">AX35*(AY18+Inputs!$F$71)/100*AY11/365/AY16</f>
        <v>0.0127514291285803</v>
      </c>
      <c r="AZ36" s="11" t="n">
        <f aca="false">AY35*(AZ18+Inputs!$F$71)/100*AZ11/365/AZ16</f>
        <v>0.0114525044024139</v>
      </c>
      <c r="BA36" s="11" t="n">
        <f aca="false">AZ35*(BA18+Inputs!$F$71)/100*BA11/365/BA16</f>
        <v>0.0126262484997983</v>
      </c>
      <c r="BB36" s="11" t="n">
        <f aca="false">BA35*(BB18+Inputs!$F$71)/100*BB11/365/BB16</f>
        <v>0.0121675767972054</v>
      </c>
      <c r="BC36" s="11" t="n">
        <f aca="false">BB35*(BC18+Inputs!$F$71)/100*BC11/365/BC16</f>
        <v>0.0125203000751124</v>
      </c>
      <c r="BD36" s="11" t="n">
        <f aca="false">BC35*(BD18+Inputs!$F$71)/100*BD11/365/BD16</f>
        <v>0.0120654771439371</v>
      </c>
      <c r="BE36" s="11" t="n">
        <f aca="false">BD35*(BE18+Inputs!$F$71)/100*BE11/365/BE16</f>
        <v>0.0124152406768617</v>
      </c>
      <c r="BF36" s="11" t="n">
        <f aca="false">BE35*(BF18+Inputs!$F$71)/100*BF11/365/BF16</f>
        <v>0</v>
      </c>
      <c r="BG36" s="11" t="n">
        <f aca="false">BF35*(BG18+Inputs!$F$71)/100*BG11/365/BG16</f>
        <v>0</v>
      </c>
      <c r="BH36" s="11" t="n">
        <f aca="false">BG35*(BH18+Inputs!$F$71)/100*BH11/365/BH16</f>
        <v>0</v>
      </c>
      <c r="BI36" s="11" t="n">
        <f aca="false">BH35*(BI18+Inputs!$F$71)/100*BI11/365/BI16</f>
        <v>0</v>
      </c>
      <c r="BJ36" s="11" t="n">
        <f aca="false">BI35*(BJ18+Inputs!$F$71)/100*BJ11/365/BJ16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458</v>
      </c>
    </row>
    <row r="8" customFormat="false" ht="15" hidden="false" customHeight="false" outlineLevel="0" collapsed="false">
      <c r="D8" s="0" t="s">
        <v>459</v>
      </c>
      <c r="E8" s="0" t="s">
        <v>103</v>
      </c>
      <c r="J8" s="11" t="n">
        <f aca="false">CHOOSE(Inputs!$F$33,Inputs!J215,Inputs!J216,Inputs!J217)</f>
        <v>2.52</v>
      </c>
      <c r="K8" s="11" t="n">
        <f aca="false">CHOOSE(Inputs!$F$33,Inputs!K215,Inputs!K216,Inputs!K217)</f>
        <v>2.79</v>
      </c>
      <c r="L8" s="11" t="n">
        <f aca="false">CHOOSE(Inputs!$F$33,Inputs!L215,Inputs!L216,Inputs!L217)</f>
        <v>2.94</v>
      </c>
      <c r="M8" s="11" t="n">
        <f aca="false">CHOOSE(Inputs!$F$33,Inputs!M215,Inputs!M216,Inputs!M217)</f>
        <v>3.02</v>
      </c>
      <c r="N8" s="11" t="n">
        <f aca="false">CHOOSE(Inputs!$F$33,Inputs!N215,Inputs!N216,Inputs!N217)</f>
        <v>3.06</v>
      </c>
      <c r="O8" s="11" t="n">
        <f aca="false">CHOOSE(Inputs!$F$33,Inputs!O215,Inputs!O216,Inputs!O217)</f>
        <v>3.09</v>
      </c>
      <c r="P8" s="11" t="n">
        <f aca="false">CHOOSE(Inputs!$F$33,Inputs!P215,Inputs!P216,Inputs!P217)</f>
        <v>3.09</v>
      </c>
      <c r="Q8" s="11" t="n">
        <f aca="false">CHOOSE(Inputs!$F$33,Inputs!Q215,Inputs!Q216,Inputs!Q217)</f>
        <v>3.11</v>
      </c>
      <c r="R8" s="11" t="n">
        <f aca="false">CHOOSE(Inputs!$F$33,Inputs!R215,Inputs!R216,Inputs!R217)</f>
        <v>3.11</v>
      </c>
      <c r="S8" s="11" t="n">
        <f aca="false">CHOOSE(Inputs!$F$33,Inputs!S215,Inputs!S216,Inputs!S217)</f>
        <v>3.12</v>
      </c>
      <c r="T8" s="11" t="n">
        <f aca="false">CHOOSE(Inputs!$F$33,Inputs!T215,Inputs!T216,Inputs!T217)</f>
        <v>3.12</v>
      </c>
      <c r="U8" s="11" t="n">
        <f aca="false">CHOOSE(Inputs!$F$33,Inputs!U215,Inputs!U216,Inputs!U217)</f>
        <v>3.12</v>
      </c>
      <c r="V8" s="11" t="n">
        <f aca="false">CHOOSE(Inputs!$F$33,Inputs!V215,Inputs!V216,Inputs!V217)</f>
        <v>3.12</v>
      </c>
      <c r="W8" s="11" t="n">
        <f aca="false">CHOOSE(Inputs!$F$33,Inputs!W215,Inputs!W216,Inputs!W217)</f>
        <v>3.12</v>
      </c>
      <c r="X8" s="11" t="n">
        <f aca="false">CHOOSE(Inputs!$F$33,Inputs!X215,Inputs!X216,Inputs!X217)</f>
        <v>3.12</v>
      </c>
      <c r="Y8" s="11" t="n">
        <f aca="false">CHOOSE(Inputs!$F$33,Inputs!Y215,Inputs!Y216,Inputs!Y217)</f>
        <v>3.12</v>
      </c>
      <c r="Z8" s="11" t="n">
        <f aca="false">CHOOSE(Inputs!$F$33,Inputs!Z215,Inputs!Z216,Inputs!Z217)</f>
        <v>3.12</v>
      </c>
      <c r="AA8" s="11" t="n">
        <f aca="false">CHOOSE(Inputs!$F$33,Inputs!AA215,Inputs!AA216,Inputs!AA217)</f>
        <v>3.12</v>
      </c>
      <c r="AB8" s="11" t="n">
        <f aca="false">CHOOSE(Inputs!$F$33,Inputs!AB215,Inputs!AB216,Inputs!AB217)</f>
        <v>3.12</v>
      </c>
      <c r="AC8" s="11" t="n">
        <f aca="false">CHOOSE(Inputs!$F$33,Inputs!AC215,Inputs!AC216,Inputs!AC217)</f>
        <v>3.12</v>
      </c>
      <c r="AD8" s="11" t="n">
        <f aca="false">CHOOSE(Inputs!$F$33,Inputs!AD215,Inputs!AD216,Inputs!AD217)</f>
        <v>3.12</v>
      </c>
      <c r="AE8" s="11" t="n">
        <f aca="false">CHOOSE(Inputs!$F$33,Inputs!AE215,Inputs!AE216,Inputs!AE217)</f>
        <v>3.12</v>
      </c>
      <c r="AF8" s="11" t="n">
        <f aca="false">CHOOSE(Inputs!$F$33,Inputs!AF215,Inputs!AF216,Inputs!AF217)</f>
        <v>3.12</v>
      </c>
      <c r="AG8" s="11" t="n">
        <f aca="false">CHOOSE(Inputs!$F$33,Inputs!AG215,Inputs!AG216,Inputs!AG217)</f>
        <v>3.12</v>
      </c>
      <c r="AH8" s="11" t="n">
        <f aca="false">CHOOSE(Inputs!$F$33,Inputs!AH215,Inputs!AH216,Inputs!AH217)</f>
        <v>3.12</v>
      </c>
      <c r="AI8" s="11" t="n">
        <f aca="false">CHOOSE(Inputs!$F$33,Inputs!AI215,Inputs!AI216,Inputs!AI217)</f>
        <v>3.12</v>
      </c>
      <c r="AJ8" s="11" t="n">
        <f aca="false">CHOOSE(Inputs!$F$33,Inputs!AJ215,Inputs!AJ216,Inputs!AJ217)</f>
        <v>3.12</v>
      </c>
      <c r="AK8" s="11" t="n">
        <f aca="false">CHOOSE(Inputs!$F$33,Inputs!AK215,Inputs!AK216,Inputs!AK217)</f>
        <v>3.12</v>
      </c>
      <c r="AL8" s="11" t="n">
        <f aca="false">CHOOSE(Inputs!$F$33,Inputs!AL215,Inputs!AL216,Inputs!AL217)</f>
        <v>3.12</v>
      </c>
      <c r="AM8" s="11" t="n">
        <f aca="false">CHOOSE(Inputs!$F$33,Inputs!AM215,Inputs!AM216,Inputs!AM217)</f>
        <v>3.12</v>
      </c>
      <c r="AN8" s="11" t="n">
        <f aca="false">CHOOSE(Inputs!$F$33,Inputs!AN215,Inputs!AN216,Inputs!AN217)</f>
        <v>3.12</v>
      </c>
      <c r="AO8" s="11" t="n">
        <f aca="false">CHOOSE(Inputs!$F$33,Inputs!AO215,Inputs!AO216,Inputs!AO217)</f>
        <v>3.12</v>
      </c>
      <c r="AP8" s="11" t="n">
        <f aca="false">CHOOSE(Inputs!$F$33,Inputs!AP215,Inputs!AP216,Inputs!AP217)</f>
        <v>3.12</v>
      </c>
      <c r="AQ8" s="11" t="n">
        <f aca="false">CHOOSE(Inputs!$F$33,Inputs!AQ215,Inputs!AQ216,Inputs!AQ217)</f>
        <v>3.12</v>
      </c>
      <c r="AR8" s="11" t="n">
        <f aca="false">CHOOSE(Inputs!$F$33,Inputs!AR215,Inputs!AR216,Inputs!AR217)</f>
        <v>3.12</v>
      </c>
      <c r="AS8" s="11" t="n">
        <f aca="false">CHOOSE(Inputs!$F$33,Inputs!AS215,Inputs!AS216,Inputs!AS217)</f>
        <v>3.12</v>
      </c>
      <c r="AT8" s="11" t="n">
        <f aca="false">CHOOSE(Inputs!$F$33,Inputs!AT215,Inputs!AT216,Inputs!AT217)</f>
        <v>3.12</v>
      </c>
      <c r="AU8" s="11" t="n">
        <f aca="false">CHOOSE(Inputs!$F$33,Inputs!AU215,Inputs!AU216,Inputs!AU217)</f>
        <v>3.12</v>
      </c>
      <c r="AV8" s="11" t="n">
        <f aca="false">CHOOSE(Inputs!$F$33,Inputs!AV215,Inputs!AV216,Inputs!AV217)</f>
        <v>3.12</v>
      </c>
      <c r="AW8" s="11" t="n">
        <f aca="false">CHOOSE(Inputs!$F$33,Inputs!AW215,Inputs!AW216,Inputs!AW217)</f>
        <v>3.12</v>
      </c>
      <c r="AX8" s="11" t="n">
        <f aca="false">CHOOSE(Inputs!$F$33,Inputs!AX215,Inputs!AX216,Inputs!AX217)</f>
        <v>3.12</v>
      </c>
      <c r="AY8" s="11" t="n">
        <f aca="false">CHOOSE(Inputs!$F$33,Inputs!AY215,Inputs!AY216,Inputs!AY217)</f>
        <v>3.12</v>
      </c>
      <c r="AZ8" s="11" t="n">
        <f aca="false">CHOOSE(Inputs!$F$33,Inputs!AZ215,Inputs!AZ216,Inputs!AZ217)</f>
        <v>3.12</v>
      </c>
      <c r="BA8" s="11" t="n">
        <f aca="false">CHOOSE(Inputs!$F$33,Inputs!BA215,Inputs!BA216,Inputs!BA217)</f>
        <v>3.12</v>
      </c>
      <c r="BB8" s="11" t="n">
        <f aca="false">CHOOSE(Inputs!$F$33,Inputs!BB215,Inputs!BB216,Inputs!BB217)</f>
        <v>3.12</v>
      </c>
      <c r="BC8" s="11" t="n">
        <f aca="false">CHOOSE(Inputs!$F$33,Inputs!BC215,Inputs!BC216,Inputs!BC217)</f>
        <v>3.12</v>
      </c>
      <c r="BD8" s="11" t="n">
        <f aca="false">CHOOSE(Inputs!$F$33,Inputs!BD215,Inputs!BD216,Inputs!BD217)</f>
        <v>3.12</v>
      </c>
      <c r="BE8" s="11" t="n">
        <f aca="false">CHOOSE(Inputs!$F$33,Inputs!BE215,Inputs!BE216,Inputs!BE217)</f>
        <v>3.12</v>
      </c>
      <c r="BF8" s="11" t="n">
        <f aca="false">CHOOSE(Inputs!$F$33,Inputs!BF215,Inputs!BF216,Inputs!BF217)</f>
        <v>3.12</v>
      </c>
      <c r="BG8" s="11" t="n">
        <f aca="false">CHOOSE(Inputs!$F$33,Inputs!BG215,Inputs!BG216,Inputs!BG217)</f>
        <v>3.12</v>
      </c>
      <c r="BH8" s="11" t="n">
        <f aca="false">CHOOSE(Inputs!$F$33,Inputs!BH215,Inputs!BH216,Inputs!BH217)</f>
        <v>3.12</v>
      </c>
      <c r="BI8" s="11" t="n">
        <f aca="false">CHOOSE(Inputs!$F$33,Inputs!BI215,Inputs!BI216,Inputs!BI217)</f>
        <v>3.12</v>
      </c>
      <c r="BJ8" s="11" t="n">
        <f aca="false">CHOOSE(Inputs!$F$33,Inputs!BJ215,Inputs!BJ216,Inputs!BJ217)</f>
        <v>3.12</v>
      </c>
      <c r="BK8" s="11" t="n">
        <f aca="false">CHOOSE(Inputs!$F$33,Inputs!BK215,Inputs!BK216,Inputs!BK217)</f>
        <v>3.12</v>
      </c>
      <c r="BL8" s="11" t="n">
        <f aca="false">CHOOSE(Inputs!$F$33,Inputs!BL215,Inputs!BL216,Inputs!BL217)</f>
        <v>3.12</v>
      </c>
      <c r="BM8" s="11" t="n">
        <f aca="false">CHOOSE(Inputs!$F$33,Inputs!BM215,Inputs!BM216,Inputs!BM217)</f>
        <v>3.12</v>
      </c>
      <c r="BN8" s="11" t="n">
        <f aca="false">CHOOSE(Inputs!$F$33,Inputs!BN215,Inputs!BN216,Inputs!BN217)</f>
        <v>3.12</v>
      </c>
    </row>
    <row r="9" customFormat="false" ht="15" hidden="false" customHeight="false" outlineLevel="0" collapsed="false">
      <c r="D9" s="0" t="s">
        <v>460</v>
      </c>
      <c r="E9" s="0" t="s">
        <v>103</v>
      </c>
      <c r="J9" s="11" t="n">
        <f aca="false">J8+Inputs!$F$42*Time!J34</f>
        <v>2.52</v>
      </c>
      <c r="K9" s="11" t="n">
        <f aca="false">K8+Inputs!$F$42*Time!K34</f>
        <v>2.79</v>
      </c>
      <c r="L9" s="11" t="n">
        <f aca="false">L8+Inputs!$F$42*Time!L34</f>
        <v>2.94</v>
      </c>
      <c r="M9" s="11" t="n">
        <f aca="false">M8+Inputs!$F$42*Time!M34</f>
        <v>3.02</v>
      </c>
      <c r="N9" s="11" t="n">
        <f aca="false">N8+Inputs!$F$42*Time!N34</f>
        <v>3.06</v>
      </c>
      <c r="O9" s="11" t="n">
        <f aca="false">O8+Inputs!$F$42*Time!O34</f>
        <v>3.09</v>
      </c>
      <c r="P9" s="11" t="n">
        <f aca="false">P8+Inputs!$F$42*Time!P34</f>
        <v>3.09</v>
      </c>
      <c r="Q9" s="11" t="n">
        <f aca="false">Q8+Inputs!$F$42*Time!Q34</f>
        <v>3.11</v>
      </c>
      <c r="R9" s="11" t="n">
        <f aca="false">R8+Inputs!$F$42*Time!R34</f>
        <v>3.11</v>
      </c>
      <c r="S9" s="11" t="n">
        <f aca="false">S8+Inputs!$F$42*Time!S34</f>
        <v>3.12</v>
      </c>
      <c r="T9" s="11" t="n">
        <f aca="false">T8+Inputs!$F$42*Time!T34</f>
        <v>3.12</v>
      </c>
      <c r="U9" s="11" t="n">
        <f aca="false">U8+Inputs!$F$42*Time!U34</f>
        <v>3.12</v>
      </c>
      <c r="V9" s="11" t="n">
        <f aca="false">V8+Inputs!$F$42*Time!V34</f>
        <v>3.12</v>
      </c>
      <c r="W9" s="11" t="n">
        <f aca="false">W8+Inputs!$F$42*Time!W34</f>
        <v>3.12</v>
      </c>
      <c r="X9" s="11" t="n">
        <f aca="false">X8+Inputs!$F$42*Time!X34</f>
        <v>3.12</v>
      </c>
      <c r="Y9" s="11" t="n">
        <f aca="false">Y8+Inputs!$F$42*Time!Y34</f>
        <v>3.12</v>
      </c>
      <c r="Z9" s="11" t="n">
        <f aca="false">Z8+Inputs!$F$42*Time!Z34</f>
        <v>3.12</v>
      </c>
      <c r="AA9" s="11" t="n">
        <f aca="false">AA8+Inputs!$F$42*Time!AA34</f>
        <v>3.12</v>
      </c>
      <c r="AB9" s="11" t="n">
        <f aca="false">AB8+Inputs!$F$42*Time!AB34</f>
        <v>3.12</v>
      </c>
      <c r="AC9" s="11" t="n">
        <f aca="false">AC8+Inputs!$F$42*Time!AC34</f>
        <v>3.12</v>
      </c>
      <c r="AD9" s="11" t="n">
        <f aca="false">AD8+Inputs!$F$42*Time!AD34</f>
        <v>3.12</v>
      </c>
      <c r="AE9" s="11" t="n">
        <f aca="false">AE8+Inputs!$F$42*Time!AE34</f>
        <v>3.12</v>
      </c>
      <c r="AF9" s="11" t="n">
        <f aca="false">AF8+Inputs!$F$42*Time!AF34</f>
        <v>3.12</v>
      </c>
      <c r="AG9" s="11" t="n">
        <f aca="false">AG8+Inputs!$F$42*Time!AG34</f>
        <v>3.12</v>
      </c>
      <c r="AH9" s="11" t="n">
        <f aca="false">AH8+Inputs!$F$42*Time!AH34</f>
        <v>3.12</v>
      </c>
      <c r="AI9" s="11" t="n">
        <f aca="false">AI8+Inputs!$F$42*Time!AI34</f>
        <v>3.12</v>
      </c>
      <c r="AJ9" s="11" t="n">
        <f aca="false">AJ8+Inputs!$F$42*Time!AJ34</f>
        <v>3.12</v>
      </c>
      <c r="AK9" s="11" t="n">
        <f aca="false">AK8+Inputs!$F$42*Time!AK34</f>
        <v>3.12</v>
      </c>
      <c r="AL9" s="11" t="n">
        <f aca="false">AL8+Inputs!$F$42*Time!AL34</f>
        <v>3.12</v>
      </c>
      <c r="AM9" s="11" t="n">
        <f aca="false">AM8+Inputs!$F$42*Time!AM34</f>
        <v>3.12</v>
      </c>
      <c r="AN9" s="11" t="n">
        <f aca="false">AN8+Inputs!$F$42*Time!AN34</f>
        <v>3.12</v>
      </c>
      <c r="AO9" s="11" t="n">
        <f aca="false">AO8+Inputs!$F$42*Time!AO34</f>
        <v>3.12</v>
      </c>
      <c r="AP9" s="11" t="n">
        <f aca="false">AP8+Inputs!$F$42*Time!AP34</f>
        <v>3.12</v>
      </c>
      <c r="AQ9" s="11" t="n">
        <f aca="false">AQ8+Inputs!$F$42*Time!AQ34</f>
        <v>3.12</v>
      </c>
      <c r="AR9" s="11" t="n">
        <f aca="false">AR8+Inputs!$F$42*Time!AR34</f>
        <v>3.12</v>
      </c>
      <c r="AS9" s="11" t="n">
        <f aca="false">AS8+Inputs!$F$42*Time!AS34</f>
        <v>3.12</v>
      </c>
      <c r="AT9" s="11" t="n">
        <f aca="false">AT8+Inputs!$F$42*Time!AT34</f>
        <v>3.12</v>
      </c>
      <c r="AU9" s="11" t="n">
        <f aca="false">AU8+Inputs!$F$42*Time!AU34</f>
        <v>3.12</v>
      </c>
      <c r="AV9" s="11" t="n">
        <f aca="false">AV8+Inputs!$F$42*Time!AV34</f>
        <v>3.12</v>
      </c>
      <c r="AW9" s="11" t="n">
        <f aca="false">AW8+Inputs!$F$42*Time!AW34</f>
        <v>3.12</v>
      </c>
      <c r="AX9" s="11" t="n">
        <f aca="false">AX8+Inputs!$F$42*Time!AX34</f>
        <v>3.12</v>
      </c>
      <c r="AY9" s="11" t="n">
        <f aca="false">AY8+Inputs!$F$42*Time!AY34</f>
        <v>3.12</v>
      </c>
      <c r="AZ9" s="11" t="n">
        <f aca="false">AZ8+Inputs!$F$42*Time!AZ34</f>
        <v>3.12</v>
      </c>
      <c r="BA9" s="11" t="n">
        <f aca="false">BA8+Inputs!$F$42*Time!BA34</f>
        <v>3.12</v>
      </c>
      <c r="BB9" s="11" t="n">
        <f aca="false">BB8+Inputs!$F$42*Time!BB34</f>
        <v>3.12</v>
      </c>
      <c r="BC9" s="11" t="n">
        <f aca="false">BC8+Inputs!$F$42*Time!BC34</f>
        <v>3.12</v>
      </c>
      <c r="BD9" s="11" t="n">
        <f aca="false">BD8+Inputs!$F$42*Time!BD34</f>
        <v>3.12</v>
      </c>
      <c r="BE9" s="11" t="n">
        <f aca="false">BE8+Inputs!$F$42*Time!BE34</f>
        <v>3.12</v>
      </c>
      <c r="BF9" s="11" t="n">
        <f aca="false">BF8+Inputs!$F$42*Time!BF34</f>
        <v>3.12</v>
      </c>
      <c r="BG9" s="11" t="n">
        <f aca="false">BG8+Inputs!$F$42*Time!BG34</f>
        <v>3.12</v>
      </c>
      <c r="BH9" s="11" t="n">
        <f aca="false">BH8+Inputs!$F$42*Time!BH34</f>
        <v>3.12</v>
      </c>
      <c r="BI9" s="11" t="n">
        <f aca="false">BI8+Inputs!$F$42*Time!BI34</f>
        <v>3.12</v>
      </c>
      <c r="BJ9" s="11" t="n">
        <f aca="false">BJ8+Inputs!$F$42*Time!BJ34</f>
        <v>3.12</v>
      </c>
      <c r="BK9" s="11" t="n">
        <f aca="false">BK8+Inputs!$F$42*Time!BK34</f>
        <v>3.12</v>
      </c>
      <c r="BL9" s="11" t="n">
        <f aca="false">BL8+Inputs!$F$42*Time!BL34</f>
        <v>3.12</v>
      </c>
      <c r="BM9" s="11" t="n">
        <f aca="false">BM8+Inputs!$F$42*Time!BM34</f>
        <v>3.12</v>
      </c>
      <c r="BN9" s="11" t="n">
        <f aca="false">BN8+Inputs!$F$42*Time!BN34</f>
        <v>3.12</v>
      </c>
    </row>
    <row r="10" customFormat="false" ht="15" hidden="false" customHeight="false" outlineLevel="0" collapsed="false">
      <c r="D10" s="0" t="s">
        <v>461</v>
      </c>
      <c r="E10" s="0" t="s">
        <v>153</v>
      </c>
      <c r="J10" s="11" t="n">
        <f aca="false">CHOOSE(Inputs!$F$33,Inputs!$F$60*Time!$F$15^((Time!J17-0.5)/2),Inputs!J218,Inputs!J218)</f>
        <v>526.006774366309</v>
      </c>
      <c r="K10" s="11" t="n">
        <f aca="false">CHOOSE(Inputs!$F$33,Inputs!$F$60*Time!$F$15^((Time!K17-0.5)/2),Inputs!K218,Inputs!K218)</f>
        <v>539.473506819265</v>
      </c>
      <c r="L10" s="11" t="n">
        <f aca="false">CHOOSE(Inputs!$F$33,Inputs!$F$60*Time!$F$15^((Time!L17-0.5)/2),Inputs!L218,Inputs!L218)</f>
        <v>553.285012175912</v>
      </c>
      <c r="M10" s="11" t="n">
        <f aca="false">CHOOSE(Inputs!$F$33,Inputs!$F$60*Time!$F$15^((Time!M17-0.5)/2),Inputs!M218,Inputs!M218)</f>
        <v>567.450117251183</v>
      </c>
      <c r="N10" s="11" t="n">
        <f aca="false">CHOOSE(Inputs!$F$33,Inputs!$F$60*Time!$F$15^((Time!N17-0.5)/2),Inputs!N218,Inputs!N218)</f>
        <v>581.977874842568</v>
      </c>
      <c r="O10" s="11" t="n">
        <f aca="false">CHOOSE(Inputs!$F$33,Inputs!$F$60*Time!$F$15^((Time!O17-0.5)/2),Inputs!O218,Inputs!O218)</f>
        <v>596.877569515677</v>
      </c>
      <c r="P10" s="11" t="n">
        <f aca="false">CHOOSE(Inputs!$F$33,Inputs!$F$60*Time!$F$15^((Time!P17-0.5)/2),Inputs!P218,Inputs!P218)</f>
        <v>612.158723537927</v>
      </c>
      <c r="Q10" s="11" t="n">
        <f aca="false">CHOOSE(Inputs!$F$33,Inputs!$F$60*Time!$F$15^((Time!Q17-0.5)/2),Inputs!Q218,P10*Time!$F$15^0.5)</f>
        <v>627.831102964142</v>
      </c>
      <c r="R10" s="11" t="n">
        <f aca="false">CHOOSE(Inputs!$F$33,Inputs!$F$60*Time!$F$15^((Time!R17-0.5)/2),Inputs!R218,Q10*Time!$F$15^0.5)</f>
        <v>643.904723877956</v>
      </c>
      <c r="S10" s="11" t="n">
        <f aca="false">CHOOSE(Inputs!$F$33,Inputs!$F$60*Time!$F$15^((Time!S17-0.5)/2),Inputs!S218,R10*Time!$F$15^0.5)</f>
        <v>660.389858793006</v>
      </c>
      <c r="T10" s="11" t="n">
        <f aca="false">CHOOSE(Inputs!$F$33,Inputs!$F$60*Time!$F$15^((Time!T17-0.5)/2),Inputs!T218,S10*Time!$F$15^0.5)</f>
        <v>677.297043218007</v>
      </c>
      <c r="U10" s="11" t="n">
        <f aca="false">CHOOSE(Inputs!$F$33,Inputs!$F$60*Time!$F$15^((Time!U17-0.5)/2),Inputs!U218,T10*Time!$F$15^0.5)</f>
        <v>694.637082389903</v>
      </c>
      <c r="V10" s="11" t="n">
        <f aca="false">CHOOSE(Inputs!$F$33,Inputs!$F$60*Time!$F$15^((Time!V17-0.5)/2),Inputs!V218,U10*Time!$F$15^0.5)</f>
        <v>712.42105817941</v>
      </c>
      <c r="W10" s="11" t="n">
        <f aca="false">CHOOSE(Inputs!$F$33,Inputs!$F$60*Time!$F$15^((Time!W17-0.5)/2),Inputs!W218,V10*Time!$F$15^0.5)</f>
        <v>730.660336173333</v>
      </c>
      <c r="X10" s="11" t="n">
        <f aca="false">CHOOSE(Inputs!$F$33,Inputs!$F$60*Time!$F$15^((Time!X17-0.5)/2),Inputs!X218,W10*Time!$F$15^0.5)</f>
        <v>749.366572938224</v>
      </c>
      <c r="Y10" s="11" t="n">
        <f aca="false">CHOOSE(Inputs!$F$33,Inputs!$F$60*Time!$F$15^((Time!Y17-0.5)/2),Inputs!Y218,X10*Time!$F$15^0.5)</f>
        <v>768.551723469993</v>
      </c>
      <c r="Z10" s="11" t="n">
        <f aca="false">CHOOSE(Inputs!$F$33,Inputs!$F$60*Time!$F$15^((Time!Z17-0.5)/2),Inputs!Z218,Y10*Time!$F$15^0.5)</f>
        <v>788.228048834238</v>
      </c>
      <c r="AA10" s="11" t="n">
        <f aca="false">CHOOSE(Inputs!$F$33,Inputs!$F$60*Time!$F$15^((Time!AA17-0.5)/2),Z10*((1+AA13/100)/(1+AA12/100))^0.5,Z10*Time!$F$15^0.5)</f>
        <v>808.408124002194</v>
      </c>
      <c r="AB10" s="11" t="n">
        <f aca="false">CHOOSE(Inputs!$F$33,Inputs!$F$60*Time!$F$15^((Time!AB17-0.5)/2),AA10*((1+AB13/100)/(1+AB12/100))^0.5,AA10*Time!$F$15^0.5)</f>
        <v>829.104845887285</v>
      </c>
      <c r="AC10" s="11" t="n">
        <f aca="false">CHOOSE(Inputs!$F$33,Inputs!$F$60*Time!$F$15^((Time!AC17-0.5)/2),AB10*((1+AC13/100)/(1+AC12/100))^0.5,AB10*Time!$F$15^0.5)</f>
        <v>850.331441587435</v>
      </c>
      <c r="AD10" s="11" t="n">
        <f aca="false">CHOOSE(Inputs!$F$33,Inputs!$F$60*Time!$F$15^((Time!AD17-0.5)/2),AC10*((1+AD13/100)/(1+AD12/100))^0.5,AC10*Time!$F$15^0.5)</f>
        <v>872.101476838387</v>
      </c>
      <c r="AE10" s="11" t="n">
        <f aca="false">CHOOSE(Inputs!$F$33,Inputs!$F$60*Time!$F$15^((Time!AE17-0.5)/2),AD10*((1+AE13/100)/(1+AE12/100))^0.5,AD10*Time!$F$15^0.5)</f>
        <v>894.428864683456</v>
      </c>
      <c r="AF10" s="11" t="n">
        <f aca="false">CHOOSE(Inputs!$F$33,Inputs!$F$60*Time!$F$15^((Time!AF17-0.5)/2),AE10*((1+AF13/100)/(1+AF12/100))^0.5,AE10*Time!$F$15^0.5)</f>
        <v>917.327874365231</v>
      </c>
      <c r="AG10" s="11" t="n">
        <f aca="false">CHOOSE(Inputs!$F$33,Inputs!$F$60*Time!$F$15^((Time!AG17-0.5)/2),AF10*((1+AG13/100)/(1+AG12/100))^0.5,AF10*Time!$F$15^0.5)</f>
        <v>940.813140444927</v>
      </c>
      <c r="AH10" s="11" t="n">
        <f aca="false">CHOOSE(Inputs!$F$33,Inputs!$F$60*Time!$F$15^((Time!AH17-0.5)/2),AG10*((1+AH13/100)/(1+AH12/100))^0.5,AG10*Time!$F$15^0.5)</f>
        <v>964.899672155209</v>
      </c>
      <c r="AI10" s="11" t="n">
        <f aca="false">CHOOSE(Inputs!$F$33,Inputs!$F$60*Time!$F$15^((Time!AI17-0.5)/2),AH10*((1+AI13/100)/(1+AI12/100))^0.5,AH10*Time!$F$15^0.5)</f>
        <v>989.602862992462</v>
      </c>
      <c r="AJ10" s="11" t="n">
        <f aca="false">CHOOSE(Inputs!$F$33,Inputs!$F$60*Time!$F$15^((Time!AJ17-0.5)/2),AI10*((1+AJ13/100)/(1+AJ12/100))^0.5,AI10*Time!$F$15^0.5)</f>
        <v>1014.93850055465</v>
      </c>
      <c r="AK10" s="11" t="n">
        <f aca="false">CHOOSE(Inputs!$F$33,Inputs!$F$60*Time!$F$15^((Time!AK17-0.5)/2),AJ10*((1+AK13/100)/(1+AK12/100))^0.5,AJ10*Time!$F$15^0.5)</f>
        <v>1040.92277663101</v>
      </c>
      <c r="AL10" s="11" t="n">
        <f aca="false">CHOOSE(Inputs!$F$33,Inputs!$F$60*Time!$F$15^((Time!AL17-0.5)/2),AK10*((1+AL13/100)/(1+AL12/100))^0.5,AK10*Time!$F$15^0.5)</f>
        <v>1067.57229755014</v>
      </c>
      <c r="AM10" s="11" t="n">
        <f aca="false">CHOOSE(Inputs!$F$33,Inputs!$F$60*Time!$F$15^((Time!AM17-0.5)/2),AL10*((1+AM13/100)/(1+AM12/100))^0.5,AL10*Time!$F$15^0.5)</f>
        <v>1094.9040947929</v>
      </c>
      <c r="AN10" s="11" t="n">
        <f aca="false">CHOOSE(Inputs!$F$33,Inputs!$F$60*Time!$F$15^((Time!AN17-0.5)/2),AM10*((1+AN13/100)/(1+AN12/100))^0.5,AM10*Time!$F$15^0.5)</f>
        <v>1122.93563587711</v>
      </c>
      <c r="AO10" s="11" t="n">
        <f aca="false">CHOOSE(Inputs!$F$33,Inputs!$F$60*Time!$F$15^((Time!AO17-0.5)/2),AN10*((1+AO13/100)/(1+AO12/100))^0.5,AN10*Time!$F$15^0.5)</f>
        <v>1151.6848355209</v>
      </c>
      <c r="AP10" s="11" t="n">
        <f aca="false">CHOOSE(Inputs!$F$33,Inputs!$F$60*Time!$F$15^((Time!AP17-0.5)/2),AO10*((1+AP13/100)/(1+AP12/100))^0.5,AO10*Time!$F$15^0.5)</f>
        <v>1181.17006709187</v>
      </c>
      <c r="AQ10" s="11" t="n">
        <f aca="false">CHOOSE(Inputs!$F$33,Inputs!$F$60*Time!$F$15^((Time!AQ17-0.5)/2),AP10*((1+AQ13/100)/(1+AQ12/100))^0.5,AP10*Time!$F$15^0.5)</f>
        <v>1211.41017434929</v>
      </c>
      <c r="AR10" s="11" t="n">
        <f aca="false">CHOOSE(Inputs!$F$33,Inputs!$F$60*Time!$F$15^((Time!AR17-0.5)/2),AQ10*((1+AR13/100)/(1+AR12/100))^0.5,AQ10*Time!$F$15^0.5)</f>
        <v>1242.42448348704</v>
      </c>
      <c r="AS10" s="11" t="n">
        <f aca="false">CHOOSE(Inputs!$F$33,Inputs!$F$60*Time!$F$15^((Time!AS17-0.5)/2),AR10*((1+AS13/100)/(1+AS12/100))^0.5,AR10*Time!$F$15^0.5)</f>
        <v>1274.23281548482</v>
      </c>
      <c r="AT10" s="11" t="n">
        <f aca="false">CHOOSE(Inputs!$F$33,Inputs!$F$60*Time!$F$15^((Time!AT17-0.5)/2),AS10*((1+AT13/100)/(1+AT12/100))^0.5,AS10*Time!$F$15^0.5)</f>
        <v>1306.85549877551</v>
      </c>
      <c r="AU10" s="11" t="n">
        <f aca="false">CHOOSE(Inputs!$F$33,Inputs!$F$60*Time!$F$15^((Time!AU17-0.5)/2),AT10*((1+AU13/100)/(1+AU12/100))^0.5,AT10*Time!$F$15^0.5)</f>
        <v>1340.31338223697</v>
      </c>
      <c r="AV10" s="11" t="n">
        <f aca="false">CHOOSE(Inputs!$F$33,Inputs!$F$60*Time!$F$15^((Time!AV17-0.5)/2),AU10*((1+AV13/100)/(1+AV12/100))^0.5,AU10*Time!$F$15^0.5)</f>
        <v>1374.62784851631</v>
      </c>
      <c r="AW10" s="11" t="n">
        <f aca="false">CHOOSE(Inputs!$F$33,Inputs!$F$60*Time!$F$15^((Time!AW17-0.5)/2),AV10*((1+AW13/100)/(1+AW12/100))^0.5,AV10*Time!$F$15^0.5)</f>
        <v>1409.82082769544</v>
      </c>
      <c r="AX10" s="11" t="n">
        <f aca="false">CHOOSE(Inputs!$F$33,Inputs!$F$60*Time!$F$15^((Time!AX17-0.5)/2),AW10*((1+AX13/100)/(1+AX12/100))^0.5,AW10*Time!$F$15^0.5)</f>
        <v>1445.9148113063</v>
      </c>
      <c r="AY10" s="11" t="n">
        <f aca="false">CHOOSE(Inputs!$F$33,Inputs!$F$60*Time!$F$15^((Time!AY17-0.5)/2),AX10*((1+AY13/100)/(1+AY12/100))^0.5,AX10*Time!$F$15^0.5)</f>
        <v>1482.93286670508</v>
      </c>
      <c r="AZ10" s="11" t="n">
        <f aca="false">CHOOSE(Inputs!$F$33,Inputs!$F$60*Time!$F$15^((Time!AZ17-0.5)/2),AY10*((1+AZ13/100)/(1+AZ12/100))^0.5,AY10*Time!$F$15^0.5)</f>
        <v>1520.89865181436</v>
      </c>
      <c r="BA10" s="11" t="n">
        <f aca="false">CHOOSE(Inputs!$F$33,Inputs!$F$60*Time!$F$15^((Time!BA17-0.5)/2),AZ10*((1+BA13/100)/(1+BA12/100))^0.5,AZ10*Time!$F$15^0.5)</f>
        <v>1559.83643024263</v>
      </c>
      <c r="BB10" s="11" t="n">
        <f aca="false">CHOOSE(Inputs!$F$33,Inputs!$F$60*Time!$F$15^((Time!BB17-0.5)/2),BA10*((1+BB13/100)/(1+BB12/100))^0.5,BA10*Time!$F$15^0.5)</f>
        <v>1599.77108679103</v>
      </c>
      <c r="BC10" s="11" t="n">
        <f aca="false">CHOOSE(Inputs!$F$33,Inputs!$F$60*Time!$F$15^((Time!BC17-0.5)/2),BB10*((1+BC13/100)/(1+BC12/100))^0.5,BB10*Time!$F$15^0.5)</f>
        <v>1640.72814335697</v>
      </c>
      <c r="BD10" s="11" t="n">
        <f aca="false">CHOOSE(Inputs!$F$33,Inputs!$F$60*Time!$F$15^((Time!BD17-0.5)/2),BC10*((1+BD13/100)/(1+BD12/100))^0.5,BC10*Time!$F$15^0.5)</f>
        <v>1682.73377524497</v>
      </c>
      <c r="BE10" s="11" t="n">
        <f aca="false">CHOOSE(Inputs!$F$33,Inputs!$F$60*Time!$F$15^((Time!BE17-0.5)/2),BD10*((1+BE13/100)/(1+BE12/100))^0.5,BD10*Time!$F$15^0.5)</f>
        <v>1725.81482789505</v>
      </c>
      <c r="BF10" s="11" t="n">
        <f aca="false">CHOOSE(Inputs!$F$33,Inputs!$F$60*Time!$F$15^((Time!BF17-0.5)/2),BE10*((1+BF13/100)/(1+BF12/100))^0.5,BE10*Time!$F$15^0.5)</f>
        <v>1769.99883403947</v>
      </c>
      <c r="BG10" s="11" t="n">
        <f aca="false">CHOOSE(Inputs!$F$33,Inputs!$F$60*Time!$F$15^((Time!BG17-0.5)/2),BF10*((1+BG13/100)/(1+BG12/100))^0.5,BF10*Time!$F$15^0.5)</f>
        <v>1815.31403129861</v>
      </c>
      <c r="BH10" s="11" t="n">
        <f aca="false">CHOOSE(Inputs!$F$33,Inputs!$F$60*Time!$F$15^((Time!BH17-0.5)/2),BG10*((1+BH13/100)/(1+BH12/100))^0.5,BG10*Time!$F$15^0.5)</f>
        <v>1861.78938022743</v>
      </c>
      <c r="BI10" s="11" t="n">
        <f aca="false">CHOOSE(Inputs!$F$33,Inputs!$F$60*Time!$F$15^((Time!BI17-0.5)/2),BH10*((1+BI13/100)/(1+BI12/100))^0.5,BH10*Time!$F$15^0.5)</f>
        <v>1909.45458282388</v>
      </c>
      <c r="BJ10" s="11" t="n">
        <f aca="false">CHOOSE(Inputs!$F$33,Inputs!$F$60*Time!$F$15^((Time!BJ17-0.5)/2),BI10*((1+BJ13/100)/(1+BJ12/100))^0.5,BI10*Time!$F$15^0.5)</f>
        <v>1958.34010151124</v>
      </c>
      <c r="BK10" s="11" t="n">
        <f aca="false">CHOOSE(Inputs!$F$33,Inputs!$F$60*Time!$F$15^((Time!BK17-0.5)/2),BJ10*((1+BK13/100)/(1+BK12/100))^0.5,BJ10*Time!$F$15^0.5)</f>
        <v>2008.47717860633</v>
      </c>
      <c r="BL10" s="11" t="n">
        <f aca="false">CHOOSE(Inputs!$F$33,Inputs!$F$60*Time!$F$15^((Time!BL17-0.5)/2),BK10*((1+BL13/100)/(1+BL12/100))^0.5,BK10*Time!$F$15^0.5)</f>
        <v>2059.89785628628</v>
      </c>
      <c r="BM10" s="11" t="n">
        <f aca="false">CHOOSE(Inputs!$F$33,Inputs!$F$60*Time!$F$15^((Time!BM17-0.5)/2),BL10*((1+BM13/100)/(1+BM12/100))^0.5,BL10*Time!$F$15^0.5)</f>
        <v>2112.63499706635</v>
      </c>
      <c r="BN10" s="11" t="n">
        <f aca="false">CHOOSE(Inputs!$F$33,Inputs!$F$60*Time!$F$15^((Time!BN17-0.5)/2),BM10*((1+BN13/100)/(1+BN12/100))^0.5,BM10*Time!$F$15^0.5)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462</v>
      </c>
      <c r="E11" s="0" t="s">
        <v>153</v>
      </c>
      <c r="J11" s="11" t="n">
        <f aca="false">J10/(1-Inputs!$F$43*Time!J34)</f>
        <v>526.006774366309</v>
      </c>
      <c r="K11" s="11" t="n">
        <f aca="false">K10/(1-Inputs!$F$43*Time!K34)</f>
        <v>539.473506819265</v>
      </c>
      <c r="L11" s="11" t="n">
        <f aca="false">L10/(1-Inputs!$F$43*Time!L34)</f>
        <v>553.285012175912</v>
      </c>
      <c r="M11" s="11" t="n">
        <f aca="false">M10/(1-Inputs!$F$43*Time!M34)</f>
        <v>567.450117251183</v>
      </c>
      <c r="N11" s="11" t="n">
        <f aca="false">N10/(1-Inputs!$F$43*Time!N34)</f>
        <v>581.977874842568</v>
      </c>
      <c r="O11" s="11" t="n">
        <f aca="false">O10/(1-Inputs!$F$43*Time!O34)</f>
        <v>596.877569515677</v>
      </c>
      <c r="P11" s="11" t="n">
        <f aca="false">P10/(1-Inputs!$F$43*Time!P34)</f>
        <v>612.158723537927</v>
      </c>
      <c r="Q11" s="11" t="n">
        <f aca="false">Q10/(1-Inputs!$F$43*Time!Q34)</f>
        <v>627.831102964142</v>
      </c>
      <c r="R11" s="11" t="n">
        <f aca="false">R10/(1-Inputs!$F$43*Time!R34)</f>
        <v>643.904723877956</v>
      </c>
      <c r="S11" s="11" t="n">
        <f aca="false">S10/(1-Inputs!$F$43*Time!S34)</f>
        <v>660.389858793006</v>
      </c>
      <c r="T11" s="11" t="n">
        <f aca="false">T10/(1-Inputs!$F$43*Time!T34)</f>
        <v>677.297043218007</v>
      </c>
      <c r="U11" s="11" t="n">
        <f aca="false">U10/(1-Inputs!$F$43*Time!U34)</f>
        <v>694.637082389903</v>
      </c>
      <c r="V11" s="11" t="n">
        <f aca="false">V10/(1-Inputs!$F$43*Time!V34)</f>
        <v>712.42105817941</v>
      </c>
      <c r="W11" s="11" t="n">
        <f aca="false">W10/(1-Inputs!$F$43*Time!W34)</f>
        <v>730.660336173333</v>
      </c>
      <c r="X11" s="11" t="n">
        <f aca="false">X10/(1-Inputs!$F$43*Time!X34)</f>
        <v>749.366572938224</v>
      </c>
      <c r="Y11" s="11" t="n">
        <f aca="false">Y10/(1-Inputs!$F$43*Time!Y34)</f>
        <v>768.551723469993</v>
      </c>
      <c r="Z11" s="11" t="n">
        <f aca="false">Z10/(1-Inputs!$F$43*Time!Z34)</f>
        <v>788.228048834238</v>
      </c>
      <c r="AA11" s="11" t="n">
        <f aca="false">AA10/(1-Inputs!$F$43*Time!AA34)</f>
        <v>808.408124002194</v>
      </c>
      <c r="AB11" s="11" t="n">
        <f aca="false">AB10/(1-Inputs!$F$43*Time!AB34)</f>
        <v>829.104845887285</v>
      </c>
      <c r="AC11" s="11" t="n">
        <f aca="false">AC10/(1-Inputs!$F$43*Time!AC34)</f>
        <v>850.331441587435</v>
      </c>
      <c r="AD11" s="11" t="n">
        <f aca="false">AD10/(1-Inputs!$F$43*Time!AD34)</f>
        <v>872.101476838387</v>
      </c>
      <c r="AE11" s="11" t="n">
        <f aca="false">AE10/(1-Inputs!$F$43*Time!AE34)</f>
        <v>894.428864683456</v>
      </c>
      <c r="AF11" s="11" t="n">
        <f aca="false">AF10/(1-Inputs!$F$43*Time!AF34)</f>
        <v>917.327874365231</v>
      </c>
      <c r="AG11" s="11" t="n">
        <f aca="false">AG10/(1-Inputs!$F$43*Time!AG34)</f>
        <v>940.813140444927</v>
      </c>
      <c r="AH11" s="11" t="n">
        <f aca="false">AH10/(1-Inputs!$F$43*Time!AH34)</f>
        <v>964.899672155209</v>
      </c>
      <c r="AI11" s="11" t="n">
        <f aca="false">AI10/(1-Inputs!$F$43*Time!AI34)</f>
        <v>989.602862992462</v>
      </c>
      <c r="AJ11" s="11" t="n">
        <f aca="false">AJ10/(1-Inputs!$F$43*Time!AJ34)</f>
        <v>1014.93850055465</v>
      </c>
      <c r="AK11" s="11" t="n">
        <f aca="false">AK10/(1-Inputs!$F$43*Time!AK34)</f>
        <v>1040.92277663101</v>
      </c>
      <c r="AL11" s="11" t="n">
        <f aca="false">AL10/(1-Inputs!$F$43*Time!AL34)</f>
        <v>1067.57229755014</v>
      </c>
      <c r="AM11" s="11" t="n">
        <f aca="false">AM10/(1-Inputs!$F$43*Time!AM34)</f>
        <v>1094.9040947929</v>
      </c>
      <c r="AN11" s="11" t="n">
        <f aca="false">AN10/(1-Inputs!$F$43*Time!AN34)</f>
        <v>1122.93563587711</v>
      </c>
      <c r="AO11" s="11" t="n">
        <f aca="false">AO10/(1-Inputs!$F$43*Time!AO34)</f>
        <v>1151.6848355209</v>
      </c>
      <c r="AP11" s="11" t="n">
        <f aca="false">AP10/(1-Inputs!$F$43*Time!AP34)</f>
        <v>1181.17006709187</v>
      </c>
      <c r="AQ11" s="11" t="n">
        <f aca="false">AQ10/(1-Inputs!$F$43*Time!AQ34)</f>
        <v>1211.41017434929</v>
      </c>
      <c r="AR11" s="11" t="n">
        <f aca="false">AR10/(1-Inputs!$F$43*Time!AR34)</f>
        <v>1242.42448348704</v>
      </c>
      <c r="AS11" s="11" t="n">
        <f aca="false">AS10/(1-Inputs!$F$43*Time!AS34)</f>
        <v>1274.23281548482</v>
      </c>
      <c r="AT11" s="11" t="n">
        <f aca="false">AT10/(1-Inputs!$F$43*Time!AT34)</f>
        <v>1306.85549877551</v>
      </c>
      <c r="AU11" s="11" t="n">
        <f aca="false">AU10/(1-Inputs!$F$43*Time!AU34)</f>
        <v>1340.31338223697</v>
      </c>
      <c r="AV11" s="11" t="n">
        <f aca="false">AV10/(1-Inputs!$F$43*Time!AV34)</f>
        <v>1374.62784851631</v>
      </c>
      <c r="AW11" s="11" t="n">
        <f aca="false">AW10/(1-Inputs!$F$43*Time!AW34)</f>
        <v>1409.82082769544</v>
      </c>
      <c r="AX11" s="11" t="n">
        <f aca="false">AX10/(1-Inputs!$F$43*Time!AX34)</f>
        <v>1445.9148113063</v>
      </c>
      <c r="AY11" s="11" t="n">
        <f aca="false">AY10/(1-Inputs!$F$43*Time!AY34)</f>
        <v>1482.93286670508</v>
      </c>
      <c r="AZ11" s="11" t="n">
        <f aca="false">AZ10/(1-Inputs!$F$43*Time!AZ34)</f>
        <v>1520.89865181436</v>
      </c>
      <c r="BA11" s="11" t="n">
        <f aca="false">BA10/(1-Inputs!$F$43*Time!BA34)</f>
        <v>1559.83643024263</v>
      </c>
      <c r="BB11" s="11" t="n">
        <f aca="false">BB10/(1-Inputs!$F$43*Time!BB34)</f>
        <v>1599.77108679103</v>
      </c>
      <c r="BC11" s="11" t="n">
        <f aca="false">BC10/(1-Inputs!$F$43*Time!BC34)</f>
        <v>1640.72814335697</v>
      </c>
      <c r="BD11" s="11" t="n">
        <f aca="false">BD10/(1-Inputs!$F$43*Time!BD34)</f>
        <v>1682.73377524497</v>
      </c>
      <c r="BE11" s="11" t="n">
        <f aca="false">BE10/(1-Inputs!$F$43*Time!BE34)</f>
        <v>1725.81482789505</v>
      </c>
      <c r="BF11" s="11" t="n">
        <f aca="false">BF10/(1-Inputs!$F$43*Time!BF34)</f>
        <v>1769.99883403947</v>
      </c>
      <c r="BG11" s="11" t="n">
        <f aca="false">BG10/(1-Inputs!$F$43*Time!BG34)</f>
        <v>1815.31403129861</v>
      </c>
      <c r="BH11" s="11" t="n">
        <f aca="false">BH10/(1-Inputs!$F$43*Time!BH34)</f>
        <v>1861.78938022743</v>
      </c>
      <c r="BI11" s="11" t="n">
        <f aca="false">BI10/(1-Inputs!$F$43*Time!BI34)</f>
        <v>1909.45458282388</v>
      </c>
      <c r="BJ11" s="11" t="n">
        <f aca="false">BJ10/(1-Inputs!$F$43*Time!BJ34)</f>
        <v>1958.34010151124</v>
      </c>
      <c r="BK11" s="11" t="n">
        <f aca="false">BK10/(1-Inputs!$F$43*Time!BK34)</f>
        <v>2008.47717860633</v>
      </c>
      <c r="BL11" s="11" t="n">
        <f aca="false">BL10/(1-Inputs!$F$43*Time!BL34)</f>
        <v>2059.89785628628</v>
      </c>
      <c r="BM11" s="11" t="n">
        <f aca="false">BM10/(1-Inputs!$F$43*Time!BM34)</f>
        <v>2112.63499706635</v>
      </c>
      <c r="BN11" s="11" t="n">
        <f aca="false">BN10/(1-Inputs!$F$43*Time!BN34)</f>
        <v>2166.72230480211</v>
      </c>
    </row>
    <row r="12" customFormat="false" ht="15" hidden="false" customHeight="false" outlineLevel="0" collapsed="false">
      <c r="D12" s="0" t="s">
        <v>463</v>
      </c>
      <c r="E12" s="0" t="s">
        <v>103</v>
      </c>
      <c r="J12" s="11" t="n">
        <f aca="false">CHOOSE(Inputs!$F$33,INDEX(Inputs!$J$207:$AR$207,1,(Time!J21-0)-2014),INDEX(Inputs!$J$209:$AR$209,1,(Time!J21-0)-2014),INDEX(Inputs!$J$211:$AR$211,1,(Time!J21-0)-2014))</f>
        <v>2.2</v>
      </c>
      <c r="K12" s="11" t="n">
        <f aca="false">CHOOSE(Inputs!$F$33,INDEX(Inputs!$J$207:$AR$207,1,(Time!K21-0)-2014),INDEX(Inputs!$J$209:$AR$209,1,(Time!K21-0)-2014),INDEX(Inputs!$J$211:$AR$211,1,(Time!K21-0)-2014))</f>
        <v>2.2</v>
      </c>
      <c r="L12" s="11" t="n">
        <f aca="false">CHOOSE(Inputs!$F$33,INDEX(Inputs!$J$207:$AR$207,1,(Time!L21-0)-2014),INDEX(Inputs!$J$209:$AR$209,1,(Time!L21-0)-2014),INDEX(Inputs!$J$211:$AR$211,1,(Time!L21-0)-2014))</f>
        <v>2.2</v>
      </c>
      <c r="M12" s="11" t="n">
        <f aca="false">CHOOSE(Inputs!$F$33,INDEX(Inputs!$J$207:$AR$207,1,(Time!M21-0)-2014),INDEX(Inputs!$J$209:$AR$209,1,(Time!M21-0)-2014),INDEX(Inputs!$J$211:$AR$211,1,(Time!M21-0)-2014))</f>
        <v>2.2</v>
      </c>
      <c r="N12" s="11" t="n">
        <f aca="false">CHOOSE(Inputs!$F$33,INDEX(Inputs!$J$207:$AR$207,1,(Time!N21-0)-2014),INDEX(Inputs!$J$209:$AR$209,1,(Time!N21-0)-2014),INDEX(Inputs!$J$211:$AR$211,1,(Time!N21-0)-2014))</f>
        <v>2.2</v>
      </c>
      <c r="O12" s="11" t="n">
        <f aca="false">CHOOSE(Inputs!$F$33,INDEX(Inputs!$J$207:$AR$207,1,(Time!O21-0)-2014),INDEX(Inputs!$J$209:$AR$209,1,(Time!O21-0)-2014),INDEX(Inputs!$J$211:$AR$211,1,(Time!O21-0)-2014))</f>
        <v>2.2</v>
      </c>
      <c r="P12" s="11" t="n">
        <f aca="false">CHOOSE(Inputs!$F$33,INDEX(Inputs!$J$207:$AR$207,1,(Time!P21-0)-2014),INDEX(Inputs!$J$209:$AR$209,1,(Time!P21-0)-2014),INDEX(Inputs!$J$211:$AR$211,1,(Time!P21-0)-2014))</f>
        <v>2.2</v>
      </c>
      <c r="Q12" s="11" t="n">
        <f aca="false">CHOOSE(Inputs!$F$33,INDEX(Inputs!$J$207:$AR$207,1,(Time!Q21-0)-2014),INDEX(Inputs!$J$209:$AR$209,1,(Time!Q21-0)-2014),INDEX(Inputs!$J$211:$AR$211,1,(Time!Q21-0)-2014))</f>
        <v>2.2</v>
      </c>
      <c r="R12" s="11" t="n">
        <f aca="false">CHOOSE(Inputs!$F$33,INDEX(Inputs!$J$207:$AR$207,1,(Time!R21-0)-2014),INDEX(Inputs!$J$209:$AR$209,1,(Time!R21-0)-2014),INDEX(Inputs!$J$211:$AR$211,1,(Time!R21-0)-2014))</f>
        <v>2.2</v>
      </c>
      <c r="S12" s="11" t="n">
        <f aca="false">CHOOSE(Inputs!$F$33,INDEX(Inputs!$J$207:$AR$207,1,(Time!S21-0)-2014),INDEX(Inputs!$J$209:$AR$209,1,(Time!S21-0)-2014),INDEX(Inputs!$J$211:$AR$211,1,(Time!S21-0)-2014))</f>
        <v>2.2</v>
      </c>
      <c r="T12" s="11" t="n">
        <f aca="false">CHOOSE(Inputs!$F$33,INDEX(Inputs!$J$207:$AR$207,1,(Time!T21-0)-2014),INDEX(Inputs!$J$209:$AR$209,1,(Time!T21-0)-2014),INDEX(Inputs!$J$211:$AR$211,1,(Time!T21-0)-2014))</f>
        <v>2.2</v>
      </c>
      <c r="U12" s="11" t="n">
        <f aca="false">CHOOSE(Inputs!$F$33,INDEX(Inputs!$J$207:$AR$207,1,(Time!U21-0)-2014),INDEX(Inputs!$J$209:$AR$209,1,(Time!U21-0)-2014),INDEX(Inputs!$J$211:$AR$211,1,(Time!U21-0)-2014))</f>
        <v>2.2</v>
      </c>
      <c r="V12" s="11" t="n">
        <f aca="false">CHOOSE(Inputs!$F$33,INDEX(Inputs!$J$207:$AR$207,1,(Time!V21-0)-2014),INDEX(Inputs!$J$209:$AR$209,1,(Time!V21-0)-2014),INDEX(Inputs!$J$211:$AR$211,1,(Time!V21-0)-2014))</f>
        <v>2.2</v>
      </c>
      <c r="W12" s="11" t="n">
        <f aca="false">CHOOSE(Inputs!$F$33,INDEX(Inputs!$J$207:$AR$207,1,(Time!W21-0)-2014),INDEX(Inputs!$J$209:$AR$209,1,(Time!W21-0)-2014),INDEX(Inputs!$J$211:$AR$211,1,(Time!W21-0)-2014))</f>
        <v>2.2</v>
      </c>
      <c r="X12" s="11" t="n">
        <f aca="false">CHOOSE(Inputs!$F$33,INDEX(Inputs!$J$207:$AR$207,1,(Time!X21-0)-2014),INDEX(Inputs!$J$209:$AR$209,1,(Time!X21-0)-2014),INDEX(Inputs!$J$211:$AR$211,1,(Time!X21-0)-2014))</f>
        <v>2.2</v>
      </c>
      <c r="Y12" s="11" t="n">
        <f aca="false">CHOOSE(Inputs!$F$33,INDEX(Inputs!$J$207:$AR$207,1,(Time!Y21-0)-2014),INDEX(Inputs!$J$209:$AR$209,1,(Time!Y21-0)-2014),INDEX(Inputs!$J$211:$AR$211,1,(Time!Y21-0)-2014))</f>
        <v>2.2</v>
      </c>
      <c r="Z12" s="11" t="n">
        <f aca="false">CHOOSE(Inputs!$F$33,INDEX(Inputs!$J$207:$AR$207,1,(Time!Z21-0)-2014),INDEX(Inputs!$J$209:$AR$209,1,(Time!Z21-0)-2014),INDEX(Inputs!$J$211:$AR$211,1,(Time!Z21-0)-2014))</f>
        <v>2.2</v>
      </c>
      <c r="AA12" s="11" t="n">
        <f aca="false">CHOOSE(Inputs!$F$33,INDEX(Inputs!$J$207:$AR$207,1,(Time!AA21-0)-2014),INDEX(Inputs!$J$209:$AR$209,1,(Time!AA21-0)-2014),INDEX(Inputs!$J$211:$AR$211,1,(Time!AA21-0)-2014))</f>
        <v>2.2</v>
      </c>
      <c r="AB12" s="11" t="n">
        <f aca="false">CHOOSE(Inputs!$F$33,INDEX(Inputs!$J$207:$AR$207,1,(Time!AB21-0)-2014),INDEX(Inputs!$J$209:$AR$209,1,(Time!AB21-0)-2014),INDEX(Inputs!$J$211:$AR$211,1,(Time!AB21-0)-2014))</f>
        <v>2.2</v>
      </c>
      <c r="AC12" s="11" t="n">
        <f aca="false">CHOOSE(Inputs!$F$33,INDEX(Inputs!$J$207:$AR$207,1,(Time!AC21-0)-2014),INDEX(Inputs!$J$209:$AR$209,1,(Time!AC21-0)-2014),INDEX(Inputs!$J$211:$AR$211,1,(Time!AC21-0)-2014))</f>
        <v>2.2</v>
      </c>
      <c r="AD12" s="11" t="n">
        <f aca="false">CHOOSE(Inputs!$F$33,INDEX(Inputs!$J$207:$AR$207,1,(Time!AD21-0)-2014),INDEX(Inputs!$J$209:$AR$209,1,(Time!AD21-0)-2014),INDEX(Inputs!$J$211:$AR$211,1,(Time!AD21-0)-2014))</f>
        <v>2.2</v>
      </c>
      <c r="AE12" s="11" t="n">
        <f aca="false">CHOOSE(Inputs!$F$33,INDEX(Inputs!$J$207:$AR$207,1,(Time!AE21-0)-2014),INDEX(Inputs!$J$209:$AR$209,1,(Time!AE21-0)-2014),INDEX(Inputs!$J$211:$AR$211,1,(Time!AE21-0)-2014))</f>
        <v>2.2</v>
      </c>
      <c r="AF12" s="11" t="n">
        <f aca="false">CHOOSE(Inputs!$F$33,INDEX(Inputs!$J$207:$AR$207,1,(Time!AF21-0)-2014),INDEX(Inputs!$J$209:$AR$209,1,(Time!AF21-0)-2014),INDEX(Inputs!$J$211:$AR$211,1,(Time!AF21-0)-2014))</f>
        <v>2.2</v>
      </c>
      <c r="AG12" s="11" t="n">
        <f aca="false">CHOOSE(Inputs!$F$33,INDEX(Inputs!$J$207:$AR$207,1,(Time!AG21-0)-2014),INDEX(Inputs!$J$209:$AR$209,1,(Time!AG21-0)-2014),INDEX(Inputs!$J$211:$AR$211,1,(Time!AG21-0)-2014))</f>
        <v>2.2</v>
      </c>
      <c r="AH12" s="11" t="n">
        <f aca="false">CHOOSE(Inputs!$F$33,INDEX(Inputs!$J$207:$AR$207,1,(Time!AH21-0)-2014),INDEX(Inputs!$J$209:$AR$209,1,(Time!AH21-0)-2014),INDEX(Inputs!$J$211:$AR$211,1,(Time!AH21-0)-2014))</f>
        <v>2.2</v>
      </c>
      <c r="AI12" s="11" t="n">
        <f aca="false">CHOOSE(Inputs!$F$33,INDEX(Inputs!$J$207:$AR$207,1,(Time!AI21-0)-2014),INDEX(Inputs!$J$209:$AR$209,1,(Time!AI21-0)-2014),INDEX(Inputs!$J$211:$AR$211,1,(Time!AI21-0)-2014))</f>
        <v>2.2</v>
      </c>
      <c r="AJ12" s="11" t="n">
        <f aca="false">CHOOSE(Inputs!$F$33,INDEX(Inputs!$J$207:$AR$207,1,(Time!AJ21-0)-2014),INDEX(Inputs!$J$209:$AR$209,1,(Time!AJ21-0)-2014),INDEX(Inputs!$J$211:$AR$211,1,(Time!AJ21-0)-2014))</f>
        <v>2.2</v>
      </c>
      <c r="AK12" s="11" t="n">
        <f aca="false">CHOOSE(Inputs!$F$33,INDEX(Inputs!$J$207:$AR$207,1,(Time!AK21-0)-2014),INDEX(Inputs!$J$209:$AR$209,1,(Time!AK21-0)-2014),INDEX(Inputs!$J$211:$AR$211,1,(Time!AK21-0)-2014))</f>
        <v>2.2</v>
      </c>
      <c r="AL12" s="11" t="n">
        <f aca="false">CHOOSE(Inputs!$F$33,INDEX(Inputs!$J$207:$AR$207,1,(Time!AL21-0)-2014),INDEX(Inputs!$J$209:$AR$209,1,(Time!AL21-0)-2014),INDEX(Inputs!$J$211:$AR$211,1,(Time!AL21-0)-2014))</f>
        <v>2.2</v>
      </c>
      <c r="AM12" s="11" t="n">
        <f aca="false">CHOOSE(Inputs!$F$33,INDEX(Inputs!$J$207:$AR$207,1,(Time!AM21-0)-2014),INDEX(Inputs!$J$209:$AR$209,1,(Time!AM21-0)-2014),INDEX(Inputs!$J$211:$AR$211,1,(Time!AM21-0)-2014))</f>
        <v>2.2</v>
      </c>
      <c r="AN12" s="11" t="n">
        <f aca="false">CHOOSE(Inputs!$F$33,INDEX(Inputs!$J$207:$AR$207,1,(Time!AN21-0)-2014),INDEX(Inputs!$J$209:$AR$209,1,(Time!AN21-0)-2014),INDEX(Inputs!$J$211:$AR$211,1,(Time!AN21-0)-2014))</f>
        <v>2.2</v>
      </c>
      <c r="AO12" s="11" t="n">
        <f aca="false">CHOOSE(Inputs!$F$33,INDEX(Inputs!$J$207:$AR$207,1,(Time!AO21-0)-2014),INDEX(Inputs!$J$209:$AR$209,1,(Time!AO21-0)-2014),INDEX(Inputs!$J$211:$AR$211,1,(Time!AO21-0)-2014))</f>
        <v>2.2</v>
      </c>
      <c r="AP12" s="11" t="n">
        <f aca="false">CHOOSE(Inputs!$F$33,INDEX(Inputs!$J$207:$AR$207,1,(Time!AP21-0)-2014),INDEX(Inputs!$J$209:$AR$209,1,(Time!AP21-0)-2014),INDEX(Inputs!$J$211:$AR$211,1,(Time!AP21-0)-2014))</f>
        <v>2.2</v>
      </c>
      <c r="AQ12" s="11" t="n">
        <f aca="false">CHOOSE(Inputs!$F$33,INDEX(Inputs!$J$207:$AR$207,1,(Time!AQ21-0)-2014),INDEX(Inputs!$J$209:$AR$209,1,(Time!AQ21-0)-2014),INDEX(Inputs!$J$211:$AR$211,1,(Time!AQ21-0)-2014))</f>
        <v>2.2</v>
      </c>
      <c r="AR12" s="11" t="n">
        <f aca="false">CHOOSE(Inputs!$F$33,INDEX(Inputs!$J$207:$AR$207,1,(Time!AR21-0)-2014),INDEX(Inputs!$J$209:$AR$209,1,(Time!AR21-0)-2014),INDEX(Inputs!$J$211:$AR$211,1,(Time!AR21-0)-2014))</f>
        <v>2.2</v>
      </c>
      <c r="AS12" s="11" t="n">
        <f aca="false">CHOOSE(Inputs!$F$33,INDEX(Inputs!$J$207:$AR$207,1,(Time!AS21-0)-2014),INDEX(Inputs!$J$209:$AR$209,1,(Time!AS21-0)-2014),INDEX(Inputs!$J$211:$AR$211,1,(Time!AS21-0)-2014))</f>
        <v>2.2</v>
      </c>
      <c r="AT12" s="11" t="n">
        <f aca="false">CHOOSE(Inputs!$F$33,INDEX(Inputs!$J$207:$AR$207,1,(Time!AT21-0)-2014),INDEX(Inputs!$J$209:$AR$209,1,(Time!AT21-0)-2014),INDEX(Inputs!$J$211:$AR$211,1,(Time!AT21-0)-2014))</f>
        <v>2.2</v>
      </c>
      <c r="AU12" s="11" t="n">
        <f aca="false">CHOOSE(Inputs!$F$33,INDEX(Inputs!$J$207:$AR$207,1,(Time!AU21-0)-2014),INDEX(Inputs!$J$209:$AR$209,1,(Time!AU21-0)-2014),INDEX(Inputs!$J$211:$AR$211,1,(Time!AU21-0)-2014))</f>
        <v>2.2</v>
      </c>
      <c r="AV12" s="11" t="n">
        <f aca="false">CHOOSE(Inputs!$F$33,INDEX(Inputs!$J$207:$AR$207,1,(Time!AV21-0)-2014),INDEX(Inputs!$J$209:$AR$209,1,(Time!AV21-0)-2014),INDEX(Inputs!$J$211:$AR$211,1,(Time!AV21-0)-2014))</f>
        <v>2.2</v>
      </c>
      <c r="AW12" s="11" t="n">
        <f aca="false">CHOOSE(Inputs!$F$33,INDEX(Inputs!$J$207:$AR$207,1,(Time!AW21-0)-2014),INDEX(Inputs!$J$209:$AR$209,1,(Time!AW21-0)-2014),INDEX(Inputs!$J$211:$AR$211,1,(Time!AW21-0)-2014))</f>
        <v>2.2</v>
      </c>
      <c r="AX12" s="11" t="n">
        <f aca="false">CHOOSE(Inputs!$F$33,INDEX(Inputs!$J$207:$AR$207,1,(Time!AX21-0)-2014),INDEX(Inputs!$J$209:$AR$209,1,(Time!AX21-0)-2014),INDEX(Inputs!$J$211:$AR$211,1,(Time!AX21-0)-2014))</f>
        <v>2.2</v>
      </c>
      <c r="AY12" s="11" t="n">
        <f aca="false">CHOOSE(Inputs!$F$33,INDEX(Inputs!$J$207:$AR$207,1,(Time!AY21-0)-2014),INDEX(Inputs!$J$209:$AR$209,1,(Time!AY21-0)-2014),INDEX(Inputs!$J$211:$AR$211,1,(Time!AY21-0)-2014))</f>
        <v>2.2</v>
      </c>
      <c r="AZ12" s="11" t="n">
        <f aca="false">CHOOSE(Inputs!$F$33,INDEX(Inputs!$J$207:$AR$207,1,(Time!AZ21-0)-2014),INDEX(Inputs!$J$209:$AR$209,1,(Time!AZ21-0)-2014),INDEX(Inputs!$J$211:$AR$211,1,(Time!AZ21-0)-2014))</f>
        <v>2.2</v>
      </c>
      <c r="BA12" s="11" t="n">
        <f aca="false">CHOOSE(Inputs!$F$33,INDEX(Inputs!$J$207:$AR$207,1,(Time!BA21-0)-2014),INDEX(Inputs!$J$209:$AR$209,1,(Time!BA21-0)-2014),INDEX(Inputs!$J$211:$AR$211,1,(Time!BA21-0)-2014))</f>
        <v>2.2</v>
      </c>
      <c r="BB12" s="11" t="n">
        <f aca="false">CHOOSE(Inputs!$F$33,INDEX(Inputs!$J$207:$AR$207,1,(Time!BB21-0)-2014),INDEX(Inputs!$J$209:$AR$209,1,(Time!BB21-0)-2014),INDEX(Inputs!$J$211:$AR$211,1,(Time!BB21-0)-2014))</f>
        <v>2.2</v>
      </c>
      <c r="BC12" s="11" t="n">
        <f aca="false">CHOOSE(Inputs!$F$33,INDEX(Inputs!$J$207:$AR$207,1,(Time!BC21-0)-2014),INDEX(Inputs!$J$209:$AR$209,1,(Time!BC21-0)-2014),INDEX(Inputs!$J$211:$AR$211,1,(Time!BC21-0)-2014))</f>
        <v>2.2</v>
      </c>
      <c r="BD12" s="11" t="n">
        <f aca="false">CHOOSE(Inputs!$F$33,INDEX(Inputs!$J$207:$AR$207,1,(Time!BD21-0)-2014),INDEX(Inputs!$J$209:$AR$209,1,(Time!BD21-0)-2014),INDEX(Inputs!$J$211:$AR$211,1,(Time!BD21-0)-2014))</f>
        <v>2.2</v>
      </c>
      <c r="BE12" s="11" t="n">
        <f aca="false">CHOOSE(Inputs!$F$33,INDEX(Inputs!$J$207:$AR$207,1,(Time!BE21-0)-2014),INDEX(Inputs!$J$209:$AR$209,1,(Time!BE21-0)-2014),INDEX(Inputs!$J$211:$AR$211,1,(Time!BE21-0)-2014))</f>
        <v>2.2</v>
      </c>
      <c r="BF12" s="11" t="n">
        <f aca="false">CHOOSE(Inputs!$F$33,INDEX(Inputs!$J$207:$AR$207,1,(Time!BF21-0)-2014),INDEX(Inputs!$J$209:$AR$209,1,(Time!BF21-0)-2014),INDEX(Inputs!$J$211:$AR$211,1,(Time!BF21-0)-2014))</f>
        <v>2.2</v>
      </c>
      <c r="BG12" s="11" t="n">
        <f aca="false">CHOOSE(Inputs!$F$33,INDEX(Inputs!$J$207:$AR$207,1,(Time!BG21-0)-2014),INDEX(Inputs!$J$209:$AR$209,1,(Time!BG21-0)-2014),INDEX(Inputs!$J$211:$AR$211,1,(Time!BG21-0)-2014))</f>
        <v>2.2</v>
      </c>
      <c r="BH12" s="11" t="n">
        <f aca="false">CHOOSE(Inputs!$F$33,INDEX(Inputs!$J$207:$AR$207,1,(Time!BH21-0)-2014),INDEX(Inputs!$J$209:$AR$209,1,(Time!BH21-0)-2014),INDEX(Inputs!$J$211:$AR$211,1,(Time!BH21-0)-2014))</f>
        <v>2.2</v>
      </c>
      <c r="BI12" s="11" t="n">
        <f aca="false">CHOOSE(Inputs!$F$33,INDEX(Inputs!$J$207:$AR$207,1,(Time!BI21-0)-2014),INDEX(Inputs!$J$209:$AR$209,1,(Time!BI21-0)-2014),INDEX(Inputs!$J$211:$AR$211,1,(Time!BI21-0)-2014))</f>
        <v>2.2</v>
      </c>
      <c r="BJ12" s="11" t="n">
        <f aca="false">CHOOSE(Inputs!$F$33,INDEX(Inputs!$J$207:$AR$207,1,(Time!BJ21-0)-2014),INDEX(Inputs!$J$209:$AR$209,1,(Time!BJ21-0)-2014),INDEX(Inputs!$J$211:$AR$211,1,(Time!BJ21-0)-2014))</f>
        <v>2.2</v>
      </c>
      <c r="BK12" s="11" t="n">
        <f aca="false">CHOOSE(Inputs!$F$33,INDEX(Inputs!$J$207:$AR$207,1,(Time!BK21-0)-2014),INDEX(Inputs!$J$209:$AR$209,1,(Time!BK21-0)-2014),INDEX(Inputs!$J$211:$AR$211,1,(Time!BK21-0)-2014))</f>
        <v>2.2</v>
      </c>
      <c r="BL12" s="11" t="n">
        <f aca="false">CHOOSE(Inputs!$F$33,INDEX(Inputs!$J$207:$AR$207,1,(Time!BL21-0)-2014),INDEX(Inputs!$J$209:$AR$209,1,(Time!BL21-0)-2014),INDEX(Inputs!$J$211:$AR$211,1,(Time!BL21-0)-2014))</f>
        <v>2.2</v>
      </c>
      <c r="BM12" s="11" t="n">
        <f aca="false">CHOOSE(Inputs!$F$33,INDEX(Inputs!$J$207:$AR$207,1,(Time!BM21-0)-2014),INDEX(Inputs!$J$209:$AR$209,1,(Time!BM21-0)-2014),INDEX(Inputs!$J$211:$AR$211,1,(Time!BM21-0)-2014))</f>
        <v>2.2</v>
      </c>
      <c r="BN12" s="11" t="n">
        <f aca="false">CHOOSE(Inputs!$F$33,INDEX(Inputs!$J$207:$AR$207,1,(Time!BN21-0)-2014),INDEX(Inputs!$J$209:$AR$209,1,(Time!BN21-0)-2014),INDEX(Inputs!$J$211:$AR$211,1,(Time!BN21-0)-2014))</f>
        <v>2.2</v>
      </c>
    </row>
    <row r="13" customFormat="false" ht="15" hidden="false" customHeight="false" outlineLevel="0" collapsed="false">
      <c r="D13" s="0" t="s">
        <v>464</v>
      </c>
      <c r="E13" s="0" t="s">
        <v>103</v>
      </c>
      <c r="J13" s="11" t="n">
        <f aca="false">CHOOSE(Inputs!$F$33,INDEX(Inputs!$J$208:$AR$208,1,(Time!J21-0)-2014),INDEX(Inputs!$J$210:$AR$210,1,(Time!J21-0)-2014),INDEX(Inputs!$J$212:$AR$212,1,(Time!J21-0)-2014))</f>
        <v>7.5</v>
      </c>
      <c r="K13" s="11" t="n">
        <f aca="false">CHOOSE(Inputs!$F$33,INDEX(Inputs!$J$208:$AR$208,1,(Time!K21-0)-2014),INDEX(Inputs!$J$210:$AR$210,1,(Time!K21-0)-2014),INDEX(Inputs!$J$212:$AR$212,1,(Time!K21-0)-2014))</f>
        <v>7.5</v>
      </c>
      <c r="L13" s="11" t="n">
        <f aca="false">CHOOSE(Inputs!$F$33,INDEX(Inputs!$J$208:$AR$208,1,(Time!L21-0)-2014),INDEX(Inputs!$J$210:$AR$210,1,(Time!L21-0)-2014),INDEX(Inputs!$J$212:$AR$212,1,(Time!L21-0)-2014))</f>
        <v>7.5</v>
      </c>
      <c r="M13" s="11" t="n">
        <f aca="false">CHOOSE(Inputs!$F$33,INDEX(Inputs!$J$208:$AR$208,1,(Time!M21-0)-2014),INDEX(Inputs!$J$210:$AR$210,1,(Time!M21-0)-2014),INDEX(Inputs!$J$212:$AR$212,1,(Time!M21-0)-2014))</f>
        <v>7.5</v>
      </c>
      <c r="N13" s="11" t="n">
        <f aca="false">CHOOSE(Inputs!$F$33,INDEX(Inputs!$J$208:$AR$208,1,(Time!N21-0)-2014),INDEX(Inputs!$J$210:$AR$210,1,(Time!N21-0)-2014),INDEX(Inputs!$J$212:$AR$212,1,(Time!N21-0)-2014))</f>
        <v>7.5</v>
      </c>
      <c r="O13" s="11" t="n">
        <f aca="false">CHOOSE(Inputs!$F$33,INDEX(Inputs!$J$208:$AR$208,1,(Time!O21-0)-2014),INDEX(Inputs!$J$210:$AR$210,1,(Time!O21-0)-2014),INDEX(Inputs!$J$212:$AR$212,1,(Time!O21-0)-2014))</f>
        <v>7.5</v>
      </c>
      <c r="P13" s="11" t="n">
        <f aca="false">CHOOSE(Inputs!$F$33,INDEX(Inputs!$J$208:$AR$208,1,(Time!P21-0)-2014),INDEX(Inputs!$J$210:$AR$210,1,(Time!P21-0)-2014),INDEX(Inputs!$J$212:$AR$212,1,(Time!P21-0)-2014))</f>
        <v>7.5</v>
      </c>
      <c r="Q13" s="11" t="n">
        <f aca="false">CHOOSE(Inputs!$F$33,INDEX(Inputs!$J$208:$AR$208,1,(Time!Q21-0)-2014),INDEX(Inputs!$J$210:$AR$210,1,(Time!Q21-0)-2014),INDEX(Inputs!$J$212:$AR$212,1,(Time!Q21-0)-2014))</f>
        <v>7.5</v>
      </c>
      <c r="R13" s="11" t="n">
        <f aca="false">CHOOSE(Inputs!$F$33,INDEX(Inputs!$J$208:$AR$208,1,(Time!R21-0)-2014),INDEX(Inputs!$J$210:$AR$210,1,(Time!R21-0)-2014),INDEX(Inputs!$J$212:$AR$212,1,(Time!R21-0)-2014))</f>
        <v>7.5</v>
      </c>
      <c r="S13" s="11" t="n">
        <f aca="false">CHOOSE(Inputs!$F$33,INDEX(Inputs!$J$208:$AR$208,1,(Time!S21-0)-2014),INDEX(Inputs!$J$210:$AR$210,1,(Time!S21-0)-2014),INDEX(Inputs!$J$212:$AR$212,1,(Time!S21-0)-2014))</f>
        <v>7.5</v>
      </c>
      <c r="T13" s="11" t="n">
        <f aca="false">CHOOSE(Inputs!$F$33,INDEX(Inputs!$J$208:$AR$208,1,(Time!T21-0)-2014),INDEX(Inputs!$J$210:$AR$210,1,(Time!T21-0)-2014),INDEX(Inputs!$J$212:$AR$212,1,(Time!T21-0)-2014))</f>
        <v>7.5</v>
      </c>
      <c r="U13" s="11" t="n">
        <f aca="false">CHOOSE(Inputs!$F$33,INDEX(Inputs!$J$208:$AR$208,1,(Time!U21-0)-2014),INDEX(Inputs!$J$210:$AR$210,1,(Time!U21-0)-2014),INDEX(Inputs!$J$212:$AR$212,1,(Time!U21-0)-2014))</f>
        <v>7.5</v>
      </c>
      <c r="V13" s="11" t="n">
        <f aca="false">CHOOSE(Inputs!$F$33,INDEX(Inputs!$J$208:$AR$208,1,(Time!V21-0)-2014),INDEX(Inputs!$J$210:$AR$210,1,(Time!V21-0)-2014),INDEX(Inputs!$J$212:$AR$212,1,(Time!V21-0)-2014))</f>
        <v>7.5</v>
      </c>
      <c r="W13" s="11" t="n">
        <f aca="false">CHOOSE(Inputs!$F$33,INDEX(Inputs!$J$208:$AR$208,1,(Time!W21-0)-2014),INDEX(Inputs!$J$210:$AR$210,1,(Time!W21-0)-2014),INDEX(Inputs!$J$212:$AR$212,1,(Time!W21-0)-2014))</f>
        <v>7.5</v>
      </c>
      <c r="X13" s="11" t="n">
        <f aca="false">CHOOSE(Inputs!$F$33,INDEX(Inputs!$J$208:$AR$208,1,(Time!X21-0)-2014),INDEX(Inputs!$J$210:$AR$210,1,(Time!X21-0)-2014),INDEX(Inputs!$J$212:$AR$212,1,(Time!X21-0)-2014))</f>
        <v>7.5</v>
      </c>
      <c r="Y13" s="11" t="n">
        <f aca="false">CHOOSE(Inputs!$F$33,INDEX(Inputs!$J$208:$AR$208,1,(Time!Y21-0)-2014),INDEX(Inputs!$J$210:$AR$210,1,(Time!Y21-0)-2014),INDEX(Inputs!$J$212:$AR$212,1,(Time!Y21-0)-2014))</f>
        <v>7.5</v>
      </c>
      <c r="Z13" s="11" t="n">
        <f aca="false">CHOOSE(Inputs!$F$33,INDEX(Inputs!$J$208:$AR$208,1,(Time!Z21-0)-2014),INDEX(Inputs!$J$210:$AR$210,1,(Time!Z21-0)-2014),INDEX(Inputs!$J$212:$AR$212,1,(Time!Z21-0)-2014))</f>
        <v>7.5</v>
      </c>
      <c r="AA13" s="11" t="n">
        <f aca="false">CHOOSE(Inputs!$F$33,INDEX(Inputs!$J$208:$AR$208,1,(Time!AA21-0)-2014),INDEX(Inputs!$J$210:$AR$210,1,(Time!AA21-0)-2014),INDEX(Inputs!$J$212:$AR$212,1,(Time!AA21-0)-2014))</f>
        <v>7.5</v>
      </c>
      <c r="AB13" s="11" t="n">
        <f aca="false">CHOOSE(Inputs!$F$33,INDEX(Inputs!$J$208:$AR$208,1,(Time!AB21-0)-2014),INDEX(Inputs!$J$210:$AR$210,1,(Time!AB21-0)-2014),INDEX(Inputs!$J$212:$AR$212,1,(Time!AB21-0)-2014))</f>
        <v>7.5</v>
      </c>
      <c r="AC13" s="11" t="n">
        <f aca="false">CHOOSE(Inputs!$F$33,INDEX(Inputs!$J$208:$AR$208,1,(Time!AC21-0)-2014),INDEX(Inputs!$J$210:$AR$210,1,(Time!AC21-0)-2014),INDEX(Inputs!$J$212:$AR$212,1,(Time!AC21-0)-2014))</f>
        <v>7.5</v>
      </c>
      <c r="AD13" s="11" t="n">
        <f aca="false">CHOOSE(Inputs!$F$33,INDEX(Inputs!$J$208:$AR$208,1,(Time!AD21-0)-2014),INDEX(Inputs!$J$210:$AR$210,1,(Time!AD21-0)-2014),INDEX(Inputs!$J$212:$AR$212,1,(Time!AD21-0)-2014))</f>
        <v>7.5</v>
      </c>
      <c r="AE13" s="11" t="n">
        <f aca="false">CHOOSE(Inputs!$F$33,INDEX(Inputs!$J$208:$AR$208,1,(Time!AE21-0)-2014),INDEX(Inputs!$J$210:$AR$210,1,(Time!AE21-0)-2014),INDEX(Inputs!$J$212:$AR$212,1,(Time!AE21-0)-2014))</f>
        <v>7.5</v>
      </c>
      <c r="AF13" s="11" t="n">
        <f aca="false">CHOOSE(Inputs!$F$33,INDEX(Inputs!$J$208:$AR$208,1,(Time!AF21-0)-2014),INDEX(Inputs!$J$210:$AR$210,1,(Time!AF21-0)-2014),INDEX(Inputs!$J$212:$AR$212,1,(Time!AF21-0)-2014))</f>
        <v>7.5</v>
      </c>
      <c r="AG13" s="11" t="n">
        <f aca="false">CHOOSE(Inputs!$F$33,INDEX(Inputs!$J$208:$AR$208,1,(Time!AG21-0)-2014),INDEX(Inputs!$J$210:$AR$210,1,(Time!AG21-0)-2014),INDEX(Inputs!$J$212:$AR$212,1,(Time!AG21-0)-2014))</f>
        <v>7.5</v>
      </c>
      <c r="AH13" s="11" t="n">
        <f aca="false">CHOOSE(Inputs!$F$33,INDEX(Inputs!$J$208:$AR$208,1,(Time!AH21-0)-2014),INDEX(Inputs!$J$210:$AR$210,1,(Time!AH21-0)-2014),INDEX(Inputs!$J$212:$AR$212,1,(Time!AH21-0)-2014))</f>
        <v>7.5</v>
      </c>
      <c r="AI13" s="11" t="n">
        <f aca="false">CHOOSE(Inputs!$F$33,INDEX(Inputs!$J$208:$AR$208,1,(Time!AI21-0)-2014),INDEX(Inputs!$J$210:$AR$210,1,(Time!AI21-0)-2014),INDEX(Inputs!$J$212:$AR$212,1,(Time!AI21-0)-2014))</f>
        <v>7.5</v>
      </c>
      <c r="AJ13" s="11" t="n">
        <f aca="false">CHOOSE(Inputs!$F$33,INDEX(Inputs!$J$208:$AR$208,1,(Time!AJ21-0)-2014),INDEX(Inputs!$J$210:$AR$210,1,(Time!AJ21-0)-2014),INDEX(Inputs!$J$212:$AR$212,1,(Time!AJ21-0)-2014))</f>
        <v>7.5</v>
      </c>
      <c r="AK13" s="11" t="n">
        <f aca="false">CHOOSE(Inputs!$F$33,INDEX(Inputs!$J$208:$AR$208,1,(Time!AK21-0)-2014),INDEX(Inputs!$J$210:$AR$210,1,(Time!AK21-0)-2014),INDEX(Inputs!$J$212:$AR$212,1,(Time!AK21-0)-2014))</f>
        <v>7.5</v>
      </c>
      <c r="AL13" s="11" t="n">
        <f aca="false">CHOOSE(Inputs!$F$33,INDEX(Inputs!$J$208:$AR$208,1,(Time!AL21-0)-2014),INDEX(Inputs!$J$210:$AR$210,1,(Time!AL21-0)-2014),INDEX(Inputs!$J$212:$AR$212,1,(Time!AL21-0)-2014))</f>
        <v>7.5</v>
      </c>
      <c r="AM13" s="11" t="n">
        <f aca="false">CHOOSE(Inputs!$F$33,INDEX(Inputs!$J$208:$AR$208,1,(Time!AM21-0)-2014),INDEX(Inputs!$J$210:$AR$210,1,(Time!AM21-0)-2014),INDEX(Inputs!$J$212:$AR$212,1,(Time!AM21-0)-2014))</f>
        <v>7.5</v>
      </c>
      <c r="AN13" s="11" t="n">
        <f aca="false">CHOOSE(Inputs!$F$33,INDEX(Inputs!$J$208:$AR$208,1,(Time!AN21-0)-2014),INDEX(Inputs!$J$210:$AR$210,1,(Time!AN21-0)-2014),INDEX(Inputs!$J$212:$AR$212,1,(Time!AN21-0)-2014))</f>
        <v>7.5</v>
      </c>
      <c r="AO13" s="11" t="n">
        <f aca="false">CHOOSE(Inputs!$F$33,INDEX(Inputs!$J$208:$AR$208,1,(Time!AO21-0)-2014),INDEX(Inputs!$J$210:$AR$210,1,(Time!AO21-0)-2014),INDEX(Inputs!$J$212:$AR$212,1,(Time!AO21-0)-2014))</f>
        <v>7.5</v>
      </c>
      <c r="AP13" s="11" t="n">
        <f aca="false">CHOOSE(Inputs!$F$33,INDEX(Inputs!$J$208:$AR$208,1,(Time!AP21-0)-2014),INDEX(Inputs!$J$210:$AR$210,1,(Time!AP21-0)-2014),INDEX(Inputs!$J$212:$AR$212,1,(Time!AP21-0)-2014))</f>
        <v>7.5</v>
      </c>
      <c r="AQ13" s="11" t="n">
        <f aca="false">CHOOSE(Inputs!$F$33,INDEX(Inputs!$J$208:$AR$208,1,(Time!AQ21-0)-2014),INDEX(Inputs!$J$210:$AR$210,1,(Time!AQ21-0)-2014),INDEX(Inputs!$J$212:$AR$212,1,(Time!AQ21-0)-2014))</f>
        <v>7.5</v>
      </c>
      <c r="AR13" s="11" t="n">
        <f aca="false">CHOOSE(Inputs!$F$33,INDEX(Inputs!$J$208:$AR$208,1,(Time!AR21-0)-2014),INDEX(Inputs!$J$210:$AR$210,1,(Time!AR21-0)-2014),INDEX(Inputs!$J$212:$AR$212,1,(Time!AR21-0)-2014))</f>
        <v>7.5</v>
      </c>
      <c r="AS13" s="11" t="n">
        <f aca="false">CHOOSE(Inputs!$F$33,INDEX(Inputs!$J$208:$AR$208,1,(Time!AS21-0)-2014),INDEX(Inputs!$J$210:$AR$210,1,(Time!AS21-0)-2014),INDEX(Inputs!$J$212:$AR$212,1,(Time!AS21-0)-2014))</f>
        <v>7.5</v>
      </c>
      <c r="AT13" s="11" t="n">
        <f aca="false">CHOOSE(Inputs!$F$33,INDEX(Inputs!$J$208:$AR$208,1,(Time!AT21-0)-2014),INDEX(Inputs!$J$210:$AR$210,1,(Time!AT21-0)-2014),INDEX(Inputs!$J$212:$AR$212,1,(Time!AT21-0)-2014))</f>
        <v>7.5</v>
      </c>
      <c r="AU13" s="11" t="n">
        <f aca="false">CHOOSE(Inputs!$F$33,INDEX(Inputs!$J$208:$AR$208,1,(Time!AU21-0)-2014),INDEX(Inputs!$J$210:$AR$210,1,(Time!AU21-0)-2014),INDEX(Inputs!$J$212:$AR$212,1,(Time!AU21-0)-2014))</f>
        <v>7.5</v>
      </c>
      <c r="AV13" s="11" t="n">
        <f aca="false">CHOOSE(Inputs!$F$33,INDEX(Inputs!$J$208:$AR$208,1,(Time!AV21-0)-2014),INDEX(Inputs!$J$210:$AR$210,1,(Time!AV21-0)-2014),INDEX(Inputs!$J$212:$AR$212,1,(Time!AV21-0)-2014))</f>
        <v>7.5</v>
      </c>
      <c r="AW13" s="11" t="n">
        <f aca="false">CHOOSE(Inputs!$F$33,INDEX(Inputs!$J$208:$AR$208,1,(Time!AW21-0)-2014),INDEX(Inputs!$J$210:$AR$210,1,(Time!AW21-0)-2014),INDEX(Inputs!$J$212:$AR$212,1,(Time!AW21-0)-2014))</f>
        <v>7.5</v>
      </c>
      <c r="AX13" s="11" t="n">
        <f aca="false">CHOOSE(Inputs!$F$33,INDEX(Inputs!$J$208:$AR$208,1,(Time!AX21-0)-2014),INDEX(Inputs!$J$210:$AR$210,1,(Time!AX21-0)-2014),INDEX(Inputs!$J$212:$AR$212,1,(Time!AX21-0)-2014))</f>
        <v>7.5</v>
      </c>
      <c r="AY13" s="11" t="n">
        <f aca="false">CHOOSE(Inputs!$F$33,INDEX(Inputs!$J$208:$AR$208,1,(Time!AY21-0)-2014),INDEX(Inputs!$J$210:$AR$210,1,(Time!AY21-0)-2014),INDEX(Inputs!$J$212:$AR$212,1,(Time!AY21-0)-2014))</f>
        <v>7.5</v>
      </c>
      <c r="AZ13" s="11" t="n">
        <f aca="false">CHOOSE(Inputs!$F$33,INDEX(Inputs!$J$208:$AR$208,1,(Time!AZ21-0)-2014),INDEX(Inputs!$J$210:$AR$210,1,(Time!AZ21-0)-2014),INDEX(Inputs!$J$212:$AR$212,1,(Time!AZ21-0)-2014))</f>
        <v>7.5</v>
      </c>
      <c r="BA13" s="11" t="n">
        <f aca="false">CHOOSE(Inputs!$F$33,INDEX(Inputs!$J$208:$AR$208,1,(Time!BA21-0)-2014),INDEX(Inputs!$J$210:$AR$210,1,(Time!BA21-0)-2014),INDEX(Inputs!$J$212:$AR$212,1,(Time!BA21-0)-2014))</f>
        <v>7.5</v>
      </c>
      <c r="BB13" s="11" t="n">
        <f aca="false">CHOOSE(Inputs!$F$33,INDEX(Inputs!$J$208:$AR$208,1,(Time!BB21-0)-2014),INDEX(Inputs!$J$210:$AR$210,1,(Time!BB21-0)-2014),INDEX(Inputs!$J$212:$AR$212,1,(Time!BB21-0)-2014))</f>
        <v>7.5</v>
      </c>
      <c r="BC13" s="11" t="n">
        <f aca="false">CHOOSE(Inputs!$F$33,INDEX(Inputs!$J$208:$AR$208,1,(Time!BC21-0)-2014),INDEX(Inputs!$J$210:$AR$210,1,(Time!BC21-0)-2014),INDEX(Inputs!$J$212:$AR$212,1,(Time!BC21-0)-2014))</f>
        <v>7.5</v>
      </c>
      <c r="BD13" s="11" t="n">
        <f aca="false">CHOOSE(Inputs!$F$33,INDEX(Inputs!$J$208:$AR$208,1,(Time!BD21-0)-2014),INDEX(Inputs!$J$210:$AR$210,1,(Time!BD21-0)-2014),INDEX(Inputs!$J$212:$AR$212,1,(Time!BD21-0)-2014))</f>
        <v>7.5</v>
      </c>
      <c r="BE13" s="11" t="n">
        <f aca="false">CHOOSE(Inputs!$F$33,INDEX(Inputs!$J$208:$AR$208,1,(Time!BE21-0)-2014),INDEX(Inputs!$J$210:$AR$210,1,(Time!BE21-0)-2014),INDEX(Inputs!$J$212:$AR$212,1,(Time!BE21-0)-2014))</f>
        <v>7.5</v>
      </c>
      <c r="BF13" s="11" t="n">
        <f aca="false">CHOOSE(Inputs!$F$33,INDEX(Inputs!$J$208:$AR$208,1,(Time!BF21-0)-2014),INDEX(Inputs!$J$210:$AR$210,1,(Time!BF21-0)-2014),INDEX(Inputs!$J$212:$AR$212,1,(Time!BF21-0)-2014))</f>
        <v>7.5</v>
      </c>
      <c r="BG13" s="11" t="n">
        <f aca="false">CHOOSE(Inputs!$F$33,INDEX(Inputs!$J$208:$AR$208,1,(Time!BG21-0)-2014),INDEX(Inputs!$J$210:$AR$210,1,(Time!BG21-0)-2014),INDEX(Inputs!$J$212:$AR$212,1,(Time!BG21-0)-2014))</f>
        <v>7.5</v>
      </c>
      <c r="BH13" s="11" t="n">
        <f aca="false">CHOOSE(Inputs!$F$33,INDEX(Inputs!$J$208:$AR$208,1,(Time!BH21-0)-2014),INDEX(Inputs!$J$210:$AR$210,1,(Time!BH21-0)-2014),INDEX(Inputs!$J$212:$AR$212,1,(Time!BH21-0)-2014))</f>
        <v>7.5</v>
      </c>
      <c r="BI13" s="11" t="n">
        <f aca="false">CHOOSE(Inputs!$F$33,INDEX(Inputs!$J$208:$AR$208,1,(Time!BI21-0)-2014),INDEX(Inputs!$J$210:$AR$210,1,(Time!BI21-0)-2014),INDEX(Inputs!$J$212:$AR$212,1,(Time!BI21-0)-2014))</f>
        <v>7.5</v>
      </c>
      <c r="BJ13" s="11" t="n">
        <f aca="false">CHOOSE(Inputs!$F$33,INDEX(Inputs!$J$208:$AR$208,1,(Time!BJ21-0)-2014),INDEX(Inputs!$J$210:$AR$210,1,(Time!BJ21-0)-2014),INDEX(Inputs!$J$212:$AR$212,1,(Time!BJ21-0)-2014))</f>
        <v>7.5</v>
      </c>
      <c r="BK13" s="11" t="n">
        <f aca="false">CHOOSE(Inputs!$F$33,INDEX(Inputs!$J$208:$AR$208,1,(Time!BK21-0)-2014),INDEX(Inputs!$J$210:$AR$210,1,(Time!BK21-0)-2014),INDEX(Inputs!$J$212:$AR$212,1,(Time!BK21-0)-2014))</f>
        <v>7.5</v>
      </c>
      <c r="BL13" s="11" t="n">
        <f aca="false">CHOOSE(Inputs!$F$33,INDEX(Inputs!$J$208:$AR$208,1,(Time!BL21-0)-2014),INDEX(Inputs!$J$210:$AR$210,1,(Time!BL21-0)-2014),INDEX(Inputs!$J$212:$AR$212,1,(Time!BL21-0)-2014))</f>
        <v>7.5</v>
      </c>
      <c r="BM13" s="11" t="n">
        <f aca="false">CHOOSE(Inputs!$F$33,INDEX(Inputs!$J$208:$AR$208,1,(Time!BM21-0)-2014),INDEX(Inputs!$J$210:$AR$210,1,(Time!BM21-0)-2014),INDEX(Inputs!$J$212:$AR$212,1,(Time!BM21-0)-2014))</f>
        <v>7.5</v>
      </c>
      <c r="BN13" s="11" t="n">
        <f aca="false">CHOOSE(Inputs!$F$33,INDEX(Inputs!$J$208:$AR$208,1,(Time!BN21-0)-2014),INDEX(Inputs!$J$210:$AR$210,1,(Time!BN21-0)-2014),INDEX(Inputs!$J$212:$AR$212,1,(Time!BN21-0)-2014))</f>
        <v>7.5</v>
      </c>
    </row>
    <row r="14" customFormat="false" ht="15" hidden="false" customHeight="false" outlineLevel="0" collapsed="false">
      <c r="D14" s="0" t="s">
        <v>465</v>
      </c>
      <c r="E14" s="0" t="s">
        <v>103</v>
      </c>
      <c r="J14" s="11" t="n">
        <f aca="false">CHOOSE(Inputs!$F$33,INDEX(Inputs!$J$207:$AR$207,1,(Time!J21-1)-2014),INDEX(Inputs!$J$209:$AR$209,1,(Time!J21-1)-2014),INDEX(Inputs!$J$211:$AR$211,1,(Time!J21-1)-2014))</f>
        <v>2.1</v>
      </c>
      <c r="K14" s="11" t="n">
        <f aca="false">CHOOSE(Inputs!$F$33,INDEX(Inputs!$J$207:$AR$207,1,(Time!K21-1)-2014),INDEX(Inputs!$J$209:$AR$209,1,(Time!K21-1)-2014),INDEX(Inputs!$J$211:$AR$211,1,(Time!K21-1)-2014))</f>
        <v>2.2</v>
      </c>
      <c r="L14" s="11" t="n">
        <f aca="false">CHOOSE(Inputs!$F$33,INDEX(Inputs!$J$207:$AR$207,1,(Time!L21-1)-2014),INDEX(Inputs!$J$209:$AR$209,1,(Time!L21-1)-2014),INDEX(Inputs!$J$211:$AR$211,1,(Time!L21-1)-2014))</f>
        <v>2.2</v>
      </c>
      <c r="M14" s="11" t="n">
        <f aca="false">CHOOSE(Inputs!$F$33,INDEX(Inputs!$J$207:$AR$207,1,(Time!M21-1)-2014),INDEX(Inputs!$J$209:$AR$209,1,(Time!M21-1)-2014),INDEX(Inputs!$J$211:$AR$211,1,(Time!M21-1)-2014))</f>
        <v>2.2</v>
      </c>
      <c r="N14" s="11" t="n">
        <f aca="false">CHOOSE(Inputs!$F$33,INDEX(Inputs!$J$207:$AR$207,1,(Time!N21-1)-2014),INDEX(Inputs!$J$209:$AR$209,1,(Time!N21-1)-2014),INDEX(Inputs!$J$211:$AR$211,1,(Time!N21-1)-2014))</f>
        <v>2.2</v>
      </c>
      <c r="O14" s="11" t="n">
        <f aca="false">CHOOSE(Inputs!$F$33,INDEX(Inputs!$J$207:$AR$207,1,(Time!O21-1)-2014),INDEX(Inputs!$J$209:$AR$209,1,(Time!O21-1)-2014),INDEX(Inputs!$J$211:$AR$211,1,(Time!O21-1)-2014))</f>
        <v>2.2</v>
      </c>
      <c r="P14" s="11" t="n">
        <f aca="false">CHOOSE(Inputs!$F$33,INDEX(Inputs!$J$207:$AR$207,1,(Time!P21-1)-2014),INDEX(Inputs!$J$209:$AR$209,1,(Time!P21-1)-2014),INDEX(Inputs!$J$211:$AR$211,1,(Time!P21-1)-2014))</f>
        <v>2.2</v>
      </c>
      <c r="Q14" s="11" t="n">
        <f aca="false">CHOOSE(Inputs!$F$33,INDEX(Inputs!$J$207:$AR$207,1,(Time!Q21-1)-2014),INDEX(Inputs!$J$209:$AR$209,1,(Time!Q21-1)-2014),INDEX(Inputs!$J$211:$AR$211,1,(Time!Q21-1)-2014))</f>
        <v>2.2</v>
      </c>
      <c r="R14" s="11" t="n">
        <f aca="false">CHOOSE(Inputs!$F$33,INDEX(Inputs!$J$207:$AR$207,1,(Time!R21-1)-2014),INDEX(Inputs!$J$209:$AR$209,1,(Time!R21-1)-2014),INDEX(Inputs!$J$211:$AR$211,1,(Time!R21-1)-2014))</f>
        <v>2.2</v>
      </c>
      <c r="S14" s="11" t="n">
        <f aca="false">CHOOSE(Inputs!$F$33,INDEX(Inputs!$J$207:$AR$207,1,(Time!S21-1)-2014),INDEX(Inputs!$J$209:$AR$209,1,(Time!S21-1)-2014),INDEX(Inputs!$J$211:$AR$211,1,(Time!S21-1)-2014))</f>
        <v>2.2</v>
      </c>
      <c r="T14" s="11" t="n">
        <f aca="false">CHOOSE(Inputs!$F$33,INDEX(Inputs!$J$207:$AR$207,1,(Time!T21-1)-2014),INDEX(Inputs!$J$209:$AR$209,1,(Time!T21-1)-2014),INDEX(Inputs!$J$211:$AR$211,1,(Time!T21-1)-2014))</f>
        <v>2.2</v>
      </c>
      <c r="U14" s="11" t="n">
        <f aca="false">CHOOSE(Inputs!$F$33,INDEX(Inputs!$J$207:$AR$207,1,(Time!U21-1)-2014),INDEX(Inputs!$J$209:$AR$209,1,(Time!U21-1)-2014),INDEX(Inputs!$J$211:$AR$211,1,(Time!U21-1)-2014))</f>
        <v>2.2</v>
      </c>
      <c r="V14" s="11" t="n">
        <f aca="false">CHOOSE(Inputs!$F$33,INDEX(Inputs!$J$207:$AR$207,1,(Time!V21-1)-2014),INDEX(Inputs!$J$209:$AR$209,1,(Time!V21-1)-2014),INDEX(Inputs!$J$211:$AR$211,1,(Time!V21-1)-2014))</f>
        <v>2.2</v>
      </c>
      <c r="W14" s="11" t="n">
        <f aca="false">CHOOSE(Inputs!$F$33,INDEX(Inputs!$J$207:$AR$207,1,(Time!W21-1)-2014),INDEX(Inputs!$J$209:$AR$209,1,(Time!W21-1)-2014),INDEX(Inputs!$J$211:$AR$211,1,(Time!W21-1)-2014))</f>
        <v>2.2</v>
      </c>
      <c r="X14" s="11" t="n">
        <f aca="false">CHOOSE(Inputs!$F$33,INDEX(Inputs!$J$207:$AR$207,1,(Time!X21-1)-2014),INDEX(Inputs!$J$209:$AR$209,1,(Time!X21-1)-2014),INDEX(Inputs!$J$211:$AR$211,1,(Time!X21-1)-2014))</f>
        <v>2.2</v>
      </c>
      <c r="Y14" s="11" t="n">
        <f aca="false">CHOOSE(Inputs!$F$33,INDEX(Inputs!$J$207:$AR$207,1,(Time!Y21-1)-2014),INDEX(Inputs!$J$209:$AR$209,1,(Time!Y21-1)-2014),INDEX(Inputs!$J$211:$AR$211,1,(Time!Y21-1)-2014))</f>
        <v>2.2</v>
      </c>
      <c r="Z14" s="11" t="n">
        <f aca="false">CHOOSE(Inputs!$F$33,INDEX(Inputs!$J$207:$AR$207,1,(Time!Z21-1)-2014),INDEX(Inputs!$J$209:$AR$209,1,(Time!Z21-1)-2014),INDEX(Inputs!$J$211:$AR$211,1,(Time!Z21-1)-2014))</f>
        <v>2.2</v>
      </c>
      <c r="AA14" s="11" t="n">
        <f aca="false">CHOOSE(Inputs!$F$33,INDEX(Inputs!$J$207:$AR$207,1,(Time!AA21-1)-2014),INDEX(Inputs!$J$209:$AR$209,1,(Time!AA21-1)-2014),INDEX(Inputs!$J$211:$AR$211,1,(Time!AA21-1)-2014))</f>
        <v>2.2</v>
      </c>
      <c r="AB14" s="11" t="n">
        <f aca="false">CHOOSE(Inputs!$F$33,INDEX(Inputs!$J$207:$AR$207,1,(Time!AB21-1)-2014),INDEX(Inputs!$J$209:$AR$209,1,(Time!AB21-1)-2014),INDEX(Inputs!$J$211:$AR$211,1,(Time!AB21-1)-2014))</f>
        <v>2.2</v>
      </c>
      <c r="AC14" s="11" t="n">
        <f aca="false">CHOOSE(Inputs!$F$33,INDEX(Inputs!$J$207:$AR$207,1,(Time!AC21-1)-2014),INDEX(Inputs!$J$209:$AR$209,1,(Time!AC21-1)-2014),INDEX(Inputs!$J$211:$AR$211,1,(Time!AC21-1)-2014))</f>
        <v>2.2</v>
      </c>
      <c r="AD14" s="11" t="n">
        <f aca="false">CHOOSE(Inputs!$F$33,INDEX(Inputs!$J$207:$AR$207,1,(Time!AD21-1)-2014),INDEX(Inputs!$J$209:$AR$209,1,(Time!AD21-1)-2014),INDEX(Inputs!$J$211:$AR$211,1,(Time!AD21-1)-2014))</f>
        <v>2.2</v>
      </c>
      <c r="AE14" s="11" t="n">
        <f aca="false">CHOOSE(Inputs!$F$33,INDEX(Inputs!$J$207:$AR$207,1,(Time!AE21-1)-2014),INDEX(Inputs!$J$209:$AR$209,1,(Time!AE21-1)-2014),INDEX(Inputs!$J$211:$AR$211,1,(Time!AE21-1)-2014))</f>
        <v>2.2</v>
      </c>
      <c r="AF14" s="11" t="n">
        <f aca="false">CHOOSE(Inputs!$F$33,INDEX(Inputs!$J$207:$AR$207,1,(Time!AF21-1)-2014),INDEX(Inputs!$J$209:$AR$209,1,(Time!AF21-1)-2014),INDEX(Inputs!$J$211:$AR$211,1,(Time!AF21-1)-2014))</f>
        <v>2.2</v>
      </c>
      <c r="AG14" s="11" t="n">
        <f aca="false">CHOOSE(Inputs!$F$33,INDEX(Inputs!$J$207:$AR$207,1,(Time!AG21-1)-2014),INDEX(Inputs!$J$209:$AR$209,1,(Time!AG21-1)-2014),INDEX(Inputs!$J$211:$AR$211,1,(Time!AG21-1)-2014))</f>
        <v>2.2</v>
      </c>
      <c r="AH14" s="11" t="n">
        <f aca="false">CHOOSE(Inputs!$F$33,INDEX(Inputs!$J$207:$AR$207,1,(Time!AH21-1)-2014),INDEX(Inputs!$J$209:$AR$209,1,(Time!AH21-1)-2014),INDEX(Inputs!$J$211:$AR$211,1,(Time!AH21-1)-2014))</f>
        <v>2.2</v>
      </c>
      <c r="AI14" s="11" t="n">
        <f aca="false">CHOOSE(Inputs!$F$33,INDEX(Inputs!$J$207:$AR$207,1,(Time!AI21-1)-2014),INDEX(Inputs!$J$209:$AR$209,1,(Time!AI21-1)-2014),INDEX(Inputs!$J$211:$AR$211,1,(Time!AI21-1)-2014))</f>
        <v>2.2</v>
      </c>
      <c r="AJ14" s="11" t="n">
        <f aca="false">CHOOSE(Inputs!$F$33,INDEX(Inputs!$J$207:$AR$207,1,(Time!AJ21-1)-2014),INDEX(Inputs!$J$209:$AR$209,1,(Time!AJ21-1)-2014),INDEX(Inputs!$J$211:$AR$211,1,(Time!AJ21-1)-2014))</f>
        <v>2.2</v>
      </c>
      <c r="AK14" s="11" t="n">
        <f aca="false">CHOOSE(Inputs!$F$33,INDEX(Inputs!$J$207:$AR$207,1,(Time!AK21-1)-2014),INDEX(Inputs!$J$209:$AR$209,1,(Time!AK21-1)-2014),INDEX(Inputs!$J$211:$AR$211,1,(Time!AK21-1)-2014))</f>
        <v>2.2</v>
      </c>
      <c r="AL14" s="11" t="n">
        <f aca="false">CHOOSE(Inputs!$F$33,INDEX(Inputs!$J$207:$AR$207,1,(Time!AL21-1)-2014),INDEX(Inputs!$J$209:$AR$209,1,(Time!AL21-1)-2014),INDEX(Inputs!$J$211:$AR$211,1,(Time!AL21-1)-2014))</f>
        <v>2.2</v>
      </c>
      <c r="AM14" s="11" t="n">
        <f aca="false">CHOOSE(Inputs!$F$33,INDEX(Inputs!$J$207:$AR$207,1,(Time!AM21-1)-2014),INDEX(Inputs!$J$209:$AR$209,1,(Time!AM21-1)-2014),INDEX(Inputs!$J$211:$AR$211,1,(Time!AM21-1)-2014))</f>
        <v>2.2</v>
      </c>
      <c r="AN14" s="11" t="n">
        <f aca="false">CHOOSE(Inputs!$F$33,INDEX(Inputs!$J$207:$AR$207,1,(Time!AN21-1)-2014),INDEX(Inputs!$J$209:$AR$209,1,(Time!AN21-1)-2014),INDEX(Inputs!$J$211:$AR$211,1,(Time!AN21-1)-2014))</f>
        <v>2.2</v>
      </c>
      <c r="AO14" s="11" t="n">
        <f aca="false">CHOOSE(Inputs!$F$33,INDEX(Inputs!$J$207:$AR$207,1,(Time!AO21-1)-2014),INDEX(Inputs!$J$209:$AR$209,1,(Time!AO21-1)-2014),INDEX(Inputs!$J$211:$AR$211,1,(Time!AO21-1)-2014))</f>
        <v>2.2</v>
      </c>
      <c r="AP14" s="11" t="n">
        <f aca="false">CHOOSE(Inputs!$F$33,INDEX(Inputs!$J$207:$AR$207,1,(Time!AP21-1)-2014),INDEX(Inputs!$J$209:$AR$209,1,(Time!AP21-1)-2014),INDEX(Inputs!$J$211:$AR$211,1,(Time!AP21-1)-2014))</f>
        <v>2.2</v>
      </c>
      <c r="AQ14" s="11" t="n">
        <f aca="false">CHOOSE(Inputs!$F$33,INDEX(Inputs!$J$207:$AR$207,1,(Time!AQ21-1)-2014),INDEX(Inputs!$J$209:$AR$209,1,(Time!AQ21-1)-2014),INDEX(Inputs!$J$211:$AR$211,1,(Time!AQ21-1)-2014))</f>
        <v>2.2</v>
      </c>
      <c r="AR14" s="11" t="n">
        <f aca="false">CHOOSE(Inputs!$F$33,INDEX(Inputs!$J$207:$AR$207,1,(Time!AR21-1)-2014),INDEX(Inputs!$J$209:$AR$209,1,(Time!AR21-1)-2014),INDEX(Inputs!$J$211:$AR$211,1,(Time!AR21-1)-2014))</f>
        <v>2.2</v>
      </c>
      <c r="AS14" s="11" t="n">
        <f aca="false">CHOOSE(Inputs!$F$33,INDEX(Inputs!$J$207:$AR$207,1,(Time!AS21-1)-2014),INDEX(Inputs!$J$209:$AR$209,1,(Time!AS21-1)-2014),INDEX(Inputs!$J$211:$AR$211,1,(Time!AS21-1)-2014))</f>
        <v>2.2</v>
      </c>
      <c r="AT14" s="11" t="n">
        <f aca="false">CHOOSE(Inputs!$F$33,INDEX(Inputs!$J$207:$AR$207,1,(Time!AT21-1)-2014),INDEX(Inputs!$J$209:$AR$209,1,(Time!AT21-1)-2014),INDEX(Inputs!$J$211:$AR$211,1,(Time!AT21-1)-2014))</f>
        <v>2.2</v>
      </c>
      <c r="AU14" s="11" t="n">
        <f aca="false">CHOOSE(Inputs!$F$33,INDEX(Inputs!$J$207:$AR$207,1,(Time!AU21-1)-2014),INDEX(Inputs!$J$209:$AR$209,1,(Time!AU21-1)-2014),INDEX(Inputs!$J$211:$AR$211,1,(Time!AU21-1)-2014))</f>
        <v>2.2</v>
      </c>
      <c r="AV14" s="11" t="n">
        <f aca="false">CHOOSE(Inputs!$F$33,INDEX(Inputs!$J$207:$AR$207,1,(Time!AV21-1)-2014),INDEX(Inputs!$J$209:$AR$209,1,(Time!AV21-1)-2014),INDEX(Inputs!$J$211:$AR$211,1,(Time!AV21-1)-2014))</f>
        <v>2.2</v>
      </c>
      <c r="AW14" s="11" t="n">
        <f aca="false">CHOOSE(Inputs!$F$33,INDEX(Inputs!$J$207:$AR$207,1,(Time!AW21-1)-2014),INDEX(Inputs!$J$209:$AR$209,1,(Time!AW21-1)-2014),INDEX(Inputs!$J$211:$AR$211,1,(Time!AW21-1)-2014))</f>
        <v>2.2</v>
      </c>
      <c r="AX14" s="11" t="n">
        <f aca="false">CHOOSE(Inputs!$F$33,INDEX(Inputs!$J$207:$AR$207,1,(Time!AX21-1)-2014),INDEX(Inputs!$J$209:$AR$209,1,(Time!AX21-1)-2014),INDEX(Inputs!$J$211:$AR$211,1,(Time!AX21-1)-2014))</f>
        <v>2.2</v>
      </c>
      <c r="AY14" s="11" t="n">
        <f aca="false">CHOOSE(Inputs!$F$33,INDEX(Inputs!$J$207:$AR$207,1,(Time!AY21-1)-2014),INDEX(Inputs!$J$209:$AR$209,1,(Time!AY21-1)-2014),INDEX(Inputs!$J$211:$AR$211,1,(Time!AY21-1)-2014))</f>
        <v>2.2</v>
      </c>
      <c r="AZ14" s="11" t="n">
        <f aca="false">CHOOSE(Inputs!$F$33,INDEX(Inputs!$J$207:$AR$207,1,(Time!AZ21-1)-2014),INDEX(Inputs!$J$209:$AR$209,1,(Time!AZ21-1)-2014),INDEX(Inputs!$J$211:$AR$211,1,(Time!AZ21-1)-2014))</f>
        <v>2.2</v>
      </c>
      <c r="BA14" s="11" t="n">
        <f aca="false">CHOOSE(Inputs!$F$33,INDEX(Inputs!$J$207:$AR$207,1,(Time!BA21-1)-2014),INDEX(Inputs!$J$209:$AR$209,1,(Time!BA21-1)-2014),INDEX(Inputs!$J$211:$AR$211,1,(Time!BA21-1)-2014))</f>
        <v>2.2</v>
      </c>
      <c r="BB14" s="11" t="n">
        <f aca="false">CHOOSE(Inputs!$F$33,INDEX(Inputs!$J$207:$AR$207,1,(Time!BB21-1)-2014),INDEX(Inputs!$J$209:$AR$209,1,(Time!BB21-1)-2014),INDEX(Inputs!$J$211:$AR$211,1,(Time!BB21-1)-2014))</f>
        <v>2.2</v>
      </c>
      <c r="BC14" s="11" t="n">
        <f aca="false">CHOOSE(Inputs!$F$33,INDEX(Inputs!$J$207:$AR$207,1,(Time!BC21-1)-2014),INDEX(Inputs!$J$209:$AR$209,1,(Time!BC21-1)-2014),INDEX(Inputs!$J$211:$AR$211,1,(Time!BC21-1)-2014))</f>
        <v>2.2</v>
      </c>
      <c r="BD14" s="11" t="n">
        <f aca="false">CHOOSE(Inputs!$F$33,INDEX(Inputs!$J$207:$AR$207,1,(Time!BD21-1)-2014),INDEX(Inputs!$J$209:$AR$209,1,(Time!BD21-1)-2014),INDEX(Inputs!$J$211:$AR$211,1,(Time!BD21-1)-2014))</f>
        <v>2.2</v>
      </c>
      <c r="BE14" s="11" t="n">
        <f aca="false">CHOOSE(Inputs!$F$33,INDEX(Inputs!$J$207:$AR$207,1,(Time!BE21-1)-2014),INDEX(Inputs!$J$209:$AR$209,1,(Time!BE21-1)-2014),INDEX(Inputs!$J$211:$AR$211,1,(Time!BE21-1)-2014))</f>
        <v>2.2</v>
      </c>
      <c r="BF14" s="11" t="n">
        <f aca="false">CHOOSE(Inputs!$F$33,INDEX(Inputs!$J$207:$AR$207,1,(Time!BF21-1)-2014),INDEX(Inputs!$J$209:$AR$209,1,(Time!BF21-1)-2014),INDEX(Inputs!$J$211:$AR$211,1,(Time!BF21-1)-2014))</f>
        <v>2.2</v>
      </c>
      <c r="BG14" s="11" t="n">
        <f aca="false">CHOOSE(Inputs!$F$33,INDEX(Inputs!$J$207:$AR$207,1,(Time!BG21-1)-2014),INDEX(Inputs!$J$209:$AR$209,1,(Time!BG21-1)-2014),INDEX(Inputs!$J$211:$AR$211,1,(Time!BG21-1)-2014))</f>
        <v>2.2</v>
      </c>
      <c r="BH14" s="11" t="n">
        <f aca="false">CHOOSE(Inputs!$F$33,INDEX(Inputs!$J$207:$AR$207,1,(Time!BH21-1)-2014),INDEX(Inputs!$J$209:$AR$209,1,(Time!BH21-1)-2014),INDEX(Inputs!$J$211:$AR$211,1,(Time!BH21-1)-2014))</f>
        <v>2.2</v>
      </c>
      <c r="BI14" s="11" t="n">
        <f aca="false">CHOOSE(Inputs!$F$33,INDEX(Inputs!$J$207:$AR$207,1,(Time!BI21-1)-2014),INDEX(Inputs!$J$209:$AR$209,1,(Time!BI21-1)-2014),INDEX(Inputs!$J$211:$AR$211,1,(Time!BI21-1)-2014))</f>
        <v>2.2</v>
      </c>
      <c r="BJ14" s="11" t="n">
        <f aca="false">CHOOSE(Inputs!$F$33,INDEX(Inputs!$J$207:$AR$207,1,(Time!BJ21-1)-2014),INDEX(Inputs!$J$209:$AR$209,1,(Time!BJ21-1)-2014),INDEX(Inputs!$J$211:$AR$211,1,(Time!BJ21-1)-2014))</f>
        <v>2.2</v>
      </c>
      <c r="BK14" s="11" t="n">
        <f aca="false">CHOOSE(Inputs!$F$33,INDEX(Inputs!$J$207:$AR$207,1,(Time!BK21-1)-2014),INDEX(Inputs!$J$209:$AR$209,1,(Time!BK21-1)-2014),INDEX(Inputs!$J$211:$AR$211,1,(Time!BK21-1)-2014))</f>
        <v>2.2</v>
      </c>
      <c r="BL14" s="11" t="n">
        <f aca="false">CHOOSE(Inputs!$F$33,INDEX(Inputs!$J$207:$AR$207,1,(Time!BL21-1)-2014),INDEX(Inputs!$J$209:$AR$209,1,(Time!BL21-1)-2014),INDEX(Inputs!$J$211:$AR$211,1,(Time!BL21-1)-2014))</f>
        <v>2.2</v>
      </c>
      <c r="BM14" s="11" t="n">
        <f aca="false">CHOOSE(Inputs!$F$33,INDEX(Inputs!$J$207:$AR$207,1,(Time!BM21-1)-2014),INDEX(Inputs!$J$209:$AR$209,1,(Time!BM21-1)-2014),INDEX(Inputs!$J$211:$AR$211,1,(Time!BM21-1)-2014))</f>
        <v>2.2</v>
      </c>
      <c r="BN14" s="11" t="n">
        <f aca="false">CHOOSE(Inputs!$F$33,INDEX(Inputs!$J$207:$AR$207,1,(Time!BN21-1)-2014),INDEX(Inputs!$J$209:$AR$209,1,(Time!BN21-1)-2014),INDEX(Inputs!$J$211:$AR$211,1,(Time!BN21-1)-2014))</f>
        <v>2.2</v>
      </c>
    </row>
    <row r="15" customFormat="false" ht="15" hidden="false" customHeight="false" outlineLevel="0" collapsed="false">
      <c r="D15" s="0" t="s">
        <v>466</v>
      </c>
      <c r="E15" s="0" t="s">
        <v>103</v>
      </c>
      <c r="J15" s="11" t="n">
        <f aca="false">CHOOSE(Inputs!$F$33,INDEX(Inputs!$J$208:$AR$208,1,(Time!J21-1)-2014),INDEX(Inputs!$J$210:$AR$210,1,(Time!J21-1)-2014),INDEX(Inputs!$J$212:$AR$212,1,(Time!J21-1)-2014))</f>
        <v>8.1</v>
      </c>
      <c r="K15" s="11" t="n">
        <f aca="false">CHOOSE(Inputs!$F$33,INDEX(Inputs!$J$208:$AR$208,1,(Time!K21-1)-2014),INDEX(Inputs!$J$210:$AR$210,1,(Time!K21-1)-2014),INDEX(Inputs!$J$212:$AR$212,1,(Time!K21-1)-2014))</f>
        <v>7.5</v>
      </c>
      <c r="L15" s="11" t="n">
        <f aca="false">CHOOSE(Inputs!$F$33,INDEX(Inputs!$J$208:$AR$208,1,(Time!L21-1)-2014),INDEX(Inputs!$J$210:$AR$210,1,(Time!L21-1)-2014),INDEX(Inputs!$J$212:$AR$212,1,(Time!L21-1)-2014))</f>
        <v>7.5</v>
      </c>
      <c r="M15" s="11" t="n">
        <f aca="false">CHOOSE(Inputs!$F$33,INDEX(Inputs!$J$208:$AR$208,1,(Time!M21-1)-2014),INDEX(Inputs!$J$210:$AR$210,1,(Time!M21-1)-2014),INDEX(Inputs!$J$212:$AR$212,1,(Time!M21-1)-2014))</f>
        <v>7.5</v>
      </c>
      <c r="N15" s="11" t="n">
        <f aca="false">CHOOSE(Inputs!$F$33,INDEX(Inputs!$J$208:$AR$208,1,(Time!N21-1)-2014),INDEX(Inputs!$J$210:$AR$210,1,(Time!N21-1)-2014),INDEX(Inputs!$J$212:$AR$212,1,(Time!N21-1)-2014))</f>
        <v>7.5</v>
      </c>
      <c r="O15" s="11" t="n">
        <f aca="false">CHOOSE(Inputs!$F$33,INDEX(Inputs!$J$208:$AR$208,1,(Time!O21-1)-2014),INDEX(Inputs!$J$210:$AR$210,1,(Time!O21-1)-2014),INDEX(Inputs!$J$212:$AR$212,1,(Time!O21-1)-2014))</f>
        <v>7.5</v>
      </c>
      <c r="P15" s="11" t="n">
        <f aca="false">CHOOSE(Inputs!$F$33,INDEX(Inputs!$J$208:$AR$208,1,(Time!P21-1)-2014),INDEX(Inputs!$J$210:$AR$210,1,(Time!P21-1)-2014),INDEX(Inputs!$J$212:$AR$212,1,(Time!P21-1)-2014))</f>
        <v>7.5</v>
      </c>
      <c r="Q15" s="11" t="n">
        <f aca="false">CHOOSE(Inputs!$F$33,INDEX(Inputs!$J$208:$AR$208,1,(Time!Q21-1)-2014),INDEX(Inputs!$J$210:$AR$210,1,(Time!Q21-1)-2014),INDEX(Inputs!$J$212:$AR$212,1,(Time!Q21-1)-2014))</f>
        <v>7.5</v>
      </c>
      <c r="R15" s="11" t="n">
        <f aca="false">CHOOSE(Inputs!$F$33,INDEX(Inputs!$J$208:$AR$208,1,(Time!R21-1)-2014),INDEX(Inputs!$J$210:$AR$210,1,(Time!R21-1)-2014),INDEX(Inputs!$J$212:$AR$212,1,(Time!R21-1)-2014))</f>
        <v>7.5</v>
      </c>
      <c r="S15" s="11" t="n">
        <f aca="false">CHOOSE(Inputs!$F$33,INDEX(Inputs!$J$208:$AR$208,1,(Time!S21-1)-2014),INDEX(Inputs!$J$210:$AR$210,1,(Time!S21-1)-2014),INDEX(Inputs!$J$212:$AR$212,1,(Time!S21-1)-2014))</f>
        <v>7.5</v>
      </c>
      <c r="T15" s="11" t="n">
        <f aca="false">CHOOSE(Inputs!$F$33,INDEX(Inputs!$J$208:$AR$208,1,(Time!T21-1)-2014),INDEX(Inputs!$J$210:$AR$210,1,(Time!T21-1)-2014),INDEX(Inputs!$J$212:$AR$212,1,(Time!T21-1)-2014))</f>
        <v>7.5</v>
      </c>
      <c r="U15" s="11" t="n">
        <f aca="false">CHOOSE(Inputs!$F$33,INDEX(Inputs!$J$208:$AR$208,1,(Time!U21-1)-2014),INDEX(Inputs!$J$210:$AR$210,1,(Time!U21-1)-2014),INDEX(Inputs!$J$212:$AR$212,1,(Time!U21-1)-2014))</f>
        <v>7.5</v>
      </c>
      <c r="V15" s="11" t="n">
        <f aca="false">CHOOSE(Inputs!$F$33,INDEX(Inputs!$J$208:$AR$208,1,(Time!V21-1)-2014),INDEX(Inputs!$J$210:$AR$210,1,(Time!V21-1)-2014),INDEX(Inputs!$J$212:$AR$212,1,(Time!V21-1)-2014))</f>
        <v>7.5</v>
      </c>
      <c r="W15" s="11" t="n">
        <f aca="false">CHOOSE(Inputs!$F$33,INDEX(Inputs!$J$208:$AR$208,1,(Time!W21-1)-2014),INDEX(Inputs!$J$210:$AR$210,1,(Time!W21-1)-2014),INDEX(Inputs!$J$212:$AR$212,1,(Time!W21-1)-2014))</f>
        <v>7.5</v>
      </c>
      <c r="X15" s="11" t="n">
        <f aca="false">CHOOSE(Inputs!$F$33,INDEX(Inputs!$J$208:$AR$208,1,(Time!X21-1)-2014),INDEX(Inputs!$J$210:$AR$210,1,(Time!X21-1)-2014),INDEX(Inputs!$J$212:$AR$212,1,(Time!X21-1)-2014))</f>
        <v>7.5</v>
      </c>
      <c r="Y15" s="11" t="n">
        <f aca="false">CHOOSE(Inputs!$F$33,INDEX(Inputs!$J$208:$AR$208,1,(Time!Y21-1)-2014),INDEX(Inputs!$J$210:$AR$210,1,(Time!Y21-1)-2014),INDEX(Inputs!$J$212:$AR$212,1,(Time!Y21-1)-2014))</f>
        <v>7.5</v>
      </c>
      <c r="Z15" s="11" t="n">
        <f aca="false">CHOOSE(Inputs!$F$33,INDEX(Inputs!$J$208:$AR$208,1,(Time!Z21-1)-2014),INDEX(Inputs!$J$210:$AR$210,1,(Time!Z21-1)-2014),INDEX(Inputs!$J$212:$AR$212,1,(Time!Z21-1)-2014))</f>
        <v>7.5</v>
      </c>
      <c r="AA15" s="11" t="n">
        <f aca="false">CHOOSE(Inputs!$F$33,INDEX(Inputs!$J$208:$AR$208,1,(Time!AA21-1)-2014),INDEX(Inputs!$J$210:$AR$210,1,(Time!AA21-1)-2014),INDEX(Inputs!$J$212:$AR$212,1,(Time!AA21-1)-2014))</f>
        <v>7.5</v>
      </c>
      <c r="AB15" s="11" t="n">
        <f aca="false">CHOOSE(Inputs!$F$33,INDEX(Inputs!$J$208:$AR$208,1,(Time!AB21-1)-2014),INDEX(Inputs!$J$210:$AR$210,1,(Time!AB21-1)-2014),INDEX(Inputs!$J$212:$AR$212,1,(Time!AB21-1)-2014))</f>
        <v>7.5</v>
      </c>
      <c r="AC15" s="11" t="n">
        <f aca="false">CHOOSE(Inputs!$F$33,INDEX(Inputs!$J$208:$AR$208,1,(Time!AC21-1)-2014),INDEX(Inputs!$J$210:$AR$210,1,(Time!AC21-1)-2014),INDEX(Inputs!$J$212:$AR$212,1,(Time!AC21-1)-2014))</f>
        <v>7.5</v>
      </c>
      <c r="AD15" s="11" t="n">
        <f aca="false">CHOOSE(Inputs!$F$33,INDEX(Inputs!$J$208:$AR$208,1,(Time!AD21-1)-2014),INDEX(Inputs!$J$210:$AR$210,1,(Time!AD21-1)-2014),INDEX(Inputs!$J$212:$AR$212,1,(Time!AD21-1)-2014))</f>
        <v>7.5</v>
      </c>
      <c r="AE15" s="11" t="n">
        <f aca="false">CHOOSE(Inputs!$F$33,INDEX(Inputs!$J$208:$AR$208,1,(Time!AE21-1)-2014),INDEX(Inputs!$J$210:$AR$210,1,(Time!AE21-1)-2014),INDEX(Inputs!$J$212:$AR$212,1,(Time!AE21-1)-2014))</f>
        <v>7.5</v>
      </c>
      <c r="AF15" s="11" t="n">
        <f aca="false">CHOOSE(Inputs!$F$33,INDEX(Inputs!$J$208:$AR$208,1,(Time!AF21-1)-2014),INDEX(Inputs!$J$210:$AR$210,1,(Time!AF21-1)-2014),INDEX(Inputs!$J$212:$AR$212,1,(Time!AF21-1)-2014))</f>
        <v>7.5</v>
      </c>
      <c r="AG15" s="11" t="n">
        <f aca="false">CHOOSE(Inputs!$F$33,INDEX(Inputs!$J$208:$AR$208,1,(Time!AG21-1)-2014),INDEX(Inputs!$J$210:$AR$210,1,(Time!AG21-1)-2014),INDEX(Inputs!$J$212:$AR$212,1,(Time!AG21-1)-2014))</f>
        <v>7.5</v>
      </c>
      <c r="AH15" s="11" t="n">
        <f aca="false">CHOOSE(Inputs!$F$33,INDEX(Inputs!$J$208:$AR$208,1,(Time!AH21-1)-2014),INDEX(Inputs!$J$210:$AR$210,1,(Time!AH21-1)-2014),INDEX(Inputs!$J$212:$AR$212,1,(Time!AH21-1)-2014))</f>
        <v>7.5</v>
      </c>
      <c r="AI15" s="11" t="n">
        <f aca="false">CHOOSE(Inputs!$F$33,INDEX(Inputs!$J$208:$AR$208,1,(Time!AI21-1)-2014),INDEX(Inputs!$J$210:$AR$210,1,(Time!AI21-1)-2014),INDEX(Inputs!$J$212:$AR$212,1,(Time!AI21-1)-2014))</f>
        <v>7.5</v>
      </c>
      <c r="AJ15" s="11" t="n">
        <f aca="false">CHOOSE(Inputs!$F$33,INDEX(Inputs!$J$208:$AR$208,1,(Time!AJ21-1)-2014),INDEX(Inputs!$J$210:$AR$210,1,(Time!AJ21-1)-2014),INDEX(Inputs!$J$212:$AR$212,1,(Time!AJ21-1)-2014))</f>
        <v>7.5</v>
      </c>
      <c r="AK15" s="11" t="n">
        <f aca="false">CHOOSE(Inputs!$F$33,INDEX(Inputs!$J$208:$AR$208,1,(Time!AK21-1)-2014),INDEX(Inputs!$J$210:$AR$210,1,(Time!AK21-1)-2014),INDEX(Inputs!$J$212:$AR$212,1,(Time!AK21-1)-2014))</f>
        <v>7.5</v>
      </c>
      <c r="AL15" s="11" t="n">
        <f aca="false">CHOOSE(Inputs!$F$33,INDEX(Inputs!$J$208:$AR$208,1,(Time!AL21-1)-2014),INDEX(Inputs!$J$210:$AR$210,1,(Time!AL21-1)-2014),INDEX(Inputs!$J$212:$AR$212,1,(Time!AL21-1)-2014))</f>
        <v>7.5</v>
      </c>
      <c r="AM15" s="11" t="n">
        <f aca="false">CHOOSE(Inputs!$F$33,INDEX(Inputs!$J$208:$AR$208,1,(Time!AM21-1)-2014),INDEX(Inputs!$J$210:$AR$210,1,(Time!AM21-1)-2014),INDEX(Inputs!$J$212:$AR$212,1,(Time!AM21-1)-2014))</f>
        <v>7.5</v>
      </c>
      <c r="AN15" s="11" t="n">
        <f aca="false">CHOOSE(Inputs!$F$33,INDEX(Inputs!$J$208:$AR$208,1,(Time!AN21-1)-2014),INDEX(Inputs!$J$210:$AR$210,1,(Time!AN21-1)-2014),INDEX(Inputs!$J$212:$AR$212,1,(Time!AN21-1)-2014))</f>
        <v>7.5</v>
      </c>
      <c r="AO15" s="11" t="n">
        <f aca="false">CHOOSE(Inputs!$F$33,INDEX(Inputs!$J$208:$AR$208,1,(Time!AO21-1)-2014),INDEX(Inputs!$J$210:$AR$210,1,(Time!AO21-1)-2014),INDEX(Inputs!$J$212:$AR$212,1,(Time!AO21-1)-2014))</f>
        <v>7.5</v>
      </c>
      <c r="AP15" s="11" t="n">
        <f aca="false">CHOOSE(Inputs!$F$33,INDEX(Inputs!$J$208:$AR$208,1,(Time!AP21-1)-2014),INDEX(Inputs!$J$210:$AR$210,1,(Time!AP21-1)-2014),INDEX(Inputs!$J$212:$AR$212,1,(Time!AP21-1)-2014))</f>
        <v>7.5</v>
      </c>
      <c r="AQ15" s="11" t="n">
        <f aca="false">CHOOSE(Inputs!$F$33,INDEX(Inputs!$J$208:$AR$208,1,(Time!AQ21-1)-2014),INDEX(Inputs!$J$210:$AR$210,1,(Time!AQ21-1)-2014),INDEX(Inputs!$J$212:$AR$212,1,(Time!AQ21-1)-2014))</f>
        <v>7.5</v>
      </c>
      <c r="AR15" s="11" t="n">
        <f aca="false">CHOOSE(Inputs!$F$33,INDEX(Inputs!$J$208:$AR$208,1,(Time!AR21-1)-2014),INDEX(Inputs!$J$210:$AR$210,1,(Time!AR21-1)-2014),INDEX(Inputs!$J$212:$AR$212,1,(Time!AR21-1)-2014))</f>
        <v>7.5</v>
      </c>
      <c r="AS15" s="11" t="n">
        <f aca="false">CHOOSE(Inputs!$F$33,INDEX(Inputs!$J$208:$AR$208,1,(Time!AS21-1)-2014),INDEX(Inputs!$J$210:$AR$210,1,(Time!AS21-1)-2014),INDEX(Inputs!$J$212:$AR$212,1,(Time!AS21-1)-2014))</f>
        <v>7.5</v>
      </c>
      <c r="AT15" s="11" t="n">
        <f aca="false">CHOOSE(Inputs!$F$33,INDEX(Inputs!$J$208:$AR$208,1,(Time!AT21-1)-2014),INDEX(Inputs!$J$210:$AR$210,1,(Time!AT21-1)-2014),INDEX(Inputs!$J$212:$AR$212,1,(Time!AT21-1)-2014))</f>
        <v>7.5</v>
      </c>
      <c r="AU15" s="11" t="n">
        <f aca="false">CHOOSE(Inputs!$F$33,INDEX(Inputs!$J$208:$AR$208,1,(Time!AU21-1)-2014),INDEX(Inputs!$J$210:$AR$210,1,(Time!AU21-1)-2014),INDEX(Inputs!$J$212:$AR$212,1,(Time!AU21-1)-2014))</f>
        <v>7.5</v>
      </c>
      <c r="AV15" s="11" t="n">
        <f aca="false">CHOOSE(Inputs!$F$33,INDEX(Inputs!$J$208:$AR$208,1,(Time!AV21-1)-2014),INDEX(Inputs!$J$210:$AR$210,1,(Time!AV21-1)-2014),INDEX(Inputs!$J$212:$AR$212,1,(Time!AV21-1)-2014))</f>
        <v>7.5</v>
      </c>
      <c r="AW15" s="11" t="n">
        <f aca="false">CHOOSE(Inputs!$F$33,INDEX(Inputs!$J$208:$AR$208,1,(Time!AW21-1)-2014),INDEX(Inputs!$J$210:$AR$210,1,(Time!AW21-1)-2014),INDEX(Inputs!$J$212:$AR$212,1,(Time!AW21-1)-2014))</f>
        <v>7.5</v>
      </c>
      <c r="AX15" s="11" t="n">
        <f aca="false">CHOOSE(Inputs!$F$33,INDEX(Inputs!$J$208:$AR$208,1,(Time!AX21-1)-2014),INDEX(Inputs!$J$210:$AR$210,1,(Time!AX21-1)-2014),INDEX(Inputs!$J$212:$AR$212,1,(Time!AX21-1)-2014))</f>
        <v>7.5</v>
      </c>
      <c r="AY15" s="11" t="n">
        <f aca="false">CHOOSE(Inputs!$F$33,INDEX(Inputs!$J$208:$AR$208,1,(Time!AY21-1)-2014),INDEX(Inputs!$J$210:$AR$210,1,(Time!AY21-1)-2014),INDEX(Inputs!$J$212:$AR$212,1,(Time!AY21-1)-2014))</f>
        <v>7.5</v>
      </c>
      <c r="AZ15" s="11" t="n">
        <f aca="false">CHOOSE(Inputs!$F$33,INDEX(Inputs!$J$208:$AR$208,1,(Time!AZ21-1)-2014),INDEX(Inputs!$J$210:$AR$210,1,(Time!AZ21-1)-2014),INDEX(Inputs!$J$212:$AR$212,1,(Time!AZ21-1)-2014))</f>
        <v>7.5</v>
      </c>
      <c r="BA15" s="11" t="n">
        <f aca="false">CHOOSE(Inputs!$F$33,INDEX(Inputs!$J$208:$AR$208,1,(Time!BA21-1)-2014),INDEX(Inputs!$J$210:$AR$210,1,(Time!BA21-1)-2014),INDEX(Inputs!$J$212:$AR$212,1,(Time!BA21-1)-2014))</f>
        <v>7.5</v>
      </c>
      <c r="BB15" s="11" t="n">
        <f aca="false">CHOOSE(Inputs!$F$33,INDEX(Inputs!$J$208:$AR$208,1,(Time!BB21-1)-2014),INDEX(Inputs!$J$210:$AR$210,1,(Time!BB21-1)-2014),INDEX(Inputs!$J$212:$AR$212,1,(Time!BB21-1)-2014))</f>
        <v>7.5</v>
      </c>
      <c r="BC15" s="11" t="n">
        <f aca="false">CHOOSE(Inputs!$F$33,INDEX(Inputs!$J$208:$AR$208,1,(Time!BC21-1)-2014),INDEX(Inputs!$J$210:$AR$210,1,(Time!BC21-1)-2014),INDEX(Inputs!$J$212:$AR$212,1,(Time!BC21-1)-2014))</f>
        <v>7.5</v>
      </c>
      <c r="BD15" s="11" t="n">
        <f aca="false">CHOOSE(Inputs!$F$33,INDEX(Inputs!$J$208:$AR$208,1,(Time!BD21-1)-2014),INDEX(Inputs!$J$210:$AR$210,1,(Time!BD21-1)-2014),INDEX(Inputs!$J$212:$AR$212,1,(Time!BD21-1)-2014))</f>
        <v>7.5</v>
      </c>
      <c r="BE15" s="11" t="n">
        <f aca="false">CHOOSE(Inputs!$F$33,INDEX(Inputs!$J$208:$AR$208,1,(Time!BE21-1)-2014),INDEX(Inputs!$J$210:$AR$210,1,(Time!BE21-1)-2014),INDEX(Inputs!$J$212:$AR$212,1,(Time!BE21-1)-2014))</f>
        <v>7.5</v>
      </c>
      <c r="BF15" s="11" t="n">
        <f aca="false">CHOOSE(Inputs!$F$33,INDEX(Inputs!$J$208:$AR$208,1,(Time!BF21-1)-2014),INDEX(Inputs!$J$210:$AR$210,1,(Time!BF21-1)-2014),INDEX(Inputs!$J$212:$AR$212,1,(Time!BF21-1)-2014))</f>
        <v>7.5</v>
      </c>
      <c r="BG15" s="11" t="n">
        <f aca="false">CHOOSE(Inputs!$F$33,INDEX(Inputs!$J$208:$AR$208,1,(Time!BG21-1)-2014),INDEX(Inputs!$J$210:$AR$210,1,(Time!BG21-1)-2014),INDEX(Inputs!$J$212:$AR$212,1,(Time!BG21-1)-2014))</f>
        <v>7.5</v>
      </c>
      <c r="BH15" s="11" t="n">
        <f aca="false">CHOOSE(Inputs!$F$33,INDEX(Inputs!$J$208:$AR$208,1,(Time!BH21-1)-2014),INDEX(Inputs!$J$210:$AR$210,1,(Time!BH21-1)-2014),INDEX(Inputs!$J$212:$AR$212,1,(Time!BH21-1)-2014))</f>
        <v>7.5</v>
      </c>
      <c r="BI15" s="11" t="n">
        <f aca="false">CHOOSE(Inputs!$F$33,INDEX(Inputs!$J$208:$AR$208,1,(Time!BI21-1)-2014),INDEX(Inputs!$J$210:$AR$210,1,(Time!BI21-1)-2014),INDEX(Inputs!$J$212:$AR$212,1,(Time!BI21-1)-2014))</f>
        <v>7.5</v>
      </c>
      <c r="BJ15" s="11" t="n">
        <f aca="false">CHOOSE(Inputs!$F$33,INDEX(Inputs!$J$208:$AR$208,1,(Time!BJ21-1)-2014),INDEX(Inputs!$J$210:$AR$210,1,(Time!BJ21-1)-2014),INDEX(Inputs!$J$212:$AR$212,1,(Time!BJ21-1)-2014))</f>
        <v>7.5</v>
      </c>
      <c r="BK15" s="11" t="n">
        <f aca="false">CHOOSE(Inputs!$F$33,INDEX(Inputs!$J$208:$AR$208,1,(Time!BK21-1)-2014),INDEX(Inputs!$J$210:$AR$210,1,(Time!BK21-1)-2014),INDEX(Inputs!$J$212:$AR$212,1,(Time!BK21-1)-2014))</f>
        <v>7.5</v>
      </c>
      <c r="BL15" s="11" t="n">
        <f aca="false">CHOOSE(Inputs!$F$33,INDEX(Inputs!$J$208:$AR$208,1,(Time!BL21-1)-2014),INDEX(Inputs!$J$210:$AR$210,1,(Time!BL21-1)-2014),INDEX(Inputs!$J$212:$AR$212,1,(Time!BL21-1)-2014))</f>
        <v>7.5</v>
      </c>
      <c r="BM15" s="11" t="n">
        <f aca="false">CHOOSE(Inputs!$F$33,INDEX(Inputs!$J$208:$AR$208,1,(Time!BM21-1)-2014),INDEX(Inputs!$J$210:$AR$210,1,(Time!BM21-1)-2014),INDEX(Inputs!$J$212:$AR$212,1,(Time!BM21-1)-2014))</f>
        <v>7.5</v>
      </c>
      <c r="BN15" s="11" t="n">
        <f aca="false">CHOOSE(Inputs!$F$33,INDEX(Inputs!$J$208:$AR$208,1,(Time!BN21-1)-2014),INDEX(Inputs!$J$210:$AR$210,1,(Time!BN21-1)-2014),INDEX(Inputs!$J$212:$AR$212,1,(Time!BN21-1)-2014))</f>
        <v>7.5</v>
      </c>
    </row>
    <row r="16" customFormat="false" ht="15" hidden="false" customHeight="false" outlineLevel="0" collapsed="false">
      <c r="D16" s="0" t="s">
        <v>467</v>
      </c>
      <c r="E16" s="0" t="s">
        <v>91</v>
      </c>
      <c r="F16" s="6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(6/12)</f>
        <v>103.328147613562</v>
      </c>
    </row>
    <row r="17" customFormat="false" ht="15" hidden="false" customHeight="false" outlineLevel="0" collapsed="false">
      <c r="D17" s="0" t="s">
        <v>468</v>
      </c>
      <c r="E17" s="0" t="s">
        <v>91</v>
      </c>
      <c r="J17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469</v>
      </c>
      <c r="E18" s="0" t="s">
        <v>91</v>
      </c>
      <c r="J18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470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471</v>
      </c>
      <c r="E20" s="0" t="s">
        <v>91</v>
      </c>
      <c r="F20" s="6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(6/12)</f>
        <v>112.922730143092</v>
      </c>
    </row>
    <row r="21" customFormat="false" ht="15" hidden="false" customHeight="false" outlineLevel="0" collapsed="false">
      <c r="D21" s="0" t="s">
        <v>472</v>
      </c>
      <c r="E21" s="0" t="s">
        <v>91</v>
      </c>
      <c r="J21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473</v>
      </c>
      <c r="E22" s="0" t="s">
        <v>91</v>
      </c>
      <c r="J22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474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475</v>
      </c>
    </row>
    <row r="25" customFormat="false" ht="15" hidden="false" customHeight="false" outlineLevel="0" collapsed="false">
      <c r="D25" s="0" t="s">
        <v>476</v>
      </c>
      <c r="E25" s="0" t="s">
        <v>477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1</v>
      </c>
      <c r="S25" s="9" t="n">
        <f aca="false">INT(Time!S27/12)+1</f>
        <v>2</v>
      </c>
      <c r="T25" s="9" t="n">
        <f aca="false">INT(Time!T27/12)+1</f>
        <v>2</v>
      </c>
      <c r="U25" s="9" t="n">
        <f aca="false">INT(Time!U27/12)+1</f>
        <v>3</v>
      </c>
      <c r="V25" s="9" t="n">
        <f aca="false">INT(Time!V27/12)+1</f>
        <v>3</v>
      </c>
      <c r="W25" s="9" t="n">
        <f aca="false">INT(Time!W27/12)+1</f>
        <v>4</v>
      </c>
      <c r="X25" s="9" t="n">
        <f aca="false">INT(Time!X27/12)+1</f>
        <v>4</v>
      </c>
      <c r="Y25" s="9" t="n">
        <f aca="false">INT(Time!Y27/12)+1</f>
        <v>5</v>
      </c>
      <c r="Z25" s="9" t="n">
        <f aca="false">INT(Time!Z27/12)+1</f>
        <v>5</v>
      </c>
      <c r="AA25" s="9" t="n">
        <f aca="false">INT(Time!AA27/12)+1</f>
        <v>6</v>
      </c>
      <c r="AB25" s="9" t="n">
        <f aca="false">INT(Time!AB27/12)+1</f>
        <v>6</v>
      </c>
      <c r="AC25" s="9" t="n">
        <f aca="false">INT(Time!AC27/12)+1</f>
        <v>7</v>
      </c>
      <c r="AD25" s="9" t="n">
        <f aca="false">INT(Time!AD27/12)+1</f>
        <v>7</v>
      </c>
      <c r="AE25" s="9" t="n">
        <f aca="false">INT(Time!AE27/12)+1</f>
        <v>8</v>
      </c>
      <c r="AF25" s="9" t="n">
        <f aca="false">INT(Time!AF27/12)+1</f>
        <v>8</v>
      </c>
      <c r="AG25" s="9" t="n">
        <f aca="false">INT(Time!AG27/12)+1</f>
        <v>9</v>
      </c>
      <c r="AH25" s="9" t="n">
        <f aca="false">INT(Time!AH27/12)+1</f>
        <v>9</v>
      </c>
      <c r="AI25" s="9" t="n">
        <f aca="false">INT(Time!AI27/12)+1</f>
        <v>10</v>
      </c>
      <c r="AJ25" s="9" t="n">
        <f aca="false">INT(Time!AJ27/12)+1</f>
        <v>10</v>
      </c>
      <c r="AK25" s="9" t="n">
        <f aca="false">INT(Time!AK27/12)+1</f>
        <v>11</v>
      </c>
      <c r="AL25" s="9" t="n">
        <f aca="false">INT(Time!AL27/12)+1</f>
        <v>11</v>
      </c>
      <c r="AM25" s="9" t="n">
        <f aca="false">INT(Time!AM27/12)+1</f>
        <v>12</v>
      </c>
      <c r="AN25" s="9" t="n">
        <f aca="false">INT(Time!AN27/12)+1</f>
        <v>12</v>
      </c>
      <c r="AO25" s="9" t="n">
        <f aca="false">INT(Time!AO27/12)+1</f>
        <v>13</v>
      </c>
      <c r="AP25" s="9" t="n">
        <f aca="false">INT(Time!AP27/12)+1</f>
        <v>13</v>
      </c>
      <c r="AQ25" s="9" t="n">
        <f aca="false">INT(Time!AQ27/12)+1</f>
        <v>14</v>
      </c>
      <c r="AR25" s="9" t="n">
        <f aca="false">INT(Time!AR27/12)+1</f>
        <v>14</v>
      </c>
      <c r="AS25" s="9" t="n">
        <f aca="false">INT(Time!AS27/12)+1</f>
        <v>15</v>
      </c>
      <c r="AT25" s="9" t="n">
        <f aca="false">INT(Time!AT27/12)+1</f>
        <v>15</v>
      </c>
      <c r="AU25" s="9" t="n">
        <f aca="false">INT(Time!AU27/12)+1</f>
        <v>16</v>
      </c>
      <c r="AV25" s="9" t="n">
        <f aca="false">INT(Time!AV27/12)+1</f>
        <v>16</v>
      </c>
      <c r="AW25" s="9" t="n">
        <f aca="false">INT(Time!AW27/12)+1</f>
        <v>17</v>
      </c>
      <c r="AX25" s="9" t="n">
        <f aca="false">INT(Time!AX27/12)+1</f>
        <v>17</v>
      </c>
      <c r="AY25" s="9" t="n">
        <f aca="false">INT(Time!AY27/12)+1</f>
        <v>18</v>
      </c>
      <c r="AZ25" s="9" t="n">
        <f aca="false">INT(Time!AZ27/12)+1</f>
        <v>18</v>
      </c>
      <c r="BA25" s="9" t="n">
        <f aca="false">INT(Time!BA27/12)+1</f>
        <v>19</v>
      </c>
      <c r="BB25" s="9" t="n">
        <f aca="false">INT(Time!BB27/12)+1</f>
        <v>19</v>
      </c>
      <c r="BC25" s="9" t="n">
        <f aca="false">INT(Time!BC27/12)+1</f>
        <v>20</v>
      </c>
      <c r="BD25" s="9" t="n">
        <f aca="false">INT(Time!BD27/12)+1</f>
        <v>20</v>
      </c>
      <c r="BE25" s="9" t="n">
        <f aca="false">INT(Time!BE27/12)+1</f>
        <v>21</v>
      </c>
      <c r="BF25" s="9" t="n">
        <f aca="false">INT(Time!BF27/12)+1</f>
        <v>21</v>
      </c>
      <c r="BG25" s="9" t="n">
        <f aca="false">INT(Time!BG27/12)+1</f>
        <v>22</v>
      </c>
      <c r="BH25" s="9" t="n">
        <f aca="false">INT(Time!BH27/12)+1</f>
        <v>22</v>
      </c>
      <c r="BI25" s="9" t="n">
        <f aca="false">INT(Time!BI27/12)+1</f>
        <v>23</v>
      </c>
      <c r="BJ25" s="9" t="n">
        <f aca="false">INT(Time!BJ27/12)+1</f>
        <v>23</v>
      </c>
      <c r="BK25" s="9" t="n">
        <f aca="false">INT(Time!BK27/12)+1</f>
        <v>24</v>
      </c>
      <c r="BL25" s="9" t="n">
        <f aca="false">INT(Time!BL27/12)+1</f>
        <v>24</v>
      </c>
      <c r="BM25" s="9" t="n">
        <f aca="false">INT(Time!BM27/12)+1</f>
        <v>25</v>
      </c>
      <c r="BN25" s="9" t="n">
        <f aca="false">INT(Time!BN27/12)+1</f>
        <v>25</v>
      </c>
    </row>
    <row r="26" customFormat="false" ht="15" hidden="false" customHeight="false" outlineLevel="0" collapsed="false">
      <c r="D26" s="0" t="s">
        <v>478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0</v>
      </c>
      <c r="P26" s="9" t="n">
        <f aca="false">MIN(Time!P28,P25*12)-Time!P27</f>
        <v>2</v>
      </c>
      <c r="Q26" s="9" t="n">
        <f aca="false">MIN(Time!Q28,Q25*12)-Time!Q27</f>
        <v>6</v>
      </c>
      <c r="R26" s="9" t="n">
        <f aca="false">MIN(Time!R28,R25*12)-Time!R27</f>
        <v>4</v>
      </c>
      <c r="S26" s="9" t="n">
        <f aca="false">MIN(Time!S28,S25*12)-Time!S27</f>
        <v>6</v>
      </c>
      <c r="T26" s="9" t="n">
        <f aca="false">MIN(Time!T28,T25*12)-Time!T27</f>
        <v>4</v>
      </c>
      <c r="U26" s="9" t="n">
        <f aca="false">MIN(Time!U28,U25*12)-Time!U27</f>
        <v>6</v>
      </c>
      <c r="V26" s="9" t="n">
        <f aca="false">MIN(Time!V28,V25*12)-Time!V27</f>
        <v>4</v>
      </c>
      <c r="W26" s="9" t="n">
        <f aca="false">MIN(Time!W28,W25*12)-Time!W27</f>
        <v>6</v>
      </c>
      <c r="X26" s="9" t="n">
        <f aca="false">MIN(Time!X28,X25*12)-Time!X27</f>
        <v>4</v>
      </c>
      <c r="Y26" s="9" t="n">
        <f aca="false">MIN(Time!Y28,Y25*12)-Time!Y27</f>
        <v>6</v>
      </c>
      <c r="Z26" s="9" t="n">
        <f aca="false">MIN(Time!Z28,Z25*12)-Time!Z27</f>
        <v>4</v>
      </c>
      <c r="AA26" s="9" t="n">
        <f aca="false">MIN(Time!AA28,AA25*12)-Time!AA27</f>
        <v>6</v>
      </c>
      <c r="AB26" s="9" t="n">
        <f aca="false">MIN(Time!AB28,AB25*12)-Time!AB27</f>
        <v>4</v>
      </c>
      <c r="AC26" s="9" t="n">
        <f aca="false">MIN(Time!AC28,AC25*12)-Time!AC27</f>
        <v>6</v>
      </c>
      <c r="AD26" s="9" t="n">
        <f aca="false">MIN(Time!AD28,AD25*12)-Time!AD27</f>
        <v>4</v>
      </c>
      <c r="AE26" s="9" t="n">
        <f aca="false">MIN(Time!AE28,AE25*12)-Time!AE27</f>
        <v>6</v>
      </c>
      <c r="AF26" s="9" t="n">
        <f aca="false">MIN(Time!AF28,AF25*12)-Time!AF27</f>
        <v>4</v>
      </c>
      <c r="AG26" s="9" t="n">
        <f aca="false">MIN(Time!AG28,AG25*12)-Time!AG27</f>
        <v>6</v>
      </c>
      <c r="AH26" s="9" t="n">
        <f aca="false">MIN(Time!AH28,AH25*12)-Time!AH27</f>
        <v>4</v>
      </c>
      <c r="AI26" s="9" t="n">
        <f aca="false">MIN(Time!AI28,AI25*12)-Time!AI27</f>
        <v>6</v>
      </c>
      <c r="AJ26" s="9" t="n">
        <f aca="false">MIN(Time!AJ28,AJ25*12)-Time!AJ27</f>
        <v>4</v>
      </c>
      <c r="AK26" s="9" t="n">
        <f aca="false">MIN(Time!AK28,AK25*12)-Time!AK27</f>
        <v>6</v>
      </c>
      <c r="AL26" s="9" t="n">
        <f aca="false">MIN(Time!AL28,AL25*12)-Time!AL27</f>
        <v>4</v>
      </c>
      <c r="AM26" s="9" t="n">
        <f aca="false">MIN(Time!AM28,AM25*12)-Time!AM27</f>
        <v>6</v>
      </c>
      <c r="AN26" s="9" t="n">
        <f aca="false">MIN(Time!AN28,AN25*12)-Time!AN27</f>
        <v>4</v>
      </c>
      <c r="AO26" s="9" t="n">
        <f aca="false">MIN(Time!AO28,AO25*12)-Time!AO27</f>
        <v>6</v>
      </c>
      <c r="AP26" s="9" t="n">
        <f aca="false">MIN(Time!AP28,AP25*12)-Time!AP27</f>
        <v>4</v>
      </c>
      <c r="AQ26" s="9" t="n">
        <f aca="false">MIN(Time!AQ28,AQ25*12)-Time!AQ27</f>
        <v>6</v>
      </c>
      <c r="AR26" s="9" t="n">
        <f aca="false">MIN(Time!AR28,AR25*12)-Time!AR27</f>
        <v>4</v>
      </c>
      <c r="AS26" s="9" t="n">
        <f aca="false">MIN(Time!AS28,AS25*12)-Time!AS27</f>
        <v>6</v>
      </c>
      <c r="AT26" s="9" t="n">
        <f aca="false">MIN(Time!AT28,AT25*12)-Time!AT27</f>
        <v>4</v>
      </c>
      <c r="AU26" s="9" t="n">
        <f aca="false">MIN(Time!AU28,AU25*12)-Time!AU27</f>
        <v>6</v>
      </c>
      <c r="AV26" s="9" t="n">
        <f aca="false">MIN(Time!AV28,AV25*12)-Time!AV27</f>
        <v>4</v>
      </c>
      <c r="AW26" s="9" t="n">
        <f aca="false">MIN(Time!AW28,AW25*12)-Time!AW27</f>
        <v>6</v>
      </c>
      <c r="AX26" s="9" t="n">
        <f aca="false">MIN(Time!AX28,AX25*12)-Time!AX27</f>
        <v>4</v>
      </c>
      <c r="AY26" s="9" t="n">
        <f aca="false">MIN(Time!AY28,AY25*12)-Time!AY27</f>
        <v>6</v>
      </c>
      <c r="AZ26" s="9" t="n">
        <f aca="false">MIN(Time!AZ28,AZ25*12)-Time!AZ27</f>
        <v>4</v>
      </c>
      <c r="BA26" s="9" t="n">
        <f aca="false">MIN(Time!BA28,BA25*12)-Time!BA27</f>
        <v>6</v>
      </c>
      <c r="BB26" s="9" t="n">
        <f aca="false">MIN(Time!BB28,BB25*12)-Time!BB27</f>
        <v>4</v>
      </c>
      <c r="BC26" s="9" t="n">
        <f aca="false">MIN(Time!BC28,BC25*12)-Time!BC27</f>
        <v>6</v>
      </c>
      <c r="BD26" s="9" t="n">
        <f aca="false">MIN(Time!BD28,BD25*12)-Time!BD27</f>
        <v>4</v>
      </c>
      <c r="BE26" s="9" t="n">
        <f aca="false">MIN(Time!BE28,BE25*12)-Time!BE27</f>
        <v>6</v>
      </c>
      <c r="BF26" s="9" t="n">
        <f aca="false">MIN(Time!BF28,BF25*12)-Time!BF27</f>
        <v>4</v>
      </c>
      <c r="BG26" s="9" t="n">
        <f aca="false">MIN(Time!BG28,BG25*12)-Time!BG27</f>
        <v>6</v>
      </c>
      <c r="BH26" s="9" t="n">
        <f aca="false">MIN(Time!BH28,BH25*12)-Time!BH27</f>
        <v>4</v>
      </c>
      <c r="BI26" s="9" t="n">
        <f aca="false">MIN(Time!BI28,BI25*12)-Time!BI27</f>
        <v>6</v>
      </c>
      <c r="BJ26" s="9" t="n">
        <f aca="false">MIN(Time!BJ28,BJ25*12)-Time!BJ27</f>
        <v>4</v>
      </c>
      <c r="BK26" s="9" t="n">
        <f aca="false">MIN(Time!BK28,BK25*12)-Time!BK27</f>
        <v>6</v>
      </c>
      <c r="BL26" s="9" t="n">
        <f aca="false">MIN(Time!BL28,BL25*12)-Time!BL27</f>
        <v>4</v>
      </c>
      <c r="BM26" s="9" t="n">
        <f aca="false">MIN(Time!BM28,BM25*12)-Time!BM27</f>
        <v>6</v>
      </c>
      <c r="BN26" s="9" t="n">
        <f aca="false">MIN(Time!BN28,BN25*12)-Time!BN27</f>
        <v>4</v>
      </c>
    </row>
    <row r="27" customFormat="false" ht="15" hidden="false" customHeight="false" outlineLevel="0" collapsed="false">
      <c r="D27" s="0" t="s">
        <v>479</v>
      </c>
      <c r="E27" s="0" t="s">
        <v>103</v>
      </c>
      <c r="J27" s="11" t="n">
        <f aca="false">IF(Time!J25&gt;0,(J26*INDEX(Inputs!$J$226:$Q$226,1,MOD(J25-1,8)+1)+(Time!J25-J26)*INDEX(Inputs!$J$226:$Q$226,1,MOD(J25,8)+1))/Time!J25,0)</f>
        <v>0</v>
      </c>
      <c r="K27" s="11" t="n">
        <f aca="false">IF(Time!K25&gt;0,(K26*INDEX(Inputs!$J$226:$Q$226,1,MOD(K25-1,8)+1)+(Time!K25-K26)*INDEX(Inputs!$J$226:$Q$226,1,MOD(K25,8)+1))/Time!K25,0)</f>
        <v>0</v>
      </c>
      <c r="L27" s="11" t="n">
        <f aca="false">IF(Time!L25&gt;0,(L26*INDEX(Inputs!$J$226:$Q$226,1,MOD(L25-1,8)+1)+(Time!L25-L26)*INDEX(Inputs!$J$226:$Q$226,1,MOD(L25,8)+1))/Time!L25,0)</f>
        <v>0</v>
      </c>
      <c r="M27" s="11" t="n">
        <f aca="false">IF(Time!M25&gt;0,(M26*INDEX(Inputs!$J$226:$Q$226,1,MOD(M25-1,8)+1)+(Time!M25-M26)*INDEX(Inputs!$J$226:$Q$226,1,MOD(M25,8)+1))/Time!M25,0)</f>
        <v>0</v>
      </c>
      <c r="N27" s="11" t="n">
        <f aca="false">IF(Time!N25&gt;0,(N26*INDEX(Inputs!$J$226:$Q$226,1,MOD(N25-1,8)+1)+(Time!N25-N26)*INDEX(Inputs!$J$226:$Q$226,1,MOD(N25,8)+1))/Time!N25,0)</f>
        <v>0</v>
      </c>
      <c r="O27" s="11" t="n">
        <f aca="false">IF(Time!O25&gt;0,(O26*INDEX(Inputs!$J$226:$Q$226,1,MOD(O25-1,8)+1)+(Time!O25-O26)*INDEX(Inputs!$J$226:$Q$226,1,MOD(O25,8)+1))/Time!O25,0)</f>
        <v>0</v>
      </c>
      <c r="P27" s="11" t="n">
        <f aca="false">IF(Time!P25&gt;0,(P26*INDEX(Inputs!$J$226:$Q$226,1,MOD(P25-1,8)+1)+(Time!P25-P26)*INDEX(Inputs!$J$226:$Q$226,1,MOD(P25,8)+1))/Time!P25,0)</f>
        <v>93.8</v>
      </c>
      <c r="Q27" s="11" t="n">
        <f aca="false">IF(Time!Q25&gt;0,(Q26*INDEX(Inputs!$J$226:$Q$226,1,MOD(Q25-1,8)+1)+(Time!Q25-Q26)*INDEX(Inputs!$J$226:$Q$226,1,MOD(Q25,8)+1))/Time!Q25,0)</f>
        <v>93.8</v>
      </c>
      <c r="R27" s="11" t="n">
        <f aca="false">IF(Time!R25&gt;0,(R26*INDEX(Inputs!$J$226:$Q$226,1,MOD(R25-1,8)+1)+(Time!R25-R26)*INDEX(Inputs!$J$226:$Q$226,1,MOD(R25,8)+1))/Time!R25,0)</f>
        <v>93.5</v>
      </c>
      <c r="S27" s="11" t="n">
        <f aca="false">IF(Time!S25&gt;0,(S26*INDEX(Inputs!$J$226:$Q$226,1,MOD(S25-1,8)+1)+(Time!S25-S26)*INDEX(Inputs!$J$226:$Q$226,1,MOD(S25,8)+1))/Time!S25,0)</f>
        <v>92.9</v>
      </c>
      <c r="T27" s="11" t="n">
        <f aca="false">IF(Time!T25&gt;0,(T26*INDEX(Inputs!$J$226:$Q$226,1,MOD(T25-1,8)+1)+(Time!T25-T26)*INDEX(Inputs!$J$226:$Q$226,1,MOD(T25,8)+1))/Time!T25,0)</f>
        <v>93.2</v>
      </c>
      <c r="U27" s="11" t="n">
        <f aca="false">IF(Time!U25&gt;0,(U26*INDEX(Inputs!$J$226:$Q$226,1,MOD(U25-1,8)+1)+(Time!U25-U26)*INDEX(Inputs!$J$226:$Q$226,1,MOD(U25,8)+1))/Time!U25,0)</f>
        <v>93.8</v>
      </c>
      <c r="V27" s="11" t="n">
        <f aca="false">IF(Time!V25&gt;0,(V26*INDEX(Inputs!$J$226:$Q$226,1,MOD(V25-1,8)+1)+(Time!V25-V26)*INDEX(Inputs!$J$226:$Q$226,1,MOD(V25,8)+1))/Time!V25,0)</f>
        <v>92.7333333333333</v>
      </c>
      <c r="W27" s="11" t="n">
        <f aca="false">IF(Time!W25&gt;0,(W26*INDEX(Inputs!$J$226:$Q$226,1,MOD(W25-1,8)+1)+(Time!W25-W26)*INDEX(Inputs!$J$226:$Q$226,1,MOD(W25,8)+1))/Time!W25,0)</f>
        <v>90.6</v>
      </c>
      <c r="X27" s="11" t="n">
        <f aca="false">IF(Time!X25&gt;0,(X26*INDEX(Inputs!$J$226:$Q$226,1,MOD(X25-1,8)+1)+(Time!X25-X26)*INDEX(Inputs!$J$226:$Q$226,1,MOD(X25,8)+1))/Time!X25,0)</f>
        <v>91.6666666666667</v>
      </c>
      <c r="Y27" s="11" t="n">
        <f aca="false">IF(Time!Y25&gt;0,(Y26*INDEX(Inputs!$J$226:$Q$226,1,MOD(Y25-1,8)+1)+(Time!Y25-Y26)*INDEX(Inputs!$J$226:$Q$226,1,MOD(Y25,8)+1))/Time!Y25,0)</f>
        <v>93.8</v>
      </c>
      <c r="Z27" s="11" t="n">
        <f aca="false">IF(Time!Z25&gt;0,(Z26*INDEX(Inputs!$J$226:$Q$226,1,MOD(Z25-1,8)+1)+(Time!Z25-Z26)*INDEX(Inputs!$J$226:$Q$226,1,MOD(Z25,8)+1))/Time!Z25,0)</f>
        <v>93.5</v>
      </c>
      <c r="AA27" s="11" t="n">
        <f aca="false">IF(Time!AA25&gt;0,(AA26*INDEX(Inputs!$J$226:$Q$226,1,MOD(AA25-1,8)+1)+(Time!AA25-AA26)*INDEX(Inputs!$J$226:$Q$226,1,MOD(AA25,8)+1))/Time!AA25,0)</f>
        <v>92.9</v>
      </c>
      <c r="AB27" s="11" t="n">
        <f aca="false">IF(Time!AB25&gt;0,(AB26*INDEX(Inputs!$J$226:$Q$226,1,MOD(AB25-1,8)+1)+(Time!AB25-AB26)*INDEX(Inputs!$J$226:$Q$226,1,MOD(AB25,8)+1))/Time!AB25,0)</f>
        <v>93.2</v>
      </c>
      <c r="AC27" s="11" t="n">
        <f aca="false">IF(Time!AC25&gt;0,(AC26*INDEX(Inputs!$J$226:$Q$226,1,MOD(AC25-1,8)+1)+(Time!AC25-AC26)*INDEX(Inputs!$J$226:$Q$226,1,MOD(AC25,8)+1))/Time!AC25,0)</f>
        <v>93.8</v>
      </c>
      <c r="AD27" s="11" t="n">
        <f aca="false">IF(Time!AD25&gt;0,(AD26*INDEX(Inputs!$J$226:$Q$226,1,MOD(AD25-1,8)+1)+(Time!AD25-AD26)*INDEX(Inputs!$J$226:$Q$226,1,MOD(AD25,8)+1))/Time!AD25,0)</f>
        <v>92.1</v>
      </c>
      <c r="AE27" s="11" t="n">
        <f aca="false">IF(Time!AE25&gt;0,(AE26*INDEX(Inputs!$J$226:$Q$226,1,MOD(AE25-1,8)+1)+(Time!AE25-AE26)*INDEX(Inputs!$J$226:$Q$226,1,MOD(AE25,8)+1))/Time!AE25,0)</f>
        <v>88.7</v>
      </c>
      <c r="AF27" s="11" t="n">
        <f aca="false">IF(Time!AF25&gt;0,(AF26*INDEX(Inputs!$J$226:$Q$226,1,MOD(AF25-1,8)+1)+(Time!AF25-AF26)*INDEX(Inputs!$J$226:$Q$226,1,MOD(AF25,8)+1))/Time!AF25,0)</f>
        <v>90.4</v>
      </c>
      <c r="AG27" s="11" t="n">
        <f aca="false">IF(Time!AG25&gt;0,(AG26*INDEX(Inputs!$J$226:$Q$226,1,MOD(AG25-1,8)+1)+(Time!AG25-AG26)*INDEX(Inputs!$J$226:$Q$226,1,MOD(AG25,8)+1))/Time!AG25,0)</f>
        <v>93.8</v>
      </c>
      <c r="AH27" s="11" t="n">
        <f aca="false">IF(Time!AH25&gt;0,(AH26*INDEX(Inputs!$J$226:$Q$226,1,MOD(AH25-1,8)+1)+(Time!AH25-AH26)*INDEX(Inputs!$J$226:$Q$226,1,MOD(AH25,8)+1))/Time!AH25,0)</f>
        <v>93.5</v>
      </c>
      <c r="AI27" s="11" t="n">
        <f aca="false">IF(Time!AI25&gt;0,(AI26*INDEX(Inputs!$J$226:$Q$226,1,MOD(AI25-1,8)+1)+(Time!AI25-AI26)*INDEX(Inputs!$J$226:$Q$226,1,MOD(AI25,8)+1))/Time!AI25,0)</f>
        <v>92.9</v>
      </c>
      <c r="AJ27" s="11" t="n">
        <f aca="false">IF(Time!AJ25&gt;0,(AJ26*INDEX(Inputs!$J$226:$Q$226,1,MOD(AJ25-1,8)+1)+(Time!AJ25-AJ26)*INDEX(Inputs!$J$226:$Q$226,1,MOD(AJ25,8)+1))/Time!AJ25,0)</f>
        <v>93.2</v>
      </c>
      <c r="AK27" s="11" t="n">
        <f aca="false">IF(Time!AK25&gt;0,(AK26*INDEX(Inputs!$J$226:$Q$226,1,MOD(AK25-1,8)+1)+(Time!AK25-AK26)*INDEX(Inputs!$J$226:$Q$226,1,MOD(AK25,8)+1))/Time!AK25,0)</f>
        <v>93.8</v>
      </c>
      <c r="AL27" s="11" t="n">
        <f aca="false">IF(Time!AL25&gt;0,(AL26*INDEX(Inputs!$J$226:$Q$226,1,MOD(AL25-1,8)+1)+(Time!AL25-AL26)*INDEX(Inputs!$J$226:$Q$226,1,MOD(AL25,8)+1))/Time!AL25,0)</f>
        <v>92.7333333333333</v>
      </c>
      <c r="AM27" s="11" t="n">
        <f aca="false">IF(Time!AM25&gt;0,(AM26*INDEX(Inputs!$J$226:$Q$226,1,MOD(AM25-1,8)+1)+(Time!AM25-AM26)*INDEX(Inputs!$J$226:$Q$226,1,MOD(AM25,8)+1))/Time!AM25,0)</f>
        <v>90.6</v>
      </c>
      <c r="AN27" s="11" t="n">
        <f aca="false">IF(Time!AN25&gt;0,(AN26*INDEX(Inputs!$J$226:$Q$226,1,MOD(AN25-1,8)+1)+(Time!AN25-AN26)*INDEX(Inputs!$J$226:$Q$226,1,MOD(AN25,8)+1))/Time!AN25,0)</f>
        <v>91.6666666666667</v>
      </c>
      <c r="AO27" s="11" t="n">
        <f aca="false">IF(Time!AO25&gt;0,(AO26*INDEX(Inputs!$J$226:$Q$226,1,MOD(AO25-1,8)+1)+(Time!AO25-AO26)*INDEX(Inputs!$J$226:$Q$226,1,MOD(AO25,8)+1))/Time!AO25,0)</f>
        <v>93.8</v>
      </c>
      <c r="AP27" s="11" t="n">
        <f aca="false">IF(Time!AP25&gt;0,(AP26*INDEX(Inputs!$J$226:$Q$226,1,MOD(AP25-1,8)+1)+(Time!AP25-AP26)*INDEX(Inputs!$J$226:$Q$226,1,MOD(AP25,8)+1))/Time!AP25,0)</f>
        <v>93.5</v>
      </c>
      <c r="AQ27" s="11" t="n">
        <f aca="false">IF(Time!AQ25&gt;0,(AQ26*INDEX(Inputs!$J$226:$Q$226,1,MOD(AQ25-1,8)+1)+(Time!AQ25-AQ26)*INDEX(Inputs!$J$226:$Q$226,1,MOD(AQ25,8)+1))/Time!AQ25,0)</f>
        <v>92.9</v>
      </c>
      <c r="AR27" s="11" t="n">
        <f aca="false">IF(Time!AR25&gt;0,(AR26*INDEX(Inputs!$J$226:$Q$226,1,MOD(AR25-1,8)+1)+(Time!AR25-AR26)*INDEX(Inputs!$J$226:$Q$226,1,MOD(AR25,8)+1))/Time!AR25,0)</f>
        <v>93.2</v>
      </c>
      <c r="AS27" s="11" t="n">
        <f aca="false">IF(Time!AS25&gt;0,(AS26*INDEX(Inputs!$J$226:$Q$226,1,MOD(AS25-1,8)+1)+(Time!AS25-AS26)*INDEX(Inputs!$J$226:$Q$226,1,MOD(AS25,8)+1))/Time!AS25,0)</f>
        <v>93.8</v>
      </c>
      <c r="AT27" s="11" t="n">
        <f aca="false">IF(Time!AT25&gt;0,(AT26*INDEX(Inputs!$J$226:$Q$226,1,MOD(AT25-1,8)+1)+(Time!AT25-AT26)*INDEX(Inputs!$J$226:$Q$226,1,MOD(AT25,8)+1))/Time!AT25,0)</f>
        <v>92.1</v>
      </c>
      <c r="AU27" s="11" t="n">
        <f aca="false">IF(Time!AU25&gt;0,(AU26*INDEX(Inputs!$J$226:$Q$226,1,MOD(AU25-1,8)+1)+(Time!AU25-AU26)*INDEX(Inputs!$J$226:$Q$226,1,MOD(AU25,8)+1))/Time!AU25,0)</f>
        <v>88.7</v>
      </c>
      <c r="AV27" s="11" t="n">
        <f aca="false">IF(Time!AV25&gt;0,(AV26*INDEX(Inputs!$J$226:$Q$226,1,MOD(AV25-1,8)+1)+(Time!AV25-AV26)*INDEX(Inputs!$J$226:$Q$226,1,MOD(AV25,8)+1))/Time!AV25,0)</f>
        <v>90.4</v>
      </c>
      <c r="AW27" s="11" t="n">
        <f aca="false">IF(Time!AW25&gt;0,(AW26*INDEX(Inputs!$J$226:$Q$226,1,MOD(AW25-1,8)+1)+(Time!AW25-AW26)*INDEX(Inputs!$J$226:$Q$226,1,MOD(AW25,8)+1))/Time!AW25,0)</f>
        <v>93.8</v>
      </c>
      <c r="AX27" s="11" t="n">
        <f aca="false">IF(Time!AX25&gt;0,(AX26*INDEX(Inputs!$J$226:$Q$226,1,MOD(AX25-1,8)+1)+(Time!AX25-AX26)*INDEX(Inputs!$J$226:$Q$226,1,MOD(AX25,8)+1))/Time!AX25,0)</f>
        <v>93.5</v>
      </c>
      <c r="AY27" s="11" t="n">
        <f aca="false">IF(Time!AY25&gt;0,(AY26*INDEX(Inputs!$J$226:$Q$226,1,MOD(AY25-1,8)+1)+(Time!AY25-AY26)*INDEX(Inputs!$J$226:$Q$226,1,MOD(AY25,8)+1))/Time!AY25,0)</f>
        <v>92.9</v>
      </c>
      <c r="AZ27" s="11" t="n">
        <f aca="false">IF(Time!AZ25&gt;0,(AZ26*INDEX(Inputs!$J$226:$Q$226,1,MOD(AZ25-1,8)+1)+(Time!AZ25-AZ26)*INDEX(Inputs!$J$226:$Q$226,1,MOD(AZ25,8)+1))/Time!AZ25,0)</f>
        <v>93.2</v>
      </c>
      <c r="BA27" s="11" t="n">
        <f aca="false">IF(Time!BA25&gt;0,(BA26*INDEX(Inputs!$J$226:$Q$226,1,MOD(BA25-1,8)+1)+(Time!BA25-BA26)*INDEX(Inputs!$J$226:$Q$226,1,MOD(BA25,8)+1))/Time!BA25,0)</f>
        <v>93.8</v>
      </c>
      <c r="BB27" s="11" t="n">
        <f aca="false">IF(Time!BB25&gt;0,(BB26*INDEX(Inputs!$J$226:$Q$226,1,MOD(BB25-1,8)+1)+(Time!BB25-BB26)*INDEX(Inputs!$J$226:$Q$226,1,MOD(BB25,8)+1))/Time!BB25,0)</f>
        <v>92.7333333333333</v>
      </c>
      <c r="BC27" s="11" t="n">
        <f aca="false">IF(Time!BC25&gt;0,(BC26*INDEX(Inputs!$J$226:$Q$226,1,MOD(BC25-1,8)+1)+(Time!BC25-BC26)*INDEX(Inputs!$J$226:$Q$226,1,MOD(BC25,8)+1))/Time!BC25,0)</f>
        <v>90.6</v>
      </c>
      <c r="BD27" s="11" t="n">
        <f aca="false">IF(Time!BD25&gt;0,(BD26*INDEX(Inputs!$J$226:$Q$226,1,MOD(BD25-1,8)+1)+(Time!BD25-BD26)*INDEX(Inputs!$J$226:$Q$226,1,MOD(BD25,8)+1))/Time!BD25,0)</f>
        <v>91.6666666666667</v>
      </c>
      <c r="BE27" s="11" t="n">
        <f aca="false">IF(Time!BE25&gt;0,(BE26*INDEX(Inputs!$J$226:$Q$226,1,MOD(BE25-1,8)+1)+(Time!BE25-BE26)*INDEX(Inputs!$J$226:$Q$226,1,MOD(BE25,8)+1))/Time!BE25,0)</f>
        <v>93.8</v>
      </c>
      <c r="BF27" s="11" t="n">
        <f aca="false">IF(Time!BF25&gt;0,(BF26*INDEX(Inputs!$J$226:$Q$226,1,MOD(BF25-1,8)+1)+(Time!BF25-BF26)*INDEX(Inputs!$J$226:$Q$226,1,MOD(BF25,8)+1))/Time!BF25,0)</f>
        <v>93.5</v>
      </c>
      <c r="BG27" s="11" t="n">
        <f aca="false">IF(Time!BG25&gt;0,(BG26*INDEX(Inputs!$J$226:$Q$226,1,MOD(BG25-1,8)+1)+(Time!BG25-BG26)*INDEX(Inputs!$J$226:$Q$226,1,MOD(BG25,8)+1))/Time!BG25,0)</f>
        <v>92.9</v>
      </c>
      <c r="BH27" s="11" t="n">
        <f aca="false">IF(Time!BH25&gt;0,(BH26*INDEX(Inputs!$J$226:$Q$226,1,MOD(BH25-1,8)+1)+(Time!BH25-BH26)*INDEX(Inputs!$J$226:$Q$226,1,MOD(BH25,8)+1))/Time!BH25,0)</f>
        <v>93.2</v>
      </c>
      <c r="BI27" s="11" t="n">
        <f aca="false">IF(Time!BI25&gt;0,(BI26*INDEX(Inputs!$J$226:$Q$226,1,MOD(BI25-1,8)+1)+(Time!BI25-BI26)*INDEX(Inputs!$J$226:$Q$226,1,MOD(BI25,8)+1))/Time!BI25,0)</f>
        <v>93.8</v>
      </c>
      <c r="BJ27" s="11" t="n">
        <f aca="false">IF(Time!BJ25&gt;0,(BJ26*INDEX(Inputs!$J$226:$Q$226,1,MOD(BJ25-1,8)+1)+(Time!BJ25-BJ26)*INDEX(Inputs!$J$226:$Q$226,1,MOD(BJ25,8)+1))/Time!BJ25,0)</f>
        <v>92.1</v>
      </c>
      <c r="BK27" s="11" t="n">
        <f aca="false">IF(Time!BK25&gt;0,(BK26*INDEX(Inputs!$J$226:$Q$226,1,MOD(BK25-1,8)+1)+(Time!BK25-BK26)*INDEX(Inputs!$J$226:$Q$226,1,MOD(BK25,8)+1))/Time!BK25,0)</f>
        <v>88.7</v>
      </c>
      <c r="BL27" s="11" t="n">
        <f aca="false">IF(Time!BL25&gt;0,(BL26*INDEX(Inputs!$J$226:$Q$226,1,MOD(BL25-1,8)+1)+(Time!BL25-BL26)*INDEX(Inputs!$J$226:$Q$226,1,MOD(BL25,8)+1))/Time!BL25,0)</f>
        <v>90.4</v>
      </c>
      <c r="BM27" s="11" t="n">
        <f aca="false">IF(Time!BM25&gt;0,(BM26*INDEX(Inputs!$J$226:$Q$226,1,MOD(BM25-1,8)+1)+(Time!BM25-BM26)*INDEX(Inputs!$J$226:$Q$226,1,MOD(BM25,8)+1))/Time!BM25,0)</f>
        <v>93.8</v>
      </c>
      <c r="BN27" s="11" t="n">
        <f aca="false">IF(Time!BN25&gt;0,(BN26*INDEX(Inputs!$J$226:$Q$226,1,MOD(BN25-1,8)+1)+(Time!BN25-BN26)*INDEX(Inputs!$J$226:$Q$226,1,MOD(BN25,8)+1))/Time!BN25,0)</f>
        <v>93.8</v>
      </c>
    </row>
    <row r="28" customFormat="false" ht="15" hidden="false" customHeight="false" outlineLevel="0" collapsed="false">
      <c r="D28" s="0" t="s">
        <v>480</v>
      </c>
      <c r="E28" s="0" t="s">
        <v>103</v>
      </c>
      <c r="J28" s="11" t="n">
        <f aca="false">IF(Time!J25&gt;0,J27+Inputs!$F$37,0)</f>
        <v>0</v>
      </c>
      <c r="K28" s="11" t="n">
        <f aca="false">IF(Time!K25&gt;0,K27+Inputs!$F$37,0)</f>
        <v>0</v>
      </c>
      <c r="L28" s="11" t="n">
        <f aca="false">IF(Time!L25&gt;0,L27+Inputs!$F$37,0)</f>
        <v>0</v>
      </c>
      <c r="M28" s="11" t="n">
        <f aca="false">IF(Time!M25&gt;0,M27+Inputs!$F$37,0)</f>
        <v>0</v>
      </c>
      <c r="N28" s="11" t="n">
        <f aca="false">IF(Time!N25&gt;0,N27+Inputs!$F$37,0)</f>
        <v>0</v>
      </c>
      <c r="O28" s="11" t="n">
        <f aca="false">IF(Time!O25&gt;0,O27+Inputs!$F$37,0)</f>
        <v>0</v>
      </c>
      <c r="P28" s="11" t="n">
        <f aca="false">IF(Time!P25&gt;0,P27+Inputs!$F$37,0)</f>
        <v>93.8</v>
      </c>
      <c r="Q28" s="11" t="n">
        <f aca="false">IF(Time!Q25&gt;0,Q27+Inputs!$F$37,0)</f>
        <v>93.8</v>
      </c>
      <c r="R28" s="11" t="n">
        <f aca="false">IF(Time!R25&gt;0,R27+Inputs!$F$37,0)</f>
        <v>93.5</v>
      </c>
      <c r="S28" s="11" t="n">
        <f aca="false">IF(Time!S25&gt;0,S27+Inputs!$F$37,0)</f>
        <v>92.9</v>
      </c>
      <c r="T28" s="11" t="n">
        <f aca="false">IF(Time!T25&gt;0,T27+Inputs!$F$37,0)</f>
        <v>93.2</v>
      </c>
      <c r="U28" s="11" t="n">
        <f aca="false">IF(Time!U25&gt;0,U27+Inputs!$F$37,0)</f>
        <v>93.8</v>
      </c>
      <c r="V28" s="11" t="n">
        <f aca="false">IF(Time!V25&gt;0,V27+Inputs!$F$37,0)</f>
        <v>92.7333333333333</v>
      </c>
      <c r="W28" s="11" t="n">
        <f aca="false">IF(Time!W25&gt;0,W27+Inputs!$F$37,0)</f>
        <v>90.6</v>
      </c>
      <c r="X28" s="11" t="n">
        <f aca="false">IF(Time!X25&gt;0,X27+Inputs!$F$37,0)</f>
        <v>91.6666666666667</v>
      </c>
      <c r="Y28" s="11" t="n">
        <f aca="false">IF(Time!Y25&gt;0,Y27+Inputs!$F$37,0)</f>
        <v>93.8</v>
      </c>
      <c r="Z28" s="11" t="n">
        <f aca="false">IF(Time!Z25&gt;0,Z27+Inputs!$F$37,0)</f>
        <v>93.5</v>
      </c>
      <c r="AA28" s="11" t="n">
        <f aca="false">IF(Time!AA25&gt;0,AA27+Inputs!$F$37,0)</f>
        <v>92.9</v>
      </c>
      <c r="AB28" s="11" t="n">
        <f aca="false">IF(Time!AB25&gt;0,AB27+Inputs!$F$37,0)</f>
        <v>93.2</v>
      </c>
      <c r="AC28" s="11" t="n">
        <f aca="false">IF(Time!AC25&gt;0,AC27+Inputs!$F$37,0)</f>
        <v>93.8</v>
      </c>
      <c r="AD28" s="11" t="n">
        <f aca="false">IF(Time!AD25&gt;0,AD27+Inputs!$F$37,0)</f>
        <v>92.1</v>
      </c>
      <c r="AE28" s="11" t="n">
        <f aca="false">IF(Time!AE25&gt;0,AE27+Inputs!$F$37,0)</f>
        <v>88.7</v>
      </c>
      <c r="AF28" s="11" t="n">
        <f aca="false">IF(Time!AF25&gt;0,AF27+Inputs!$F$37,0)</f>
        <v>90.4</v>
      </c>
      <c r="AG28" s="11" t="n">
        <f aca="false">IF(Time!AG25&gt;0,AG27+Inputs!$F$37,0)</f>
        <v>93.8</v>
      </c>
      <c r="AH28" s="11" t="n">
        <f aca="false">IF(Time!AH25&gt;0,AH27+Inputs!$F$37,0)</f>
        <v>93.5</v>
      </c>
      <c r="AI28" s="11" t="n">
        <f aca="false">IF(Time!AI25&gt;0,AI27+Inputs!$F$37,0)</f>
        <v>92.9</v>
      </c>
      <c r="AJ28" s="11" t="n">
        <f aca="false">IF(Time!AJ25&gt;0,AJ27+Inputs!$F$37,0)</f>
        <v>93.2</v>
      </c>
      <c r="AK28" s="11" t="n">
        <f aca="false">IF(Time!AK25&gt;0,AK27+Inputs!$F$37,0)</f>
        <v>93.8</v>
      </c>
      <c r="AL28" s="11" t="n">
        <f aca="false">IF(Time!AL25&gt;0,AL27+Inputs!$F$37,0)</f>
        <v>92.7333333333333</v>
      </c>
      <c r="AM28" s="11" t="n">
        <f aca="false">IF(Time!AM25&gt;0,AM27+Inputs!$F$37,0)</f>
        <v>90.6</v>
      </c>
      <c r="AN28" s="11" t="n">
        <f aca="false">IF(Time!AN25&gt;0,AN27+Inputs!$F$37,0)</f>
        <v>91.6666666666667</v>
      </c>
      <c r="AO28" s="11" t="n">
        <f aca="false">IF(Time!AO25&gt;0,AO27+Inputs!$F$37,0)</f>
        <v>93.8</v>
      </c>
      <c r="AP28" s="11" t="n">
        <f aca="false">IF(Time!AP25&gt;0,AP27+Inputs!$F$37,0)</f>
        <v>93.5</v>
      </c>
      <c r="AQ28" s="11" t="n">
        <f aca="false">IF(Time!AQ25&gt;0,AQ27+Inputs!$F$37,0)</f>
        <v>92.9</v>
      </c>
      <c r="AR28" s="11" t="n">
        <f aca="false">IF(Time!AR25&gt;0,AR27+Inputs!$F$37,0)</f>
        <v>93.2</v>
      </c>
      <c r="AS28" s="11" t="n">
        <f aca="false">IF(Time!AS25&gt;0,AS27+Inputs!$F$37,0)</f>
        <v>93.8</v>
      </c>
      <c r="AT28" s="11" t="n">
        <f aca="false">IF(Time!AT25&gt;0,AT27+Inputs!$F$37,0)</f>
        <v>92.1</v>
      </c>
      <c r="AU28" s="11" t="n">
        <f aca="false">IF(Time!AU25&gt;0,AU27+Inputs!$F$37,0)</f>
        <v>88.7</v>
      </c>
      <c r="AV28" s="11" t="n">
        <f aca="false">IF(Time!AV25&gt;0,AV27+Inputs!$F$37,0)</f>
        <v>90.4</v>
      </c>
      <c r="AW28" s="11" t="n">
        <f aca="false">IF(Time!AW25&gt;0,AW27+Inputs!$F$37,0)</f>
        <v>93.8</v>
      </c>
      <c r="AX28" s="11" t="n">
        <f aca="false">IF(Time!AX25&gt;0,AX27+Inputs!$F$37,0)</f>
        <v>93.5</v>
      </c>
      <c r="AY28" s="11" t="n">
        <f aca="false">IF(Time!AY25&gt;0,AY27+Inputs!$F$37,0)</f>
        <v>92.9</v>
      </c>
      <c r="AZ28" s="11" t="n">
        <f aca="false">IF(Time!AZ25&gt;0,AZ27+Inputs!$F$37,0)</f>
        <v>93.2</v>
      </c>
      <c r="BA28" s="11" t="n">
        <f aca="false">IF(Time!BA25&gt;0,BA27+Inputs!$F$37,0)</f>
        <v>93.8</v>
      </c>
      <c r="BB28" s="11" t="n">
        <f aca="false">IF(Time!BB25&gt;0,BB27+Inputs!$F$37,0)</f>
        <v>92.7333333333333</v>
      </c>
      <c r="BC28" s="11" t="n">
        <f aca="false">IF(Time!BC25&gt;0,BC27+Inputs!$F$37,0)</f>
        <v>90.6</v>
      </c>
      <c r="BD28" s="11" t="n">
        <f aca="false">IF(Time!BD25&gt;0,BD27+Inputs!$F$37,0)</f>
        <v>91.6666666666667</v>
      </c>
      <c r="BE28" s="11" t="n">
        <f aca="false">IF(Time!BE25&gt;0,BE27+Inputs!$F$37,0)</f>
        <v>93.8</v>
      </c>
      <c r="BF28" s="11" t="n">
        <f aca="false">IF(Time!BF25&gt;0,BF27+Inputs!$F$37,0)</f>
        <v>93.5</v>
      </c>
      <c r="BG28" s="11" t="n">
        <f aca="false">IF(Time!BG25&gt;0,BG27+Inputs!$F$37,0)</f>
        <v>92.9</v>
      </c>
      <c r="BH28" s="11" t="n">
        <f aca="false">IF(Time!BH25&gt;0,BH27+Inputs!$F$37,0)</f>
        <v>93.2</v>
      </c>
      <c r="BI28" s="11" t="n">
        <f aca="false">IF(Time!BI25&gt;0,BI27+Inputs!$F$37,0)</f>
        <v>93.8</v>
      </c>
      <c r="BJ28" s="11" t="n">
        <f aca="false">IF(Time!BJ25&gt;0,BJ27+Inputs!$F$37,0)</f>
        <v>92.1</v>
      </c>
      <c r="BK28" s="11" t="n">
        <f aca="false">IF(Time!BK25&gt;0,BK27+Inputs!$F$37,0)</f>
        <v>88.7</v>
      </c>
      <c r="BL28" s="11" t="n">
        <f aca="false">IF(Time!BL25&gt;0,BL27+Inputs!$F$37,0)</f>
        <v>90.4</v>
      </c>
      <c r="BM28" s="11" t="n">
        <f aca="false">IF(Time!BM25&gt;0,BM27+Inputs!$F$37,0)</f>
        <v>93.8</v>
      </c>
      <c r="BN28" s="11" t="n">
        <f aca="false">IF(Time!BN25&gt;0,BN27+Inputs!$F$37,0)</f>
        <v>93.8</v>
      </c>
    </row>
    <row r="29" customFormat="false" ht="15" hidden="false" customHeight="false" outlineLevel="0" collapsed="false">
      <c r="D29" s="0" t="s">
        <v>481</v>
      </c>
      <c r="E29" s="0" t="s">
        <v>482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</v>
      </c>
      <c r="P29" s="11" t="n">
        <f aca="false">IF(Time!P25&gt;0,(Time!P27+Time!P28)/24,0)</f>
        <v>0.0833333333333333</v>
      </c>
      <c r="Q29" s="11" t="n">
        <f aca="false">IF(Time!Q25&gt;0,(Time!Q27+Time!Q28)/24,0)</f>
        <v>0.416666666666667</v>
      </c>
      <c r="R29" s="11" t="n">
        <f aca="false">IF(Time!R25&gt;0,(Time!R27+Time!R28)/24,0)</f>
        <v>0.916666666666667</v>
      </c>
      <c r="S29" s="11" t="n">
        <f aca="false">IF(Time!S25&gt;0,(Time!S27+Time!S28)/24,0)</f>
        <v>1.41666666666667</v>
      </c>
      <c r="T29" s="11" t="n">
        <f aca="false">IF(Time!T25&gt;0,(Time!T27+Time!T28)/24,0)</f>
        <v>1.91666666666667</v>
      </c>
      <c r="U29" s="11" t="n">
        <f aca="false">IF(Time!U25&gt;0,(Time!U27+Time!U28)/24,0)</f>
        <v>2.41666666666667</v>
      </c>
      <c r="V29" s="11" t="n">
        <f aca="false">IF(Time!V25&gt;0,(Time!V27+Time!V28)/24,0)</f>
        <v>2.91666666666667</v>
      </c>
      <c r="W29" s="11" t="n">
        <f aca="false">IF(Time!W25&gt;0,(Time!W27+Time!W28)/24,0)</f>
        <v>3.41666666666667</v>
      </c>
      <c r="X29" s="11" t="n">
        <f aca="false">IF(Time!X25&gt;0,(Time!X27+Time!X28)/24,0)</f>
        <v>3.91666666666667</v>
      </c>
      <c r="Y29" s="11" t="n">
        <f aca="false">IF(Time!Y25&gt;0,(Time!Y27+Time!Y28)/24,0)</f>
        <v>4.41666666666667</v>
      </c>
      <c r="Z29" s="11" t="n">
        <f aca="false">IF(Time!Z25&gt;0,(Time!Z27+Time!Z28)/24,0)</f>
        <v>4.91666666666667</v>
      </c>
      <c r="AA29" s="11" t="n">
        <f aca="false">IF(Time!AA25&gt;0,(Time!AA27+Time!AA28)/24,0)</f>
        <v>5.41666666666667</v>
      </c>
      <c r="AB29" s="11" t="n">
        <f aca="false">IF(Time!AB25&gt;0,(Time!AB27+Time!AB28)/24,0)</f>
        <v>5.91666666666667</v>
      </c>
      <c r="AC29" s="11" t="n">
        <f aca="false">IF(Time!AC25&gt;0,(Time!AC27+Time!AC28)/24,0)</f>
        <v>6.41666666666667</v>
      </c>
      <c r="AD29" s="11" t="n">
        <f aca="false">IF(Time!AD25&gt;0,(Time!AD27+Time!AD28)/24,0)</f>
        <v>6.91666666666667</v>
      </c>
      <c r="AE29" s="11" t="n">
        <f aca="false">IF(Time!AE25&gt;0,(Time!AE27+Time!AE28)/24,0)</f>
        <v>7.41666666666667</v>
      </c>
      <c r="AF29" s="11" t="n">
        <f aca="false">IF(Time!AF25&gt;0,(Time!AF27+Time!AF28)/24,0)</f>
        <v>7.91666666666667</v>
      </c>
      <c r="AG29" s="11" t="n">
        <f aca="false">IF(Time!AG25&gt;0,(Time!AG27+Time!AG28)/24,0)</f>
        <v>8.41666666666667</v>
      </c>
      <c r="AH29" s="11" t="n">
        <f aca="false">IF(Time!AH25&gt;0,(Time!AH27+Time!AH28)/24,0)</f>
        <v>8.91666666666667</v>
      </c>
      <c r="AI29" s="11" t="n">
        <f aca="false">IF(Time!AI25&gt;0,(Time!AI27+Time!AI28)/24,0)</f>
        <v>9.41666666666667</v>
      </c>
      <c r="AJ29" s="11" t="n">
        <f aca="false">IF(Time!AJ25&gt;0,(Time!AJ27+Time!AJ28)/24,0)</f>
        <v>9.91666666666667</v>
      </c>
      <c r="AK29" s="11" t="n">
        <f aca="false">IF(Time!AK25&gt;0,(Time!AK27+Time!AK28)/24,0)</f>
        <v>10.4166666666667</v>
      </c>
      <c r="AL29" s="11" t="n">
        <f aca="false">IF(Time!AL25&gt;0,(Time!AL27+Time!AL28)/24,0)</f>
        <v>10.9166666666667</v>
      </c>
      <c r="AM29" s="11" t="n">
        <f aca="false">IF(Time!AM25&gt;0,(Time!AM27+Time!AM28)/24,0)</f>
        <v>11.4166666666667</v>
      </c>
      <c r="AN29" s="11" t="n">
        <f aca="false">IF(Time!AN25&gt;0,(Time!AN27+Time!AN28)/24,0)</f>
        <v>11.9166666666667</v>
      </c>
      <c r="AO29" s="11" t="n">
        <f aca="false">IF(Time!AO25&gt;0,(Time!AO27+Time!AO28)/24,0)</f>
        <v>12.4166666666667</v>
      </c>
      <c r="AP29" s="11" t="n">
        <f aca="false">IF(Time!AP25&gt;0,(Time!AP27+Time!AP28)/24,0)</f>
        <v>12.9166666666667</v>
      </c>
      <c r="AQ29" s="11" t="n">
        <f aca="false">IF(Time!AQ25&gt;0,(Time!AQ27+Time!AQ28)/24,0)</f>
        <v>13.4166666666667</v>
      </c>
      <c r="AR29" s="11" t="n">
        <f aca="false">IF(Time!AR25&gt;0,(Time!AR27+Time!AR28)/24,0)</f>
        <v>13.9166666666667</v>
      </c>
      <c r="AS29" s="11" t="n">
        <f aca="false">IF(Time!AS25&gt;0,(Time!AS27+Time!AS28)/24,0)</f>
        <v>14.4166666666667</v>
      </c>
      <c r="AT29" s="11" t="n">
        <f aca="false">IF(Time!AT25&gt;0,(Time!AT27+Time!AT28)/24,0)</f>
        <v>14.9166666666667</v>
      </c>
      <c r="AU29" s="11" t="n">
        <f aca="false">IF(Time!AU25&gt;0,(Time!AU27+Time!AU28)/24,0)</f>
        <v>15.4166666666667</v>
      </c>
      <c r="AV29" s="11" t="n">
        <f aca="false">IF(Time!AV25&gt;0,(Time!AV27+Time!AV28)/24,0)</f>
        <v>15.9166666666667</v>
      </c>
      <c r="AW29" s="11" t="n">
        <f aca="false">IF(Time!AW25&gt;0,(Time!AW27+Time!AW28)/24,0)</f>
        <v>16.4166666666667</v>
      </c>
      <c r="AX29" s="11" t="n">
        <f aca="false">IF(Time!AX25&gt;0,(Time!AX27+Time!AX28)/24,0)</f>
        <v>16.9166666666667</v>
      </c>
      <c r="AY29" s="11" t="n">
        <f aca="false">IF(Time!AY25&gt;0,(Time!AY27+Time!AY28)/24,0)</f>
        <v>17.4166666666667</v>
      </c>
      <c r="AZ29" s="11" t="n">
        <f aca="false">IF(Time!AZ25&gt;0,(Time!AZ27+Time!AZ28)/24,0)</f>
        <v>17.9166666666667</v>
      </c>
      <c r="BA29" s="11" t="n">
        <f aca="false">IF(Time!BA25&gt;0,(Time!BA27+Time!BA28)/24,0)</f>
        <v>18.4166666666667</v>
      </c>
      <c r="BB29" s="11" t="n">
        <f aca="false">IF(Time!BB25&gt;0,(Time!BB27+Time!BB28)/24,0)</f>
        <v>18.9166666666667</v>
      </c>
      <c r="BC29" s="11" t="n">
        <f aca="false">IF(Time!BC25&gt;0,(Time!BC27+Time!BC28)/24,0)</f>
        <v>19.4166666666667</v>
      </c>
      <c r="BD29" s="11" t="n">
        <f aca="false">IF(Time!BD25&gt;0,(Time!BD27+Time!BD28)/24,0)</f>
        <v>19.9166666666667</v>
      </c>
      <c r="BE29" s="11" t="n">
        <f aca="false">IF(Time!BE25&gt;0,(Time!BE27+Time!BE28)/24,0)</f>
        <v>20.4166666666667</v>
      </c>
      <c r="BF29" s="11" t="n">
        <f aca="false">IF(Time!BF25&gt;0,(Time!BF27+Time!BF28)/24,0)</f>
        <v>20.9166666666667</v>
      </c>
      <c r="BG29" s="11" t="n">
        <f aca="false">IF(Time!BG25&gt;0,(Time!BG27+Time!BG28)/24,0)</f>
        <v>21.4166666666667</v>
      </c>
      <c r="BH29" s="11" t="n">
        <f aca="false">IF(Time!BH25&gt;0,(Time!BH27+Time!BH28)/24,0)</f>
        <v>21.9166666666667</v>
      </c>
      <c r="BI29" s="11" t="n">
        <f aca="false">IF(Time!BI25&gt;0,(Time!BI27+Time!BI28)/24,0)</f>
        <v>22.4166666666667</v>
      </c>
      <c r="BJ29" s="11" t="n">
        <f aca="false">IF(Time!BJ25&gt;0,(Time!BJ27+Time!BJ28)/24,0)</f>
        <v>22.9166666666667</v>
      </c>
      <c r="BK29" s="11" t="n">
        <f aca="false">IF(Time!BK25&gt;0,(Time!BK27+Time!BK28)/24,0)</f>
        <v>23.4166666666667</v>
      </c>
      <c r="BL29" s="11" t="n">
        <f aca="false">IF(Time!BL25&gt;0,(Time!BL27+Time!BL28)/24,0)</f>
        <v>23.9166666666667</v>
      </c>
      <c r="BM29" s="11" t="n">
        <f aca="false">IF(Time!BM25&gt;0,(Time!BM27+Time!BM28)/24,0)</f>
        <v>24.4166666666667</v>
      </c>
      <c r="BN29" s="11" t="n">
        <f aca="false">IF(Time!BN25&gt;0,(Time!BN27+Time!BN28)/24,0)</f>
        <v>24.8333333333333</v>
      </c>
    </row>
    <row r="30" customFormat="false" ht="15" hidden="false" customHeight="false" outlineLevel="0" collapsed="false">
      <c r="D30" s="0" t="s">
        <v>483</v>
      </c>
      <c r="E30" s="0" t="s">
        <v>214</v>
      </c>
      <c r="F30" s="12" t="n">
        <f aca="false">IF(Inputs!$F$34=2,Inputs!$F$117,Inputs!$F$116)</f>
        <v>588.4</v>
      </c>
    </row>
    <row r="31" customFormat="false" ht="15" hidden="false" customHeight="false" outlineLevel="0" collapsed="false">
      <c r="D31" s="0" t="s">
        <v>484</v>
      </c>
      <c r="E31" s="0" t="s">
        <v>217</v>
      </c>
      <c r="F31" s="9" t="n">
        <f aca="false">IF(Inputs!$F$34=2,Inputs!$F$119,Inputs!$F$118)</f>
        <v>6261</v>
      </c>
    </row>
    <row r="32" customFormat="false" ht="15" hidden="false" customHeight="false" outlineLevel="0" collapsed="false">
      <c r="D32" s="0" t="s">
        <v>485</v>
      </c>
      <c r="E32" s="0" t="s">
        <v>99</v>
      </c>
      <c r="J32" s="11" t="n">
        <f aca="false">(1-Inputs!$F$125/100*J29)*(1-Inputs!$F$126/100)</f>
        <v>0.99</v>
      </c>
      <c r="K32" s="11" t="n">
        <f aca="false">(1-Inputs!$F$125/100*K29)*(1-Inputs!$F$126/100)</f>
        <v>0.99</v>
      </c>
      <c r="L32" s="11" t="n">
        <f aca="false">(1-Inputs!$F$125/100*L29)*(1-Inputs!$F$126/100)</f>
        <v>0.99</v>
      </c>
      <c r="M32" s="11" t="n">
        <f aca="false">(1-Inputs!$F$125/100*M29)*(1-Inputs!$F$126/100)</f>
        <v>0.99</v>
      </c>
      <c r="N32" s="11" t="n">
        <f aca="false">(1-Inputs!$F$125/100*N29)*(1-Inputs!$F$126/100)</f>
        <v>0.99</v>
      </c>
      <c r="O32" s="11" t="n">
        <f aca="false">(1-Inputs!$F$125/100*O29)*(1-Inputs!$F$126/100)</f>
        <v>0.99</v>
      </c>
      <c r="P32" s="11" t="n">
        <f aca="false">(1-Inputs!$F$125/100*P29)*(1-Inputs!$F$126/100)</f>
        <v>0.98987625</v>
      </c>
      <c r="Q32" s="11" t="n">
        <f aca="false">(1-Inputs!$F$125/100*Q29)*(1-Inputs!$F$126/100)</f>
        <v>0.98938125</v>
      </c>
      <c r="R32" s="11" t="n">
        <f aca="false">(1-Inputs!$F$125/100*R29)*(1-Inputs!$F$126/100)</f>
        <v>0.98863875</v>
      </c>
      <c r="S32" s="11" t="n">
        <f aca="false">(1-Inputs!$F$125/100*S29)*(1-Inputs!$F$126/100)</f>
        <v>0.98789625</v>
      </c>
      <c r="T32" s="11" t="n">
        <f aca="false">(1-Inputs!$F$125/100*T29)*(1-Inputs!$F$126/100)</f>
        <v>0.98715375</v>
      </c>
      <c r="U32" s="11" t="n">
        <f aca="false">(1-Inputs!$F$125/100*U29)*(1-Inputs!$F$126/100)</f>
        <v>0.98641125</v>
      </c>
      <c r="V32" s="11" t="n">
        <f aca="false">(1-Inputs!$F$125/100*V29)*(1-Inputs!$F$126/100)</f>
        <v>0.98566875</v>
      </c>
      <c r="W32" s="11" t="n">
        <f aca="false">(1-Inputs!$F$125/100*W29)*(1-Inputs!$F$126/100)</f>
        <v>0.98492625</v>
      </c>
      <c r="X32" s="11" t="n">
        <f aca="false">(1-Inputs!$F$125/100*X29)*(1-Inputs!$F$126/100)</f>
        <v>0.98418375</v>
      </c>
      <c r="Y32" s="11" t="n">
        <f aca="false">(1-Inputs!$F$125/100*Y29)*(1-Inputs!$F$126/100)</f>
        <v>0.98344125</v>
      </c>
      <c r="Z32" s="11" t="n">
        <f aca="false">(1-Inputs!$F$125/100*Z29)*(1-Inputs!$F$126/100)</f>
        <v>0.98269875</v>
      </c>
      <c r="AA32" s="11" t="n">
        <f aca="false">(1-Inputs!$F$125/100*AA29)*(1-Inputs!$F$126/100)</f>
        <v>0.98195625</v>
      </c>
      <c r="AB32" s="11" t="n">
        <f aca="false">(1-Inputs!$F$125/100*AB29)*(1-Inputs!$F$126/100)</f>
        <v>0.98121375</v>
      </c>
      <c r="AC32" s="11" t="n">
        <f aca="false">(1-Inputs!$F$125/100*AC29)*(1-Inputs!$F$126/100)</f>
        <v>0.98047125</v>
      </c>
      <c r="AD32" s="11" t="n">
        <f aca="false">(1-Inputs!$F$125/100*AD29)*(1-Inputs!$F$126/100)</f>
        <v>0.97972875</v>
      </c>
      <c r="AE32" s="11" t="n">
        <f aca="false">(1-Inputs!$F$125/100*AE29)*(1-Inputs!$F$126/100)</f>
        <v>0.97898625</v>
      </c>
      <c r="AF32" s="11" t="n">
        <f aca="false">(1-Inputs!$F$125/100*AF29)*(1-Inputs!$F$126/100)</f>
        <v>0.97824375</v>
      </c>
      <c r="AG32" s="11" t="n">
        <f aca="false">(1-Inputs!$F$125/100*AG29)*(1-Inputs!$F$126/100)</f>
        <v>0.97750125</v>
      </c>
      <c r="AH32" s="11" t="n">
        <f aca="false">(1-Inputs!$F$125/100*AH29)*(1-Inputs!$F$126/100)</f>
        <v>0.97675875</v>
      </c>
      <c r="AI32" s="11" t="n">
        <f aca="false">(1-Inputs!$F$125/100*AI29)*(1-Inputs!$F$126/100)</f>
        <v>0.97601625</v>
      </c>
      <c r="AJ32" s="11" t="n">
        <f aca="false">(1-Inputs!$F$125/100*AJ29)*(1-Inputs!$F$126/100)</f>
        <v>0.97527375</v>
      </c>
      <c r="AK32" s="11" t="n">
        <f aca="false">(1-Inputs!$F$125/100*AK29)*(1-Inputs!$F$126/100)</f>
        <v>0.97453125</v>
      </c>
      <c r="AL32" s="11" t="n">
        <f aca="false">(1-Inputs!$F$125/100*AL29)*(1-Inputs!$F$126/100)</f>
        <v>0.97378875</v>
      </c>
      <c r="AM32" s="11" t="n">
        <f aca="false">(1-Inputs!$F$125/100*AM29)*(1-Inputs!$F$126/100)</f>
        <v>0.97304625</v>
      </c>
      <c r="AN32" s="11" t="n">
        <f aca="false">(1-Inputs!$F$125/100*AN29)*(1-Inputs!$F$126/100)</f>
        <v>0.97230375</v>
      </c>
      <c r="AO32" s="11" t="n">
        <f aca="false">(1-Inputs!$F$125/100*AO29)*(1-Inputs!$F$126/100)</f>
        <v>0.97156125</v>
      </c>
      <c r="AP32" s="11" t="n">
        <f aca="false">(1-Inputs!$F$125/100*AP29)*(1-Inputs!$F$126/100)</f>
        <v>0.97081875</v>
      </c>
      <c r="AQ32" s="11" t="n">
        <f aca="false">(1-Inputs!$F$125/100*AQ29)*(1-Inputs!$F$126/100)</f>
        <v>0.97007625</v>
      </c>
      <c r="AR32" s="11" t="n">
        <f aca="false">(1-Inputs!$F$125/100*AR29)*(1-Inputs!$F$126/100)</f>
        <v>0.96933375</v>
      </c>
      <c r="AS32" s="11" t="n">
        <f aca="false">(1-Inputs!$F$125/100*AS29)*(1-Inputs!$F$126/100)</f>
        <v>0.96859125</v>
      </c>
      <c r="AT32" s="11" t="n">
        <f aca="false">(1-Inputs!$F$125/100*AT29)*(1-Inputs!$F$126/100)</f>
        <v>0.96784875</v>
      </c>
      <c r="AU32" s="11" t="n">
        <f aca="false">(1-Inputs!$F$125/100*AU29)*(1-Inputs!$F$126/100)</f>
        <v>0.96710625</v>
      </c>
      <c r="AV32" s="11" t="n">
        <f aca="false">(1-Inputs!$F$125/100*AV29)*(1-Inputs!$F$126/100)</f>
        <v>0.96636375</v>
      </c>
      <c r="AW32" s="11" t="n">
        <f aca="false">(1-Inputs!$F$125/100*AW29)*(1-Inputs!$F$126/100)</f>
        <v>0.96562125</v>
      </c>
      <c r="AX32" s="11" t="n">
        <f aca="false">(1-Inputs!$F$125/100*AX29)*(1-Inputs!$F$126/100)</f>
        <v>0.96487875</v>
      </c>
      <c r="AY32" s="11" t="n">
        <f aca="false">(1-Inputs!$F$125/100*AY29)*(1-Inputs!$F$126/100)</f>
        <v>0.96413625</v>
      </c>
      <c r="AZ32" s="11" t="n">
        <f aca="false">(1-Inputs!$F$125/100*AZ29)*(1-Inputs!$F$126/100)</f>
        <v>0.96339375</v>
      </c>
      <c r="BA32" s="11" t="n">
        <f aca="false">(1-Inputs!$F$125/100*BA29)*(1-Inputs!$F$126/100)</f>
        <v>0.96265125</v>
      </c>
      <c r="BB32" s="11" t="n">
        <f aca="false">(1-Inputs!$F$125/100*BB29)*(1-Inputs!$F$126/100)</f>
        <v>0.96190875</v>
      </c>
      <c r="BC32" s="11" t="n">
        <f aca="false">(1-Inputs!$F$125/100*BC29)*(1-Inputs!$F$126/100)</f>
        <v>0.96116625</v>
      </c>
      <c r="BD32" s="11" t="n">
        <f aca="false">(1-Inputs!$F$125/100*BD29)*(1-Inputs!$F$126/100)</f>
        <v>0.96042375</v>
      </c>
      <c r="BE32" s="11" t="n">
        <f aca="false">(1-Inputs!$F$125/100*BE29)*(1-Inputs!$F$126/100)</f>
        <v>0.95968125</v>
      </c>
      <c r="BF32" s="11" t="n">
        <f aca="false">(1-Inputs!$F$125/100*BF29)*(1-Inputs!$F$126/100)</f>
        <v>0.95893875</v>
      </c>
      <c r="BG32" s="11" t="n">
        <f aca="false">(1-Inputs!$F$125/100*BG29)*(1-Inputs!$F$126/100)</f>
        <v>0.95819625</v>
      </c>
      <c r="BH32" s="11" t="n">
        <f aca="false">(1-Inputs!$F$125/100*BH29)*(1-Inputs!$F$126/100)</f>
        <v>0.95745375</v>
      </c>
      <c r="BI32" s="11" t="n">
        <f aca="false">(1-Inputs!$F$125/100*BI29)*(1-Inputs!$F$126/100)</f>
        <v>0.95671125</v>
      </c>
      <c r="BJ32" s="11" t="n">
        <f aca="false">(1-Inputs!$F$125/100*BJ29)*(1-Inputs!$F$126/100)</f>
        <v>0.95596875</v>
      </c>
      <c r="BK32" s="11" t="n">
        <f aca="false">(1-Inputs!$F$125/100*BK29)*(1-Inputs!$F$126/100)</f>
        <v>0.95522625</v>
      </c>
      <c r="BL32" s="11" t="n">
        <f aca="false">(1-Inputs!$F$125/100*BL29)*(1-Inputs!$F$126/100)</f>
        <v>0.95448375</v>
      </c>
      <c r="BM32" s="11" t="n">
        <f aca="false">(1-Inputs!$F$125/100*BM29)*(1-Inputs!$F$126/100)</f>
        <v>0.95374125</v>
      </c>
      <c r="BN32" s="11" t="n">
        <f aca="false">(1-Inputs!$F$125/100*BN29)*(1-Inputs!$F$126/100)</f>
        <v>0.9531225</v>
      </c>
    </row>
    <row r="33" customFormat="false" ht="15" hidden="false" customHeight="false" outlineLevel="0" collapsed="false">
      <c r="D33" s="0" t="s">
        <v>129</v>
      </c>
      <c r="E33" s="0" t="s">
        <v>103</v>
      </c>
      <c r="J33" s="11" t="n">
        <f aca="false">IF(AND(Inputs!$F$55=1,Inputs!J227&gt;0),Inputs!J227,Inputs!$F$38)</f>
        <v>76.5</v>
      </c>
      <c r="K33" s="11" t="n">
        <f aca="false">IF(AND(Inputs!$F$55=1,Inputs!K227&gt;0),Inputs!K227,Inputs!$F$38)</f>
        <v>76.5</v>
      </c>
      <c r="L33" s="11" t="n">
        <f aca="false">IF(AND(Inputs!$F$55=1,Inputs!L227&gt;0),Inputs!L227,Inputs!$F$38)</f>
        <v>76.5</v>
      </c>
      <c r="M33" s="11" t="n">
        <f aca="false">IF(AND(Inputs!$F$55=1,Inputs!M227&gt;0),Inputs!M227,Inputs!$F$38)</f>
        <v>76.5</v>
      </c>
      <c r="N33" s="11" t="n">
        <f aca="false">IF(AND(Inputs!$F$55=1,Inputs!N227&gt;0),Inputs!N227,Inputs!$F$38)</f>
        <v>76.5</v>
      </c>
      <c r="O33" s="11" t="n">
        <f aca="false">IF(AND(Inputs!$F$55=1,Inputs!O227&gt;0),Inputs!O227,Inputs!$F$38)</f>
        <v>76.5</v>
      </c>
      <c r="P33" s="11" t="n">
        <f aca="false">IF(AND(Inputs!$F$55=1,Inputs!P227&gt;0),Inputs!P227,Inputs!$F$38)</f>
        <v>76.5</v>
      </c>
      <c r="Q33" s="11" t="n">
        <f aca="false">IF(AND(Inputs!$F$55=1,Inputs!Q227&gt;0),Inputs!Q227,Inputs!$F$38)</f>
        <v>76.5</v>
      </c>
      <c r="R33" s="11" t="n">
        <f aca="false">IF(AND(Inputs!$F$55=1,Inputs!R227&gt;0),Inputs!R227,Inputs!$F$38)</f>
        <v>76.5</v>
      </c>
      <c r="S33" s="11" t="n">
        <f aca="false">IF(AND(Inputs!$F$55=1,Inputs!S227&gt;0),Inputs!S227,Inputs!$F$38)</f>
        <v>76.5</v>
      </c>
      <c r="T33" s="11" t="n">
        <f aca="false">IF(AND(Inputs!$F$55=1,Inputs!T227&gt;0),Inputs!T227,Inputs!$F$38)</f>
        <v>76.5</v>
      </c>
      <c r="U33" s="11" t="n">
        <f aca="false">IF(AND(Inputs!$F$55=1,Inputs!U227&gt;0),Inputs!U227,Inputs!$F$38)</f>
        <v>76.5</v>
      </c>
      <c r="V33" s="11" t="n">
        <f aca="false">IF(AND(Inputs!$F$55=1,Inputs!V227&gt;0),Inputs!V227,Inputs!$F$38)</f>
        <v>76.5</v>
      </c>
      <c r="W33" s="11" t="n">
        <f aca="false">IF(AND(Inputs!$F$55=1,Inputs!W227&gt;0),Inputs!W227,Inputs!$F$38)</f>
        <v>76.5</v>
      </c>
      <c r="X33" s="11" t="n">
        <f aca="false">IF(AND(Inputs!$F$55=1,Inputs!X227&gt;0),Inputs!X227,Inputs!$F$38)</f>
        <v>76.5</v>
      </c>
      <c r="Y33" s="11" t="n">
        <f aca="false">IF(AND(Inputs!$F$55=1,Inputs!Y227&gt;0),Inputs!Y227,Inputs!$F$38)</f>
        <v>76.5</v>
      </c>
      <c r="Z33" s="11" t="n">
        <f aca="false">IF(AND(Inputs!$F$55=1,Inputs!Z227&gt;0),Inputs!Z227,Inputs!$F$38)</f>
        <v>76.5</v>
      </c>
      <c r="AA33" s="11" t="n">
        <f aca="false">IF(AND(Inputs!$F$55=1,Inputs!AA227&gt;0),Inputs!AA227,Inputs!$F$38)</f>
        <v>76.5</v>
      </c>
      <c r="AB33" s="11" t="n">
        <f aca="false">IF(AND(Inputs!$F$55=1,Inputs!AB227&gt;0),Inputs!AB227,Inputs!$F$38)</f>
        <v>76.5</v>
      </c>
      <c r="AC33" s="11" t="n">
        <f aca="false">IF(AND(Inputs!$F$55=1,Inputs!AC227&gt;0),Inputs!AC227,Inputs!$F$38)</f>
        <v>76.5</v>
      </c>
      <c r="AD33" s="11" t="n">
        <f aca="false">IF(AND(Inputs!$F$55=1,Inputs!AD227&gt;0),Inputs!AD227,Inputs!$F$38)</f>
        <v>76.5</v>
      </c>
      <c r="AE33" s="11" t="n">
        <f aca="false">IF(AND(Inputs!$F$55=1,Inputs!AE227&gt;0),Inputs!AE227,Inputs!$F$38)</f>
        <v>76.5</v>
      </c>
      <c r="AF33" s="11" t="n">
        <f aca="false">IF(AND(Inputs!$F$55=1,Inputs!AF227&gt;0),Inputs!AF227,Inputs!$F$38)</f>
        <v>76.5</v>
      </c>
      <c r="AG33" s="11" t="n">
        <f aca="false">IF(AND(Inputs!$F$55=1,Inputs!AG227&gt;0),Inputs!AG227,Inputs!$F$38)</f>
        <v>76.5</v>
      </c>
      <c r="AH33" s="11" t="n">
        <f aca="false">IF(AND(Inputs!$F$55=1,Inputs!AH227&gt;0),Inputs!AH227,Inputs!$F$38)</f>
        <v>76.5</v>
      </c>
      <c r="AI33" s="11" t="n">
        <f aca="false">IF(AND(Inputs!$F$55=1,Inputs!AI227&gt;0),Inputs!AI227,Inputs!$F$38)</f>
        <v>76.5</v>
      </c>
      <c r="AJ33" s="11" t="n">
        <f aca="false">IF(AND(Inputs!$F$55=1,Inputs!AJ227&gt;0),Inputs!AJ227,Inputs!$F$38)</f>
        <v>76.5</v>
      </c>
      <c r="AK33" s="11" t="n">
        <f aca="false">IF(AND(Inputs!$F$55=1,Inputs!AK227&gt;0),Inputs!AK227,Inputs!$F$38)</f>
        <v>76.5</v>
      </c>
      <c r="AL33" s="11" t="n">
        <f aca="false">IF(AND(Inputs!$F$55=1,Inputs!AL227&gt;0),Inputs!AL227,Inputs!$F$38)</f>
        <v>76.5</v>
      </c>
      <c r="AM33" s="11" t="n">
        <f aca="false">IF(AND(Inputs!$F$55=1,Inputs!AM227&gt;0),Inputs!AM227,Inputs!$F$38)</f>
        <v>76.5</v>
      </c>
      <c r="AN33" s="11" t="n">
        <f aca="false">IF(AND(Inputs!$F$55=1,Inputs!AN227&gt;0),Inputs!AN227,Inputs!$F$38)</f>
        <v>76.5</v>
      </c>
      <c r="AO33" s="11" t="n">
        <f aca="false">IF(AND(Inputs!$F$55=1,Inputs!AO227&gt;0),Inputs!AO227,Inputs!$F$38)</f>
        <v>76.5</v>
      </c>
      <c r="AP33" s="11" t="n">
        <f aca="false">IF(AND(Inputs!$F$55=1,Inputs!AP227&gt;0),Inputs!AP227,Inputs!$F$38)</f>
        <v>76.5</v>
      </c>
      <c r="AQ33" s="11" t="n">
        <f aca="false">IF(AND(Inputs!$F$55=1,Inputs!AQ227&gt;0),Inputs!AQ227,Inputs!$F$38)</f>
        <v>76.5</v>
      </c>
      <c r="AR33" s="11" t="n">
        <f aca="false">IF(AND(Inputs!$F$55=1,Inputs!AR227&gt;0),Inputs!AR227,Inputs!$F$38)</f>
        <v>76.5</v>
      </c>
      <c r="AS33" s="11" t="n">
        <f aca="false">IF(AND(Inputs!$F$55=1,Inputs!AS227&gt;0),Inputs!AS227,Inputs!$F$38)</f>
        <v>76.5</v>
      </c>
      <c r="AT33" s="11" t="n">
        <f aca="false">IF(AND(Inputs!$F$55=1,Inputs!AT227&gt;0),Inputs!AT227,Inputs!$F$38)</f>
        <v>76.5</v>
      </c>
      <c r="AU33" s="11" t="n">
        <f aca="false">IF(AND(Inputs!$F$55=1,Inputs!AU227&gt;0),Inputs!AU227,Inputs!$F$38)</f>
        <v>76.5</v>
      </c>
      <c r="AV33" s="11" t="n">
        <f aca="false">IF(AND(Inputs!$F$55=1,Inputs!AV227&gt;0),Inputs!AV227,Inputs!$F$38)</f>
        <v>76.5</v>
      </c>
      <c r="AW33" s="11" t="n">
        <f aca="false">IF(AND(Inputs!$F$55=1,Inputs!AW227&gt;0),Inputs!AW227,Inputs!$F$38)</f>
        <v>76.5</v>
      </c>
      <c r="AX33" s="11" t="n">
        <f aca="false">IF(AND(Inputs!$F$55=1,Inputs!AX227&gt;0),Inputs!AX227,Inputs!$F$38)</f>
        <v>76.5</v>
      </c>
      <c r="AY33" s="11" t="n">
        <f aca="false">IF(AND(Inputs!$F$55=1,Inputs!AY227&gt;0),Inputs!AY227,Inputs!$F$38)</f>
        <v>76.5</v>
      </c>
      <c r="AZ33" s="11" t="n">
        <f aca="false">IF(AND(Inputs!$F$55=1,Inputs!AZ227&gt;0),Inputs!AZ227,Inputs!$F$38)</f>
        <v>76.5</v>
      </c>
      <c r="BA33" s="11" t="n">
        <f aca="false">IF(AND(Inputs!$F$55=1,Inputs!BA227&gt;0),Inputs!BA227,Inputs!$F$38)</f>
        <v>76.5</v>
      </c>
      <c r="BB33" s="11" t="n">
        <f aca="false">IF(AND(Inputs!$F$55=1,Inputs!BB227&gt;0),Inputs!BB227,Inputs!$F$38)</f>
        <v>76.5</v>
      </c>
      <c r="BC33" s="11" t="n">
        <f aca="false">IF(AND(Inputs!$F$55=1,Inputs!BC227&gt;0),Inputs!BC227,Inputs!$F$38)</f>
        <v>76.5</v>
      </c>
      <c r="BD33" s="11" t="n">
        <f aca="false">IF(AND(Inputs!$F$55=1,Inputs!BD227&gt;0),Inputs!BD227,Inputs!$F$38)</f>
        <v>76.5</v>
      </c>
      <c r="BE33" s="11" t="n">
        <f aca="false">IF(AND(Inputs!$F$55=1,Inputs!BE227&gt;0),Inputs!BE227,Inputs!$F$38)</f>
        <v>76.5</v>
      </c>
      <c r="BF33" s="11" t="n">
        <f aca="false">IF(AND(Inputs!$F$55=1,Inputs!BF227&gt;0),Inputs!BF227,Inputs!$F$38)</f>
        <v>76.5</v>
      </c>
      <c r="BG33" s="11" t="n">
        <f aca="false">IF(AND(Inputs!$F$55=1,Inputs!BG227&gt;0),Inputs!BG227,Inputs!$F$38)</f>
        <v>76.5</v>
      </c>
      <c r="BH33" s="11" t="n">
        <f aca="false">IF(AND(Inputs!$F$55=1,Inputs!BH227&gt;0),Inputs!BH227,Inputs!$F$38)</f>
        <v>76.5</v>
      </c>
      <c r="BI33" s="11" t="n">
        <f aca="false">IF(AND(Inputs!$F$55=1,Inputs!BI227&gt;0),Inputs!BI227,Inputs!$F$38)</f>
        <v>76.5</v>
      </c>
      <c r="BJ33" s="11" t="n">
        <f aca="false">IF(AND(Inputs!$F$55=1,Inputs!BJ227&gt;0),Inputs!BJ227,Inputs!$F$38)</f>
        <v>76.5</v>
      </c>
      <c r="BK33" s="11" t="n">
        <f aca="false">IF(AND(Inputs!$F$55=1,Inputs!BK227&gt;0),Inputs!BK227,Inputs!$F$38)</f>
        <v>76.5</v>
      </c>
      <c r="BL33" s="11" t="n">
        <f aca="false">IF(AND(Inputs!$F$55=1,Inputs!BL227&gt;0),Inputs!BL227,Inputs!$F$38)</f>
        <v>76.5</v>
      </c>
      <c r="BM33" s="11" t="n">
        <f aca="false">IF(AND(Inputs!$F$55=1,Inputs!BM227&gt;0),Inputs!BM227,Inputs!$F$38)</f>
        <v>76.5</v>
      </c>
      <c r="BN33" s="11" t="n">
        <f aca="false">IF(AND(Inputs!$F$55=1,Inputs!BN227&gt;0),Inputs!BN227,Inputs!$F$38)</f>
        <v>76.5</v>
      </c>
    </row>
    <row r="34" customFormat="false" ht="15" hidden="false" customHeight="false" outlineLevel="0" collapsed="false">
      <c r="D34" s="0" t="s">
        <v>486</v>
      </c>
      <c r="E34" s="0" t="s">
        <v>487</v>
      </c>
      <c r="J34" s="13" t="n">
        <f aca="false">$F$30*730*Time!J25*J28/100*J33/100*J32</f>
        <v>0</v>
      </c>
      <c r="K34" s="13" t="n">
        <f aca="false">$F$30*730*Time!K25*K28/100*K33/100*K32</f>
        <v>0</v>
      </c>
      <c r="L34" s="13" t="n">
        <f aca="false">$F$30*730*Time!L25*L28/100*L33/100*L32</f>
        <v>0</v>
      </c>
      <c r="M34" s="13" t="n">
        <f aca="false">$F$30*730*Time!M25*M28/100*M33/100*M32</f>
        <v>0</v>
      </c>
      <c r="N34" s="13" t="n">
        <f aca="false">$F$30*730*Time!N25*N28/100*N33/100*N32</f>
        <v>0</v>
      </c>
      <c r="O34" s="13" t="n">
        <f aca="false">$F$30*730*Time!O25*O28/100*O33/100*O32</f>
        <v>0</v>
      </c>
      <c r="P34" s="13" t="n">
        <f aca="false">$F$30*730*Time!P25*P28/100*P33/100*P32</f>
        <v>610197.884664083</v>
      </c>
      <c r="Q34" s="13" t="n">
        <f aca="false">$F$30*730*Time!Q25*Q28/100*Q33/100*Q32</f>
        <v>1829678.24273885</v>
      </c>
      <c r="R34" s="13" t="n">
        <f aca="false">$F$30*730*Time!R25*R28/100*R33/100*R32</f>
        <v>1822457.66810013</v>
      </c>
      <c r="S34" s="13" t="n">
        <f aca="false">$F$30*730*Time!S25*S28/100*S33/100*S32</f>
        <v>1809402.81059825</v>
      </c>
      <c r="T34" s="13" t="n">
        <f aca="false">$F$30*730*Time!T25*T28/100*T33/100*T32</f>
        <v>1813881.54310857</v>
      </c>
      <c r="U34" s="13" t="n">
        <f aca="false">$F$30*730*Time!U25*U28/100*U33/100*U32</f>
        <v>1824185.77521843</v>
      </c>
      <c r="V34" s="13" t="n">
        <f aca="false">$F$30*730*Time!V25*V28/100*V33/100*V32</f>
        <v>1802084.15618238</v>
      </c>
      <c r="W34" s="13" t="n">
        <f aca="false">$F$30*730*Time!W25*W28/100*W33/100*W32</f>
        <v>1759300.87906306</v>
      </c>
      <c r="X34" s="13" t="n">
        <f aca="false">$F$30*730*Time!X25*X28/100*X33/100*X32</f>
        <v>1778671.87902979</v>
      </c>
      <c r="Y34" s="13" t="n">
        <f aca="false">$F$30*730*Time!Y25*Y28/100*Y33/100*Y32</f>
        <v>1818693.30769801</v>
      </c>
      <c r="Z34" s="13" t="n">
        <f aca="false">$F$30*730*Time!Z25*Z28/100*Z33/100*Z32</f>
        <v>1811507.8661138</v>
      </c>
      <c r="AA34" s="13" t="n">
        <f aca="false">$F$30*730*Time!AA25*AA28/100*AA33/100*AA32</f>
        <v>1798523.27472092</v>
      </c>
      <c r="AB34" s="13" t="n">
        <f aca="false">$F$30*730*Time!AB25*AB28/100*AB33/100*AB32</f>
        <v>1802966.87417673</v>
      </c>
      <c r="AC34" s="13" t="n">
        <f aca="false">$F$30*730*Time!AC25*AC28/100*AC33/100*AC32</f>
        <v>1813200.8401776</v>
      </c>
      <c r="AD34" s="13" t="n">
        <f aca="false">$F$30*730*Time!AD25*AD28/100*AD33/100*AD32</f>
        <v>1778990.7602953</v>
      </c>
      <c r="AE34" s="13" t="n">
        <f aca="false">$F$30*730*Time!AE25*AE28/100*AE33/100*AE32</f>
        <v>1712018.37515162</v>
      </c>
      <c r="AF34" s="13" t="n">
        <f aca="false">$F$30*730*Time!AF25*AF28/100*AF33/100*AF32</f>
        <v>1743507.10718732</v>
      </c>
      <c r="AG34" s="13" t="n">
        <f aca="false">$F$30*730*Time!AG25*AG28/100*AG33/100*AG32</f>
        <v>1807708.37265718</v>
      </c>
      <c r="AH34" s="13" t="n">
        <f aca="false">$F$30*730*Time!AH25*AH28/100*AH33/100*AH32</f>
        <v>1800558.06412747</v>
      </c>
      <c r="AI34" s="13" t="n">
        <f aca="false">$F$30*730*Time!AI25*AI28/100*AI33/100*AI32</f>
        <v>1787643.73884359</v>
      </c>
      <c r="AJ34" s="13" t="n">
        <f aca="false">$F$30*730*Time!AJ25*AJ28/100*AJ33/100*AJ32</f>
        <v>1792052.2052449</v>
      </c>
      <c r="AK34" s="13" t="n">
        <f aca="false">$F$30*730*Time!AK25*AK28/100*AK33/100*AK32</f>
        <v>1802215.90513676</v>
      </c>
      <c r="AL34" s="13" t="n">
        <f aca="false">$F$30*730*Time!AL25*AL28/100*AL33/100*AL32</f>
        <v>1780364.12115495</v>
      </c>
      <c r="AM34" s="13" t="n">
        <f aca="false">$F$30*730*Time!AM25*AM28/100*AM33/100*AM32</f>
        <v>1738080.51414409</v>
      </c>
      <c r="AN34" s="13" t="n">
        <f aca="false">$F$30*730*Time!AN25*AN28/100*AN33/100*AN32</f>
        <v>1757201.67905659</v>
      </c>
      <c r="AO34" s="13" t="n">
        <f aca="false">$F$30*730*Time!AO25*AO28/100*AO33/100*AO32</f>
        <v>1796723.43761635</v>
      </c>
      <c r="AP34" s="13" t="n">
        <f aca="false">$F$30*730*Time!AP25*AP28/100*AP33/100*AP32</f>
        <v>1789608.26214114</v>
      </c>
      <c r="AQ34" s="13" t="n">
        <f aca="false">$F$30*730*Time!AQ25*AQ28/100*AQ33/100*AQ32</f>
        <v>1776764.20296626</v>
      </c>
      <c r="AR34" s="13" t="n">
        <f aca="false">$F$30*730*Time!AR25*AR28/100*AR33/100*AR32</f>
        <v>1781137.53631307</v>
      </c>
      <c r="AS34" s="13" t="n">
        <f aca="false">$F$30*730*Time!AS25*AS28/100*AS33/100*AS32</f>
        <v>1791230.97009593</v>
      </c>
      <c r="AT34" s="13" t="n">
        <f aca="false">$F$30*730*Time!AT25*AT28/100*AT33/100*AT32</f>
        <v>1757419.06483132</v>
      </c>
      <c r="AU34" s="13" t="n">
        <f aca="false">$F$30*730*Time!AU25*AU28/100*AU33/100*AU32</f>
        <v>1691243.02892301</v>
      </c>
      <c r="AV34" s="13" t="n">
        <f aca="false">$F$30*730*Time!AV25*AV28/100*AV33/100*AV32</f>
        <v>1722333.58634102</v>
      </c>
      <c r="AW34" s="13" t="n">
        <f aca="false">$F$30*730*Time!AW25*AW28/100*AW33/100*AW32</f>
        <v>1785738.50257551</v>
      </c>
      <c r="AX34" s="13" t="n">
        <f aca="false">$F$30*730*Time!AX25*AX28/100*AX33/100*AX32</f>
        <v>1778658.4601548</v>
      </c>
      <c r="AY34" s="13" t="n">
        <f aca="false">$F$30*730*Time!AY25*AY28/100*AY33/100*AY32</f>
        <v>1765884.66708893</v>
      </c>
      <c r="AZ34" s="13" t="n">
        <f aca="false">$F$30*730*Time!AZ25*AZ28/100*AZ33/100*AZ32</f>
        <v>1770222.86738124</v>
      </c>
      <c r="BA34" s="13" t="n">
        <f aca="false">$F$30*730*Time!BA25*BA28/100*BA33/100*BA32</f>
        <v>1780246.0350551</v>
      </c>
      <c r="BB34" s="13" t="n">
        <f aca="false">$F$30*730*Time!BB25*BB28/100*BB33/100*BB32</f>
        <v>1758644.08612751</v>
      </c>
      <c r="BC34" s="13" t="n">
        <f aca="false">$F$30*730*Time!BC25*BC28/100*BC33/100*BC32</f>
        <v>1716860.14922513</v>
      </c>
      <c r="BD34" s="13" t="n">
        <f aca="false">$F$30*730*Time!BD25*BD28/100*BD33/100*BD32</f>
        <v>1735731.47908339</v>
      </c>
      <c r="BE34" s="13" t="n">
        <f aca="false">$F$30*730*Time!BE25*BE28/100*BE33/100*BE32</f>
        <v>1774753.56753468</v>
      </c>
      <c r="BF34" s="13" t="n">
        <f aca="false">$F$30*730*Time!BF25*BF28/100*BF33/100*BF32</f>
        <v>1767708.65816847</v>
      </c>
      <c r="BG34" s="13" t="n">
        <f aca="false">$F$30*730*Time!BG25*BG28/100*BG33/100*BG32</f>
        <v>1755005.1312116</v>
      </c>
      <c r="BH34" s="13" t="n">
        <f aca="false">$F$30*730*Time!BH25*BH28/100*BH33/100*BH32</f>
        <v>1759308.19844941</v>
      </c>
      <c r="BI34" s="13" t="n">
        <f aca="false">$F$30*730*Time!BI25*BI28/100*BI33/100*BI32</f>
        <v>1769261.10001426</v>
      </c>
      <c r="BJ34" s="13" t="n">
        <f aca="false">$F$30*730*Time!BJ25*BJ28/100*BJ33/100*BJ32</f>
        <v>1735847.36936733</v>
      </c>
      <c r="BK34" s="13" t="n">
        <f aca="false">$F$30*730*Time!BK25*BK28/100*BK33/100*BK32</f>
        <v>1670467.6826944</v>
      </c>
      <c r="BL34" s="13" t="n">
        <f aca="false">$F$30*730*Time!BL25*BL28/100*BL33/100*BL32</f>
        <v>1701160.06549472</v>
      </c>
      <c r="BM34" s="13" t="n">
        <f aca="false">$F$30*730*Time!BM25*BM28/100*BM33/100*BM32</f>
        <v>1763768.63249384</v>
      </c>
      <c r="BN34" s="13" t="n">
        <f aca="false">$F$30*730*Time!BN25*BN28/100*BN33/100*BN32</f>
        <v>1175082.91228473</v>
      </c>
    </row>
    <row r="35" customFormat="false" ht="15" hidden="false" customHeight="false" outlineLevel="0" collapsed="false">
      <c r="D35" s="0" t="s">
        <v>488</v>
      </c>
      <c r="E35" s="0" t="s">
        <v>217</v>
      </c>
      <c r="J35" s="11" t="n">
        <f aca="false">$F$31*(1+Inputs!$F$127/100*J29)*(1+Inputs!$F$128/100)*(1+Inputs!$F$122/100)*Inputs!$F$39</f>
        <v>6456.243024</v>
      </c>
      <c r="K35" s="11" t="n">
        <f aca="false">$F$31*(1+Inputs!$F$127/100*K29)*(1+Inputs!$F$128/100)*(1+Inputs!$F$122/100)*Inputs!$F$39</f>
        <v>6456.243024</v>
      </c>
      <c r="L35" s="11" t="n">
        <f aca="false">$F$31*(1+Inputs!$F$127/100*L29)*(1+Inputs!$F$128/100)*(1+Inputs!$F$122/100)*Inputs!$F$39</f>
        <v>6456.243024</v>
      </c>
      <c r="M35" s="11" t="n">
        <f aca="false">$F$31*(1+Inputs!$F$127/100*M29)*(1+Inputs!$F$128/100)*(1+Inputs!$F$122/100)*Inputs!$F$39</f>
        <v>6456.243024</v>
      </c>
      <c r="N35" s="11" t="n">
        <f aca="false">$F$31*(1+Inputs!$F$127/100*N29)*(1+Inputs!$F$128/100)*(1+Inputs!$F$122/100)*Inputs!$F$39</f>
        <v>6456.243024</v>
      </c>
      <c r="O35" s="11" t="n">
        <f aca="false">$F$31*(1+Inputs!$F$127/100*O29)*(1+Inputs!$F$128/100)*(1+Inputs!$F$122/100)*Inputs!$F$39</f>
        <v>6456.243024</v>
      </c>
      <c r="P35" s="11" t="n">
        <f aca="false">$F$31*(1+Inputs!$F$127/100*P29)*(1+Inputs!$F$128/100)*(1+Inputs!$F$122/100)*Inputs!$F$39</f>
        <v>6456.8886483024</v>
      </c>
      <c r="Q35" s="11" t="n">
        <f aca="false">$F$31*(1+Inputs!$F$127/100*Q29)*(1+Inputs!$F$128/100)*(1+Inputs!$F$122/100)*Inputs!$F$39</f>
        <v>6459.471145512</v>
      </c>
      <c r="R35" s="11" t="n">
        <f aca="false">$F$31*(1+Inputs!$F$127/100*R29)*(1+Inputs!$F$128/100)*(1+Inputs!$F$122/100)*Inputs!$F$39</f>
        <v>6463.3448913264</v>
      </c>
      <c r="S35" s="11" t="n">
        <f aca="false">$F$31*(1+Inputs!$F$127/100*S29)*(1+Inputs!$F$128/100)*(1+Inputs!$F$122/100)*Inputs!$F$39</f>
        <v>6467.2186371408</v>
      </c>
      <c r="T35" s="11" t="n">
        <f aca="false">$F$31*(1+Inputs!$F$127/100*T29)*(1+Inputs!$F$128/100)*(1+Inputs!$F$122/100)*Inputs!$F$39</f>
        <v>6471.0923829552</v>
      </c>
      <c r="U35" s="11" t="n">
        <f aca="false">$F$31*(1+Inputs!$F$127/100*U29)*(1+Inputs!$F$128/100)*(1+Inputs!$F$122/100)*Inputs!$F$39</f>
        <v>6474.9661287696</v>
      </c>
      <c r="V35" s="11" t="n">
        <f aca="false">$F$31*(1+Inputs!$F$127/100*V29)*(1+Inputs!$F$128/100)*(1+Inputs!$F$122/100)*Inputs!$F$39</f>
        <v>6478.839874584</v>
      </c>
      <c r="W35" s="11" t="n">
        <f aca="false">$F$31*(1+Inputs!$F$127/100*W29)*(1+Inputs!$F$128/100)*(1+Inputs!$F$122/100)*Inputs!$F$39</f>
        <v>6482.7136203984</v>
      </c>
      <c r="X35" s="11" t="n">
        <f aca="false">$F$31*(1+Inputs!$F$127/100*X29)*(1+Inputs!$F$128/100)*(1+Inputs!$F$122/100)*Inputs!$F$39</f>
        <v>6486.5873662128</v>
      </c>
      <c r="Y35" s="11" t="n">
        <f aca="false">$F$31*(1+Inputs!$F$127/100*Y29)*(1+Inputs!$F$128/100)*(1+Inputs!$F$122/100)*Inputs!$F$39</f>
        <v>6490.4611120272</v>
      </c>
      <c r="Z35" s="11" t="n">
        <f aca="false">$F$31*(1+Inputs!$F$127/100*Z29)*(1+Inputs!$F$128/100)*(1+Inputs!$F$122/100)*Inputs!$F$39</f>
        <v>6494.3348578416</v>
      </c>
      <c r="AA35" s="11" t="n">
        <f aca="false">$F$31*(1+Inputs!$F$127/100*AA29)*(1+Inputs!$F$128/100)*(1+Inputs!$F$122/100)*Inputs!$F$39</f>
        <v>6498.208603656</v>
      </c>
      <c r="AB35" s="11" t="n">
        <f aca="false">$F$31*(1+Inputs!$F$127/100*AB29)*(1+Inputs!$F$128/100)*(1+Inputs!$F$122/100)*Inputs!$F$39</f>
        <v>6502.0823494704</v>
      </c>
      <c r="AC35" s="11" t="n">
        <f aca="false">$F$31*(1+Inputs!$F$127/100*AC29)*(1+Inputs!$F$128/100)*(1+Inputs!$F$122/100)*Inputs!$F$39</f>
        <v>6505.9560952848</v>
      </c>
      <c r="AD35" s="11" t="n">
        <f aca="false">$F$31*(1+Inputs!$F$127/100*AD29)*(1+Inputs!$F$128/100)*(1+Inputs!$F$122/100)*Inputs!$F$39</f>
        <v>6509.8298410992</v>
      </c>
      <c r="AE35" s="11" t="n">
        <f aca="false">$F$31*(1+Inputs!$F$127/100*AE29)*(1+Inputs!$F$128/100)*(1+Inputs!$F$122/100)*Inputs!$F$39</f>
        <v>6513.7035869136</v>
      </c>
      <c r="AF35" s="11" t="n">
        <f aca="false">$F$31*(1+Inputs!$F$127/100*AF29)*(1+Inputs!$F$128/100)*(1+Inputs!$F$122/100)*Inputs!$F$39</f>
        <v>6517.577332728</v>
      </c>
      <c r="AG35" s="11" t="n">
        <f aca="false">$F$31*(1+Inputs!$F$127/100*AG29)*(1+Inputs!$F$128/100)*(1+Inputs!$F$122/100)*Inputs!$F$39</f>
        <v>6521.4510785424</v>
      </c>
      <c r="AH35" s="11" t="n">
        <f aca="false">$F$31*(1+Inputs!$F$127/100*AH29)*(1+Inputs!$F$128/100)*(1+Inputs!$F$122/100)*Inputs!$F$39</f>
        <v>6525.3248243568</v>
      </c>
      <c r="AI35" s="11" t="n">
        <f aca="false">$F$31*(1+Inputs!$F$127/100*AI29)*(1+Inputs!$F$128/100)*(1+Inputs!$F$122/100)*Inputs!$F$39</f>
        <v>6529.1985701712</v>
      </c>
      <c r="AJ35" s="11" t="n">
        <f aca="false">$F$31*(1+Inputs!$F$127/100*AJ29)*(1+Inputs!$F$128/100)*(1+Inputs!$F$122/100)*Inputs!$F$39</f>
        <v>6533.0723159856</v>
      </c>
      <c r="AK35" s="11" t="n">
        <f aca="false">$F$31*(1+Inputs!$F$127/100*AK29)*(1+Inputs!$F$128/100)*(1+Inputs!$F$122/100)*Inputs!$F$39</f>
        <v>6536.9460618</v>
      </c>
      <c r="AL35" s="11" t="n">
        <f aca="false">$F$31*(1+Inputs!$F$127/100*AL29)*(1+Inputs!$F$128/100)*(1+Inputs!$F$122/100)*Inputs!$F$39</f>
        <v>6540.8198076144</v>
      </c>
      <c r="AM35" s="11" t="n">
        <f aca="false">$F$31*(1+Inputs!$F$127/100*AM29)*(1+Inputs!$F$128/100)*(1+Inputs!$F$122/100)*Inputs!$F$39</f>
        <v>6544.6935534288</v>
      </c>
      <c r="AN35" s="11" t="n">
        <f aca="false">$F$31*(1+Inputs!$F$127/100*AN29)*(1+Inputs!$F$128/100)*(1+Inputs!$F$122/100)*Inputs!$F$39</f>
        <v>6548.5672992432</v>
      </c>
      <c r="AO35" s="11" t="n">
        <f aca="false">$F$31*(1+Inputs!$F$127/100*AO29)*(1+Inputs!$F$128/100)*(1+Inputs!$F$122/100)*Inputs!$F$39</f>
        <v>6552.4410450576</v>
      </c>
      <c r="AP35" s="11" t="n">
        <f aca="false">$F$31*(1+Inputs!$F$127/100*AP29)*(1+Inputs!$F$128/100)*(1+Inputs!$F$122/100)*Inputs!$F$39</f>
        <v>6556.314790872</v>
      </c>
      <c r="AQ35" s="11" t="n">
        <f aca="false">$F$31*(1+Inputs!$F$127/100*AQ29)*(1+Inputs!$F$128/100)*(1+Inputs!$F$122/100)*Inputs!$F$39</f>
        <v>6560.1885366864</v>
      </c>
      <c r="AR35" s="11" t="n">
        <f aca="false">$F$31*(1+Inputs!$F$127/100*AR29)*(1+Inputs!$F$128/100)*(1+Inputs!$F$122/100)*Inputs!$F$39</f>
        <v>6564.0622825008</v>
      </c>
      <c r="AS35" s="11" t="n">
        <f aca="false">$F$31*(1+Inputs!$F$127/100*AS29)*(1+Inputs!$F$128/100)*(1+Inputs!$F$122/100)*Inputs!$F$39</f>
        <v>6567.9360283152</v>
      </c>
      <c r="AT35" s="11" t="n">
        <f aca="false">$F$31*(1+Inputs!$F$127/100*AT29)*(1+Inputs!$F$128/100)*(1+Inputs!$F$122/100)*Inputs!$F$39</f>
        <v>6571.8097741296</v>
      </c>
      <c r="AU35" s="11" t="n">
        <f aca="false">$F$31*(1+Inputs!$F$127/100*AU29)*(1+Inputs!$F$128/100)*(1+Inputs!$F$122/100)*Inputs!$F$39</f>
        <v>6575.683519944</v>
      </c>
      <c r="AV35" s="11" t="n">
        <f aca="false">$F$31*(1+Inputs!$F$127/100*AV29)*(1+Inputs!$F$128/100)*(1+Inputs!$F$122/100)*Inputs!$F$39</f>
        <v>6579.5572657584</v>
      </c>
      <c r="AW35" s="11" t="n">
        <f aca="false">$F$31*(1+Inputs!$F$127/100*AW29)*(1+Inputs!$F$128/100)*(1+Inputs!$F$122/100)*Inputs!$F$39</f>
        <v>6583.4310115728</v>
      </c>
      <c r="AX35" s="11" t="n">
        <f aca="false">$F$31*(1+Inputs!$F$127/100*AX29)*(1+Inputs!$F$128/100)*(1+Inputs!$F$122/100)*Inputs!$F$39</f>
        <v>6587.3047573872</v>
      </c>
      <c r="AY35" s="11" t="n">
        <f aca="false">$F$31*(1+Inputs!$F$127/100*AY29)*(1+Inputs!$F$128/100)*(1+Inputs!$F$122/100)*Inputs!$F$39</f>
        <v>6591.1785032016</v>
      </c>
      <c r="AZ35" s="11" t="n">
        <f aca="false">$F$31*(1+Inputs!$F$127/100*AZ29)*(1+Inputs!$F$128/100)*(1+Inputs!$F$122/100)*Inputs!$F$39</f>
        <v>6595.052249016</v>
      </c>
      <c r="BA35" s="11" t="n">
        <f aca="false">$F$31*(1+Inputs!$F$127/100*BA29)*(1+Inputs!$F$128/100)*(1+Inputs!$F$122/100)*Inputs!$F$39</f>
        <v>6598.9259948304</v>
      </c>
      <c r="BB35" s="11" t="n">
        <f aca="false">$F$31*(1+Inputs!$F$127/100*BB29)*(1+Inputs!$F$128/100)*(1+Inputs!$F$122/100)*Inputs!$F$39</f>
        <v>6602.7997406448</v>
      </c>
      <c r="BC35" s="11" t="n">
        <f aca="false">$F$31*(1+Inputs!$F$127/100*BC29)*(1+Inputs!$F$128/100)*(1+Inputs!$F$122/100)*Inputs!$F$39</f>
        <v>6606.6734864592</v>
      </c>
      <c r="BD35" s="11" t="n">
        <f aca="false">$F$31*(1+Inputs!$F$127/100*BD29)*(1+Inputs!$F$128/100)*(1+Inputs!$F$122/100)*Inputs!$F$39</f>
        <v>6610.5472322736</v>
      </c>
      <c r="BE35" s="11" t="n">
        <f aca="false">$F$31*(1+Inputs!$F$127/100*BE29)*(1+Inputs!$F$128/100)*(1+Inputs!$F$122/100)*Inputs!$F$39</f>
        <v>6614.420978088</v>
      </c>
      <c r="BF35" s="11" t="n">
        <f aca="false">$F$31*(1+Inputs!$F$127/100*BF29)*(1+Inputs!$F$128/100)*(1+Inputs!$F$122/100)*Inputs!$F$39</f>
        <v>6618.2947239024</v>
      </c>
      <c r="BG35" s="11" t="n">
        <f aca="false">$F$31*(1+Inputs!$F$127/100*BG29)*(1+Inputs!$F$128/100)*(1+Inputs!$F$122/100)*Inputs!$F$39</f>
        <v>6622.1684697168</v>
      </c>
      <c r="BH35" s="11" t="n">
        <f aca="false">$F$31*(1+Inputs!$F$127/100*BH29)*(1+Inputs!$F$128/100)*(1+Inputs!$F$122/100)*Inputs!$F$39</f>
        <v>6626.0422155312</v>
      </c>
      <c r="BI35" s="11" t="n">
        <f aca="false">$F$31*(1+Inputs!$F$127/100*BI29)*(1+Inputs!$F$128/100)*(1+Inputs!$F$122/100)*Inputs!$F$39</f>
        <v>6629.9159613456</v>
      </c>
      <c r="BJ35" s="11" t="n">
        <f aca="false">$F$31*(1+Inputs!$F$127/100*BJ29)*(1+Inputs!$F$128/100)*(1+Inputs!$F$122/100)*Inputs!$F$39</f>
        <v>6633.78970716</v>
      </c>
      <c r="BK35" s="11" t="n">
        <f aca="false">$F$31*(1+Inputs!$F$127/100*BK29)*(1+Inputs!$F$128/100)*(1+Inputs!$F$122/100)*Inputs!$F$39</f>
        <v>6637.6634529744</v>
      </c>
      <c r="BL35" s="11" t="n">
        <f aca="false">$F$31*(1+Inputs!$F$127/100*BL29)*(1+Inputs!$F$128/100)*(1+Inputs!$F$122/100)*Inputs!$F$39</f>
        <v>6641.5371987888</v>
      </c>
      <c r="BM35" s="11" t="n">
        <f aca="false">$F$31*(1+Inputs!$F$127/100*BM29)*(1+Inputs!$F$128/100)*(1+Inputs!$F$122/100)*Inputs!$F$39</f>
        <v>6645.4109446032</v>
      </c>
      <c r="BN35" s="11" t="n">
        <f aca="false">$F$31*(1+Inputs!$F$127/100*BN29)*(1+Inputs!$F$128/100)*(1+Inputs!$F$122/100)*Inputs!$F$39</f>
        <v>6648.6390661152</v>
      </c>
    </row>
    <row r="36" customFormat="false" ht="15" hidden="false" customHeight="false" outlineLevel="0" collapsed="false">
      <c r="D36" s="0" t="s">
        <v>489</v>
      </c>
      <c r="E36" s="0" t="s">
        <v>217</v>
      </c>
      <c r="J36" s="11" t="n">
        <f aca="false">Inputs!$F$120*(1+Inputs!$F$121/100*J29)*(1+Inputs!$F$122/100)</f>
        <v>6468.429</v>
      </c>
      <c r="K36" s="11" t="n">
        <f aca="false">Inputs!$F$120*(1+Inputs!$F$121/100*K29)*(1+Inputs!$F$122/100)</f>
        <v>6468.429</v>
      </c>
      <c r="L36" s="11" t="n">
        <f aca="false">Inputs!$F$120*(1+Inputs!$F$121/100*L29)*(1+Inputs!$F$122/100)</f>
        <v>6468.429</v>
      </c>
      <c r="M36" s="11" t="n">
        <f aca="false">Inputs!$F$120*(1+Inputs!$F$121/100*M29)*(1+Inputs!$F$122/100)</f>
        <v>6468.429</v>
      </c>
      <c r="N36" s="11" t="n">
        <f aca="false">Inputs!$F$120*(1+Inputs!$F$121/100*N29)*(1+Inputs!$F$122/100)</f>
        <v>6468.429</v>
      </c>
      <c r="O36" s="11" t="n">
        <f aca="false">Inputs!$F$120*(1+Inputs!$F$121/100*O29)*(1+Inputs!$F$122/100)</f>
        <v>6468.429</v>
      </c>
      <c r="P36" s="11" t="n">
        <f aca="false">Inputs!$F$120*(1+Inputs!$F$121/100*P29)*(1+Inputs!$F$122/100)</f>
        <v>6468.96803575</v>
      </c>
      <c r="Q36" s="11" t="n">
        <f aca="false">Inputs!$F$120*(1+Inputs!$F$121/100*Q29)*(1+Inputs!$F$122/100)</f>
        <v>6471.12417875</v>
      </c>
      <c r="R36" s="11" t="n">
        <f aca="false">Inputs!$F$120*(1+Inputs!$F$121/100*R29)*(1+Inputs!$F$122/100)</f>
        <v>6474.35839325</v>
      </c>
      <c r="S36" s="11" t="n">
        <f aca="false">Inputs!$F$120*(1+Inputs!$F$121/100*S29)*(1+Inputs!$F$122/100)</f>
        <v>6477.59260775</v>
      </c>
      <c r="T36" s="11" t="n">
        <f aca="false">Inputs!$F$120*(1+Inputs!$F$121/100*T29)*(1+Inputs!$F$122/100)</f>
        <v>6480.82682225</v>
      </c>
      <c r="U36" s="11" t="n">
        <f aca="false">Inputs!$F$120*(1+Inputs!$F$121/100*U29)*(1+Inputs!$F$122/100)</f>
        <v>6484.06103675</v>
      </c>
      <c r="V36" s="11" t="n">
        <f aca="false">Inputs!$F$120*(1+Inputs!$F$121/100*V29)*(1+Inputs!$F$122/100)</f>
        <v>6487.29525125</v>
      </c>
      <c r="W36" s="11" t="n">
        <f aca="false">Inputs!$F$120*(1+Inputs!$F$121/100*W29)*(1+Inputs!$F$122/100)</f>
        <v>6490.52946575</v>
      </c>
      <c r="X36" s="11" t="n">
        <f aca="false">Inputs!$F$120*(1+Inputs!$F$121/100*X29)*(1+Inputs!$F$122/100)</f>
        <v>6493.76368025</v>
      </c>
      <c r="Y36" s="11" t="n">
        <f aca="false">Inputs!$F$120*(1+Inputs!$F$121/100*Y29)*(1+Inputs!$F$122/100)</f>
        <v>6496.99789475</v>
      </c>
      <c r="Z36" s="11" t="n">
        <f aca="false">Inputs!$F$120*(1+Inputs!$F$121/100*Z29)*(1+Inputs!$F$122/100)</f>
        <v>6500.23210925</v>
      </c>
      <c r="AA36" s="11" t="n">
        <f aca="false">Inputs!$F$120*(1+Inputs!$F$121/100*AA29)*(1+Inputs!$F$122/100)</f>
        <v>6503.46632375</v>
      </c>
      <c r="AB36" s="11" t="n">
        <f aca="false">Inputs!$F$120*(1+Inputs!$F$121/100*AB29)*(1+Inputs!$F$122/100)</f>
        <v>6506.70053825</v>
      </c>
      <c r="AC36" s="11" t="n">
        <f aca="false">Inputs!$F$120*(1+Inputs!$F$121/100*AC29)*(1+Inputs!$F$122/100)</f>
        <v>6509.93475275</v>
      </c>
      <c r="AD36" s="11" t="n">
        <f aca="false">Inputs!$F$120*(1+Inputs!$F$121/100*AD29)*(1+Inputs!$F$122/100)</f>
        <v>6513.16896725</v>
      </c>
      <c r="AE36" s="11" t="n">
        <f aca="false">Inputs!$F$120*(1+Inputs!$F$121/100*AE29)*(1+Inputs!$F$122/100)</f>
        <v>6516.40318175</v>
      </c>
      <c r="AF36" s="11" t="n">
        <f aca="false">Inputs!$F$120*(1+Inputs!$F$121/100*AF29)*(1+Inputs!$F$122/100)</f>
        <v>6519.63739625</v>
      </c>
      <c r="AG36" s="11" t="n">
        <f aca="false">Inputs!$F$120*(1+Inputs!$F$121/100*AG29)*(1+Inputs!$F$122/100)</f>
        <v>6522.87161075</v>
      </c>
      <c r="AH36" s="11" t="n">
        <f aca="false">Inputs!$F$120*(1+Inputs!$F$121/100*AH29)*(1+Inputs!$F$122/100)</f>
        <v>6526.10582525</v>
      </c>
      <c r="AI36" s="11" t="n">
        <f aca="false">Inputs!$F$120*(1+Inputs!$F$121/100*AI29)*(1+Inputs!$F$122/100)</f>
        <v>6529.34003975</v>
      </c>
      <c r="AJ36" s="11" t="n">
        <f aca="false">Inputs!$F$120*(1+Inputs!$F$121/100*AJ29)*(1+Inputs!$F$122/100)</f>
        <v>6532.57425425</v>
      </c>
      <c r="AK36" s="11" t="n">
        <f aca="false">Inputs!$F$120*(1+Inputs!$F$121/100*AK29)*(1+Inputs!$F$122/100)</f>
        <v>6535.80846875</v>
      </c>
      <c r="AL36" s="11" t="n">
        <f aca="false">Inputs!$F$120*(1+Inputs!$F$121/100*AL29)*(1+Inputs!$F$122/100)</f>
        <v>6539.04268325</v>
      </c>
      <c r="AM36" s="11" t="n">
        <f aca="false">Inputs!$F$120*(1+Inputs!$F$121/100*AM29)*(1+Inputs!$F$122/100)</f>
        <v>6542.27689775</v>
      </c>
      <c r="AN36" s="11" t="n">
        <f aca="false">Inputs!$F$120*(1+Inputs!$F$121/100*AN29)*(1+Inputs!$F$122/100)</f>
        <v>6545.51111225</v>
      </c>
      <c r="AO36" s="11" t="n">
        <f aca="false">Inputs!$F$120*(1+Inputs!$F$121/100*AO29)*(1+Inputs!$F$122/100)</f>
        <v>6548.74532675</v>
      </c>
      <c r="AP36" s="11" t="n">
        <f aca="false">Inputs!$F$120*(1+Inputs!$F$121/100*AP29)*(1+Inputs!$F$122/100)</f>
        <v>6551.97954125</v>
      </c>
      <c r="AQ36" s="11" t="n">
        <f aca="false">Inputs!$F$120*(1+Inputs!$F$121/100*AQ29)*(1+Inputs!$F$122/100)</f>
        <v>6555.21375575</v>
      </c>
      <c r="AR36" s="11" t="n">
        <f aca="false">Inputs!$F$120*(1+Inputs!$F$121/100*AR29)*(1+Inputs!$F$122/100)</f>
        <v>6558.44797025</v>
      </c>
      <c r="AS36" s="11" t="n">
        <f aca="false">Inputs!$F$120*(1+Inputs!$F$121/100*AS29)*(1+Inputs!$F$122/100)</f>
        <v>6561.68218475</v>
      </c>
      <c r="AT36" s="11" t="n">
        <f aca="false">Inputs!$F$120*(1+Inputs!$F$121/100*AT29)*(1+Inputs!$F$122/100)</f>
        <v>6564.91639925</v>
      </c>
      <c r="AU36" s="11" t="n">
        <f aca="false">Inputs!$F$120*(1+Inputs!$F$121/100*AU29)*(1+Inputs!$F$122/100)</f>
        <v>6568.15061375</v>
      </c>
      <c r="AV36" s="11" t="n">
        <f aca="false">Inputs!$F$120*(1+Inputs!$F$121/100*AV29)*(1+Inputs!$F$122/100)</f>
        <v>6571.38482825</v>
      </c>
      <c r="AW36" s="11" t="n">
        <f aca="false">Inputs!$F$120*(1+Inputs!$F$121/100*AW29)*(1+Inputs!$F$122/100)</f>
        <v>6574.61904275</v>
      </c>
      <c r="AX36" s="11" t="n">
        <f aca="false">Inputs!$F$120*(1+Inputs!$F$121/100*AX29)*(1+Inputs!$F$122/100)</f>
        <v>6577.85325725</v>
      </c>
      <c r="AY36" s="11" t="n">
        <f aca="false">Inputs!$F$120*(1+Inputs!$F$121/100*AY29)*(1+Inputs!$F$122/100)</f>
        <v>6581.08747175</v>
      </c>
      <c r="AZ36" s="11" t="n">
        <f aca="false">Inputs!$F$120*(1+Inputs!$F$121/100*AZ29)*(1+Inputs!$F$122/100)</f>
        <v>6584.32168625</v>
      </c>
      <c r="BA36" s="11" t="n">
        <f aca="false">Inputs!$F$120*(1+Inputs!$F$121/100*BA29)*(1+Inputs!$F$122/100)</f>
        <v>6587.55590075</v>
      </c>
      <c r="BB36" s="11" t="n">
        <f aca="false">Inputs!$F$120*(1+Inputs!$F$121/100*BB29)*(1+Inputs!$F$122/100)</f>
        <v>6590.79011525</v>
      </c>
      <c r="BC36" s="11" t="n">
        <f aca="false">Inputs!$F$120*(1+Inputs!$F$121/100*BC29)*(1+Inputs!$F$122/100)</f>
        <v>6594.02432975</v>
      </c>
      <c r="BD36" s="11" t="n">
        <f aca="false">Inputs!$F$120*(1+Inputs!$F$121/100*BD29)*(1+Inputs!$F$122/100)</f>
        <v>6597.25854425</v>
      </c>
      <c r="BE36" s="11" t="n">
        <f aca="false">Inputs!$F$120*(1+Inputs!$F$121/100*BE29)*(1+Inputs!$F$122/100)</f>
        <v>6600.49275875</v>
      </c>
      <c r="BF36" s="11" t="n">
        <f aca="false">Inputs!$F$120*(1+Inputs!$F$121/100*BF29)*(1+Inputs!$F$122/100)</f>
        <v>6603.72697325</v>
      </c>
      <c r="BG36" s="11" t="n">
        <f aca="false">Inputs!$F$120*(1+Inputs!$F$121/100*BG29)*(1+Inputs!$F$122/100)</f>
        <v>6606.96118775</v>
      </c>
      <c r="BH36" s="11" t="n">
        <f aca="false">Inputs!$F$120*(1+Inputs!$F$121/100*BH29)*(1+Inputs!$F$122/100)</f>
        <v>6610.19540225</v>
      </c>
      <c r="BI36" s="11" t="n">
        <f aca="false">Inputs!$F$120*(1+Inputs!$F$121/100*BI29)*(1+Inputs!$F$122/100)</f>
        <v>6613.42961675</v>
      </c>
      <c r="BJ36" s="11" t="n">
        <f aca="false">Inputs!$F$120*(1+Inputs!$F$121/100*BJ29)*(1+Inputs!$F$122/100)</f>
        <v>6616.66383125</v>
      </c>
      <c r="BK36" s="11" t="n">
        <f aca="false">Inputs!$F$120*(1+Inputs!$F$121/100*BK29)*(1+Inputs!$F$122/100)</f>
        <v>6619.89804575</v>
      </c>
      <c r="BL36" s="11" t="n">
        <f aca="false">Inputs!$F$120*(1+Inputs!$F$121/100*BL29)*(1+Inputs!$F$122/100)</f>
        <v>6623.13226025</v>
      </c>
      <c r="BM36" s="11" t="n">
        <f aca="false">Inputs!$F$120*(1+Inputs!$F$121/100*BM29)*(1+Inputs!$F$122/100)</f>
        <v>6626.36647475</v>
      </c>
      <c r="BN36" s="11" t="n">
        <f aca="false">Inputs!$F$120*(1+Inputs!$F$121/100*BN29)*(1+Inputs!$F$122/100)</f>
        <v>6629.0616535</v>
      </c>
    </row>
    <row r="37" customFormat="false" ht="15" hidden="false" customHeight="false" outlineLevel="0" collapsed="false">
      <c r="D37" s="0" t="s">
        <v>490</v>
      </c>
      <c r="E37" s="0" t="s">
        <v>247</v>
      </c>
      <c r="J37" s="11" t="n">
        <f aca="false">Inputs!$F$142*(1+Inputs!$F$143/100)^(Time!J21-2018)*Inputs!$F$41</f>
        <v>5.86</v>
      </c>
      <c r="K37" s="11" t="n">
        <f aca="false">Inputs!$F$142*(1+Inputs!$F$143/100)^(Time!K21-2018)*Inputs!$F$41</f>
        <v>5.9772</v>
      </c>
      <c r="L37" s="11" t="n">
        <f aca="false">Inputs!$F$142*(1+Inputs!$F$143/100)^(Time!L21-2018)*Inputs!$F$41</f>
        <v>5.9772</v>
      </c>
      <c r="M37" s="11" t="n">
        <f aca="false">Inputs!$F$142*(1+Inputs!$F$143/100)^(Time!M21-2018)*Inputs!$F$41</f>
        <v>6.096744</v>
      </c>
      <c r="N37" s="11" t="n">
        <f aca="false">Inputs!$F$142*(1+Inputs!$F$143/100)^(Time!N21-2018)*Inputs!$F$41</f>
        <v>6.096744</v>
      </c>
      <c r="O37" s="11" t="n">
        <f aca="false">Inputs!$F$142*(1+Inputs!$F$143/100)^(Time!O21-2018)*Inputs!$F$41</f>
        <v>6.21867888</v>
      </c>
      <c r="P37" s="11" t="n">
        <f aca="false">Inputs!$F$142*(1+Inputs!$F$143/100)^(Time!P21-2018)*Inputs!$F$41</f>
        <v>6.21867888</v>
      </c>
      <c r="Q37" s="11" t="n">
        <f aca="false">Inputs!$F$142*(1+Inputs!$F$143/100)^(Time!Q21-2018)*Inputs!$F$41</f>
        <v>6.3430524576</v>
      </c>
      <c r="R37" s="11" t="n">
        <f aca="false">Inputs!$F$142*(1+Inputs!$F$143/100)^(Time!R21-2018)*Inputs!$F$41</f>
        <v>6.3430524576</v>
      </c>
      <c r="S37" s="11" t="n">
        <f aca="false">Inputs!$F$142*(1+Inputs!$F$143/100)^(Time!S21-2018)*Inputs!$F$41</f>
        <v>6.469913506752</v>
      </c>
      <c r="T37" s="11" t="n">
        <f aca="false">Inputs!$F$142*(1+Inputs!$F$143/100)^(Time!T21-2018)*Inputs!$F$41</f>
        <v>6.469913506752</v>
      </c>
      <c r="U37" s="11" t="n">
        <f aca="false">Inputs!$F$142*(1+Inputs!$F$143/100)^(Time!U21-2018)*Inputs!$F$41</f>
        <v>6.59931177688704</v>
      </c>
      <c r="V37" s="11" t="n">
        <f aca="false">Inputs!$F$142*(1+Inputs!$F$143/100)^(Time!V21-2018)*Inputs!$F$41</f>
        <v>6.59931177688704</v>
      </c>
      <c r="W37" s="11" t="n">
        <f aca="false">Inputs!$F$142*(1+Inputs!$F$143/100)^(Time!W21-2018)*Inputs!$F$41</f>
        <v>6.73129801242478</v>
      </c>
      <c r="X37" s="11" t="n">
        <f aca="false">Inputs!$F$142*(1+Inputs!$F$143/100)^(Time!X21-2018)*Inputs!$F$41</f>
        <v>6.73129801242478</v>
      </c>
      <c r="Y37" s="11" t="n">
        <f aca="false">Inputs!$F$142*(1+Inputs!$F$143/100)^(Time!Y21-2018)*Inputs!$F$41</f>
        <v>6.86592397267328</v>
      </c>
      <c r="Z37" s="11" t="n">
        <f aca="false">Inputs!$F$142*(1+Inputs!$F$143/100)^(Time!Z21-2018)*Inputs!$F$41</f>
        <v>6.86592397267328</v>
      </c>
      <c r="AA37" s="11" t="n">
        <f aca="false">Inputs!$F$142*(1+Inputs!$F$143/100)^(Time!AA21-2018)*Inputs!$F$41</f>
        <v>7.00324245212674</v>
      </c>
      <c r="AB37" s="11" t="n">
        <f aca="false">Inputs!$F$142*(1+Inputs!$F$143/100)^(Time!AB21-2018)*Inputs!$F$41</f>
        <v>7.00324245212674</v>
      </c>
      <c r="AC37" s="11" t="n">
        <f aca="false">Inputs!$F$142*(1+Inputs!$F$143/100)^(Time!AC21-2018)*Inputs!$F$41</f>
        <v>7.14330730116928</v>
      </c>
      <c r="AD37" s="11" t="n">
        <f aca="false">Inputs!$F$142*(1+Inputs!$F$143/100)^(Time!AD21-2018)*Inputs!$F$41</f>
        <v>7.14330730116928</v>
      </c>
      <c r="AE37" s="11" t="n">
        <f aca="false">Inputs!$F$142*(1+Inputs!$F$143/100)^(Time!AE21-2018)*Inputs!$F$41</f>
        <v>7.28617344719266</v>
      </c>
      <c r="AF37" s="11" t="n">
        <f aca="false">Inputs!$F$142*(1+Inputs!$F$143/100)^(Time!AF21-2018)*Inputs!$F$41</f>
        <v>7.28617344719266</v>
      </c>
      <c r="AG37" s="11" t="n">
        <f aca="false">Inputs!$F$142*(1+Inputs!$F$143/100)^(Time!AG21-2018)*Inputs!$F$41</f>
        <v>7.43189691613652</v>
      </c>
      <c r="AH37" s="11" t="n">
        <f aca="false">Inputs!$F$142*(1+Inputs!$F$143/100)^(Time!AH21-2018)*Inputs!$F$41</f>
        <v>7.43189691613652</v>
      </c>
      <c r="AI37" s="11" t="n">
        <f aca="false">Inputs!$F$142*(1+Inputs!$F$143/100)^(Time!AI21-2018)*Inputs!$F$41</f>
        <v>7.58053485445925</v>
      </c>
      <c r="AJ37" s="11" t="n">
        <f aca="false">Inputs!$F$142*(1+Inputs!$F$143/100)^(Time!AJ21-2018)*Inputs!$F$41</f>
        <v>7.58053485445925</v>
      </c>
      <c r="AK37" s="11" t="n">
        <f aca="false">Inputs!$F$142*(1+Inputs!$F$143/100)^(Time!AK21-2018)*Inputs!$F$41</f>
        <v>7.73214555154843</v>
      </c>
      <c r="AL37" s="11" t="n">
        <f aca="false">Inputs!$F$142*(1+Inputs!$F$143/100)^(Time!AL21-2018)*Inputs!$F$41</f>
        <v>7.73214555154843</v>
      </c>
      <c r="AM37" s="11" t="n">
        <f aca="false">Inputs!$F$142*(1+Inputs!$F$143/100)^(Time!AM21-2018)*Inputs!$F$41</f>
        <v>7.8867884625794</v>
      </c>
      <c r="AN37" s="11" t="n">
        <f aca="false">Inputs!$F$142*(1+Inputs!$F$143/100)^(Time!AN21-2018)*Inputs!$F$41</f>
        <v>7.8867884625794</v>
      </c>
      <c r="AO37" s="11" t="n">
        <f aca="false">Inputs!$F$142*(1+Inputs!$F$143/100)^(Time!AO21-2018)*Inputs!$F$41</f>
        <v>8.04452423183099</v>
      </c>
      <c r="AP37" s="11" t="n">
        <f aca="false">Inputs!$F$142*(1+Inputs!$F$143/100)^(Time!AP21-2018)*Inputs!$F$41</f>
        <v>8.04452423183099</v>
      </c>
      <c r="AQ37" s="11" t="n">
        <f aca="false">Inputs!$F$142*(1+Inputs!$F$143/100)^(Time!AQ21-2018)*Inputs!$F$41</f>
        <v>8.20541471646761</v>
      </c>
      <c r="AR37" s="11" t="n">
        <f aca="false">Inputs!$F$142*(1+Inputs!$F$143/100)^(Time!AR21-2018)*Inputs!$F$41</f>
        <v>8.20541471646761</v>
      </c>
      <c r="AS37" s="11" t="n">
        <f aca="false">Inputs!$F$142*(1+Inputs!$F$143/100)^(Time!AS21-2018)*Inputs!$F$41</f>
        <v>8.36952301079696</v>
      </c>
      <c r="AT37" s="11" t="n">
        <f aca="false">Inputs!$F$142*(1+Inputs!$F$143/100)^(Time!AT21-2018)*Inputs!$F$41</f>
        <v>8.36952301079696</v>
      </c>
      <c r="AU37" s="11" t="n">
        <f aca="false">Inputs!$F$142*(1+Inputs!$F$143/100)^(Time!AU21-2018)*Inputs!$F$41</f>
        <v>8.5369134710129</v>
      </c>
      <c r="AV37" s="11" t="n">
        <f aca="false">Inputs!$F$142*(1+Inputs!$F$143/100)^(Time!AV21-2018)*Inputs!$F$41</f>
        <v>8.5369134710129</v>
      </c>
      <c r="AW37" s="11" t="n">
        <f aca="false">Inputs!$F$142*(1+Inputs!$F$143/100)^(Time!AW21-2018)*Inputs!$F$41</f>
        <v>8.70765174043316</v>
      </c>
      <c r="AX37" s="11" t="n">
        <f aca="false">Inputs!$F$142*(1+Inputs!$F$143/100)^(Time!AX21-2018)*Inputs!$F$41</f>
        <v>8.70765174043316</v>
      </c>
      <c r="AY37" s="11" t="n">
        <f aca="false">Inputs!$F$142*(1+Inputs!$F$143/100)^(Time!AY21-2018)*Inputs!$F$41</f>
        <v>8.88180477524182</v>
      </c>
      <c r="AZ37" s="11" t="n">
        <f aca="false">Inputs!$F$142*(1+Inputs!$F$143/100)^(Time!AZ21-2018)*Inputs!$F$41</f>
        <v>8.88180477524182</v>
      </c>
      <c r="BA37" s="11" t="n">
        <f aca="false">Inputs!$F$142*(1+Inputs!$F$143/100)^(Time!BA21-2018)*Inputs!$F$41</f>
        <v>9.05944087074666</v>
      </c>
      <c r="BB37" s="11" t="n">
        <f aca="false">Inputs!$F$142*(1+Inputs!$F$143/100)^(Time!BB21-2018)*Inputs!$F$41</f>
        <v>9.05944087074666</v>
      </c>
      <c r="BC37" s="11" t="n">
        <f aca="false">Inputs!$F$142*(1+Inputs!$F$143/100)^(Time!BC21-2018)*Inputs!$F$41</f>
        <v>9.24062968816159</v>
      </c>
      <c r="BD37" s="11" t="n">
        <f aca="false">Inputs!$F$142*(1+Inputs!$F$143/100)^(Time!BD21-2018)*Inputs!$F$41</f>
        <v>9.24062968816159</v>
      </c>
      <c r="BE37" s="11" t="n">
        <f aca="false">Inputs!$F$142*(1+Inputs!$F$143/100)^(Time!BE21-2018)*Inputs!$F$41</f>
        <v>9.42544228192483</v>
      </c>
      <c r="BF37" s="11" t="n">
        <f aca="false">Inputs!$F$142*(1+Inputs!$F$143/100)^(Time!BF21-2018)*Inputs!$F$41</f>
        <v>9.42544228192483</v>
      </c>
      <c r="BG37" s="11" t="n">
        <f aca="false">Inputs!$F$142*(1+Inputs!$F$143/100)^(Time!BG21-2018)*Inputs!$F$41</f>
        <v>9.61395112756332</v>
      </c>
      <c r="BH37" s="11" t="n">
        <f aca="false">Inputs!$F$142*(1+Inputs!$F$143/100)^(Time!BH21-2018)*Inputs!$F$41</f>
        <v>9.61395112756332</v>
      </c>
      <c r="BI37" s="11" t="n">
        <f aca="false">Inputs!$F$142*(1+Inputs!$F$143/100)^(Time!BI21-2018)*Inputs!$F$41</f>
        <v>9.80623015011459</v>
      </c>
      <c r="BJ37" s="11" t="n">
        <f aca="false">Inputs!$F$142*(1+Inputs!$F$143/100)^(Time!BJ21-2018)*Inputs!$F$41</f>
        <v>9.80623015011459</v>
      </c>
      <c r="BK37" s="11" t="n">
        <f aca="false">Inputs!$F$142*(1+Inputs!$F$143/100)^(Time!BK21-2018)*Inputs!$F$41</f>
        <v>10.0023547531169</v>
      </c>
      <c r="BL37" s="11" t="n">
        <f aca="false">Inputs!$F$142*(1+Inputs!$F$143/100)^(Time!BL21-2018)*Inputs!$F$41</f>
        <v>10.0023547531169</v>
      </c>
      <c r="BM37" s="11" t="n">
        <f aca="false">Inputs!$F$142*(1+Inputs!$F$143/100)^(Time!BM21-2018)*Inputs!$F$41</f>
        <v>10.2024018481792</v>
      </c>
      <c r="BN37" s="11" t="n">
        <f aca="false">Inputs!$F$142*(1+Inputs!$F$143/100)^(Time!BN21-2018)*Inputs!$F$41</f>
        <v>10.2024018481792</v>
      </c>
    </row>
    <row r="38" customFormat="false" ht="15" hidden="false" customHeight="false" outlineLevel="0" collapsed="false">
      <c r="D38" s="0" t="s">
        <v>491</v>
      </c>
      <c r="E38" s="0" t="s">
        <v>492</v>
      </c>
      <c r="J38" s="13" t="n">
        <f aca="false">J34*J35*(1000*Inputs!$F$123/Inputs!$F$124)</f>
        <v>0</v>
      </c>
      <c r="K38" s="13" t="n">
        <f aca="false">K34*K35*(1000*Inputs!$F$123/Inputs!$F$124)</f>
        <v>0</v>
      </c>
      <c r="L38" s="13" t="n">
        <f aca="false">L34*L35*(1000*Inputs!$F$123/Inputs!$F$124)</f>
        <v>0</v>
      </c>
      <c r="M38" s="13" t="n">
        <f aca="false">M34*M35*(1000*Inputs!$F$123/Inputs!$F$124)</f>
        <v>0</v>
      </c>
      <c r="N38" s="13" t="n">
        <f aca="false">N34*N35*(1000*Inputs!$F$123/Inputs!$F$124)</f>
        <v>0</v>
      </c>
      <c r="O38" s="13" t="n">
        <f aca="false">O34*O35*(1000*Inputs!$F$123/Inputs!$F$124)</f>
        <v>0</v>
      </c>
      <c r="P38" s="13" t="n">
        <f aca="false">P34*P35*(1000*Inputs!$F$123/Inputs!$F$124)</f>
        <v>4137692.79785515</v>
      </c>
      <c r="Q38" s="13" t="n">
        <f aca="false">Q34*Q35*(1000*Inputs!$F$123/Inputs!$F$124)</f>
        <v>12411833.3306604</v>
      </c>
      <c r="R38" s="13" t="n">
        <f aca="false">R34*R35*(1000*Inputs!$F$123/Inputs!$F$124)</f>
        <v>12370265.7340664</v>
      </c>
      <c r="S38" s="13" t="n">
        <f aca="false">S34*S35*(1000*Inputs!$F$123/Inputs!$F$124)</f>
        <v>12289014.3890996</v>
      </c>
      <c r="T38" s="13" t="n">
        <f aca="false">T34*T35*(1000*Inputs!$F$123/Inputs!$F$124)</f>
        <v>12326811.9428824</v>
      </c>
      <c r="U38" s="13" t="n">
        <f aca="false">U34*U35*(1000*Inputs!$F$123/Inputs!$F$124)</f>
        <v>12404258.6807638</v>
      </c>
      <c r="V38" s="13" t="n">
        <f aca="false">V34*V35*(1000*Inputs!$F$123/Inputs!$F$124)</f>
        <v>12261301.2719524</v>
      </c>
      <c r="W38" s="13" t="n">
        <f aca="false">W34*W35*(1000*Inputs!$F$123/Inputs!$F$124)</f>
        <v>11977362.8114126</v>
      </c>
      <c r="X38" s="13" t="n">
        <f aca="false">X34*X35*(1000*Inputs!$F$123/Inputs!$F$124)</f>
        <v>12116476.923861</v>
      </c>
      <c r="Y38" s="13" t="n">
        <f aca="false">Y34*Y35*(1000*Inputs!$F$123/Inputs!$F$124)</f>
        <v>12396505.2780672</v>
      </c>
      <c r="Z38" s="13" t="n">
        <f aca="false">Z34*Z35*(1000*Inputs!$F$123/Inputs!$F$124)</f>
        <v>12354897.6145475</v>
      </c>
      <c r="AA38" s="13" t="n">
        <f aca="false">AA34*AA35*(1000*Inputs!$F$123/Inputs!$F$124)</f>
        <v>12273656.3696857</v>
      </c>
      <c r="AB38" s="13" t="n">
        <f aca="false">AB34*AB35*(1000*Inputs!$F$123/Inputs!$F$124)</f>
        <v>12311315.5234461</v>
      </c>
      <c r="AC38" s="13" t="n">
        <f aca="false">AC34*AC35*(1000*Inputs!$F$123/Inputs!$F$124)</f>
        <v>12388573.1225706</v>
      </c>
      <c r="AD38" s="13" t="n">
        <f aca="false">AD34*AD35*(1000*Inputs!$F$123/Inputs!$F$124)</f>
        <v>12162072.2211507</v>
      </c>
      <c r="AE38" s="13" t="n">
        <f aca="false">AE34*AE35*(1000*Inputs!$F$123/Inputs!$F$124)</f>
        <v>11711180.1610953</v>
      </c>
      <c r="AF38" s="13" t="n">
        <f aca="false">AF34*AF35*(1000*Inputs!$F$123/Inputs!$F$124)</f>
        <v>11933673.8339858</v>
      </c>
      <c r="AG38" s="13" t="n">
        <f aca="false">AG34*AG35*(1000*Inputs!$F$123/Inputs!$F$124)</f>
        <v>12380462.2142742</v>
      </c>
      <c r="AH38" s="13" t="n">
        <f aca="false">AH34*AH35*(1000*Inputs!$F$123/Inputs!$F$124)</f>
        <v>12338816.7706452</v>
      </c>
      <c r="AI38" s="13" t="n">
        <f aca="false">AI34*AI35*(1000*Inputs!$F$123/Inputs!$F$124)</f>
        <v>12257590.1995206</v>
      </c>
      <c r="AJ38" s="13" t="n">
        <f aca="false">AJ34*AJ35*(1000*Inputs!$F$123/Inputs!$F$124)</f>
        <v>12295108.6664425</v>
      </c>
      <c r="AK38" s="13" t="n">
        <f aca="false">AK34*AK35*(1000*Inputs!$F$123/Inputs!$F$124)</f>
        <v>12372172.5531778</v>
      </c>
      <c r="AL38" s="13" t="n">
        <f aca="false">AL34*AL35*(1000*Inputs!$F$123/Inputs!$F$124)</f>
        <v>12229403.2985218</v>
      </c>
      <c r="AM38" s="13" t="n">
        <f aca="false">AM34*AM35*(1000*Inputs!$F$123/Inputs!$F$124)</f>
        <v>11946025.9972694</v>
      </c>
      <c r="AN38" s="13" t="n">
        <f aca="false">AN34*AN35*(1000*Inputs!$F$123/Inputs!$F$124)</f>
        <v>12084596.482688</v>
      </c>
      <c r="AO38" s="13" t="n">
        <f aca="false">AO34*AO35*(1000*Inputs!$F$123/Inputs!$F$124)</f>
        <v>12363704.1392815</v>
      </c>
      <c r="AP38" s="13" t="n">
        <f aca="false">AP34*AP35*(1000*Inputs!$F$123/Inputs!$F$124)</f>
        <v>12322023.2023594</v>
      </c>
      <c r="AQ38" s="13" t="n">
        <f aca="false">AQ34*AQ35*(1000*Inputs!$F$123/Inputs!$F$124)</f>
        <v>12240815.8786045</v>
      </c>
      <c r="AR38" s="13" t="n">
        <f aca="false">AR34*AR35*(1000*Inputs!$F$123/Inputs!$F$124)</f>
        <v>12278191.3718717</v>
      </c>
      <c r="AS38" s="13" t="n">
        <f aca="false">AS34*AS35*(1000*Inputs!$F$123/Inputs!$F$124)</f>
        <v>12355056.9725853</v>
      </c>
      <c r="AT38" s="13" t="n">
        <f aca="false">AT34*AT35*(1000*Inputs!$F$123/Inputs!$F$124)</f>
        <v>12128987.9935759</v>
      </c>
      <c r="AU38" s="13" t="n">
        <f aca="false">AU34*AU35*(1000*Inputs!$F$123/Inputs!$F$124)</f>
        <v>11679148.2501102</v>
      </c>
      <c r="AV38" s="13" t="n">
        <f aca="false">AV34*AV35*(1000*Inputs!$F$123/Inputs!$F$124)</f>
        <v>11900855.7346466</v>
      </c>
      <c r="AW38" s="13" t="n">
        <f aca="false">AW34*AW35*(1000*Inputs!$F$123/Inputs!$F$124)</f>
        <v>12346231.0530892</v>
      </c>
      <c r="AX38" s="13" t="n">
        <f aca="false">AX34*AX35*(1000*Inputs!$F$123/Inputs!$F$124)</f>
        <v>12304516.9096901</v>
      </c>
      <c r="AY38" s="13" t="n">
        <f aca="false">AY34*AY35*(1000*Inputs!$F$123/Inputs!$F$124)</f>
        <v>12223333.4069373</v>
      </c>
      <c r="AZ38" s="13" t="n">
        <f aca="false">AZ34*AZ35*(1000*Inputs!$F$123/Inputs!$F$124)</f>
        <v>12260563.6397335</v>
      </c>
      <c r="BA38" s="13" t="n">
        <f aca="false">BA34*BA35*(1000*Inputs!$F$123/Inputs!$F$124)</f>
        <v>12337226.3807931</v>
      </c>
      <c r="BB38" s="13" t="n">
        <f aca="false">BB34*BB35*(1000*Inputs!$F$123/Inputs!$F$124)</f>
        <v>12194677.8039008</v>
      </c>
      <c r="BC38" s="13" t="n">
        <f aca="false">BC34*BC35*(1000*Inputs!$F$123/Inputs!$F$124)</f>
        <v>11911926.7091521</v>
      </c>
      <c r="BD38" s="13" t="n">
        <f aca="false">BD34*BD35*(1000*Inputs!$F$123/Inputs!$F$124)</f>
        <v>12049921.0439328</v>
      </c>
      <c r="BE38" s="13" t="n">
        <f aca="false">BE34*BE35*(1000*Inputs!$F$123/Inputs!$F$124)</f>
        <v>12328042.9556971</v>
      </c>
      <c r="BF38" s="13" t="n">
        <f aca="false">BF34*BF35*(1000*Inputs!$F$123/Inputs!$F$124)</f>
        <v>12286297.8926373</v>
      </c>
      <c r="BG38" s="13" t="n">
        <f aca="false">BG34*BG35*(1000*Inputs!$F$123/Inputs!$F$124)</f>
        <v>12205142.7845191</v>
      </c>
      <c r="BH38" s="13" t="n">
        <f aca="false">BH34*BH35*(1000*Inputs!$F$123/Inputs!$F$124)</f>
        <v>12242225.4700281</v>
      </c>
      <c r="BI38" s="13" t="n">
        <f aca="false">BI34*BI35*(1000*Inputs!$F$123/Inputs!$F$124)</f>
        <v>12318680.7778012</v>
      </c>
      <c r="BJ38" s="13" t="n">
        <f aca="false">BJ34*BJ35*(1000*Inputs!$F$123/Inputs!$F$124)</f>
        <v>12093095.5557029</v>
      </c>
      <c r="BK38" s="13" t="n">
        <f aca="false">BK34*BK35*(1000*Inputs!$F$123/Inputs!$F$124)</f>
        <v>11644411.7978281</v>
      </c>
      <c r="BL38" s="13" t="n">
        <f aca="false">BL34*BL35*(1000*Inputs!$F$123/Inputs!$F$124)</f>
        <v>11865281.2595099</v>
      </c>
      <c r="BM38" s="13" t="n">
        <f aca="false">BM34*BM35*(1000*Inputs!$F$123/Inputs!$F$124)</f>
        <v>12309139.8471054</v>
      </c>
      <c r="BN38" s="13" t="n">
        <f aca="false">BN34*BN35*(1000*Inputs!$F$123/Inputs!$F$124)</f>
        <v>8204753.10262872</v>
      </c>
    </row>
    <row r="39" customFormat="false" ht="15" hidden="false" customHeight="false" outlineLevel="0" collapsed="false">
      <c r="D39" s="0" t="s">
        <v>493</v>
      </c>
      <c r="E39" s="0" t="s">
        <v>492</v>
      </c>
      <c r="J39" s="13" t="n">
        <f aca="false">Inputs!$F$145*Inputs!$F$144*Time!J26</f>
        <v>0</v>
      </c>
      <c r="K39" s="13" t="n">
        <f aca="false">Inputs!$F$145*Inputs!$F$144*Time!K26</f>
        <v>0</v>
      </c>
      <c r="L39" s="13" t="n">
        <f aca="false">Inputs!$F$145*Inputs!$F$144*Time!L26</f>
        <v>0</v>
      </c>
      <c r="M39" s="13" t="n">
        <f aca="false">Inputs!$F$145*Inputs!$F$144*Time!M26</f>
        <v>0</v>
      </c>
      <c r="N39" s="13" t="n">
        <f aca="false">Inputs!$F$145*Inputs!$F$144*Time!N26</f>
        <v>0</v>
      </c>
      <c r="O39" s="13" t="n">
        <f aca="false">Inputs!$F$145*Inputs!$F$144*Time!O26</f>
        <v>0</v>
      </c>
      <c r="P39" s="13" t="n">
        <f aca="false">Inputs!$F$145*Inputs!$F$144*Time!P26</f>
        <v>3533120</v>
      </c>
      <c r="Q39" s="13" t="n">
        <f aca="false">Inputs!$F$145*Inputs!$F$144*Time!Q26</f>
        <v>10483520</v>
      </c>
      <c r="R39" s="13" t="n">
        <f aca="false">Inputs!$F$145*Inputs!$F$144*Time!R26</f>
        <v>10657280</v>
      </c>
      <c r="S39" s="13" t="n">
        <f aca="false">Inputs!$F$145*Inputs!$F$144*Time!S26</f>
        <v>10483520</v>
      </c>
      <c r="T39" s="13" t="n">
        <f aca="false">Inputs!$F$145*Inputs!$F$144*Time!T26</f>
        <v>10657280</v>
      </c>
      <c r="U39" s="13" t="n">
        <f aca="false">Inputs!$F$145*Inputs!$F$144*Time!U26</f>
        <v>10541440</v>
      </c>
      <c r="V39" s="13" t="n">
        <f aca="false">Inputs!$F$145*Inputs!$F$144*Time!V26</f>
        <v>10657280</v>
      </c>
      <c r="W39" s="13" t="n">
        <f aca="false">Inputs!$F$145*Inputs!$F$144*Time!W26</f>
        <v>10483520</v>
      </c>
      <c r="X39" s="13" t="n">
        <f aca="false">Inputs!$F$145*Inputs!$F$144*Time!X26</f>
        <v>10657280</v>
      </c>
      <c r="Y39" s="13" t="n">
        <f aca="false">Inputs!$F$145*Inputs!$F$144*Time!Y26</f>
        <v>10483520</v>
      </c>
      <c r="Z39" s="13" t="n">
        <f aca="false">Inputs!$F$145*Inputs!$F$144*Time!Z26</f>
        <v>10657280</v>
      </c>
      <c r="AA39" s="13" t="n">
        <f aca="false">Inputs!$F$145*Inputs!$F$144*Time!AA26</f>
        <v>10483520</v>
      </c>
      <c r="AB39" s="13" t="n">
        <f aca="false">Inputs!$F$145*Inputs!$F$144*Time!AB26</f>
        <v>10657280</v>
      </c>
      <c r="AC39" s="13" t="n">
        <f aca="false">Inputs!$F$145*Inputs!$F$144*Time!AC26</f>
        <v>10541440</v>
      </c>
      <c r="AD39" s="13" t="n">
        <f aca="false">Inputs!$F$145*Inputs!$F$144*Time!AD26</f>
        <v>10657280</v>
      </c>
      <c r="AE39" s="13" t="n">
        <f aca="false">Inputs!$F$145*Inputs!$F$144*Time!AE26</f>
        <v>10483520</v>
      </c>
      <c r="AF39" s="13" t="n">
        <f aca="false">Inputs!$F$145*Inputs!$F$144*Time!AF26</f>
        <v>10657280</v>
      </c>
      <c r="AG39" s="13" t="n">
        <f aca="false">Inputs!$F$145*Inputs!$F$144*Time!AG26</f>
        <v>10483520</v>
      </c>
      <c r="AH39" s="13" t="n">
        <f aca="false">Inputs!$F$145*Inputs!$F$144*Time!AH26</f>
        <v>10657280</v>
      </c>
      <c r="AI39" s="13" t="n">
        <f aca="false">Inputs!$F$145*Inputs!$F$144*Time!AI26</f>
        <v>10483520</v>
      </c>
      <c r="AJ39" s="13" t="n">
        <f aca="false">Inputs!$F$145*Inputs!$F$144*Time!AJ26</f>
        <v>10657280</v>
      </c>
      <c r="AK39" s="13" t="n">
        <f aca="false">Inputs!$F$145*Inputs!$F$144*Time!AK26</f>
        <v>10541440</v>
      </c>
      <c r="AL39" s="13" t="n">
        <f aca="false">Inputs!$F$145*Inputs!$F$144*Time!AL26</f>
        <v>10657280</v>
      </c>
      <c r="AM39" s="13" t="n">
        <f aca="false">Inputs!$F$145*Inputs!$F$144*Time!AM26</f>
        <v>10483520</v>
      </c>
      <c r="AN39" s="13" t="n">
        <f aca="false">Inputs!$F$145*Inputs!$F$144*Time!AN26</f>
        <v>10657280</v>
      </c>
      <c r="AO39" s="13" t="n">
        <f aca="false">Inputs!$F$145*Inputs!$F$144*Time!AO26</f>
        <v>10483520</v>
      </c>
      <c r="AP39" s="13" t="n">
        <f aca="false">Inputs!$F$145*Inputs!$F$144*Time!AP26</f>
        <v>10657280</v>
      </c>
      <c r="AQ39" s="13" t="n">
        <f aca="false">Inputs!$F$145*Inputs!$F$144*Time!AQ26</f>
        <v>10483520</v>
      </c>
      <c r="AR39" s="13" t="n">
        <f aca="false">Inputs!$F$145*Inputs!$F$144*Time!AR26</f>
        <v>10657280</v>
      </c>
      <c r="AS39" s="13" t="n">
        <f aca="false">Inputs!$F$145*Inputs!$F$144*Time!AS26</f>
        <v>10541440</v>
      </c>
      <c r="AT39" s="13" t="n">
        <f aca="false">Inputs!$F$145*Inputs!$F$144*Time!AT26</f>
        <v>10657280</v>
      </c>
      <c r="AU39" s="13" t="n">
        <f aca="false">Inputs!$F$145*Inputs!$F$144*Time!AU26</f>
        <v>10483520</v>
      </c>
      <c r="AV39" s="13" t="n">
        <f aca="false">Inputs!$F$145*Inputs!$F$144*Time!AV26</f>
        <v>10657280</v>
      </c>
      <c r="AW39" s="13" t="n">
        <f aca="false">Inputs!$F$145*Inputs!$F$144*Time!AW26</f>
        <v>10483520</v>
      </c>
      <c r="AX39" s="13" t="n">
        <f aca="false">Inputs!$F$145*Inputs!$F$144*Time!AX26</f>
        <v>10657280</v>
      </c>
      <c r="AY39" s="13" t="n">
        <f aca="false">Inputs!$F$145*Inputs!$F$144*Time!AY26</f>
        <v>10483520</v>
      </c>
      <c r="AZ39" s="13" t="n">
        <f aca="false">Inputs!$F$145*Inputs!$F$144*Time!AZ26</f>
        <v>10657280</v>
      </c>
      <c r="BA39" s="13" t="n">
        <f aca="false">Inputs!$F$145*Inputs!$F$144*Time!BA26</f>
        <v>10541440</v>
      </c>
      <c r="BB39" s="13" t="n">
        <f aca="false">Inputs!$F$145*Inputs!$F$144*Time!BB26</f>
        <v>10657280</v>
      </c>
      <c r="BC39" s="13" t="n">
        <f aca="false">Inputs!$F$145*Inputs!$F$144*Time!BC26</f>
        <v>10483520</v>
      </c>
      <c r="BD39" s="13" t="n">
        <f aca="false">Inputs!$F$145*Inputs!$F$144*Time!BD26</f>
        <v>10657280</v>
      </c>
      <c r="BE39" s="13" t="n">
        <f aca="false">Inputs!$F$145*Inputs!$F$144*Time!BE26</f>
        <v>10483520</v>
      </c>
      <c r="BF39" s="13" t="n">
        <f aca="false">Inputs!$F$145*Inputs!$F$144*Time!BF26</f>
        <v>10657280</v>
      </c>
      <c r="BG39" s="13" t="n">
        <f aca="false">Inputs!$F$145*Inputs!$F$144*Time!BG26</f>
        <v>10483520</v>
      </c>
      <c r="BH39" s="13" t="n">
        <f aca="false">Inputs!$F$145*Inputs!$F$144*Time!BH26</f>
        <v>10657280</v>
      </c>
      <c r="BI39" s="13" t="n">
        <f aca="false">Inputs!$F$145*Inputs!$F$144*Time!BI26</f>
        <v>10541440</v>
      </c>
      <c r="BJ39" s="13" t="n">
        <f aca="false">Inputs!$F$145*Inputs!$F$144*Time!BJ26</f>
        <v>10657280</v>
      </c>
      <c r="BK39" s="13" t="n">
        <f aca="false">Inputs!$F$145*Inputs!$F$144*Time!BK26</f>
        <v>10483520</v>
      </c>
      <c r="BL39" s="13" t="n">
        <f aca="false">Inputs!$F$145*Inputs!$F$144*Time!BL26</f>
        <v>10657280</v>
      </c>
      <c r="BM39" s="13" t="n">
        <f aca="false">Inputs!$F$145*Inputs!$F$144*Time!BM26</f>
        <v>10483520</v>
      </c>
      <c r="BN39" s="13" t="n">
        <f aca="false">Inputs!$F$145*Inputs!$F$144*Time!BN26</f>
        <v>7124160</v>
      </c>
    </row>
    <row r="40" customFormat="false" ht="15" hidden="false" customHeight="false" outlineLevel="0" collapsed="false">
      <c r="B40" s="2" t="s">
        <v>494</v>
      </c>
    </row>
    <row r="41" customFormat="false" ht="15" hidden="false" customHeight="false" outlineLevel="0" collapsed="false">
      <c r="D41" s="0" t="s">
        <v>495</v>
      </c>
      <c r="E41" s="0" t="s">
        <v>237</v>
      </c>
      <c r="J41" s="11" t="n">
        <f aca="false">Inputs!$F$134*Inputs!$F$54*(1-Inputs!$F$135+Inputs!$F$135*J18/100)</f>
        <v>14.4394834708223</v>
      </c>
      <c r="K41" s="11" t="n">
        <f aca="false">Inputs!$F$134*Inputs!$F$54*(1-Inputs!$F$135+Inputs!$F$135*K18/100)</f>
        <v>14.4717731618649</v>
      </c>
      <c r="L41" s="11" t="n">
        <f aca="false">Inputs!$F$134*Inputs!$F$54*(1-Inputs!$F$135+Inputs!$F$135*L18/100)</f>
        <v>14.5044161071804</v>
      </c>
      <c r="M41" s="11" t="n">
        <f aca="false">Inputs!$F$134*Inputs!$F$54*(1-Inputs!$F$135+Inputs!$F$135*M18/100)</f>
        <v>14.5374161714259</v>
      </c>
      <c r="N41" s="11" t="n">
        <f aca="false">Inputs!$F$134*Inputs!$F$54*(1-Inputs!$F$135+Inputs!$F$135*N18/100)</f>
        <v>14.5707772615384</v>
      </c>
      <c r="O41" s="11" t="n">
        <f aca="false">Inputs!$F$134*Inputs!$F$54*(1-Inputs!$F$135+Inputs!$F$135*O18/100)</f>
        <v>14.6045033271973</v>
      </c>
      <c r="P41" s="11" t="n">
        <f aca="false">Inputs!$F$134*Inputs!$F$54*(1-Inputs!$F$135+Inputs!$F$135*P18/100)</f>
        <v>14.6385983612922</v>
      </c>
      <c r="Q41" s="11" t="n">
        <f aca="false">Inputs!$F$134*Inputs!$F$54*(1-Inputs!$F$135+Inputs!$F$135*Q18/100)</f>
        <v>14.6730664003956</v>
      </c>
      <c r="R41" s="11" t="n">
        <f aca="false">Inputs!$F$134*Inputs!$F$54*(1-Inputs!$F$135+Inputs!$F$135*R18/100)</f>
        <v>14.7079115252406</v>
      </c>
      <c r="S41" s="11" t="n">
        <f aca="false">Inputs!$F$134*Inputs!$F$54*(1-Inputs!$F$135+Inputs!$F$135*S18/100)</f>
        <v>14.7431378612043</v>
      </c>
      <c r="T41" s="11" t="n">
        <f aca="false">Inputs!$F$134*Inputs!$F$54*(1-Inputs!$F$135+Inputs!$F$135*T18/100)</f>
        <v>14.7787495787959</v>
      </c>
      <c r="U41" s="11" t="n">
        <f aca="false">Inputs!$F$134*Inputs!$F$54*(1-Inputs!$F$135+Inputs!$F$135*U18/100)</f>
        <v>14.8147508941508</v>
      </c>
      <c r="V41" s="11" t="n">
        <f aca="false">Inputs!$F$134*Inputs!$F$54*(1-Inputs!$F$135+Inputs!$F$135*V18/100)</f>
        <v>14.8511460695294</v>
      </c>
      <c r="W41" s="11" t="n">
        <f aca="false">Inputs!$F$134*Inputs!$F$54*(1-Inputs!$F$135+Inputs!$F$135*W18/100)</f>
        <v>14.8879394138221</v>
      </c>
      <c r="X41" s="11" t="n">
        <f aca="false">Inputs!$F$134*Inputs!$F$54*(1-Inputs!$F$135+Inputs!$F$135*X18/100)</f>
        <v>14.9251352830591</v>
      </c>
      <c r="Y41" s="11" t="n">
        <f aca="false">Inputs!$F$134*Inputs!$F$54*(1-Inputs!$F$135+Inputs!$F$135*Y18/100)</f>
        <v>14.9627380809262</v>
      </c>
      <c r="Z41" s="11" t="n">
        <f aca="false">Inputs!$F$134*Inputs!$F$54*(1-Inputs!$F$135+Inputs!$F$135*Z18/100)</f>
        <v>15.0007522592864</v>
      </c>
      <c r="AA41" s="11" t="n">
        <f aca="false">Inputs!$F$134*Inputs!$F$54*(1-Inputs!$F$135+Inputs!$F$135*AA18/100)</f>
        <v>15.0391823187066</v>
      </c>
      <c r="AB41" s="11" t="n">
        <f aca="false">Inputs!$F$134*Inputs!$F$54*(1-Inputs!$F$135+Inputs!$F$135*AB18/100)</f>
        <v>15.0780328089907</v>
      </c>
      <c r="AC41" s="11" t="n">
        <f aca="false">Inputs!$F$134*Inputs!$F$54*(1-Inputs!$F$135+Inputs!$F$135*AC18/100)</f>
        <v>15.1173083297181</v>
      </c>
      <c r="AD41" s="11" t="n">
        <f aca="false">Inputs!$F$134*Inputs!$F$54*(1-Inputs!$F$135+Inputs!$F$135*AD18/100)</f>
        <v>15.1570135307885</v>
      </c>
      <c r="AE41" s="11" t="n">
        <f aca="false">Inputs!$F$134*Inputs!$F$54*(1-Inputs!$F$135+Inputs!$F$135*AE18/100)</f>
        <v>15.1971531129719</v>
      </c>
      <c r="AF41" s="11" t="n">
        <f aca="false">Inputs!$F$134*Inputs!$F$54*(1-Inputs!$F$135+Inputs!$F$135*AF18/100)</f>
        <v>15.2377318284658</v>
      </c>
      <c r="AG41" s="11" t="n">
        <f aca="false">Inputs!$F$134*Inputs!$F$54*(1-Inputs!$F$135+Inputs!$F$135*AG18/100)</f>
        <v>15.2787544814573</v>
      </c>
      <c r="AH41" s="11" t="n">
        <f aca="false">Inputs!$F$134*Inputs!$F$54*(1-Inputs!$F$135+Inputs!$F$135*AH18/100)</f>
        <v>15.3202259286921</v>
      </c>
      <c r="AI41" s="11" t="n">
        <f aca="false">Inputs!$F$134*Inputs!$F$54*(1-Inputs!$F$135+Inputs!$F$135*AI18/100)</f>
        <v>15.3621510800494</v>
      </c>
      <c r="AJ41" s="11" t="n">
        <f aca="false">Inputs!$F$134*Inputs!$F$54*(1-Inputs!$F$135+Inputs!$F$135*AJ18/100)</f>
        <v>15.4045348991233</v>
      </c>
      <c r="AK41" s="11" t="n">
        <f aca="false">Inputs!$F$134*Inputs!$F$54*(1-Inputs!$F$135+Inputs!$F$135*AK18/100)</f>
        <v>15.4473824038104</v>
      </c>
      <c r="AL41" s="11" t="n">
        <f aca="false">Inputs!$F$134*Inputs!$F$54*(1-Inputs!$F$135+Inputs!$F$135*AL18/100)</f>
        <v>15.490698666904</v>
      </c>
      <c r="AM41" s="11" t="n">
        <f aca="false">Inputs!$F$134*Inputs!$F$54*(1-Inputs!$F$135+Inputs!$F$135*AM18/100)</f>
        <v>15.5344888166943</v>
      </c>
      <c r="AN41" s="11" t="n">
        <f aca="false">Inputs!$F$134*Inputs!$F$54*(1-Inputs!$F$135+Inputs!$F$135*AN18/100)</f>
        <v>15.5787580375759</v>
      </c>
      <c r="AO41" s="11" t="n">
        <f aca="false">Inputs!$F$134*Inputs!$F$54*(1-Inputs!$F$135+Inputs!$F$135*AO18/100)</f>
        <v>15.6235115706615</v>
      </c>
      <c r="AP41" s="11" t="n">
        <f aca="false">Inputs!$F$134*Inputs!$F$54*(1-Inputs!$F$135+Inputs!$F$135*AP18/100)</f>
        <v>15.6687547144025</v>
      </c>
      <c r="AQ41" s="11" t="n">
        <f aca="false">Inputs!$F$134*Inputs!$F$54*(1-Inputs!$F$135+Inputs!$F$135*AQ18/100)</f>
        <v>15.7144928252161</v>
      </c>
      <c r="AR41" s="11" t="n">
        <f aca="false">Inputs!$F$134*Inputs!$F$54*(1-Inputs!$F$135+Inputs!$F$135*AR18/100)</f>
        <v>15.7607313181194</v>
      </c>
      <c r="AS41" s="11" t="n">
        <f aca="false">Inputs!$F$134*Inputs!$F$54*(1-Inputs!$F$135+Inputs!$F$135*AS18/100)</f>
        <v>15.8074756673708</v>
      </c>
      <c r="AT41" s="11" t="n">
        <f aca="false">Inputs!$F$134*Inputs!$F$54*(1-Inputs!$F$135+Inputs!$F$135*AT18/100)</f>
        <v>15.854731407118</v>
      </c>
      <c r="AU41" s="11" t="n">
        <f aca="false">Inputs!$F$134*Inputs!$F$54*(1-Inputs!$F$135+Inputs!$F$135*AU18/100)</f>
        <v>15.902504132053</v>
      </c>
      <c r="AV41" s="11" t="n">
        <f aca="false">Inputs!$F$134*Inputs!$F$54*(1-Inputs!$F$135+Inputs!$F$135*AV18/100)</f>
        <v>15.9507994980746</v>
      </c>
      <c r="AW41" s="11" t="n">
        <f aca="false">Inputs!$F$134*Inputs!$F$54*(1-Inputs!$F$135+Inputs!$F$135*AW18/100)</f>
        <v>15.9996232229582</v>
      </c>
      <c r="AX41" s="11" t="n">
        <f aca="false">Inputs!$F$134*Inputs!$F$54*(1-Inputs!$F$135+Inputs!$F$135*AX18/100)</f>
        <v>16.0489810870323</v>
      </c>
      <c r="AY41" s="11" t="n">
        <f aca="false">Inputs!$F$134*Inputs!$F$54*(1-Inputs!$F$135+Inputs!$F$135*AY18/100)</f>
        <v>16.0988789338632</v>
      </c>
      <c r="AZ41" s="11" t="n">
        <f aca="false">Inputs!$F$134*Inputs!$F$54*(1-Inputs!$F$135+Inputs!$F$135*AZ18/100)</f>
        <v>16.149322670947</v>
      </c>
      <c r="BA41" s="11" t="n">
        <f aca="false">Inputs!$F$134*Inputs!$F$54*(1-Inputs!$F$135+Inputs!$F$135*BA18/100)</f>
        <v>16.2003182704082</v>
      </c>
      <c r="BB41" s="11" t="n">
        <f aca="false">Inputs!$F$134*Inputs!$F$54*(1-Inputs!$F$135+Inputs!$F$135*BB18/100)</f>
        <v>16.2518717697078</v>
      </c>
      <c r="BC41" s="11" t="n">
        <f aca="false">Inputs!$F$134*Inputs!$F$54*(1-Inputs!$F$135+Inputs!$F$135*BC18/100)</f>
        <v>16.3039892723572</v>
      </c>
      <c r="BD41" s="11" t="n">
        <f aca="false">Inputs!$F$134*Inputs!$F$54*(1-Inputs!$F$135+Inputs!$F$135*BD18/100)</f>
        <v>16.3566769486414</v>
      </c>
      <c r="BE41" s="11" t="n">
        <f aca="false">Inputs!$F$134*Inputs!$F$54*(1-Inputs!$F$135+Inputs!$F$135*BE18/100)</f>
        <v>16.4099410363491</v>
      </c>
      <c r="BF41" s="11" t="n">
        <f aca="false">Inputs!$F$134*Inputs!$F$54*(1-Inputs!$F$135+Inputs!$F$135*BF18/100)</f>
        <v>16.4637878415115</v>
      </c>
      <c r="BG41" s="11" t="n">
        <f aca="false">Inputs!$F$134*Inputs!$F$54*(1-Inputs!$F$135+Inputs!$F$135*BG18/100)</f>
        <v>16.5182237391488</v>
      </c>
      <c r="BH41" s="11" t="n">
        <f aca="false">Inputs!$F$134*Inputs!$F$54*(1-Inputs!$F$135+Inputs!$F$135*BH18/100)</f>
        <v>16.5732551740247</v>
      </c>
      <c r="BI41" s="11" t="n">
        <f aca="false">Inputs!$F$134*Inputs!$F$54*(1-Inputs!$F$135+Inputs!$F$135*BI18/100)</f>
        <v>16.62888866141</v>
      </c>
      <c r="BJ41" s="11" t="n">
        <f aca="false">Inputs!$F$134*Inputs!$F$54*(1-Inputs!$F$135+Inputs!$F$135*BJ18/100)</f>
        <v>16.6851307878533</v>
      </c>
      <c r="BK41" s="11" t="n">
        <f aca="false">Inputs!$F$134*Inputs!$F$54*(1-Inputs!$F$135+Inputs!$F$135*BK18/100)</f>
        <v>16.741988211961</v>
      </c>
      <c r="BL41" s="11" t="n">
        <f aca="false">Inputs!$F$134*Inputs!$F$54*(1-Inputs!$F$135+Inputs!$F$135*BL18/100)</f>
        <v>16.7994676651861</v>
      </c>
      <c r="BM41" s="11" t="n">
        <f aca="false">Inputs!$F$134*Inputs!$F$54*(1-Inputs!$F$135+Inputs!$F$135*BM18/100)</f>
        <v>16.8575759526242</v>
      </c>
      <c r="BN41" s="11" t="n">
        <f aca="false">Inputs!$F$134*Inputs!$F$54*(1-Inputs!$F$135+Inputs!$F$135*BN18/100)</f>
        <v>16.9163199538201</v>
      </c>
    </row>
    <row r="42" customFormat="false" ht="15" hidden="false" customHeight="false" outlineLevel="0" collapsed="false">
      <c r="D42" s="0" t="s">
        <v>496</v>
      </c>
      <c r="E42" s="0" t="s">
        <v>237</v>
      </c>
      <c r="J42" s="11" t="n">
        <f aca="false">Inputs!$F$136*(Inputs!$F$137*J18/100+(1-Inputs!$F$137)*J22/100*Inputs!$F$138/J11)</f>
        <v>2.32750272490611</v>
      </c>
      <c r="K42" s="11" t="n">
        <f aca="false">Inputs!$F$136*(Inputs!$F$137*K18/100+(1-Inputs!$F$137)*K22/100*Inputs!$F$138/K11)</f>
        <v>2.35296596894285</v>
      </c>
      <c r="L42" s="11" t="n">
        <f aca="false">Inputs!$F$136*(Inputs!$F$137*L18/100+(1-Inputs!$F$137)*L22/100*Inputs!$F$138/L11)</f>
        <v>2.37870778485405</v>
      </c>
      <c r="M42" s="11" t="n">
        <f aca="false">Inputs!$F$136*(Inputs!$F$137*M18/100+(1-Inputs!$F$137)*M22/100*Inputs!$F$138/M11)</f>
        <v>2.4047312202596</v>
      </c>
      <c r="N42" s="11" t="n">
        <f aca="false">Inputs!$F$136*(Inputs!$F$137*N18/100+(1-Inputs!$F$137)*N22/100*Inputs!$F$138/N11)</f>
        <v>2.43103935612084</v>
      </c>
      <c r="O42" s="11" t="n">
        <f aca="false">Inputs!$F$136*(Inputs!$F$137*O18/100+(1-Inputs!$F$137)*O22/100*Inputs!$F$138/O11)</f>
        <v>2.45763530710531</v>
      </c>
      <c r="P42" s="11" t="n">
        <f aca="false">Inputs!$F$136*(Inputs!$F$137*P18/100+(1-Inputs!$F$137)*P22/100*Inputs!$F$138/P11)</f>
        <v>2.4845222219555</v>
      </c>
      <c r="Q42" s="11" t="n">
        <f aca="false">Inputs!$F$136*(Inputs!$F$137*Q18/100+(1-Inputs!$F$137)*Q22/100*Inputs!$F$138/Q11)</f>
        <v>2.51170328386162</v>
      </c>
      <c r="R42" s="11" t="n">
        <f aca="false">Inputs!$F$136*(Inputs!$F$137*R18/100+(1-Inputs!$F$137)*R22/100*Inputs!$F$138/R11)</f>
        <v>2.53918171083852</v>
      </c>
      <c r="S42" s="11" t="n">
        <f aca="false">Inputs!$F$136*(Inputs!$F$137*S18/100+(1-Inputs!$F$137)*S22/100*Inputs!$F$138/S11)</f>
        <v>2.56696075610658</v>
      </c>
      <c r="T42" s="11" t="n">
        <f aca="false">Inputs!$F$136*(Inputs!$F$137*T18/100+(1-Inputs!$F$137)*T22/100*Inputs!$F$138/T11)</f>
        <v>2.59504370847696</v>
      </c>
      <c r="U42" s="11" t="n">
        <f aca="false">Inputs!$F$136*(Inputs!$F$137*U18/100+(1-Inputs!$F$137)*U22/100*Inputs!$F$138/U11)</f>
        <v>2.62343389274092</v>
      </c>
      <c r="V42" s="11" t="n">
        <f aca="false">Inputs!$F$136*(Inputs!$F$137*V18/100+(1-Inputs!$F$137)*V22/100*Inputs!$F$138/V11)</f>
        <v>2.65213467006346</v>
      </c>
      <c r="W42" s="11" t="n">
        <f aca="false">Inputs!$F$136*(Inputs!$F$137*W18/100+(1-Inputs!$F$137)*W22/100*Inputs!$F$138/W11)</f>
        <v>2.68114943838122</v>
      </c>
      <c r="X42" s="11" t="n">
        <f aca="false">Inputs!$F$136*(Inputs!$F$137*X18/100+(1-Inputs!$F$137)*X22/100*Inputs!$F$138/X11)</f>
        <v>2.71048163280485</v>
      </c>
      <c r="Y42" s="11" t="n">
        <f aca="false">Inputs!$F$136*(Inputs!$F$137*Y18/100+(1-Inputs!$F$137)*Y22/100*Inputs!$F$138/Y11)</f>
        <v>2.74013472602561</v>
      </c>
      <c r="Z42" s="11" t="n">
        <f aca="false">Inputs!$F$136*(Inputs!$F$137*Z18/100+(1-Inputs!$F$137)*Z22/100*Inputs!$F$138/Z11)</f>
        <v>2.77011222872656</v>
      </c>
      <c r="AA42" s="11" t="n">
        <f aca="false">Inputs!$F$136*(Inputs!$F$137*AA18/100+(1-Inputs!$F$137)*AA22/100*Inputs!$F$138/AA11)</f>
        <v>2.80041768999817</v>
      </c>
      <c r="AB42" s="11" t="n">
        <f aca="false">Inputs!$F$136*(Inputs!$F$137*AB18/100+(1-Inputs!$F$137)*AB22/100*Inputs!$F$138/AB11)</f>
        <v>2.83105469775854</v>
      </c>
      <c r="AC42" s="11" t="n">
        <f aca="false">Inputs!$F$136*(Inputs!$F$137*AC18/100+(1-Inputs!$F$137)*AC22/100*Inputs!$F$138/AC11)</f>
        <v>2.86202687917813</v>
      </c>
      <c r="AD42" s="11" t="n">
        <f aca="false">Inputs!$F$136*(Inputs!$F$137*AD18/100+(1-Inputs!$F$137)*AD22/100*Inputs!$F$138/AD11)</f>
        <v>2.89333790110923</v>
      </c>
      <c r="AE42" s="11" t="n">
        <f aca="false">Inputs!$F$136*(Inputs!$F$137*AE18/100+(1-Inputs!$F$137)*AE22/100*Inputs!$F$138/AE11)</f>
        <v>2.92499147052005</v>
      </c>
      <c r="AF42" s="11" t="n">
        <f aca="false">Inputs!$F$136*(Inputs!$F$137*AF18/100+(1-Inputs!$F$137)*AF22/100*Inputs!$F$138/AF11)</f>
        <v>2.95699133493363</v>
      </c>
      <c r="AG42" s="11" t="n">
        <f aca="false">Inputs!$F$136*(Inputs!$F$137*AG18/100+(1-Inputs!$F$137)*AG22/100*Inputs!$F$138/AG11)</f>
        <v>2.98934128287149</v>
      </c>
      <c r="AH42" s="11" t="n">
        <f aca="false">Inputs!$F$136*(Inputs!$F$137*AH18/100+(1-Inputs!$F$137)*AH22/100*Inputs!$F$138/AH11)</f>
        <v>3.02204514430217</v>
      </c>
      <c r="AI42" s="11" t="n">
        <f aca="false">Inputs!$F$136*(Inputs!$F$137*AI18/100+(1-Inputs!$F$137)*AI22/100*Inputs!$F$138/AI11)</f>
        <v>3.05510679109467</v>
      </c>
      <c r="AJ42" s="11" t="n">
        <f aca="false">Inputs!$F$136*(Inputs!$F$137*AJ18/100+(1-Inputs!$F$137)*AJ22/100*Inputs!$F$138/AJ11)</f>
        <v>3.08853013747682</v>
      </c>
      <c r="AK42" s="11" t="n">
        <f aca="false">Inputs!$F$136*(Inputs!$F$137*AK18/100+(1-Inputs!$F$137)*AK22/100*Inputs!$F$138/AK11)</f>
        <v>3.12231914049875</v>
      </c>
      <c r="AL42" s="11" t="n">
        <f aca="false">Inputs!$F$136*(Inputs!$F$137*AL18/100+(1-Inputs!$F$137)*AL22/100*Inputs!$F$138/AL11)</f>
        <v>3.15647780050131</v>
      </c>
      <c r="AM42" s="11" t="n">
        <f aca="false">Inputs!$F$136*(Inputs!$F$137*AM18/100+(1-Inputs!$F$137)*AM22/100*Inputs!$F$138/AM11)</f>
        <v>3.19101016158972</v>
      </c>
      <c r="AN42" s="11" t="n">
        <f aca="false">Inputs!$F$136*(Inputs!$F$137*AN18/100+(1-Inputs!$F$137)*AN22/100*Inputs!$F$138/AN11)</f>
        <v>3.22592031211234</v>
      </c>
      <c r="AO42" s="11" t="n">
        <f aca="false">Inputs!$F$136*(Inputs!$F$137*AO18/100+(1-Inputs!$F$137)*AO22/100*Inputs!$F$138/AO11)</f>
        <v>3.26121238514469</v>
      </c>
      <c r="AP42" s="11" t="n">
        <f aca="false">Inputs!$F$136*(Inputs!$F$137*AP18/100+(1-Inputs!$F$137)*AP22/100*Inputs!$F$138/AP11)</f>
        <v>3.29689055897881</v>
      </c>
      <c r="AQ42" s="11" t="n">
        <f aca="false">Inputs!$F$136*(Inputs!$F$137*AQ18/100+(1-Inputs!$F$137)*AQ22/100*Inputs!$F$138/AQ11)</f>
        <v>3.33295905761788</v>
      </c>
      <c r="AR42" s="11" t="n">
        <f aca="false">Inputs!$F$136*(Inputs!$F$137*AR18/100+(1-Inputs!$F$137)*AR22/100*Inputs!$F$138/AR11)</f>
        <v>3.36942215127634</v>
      </c>
      <c r="AS42" s="11" t="n">
        <f aca="false">Inputs!$F$136*(Inputs!$F$137*AS18/100+(1-Inputs!$F$137)*AS22/100*Inputs!$F$138/AS11)</f>
        <v>3.40628415688547</v>
      </c>
      <c r="AT42" s="11" t="n">
        <f aca="false">Inputs!$F$136*(Inputs!$F$137*AT18/100+(1-Inputs!$F$137)*AT22/100*Inputs!$F$138/AT11)</f>
        <v>3.44354943860442</v>
      </c>
      <c r="AU42" s="11" t="n">
        <f aca="false">Inputs!$F$136*(Inputs!$F$137*AU18/100+(1-Inputs!$F$137)*AU22/100*Inputs!$F$138/AU11)</f>
        <v>3.48122240833695</v>
      </c>
      <c r="AV42" s="11" t="n">
        <f aca="false">Inputs!$F$136*(Inputs!$F$137*AV18/100+(1-Inputs!$F$137)*AV22/100*Inputs!$F$138/AV11)</f>
        <v>3.51930752625372</v>
      </c>
      <c r="AW42" s="11" t="n">
        <f aca="false">Inputs!$F$136*(Inputs!$F$137*AW18/100+(1-Inputs!$F$137)*AW22/100*Inputs!$F$138/AW11)</f>
        <v>3.55780930132036</v>
      </c>
      <c r="AX42" s="11" t="n">
        <f aca="false">Inputs!$F$136*(Inputs!$F$137*AX18/100+(1-Inputs!$F$137)*AX22/100*Inputs!$F$138/AX11)</f>
        <v>3.5967322918313</v>
      </c>
      <c r="AY42" s="11" t="n">
        <f aca="false">Inputs!$F$136*(Inputs!$F$137*AY18/100+(1-Inputs!$F$137)*AY22/100*Inputs!$F$138/AY11)</f>
        <v>3.63608110594941</v>
      </c>
      <c r="AZ42" s="11" t="n">
        <f aca="false">Inputs!$F$136*(Inputs!$F$137*AZ18/100+(1-Inputs!$F$137)*AZ22/100*Inputs!$F$138/AZ11)</f>
        <v>3.67586040225159</v>
      </c>
      <c r="BA42" s="11" t="n">
        <f aca="false">Inputs!$F$136*(Inputs!$F$137*BA18/100+(1-Inputs!$F$137)*BA22/100*Inputs!$F$138/BA11)</f>
        <v>3.7160748902803</v>
      </c>
      <c r="BB42" s="11" t="n">
        <f aca="false">Inputs!$F$136*(Inputs!$F$137*BB18/100+(1-Inputs!$F$137)*BB22/100*Inputs!$F$138/BB11)</f>
        <v>3.75672933110112</v>
      </c>
      <c r="BC42" s="11" t="n">
        <f aca="false">Inputs!$F$136*(Inputs!$F$137*BC18/100+(1-Inputs!$F$137)*BC22/100*Inputs!$F$138/BC11)</f>
        <v>3.79782853786646</v>
      </c>
      <c r="BD42" s="11" t="n">
        <f aca="false">Inputs!$F$136*(Inputs!$F$137*BD18/100+(1-Inputs!$F$137)*BD22/100*Inputs!$F$138/BD11)</f>
        <v>3.83937737638535</v>
      </c>
      <c r="BE42" s="11" t="n">
        <f aca="false">Inputs!$F$136*(Inputs!$F$137*BE18/100+(1-Inputs!$F$137)*BE22/100*Inputs!$F$138/BE11)</f>
        <v>3.88138076569952</v>
      </c>
      <c r="BF42" s="11" t="n">
        <f aca="false">Inputs!$F$136*(Inputs!$F$137*BF18/100+(1-Inputs!$F$137)*BF22/100*Inputs!$F$138/BF11)</f>
        <v>3.92384367866582</v>
      </c>
      <c r="BG42" s="11" t="n">
        <f aca="false">Inputs!$F$136*(Inputs!$F$137*BG18/100+(1-Inputs!$F$137)*BG22/100*Inputs!$F$138/BG11)</f>
        <v>3.96677114254491</v>
      </c>
      <c r="BH42" s="11" t="n">
        <f aca="false">Inputs!$F$136*(Inputs!$F$137*BH18/100+(1-Inputs!$F$137)*BH22/100*Inputs!$F$138/BH11)</f>
        <v>4.01016823959647</v>
      </c>
      <c r="BI42" s="11" t="n">
        <f aca="false">Inputs!$F$136*(Inputs!$F$137*BI18/100+(1-Inputs!$F$137)*BI22/100*Inputs!$F$138/BI11)</f>
        <v>4.0540401076809</v>
      </c>
      <c r="BJ42" s="11" t="n">
        <f aca="false">Inputs!$F$136*(Inputs!$F$137*BJ18/100+(1-Inputs!$F$137)*BJ22/100*Inputs!$F$138/BJ11)</f>
        <v>4.09839194086759</v>
      </c>
      <c r="BK42" s="11" t="n">
        <f aca="false">Inputs!$F$136*(Inputs!$F$137*BK18/100+(1-Inputs!$F$137)*BK22/100*Inputs!$F$138/BK11)</f>
        <v>4.14322899004988</v>
      </c>
      <c r="BL42" s="11" t="n">
        <f aca="false">Inputs!$F$136*(Inputs!$F$137*BL18/100+(1-Inputs!$F$137)*BL22/100*Inputs!$F$138/BL11)</f>
        <v>4.18855656356668</v>
      </c>
      <c r="BM42" s="11" t="n">
        <f aca="false">Inputs!$F$136*(Inputs!$F$137*BM18/100+(1-Inputs!$F$137)*BM22/100*Inputs!$F$138/BM11)</f>
        <v>4.23438002783098</v>
      </c>
      <c r="BN42" s="11" t="n">
        <f aca="false">Inputs!$F$136*(Inputs!$F$137*BN18/100+(1-Inputs!$F$137)*BN22/100*Inputs!$F$138/BN11)</f>
        <v>4.28070480796515</v>
      </c>
    </row>
    <row r="43" customFormat="false" ht="15" hidden="false" customHeight="false" outlineLevel="0" collapsed="false">
      <c r="D43" s="0" t="s">
        <v>497</v>
      </c>
      <c r="E43" s="0" t="s">
        <v>99</v>
      </c>
      <c r="J43" s="11" t="n">
        <f aca="false">MIN(1,J28/Inputs!$F$133)</f>
        <v>0</v>
      </c>
      <c r="K43" s="11" t="n">
        <f aca="false">MIN(1,K28/Inputs!$F$133)</f>
        <v>0</v>
      </c>
      <c r="L43" s="11" t="n">
        <f aca="false">MIN(1,L28/Inputs!$F$133)</f>
        <v>0</v>
      </c>
      <c r="M43" s="11" t="n">
        <f aca="false">MIN(1,M28/Inputs!$F$133)</f>
        <v>0</v>
      </c>
      <c r="N43" s="11" t="n">
        <f aca="false">MIN(1,N28/Inputs!$F$133)</f>
        <v>0</v>
      </c>
      <c r="O43" s="11" t="n">
        <f aca="false">MIN(1,O28/Inputs!$F$133)</f>
        <v>0</v>
      </c>
      <c r="P43" s="11" t="n">
        <f aca="false">MIN(1,P28/Inputs!$F$133)</f>
        <v>1</v>
      </c>
      <c r="Q43" s="11" t="n">
        <f aca="false">MIN(1,Q28/Inputs!$F$133)</f>
        <v>1</v>
      </c>
      <c r="R43" s="11" t="n">
        <f aca="false">MIN(1,R28/Inputs!$F$133)</f>
        <v>1</v>
      </c>
      <c r="S43" s="11" t="n">
        <f aca="false">MIN(1,S28/Inputs!$F$133)</f>
        <v>1</v>
      </c>
      <c r="T43" s="11" t="n">
        <f aca="false">MIN(1,T28/Inputs!$F$133)</f>
        <v>1</v>
      </c>
      <c r="U43" s="11" t="n">
        <f aca="false">MIN(1,U28/Inputs!$F$133)</f>
        <v>1</v>
      </c>
      <c r="V43" s="11" t="n">
        <f aca="false">MIN(1,V28/Inputs!$F$133)</f>
        <v>1</v>
      </c>
      <c r="W43" s="11" t="n">
        <f aca="false">MIN(1,W28/Inputs!$F$133)</f>
        <v>1</v>
      </c>
      <c r="X43" s="11" t="n">
        <f aca="false">MIN(1,X28/Inputs!$F$133)</f>
        <v>1</v>
      </c>
      <c r="Y43" s="11" t="n">
        <f aca="false">MIN(1,Y28/Inputs!$F$133)</f>
        <v>1</v>
      </c>
      <c r="Z43" s="11" t="n">
        <f aca="false">MIN(1,Z28/Inputs!$F$133)</f>
        <v>1</v>
      </c>
      <c r="AA43" s="11" t="n">
        <f aca="false">MIN(1,AA28/Inputs!$F$133)</f>
        <v>1</v>
      </c>
      <c r="AB43" s="11" t="n">
        <f aca="false">MIN(1,AB28/Inputs!$F$133)</f>
        <v>1</v>
      </c>
      <c r="AC43" s="11" t="n">
        <f aca="false">MIN(1,AC28/Inputs!$F$133)</f>
        <v>1</v>
      </c>
      <c r="AD43" s="11" t="n">
        <f aca="false">MIN(1,AD28/Inputs!$F$133)</f>
        <v>1</v>
      </c>
      <c r="AE43" s="11" t="n">
        <f aca="false">MIN(1,AE28/Inputs!$F$133)</f>
        <v>0.985555555555556</v>
      </c>
      <c r="AF43" s="11" t="n">
        <f aca="false">MIN(1,AF28/Inputs!$F$133)</f>
        <v>1</v>
      </c>
      <c r="AG43" s="11" t="n">
        <f aca="false">MIN(1,AG28/Inputs!$F$133)</f>
        <v>1</v>
      </c>
      <c r="AH43" s="11" t="n">
        <f aca="false">MIN(1,AH28/Inputs!$F$133)</f>
        <v>1</v>
      </c>
      <c r="AI43" s="11" t="n">
        <f aca="false">MIN(1,AI28/Inputs!$F$133)</f>
        <v>1</v>
      </c>
      <c r="AJ43" s="11" t="n">
        <f aca="false">MIN(1,AJ28/Inputs!$F$133)</f>
        <v>1</v>
      </c>
      <c r="AK43" s="11" t="n">
        <f aca="false">MIN(1,AK28/Inputs!$F$133)</f>
        <v>1</v>
      </c>
      <c r="AL43" s="11" t="n">
        <f aca="false">MIN(1,AL28/Inputs!$F$133)</f>
        <v>1</v>
      </c>
      <c r="AM43" s="11" t="n">
        <f aca="false">MIN(1,AM28/Inputs!$F$133)</f>
        <v>1</v>
      </c>
      <c r="AN43" s="11" t="n">
        <f aca="false">MIN(1,AN28/Inputs!$F$133)</f>
        <v>1</v>
      </c>
      <c r="AO43" s="11" t="n">
        <f aca="false">MIN(1,AO28/Inputs!$F$133)</f>
        <v>1</v>
      </c>
      <c r="AP43" s="11" t="n">
        <f aca="false">MIN(1,AP28/Inputs!$F$133)</f>
        <v>1</v>
      </c>
      <c r="AQ43" s="11" t="n">
        <f aca="false">MIN(1,AQ28/Inputs!$F$133)</f>
        <v>1</v>
      </c>
      <c r="AR43" s="11" t="n">
        <f aca="false">MIN(1,AR28/Inputs!$F$133)</f>
        <v>1</v>
      </c>
      <c r="AS43" s="11" t="n">
        <f aca="false">MIN(1,AS28/Inputs!$F$133)</f>
        <v>1</v>
      </c>
      <c r="AT43" s="11" t="n">
        <f aca="false">MIN(1,AT28/Inputs!$F$133)</f>
        <v>1</v>
      </c>
      <c r="AU43" s="11" t="n">
        <f aca="false">MIN(1,AU28/Inputs!$F$133)</f>
        <v>0.985555555555556</v>
      </c>
      <c r="AV43" s="11" t="n">
        <f aca="false">MIN(1,AV28/Inputs!$F$133)</f>
        <v>1</v>
      </c>
      <c r="AW43" s="11" t="n">
        <f aca="false">MIN(1,AW28/Inputs!$F$133)</f>
        <v>1</v>
      </c>
      <c r="AX43" s="11" t="n">
        <f aca="false">MIN(1,AX28/Inputs!$F$133)</f>
        <v>1</v>
      </c>
      <c r="AY43" s="11" t="n">
        <f aca="false">MIN(1,AY28/Inputs!$F$133)</f>
        <v>1</v>
      </c>
      <c r="AZ43" s="11" t="n">
        <f aca="false">MIN(1,AZ28/Inputs!$F$133)</f>
        <v>1</v>
      </c>
      <c r="BA43" s="11" t="n">
        <f aca="false">MIN(1,BA28/Inputs!$F$133)</f>
        <v>1</v>
      </c>
      <c r="BB43" s="11" t="n">
        <f aca="false">MIN(1,BB28/Inputs!$F$133)</f>
        <v>1</v>
      </c>
      <c r="BC43" s="11" t="n">
        <f aca="false">MIN(1,BC28/Inputs!$F$133)</f>
        <v>1</v>
      </c>
      <c r="BD43" s="11" t="n">
        <f aca="false">MIN(1,BD28/Inputs!$F$133)</f>
        <v>1</v>
      </c>
      <c r="BE43" s="11" t="n">
        <f aca="false">MIN(1,BE28/Inputs!$F$133)</f>
        <v>1</v>
      </c>
      <c r="BF43" s="11" t="n">
        <f aca="false">MIN(1,BF28/Inputs!$F$133)</f>
        <v>1</v>
      </c>
      <c r="BG43" s="11" t="n">
        <f aca="false">MIN(1,BG28/Inputs!$F$133)</f>
        <v>1</v>
      </c>
      <c r="BH43" s="11" t="n">
        <f aca="false">MIN(1,BH28/Inputs!$F$133)</f>
        <v>1</v>
      </c>
      <c r="BI43" s="11" t="n">
        <f aca="false">MIN(1,BI28/Inputs!$F$133)</f>
        <v>1</v>
      </c>
      <c r="BJ43" s="11" t="n">
        <f aca="false">MIN(1,BJ28/Inputs!$F$133)</f>
        <v>1</v>
      </c>
      <c r="BK43" s="11" t="n">
        <f aca="false">MIN(1,BK28/Inputs!$F$133)</f>
        <v>0.985555555555556</v>
      </c>
      <c r="BL43" s="11" t="n">
        <f aca="false">MIN(1,BL28/Inputs!$F$133)</f>
        <v>1</v>
      </c>
      <c r="BM43" s="11" t="n">
        <f aca="false">MIN(1,BM28/Inputs!$F$133)</f>
        <v>1</v>
      </c>
      <c r="BN43" s="11" t="n">
        <f aca="false">MIN(1,BN28/Inputs!$F$133)</f>
        <v>1</v>
      </c>
    </row>
    <row r="44" customFormat="false" ht="15" hidden="false" customHeight="false" outlineLevel="0" collapsed="false">
      <c r="D44" s="0" t="s">
        <v>498</v>
      </c>
      <c r="E44" s="0" t="s">
        <v>149</v>
      </c>
      <c r="G44" s="11" t="n">
        <f aca="false">SUM(J44:BN44)</f>
        <v>3349.12562807373</v>
      </c>
      <c r="J44" s="11" t="n">
        <f aca="false">$F$30*1000*Time!J25*(J41+J42)*J43/1000000</f>
        <v>0</v>
      </c>
      <c r="K44" s="11" t="n">
        <f aca="false">$F$30*1000*Time!K25*(K41+K42)*K43/1000000</f>
        <v>0</v>
      </c>
      <c r="L44" s="11" t="n">
        <f aca="false">$F$30*1000*Time!L25*(L41+L42)*L43/1000000</f>
        <v>0</v>
      </c>
      <c r="M44" s="11" t="n">
        <f aca="false">$F$30*1000*Time!M25*(M41+M42)*M43/1000000</f>
        <v>0</v>
      </c>
      <c r="N44" s="11" t="n">
        <f aca="false">$F$30*1000*Time!N25*(N41+N42)*N43/1000000</f>
        <v>0</v>
      </c>
      <c r="O44" s="11" t="n">
        <f aca="false">$F$30*1000*Time!O25*(O41+O42)*O43/1000000</f>
        <v>0</v>
      </c>
      <c r="P44" s="11" t="n">
        <f aca="false">$F$30*1000*Time!P25*(P41+P42)*P43/1000000</f>
        <v>20.1504883023659</v>
      </c>
      <c r="Q44" s="11" t="n">
        <f aca="false">$F$30*1000*Time!Q25*(Q41+Q42)*Q43/1000000</f>
        <v>60.6691108933017</v>
      </c>
      <c r="R44" s="11" t="n">
        <f aca="false">$F$30*1000*Time!R25*(R41+R42)*R43/1000000</f>
        <v>60.8891379606538</v>
      </c>
      <c r="S44" s="11" t="n">
        <f aca="false">$F$30*1000*Time!S25*(S41+S42)*S43/1000000</f>
        <v>61.1115721585543</v>
      </c>
      <c r="T44" s="11" t="n">
        <f aca="false">$F$30*1000*Time!T25*(T41+T42)*T43/1000000</f>
        <v>61.3364398213882</v>
      </c>
      <c r="U44" s="11" t="n">
        <f aca="false">$F$30*1000*Time!U25*(U41+U42)*U43/1000000</f>
        <v>61.5637675716425</v>
      </c>
      <c r="V44" s="11" t="n">
        <f aca="false">$F$30*1000*Time!V25*(V41+V42)*V43/1000000</f>
        <v>61.7935823230587</v>
      </c>
      <c r="W44" s="11" t="n">
        <f aca="false">$F$30*1000*Time!W25*(W41+W42)*W43/1000000</f>
        <v>62.0259112838186</v>
      </c>
      <c r="X44" s="11" t="n">
        <f aca="false">$F$30*1000*Time!X25*(X41+X42)*X43/1000000</f>
        <v>62.260781959766</v>
      </c>
      <c r="Y44" s="11" t="n">
        <f aca="false">$F$30*1000*Time!Y25*(Y41+Y42)*Y43/1000000</f>
        <v>62.4982221576627</v>
      </c>
      <c r="Z44" s="11" t="n">
        <f aca="false">$F$30*1000*Time!Z25*(Z41+Z42)*Z43/1000000</f>
        <v>62.7382599884808</v>
      </c>
      <c r="AA44" s="11" t="n">
        <f aca="false">$F$30*1000*Time!AA25*(AA41+AA42)*AA43/1000000</f>
        <v>62.9809238707312</v>
      </c>
      <c r="AB44" s="11" t="n">
        <f aca="false">$F$30*1000*Time!AB25*(AB41+AB42)*AB43/1000000</f>
        <v>63.2262425338274</v>
      </c>
      <c r="AC44" s="11" t="n">
        <f aca="false">$F$30*1000*Time!AC25*(AC41+AC42)*AC43/1000000</f>
        <v>63.4742450214873</v>
      </c>
      <c r="AD44" s="11" t="n">
        <f aca="false">$F$30*1000*Time!AD25*(AD41+AD42)*AD43/1000000</f>
        <v>63.7249606951716</v>
      </c>
      <c r="AE44" s="11" t="n">
        <f aca="false">$F$30*1000*Time!AE25*(AE41+AE42)*AE43/1000000</f>
        <v>63.0542865152397</v>
      </c>
      <c r="AF44" s="11" t="n">
        <f aca="false">$F$30*1000*Time!AF25*(AF41+AF42)*AF43/1000000</f>
        <v>64.2346506560654</v>
      </c>
      <c r="AG44" s="11" t="n">
        <f aca="false">$F$30*1000*Time!AG25*(AG41+AG42)*AG43/1000000</f>
        <v>64.4936852863863</v>
      </c>
      <c r="AH44" s="11" t="n">
        <f aca="false">$F$30*1000*Time!AH25*(AH41+AH42)*AH43/1000000</f>
        <v>64.7555537960988</v>
      </c>
      <c r="AI44" s="11" t="n">
        <f aca="false">$F$30*1000*Time!AI25*(AI41+AI42)*AI43/1000000</f>
        <v>65.0202871882868</v>
      </c>
      <c r="AJ44" s="11" t="n">
        <f aca="false">$F$30*1000*Time!AJ25*(AJ41+AJ42)*AJ43/1000000</f>
        <v>65.287916805213</v>
      </c>
      <c r="AK44" s="11" t="n">
        <f aca="false">$F$30*1000*Time!AK25*(AK41+AK42)*AK43/1000000</f>
        <v>65.5584743320291</v>
      </c>
      <c r="AL44" s="11" t="n">
        <f aca="false">$F$30*1000*Time!AL25*(AL41+AL42)*AL43/1000000</f>
        <v>65.8319918005277</v>
      </c>
      <c r="AM44" s="11" t="n">
        <f aca="false">$F$30*1000*Time!AM25*(AM41+AM42)*AM43/1000000</f>
        <v>66.1085015929338</v>
      </c>
      <c r="AN44" s="11" t="n">
        <f aca="false">$F$30*1000*Time!AN25*(AN41+AN42)*AN43/1000000</f>
        <v>66.3880364457393</v>
      </c>
      <c r="AO44" s="11" t="n">
        <f aca="false">$F$30*1000*Time!AO25*(AO41+AO42)*AO43/1000000</f>
        <v>66.6706294535783</v>
      </c>
      <c r="AP44" s="11" t="n">
        <f aca="false">$F$30*1000*Time!AP25*(AP41+AP42)*AP43/1000000</f>
        <v>66.9563140731455</v>
      </c>
      <c r="AQ44" s="11" t="n">
        <f aca="false">$F$30*1000*Time!AQ25*(AQ41+AQ42)*AQ43/1000000</f>
        <v>67.245124127157</v>
      </c>
      <c r="AR44" s="11" t="n">
        <f aca="false">$F$30*1000*Time!AR25*(AR41+AR42)*AR43/1000000</f>
        <v>67.5370938083547</v>
      </c>
      <c r="AS44" s="11" t="n">
        <f aca="false">$F$30*1000*Time!AS25*(AS41+AS42)*AS43/1000000</f>
        <v>67.8322576835545</v>
      </c>
      <c r="AT44" s="11" t="n">
        <f aca="false">$F$30*1000*Time!AT25*(AT41+AT42)*AT43/1000000</f>
        <v>68.1306506977385</v>
      </c>
      <c r="AU44" s="11" t="n">
        <f aca="false">$F$30*1000*Time!AU25*(AU41+AU42)*AU43/1000000</f>
        <v>67.4438415045077</v>
      </c>
      <c r="AV44" s="11" t="n">
        <f aca="false">$F$30*1000*Time!AV25*(AV41+AV42)*AV43/1000000</f>
        <v>68.7372658386888</v>
      </c>
      <c r="AW44" s="11" t="n">
        <f aca="false">$F$30*1000*Time!AW25*(AW41+AW42)*AW43/1000000</f>
        <v>69.0455597837129</v>
      </c>
      <c r="AX44" s="11" t="n">
        <f aca="false">$F$30*1000*Time!AX25*(AX41+AX42)*AX43/1000000</f>
        <v>69.3572265127399</v>
      </c>
      <c r="AY44" s="11" t="n">
        <f aca="false">$F$30*1000*Time!AY25*(AY41+AY42)*AY43/1000000</f>
        <v>69.6723029245546</v>
      </c>
      <c r="AZ44" s="11" t="n">
        <f aca="false">$F$30*1000*Time!AZ25*(AZ41+AZ42)*AZ43/1000000</f>
        <v>69.9908263216202</v>
      </c>
      <c r="BA44" s="11" t="n">
        <f aca="false">$F$30*1000*Time!BA25*(BA41+BA42)*BA43/1000000</f>
        <v>70.3128344144948</v>
      </c>
      <c r="BB44" s="11" t="n">
        <f aca="false">$F$30*1000*Time!BB25*(BB41+BB42)*BB43/1000000</f>
        <v>70.6383653262959</v>
      </c>
      <c r="BC44" s="11" t="n">
        <f aca="false">$F$30*1000*Time!BC25*(BC41+BC42)*BC43/1000000</f>
        <v>70.9674575972137</v>
      </c>
      <c r="BD44" s="11" t="n">
        <f aca="false">$F$30*1000*Time!BD25*(BD41+BD42)*BD43/1000000</f>
        <v>71.3001501890743</v>
      </c>
      <c r="BE44" s="11" t="n">
        <f aca="false">$F$30*1000*Time!BE25*(BE41+BE42)*BE43/1000000</f>
        <v>71.6364824899524</v>
      </c>
      <c r="BF44" s="11" t="n">
        <f aca="false">$F$30*1000*Time!BF25*(BF41+BF42)*BF43/1000000</f>
        <v>71.976494318834</v>
      </c>
      <c r="BG44" s="11" t="n">
        <f aca="false">$F$30*1000*Time!BG25*(BG41+BG42)*BG43/1000000</f>
        <v>72.3202259303313</v>
      </c>
      <c r="BH44" s="11" t="n">
        <f aca="false">$F$30*1000*Time!BH25*(BH41+BH42)*BH43/1000000</f>
        <v>72.6677180194483</v>
      </c>
      <c r="BI44" s="11" t="n">
        <f aca="false">$F$30*1000*Time!BI25*(BI41+BI42)*BI43/1000000</f>
        <v>73.0190117263986</v>
      </c>
      <c r="BJ44" s="11" t="n">
        <f aca="false">$F$30*1000*Time!BJ25*(BJ41+BJ42)*BJ43/1000000</f>
        <v>73.3741486414762</v>
      </c>
      <c r="BK44" s="11" t="n">
        <f aca="false">$F$30*1000*Time!BK25*(BK41+BK42)*BK43/1000000</f>
        <v>72.6681361205019</v>
      </c>
      <c r="BL44" s="11" t="n">
        <f aca="false">$F$30*1000*Time!BL25*(BL41+BL42)*BL43/1000000</f>
        <v>74.0961207371887</v>
      </c>
      <c r="BM44" s="11" t="n">
        <f aca="false">$F$30*1000*Time!BM25*(BM41+BM42)*BM43/1000000</f>
        <v>74.4630413933989</v>
      </c>
      <c r="BN44" s="11" t="n">
        <f aca="false">$F$30*1000*Time!BN25*(BN41+BN42)*BN43/1000000</f>
        <v>49.8893174793379</v>
      </c>
    </row>
    <row r="45" customFormat="false" ht="15" hidden="false" customHeight="false" outlineLevel="0" collapsed="false">
      <c r="D45" s="0" t="s">
        <v>499</v>
      </c>
      <c r="E45" s="0" t="s">
        <v>243</v>
      </c>
      <c r="J45" s="11" t="n">
        <f aca="false">Inputs!$F$139*(Inputs!$F$140*J18/100+(1-Inputs!$F$140)*J22/100*Inputs!$F$138/J11)</f>
        <v>3.90557954446372</v>
      </c>
      <c r="K45" s="11" t="n">
        <f aca="false">Inputs!$F$139*(Inputs!$F$140*K18/100+(1-Inputs!$F$140)*K22/100*Inputs!$F$138/K11)</f>
        <v>3.94830719585652</v>
      </c>
      <c r="L45" s="11" t="n">
        <f aca="false">Inputs!$F$139*(Inputs!$F$140*L18/100+(1-Inputs!$F$140)*L22/100*Inputs!$F$138/L11)</f>
        <v>3.99150229444192</v>
      </c>
      <c r="M45" s="11" t="n">
        <f aca="false">Inputs!$F$139*(Inputs!$F$140*M18/100+(1-Inputs!$F$140)*M22/100*Inputs!$F$138/M11)</f>
        <v>4.03516995416536</v>
      </c>
      <c r="N45" s="11" t="n">
        <f aca="false">Inputs!$F$139*(Inputs!$F$140*N18/100+(1-Inputs!$F$140)*N22/100*Inputs!$F$138/N11)</f>
        <v>4.07931534491964</v>
      </c>
      <c r="O45" s="11" t="n">
        <f aca="false">Inputs!$F$139*(Inputs!$F$140*O18/100+(1-Inputs!$F$140)*O22/100*Inputs!$F$138/O11)</f>
        <v>4.123943693157</v>
      </c>
      <c r="P45" s="11" t="n">
        <f aca="false">Inputs!$F$139*(Inputs!$F$140*P18/100+(1-Inputs!$F$140)*P22/100*Inputs!$F$138/P11)</f>
        <v>4.16906028250787</v>
      </c>
      <c r="Q45" s="11" t="n">
        <f aca="false">Inputs!$F$139*(Inputs!$F$140*Q18/100+(1-Inputs!$F$140)*Q22/100*Inputs!$F$138/Q11)</f>
        <v>4.21467045440645</v>
      </c>
      <c r="R45" s="11" t="n">
        <f aca="false">Inputs!$F$139*(Inputs!$F$140*R18/100+(1-Inputs!$F$140)*R22/100*Inputs!$F$138/R11)</f>
        <v>4.26077960872305</v>
      </c>
      <c r="S45" s="11" t="n">
        <f aca="false">Inputs!$F$139*(Inputs!$F$140*S18/100+(1-Inputs!$F$140)*S22/100*Inputs!$F$138/S11)</f>
        <v>4.30739320440339</v>
      </c>
      <c r="T45" s="11" t="n">
        <f aca="false">Inputs!$F$139*(Inputs!$F$140*T18/100+(1-Inputs!$F$140)*T22/100*Inputs!$F$138/T11)</f>
        <v>4.35451676011495</v>
      </c>
      <c r="U45" s="11" t="n">
        <f aca="false">Inputs!$F$139*(Inputs!$F$140*U18/100+(1-Inputs!$F$140)*U22/100*Inputs!$F$138/U11)</f>
        <v>4.40215585490027</v>
      </c>
      <c r="V45" s="11" t="n">
        <f aca="false">Inputs!$F$139*(Inputs!$F$140*V18/100+(1-Inputs!$F$140)*V22/100*Inputs!$F$138/V11)</f>
        <v>4.45031612883748</v>
      </c>
      <c r="W45" s="11" t="n">
        <f aca="false">Inputs!$F$139*(Inputs!$F$140*W18/100+(1-Inputs!$F$140)*W22/100*Inputs!$F$138/W11)</f>
        <v>4.49900328370807</v>
      </c>
      <c r="X45" s="11" t="n">
        <f aca="false">Inputs!$F$139*(Inputs!$F$140*X18/100+(1-Inputs!$F$140)*X22/100*Inputs!$F$138/X11)</f>
        <v>4.5482230836719</v>
      </c>
      <c r="Y45" s="11" t="n">
        <f aca="false">Inputs!$F$139*(Inputs!$F$140*Y18/100+(1-Inputs!$F$140)*Y22/100*Inputs!$F$138/Y11)</f>
        <v>4.59798135594965</v>
      </c>
      <c r="Z45" s="11" t="n">
        <f aca="false">Inputs!$F$139*(Inputs!$F$140*Z18/100+(1-Inputs!$F$140)*Z22/100*Inputs!$F$138/Z11)</f>
        <v>4.64828399151269</v>
      </c>
      <c r="AA45" s="11" t="n">
        <f aca="false">Inputs!$F$139*(Inputs!$F$140*AA18/100+(1-Inputs!$F$140)*AA22/100*Inputs!$F$138/AA11)</f>
        <v>4.69913694578054</v>
      </c>
      <c r="AB45" s="11" t="n">
        <f aca="false">Inputs!$F$139*(Inputs!$F$140*AB18/100+(1-Inputs!$F$140)*AB22/100*Inputs!$F$138/AB11)</f>
        <v>4.75054623932596</v>
      </c>
      <c r="AC45" s="11" t="n">
        <f aca="false">Inputs!$F$139*(Inputs!$F$140*AC18/100+(1-Inputs!$F$140)*AC22/100*Inputs!$F$138/AC11)</f>
        <v>4.80251795858771</v>
      </c>
      <c r="AD45" s="11" t="n">
        <f aca="false">Inputs!$F$139*(Inputs!$F$140*AD18/100+(1-Inputs!$F$140)*AD22/100*Inputs!$F$138/AD11)</f>
        <v>4.85505825659113</v>
      </c>
      <c r="AE45" s="11" t="n">
        <f aca="false">Inputs!$F$139*(Inputs!$F$140*AE18/100+(1-Inputs!$F$140)*AE22/100*Inputs!$F$138/AE11)</f>
        <v>4.90817335367664</v>
      </c>
      <c r="AF45" s="11" t="n">
        <f aca="false">Inputs!$F$139*(Inputs!$F$140*AF18/100+(1-Inputs!$F$140)*AF22/100*Inputs!$F$138/AF11)</f>
        <v>4.96186953823614</v>
      </c>
      <c r="AG45" s="11" t="n">
        <f aca="false">Inputs!$F$139*(Inputs!$F$140*AG18/100+(1-Inputs!$F$140)*AG22/100*Inputs!$F$138/AG11)</f>
        <v>5.01615316745753</v>
      </c>
      <c r="AH45" s="11" t="n">
        <f aca="false">Inputs!$F$139*(Inputs!$F$140*AH18/100+(1-Inputs!$F$140)*AH22/100*Inputs!$F$138/AH11)</f>
        <v>5.07103066807733</v>
      </c>
      <c r="AI45" s="11" t="n">
        <f aca="false">Inputs!$F$139*(Inputs!$F$140*AI18/100+(1-Inputs!$F$140)*AI22/100*Inputs!$F$138/AI11)</f>
        <v>5.12650853714159</v>
      </c>
      <c r="AJ45" s="11" t="n">
        <f aca="false">Inputs!$F$139*(Inputs!$F$140*AJ18/100+(1-Inputs!$F$140)*AJ22/100*Inputs!$F$138/AJ11)</f>
        <v>5.18259334277503</v>
      </c>
      <c r="AK45" s="11" t="n">
        <f aca="false">Inputs!$F$139*(Inputs!$F$140*AK18/100+(1-Inputs!$F$140)*AK22/100*Inputs!$F$138/AK11)</f>
        <v>5.2392917249587</v>
      </c>
      <c r="AL45" s="11" t="n">
        <f aca="false">Inputs!$F$139*(Inputs!$F$140*AL18/100+(1-Inputs!$F$140)*AL22/100*Inputs!$F$138/AL11)</f>
        <v>5.29661039631608</v>
      </c>
      <c r="AM45" s="11" t="n">
        <f aca="false">Inputs!$F$139*(Inputs!$F$140*AM18/100+(1-Inputs!$F$140)*AM22/100*Inputs!$F$138/AM11)</f>
        <v>5.3545561429078</v>
      </c>
      <c r="AN45" s="11" t="n">
        <f aca="false">Inputs!$F$139*(Inputs!$F$140*AN18/100+(1-Inputs!$F$140)*AN22/100*Inputs!$F$138/AN11)</f>
        <v>5.41313582503504</v>
      </c>
      <c r="AO45" s="11" t="n">
        <f aca="false">Inputs!$F$139*(Inputs!$F$140*AO18/100+(1-Inputs!$F$140)*AO22/100*Inputs!$F$138/AO11)</f>
        <v>5.47235637805177</v>
      </c>
      <c r="AP45" s="11" t="n">
        <f aca="false">Inputs!$F$139*(Inputs!$F$140*AP18/100+(1-Inputs!$F$140)*AP22/100*Inputs!$F$138/AP11)</f>
        <v>5.53222481318581</v>
      </c>
      <c r="AQ45" s="11" t="n">
        <f aca="false">Inputs!$F$139*(Inputs!$F$140*AQ18/100+(1-Inputs!$F$140)*AQ22/100*Inputs!$F$138/AQ11)</f>
        <v>5.59274821836891</v>
      </c>
      <c r="AR45" s="11" t="n">
        <f aca="false">Inputs!$F$139*(Inputs!$F$140*AR18/100+(1-Inputs!$F$140)*AR22/100*Inputs!$F$138/AR11)</f>
        <v>5.65393375907589</v>
      </c>
      <c r="AS45" s="11" t="n">
        <f aca="false">Inputs!$F$139*(Inputs!$F$140*AS18/100+(1-Inputs!$F$140)*AS22/100*Inputs!$F$138/AS11)</f>
        <v>5.71578867917302</v>
      </c>
      <c r="AT45" s="11" t="n">
        <f aca="false">Inputs!$F$139*(Inputs!$F$140*AT18/100+(1-Inputs!$F$140)*AT22/100*Inputs!$F$138/AT11)</f>
        <v>5.77832030177556</v>
      </c>
      <c r="AU45" s="11" t="n">
        <f aca="false">Inputs!$F$139*(Inputs!$F$140*AU18/100+(1-Inputs!$F$140)*AU22/100*Inputs!$F$138/AU11)</f>
        <v>5.84153603011483</v>
      </c>
      <c r="AV45" s="11" t="n">
        <f aca="false">Inputs!$F$139*(Inputs!$F$140*AV18/100+(1-Inputs!$F$140)*AV22/100*Inputs!$F$138/AV11)</f>
        <v>5.90544334841462</v>
      </c>
      <c r="AW45" s="11" t="n">
        <f aca="false">Inputs!$F$139*(Inputs!$F$140*AW18/100+(1-Inputs!$F$140)*AW22/100*Inputs!$F$138/AW11)</f>
        <v>5.97004982277735</v>
      </c>
      <c r="AX45" s="11" t="n">
        <f aca="false">Inputs!$F$139*(Inputs!$F$140*AX18/100+(1-Inputs!$F$140)*AX22/100*Inputs!$F$138/AX11)</f>
        <v>6.03536310207975</v>
      </c>
      <c r="AY45" s="11" t="n">
        <f aca="false">Inputs!$F$139*(Inputs!$F$140*AY18/100+(1-Inputs!$F$140)*AY22/100*Inputs!$F$138/AY11)</f>
        <v>6.10139091887845</v>
      </c>
      <c r="AZ45" s="11" t="n">
        <f aca="false">Inputs!$F$139*(Inputs!$F$140*AZ18/100+(1-Inputs!$F$140)*AZ22/100*Inputs!$F$138/AZ11)</f>
        <v>6.1681410903255</v>
      </c>
      <c r="BA45" s="11" t="n">
        <f aca="false">Inputs!$F$139*(Inputs!$F$140*BA18/100+(1-Inputs!$F$140)*BA22/100*Inputs!$F$138/BA11)</f>
        <v>6.23562151909378</v>
      </c>
      <c r="BB45" s="11" t="n">
        <f aca="false">Inputs!$F$139*(Inputs!$F$140*BB18/100+(1-Inputs!$F$140)*BB22/100*Inputs!$F$138/BB11)</f>
        <v>6.30384019431266</v>
      </c>
      <c r="BC45" s="11" t="n">
        <f aca="false">Inputs!$F$139*(Inputs!$F$140*BC18/100+(1-Inputs!$F$140)*BC22/100*Inputs!$F$138/BC11)</f>
        <v>6.37280519251384</v>
      </c>
      <c r="BD45" s="11" t="n">
        <f aca="false">Inputs!$F$139*(Inputs!$F$140*BD18/100+(1-Inputs!$F$140)*BD22/100*Inputs!$F$138/BD11)</f>
        <v>6.44252467858754</v>
      </c>
      <c r="BE45" s="11" t="n">
        <f aca="false">Inputs!$F$139*(Inputs!$F$140*BE18/100+(1-Inputs!$F$140)*BE22/100*Inputs!$F$138/BE11)</f>
        <v>6.51300690674914</v>
      </c>
      <c r="BF45" s="11" t="n">
        <f aca="false">Inputs!$F$139*(Inputs!$F$140*BF18/100+(1-Inputs!$F$140)*BF22/100*Inputs!$F$138/BF11)</f>
        <v>6.58426022151646</v>
      </c>
      <c r="BG45" s="11" t="n">
        <f aca="false">Inputs!$F$139*(Inputs!$F$140*BG18/100+(1-Inputs!$F$140)*BG22/100*Inputs!$F$138/BG11)</f>
        <v>6.65629305869762</v>
      </c>
      <c r="BH45" s="11" t="n">
        <f aca="false">Inputs!$F$139*(Inputs!$F$140*BH18/100+(1-Inputs!$F$140)*BH22/100*Inputs!$F$138/BH11)</f>
        <v>6.72911394638982</v>
      </c>
      <c r="BI45" s="11" t="n">
        <f aca="false">Inputs!$F$139*(Inputs!$F$140*BI18/100+(1-Inputs!$F$140)*BI22/100*Inputs!$F$138/BI11)</f>
        <v>6.80273150598897</v>
      </c>
      <c r="BJ45" s="11" t="n">
        <f aca="false">Inputs!$F$139*(Inputs!$F$140*BJ18/100+(1-Inputs!$F$140)*BJ22/100*Inputs!$F$138/BJ11)</f>
        <v>6.8771544532104</v>
      </c>
      <c r="BK45" s="11" t="n">
        <f aca="false">Inputs!$F$139*(Inputs!$F$140*BK18/100+(1-Inputs!$F$140)*BK22/100*Inputs!$F$138/BK11)</f>
        <v>6.95239159912073</v>
      </c>
      <c r="BL45" s="11" t="n">
        <f aca="false">Inputs!$F$139*(Inputs!$F$140*BL18/100+(1-Inputs!$F$140)*BL22/100*Inputs!$F$138/BL11)</f>
        <v>7.02845185118103</v>
      </c>
      <c r="BM45" s="11" t="n">
        <f aca="false">Inputs!$F$139*(Inputs!$F$140*BM18/100+(1-Inputs!$F$140)*BM22/100*Inputs!$F$138/BM11)</f>
        <v>7.10534421430138</v>
      </c>
      <c r="BN45" s="11" t="n">
        <f aca="false">Inputs!$F$139*(Inputs!$F$140*BN18/100+(1-Inputs!$F$140)*BN22/100*Inputs!$F$138/BN11)</f>
        <v>7.18307779190701</v>
      </c>
    </row>
    <row r="46" customFormat="false" ht="15" hidden="false" customHeight="false" outlineLevel="0" collapsed="false">
      <c r="D46" s="0" t="s">
        <v>500</v>
      </c>
      <c r="E46" s="0" t="s">
        <v>149</v>
      </c>
      <c r="G46" s="11" t="n">
        <f aca="false">SUM(J46:BN46)</f>
        <v>491.126603471572</v>
      </c>
      <c r="J46" s="11" t="n">
        <f aca="false">J34*J45/1000000</f>
        <v>0</v>
      </c>
      <c r="K46" s="11" t="n">
        <f aca="false">K34*K45/1000000</f>
        <v>0</v>
      </c>
      <c r="L46" s="11" t="n">
        <f aca="false">L34*L45/1000000</f>
        <v>0</v>
      </c>
      <c r="M46" s="11" t="n">
        <f aca="false">M34*M45/1000000</f>
        <v>0</v>
      </c>
      <c r="N46" s="11" t="n">
        <f aca="false">N34*N45/1000000</f>
        <v>0</v>
      </c>
      <c r="O46" s="11" t="n">
        <f aca="false">O34*O45/1000000</f>
        <v>0</v>
      </c>
      <c r="P46" s="11" t="n">
        <f aca="false">P34*P45/1000000</f>
        <v>2.54395176542335</v>
      </c>
      <c r="Q46" s="11" t="n">
        <f aca="false">Q34*Q45/1000000</f>
        <v>7.71149083074173</v>
      </c>
      <c r="R46" s="11" t="n">
        <f aca="false">R34*R45/1000000</f>
        <v>7.76509047000199</v>
      </c>
      <c r="S46" s="11" t="n">
        <f aca="false">S34*S45/1000000</f>
        <v>7.79380937039928</v>
      </c>
      <c r="T46" s="11" t="n">
        <f aca="false">T34*T45/1000000</f>
        <v>7.89857758032942</v>
      </c>
      <c r="U46" s="11" t="n">
        <f aca="false">U34*U45/1000000</f>
        <v>8.03035009080359</v>
      </c>
      <c r="V46" s="11" t="n">
        <f aca="false">V34*V45/1000000</f>
        <v>8.01984418578093</v>
      </c>
      <c r="W46" s="11" t="n">
        <f aca="false">W34*W45/1000000</f>
        <v>7.91510043193519</v>
      </c>
      <c r="X46" s="11" t="n">
        <f aca="false">X34*X45/1000000</f>
        <v>8.08979649848136</v>
      </c>
      <c r="Y46" s="11" t="n">
        <f aca="false">Y34*Y45/1000000</f>
        <v>8.36231792098586</v>
      </c>
      <c r="Z46" s="11" t="n">
        <f aca="false">Z34*Z45/1000000</f>
        <v>8.42040301455608</v>
      </c>
      <c r="AA46" s="11" t="n">
        <f aca="false">AA34*AA45/1000000</f>
        <v>8.45150716808727</v>
      </c>
      <c r="AB46" s="11" t="n">
        <f aca="false">AB34*AB45/1000000</f>
        <v>8.56507750374957</v>
      </c>
      <c r="AC46" s="11" t="n">
        <f aca="false">AC34*AC45/1000000</f>
        <v>8.70792959747923</v>
      </c>
      <c r="AD46" s="11" t="n">
        <f aca="false">AD34*AD45/1000000</f>
        <v>8.63710377917103</v>
      </c>
      <c r="AE46" s="11" t="n">
        <f aca="false">AE34*AE45/1000000</f>
        <v>8.40288296992398</v>
      </c>
      <c r="AF46" s="11" t="n">
        <f aca="false">AF34*AF45/1000000</f>
        <v>8.65105480485096</v>
      </c>
      <c r="AG46" s="11" t="n">
        <f aca="false">AG34*AG45/1000000</f>
        <v>9.0677420793438</v>
      </c>
      <c r="AH46" s="11" t="n">
        <f aca="false">AH34*AH45/1000000</f>
        <v>9.13068516284434</v>
      </c>
      <c r="AI46" s="11" t="n">
        <f aca="false">AI34*AI45/1000000</f>
        <v>9.16437088854937</v>
      </c>
      <c r="AJ46" s="11" t="n">
        <f aca="false">AJ34*AJ45/1000000</f>
        <v>9.28747782880755</v>
      </c>
      <c r="AK46" s="11" t="n">
        <f aca="false">AK34*AK45/1000000</f>
        <v>9.442334878372</v>
      </c>
      <c r="AL46" s="11" t="n">
        <f aca="false">AL34*AL45/1000000</f>
        <v>9.42989511333744</v>
      </c>
      <c r="AM46" s="11" t="n">
        <f aca="false">AM34*AM45/1000000</f>
        <v>9.30664969387859</v>
      </c>
      <c r="AN46" s="11" t="n">
        <f aca="false">AN34*AN45/1000000</f>
        <v>9.51197136071293</v>
      </c>
      <c r="AO46" s="11" t="n">
        <f aca="false">AO34*AO45/1000000</f>
        <v>9.83231096343491</v>
      </c>
      <c r="AP46" s="11" t="n">
        <f aca="false">AP34*AP45/1000000</f>
        <v>9.90051523369952</v>
      </c>
      <c r="AQ46" s="11" t="n">
        <f aca="false">AQ34*AQ45/1000000</f>
        <v>9.9369948306012</v>
      </c>
      <c r="AR46" s="11" t="n">
        <f aca="false">AR34*AR45/1000000</f>
        <v>10.0704336461178</v>
      </c>
      <c r="AS46" s="11" t="n">
        <f aca="false">AS34*AS45/1000000</f>
        <v>10.2382977006584</v>
      </c>
      <c r="AT46" s="11" t="n">
        <f aca="false">AT34*AT45/1000000</f>
        <v>10.1549302610422</v>
      </c>
      <c r="AU46" s="11" t="n">
        <f aca="false">AU34*AU45/1000000</f>
        <v>9.8794570891343</v>
      </c>
      <c r="AV46" s="11" t="n">
        <f aca="false">AV34*AV45/1000000</f>
        <v>10.1711434212087</v>
      </c>
      <c r="AW46" s="11" t="n">
        <f aca="false">AW34*AW45/1000000</f>
        <v>10.6609478308276</v>
      </c>
      <c r="AX46" s="11" t="n">
        <f aca="false">AX34*AX45/1000000</f>
        <v>10.7348496416203</v>
      </c>
      <c r="AY46" s="11" t="n">
        <f aca="false">AY34*AY45/1000000</f>
        <v>10.7743526715631</v>
      </c>
      <c r="AZ46" s="11" t="n">
        <f aca="false">AZ34*AZ45/1000000</f>
        <v>10.9189844073281</v>
      </c>
      <c r="BA46" s="11" t="n">
        <f aca="false">BA34*BA45/1000000</f>
        <v>11.1009404854709</v>
      </c>
      <c r="BB46" s="11" t="n">
        <f aca="false">BB34*BB45/1000000</f>
        <v>11.0862112776209</v>
      </c>
      <c r="BC46" s="11" t="n">
        <f aca="false">BC34*BC45/1000000</f>
        <v>10.941215273802</v>
      </c>
      <c r="BD46" s="11" t="n">
        <f aca="false">BD34*BD45/1000000</f>
        <v>11.182492889396</v>
      </c>
      <c r="BE46" s="11" t="n">
        <f aca="false">BE34*BE45/1000000</f>
        <v>11.558982243131</v>
      </c>
      <c r="BF46" s="11" t="n">
        <f aca="false">BF34*BF45/1000000</f>
        <v>11.6390538012089</v>
      </c>
      <c r="BG46" s="11" t="n">
        <f aca="false">BG34*BG45/1000000</f>
        <v>11.6818284728625</v>
      </c>
      <c r="BH46" s="11" t="n">
        <f aca="false">BH34*BH45/1000000</f>
        <v>11.8385853341839</v>
      </c>
      <c r="BI46" s="11" t="n">
        <f aca="false">BI34*BI45/1000000</f>
        <v>12.0358082273877</v>
      </c>
      <c r="BJ46" s="11" t="n">
        <f aca="false">BJ34*BJ45/1000000</f>
        <v>11.9376904663381</v>
      </c>
      <c r="BK46" s="11" t="n">
        <f aca="false">BK34*BK45/1000000</f>
        <v>11.6137454837672</v>
      </c>
      <c r="BL46" s="11" t="n">
        <f aca="false">BL34*BL45/1000000</f>
        <v>11.9565216114816</v>
      </c>
      <c r="BM46" s="11" t="n">
        <f aca="false">BM34*BM45/1000000</f>
        <v>12.5321832482564</v>
      </c>
      <c r="BN46" s="11" t="n">
        <f aca="false">BN34*BN45/1000000</f>
        <v>8.44071197088183</v>
      </c>
    </row>
    <row r="47" customFormat="false" ht="15" hidden="false" customHeight="false" outlineLevel="0" collapsed="false">
      <c r="D47" s="0" t="s">
        <v>501</v>
      </c>
      <c r="E47" s="0" t="s">
        <v>149</v>
      </c>
      <c r="G47" s="11" t="n">
        <f aca="false">SUM(J47:BN47)</f>
        <v>4935.37303329242</v>
      </c>
      <c r="J47" s="11" t="n">
        <f aca="false">J34*J36*(1000*Inputs!$F$123/Inputs!$F$124)*J37/1000000</f>
        <v>0</v>
      </c>
      <c r="K47" s="11" t="n">
        <f aca="false">K34*K36*(1000*Inputs!$F$123/Inputs!$F$124)*K37/1000000</f>
        <v>0</v>
      </c>
      <c r="L47" s="11" t="n">
        <f aca="false">L34*L36*(1000*Inputs!$F$123/Inputs!$F$124)*L37/1000000</f>
        <v>0</v>
      </c>
      <c r="M47" s="11" t="n">
        <f aca="false">M34*M36*(1000*Inputs!$F$123/Inputs!$F$124)*M37/1000000</f>
        <v>0</v>
      </c>
      <c r="N47" s="11" t="n">
        <f aca="false">N34*N36*(1000*Inputs!$F$123/Inputs!$F$124)*N37/1000000</f>
        <v>0</v>
      </c>
      <c r="O47" s="11" t="n">
        <f aca="false">O34*O36*(1000*Inputs!$F$123/Inputs!$F$124)*O37/1000000</f>
        <v>0</v>
      </c>
      <c r="P47" s="11" t="n">
        <f aca="false">P34*P36*(1000*Inputs!$F$123/Inputs!$F$124)*P37/1000000</f>
        <v>25.7791196996463</v>
      </c>
      <c r="Q47" s="11" t="n">
        <f aca="false">Q34*Q36*(1000*Inputs!$F$123/Inputs!$F$124)*Q37/1000000</f>
        <v>78.8709386600562</v>
      </c>
      <c r="R47" s="11" t="n">
        <f aca="false">R34*R36*(1000*Inputs!$F$123/Inputs!$F$124)*R37/1000000</f>
        <v>78.5989487836604</v>
      </c>
      <c r="S47" s="11" t="n">
        <f aca="false">S34*S36*(1000*Inputs!$F$123/Inputs!$F$124)*S37/1000000</f>
        <v>79.6363991777555</v>
      </c>
      <c r="T47" s="11" t="n">
        <f aca="false">T34*T36*(1000*Inputs!$F$123/Inputs!$F$124)*T37/1000000</f>
        <v>79.8733798268943</v>
      </c>
      <c r="U47" s="11" t="n">
        <f aca="false">U34*U36*(1000*Inputs!$F$123/Inputs!$F$124)*U37/1000000</f>
        <v>81.9745525043435</v>
      </c>
      <c r="V47" s="11" t="n">
        <f aca="false">V34*V36*(1000*Inputs!$F$123/Inputs!$F$124)*V37/1000000</f>
        <v>81.021751587173</v>
      </c>
      <c r="W47" s="11" t="n">
        <f aca="false">W34*W36*(1000*Inputs!$F$123/Inputs!$F$124)*W37/1000000</f>
        <v>80.720401369175</v>
      </c>
      <c r="X47" s="11" t="n">
        <f aca="false">X34*X36*(1000*Inputs!$F$123/Inputs!$F$124)*X37/1000000</f>
        <v>81.6498489848216</v>
      </c>
      <c r="Y47" s="11" t="n">
        <f aca="false">Y34*Y36*(1000*Inputs!$F$123/Inputs!$F$124)*Y37/1000000</f>
        <v>85.1991836729775</v>
      </c>
      <c r="Z47" s="11" t="n">
        <f aca="false">Z34*Z36*(1000*Inputs!$F$123/Inputs!$F$124)*Z37/1000000</f>
        <v>84.9048165069735</v>
      </c>
      <c r="AA47" s="11" t="n">
        <f aca="false">AA34*AA36*(1000*Inputs!$F$123/Inputs!$F$124)*AA37/1000000</f>
        <v>86.0249380962306</v>
      </c>
      <c r="AB47" s="11" t="n">
        <f aca="false">AB34*AB36*(1000*Inputs!$F$123/Inputs!$F$124)*AB37/1000000</f>
        <v>86.2803657749892</v>
      </c>
      <c r="AC47" s="11" t="n">
        <f aca="false">AC34*AC36*(1000*Inputs!$F$123/Inputs!$F$124)*AC37/1000000</f>
        <v>88.5495033741988</v>
      </c>
      <c r="AD47" s="11" t="n">
        <f aca="false">AD34*AD36*(1000*Inputs!$F$123/Inputs!$F$124)*AD37/1000000</f>
        <v>86.9219818515905</v>
      </c>
      <c r="AE47" s="11" t="n">
        <f aca="false">AE34*AE36*(1000*Inputs!$F$123/Inputs!$F$124)*AE37/1000000</f>
        <v>85.365054689092</v>
      </c>
      <c r="AF47" s="11" t="n">
        <f aca="false">AF34*AF36*(1000*Inputs!$F$123/Inputs!$F$124)*AF37/1000000</f>
        <v>86.9783006666355</v>
      </c>
      <c r="AG47" s="11" t="n">
        <f aca="false">AG34*AG36*(1000*Inputs!$F$123/Inputs!$F$124)*AG37/1000000</f>
        <v>92.0303610577914</v>
      </c>
      <c r="AH47" s="11" t="n">
        <f aca="false">AH34*AH36*(1000*Inputs!$F$123/Inputs!$F$124)*AH37/1000000</f>
        <v>91.7117897628972</v>
      </c>
      <c r="AI47" s="11" t="n">
        <f aca="false">AI34*AI36*(1000*Inputs!$F$123/Inputs!$F$124)*AI37/1000000</f>
        <v>92.9211030374604</v>
      </c>
      <c r="AJ47" s="11" t="n">
        <f aca="false">AJ34*AJ36*(1000*Inputs!$F$123/Inputs!$F$124)*AJ37/1000000</f>
        <v>93.1963942315242</v>
      </c>
      <c r="AK47" s="11" t="n">
        <f aca="false">AK34*AK36*(1000*Inputs!$F$123/Inputs!$F$124)*AK37/1000000</f>
        <v>95.6467911252727</v>
      </c>
      <c r="AL47" s="11" t="n">
        <f aca="false">AL34*AL36*(1000*Inputs!$F$123/Inputs!$F$124)*AL37/1000000</f>
        <v>94.5338347262224</v>
      </c>
      <c r="AM47" s="11" t="n">
        <f aca="false">AM34*AM36*(1000*Inputs!$F$123/Inputs!$F$124)*AM37/1000000</f>
        <v>94.1809904350741</v>
      </c>
      <c r="AN47" s="11" t="n">
        <f aca="false">AN34*AN36*(1000*Inputs!$F$123/Inputs!$F$124)*AN37/1000000</f>
        <v>95.2641759921699</v>
      </c>
      <c r="AO47" s="11" t="n">
        <f aca="false">AO34*AO36*(1000*Inputs!$F$123/Inputs!$F$124)*AO37/1000000</f>
        <v>99.4040198886196</v>
      </c>
      <c r="AP47" s="11" t="n">
        <f aca="false">AP34*AP36*(1000*Inputs!$F$123/Inputs!$F$124)*AP37/1000000</f>
        <v>99.0592696696603</v>
      </c>
      <c r="AQ47" s="11" t="n">
        <f aca="false">AQ34*AQ36*(1000*Inputs!$F$123/Inputs!$F$124)*AQ37/1000000</f>
        <v>100.364803455195</v>
      </c>
      <c r="AR47" s="11" t="n">
        <f aca="false">AR34*AR36*(1000*Inputs!$F$123/Inputs!$F$124)*AR37/1000000</f>
        <v>100.661481636439</v>
      </c>
      <c r="AS47" s="11" t="n">
        <f aca="false">AS34*AS36*(1000*Inputs!$F$123/Inputs!$F$124)*AS37/1000000</f>
        <v>103.307472786548</v>
      </c>
      <c r="AT47" s="11" t="n">
        <f aca="false">AT34*AT36*(1000*Inputs!$F$123/Inputs!$F$124)*AT37/1000000</f>
        <v>101.407363093729</v>
      </c>
      <c r="AU47" s="11" t="n">
        <f aca="false">AU34*AU36*(1000*Inputs!$F$123/Inputs!$F$124)*AU37/1000000</f>
        <v>99.5896602483417</v>
      </c>
      <c r="AV47" s="11" t="n">
        <f aca="false">AV34*AV36*(1000*Inputs!$F$123/Inputs!$F$124)*AV37/1000000</f>
        <v>101.470383003147</v>
      </c>
      <c r="AW47" s="11" t="n">
        <f aca="false">AW34*AW36*(1000*Inputs!$F$123/Inputs!$F$124)*AW37/1000000</f>
        <v>107.362781867685</v>
      </c>
      <c r="AX47" s="11" t="n">
        <f aca="false">AX34*AX36*(1000*Inputs!$F$123/Inputs!$F$124)*AX37/1000000</f>
        <v>106.989718090849</v>
      </c>
      <c r="AY47" s="11" t="n">
        <f aca="false">AY34*AY36*(1000*Inputs!$F$123/Inputs!$F$124)*AY37/1000000</f>
        <v>108.399048643486</v>
      </c>
      <c r="AZ47" s="11" t="n">
        <f aca="false">AZ34*AZ36*(1000*Inputs!$F$123/Inputs!$F$124)*AZ37/1000000</f>
        <v>108.718752184724</v>
      </c>
      <c r="BA47" s="11" t="n">
        <f aca="false">BA34*BA36*(1000*Inputs!$F$123/Inputs!$F$124)*BA37/1000000</f>
        <v>111.5757935503</v>
      </c>
      <c r="BB47" s="11" t="n">
        <f aca="false">BB34*BB36*(1000*Inputs!$F$123/Inputs!$F$124)*BB37/1000000</f>
        <v>110.276019419535</v>
      </c>
      <c r="BC47" s="11" t="n">
        <f aca="false">BC34*BC36*(1000*Inputs!$F$123/Inputs!$F$124)*BC37/1000000</f>
        <v>109.862956151477</v>
      </c>
      <c r="BD47" s="11" t="n">
        <f aca="false">BD34*BD36*(1000*Inputs!$F$123/Inputs!$F$124)*BD37/1000000</f>
        <v>111.125021868197</v>
      </c>
      <c r="BE47" s="11" t="n">
        <f aca="false">BE34*BE36*(1000*Inputs!$F$123/Inputs!$F$124)*BE37/1000000</f>
        <v>115.952576668602</v>
      </c>
      <c r="BF47" s="11" t="n">
        <f aca="false">BF34*BF36*(1000*Inputs!$F$123/Inputs!$F$124)*BF37/1000000</f>
        <v>115.548892032972</v>
      </c>
      <c r="BG47" s="11" t="n">
        <f aca="false">BG34*BG36*(1000*Inputs!$F$123/Inputs!$F$124)*BG37/1000000</f>
        <v>117.070185092118</v>
      </c>
      <c r="BH47" s="11" t="n">
        <f aca="false">BH34*BH36*(1000*Inputs!$F$123/Inputs!$F$124)*BH37/1000000</f>
        <v>117.414675751632</v>
      </c>
      <c r="BI47" s="11" t="n">
        <f aca="false">BI34*BI36*(1000*Inputs!$F$123/Inputs!$F$124)*BI37/1000000</f>
        <v>120.499430815973</v>
      </c>
      <c r="BJ47" s="11" t="n">
        <f aca="false">BJ34*BJ36*(1000*Inputs!$F$123/Inputs!$F$124)*BJ37/1000000</f>
        <v>118.281530787593</v>
      </c>
      <c r="BK47" s="11" t="n">
        <f aca="false">BK34*BK36*(1000*Inputs!$F$123/Inputs!$F$124)*BK37/1000000</f>
        <v>116.159806869325</v>
      </c>
      <c r="BL47" s="11" t="n">
        <f aca="false">BL34*BL36*(1000*Inputs!$F$123/Inputs!$F$124)*BL37/1000000</f>
        <v>118.351865898643</v>
      </c>
      <c r="BM47" s="11" t="n">
        <f aca="false">BM34*BM36*(1000*Inputs!$F$123/Inputs!$F$124)*BM37/1000000</f>
        <v>125.222894995838</v>
      </c>
      <c r="BN47" s="11" t="n">
        <f aca="false">BN34*BN36*(1000*Inputs!$F$123/Inputs!$F$124)*BN37/1000000</f>
        <v>83.4617032271672</v>
      </c>
    </row>
    <row r="48" customFormat="false" ht="15" hidden="false" customHeight="false" outlineLevel="0" collapsed="false">
      <c r="D48" s="0" t="s">
        <v>502</v>
      </c>
      <c r="E48" s="0" t="s">
        <v>149</v>
      </c>
      <c r="G48" s="11" t="n">
        <f aca="false">SUM(J48:BN48)</f>
        <v>695.537825674145</v>
      </c>
      <c r="J48" s="11" t="n">
        <f aca="false">Inputs!$F$146*Time!J26*Inputs!$F$147*(1+Inputs!$F$149/100)^(Time!J21-2018)/1000000</f>
        <v>0</v>
      </c>
      <c r="K48" s="11" t="n">
        <f aca="false">Inputs!$F$146*Time!K26*Inputs!$F$147*(1+Inputs!$F$149/100)^(Time!K21-2018)/1000000</f>
        <v>0</v>
      </c>
      <c r="L48" s="11" t="n">
        <f aca="false">Inputs!$F$146*Time!L26*Inputs!$F$147*(1+Inputs!$F$149/100)^(Time!L21-2018)/1000000</f>
        <v>0</v>
      </c>
      <c r="M48" s="11" t="n">
        <f aca="false">Inputs!$F$146*Time!M26*Inputs!$F$147*(1+Inputs!$F$149/100)^(Time!M21-2018)/1000000</f>
        <v>0</v>
      </c>
      <c r="N48" s="11" t="n">
        <f aca="false">Inputs!$F$146*Time!N26*Inputs!$F$147*(1+Inputs!$F$149/100)^(Time!N21-2018)/1000000</f>
        <v>0</v>
      </c>
      <c r="O48" s="11" t="n">
        <f aca="false">Inputs!$F$146*Time!O26*Inputs!$F$147*(1+Inputs!$F$149/100)^(Time!O21-2018)/1000000</f>
        <v>0</v>
      </c>
      <c r="P48" s="11" t="n">
        <f aca="false">Inputs!$F$146*Time!P26*Inputs!$F$147*(1+Inputs!$F$149/100)^(Time!P21-2018)/1000000</f>
        <v>3.81633916775125</v>
      </c>
      <c r="Q48" s="11" t="n">
        <f aca="false">Inputs!$F$146*Time!Q26*Inputs!$F$147*(1+Inputs!$F$149/100)^(Time!Q21-2018)/1000000</f>
        <v>11.4937500033348</v>
      </c>
      <c r="R48" s="11" t="n">
        <f aca="false">Inputs!$F$146*Time!R26*Inputs!$F$147*(1+Inputs!$F$149/100)^(Time!R21-2018)/1000000</f>
        <v>11.6842541470364</v>
      </c>
      <c r="S48" s="11" t="n">
        <f aca="false">Inputs!$F$146*Time!S26*Inputs!$F$147*(1+Inputs!$F$149/100)^(Time!S21-2018)/1000000</f>
        <v>11.6661562533848</v>
      </c>
      <c r="T48" s="11" t="n">
        <f aca="false">Inputs!$F$146*Time!T26*Inputs!$F$147*(1+Inputs!$F$149/100)^(Time!T21-2018)/1000000</f>
        <v>11.859517959242</v>
      </c>
      <c r="U48" s="11" t="n">
        <f aca="false">Inputs!$F$146*Time!U26*Inputs!$F$147*(1+Inputs!$F$149/100)^(Time!U21-2018)/1000000</f>
        <v>11.9065693076672</v>
      </c>
      <c r="V48" s="11" t="n">
        <f aca="false">Inputs!$F$146*Time!V26*Inputs!$F$147*(1+Inputs!$F$149/100)^(Time!V21-2018)/1000000</f>
        <v>12.0374107286306</v>
      </c>
      <c r="W48" s="11" t="n">
        <f aca="false">Inputs!$F$146*Time!W26*Inputs!$F$147*(1+Inputs!$F$149/100)^(Time!W21-2018)/1000000</f>
        <v>12.0187658261433</v>
      </c>
      <c r="X48" s="11" t="n">
        <f aca="false">Inputs!$F$146*Time!X26*Inputs!$F$147*(1+Inputs!$F$149/100)^(Time!X21-2018)/1000000</f>
        <v>12.2179718895601</v>
      </c>
      <c r="Y48" s="11" t="n">
        <f aca="false">Inputs!$F$146*Time!Y26*Inputs!$F$147*(1+Inputs!$F$149/100)^(Time!Y21-2018)/1000000</f>
        <v>12.1990473135355</v>
      </c>
      <c r="Z48" s="11" t="n">
        <f aca="false">Inputs!$F$146*Time!Z26*Inputs!$F$147*(1+Inputs!$F$149/100)^(Time!Z21-2018)/1000000</f>
        <v>12.4012414679035</v>
      </c>
      <c r="AA48" s="11" t="n">
        <f aca="false">Inputs!$F$146*Time!AA26*Inputs!$F$147*(1+Inputs!$F$149/100)^(Time!AA21-2018)/1000000</f>
        <v>12.3820330232385</v>
      </c>
      <c r="AB48" s="11" t="n">
        <f aca="false">Inputs!$F$146*Time!AB26*Inputs!$F$147*(1+Inputs!$F$149/100)^(Time!AB21-2018)/1000000</f>
        <v>12.587260089922</v>
      </c>
      <c r="AC48" s="11" t="n">
        <f aca="false">Inputs!$F$146*Time!AC26*Inputs!$F$147*(1+Inputs!$F$149/100)^(Time!AC21-2018)/1000000</f>
        <v>12.6371986761484</v>
      </c>
      <c r="AD48" s="11" t="n">
        <f aca="false">Inputs!$F$146*Time!AD26*Inputs!$F$147*(1+Inputs!$F$149/100)^(Time!AD21-2018)/1000000</f>
        <v>12.7760689912709</v>
      </c>
      <c r="AE48" s="11" t="n">
        <f aca="false">Inputs!$F$146*Time!AE26*Inputs!$F$147*(1+Inputs!$F$149/100)^(Time!AE21-2018)/1000000</f>
        <v>12.7562799713659</v>
      </c>
      <c r="AF48" s="11" t="n">
        <f aca="false">Inputs!$F$146*Time!AF26*Inputs!$F$147*(1+Inputs!$F$149/100)^(Time!AF21-2018)/1000000</f>
        <v>12.9677100261399</v>
      </c>
      <c r="AG48" s="11" t="n">
        <f aca="false">Inputs!$F$146*Time!AG26*Inputs!$F$147*(1+Inputs!$F$149/100)^(Time!AG21-2018)/1000000</f>
        <v>12.9476241709364</v>
      </c>
      <c r="AH48" s="11" t="n">
        <f aca="false">Inputs!$F$146*Time!AH26*Inputs!$F$147*(1+Inputs!$F$149/100)^(Time!AH21-2018)/1000000</f>
        <v>13.162225676532</v>
      </c>
      <c r="AI48" s="11" t="n">
        <f aca="false">Inputs!$F$146*Time!AI26*Inputs!$F$147*(1+Inputs!$F$149/100)^(Time!AI21-2018)/1000000</f>
        <v>13.1418385335004</v>
      </c>
      <c r="AJ48" s="11" t="n">
        <f aca="false">Inputs!$F$146*Time!AJ26*Inputs!$F$147*(1+Inputs!$F$149/100)^(Time!AJ21-2018)/1000000</f>
        <v>13.35965906168</v>
      </c>
      <c r="AK48" s="11" t="n">
        <f aca="false">Inputs!$F$146*Time!AK26*Inputs!$F$147*(1+Inputs!$F$149/100)^(Time!AK21-2018)/1000000</f>
        <v>13.4126620568704</v>
      </c>
      <c r="AL48" s="11" t="n">
        <f aca="false">Inputs!$F$146*Time!AL26*Inputs!$F$147*(1+Inputs!$F$149/100)^(Time!AL21-2018)/1000000</f>
        <v>13.5600539476052</v>
      </c>
      <c r="AM48" s="11" t="n">
        <f aca="false">Inputs!$F$146*Time!AM26*Inputs!$F$147*(1+Inputs!$F$149/100)^(Time!AM21-2018)/1000000</f>
        <v>13.5390506031755</v>
      </c>
      <c r="AN48" s="11" t="n">
        <f aca="false">Inputs!$F$146*Time!AN26*Inputs!$F$147*(1+Inputs!$F$149/100)^(Time!AN21-2018)/1000000</f>
        <v>13.7634547568193</v>
      </c>
      <c r="AO48" s="11" t="n">
        <f aca="false">Inputs!$F$146*Time!AO26*Inputs!$F$147*(1+Inputs!$F$149/100)^(Time!AO21-2018)/1000000</f>
        <v>13.7421363622231</v>
      </c>
      <c r="AP48" s="11" t="n">
        <f aca="false">Inputs!$F$146*Time!AP26*Inputs!$F$147*(1+Inputs!$F$149/100)^(Time!AP21-2018)/1000000</f>
        <v>13.9699065781716</v>
      </c>
      <c r="AQ48" s="11" t="n">
        <f aca="false">Inputs!$F$146*Time!AQ26*Inputs!$F$147*(1+Inputs!$F$149/100)^(Time!AQ21-2018)/1000000</f>
        <v>13.9482684076565</v>
      </c>
      <c r="AR48" s="11" t="n">
        <f aca="false">Inputs!$F$146*Time!AR26*Inputs!$F$147*(1+Inputs!$F$149/100)^(Time!AR21-2018)/1000000</f>
        <v>14.1794551768441</v>
      </c>
      <c r="AS48" s="11" t="n">
        <f aca="false">Inputs!$F$146*Time!AS26*Inputs!$F$147*(1+Inputs!$F$149/100)^(Time!AS21-2018)/1000000</f>
        <v>14.2357106240131</v>
      </c>
      <c r="AT48" s="11" t="n">
        <f aca="false">Inputs!$F$146*Time!AT26*Inputs!$F$147*(1+Inputs!$F$149/100)^(Time!AT21-2018)/1000000</f>
        <v>14.3921470044968</v>
      </c>
      <c r="AU48" s="11" t="n">
        <f aca="false">Inputs!$F$146*Time!AU26*Inputs!$F$147*(1+Inputs!$F$149/100)^(Time!AU21-2018)/1000000</f>
        <v>14.3698548202779</v>
      </c>
      <c r="AV48" s="11" t="n">
        <f aca="false">Inputs!$F$146*Time!AV26*Inputs!$F$147*(1+Inputs!$F$149/100)^(Time!AV21-2018)/1000000</f>
        <v>14.6080292095642</v>
      </c>
      <c r="AW48" s="11" t="n">
        <f aca="false">Inputs!$F$146*Time!AW26*Inputs!$F$147*(1+Inputs!$F$149/100)^(Time!AW21-2018)/1000000</f>
        <v>14.585402642582</v>
      </c>
      <c r="AX48" s="11" t="n">
        <f aca="false">Inputs!$F$146*Time!AX26*Inputs!$F$147*(1+Inputs!$F$149/100)^(Time!AX21-2018)/1000000</f>
        <v>14.8271496477077</v>
      </c>
      <c r="AY48" s="11" t="n">
        <f aca="false">Inputs!$F$146*Time!AY26*Inputs!$F$147*(1+Inputs!$F$149/100)^(Time!AY21-2018)/1000000</f>
        <v>14.8041836822208</v>
      </c>
      <c r="AZ48" s="11" t="n">
        <f aca="false">Inputs!$F$146*Time!AZ26*Inputs!$F$147*(1+Inputs!$F$149/100)^(Time!AZ21-2018)/1000000</f>
        <v>15.0495568924233</v>
      </c>
      <c r="BA48" s="11" t="n">
        <f aca="false">Inputs!$F$146*Time!BA26*Inputs!$F$147*(1+Inputs!$F$149/100)^(Time!BA21-2018)/1000000</f>
        <v>15.1092643735726</v>
      </c>
      <c r="BB48" s="11" t="n">
        <f aca="false">Inputs!$F$146*Time!BB26*Inputs!$F$147*(1+Inputs!$F$149/100)^(Time!BB21-2018)/1000000</f>
        <v>15.2753002458097</v>
      </c>
      <c r="BC48" s="11" t="n">
        <f aca="false">Inputs!$F$146*Time!BC26*Inputs!$F$147*(1+Inputs!$F$149/100)^(Time!BC21-2018)/1000000</f>
        <v>15.2516401340159</v>
      </c>
      <c r="BD48" s="11" t="n">
        <f aca="false">Inputs!$F$146*Time!BD26*Inputs!$F$147*(1+Inputs!$F$149/100)^(Time!BD21-2018)/1000000</f>
        <v>15.5044297494968</v>
      </c>
      <c r="BE48" s="11" t="n">
        <f aca="false">Inputs!$F$146*Time!BE26*Inputs!$F$147*(1+Inputs!$F$149/100)^(Time!BE21-2018)/1000000</f>
        <v>15.4804147360261</v>
      </c>
      <c r="BF48" s="11" t="n">
        <f aca="false">Inputs!$F$146*Time!BF26*Inputs!$F$147*(1+Inputs!$F$149/100)^(Time!BF21-2018)/1000000</f>
        <v>15.7369961957393</v>
      </c>
      <c r="BG48" s="11" t="n">
        <f aca="false">Inputs!$F$146*Time!BG26*Inputs!$F$147*(1+Inputs!$F$149/100)^(Time!BG21-2018)/1000000</f>
        <v>15.7126209570665</v>
      </c>
      <c r="BH48" s="11" t="n">
        <f aca="false">Inputs!$F$146*Time!BH26*Inputs!$F$147*(1+Inputs!$F$149/100)^(Time!BH21-2018)/1000000</f>
        <v>15.9730511386753</v>
      </c>
      <c r="BI48" s="11" t="n">
        <f aca="false">Inputs!$F$146*Time!BI26*Inputs!$F$147*(1+Inputs!$F$149/100)^(Time!BI21-2018)/1000000</f>
        <v>16.0364224828668</v>
      </c>
      <c r="BJ48" s="11" t="n">
        <f aca="false">Inputs!$F$146*Time!BJ26*Inputs!$F$147*(1+Inputs!$F$149/100)^(Time!BJ21-2018)/1000000</f>
        <v>16.2126469057555</v>
      </c>
      <c r="BK48" s="11" t="n">
        <f aca="false">Inputs!$F$146*Time!BK26*Inputs!$F$147*(1+Inputs!$F$149/100)^(Time!BK21-2018)/1000000</f>
        <v>16.1875349254938</v>
      </c>
      <c r="BL48" s="11" t="n">
        <f aca="false">Inputs!$F$146*Time!BL26*Inputs!$F$147*(1+Inputs!$F$149/100)^(Time!BL21-2018)/1000000</f>
        <v>16.4558366093418</v>
      </c>
      <c r="BM48" s="11" t="n">
        <f aca="false">Inputs!$F$146*Time!BM26*Inputs!$F$147*(1+Inputs!$F$149/100)^(Time!BM21-2018)/1000000</f>
        <v>16.4303479493762</v>
      </c>
      <c r="BN48" s="11" t="n">
        <f aca="false">Inputs!$F$146*Time!BN26*Inputs!$F$147*(1+Inputs!$F$149/100)^(Time!BN21-2018)/1000000</f>
        <v>11.165374573333</v>
      </c>
    </row>
    <row r="49" customFormat="false" ht="15" hidden="false" customHeight="false" outlineLevel="0" collapsed="false">
      <c r="D49" s="0" t="s">
        <v>503</v>
      </c>
      <c r="E49" s="0" t="s">
        <v>149</v>
      </c>
      <c r="G49" s="11" t="n">
        <f aca="false">SUM(J49:BN49)</f>
        <v>147.52233298824</v>
      </c>
      <c r="J49" s="11" t="n">
        <f aca="false">J38*Inputs!$F$148*(1+Inputs!$F$149/100)^(Time!J21-2018)/1000000</f>
        <v>0</v>
      </c>
      <c r="K49" s="11" t="n">
        <f aca="false">K38*Inputs!$F$148*(1+Inputs!$F$149/100)^(Time!K21-2018)/1000000</f>
        <v>0</v>
      </c>
      <c r="L49" s="11" t="n">
        <f aca="false">L38*Inputs!$F$148*(1+Inputs!$F$149/100)^(Time!L21-2018)/1000000</f>
        <v>0</v>
      </c>
      <c r="M49" s="11" t="n">
        <f aca="false">M38*Inputs!$F$148*(1+Inputs!$F$149/100)^(Time!M21-2018)/1000000</f>
        <v>0</v>
      </c>
      <c r="N49" s="11" t="n">
        <f aca="false">N38*Inputs!$F$148*(1+Inputs!$F$149/100)^(Time!N21-2018)/1000000</f>
        <v>0</v>
      </c>
      <c r="O49" s="11" t="n">
        <f aca="false">O38*Inputs!$F$148*(1+Inputs!$F$149/100)^(Time!O21-2018)/1000000</f>
        <v>0</v>
      </c>
      <c r="P49" s="11" t="n">
        <f aca="false">P38*Inputs!$F$148*(1+Inputs!$F$149/100)^(Time!P21-2018)/1000000</f>
        <v>0.822072217410972</v>
      </c>
      <c r="Q49" s="11" t="n">
        <f aca="false">Q38*Inputs!$F$148*(1+Inputs!$F$149/100)^(Time!Q21-2018)/1000000</f>
        <v>2.50295882378314</v>
      </c>
      <c r="R49" s="11" t="n">
        <f aca="false">R38*Inputs!$F$148*(1+Inputs!$F$149/100)^(Time!R21-2018)/1000000</f>
        <v>2.49457634071986</v>
      </c>
      <c r="S49" s="11" t="n">
        <f aca="false">S38*Inputs!$F$148*(1+Inputs!$F$149/100)^(Time!S21-2018)/1000000</f>
        <v>2.51536413872757</v>
      </c>
      <c r="T49" s="11" t="n">
        <f aca="false">T38*Inputs!$F$148*(1+Inputs!$F$149/100)^(Time!T21-2018)/1000000</f>
        <v>2.52310069174203</v>
      </c>
      <c r="U49" s="11" t="n">
        <f aca="false">U38*Inputs!$F$148*(1+Inputs!$F$149/100)^(Time!U21-2018)/1000000</f>
        <v>2.5770370887498</v>
      </c>
      <c r="V49" s="11" t="n">
        <f aca="false">V38*Inputs!$F$148*(1+Inputs!$F$149/100)^(Time!V21-2018)/1000000</f>
        <v>2.54733708376765</v>
      </c>
      <c r="W49" s="11" t="n">
        <f aca="false">W38*Inputs!$F$148*(1+Inputs!$F$149/100)^(Time!W21-2018)/1000000</f>
        <v>2.52567288538279</v>
      </c>
      <c r="X49" s="11" t="n">
        <f aca="false">X38*Inputs!$F$148*(1+Inputs!$F$149/100)^(Time!X21-2018)/1000000</f>
        <v>2.5550079524854</v>
      </c>
      <c r="Y49" s="11" t="n">
        <f aca="false">Y38*Inputs!$F$148*(1+Inputs!$F$149/100)^(Time!Y21-2018)/1000000</f>
        <v>2.65326854613213</v>
      </c>
      <c r="Z49" s="11" t="n">
        <f aca="false">Z38*Inputs!$F$148*(1+Inputs!$F$149/100)^(Time!Z21-2018)/1000000</f>
        <v>2.64436310847705</v>
      </c>
      <c r="AA49" s="11" t="n">
        <f aca="false">AA38*Inputs!$F$148*(1+Inputs!$F$149/100)^(Time!AA21-2018)/1000000</f>
        <v>2.66637937436111</v>
      </c>
      <c r="AB49" s="11" t="n">
        <f aca="false">AB38*Inputs!$F$148*(1+Inputs!$F$149/100)^(Time!AB21-2018)/1000000</f>
        <v>2.6745606031505</v>
      </c>
      <c r="AC49" s="11" t="n">
        <f aca="false">AC38*Inputs!$F$148*(1+Inputs!$F$149/100)^(Time!AC21-2018)/1000000</f>
        <v>2.73171452578498</v>
      </c>
      <c r="AD49" s="11" t="n">
        <f aca="false">AD38*Inputs!$F$148*(1+Inputs!$F$149/100)^(Time!AD21-2018)/1000000</f>
        <v>2.68177045261444</v>
      </c>
      <c r="AE49" s="11" t="n">
        <f aca="false">AE38*Inputs!$F$148*(1+Inputs!$F$149/100)^(Time!AE21-2018)/1000000</f>
        <v>2.62108272302898</v>
      </c>
      <c r="AF49" s="11" t="n">
        <f aca="false">AF38*Inputs!$F$148*(1+Inputs!$F$149/100)^(Time!AF21-2018)/1000000</f>
        <v>2.67087909828532</v>
      </c>
      <c r="AG49" s="11" t="n">
        <f aca="false">AG38*Inputs!$F$148*(1+Inputs!$F$149/100)^(Time!AG21-2018)/1000000</f>
        <v>2.81243806295103</v>
      </c>
      <c r="AH49" s="11" t="n">
        <f aca="false">AH38*Inputs!$F$148*(1+Inputs!$F$149/100)^(Time!AH21-2018)/1000000</f>
        <v>2.80297757361037</v>
      </c>
      <c r="AI49" s="11" t="n">
        <f aca="false">AI38*Inputs!$F$148*(1+Inputs!$F$149/100)^(Time!AI21-2018)/1000000</f>
        <v>2.82629342347187</v>
      </c>
      <c r="AJ49" s="11" t="n">
        <f aca="false">AJ38*Inputs!$F$148*(1+Inputs!$F$149/100)^(Time!AJ21-2018)/1000000</f>
        <v>2.83494424264546</v>
      </c>
      <c r="AK49" s="11" t="n">
        <f aca="false">AK38*Inputs!$F$148*(1+Inputs!$F$149/100)^(Time!AK21-2018)/1000000</f>
        <v>2.89550394426714</v>
      </c>
      <c r="AL49" s="11" t="n">
        <f aca="false">AL38*Inputs!$F$148*(1+Inputs!$F$149/100)^(Time!AL21-2018)/1000000</f>
        <v>2.86209114322515</v>
      </c>
      <c r="AM49" s="11" t="n">
        <f aca="false">AM38*Inputs!$F$148*(1+Inputs!$F$149/100)^(Time!AM21-2018)/1000000</f>
        <v>2.83770790646585</v>
      </c>
      <c r="AN49" s="11" t="n">
        <f aca="false">AN38*Inputs!$F$148*(1+Inputs!$F$149/100)^(Time!AN21-2018)/1000000</f>
        <v>2.87062450669468</v>
      </c>
      <c r="AO49" s="11" t="n">
        <f aca="false">AO38*Inputs!$F$148*(1+Inputs!$F$149/100)^(Time!AO21-2018)/1000000</f>
        <v>2.98097875496188</v>
      </c>
      <c r="AP49" s="11" t="n">
        <f aca="false">AP38*Inputs!$F$148*(1+Inputs!$F$149/100)^(Time!AP21-2018)/1000000</f>
        <v>2.97092917871418</v>
      </c>
      <c r="AQ49" s="11" t="n">
        <f aca="false">AQ38*Inputs!$F$148*(1+Inputs!$F$149/100)^(Time!AQ21-2018)/1000000</f>
        <v>2.99561974643266</v>
      </c>
      <c r="AR49" s="11" t="n">
        <f aca="false">AR38*Inputs!$F$148*(1+Inputs!$F$149/100)^(Time!AR21-2018)/1000000</f>
        <v>3.00476642152149</v>
      </c>
      <c r="AS49" s="11" t="n">
        <f aca="false">AS38*Inputs!$F$148*(1+Inputs!$F$149/100)^(Time!AS21-2018)/1000000</f>
        <v>3.06893092727332</v>
      </c>
      <c r="AT49" s="11" t="n">
        <f aca="false">AT38*Inputs!$F$148*(1+Inputs!$F$149/100)^(Time!AT21-2018)/1000000</f>
        <v>3.0127765863489</v>
      </c>
      <c r="AU49" s="11" t="n">
        <f aca="false">AU38*Inputs!$F$148*(1+Inputs!$F$149/100)^(Time!AU21-2018)/1000000</f>
        <v>2.94455435039529</v>
      </c>
      <c r="AV49" s="11" t="n">
        <f aca="false">AV38*Inputs!$F$148*(1+Inputs!$F$149/100)^(Time!AV21-2018)/1000000</f>
        <v>3.00045138364863</v>
      </c>
      <c r="AW49" s="11" t="n">
        <f aca="false">AW38*Inputs!$F$148*(1+Inputs!$F$149/100)^(Time!AW21-2018)/1000000</f>
        <v>3.15943079011661</v>
      </c>
      <c r="AX49" s="11" t="n">
        <f aca="false">AX38*Inputs!$F$148*(1+Inputs!$F$149/100)^(Time!AX21-2018)/1000000</f>
        <v>3.14875603856921</v>
      </c>
      <c r="AY49" s="11" t="n">
        <f aca="false">AY38*Inputs!$F$148*(1+Inputs!$F$149/100)^(Time!AY21-2018)/1000000</f>
        <v>3.17490069593238</v>
      </c>
      <c r="AZ49" s="11" t="n">
        <f aca="false">AZ38*Inputs!$F$148*(1+Inputs!$F$149/100)^(Time!AZ21-2018)/1000000</f>
        <v>3.18457091338283</v>
      </c>
      <c r="BA49" s="11" t="n">
        <f aca="false">BA38*Inputs!$F$148*(1+Inputs!$F$149/100)^(Time!BA21-2018)/1000000</f>
        <v>3.25255062003178</v>
      </c>
      <c r="BB49" s="11" t="n">
        <f aca="false">BB38*Inputs!$F$148*(1+Inputs!$F$149/100)^(Time!BB21-2018)/1000000</f>
        <v>3.21496952620687</v>
      </c>
      <c r="BC49" s="11" t="n">
        <f aca="false">BC38*Inputs!$F$148*(1+Inputs!$F$149/100)^(Time!BC21-2018)/1000000</f>
        <v>3.18753223446583</v>
      </c>
      <c r="BD49" s="11" t="n">
        <f aca="false">BD38*Inputs!$F$148*(1+Inputs!$F$149/100)^(Time!BD21-2018)/1000000</f>
        <v>3.22445836749426</v>
      </c>
      <c r="BE49" s="11" t="n">
        <f aca="false">BE38*Inputs!$F$148*(1+Inputs!$F$149/100)^(Time!BE21-2018)/1000000</f>
        <v>3.34836469344265</v>
      </c>
      <c r="BF49" s="11" t="n">
        <f aca="false">BF38*Inputs!$F$148*(1+Inputs!$F$149/100)^(Time!BF21-2018)/1000000</f>
        <v>3.33702650328729</v>
      </c>
      <c r="BG49" s="11" t="n">
        <f aca="false">BG38*Inputs!$F$148*(1+Inputs!$F$149/100)^(Time!BG21-2018)/1000000</f>
        <v>3.36470909169022</v>
      </c>
      <c r="BH49" s="11" t="n">
        <f aca="false">BH38*Inputs!$F$148*(1+Inputs!$F$149/100)^(Time!BH21-2018)/1000000</f>
        <v>3.37493203223909</v>
      </c>
      <c r="BI49" s="11" t="n">
        <f aca="false">BI38*Inputs!$F$148*(1+Inputs!$F$149/100)^(Time!BI21-2018)/1000000</f>
        <v>3.44694934025841</v>
      </c>
      <c r="BJ49" s="11" t="n">
        <f aca="false">BJ38*Inputs!$F$148*(1+Inputs!$F$149/100)^(Time!BJ21-2018)/1000000</f>
        <v>3.38382725385082</v>
      </c>
      <c r="BK49" s="11" t="n">
        <f aca="false">BK38*Inputs!$F$148*(1+Inputs!$F$149/100)^(Time!BK21-2018)/1000000</f>
        <v>3.30715307609067</v>
      </c>
      <c r="BL49" s="11" t="n">
        <f aca="false">BL38*Inputs!$F$148*(1+Inputs!$F$149/100)^(Time!BL21-2018)/1000000</f>
        <v>3.36988266108797</v>
      </c>
      <c r="BM49" s="11" t="n">
        <f aca="false">BM38*Inputs!$F$148*(1+Inputs!$F$149/100)^(Time!BM21-2018)/1000000</f>
        <v>3.54838299885033</v>
      </c>
      <c r="BN49" s="11" t="n">
        <f aca="false">BN38*Inputs!$F$148*(1+Inputs!$F$149/100)^(Time!BN21-2018)/1000000</f>
        <v>2.36520234401095</v>
      </c>
    </row>
    <row r="50" customFormat="false" ht="15" hidden="false" customHeight="false" outlineLevel="0" collapsed="false">
      <c r="D50" s="0" t="s">
        <v>504</v>
      </c>
      <c r="E50" s="0" t="s">
        <v>149</v>
      </c>
      <c r="G50" s="11" t="n">
        <f aca="false">SUM(J50:BN50)</f>
        <v>0</v>
      </c>
      <c r="J50" s="11" t="n">
        <f aca="false">MAX(0,J39-J38)*J37/1000000</f>
        <v>0</v>
      </c>
      <c r="K50" s="11" t="n">
        <f aca="false">MAX(0,K39-K38)*K37/1000000</f>
        <v>0</v>
      </c>
      <c r="L50" s="11" t="n">
        <f aca="false">MAX(0,L39-L38)*L37/1000000</f>
        <v>0</v>
      </c>
      <c r="M50" s="11" t="n">
        <f aca="false">MAX(0,M39-M38)*M37/1000000</f>
        <v>0</v>
      </c>
      <c r="N50" s="11" t="n">
        <f aca="false">MAX(0,N39-N38)*N37/1000000</f>
        <v>0</v>
      </c>
      <c r="O50" s="11" t="n">
        <f aca="false">MAX(0,O39-O38)*O37/1000000</f>
        <v>0</v>
      </c>
      <c r="P50" s="11" t="n">
        <f aca="false">MAX(0,P39-P38)*P37/1000000</f>
        <v>0</v>
      </c>
      <c r="Q50" s="11" t="n">
        <f aca="false">MAX(0,Q39-Q38)*Q37/1000000</f>
        <v>0</v>
      </c>
      <c r="R50" s="11" t="n">
        <f aca="false">MAX(0,R39-R38)*R37/1000000</f>
        <v>0</v>
      </c>
      <c r="S50" s="11" t="n">
        <f aca="false">MAX(0,S39-S38)*S37/1000000</f>
        <v>0</v>
      </c>
      <c r="T50" s="11" t="n">
        <f aca="false">MAX(0,T39-T38)*T37/1000000</f>
        <v>0</v>
      </c>
      <c r="U50" s="11" t="n">
        <f aca="false">MAX(0,U39-U38)*U37/1000000</f>
        <v>0</v>
      </c>
      <c r="V50" s="11" t="n">
        <f aca="false">MAX(0,V39-V38)*V37/1000000</f>
        <v>0</v>
      </c>
      <c r="W50" s="11" t="n">
        <f aca="false">MAX(0,W39-W38)*W37/1000000</f>
        <v>0</v>
      </c>
      <c r="X50" s="11" t="n">
        <f aca="false">MAX(0,X39-X38)*X37/1000000</f>
        <v>0</v>
      </c>
      <c r="Y50" s="11" t="n">
        <f aca="false">MAX(0,Y39-Y38)*Y37/1000000</f>
        <v>0</v>
      </c>
      <c r="Z50" s="11" t="n">
        <f aca="false">MAX(0,Z39-Z38)*Z37/1000000</f>
        <v>0</v>
      </c>
      <c r="AA50" s="11" t="n">
        <f aca="false">MAX(0,AA39-AA38)*AA37/1000000</f>
        <v>0</v>
      </c>
      <c r="AB50" s="11" t="n">
        <f aca="false">MAX(0,AB39-AB38)*AB37/1000000</f>
        <v>0</v>
      </c>
      <c r="AC50" s="11" t="n">
        <f aca="false">MAX(0,AC39-AC38)*AC37/1000000</f>
        <v>0</v>
      </c>
      <c r="AD50" s="11" t="n">
        <f aca="false">MAX(0,AD39-AD38)*AD37/1000000</f>
        <v>0</v>
      </c>
      <c r="AE50" s="11" t="n">
        <f aca="false">MAX(0,AE39-AE38)*AE37/1000000</f>
        <v>0</v>
      </c>
      <c r="AF50" s="11" t="n">
        <f aca="false">MAX(0,AF39-AF38)*AF37/1000000</f>
        <v>0</v>
      </c>
      <c r="AG50" s="11" t="n">
        <f aca="false">MAX(0,AG39-AG38)*AG37/1000000</f>
        <v>0</v>
      </c>
      <c r="AH50" s="11" t="n">
        <f aca="false">MAX(0,AH39-AH38)*AH37/1000000</f>
        <v>0</v>
      </c>
      <c r="AI50" s="11" t="n">
        <f aca="false">MAX(0,AI39-AI38)*AI37/1000000</f>
        <v>0</v>
      </c>
      <c r="AJ50" s="11" t="n">
        <f aca="false">MAX(0,AJ39-AJ38)*AJ37/1000000</f>
        <v>0</v>
      </c>
      <c r="AK50" s="11" t="n">
        <f aca="false">MAX(0,AK39-AK38)*AK37/1000000</f>
        <v>0</v>
      </c>
      <c r="AL50" s="11" t="n">
        <f aca="false">MAX(0,AL39-AL38)*AL37/1000000</f>
        <v>0</v>
      </c>
      <c r="AM50" s="11" t="n">
        <f aca="false">MAX(0,AM39-AM38)*AM37/1000000</f>
        <v>0</v>
      </c>
      <c r="AN50" s="11" t="n">
        <f aca="false">MAX(0,AN39-AN38)*AN37/1000000</f>
        <v>0</v>
      </c>
      <c r="AO50" s="11" t="n">
        <f aca="false">MAX(0,AO39-AO38)*AO37/1000000</f>
        <v>0</v>
      </c>
      <c r="AP50" s="11" t="n">
        <f aca="false">MAX(0,AP39-AP38)*AP37/1000000</f>
        <v>0</v>
      </c>
      <c r="AQ50" s="11" t="n">
        <f aca="false">MAX(0,AQ39-AQ38)*AQ37/1000000</f>
        <v>0</v>
      </c>
      <c r="AR50" s="11" t="n">
        <f aca="false">MAX(0,AR39-AR38)*AR37/1000000</f>
        <v>0</v>
      </c>
      <c r="AS50" s="11" t="n">
        <f aca="false">MAX(0,AS39-AS38)*AS37/1000000</f>
        <v>0</v>
      </c>
      <c r="AT50" s="11" t="n">
        <f aca="false">MAX(0,AT39-AT38)*AT37/1000000</f>
        <v>0</v>
      </c>
      <c r="AU50" s="11" t="n">
        <f aca="false">MAX(0,AU39-AU38)*AU37/1000000</f>
        <v>0</v>
      </c>
      <c r="AV50" s="11" t="n">
        <f aca="false">MAX(0,AV39-AV38)*AV37/1000000</f>
        <v>0</v>
      </c>
      <c r="AW50" s="11" t="n">
        <f aca="false">MAX(0,AW39-AW38)*AW37/1000000</f>
        <v>0</v>
      </c>
      <c r="AX50" s="11" t="n">
        <f aca="false">MAX(0,AX39-AX38)*AX37/1000000</f>
        <v>0</v>
      </c>
      <c r="AY50" s="11" t="n">
        <f aca="false">MAX(0,AY39-AY38)*AY37/1000000</f>
        <v>0</v>
      </c>
      <c r="AZ50" s="11" t="n">
        <f aca="false">MAX(0,AZ39-AZ38)*AZ37/1000000</f>
        <v>0</v>
      </c>
      <c r="BA50" s="11" t="n">
        <f aca="false">MAX(0,BA39-BA38)*BA37/1000000</f>
        <v>0</v>
      </c>
      <c r="BB50" s="11" t="n">
        <f aca="false">MAX(0,BB39-BB38)*BB37/1000000</f>
        <v>0</v>
      </c>
      <c r="BC50" s="11" t="n">
        <f aca="false">MAX(0,BC39-BC38)*BC37/1000000</f>
        <v>0</v>
      </c>
      <c r="BD50" s="11" t="n">
        <f aca="false">MAX(0,BD39-BD38)*BD37/1000000</f>
        <v>0</v>
      </c>
      <c r="BE50" s="11" t="n">
        <f aca="false">MAX(0,BE39-BE38)*BE37/1000000</f>
        <v>0</v>
      </c>
      <c r="BF50" s="11" t="n">
        <f aca="false">MAX(0,BF39-BF38)*BF37/1000000</f>
        <v>0</v>
      </c>
      <c r="BG50" s="11" t="n">
        <f aca="false">MAX(0,BG39-BG38)*BG37/1000000</f>
        <v>0</v>
      </c>
      <c r="BH50" s="11" t="n">
        <f aca="false">MAX(0,BH39-BH38)*BH37/1000000</f>
        <v>0</v>
      </c>
      <c r="BI50" s="11" t="n">
        <f aca="false">MAX(0,BI39-BI38)*BI37/1000000</f>
        <v>0</v>
      </c>
      <c r="BJ50" s="11" t="n">
        <f aca="false">MAX(0,BJ39-BJ38)*BJ37/1000000</f>
        <v>0</v>
      </c>
      <c r="BK50" s="11" t="n">
        <f aca="false">MAX(0,BK39-BK38)*BK37/1000000</f>
        <v>0</v>
      </c>
      <c r="BL50" s="11" t="n">
        <f aca="false">MAX(0,BL39-BL38)*BL37/1000000</f>
        <v>0</v>
      </c>
      <c r="BM50" s="11" t="n">
        <f aca="false">MAX(0,BM39-BM38)*BM37/1000000</f>
        <v>0</v>
      </c>
      <c r="BN50" s="11" t="n">
        <f aca="false">MAX(0,BN39-BN38)*BN37/1000000</f>
        <v>0</v>
      </c>
    </row>
    <row r="51" customFormat="false" ht="15" hidden="false" customHeight="false" outlineLevel="0" collapsed="false">
      <c r="D51" s="0" t="s">
        <v>505</v>
      </c>
      <c r="E51" s="0" t="s">
        <v>149</v>
      </c>
      <c r="G51" s="11" t="n">
        <f aca="false">SUM(J51:BN51)</f>
        <v>3840.2522315453</v>
      </c>
      <c r="J51" s="11" t="n">
        <f aca="false">J44+J46</f>
        <v>0</v>
      </c>
      <c r="K51" s="11" t="n">
        <f aca="false">K44+K46</f>
        <v>0</v>
      </c>
      <c r="L51" s="11" t="n">
        <f aca="false">L44+L46</f>
        <v>0</v>
      </c>
      <c r="M51" s="11" t="n">
        <f aca="false">M44+M46</f>
        <v>0</v>
      </c>
      <c r="N51" s="11" t="n">
        <f aca="false">N44+N46</f>
        <v>0</v>
      </c>
      <c r="O51" s="11" t="n">
        <f aca="false">O44+O46</f>
        <v>0</v>
      </c>
      <c r="P51" s="11" t="n">
        <f aca="false">P44+P46</f>
        <v>22.6944400677892</v>
      </c>
      <c r="Q51" s="11" t="n">
        <f aca="false">Q44+Q46</f>
        <v>68.3806017240434</v>
      </c>
      <c r="R51" s="11" t="n">
        <f aca="false">R44+R46</f>
        <v>68.6542284306558</v>
      </c>
      <c r="S51" s="11" t="n">
        <f aca="false">S44+S46</f>
        <v>68.9053815289536</v>
      </c>
      <c r="T51" s="11" t="n">
        <f aca="false">T44+T46</f>
        <v>69.2350174017176</v>
      </c>
      <c r="U51" s="11" t="n">
        <f aca="false">U44+U46</f>
        <v>69.5941176624461</v>
      </c>
      <c r="V51" s="11" t="n">
        <f aca="false">V44+V46</f>
        <v>69.8134265088396</v>
      </c>
      <c r="W51" s="11" t="n">
        <f aca="false">W44+W46</f>
        <v>69.9410117157538</v>
      </c>
      <c r="X51" s="11" t="n">
        <f aca="false">X44+X46</f>
        <v>70.3505784582473</v>
      </c>
      <c r="Y51" s="11" t="n">
        <f aca="false">Y44+Y46</f>
        <v>70.8605400786485</v>
      </c>
      <c r="Z51" s="11" t="n">
        <f aca="false">Z44+Z46</f>
        <v>71.1586630030369</v>
      </c>
      <c r="AA51" s="11" t="n">
        <f aca="false">AA44+AA46</f>
        <v>71.4324310388185</v>
      </c>
      <c r="AB51" s="11" t="n">
        <f aca="false">AB44+AB46</f>
        <v>71.791320037577</v>
      </c>
      <c r="AC51" s="11" t="n">
        <f aca="false">AC44+AC46</f>
        <v>72.1821746189666</v>
      </c>
      <c r="AD51" s="11" t="n">
        <f aca="false">AD44+AD46</f>
        <v>72.3620644743427</v>
      </c>
      <c r="AE51" s="11" t="n">
        <f aca="false">AE44+AE46</f>
        <v>71.4571694851637</v>
      </c>
      <c r="AF51" s="11" t="n">
        <f aca="false">AF44+AF46</f>
        <v>72.8857054609163</v>
      </c>
      <c r="AG51" s="11" t="n">
        <f aca="false">AG44+AG46</f>
        <v>73.5614273657301</v>
      </c>
      <c r="AH51" s="11" t="n">
        <f aca="false">AH44+AH46</f>
        <v>73.8862389589432</v>
      </c>
      <c r="AI51" s="11" t="n">
        <f aca="false">AI44+AI46</f>
        <v>74.1846580768362</v>
      </c>
      <c r="AJ51" s="11" t="n">
        <f aca="false">AJ44+AJ46</f>
        <v>74.5753946340206</v>
      </c>
      <c r="AK51" s="11" t="n">
        <f aca="false">AK44+AK46</f>
        <v>75.0008092104011</v>
      </c>
      <c r="AL51" s="11" t="n">
        <f aca="false">AL44+AL46</f>
        <v>75.2618869138651</v>
      </c>
      <c r="AM51" s="11" t="n">
        <f aca="false">AM44+AM46</f>
        <v>75.4151512868124</v>
      </c>
      <c r="AN51" s="11" t="n">
        <f aca="false">AN44+AN46</f>
        <v>75.9000078064522</v>
      </c>
      <c r="AO51" s="11" t="n">
        <f aca="false">AO44+AO46</f>
        <v>76.5029404170132</v>
      </c>
      <c r="AP51" s="11" t="n">
        <f aca="false">AP44+AP46</f>
        <v>76.8568293068451</v>
      </c>
      <c r="AQ51" s="11" t="n">
        <f aca="false">AQ44+AQ46</f>
        <v>77.1821189577582</v>
      </c>
      <c r="AR51" s="11" t="n">
        <f aca="false">AR44+AR46</f>
        <v>77.6075274544725</v>
      </c>
      <c r="AS51" s="11" t="n">
        <f aca="false">AS44+AS46</f>
        <v>78.0705553842129</v>
      </c>
      <c r="AT51" s="11" t="n">
        <f aca="false">AT44+AT46</f>
        <v>78.2855809587808</v>
      </c>
      <c r="AU51" s="11" t="n">
        <f aca="false">AU44+AU46</f>
        <v>77.323298593642</v>
      </c>
      <c r="AV51" s="11" t="n">
        <f aca="false">AV44+AV46</f>
        <v>78.9084092598975</v>
      </c>
      <c r="AW51" s="11" t="n">
        <f aca="false">AW44+AW46</f>
        <v>79.7065076145405</v>
      </c>
      <c r="AX51" s="11" t="n">
        <f aca="false">AX44+AX46</f>
        <v>80.0920761543602</v>
      </c>
      <c r="AY51" s="11" t="n">
        <f aca="false">AY44+AY46</f>
        <v>80.4466555961177</v>
      </c>
      <c r="AZ51" s="11" t="n">
        <f aca="false">AZ44+AZ46</f>
        <v>80.9098107289483</v>
      </c>
      <c r="BA51" s="11" t="n">
        <f aca="false">BA44+BA46</f>
        <v>81.4137748999657</v>
      </c>
      <c r="BB51" s="11" t="n">
        <f aca="false">BB44+BB46</f>
        <v>81.7245766039167</v>
      </c>
      <c r="BC51" s="11" t="n">
        <f aca="false">BC44+BC46</f>
        <v>81.9086728710156</v>
      </c>
      <c r="BD51" s="11" t="n">
        <f aca="false">BD44+BD46</f>
        <v>82.4826430784703</v>
      </c>
      <c r="BE51" s="11" t="n">
        <f aca="false">BE44+BE46</f>
        <v>83.1954647330834</v>
      </c>
      <c r="BF51" s="11" t="n">
        <f aca="false">BF44+BF46</f>
        <v>83.6155481200429</v>
      </c>
      <c r="BG51" s="11" t="n">
        <f aca="false">BG44+BG46</f>
        <v>84.0020544031938</v>
      </c>
      <c r="BH51" s="11" t="n">
        <f aca="false">BH44+BH46</f>
        <v>84.5063033536322</v>
      </c>
      <c r="BI51" s="11" t="n">
        <f aca="false">BI44+BI46</f>
        <v>85.0548199537863</v>
      </c>
      <c r="BJ51" s="11" t="n">
        <f aca="false">BJ44+BJ46</f>
        <v>85.3118391078143</v>
      </c>
      <c r="BK51" s="11" t="n">
        <f aca="false">BK44+BK46</f>
        <v>84.2818816042691</v>
      </c>
      <c r="BL51" s="11" t="n">
        <f aca="false">BL44+BL46</f>
        <v>86.0526423486703</v>
      </c>
      <c r="BM51" s="11" t="n">
        <f aca="false">BM44+BM46</f>
        <v>86.9952246416553</v>
      </c>
      <c r="BN51" s="11" t="n">
        <f aca="false">BN44+BN46</f>
        <v>58.3300294502197</v>
      </c>
    </row>
    <row r="52" customFormat="false" ht="15" hidden="false" customHeight="false" outlineLevel="0" collapsed="false">
      <c r="D52" s="0" t="s">
        <v>506</v>
      </c>
      <c r="E52" s="0" t="s">
        <v>149</v>
      </c>
      <c r="G52" s="11" t="n">
        <f aca="false">SUM(J52:BN52)</f>
        <v>9618.68542350011</v>
      </c>
      <c r="J52" s="11" t="n">
        <f aca="false">J51+J47+J48+J49+J50</f>
        <v>0</v>
      </c>
      <c r="K52" s="11" t="n">
        <f aca="false">K51+K47+K48+K49+K50</f>
        <v>0</v>
      </c>
      <c r="L52" s="11" t="n">
        <f aca="false">L51+L47+L48+L49+L50</f>
        <v>0</v>
      </c>
      <c r="M52" s="11" t="n">
        <f aca="false">M51+M47+M48+M49+M50</f>
        <v>0</v>
      </c>
      <c r="N52" s="11" t="n">
        <f aca="false">N51+N47+N48+N49+N50</f>
        <v>0</v>
      </c>
      <c r="O52" s="11" t="n">
        <f aca="false">O51+O47+O48+O49+O50</f>
        <v>0</v>
      </c>
      <c r="P52" s="11" t="n">
        <f aca="false">P51+P47+P48+P49+P50</f>
        <v>53.1119711525977</v>
      </c>
      <c r="Q52" s="11" t="n">
        <f aca="false">Q51+Q47+Q48+Q49+Q50</f>
        <v>161.248249211217</v>
      </c>
      <c r="R52" s="11" t="n">
        <f aca="false">R51+R47+R48+R49+R50</f>
        <v>161.432007702073</v>
      </c>
      <c r="S52" s="11" t="n">
        <f aca="false">S51+S47+S48+S49+S50</f>
        <v>162.723301098821</v>
      </c>
      <c r="T52" s="11" t="n">
        <f aca="false">T51+T47+T48+T49+T50</f>
        <v>163.491015879596</v>
      </c>
      <c r="U52" s="11" t="n">
        <f aca="false">U51+U47+U48+U49+U50</f>
        <v>166.052276563207</v>
      </c>
      <c r="V52" s="11" t="n">
        <f aca="false">V51+V47+V48+V49+V50</f>
        <v>165.419925908411</v>
      </c>
      <c r="W52" s="11" t="n">
        <f aca="false">W51+W47+W48+W49+W50</f>
        <v>165.205851796455</v>
      </c>
      <c r="X52" s="11" t="n">
        <f aca="false">X51+X47+X48+X49+X50</f>
        <v>166.773407285114</v>
      </c>
      <c r="Y52" s="11" t="n">
        <f aca="false">Y51+Y47+Y48+Y49+Y50</f>
        <v>170.912039611294</v>
      </c>
      <c r="Z52" s="11" t="n">
        <f aca="false">Z51+Z47+Z48+Z49+Z50</f>
        <v>171.109084086391</v>
      </c>
      <c r="AA52" s="11" t="n">
        <f aca="false">AA51+AA47+AA48+AA49+AA50</f>
        <v>172.505781532649</v>
      </c>
      <c r="AB52" s="11" t="n">
        <f aca="false">AB51+AB47+AB48+AB49+AB50</f>
        <v>173.333506505639</v>
      </c>
      <c r="AC52" s="11" t="n">
        <f aca="false">AC51+AC47+AC48+AC49+AC50</f>
        <v>176.100591195099</v>
      </c>
      <c r="AD52" s="11" t="n">
        <f aca="false">AD51+AD47+AD48+AD49+AD50</f>
        <v>174.741885769818</v>
      </c>
      <c r="AE52" s="11" t="n">
        <f aca="false">AE51+AE47+AE48+AE49+AE50</f>
        <v>172.199586868651</v>
      </c>
      <c r="AF52" s="11" t="n">
        <f aca="false">AF51+AF47+AF48+AF49+AF50</f>
        <v>175.502595251977</v>
      </c>
      <c r="AG52" s="11" t="n">
        <f aca="false">AG51+AG47+AG48+AG49+AG50</f>
        <v>181.351850657409</v>
      </c>
      <c r="AH52" s="11" t="n">
        <f aca="false">AH51+AH47+AH48+AH49+AH50</f>
        <v>181.563231971983</v>
      </c>
      <c r="AI52" s="11" t="n">
        <f aca="false">AI51+AI47+AI48+AI49+AI50</f>
        <v>183.073893071269</v>
      </c>
      <c r="AJ52" s="11" t="n">
        <f aca="false">AJ51+AJ47+AJ48+AJ49+AJ50</f>
        <v>183.96639216987</v>
      </c>
      <c r="AK52" s="11" t="n">
        <f aca="false">AK51+AK47+AK48+AK49+AK50</f>
        <v>186.955766336811</v>
      </c>
      <c r="AL52" s="11" t="n">
        <f aca="false">AL51+AL47+AL48+AL49+AL50</f>
        <v>186.217866730918</v>
      </c>
      <c r="AM52" s="11" t="n">
        <f aca="false">AM51+AM47+AM48+AM49+AM50</f>
        <v>185.972900231528</v>
      </c>
      <c r="AN52" s="11" t="n">
        <f aca="false">AN51+AN47+AN48+AN49+AN50</f>
        <v>187.798263062136</v>
      </c>
      <c r="AO52" s="11" t="n">
        <f aca="false">AO51+AO47+AO48+AO49+AO50</f>
        <v>192.630075422818</v>
      </c>
      <c r="AP52" s="11" t="n">
        <f aca="false">AP51+AP47+AP48+AP49+AP50</f>
        <v>192.856934733391</v>
      </c>
      <c r="AQ52" s="11" t="n">
        <f aca="false">AQ51+AQ47+AQ48+AQ49+AQ50</f>
        <v>194.490810567042</v>
      </c>
      <c r="AR52" s="11" t="n">
        <f aca="false">AR51+AR47+AR48+AR49+AR50</f>
        <v>195.453230689277</v>
      </c>
      <c r="AS52" s="11" t="n">
        <f aca="false">AS51+AS47+AS48+AS49+AS50</f>
        <v>198.682669722047</v>
      </c>
      <c r="AT52" s="11" t="n">
        <f aca="false">AT51+AT47+AT48+AT49+AT50</f>
        <v>197.097867643355</v>
      </c>
      <c r="AU52" s="11" t="n">
        <f aca="false">AU51+AU47+AU48+AU49+AU50</f>
        <v>194.227368012657</v>
      </c>
      <c r="AV52" s="11" t="n">
        <f aca="false">AV51+AV47+AV48+AV49+AV50</f>
        <v>197.987272856257</v>
      </c>
      <c r="AW52" s="11" t="n">
        <f aca="false">AW51+AW47+AW48+AW49+AW50</f>
        <v>204.814122914924</v>
      </c>
      <c r="AX52" s="11" t="n">
        <f aca="false">AX51+AX47+AX48+AX49+AX50</f>
        <v>205.057699931486</v>
      </c>
      <c r="AY52" s="11" t="n">
        <f aca="false">AY51+AY47+AY48+AY49+AY50</f>
        <v>206.824788617757</v>
      </c>
      <c r="AZ52" s="11" t="n">
        <f aca="false">AZ51+AZ47+AZ48+AZ49+AZ50</f>
        <v>207.862690719479</v>
      </c>
      <c r="BA52" s="11" t="n">
        <f aca="false">BA51+BA47+BA48+BA49+BA50</f>
        <v>211.35138344387</v>
      </c>
      <c r="BB52" s="11" t="n">
        <f aca="false">BB51+BB47+BB48+BB49+BB50</f>
        <v>210.490865795468</v>
      </c>
      <c r="BC52" s="11" t="n">
        <f aca="false">BC51+BC47+BC48+BC49+BC50</f>
        <v>210.210801390974</v>
      </c>
      <c r="BD52" s="11" t="n">
        <f aca="false">BD51+BD47+BD48+BD49+BD50</f>
        <v>212.336553063658</v>
      </c>
      <c r="BE52" s="11" t="n">
        <f aca="false">BE51+BE47+BE48+BE49+BE50</f>
        <v>217.976820831155</v>
      </c>
      <c r="BF52" s="11" t="n">
        <f aca="false">BF51+BF47+BF48+BF49+BF50</f>
        <v>218.238462852042</v>
      </c>
      <c r="BG52" s="11" t="n">
        <f aca="false">BG51+BG47+BG48+BG49+BG50</f>
        <v>220.149569544068</v>
      </c>
      <c r="BH52" s="11" t="n">
        <f aca="false">BH51+BH47+BH48+BH49+BH50</f>
        <v>221.268962276179</v>
      </c>
      <c r="BI52" s="11" t="n">
        <f aca="false">BI51+BI47+BI48+BI49+BI50</f>
        <v>225.037622592885</v>
      </c>
      <c r="BJ52" s="11" t="n">
        <f aca="false">BJ51+BJ47+BJ48+BJ49+BJ50</f>
        <v>223.189844055013</v>
      </c>
      <c r="BK52" s="11" t="n">
        <f aca="false">BK51+BK47+BK48+BK49+BK50</f>
        <v>219.936376475179</v>
      </c>
      <c r="BL52" s="11" t="n">
        <f aca="false">BL51+BL47+BL48+BL49+BL50</f>
        <v>224.230227517743</v>
      </c>
      <c r="BM52" s="11" t="n">
        <f aca="false">BM51+BM47+BM48+BM49+BM50</f>
        <v>232.19685058572</v>
      </c>
      <c r="BN52" s="11" t="n">
        <f aca="false">BN51+BN47+BN48+BN49+BN50</f>
        <v>155.322309594731</v>
      </c>
    </row>
    <row r="53" customFormat="false" ht="15" hidden="false" customHeight="false" outlineLevel="0" collapsed="false">
      <c r="D53" s="0" t="s">
        <v>507</v>
      </c>
      <c r="E53" s="0" t="s">
        <v>149</v>
      </c>
      <c r="G53" s="11" t="n">
        <f aca="false">SUM(J53:BN53)</f>
        <v>0</v>
      </c>
      <c r="J53" s="11" t="n">
        <f aca="false">IF(Inputs!$F$45=1,(0+J85)/2*(J9-IF(Time!J17&gt;=10,Inputs!$F$98,0)+Inputs!$F$187)/100*MAX(0,MIN(Time!J20,DATE(2024,3,21)-Time!J18))/360,0)</f>
        <v>0</v>
      </c>
      <c r="K53" s="11" t="n">
        <f aca="false">IF(Inputs!$F$45=1,(J85+K85)/2*(K9-IF(Time!K17&gt;=10,Inputs!$F$98,0)+Inputs!$F$187)/100*MAX(0,MIN(Time!K20,DATE(2024,3,21)-Time!K18))/360,0)</f>
        <v>0</v>
      </c>
      <c r="L53" s="11" t="n">
        <f aca="false">IF(Inputs!$F$45=1,(K85+L85)/2*(L9-IF(Time!L17&gt;=10,Inputs!$F$98,0)+Inputs!$F$187)/100*MAX(0,MIN(Time!L20,DATE(2024,3,21)-Time!L18))/360,0)</f>
        <v>0</v>
      </c>
      <c r="M53" s="11" t="n">
        <f aca="false">IF(Inputs!$F$45=1,(L85+M85)/2*(M9-IF(Time!M17&gt;=10,Inputs!$F$98,0)+Inputs!$F$187)/100*MAX(0,MIN(Time!M20,DATE(2024,3,21)-Time!M18))/360,0)</f>
        <v>0</v>
      </c>
      <c r="N53" s="11" t="n">
        <f aca="false">IF(Inputs!$F$45=1,(M85+N85)/2*(N9-IF(Time!N17&gt;=10,Inputs!$F$98,0)+Inputs!$F$187)/100*MAX(0,MIN(Time!N20,DATE(2024,3,21)-Time!N18))/360,0)</f>
        <v>0</v>
      </c>
      <c r="O53" s="11" t="n">
        <f aca="false">IF(Inputs!$F$45=1,(N85+O85)/2*(O9-IF(Time!O17&gt;=10,Inputs!$F$98,0)+Inputs!$F$187)/100*MAX(0,MIN(Time!O20,DATE(2024,3,21)-Time!O18))/360,0)</f>
        <v>0</v>
      </c>
      <c r="P53" s="11" t="n">
        <f aca="false">IF(Inputs!$F$45=1,(O85+P85)/2*(P9-IF(Time!P17&gt;=10,Inputs!$F$98,0)+Inputs!$F$187)/100*MAX(0,MIN(Time!P20,DATE(2024,3,21)-Time!P18))/360,0)</f>
        <v>0</v>
      </c>
      <c r="Q53" s="11" t="n">
        <f aca="false">IF(Inputs!$F$45=1,(P85+Q85)/2*(Q9-IF(Time!Q17&gt;=10,Inputs!$F$98,0)+Inputs!$F$187)/100*MAX(0,MIN(Time!Q20,DATE(2024,3,21)-Time!Q18))/360,0)</f>
        <v>0</v>
      </c>
      <c r="R53" s="11" t="n">
        <f aca="false">IF(Inputs!$F$45=1,(Q85+R85)/2*(R9-IF(Time!R17&gt;=10,Inputs!$F$98,0)+Inputs!$F$187)/100*MAX(0,MIN(Time!R20,DATE(2024,3,21)-Time!R18))/360,0)</f>
        <v>0</v>
      </c>
      <c r="S53" s="11" t="n">
        <f aca="false">IF(Inputs!$F$45=1,(R85+S85)/2*(S9-IF(Time!S17&gt;=10,Inputs!$F$98,0)+Inputs!$F$187)/100*MAX(0,MIN(Time!S20,DATE(2024,3,21)-Time!S18))/360,0)</f>
        <v>0</v>
      </c>
      <c r="T53" s="11" t="n">
        <f aca="false">IF(Inputs!$F$45=1,(S85+T85)/2*(T9-IF(Time!T17&gt;=10,Inputs!$F$98,0)+Inputs!$F$187)/100*MAX(0,MIN(Time!T20,DATE(2024,3,21)-Time!T18))/360,0)</f>
        <v>0</v>
      </c>
      <c r="U53" s="11" t="n">
        <f aca="false">IF(Inputs!$F$45=1,(T85+U85)/2*(U9-IF(Time!U17&gt;=10,Inputs!$F$98,0)+Inputs!$F$187)/100*MAX(0,MIN(Time!U20,DATE(2024,3,21)-Time!U18))/360,0)</f>
        <v>0</v>
      </c>
      <c r="V53" s="11" t="n">
        <f aca="false">IF(Inputs!$F$45=1,(U85+V85)/2*(V9-IF(Time!V17&gt;=10,Inputs!$F$98,0)+Inputs!$F$187)/100*MAX(0,MIN(Time!V20,DATE(2024,3,21)-Time!V18))/360,0)</f>
        <v>0</v>
      </c>
      <c r="W53" s="11" t="n">
        <f aca="false">IF(Inputs!$F$45=1,(V85+W85)/2*(W9-IF(Time!W17&gt;=10,Inputs!$F$98,0)+Inputs!$F$187)/100*MAX(0,MIN(Time!W20,DATE(2024,3,21)-Time!W18))/360,0)</f>
        <v>0</v>
      </c>
      <c r="X53" s="11" t="n">
        <f aca="false">IF(Inputs!$F$45=1,(W85+X85)/2*(X9-IF(Time!X17&gt;=10,Inputs!$F$98,0)+Inputs!$F$187)/100*MAX(0,MIN(Time!X20,DATE(2024,3,21)-Time!X18))/360,0)</f>
        <v>0</v>
      </c>
      <c r="Y53" s="11" t="n">
        <f aca="false">IF(Inputs!$F$45=1,(X85+Y85)/2*(Y9-IF(Time!Y17&gt;=10,Inputs!$F$98,0)+Inputs!$F$187)/100*MAX(0,MIN(Time!Y20,DATE(2024,3,21)-Time!Y18))/360,0)</f>
        <v>0</v>
      </c>
      <c r="Z53" s="11" t="n">
        <f aca="false">IF(Inputs!$F$45=1,(Y85+Z85)/2*(Z9-IF(Time!Z17&gt;=10,Inputs!$F$98,0)+Inputs!$F$187)/100*MAX(0,MIN(Time!Z20,DATE(2024,3,21)-Time!Z18))/360,0)</f>
        <v>0</v>
      </c>
      <c r="AA53" s="11" t="n">
        <f aca="false">IF(Inputs!$F$45=1,(Z85+AA85)/2*(AA9-IF(Time!AA17&gt;=10,Inputs!$F$98,0)+Inputs!$F$187)/100*MAX(0,MIN(Time!AA20,DATE(2024,3,21)-Time!AA18))/360,0)</f>
        <v>0</v>
      </c>
      <c r="AB53" s="11" t="n">
        <f aca="false">IF(Inputs!$F$45=1,(AA85+AB85)/2*(AB9-IF(Time!AB17&gt;=10,Inputs!$F$98,0)+Inputs!$F$187)/100*MAX(0,MIN(Time!AB20,DATE(2024,3,21)-Time!AB18))/360,0)</f>
        <v>0</v>
      </c>
      <c r="AC53" s="11" t="n">
        <f aca="false">IF(Inputs!$F$45=1,(AB85+AC85)/2*(AC9-IF(Time!AC17&gt;=10,Inputs!$F$98,0)+Inputs!$F$187)/100*MAX(0,MIN(Time!AC20,DATE(2024,3,21)-Time!AC18))/360,0)</f>
        <v>0</v>
      </c>
      <c r="AD53" s="11" t="n">
        <f aca="false">IF(Inputs!$F$45=1,(AC85+AD85)/2*(AD9-IF(Time!AD17&gt;=10,Inputs!$F$98,0)+Inputs!$F$187)/100*MAX(0,MIN(Time!AD20,DATE(2024,3,21)-Time!AD18))/360,0)</f>
        <v>0</v>
      </c>
      <c r="AE53" s="11" t="n">
        <f aca="false">IF(Inputs!$F$45=1,(AD85+AE85)/2*(AE9-IF(Time!AE17&gt;=10,Inputs!$F$98,0)+Inputs!$F$187)/100*MAX(0,MIN(Time!AE20,DATE(2024,3,21)-Time!AE18))/360,0)</f>
        <v>0</v>
      </c>
      <c r="AF53" s="11" t="n">
        <f aca="false">IF(Inputs!$F$45=1,(AE85+AF85)/2*(AF9-IF(Time!AF17&gt;=10,Inputs!$F$98,0)+Inputs!$F$187)/100*MAX(0,MIN(Time!AF20,DATE(2024,3,21)-Time!AF18))/360,0)</f>
        <v>0</v>
      </c>
      <c r="AG53" s="11" t="n">
        <f aca="false">IF(Inputs!$F$45=1,(AF85+AG85)/2*(AG9-IF(Time!AG17&gt;=10,Inputs!$F$98,0)+Inputs!$F$187)/100*MAX(0,MIN(Time!AG20,DATE(2024,3,21)-Time!AG18))/360,0)</f>
        <v>0</v>
      </c>
      <c r="AH53" s="11" t="n">
        <f aca="false">IF(Inputs!$F$45=1,(AG85+AH85)/2*(AH9-IF(Time!AH17&gt;=10,Inputs!$F$98,0)+Inputs!$F$187)/100*MAX(0,MIN(Time!AH20,DATE(2024,3,21)-Time!AH18))/360,0)</f>
        <v>0</v>
      </c>
      <c r="AI53" s="11" t="n">
        <f aca="false">IF(Inputs!$F$45=1,(AH85+AI85)/2*(AI9-IF(Time!AI17&gt;=10,Inputs!$F$98,0)+Inputs!$F$187)/100*MAX(0,MIN(Time!AI20,DATE(2024,3,21)-Time!AI18))/360,0)</f>
        <v>0</v>
      </c>
      <c r="AJ53" s="11" t="n">
        <f aca="false">IF(Inputs!$F$45=1,(AI85+AJ85)/2*(AJ9-IF(Time!AJ17&gt;=10,Inputs!$F$98,0)+Inputs!$F$187)/100*MAX(0,MIN(Time!AJ20,DATE(2024,3,21)-Time!AJ18))/360,0)</f>
        <v>0</v>
      </c>
      <c r="AK53" s="11" t="n">
        <f aca="false">IF(Inputs!$F$45=1,(AJ85+AK85)/2*(AK9-IF(Time!AK17&gt;=10,Inputs!$F$98,0)+Inputs!$F$187)/100*MAX(0,MIN(Time!AK20,DATE(2024,3,21)-Time!AK18))/360,0)</f>
        <v>0</v>
      </c>
      <c r="AL53" s="11" t="n">
        <f aca="false">IF(Inputs!$F$45=1,(AK85+AL85)/2*(AL9-IF(Time!AL17&gt;=10,Inputs!$F$98,0)+Inputs!$F$187)/100*MAX(0,MIN(Time!AL20,DATE(2024,3,21)-Time!AL18))/360,0)</f>
        <v>0</v>
      </c>
      <c r="AM53" s="11" t="n">
        <f aca="false">IF(Inputs!$F$45=1,(AL85+AM85)/2*(AM9-IF(Time!AM17&gt;=10,Inputs!$F$98,0)+Inputs!$F$187)/100*MAX(0,MIN(Time!AM20,DATE(2024,3,21)-Time!AM18))/360,0)</f>
        <v>0</v>
      </c>
      <c r="AN53" s="11" t="n">
        <f aca="false">IF(Inputs!$F$45=1,(AM85+AN85)/2*(AN9-IF(Time!AN17&gt;=10,Inputs!$F$98,0)+Inputs!$F$187)/100*MAX(0,MIN(Time!AN20,DATE(2024,3,21)-Time!AN18))/360,0)</f>
        <v>0</v>
      </c>
      <c r="AO53" s="11" t="n">
        <f aca="false">IF(Inputs!$F$45=1,(AN85+AO85)/2*(AO9-IF(Time!AO17&gt;=10,Inputs!$F$98,0)+Inputs!$F$187)/100*MAX(0,MIN(Time!AO20,DATE(2024,3,21)-Time!AO18))/360,0)</f>
        <v>0</v>
      </c>
      <c r="AP53" s="11" t="n">
        <f aca="false">IF(Inputs!$F$45=1,(AO85+AP85)/2*(AP9-IF(Time!AP17&gt;=10,Inputs!$F$98,0)+Inputs!$F$187)/100*MAX(0,MIN(Time!AP20,DATE(2024,3,21)-Time!AP18))/360,0)</f>
        <v>0</v>
      </c>
      <c r="AQ53" s="11" t="n">
        <f aca="false">IF(Inputs!$F$45=1,(AP85+AQ85)/2*(AQ9-IF(Time!AQ17&gt;=10,Inputs!$F$98,0)+Inputs!$F$187)/100*MAX(0,MIN(Time!AQ20,DATE(2024,3,21)-Time!AQ18))/360,0)</f>
        <v>0</v>
      </c>
      <c r="AR53" s="11" t="n">
        <f aca="false">IF(Inputs!$F$45=1,(AQ85+AR85)/2*(AR9-IF(Time!AR17&gt;=10,Inputs!$F$98,0)+Inputs!$F$187)/100*MAX(0,MIN(Time!AR20,DATE(2024,3,21)-Time!AR18))/360,0)</f>
        <v>0</v>
      </c>
      <c r="AS53" s="11" t="n">
        <f aca="false">IF(Inputs!$F$45=1,(AR85+AS85)/2*(AS9-IF(Time!AS17&gt;=10,Inputs!$F$98,0)+Inputs!$F$187)/100*MAX(0,MIN(Time!AS20,DATE(2024,3,21)-Time!AS18))/360,0)</f>
        <v>0</v>
      </c>
      <c r="AT53" s="11" t="n">
        <f aca="false">IF(Inputs!$F$45=1,(AS85+AT85)/2*(AT9-IF(Time!AT17&gt;=10,Inputs!$F$98,0)+Inputs!$F$187)/100*MAX(0,MIN(Time!AT20,DATE(2024,3,21)-Time!AT18))/360,0)</f>
        <v>0</v>
      </c>
      <c r="AU53" s="11" t="n">
        <f aca="false">IF(Inputs!$F$45=1,(AT85+AU85)/2*(AU9-IF(Time!AU17&gt;=10,Inputs!$F$98,0)+Inputs!$F$187)/100*MAX(0,MIN(Time!AU20,DATE(2024,3,21)-Time!AU18))/360,0)</f>
        <v>0</v>
      </c>
      <c r="AV53" s="11" t="n">
        <f aca="false">IF(Inputs!$F$45=1,(AU85+AV85)/2*(AV9-IF(Time!AV17&gt;=10,Inputs!$F$98,0)+Inputs!$F$187)/100*MAX(0,MIN(Time!AV20,DATE(2024,3,21)-Time!AV18))/360,0)</f>
        <v>0</v>
      </c>
      <c r="AW53" s="11" t="n">
        <f aca="false">IF(Inputs!$F$45=1,(AV85+AW85)/2*(AW9-IF(Time!AW17&gt;=10,Inputs!$F$98,0)+Inputs!$F$187)/100*MAX(0,MIN(Time!AW20,DATE(2024,3,21)-Time!AW18))/360,0)</f>
        <v>0</v>
      </c>
      <c r="AX53" s="11" t="n">
        <f aca="false">IF(Inputs!$F$45=1,(AW85+AX85)/2*(AX9-IF(Time!AX17&gt;=10,Inputs!$F$98,0)+Inputs!$F$187)/100*MAX(0,MIN(Time!AX20,DATE(2024,3,21)-Time!AX18))/360,0)</f>
        <v>0</v>
      </c>
      <c r="AY53" s="11" t="n">
        <f aca="false">IF(Inputs!$F$45=1,(AX85+AY85)/2*(AY9-IF(Time!AY17&gt;=10,Inputs!$F$98,0)+Inputs!$F$187)/100*MAX(0,MIN(Time!AY20,DATE(2024,3,21)-Time!AY18))/360,0)</f>
        <v>0</v>
      </c>
      <c r="AZ53" s="11" t="n">
        <f aca="false">IF(Inputs!$F$45=1,(AY85+AZ85)/2*(AZ9-IF(Time!AZ17&gt;=10,Inputs!$F$98,0)+Inputs!$F$187)/100*MAX(0,MIN(Time!AZ20,DATE(2024,3,21)-Time!AZ18))/360,0)</f>
        <v>0</v>
      </c>
      <c r="BA53" s="11" t="n">
        <f aca="false">IF(Inputs!$F$45=1,(AZ85+BA85)/2*(BA9-IF(Time!BA17&gt;=10,Inputs!$F$98,0)+Inputs!$F$187)/100*MAX(0,MIN(Time!BA20,DATE(2024,3,21)-Time!BA18))/360,0)</f>
        <v>0</v>
      </c>
      <c r="BB53" s="11" t="n">
        <f aca="false">IF(Inputs!$F$45=1,(BA85+BB85)/2*(BB9-IF(Time!BB17&gt;=10,Inputs!$F$98,0)+Inputs!$F$187)/100*MAX(0,MIN(Time!BB20,DATE(2024,3,21)-Time!BB18))/360,0)</f>
        <v>0</v>
      </c>
      <c r="BC53" s="11" t="n">
        <f aca="false">IF(Inputs!$F$45=1,(BB85+BC85)/2*(BC9-IF(Time!BC17&gt;=10,Inputs!$F$98,0)+Inputs!$F$187)/100*MAX(0,MIN(Time!BC20,DATE(2024,3,21)-Time!BC18))/360,0)</f>
        <v>0</v>
      </c>
      <c r="BD53" s="11" t="n">
        <f aca="false">IF(Inputs!$F$45=1,(BC85+BD85)/2*(BD9-IF(Time!BD17&gt;=10,Inputs!$F$98,0)+Inputs!$F$187)/100*MAX(0,MIN(Time!BD20,DATE(2024,3,21)-Time!BD18))/360,0)</f>
        <v>0</v>
      </c>
      <c r="BE53" s="11" t="n">
        <f aca="false">IF(Inputs!$F$45=1,(BD85+BE85)/2*(BE9-IF(Time!BE17&gt;=10,Inputs!$F$98,0)+Inputs!$F$187)/100*MAX(0,MIN(Time!BE20,DATE(2024,3,21)-Time!BE18))/360,0)</f>
        <v>0</v>
      </c>
      <c r="BF53" s="11" t="n">
        <f aca="false">IF(Inputs!$F$45=1,(BE85+BF85)/2*(BF9-IF(Time!BF17&gt;=10,Inputs!$F$98,0)+Inputs!$F$187)/100*MAX(0,MIN(Time!BF20,DATE(2024,3,21)-Time!BF18))/360,0)</f>
        <v>0</v>
      </c>
      <c r="BG53" s="11" t="n">
        <f aca="false">IF(Inputs!$F$45=1,(BF85+BG85)/2*(BG9-IF(Time!BG17&gt;=10,Inputs!$F$98,0)+Inputs!$F$187)/100*MAX(0,MIN(Time!BG20,DATE(2024,3,21)-Time!BG18))/360,0)</f>
        <v>0</v>
      </c>
      <c r="BH53" s="11" t="n">
        <f aca="false">IF(Inputs!$F$45=1,(BG85+BH85)/2*(BH9-IF(Time!BH17&gt;=10,Inputs!$F$98,0)+Inputs!$F$187)/100*MAX(0,MIN(Time!BH20,DATE(2024,3,21)-Time!BH18))/360,0)</f>
        <v>0</v>
      </c>
      <c r="BI53" s="11" t="n">
        <f aca="false">IF(Inputs!$F$45=1,(BH85+BI85)/2*(BI9-IF(Time!BI17&gt;=10,Inputs!$F$98,0)+Inputs!$F$187)/100*MAX(0,MIN(Time!BI20,DATE(2024,3,21)-Time!BI18))/360,0)</f>
        <v>0</v>
      </c>
      <c r="BJ53" s="11" t="n">
        <f aca="false">IF(Inputs!$F$45=1,(BI85+BJ85)/2*(BJ9-IF(Time!BJ17&gt;=10,Inputs!$F$98,0)+Inputs!$F$187)/100*MAX(0,MIN(Time!BJ20,DATE(2024,3,21)-Time!BJ18))/360,0)</f>
        <v>0</v>
      </c>
      <c r="BK53" s="11" t="n">
        <f aca="false">IF(Inputs!$F$45=1,(BJ85+BK85)/2*(BK9-IF(Time!BK17&gt;=10,Inputs!$F$98,0)+Inputs!$F$187)/100*MAX(0,MIN(Time!BK20,DATE(2024,3,21)-Time!BK18))/360,0)</f>
        <v>0</v>
      </c>
      <c r="BL53" s="11" t="n">
        <f aca="false">IF(Inputs!$F$45=1,(BK85+BL85)/2*(BL9-IF(Time!BL17&gt;=10,Inputs!$F$98,0)+Inputs!$F$187)/100*MAX(0,MIN(Time!BL20,DATE(2024,3,21)-Time!BL18))/360,0)</f>
        <v>0</v>
      </c>
      <c r="BM53" s="11" t="n">
        <f aca="false">IF(Inputs!$F$45=1,(BL85+BM85)/2*(BM9-IF(Time!BM17&gt;=10,Inputs!$F$98,0)+Inputs!$F$187)/100*MAX(0,MIN(Time!BM20,DATE(2024,3,21)-Time!BM18))/360,0)</f>
        <v>0</v>
      </c>
      <c r="BN53" s="11" t="n">
        <f aca="false">IF(Inputs!$F$45=1,(BM85+BN85)/2*(BN9-IF(Time!BN17&gt;=10,Inputs!$F$98,0)+Inputs!$F$187)/100*MAX(0,MIN(Time!BN20,DATE(2024,3,21)-Time!BN18))/360,0)</f>
        <v>0</v>
      </c>
    </row>
    <row r="54" customFormat="false" ht="15" hidden="false" customHeight="false" outlineLevel="0" collapsed="false">
      <c r="D54" s="0" t="s">
        <v>508</v>
      </c>
      <c r="E54" s="0" t="s">
        <v>149</v>
      </c>
      <c r="G54" s="11" t="n">
        <f aca="false">SUM(J54:BN54)</f>
        <v>0</v>
      </c>
      <c r="J54" s="11" t="n">
        <f aca="false">Inputs!$F$188*SUM($J$53:$BN$53)*Inputs!J221</f>
        <v>0</v>
      </c>
      <c r="K54" s="11" t="n">
        <f aca="false">Inputs!$F$188*SUM($J$53:$BN$53)*Inputs!K221</f>
        <v>0</v>
      </c>
      <c r="L54" s="11" t="n">
        <f aca="false">Inputs!$F$188*SUM($J$53:$BN$53)*Inputs!L221</f>
        <v>0</v>
      </c>
      <c r="M54" s="11" t="n">
        <f aca="false">Inputs!$F$188*SUM($J$53:$BN$53)*Inputs!M221</f>
        <v>0</v>
      </c>
      <c r="N54" s="11" t="n">
        <f aca="false">Inputs!$F$188*SUM($J$53:$BN$53)*Inputs!N221</f>
        <v>0</v>
      </c>
      <c r="O54" s="11" t="n">
        <f aca="false">Inputs!$F$188*SUM($J$53:$BN$53)*Inputs!O221</f>
        <v>0</v>
      </c>
      <c r="P54" s="11" t="n">
        <f aca="false">Inputs!$F$188*SUM($J$53:$BN$53)*Inputs!P221</f>
        <v>0</v>
      </c>
      <c r="Q54" s="11" t="n">
        <f aca="false">Inputs!$F$188*SUM($J$53:$BN$53)*Inputs!Q221</f>
        <v>0</v>
      </c>
      <c r="R54" s="11" t="n">
        <f aca="false">Inputs!$F$188*SUM($J$53:$BN$53)*Inputs!R221</f>
        <v>0</v>
      </c>
      <c r="S54" s="11" t="n">
        <f aca="false">Inputs!$F$188*SUM($J$53:$BN$53)*Inputs!S221</f>
        <v>0</v>
      </c>
      <c r="T54" s="11" t="n">
        <f aca="false">Inputs!$F$188*SUM($J$53:$BN$53)*Inputs!T221</f>
        <v>0</v>
      </c>
      <c r="U54" s="11" t="n">
        <f aca="false">Inputs!$F$188*SUM($J$53:$BN$53)*Inputs!U221</f>
        <v>0</v>
      </c>
      <c r="V54" s="11" t="n">
        <f aca="false">Inputs!$F$188*SUM($J$53:$BN$53)*Inputs!V221</f>
        <v>0</v>
      </c>
      <c r="W54" s="11" t="n">
        <f aca="false">Inputs!$F$188*SUM($J$53:$BN$53)*Inputs!W221</f>
        <v>0</v>
      </c>
      <c r="X54" s="11" t="n">
        <f aca="false">Inputs!$F$188*SUM($J$53:$BN$53)*Inputs!X221</f>
        <v>0</v>
      </c>
      <c r="Y54" s="11" t="n">
        <f aca="false">Inputs!$F$188*SUM($J$53:$BN$53)*Inputs!Y221</f>
        <v>0</v>
      </c>
      <c r="Z54" s="11" t="n">
        <f aca="false">Inputs!$F$188*SUM($J$53:$BN$53)*Inputs!Z221</f>
        <v>0</v>
      </c>
      <c r="AA54" s="11" t="n">
        <f aca="false">Inputs!$F$188*SUM($J$53:$BN$53)*Inputs!AA221</f>
        <v>0</v>
      </c>
      <c r="AB54" s="11" t="n">
        <f aca="false">Inputs!$F$188*SUM($J$53:$BN$53)*Inputs!AB221</f>
        <v>0</v>
      </c>
      <c r="AC54" s="11" t="n">
        <f aca="false">Inputs!$F$188*SUM($J$53:$BN$53)*Inputs!AC221</f>
        <v>0</v>
      </c>
      <c r="AD54" s="11" t="n">
        <f aca="false">Inputs!$F$188*SUM($J$53:$BN$53)*Inputs!AD221</f>
        <v>0</v>
      </c>
      <c r="AE54" s="11" t="n">
        <f aca="false">Inputs!$F$188*SUM($J$53:$BN$53)*Inputs!AE221</f>
        <v>0</v>
      </c>
      <c r="AF54" s="11" t="n">
        <f aca="false">Inputs!$F$188*SUM($J$53:$BN$53)*Inputs!AF221</f>
        <v>0</v>
      </c>
      <c r="AG54" s="11" t="n">
        <f aca="false">Inputs!$F$188*SUM($J$53:$BN$53)*Inputs!AG221</f>
        <v>0</v>
      </c>
      <c r="AH54" s="11" t="n">
        <f aca="false">Inputs!$F$188*SUM($J$53:$BN$53)*Inputs!AH221</f>
        <v>0</v>
      </c>
      <c r="AI54" s="11" t="n">
        <f aca="false">Inputs!$F$188*SUM($J$53:$BN$53)*Inputs!AI221</f>
        <v>0</v>
      </c>
      <c r="AJ54" s="11" t="n">
        <f aca="false">Inputs!$F$188*SUM($J$53:$BN$53)*Inputs!AJ221</f>
        <v>0</v>
      </c>
      <c r="AK54" s="11" t="n">
        <f aca="false">Inputs!$F$188*SUM($J$53:$BN$53)*Inputs!AK221</f>
        <v>0</v>
      </c>
      <c r="AL54" s="11" t="n">
        <f aca="false">Inputs!$F$188*SUM($J$53:$BN$53)*Inputs!AL221</f>
        <v>0</v>
      </c>
      <c r="AM54" s="11" t="n">
        <f aca="false">Inputs!$F$188*SUM($J$53:$BN$53)*Inputs!AM221</f>
        <v>0</v>
      </c>
      <c r="AN54" s="11" t="n">
        <f aca="false">Inputs!$F$188*SUM($J$53:$BN$53)*Inputs!AN221</f>
        <v>0</v>
      </c>
      <c r="AO54" s="11" t="n">
        <f aca="false">Inputs!$F$188*SUM($J$53:$BN$53)*Inputs!AO221</f>
        <v>0</v>
      </c>
      <c r="AP54" s="11" t="n">
        <f aca="false">Inputs!$F$188*SUM($J$53:$BN$53)*Inputs!AP221</f>
        <v>0</v>
      </c>
      <c r="AQ54" s="11" t="n">
        <f aca="false">Inputs!$F$188*SUM($J$53:$BN$53)*Inputs!AQ221</f>
        <v>0</v>
      </c>
      <c r="AR54" s="11" t="n">
        <f aca="false">Inputs!$F$188*SUM($J$53:$BN$53)*Inputs!AR221</f>
        <v>0</v>
      </c>
      <c r="AS54" s="11" t="n">
        <f aca="false">Inputs!$F$188*SUM($J$53:$BN$53)*Inputs!AS221</f>
        <v>0</v>
      </c>
      <c r="AT54" s="11" t="n">
        <f aca="false">Inputs!$F$188*SUM($J$53:$BN$53)*Inputs!AT221</f>
        <v>0</v>
      </c>
      <c r="AU54" s="11" t="n">
        <f aca="false">Inputs!$F$188*SUM($J$53:$BN$53)*Inputs!AU221</f>
        <v>0</v>
      </c>
      <c r="AV54" s="11" t="n">
        <f aca="false">Inputs!$F$188*SUM($J$53:$BN$53)*Inputs!AV221</f>
        <v>0</v>
      </c>
      <c r="AW54" s="11" t="n">
        <f aca="false">Inputs!$F$188*SUM($J$53:$BN$53)*Inputs!AW221</f>
        <v>0</v>
      </c>
      <c r="AX54" s="11" t="n">
        <f aca="false">Inputs!$F$188*SUM($J$53:$BN$53)*Inputs!AX221</f>
        <v>0</v>
      </c>
      <c r="AY54" s="11" t="n">
        <f aca="false">Inputs!$F$188*SUM($J$53:$BN$53)*Inputs!AY221</f>
        <v>0</v>
      </c>
      <c r="AZ54" s="11" t="n">
        <f aca="false">Inputs!$F$188*SUM($J$53:$BN$53)*Inputs!AZ221</f>
        <v>0</v>
      </c>
      <c r="BA54" s="11" t="n">
        <f aca="false">Inputs!$F$188*SUM($J$53:$BN$53)*Inputs!BA221</f>
        <v>0</v>
      </c>
      <c r="BB54" s="11" t="n">
        <f aca="false">Inputs!$F$188*SUM($J$53:$BN$53)*Inputs!BB221</f>
        <v>0</v>
      </c>
      <c r="BC54" s="11" t="n">
        <f aca="false">Inputs!$F$188*SUM($J$53:$BN$53)*Inputs!BC221</f>
        <v>0</v>
      </c>
      <c r="BD54" s="11" t="n">
        <f aca="false">Inputs!$F$188*SUM($J$53:$BN$53)*Inputs!BD221</f>
        <v>0</v>
      </c>
      <c r="BE54" s="11" t="n">
        <f aca="false">Inputs!$F$188*SUM($J$53:$BN$53)*Inputs!BE221</f>
        <v>0</v>
      </c>
      <c r="BF54" s="11" t="n">
        <f aca="false">Inputs!$F$188*SUM($J$53:$BN$53)*Inputs!BF221</f>
        <v>0</v>
      </c>
      <c r="BG54" s="11" t="n">
        <f aca="false">Inputs!$F$188*SUM($J$53:$BN$53)*Inputs!BG221</f>
        <v>0</v>
      </c>
      <c r="BH54" s="11" t="n">
        <f aca="false">Inputs!$F$188*SUM($J$53:$BN$53)*Inputs!BH221</f>
        <v>0</v>
      </c>
      <c r="BI54" s="11" t="n">
        <f aca="false">Inputs!$F$188*SUM($J$53:$BN$53)*Inputs!BI221</f>
        <v>0</v>
      </c>
      <c r="BJ54" s="11" t="n">
        <f aca="false">Inputs!$F$188*SUM($J$53:$BN$53)*Inputs!BJ221</f>
        <v>0</v>
      </c>
      <c r="BK54" s="11" t="n">
        <f aca="false">Inputs!$F$188*SUM($J$53:$BN$53)*Inputs!BK221</f>
        <v>0</v>
      </c>
      <c r="BL54" s="11" t="n">
        <f aca="false">Inputs!$F$188*SUM($J$53:$BN$53)*Inputs!BL221</f>
        <v>0</v>
      </c>
      <c r="BM54" s="11" t="n">
        <f aca="false">Inputs!$F$188*SUM($J$53:$BN$53)*Inputs!BM221</f>
        <v>0</v>
      </c>
      <c r="BN54" s="11" t="n">
        <f aca="false">Inputs!$F$188*SUM($J$53:$BN$53)*Inputs!BN221</f>
        <v>0</v>
      </c>
    </row>
    <row r="55" customFormat="false" ht="15" hidden="false" customHeight="false" outlineLevel="0" collapsed="false">
      <c r="B55" s="2" t="s">
        <v>509</v>
      </c>
    </row>
    <row r="56" customFormat="false" ht="15" hidden="false" customHeight="false" outlineLevel="0" collapsed="false">
      <c r="D56" s="0" t="s">
        <v>257</v>
      </c>
      <c r="E56" s="0" t="s">
        <v>149</v>
      </c>
      <c r="G56" s="11" t="n">
        <f aca="false">SUM(J56:BN56)</f>
        <v>282.415873551671</v>
      </c>
      <c r="J56" s="11" t="n">
        <f aca="false">Inputs!$F$151*(Inputs!$F$152*J19+(1-Inputs!$F$152)*J23*Inputs!$F$153/J11)*Time!J25/12*Inputs!$F$40</f>
        <v>0</v>
      </c>
      <c r="K56" s="11" t="n">
        <f aca="false">Inputs!$F$151*(Inputs!$F$152*K19+(1-Inputs!$F$152)*K23*Inputs!$F$153/K11)*Time!K25/12*Inputs!$F$40</f>
        <v>0</v>
      </c>
      <c r="L56" s="11" t="n">
        <f aca="false">Inputs!$F$151*(Inputs!$F$152*L19+(1-Inputs!$F$152)*L23*Inputs!$F$153/L11)*Time!L25/12*Inputs!$F$40</f>
        <v>0</v>
      </c>
      <c r="M56" s="11" t="n">
        <f aca="false">Inputs!$F$151*(Inputs!$F$152*M19+(1-Inputs!$F$152)*M23*Inputs!$F$153/M11)*Time!M25/12*Inputs!$F$40</f>
        <v>0</v>
      </c>
      <c r="N56" s="11" t="n">
        <f aca="false">Inputs!$F$151*(Inputs!$F$152*N19+(1-Inputs!$F$152)*N23*Inputs!$F$153/N11)*Time!N25/12*Inputs!$F$40</f>
        <v>0</v>
      </c>
      <c r="O56" s="11" t="n">
        <f aca="false">Inputs!$F$151*(Inputs!$F$152*O19+(1-Inputs!$F$152)*O23*Inputs!$F$153/O11)*Time!O25/12*Inputs!$F$40</f>
        <v>0</v>
      </c>
      <c r="P56" s="11" t="n">
        <f aca="false">Inputs!$F$151*(Inputs!$F$152*P19+(1-Inputs!$F$152)*P23*Inputs!$F$153/P11)*Time!P25/12*Inputs!$F$40</f>
        <v>1.41425519242689</v>
      </c>
      <c r="Q56" s="11" t="n">
        <f aca="false">Inputs!$F$151*(Inputs!$F$152*Q19+(1-Inputs!$F$152)*Q23*Inputs!$F$153/Q11)*Time!Q25/12*Inputs!$F$40</f>
        <v>4.28918209663807</v>
      </c>
      <c r="R56" s="11" t="n">
        <f aca="false">Inputs!$F$151*(Inputs!$F$152*R19+(1-Inputs!$F$152)*R23*Inputs!$F$153/R11)*Time!R25/12*Inputs!$F$40</f>
        <v>4.33610641998086</v>
      </c>
      <c r="S56" s="11" t="n">
        <f aca="false">Inputs!$F$151*(Inputs!$F$152*S19+(1-Inputs!$F$152)*S23*Inputs!$F$153/S11)*Time!S25/12*Inputs!$F$40</f>
        <v>4.38354410276411</v>
      </c>
      <c r="T56" s="11" t="n">
        <f aca="false">Inputs!$F$151*(Inputs!$F$152*T19+(1-Inputs!$F$152)*T23*Inputs!$F$153/T11)*Time!T25/12*Inputs!$F$40</f>
        <v>4.43150076122044</v>
      </c>
      <c r="U56" s="11" t="n">
        <f aca="false">Inputs!$F$151*(Inputs!$F$152*U19+(1-Inputs!$F$152)*U23*Inputs!$F$153/U11)*Time!U25/12*Inputs!$F$40</f>
        <v>4.47998207302492</v>
      </c>
      <c r="V56" s="11" t="n">
        <f aca="false">Inputs!$F$151*(Inputs!$F$152*V19+(1-Inputs!$F$152)*V23*Inputs!$F$153/V11)*Time!V25/12*Inputs!$F$40</f>
        <v>4.52899377796729</v>
      </c>
      <c r="W56" s="11" t="n">
        <f aca="false">Inputs!$F$151*(Inputs!$F$152*W19+(1-Inputs!$F$152)*W23*Inputs!$F$153/W11)*Time!W25/12*Inputs!$F$40</f>
        <v>4.57854167863147</v>
      </c>
      <c r="X56" s="11" t="n">
        <f aca="false">Inputs!$F$151*(Inputs!$F$152*X19+(1-Inputs!$F$152)*X23*Inputs!$F$153/X11)*Time!X25/12*Inputs!$F$40</f>
        <v>4.62863164108256</v>
      </c>
      <c r="Y56" s="11" t="n">
        <f aca="false">Inputs!$F$151*(Inputs!$F$152*Y19+(1-Inputs!$F$152)*Y23*Inputs!$F$153/Y11)*Time!Y25/12*Inputs!$F$40</f>
        <v>4.67926959556136</v>
      </c>
      <c r="Z56" s="11" t="n">
        <f aca="false">Inputs!$F$151*(Inputs!$F$152*Z19+(1-Inputs!$F$152)*Z23*Inputs!$F$153/Z11)*Time!Z25/12*Inputs!$F$40</f>
        <v>4.73046153718638</v>
      </c>
      <c r="AA56" s="11" t="n">
        <f aca="false">Inputs!$F$151*(Inputs!$F$152*AA19+(1-Inputs!$F$152)*AA23*Inputs!$F$153/AA11)*Time!AA25/12*Inputs!$F$40</f>
        <v>4.78221352666371</v>
      </c>
      <c r="AB56" s="11" t="n">
        <f aca="false">Inputs!$F$151*(Inputs!$F$152*AB19+(1-Inputs!$F$152)*AB23*Inputs!$F$153/AB11)*Time!AB25/12*Inputs!$F$40</f>
        <v>4.83453169100448</v>
      </c>
      <c r="AC56" s="11" t="n">
        <f aca="false">Inputs!$F$151*(Inputs!$F$152*AC19+(1-Inputs!$F$152)*AC23*Inputs!$F$153/AC11)*Time!AC25/12*Inputs!$F$40</f>
        <v>4.88742222425031</v>
      </c>
      <c r="AD56" s="11" t="n">
        <f aca="false">Inputs!$F$151*(Inputs!$F$152*AD19+(1-Inputs!$F$152)*AD23*Inputs!$F$153/AD11)*Time!AD25/12*Inputs!$F$40</f>
        <v>4.94089138820658</v>
      </c>
      <c r="AE56" s="11" t="n">
        <f aca="false">Inputs!$F$151*(Inputs!$F$152*AE19+(1-Inputs!$F$152)*AE23*Inputs!$F$153/AE11)*Time!AE25/12*Inputs!$F$40</f>
        <v>4.99494551318381</v>
      </c>
      <c r="AF56" s="11" t="n">
        <f aca="false">Inputs!$F$151*(Inputs!$F$152*AF19+(1-Inputs!$F$152)*AF23*Inputs!$F$153/AF11)*Time!AF25/12*Inputs!$F$40</f>
        <v>5.04959099874712</v>
      </c>
      <c r="AG56" s="11" t="n">
        <f aca="false">Inputs!$F$151*(Inputs!$F$152*AG19+(1-Inputs!$F$152)*AG23*Inputs!$F$153/AG11)*Time!AG25/12*Inputs!$F$40</f>
        <v>5.10483431447386</v>
      </c>
      <c r="AH56" s="11" t="n">
        <f aca="false">Inputs!$F$151*(Inputs!$F$152*AH19+(1-Inputs!$F$152)*AH23*Inputs!$F$153/AH11)*Time!AH25/12*Inputs!$F$40</f>
        <v>5.16068200071956</v>
      </c>
      <c r="AI56" s="11" t="n">
        <f aca="false">Inputs!$F$151*(Inputs!$F$152*AI19+(1-Inputs!$F$152)*AI23*Inputs!$F$153/AI11)*Time!AI25/12*Inputs!$F$40</f>
        <v>5.21714066939228</v>
      </c>
      <c r="AJ56" s="11" t="n">
        <f aca="false">Inputs!$F$151*(Inputs!$F$152*AJ19+(1-Inputs!$F$152)*AJ23*Inputs!$F$153/AJ11)*Time!AJ25/12*Inputs!$F$40</f>
        <v>5.27421700473539</v>
      </c>
      <c r="AK56" s="11" t="n">
        <f aca="false">Inputs!$F$151*(Inputs!$F$152*AK19+(1-Inputs!$F$152)*AK23*Inputs!$F$153/AK11)*Time!AK25/12*Inputs!$F$40</f>
        <v>5.33191776411891</v>
      </c>
      <c r="AL56" s="11" t="n">
        <f aca="false">Inputs!$F$151*(Inputs!$F$152*AL19+(1-Inputs!$F$152)*AL23*Inputs!$F$153/AL11)*Time!AL25/12*Inputs!$F$40</f>
        <v>5.39024977883957</v>
      </c>
      <c r="AM56" s="11" t="n">
        <f aca="false">Inputs!$F$151*(Inputs!$F$152*AM19+(1-Inputs!$F$152)*AM23*Inputs!$F$153/AM11)*Time!AM25/12*Inputs!$F$40</f>
        <v>5.44921995492953</v>
      </c>
      <c r="AN56" s="11" t="n">
        <f aca="false">Inputs!$F$151*(Inputs!$F$152*AN19+(1-Inputs!$F$152)*AN23*Inputs!$F$153/AN11)*Time!AN25/12*Inputs!$F$40</f>
        <v>5.50883527397404</v>
      </c>
      <c r="AO56" s="11" t="n">
        <f aca="false">Inputs!$F$151*(Inputs!$F$152*AO19+(1-Inputs!$F$152)*AO23*Inputs!$F$153/AO11)*Time!AO25/12*Inputs!$F$40</f>
        <v>5.56910279393798</v>
      </c>
      <c r="AP56" s="11" t="n">
        <f aca="false">Inputs!$F$151*(Inputs!$F$152*AP19+(1-Inputs!$F$152)*AP23*Inputs!$F$153/AP11)*Time!AP25/12*Inputs!$F$40</f>
        <v>5.63002965000146</v>
      </c>
      <c r="AQ56" s="11" t="n">
        <f aca="false">Inputs!$F$151*(Inputs!$F$152*AQ19+(1-Inputs!$F$152)*AQ23*Inputs!$F$153/AQ11)*Time!AQ25/12*Inputs!$F$40</f>
        <v>5.69162305540461</v>
      </c>
      <c r="AR56" s="11" t="n">
        <f aca="false">Inputs!$F$151*(Inputs!$F$152*AR19+(1-Inputs!$F$152)*AR23*Inputs!$F$153/AR11)*Time!AR25/12*Inputs!$F$40</f>
        <v>5.7538903023015</v>
      </c>
      <c r="AS56" s="11" t="n">
        <f aca="false">Inputs!$F$151*(Inputs!$F$152*AS19+(1-Inputs!$F$152)*AS23*Inputs!$F$153/AS11)*Time!AS25/12*Inputs!$F$40</f>
        <v>5.81683876262351</v>
      </c>
      <c r="AT56" s="11" t="n">
        <f aca="false">Inputs!$F$151*(Inputs!$F$152*AT19+(1-Inputs!$F$152)*AT23*Inputs!$F$153/AT11)*Time!AT25/12*Inputs!$F$40</f>
        <v>5.88047588895213</v>
      </c>
      <c r="AU56" s="11" t="n">
        <f aca="false">Inputs!$F$151*(Inputs!$F$152*AU19+(1-Inputs!$F$152)*AU23*Inputs!$F$153/AU11)*Time!AU25/12*Inputs!$F$40</f>
        <v>5.94480921540123</v>
      </c>
      <c r="AV56" s="11" t="n">
        <f aca="false">Inputs!$F$151*(Inputs!$F$152*AV19+(1-Inputs!$F$152)*AV23*Inputs!$F$153/AV11)*Time!AV25/12*Inputs!$F$40</f>
        <v>6.00984635850908</v>
      </c>
      <c r="AW56" s="11" t="n">
        <f aca="false">Inputs!$F$151*(Inputs!$F$152*AW19+(1-Inputs!$F$152)*AW23*Inputs!$F$153/AW11)*Time!AW25/12*Inputs!$F$40</f>
        <v>6.07559501814005</v>
      </c>
      <c r="AX56" s="11" t="n">
        <f aca="false">Inputs!$F$151*(Inputs!$F$152*AX19+(1-Inputs!$F$152)*AX23*Inputs!$F$153/AX11)*Time!AX25/12*Inputs!$F$40</f>
        <v>6.14206297839627</v>
      </c>
      <c r="AY56" s="11" t="n">
        <f aca="false">Inputs!$F$151*(Inputs!$F$152*AY19+(1-Inputs!$F$152)*AY23*Inputs!$F$153/AY11)*Time!AY25/12*Inputs!$F$40</f>
        <v>6.20925810853913</v>
      </c>
      <c r="AZ56" s="11" t="n">
        <f aca="false">Inputs!$F$151*(Inputs!$F$152*AZ19+(1-Inputs!$F$152)*AZ23*Inputs!$F$153/AZ11)*Time!AZ25/12*Inputs!$F$40</f>
        <v>6.27718836392099</v>
      </c>
      <c r="BA56" s="11" t="n">
        <f aca="false">Inputs!$F$151*(Inputs!$F$152*BA19+(1-Inputs!$F$152)*BA23*Inputs!$F$153/BA11)*Time!BA25/12*Inputs!$F$40</f>
        <v>6.34586178692699</v>
      </c>
      <c r="BB56" s="11" t="n">
        <f aca="false">Inputs!$F$151*(Inputs!$F$152*BB19+(1-Inputs!$F$152)*BB23*Inputs!$F$153/BB11)*Time!BB25/12*Inputs!$F$40</f>
        <v>6.41528650792725</v>
      </c>
      <c r="BC56" s="11" t="n">
        <f aca="false">Inputs!$F$151*(Inputs!$F$152*BC19+(1-Inputs!$F$152)*BC23*Inputs!$F$153/BC11)*Time!BC25/12*Inputs!$F$40</f>
        <v>6.48547074623939</v>
      </c>
      <c r="BD56" s="11" t="n">
        <f aca="false">Inputs!$F$151*(Inputs!$F$152*BD19+(1-Inputs!$F$152)*BD23*Inputs!$F$153/BD11)*Time!BD25/12*Inputs!$F$40</f>
        <v>6.55642281110165</v>
      </c>
      <c r="BE56" s="11" t="n">
        <f aca="false">Inputs!$F$151*(Inputs!$F$152*BE19+(1-Inputs!$F$152)*BE23*Inputs!$F$153/BE11)*Time!BE25/12*Inputs!$F$40</f>
        <v>6.62815110265665</v>
      </c>
      <c r="BF56" s="11" t="n">
        <f aca="false">Inputs!$F$151*(Inputs!$F$152*BF19+(1-Inputs!$F$152)*BF23*Inputs!$F$153/BF11)*Time!BF25/12*Inputs!$F$40</f>
        <v>6.70066411294588</v>
      </c>
      <c r="BG56" s="11" t="n">
        <f aca="false">Inputs!$F$151*(Inputs!$F$152*BG19+(1-Inputs!$F$152)*BG23*Inputs!$F$153/BG11)*Time!BG25/12*Inputs!$F$40</f>
        <v>6.7739704269151</v>
      </c>
      <c r="BH56" s="11" t="n">
        <f aca="false">Inputs!$F$151*(Inputs!$F$152*BH19+(1-Inputs!$F$152)*BH23*Inputs!$F$153/BH11)*Time!BH25/12*Inputs!$F$40</f>
        <v>6.84807872343069</v>
      </c>
      <c r="BI56" s="11" t="n">
        <f aca="false">Inputs!$F$151*(Inputs!$F$152*BI19+(1-Inputs!$F$152)*BI23*Inputs!$F$153/BI11)*Time!BI25/12*Inputs!$F$40</f>
        <v>6.92299777630723</v>
      </c>
      <c r="BJ56" s="11" t="n">
        <f aca="false">Inputs!$F$151*(Inputs!$F$152*BJ19+(1-Inputs!$F$152)*BJ23*Inputs!$F$153/BJ11)*Time!BJ25/12*Inputs!$F$40</f>
        <v>6.99873645534617</v>
      </c>
      <c r="BK56" s="11" t="n">
        <f aca="false">Inputs!$F$151*(Inputs!$F$152*BK19+(1-Inputs!$F$152)*BK23*Inputs!$F$153/BK11)*Time!BK25/12*Inputs!$F$40</f>
        <v>7.07530372738599</v>
      </c>
      <c r="BL56" s="11" t="n">
        <f aca="false">Inputs!$F$151*(Inputs!$F$152*BL19+(1-Inputs!$F$152)*BL23*Inputs!$F$153/BL11)*Time!BL25/12*Inputs!$F$40</f>
        <v>7.15270865736378</v>
      </c>
      <c r="BM56" s="11" t="n">
        <f aca="false">Inputs!$F$151*(Inputs!$F$152*BM19+(1-Inputs!$F$152)*BM23*Inputs!$F$153/BM11)*Time!BM25/12*Inputs!$F$40</f>
        <v>7.23096040938848</v>
      </c>
      <c r="BN56" s="11" t="n">
        <f aca="false">Inputs!$F$151*(Inputs!$F$152*BN19+(1-Inputs!$F$152)*BN23*Inputs!$F$153/BN11)*Time!BN25/12*Inputs!$F$40</f>
        <v>4.87337883188386</v>
      </c>
    </row>
    <row r="57" customFormat="false" ht="15" hidden="false" customHeight="false" outlineLevel="0" collapsed="false">
      <c r="D57" s="0" t="s">
        <v>510</v>
      </c>
      <c r="E57" s="0" t="s">
        <v>149</v>
      </c>
      <c r="G57" s="11" t="n">
        <f aca="false">SUM(J57:BN57)</f>
        <v>4.15292561684909</v>
      </c>
      <c r="J57" s="11" t="n">
        <f aca="false">IF(Time!J25&gt;0,Inputs!$F$154*MAX(-1,MIN(1,(J28-92)/3))*J19*Time!J25/12,0)</f>
        <v>0</v>
      </c>
      <c r="K57" s="11" t="n">
        <f aca="false">IF(Time!K25&gt;0,Inputs!$F$154*MAX(-1,MIN(1,(K28-92)/3))*K19*Time!K25/12,0)</f>
        <v>0</v>
      </c>
      <c r="L57" s="11" t="n">
        <f aca="false">IF(Time!L25&gt;0,Inputs!$F$154*MAX(-1,MIN(1,(L28-92)/3))*L19*Time!L25/12,0)</f>
        <v>0</v>
      </c>
      <c r="M57" s="11" t="n">
        <f aca="false">IF(Time!M25&gt;0,Inputs!$F$154*MAX(-1,MIN(1,(M28-92)/3))*M19*Time!M25/12,0)</f>
        <v>0</v>
      </c>
      <c r="N57" s="11" t="n">
        <f aca="false">IF(Time!N25&gt;0,Inputs!$F$154*MAX(-1,MIN(1,(N28-92)/3))*N19*Time!N25/12,0)</f>
        <v>0</v>
      </c>
      <c r="O57" s="11" t="n">
        <f aca="false">IF(Time!O25&gt;0,Inputs!$F$154*MAX(-1,MIN(1,(O28-92)/3))*O19*Time!O25/12,0)</f>
        <v>0</v>
      </c>
      <c r="P57" s="11" t="n">
        <f aca="false">IF(Time!P25&gt;0,Inputs!$F$154*MAX(-1,MIN(1,(P28-92)/3))*P19*Time!P25/12,0)</f>
        <v>0.0643971521276405</v>
      </c>
      <c r="Q57" s="11" t="n">
        <f aca="false">IF(Time!Q25&gt;0,Inputs!$F$154*MAX(-1,MIN(1,(Q28-92)/3))*Q19*Time!Q25/12,0)</f>
        <v>0.195305001147897</v>
      </c>
      <c r="R57" s="11" t="n">
        <f aca="false">IF(Time!R25&gt;0,Inputs!$F$154*MAX(-1,MIN(1,(R28-92)/3))*R19*Time!R25/12,0)</f>
        <v>0.164534723686122</v>
      </c>
      <c r="S57" s="11" t="n">
        <f aca="false">IF(Time!S25&gt;0,Inputs!$F$154*MAX(-1,MIN(1,(S28-92)/3))*S19*Time!S25/12,0)</f>
        <v>0.0998008555865778</v>
      </c>
      <c r="T57" s="11" t="n">
        <f aca="false">IF(Time!T25&gt;0,Inputs!$F$154*MAX(-1,MIN(1,(T28-92)/3))*T19*Time!T25/12,0)</f>
        <v>0.134523590085774</v>
      </c>
      <c r="U57" s="11" t="n">
        <f aca="false">IF(Time!U25&gt;0,Inputs!$F$154*MAX(-1,MIN(1,(U28-92)/3))*U19*Time!U25/12,0)</f>
        <v>0.20399294881896</v>
      </c>
      <c r="V57" s="11" t="n">
        <f aca="false">IF(Time!V25&gt;0,Inputs!$F$154*MAX(-1,MIN(1,(V28-92)/3))*V19*Time!V25/12,0)</f>
        <v>0.084017455541348</v>
      </c>
      <c r="W57" s="11" t="n">
        <f aca="false">IF(Time!W25&gt;0,Inputs!$F$154*MAX(-1,MIN(1,(W28-92)/3))*W19*Time!W25/12,0)</f>
        <v>-0.162151728427874</v>
      </c>
      <c r="X57" s="11" t="n">
        <f aca="false">IF(Time!X25&gt;0,Inputs!$F$154*MAX(-1,MIN(1,(X28-92)/3))*X19*Time!X25/12,0)</f>
        <v>-0.0390299270742074</v>
      </c>
      <c r="Y57" s="11" t="n">
        <f aca="false">IF(Time!Y25&gt;0,Inputs!$F$154*MAX(-1,MIN(1,(Y28-92)/3))*Y19*Time!Y25/12,0)</f>
        <v>0.213067371154223</v>
      </c>
      <c r="Z57" s="11" t="n">
        <f aca="false">IF(Time!Z25&gt;0,Inputs!$F$154*MAX(-1,MIN(1,(Z28-92)/3))*Z19*Time!Z25/12,0)</f>
        <v>0.179498634614282</v>
      </c>
      <c r="AA57" s="11" t="n">
        <f aca="false">IF(Time!AA25&gt;0,Inputs!$F$154*MAX(-1,MIN(1,(AA28-92)/3))*AA19*Time!AA25/12,0)</f>
        <v>0.10887742665981</v>
      </c>
      <c r="AB57" s="11" t="n">
        <f aca="false">IF(Time!AB25&gt;0,Inputs!$F$154*MAX(-1,MIN(1,(AB28-92)/3))*AB19*Time!AB25/12,0)</f>
        <v>0.146758083660638</v>
      </c>
      <c r="AC57" s="11" t="n">
        <f aca="false">IF(Time!AC25&gt;0,Inputs!$F$154*MAX(-1,MIN(1,(AC28-92)/3))*AC19*Time!AC25/12,0)</f>
        <v>0.222545460092647</v>
      </c>
      <c r="AD57" s="11" t="n">
        <f aca="false">IF(Time!AD25&gt;0,Inputs!$F$154*MAX(-1,MIN(1,(AD28-92)/3))*AD19*Time!AD25/12,0)</f>
        <v>0.0124988967917653</v>
      </c>
      <c r="AE57" s="11" t="n">
        <f aca="false">IF(Time!AE25&gt;0,Inputs!$F$154*MAX(-1,MIN(1,(AE28-92)/3))*AE19*Time!AE25/12,0)</f>
        <v>-0.379069100357809</v>
      </c>
      <c r="AF57" s="11" t="n">
        <f aca="false">IF(Time!AF25&gt;0,Inputs!$F$154*MAX(-1,MIN(1,(AF28-92)/3))*AF19*Time!AF25/12,0)</f>
        <v>-0.20438196033893</v>
      </c>
      <c r="AG57" s="11" t="n">
        <f aca="false">IF(Time!AG25&gt;0,Inputs!$F$154*MAX(-1,MIN(1,(AG28-92)/3))*AG19*Time!AG25/12,0)</f>
        <v>0.232445172339408</v>
      </c>
      <c r="AH57" s="11" t="n">
        <f aca="false">IF(Time!AH25&gt;0,Inputs!$F$154*MAX(-1,MIN(1,(AH28-92)/3))*AH19*Time!AH25/12,0)</f>
        <v>0.195823465749737</v>
      </c>
      <c r="AI57" s="11" t="n">
        <f aca="false">IF(Time!AI25&gt;0,Inputs!$F$154*MAX(-1,MIN(1,(AI28-92)/3))*AI19*Time!AI25/12,0)</f>
        <v>0.11877948306544</v>
      </c>
      <c r="AJ57" s="11" t="n">
        <f aca="false">IF(Time!AJ25&gt;0,Inputs!$F$154*MAX(-1,MIN(1,(AJ28-92)/3))*AJ19*Time!AJ25/12,0)</f>
        <v>0.160105265596985</v>
      </c>
      <c r="AK57" s="11" t="n">
        <f aca="false">IF(Time!AK25&gt;0,Inputs!$F$154*MAX(-1,MIN(1,(AK28-92)/3))*AK19*Time!AK25/12,0)</f>
        <v>0.242785263385754</v>
      </c>
      <c r="AL57" s="11" t="n">
        <f aca="false">IF(Time!AL25&gt;0,Inputs!$F$154*MAX(-1,MIN(1,(AL28-92)/3))*AL19*Time!AL25/12,0)</f>
        <v>0.0999946331022946</v>
      </c>
      <c r="AM57" s="11" t="n">
        <f aca="false">IF(Time!AM25&gt;0,Inputs!$F$154*MAX(-1,MIN(1,(AM28-92)/3))*AM19*Time!AM25/12,0)</f>
        <v>-0.192987308251301</v>
      </c>
      <c r="AN57" s="11" t="n">
        <f aca="false">IF(Time!AN25&gt;0,Inputs!$F$154*MAX(-1,MIN(1,(AN28-92)/3))*AN19*Time!AN25/12,0)</f>
        <v>-0.0464520522866107</v>
      </c>
      <c r="AO57" s="11" t="n">
        <f aca="false">IF(Time!AO25&gt;0,Inputs!$F$154*MAX(-1,MIN(1,(AO28-92)/3))*AO19*Time!AO25/12,0)</f>
        <v>0.253585323042206</v>
      </c>
      <c r="AP57" s="11" t="n">
        <f aca="false">IF(Time!AP25&gt;0,Inputs!$F$154*MAX(-1,MIN(1,(AP28-92)/3))*AP19*Time!AP25/12,0)</f>
        <v>0.213632988466125</v>
      </c>
      <c r="AQ57" s="11" t="n">
        <f aca="false">IF(Time!AQ25&gt;0,Inputs!$F$154*MAX(-1,MIN(1,(AQ28-92)/3))*AQ19*Time!AQ25/12,0)</f>
        <v>0.12958210007457</v>
      </c>
      <c r="AR57" s="11" t="n">
        <f aca="false">IF(Time!AR25&gt;0,Inputs!$F$154*MAX(-1,MIN(1,(AR28-92)/3))*AR19*Time!AR25/12,0)</f>
        <v>0.174666331369905</v>
      </c>
      <c r="AS57" s="11" t="n">
        <f aca="false">IF(Time!AS25&gt;0,Inputs!$F$154*MAX(-1,MIN(1,(AS28-92)/3))*AS19*Time!AS25/12,0)</f>
        <v>0.264865812552416</v>
      </c>
      <c r="AT57" s="11" t="n">
        <f aca="false">IF(Time!AT25&gt;0,Inputs!$F$154*MAX(-1,MIN(1,(AT28-92)/3))*AT19*Time!AT25/12,0)</f>
        <v>0.0148757492216714</v>
      </c>
      <c r="AU57" s="11" t="n">
        <f aca="false">IF(Time!AU25&gt;0,Inputs!$F$154*MAX(-1,MIN(1,(AU28-92)/3))*AU19*Time!AU25/12,0)</f>
        <v>-0.451154767380948</v>
      </c>
      <c r="AV57" s="11" t="n">
        <f aca="false">IF(Time!AV25&gt;0,Inputs!$F$154*MAX(-1,MIN(1,(AV28-92)/3))*AV19*Time!AV25/12,0)</f>
        <v>-0.243248251272752</v>
      </c>
      <c r="AW57" s="11" t="n">
        <f aca="false">IF(Time!AW25&gt;0,Inputs!$F$154*MAX(-1,MIN(1,(AW28-92)/3))*AW19*Time!AW25/12,0)</f>
        <v>0.276648103357997</v>
      </c>
      <c r="AX57" s="11" t="n">
        <f aca="false">IF(Time!AX25&gt;0,Inputs!$F$154*MAX(-1,MIN(1,(AX28-92)/3))*AX19*Time!AX25/12,0)</f>
        <v>0.233062230750704</v>
      </c>
      <c r="AY57" s="11" t="n">
        <f aca="false">IF(Time!AY25&gt;0,Inputs!$F$154*MAX(-1,MIN(1,(AY28-92)/3))*AY19*Time!AY25/12,0)</f>
        <v>0.14136718081594</v>
      </c>
      <c r="AZ57" s="11" t="n">
        <f aca="false">IF(Time!AZ25&gt;0,Inputs!$F$154*MAX(-1,MIN(1,(AZ28-92)/3))*AZ19*Time!AZ25/12,0)</f>
        <v>0.190551679861776</v>
      </c>
      <c r="BA57" s="11" t="n">
        <f aca="false">IF(Time!BA25&gt;0,Inputs!$F$154*MAX(-1,MIN(1,(BA28-92)/3))*BA19*Time!BA25/12,0)</f>
        <v>0.288954517587774</v>
      </c>
      <c r="BB57" s="11" t="n">
        <f aca="false">IF(Time!BB25&gt;0,Inputs!$F$154*MAX(-1,MIN(1,(BB28-92)/3))*BB19*Time!BB25/12,0)</f>
        <v>0.119010110278116</v>
      </c>
      <c r="BC57" s="11" t="n">
        <f aca="false">IF(Time!BC25&gt;0,Inputs!$F$154*MAX(-1,MIN(1,(BC28-92)/3))*BC19*Time!BC25/12,0)</f>
        <v>-0.229686735424774</v>
      </c>
      <c r="BD57" s="11" t="n">
        <f aca="false">IF(Time!BD25&gt;0,Inputs!$F$154*MAX(-1,MIN(1,(BD28-92)/3))*BD19*Time!BD25/12,0)</f>
        <v>-0.0552856057746511</v>
      </c>
      <c r="BE57" s="11" t="n">
        <f aca="false">IF(Time!BE25&gt;0,Inputs!$F$154*MAX(-1,MIN(1,(BE28-92)/3))*BE19*Time!BE25/12,0)</f>
        <v>0.301808370348149</v>
      </c>
      <c r="BF57" s="11" t="n">
        <f aca="false">IF(Time!BF25&gt;0,Inputs!$F$154*MAX(-1,MIN(1,(BF28-92)/3))*BF19*Time!BF25/12,0)</f>
        <v>0.254258500957624</v>
      </c>
      <c r="BG57" s="11" t="n">
        <f aca="false">IF(Time!BG25&gt;0,Inputs!$F$154*MAX(-1,MIN(1,(BG28-92)/3))*BG19*Time!BG25/12,0)</f>
        <v>0.154224077247908</v>
      </c>
      <c r="BH57" s="11" t="n">
        <f aca="false">IF(Time!BH25&gt;0,Inputs!$F$154*MAX(-1,MIN(1,(BH28-92)/3))*BH19*Time!BH25/12,0)</f>
        <v>0.207881750382954</v>
      </c>
      <c r="BI57" s="11" t="n">
        <f aca="false">IF(Time!BI25&gt;0,Inputs!$F$154*MAX(-1,MIN(1,(BI28-92)/3))*BI19*Time!BI25/12,0)</f>
        <v>0.315234013894715</v>
      </c>
      <c r="BJ57" s="11" t="n">
        <f aca="false">IF(Time!BJ25&gt;0,Inputs!$F$154*MAX(-1,MIN(1,(BJ28-92)/3))*BJ19*Time!BJ25/12,0)</f>
        <v>0.0177045957409497</v>
      </c>
      <c r="BK57" s="11" t="n">
        <f aca="false">IF(Time!BK25&gt;0,Inputs!$F$154*MAX(-1,MIN(1,(BK28-92)/3))*BK19*Time!BK25/12,0)</f>
        <v>-0.536948603667333</v>
      </c>
      <c r="BL57" s="11" t="n">
        <f aca="false">IF(Time!BL25&gt;0,Inputs!$F$154*MAX(-1,MIN(1,(BL28-92)/3))*BL19*Time!BL25/12,0)</f>
        <v>-0.289505549555986</v>
      </c>
      <c r="BM57" s="11" t="n">
        <f aca="false">IF(Time!BM25&gt;0,Inputs!$F$154*MAX(-1,MIN(1,(BM28-92)/3))*BM19*Time!BM25/12,0)</f>
        <v>0.329256883768808</v>
      </c>
      <c r="BN57" s="11" t="n">
        <f aca="false">IF(Time!BN25&gt;0,Inputs!$F$154*MAX(-1,MIN(1,(BN28-92)/3))*BN19*Time!BN25/12,0)</f>
        <v>0.221906003734662</v>
      </c>
    </row>
    <row r="58" customFormat="false" ht="15" hidden="false" customHeight="false" outlineLevel="0" collapsed="false">
      <c r="D58" s="0" t="s">
        <v>261</v>
      </c>
      <c r="E58" s="0" t="s">
        <v>149</v>
      </c>
      <c r="G58" s="11" t="n">
        <f aca="false">SUM(J58:BN58)</f>
        <v>94.3038468904816</v>
      </c>
      <c r="J58" s="11" t="n">
        <f aca="false">Inputs!$F$155*J19*Time!J25/12*Inputs!$F$40</f>
        <v>0</v>
      </c>
      <c r="K58" s="11" t="n">
        <f aca="false">Inputs!$F$155*K19*Time!K25/12*Inputs!$F$40</f>
        <v>0</v>
      </c>
      <c r="L58" s="11" t="n">
        <f aca="false">Inputs!$F$155*L19*Time!L25/12*Inputs!$F$40</f>
        <v>0</v>
      </c>
      <c r="M58" s="11" t="n">
        <f aca="false">Inputs!$F$155*M19*Time!M25/12*Inputs!$F$40</f>
        <v>0</v>
      </c>
      <c r="N58" s="11" t="n">
        <f aca="false">Inputs!$F$155*N19*Time!N25/12*Inputs!$F$40</f>
        <v>0</v>
      </c>
      <c r="O58" s="11" t="n">
        <f aca="false">Inputs!$F$155*O19*Time!O25/12*Inputs!$F$40</f>
        <v>0</v>
      </c>
      <c r="P58" s="11" t="n">
        <f aca="false">Inputs!$F$155*P19*Time!P25/12*Inputs!$F$40</f>
        <v>0.472245782269365</v>
      </c>
      <c r="Q58" s="11" t="n">
        <f aca="false">Inputs!$F$155*Q19*Time!Q25/12*Inputs!$F$40</f>
        <v>1.43223667508458</v>
      </c>
      <c r="R58" s="11" t="n">
        <f aca="false">Inputs!$F$155*R19*Time!R25/12*Inputs!$F$40</f>
        <v>1.44790556843787</v>
      </c>
      <c r="S58" s="11" t="n">
        <f aca="false">Inputs!$F$155*S19*Time!S25/12*Inputs!$F$40</f>
        <v>1.46374588193644</v>
      </c>
      <c r="T58" s="11" t="n">
        <f aca="false">Inputs!$F$155*T19*Time!T25/12*Inputs!$F$40</f>
        <v>1.47975949094351</v>
      </c>
      <c r="U58" s="11" t="n">
        <f aca="false">Inputs!$F$155*U19*Time!U25/12*Inputs!$F$40</f>
        <v>1.49594829133904</v>
      </c>
      <c r="V58" s="11" t="n">
        <f aca="false">Inputs!$F$155*V19*Time!V25/12*Inputs!$F$40</f>
        <v>1.51231419974426</v>
      </c>
      <c r="W58" s="11" t="n">
        <f aca="false">Inputs!$F$155*W19*Time!W25/12*Inputs!$F$40</f>
        <v>1.5288591537485</v>
      </c>
      <c r="X58" s="11" t="n">
        <f aca="false">Inputs!$F$155*X19*Time!X25/12*Inputs!$F$40</f>
        <v>1.54558511213864</v>
      </c>
      <c r="Y58" s="11" t="n">
        <f aca="false">Inputs!$F$155*Y19*Time!Y25/12*Inputs!$F$40</f>
        <v>1.56249405513097</v>
      </c>
      <c r="Z58" s="11" t="n">
        <f aca="false">Inputs!$F$155*Z19*Time!Z25/12*Inputs!$F$40</f>
        <v>1.57958798460568</v>
      </c>
      <c r="AA58" s="11" t="n">
        <f aca="false">Inputs!$F$155*AA19*Time!AA25/12*Inputs!$F$40</f>
        <v>1.59686892434385</v>
      </c>
      <c r="AB58" s="11" t="n">
        <f aca="false">Inputs!$F$155*AB19*Time!AB25/12*Inputs!$F$40</f>
        <v>1.61433892026701</v>
      </c>
      <c r="AC58" s="11" t="n">
        <f aca="false">Inputs!$F$155*AC19*Time!AC25/12*Inputs!$F$40</f>
        <v>1.63200004067941</v>
      </c>
      <c r="AD58" s="11" t="n">
        <f aca="false">Inputs!$F$155*AD19*Time!AD25/12*Inputs!$F$40</f>
        <v>1.64985437651288</v>
      </c>
      <c r="AE58" s="11" t="n">
        <f aca="false">Inputs!$F$155*AE19*Time!AE25/12*Inputs!$F$40</f>
        <v>1.66790404157436</v>
      </c>
      <c r="AF58" s="11" t="n">
        <f aca="false">Inputs!$F$155*AF19*Time!AF25/12*Inputs!$F$40</f>
        <v>1.68615117279617</v>
      </c>
      <c r="AG58" s="11" t="n">
        <f aca="false">Inputs!$F$155*AG19*Time!AG25/12*Inputs!$F$40</f>
        <v>1.704597930489</v>
      </c>
      <c r="AH58" s="11" t="n">
        <f aca="false">Inputs!$F$155*AH19*Time!AH25/12*Inputs!$F$40</f>
        <v>1.72324649859768</v>
      </c>
      <c r="AI58" s="11" t="n">
        <f aca="false">Inputs!$F$155*AI19*Time!AI25/12*Inputs!$F$40</f>
        <v>1.74209908495975</v>
      </c>
      <c r="AJ58" s="11" t="n">
        <f aca="false">Inputs!$F$155*AJ19*Time!AJ25/12*Inputs!$F$40</f>
        <v>1.76115792156683</v>
      </c>
      <c r="AK58" s="11" t="n">
        <f aca="false">Inputs!$F$155*AK19*Time!AK25/12*Inputs!$F$40</f>
        <v>1.78042526482887</v>
      </c>
      <c r="AL58" s="11" t="n">
        <f aca="false">Inputs!$F$155*AL19*Time!AL25/12*Inputs!$F$40</f>
        <v>1.7999033958413</v>
      </c>
      <c r="AM58" s="11" t="n">
        <f aca="false">Inputs!$F$155*AM19*Time!AM25/12*Inputs!$F$40</f>
        <v>1.8195946206551</v>
      </c>
      <c r="AN58" s="11" t="n">
        <f aca="false">Inputs!$F$155*AN19*Time!AN25/12*Inputs!$F$40</f>
        <v>1.83950127054981</v>
      </c>
      <c r="AO58" s="11" t="n">
        <f aca="false">Inputs!$F$155*AO19*Time!AO25/12*Inputs!$F$40</f>
        <v>1.85962570230951</v>
      </c>
      <c r="AP58" s="11" t="n">
        <f aca="false">Inputs!$F$155*AP19*Time!AP25/12*Inputs!$F$40</f>
        <v>1.8799702985019</v>
      </c>
      <c r="AQ58" s="11" t="n">
        <f aca="false">Inputs!$F$155*AQ19*Time!AQ25/12*Inputs!$F$40</f>
        <v>1.90053746776032</v>
      </c>
      <c r="AR58" s="11" t="n">
        <f aca="false">Inputs!$F$155*AR19*Time!AR25/12*Inputs!$F$40</f>
        <v>1.92132964506895</v>
      </c>
      <c r="AS58" s="11" t="n">
        <f aca="false">Inputs!$F$155*AS19*Time!AS25/12*Inputs!$F$40</f>
        <v>1.94234929205105</v>
      </c>
      <c r="AT58" s="11" t="n">
        <f aca="false">Inputs!$F$155*AT19*Time!AT25/12*Inputs!$F$40</f>
        <v>1.96359889726046</v>
      </c>
      <c r="AU58" s="11" t="n">
        <f aca="false">Inputs!$F$155*AU19*Time!AU25/12*Inputs!$F$40</f>
        <v>1.98508097647617</v>
      </c>
      <c r="AV58" s="11" t="n">
        <f aca="false">Inputs!$F$155*AV19*Time!AV25/12*Inputs!$F$40</f>
        <v>2.00679807300019</v>
      </c>
      <c r="AW58" s="11" t="n">
        <f aca="false">Inputs!$F$155*AW19*Time!AW25/12*Inputs!$F$40</f>
        <v>2.02875275795865</v>
      </c>
      <c r="AX58" s="11" t="n">
        <f aca="false">Inputs!$F$155*AX19*Time!AX25/12*Inputs!$F$40</f>
        <v>2.0509476306062</v>
      </c>
      <c r="AY58" s="11" t="n">
        <f aca="false">Inputs!$F$155*AY19*Time!AY25/12*Inputs!$F$40</f>
        <v>2.07338531863374</v>
      </c>
      <c r="AZ58" s="11" t="n">
        <f aca="false">Inputs!$F$155*AZ19*Time!AZ25/12*Inputs!$F$40</f>
        <v>2.09606847847953</v>
      </c>
      <c r="BA58" s="11" t="n">
        <f aca="false">Inputs!$F$155*BA19*Time!BA25/12*Inputs!$F$40</f>
        <v>2.11899979564368</v>
      </c>
      <c r="BB58" s="11" t="n">
        <f aca="false">Inputs!$F$155*BB19*Time!BB25/12*Inputs!$F$40</f>
        <v>2.14218198500608</v>
      </c>
      <c r="BC58" s="11" t="n">
        <f aca="false">Inputs!$F$155*BC19*Time!BC25/12*Inputs!$F$40</f>
        <v>2.16561779114784</v>
      </c>
      <c r="BD58" s="11" t="n">
        <f aca="false">Inputs!$F$155*BD19*Time!BD25/12*Inputs!$F$40</f>
        <v>2.18930998867621</v>
      </c>
      <c r="BE58" s="11" t="n">
        <f aca="false">Inputs!$F$155*BE19*Time!BE25/12*Inputs!$F$40</f>
        <v>2.21326138255309</v>
      </c>
      <c r="BF58" s="11" t="n">
        <f aca="false">Inputs!$F$155*BF19*Time!BF25/12*Inputs!$F$40</f>
        <v>2.23747480842709</v>
      </c>
      <c r="BG58" s="11" t="n">
        <f aca="false">Inputs!$F$155*BG19*Time!BG25/12*Inputs!$F$40</f>
        <v>2.26195313296926</v>
      </c>
      <c r="BH58" s="11" t="n">
        <f aca="false">Inputs!$F$155*BH19*Time!BH25/12*Inputs!$F$40</f>
        <v>2.28669925421249</v>
      </c>
      <c r="BI58" s="11" t="n">
        <f aca="false">Inputs!$F$155*BI19*Time!BI25/12*Inputs!$F$40</f>
        <v>2.31171610189458</v>
      </c>
      <c r="BJ58" s="11" t="n">
        <f aca="false">Inputs!$F$155*BJ19*Time!BJ25/12*Inputs!$F$40</f>
        <v>2.33700663780516</v>
      </c>
      <c r="BK58" s="11" t="n">
        <f aca="false">Inputs!$F$155*BK19*Time!BK25/12*Inputs!$F$40</f>
        <v>2.36257385613626</v>
      </c>
      <c r="BL58" s="11" t="n">
        <f aca="false">Inputs!$F$155*BL19*Time!BL25/12*Inputs!$F$40</f>
        <v>2.38842078383687</v>
      </c>
      <c r="BM58" s="11" t="n">
        <f aca="false">Inputs!$F$155*BM19*Time!BM25/12*Inputs!$F$40</f>
        <v>2.41455048097126</v>
      </c>
      <c r="BN58" s="11" t="n">
        <f aca="false">Inputs!$F$155*BN19*Time!BN25/12*Inputs!$F$40</f>
        <v>1.62731069405419</v>
      </c>
    </row>
    <row r="59" customFormat="false" ht="15" hidden="false" customHeight="false" outlineLevel="0" collapsed="false">
      <c r="D59" s="0" t="s">
        <v>511</v>
      </c>
      <c r="E59" s="0" t="s">
        <v>512</v>
      </c>
      <c r="J59" s="13" t="n">
        <f aca="false">IF(J27&gt;0,2*(Inputs!$F$129*J28/J27*J33/Inputs!$F$131+Inputs!$F$130*Inputs!$F$132)*Time!J25/12,0)</f>
        <v>0</v>
      </c>
      <c r="K59" s="13" t="n">
        <f aca="false">IF(K27&gt;0,2*(Inputs!$F$129*K28/K27*K33/Inputs!$F$131+Inputs!$F$130*Inputs!$F$132)*Time!K25/12,0)</f>
        <v>0</v>
      </c>
      <c r="L59" s="13" t="n">
        <f aca="false">IF(L27&gt;0,2*(Inputs!$F$129*L28/L27*L33/Inputs!$F$131+Inputs!$F$130*Inputs!$F$132)*Time!L25/12,0)</f>
        <v>0</v>
      </c>
      <c r="M59" s="13" t="n">
        <f aca="false">IF(M27&gt;0,2*(Inputs!$F$129*M28/M27*M33/Inputs!$F$131+Inputs!$F$130*Inputs!$F$132)*Time!M25/12,0)</f>
        <v>0</v>
      </c>
      <c r="N59" s="13" t="n">
        <f aca="false">IF(N27&gt;0,2*(Inputs!$F$129*N28/N27*N33/Inputs!$F$131+Inputs!$F$130*Inputs!$F$132)*Time!N25/12,0)</f>
        <v>0</v>
      </c>
      <c r="O59" s="13" t="n">
        <f aca="false">IF(O27&gt;0,2*(Inputs!$F$129*O28/O27*O33/Inputs!$F$131+Inputs!$F$130*Inputs!$F$132)*Time!O25/12,0)</f>
        <v>0</v>
      </c>
      <c r="P59" s="13" t="n">
        <f aca="false">IF(P27&gt;0,2*(Inputs!$F$129*P28/P27*P33/Inputs!$F$131+Inputs!$F$130*Inputs!$F$132)*Time!P25/12,0)</f>
        <v>2813</v>
      </c>
      <c r="Q59" s="13" t="n">
        <f aca="false">IF(Q27&gt;0,2*(Inputs!$F$129*Q28/Q27*Q33/Inputs!$F$131+Inputs!$F$130*Inputs!$F$132)*Time!Q25/12,0)</f>
        <v>8439</v>
      </c>
      <c r="R59" s="13" t="n">
        <f aca="false">IF(R27&gt;0,2*(Inputs!$F$129*R28/R27*R33/Inputs!$F$131+Inputs!$F$130*Inputs!$F$132)*Time!R25/12,0)</f>
        <v>8439</v>
      </c>
      <c r="S59" s="13" t="n">
        <f aca="false">IF(S27&gt;0,2*(Inputs!$F$129*S28/S27*S33/Inputs!$F$131+Inputs!$F$130*Inputs!$F$132)*Time!S25/12,0)</f>
        <v>8439</v>
      </c>
      <c r="T59" s="13" t="n">
        <f aca="false">IF(T27&gt;0,2*(Inputs!$F$129*T28/T27*T33/Inputs!$F$131+Inputs!$F$130*Inputs!$F$132)*Time!T25/12,0)</f>
        <v>8439</v>
      </c>
      <c r="U59" s="13" t="n">
        <f aca="false">IF(U27&gt;0,2*(Inputs!$F$129*U28/U27*U33/Inputs!$F$131+Inputs!$F$130*Inputs!$F$132)*Time!U25/12,0)</f>
        <v>8439</v>
      </c>
      <c r="V59" s="13" t="n">
        <f aca="false">IF(V27&gt;0,2*(Inputs!$F$129*V28/V27*V33/Inputs!$F$131+Inputs!$F$130*Inputs!$F$132)*Time!V25/12,0)</f>
        <v>8439</v>
      </c>
      <c r="W59" s="13" t="n">
        <f aca="false">IF(W27&gt;0,2*(Inputs!$F$129*W28/W27*W33/Inputs!$F$131+Inputs!$F$130*Inputs!$F$132)*Time!W25/12,0)</f>
        <v>8439</v>
      </c>
      <c r="X59" s="13" t="n">
        <f aca="false">IF(X27&gt;0,2*(Inputs!$F$129*X28/X27*X33/Inputs!$F$131+Inputs!$F$130*Inputs!$F$132)*Time!X25/12,0)</f>
        <v>8439</v>
      </c>
      <c r="Y59" s="13" t="n">
        <f aca="false">IF(Y27&gt;0,2*(Inputs!$F$129*Y28/Y27*Y33/Inputs!$F$131+Inputs!$F$130*Inputs!$F$132)*Time!Y25/12,0)</f>
        <v>8439</v>
      </c>
      <c r="Z59" s="13" t="n">
        <f aca="false">IF(Z27&gt;0,2*(Inputs!$F$129*Z28/Z27*Z33/Inputs!$F$131+Inputs!$F$130*Inputs!$F$132)*Time!Z25/12,0)</f>
        <v>8439</v>
      </c>
      <c r="AA59" s="13" t="n">
        <f aca="false">IF(AA27&gt;0,2*(Inputs!$F$129*AA28/AA27*AA33/Inputs!$F$131+Inputs!$F$130*Inputs!$F$132)*Time!AA25/12,0)</f>
        <v>8439</v>
      </c>
      <c r="AB59" s="13" t="n">
        <f aca="false">IF(AB27&gt;0,2*(Inputs!$F$129*AB28/AB27*AB33/Inputs!$F$131+Inputs!$F$130*Inputs!$F$132)*Time!AB25/12,0)</f>
        <v>8439</v>
      </c>
      <c r="AC59" s="13" t="n">
        <f aca="false">IF(AC27&gt;0,2*(Inputs!$F$129*AC28/AC27*AC33/Inputs!$F$131+Inputs!$F$130*Inputs!$F$132)*Time!AC25/12,0)</f>
        <v>8439</v>
      </c>
      <c r="AD59" s="13" t="n">
        <f aca="false">IF(AD27&gt;0,2*(Inputs!$F$129*AD28/AD27*AD33/Inputs!$F$131+Inputs!$F$130*Inputs!$F$132)*Time!AD25/12,0)</f>
        <v>8439</v>
      </c>
      <c r="AE59" s="13" t="n">
        <f aca="false">IF(AE27&gt;0,2*(Inputs!$F$129*AE28/AE27*AE33/Inputs!$F$131+Inputs!$F$130*Inputs!$F$132)*Time!AE25/12,0)</f>
        <v>8439</v>
      </c>
      <c r="AF59" s="13" t="n">
        <f aca="false">IF(AF27&gt;0,2*(Inputs!$F$129*AF28/AF27*AF33/Inputs!$F$131+Inputs!$F$130*Inputs!$F$132)*Time!AF25/12,0)</f>
        <v>8439</v>
      </c>
      <c r="AG59" s="13" t="n">
        <f aca="false">IF(AG27&gt;0,2*(Inputs!$F$129*AG28/AG27*AG33/Inputs!$F$131+Inputs!$F$130*Inputs!$F$132)*Time!AG25/12,0)</f>
        <v>8439</v>
      </c>
      <c r="AH59" s="13" t="n">
        <f aca="false">IF(AH27&gt;0,2*(Inputs!$F$129*AH28/AH27*AH33/Inputs!$F$131+Inputs!$F$130*Inputs!$F$132)*Time!AH25/12,0)</f>
        <v>8439</v>
      </c>
      <c r="AI59" s="13" t="n">
        <f aca="false">IF(AI27&gt;0,2*(Inputs!$F$129*AI28/AI27*AI33/Inputs!$F$131+Inputs!$F$130*Inputs!$F$132)*Time!AI25/12,0)</f>
        <v>8439</v>
      </c>
      <c r="AJ59" s="13" t="n">
        <f aca="false">IF(AJ27&gt;0,2*(Inputs!$F$129*AJ28/AJ27*AJ33/Inputs!$F$131+Inputs!$F$130*Inputs!$F$132)*Time!AJ25/12,0)</f>
        <v>8439</v>
      </c>
      <c r="AK59" s="13" t="n">
        <f aca="false">IF(AK27&gt;0,2*(Inputs!$F$129*AK28/AK27*AK33/Inputs!$F$131+Inputs!$F$130*Inputs!$F$132)*Time!AK25/12,0)</f>
        <v>8439</v>
      </c>
      <c r="AL59" s="13" t="n">
        <f aca="false">IF(AL27&gt;0,2*(Inputs!$F$129*AL28/AL27*AL33/Inputs!$F$131+Inputs!$F$130*Inputs!$F$132)*Time!AL25/12,0)</f>
        <v>8439</v>
      </c>
      <c r="AM59" s="13" t="n">
        <f aca="false">IF(AM27&gt;0,2*(Inputs!$F$129*AM28/AM27*AM33/Inputs!$F$131+Inputs!$F$130*Inputs!$F$132)*Time!AM25/12,0)</f>
        <v>8439</v>
      </c>
      <c r="AN59" s="13" t="n">
        <f aca="false">IF(AN27&gt;0,2*(Inputs!$F$129*AN28/AN27*AN33/Inputs!$F$131+Inputs!$F$130*Inputs!$F$132)*Time!AN25/12,0)</f>
        <v>8439</v>
      </c>
      <c r="AO59" s="13" t="n">
        <f aca="false">IF(AO27&gt;0,2*(Inputs!$F$129*AO28/AO27*AO33/Inputs!$F$131+Inputs!$F$130*Inputs!$F$132)*Time!AO25/12,0)</f>
        <v>8439</v>
      </c>
      <c r="AP59" s="13" t="n">
        <f aca="false">IF(AP27&gt;0,2*(Inputs!$F$129*AP28/AP27*AP33/Inputs!$F$131+Inputs!$F$130*Inputs!$F$132)*Time!AP25/12,0)</f>
        <v>8439</v>
      </c>
      <c r="AQ59" s="13" t="n">
        <f aca="false">IF(AQ27&gt;0,2*(Inputs!$F$129*AQ28/AQ27*AQ33/Inputs!$F$131+Inputs!$F$130*Inputs!$F$132)*Time!AQ25/12,0)</f>
        <v>8439</v>
      </c>
      <c r="AR59" s="13" t="n">
        <f aca="false">IF(AR27&gt;0,2*(Inputs!$F$129*AR28/AR27*AR33/Inputs!$F$131+Inputs!$F$130*Inputs!$F$132)*Time!AR25/12,0)</f>
        <v>8439</v>
      </c>
      <c r="AS59" s="13" t="n">
        <f aca="false">IF(AS27&gt;0,2*(Inputs!$F$129*AS28/AS27*AS33/Inputs!$F$131+Inputs!$F$130*Inputs!$F$132)*Time!AS25/12,0)</f>
        <v>8439</v>
      </c>
      <c r="AT59" s="13" t="n">
        <f aca="false">IF(AT27&gt;0,2*(Inputs!$F$129*AT28/AT27*AT33/Inputs!$F$131+Inputs!$F$130*Inputs!$F$132)*Time!AT25/12,0)</f>
        <v>8439</v>
      </c>
      <c r="AU59" s="13" t="n">
        <f aca="false">IF(AU27&gt;0,2*(Inputs!$F$129*AU28/AU27*AU33/Inputs!$F$131+Inputs!$F$130*Inputs!$F$132)*Time!AU25/12,0)</f>
        <v>8439</v>
      </c>
      <c r="AV59" s="13" t="n">
        <f aca="false">IF(AV27&gt;0,2*(Inputs!$F$129*AV28/AV27*AV33/Inputs!$F$131+Inputs!$F$130*Inputs!$F$132)*Time!AV25/12,0)</f>
        <v>8439</v>
      </c>
      <c r="AW59" s="13" t="n">
        <f aca="false">IF(AW27&gt;0,2*(Inputs!$F$129*AW28/AW27*AW33/Inputs!$F$131+Inputs!$F$130*Inputs!$F$132)*Time!AW25/12,0)</f>
        <v>8439</v>
      </c>
      <c r="AX59" s="13" t="n">
        <f aca="false">IF(AX27&gt;0,2*(Inputs!$F$129*AX28/AX27*AX33/Inputs!$F$131+Inputs!$F$130*Inputs!$F$132)*Time!AX25/12,0)</f>
        <v>8439</v>
      </c>
      <c r="AY59" s="13" t="n">
        <f aca="false">IF(AY27&gt;0,2*(Inputs!$F$129*AY28/AY27*AY33/Inputs!$F$131+Inputs!$F$130*Inputs!$F$132)*Time!AY25/12,0)</f>
        <v>8439</v>
      </c>
      <c r="AZ59" s="13" t="n">
        <f aca="false">IF(AZ27&gt;0,2*(Inputs!$F$129*AZ28/AZ27*AZ33/Inputs!$F$131+Inputs!$F$130*Inputs!$F$132)*Time!AZ25/12,0)</f>
        <v>8439</v>
      </c>
      <c r="BA59" s="13" t="n">
        <f aca="false">IF(BA27&gt;0,2*(Inputs!$F$129*BA28/BA27*BA33/Inputs!$F$131+Inputs!$F$130*Inputs!$F$132)*Time!BA25/12,0)</f>
        <v>8439</v>
      </c>
      <c r="BB59" s="13" t="n">
        <f aca="false">IF(BB27&gt;0,2*(Inputs!$F$129*BB28/BB27*BB33/Inputs!$F$131+Inputs!$F$130*Inputs!$F$132)*Time!BB25/12,0)</f>
        <v>8439</v>
      </c>
      <c r="BC59" s="13" t="n">
        <f aca="false">IF(BC27&gt;0,2*(Inputs!$F$129*BC28/BC27*BC33/Inputs!$F$131+Inputs!$F$130*Inputs!$F$132)*Time!BC25/12,0)</f>
        <v>8439</v>
      </c>
      <c r="BD59" s="13" t="n">
        <f aca="false">IF(BD27&gt;0,2*(Inputs!$F$129*BD28/BD27*BD33/Inputs!$F$131+Inputs!$F$130*Inputs!$F$132)*Time!BD25/12,0)</f>
        <v>8439</v>
      </c>
      <c r="BE59" s="13" t="n">
        <f aca="false">IF(BE27&gt;0,2*(Inputs!$F$129*BE28/BE27*BE33/Inputs!$F$131+Inputs!$F$130*Inputs!$F$132)*Time!BE25/12,0)</f>
        <v>8439</v>
      </c>
      <c r="BF59" s="13" t="n">
        <f aca="false">IF(BF27&gt;0,2*(Inputs!$F$129*BF28/BF27*BF33/Inputs!$F$131+Inputs!$F$130*Inputs!$F$132)*Time!BF25/12,0)</f>
        <v>8439</v>
      </c>
      <c r="BG59" s="13" t="n">
        <f aca="false">IF(BG27&gt;0,2*(Inputs!$F$129*BG28/BG27*BG33/Inputs!$F$131+Inputs!$F$130*Inputs!$F$132)*Time!BG25/12,0)</f>
        <v>8439</v>
      </c>
      <c r="BH59" s="13" t="n">
        <f aca="false">IF(BH27&gt;0,2*(Inputs!$F$129*BH28/BH27*BH33/Inputs!$F$131+Inputs!$F$130*Inputs!$F$132)*Time!BH25/12,0)</f>
        <v>8439</v>
      </c>
      <c r="BI59" s="13" t="n">
        <f aca="false">IF(BI27&gt;0,2*(Inputs!$F$129*BI28/BI27*BI33/Inputs!$F$131+Inputs!$F$130*Inputs!$F$132)*Time!BI25/12,0)</f>
        <v>8439</v>
      </c>
      <c r="BJ59" s="13" t="n">
        <f aca="false">IF(BJ27&gt;0,2*(Inputs!$F$129*BJ28/BJ27*BJ33/Inputs!$F$131+Inputs!$F$130*Inputs!$F$132)*Time!BJ25/12,0)</f>
        <v>8439</v>
      </c>
      <c r="BK59" s="13" t="n">
        <f aca="false">IF(BK27&gt;0,2*(Inputs!$F$129*BK28/BK27*BK33/Inputs!$F$131+Inputs!$F$130*Inputs!$F$132)*Time!BK25/12,0)</f>
        <v>8439</v>
      </c>
      <c r="BL59" s="13" t="n">
        <f aca="false">IF(BL27&gt;0,2*(Inputs!$F$129*BL28/BL27*BL33/Inputs!$F$131+Inputs!$F$130*Inputs!$F$132)*Time!BL25/12,0)</f>
        <v>8439</v>
      </c>
      <c r="BM59" s="13" t="n">
        <f aca="false">IF(BM27&gt;0,2*(Inputs!$F$129*BM28/BM27*BM33/Inputs!$F$131+Inputs!$F$130*Inputs!$F$132)*Time!BM25/12,0)</f>
        <v>8439</v>
      </c>
      <c r="BN59" s="13" t="n">
        <f aca="false">IF(BN27&gt;0,2*(Inputs!$F$129*BN28/BN27*BN33/Inputs!$F$131+Inputs!$F$130*Inputs!$F$132)*Time!BN25/12,0)</f>
        <v>5626</v>
      </c>
    </row>
    <row r="60" customFormat="false" ht="15" hidden="false" customHeight="false" outlineLevel="0" collapsed="false">
      <c r="D60" s="0" t="s">
        <v>262</v>
      </c>
      <c r="E60" s="0" t="s">
        <v>149</v>
      </c>
      <c r="G60" s="11" t="n">
        <f aca="false">SUM(J60:BN60)</f>
        <v>293.010196711867</v>
      </c>
      <c r="J60" s="11" t="n">
        <f aca="false">J59*Inputs!$F$156*J19/1000000</f>
        <v>0</v>
      </c>
      <c r="K60" s="11" t="n">
        <f aca="false">K59*Inputs!$F$156*K19/1000000</f>
        <v>0</v>
      </c>
      <c r="L60" s="11" t="n">
        <f aca="false">L59*Inputs!$F$156*L19/1000000</f>
        <v>0</v>
      </c>
      <c r="M60" s="11" t="n">
        <f aca="false">M59*Inputs!$F$156*M19/1000000</f>
        <v>0</v>
      </c>
      <c r="N60" s="11" t="n">
        <f aca="false">N59*Inputs!$F$156*N19/1000000</f>
        <v>0</v>
      </c>
      <c r="O60" s="11" t="n">
        <f aca="false">O59*Inputs!$F$156*O19/1000000</f>
        <v>0</v>
      </c>
      <c r="P60" s="11" t="n">
        <f aca="false">P59*Inputs!$F$156*P19/1000000</f>
        <v>1.46730843037393</v>
      </c>
      <c r="Q60" s="11" t="n">
        <f aca="false">Q59*Inputs!$F$156*Q19/1000000</f>
        <v>4.45008304265519</v>
      </c>
      <c r="R60" s="11" t="n">
        <f aca="false">R59*Inputs!$F$156*R19/1000000</f>
        <v>4.49876764752647</v>
      </c>
      <c r="S60" s="11" t="n">
        <f aca="false">S59*Inputs!$F$156*S19/1000000</f>
        <v>4.5479848695936</v>
      </c>
      <c r="T60" s="11" t="n">
        <f aca="false">T59*Inputs!$F$156*T19/1000000</f>
        <v>4.59774053577205</v>
      </c>
      <c r="U60" s="11" t="n">
        <f aca="false">U59*Inputs!$F$156*U19/1000000</f>
        <v>4.64804053672466</v>
      </c>
      <c r="V60" s="11" t="n">
        <f aca="false">V59*Inputs!$F$156*V19/1000000</f>
        <v>4.69889082755904</v>
      </c>
      <c r="W60" s="11" t="n">
        <f aca="false">W59*Inputs!$F$156*W19/1000000</f>
        <v>4.7502974285326</v>
      </c>
      <c r="X60" s="11" t="n">
        <f aca="false">X59*Inputs!$F$156*X19/1000000</f>
        <v>4.80226642576533</v>
      </c>
      <c r="Y60" s="11" t="n">
        <f aca="false">Y59*Inputs!$F$156*Y19/1000000</f>
        <v>4.85480397196032</v>
      </c>
      <c r="Z60" s="11" t="n">
        <f aca="false">Z59*Inputs!$F$156*Z19/1000000</f>
        <v>4.90791628713217</v>
      </c>
      <c r="AA60" s="11" t="n">
        <f aca="false">AA59*Inputs!$F$156*AA19/1000000</f>
        <v>4.96160965934344</v>
      </c>
      <c r="AB60" s="11" t="n">
        <f aca="false">AB59*Inputs!$F$156*AB19/1000000</f>
        <v>5.01589044544908</v>
      </c>
      <c r="AC60" s="11" t="n">
        <f aca="false">AC59*Inputs!$F$156*AC19/1000000</f>
        <v>5.070765071849</v>
      </c>
      <c r="AD60" s="11" t="n">
        <f aca="false">AD59*Inputs!$F$156*AD19/1000000</f>
        <v>5.12624003524895</v>
      </c>
      <c r="AE60" s="11" t="n">
        <f aca="false">AE59*Inputs!$F$156*AE19/1000000</f>
        <v>5.18232190342967</v>
      </c>
      <c r="AF60" s="11" t="n">
        <f aca="false">AF59*Inputs!$F$156*AF19/1000000</f>
        <v>5.23901731602443</v>
      </c>
      <c r="AG60" s="11" t="n">
        <f aca="false">AG59*Inputs!$F$156*AG19/1000000</f>
        <v>5.29633298530513</v>
      </c>
      <c r="AH60" s="11" t="n">
        <f aca="false">AH59*Inputs!$F$156*AH19/1000000</f>
        <v>5.35427569697697</v>
      </c>
      <c r="AI60" s="11" t="n">
        <f aca="false">AI59*Inputs!$F$156*AI19/1000000</f>
        <v>5.41285231098184</v>
      </c>
      <c r="AJ60" s="11" t="n">
        <f aca="false">AJ59*Inputs!$F$156*AJ19/1000000</f>
        <v>5.47206976231046</v>
      </c>
      <c r="AK60" s="11" t="n">
        <f aca="false">AK59*Inputs!$F$156*AK19/1000000</f>
        <v>5.53193506182344</v>
      </c>
      <c r="AL60" s="11" t="n">
        <f aca="false">AL59*Inputs!$F$156*AL19/1000000</f>
        <v>5.59245529708129</v>
      </c>
      <c r="AM60" s="11" t="n">
        <f aca="false">AM59*Inputs!$F$156*AM19/1000000</f>
        <v>5.65363763318355</v>
      </c>
      <c r="AN60" s="11" t="n">
        <f aca="false">AN59*Inputs!$F$156*AN19/1000000</f>
        <v>5.71548931361708</v>
      </c>
      <c r="AO60" s="11" t="n">
        <f aca="false">AO59*Inputs!$F$156*AO19/1000000</f>
        <v>5.77801766111359</v>
      </c>
      <c r="AP60" s="11" t="n">
        <f aca="false">AP59*Inputs!$F$156*AP19/1000000</f>
        <v>5.84123007851665</v>
      </c>
      <c r="AQ60" s="11" t="n">
        <f aca="false">AQ59*Inputs!$F$156*AQ19/1000000</f>
        <v>5.90513404965809</v>
      </c>
      <c r="AR60" s="11" t="n">
        <f aca="false">AR59*Inputs!$F$156*AR19/1000000</f>
        <v>5.96973714024402</v>
      </c>
      <c r="AS60" s="11" t="n">
        <f aca="false">AS59*Inputs!$F$156*AS19/1000000</f>
        <v>6.03504699875056</v>
      </c>
      <c r="AT60" s="11" t="n">
        <f aca="false">AT59*Inputs!$F$156*AT19/1000000</f>
        <v>6.10107135732938</v>
      </c>
      <c r="AU60" s="11" t="n">
        <f aca="false">AU59*Inputs!$F$156*AU19/1000000</f>
        <v>6.16781803272308</v>
      </c>
      <c r="AV60" s="11" t="n">
        <f aca="false">AV59*Inputs!$F$156*AV19/1000000</f>
        <v>6.23529492719063</v>
      </c>
      <c r="AW60" s="11" t="n">
        <f aca="false">AW59*Inputs!$F$156*AW19/1000000</f>
        <v>6.30351002944298</v>
      </c>
      <c r="AX60" s="11" t="n">
        <f aca="false">AX59*Inputs!$F$156*AX19/1000000</f>
        <v>6.37247141558882</v>
      </c>
      <c r="AY60" s="11" t="n">
        <f aca="false">AY59*Inputs!$F$156*AY19/1000000</f>
        <v>6.44218725009073</v>
      </c>
      <c r="AZ60" s="11" t="n">
        <f aca="false">AZ59*Inputs!$F$156*AZ19/1000000</f>
        <v>6.51266578673177</v>
      </c>
      <c r="BA60" s="11" t="n">
        <f aca="false">BA59*Inputs!$F$156*BA19/1000000</f>
        <v>6.58391536959272</v>
      </c>
      <c r="BB60" s="11" t="n">
        <f aca="false">BB59*Inputs!$F$156*BB19/1000000</f>
        <v>6.65594443403987</v>
      </c>
      <c r="BC60" s="11" t="n">
        <f aca="false">BC59*Inputs!$F$156*BC19/1000000</f>
        <v>6.72876150772376</v>
      </c>
      <c r="BD60" s="11" t="n">
        <f aca="false">BD59*Inputs!$F$156*BD19/1000000</f>
        <v>6.80237521158875</v>
      </c>
      <c r="BE60" s="11" t="n">
        <f aca="false">BE59*Inputs!$F$156*BE19/1000000</f>
        <v>6.87679426089368</v>
      </c>
      <c r="BF60" s="11" t="n">
        <f aca="false">BF59*Inputs!$F$156*BF19/1000000</f>
        <v>6.9520274662437</v>
      </c>
      <c r="BG60" s="11" t="n">
        <f aca="false">BG59*Inputs!$F$156*BG19/1000000</f>
        <v>7.02808373463334</v>
      </c>
      <c r="BH60" s="11" t="n">
        <f aca="false">BH59*Inputs!$F$156*BH19/1000000</f>
        <v>7.10497207050106</v>
      </c>
      <c r="BI60" s="11" t="n">
        <f aca="false">BI59*Inputs!$F$156*BI19/1000000</f>
        <v>7.18270157679527</v>
      </c>
      <c r="BJ60" s="11" t="n">
        <f aca="false">BJ59*Inputs!$F$156*BJ19/1000000</f>
        <v>7.26128145605208</v>
      </c>
      <c r="BK60" s="11" t="n">
        <f aca="false">BK59*Inputs!$F$156*BK19/1000000</f>
        <v>7.34072101148476</v>
      </c>
      <c r="BL60" s="11" t="n">
        <f aca="false">BL59*Inputs!$F$156*BL19/1000000</f>
        <v>7.42102964808522</v>
      </c>
      <c r="BM60" s="11" t="n">
        <f aca="false">BM59*Inputs!$F$156*BM19/1000000</f>
        <v>7.50221687373743</v>
      </c>
      <c r="BN60" s="11" t="n">
        <f aca="false">BN59*Inputs!$F$156*BN19/1000000</f>
        <v>5.0561948668954</v>
      </c>
    </row>
    <row r="61" customFormat="false" ht="15" hidden="false" customHeight="false" outlineLevel="0" collapsed="false">
      <c r="D61" s="0" t="s">
        <v>264</v>
      </c>
      <c r="E61" s="0" t="s">
        <v>149</v>
      </c>
      <c r="G61" s="11" t="n">
        <f aca="false">SUM(J61:BN61)</f>
        <v>156.101443527047</v>
      </c>
      <c r="J61" s="11" t="n">
        <f aca="false">Inputs!$F$157*J19*Time!J25/12*(1+Inputs!$F$158*Inputs!$F$46*IF(Time!J17&gt;=9,1,0))*Inputs!$F$40</f>
        <v>0</v>
      </c>
      <c r="K61" s="11" t="n">
        <f aca="false">Inputs!$F$157*K19*Time!K25/12*(1+Inputs!$F$158*Inputs!$F$46*IF(Time!K17&gt;=9,1,0))*Inputs!$F$40</f>
        <v>0</v>
      </c>
      <c r="L61" s="11" t="n">
        <f aca="false">Inputs!$F$157*L19*Time!L25/12*(1+Inputs!$F$158*Inputs!$F$46*IF(Time!L17&gt;=9,1,0))*Inputs!$F$40</f>
        <v>0</v>
      </c>
      <c r="M61" s="11" t="n">
        <f aca="false">Inputs!$F$157*M19*Time!M25/12*(1+Inputs!$F$158*Inputs!$F$46*IF(Time!M17&gt;=9,1,0))*Inputs!$F$40</f>
        <v>0</v>
      </c>
      <c r="N61" s="11" t="n">
        <f aca="false">Inputs!$F$157*N19*Time!N25/12*(1+Inputs!$F$158*Inputs!$F$46*IF(Time!N17&gt;=9,1,0))*Inputs!$F$40</f>
        <v>0</v>
      </c>
      <c r="O61" s="11" t="n">
        <f aca="false">Inputs!$F$157*O19*Time!O25/12*(1+Inputs!$F$158*Inputs!$F$46*IF(Time!O17&gt;=9,1,0))*Inputs!$F$40</f>
        <v>0</v>
      </c>
      <c r="P61" s="11" t="n">
        <f aca="false">Inputs!$F$157*P19*Time!P25/12*(1+Inputs!$F$158*Inputs!$F$46*IF(Time!P17&gt;=9,1,0))*Inputs!$F$40</f>
        <v>0.781709874438304</v>
      </c>
      <c r="Q61" s="11" t="n">
        <f aca="false">Inputs!$F$157*Q19*Time!Q25/12*(1+Inputs!$F$158*Inputs!$F$46*IF(Time!Q17&gt;=9,1,0))*Inputs!$F$40</f>
        <v>2.37078570837864</v>
      </c>
      <c r="R61" s="11" t="n">
        <f aca="false">Inputs!$F$157*R19*Time!R25/12*(1+Inputs!$F$158*Inputs!$F$46*IF(Time!R17&gt;=9,1,0))*Inputs!$F$40</f>
        <v>2.39672247502784</v>
      </c>
      <c r="S61" s="11" t="n">
        <f aca="false">Inputs!$F$157*S19*Time!S25/12*(1+Inputs!$F$158*Inputs!$F$46*IF(Time!S17&gt;=9,1,0))*Inputs!$F$40</f>
        <v>2.42294299396297</v>
      </c>
      <c r="T61" s="11" t="n">
        <f aca="false">Inputs!$F$157*T19*Time!T25/12*(1+Inputs!$F$158*Inputs!$F$46*IF(Time!T17&gt;=9,1,0))*Inputs!$F$40</f>
        <v>2.44945036947845</v>
      </c>
      <c r="U61" s="11" t="n">
        <f aca="false">Inputs!$F$157*U19*Time!U25/12*(1+Inputs!$F$158*Inputs!$F$46*IF(Time!U17&gt;=9,1,0))*Inputs!$F$40</f>
        <v>2.47624773983016</v>
      </c>
      <c r="V61" s="11" t="n">
        <f aca="false">Inputs!$F$157*V19*Time!V25/12*(1+Inputs!$F$158*Inputs!$F$46*IF(Time!V17&gt;=9,1,0))*Inputs!$F$40</f>
        <v>2.50333827760698</v>
      </c>
      <c r="W61" s="11" t="n">
        <f aca="false">Inputs!$F$157*W19*Time!W25/12*(1+Inputs!$F$158*Inputs!$F$46*IF(Time!W17&gt;=9,1,0))*Inputs!$F$40</f>
        <v>2.53072519010642</v>
      </c>
      <c r="X61" s="11" t="n">
        <f aca="false">Inputs!$F$157*X19*Time!X25/12*(1+Inputs!$F$158*Inputs!$F$46*IF(Time!X17&gt;=9,1,0))*Inputs!$F$40</f>
        <v>2.55841171971433</v>
      </c>
      <c r="Y61" s="11" t="n">
        <f aca="false">Inputs!$F$157*Y19*Time!Y25/12*(1+Inputs!$F$158*Inputs!$F$46*IF(Time!Y17&gt;=9,1,0))*Inputs!$F$40</f>
        <v>2.58640114428876</v>
      </c>
      <c r="Z61" s="11" t="n">
        <f aca="false">Inputs!$F$157*Z19*Time!Z25/12*(1+Inputs!$F$158*Inputs!$F$46*IF(Time!Z17&gt;=9,1,0))*Inputs!$F$40</f>
        <v>2.61469677754805</v>
      </c>
      <c r="AA61" s="11" t="n">
        <f aca="false">Inputs!$F$157*AA19*Time!AA25/12*(1+Inputs!$F$158*Inputs!$F$46*IF(Time!AA17&gt;=9,1,0))*Inputs!$F$40</f>
        <v>2.64330196946311</v>
      </c>
      <c r="AB61" s="11" t="n">
        <f aca="false">Inputs!$F$157*AB19*Time!AB25/12*(1+Inputs!$F$158*Inputs!$F$46*IF(Time!AB17&gt;=9,1,0))*Inputs!$F$40</f>
        <v>2.6722201066541</v>
      </c>
      <c r="AC61" s="11" t="n">
        <f aca="false">Inputs!$F$157*AC19*Time!AC25/12*(1+Inputs!$F$158*Inputs!$F$46*IF(Time!AC17&gt;=9,1,0))*Inputs!$F$40</f>
        <v>2.7014546127913</v>
      </c>
      <c r="AD61" s="11" t="n">
        <f aca="false">Inputs!$F$157*AD19*Time!AD25/12*(1+Inputs!$F$158*Inputs!$F$46*IF(Time!AD17&gt;=9,1,0))*Inputs!$F$40</f>
        <v>2.73100894900049</v>
      </c>
      <c r="AE61" s="11" t="n">
        <f aca="false">Inputs!$F$157*AE19*Time!AE25/12*(1+Inputs!$F$158*Inputs!$F$46*IF(Time!AE17&gt;=9,1,0))*Inputs!$F$40</f>
        <v>2.76088661427271</v>
      </c>
      <c r="AF61" s="11" t="n">
        <f aca="false">Inputs!$F$157*AF19*Time!AF25/12*(1+Inputs!$F$158*Inputs!$F$46*IF(Time!AF17&gt;=9,1,0))*Inputs!$F$40</f>
        <v>2.7910911458785</v>
      </c>
      <c r="AG61" s="11" t="n">
        <f aca="false">Inputs!$F$157*AG19*Time!AG25/12*(1+Inputs!$F$158*Inputs!$F$46*IF(Time!AG17&gt;=9,1,0))*Inputs!$F$40</f>
        <v>2.82162611978671</v>
      </c>
      <c r="AH61" s="11" t="n">
        <f aca="false">Inputs!$F$157*AH19*Time!AH25/12*(1+Inputs!$F$158*Inputs!$F$46*IF(Time!AH17&gt;=9,1,0))*Inputs!$F$40</f>
        <v>2.85249515108783</v>
      </c>
      <c r="AI61" s="11" t="n">
        <f aca="false">Inputs!$F$157*AI19*Time!AI25/12*(1+Inputs!$F$158*Inputs!$F$46*IF(Time!AI17&gt;=9,1,0))*Inputs!$F$40</f>
        <v>2.88370189442202</v>
      </c>
      <c r="AJ61" s="11" t="n">
        <f aca="false">Inputs!$F$157*AJ19*Time!AJ25/12*(1+Inputs!$F$158*Inputs!$F$46*IF(Time!AJ17&gt;=9,1,0))*Inputs!$F$40</f>
        <v>2.91525004441176</v>
      </c>
      <c r="AK61" s="11" t="n">
        <f aca="false">Inputs!$F$157*AK19*Time!AK25/12*(1+Inputs!$F$158*Inputs!$F$46*IF(Time!AK17&gt;=9,1,0))*Inputs!$F$40</f>
        <v>2.9471433360993</v>
      </c>
      <c r="AL61" s="11" t="n">
        <f aca="false">Inputs!$F$157*AL19*Time!AL25/12*(1+Inputs!$F$158*Inputs!$F$46*IF(Time!AL17&gt;=9,1,0))*Inputs!$F$40</f>
        <v>2.97938554538882</v>
      </c>
      <c r="AM61" s="11" t="n">
        <f aca="false">Inputs!$F$157*AM19*Time!AM25/12*(1+Inputs!$F$158*Inputs!$F$46*IF(Time!AM17&gt;=9,1,0))*Inputs!$F$40</f>
        <v>3.01198048949348</v>
      </c>
      <c r="AN61" s="11" t="n">
        <f aca="false">Inputs!$F$157*AN19*Time!AN25/12*(1+Inputs!$F$158*Inputs!$F$46*IF(Time!AN17&gt;=9,1,0))*Inputs!$F$40</f>
        <v>3.04493202738737</v>
      </c>
      <c r="AO61" s="11" t="n">
        <f aca="false">Inputs!$F$157*AO19*Time!AO25/12*(1+Inputs!$F$158*Inputs!$F$46*IF(Time!AO17&gt;=9,1,0))*Inputs!$F$40</f>
        <v>3.07824406026234</v>
      </c>
      <c r="AP61" s="11" t="n">
        <f aca="false">Inputs!$F$157*AP19*Time!AP25/12*(1+Inputs!$F$158*Inputs!$F$46*IF(Time!AP17&gt;=9,1,0))*Inputs!$F$40</f>
        <v>3.1119205319899</v>
      </c>
      <c r="AQ61" s="11" t="n">
        <f aca="false">Inputs!$F$157*AQ19*Time!AQ25/12*(1+Inputs!$F$158*Inputs!$F$46*IF(Time!AQ17&gt;=9,1,0))*Inputs!$F$40</f>
        <v>3.14596542958811</v>
      </c>
      <c r="AR61" s="11" t="n">
        <f aca="false">Inputs!$F$157*AR19*Time!AR25/12*(1+Inputs!$F$158*Inputs!$F$46*IF(Time!AR17&gt;=9,1,0))*Inputs!$F$40</f>
        <v>3.18038278369367</v>
      </c>
      <c r="AS61" s="11" t="n">
        <f aca="false">Inputs!$F$157*AS19*Time!AS25/12*(1+Inputs!$F$158*Inputs!$F$46*IF(Time!AS17&gt;=9,1,0))*Inputs!$F$40</f>
        <v>3.21517666903905</v>
      </c>
      <c r="AT61" s="11" t="n">
        <f aca="false">Inputs!$F$157*AT19*Time!AT25/12*(1+Inputs!$F$158*Inputs!$F$46*IF(Time!AT17&gt;=9,1,0))*Inputs!$F$40</f>
        <v>3.25035120493493</v>
      </c>
      <c r="AU61" s="11" t="n">
        <f aca="false">Inputs!$F$157*AU19*Time!AU25/12*(1+Inputs!$F$158*Inputs!$F$46*IF(Time!AU17&gt;=9,1,0))*Inputs!$F$40</f>
        <v>3.28591055575791</v>
      </c>
      <c r="AV61" s="11" t="n">
        <f aca="false">Inputs!$F$157*AV19*Time!AV25/12*(1+Inputs!$F$158*Inputs!$F$46*IF(Time!AV17&gt;=9,1,0))*Inputs!$F$40</f>
        <v>3.3218589314435</v>
      </c>
      <c r="AW61" s="11" t="n">
        <f aca="false">Inputs!$F$157*AW19*Time!AW25/12*(1+Inputs!$F$158*Inputs!$F$46*IF(Time!AW17&gt;=9,1,0))*Inputs!$F$40</f>
        <v>3.35820058798458</v>
      </c>
      <c r="AX61" s="11" t="n">
        <f aca="false">Inputs!$F$157*AX19*Time!AX25/12*(1+Inputs!$F$158*Inputs!$F$46*IF(Time!AX17&gt;=9,1,0))*Inputs!$F$40</f>
        <v>3.39493982793526</v>
      </c>
      <c r="AY61" s="11" t="n">
        <f aca="false">Inputs!$F$157*AY19*Time!AY25/12*(1+Inputs!$F$158*Inputs!$F$46*IF(Time!AY17&gt;=9,1,0))*Inputs!$F$40</f>
        <v>3.43208100092024</v>
      </c>
      <c r="AZ61" s="11" t="n">
        <f aca="false">Inputs!$F$157*AZ19*Time!AZ25/12*(1+Inputs!$F$158*Inputs!$F$46*IF(Time!AZ17&gt;=9,1,0))*Inputs!$F$40</f>
        <v>3.46962850414983</v>
      </c>
      <c r="BA61" s="11" t="n">
        <f aca="false">Inputs!$F$157*BA19*Time!BA25/12*(1+Inputs!$F$158*Inputs!$F$46*IF(Time!BA17&gt;=9,1,0))*Inputs!$F$40</f>
        <v>3.50758678294049</v>
      </c>
      <c r="BB61" s="11" t="n">
        <f aca="false">Inputs!$F$157*BB19*Time!BB25/12*(1+Inputs!$F$158*Inputs!$F$46*IF(Time!BB17&gt;=9,1,0))*Inputs!$F$40</f>
        <v>3.54596033124113</v>
      </c>
      <c r="BC61" s="11" t="n">
        <f aca="false">Inputs!$F$157*BC19*Time!BC25/12*(1+Inputs!$F$158*Inputs!$F$46*IF(Time!BC17&gt;=9,1,0))*Inputs!$F$40</f>
        <v>3.58475369216518</v>
      </c>
      <c r="BD61" s="11" t="n">
        <f aca="false">Inputs!$F$157*BD19*Time!BD25/12*(1+Inputs!$F$158*Inputs!$F$46*IF(Time!BD17&gt;=9,1,0))*Inputs!$F$40</f>
        <v>3.62397145852843</v>
      </c>
      <c r="BE61" s="11" t="n">
        <f aca="false">Inputs!$F$157*BE19*Time!BE25/12*(1+Inputs!$F$158*Inputs!$F$46*IF(Time!BE17&gt;=9,1,0))*Inputs!$F$40</f>
        <v>3.66361827339281</v>
      </c>
      <c r="BF61" s="11" t="n">
        <f aca="false">Inputs!$F$157*BF19*Time!BF25/12*(1+Inputs!$F$158*Inputs!$F$46*IF(Time!BF17&gt;=9,1,0))*Inputs!$F$40</f>
        <v>3.70369883061606</v>
      </c>
      <c r="BG61" s="11" t="n">
        <f aca="false">Inputs!$F$157*BG19*Time!BG25/12*(1+Inputs!$F$158*Inputs!$F$46*IF(Time!BG17&gt;=9,1,0))*Inputs!$F$40</f>
        <v>3.74421787540745</v>
      </c>
      <c r="BH61" s="11" t="n">
        <f aca="false">Inputs!$F$157*BH19*Time!BH25/12*(1+Inputs!$F$158*Inputs!$F$46*IF(Time!BH17&gt;=9,1,0))*Inputs!$F$40</f>
        <v>3.78518020488961</v>
      </c>
      <c r="BI61" s="11" t="n">
        <f aca="false">Inputs!$F$157*BI19*Time!BI25/12*(1+Inputs!$F$158*Inputs!$F$46*IF(Time!BI17&gt;=9,1,0))*Inputs!$F$40</f>
        <v>3.82659066866641</v>
      </c>
      <c r="BJ61" s="11" t="n">
        <f aca="false">Inputs!$F$157*BJ19*Time!BJ25/12*(1+Inputs!$F$158*Inputs!$F$46*IF(Time!BJ17&gt;=9,1,0))*Inputs!$F$40</f>
        <v>3.86845416939718</v>
      </c>
      <c r="BK61" s="11" t="n">
        <f aca="false">Inputs!$F$157*BK19*Time!BK25/12*(1+Inputs!$F$158*Inputs!$F$46*IF(Time!BK17&gt;=9,1,0))*Inputs!$F$40</f>
        <v>3.91077566337707</v>
      </c>
      <c r="BL61" s="11" t="n">
        <f aca="false">Inputs!$F$157*BL19*Time!BL25/12*(1+Inputs!$F$158*Inputs!$F$46*IF(Time!BL17&gt;=9,1,0))*Inputs!$F$40</f>
        <v>3.95356016112392</v>
      </c>
      <c r="BM61" s="11" t="n">
        <f aca="false">Inputs!$F$157*BM19*Time!BM25/12*(1+Inputs!$F$158*Inputs!$F$46*IF(Time!BM17&gt;=9,1,0))*Inputs!$F$40</f>
        <v>3.99681272797137</v>
      </c>
      <c r="BN61" s="11" t="n">
        <f aca="false">Inputs!$F$157*BN19*Time!BN25/12*(1+Inputs!$F$158*Inputs!$F$46*IF(Time!BN17&gt;=9,1,0))*Inputs!$F$40</f>
        <v>2.69369232311243</v>
      </c>
    </row>
    <row r="62" customFormat="false" ht="15" hidden="false" customHeight="false" outlineLevel="0" collapsed="false">
      <c r="D62" s="0" t="s">
        <v>513</v>
      </c>
      <c r="E62" s="0" t="s">
        <v>149</v>
      </c>
      <c r="G62" s="11" t="n">
        <f aca="false">SUM(J62:BN62)</f>
        <v>113.30895889137</v>
      </c>
      <c r="J62" s="11" t="n">
        <f aca="false">Inputs!$F$159*(0.5*J19+0.5*J23*Inputs!$F$153/J11)*Time!J25/12*Inputs!$F$40</f>
        <v>0</v>
      </c>
      <c r="K62" s="11" t="n">
        <f aca="false">Inputs!$F$159*(0.5*K19+0.5*K23*Inputs!$F$153/K11)*Time!K25/12*Inputs!$F$40</f>
        <v>0</v>
      </c>
      <c r="L62" s="11" t="n">
        <f aca="false">Inputs!$F$159*(0.5*L19+0.5*L23*Inputs!$F$153/L11)*Time!L25/12*Inputs!$F$40</f>
        <v>0</v>
      </c>
      <c r="M62" s="11" t="n">
        <f aca="false">Inputs!$F$159*(0.5*M19+0.5*M23*Inputs!$F$153/M11)*Time!M25/12*Inputs!$F$40</f>
        <v>0</v>
      </c>
      <c r="N62" s="11" t="n">
        <f aca="false">Inputs!$F$159*(0.5*N19+0.5*N23*Inputs!$F$153/N11)*Time!N25/12*Inputs!$F$40</f>
        <v>0</v>
      </c>
      <c r="O62" s="11" t="n">
        <f aca="false">Inputs!$F$159*(0.5*O19+0.5*O23*Inputs!$F$153/O11)*Time!O25/12*Inputs!$F$40</f>
        <v>0</v>
      </c>
      <c r="P62" s="11" t="n">
        <f aca="false">Inputs!$F$159*(0.5*P19+0.5*P23*Inputs!$F$153/P11)*Time!P25/12*Inputs!$F$40</f>
        <v>0.567417763900181</v>
      </c>
      <c r="Q62" s="11" t="n">
        <f aca="false">Inputs!$F$159*(0.5*Q19+0.5*Q23*Inputs!$F$153/Q11)*Time!Q25/12*Inputs!$F$40</f>
        <v>1.72087620909397</v>
      </c>
      <c r="R62" s="11" t="n">
        <f aca="false">Inputs!$F$159*(0.5*R19+0.5*R23*Inputs!$F$153/R11)*Time!R25/12*Inputs!$F$40</f>
        <v>1.73970286411795</v>
      </c>
      <c r="S62" s="11" t="n">
        <f aca="false">Inputs!$F$159*(0.5*S19+0.5*S23*Inputs!$F$153/S11)*Time!S25/12*Inputs!$F$40</f>
        <v>1.75873548569404</v>
      </c>
      <c r="T62" s="11" t="n">
        <f aca="false">Inputs!$F$159*(0.5*T19+0.5*T23*Inputs!$F$153/T11)*Time!T25/12*Inputs!$F$40</f>
        <v>1.77797632712855</v>
      </c>
      <c r="U62" s="11" t="n">
        <f aca="false">Inputs!$F$159*(0.5*U19+0.5*U23*Inputs!$F$153/U11)*Time!U25/12*Inputs!$F$40</f>
        <v>1.79742766637931</v>
      </c>
      <c r="V62" s="11" t="n">
        <f aca="false">Inputs!$F$159*(0.5*V19+0.5*V23*Inputs!$F$153/V11)*Time!V25/12*Inputs!$F$40</f>
        <v>1.81709180632538</v>
      </c>
      <c r="W62" s="11" t="n">
        <f aca="false">Inputs!$F$159*(0.5*W19+0.5*W23*Inputs!$F$153/W11)*Time!W25/12*Inputs!$F$40</f>
        <v>1.83697107503966</v>
      </c>
      <c r="X62" s="11" t="n">
        <f aca="false">Inputs!$F$159*(0.5*X19+0.5*X23*Inputs!$F$153/X11)*Time!X25/12*Inputs!$F$40</f>
        <v>1.85706782606454</v>
      </c>
      <c r="Y62" s="11" t="n">
        <f aca="false">Inputs!$F$159*(0.5*Y19+0.5*Y23*Inputs!$F$153/Y11)*Time!Y25/12*Inputs!$F$40</f>
        <v>1.87738443869053</v>
      </c>
      <c r="Z62" s="11" t="n">
        <f aca="false">Inputs!$F$159*(0.5*Z19+0.5*Z23*Inputs!$F$153/Z11)*Time!Z25/12*Inputs!$F$40</f>
        <v>1.89792331823795</v>
      </c>
      <c r="AA62" s="11" t="n">
        <f aca="false">Inputs!$F$159*(0.5*AA19+0.5*AA23*Inputs!$F$153/AA11)*Time!AA25/12*Inputs!$F$40</f>
        <v>1.91868689634172</v>
      </c>
      <c r="AB62" s="11" t="n">
        <f aca="false">Inputs!$F$159*(0.5*AB19+0.5*AB23*Inputs!$F$153/AB11)*Time!AB25/12*Inputs!$F$40</f>
        <v>1.93967763123919</v>
      </c>
      <c r="AC62" s="11" t="n">
        <f aca="false">Inputs!$F$159*(0.5*AC19+0.5*AC23*Inputs!$F$153/AC11)*Time!AC25/12*Inputs!$F$40</f>
        <v>1.96089800806124</v>
      </c>
      <c r="AD62" s="11" t="n">
        <f aca="false">Inputs!$F$159*(0.5*AD19+0.5*AD23*Inputs!$F$153/AD11)*Time!AD25/12*Inputs!$F$40</f>
        <v>1.98235053912645</v>
      </c>
      <c r="AE62" s="11" t="n">
        <f aca="false">Inputs!$F$159*(0.5*AE19+0.5*AE23*Inputs!$F$153/AE11)*Time!AE25/12*Inputs!$F$40</f>
        <v>2.00403776423858</v>
      </c>
      <c r="AF62" s="11" t="n">
        <f aca="false">Inputs!$F$159*(0.5*AF19+0.5*AF23*Inputs!$F$153/AF11)*Time!AF25/12*Inputs!$F$40</f>
        <v>2.02596225098723</v>
      </c>
      <c r="AG62" s="11" t="n">
        <f aca="false">Inputs!$F$159*(0.5*AG19+0.5*AG23*Inputs!$F$153/AG11)*Time!AG25/12*Inputs!$F$40</f>
        <v>2.04812659505183</v>
      </c>
      <c r="AH62" s="11" t="n">
        <f aca="false">Inputs!$F$159*(0.5*AH19+0.5*AH23*Inputs!$F$153/AH11)*Time!AH25/12*Inputs!$F$40</f>
        <v>2.07053342050895</v>
      </c>
      <c r="AI62" s="11" t="n">
        <f aca="false">Inputs!$F$159*(0.5*AI19+0.5*AI23*Inputs!$F$153/AI11)*Time!AI25/12*Inputs!$F$40</f>
        <v>2.09318538014297</v>
      </c>
      <c r="AJ62" s="11" t="n">
        <f aca="false">Inputs!$F$159*(0.5*AJ19+0.5*AJ23*Inputs!$F$153/AJ11)*Time!AJ25/12*Inputs!$F$40</f>
        <v>2.11608515576015</v>
      </c>
      <c r="AK62" s="11" t="n">
        <f aca="false">Inputs!$F$159*(0.5*AK19+0.5*AK23*Inputs!$F$153/AK11)*Time!AK25/12*Inputs!$F$40</f>
        <v>2.13923545850612</v>
      </c>
      <c r="AL62" s="11" t="n">
        <f aca="false">Inputs!$F$159*(0.5*AL19+0.5*AL23*Inputs!$F$153/AL11)*Time!AL25/12*Inputs!$F$40</f>
        <v>2.16263902918687</v>
      </c>
      <c r="AM62" s="11" t="n">
        <f aca="false">Inputs!$F$159*(0.5*AM19+0.5*AM23*Inputs!$F$153/AM11)*Time!AM25/12*Inputs!$F$40</f>
        <v>2.18629863859325</v>
      </c>
      <c r="AN62" s="11" t="n">
        <f aca="false">Inputs!$F$159*(0.5*AN19+0.5*AN23*Inputs!$F$153/AN11)*Time!AN25/12*Inputs!$F$40</f>
        <v>2.21021708782898</v>
      </c>
      <c r="AO62" s="11" t="n">
        <f aca="false">Inputs!$F$159*(0.5*AO19+0.5*AO23*Inputs!$F$153/AO11)*Time!AO25/12*Inputs!$F$40</f>
        <v>2.2343972086423</v>
      </c>
      <c r="AP62" s="11" t="n">
        <f aca="false">Inputs!$F$159*(0.5*AP19+0.5*AP23*Inputs!$F$153/AP11)*Time!AP25/12*Inputs!$F$40</f>
        <v>2.25884186376122</v>
      </c>
      <c r="AQ62" s="11" t="n">
        <f aca="false">Inputs!$F$159*(0.5*AQ19+0.5*AQ23*Inputs!$F$153/AQ11)*Time!AQ25/12*Inputs!$F$40</f>
        <v>2.28355394723243</v>
      </c>
      <c r="AR62" s="11" t="n">
        <f aca="false">Inputs!$F$159*(0.5*AR19+0.5*AR23*Inputs!$F$153/AR11)*Time!AR25/12*Inputs!$F$40</f>
        <v>2.30853638476397</v>
      </c>
      <c r="AS62" s="11" t="n">
        <f aca="false">Inputs!$F$159*(0.5*AS19+0.5*AS23*Inputs!$F$153/AS11)*Time!AS25/12*Inputs!$F$40</f>
        <v>2.33379213407155</v>
      </c>
      <c r="AT62" s="11" t="n">
        <f aca="false">Inputs!$F$159*(0.5*AT19+0.5*AT23*Inputs!$F$153/AT11)*Time!AT25/12*Inputs!$F$40</f>
        <v>2.35932418522877</v>
      </c>
      <c r="AU62" s="11" t="n">
        <f aca="false">Inputs!$F$159*(0.5*AU19+0.5*AU23*Inputs!$F$153/AU11)*Time!AU25/12*Inputs!$F$40</f>
        <v>2.38513556102112</v>
      </c>
      <c r="AV62" s="11" t="n">
        <f aca="false">Inputs!$F$159*(0.5*AV19+0.5*AV23*Inputs!$F$153/AV11)*Time!AV25/12*Inputs!$F$40</f>
        <v>2.41122931730381</v>
      </c>
      <c r="AW62" s="11" t="n">
        <f aca="false">Inputs!$F$159*(0.5*AW19+0.5*AW23*Inputs!$F$153/AW11)*Time!AW25/12*Inputs!$F$40</f>
        <v>2.43760854336359</v>
      </c>
      <c r="AX62" s="11" t="n">
        <f aca="false">Inputs!$F$159*(0.5*AX19+0.5*AX23*Inputs!$F$153/AX11)*Time!AX25/12*Inputs!$F$40</f>
        <v>2.46427636228449</v>
      </c>
      <c r="AY62" s="11" t="n">
        <f aca="false">Inputs!$F$159*(0.5*AY19+0.5*AY23*Inputs!$F$153/AY11)*Time!AY25/12*Inputs!$F$40</f>
        <v>2.49123593131758</v>
      </c>
      <c r="AZ62" s="11" t="n">
        <f aca="false">Inputs!$F$159*(0.5*AZ19+0.5*AZ23*Inputs!$F$153/AZ11)*Time!AZ25/12*Inputs!$F$40</f>
        <v>2.51849044225475</v>
      </c>
      <c r="BA62" s="11" t="n">
        <f aca="false">Inputs!$F$159*(0.5*BA19+0.5*BA23*Inputs!$F$153/BA11)*Time!BA25/12*Inputs!$F$40</f>
        <v>2.54604312180657</v>
      </c>
      <c r="BB62" s="11" t="n">
        <f aca="false">Inputs!$F$159*(0.5*BB19+0.5*BB23*Inputs!$F$153/BB11)*Time!BB25/12*Inputs!$F$40</f>
        <v>2.57389723198435</v>
      </c>
      <c r="BC62" s="11" t="n">
        <f aca="false">Inputs!$F$159*(0.5*BC19+0.5*BC23*Inputs!$F$153/BC11)*Time!BC25/12*Inputs!$F$40</f>
        <v>2.60205607048631</v>
      </c>
      <c r="BD62" s="11" t="n">
        <f aca="false">Inputs!$F$159*(0.5*BD19+0.5*BD23*Inputs!$F$153/BD11)*Time!BD25/12*Inputs!$F$40</f>
        <v>2.63052297108801</v>
      </c>
      <c r="BE62" s="11" t="n">
        <f aca="false">Inputs!$F$159*(0.5*BE19+0.5*BE23*Inputs!$F$153/BE11)*Time!BE25/12*Inputs!$F$40</f>
        <v>2.65930130403701</v>
      </c>
      <c r="BF62" s="11" t="n">
        <f aca="false">Inputs!$F$159*(0.5*BF19+0.5*BF23*Inputs!$F$153/BF11)*Time!BF25/12*Inputs!$F$40</f>
        <v>2.68839447645194</v>
      </c>
      <c r="BG62" s="11" t="n">
        <f aca="false">Inputs!$F$159*(0.5*BG19+0.5*BG23*Inputs!$F$153/BG11)*Time!BG25/12*Inputs!$F$40</f>
        <v>2.71780593272583</v>
      </c>
      <c r="BH62" s="11" t="n">
        <f aca="false">Inputs!$F$159*(0.5*BH19+0.5*BH23*Inputs!$F$153/BH11)*Time!BH25/12*Inputs!$F$40</f>
        <v>2.74753915493389</v>
      </c>
      <c r="BI62" s="11" t="n">
        <f aca="false">Inputs!$F$159*(0.5*BI19+0.5*BI23*Inputs!$F$153/BI11)*Time!BI25/12*Inputs!$F$40</f>
        <v>2.7775976632458</v>
      </c>
      <c r="BJ62" s="11" t="n">
        <f aca="false">Inputs!$F$159*(0.5*BJ19+0.5*BJ23*Inputs!$F$153/BJ11)*Time!BJ25/12*Inputs!$F$40</f>
        <v>2.80798501634243</v>
      </c>
      <c r="BK62" s="11" t="n">
        <f aca="false">Inputs!$F$159*(0.5*BK19+0.5*BK23*Inputs!$F$153/BK11)*Time!BK25/12*Inputs!$F$40</f>
        <v>2.8387048118372</v>
      </c>
      <c r="BL62" s="11" t="n">
        <f aca="false">Inputs!$F$159*(0.5*BL19+0.5*BL23*Inputs!$F$153/BL11)*Time!BL25/12*Inputs!$F$40</f>
        <v>2.86976068670197</v>
      </c>
      <c r="BM62" s="11" t="n">
        <f aca="false">Inputs!$F$159*(0.5*BM19+0.5*BM23*Inputs!$F$153/BM11)*Time!BM25/12*Inputs!$F$40</f>
        <v>2.90115631769762</v>
      </c>
      <c r="BN62" s="11" t="n">
        <f aca="false">Inputs!$F$159*(0.5*BN19+0.5*BN23*Inputs!$F$153/BN11)*Time!BN25/12*Inputs!$F$40</f>
        <v>1.95526361453961</v>
      </c>
    </row>
    <row r="63" customFormat="false" ht="15" hidden="false" customHeight="false" outlineLevel="0" collapsed="false">
      <c r="D63" s="0" t="s">
        <v>267</v>
      </c>
      <c r="E63" s="0" t="s">
        <v>149</v>
      </c>
      <c r="G63" s="11" t="n">
        <f aca="false">SUM(J63:BN63)</f>
        <v>25.3087884444882</v>
      </c>
      <c r="J63" s="11" t="n">
        <f aca="false">Inputs!$F$160*J23/J11*Time!J25/12*Inputs!$F$40</f>
        <v>0</v>
      </c>
      <c r="K63" s="11" t="n">
        <f aca="false">Inputs!$F$160*K23/K11*Time!K25/12*Inputs!$F$40</f>
        <v>0</v>
      </c>
      <c r="L63" s="11" t="n">
        <f aca="false">Inputs!$F$160*L23/L11*Time!L25/12*Inputs!$F$40</f>
        <v>0</v>
      </c>
      <c r="M63" s="11" t="n">
        <f aca="false">Inputs!$F$160*M23/M11*Time!M25/12*Inputs!$F$40</f>
        <v>0</v>
      </c>
      <c r="N63" s="11" t="n">
        <f aca="false">Inputs!$F$160*N23/N11*Time!N25/12*Inputs!$F$40</f>
        <v>0</v>
      </c>
      <c r="O63" s="11" t="n">
        <f aca="false">Inputs!$F$160*O23/O11*Time!O25/12*Inputs!$F$40</f>
        <v>0</v>
      </c>
      <c r="P63" s="11" t="n">
        <f aca="false">Inputs!$F$160*P23/P11*Time!P25/12*Inputs!$F$40</f>
        <v>0.12673892944301</v>
      </c>
      <c r="Q63" s="11" t="n">
        <f aca="false">Inputs!$F$160*Q23/Q11*Time!Q25/12*Inputs!$F$40</f>
        <v>0.384376419492718</v>
      </c>
      <c r="R63" s="11" t="n">
        <f aca="false">Inputs!$F$160*R23/R11*Time!R25/12*Inputs!$F$40</f>
        <v>0.388581557672269</v>
      </c>
      <c r="S63" s="11" t="n">
        <f aca="false">Inputs!$F$160*S23/S11*Time!S25/12*Inputs!$F$40</f>
        <v>0.392832700721557</v>
      </c>
      <c r="T63" s="11" t="n">
        <f aca="false">Inputs!$F$160*T23/T11*Time!T25/12*Inputs!$F$40</f>
        <v>0.397130351941059</v>
      </c>
      <c r="U63" s="11" t="n">
        <f aca="false">Inputs!$F$160*U23/U11*Time!U25/12*Inputs!$F$40</f>
        <v>0.401475020137432</v>
      </c>
      <c r="V63" s="11" t="n">
        <f aca="false">Inputs!$F$160*V23/V11*Time!V25/12*Inputs!$F$40</f>
        <v>0.405867219683762</v>
      </c>
      <c r="W63" s="11" t="n">
        <f aca="false">Inputs!$F$160*W23/W11*Time!W25/12*Inputs!$F$40</f>
        <v>0.410307470580455</v>
      </c>
      <c r="X63" s="11" t="n">
        <f aca="false">Inputs!$F$160*X23/X11*Time!X25/12*Inputs!$F$40</f>
        <v>0.414796298516805</v>
      </c>
      <c r="Y63" s="11" t="n">
        <f aca="false">Inputs!$F$160*Y23/Y11*Time!Y25/12*Inputs!$F$40</f>
        <v>0.419334234933225</v>
      </c>
      <c r="Z63" s="11" t="n">
        <f aca="false">Inputs!$F$160*Z23/Z11*Time!Z25/12*Inputs!$F$40</f>
        <v>0.423921817084174</v>
      </c>
      <c r="AA63" s="11" t="n">
        <f aca="false">Inputs!$F$160*AA23/AA11*Time!AA25/12*Inputs!$F$40</f>
        <v>0.428559588101756</v>
      </c>
      <c r="AB63" s="11" t="n">
        <f aca="false">Inputs!$F$160*AB23/AB11*Time!AB25/12*Inputs!$F$40</f>
        <v>0.433248097060026</v>
      </c>
      <c r="AC63" s="11" t="n">
        <f aca="false">Inputs!$F$160*AC23/AC11*Time!AC25/12*Inputs!$F$40</f>
        <v>0.437987899039995</v>
      </c>
      <c r="AD63" s="11" t="n">
        <f aca="false">Inputs!$F$160*AD23/AD11*Time!AD25/12*Inputs!$F$40</f>
        <v>0.442779555195347</v>
      </c>
      <c r="AE63" s="11" t="n">
        <f aca="false">Inputs!$F$160*AE23/AE11*Time!AE25/12*Inputs!$F$40</f>
        <v>0.447623632818875</v>
      </c>
      <c r="AF63" s="11" t="n">
        <f aca="false">Inputs!$F$160*AF23/AF11*Time!AF25/12*Inputs!$F$40</f>
        <v>0.452520705409644</v>
      </c>
      <c r="AG63" s="11" t="n">
        <f aca="false">Inputs!$F$160*AG23/AG11*Time!AG25/12*Inputs!$F$40</f>
        <v>0.45747135274089</v>
      </c>
      <c r="AH63" s="11" t="n">
        <f aca="false">Inputs!$F$160*AH23/AH11*Time!AH25/12*Inputs!$F$40</f>
        <v>0.462476160928656</v>
      </c>
      <c r="AI63" s="11" t="n">
        <f aca="false">Inputs!$F$160*AI23/AI11*Time!AI25/12*Inputs!$F$40</f>
        <v>0.46753572250119</v>
      </c>
      <c r="AJ63" s="11" t="n">
        <f aca="false">Inputs!$F$160*AJ23/AJ11*Time!AJ25/12*Inputs!$F$40</f>
        <v>0.472650636469087</v>
      </c>
      <c r="AK63" s="11" t="n">
        <f aca="false">Inputs!$F$160*AK23/AK11*Time!AK25/12*Inputs!$F$40</f>
        <v>0.477821508396216</v>
      </c>
      <c r="AL63" s="11" t="n">
        <f aca="false">Inputs!$F$160*AL23/AL11*Time!AL25/12*Inputs!$F$40</f>
        <v>0.483048950471407</v>
      </c>
      <c r="AM63" s="11" t="n">
        <f aca="false">Inputs!$F$160*AM23/AM11*Time!AM25/12*Inputs!$F$40</f>
        <v>0.488333581580932</v>
      </c>
      <c r="AN63" s="11" t="n">
        <f aca="false">Inputs!$F$160*AN23/AN11*Time!AN25/12*Inputs!$F$40</f>
        <v>0.493676027381778</v>
      </c>
      <c r="AO63" s="11" t="n">
        <f aca="false">Inputs!$F$160*AO23/AO11*Time!AO25/12*Inputs!$F$40</f>
        <v>0.499076920375713</v>
      </c>
      <c r="AP63" s="11" t="n">
        <f aca="false">Inputs!$F$160*AP23/AP11*Time!AP25/12*Inputs!$F$40</f>
        <v>0.504536899984177</v>
      </c>
      <c r="AQ63" s="11" t="n">
        <f aca="false">Inputs!$F$160*AQ23/AQ11*Time!AQ25/12*Inputs!$F$40</f>
        <v>0.510056612623979</v>
      </c>
      <c r="AR63" s="11" t="n">
        <f aca="false">Inputs!$F$160*AR23/AR11*Time!AR25/12*Inputs!$F$40</f>
        <v>0.515636711783829</v>
      </c>
      <c r="AS63" s="11" t="n">
        <f aca="false">Inputs!$F$160*AS23/AS11*Time!AS25/12*Inputs!$F$40</f>
        <v>0.521277858101706</v>
      </c>
      <c r="AT63" s="11" t="n">
        <f aca="false">Inputs!$F$160*AT23/AT11*Time!AT25/12*Inputs!$F$40</f>
        <v>0.526980719443073</v>
      </c>
      <c r="AU63" s="11" t="n">
        <f aca="false">Inputs!$F$160*AU23/AU11*Time!AU25/12*Inputs!$F$40</f>
        <v>0.532745970979944</v>
      </c>
      <c r="AV63" s="11" t="n">
        <f aca="false">Inputs!$F$160*AV23/AV11*Time!AV25/12*Inputs!$F$40</f>
        <v>0.538574295270821</v>
      </c>
      <c r="AW63" s="11" t="n">
        <f aca="false">Inputs!$F$160*AW23/AW11*Time!AW25/12*Inputs!$F$40</f>
        <v>0.544466382341503</v>
      </c>
      <c r="AX63" s="11" t="n">
        <f aca="false">Inputs!$F$160*AX23/AX11*Time!AX25/12*Inputs!$F$40</f>
        <v>0.550422929766779</v>
      </c>
      <c r="AY63" s="11" t="n">
        <f aca="false">Inputs!$F$160*AY23/AY11*Time!AY25/12*Inputs!$F$40</f>
        <v>0.556444642753016</v>
      </c>
      <c r="AZ63" s="11" t="n">
        <f aca="false">Inputs!$F$160*AZ23/AZ11*Time!AZ25/12*Inputs!$F$40</f>
        <v>0.562532234221648</v>
      </c>
      <c r="BA63" s="11" t="n">
        <f aca="false">Inputs!$F$160*BA23/BA11*Time!BA25/12*Inputs!$F$40</f>
        <v>0.568686424893582</v>
      </c>
      <c r="BB63" s="11" t="n">
        <f aca="false">Inputs!$F$160*BB23/BB11*Time!BB25/12*Inputs!$F$40</f>
        <v>0.574907943374524</v>
      </c>
      <c r="BC63" s="11" t="n">
        <f aca="false">Inputs!$F$160*BC23/BC11*Time!BC25/12*Inputs!$F$40</f>
        <v>0.581197526241241</v>
      </c>
      <c r="BD63" s="11" t="n">
        <f aca="false">Inputs!$F$160*BD23/BD11*Time!BD25/12*Inputs!$F$40</f>
        <v>0.587555918128764</v>
      </c>
      <c r="BE63" s="11" t="n">
        <f aca="false">Inputs!$F$160*BE23/BE11*Time!BE25/12*Inputs!$F$40</f>
        <v>0.593983871818548</v>
      </c>
      <c r="BF63" s="11" t="n">
        <f aca="false">Inputs!$F$160*BF23/BF11*Time!BF25/12*Inputs!$F$40</f>
        <v>0.600482148327596</v>
      </c>
      <c r="BG63" s="11" t="n">
        <f aca="false">Inputs!$F$160*BG23/BG11*Time!BG25/12*Inputs!$F$40</f>
        <v>0.607051516998556</v>
      </c>
      <c r="BH63" s="11" t="n">
        <f aca="false">Inputs!$F$160*BH23/BH11*Time!BH25/12*Inputs!$F$40</f>
        <v>0.613692755590804</v>
      </c>
      <c r="BI63" s="11" t="n">
        <f aca="false">Inputs!$F$160*BI23/BI11*Time!BI25/12*Inputs!$F$40</f>
        <v>0.620406650372524</v>
      </c>
      <c r="BJ63" s="11" t="n">
        <f aca="false">Inputs!$F$160*BJ23/BJ11*Time!BJ25/12*Inputs!$F$40</f>
        <v>0.627193996213801</v>
      </c>
      <c r="BK63" s="11" t="n">
        <f aca="false">Inputs!$F$160*BK23/BK11*Time!BK25/12*Inputs!$F$40</f>
        <v>0.63405559668072</v>
      </c>
      <c r="BL63" s="11" t="n">
        <f aca="false">Inputs!$F$160*BL23/BL11*Time!BL25/12*Inputs!$F$40</f>
        <v>0.640992264130505</v>
      </c>
      <c r="BM63" s="11" t="n">
        <f aca="false">Inputs!$F$160*BM23/BM11*Time!BM25/12*Inputs!$F$40</f>
        <v>0.648004819807696</v>
      </c>
      <c r="BN63" s="11" t="n">
        <f aca="false">Inputs!$F$160*BN23/BN11*Time!BN25/12*Inputs!$F$40</f>
        <v>0.436729395960917</v>
      </c>
    </row>
    <row r="64" customFormat="false" ht="15" hidden="false" customHeight="false" outlineLevel="0" collapsed="false">
      <c r="D64" s="0" t="s">
        <v>514</v>
      </c>
      <c r="E64" s="0" t="s">
        <v>149</v>
      </c>
      <c r="G64" s="11" t="n">
        <f aca="false">SUM(J64:BN64)</f>
        <v>21.1213872734992</v>
      </c>
      <c r="J64" s="11" t="n">
        <f aca="false">Inputs!$F$161/100*J51</f>
        <v>0</v>
      </c>
      <c r="K64" s="11" t="n">
        <f aca="false">Inputs!$F$161/100*K51</f>
        <v>0</v>
      </c>
      <c r="L64" s="11" t="n">
        <f aca="false">Inputs!$F$161/100*L51</f>
        <v>0</v>
      </c>
      <c r="M64" s="11" t="n">
        <f aca="false">Inputs!$F$161/100*M51</f>
        <v>0</v>
      </c>
      <c r="N64" s="11" t="n">
        <f aca="false">Inputs!$F$161/100*N51</f>
        <v>0</v>
      </c>
      <c r="O64" s="11" t="n">
        <f aca="false">Inputs!$F$161/100*O51</f>
        <v>0</v>
      </c>
      <c r="P64" s="11" t="n">
        <f aca="false">Inputs!$F$161/100*P51</f>
        <v>0.124819420372841</v>
      </c>
      <c r="Q64" s="11" t="n">
        <f aca="false">Inputs!$F$161/100*Q51</f>
        <v>0.376093309482239</v>
      </c>
      <c r="R64" s="11" t="n">
        <f aca="false">Inputs!$F$161/100*R51</f>
        <v>0.377598256368607</v>
      </c>
      <c r="S64" s="11" t="n">
        <f aca="false">Inputs!$F$161/100*S51</f>
        <v>0.378979598409245</v>
      </c>
      <c r="T64" s="11" t="n">
        <f aca="false">Inputs!$F$161/100*T51</f>
        <v>0.380792595709447</v>
      </c>
      <c r="U64" s="11" t="n">
        <f aca="false">Inputs!$F$161/100*U51</f>
        <v>0.382767647143454</v>
      </c>
      <c r="V64" s="11" t="n">
        <f aca="false">Inputs!$F$161/100*V51</f>
        <v>0.383973845798618</v>
      </c>
      <c r="W64" s="11" t="n">
        <f aca="false">Inputs!$F$161/100*W51</f>
        <v>0.384675564436646</v>
      </c>
      <c r="X64" s="11" t="n">
        <f aca="false">Inputs!$F$161/100*X51</f>
        <v>0.38692818152036</v>
      </c>
      <c r="Y64" s="11" t="n">
        <f aca="false">Inputs!$F$161/100*Y51</f>
        <v>0.389732970432567</v>
      </c>
      <c r="Z64" s="11" t="n">
        <f aca="false">Inputs!$F$161/100*Z51</f>
        <v>0.391372646516703</v>
      </c>
      <c r="AA64" s="11" t="n">
        <f aca="false">Inputs!$F$161/100*AA51</f>
        <v>0.392878370713502</v>
      </c>
      <c r="AB64" s="11" t="n">
        <f aca="false">Inputs!$F$161/100*AB51</f>
        <v>0.394852260206674</v>
      </c>
      <c r="AC64" s="11" t="n">
        <f aca="false">Inputs!$F$161/100*AC51</f>
        <v>0.397001960404316</v>
      </c>
      <c r="AD64" s="11" t="n">
        <f aca="false">Inputs!$F$161/100*AD51</f>
        <v>0.397991354608885</v>
      </c>
      <c r="AE64" s="11" t="n">
        <f aca="false">Inputs!$F$161/100*AE51</f>
        <v>0.3930144321684</v>
      </c>
      <c r="AF64" s="11" t="n">
        <f aca="false">Inputs!$F$161/100*AF51</f>
        <v>0.40087138003504</v>
      </c>
      <c r="AG64" s="11" t="n">
        <f aca="false">Inputs!$F$161/100*AG51</f>
        <v>0.404587850511516</v>
      </c>
      <c r="AH64" s="11" t="n">
        <f aca="false">Inputs!$F$161/100*AH51</f>
        <v>0.406374314274187</v>
      </c>
      <c r="AI64" s="11" t="n">
        <f aca="false">Inputs!$F$161/100*AI51</f>
        <v>0.408015619422599</v>
      </c>
      <c r="AJ64" s="11" t="n">
        <f aca="false">Inputs!$F$161/100*AJ51</f>
        <v>0.410164670487113</v>
      </c>
      <c r="AK64" s="11" t="n">
        <f aca="false">Inputs!$F$161/100*AK51</f>
        <v>0.412504450657206</v>
      </c>
      <c r="AL64" s="11" t="n">
        <f aca="false">Inputs!$F$161/100*AL51</f>
        <v>0.413940378026258</v>
      </c>
      <c r="AM64" s="11" t="n">
        <f aca="false">Inputs!$F$161/100*AM51</f>
        <v>0.414783332077468</v>
      </c>
      <c r="AN64" s="11" t="n">
        <f aca="false">Inputs!$F$161/100*AN51</f>
        <v>0.417450042935487</v>
      </c>
      <c r="AO64" s="11" t="n">
        <f aca="false">Inputs!$F$161/100*AO51</f>
        <v>0.420766172293573</v>
      </c>
      <c r="AP64" s="11" t="n">
        <f aca="false">Inputs!$F$161/100*AP51</f>
        <v>0.422712561187648</v>
      </c>
      <c r="AQ64" s="11" t="n">
        <f aca="false">Inputs!$F$161/100*AQ51</f>
        <v>0.42450165426767</v>
      </c>
      <c r="AR64" s="11" t="n">
        <f aca="false">Inputs!$F$161/100*AR51</f>
        <v>0.426841400999599</v>
      </c>
      <c r="AS64" s="11" t="n">
        <f aca="false">Inputs!$F$161/100*AS51</f>
        <v>0.429388054613171</v>
      </c>
      <c r="AT64" s="11" t="n">
        <f aca="false">Inputs!$F$161/100*AT51</f>
        <v>0.430570695273294</v>
      </c>
      <c r="AU64" s="11" t="n">
        <f aca="false">Inputs!$F$161/100*AU51</f>
        <v>0.425278142265031</v>
      </c>
      <c r="AV64" s="11" t="n">
        <f aca="false">Inputs!$F$161/100*AV51</f>
        <v>0.433996250929436</v>
      </c>
      <c r="AW64" s="11" t="n">
        <f aca="false">Inputs!$F$161/100*AW51</f>
        <v>0.438385791879973</v>
      </c>
      <c r="AX64" s="11" t="n">
        <f aca="false">Inputs!$F$161/100*AX51</f>
        <v>0.440506418848981</v>
      </c>
      <c r="AY64" s="11" t="n">
        <f aca="false">Inputs!$F$161/100*AY51</f>
        <v>0.442456605778647</v>
      </c>
      <c r="AZ64" s="11" t="n">
        <f aca="false">Inputs!$F$161/100*AZ51</f>
        <v>0.445003959009215</v>
      </c>
      <c r="BA64" s="11" t="n">
        <f aca="false">Inputs!$F$161/100*BA51</f>
        <v>0.447775761949812</v>
      </c>
      <c r="BB64" s="11" t="n">
        <f aca="false">Inputs!$F$161/100*BB51</f>
        <v>0.449485171321542</v>
      </c>
      <c r="BC64" s="11" t="n">
        <f aca="false">Inputs!$F$161/100*BC51</f>
        <v>0.450497700790586</v>
      </c>
      <c r="BD64" s="11" t="n">
        <f aca="false">Inputs!$F$161/100*BD51</f>
        <v>0.453654536931587</v>
      </c>
      <c r="BE64" s="11" t="n">
        <f aca="false">Inputs!$F$161/100*BE51</f>
        <v>0.457575056031959</v>
      </c>
      <c r="BF64" s="11" t="n">
        <f aca="false">Inputs!$F$161/100*BF51</f>
        <v>0.459885514660236</v>
      </c>
      <c r="BG64" s="11" t="n">
        <f aca="false">Inputs!$F$161/100*BG51</f>
        <v>0.462011299217566</v>
      </c>
      <c r="BH64" s="11" t="n">
        <f aca="false">Inputs!$F$161/100*BH51</f>
        <v>0.464784668444977</v>
      </c>
      <c r="BI64" s="11" t="n">
        <f aca="false">Inputs!$F$161/100*BI51</f>
        <v>0.467801509745825</v>
      </c>
      <c r="BJ64" s="11" t="n">
        <f aca="false">Inputs!$F$161/100*BJ51</f>
        <v>0.469215115092979</v>
      </c>
      <c r="BK64" s="11" t="n">
        <f aca="false">Inputs!$F$161/100*BK51</f>
        <v>0.46355034882348</v>
      </c>
      <c r="BL64" s="11" t="n">
        <f aca="false">Inputs!$F$161/100*BL51</f>
        <v>0.473289532917687</v>
      </c>
      <c r="BM64" s="11" t="n">
        <f aca="false">Inputs!$F$161/100*BM51</f>
        <v>0.478473735529104</v>
      </c>
      <c r="BN64" s="11" t="n">
        <f aca="false">Inputs!$F$161/100*BN51</f>
        <v>0.320815161976208</v>
      </c>
    </row>
    <row r="65" customFormat="false" ht="15" hidden="false" customHeight="false" outlineLevel="0" collapsed="false">
      <c r="D65" s="0" t="s">
        <v>271</v>
      </c>
      <c r="E65" s="0" t="s">
        <v>149</v>
      </c>
      <c r="G65" s="11" t="n">
        <f aca="false">SUM(J65:BN65)</f>
        <v>136.345800880728</v>
      </c>
      <c r="J65" s="11" t="n">
        <f aca="false">Inputs!$F$162*(0.7*J19+0.3*J23*Inputs!$F$153/J11)*J34/1000000</f>
        <v>0</v>
      </c>
      <c r="K65" s="11" t="n">
        <f aca="false">Inputs!$F$162*(0.7*K19+0.3*K23*Inputs!$F$153/K11)*K34/1000000</f>
        <v>0</v>
      </c>
      <c r="L65" s="11" t="n">
        <f aca="false">Inputs!$F$162*(0.7*L19+0.3*L23*Inputs!$F$153/L11)*L34/1000000</f>
        <v>0</v>
      </c>
      <c r="M65" s="11" t="n">
        <f aca="false">Inputs!$F$162*(0.7*M19+0.3*M23*Inputs!$F$153/M11)*M34/1000000</f>
        <v>0</v>
      </c>
      <c r="N65" s="11" t="n">
        <f aca="false">Inputs!$F$162*(0.7*N19+0.3*N23*Inputs!$F$153/N11)*N34/1000000</f>
        <v>0</v>
      </c>
      <c r="O65" s="11" t="n">
        <f aca="false">Inputs!$F$162*(0.7*O19+0.3*O23*Inputs!$F$153/O11)*O34/1000000</f>
        <v>0</v>
      </c>
      <c r="P65" s="11" t="n">
        <f aca="false">Inputs!$F$162*(0.7*P19+0.3*P23*Inputs!$F$153/P11)*P34/1000000</f>
        <v>0.706247917353283</v>
      </c>
      <c r="Q65" s="11" t="n">
        <f aca="false">Inputs!$F$162*(0.7*Q19+0.3*Q23*Inputs!$F$153/Q11)*Q34/1000000</f>
        <v>2.14085204480831</v>
      </c>
      <c r="R65" s="11" t="n">
        <f aca="false">Inputs!$F$162*(0.7*R19+0.3*R23*Inputs!$F$153/R11)*R34/1000000</f>
        <v>2.15573229297691</v>
      </c>
      <c r="S65" s="11" t="n">
        <f aca="false">Inputs!$F$162*(0.7*S19+0.3*S23*Inputs!$F$153/S11)*S34/1000000</f>
        <v>2.16370518926761</v>
      </c>
      <c r="T65" s="11" t="n">
        <f aca="false">Inputs!$F$162*(0.7*T19+0.3*T23*Inputs!$F$153/T11)*T34/1000000</f>
        <v>2.19279077613827</v>
      </c>
      <c r="U65" s="11" t="n">
        <f aca="false">Inputs!$F$162*(0.7*U19+0.3*U23*Inputs!$F$153/U11)*U34/1000000</f>
        <v>2.2293732547653</v>
      </c>
      <c r="V65" s="11" t="n">
        <f aca="false">Inputs!$F$162*(0.7*V19+0.3*V23*Inputs!$F$153/V11)*V34/1000000</f>
        <v>2.22645662181533</v>
      </c>
      <c r="W65" s="11" t="n">
        <f aca="false">Inputs!$F$162*(0.7*W19+0.3*W23*Inputs!$F$153/W11)*W34/1000000</f>
        <v>2.19737782440464</v>
      </c>
      <c r="X65" s="11" t="n">
        <f aca="false">Inputs!$F$162*(0.7*X19+0.3*X23*Inputs!$F$153/X11)*X34/1000000</f>
        <v>2.24587667365366</v>
      </c>
      <c r="Y65" s="11" t="n">
        <f aca="false">Inputs!$F$162*(0.7*Y19+0.3*Y23*Inputs!$F$153/Y11)*Y34/1000000</f>
        <v>2.32153364549327</v>
      </c>
      <c r="Z65" s="11" t="n">
        <f aca="false">Inputs!$F$162*(0.7*Z19+0.3*Z23*Inputs!$F$153/Z11)*Z34/1000000</f>
        <v>2.33765913848445</v>
      </c>
      <c r="AA65" s="11" t="n">
        <f aca="false">Inputs!$F$162*(0.7*AA19+0.3*AA23*Inputs!$F$153/AA11)*AA34/1000000</f>
        <v>2.34629422502619</v>
      </c>
      <c r="AB65" s="11" t="n">
        <f aca="false">Inputs!$F$162*(0.7*AB19+0.3*AB23*Inputs!$F$153/AB11)*AB34/1000000</f>
        <v>2.37782344430023</v>
      </c>
      <c r="AC65" s="11" t="n">
        <f aca="false">Inputs!$F$162*(0.7*AC19+0.3*AC23*Inputs!$F$153/AC11)*AC34/1000000</f>
        <v>2.41748181953257</v>
      </c>
      <c r="AD65" s="11" t="n">
        <f aca="false">Inputs!$F$162*(0.7*AD19+0.3*AD23*Inputs!$F$153/AD11)*AD34/1000000</f>
        <v>2.39781926643118</v>
      </c>
      <c r="AE65" s="11" t="n">
        <f aca="false">Inputs!$F$162*(0.7*AE19+0.3*AE23*Inputs!$F$153/AE11)*AE34/1000000</f>
        <v>2.33279525104699</v>
      </c>
      <c r="AF65" s="11" t="n">
        <f aca="false">Inputs!$F$162*(0.7*AF19+0.3*AF23*Inputs!$F$153/AF11)*AF34/1000000</f>
        <v>2.4016923283993</v>
      </c>
      <c r="AG65" s="11" t="n">
        <f aca="false">Inputs!$F$162*(0.7*AG19+0.3*AG23*Inputs!$F$153/AG11)*AG34/1000000</f>
        <v>2.5173723989879</v>
      </c>
      <c r="AH65" s="11" t="n">
        <f aca="false">Inputs!$F$162*(0.7*AH19+0.3*AH23*Inputs!$F$153/AH11)*AH34/1000000</f>
        <v>2.53484655955897</v>
      </c>
      <c r="AI65" s="11" t="n">
        <f aca="false">Inputs!$F$162*(0.7*AI19+0.3*AI23*Inputs!$F$153/AI11)*AI34/1000000</f>
        <v>2.54419833813711</v>
      </c>
      <c r="AJ65" s="11" t="n">
        <f aca="false">Inputs!$F$162*(0.7*AJ19+0.3*AJ23*Inputs!$F$153/AJ11)*AJ34/1000000</f>
        <v>2.57837509468997</v>
      </c>
      <c r="AK65" s="11" t="n">
        <f aca="false">Inputs!$F$162*(0.7*AK19+0.3*AK23*Inputs!$F$153/AK11)*AK34/1000000</f>
        <v>2.62136626701833</v>
      </c>
      <c r="AL65" s="11" t="n">
        <f aca="false">Inputs!$F$162*(0.7*AL19+0.3*AL23*Inputs!$F$153/AL11)*AL34/1000000</f>
        <v>2.61791275887111</v>
      </c>
      <c r="AM65" s="11" t="n">
        <f aca="false">Inputs!$F$162*(0.7*AM19+0.3*AM23*Inputs!$F$153/AM11)*AM34/1000000</f>
        <v>2.58369755793877</v>
      </c>
      <c r="AN65" s="11" t="n">
        <f aca="false">Inputs!$F$162*(0.7*AN19+0.3*AN23*Inputs!$F$153/AN11)*AN34/1000000</f>
        <v>2.64069863852535</v>
      </c>
      <c r="AO65" s="11" t="n">
        <f aca="false">Inputs!$F$162*(0.7*AO19+0.3*AO23*Inputs!$F$153/AO11)*AO34/1000000</f>
        <v>2.72963081890044</v>
      </c>
      <c r="AP65" s="11" t="n">
        <f aca="false">Inputs!$F$162*(0.7*AP19+0.3*AP23*Inputs!$F$153/AP11)*AP34/1000000</f>
        <v>2.74856558192688</v>
      </c>
      <c r="AQ65" s="11" t="n">
        <f aca="false">Inputs!$F$162*(0.7*AQ19+0.3*AQ23*Inputs!$F$153/AQ11)*AQ34/1000000</f>
        <v>2.75869299066468</v>
      </c>
      <c r="AR65" s="11" t="n">
        <f aca="false">Inputs!$F$162*(0.7*AR19+0.3*AR23*Inputs!$F$153/AR11)*AR34/1000000</f>
        <v>2.79573806629605</v>
      </c>
      <c r="AS65" s="11" t="n">
        <f aca="false">Inputs!$F$162*(0.7*AS19+0.3*AS23*Inputs!$F$153/AS11)*AS34/1000000</f>
        <v>2.84234022303863</v>
      </c>
      <c r="AT65" s="11" t="n">
        <f aca="false">Inputs!$F$162*(0.7*AT19+0.3*AT23*Inputs!$F$153/AT11)*AT34/1000000</f>
        <v>2.81919588461041</v>
      </c>
      <c r="AU65" s="11" t="n">
        <f aca="false">Inputs!$F$162*(0.7*AU19+0.3*AU23*Inputs!$F$153/AU11)*AU34/1000000</f>
        <v>2.74271945270987</v>
      </c>
      <c r="AV65" s="11" t="n">
        <f aca="false">Inputs!$F$162*(0.7*AV19+0.3*AV23*Inputs!$F$153/AV11)*AV34/1000000</f>
        <v>2.82369695682291</v>
      </c>
      <c r="AW65" s="11" t="n">
        <f aca="false">Inputs!$F$162*(0.7*AW19+0.3*AW23*Inputs!$F$153/AW11)*AW34/1000000</f>
        <v>2.95967569231056</v>
      </c>
      <c r="AX65" s="11" t="n">
        <f aca="false">Inputs!$F$162*(0.7*AX19+0.3*AX23*Inputs!$F$153/AX11)*AX34/1000000</f>
        <v>2.98019219764307</v>
      </c>
      <c r="AY65" s="11" t="n">
        <f aca="false">Inputs!$F$162*(0.7*AY19+0.3*AY23*Inputs!$F$153/AY11)*AY34/1000000</f>
        <v>2.99115896714139</v>
      </c>
      <c r="AZ65" s="11" t="n">
        <f aca="false">Inputs!$F$162*(0.7*AZ19+0.3*AZ23*Inputs!$F$153/AZ11)*AZ34/1000000</f>
        <v>3.0313114038171</v>
      </c>
      <c r="BA65" s="11" t="n">
        <f aca="false">Inputs!$F$162*(0.7*BA19+0.3*BA23*Inputs!$F$153/BA11)*BA34/1000000</f>
        <v>3.08182576615084</v>
      </c>
      <c r="BB65" s="11" t="n">
        <f aca="false">Inputs!$F$162*(0.7*BB19+0.3*BB23*Inputs!$F$153/BB11)*BB34/1000000</f>
        <v>3.07773666646359</v>
      </c>
      <c r="BC65" s="11" t="n">
        <f aca="false">Inputs!$F$162*(0.7*BC19+0.3*BC23*Inputs!$F$153/BC11)*BC34/1000000</f>
        <v>3.03748310225947</v>
      </c>
      <c r="BD65" s="11" t="n">
        <f aca="false">Inputs!$F$162*(0.7*BD19+0.3*BD23*Inputs!$F$153/BD11)*BD34/1000000</f>
        <v>3.10446621720421</v>
      </c>
      <c r="BE65" s="11" t="n">
        <f aca="false">Inputs!$F$162*(0.7*BE19+0.3*BE23*Inputs!$F$153/BE11)*BE34/1000000</f>
        <v>3.20898660379135</v>
      </c>
      <c r="BF65" s="11" t="n">
        <f aca="false">Inputs!$F$162*(0.7*BF19+0.3*BF23*Inputs!$F$153/BF11)*BF34/1000000</f>
        <v>3.23121594473262</v>
      </c>
      <c r="BG65" s="11" t="n">
        <f aca="false">Inputs!$F$162*(0.7*BG19+0.3*BG23*Inputs!$F$153/BG11)*BG34/1000000</f>
        <v>3.24309098229481</v>
      </c>
      <c r="BH65" s="11" t="n">
        <f aca="false">Inputs!$F$162*(0.7*BH19+0.3*BH23*Inputs!$F$153/BH11)*BH34/1000000</f>
        <v>3.28660957739705</v>
      </c>
      <c r="BI65" s="11" t="n">
        <f aca="false">Inputs!$F$162*(0.7*BI19+0.3*BI23*Inputs!$F$153/BI11)*BI34/1000000</f>
        <v>3.34136228909259</v>
      </c>
      <c r="BJ65" s="11" t="n">
        <f aca="false">Inputs!$F$162*(0.7*BJ19+0.3*BJ23*Inputs!$F$153/BJ11)*BJ34/1000000</f>
        <v>3.31412298945708</v>
      </c>
      <c r="BK65" s="11" t="n">
        <f aca="false">Inputs!$F$162*(0.7*BK19+0.3*BK23*Inputs!$F$153/BK11)*BK34/1000000</f>
        <v>3.22418988915725</v>
      </c>
      <c r="BL65" s="11" t="n">
        <f aca="false">Inputs!$F$162*(0.7*BL19+0.3*BL23*Inputs!$F$153/BL11)*BL34/1000000</f>
        <v>3.31935086257155</v>
      </c>
      <c r="BM65" s="11" t="n">
        <f aca="false">Inputs!$F$162*(0.7*BM19+0.3*BM23*Inputs!$F$153/BM11)*BM34/1000000</f>
        <v>3.47916514741697</v>
      </c>
      <c r="BN65" s="11" t="n">
        <f aca="false">Inputs!$F$162*(0.7*BN19+0.3*BN23*Inputs!$F$153/BN11)*BN34/1000000</f>
        <v>2.3432972792321</v>
      </c>
    </row>
    <row r="66" customFormat="false" ht="15" hidden="false" customHeight="false" outlineLevel="0" collapsed="false">
      <c r="D66" s="0" t="s">
        <v>203</v>
      </c>
      <c r="E66" s="0" t="s">
        <v>149</v>
      </c>
      <c r="G66" s="11" t="n">
        <f aca="false">SUM(J66:BN66)</f>
        <v>6.375</v>
      </c>
      <c r="J66" s="11" t="n">
        <f aca="false">Inputs!$F$107*Time!J25/12</f>
        <v>0</v>
      </c>
      <c r="K66" s="11" t="n">
        <f aca="false">Inputs!$F$107*Time!K25/12</f>
        <v>0</v>
      </c>
      <c r="L66" s="11" t="n">
        <f aca="false">Inputs!$F$107*Time!L25/12</f>
        <v>0</v>
      </c>
      <c r="M66" s="11" t="n">
        <f aca="false">Inputs!$F$107*Time!M25/12</f>
        <v>0</v>
      </c>
      <c r="N66" s="11" t="n">
        <f aca="false">Inputs!$F$107*Time!N25/12</f>
        <v>0</v>
      </c>
      <c r="O66" s="11" t="n">
        <f aca="false">Inputs!$F$107*Time!O25/12</f>
        <v>0</v>
      </c>
      <c r="P66" s="11" t="n">
        <f aca="false">Inputs!$F$107*Time!P25/12</f>
        <v>0.0425</v>
      </c>
      <c r="Q66" s="11" t="n">
        <f aca="false">Inputs!$F$107*Time!Q25/12</f>
        <v>0.1275</v>
      </c>
      <c r="R66" s="11" t="n">
        <f aca="false">Inputs!$F$107*Time!R25/12</f>
        <v>0.1275</v>
      </c>
      <c r="S66" s="11" t="n">
        <f aca="false">Inputs!$F$107*Time!S25/12</f>
        <v>0.1275</v>
      </c>
      <c r="T66" s="11" t="n">
        <f aca="false">Inputs!$F$107*Time!T25/12</f>
        <v>0.1275</v>
      </c>
      <c r="U66" s="11" t="n">
        <f aca="false">Inputs!$F$107*Time!U25/12</f>
        <v>0.1275</v>
      </c>
      <c r="V66" s="11" t="n">
        <f aca="false">Inputs!$F$107*Time!V25/12</f>
        <v>0.1275</v>
      </c>
      <c r="W66" s="11" t="n">
        <f aca="false">Inputs!$F$107*Time!W25/12</f>
        <v>0.1275</v>
      </c>
      <c r="X66" s="11" t="n">
        <f aca="false">Inputs!$F$107*Time!X25/12</f>
        <v>0.1275</v>
      </c>
      <c r="Y66" s="11" t="n">
        <f aca="false">Inputs!$F$107*Time!Y25/12</f>
        <v>0.1275</v>
      </c>
      <c r="Z66" s="11" t="n">
        <f aca="false">Inputs!$F$107*Time!Z25/12</f>
        <v>0.1275</v>
      </c>
      <c r="AA66" s="11" t="n">
        <f aca="false">Inputs!$F$107*Time!AA25/12</f>
        <v>0.1275</v>
      </c>
      <c r="AB66" s="11" t="n">
        <f aca="false">Inputs!$F$107*Time!AB25/12</f>
        <v>0.1275</v>
      </c>
      <c r="AC66" s="11" t="n">
        <f aca="false">Inputs!$F$107*Time!AC25/12</f>
        <v>0.1275</v>
      </c>
      <c r="AD66" s="11" t="n">
        <f aca="false">Inputs!$F$107*Time!AD25/12</f>
        <v>0.1275</v>
      </c>
      <c r="AE66" s="11" t="n">
        <f aca="false">Inputs!$F$107*Time!AE25/12</f>
        <v>0.1275</v>
      </c>
      <c r="AF66" s="11" t="n">
        <f aca="false">Inputs!$F$107*Time!AF25/12</f>
        <v>0.1275</v>
      </c>
      <c r="AG66" s="11" t="n">
        <f aca="false">Inputs!$F$107*Time!AG25/12</f>
        <v>0.1275</v>
      </c>
      <c r="AH66" s="11" t="n">
        <f aca="false">Inputs!$F$107*Time!AH25/12</f>
        <v>0.1275</v>
      </c>
      <c r="AI66" s="11" t="n">
        <f aca="false">Inputs!$F$107*Time!AI25/12</f>
        <v>0.1275</v>
      </c>
      <c r="AJ66" s="11" t="n">
        <f aca="false">Inputs!$F$107*Time!AJ25/12</f>
        <v>0.1275</v>
      </c>
      <c r="AK66" s="11" t="n">
        <f aca="false">Inputs!$F$107*Time!AK25/12</f>
        <v>0.1275</v>
      </c>
      <c r="AL66" s="11" t="n">
        <f aca="false">Inputs!$F$107*Time!AL25/12</f>
        <v>0.1275</v>
      </c>
      <c r="AM66" s="11" t="n">
        <f aca="false">Inputs!$F$107*Time!AM25/12</f>
        <v>0.1275</v>
      </c>
      <c r="AN66" s="11" t="n">
        <f aca="false">Inputs!$F$107*Time!AN25/12</f>
        <v>0.1275</v>
      </c>
      <c r="AO66" s="11" t="n">
        <f aca="false">Inputs!$F$107*Time!AO25/12</f>
        <v>0.1275</v>
      </c>
      <c r="AP66" s="11" t="n">
        <f aca="false">Inputs!$F$107*Time!AP25/12</f>
        <v>0.1275</v>
      </c>
      <c r="AQ66" s="11" t="n">
        <f aca="false">Inputs!$F$107*Time!AQ25/12</f>
        <v>0.1275</v>
      </c>
      <c r="AR66" s="11" t="n">
        <f aca="false">Inputs!$F$107*Time!AR25/12</f>
        <v>0.1275</v>
      </c>
      <c r="AS66" s="11" t="n">
        <f aca="false">Inputs!$F$107*Time!AS25/12</f>
        <v>0.1275</v>
      </c>
      <c r="AT66" s="11" t="n">
        <f aca="false">Inputs!$F$107*Time!AT25/12</f>
        <v>0.1275</v>
      </c>
      <c r="AU66" s="11" t="n">
        <f aca="false">Inputs!$F$107*Time!AU25/12</f>
        <v>0.1275</v>
      </c>
      <c r="AV66" s="11" t="n">
        <f aca="false">Inputs!$F$107*Time!AV25/12</f>
        <v>0.1275</v>
      </c>
      <c r="AW66" s="11" t="n">
        <f aca="false">Inputs!$F$107*Time!AW25/12</f>
        <v>0.1275</v>
      </c>
      <c r="AX66" s="11" t="n">
        <f aca="false">Inputs!$F$107*Time!AX25/12</f>
        <v>0.1275</v>
      </c>
      <c r="AY66" s="11" t="n">
        <f aca="false">Inputs!$F$107*Time!AY25/12</f>
        <v>0.1275</v>
      </c>
      <c r="AZ66" s="11" t="n">
        <f aca="false">Inputs!$F$107*Time!AZ25/12</f>
        <v>0.1275</v>
      </c>
      <c r="BA66" s="11" t="n">
        <f aca="false">Inputs!$F$107*Time!BA25/12</f>
        <v>0.1275</v>
      </c>
      <c r="BB66" s="11" t="n">
        <f aca="false">Inputs!$F$107*Time!BB25/12</f>
        <v>0.1275</v>
      </c>
      <c r="BC66" s="11" t="n">
        <f aca="false">Inputs!$F$107*Time!BC25/12</f>
        <v>0.1275</v>
      </c>
      <c r="BD66" s="11" t="n">
        <f aca="false">Inputs!$F$107*Time!BD25/12</f>
        <v>0.1275</v>
      </c>
      <c r="BE66" s="11" t="n">
        <f aca="false">Inputs!$F$107*Time!BE25/12</f>
        <v>0.1275</v>
      </c>
      <c r="BF66" s="11" t="n">
        <f aca="false">Inputs!$F$107*Time!BF25/12</f>
        <v>0.1275</v>
      </c>
      <c r="BG66" s="11" t="n">
        <f aca="false">Inputs!$F$107*Time!BG25/12</f>
        <v>0.1275</v>
      </c>
      <c r="BH66" s="11" t="n">
        <f aca="false">Inputs!$F$107*Time!BH25/12</f>
        <v>0.1275</v>
      </c>
      <c r="BI66" s="11" t="n">
        <f aca="false">Inputs!$F$107*Time!BI25/12</f>
        <v>0.1275</v>
      </c>
      <c r="BJ66" s="11" t="n">
        <f aca="false">Inputs!$F$107*Time!BJ25/12</f>
        <v>0.1275</v>
      </c>
      <c r="BK66" s="11" t="n">
        <f aca="false">Inputs!$F$107*Time!BK25/12</f>
        <v>0.1275</v>
      </c>
      <c r="BL66" s="11" t="n">
        <f aca="false">Inputs!$F$107*Time!BL25/12</f>
        <v>0.1275</v>
      </c>
      <c r="BM66" s="11" t="n">
        <f aca="false">Inputs!$F$107*Time!BM25/12</f>
        <v>0.1275</v>
      </c>
      <c r="BN66" s="11" t="n">
        <f aca="false">Inputs!$F$107*Time!BN25/12</f>
        <v>0.085</v>
      </c>
    </row>
    <row r="67" customFormat="false" ht="15" hidden="false" customHeight="false" outlineLevel="0" collapsed="false">
      <c r="D67" s="0" t="s">
        <v>515</v>
      </c>
      <c r="E67" s="0" t="s">
        <v>149</v>
      </c>
      <c r="G67" s="11" t="n">
        <f aca="false">SUM(J67:BN67)</f>
        <v>7.78125</v>
      </c>
      <c r="J67" s="11" t="n">
        <f aca="false">Inputs!$F$163*Time!J25/12</f>
        <v>0</v>
      </c>
      <c r="K67" s="11" t="n">
        <f aca="false">Inputs!$F$163*Time!K25/12</f>
        <v>0</v>
      </c>
      <c r="L67" s="11" t="n">
        <f aca="false">Inputs!$F$163*Time!L25/12</f>
        <v>0</v>
      </c>
      <c r="M67" s="11" t="n">
        <f aca="false">Inputs!$F$163*Time!M25/12</f>
        <v>0</v>
      </c>
      <c r="N67" s="11" t="n">
        <f aca="false">Inputs!$F$163*Time!N25/12</f>
        <v>0</v>
      </c>
      <c r="O67" s="11" t="n">
        <f aca="false">Inputs!$F$163*Time!O25/12</f>
        <v>0</v>
      </c>
      <c r="P67" s="11" t="n">
        <f aca="false">Inputs!$F$163*Time!P25/12</f>
        <v>0.051875</v>
      </c>
      <c r="Q67" s="11" t="n">
        <f aca="false">Inputs!$F$163*Time!Q25/12</f>
        <v>0.155625</v>
      </c>
      <c r="R67" s="11" t="n">
        <f aca="false">Inputs!$F$163*Time!R25/12</f>
        <v>0.155625</v>
      </c>
      <c r="S67" s="11" t="n">
        <f aca="false">Inputs!$F$163*Time!S25/12</f>
        <v>0.155625</v>
      </c>
      <c r="T67" s="11" t="n">
        <f aca="false">Inputs!$F$163*Time!T25/12</f>
        <v>0.155625</v>
      </c>
      <c r="U67" s="11" t="n">
        <f aca="false">Inputs!$F$163*Time!U25/12</f>
        <v>0.155625</v>
      </c>
      <c r="V67" s="11" t="n">
        <f aca="false">Inputs!$F$163*Time!V25/12</f>
        <v>0.155625</v>
      </c>
      <c r="W67" s="11" t="n">
        <f aca="false">Inputs!$F$163*Time!W25/12</f>
        <v>0.155625</v>
      </c>
      <c r="X67" s="11" t="n">
        <f aca="false">Inputs!$F$163*Time!X25/12</f>
        <v>0.155625</v>
      </c>
      <c r="Y67" s="11" t="n">
        <f aca="false">Inputs!$F$163*Time!Y25/12</f>
        <v>0.155625</v>
      </c>
      <c r="Z67" s="11" t="n">
        <f aca="false">Inputs!$F$163*Time!Z25/12</f>
        <v>0.155625</v>
      </c>
      <c r="AA67" s="11" t="n">
        <f aca="false">Inputs!$F$163*Time!AA25/12</f>
        <v>0.155625</v>
      </c>
      <c r="AB67" s="11" t="n">
        <f aca="false">Inputs!$F$163*Time!AB25/12</f>
        <v>0.155625</v>
      </c>
      <c r="AC67" s="11" t="n">
        <f aca="false">Inputs!$F$163*Time!AC25/12</f>
        <v>0.155625</v>
      </c>
      <c r="AD67" s="11" t="n">
        <f aca="false">Inputs!$F$163*Time!AD25/12</f>
        <v>0.155625</v>
      </c>
      <c r="AE67" s="11" t="n">
        <f aca="false">Inputs!$F$163*Time!AE25/12</f>
        <v>0.155625</v>
      </c>
      <c r="AF67" s="11" t="n">
        <f aca="false">Inputs!$F$163*Time!AF25/12</f>
        <v>0.155625</v>
      </c>
      <c r="AG67" s="11" t="n">
        <f aca="false">Inputs!$F$163*Time!AG25/12</f>
        <v>0.155625</v>
      </c>
      <c r="AH67" s="11" t="n">
        <f aca="false">Inputs!$F$163*Time!AH25/12</f>
        <v>0.155625</v>
      </c>
      <c r="AI67" s="11" t="n">
        <f aca="false">Inputs!$F$163*Time!AI25/12</f>
        <v>0.155625</v>
      </c>
      <c r="AJ67" s="11" t="n">
        <f aca="false">Inputs!$F$163*Time!AJ25/12</f>
        <v>0.155625</v>
      </c>
      <c r="AK67" s="11" t="n">
        <f aca="false">Inputs!$F$163*Time!AK25/12</f>
        <v>0.155625</v>
      </c>
      <c r="AL67" s="11" t="n">
        <f aca="false">Inputs!$F$163*Time!AL25/12</f>
        <v>0.155625</v>
      </c>
      <c r="AM67" s="11" t="n">
        <f aca="false">Inputs!$F$163*Time!AM25/12</f>
        <v>0.155625</v>
      </c>
      <c r="AN67" s="11" t="n">
        <f aca="false">Inputs!$F$163*Time!AN25/12</f>
        <v>0.155625</v>
      </c>
      <c r="AO67" s="11" t="n">
        <f aca="false">Inputs!$F$163*Time!AO25/12</f>
        <v>0.155625</v>
      </c>
      <c r="AP67" s="11" t="n">
        <f aca="false">Inputs!$F$163*Time!AP25/12</f>
        <v>0.155625</v>
      </c>
      <c r="AQ67" s="11" t="n">
        <f aca="false">Inputs!$F$163*Time!AQ25/12</f>
        <v>0.155625</v>
      </c>
      <c r="AR67" s="11" t="n">
        <f aca="false">Inputs!$F$163*Time!AR25/12</f>
        <v>0.155625</v>
      </c>
      <c r="AS67" s="11" t="n">
        <f aca="false">Inputs!$F$163*Time!AS25/12</f>
        <v>0.155625</v>
      </c>
      <c r="AT67" s="11" t="n">
        <f aca="false">Inputs!$F$163*Time!AT25/12</f>
        <v>0.155625</v>
      </c>
      <c r="AU67" s="11" t="n">
        <f aca="false">Inputs!$F$163*Time!AU25/12</f>
        <v>0.155625</v>
      </c>
      <c r="AV67" s="11" t="n">
        <f aca="false">Inputs!$F$163*Time!AV25/12</f>
        <v>0.155625</v>
      </c>
      <c r="AW67" s="11" t="n">
        <f aca="false">Inputs!$F$163*Time!AW25/12</f>
        <v>0.155625</v>
      </c>
      <c r="AX67" s="11" t="n">
        <f aca="false">Inputs!$F$163*Time!AX25/12</f>
        <v>0.155625</v>
      </c>
      <c r="AY67" s="11" t="n">
        <f aca="false">Inputs!$F$163*Time!AY25/12</f>
        <v>0.155625</v>
      </c>
      <c r="AZ67" s="11" t="n">
        <f aca="false">Inputs!$F$163*Time!AZ25/12</f>
        <v>0.155625</v>
      </c>
      <c r="BA67" s="11" t="n">
        <f aca="false">Inputs!$F$163*Time!BA25/12</f>
        <v>0.155625</v>
      </c>
      <c r="BB67" s="11" t="n">
        <f aca="false">Inputs!$F$163*Time!BB25/12</f>
        <v>0.155625</v>
      </c>
      <c r="BC67" s="11" t="n">
        <f aca="false">Inputs!$F$163*Time!BC25/12</f>
        <v>0.155625</v>
      </c>
      <c r="BD67" s="11" t="n">
        <f aca="false">Inputs!$F$163*Time!BD25/12</f>
        <v>0.155625</v>
      </c>
      <c r="BE67" s="11" t="n">
        <f aca="false">Inputs!$F$163*Time!BE25/12</f>
        <v>0.155625</v>
      </c>
      <c r="BF67" s="11" t="n">
        <f aca="false">Inputs!$F$163*Time!BF25/12</f>
        <v>0.155625</v>
      </c>
      <c r="BG67" s="11" t="n">
        <f aca="false">Inputs!$F$163*Time!BG25/12</f>
        <v>0.155625</v>
      </c>
      <c r="BH67" s="11" t="n">
        <f aca="false">Inputs!$F$163*Time!BH25/12</f>
        <v>0.155625</v>
      </c>
      <c r="BI67" s="11" t="n">
        <f aca="false">Inputs!$F$163*Time!BI25/12</f>
        <v>0.155625</v>
      </c>
      <c r="BJ67" s="11" t="n">
        <f aca="false">Inputs!$F$163*Time!BJ25/12</f>
        <v>0.155625</v>
      </c>
      <c r="BK67" s="11" t="n">
        <f aca="false">Inputs!$F$163*Time!BK25/12</f>
        <v>0.155625</v>
      </c>
      <c r="BL67" s="11" t="n">
        <f aca="false">Inputs!$F$163*Time!BL25/12</f>
        <v>0.155625</v>
      </c>
      <c r="BM67" s="11" t="n">
        <f aca="false">Inputs!$F$163*Time!BM25/12</f>
        <v>0.155625</v>
      </c>
      <c r="BN67" s="11" t="n">
        <f aca="false">Inputs!$F$163*Time!BN25/12</f>
        <v>0.10375</v>
      </c>
    </row>
    <row r="68" customFormat="false" ht="15" hidden="false" customHeight="false" outlineLevel="0" collapsed="false">
      <c r="D68" s="0" t="s">
        <v>516</v>
      </c>
      <c r="E68" s="0" t="s">
        <v>149</v>
      </c>
      <c r="G68" s="11" t="n">
        <f aca="false">SUM(J68:BN68)</f>
        <v>1140.225471788</v>
      </c>
      <c r="J68" s="11" t="n">
        <f aca="false">J56+J57+J58+J60+J61+J62+J63+J64+J65+J66+J67</f>
        <v>0</v>
      </c>
      <c r="K68" s="11" t="n">
        <f aca="false">K56+K57+K58+K60+K61+K62+K63+K64+K65+K66+K67</f>
        <v>0</v>
      </c>
      <c r="L68" s="11" t="n">
        <f aca="false">L56+L57+L58+L60+L61+L62+L63+L64+L65+L66+L67</f>
        <v>0</v>
      </c>
      <c r="M68" s="11" t="n">
        <f aca="false">M56+M57+M58+M60+M61+M62+M63+M64+M65+M66+M67</f>
        <v>0</v>
      </c>
      <c r="N68" s="11" t="n">
        <f aca="false">N56+N57+N58+N60+N61+N62+N63+N64+N65+N66+N67</f>
        <v>0</v>
      </c>
      <c r="O68" s="11" t="n">
        <f aca="false">O56+O57+O58+O60+O61+O62+O63+O64+O65+O66+O67</f>
        <v>0</v>
      </c>
      <c r="P68" s="11" t="n">
        <f aca="false">P56+P57+P58+P60+P61+P62+P63+P64+P65+P66+P67</f>
        <v>5.81951546270545</v>
      </c>
      <c r="Q68" s="11" t="n">
        <f aca="false">Q56+Q57+Q58+Q60+Q61+Q62+Q63+Q64+Q65+Q66+Q67</f>
        <v>17.6429155067816</v>
      </c>
      <c r="R68" s="11" t="n">
        <f aca="false">R56+R57+R58+R60+R61+R62+R63+R64+R65+R66+R67</f>
        <v>17.7887768057949</v>
      </c>
      <c r="S68" s="11" t="n">
        <f aca="false">S56+S57+S58+S60+S61+S62+S63+S64+S65+S66+S67</f>
        <v>17.8953966779362</v>
      </c>
      <c r="T68" s="11" t="n">
        <f aca="false">T56+T57+T58+T60+T61+T62+T63+T64+T65+T66+T67</f>
        <v>18.1247897984175</v>
      </c>
      <c r="U68" s="11" t="n">
        <f aca="false">U56+U57+U58+U60+U61+U62+U63+U64+U65+U66+U67</f>
        <v>18.3983801781632</v>
      </c>
      <c r="V68" s="11" t="n">
        <f aca="false">V56+V57+V58+V60+V61+V62+V63+V64+V65+V66+V67</f>
        <v>18.444069032042</v>
      </c>
      <c r="W68" s="11" t="n">
        <f aca="false">W56+W57+W58+W60+W61+W62+W63+W64+W65+W66+W67</f>
        <v>18.3387286570525</v>
      </c>
      <c r="X68" s="11" t="n">
        <f aca="false">X56+X57+X58+X60+X61+X62+X63+X64+X65+X66+X67</f>
        <v>18.683658951382</v>
      </c>
      <c r="Y68" s="11" t="n">
        <f aca="false">Y56+Y57+Y58+Y60+Y61+Y62+Y63+Y64+Y65+Y66+Y67</f>
        <v>19.1871464276452</v>
      </c>
      <c r="Z68" s="11" t="n">
        <f aca="false">Z56+Z57+Z58+Z60+Z61+Z62+Z63+Z64+Z65+Z66+Z67</f>
        <v>19.3461631414099</v>
      </c>
      <c r="AA68" s="11" t="n">
        <f aca="false">AA56+AA57+AA58+AA60+AA61+AA62+AA63+AA64+AA65+AA66+AA67</f>
        <v>19.4624155866571</v>
      </c>
      <c r="AB68" s="11" t="n">
        <f aca="false">AB56+AB57+AB58+AB60+AB61+AB62+AB63+AB64+AB65+AB66+AB67</f>
        <v>19.7124656798414</v>
      </c>
      <c r="AC68" s="11" t="n">
        <f aca="false">AC56+AC57+AC58+AC60+AC61+AC62+AC63+AC64+AC65+AC66+AC67</f>
        <v>20.0106820967008</v>
      </c>
      <c r="AD68" s="11" t="n">
        <f aca="false">AD56+AD57+AD58+AD60+AD61+AD62+AD63+AD64+AD65+AD66+AD67</f>
        <v>19.9645593611225</v>
      </c>
      <c r="AE68" s="11" t="n">
        <f aca="false">AE56+AE57+AE58+AE60+AE61+AE62+AE63+AE64+AE65+AE66+AE67</f>
        <v>19.6875850523756</v>
      </c>
      <c r="AF68" s="11" t="n">
        <f aca="false">AF56+AF57+AF58+AF60+AF61+AF62+AF63+AF64+AF65+AF66+AF67</f>
        <v>20.1256403379385</v>
      </c>
      <c r="AG68" s="11" t="n">
        <f aca="false">AG56+AG57+AG58+AG60+AG61+AG62+AG63+AG64+AG65+AG66+AG67</f>
        <v>20.8705197196862</v>
      </c>
      <c r="AH68" s="11" t="n">
        <f aca="false">AH56+AH57+AH58+AH60+AH61+AH62+AH63+AH64+AH65+AH66+AH67</f>
        <v>21.0438782684025</v>
      </c>
      <c r="AI68" s="11" t="n">
        <f aca="false">AI56+AI57+AI58+AI60+AI61+AI62+AI63+AI64+AI65+AI66+AI67</f>
        <v>21.1706335030252</v>
      </c>
      <c r="AJ68" s="11" t="n">
        <f aca="false">AJ56+AJ57+AJ58+AJ60+AJ61+AJ62+AJ63+AJ64+AJ65+AJ66+AJ67</f>
        <v>21.4432005560277</v>
      </c>
      <c r="AK68" s="11" t="n">
        <f aca="false">AK56+AK57+AK58+AK60+AK61+AK62+AK63+AK64+AK65+AK66+AK67</f>
        <v>21.7682593748341</v>
      </c>
      <c r="AL68" s="11" t="n">
        <f aca="false">AL56+AL57+AL58+AL60+AL61+AL62+AL63+AL64+AL65+AL66+AL67</f>
        <v>21.8226547668089</v>
      </c>
      <c r="AM68" s="11" t="n">
        <f aca="false">AM56+AM57+AM58+AM60+AM61+AM62+AM63+AM64+AM65+AM66+AM67</f>
        <v>21.6976835002008</v>
      </c>
      <c r="AN68" s="11" t="n">
        <f aca="false">AN56+AN57+AN58+AN60+AN61+AN62+AN63+AN64+AN65+AN66+AN67</f>
        <v>22.1074726299133</v>
      </c>
      <c r="AO68" s="11" t="n">
        <f aca="false">AO56+AO57+AO58+AO60+AO61+AO62+AO63+AO64+AO65+AO66+AO67</f>
        <v>22.7055716608777</v>
      </c>
      <c r="AP68" s="11" t="n">
        <f aca="false">AP56+AP57+AP58+AP60+AP61+AP62+AP63+AP64+AP65+AP66+AP67</f>
        <v>22.894565454336</v>
      </c>
      <c r="AQ68" s="11" t="n">
        <f aca="false">AQ56+AQ57+AQ58+AQ60+AQ61+AQ62+AQ63+AQ64+AQ65+AQ66+AQ67</f>
        <v>23.0327723072745</v>
      </c>
      <c r="AR68" s="11" t="n">
        <f aca="false">AR56+AR57+AR58+AR60+AR61+AR62+AR63+AR64+AR65+AR66+AR67</f>
        <v>23.3298837665215</v>
      </c>
      <c r="AS68" s="11" t="n">
        <f aca="false">AS56+AS57+AS58+AS60+AS61+AS62+AS63+AS64+AS65+AS66+AS67</f>
        <v>23.6842008048416</v>
      </c>
      <c r="AT68" s="11" t="n">
        <f aca="false">AT56+AT57+AT58+AT60+AT61+AT62+AT63+AT64+AT65+AT66+AT67</f>
        <v>23.6295695822541</v>
      </c>
      <c r="AU68" s="11" t="n">
        <f aca="false">AU56+AU57+AU58+AU60+AU61+AU62+AU63+AU64+AU65+AU66+AU67</f>
        <v>23.3014681399534</v>
      </c>
      <c r="AV68" s="11" t="n">
        <f aca="false">AV56+AV57+AV58+AV60+AV61+AV62+AV63+AV64+AV65+AV66+AV67</f>
        <v>23.8211718591976</v>
      </c>
      <c r="AW68" s="11" t="n">
        <f aca="false">AW56+AW57+AW58+AW60+AW61+AW62+AW63+AW64+AW65+AW66+AW67</f>
        <v>24.7059679067799</v>
      </c>
      <c r="AX68" s="11" t="n">
        <f aca="false">AX56+AX57+AX58+AX60+AX61+AX62+AX63+AX64+AX65+AX66+AX67</f>
        <v>24.9120069918206</v>
      </c>
      <c r="AY68" s="11" t="n">
        <f aca="false">AY56+AY57+AY58+AY60+AY61+AY62+AY63+AY64+AY65+AY66+AY67</f>
        <v>25.0627000059904</v>
      </c>
      <c r="AZ68" s="11" t="n">
        <f aca="false">AZ56+AZ57+AZ58+AZ60+AZ61+AZ62+AZ63+AZ64+AZ65+AZ66+AZ67</f>
        <v>25.3865658524466</v>
      </c>
      <c r="BA68" s="11" t="n">
        <f aca="false">BA56+BA57+BA58+BA60+BA61+BA62+BA63+BA64+BA65+BA66+BA67</f>
        <v>25.7727743274925</v>
      </c>
      <c r="BB68" s="11" t="n">
        <f aca="false">BB56+BB57+BB58+BB60+BB61+BB62+BB63+BB64+BB65+BB66+BB67</f>
        <v>25.8375353816365</v>
      </c>
      <c r="BC68" s="11" t="n">
        <f aca="false">BC56+BC57+BC58+BC60+BC61+BC62+BC63+BC64+BC65+BC66+BC67</f>
        <v>25.689276401629</v>
      </c>
      <c r="BD68" s="11" t="n">
        <f aca="false">BD56+BD57+BD58+BD60+BD61+BD62+BD63+BD64+BD65+BD66+BD67</f>
        <v>26.176118507473</v>
      </c>
      <c r="BE68" s="11" t="n">
        <f aca="false">BE56+BE57+BE58+BE60+BE61+BE62+BE63+BE64+BE65+BE66+BE67</f>
        <v>26.8866052255233</v>
      </c>
      <c r="BF68" s="11" t="n">
        <f aca="false">BF56+BF57+BF58+BF60+BF61+BF62+BF63+BF64+BF65+BF66+BF67</f>
        <v>27.1112268033627</v>
      </c>
      <c r="BG68" s="11" t="n">
        <f aca="false">BG56+BG57+BG58+BG60+BG61+BG62+BG63+BG64+BG65+BG66+BG67</f>
        <v>27.2755339784098</v>
      </c>
      <c r="BH68" s="11" t="n">
        <f aca="false">BH56+BH57+BH58+BH60+BH61+BH62+BH63+BH64+BH65+BH66+BH67</f>
        <v>27.6285631597835</v>
      </c>
      <c r="BI68" s="11" t="n">
        <f aca="false">BI56+BI57+BI58+BI60+BI61+BI62+BI63+BI64+BI65+BI66+BI67</f>
        <v>28.0495332500149</v>
      </c>
      <c r="BJ68" s="11" t="n">
        <f aca="false">BJ56+BJ57+BJ58+BJ60+BJ61+BJ62+BJ63+BJ64+BJ65+BJ66+BJ67</f>
        <v>27.9848254314478</v>
      </c>
      <c r="BK68" s="11" t="n">
        <f aca="false">BK56+BK57+BK58+BK60+BK61+BK62+BK63+BK64+BK65+BK66+BK67</f>
        <v>27.5960513012154</v>
      </c>
      <c r="BL68" s="11" t="n">
        <f aca="false">BL56+BL57+BL58+BL60+BL61+BL62+BL63+BL64+BL65+BL66+BL67</f>
        <v>28.2127320471755</v>
      </c>
      <c r="BM68" s="11" t="n">
        <f aca="false">BM56+BM57+BM58+BM60+BM61+BM62+BM63+BM64+BM65+BM66+BM67</f>
        <v>29.2637223962887</v>
      </c>
      <c r="BN68" s="11" t="n">
        <f aca="false">BN56+BN57+BN58+BN60+BN61+BN62+BN63+BN64+BN65+BN66+BN67</f>
        <v>19.7173381713894</v>
      </c>
    </row>
    <row r="69" customFormat="false" ht="15" hidden="false" customHeight="false" outlineLevel="0" collapsed="false">
      <c r="D69" s="0" t="s">
        <v>517</v>
      </c>
      <c r="E69" s="0" t="s">
        <v>149</v>
      </c>
      <c r="G69" s="11" t="n">
        <f aca="false">SUM(J69:BN69)</f>
        <v>4939.13676971039</v>
      </c>
      <c r="J69" s="11" t="n">
        <f aca="false">J38*J37/1000000</f>
        <v>0</v>
      </c>
      <c r="K69" s="11" t="n">
        <f aca="false">K38*K37/1000000</f>
        <v>0</v>
      </c>
      <c r="L69" s="11" t="n">
        <f aca="false">L38*L37/1000000</f>
        <v>0</v>
      </c>
      <c r="M69" s="11" t="n">
        <f aca="false">M38*M37/1000000</f>
        <v>0</v>
      </c>
      <c r="N69" s="11" t="n">
        <f aca="false">N38*N37/1000000</f>
        <v>0</v>
      </c>
      <c r="O69" s="11" t="n">
        <f aca="false">O38*O37/1000000</f>
        <v>0</v>
      </c>
      <c r="P69" s="11" t="n">
        <f aca="false">P38*P37/1000000</f>
        <v>25.73098281395</v>
      </c>
      <c r="Q69" s="11" t="n">
        <f aca="false">Q38*Q37/1000000</f>
        <v>78.7289099113673</v>
      </c>
      <c r="R69" s="11" t="n">
        <f aca="false">R38*R37/1000000</f>
        <v>78.465244465635</v>
      </c>
      <c r="S69" s="11" t="n">
        <f aca="false">S38*S37/1000000</f>
        <v>79.5088601807053</v>
      </c>
      <c r="T69" s="11" t="n">
        <f aca="false">T38*T37/1000000</f>
        <v>79.7534070844464</v>
      </c>
      <c r="U69" s="11" t="n">
        <f aca="false">U38*U37/1000000</f>
        <v>81.8595703955176</v>
      </c>
      <c r="V69" s="11" t="n">
        <f aca="false">V38*V37/1000000</f>
        <v>80.9161498839552</v>
      </c>
      <c r="W69" s="11" t="n">
        <f aca="false">W38*W37/1000000</f>
        <v>80.623198486552</v>
      </c>
      <c r="X69" s="11" t="n">
        <f aca="false">X38*X37/1000000</f>
        <v>81.5596170351762</v>
      </c>
      <c r="Y69" s="11" t="n">
        <f aca="false">Y38*Y37/1000000</f>
        <v>85.1134627660521</v>
      </c>
      <c r="Z69" s="11" t="n">
        <f aca="false">Z38*Z37/1000000</f>
        <v>84.8277877116459</v>
      </c>
      <c r="AA69" s="11" t="n">
        <f aca="false">AA38*AA37/1000000</f>
        <v>85.9553913309984</v>
      </c>
      <c r="AB69" s="11" t="n">
        <f aca="false">AB38*AB37/1000000</f>
        <v>86.2191275153245</v>
      </c>
      <c r="AC69" s="11" t="n">
        <f aca="false">AC38*AC37/1000000</f>
        <v>88.4953848375283</v>
      </c>
      <c r="AD69" s="11" t="n">
        <f aca="false">AD38*AD37/1000000</f>
        <v>86.8774192946939</v>
      </c>
      <c r="AE69" s="11" t="n">
        <f aca="false">AE38*AE37/1000000</f>
        <v>85.3296899250619</v>
      </c>
      <c r="AF69" s="11" t="n">
        <f aca="false">AF38*AF37/1000000</f>
        <v>86.950817416645</v>
      </c>
      <c r="AG69" s="11" t="n">
        <f aca="false">AG38*AG37/1000000</f>
        <v>92.010318950609</v>
      </c>
      <c r="AH69" s="11" t="n">
        <f aca="false">AH38*AH37/1000000</f>
        <v>91.7008143065316</v>
      </c>
      <c r="AI69" s="11" t="n">
        <f aca="false">AI38*AI37/1000000</f>
        <v>92.9190897391441</v>
      </c>
      <c r="AJ69" s="11" t="n">
        <f aca="false">AJ38*AJ37/1000000</f>
        <v>93.2034997853314</v>
      </c>
      <c r="AK69" s="11" t="n">
        <f aca="false">AK38*AK37/1000000</f>
        <v>95.6634389700434</v>
      </c>
      <c r="AL69" s="11" t="n">
        <f aca="false">AL38*AL37/1000000</f>
        <v>94.5595263127573</v>
      </c>
      <c r="AM69" s="11" t="n">
        <f aca="false">AM38*AM37/1000000</f>
        <v>94.2157800089376</v>
      </c>
      <c r="AN69" s="11" t="n">
        <f aca="false">AN38*AN37/1000000</f>
        <v>95.3086561145915</v>
      </c>
      <c r="AO69" s="11" t="n">
        <f aca="false">AO38*AO37/1000000</f>
        <v>99.4601175436392</v>
      </c>
      <c r="AP69" s="11" t="n">
        <f aca="false">AP38*AP37/1000000</f>
        <v>99.1248142365637</v>
      </c>
      <c r="AQ69" s="11" t="n">
        <f aca="false">AQ38*AQ37/1000000</f>
        <v>100.440970751872</v>
      </c>
      <c r="AR69" s="11" t="n">
        <f aca="false">AR38*AR37/1000000</f>
        <v>100.747652174361</v>
      </c>
      <c r="AS69" s="11" t="n">
        <f aca="false">AS38*AS37/1000000</f>
        <v>103.40593363176</v>
      </c>
      <c r="AT69" s="11" t="n">
        <f aca="false">AT38*AT37/1000000</f>
        <v>101.513844109913</v>
      </c>
      <c r="AU69" s="11" t="n">
        <f aca="false">AU38*AU37/1000000</f>
        <v>99.7038780263221</v>
      </c>
      <c r="AV69" s="11" t="n">
        <f aca="false">AV38*AV37/1000000</f>
        <v>101.596575637686</v>
      </c>
      <c r="AW69" s="11" t="n">
        <f aca="false">AW38*AW37/1000000</f>
        <v>107.506680317222</v>
      </c>
      <c r="AX69" s="11" t="n">
        <f aca="false">AX38*AX37/1000000</f>
        <v>107.143448083852</v>
      </c>
      <c r="AY69" s="11" t="n">
        <f aca="false">AY38*AY37/1000000</f>
        <v>108.565261023109</v>
      </c>
      <c r="AZ69" s="11" t="n">
        <f aca="false">AZ38*AZ37/1000000</f>
        <v>108.895932682542</v>
      </c>
      <c r="BA69" s="11" t="n">
        <f aca="false">BA38*BA37/1000000</f>
        <v>111.768372905811</v>
      </c>
      <c r="BB69" s="11" t="n">
        <f aca="false">BB38*BB37/1000000</f>
        <v>110.476962502246</v>
      </c>
      <c r="BC69" s="11" t="n">
        <f aca="false">BC38*BC37/1000000</f>
        <v>110.073703591796</v>
      </c>
      <c r="BD69" s="11" t="n">
        <f aca="false">BD38*BD37/1000000</f>
        <v>111.348858138568</v>
      </c>
      <c r="BE69" s="11" t="n">
        <f aca="false">BE38*BE37/1000000</f>
        <v>116.197257328013</v>
      </c>
      <c r="BF69" s="11" t="n">
        <f aca="false">BF38*BF37/1000000</f>
        <v>115.803791645587</v>
      </c>
      <c r="BG69" s="11" t="n">
        <f aca="false">BG38*BG37/1000000</f>
        <v>117.339646235298</v>
      </c>
      <c r="BH69" s="11" t="n">
        <f aca="false">BH38*BH37/1000000</f>
        <v>117.696157361461</v>
      </c>
      <c r="BI69" s="11" t="n">
        <f aca="false">BI38*BI37/1000000</f>
        <v>120.799818852911</v>
      </c>
      <c r="BJ69" s="11" t="n">
        <f aca="false">BJ38*BJ37/1000000</f>
        <v>118.58767824655</v>
      </c>
      <c r="BK69" s="11" t="n">
        <f aca="false">BK38*BK37/1000000</f>
        <v>116.471537693256</v>
      </c>
      <c r="BL69" s="11" t="n">
        <f aca="false">BL38*BL37/1000000</f>
        <v>118.680752403128</v>
      </c>
      <c r="BM69" s="11" t="n">
        <f aca="false">BM38*BM37/1000000</f>
        <v>125.582791125605</v>
      </c>
      <c r="BN69" s="11" t="n">
        <f aca="false">BN38*BN37/1000000</f>
        <v>83.7081882181135</v>
      </c>
    </row>
    <row r="70" customFormat="false" ht="15" hidden="false" customHeight="false" outlineLevel="0" collapsed="false">
      <c r="D70" s="0" t="s">
        <v>518</v>
      </c>
      <c r="E70" s="0" t="s">
        <v>149</v>
      </c>
      <c r="G70" s="11" t="n">
        <f aca="false">SUM(J70:BN70)</f>
        <v>5782.19692837277</v>
      </c>
      <c r="J70" s="11" t="n">
        <f aca="false">J69+J48+J49+J50</f>
        <v>0</v>
      </c>
      <c r="K70" s="11" t="n">
        <f aca="false">K69+K48+K49+K50</f>
        <v>0</v>
      </c>
      <c r="L70" s="11" t="n">
        <f aca="false">L69+L48+L49+L50</f>
        <v>0</v>
      </c>
      <c r="M70" s="11" t="n">
        <f aca="false">M69+M48+M49+M50</f>
        <v>0</v>
      </c>
      <c r="N70" s="11" t="n">
        <f aca="false">N69+N48+N49+N50</f>
        <v>0</v>
      </c>
      <c r="O70" s="11" t="n">
        <f aca="false">O69+O48+O49+O50</f>
        <v>0</v>
      </c>
      <c r="P70" s="11" t="n">
        <f aca="false">P69+P48+P49+P50</f>
        <v>30.3693941991122</v>
      </c>
      <c r="Q70" s="11" t="n">
        <f aca="false">Q69+Q48+Q49+Q50</f>
        <v>92.7256187384852</v>
      </c>
      <c r="R70" s="11" t="n">
        <f aca="false">R69+R48+R49+R50</f>
        <v>92.6440749533913</v>
      </c>
      <c r="S70" s="11" t="n">
        <f aca="false">S69+S48+S49+S50</f>
        <v>93.6903805728176</v>
      </c>
      <c r="T70" s="11" t="n">
        <f aca="false">T69+T48+T49+T50</f>
        <v>94.1360257354305</v>
      </c>
      <c r="U70" s="11" t="n">
        <f aca="false">U69+U48+U49+U50</f>
        <v>96.3431767919347</v>
      </c>
      <c r="V70" s="11" t="n">
        <f aca="false">V69+V48+V49+V50</f>
        <v>95.5008976963535</v>
      </c>
      <c r="W70" s="11" t="n">
        <f aca="false">W69+W48+W49+W50</f>
        <v>95.1676371980781</v>
      </c>
      <c r="X70" s="11" t="n">
        <f aca="false">X69+X48+X49+X50</f>
        <v>96.3325968772217</v>
      </c>
      <c r="Y70" s="11" t="n">
        <f aca="false">Y69+Y48+Y49+Y50</f>
        <v>99.9657786257197</v>
      </c>
      <c r="Z70" s="11" t="n">
        <f aca="false">Z69+Z48+Z49+Z50</f>
        <v>99.8733922880264</v>
      </c>
      <c r="AA70" s="11" t="n">
        <f aca="false">AA69+AA48+AA49+AA50</f>
        <v>101.003803728598</v>
      </c>
      <c r="AB70" s="11" t="n">
        <f aca="false">AB69+AB48+AB49+AB50</f>
        <v>101.480948208397</v>
      </c>
      <c r="AC70" s="11" t="n">
        <f aca="false">AC69+AC48+AC49+AC50</f>
        <v>103.864298039462</v>
      </c>
      <c r="AD70" s="11" t="n">
        <f aca="false">AD69+AD48+AD49+AD50</f>
        <v>102.335258738579</v>
      </c>
      <c r="AE70" s="11" t="n">
        <f aca="false">AE69+AE48+AE49+AE50</f>
        <v>100.707052619457</v>
      </c>
      <c r="AF70" s="11" t="n">
        <f aca="false">AF69+AF48+AF49+AF50</f>
        <v>102.58940654107</v>
      </c>
      <c r="AG70" s="11" t="n">
        <f aca="false">AG69+AG48+AG49+AG50</f>
        <v>107.770381184496</v>
      </c>
      <c r="AH70" s="11" t="n">
        <f aca="false">AH69+AH48+AH49+AH50</f>
        <v>107.666017556674</v>
      </c>
      <c r="AI70" s="11" t="n">
        <f aca="false">AI69+AI48+AI49+AI50</f>
        <v>108.887221696116</v>
      </c>
      <c r="AJ70" s="11" t="n">
        <f aca="false">AJ69+AJ48+AJ49+AJ50</f>
        <v>109.398103089657</v>
      </c>
      <c r="AK70" s="11" t="n">
        <f aca="false">AK69+AK48+AK49+AK50</f>
        <v>111.971604971181</v>
      </c>
      <c r="AL70" s="11" t="n">
        <f aca="false">AL69+AL48+AL49+AL50</f>
        <v>110.981671403588</v>
      </c>
      <c r="AM70" s="11" t="n">
        <f aca="false">AM69+AM48+AM49+AM50</f>
        <v>110.592538518579</v>
      </c>
      <c r="AN70" s="11" t="n">
        <f aca="false">AN69+AN48+AN49+AN50</f>
        <v>111.942735378105</v>
      </c>
      <c r="AO70" s="11" t="n">
        <f aca="false">AO69+AO48+AO49+AO50</f>
        <v>116.183232660824</v>
      </c>
      <c r="AP70" s="11" t="n">
        <f aca="false">AP69+AP48+AP49+AP50</f>
        <v>116.065649993449</v>
      </c>
      <c r="AQ70" s="11" t="n">
        <f aca="false">AQ69+AQ48+AQ49+AQ50</f>
        <v>117.384858905961</v>
      </c>
      <c r="AR70" s="11" t="n">
        <f aca="false">AR69+AR48+AR49+AR50</f>
        <v>117.931873772727</v>
      </c>
      <c r="AS70" s="11" t="n">
        <f aca="false">AS69+AS48+AS49+AS50</f>
        <v>120.710575183047</v>
      </c>
      <c r="AT70" s="11" t="n">
        <f aca="false">AT69+AT48+AT49+AT50</f>
        <v>118.918767700759</v>
      </c>
      <c r="AU70" s="11" t="n">
        <f aca="false">AU69+AU48+AU49+AU50</f>
        <v>117.018287196995</v>
      </c>
      <c r="AV70" s="11" t="n">
        <f aca="false">AV69+AV48+AV49+AV50</f>
        <v>119.205056230899</v>
      </c>
      <c r="AW70" s="11" t="n">
        <f aca="false">AW69+AW48+AW49+AW50</f>
        <v>125.25151374992</v>
      </c>
      <c r="AX70" s="11" t="n">
        <f aca="false">AX69+AX48+AX49+AX50</f>
        <v>125.119353770129</v>
      </c>
      <c r="AY70" s="11" t="n">
        <f aca="false">AY69+AY48+AY49+AY50</f>
        <v>126.544345401262</v>
      </c>
      <c r="AZ70" s="11" t="n">
        <f aca="false">AZ69+AZ48+AZ49+AZ50</f>
        <v>127.130060488348</v>
      </c>
      <c r="BA70" s="11" t="n">
        <f aca="false">BA69+BA48+BA49+BA50</f>
        <v>130.130187899415</v>
      </c>
      <c r="BB70" s="11" t="n">
        <f aca="false">BB69+BB48+BB49+BB50</f>
        <v>128.967232274262</v>
      </c>
      <c r="BC70" s="11" t="n">
        <f aca="false">BC69+BC48+BC49+BC50</f>
        <v>128.512875960278</v>
      </c>
      <c r="BD70" s="11" t="n">
        <f aca="false">BD69+BD48+BD49+BD50</f>
        <v>130.077746255559</v>
      </c>
      <c r="BE70" s="11" t="n">
        <f aca="false">BE69+BE48+BE49+BE50</f>
        <v>135.026036757482</v>
      </c>
      <c r="BF70" s="11" t="n">
        <f aca="false">BF69+BF48+BF49+BF50</f>
        <v>134.877814344614</v>
      </c>
      <c r="BG70" s="11" t="n">
        <f aca="false">BG69+BG48+BG49+BG50</f>
        <v>136.416976284055</v>
      </c>
      <c r="BH70" s="11" t="n">
        <f aca="false">BH69+BH48+BH49+BH50</f>
        <v>137.044140532376</v>
      </c>
      <c r="BI70" s="11" t="n">
        <f aca="false">BI69+BI48+BI49+BI50</f>
        <v>140.283190676037</v>
      </c>
      <c r="BJ70" s="11" t="n">
        <f aca="false">BJ69+BJ48+BJ49+BJ50</f>
        <v>138.184152406157</v>
      </c>
      <c r="BK70" s="11" t="n">
        <f aca="false">BK69+BK48+BK49+BK50</f>
        <v>135.966225694841</v>
      </c>
      <c r="BL70" s="11" t="n">
        <f aca="false">BL69+BL48+BL49+BL50</f>
        <v>138.506471673558</v>
      </c>
      <c r="BM70" s="11" t="n">
        <f aca="false">BM69+BM48+BM49+BM50</f>
        <v>145.561522073831</v>
      </c>
      <c r="BN70" s="11" t="n">
        <f aca="false">BN69+BN48+BN49+BN50</f>
        <v>97.2387651354575</v>
      </c>
    </row>
    <row r="71" customFormat="false" ht="15" hidden="false" customHeight="false" outlineLevel="0" collapsed="false">
      <c r="D71" s="0" t="s">
        <v>519</v>
      </c>
      <c r="E71" s="0" t="s">
        <v>149</v>
      </c>
      <c r="G71" s="11" t="n">
        <f aca="false">SUM(J71:BN71)</f>
        <v>0.0859987767239091</v>
      </c>
      <c r="J71" s="11" t="n">
        <f aca="false">SUMIFS(Construction!$J$36:$BJ$36,Construction!$J$12:$BJ$12,Time!J17,Construction!$J$8:$BJ$8,"&gt;"&amp;Time!$F$13)</f>
        <v>0</v>
      </c>
      <c r="K71" s="11" t="n">
        <f aca="false">SUMIFS(Construction!$J$36:$BJ$36,Construction!$J$12:$BJ$12,Time!K17,Construction!$J$8:$BJ$8,"&gt;"&amp;Time!$F$13)</f>
        <v>0</v>
      </c>
      <c r="L71" s="11" t="n">
        <f aca="false">SUMIFS(Construction!$J$36:$BJ$36,Construction!$J$12:$BJ$12,Time!L17,Construction!$J$8:$BJ$8,"&gt;"&amp;Time!$F$13)</f>
        <v>0</v>
      </c>
      <c r="M71" s="11" t="n">
        <f aca="false">SUMIFS(Construction!$J$36:$BJ$36,Construction!$J$12:$BJ$12,Time!M17,Construction!$J$8:$BJ$8,"&gt;"&amp;Time!$F$13)</f>
        <v>0</v>
      </c>
      <c r="N71" s="11" t="n">
        <f aca="false">SUMIFS(Construction!$J$36:$BJ$36,Construction!$J$12:$BJ$12,Time!N17,Construction!$J$8:$BJ$8,"&gt;"&amp;Time!$F$13)</f>
        <v>0</v>
      </c>
      <c r="O71" s="11" t="n">
        <f aca="false">SUMIFS(Construction!$J$36:$BJ$36,Construction!$J$12:$BJ$12,Time!O17,Construction!$J$8:$BJ$8,"&gt;"&amp;Time!$F$13)</f>
        <v>0</v>
      </c>
      <c r="P71" s="11" t="n">
        <f aca="false">SUMIFS(Construction!$J$36:$BJ$36,Construction!$J$12:$BJ$12,Time!P17,Construction!$J$8:$BJ$8,"&gt;"&amp;Time!$F$13)</f>
        <v>0</v>
      </c>
      <c r="Q71" s="11" t="n">
        <f aca="false">SUMIFS(Construction!$J$36:$BJ$36,Construction!$J$12:$BJ$12,Time!Q17,Construction!$J$8:$BJ$8,"&gt;"&amp;Time!$F$13)</f>
        <v>0.0735835360470474</v>
      </c>
      <c r="R71" s="11" t="n">
        <f aca="false">SUMIFS(Construction!$J$36:$BJ$36,Construction!$J$12:$BJ$12,Time!R17,Construction!$J$8:$BJ$8,"&gt;"&amp;Time!$F$13)</f>
        <v>0.0124152406768617</v>
      </c>
      <c r="S71" s="11" t="n">
        <f aca="false">SUMIFS(Construction!$J$36:$BJ$36,Construction!$J$12:$BJ$12,Time!S17,Construction!$J$8:$BJ$8,"&gt;"&amp;Time!$F$13)</f>
        <v>0</v>
      </c>
      <c r="T71" s="11" t="n">
        <f aca="false">SUMIFS(Construction!$J$36:$BJ$36,Construction!$J$12:$BJ$12,Time!T17,Construction!$J$8:$BJ$8,"&gt;"&amp;Time!$F$13)</f>
        <v>0</v>
      </c>
      <c r="U71" s="11" t="n">
        <f aca="false">SUMIFS(Construction!$J$36:$BJ$36,Construction!$J$12:$BJ$12,Time!U17,Construction!$J$8:$BJ$8,"&gt;"&amp;Time!$F$13)</f>
        <v>0</v>
      </c>
      <c r="V71" s="11" t="n">
        <f aca="false">SUMIFS(Construction!$J$36:$BJ$36,Construction!$J$12:$BJ$12,Time!V17,Construction!$J$8:$BJ$8,"&gt;"&amp;Time!$F$13)</f>
        <v>0</v>
      </c>
      <c r="W71" s="11" t="n">
        <f aca="false">SUMIFS(Construction!$J$36:$BJ$36,Construction!$J$12:$BJ$12,Time!W17,Construction!$J$8:$BJ$8,"&gt;"&amp;Time!$F$13)</f>
        <v>0</v>
      </c>
      <c r="X71" s="11" t="n">
        <f aca="false">SUMIFS(Construction!$J$36:$BJ$36,Construction!$J$12:$BJ$12,Time!X17,Construction!$J$8:$BJ$8,"&gt;"&amp;Time!$F$13)</f>
        <v>0</v>
      </c>
      <c r="Y71" s="11" t="n">
        <f aca="false">SUMIFS(Construction!$J$36:$BJ$36,Construction!$J$12:$BJ$12,Time!Y17,Construction!$J$8:$BJ$8,"&gt;"&amp;Time!$F$13)</f>
        <v>0</v>
      </c>
      <c r="Z71" s="11" t="n">
        <f aca="false">SUMIFS(Construction!$J$36:$BJ$36,Construction!$J$12:$BJ$12,Time!Z17,Construction!$J$8:$BJ$8,"&gt;"&amp;Time!$F$13)</f>
        <v>0</v>
      </c>
      <c r="AA71" s="11" t="n">
        <f aca="false">SUMIFS(Construction!$J$36:$BJ$36,Construction!$J$12:$BJ$12,Time!AA17,Construction!$J$8:$BJ$8,"&gt;"&amp;Time!$F$13)</f>
        <v>0</v>
      </c>
      <c r="AB71" s="11" t="n">
        <f aca="false">SUMIFS(Construction!$J$36:$BJ$36,Construction!$J$12:$BJ$12,Time!AB17,Construction!$J$8:$BJ$8,"&gt;"&amp;Time!$F$13)</f>
        <v>0</v>
      </c>
      <c r="AC71" s="11" t="n">
        <f aca="false">SUMIFS(Construction!$J$36:$BJ$36,Construction!$J$12:$BJ$12,Time!AC17,Construction!$J$8:$BJ$8,"&gt;"&amp;Time!$F$13)</f>
        <v>0</v>
      </c>
      <c r="AD71" s="11" t="n">
        <f aca="false">SUMIFS(Construction!$J$36:$BJ$36,Construction!$J$12:$BJ$12,Time!AD17,Construction!$J$8:$BJ$8,"&gt;"&amp;Time!$F$13)</f>
        <v>0</v>
      </c>
      <c r="AE71" s="11" t="n">
        <f aca="false">SUMIFS(Construction!$J$36:$BJ$36,Construction!$J$12:$BJ$12,Time!AE17,Construction!$J$8:$BJ$8,"&gt;"&amp;Time!$F$13)</f>
        <v>0</v>
      </c>
      <c r="AF71" s="11" t="n">
        <f aca="false">SUMIFS(Construction!$J$36:$BJ$36,Construction!$J$12:$BJ$12,Time!AF17,Construction!$J$8:$BJ$8,"&gt;"&amp;Time!$F$13)</f>
        <v>0</v>
      </c>
      <c r="AG71" s="11" t="n">
        <f aca="false">SUMIFS(Construction!$J$36:$BJ$36,Construction!$J$12:$BJ$12,Time!AG17,Construction!$J$8:$BJ$8,"&gt;"&amp;Time!$F$13)</f>
        <v>0</v>
      </c>
      <c r="AH71" s="11" t="n">
        <f aca="false">SUMIFS(Construction!$J$36:$BJ$36,Construction!$J$12:$BJ$12,Time!AH17,Construction!$J$8:$BJ$8,"&gt;"&amp;Time!$F$13)</f>
        <v>0</v>
      </c>
      <c r="AI71" s="11" t="n">
        <f aca="false">SUMIFS(Construction!$J$36:$BJ$36,Construction!$J$12:$BJ$12,Time!AI17,Construction!$J$8:$BJ$8,"&gt;"&amp;Time!$F$13)</f>
        <v>0</v>
      </c>
      <c r="AJ71" s="11" t="n">
        <f aca="false">SUMIFS(Construction!$J$36:$BJ$36,Construction!$J$12:$BJ$12,Time!AJ17,Construction!$J$8:$BJ$8,"&gt;"&amp;Time!$F$13)</f>
        <v>0</v>
      </c>
      <c r="AK71" s="11" t="n">
        <f aca="false">SUMIFS(Construction!$J$36:$BJ$36,Construction!$J$12:$BJ$12,Time!AK17,Construction!$J$8:$BJ$8,"&gt;"&amp;Time!$F$13)</f>
        <v>0</v>
      </c>
      <c r="AL71" s="11" t="n">
        <f aca="false">SUMIFS(Construction!$J$36:$BJ$36,Construction!$J$12:$BJ$12,Time!AL17,Construction!$J$8:$BJ$8,"&gt;"&amp;Time!$F$13)</f>
        <v>0</v>
      </c>
      <c r="AM71" s="11" t="n">
        <f aca="false">SUMIFS(Construction!$J$36:$BJ$36,Construction!$J$12:$BJ$12,Time!AM17,Construction!$J$8:$BJ$8,"&gt;"&amp;Time!$F$13)</f>
        <v>0</v>
      </c>
      <c r="AN71" s="11" t="n">
        <f aca="false">SUMIFS(Construction!$J$36:$BJ$36,Construction!$J$12:$BJ$12,Time!AN17,Construction!$J$8:$BJ$8,"&gt;"&amp;Time!$F$13)</f>
        <v>0</v>
      </c>
      <c r="AO71" s="11" t="n">
        <f aca="false">SUMIFS(Construction!$J$36:$BJ$36,Construction!$J$12:$BJ$12,Time!AO17,Construction!$J$8:$BJ$8,"&gt;"&amp;Time!$F$13)</f>
        <v>0</v>
      </c>
      <c r="AP71" s="11" t="n">
        <f aca="false">SUMIFS(Construction!$J$36:$BJ$36,Construction!$J$12:$BJ$12,Time!AP17,Construction!$J$8:$BJ$8,"&gt;"&amp;Time!$F$13)</f>
        <v>0</v>
      </c>
      <c r="AQ71" s="11" t="n">
        <f aca="false">SUMIFS(Construction!$J$36:$BJ$36,Construction!$J$12:$BJ$12,Time!AQ17,Construction!$J$8:$BJ$8,"&gt;"&amp;Time!$F$13)</f>
        <v>0</v>
      </c>
      <c r="AR71" s="11" t="n">
        <f aca="false">SUMIFS(Construction!$J$36:$BJ$36,Construction!$J$12:$BJ$12,Time!AR17,Construction!$J$8:$BJ$8,"&gt;"&amp;Time!$F$13)</f>
        <v>0</v>
      </c>
      <c r="AS71" s="11" t="n">
        <f aca="false">SUMIFS(Construction!$J$36:$BJ$36,Construction!$J$12:$BJ$12,Time!AS17,Construction!$J$8:$BJ$8,"&gt;"&amp;Time!$F$13)</f>
        <v>0</v>
      </c>
      <c r="AT71" s="11" t="n">
        <f aca="false">SUMIFS(Construction!$J$36:$BJ$36,Construction!$J$12:$BJ$12,Time!AT17,Construction!$J$8:$BJ$8,"&gt;"&amp;Time!$F$13)</f>
        <v>0</v>
      </c>
      <c r="AU71" s="11" t="n">
        <f aca="false">SUMIFS(Construction!$J$36:$BJ$36,Construction!$J$12:$BJ$12,Time!AU17,Construction!$J$8:$BJ$8,"&gt;"&amp;Time!$F$13)</f>
        <v>0</v>
      </c>
      <c r="AV71" s="11" t="n">
        <f aca="false">SUMIFS(Construction!$J$36:$BJ$36,Construction!$J$12:$BJ$12,Time!AV17,Construction!$J$8:$BJ$8,"&gt;"&amp;Time!$F$13)</f>
        <v>0</v>
      </c>
      <c r="AW71" s="11" t="n">
        <f aca="false">SUMIFS(Construction!$J$36:$BJ$36,Construction!$J$12:$BJ$12,Time!AW17,Construction!$J$8:$BJ$8,"&gt;"&amp;Time!$F$13)</f>
        <v>0</v>
      </c>
      <c r="AX71" s="11" t="n">
        <f aca="false">SUMIFS(Construction!$J$36:$BJ$36,Construction!$J$12:$BJ$12,Time!AX17,Construction!$J$8:$BJ$8,"&gt;"&amp;Time!$F$13)</f>
        <v>0</v>
      </c>
      <c r="AY71" s="11" t="n">
        <f aca="false">SUMIFS(Construction!$J$36:$BJ$36,Construction!$J$12:$BJ$12,Time!AY17,Construction!$J$8:$BJ$8,"&gt;"&amp;Time!$F$13)</f>
        <v>0</v>
      </c>
      <c r="AZ71" s="11" t="n">
        <f aca="false">SUMIFS(Construction!$J$36:$BJ$36,Construction!$J$12:$BJ$12,Time!AZ17,Construction!$J$8:$BJ$8,"&gt;"&amp;Time!$F$13)</f>
        <v>0</v>
      </c>
      <c r="BA71" s="11" t="n">
        <f aca="false">SUMIFS(Construction!$J$36:$BJ$36,Construction!$J$12:$BJ$12,Time!BA17,Construction!$J$8:$BJ$8,"&gt;"&amp;Time!$F$13)</f>
        <v>0</v>
      </c>
      <c r="BB71" s="11" t="n">
        <f aca="false">SUMIFS(Construction!$J$36:$BJ$36,Construction!$J$12:$BJ$12,Time!BB17,Construction!$J$8:$BJ$8,"&gt;"&amp;Time!$F$13)</f>
        <v>0</v>
      </c>
      <c r="BC71" s="11" t="n">
        <f aca="false">SUMIFS(Construction!$J$36:$BJ$36,Construction!$J$12:$BJ$12,Time!BC17,Construction!$J$8:$BJ$8,"&gt;"&amp;Time!$F$13)</f>
        <v>0</v>
      </c>
      <c r="BD71" s="11" t="n">
        <f aca="false">SUMIFS(Construction!$J$36:$BJ$36,Construction!$J$12:$BJ$12,Time!BD17,Construction!$J$8:$BJ$8,"&gt;"&amp;Time!$F$13)</f>
        <v>0</v>
      </c>
      <c r="BE71" s="11" t="n">
        <f aca="false">SUMIFS(Construction!$J$36:$BJ$36,Construction!$J$12:$BJ$12,Time!BE17,Construction!$J$8:$BJ$8,"&gt;"&amp;Time!$F$13)</f>
        <v>0</v>
      </c>
      <c r="BF71" s="11" t="n">
        <f aca="false">SUMIFS(Construction!$J$36:$BJ$36,Construction!$J$12:$BJ$12,Time!BF17,Construction!$J$8:$BJ$8,"&gt;"&amp;Time!$F$13)</f>
        <v>0</v>
      </c>
      <c r="BG71" s="11" t="n">
        <f aca="false">SUMIFS(Construction!$J$36:$BJ$36,Construction!$J$12:$BJ$12,Time!BG17,Construction!$J$8:$BJ$8,"&gt;"&amp;Time!$F$13)</f>
        <v>0</v>
      </c>
      <c r="BH71" s="11" t="n">
        <f aca="false">SUMIFS(Construction!$J$36:$BJ$36,Construction!$J$12:$BJ$12,Time!BH17,Construction!$J$8:$BJ$8,"&gt;"&amp;Time!$F$13)</f>
        <v>0</v>
      </c>
      <c r="BI71" s="11" t="n">
        <f aca="false">SUMIFS(Construction!$J$36:$BJ$36,Construction!$J$12:$BJ$12,Time!BI17,Construction!$J$8:$BJ$8,"&gt;"&amp;Time!$F$13)</f>
        <v>0</v>
      </c>
      <c r="BJ71" s="11" t="n">
        <f aca="false">SUMIFS(Construction!$J$36:$BJ$36,Construction!$J$12:$BJ$12,Time!BJ17,Construction!$J$8:$BJ$8,"&gt;"&amp;Time!$F$13)</f>
        <v>0</v>
      </c>
      <c r="BK71" s="11" t="n">
        <f aca="false">SUMIFS(Construction!$J$36:$BJ$36,Construction!$J$12:$BJ$12,Time!BK17,Construction!$J$8:$BJ$8,"&gt;"&amp;Time!$F$13)</f>
        <v>0</v>
      </c>
      <c r="BL71" s="11" t="n">
        <f aca="false">SUMIFS(Construction!$J$36:$BJ$36,Construction!$J$12:$BJ$12,Time!BL17,Construction!$J$8:$BJ$8,"&gt;"&amp;Time!$F$13)</f>
        <v>0</v>
      </c>
      <c r="BM71" s="11" t="n">
        <f aca="false">SUMIFS(Construction!$J$36:$BJ$36,Construction!$J$12:$BJ$12,Time!BM17,Construction!$J$8:$BJ$8,"&gt;"&amp;Time!$F$13)</f>
        <v>0</v>
      </c>
      <c r="BN71" s="11" t="n">
        <f aca="false">SUMIFS(Construction!$J$36:$BJ$36,Construction!$J$12:$BJ$12,Time!BN17,Construction!$J$8:$BJ$8,"&gt;"&amp;Time!$F$13)</f>
        <v>0</v>
      </c>
    </row>
    <row r="72" customFormat="false" ht="15" hidden="false" customHeight="false" outlineLevel="0" collapsed="false">
      <c r="D72" s="0" t="s">
        <v>520</v>
      </c>
      <c r="E72" s="0" t="s">
        <v>149</v>
      </c>
      <c r="G72" s="11" t="n">
        <f aca="false">SUM(J72:BN72)</f>
        <v>0</v>
      </c>
      <c r="J72" s="11" t="n">
        <f aca="false">Inputs!$F$45*Inputs!J220</f>
        <v>0</v>
      </c>
      <c r="K72" s="11" t="n">
        <f aca="false">Inputs!$F$45*Inputs!K220</f>
        <v>0</v>
      </c>
      <c r="L72" s="11" t="n">
        <f aca="false">Inputs!$F$45*Inputs!L220</f>
        <v>0</v>
      </c>
      <c r="M72" s="11" t="n">
        <f aca="false">Inputs!$F$45*Inputs!M220</f>
        <v>0</v>
      </c>
      <c r="N72" s="11" t="n">
        <f aca="false">Inputs!$F$45*Inputs!N220</f>
        <v>0</v>
      </c>
      <c r="O72" s="11" t="n">
        <f aca="false">Inputs!$F$45*Inputs!O220</f>
        <v>0</v>
      </c>
      <c r="P72" s="11" t="n">
        <f aca="false">Inputs!$F$45*Inputs!P220</f>
        <v>0</v>
      </c>
      <c r="Q72" s="11" t="n">
        <f aca="false">Inputs!$F$45*Inputs!Q220</f>
        <v>0</v>
      </c>
      <c r="R72" s="11" t="n">
        <f aca="false">Inputs!$F$45*Inputs!R220</f>
        <v>0</v>
      </c>
      <c r="S72" s="11" t="n">
        <f aca="false">Inputs!$F$45*Inputs!S220</f>
        <v>0</v>
      </c>
      <c r="T72" s="11" t="n">
        <f aca="false">Inputs!$F$45*Inputs!T220</f>
        <v>0</v>
      </c>
      <c r="U72" s="11" t="n">
        <f aca="false">Inputs!$F$45*Inputs!U220</f>
        <v>0</v>
      </c>
      <c r="V72" s="11" t="n">
        <f aca="false">Inputs!$F$45*Inputs!V220</f>
        <v>0</v>
      </c>
      <c r="W72" s="11" t="n">
        <f aca="false">Inputs!$F$45*Inputs!W220</f>
        <v>0</v>
      </c>
      <c r="X72" s="11" t="n">
        <f aca="false">Inputs!$F$45*Inputs!X220</f>
        <v>0</v>
      </c>
      <c r="Y72" s="11" t="n">
        <f aca="false">Inputs!$F$45*Inputs!Y220</f>
        <v>0</v>
      </c>
      <c r="Z72" s="11" t="n">
        <f aca="false">Inputs!$F$45*Inputs!Z220</f>
        <v>0</v>
      </c>
      <c r="AA72" s="11" t="n">
        <f aca="false">Inputs!$F$45*Inputs!AA220</f>
        <v>0</v>
      </c>
      <c r="AB72" s="11" t="n">
        <f aca="false">Inputs!$F$45*Inputs!AB220</f>
        <v>0</v>
      </c>
      <c r="AC72" s="11" t="n">
        <f aca="false">Inputs!$F$45*Inputs!AC220</f>
        <v>0</v>
      </c>
      <c r="AD72" s="11" t="n">
        <f aca="false">Inputs!$F$45*Inputs!AD220</f>
        <v>0</v>
      </c>
      <c r="AE72" s="11" t="n">
        <f aca="false">Inputs!$F$45*Inputs!AE220</f>
        <v>0</v>
      </c>
      <c r="AF72" s="11" t="n">
        <f aca="false">Inputs!$F$45*Inputs!AF220</f>
        <v>0</v>
      </c>
      <c r="AG72" s="11" t="n">
        <f aca="false">Inputs!$F$45*Inputs!AG220</f>
        <v>0</v>
      </c>
      <c r="AH72" s="11" t="n">
        <f aca="false">Inputs!$F$45*Inputs!AH220</f>
        <v>0</v>
      </c>
      <c r="AI72" s="11" t="n">
        <f aca="false">Inputs!$F$45*Inputs!AI220</f>
        <v>0</v>
      </c>
      <c r="AJ72" s="11" t="n">
        <f aca="false">Inputs!$F$45*Inputs!AJ220</f>
        <v>0</v>
      </c>
      <c r="AK72" s="11" t="n">
        <f aca="false">Inputs!$F$45*Inputs!AK220</f>
        <v>0</v>
      </c>
      <c r="AL72" s="11" t="n">
        <f aca="false">Inputs!$F$45*Inputs!AL220</f>
        <v>0</v>
      </c>
      <c r="AM72" s="11" t="n">
        <f aca="false">Inputs!$F$45*Inputs!AM220</f>
        <v>0</v>
      </c>
      <c r="AN72" s="11" t="n">
        <f aca="false">Inputs!$F$45*Inputs!AN220</f>
        <v>0</v>
      </c>
      <c r="AO72" s="11" t="n">
        <f aca="false">Inputs!$F$45*Inputs!AO220</f>
        <v>0</v>
      </c>
      <c r="AP72" s="11" t="n">
        <f aca="false">Inputs!$F$45*Inputs!AP220</f>
        <v>0</v>
      </c>
      <c r="AQ72" s="11" t="n">
        <f aca="false">Inputs!$F$45*Inputs!AQ220</f>
        <v>0</v>
      </c>
      <c r="AR72" s="11" t="n">
        <f aca="false">Inputs!$F$45*Inputs!AR220</f>
        <v>0</v>
      </c>
      <c r="AS72" s="11" t="n">
        <f aca="false">Inputs!$F$45*Inputs!AS220</f>
        <v>0</v>
      </c>
      <c r="AT72" s="11" t="n">
        <f aca="false">Inputs!$F$45*Inputs!AT220</f>
        <v>0</v>
      </c>
      <c r="AU72" s="11" t="n">
        <f aca="false">Inputs!$F$45*Inputs!AU220</f>
        <v>0</v>
      </c>
      <c r="AV72" s="11" t="n">
        <f aca="false">Inputs!$F$45*Inputs!AV220</f>
        <v>0</v>
      </c>
      <c r="AW72" s="11" t="n">
        <f aca="false">Inputs!$F$45*Inputs!AW220</f>
        <v>0</v>
      </c>
      <c r="AX72" s="11" t="n">
        <f aca="false">Inputs!$F$45*Inputs!AX220</f>
        <v>0</v>
      </c>
      <c r="AY72" s="11" t="n">
        <f aca="false">Inputs!$F$45*Inputs!AY220</f>
        <v>0</v>
      </c>
      <c r="AZ72" s="11" t="n">
        <f aca="false">Inputs!$F$45*Inputs!AZ220</f>
        <v>0</v>
      </c>
      <c r="BA72" s="11" t="n">
        <f aca="false">Inputs!$F$45*Inputs!BA220</f>
        <v>0</v>
      </c>
      <c r="BB72" s="11" t="n">
        <f aca="false">Inputs!$F$45*Inputs!BB220</f>
        <v>0</v>
      </c>
      <c r="BC72" s="11" t="n">
        <f aca="false">Inputs!$F$45*Inputs!BC220</f>
        <v>0</v>
      </c>
      <c r="BD72" s="11" t="n">
        <f aca="false">Inputs!$F$45*Inputs!BD220</f>
        <v>0</v>
      </c>
      <c r="BE72" s="11" t="n">
        <f aca="false">Inputs!$F$45*Inputs!BE220</f>
        <v>0</v>
      </c>
      <c r="BF72" s="11" t="n">
        <f aca="false">Inputs!$F$45*Inputs!BF220</f>
        <v>0</v>
      </c>
      <c r="BG72" s="11" t="n">
        <f aca="false">Inputs!$F$45*Inputs!BG220</f>
        <v>0</v>
      </c>
      <c r="BH72" s="11" t="n">
        <f aca="false">Inputs!$F$45*Inputs!BH220</f>
        <v>0</v>
      </c>
      <c r="BI72" s="11" t="n">
        <f aca="false">Inputs!$F$45*Inputs!BI220</f>
        <v>0</v>
      </c>
      <c r="BJ72" s="11" t="n">
        <f aca="false">Inputs!$F$45*Inputs!BJ220</f>
        <v>0</v>
      </c>
      <c r="BK72" s="11" t="n">
        <f aca="false">Inputs!$F$45*Inputs!BK220</f>
        <v>0</v>
      </c>
      <c r="BL72" s="11" t="n">
        <f aca="false">Inputs!$F$45*Inputs!BL220</f>
        <v>0</v>
      </c>
      <c r="BM72" s="11" t="n">
        <f aca="false">Inputs!$F$45*Inputs!BM220</f>
        <v>0</v>
      </c>
      <c r="BN72" s="11" t="n">
        <f aca="false">Inputs!$F$45*Inputs!BN220</f>
        <v>0</v>
      </c>
    </row>
    <row r="73" customFormat="false" ht="15" hidden="false" customHeight="false" outlineLevel="0" collapsed="false">
      <c r="D73" s="0" t="s">
        <v>521</v>
      </c>
      <c r="E73" s="0" t="s">
        <v>477</v>
      </c>
      <c r="J73" s="9" t="n">
        <f aca="false">INT((Time!J28-7)/12)+1</f>
        <v>0</v>
      </c>
      <c r="K73" s="9" t="n">
        <f aca="false">INT((Time!K28-7)/12)+1</f>
        <v>0</v>
      </c>
      <c r="L73" s="9" t="n">
        <f aca="false">INT((Time!L28-7)/12)+1</f>
        <v>0</v>
      </c>
      <c r="M73" s="9" t="n">
        <f aca="false">INT((Time!M28-7)/12)+1</f>
        <v>0</v>
      </c>
      <c r="N73" s="9" t="n">
        <f aca="false">INT((Time!N28-7)/12)+1</f>
        <v>0</v>
      </c>
      <c r="O73" s="9" t="n">
        <f aca="false">INT((Time!O28-7)/12)+1</f>
        <v>0</v>
      </c>
      <c r="P73" s="9" t="n">
        <f aca="false">INT((Time!P28-7)/12)+1</f>
        <v>0</v>
      </c>
      <c r="Q73" s="9" t="n">
        <f aca="false">INT((Time!Q28-7)/12)+1</f>
        <v>1</v>
      </c>
      <c r="R73" s="9" t="n">
        <f aca="false">INT((Time!R28-7)/12)+1</f>
        <v>1</v>
      </c>
      <c r="S73" s="9" t="n">
        <f aca="false">INT((Time!S28-7)/12)+1</f>
        <v>2</v>
      </c>
      <c r="T73" s="9" t="n">
        <f aca="false">INT((Time!T28-7)/12)+1</f>
        <v>2</v>
      </c>
      <c r="U73" s="9" t="n">
        <f aca="false">INT((Time!U28-7)/12)+1</f>
        <v>3</v>
      </c>
      <c r="V73" s="9" t="n">
        <f aca="false">INT((Time!V28-7)/12)+1</f>
        <v>3</v>
      </c>
      <c r="W73" s="9" t="n">
        <f aca="false">INT((Time!W28-7)/12)+1</f>
        <v>4</v>
      </c>
      <c r="X73" s="9" t="n">
        <f aca="false">INT((Time!X28-7)/12)+1</f>
        <v>4</v>
      </c>
      <c r="Y73" s="9" t="n">
        <f aca="false">INT((Time!Y28-7)/12)+1</f>
        <v>5</v>
      </c>
      <c r="Z73" s="9" t="n">
        <f aca="false">INT((Time!Z28-7)/12)+1</f>
        <v>5</v>
      </c>
      <c r="AA73" s="9" t="n">
        <f aca="false">INT((Time!AA28-7)/12)+1</f>
        <v>6</v>
      </c>
      <c r="AB73" s="9" t="n">
        <f aca="false">INT((Time!AB28-7)/12)+1</f>
        <v>6</v>
      </c>
      <c r="AC73" s="9" t="n">
        <f aca="false">INT((Time!AC28-7)/12)+1</f>
        <v>7</v>
      </c>
      <c r="AD73" s="9" t="n">
        <f aca="false">INT((Time!AD28-7)/12)+1</f>
        <v>7</v>
      </c>
      <c r="AE73" s="9" t="n">
        <f aca="false">INT((Time!AE28-7)/12)+1</f>
        <v>8</v>
      </c>
      <c r="AF73" s="9" t="n">
        <f aca="false">INT((Time!AF28-7)/12)+1</f>
        <v>8</v>
      </c>
      <c r="AG73" s="9" t="n">
        <f aca="false">INT((Time!AG28-7)/12)+1</f>
        <v>9</v>
      </c>
      <c r="AH73" s="9" t="n">
        <f aca="false">INT((Time!AH28-7)/12)+1</f>
        <v>9</v>
      </c>
      <c r="AI73" s="9" t="n">
        <f aca="false">INT((Time!AI28-7)/12)+1</f>
        <v>10</v>
      </c>
      <c r="AJ73" s="9" t="n">
        <f aca="false">INT((Time!AJ28-7)/12)+1</f>
        <v>10</v>
      </c>
      <c r="AK73" s="9" t="n">
        <f aca="false">INT((Time!AK28-7)/12)+1</f>
        <v>11</v>
      </c>
      <c r="AL73" s="9" t="n">
        <f aca="false">INT((Time!AL28-7)/12)+1</f>
        <v>11</v>
      </c>
      <c r="AM73" s="9" t="n">
        <f aca="false">INT((Time!AM28-7)/12)+1</f>
        <v>12</v>
      </c>
      <c r="AN73" s="9" t="n">
        <f aca="false">INT((Time!AN28-7)/12)+1</f>
        <v>12</v>
      </c>
      <c r="AO73" s="9" t="n">
        <f aca="false">INT((Time!AO28-7)/12)+1</f>
        <v>13</v>
      </c>
      <c r="AP73" s="9" t="n">
        <f aca="false">INT((Time!AP28-7)/12)+1</f>
        <v>13</v>
      </c>
      <c r="AQ73" s="9" t="n">
        <f aca="false">INT((Time!AQ28-7)/12)+1</f>
        <v>14</v>
      </c>
      <c r="AR73" s="9" t="n">
        <f aca="false">INT((Time!AR28-7)/12)+1</f>
        <v>14</v>
      </c>
      <c r="AS73" s="9" t="n">
        <f aca="false">INT((Time!AS28-7)/12)+1</f>
        <v>15</v>
      </c>
      <c r="AT73" s="9" t="n">
        <f aca="false">INT((Time!AT28-7)/12)+1</f>
        <v>15</v>
      </c>
      <c r="AU73" s="9" t="n">
        <f aca="false">INT((Time!AU28-7)/12)+1</f>
        <v>16</v>
      </c>
      <c r="AV73" s="9" t="n">
        <f aca="false">INT((Time!AV28-7)/12)+1</f>
        <v>16</v>
      </c>
      <c r="AW73" s="9" t="n">
        <f aca="false">INT((Time!AW28-7)/12)+1</f>
        <v>17</v>
      </c>
      <c r="AX73" s="9" t="n">
        <f aca="false">INT((Time!AX28-7)/12)+1</f>
        <v>17</v>
      </c>
      <c r="AY73" s="9" t="n">
        <f aca="false">INT((Time!AY28-7)/12)+1</f>
        <v>18</v>
      </c>
      <c r="AZ73" s="9" t="n">
        <f aca="false">INT((Time!AZ28-7)/12)+1</f>
        <v>18</v>
      </c>
      <c r="BA73" s="9" t="n">
        <f aca="false">INT((Time!BA28-7)/12)+1</f>
        <v>19</v>
      </c>
      <c r="BB73" s="9" t="n">
        <f aca="false">INT((Time!BB28-7)/12)+1</f>
        <v>19</v>
      </c>
      <c r="BC73" s="9" t="n">
        <f aca="false">INT((Time!BC28-7)/12)+1</f>
        <v>20</v>
      </c>
      <c r="BD73" s="9" t="n">
        <f aca="false">INT((Time!BD28-7)/12)+1</f>
        <v>20</v>
      </c>
      <c r="BE73" s="9" t="n">
        <f aca="false">INT((Time!BE28-7)/12)+1</f>
        <v>21</v>
      </c>
      <c r="BF73" s="9" t="n">
        <f aca="false">INT((Time!BF28-7)/12)+1</f>
        <v>21</v>
      </c>
      <c r="BG73" s="9" t="n">
        <f aca="false">INT((Time!BG28-7)/12)+1</f>
        <v>22</v>
      </c>
      <c r="BH73" s="9" t="n">
        <f aca="false">INT((Time!BH28-7)/12)+1</f>
        <v>22</v>
      </c>
      <c r="BI73" s="9" t="n">
        <f aca="false">INT((Time!BI28-7)/12)+1</f>
        <v>23</v>
      </c>
      <c r="BJ73" s="9" t="n">
        <f aca="false">INT((Time!BJ28-7)/12)+1</f>
        <v>23</v>
      </c>
      <c r="BK73" s="9" t="n">
        <f aca="false">INT((Time!BK28-7)/12)+1</f>
        <v>24</v>
      </c>
      <c r="BL73" s="9" t="n">
        <f aca="false">INT((Time!BL28-7)/12)+1</f>
        <v>24</v>
      </c>
      <c r="BM73" s="9" t="n">
        <f aca="false">INT((Time!BM28-7)/12)+1</f>
        <v>25</v>
      </c>
      <c r="BN73" s="9" t="n">
        <f aca="false">INT((Time!BN28-7)/12)+1</f>
        <v>25</v>
      </c>
    </row>
    <row r="74" customFormat="false" ht="15" hidden="false" customHeight="false" outlineLevel="0" collapsed="false">
      <c r="D74" s="0" t="s">
        <v>522</v>
      </c>
      <c r="E74" s="0" t="s">
        <v>149</v>
      </c>
      <c r="J74" s="11" t="n">
        <f aca="false">IF(AND(Time!J25&gt;0,J73&gt;=1,J73&lt;=24,Time!J27&lt;(J73-1)*12+7,(J73-1)*12+7&lt;=Time!J28),IF(MOD(J73,8)=0,Inputs!$F$164,IF(MOD(J73,4)=0,Inputs!$F$165,0)),0)</f>
        <v>0</v>
      </c>
      <c r="K74" s="11" t="n">
        <f aca="false">IF(AND(Time!K25&gt;0,K73&gt;=1,K73&lt;=24,Time!K27&lt;(K73-1)*12+7,(K73-1)*12+7&lt;=Time!K28),IF(MOD(K73,8)=0,Inputs!$F$164,IF(MOD(K73,4)=0,Inputs!$F$165,0)),0)</f>
        <v>0</v>
      </c>
      <c r="L74" s="11" t="n">
        <f aca="false">IF(AND(Time!L25&gt;0,L73&gt;=1,L73&lt;=24,Time!L27&lt;(L73-1)*12+7,(L73-1)*12+7&lt;=Time!L28),IF(MOD(L73,8)=0,Inputs!$F$164,IF(MOD(L73,4)=0,Inputs!$F$165,0)),0)</f>
        <v>0</v>
      </c>
      <c r="M74" s="11" t="n">
        <f aca="false">IF(AND(Time!M25&gt;0,M73&gt;=1,M73&lt;=24,Time!M27&lt;(M73-1)*12+7,(M73-1)*12+7&lt;=Time!M28),IF(MOD(M73,8)=0,Inputs!$F$164,IF(MOD(M73,4)=0,Inputs!$F$165,0)),0)</f>
        <v>0</v>
      </c>
      <c r="N74" s="11" t="n">
        <f aca="false">IF(AND(Time!N25&gt;0,N73&gt;=1,N73&lt;=24,Time!N27&lt;(N73-1)*12+7,(N73-1)*12+7&lt;=Time!N28),IF(MOD(N73,8)=0,Inputs!$F$164,IF(MOD(N73,4)=0,Inputs!$F$165,0)),0)</f>
        <v>0</v>
      </c>
      <c r="O74" s="11" t="n">
        <f aca="false">IF(AND(Time!O25&gt;0,O73&gt;=1,O73&lt;=24,Time!O27&lt;(O73-1)*12+7,(O73-1)*12+7&lt;=Time!O28),IF(MOD(O73,8)=0,Inputs!$F$164,IF(MOD(O73,4)=0,Inputs!$F$165,0)),0)</f>
        <v>0</v>
      </c>
      <c r="P74" s="11" t="n">
        <f aca="false">IF(AND(Time!P25&gt;0,P73&gt;=1,P73&lt;=24,Time!P27&lt;(P73-1)*12+7,(P73-1)*12+7&lt;=Time!P28),IF(MOD(P73,8)=0,Inputs!$F$164,IF(MOD(P73,4)=0,Inputs!$F$165,0)),0)</f>
        <v>0</v>
      </c>
      <c r="Q74" s="11" t="n">
        <f aca="false">IF(AND(Time!Q25&gt;0,Q73&gt;=1,Q73&lt;=24,Time!Q27&lt;(Q73-1)*12+7,(Q73-1)*12+7&lt;=Time!Q28),IF(MOD(Q73,8)=0,Inputs!$F$164,IF(MOD(Q73,4)=0,Inputs!$F$165,0)),0)</f>
        <v>0</v>
      </c>
      <c r="R74" s="11" t="n">
        <f aca="false">IF(AND(Time!R25&gt;0,R73&gt;=1,R73&lt;=24,Time!R27&lt;(R73-1)*12+7,(R73-1)*12+7&lt;=Time!R28),IF(MOD(R73,8)=0,Inputs!$F$164,IF(MOD(R73,4)=0,Inputs!$F$165,0)),0)</f>
        <v>0</v>
      </c>
      <c r="S74" s="11" t="n">
        <f aca="false">IF(AND(Time!S25&gt;0,S73&gt;=1,S73&lt;=24,Time!S27&lt;(S73-1)*12+7,(S73-1)*12+7&lt;=Time!S28),IF(MOD(S73,8)=0,Inputs!$F$164,IF(MOD(S73,4)=0,Inputs!$F$165,0)),0)</f>
        <v>0</v>
      </c>
      <c r="T74" s="11" t="n">
        <f aca="false">IF(AND(Time!T25&gt;0,T73&gt;=1,T73&lt;=24,Time!T27&lt;(T73-1)*12+7,(T73-1)*12+7&lt;=Time!T28),IF(MOD(T73,8)=0,Inputs!$F$164,IF(MOD(T73,4)=0,Inputs!$F$165,0)),0)</f>
        <v>0</v>
      </c>
      <c r="U74" s="11" t="n">
        <f aca="false">IF(AND(Time!U25&gt;0,U73&gt;=1,U73&lt;=24,Time!U27&lt;(U73-1)*12+7,(U73-1)*12+7&lt;=Time!U28),IF(MOD(U73,8)=0,Inputs!$F$164,IF(MOD(U73,4)=0,Inputs!$F$165,0)),0)</f>
        <v>0</v>
      </c>
      <c r="V74" s="11" t="n">
        <f aca="false">IF(AND(Time!V25&gt;0,V73&gt;=1,V73&lt;=24,Time!V27&lt;(V73-1)*12+7,(V73-1)*12+7&lt;=Time!V28),IF(MOD(V73,8)=0,Inputs!$F$164,IF(MOD(V73,4)=0,Inputs!$F$165,0)),0)</f>
        <v>0</v>
      </c>
      <c r="W74" s="11" t="n">
        <f aca="false">IF(AND(Time!W25&gt;0,W73&gt;=1,W73&lt;=24,Time!W27&lt;(W73-1)*12+7,(W73-1)*12+7&lt;=Time!W28),IF(MOD(W73,8)=0,Inputs!$F$164,IF(MOD(W73,4)=0,Inputs!$F$165,0)),0)</f>
        <v>2.18</v>
      </c>
      <c r="X74" s="11" t="n">
        <f aca="false">IF(AND(Time!X25&gt;0,X73&gt;=1,X73&lt;=24,Time!X27&lt;(X73-1)*12+7,(X73-1)*12+7&lt;=Time!X28),IF(MOD(X73,8)=0,Inputs!$F$164,IF(MOD(X73,4)=0,Inputs!$F$165,0)),0)</f>
        <v>0</v>
      </c>
      <c r="Y74" s="11" t="n">
        <f aca="false">IF(AND(Time!Y25&gt;0,Y73&gt;=1,Y73&lt;=24,Time!Y27&lt;(Y73-1)*12+7,(Y73-1)*12+7&lt;=Time!Y28),IF(MOD(Y73,8)=0,Inputs!$F$164,IF(MOD(Y73,4)=0,Inputs!$F$165,0)),0)</f>
        <v>0</v>
      </c>
      <c r="Z74" s="11" t="n">
        <f aca="false">IF(AND(Time!Z25&gt;0,Z73&gt;=1,Z73&lt;=24,Time!Z27&lt;(Z73-1)*12+7,(Z73-1)*12+7&lt;=Time!Z28),IF(MOD(Z73,8)=0,Inputs!$F$164,IF(MOD(Z73,4)=0,Inputs!$F$165,0)),0)</f>
        <v>0</v>
      </c>
      <c r="AA74" s="11" t="n">
        <f aca="false">IF(AND(Time!AA25&gt;0,AA73&gt;=1,AA73&lt;=24,Time!AA27&lt;(AA73-1)*12+7,(AA73-1)*12+7&lt;=Time!AA28),IF(MOD(AA73,8)=0,Inputs!$F$164,IF(MOD(AA73,4)=0,Inputs!$F$165,0)),0)</f>
        <v>0</v>
      </c>
      <c r="AB74" s="11" t="n">
        <f aca="false">IF(AND(Time!AB25&gt;0,AB73&gt;=1,AB73&lt;=24,Time!AB27&lt;(AB73-1)*12+7,(AB73-1)*12+7&lt;=Time!AB28),IF(MOD(AB73,8)=0,Inputs!$F$164,IF(MOD(AB73,4)=0,Inputs!$F$165,0)),0)</f>
        <v>0</v>
      </c>
      <c r="AC74" s="11" t="n">
        <f aca="false">IF(AND(Time!AC25&gt;0,AC73&gt;=1,AC73&lt;=24,Time!AC27&lt;(AC73-1)*12+7,(AC73-1)*12+7&lt;=Time!AC28),IF(MOD(AC73,8)=0,Inputs!$F$164,IF(MOD(AC73,4)=0,Inputs!$F$165,0)),0)</f>
        <v>0</v>
      </c>
      <c r="AD74" s="11" t="n">
        <f aca="false">IF(AND(Time!AD25&gt;0,AD73&gt;=1,AD73&lt;=24,Time!AD27&lt;(AD73-1)*12+7,(AD73-1)*12+7&lt;=Time!AD28),IF(MOD(AD73,8)=0,Inputs!$F$164,IF(MOD(AD73,4)=0,Inputs!$F$165,0)),0)</f>
        <v>0</v>
      </c>
      <c r="AE74" s="11" t="n">
        <f aca="false">IF(AND(Time!AE25&gt;0,AE73&gt;=1,AE73&lt;=24,Time!AE27&lt;(AE73-1)*12+7,(AE73-1)*12+7&lt;=Time!AE28),IF(MOD(AE73,8)=0,Inputs!$F$164,IF(MOD(AE73,4)=0,Inputs!$F$165,0)),0)</f>
        <v>9.47</v>
      </c>
      <c r="AF74" s="11" t="n">
        <f aca="false">IF(AND(Time!AF25&gt;0,AF73&gt;=1,AF73&lt;=24,Time!AF27&lt;(AF73-1)*12+7,(AF73-1)*12+7&lt;=Time!AF28),IF(MOD(AF73,8)=0,Inputs!$F$164,IF(MOD(AF73,4)=0,Inputs!$F$165,0)),0)</f>
        <v>0</v>
      </c>
      <c r="AG74" s="11" t="n">
        <f aca="false">IF(AND(Time!AG25&gt;0,AG73&gt;=1,AG73&lt;=24,Time!AG27&lt;(AG73-1)*12+7,(AG73-1)*12+7&lt;=Time!AG28),IF(MOD(AG73,8)=0,Inputs!$F$164,IF(MOD(AG73,4)=0,Inputs!$F$165,0)),0)</f>
        <v>0</v>
      </c>
      <c r="AH74" s="11" t="n">
        <f aca="false">IF(AND(Time!AH25&gt;0,AH73&gt;=1,AH73&lt;=24,Time!AH27&lt;(AH73-1)*12+7,(AH73-1)*12+7&lt;=Time!AH28),IF(MOD(AH73,8)=0,Inputs!$F$164,IF(MOD(AH73,4)=0,Inputs!$F$165,0)),0)</f>
        <v>0</v>
      </c>
      <c r="AI74" s="11" t="n">
        <f aca="false">IF(AND(Time!AI25&gt;0,AI73&gt;=1,AI73&lt;=24,Time!AI27&lt;(AI73-1)*12+7,(AI73-1)*12+7&lt;=Time!AI28),IF(MOD(AI73,8)=0,Inputs!$F$164,IF(MOD(AI73,4)=0,Inputs!$F$165,0)),0)</f>
        <v>0</v>
      </c>
      <c r="AJ74" s="11" t="n">
        <f aca="false">IF(AND(Time!AJ25&gt;0,AJ73&gt;=1,AJ73&lt;=24,Time!AJ27&lt;(AJ73-1)*12+7,(AJ73-1)*12+7&lt;=Time!AJ28),IF(MOD(AJ73,8)=0,Inputs!$F$164,IF(MOD(AJ73,4)=0,Inputs!$F$165,0)),0)</f>
        <v>0</v>
      </c>
      <c r="AK74" s="11" t="n">
        <f aca="false">IF(AND(Time!AK25&gt;0,AK73&gt;=1,AK73&lt;=24,Time!AK27&lt;(AK73-1)*12+7,(AK73-1)*12+7&lt;=Time!AK28),IF(MOD(AK73,8)=0,Inputs!$F$164,IF(MOD(AK73,4)=0,Inputs!$F$165,0)),0)</f>
        <v>0</v>
      </c>
      <c r="AL74" s="11" t="n">
        <f aca="false">IF(AND(Time!AL25&gt;0,AL73&gt;=1,AL73&lt;=24,Time!AL27&lt;(AL73-1)*12+7,(AL73-1)*12+7&lt;=Time!AL28),IF(MOD(AL73,8)=0,Inputs!$F$164,IF(MOD(AL73,4)=0,Inputs!$F$165,0)),0)</f>
        <v>0</v>
      </c>
      <c r="AM74" s="11" t="n">
        <f aca="false">IF(AND(Time!AM25&gt;0,AM73&gt;=1,AM73&lt;=24,Time!AM27&lt;(AM73-1)*12+7,(AM73-1)*12+7&lt;=Time!AM28),IF(MOD(AM73,8)=0,Inputs!$F$164,IF(MOD(AM73,4)=0,Inputs!$F$165,0)),0)</f>
        <v>2.18</v>
      </c>
      <c r="AN74" s="11" t="n">
        <f aca="false">IF(AND(Time!AN25&gt;0,AN73&gt;=1,AN73&lt;=24,Time!AN27&lt;(AN73-1)*12+7,(AN73-1)*12+7&lt;=Time!AN28),IF(MOD(AN73,8)=0,Inputs!$F$164,IF(MOD(AN73,4)=0,Inputs!$F$165,0)),0)</f>
        <v>0</v>
      </c>
      <c r="AO74" s="11" t="n">
        <f aca="false">IF(AND(Time!AO25&gt;0,AO73&gt;=1,AO73&lt;=24,Time!AO27&lt;(AO73-1)*12+7,(AO73-1)*12+7&lt;=Time!AO28),IF(MOD(AO73,8)=0,Inputs!$F$164,IF(MOD(AO73,4)=0,Inputs!$F$165,0)),0)</f>
        <v>0</v>
      </c>
      <c r="AP74" s="11" t="n">
        <f aca="false">IF(AND(Time!AP25&gt;0,AP73&gt;=1,AP73&lt;=24,Time!AP27&lt;(AP73-1)*12+7,(AP73-1)*12+7&lt;=Time!AP28),IF(MOD(AP73,8)=0,Inputs!$F$164,IF(MOD(AP73,4)=0,Inputs!$F$165,0)),0)</f>
        <v>0</v>
      </c>
      <c r="AQ74" s="11" t="n">
        <f aca="false">IF(AND(Time!AQ25&gt;0,AQ73&gt;=1,AQ73&lt;=24,Time!AQ27&lt;(AQ73-1)*12+7,(AQ73-1)*12+7&lt;=Time!AQ28),IF(MOD(AQ73,8)=0,Inputs!$F$164,IF(MOD(AQ73,4)=0,Inputs!$F$165,0)),0)</f>
        <v>0</v>
      </c>
      <c r="AR74" s="11" t="n">
        <f aca="false">IF(AND(Time!AR25&gt;0,AR73&gt;=1,AR73&lt;=24,Time!AR27&lt;(AR73-1)*12+7,(AR73-1)*12+7&lt;=Time!AR28),IF(MOD(AR73,8)=0,Inputs!$F$164,IF(MOD(AR73,4)=0,Inputs!$F$165,0)),0)</f>
        <v>0</v>
      </c>
      <c r="AS74" s="11" t="n">
        <f aca="false">IF(AND(Time!AS25&gt;0,AS73&gt;=1,AS73&lt;=24,Time!AS27&lt;(AS73-1)*12+7,(AS73-1)*12+7&lt;=Time!AS28),IF(MOD(AS73,8)=0,Inputs!$F$164,IF(MOD(AS73,4)=0,Inputs!$F$165,0)),0)</f>
        <v>0</v>
      </c>
      <c r="AT74" s="11" t="n">
        <f aca="false">IF(AND(Time!AT25&gt;0,AT73&gt;=1,AT73&lt;=24,Time!AT27&lt;(AT73-1)*12+7,(AT73-1)*12+7&lt;=Time!AT28),IF(MOD(AT73,8)=0,Inputs!$F$164,IF(MOD(AT73,4)=0,Inputs!$F$165,0)),0)</f>
        <v>0</v>
      </c>
      <c r="AU74" s="11" t="n">
        <f aca="false">IF(AND(Time!AU25&gt;0,AU73&gt;=1,AU73&lt;=24,Time!AU27&lt;(AU73-1)*12+7,(AU73-1)*12+7&lt;=Time!AU28),IF(MOD(AU73,8)=0,Inputs!$F$164,IF(MOD(AU73,4)=0,Inputs!$F$165,0)),0)</f>
        <v>9.47</v>
      </c>
      <c r="AV74" s="11" t="n">
        <f aca="false">IF(AND(Time!AV25&gt;0,AV73&gt;=1,AV73&lt;=24,Time!AV27&lt;(AV73-1)*12+7,(AV73-1)*12+7&lt;=Time!AV28),IF(MOD(AV73,8)=0,Inputs!$F$164,IF(MOD(AV73,4)=0,Inputs!$F$165,0)),0)</f>
        <v>0</v>
      </c>
      <c r="AW74" s="11" t="n">
        <f aca="false">IF(AND(Time!AW25&gt;0,AW73&gt;=1,AW73&lt;=24,Time!AW27&lt;(AW73-1)*12+7,(AW73-1)*12+7&lt;=Time!AW28),IF(MOD(AW73,8)=0,Inputs!$F$164,IF(MOD(AW73,4)=0,Inputs!$F$165,0)),0)</f>
        <v>0</v>
      </c>
      <c r="AX74" s="11" t="n">
        <f aca="false">IF(AND(Time!AX25&gt;0,AX73&gt;=1,AX73&lt;=24,Time!AX27&lt;(AX73-1)*12+7,(AX73-1)*12+7&lt;=Time!AX28),IF(MOD(AX73,8)=0,Inputs!$F$164,IF(MOD(AX73,4)=0,Inputs!$F$165,0)),0)</f>
        <v>0</v>
      </c>
      <c r="AY74" s="11" t="n">
        <f aca="false">IF(AND(Time!AY25&gt;0,AY73&gt;=1,AY73&lt;=24,Time!AY27&lt;(AY73-1)*12+7,(AY73-1)*12+7&lt;=Time!AY28),IF(MOD(AY73,8)=0,Inputs!$F$164,IF(MOD(AY73,4)=0,Inputs!$F$165,0)),0)</f>
        <v>0</v>
      </c>
      <c r="AZ74" s="11" t="n">
        <f aca="false">IF(AND(Time!AZ25&gt;0,AZ73&gt;=1,AZ73&lt;=24,Time!AZ27&lt;(AZ73-1)*12+7,(AZ73-1)*12+7&lt;=Time!AZ28),IF(MOD(AZ73,8)=0,Inputs!$F$164,IF(MOD(AZ73,4)=0,Inputs!$F$165,0)),0)</f>
        <v>0</v>
      </c>
      <c r="BA74" s="11" t="n">
        <f aca="false">IF(AND(Time!BA25&gt;0,BA73&gt;=1,BA73&lt;=24,Time!BA27&lt;(BA73-1)*12+7,(BA73-1)*12+7&lt;=Time!BA28),IF(MOD(BA73,8)=0,Inputs!$F$164,IF(MOD(BA73,4)=0,Inputs!$F$165,0)),0)</f>
        <v>0</v>
      </c>
      <c r="BB74" s="11" t="n">
        <f aca="false">IF(AND(Time!BB25&gt;0,BB73&gt;=1,BB73&lt;=24,Time!BB27&lt;(BB73-1)*12+7,(BB73-1)*12+7&lt;=Time!BB28),IF(MOD(BB73,8)=0,Inputs!$F$164,IF(MOD(BB73,4)=0,Inputs!$F$165,0)),0)</f>
        <v>0</v>
      </c>
      <c r="BC74" s="11" t="n">
        <f aca="false">IF(AND(Time!BC25&gt;0,BC73&gt;=1,BC73&lt;=24,Time!BC27&lt;(BC73-1)*12+7,(BC73-1)*12+7&lt;=Time!BC28),IF(MOD(BC73,8)=0,Inputs!$F$164,IF(MOD(BC73,4)=0,Inputs!$F$165,0)),0)</f>
        <v>2.18</v>
      </c>
      <c r="BD74" s="11" t="n">
        <f aca="false">IF(AND(Time!BD25&gt;0,BD73&gt;=1,BD73&lt;=24,Time!BD27&lt;(BD73-1)*12+7,(BD73-1)*12+7&lt;=Time!BD28),IF(MOD(BD73,8)=0,Inputs!$F$164,IF(MOD(BD73,4)=0,Inputs!$F$165,0)),0)</f>
        <v>0</v>
      </c>
      <c r="BE74" s="11" t="n">
        <f aca="false">IF(AND(Time!BE25&gt;0,BE73&gt;=1,BE73&lt;=24,Time!BE27&lt;(BE73-1)*12+7,(BE73-1)*12+7&lt;=Time!BE28),IF(MOD(BE73,8)=0,Inputs!$F$164,IF(MOD(BE73,4)=0,Inputs!$F$165,0)),0)</f>
        <v>0</v>
      </c>
      <c r="BF74" s="11" t="n">
        <f aca="false">IF(AND(Time!BF25&gt;0,BF73&gt;=1,BF73&lt;=24,Time!BF27&lt;(BF73-1)*12+7,(BF73-1)*12+7&lt;=Time!BF28),IF(MOD(BF73,8)=0,Inputs!$F$164,IF(MOD(BF73,4)=0,Inputs!$F$165,0)),0)</f>
        <v>0</v>
      </c>
      <c r="BG74" s="11" t="n">
        <f aca="false">IF(AND(Time!BG25&gt;0,BG73&gt;=1,BG73&lt;=24,Time!BG27&lt;(BG73-1)*12+7,(BG73-1)*12+7&lt;=Time!BG28),IF(MOD(BG73,8)=0,Inputs!$F$164,IF(MOD(BG73,4)=0,Inputs!$F$165,0)),0)</f>
        <v>0</v>
      </c>
      <c r="BH74" s="11" t="n">
        <f aca="false">IF(AND(Time!BH25&gt;0,BH73&gt;=1,BH73&lt;=24,Time!BH27&lt;(BH73-1)*12+7,(BH73-1)*12+7&lt;=Time!BH28),IF(MOD(BH73,8)=0,Inputs!$F$164,IF(MOD(BH73,4)=0,Inputs!$F$165,0)),0)</f>
        <v>0</v>
      </c>
      <c r="BI74" s="11" t="n">
        <f aca="false">IF(AND(Time!BI25&gt;0,BI73&gt;=1,BI73&lt;=24,Time!BI27&lt;(BI73-1)*12+7,(BI73-1)*12+7&lt;=Time!BI28),IF(MOD(BI73,8)=0,Inputs!$F$164,IF(MOD(BI73,4)=0,Inputs!$F$165,0)),0)</f>
        <v>0</v>
      </c>
      <c r="BJ74" s="11" t="n">
        <f aca="false">IF(AND(Time!BJ25&gt;0,BJ73&gt;=1,BJ73&lt;=24,Time!BJ27&lt;(BJ73-1)*12+7,(BJ73-1)*12+7&lt;=Time!BJ28),IF(MOD(BJ73,8)=0,Inputs!$F$164,IF(MOD(BJ73,4)=0,Inputs!$F$165,0)),0)</f>
        <v>0</v>
      </c>
      <c r="BK74" s="11" t="n">
        <f aca="false">IF(AND(Time!BK25&gt;0,BK73&gt;=1,BK73&lt;=24,Time!BK27&lt;(BK73-1)*12+7,(BK73-1)*12+7&lt;=Time!BK28),IF(MOD(BK73,8)=0,Inputs!$F$164,IF(MOD(BK73,4)=0,Inputs!$F$165,0)),0)</f>
        <v>9.47</v>
      </c>
      <c r="BL74" s="11" t="n">
        <f aca="false">IF(AND(Time!BL25&gt;0,BL73&gt;=1,BL73&lt;=24,Time!BL27&lt;(BL73-1)*12+7,(BL73-1)*12+7&lt;=Time!BL28),IF(MOD(BL73,8)=0,Inputs!$F$164,IF(MOD(BL73,4)=0,Inputs!$F$165,0)),0)</f>
        <v>0</v>
      </c>
      <c r="BM74" s="11" t="n">
        <f aca="false">IF(AND(Time!BM25&gt;0,BM73&gt;=1,BM73&lt;=24,Time!BM27&lt;(BM73-1)*12+7,(BM73-1)*12+7&lt;=Time!BM28),IF(MOD(BM73,8)=0,Inputs!$F$164,IF(MOD(BM73,4)=0,Inputs!$F$165,0)),0)</f>
        <v>0</v>
      </c>
      <c r="BN74" s="11" t="n">
        <f aca="false">IF(AND(Time!BN25&gt;0,BN73&gt;=1,BN73&lt;=24,Time!BN27&lt;(BN73-1)*12+7,(BN73-1)*12+7&lt;=Time!BN28),IF(MOD(BN73,8)=0,Inputs!$F$164,IF(MOD(BN73,4)=0,Inputs!$F$165,0)),0)</f>
        <v>0</v>
      </c>
    </row>
    <row r="75" customFormat="false" ht="15" hidden="false" customHeight="false" outlineLevel="0" collapsed="false">
      <c r="D75" s="0" t="s">
        <v>523</v>
      </c>
      <c r="E75" s="0" t="s">
        <v>149</v>
      </c>
      <c r="G75" s="11" t="n">
        <f aca="false">SUM(J75:BN75)</f>
        <v>52.263650417766</v>
      </c>
      <c r="J75" s="11" t="n">
        <f aca="false">J74*J19</f>
        <v>0</v>
      </c>
      <c r="K75" s="11" t="n">
        <f aca="false">K74*K19</f>
        <v>0</v>
      </c>
      <c r="L75" s="11" t="n">
        <f aca="false">L74*L19</f>
        <v>0</v>
      </c>
      <c r="M75" s="11" t="n">
        <f aca="false">M74*M19</f>
        <v>0</v>
      </c>
      <c r="N75" s="11" t="n">
        <f aca="false">N74*N19</f>
        <v>0</v>
      </c>
      <c r="O75" s="11" t="n">
        <f aca="false">O74*O19</f>
        <v>0</v>
      </c>
      <c r="P75" s="11" t="n">
        <f aca="false">P74*P19</f>
        <v>0</v>
      </c>
      <c r="Q75" s="11" t="n">
        <f aca="false">Q74*Q19</f>
        <v>0</v>
      </c>
      <c r="R75" s="11" t="n">
        <f aca="false">R74*R19</f>
        <v>0</v>
      </c>
      <c r="S75" s="11" t="n">
        <f aca="false">S74*S19</f>
        <v>0</v>
      </c>
      <c r="T75" s="11" t="n">
        <f aca="false">T74*T19</f>
        <v>0</v>
      </c>
      <c r="U75" s="11" t="n">
        <f aca="false">U74*U19</f>
        <v>0</v>
      </c>
      <c r="V75" s="11" t="n">
        <f aca="false">V74*V19</f>
        <v>0</v>
      </c>
      <c r="W75" s="11" t="n">
        <f aca="false">W74*W19</f>
        <v>2.52493405694828</v>
      </c>
      <c r="X75" s="11" t="n">
        <f aca="false">X74*X19</f>
        <v>0</v>
      </c>
      <c r="Y75" s="11" t="n">
        <f aca="false">Y74*Y19</f>
        <v>0</v>
      </c>
      <c r="Z75" s="11" t="n">
        <f aca="false">Z74*Z19</f>
        <v>0</v>
      </c>
      <c r="AA75" s="11" t="n">
        <f aca="false">AA74*AA19</f>
        <v>0</v>
      </c>
      <c r="AB75" s="11" t="n">
        <f aca="false">AB74*AB19</f>
        <v>0</v>
      </c>
      <c r="AC75" s="11" t="n">
        <f aca="false">AC74*AC19</f>
        <v>0</v>
      </c>
      <c r="AD75" s="11" t="n">
        <f aca="false">AD74*AD19</f>
        <v>0</v>
      </c>
      <c r="AE75" s="11" t="n">
        <f aca="false">AE74*AE19</f>
        <v>11.9659479346282</v>
      </c>
      <c r="AF75" s="11" t="n">
        <f aca="false">AF74*AF19</f>
        <v>0</v>
      </c>
      <c r="AG75" s="11" t="n">
        <f aca="false">AG74*AG19</f>
        <v>0</v>
      </c>
      <c r="AH75" s="11" t="n">
        <f aca="false">AH74*AH19</f>
        <v>0</v>
      </c>
      <c r="AI75" s="11" t="n">
        <f aca="false">AI74*AI19</f>
        <v>0</v>
      </c>
      <c r="AJ75" s="11" t="n">
        <f aca="false">AJ74*AJ19</f>
        <v>0</v>
      </c>
      <c r="AK75" s="11" t="n">
        <f aca="false">AK74*AK19</f>
        <v>0</v>
      </c>
      <c r="AL75" s="11" t="n">
        <f aca="false">AL74*AL19</f>
        <v>0</v>
      </c>
      <c r="AM75" s="11" t="n">
        <f aca="false">AM74*AM19</f>
        <v>3.00508808562737</v>
      </c>
      <c r="AN75" s="11" t="n">
        <f aca="false">AN74*AN19</f>
        <v>0</v>
      </c>
      <c r="AO75" s="11" t="n">
        <f aca="false">AO74*AO19</f>
        <v>0</v>
      </c>
      <c r="AP75" s="11" t="n">
        <f aca="false">AP74*AP19</f>
        <v>0</v>
      </c>
      <c r="AQ75" s="11" t="n">
        <f aca="false">AQ74*AQ19</f>
        <v>0</v>
      </c>
      <c r="AR75" s="11" t="n">
        <f aca="false">AR74*AR19</f>
        <v>0</v>
      </c>
      <c r="AS75" s="11" t="n">
        <f aca="false">AS74*AS19</f>
        <v>0</v>
      </c>
      <c r="AT75" s="11" t="n">
        <f aca="false">AT74*AT19</f>
        <v>0</v>
      </c>
      <c r="AU75" s="11" t="n">
        <f aca="false">AU74*AU19</f>
        <v>14.2414521569919</v>
      </c>
      <c r="AV75" s="11" t="n">
        <f aca="false">AV74*AV19</f>
        <v>0</v>
      </c>
      <c r="AW75" s="11" t="n">
        <f aca="false">AW74*AW19</f>
        <v>0</v>
      </c>
      <c r="AX75" s="11" t="n">
        <f aca="false">AX74*AX19</f>
        <v>0</v>
      </c>
      <c r="AY75" s="11" t="n">
        <f aca="false">AY74*AY19</f>
        <v>0</v>
      </c>
      <c r="AZ75" s="11" t="n">
        <f aca="false">AZ74*AZ19</f>
        <v>0</v>
      </c>
      <c r="BA75" s="11" t="n">
        <f aca="false">BA74*BA19</f>
        <v>0</v>
      </c>
      <c r="BB75" s="11" t="n">
        <f aca="false">BB74*BB19</f>
        <v>0</v>
      </c>
      <c r="BC75" s="11" t="n">
        <f aca="false">BC74*BC19</f>
        <v>3.57655059447143</v>
      </c>
      <c r="BD75" s="11" t="n">
        <f aca="false">BD74*BD19</f>
        <v>0</v>
      </c>
      <c r="BE75" s="11" t="n">
        <f aca="false">BE74*BE19</f>
        <v>0</v>
      </c>
      <c r="BF75" s="11" t="n">
        <f aca="false">BF74*BF19</f>
        <v>0</v>
      </c>
      <c r="BG75" s="11" t="n">
        <f aca="false">BG74*BG19</f>
        <v>0</v>
      </c>
      <c r="BH75" s="11" t="n">
        <f aca="false">BH74*BH19</f>
        <v>0</v>
      </c>
      <c r="BI75" s="11" t="n">
        <f aca="false">BI74*BI19</f>
        <v>0</v>
      </c>
      <c r="BJ75" s="11" t="n">
        <f aca="false">BJ74*BJ19</f>
        <v>0</v>
      </c>
      <c r="BK75" s="11" t="n">
        <f aca="false">BK74*BK19</f>
        <v>16.9496775890988</v>
      </c>
      <c r="BL75" s="11" t="n">
        <f aca="false">BL74*BL19</f>
        <v>0</v>
      </c>
      <c r="BM75" s="11" t="n">
        <f aca="false">BM74*BM19</f>
        <v>0</v>
      </c>
      <c r="BN75" s="11" t="n">
        <f aca="false">BN74*BN19</f>
        <v>0</v>
      </c>
    </row>
    <row r="76" customFormat="false" ht="15" hidden="false" customHeight="false" outlineLevel="0" collapsed="false">
      <c r="D76" s="0" t="s">
        <v>524</v>
      </c>
      <c r="E76" s="0" t="s">
        <v>97</v>
      </c>
      <c r="J76" s="9" t="n">
        <f aca="false">MAX(0,MIN(Time!J28,300)-MAX(Time!J27,228))</f>
        <v>0</v>
      </c>
      <c r="K76" s="9" t="n">
        <f aca="false">MAX(0,MIN(Time!K28,300)-MAX(Time!K27,228))</f>
        <v>0</v>
      </c>
      <c r="L76" s="9" t="n">
        <f aca="false">MAX(0,MIN(Time!L28,300)-MAX(Time!L27,228))</f>
        <v>0</v>
      </c>
      <c r="M76" s="9" t="n">
        <f aca="false">MAX(0,MIN(Time!M28,300)-MAX(Time!M27,228))</f>
        <v>0</v>
      </c>
      <c r="N76" s="9" t="n">
        <f aca="false">MAX(0,MIN(Time!N28,300)-MAX(Time!N27,228))</f>
        <v>0</v>
      </c>
      <c r="O76" s="9" t="n">
        <f aca="false">MAX(0,MIN(Time!O28,300)-MAX(Time!O27,228))</f>
        <v>0</v>
      </c>
      <c r="P76" s="9" t="n">
        <f aca="false">MAX(0,MIN(Time!P28,300)-MAX(Time!P27,228))</f>
        <v>0</v>
      </c>
      <c r="Q76" s="9" t="n">
        <f aca="false">MAX(0,MIN(Time!Q28,300)-MAX(Time!Q27,228))</f>
        <v>0</v>
      </c>
      <c r="R76" s="9" t="n">
        <f aca="false">MAX(0,MIN(Time!R28,300)-MAX(Time!R27,228))</f>
        <v>0</v>
      </c>
      <c r="S76" s="9" t="n">
        <f aca="false">MAX(0,MIN(Time!S28,300)-MAX(Time!S27,228))</f>
        <v>0</v>
      </c>
      <c r="T76" s="9" t="n">
        <f aca="false">MAX(0,MIN(Time!T28,300)-MAX(Time!T27,228))</f>
        <v>0</v>
      </c>
      <c r="U76" s="9" t="n">
        <f aca="false">MAX(0,MIN(Time!U28,300)-MAX(Time!U27,228))</f>
        <v>0</v>
      </c>
      <c r="V76" s="9" t="n">
        <f aca="false">MAX(0,MIN(Time!V28,300)-MAX(Time!V27,228))</f>
        <v>0</v>
      </c>
      <c r="W76" s="9" t="n">
        <f aca="false">MAX(0,MIN(Time!W28,300)-MAX(Time!W27,228))</f>
        <v>0</v>
      </c>
      <c r="X76" s="9" t="n">
        <f aca="false">MAX(0,MIN(Time!X28,300)-MAX(Time!X27,228))</f>
        <v>0</v>
      </c>
      <c r="Y76" s="9" t="n">
        <f aca="false">MAX(0,MIN(Time!Y28,300)-MAX(Time!Y27,228))</f>
        <v>0</v>
      </c>
      <c r="Z76" s="9" t="n">
        <f aca="false">MAX(0,MIN(Time!Z28,300)-MAX(Time!Z27,228))</f>
        <v>0</v>
      </c>
      <c r="AA76" s="9" t="n">
        <f aca="false">MAX(0,MIN(Time!AA28,300)-MAX(Time!AA27,228))</f>
        <v>0</v>
      </c>
      <c r="AB76" s="9" t="n">
        <f aca="false">MAX(0,MIN(Time!AB28,300)-MAX(Time!AB27,228))</f>
        <v>0</v>
      </c>
      <c r="AC76" s="9" t="n">
        <f aca="false">MAX(0,MIN(Time!AC28,300)-MAX(Time!AC27,228))</f>
        <v>0</v>
      </c>
      <c r="AD76" s="9" t="n">
        <f aca="false">MAX(0,MIN(Time!AD28,300)-MAX(Time!AD27,228))</f>
        <v>0</v>
      </c>
      <c r="AE76" s="9" t="n">
        <f aca="false">MAX(0,MIN(Time!AE28,300)-MAX(Time!AE27,228))</f>
        <v>0</v>
      </c>
      <c r="AF76" s="9" t="n">
        <f aca="false">MAX(0,MIN(Time!AF28,300)-MAX(Time!AF27,228))</f>
        <v>0</v>
      </c>
      <c r="AG76" s="9" t="n">
        <f aca="false">MAX(0,MIN(Time!AG28,300)-MAX(Time!AG27,228))</f>
        <v>0</v>
      </c>
      <c r="AH76" s="9" t="n">
        <f aca="false">MAX(0,MIN(Time!AH28,300)-MAX(Time!AH27,228))</f>
        <v>0</v>
      </c>
      <c r="AI76" s="9" t="n">
        <f aca="false">MAX(0,MIN(Time!AI28,300)-MAX(Time!AI27,228))</f>
        <v>0</v>
      </c>
      <c r="AJ76" s="9" t="n">
        <f aca="false">MAX(0,MIN(Time!AJ28,300)-MAX(Time!AJ27,228))</f>
        <v>0</v>
      </c>
      <c r="AK76" s="9" t="n">
        <f aca="false">MAX(0,MIN(Time!AK28,300)-MAX(Time!AK27,228))</f>
        <v>0</v>
      </c>
      <c r="AL76" s="9" t="n">
        <f aca="false">MAX(0,MIN(Time!AL28,300)-MAX(Time!AL27,228))</f>
        <v>0</v>
      </c>
      <c r="AM76" s="9" t="n">
        <f aca="false">MAX(0,MIN(Time!AM28,300)-MAX(Time!AM27,228))</f>
        <v>0</v>
      </c>
      <c r="AN76" s="9" t="n">
        <f aca="false">MAX(0,MIN(Time!AN28,300)-MAX(Time!AN27,228))</f>
        <v>0</v>
      </c>
      <c r="AO76" s="9" t="n">
        <f aca="false">MAX(0,MIN(Time!AO28,300)-MAX(Time!AO27,228))</f>
        <v>0</v>
      </c>
      <c r="AP76" s="9" t="n">
        <f aca="false">MAX(0,MIN(Time!AP28,300)-MAX(Time!AP27,228))</f>
        <v>0</v>
      </c>
      <c r="AQ76" s="9" t="n">
        <f aca="false">MAX(0,MIN(Time!AQ28,300)-MAX(Time!AQ27,228))</f>
        <v>0</v>
      </c>
      <c r="AR76" s="9" t="n">
        <f aca="false">MAX(0,MIN(Time!AR28,300)-MAX(Time!AR27,228))</f>
        <v>0</v>
      </c>
      <c r="AS76" s="9" t="n">
        <f aca="false">MAX(0,MIN(Time!AS28,300)-MAX(Time!AS27,228))</f>
        <v>0</v>
      </c>
      <c r="AT76" s="9" t="n">
        <f aca="false">MAX(0,MIN(Time!AT28,300)-MAX(Time!AT27,228))</f>
        <v>0</v>
      </c>
      <c r="AU76" s="9" t="n">
        <f aca="false">MAX(0,MIN(Time!AU28,300)-MAX(Time!AU27,228))</f>
        <v>0</v>
      </c>
      <c r="AV76" s="9" t="n">
        <f aca="false">MAX(0,MIN(Time!AV28,300)-MAX(Time!AV27,228))</f>
        <v>0</v>
      </c>
      <c r="AW76" s="9" t="n">
        <f aca="false">MAX(0,MIN(Time!AW28,300)-MAX(Time!AW27,228))</f>
        <v>0</v>
      </c>
      <c r="AX76" s="9" t="n">
        <f aca="false">MAX(0,MIN(Time!AX28,300)-MAX(Time!AX27,228))</f>
        <v>0</v>
      </c>
      <c r="AY76" s="9" t="n">
        <f aca="false">MAX(0,MIN(Time!AY28,300)-MAX(Time!AY27,228))</f>
        <v>0</v>
      </c>
      <c r="AZ76" s="9" t="n">
        <f aca="false">MAX(0,MIN(Time!AZ28,300)-MAX(Time!AZ27,228))</f>
        <v>0</v>
      </c>
      <c r="BA76" s="9" t="n">
        <f aca="false">MAX(0,MIN(Time!BA28,300)-MAX(Time!BA27,228))</f>
        <v>0</v>
      </c>
      <c r="BB76" s="9" t="n">
        <f aca="false">MAX(0,MIN(Time!BB28,300)-MAX(Time!BB27,228))</f>
        <v>2</v>
      </c>
      <c r="BC76" s="9" t="n">
        <f aca="false">MAX(0,MIN(Time!BC28,300)-MAX(Time!BC27,228))</f>
        <v>6</v>
      </c>
      <c r="BD76" s="9" t="n">
        <f aca="false">MAX(0,MIN(Time!BD28,300)-MAX(Time!BD27,228))</f>
        <v>6</v>
      </c>
      <c r="BE76" s="9" t="n">
        <f aca="false">MAX(0,MIN(Time!BE28,300)-MAX(Time!BE27,228))</f>
        <v>6</v>
      </c>
      <c r="BF76" s="9" t="n">
        <f aca="false">MAX(0,MIN(Time!BF28,300)-MAX(Time!BF27,228))</f>
        <v>6</v>
      </c>
      <c r="BG76" s="9" t="n">
        <f aca="false">MAX(0,MIN(Time!BG28,300)-MAX(Time!BG27,228))</f>
        <v>6</v>
      </c>
      <c r="BH76" s="9" t="n">
        <f aca="false">MAX(0,MIN(Time!BH28,300)-MAX(Time!BH27,228))</f>
        <v>6</v>
      </c>
      <c r="BI76" s="9" t="n">
        <f aca="false">MAX(0,MIN(Time!BI28,300)-MAX(Time!BI27,228))</f>
        <v>6</v>
      </c>
      <c r="BJ76" s="9" t="n">
        <f aca="false">MAX(0,MIN(Time!BJ28,300)-MAX(Time!BJ27,228))</f>
        <v>6</v>
      </c>
      <c r="BK76" s="9" t="n">
        <f aca="false">MAX(0,MIN(Time!BK28,300)-MAX(Time!BK27,228))</f>
        <v>6</v>
      </c>
      <c r="BL76" s="9" t="n">
        <f aca="false">MAX(0,MIN(Time!BL28,300)-MAX(Time!BL27,228))</f>
        <v>6</v>
      </c>
      <c r="BM76" s="9" t="n">
        <f aca="false">MAX(0,MIN(Time!BM28,300)-MAX(Time!BM27,228))</f>
        <v>6</v>
      </c>
      <c r="BN76" s="9" t="n">
        <f aca="false">MAX(0,MIN(Time!BN28,300)-MAX(Time!BN27,228))</f>
        <v>4</v>
      </c>
    </row>
    <row r="77" customFormat="false" ht="15" hidden="false" customHeight="false" outlineLevel="0" collapsed="false">
      <c r="D77" s="0" t="s">
        <v>525</v>
      </c>
      <c r="E77" s="0" t="s">
        <v>149</v>
      </c>
      <c r="G77" s="11" t="n">
        <f aca="false">SUM(J77:BN77)</f>
        <v>19.2778097774822</v>
      </c>
      <c r="J77" s="11" t="n">
        <f aca="false">Inputs!$F$166*J19*J76/12</f>
        <v>0</v>
      </c>
      <c r="K77" s="11" t="n">
        <f aca="false">Inputs!$F$166*K19*K76/12</f>
        <v>0</v>
      </c>
      <c r="L77" s="11" t="n">
        <f aca="false">Inputs!$F$166*L19*L76/12</f>
        <v>0</v>
      </c>
      <c r="M77" s="11" t="n">
        <f aca="false">Inputs!$F$166*M19*M76/12</f>
        <v>0</v>
      </c>
      <c r="N77" s="11" t="n">
        <f aca="false">Inputs!$F$166*N19*N76/12</f>
        <v>0</v>
      </c>
      <c r="O77" s="11" t="n">
        <f aca="false">Inputs!$F$166*O19*O76/12</f>
        <v>0</v>
      </c>
      <c r="P77" s="11" t="n">
        <f aca="false">Inputs!$F$166*P19*P76/12</f>
        <v>0</v>
      </c>
      <c r="Q77" s="11" t="n">
        <f aca="false">Inputs!$F$166*Q19*Q76/12</f>
        <v>0</v>
      </c>
      <c r="R77" s="11" t="n">
        <f aca="false">Inputs!$F$166*R19*R76/12</f>
        <v>0</v>
      </c>
      <c r="S77" s="11" t="n">
        <f aca="false">Inputs!$F$166*S19*S76/12</f>
        <v>0</v>
      </c>
      <c r="T77" s="11" t="n">
        <f aca="false">Inputs!$F$166*T19*T76/12</f>
        <v>0</v>
      </c>
      <c r="U77" s="11" t="n">
        <f aca="false">Inputs!$F$166*U19*U76/12</f>
        <v>0</v>
      </c>
      <c r="V77" s="11" t="n">
        <f aca="false">Inputs!$F$166*V19*V76/12</f>
        <v>0</v>
      </c>
      <c r="W77" s="11" t="n">
        <f aca="false">Inputs!$F$166*W19*W76/12</f>
        <v>0</v>
      </c>
      <c r="X77" s="11" t="n">
        <f aca="false">Inputs!$F$166*X19*X76/12</f>
        <v>0</v>
      </c>
      <c r="Y77" s="11" t="n">
        <f aca="false">Inputs!$F$166*Y19*Y76/12</f>
        <v>0</v>
      </c>
      <c r="Z77" s="11" t="n">
        <f aca="false">Inputs!$F$166*Z19*Z76/12</f>
        <v>0</v>
      </c>
      <c r="AA77" s="11" t="n">
        <f aca="false">Inputs!$F$166*AA19*AA76/12</f>
        <v>0</v>
      </c>
      <c r="AB77" s="11" t="n">
        <f aca="false">Inputs!$F$166*AB19*AB76/12</f>
        <v>0</v>
      </c>
      <c r="AC77" s="11" t="n">
        <f aca="false">Inputs!$F$166*AC19*AC76/12</f>
        <v>0</v>
      </c>
      <c r="AD77" s="11" t="n">
        <f aca="false">Inputs!$F$166*AD19*AD76/12</f>
        <v>0</v>
      </c>
      <c r="AE77" s="11" t="n">
        <f aca="false">Inputs!$F$166*AE19*AE76/12</f>
        <v>0</v>
      </c>
      <c r="AF77" s="11" t="n">
        <f aca="false">Inputs!$F$166*AF19*AF76/12</f>
        <v>0</v>
      </c>
      <c r="AG77" s="11" t="n">
        <f aca="false">Inputs!$F$166*AG19*AG76/12</f>
        <v>0</v>
      </c>
      <c r="AH77" s="11" t="n">
        <f aca="false">Inputs!$F$166*AH19*AH76/12</f>
        <v>0</v>
      </c>
      <c r="AI77" s="11" t="n">
        <f aca="false">Inputs!$F$166*AI19*AI76/12</f>
        <v>0</v>
      </c>
      <c r="AJ77" s="11" t="n">
        <f aca="false">Inputs!$F$166*AJ19*AJ76/12</f>
        <v>0</v>
      </c>
      <c r="AK77" s="11" t="n">
        <f aca="false">Inputs!$F$166*AK19*AK76/12</f>
        <v>0</v>
      </c>
      <c r="AL77" s="11" t="n">
        <f aca="false">Inputs!$F$166*AL19*AL76/12</f>
        <v>0</v>
      </c>
      <c r="AM77" s="11" t="n">
        <f aca="false">Inputs!$F$166*AM19*AM76/12</f>
        <v>0</v>
      </c>
      <c r="AN77" s="11" t="n">
        <f aca="false">Inputs!$F$166*AN19*AN76/12</f>
        <v>0</v>
      </c>
      <c r="AO77" s="11" t="n">
        <f aca="false">Inputs!$F$166*AO19*AO76/12</f>
        <v>0</v>
      </c>
      <c r="AP77" s="11" t="n">
        <f aca="false">Inputs!$F$166*AP19*AP76/12</f>
        <v>0</v>
      </c>
      <c r="AQ77" s="11" t="n">
        <f aca="false">Inputs!$F$166*AQ19*AQ76/12</f>
        <v>0</v>
      </c>
      <c r="AR77" s="11" t="n">
        <f aca="false">Inputs!$F$166*AR19*AR76/12</f>
        <v>0</v>
      </c>
      <c r="AS77" s="11" t="n">
        <f aca="false">Inputs!$F$166*AS19*AS76/12</f>
        <v>0</v>
      </c>
      <c r="AT77" s="11" t="n">
        <f aca="false">Inputs!$F$166*AT19*AT76/12</f>
        <v>0</v>
      </c>
      <c r="AU77" s="11" t="n">
        <f aca="false">Inputs!$F$166*AU19*AU76/12</f>
        <v>0</v>
      </c>
      <c r="AV77" s="11" t="n">
        <f aca="false">Inputs!$F$166*AV19*AV76/12</f>
        <v>0</v>
      </c>
      <c r="AW77" s="11" t="n">
        <f aca="false">Inputs!$F$166*AW19*AW76/12</f>
        <v>0</v>
      </c>
      <c r="AX77" s="11" t="n">
        <f aca="false">Inputs!$F$166*AX19*AX76/12</f>
        <v>0</v>
      </c>
      <c r="AY77" s="11" t="n">
        <f aca="false">Inputs!$F$166*AY19*AY76/12</f>
        <v>0</v>
      </c>
      <c r="AZ77" s="11" t="n">
        <f aca="false">Inputs!$F$166*AZ19*AZ76/12</f>
        <v>0</v>
      </c>
      <c r="BA77" s="11" t="n">
        <f aca="false">Inputs!$F$166*BA19*BA76/12</f>
        <v>0</v>
      </c>
      <c r="BB77" s="11" t="n">
        <f aca="false">Inputs!$F$166*BB19*BB76/12</f>
        <v>0.500383418214804</v>
      </c>
      <c r="BC77" s="11" t="n">
        <f aca="false">Inputs!$F$166*BC19*BC76/12</f>
        <v>1.51757307334224</v>
      </c>
      <c r="BD77" s="11" t="n">
        <f aca="false">Inputs!$F$166*BD19*BD76/12</f>
        <v>1.53417556024659</v>
      </c>
      <c r="BE77" s="11" t="n">
        <f aca="false">Inputs!$F$166*BE19*BE76/12</f>
        <v>1.55095968095577</v>
      </c>
      <c r="BF77" s="11" t="n">
        <f aca="false">Inputs!$F$166*BF19*BF76/12</f>
        <v>1.56792742257201</v>
      </c>
      <c r="BG77" s="11" t="n">
        <f aca="false">Inputs!$F$166*BG19*BG76/12</f>
        <v>1.58508079393679</v>
      </c>
      <c r="BH77" s="11" t="n">
        <f aca="false">Inputs!$F$166*BH19*BH76/12</f>
        <v>1.6024218258686</v>
      </c>
      <c r="BI77" s="11" t="n">
        <f aca="false">Inputs!$F$166*BI19*BI76/12</f>
        <v>1.6199525714034</v>
      </c>
      <c r="BJ77" s="11" t="n">
        <f aca="false">Inputs!$F$166*BJ19*BJ76/12</f>
        <v>1.63767510603771</v>
      </c>
      <c r="BK77" s="11" t="n">
        <f aca="false">Inputs!$F$166*BK19*BK76/12</f>
        <v>1.65559152797428</v>
      </c>
      <c r="BL77" s="11" t="n">
        <f aca="false">Inputs!$F$166*BL19*BL76/12</f>
        <v>1.67370395837054</v>
      </c>
      <c r="BM77" s="11" t="n">
        <f aca="false">Inputs!$F$166*BM19*BM76/12</f>
        <v>1.69201454158971</v>
      </c>
      <c r="BN77" s="11" t="n">
        <f aca="false">Inputs!$F$166*BN19*BN76/12</f>
        <v>1.14035029696979</v>
      </c>
    </row>
    <row r="78" customFormat="false" ht="15" hidden="false" customHeight="false" outlineLevel="0" collapsed="false">
      <c r="D78" s="0" t="s">
        <v>526</v>
      </c>
      <c r="E78" s="0" t="s">
        <v>149</v>
      </c>
      <c r="G78" s="11" t="n">
        <f aca="false">SUM(J78:BN78)</f>
        <v>19.2778097774822</v>
      </c>
      <c r="J78" s="11" t="n">
        <f aca="false">Time!J32*SUM($J$77:$BN$77)</f>
        <v>0</v>
      </c>
      <c r="K78" s="11" t="n">
        <f aca="false">Time!K32*SUM($J$77:$BN$77)</f>
        <v>0</v>
      </c>
      <c r="L78" s="11" t="n">
        <f aca="false">Time!L32*SUM($J$77:$BN$77)</f>
        <v>0</v>
      </c>
      <c r="M78" s="11" t="n">
        <f aca="false">Time!M32*SUM($J$77:$BN$77)</f>
        <v>0</v>
      </c>
      <c r="N78" s="11" t="n">
        <f aca="false">Time!N32*SUM($J$77:$BN$77)</f>
        <v>0</v>
      </c>
      <c r="O78" s="11" t="n">
        <f aca="false">Time!O32*SUM($J$77:$BN$77)</f>
        <v>0</v>
      </c>
      <c r="P78" s="11" t="n">
        <f aca="false">Time!P32*SUM($J$77:$BN$77)</f>
        <v>0</v>
      </c>
      <c r="Q78" s="11" t="n">
        <f aca="false">Time!Q32*SUM($J$77:$BN$77)</f>
        <v>0</v>
      </c>
      <c r="R78" s="11" t="n">
        <f aca="false">Time!R32*SUM($J$77:$BN$77)</f>
        <v>0</v>
      </c>
      <c r="S78" s="11" t="n">
        <f aca="false">Time!S32*SUM($J$77:$BN$77)</f>
        <v>0</v>
      </c>
      <c r="T78" s="11" t="n">
        <f aca="false">Time!T32*SUM($J$77:$BN$77)</f>
        <v>0</v>
      </c>
      <c r="U78" s="11" t="n">
        <f aca="false">Time!U32*SUM($J$77:$BN$77)</f>
        <v>0</v>
      </c>
      <c r="V78" s="11" t="n">
        <f aca="false">Time!V32*SUM($J$77:$BN$77)</f>
        <v>0</v>
      </c>
      <c r="W78" s="11" t="n">
        <f aca="false">Time!W32*SUM($J$77:$BN$77)</f>
        <v>0</v>
      </c>
      <c r="X78" s="11" t="n">
        <f aca="false">Time!X32*SUM($J$77:$BN$77)</f>
        <v>0</v>
      </c>
      <c r="Y78" s="11" t="n">
        <f aca="false">Time!Y32*SUM($J$77:$BN$77)</f>
        <v>0</v>
      </c>
      <c r="Z78" s="11" t="n">
        <f aca="false">Time!Z32*SUM($J$77:$BN$77)</f>
        <v>0</v>
      </c>
      <c r="AA78" s="11" t="n">
        <f aca="false">Time!AA32*SUM($J$77:$BN$77)</f>
        <v>0</v>
      </c>
      <c r="AB78" s="11" t="n">
        <f aca="false">Time!AB32*SUM($J$77:$BN$77)</f>
        <v>0</v>
      </c>
      <c r="AC78" s="11" t="n">
        <f aca="false">Time!AC32*SUM($J$77:$BN$77)</f>
        <v>0</v>
      </c>
      <c r="AD78" s="11" t="n">
        <f aca="false">Time!AD32*SUM($J$77:$BN$77)</f>
        <v>0</v>
      </c>
      <c r="AE78" s="11" t="n">
        <f aca="false">Time!AE32*SUM($J$77:$BN$77)</f>
        <v>0</v>
      </c>
      <c r="AF78" s="11" t="n">
        <f aca="false">Time!AF32*SUM($J$77:$BN$77)</f>
        <v>0</v>
      </c>
      <c r="AG78" s="11" t="n">
        <f aca="false">Time!AG32*SUM($J$77:$BN$77)</f>
        <v>0</v>
      </c>
      <c r="AH78" s="11" t="n">
        <f aca="false">Time!AH32*SUM($J$77:$BN$77)</f>
        <v>0</v>
      </c>
      <c r="AI78" s="11" t="n">
        <f aca="false">Time!AI32*SUM($J$77:$BN$77)</f>
        <v>0</v>
      </c>
      <c r="AJ78" s="11" t="n">
        <f aca="false">Time!AJ32*SUM($J$77:$BN$77)</f>
        <v>0</v>
      </c>
      <c r="AK78" s="11" t="n">
        <f aca="false">Time!AK32*SUM($J$77:$BN$77)</f>
        <v>0</v>
      </c>
      <c r="AL78" s="11" t="n">
        <f aca="false">Time!AL32*SUM($J$77:$BN$77)</f>
        <v>0</v>
      </c>
      <c r="AM78" s="11" t="n">
        <f aca="false">Time!AM32*SUM($J$77:$BN$77)</f>
        <v>0</v>
      </c>
      <c r="AN78" s="11" t="n">
        <f aca="false">Time!AN32*SUM($J$77:$BN$77)</f>
        <v>0</v>
      </c>
      <c r="AO78" s="11" t="n">
        <f aca="false">Time!AO32*SUM($J$77:$BN$77)</f>
        <v>0</v>
      </c>
      <c r="AP78" s="11" t="n">
        <f aca="false">Time!AP32*SUM($J$77:$BN$77)</f>
        <v>0</v>
      </c>
      <c r="AQ78" s="11" t="n">
        <f aca="false">Time!AQ32*SUM($J$77:$BN$77)</f>
        <v>0</v>
      </c>
      <c r="AR78" s="11" t="n">
        <f aca="false">Time!AR32*SUM($J$77:$BN$77)</f>
        <v>0</v>
      </c>
      <c r="AS78" s="11" t="n">
        <f aca="false">Time!AS32*SUM($J$77:$BN$77)</f>
        <v>0</v>
      </c>
      <c r="AT78" s="11" t="n">
        <f aca="false">Time!AT32*SUM($J$77:$BN$77)</f>
        <v>0</v>
      </c>
      <c r="AU78" s="11" t="n">
        <f aca="false">Time!AU32*SUM($J$77:$BN$77)</f>
        <v>0</v>
      </c>
      <c r="AV78" s="11" t="n">
        <f aca="false">Time!AV32*SUM($J$77:$BN$77)</f>
        <v>0</v>
      </c>
      <c r="AW78" s="11" t="n">
        <f aca="false">Time!AW32*SUM($J$77:$BN$77)</f>
        <v>0</v>
      </c>
      <c r="AX78" s="11" t="n">
        <f aca="false">Time!AX32*SUM($J$77:$BN$77)</f>
        <v>0</v>
      </c>
      <c r="AY78" s="11" t="n">
        <f aca="false">Time!AY32*SUM($J$77:$BN$77)</f>
        <v>0</v>
      </c>
      <c r="AZ78" s="11" t="n">
        <f aca="false">Time!AZ32*SUM($J$77:$BN$77)</f>
        <v>0</v>
      </c>
      <c r="BA78" s="11" t="n">
        <f aca="false">Time!BA32*SUM($J$77:$BN$77)</f>
        <v>0</v>
      </c>
      <c r="BB78" s="11" t="n">
        <f aca="false">Time!BB32*SUM($J$77:$BN$77)</f>
        <v>0</v>
      </c>
      <c r="BC78" s="11" t="n">
        <f aca="false">Time!BC32*SUM($J$77:$BN$77)</f>
        <v>0</v>
      </c>
      <c r="BD78" s="11" t="n">
        <f aca="false">Time!BD32*SUM($J$77:$BN$77)</f>
        <v>0</v>
      </c>
      <c r="BE78" s="11" t="n">
        <f aca="false">Time!BE32*SUM($J$77:$BN$77)</f>
        <v>0</v>
      </c>
      <c r="BF78" s="11" t="n">
        <f aca="false">Time!BF32*SUM($J$77:$BN$77)</f>
        <v>0</v>
      </c>
      <c r="BG78" s="11" t="n">
        <f aca="false">Time!BG32*SUM($J$77:$BN$77)</f>
        <v>0</v>
      </c>
      <c r="BH78" s="11" t="n">
        <f aca="false">Time!BH32*SUM($J$77:$BN$77)</f>
        <v>0</v>
      </c>
      <c r="BI78" s="11" t="n">
        <f aca="false">Time!BI32*SUM($J$77:$BN$77)</f>
        <v>0</v>
      </c>
      <c r="BJ78" s="11" t="n">
        <f aca="false">Time!BJ32*SUM($J$77:$BN$77)</f>
        <v>0</v>
      </c>
      <c r="BK78" s="11" t="n">
        <f aca="false">Time!BK32*SUM($J$77:$BN$77)</f>
        <v>0</v>
      </c>
      <c r="BL78" s="11" t="n">
        <f aca="false">Time!BL32*SUM($J$77:$BN$77)</f>
        <v>0</v>
      </c>
      <c r="BM78" s="11" t="n">
        <f aca="false">Time!BM32*SUM($J$77:$BN$77)</f>
        <v>0</v>
      </c>
      <c r="BN78" s="11" t="n">
        <f aca="false">Time!BN32*SUM($J$77:$BN$77)</f>
        <v>19.2778097774822</v>
      </c>
    </row>
    <row r="79" customFormat="false" ht="15" hidden="false" customHeight="false" outlineLevel="0" collapsed="false">
      <c r="D79" s="0" t="s">
        <v>527</v>
      </c>
      <c r="E79" s="0" t="s">
        <v>149</v>
      </c>
      <c r="G79" s="11" t="n">
        <f aca="false">SUM(J79:BN79)</f>
        <v>6994.04985913275</v>
      </c>
      <c r="J79" s="11" t="n">
        <f aca="false">J68+J70+J71+J72+J75+J78</f>
        <v>0</v>
      </c>
      <c r="K79" s="11" t="n">
        <f aca="false">K68+K70+K71+K72+K75+K78</f>
        <v>0</v>
      </c>
      <c r="L79" s="11" t="n">
        <f aca="false">L68+L70+L71+L72+L75+L78</f>
        <v>0</v>
      </c>
      <c r="M79" s="11" t="n">
        <f aca="false">M68+M70+M71+M72+M75+M78</f>
        <v>0</v>
      </c>
      <c r="N79" s="11" t="n">
        <f aca="false">N68+N70+N71+N72+N75+N78</f>
        <v>0</v>
      </c>
      <c r="O79" s="11" t="n">
        <f aca="false">O68+O70+O71+O72+O75+O78</f>
        <v>0</v>
      </c>
      <c r="P79" s="11" t="n">
        <f aca="false">P68+P70+P71+P72+P75+P78</f>
        <v>36.1889096618176</v>
      </c>
      <c r="Q79" s="11" t="n">
        <f aca="false">Q68+Q70+Q71+Q72+Q75+Q78</f>
        <v>110.442117781314</v>
      </c>
      <c r="R79" s="11" t="n">
        <f aca="false">R68+R70+R71+R72+R75+R78</f>
        <v>110.445266999863</v>
      </c>
      <c r="S79" s="11" t="n">
        <f aca="false">S68+S70+S71+S72+S75+S78</f>
        <v>111.585777250754</v>
      </c>
      <c r="T79" s="11" t="n">
        <f aca="false">T68+T70+T71+T72+T75+T78</f>
        <v>112.260815533848</v>
      </c>
      <c r="U79" s="11" t="n">
        <f aca="false">U68+U70+U71+U72+U75+U78</f>
        <v>114.741556970098</v>
      </c>
      <c r="V79" s="11" t="n">
        <f aca="false">V68+V70+V71+V72+V75+V78</f>
        <v>113.944966728396</v>
      </c>
      <c r="W79" s="11" t="n">
        <f aca="false">W68+W70+W71+W72+W75+W78</f>
        <v>116.031299912079</v>
      </c>
      <c r="X79" s="11" t="n">
        <f aca="false">X68+X70+X71+X72+X75+X78</f>
        <v>115.016255828604</v>
      </c>
      <c r="Y79" s="11" t="n">
        <f aca="false">Y68+Y70+Y71+Y72+Y75+Y78</f>
        <v>119.152925053365</v>
      </c>
      <c r="Z79" s="11" t="n">
        <f aca="false">Z68+Z70+Z71+Z72+Z75+Z78</f>
        <v>119.219555429436</v>
      </c>
      <c r="AA79" s="11" t="n">
        <f aca="false">AA68+AA70+AA71+AA72+AA75+AA78</f>
        <v>120.466219315255</v>
      </c>
      <c r="AB79" s="11" t="n">
        <f aca="false">AB68+AB70+AB71+AB72+AB75+AB78</f>
        <v>121.193413888238</v>
      </c>
      <c r="AC79" s="11" t="n">
        <f aca="false">AC68+AC70+AC71+AC72+AC75+AC78</f>
        <v>123.874980136162</v>
      </c>
      <c r="AD79" s="11" t="n">
        <f aca="false">AD68+AD70+AD71+AD72+AD75+AD78</f>
        <v>122.299818099702</v>
      </c>
      <c r="AE79" s="11" t="n">
        <f aca="false">AE68+AE70+AE71+AE72+AE75+AE78</f>
        <v>132.360585606461</v>
      </c>
      <c r="AF79" s="11" t="n">
        <f aca="false">AF68+AF70+AF71+AF72+AF75+AF78</f>
        <v>122.715046879009</v>
      </c>
      <c r="AG79" s="11" t="n">
        <f aca="false">AG68+AG70+AG71+AG72+AG75+AG78</f>
        <v>128.640900904183</v>
      </c>
      <c r="AH79" s="11" t="n">
        <f aca="false">AH68+AH70+AH71+AH72+AH75+AH78</f>
        <v>128.709895825077</v>
      </c>
      <c r="AI79" s="11" t="n">
        <f aca="false">AI68+AI70+AI71+AI72+AI75+AI78</f>
        <v>130.057855199142</v>
      </c>
      <c r="AJ79" s="11" t="n">
        <f aca="false">AJ68+AJ70+AJ71+AJ72+AJ75+AJ78</f>
        <v>130.841303645685</v>
      </c>
      <c r="AK79" s="11" t="n">
        <f aca="false">AK68+AK70+AK71+AK72+AK75+AK78</f>
        <v>133.739864346015</v>
      </c>
      <c r="AL79" s="11" t="n">
        <f aca="false">AL68+AL70+AL71+AL72+AL75+AL78</f>
        <v>132.804326170397</v>
      </c>
      <c r="AM79" s="11" t="n">
        <f aca="false">AM68+AM70+AM71+AM72+AM75+AM78</f>
        <v>135.295310104407</v>
      </c>
      <c r="AN79" s="11" t="n">
        <f aca="false">AN68+AN70+AN71+AN72+AN75+AN78</f>
        <v>134.050208008019</v>
      </c>
      <c r="AO79" s="11" t="n">
        <f aca="false">AO68+AO70+AO71+AO72+AO75+AO78</f>
        <v>138.888804321702</v>
      </c>
      <c r="AP79" s="11" t="n">
        <f aca="false">AP68+AP70+AP71+AP72+AP75+AP78</f>
        <v>138.960215447785</v>
      </c>
      <c r="AQ79" s="11" t="n">
        <f aca="false">AQ68+AQ70+AQ71+AQ72+AQ75+AQ78</f>
        <v>140.417631213235</v>
      </c>
      <c r="AR79" s="11" t="n">
        <f aca="false">AR68+AR70+AR71+AR72+AR75+AR78</f>
        <v>141.261757539248</v>
      </c>
      <c r="AS79" s="11" t="n">
        <f aca="false">AS68+AS70+AS71+AS72+AS75+AS78</f>
        <v>144.394775987888</v>
      </c>
      <c r="AT79" s="11" t="n">
        <f aca="false">AT68+AT70+AT71+AT72+AT75+AT78</f>
        <v>142.548337283013</v>
      </c>
      <c r="AU79" s="11" t="n">
        <f aca="false">AU68+AU70+AU71+AU72+AU75+AU78</f>
        <v>154.561207493941</v>
      </c>
      <c r="AV79" s="11" t="n">
        <f aca="false">AV68+AV70+AV71+AV72+AV75+AV78</f>
        <v>143.026228090096</v>
      </c>
      <c r="AW79" s="11" t="n">
        <f aca="false">AW68+AW70+AW71+AW72+AW75+AW78</f>
        <v>149.9574816567</v>
      </c>
      <c r="AX79" s="11" t="n">
        <f aca="false">AX68+AX70+AX71+AX72+AX75+AX78</f>
        <v>150.031360761949</v>
      </c>
      <c r="AY79" s="11" t="n">
        <f aca="false">AY68+AY70+AY71+AY72+AY75+AY78</f>
        <v>151.607045407252</v>
      </c>
      <c r="AZ79" s="11" t="n">
        <f aca="false">AZ68+AZ70+AZ71+AZ72+AZ75+AZ78</f>
        <v>152.516626340794</v>
      </c>
      <c r="BA79" s="11" t="n">
        <f aca="false">BA68+BA70+BA71+BA72+BA75+BA78</f>
        <v>155.902962226908</v>
      </c>
      <c r="BB79" s="11" t="n">
        <f aca="false">BB68+BB70+BB71+BB72+BB75+BB78</f>
        <v>154.804767655899</v>
      </c>
      <c r="BC79" s="11" t="n">
        <f aca="false">BC68+BC70+BC71+BC72+BC75+BC78</f>
        <v>157.778702956378</v>
      </c>
      <c r="BD79" s="11" t="n">
        <f aca="false">BD68+BD70+BD71+BD72+BD75+BD78</f>
        <v>156.253864763032</v>
      </c>
      <c r="BE79" s="11" t="n">
        <f aca="false">BE68+BE70+BE71+BE72+BE75+BE78</f>
        <v>161.912641983005</v>
      </c>
      <c r="BF79" s="11" t="n">
        <f aca="false">BF68+BF70+BF71+BF72+BF75+BF78</f>
        <v>161.989041147977</v>
      </c>
      <c r="BG79" s="11" t="n">
        <f aca="false">BG68+BG70+BG71+BG72+BG75+BG78</f>
        <v>163.692510262465</v>
      </c>
      <c r="BH79" s="11" t="n">
        <f aca="false">BH68+BH70+BH71+BH72+BH75+BH78</f>
        <v>164.672703692159</v>
      </c>
      <c r="BI79" s="11" t="n">
        <f aca="false">BI68+BI70+BI71+BI72+BI75+BI78</f>
        <v>168.332723926052</v>
      </c>
      <c r="BJ79" s="11" t="n">
        <f aca="false">BJ68+BJ70+BJ71+BJ72+BJ75+BJ78</f>
        <v>166.168977837604</v>
      </c>
      <c r="BK79" s="11" t="n">
        <f aca="false">BK68+BK70+BK71+BK72+BK75+BK78</f>
        <v>180.511954585155</v>
      </c>
      <c r="BL79" s="11" t="n">
        <f aca="false">BL68+BL70+BL71+BL72+BL75+BL78</f>
        <v>166.719203720733</v>
      </c>
      <c r="BM79" s="11" t="n">
        <f aca="false">BM68+BM70+BM71+BM72+BM75+BM78</f>
        <v>174.82524447012</v>
      </c>
      <c r="BN79" s="11" t="n">
        <f aca="false">BN68+BN70+BN71+BN72+BN75+BN78</f>
        <v>136.233913084329</v>
      </c>
    </row>
    <row r="80" customFormat="false" ht="15" hidden="false" customHeight="false" outlineLevel="0" collapsed="false">
      <c r="D80" s="0" t="s">
        <v>528</v>
      </c>
      <c r="E80" s="0" t="s">
        <v>149</v>
      </c>
      <c r="G80" s="11" t="n">
        <f aca="false">SUM(J80:BN80)</f>
        <v>2624.63556436736</v>
      </c>
      <c r="J80" s="11" t="n">
        <f aca="false">J52-J79+J54</f>
        <v>0</v>
      </c>
      <c r="K80" s="11" t="n">
        <f aca="false">K52-K79+K54</f>
        <v>0</v>
      </c>
      <c r="L80" s="11" t="n">
        <f aca="false">L52-L79+L54</f>
        <v>0</v>
      </c>
      <c r="M80" s="11" t="n">
        <f aca="false">M52-M79+M54</f>
        <v>0</v>
      </c>
      <c r="N80" s="11" t="n">
        <f aca="false">N52-N79+N54</f>
        <v>0</v>
      </c>
      <c r="O80" s="11" t="n">
        <f aca="false">O52-O79+O54</f>
        <v>0</v>
      </c>
      <c r="P80" s="11" t="n">
        <f aca="false">P52-P79+P54</f>
        <v>16.9230614907801</v>
      </c>
      <c r="Q80" s="11" t="n">
        <f aca="false">Q52-Q79+Q54</f>
        <v>50.8061314299036</v>
      </c>
      <c r="R80" s="11" t="n">
        <f aca="false">R52-R79+R54</f>
        <v>50.9867407022095</v>
      </c>
      <c r="S80" s="11" t="n">
        <f aca="false">S52-S79+S54</f>
        <v>51.1375238480677</v>
      </c>
      <c r="T80" s="11" t="n">
        <f aca="false">T52-T79+T54</f>
        <v>51.230200345748</v>
      </c>
      <c r="U80" s="11" t="n">
        <f aca="false">U52-U79+U54</f>
        <v>51.3107195931088</v>
      </c>
      <c r="V80" s="11" t="n">
        <f aca="false">V52-V79+V54</f>
        <v>51.4749591800154</v>
      </c>
      <c r="W80" s="11" t="n">
        <f aca="false">W52-W79+W54</f>
        <v>49.1745518843761</v>
      </c>
      <c r="X80" s="11" t="n">
        <f aca="false">X52-X79+X54</f>
        <v>51.7571514565107</v>
      </c>
      <c r="Y80" s="11" t="n">
        <f aca="false">Y52-Y79+Y54</f>
        <v>51.7591145579287</v>
      </c>
      <c r="Z80" s="11" t="n">
        <f aca="false">Z52-Z79+Z54</f>
        <v>51.8895286569547</v>
      </c>
      <c r="AA80" s="11" t="n">
        <f aca="false">AA52-AA79+AA54</f>
        <v>52.0395622173936</v>
      </c>
      <c r="AB80" s="11" t="n">
        <f aca="false">AB52-AB79+AB54</f>
        <v>52.1400926174002</v>
      </c>
      <c r="AC80" s="11" t="n">
        <f aca="false">AC52-AC79+AC54</f>
        <v>52.2256110589363</v>
      </c>
      <c r="AD80" s="11" t="n">
        <f aca="false">AD52-AD79+AD54</f>
        <v>52.4420676701167</v>
      </c>
      <c r="AE80" s="11" t="n">
        <f aca="false">AE52-AE79+AE54</f>
        <v>39.8390012621901</v>
      </c>
      <c r="AF80" s="11" t="n">
        <f aca="false">AF52-AF79+AF54</f>
        <v>52.7875483729684</v>
      </c>
      <c r="AG80" s="11" t="n">
        <f aca="false">AG52-AG79+AG54</f>
        <v>52.7109497532263</v>
      </c>
      <c r="AH80" s="11" t="n">
        <f aca="false">AH52-AH79+AH54</f>
        <v>52.8533361469062</v>
      </c>
      <c r="AI80" s="11" t="n">
        <f aca="false">AI52-AI79+AI54</f>
        <v>53.0160378721272</v>
      </c>
      <c r="AJ80" s="11" t="n">
        <f aca="false">AJ52-AJ79+AJ54</f>
        <v>53.1250885241857</v>
      </c>
      <c r="AK80" s="11" t="n">
        <f aca="false">AK52-AK79+AK54</f>
        <v>53.2159019907963</v>
      </c>
      <c r="AL80" s="11" t="n">
        <f aca="false">AL52-AL79+AL54</f>
        <v>53.4135405605213</v>
      </c>
      <c r="AM80" s="11" t="n">
        <f aca="false">AM52-AM79+AM54</f>
        <v>50.6775901271207</v>
      </c>
      <c r="AN80" s="11" t="n">
        <f aca="false">AN52-AN79+AN54</f>
        <v>53.7480550541173</v>
      </c>
      <c r="AO80" s="11" t="n">
        <f aca="false">AO52-AO79+AO54</f>
        <v>53.741271101116</v>
      </c>
      <c r="AP80" s="11" t="n">
        <f aca="false">AP52-AP79+AP54</f>
        <v>53.8967192856058</v>
      </c>
      <c r="AQ80" s="11" t="n">
        <f aca="false">AQ52-AQ79+AQ54</f>
        <v>54.0731793538069</v>
      </c>
      <c r="AR80" s="11" t="n">
        <f aca="false">AR52-AR79+AR54</f>
        <v>54.1914731500282</v>
      </c>
      <c r="AS80" s="11" t="n">
        <f aca="false">AS52-AS79+AS54</f>
        <v>54.2878937341593</v>
      </c>
      <c r="AT80" s="11" t="n">
        <f aca="false">AT52-AT79+AT54</f>
        <v>54.5495303603424</v>
      </c>
      <c r="AU80" s="11" t="n">
        <f aca="false">AU52-AU79+AU54</f>
        <v>39.6661605187162</v>
      </c>
      <c r="AV80" s="11" t="n">
        <f aca="false">AV52-AV79+AV54</f>
        <v>54.9610447661608</v>
      </c>
      <c r="AW80" s="11" t="n">
        <f aca="false">AW52-AW79+AW54</f>
        <v>54.8566412582238</v>
      </c>
      <c r="AX80" s="11" t="n">
        <f aca="false">AX52-AX79+AX54</f>
        <v>55.0263391695362</v>
      </c>
      <c r="AY80" s="11" t="n">
        <f aca="false">AY52-AY79+AY54</f>
        <v>55.2177432105046</v>
      </c>
      <c r="AZ80" s="11" t="n">
        <f aca="false">AZ52-AZ79+AZ54</f>
        <v>55.3460643786843</v>
      </c>
      <c r="BA80" s="11" t="n">
        <f aca="false">BA52-BA79+BA54</f>
        <v>55.4484212169618</v>
      </c>
      <c r="BB80" s="11" t="n">
        <f aca="false">BB52-BB79+BB54</f>
        <v>55.6860981395695</v>
      </c>
      <c r="BC80" s="11" t="n">
        <f aca="false">BC52-BC79+BC54</f>
        <v>52.4320984345962</v>
      </c>
      <c r="BD80" s="11" t="n">
        <f aca="false">BD52-BD79+BD54</f>
        <v>56.0826883006257</v>
      </c>
      <c r="BE80" s="11" t="n">
        <f aca="false">BE52-BE79+BE54</f>
        <v>56.0641788481495</v>
      </c>
      <c r="BF80" s="11" t="n">
        <f aca="false">BF52-BF79+BF54</f>
        <v>56.249421704065</v>
      </c>
      <c r="BG80" s="11" t="n">
        <f aca="false">BG52-BG79+BG54</f>
        <v>56.4570592816034</v>
      </c>
      <c r="BH80" s="11" t="n">
        <f aca="false">BH52-BH79+BH54</f>
        <v>56.5962585840198</v>
      </c>
      <c r="BI80" s="11" t="n">
        <f aca="false">BI52-BI79+BI54</f>
        <v>56.704898666833</v>
      </c>
      <c r="BJ80" s="11" t="n">
        <f aca="false">BJ52-BJ79+BJ54</f>
        <v>57.0208662174089</v>
      </c>
      <c r="BK80" s="11" t="n">
        <f aca="false">BK52-BK79+BK54</f>
        <v>39.4244218900238</v>
      </c>
      <c r="BL80" s="11" t="n">
        <f aca="false">BL52-BL79+BL54</f>
        <v>57.5110237970095</v>
      </c>
      <c r="BM80" s="11" t="n">
        <f aca="false">BM52-BM79+BM54</f>
        <v>57.3716061155998</v>
      </c>
      <c r="BN80" s="11" t="n">
        <f aca="false">BN52-BN79+BN54</f>
        <v>19.0883965104018</v>
      </c>
    </row>
    <row r="81" customFormat="false" ht="15" hidden="false" customHeight="false" outlineLevel="0" collapsed="false">
      <c r="B81" s="2" t="s">
        <v>529</v>
      </c>
    </row>
    <row r="82" customFormat="false" ht="15" hidden="false" customHeight="false" outlineLevel="0" collapsed="false">
      <c r="D82" s="0" t="s">
        <v>530</v>
      </c>
      <c r="E82" s="0" t="s">
        <v>113</v>
      </c>
      <c r="J82" s="9" t="n">
        <f aca="false">IF(Time!J17&gt;=Time!$F$14,1,0)</f>
        <v>0</v>
      </c>
      <c r="K82" s="9" t="n">
        <f aca="false">IF(Time!K17&gt;=Time!$F$14,1,0)</f>
        <v>0</v>
      </c>
      <c r="L82" s="9" t="n">
        <f aca="false">IF(Time!L17&gt;=Time!$F$14,1,0)</f>
        <v>0</v>
      </c>
      <c r="M82" s="9" t="n">
        <f aca="false">IF(Time!M17&gt;=Time!$F$14,1,0)</f>
        <v>0</v>
      </c>
      <c r="N82" s="9" t="n">
        <f aca="false">IF(Time!N17&gt;=Time!$F$14,1,0)</f>
        <v>0</v>
      </c>
      <c r="O82" s="9" t="n">
        <f aca="false">IF(Time!O17&gt;=Time!$F$14,1,0)</f>
        <v>0</v>
      </c>
      <c r="P82" s="9" t="n">
        <f aca="false">IF(Time!P17&gt;=Time!$F$14,1,0)</f>
        <v>0</v>
      </c>
      <c r="Q82" s="9" t="n">
        <f aca="false">IF(Time!Q17&gt;=Time!$F$14,1,0)</f>
        <v>0</v>
      </c>
      <c r="R82" s="9" t="n">
        <f aca="false">IF(Time!R17&gt;=Time!$F$14,1,0)</f>
        <v>0</v>
      </c>
      <c r="S82" s="9" t="n">
        <f aca="false">IF(Time!S17&gt;=Time!$F$14,1,0)</f>
        <v>0</v>
      </c>
      <c r="T82" s="9" t="n">
        <f aca="false">IF(Time!T17&gt;=Time!$F$14,1,0)</f>
        <v>0</v>
      </c>
      <c r="U82" s="9" t="n">
        <f aca="false">IF(Time!U17&gt;=Time!$F$14,1,0)</f>
        <v>0</v>
      </c>
      <c r="V82" s="9" t="n">
        <f aca="false">IF(Time!V17&gt;=Time!$F$14,1,0)</f>
        <v>0</v>
      </c>
      <c r="W82" s="9" t="n">
        <f aca="false">IF(Time!W17&gt;=Time!$F$14,1,0)</f>
        <v>0</v>
      </c>
      <c r="X82" s="9" t="n">
        <f aca="false">IF(Time!X17&gt;=Time!$F$14,1,0)</f>
        <v>0</v>
      </c>
      <c r="Y82" s="9" t="n">
        <f aca="false">IF(Time!Y17&gt;=Time!$F$14,1,0)</f>
        <v>0</v>
      </c>
      <c r="Z82" s="9" t="n">
        <f aca="false">IF(Time!Z17&gt;=Time!$F$14,1,0)</f>
        <v>0</v>
      </c>
      <c r="AA82" s="9" t="n">
        <f aca="false">IF(Time!AA17&gt;=Time!$F$14,1,0)</f>
        <v>0</v>
      </c>
      <c r="AB82" s="9" t="n">
        <f aca="false">IF(Time!AB17&gt;=Time!$F$14,1,0)</f>
        <v>0</v>
      </c>
      <c r="AC82" s="9" t="n">
        <f aca="false">IF(Time!AC17&gt;=Time!$F$14,1,0)</f>
        <v>0</v>
      </c>
      <c r="AD82" s="9" t="n">
        <f aca="false">IF(Time!AD17&gt;=Time!$F$14,1,0)</f>
        <v>0</v>
      </c>
      <c r="AE82" s="9" t="n">
        <f aca="false">IF(Time!AE17&gt;=Time!$F$14,1,0)</f>
        <v>0</v>
      </c>
      <c r="AF82" s="9" t="n">
        <f aca="false">IF(Time!AF17&gt;=Time!$F$14,1,0)</f>
        <v>0</v>
      </c>
      <c r="AG82" s="9" t="n">
        <f aca="false">IF(Time!AG17&gt;=Time!$F$14,1,0)</f>
        <v>0</v>
      </c>
      <c r="AH82" s="9" t="n">
        <f aca="false">IF(Time!AH17&gt;=Time!$F$14,1,0)</f>
        <v>0</v>
      </c>
      <c r="AI82" s="9" t="n">
        <f aca="false">IF(Time!AI17&gt;=Time!$F$14,1,0)</f>
        <v>0</v>
      </c>
      <c r="AJ82" s="9" t="n">
        <f aca="false">IF(Time!AJ17&gt;=Time!$F$14,1,0)</f>
        <v>0</v>
      </c>
      <c r="AK82" s="9" t="n">
        <f aca="false">IF(Time!AK17&gt;=Time!$F$14,1,0)</f>
        <v>0</v>
      </c>
      <c r="AL82" s="9" t="n">
        <f aca="false">IF(Time!AL17&gt;=Time!$F$14,1,0)</f>
        <v>0</v>
      </c>
      <c r="AM82" s="9" t="n">
        <f aca="false">IF(Time!AM17&gt;=Time!$F$14,1,0)</f>
        <v>0</v>
      </c>
      <c r="AN82" s="9" t="n">
        <f aca="false">IF(Time!AN17&gt;=Time!$F$14,1,0)</f>
        <v>0</v>
      </c>
      <c r="AO82" s="9" t="n">
        <f aca="false">IF(Time!AO17&gt;=Time!$F$14,1,0)</f>
        <v>0</v>
      </c>
      <c r="AP82" s="9" t="n">
        <f aca="false">IF(Time!AP17&gt;=Time!$F$14,1,0)</f>
        <v>0</v>
      </c>
      <c r="AQ82" s="9" t="n">
        <f aca="false">IF(Time!AQ17&gt;=Time!$F$14,1,0)</f>
        <v>0</v>
      </c>
      <c r="AR82" s="9" t="n">
        <f aca="false">IF(Time!AR17&gt;=Time!$F$14,1,0)</f>
        <v>0</v>
      </c>
      <c r="AS82" s="9" t="n">
        <f aca="false">IF(Time!AS17&gt;=Time!$F$14,1,0)</f>
        <v>0</v>
      </c>
      <c r="AT82" s="9" t="n">
        <f aca="false">IF(Time!AT17&gt;=Time!$F$14,1,0)</f>
        <v>0</v>
      </c>
      <c r="AU82" s="9" t="n">
        <f aca="false">IF(Time!AU17&gt;=Time!$F$14,1,0)</f>
        <v>0</v>
      </c>
      <c r="AV82" s="9" t="n">
        <f aca="false">IF(Time!AV17&gt;=Time!$F$14,1,0)</f>
        <v>0</v>
      </c>
      <c r="AW82" s="9" t="n">
        <f aca="false">IF(Time!AW17&gt;=Time!$F$14,1,0)</f>
        <v>0</v>
      </c>
      <c r="AX82" s="9" t="n">
        <f aca="false">IF(Time!AX17&gt;=Time!$F$14,1,0)</f>
        <v>0</v>
      </c>
      <c r="AY82" s="9" t="n">
        <f aca="false">IF(Time!AY17&gt;=Time!$F$14,1,0)</f>
        <v>0</v>
      </c>
      <c r="AZ82" s="9" t="n">
        <f aca="false">IF(Time!AZ17&gt;=Time!$F$14,1,0)</f>
        <v>0</v>
      </c>
      <c r="BA82" s="9" t="n">
        <f aca="false">IF(Time!BA17&gt;=Time!$F$14,1,0)</f>
        <v>0</v>
      </c>
      <c r="BB82" s="9" t="n">
        <f aca="false">IF(Time!BB17&gt;=Time!$F$14,1,0)</f>
        <v>0</v>
      </c>
      <c r="BC82" s="9" t="n">
        <f aca="false">IF(Time!BC17&gt;=Time!$F$14,1,0)</f>
        <v>0</v>
      </c>
      <c r="BD82" s="9" t="n">
        <f aca="false">IF(Time!BD17&gt;=Time!$F$14,1,0)</f>
        <v>0</v>
      </c>
      <c r="BE82" s="9" t="n">
        <f aca="false">IF(Time!BE17&gt;=Time!$F$14,1,0)</f>
        <v>0</v>
      </c>
      <c r="BF82" s="9" t="n">
        <f aca="false">IF(Time!BF17&gt;=Time!$F$14,1,0)</f>
        <v>0</v>
      </c>
      <c r="BG82" s="9" t="n">
        <f aca="false">IF(Time!BG17&gt;=Time!$F$14,1,0)</f>
        <v>0</v>
      </c>
      <c r="BH82" s="9" t="n">
        <f aca="false">IF(Time!BH17&gt;=Time!$F$14,1,0)</f>
        <v>0</v>
      </c>
      <c r="BI82" s="9" t="n">
        <f aca="false">IF(Time!BI17&gt;=Time!$F$14,1,0)</f>
        <v>0</v>
      </c>
      <c r="BJ82" s="9" t="n">
        <f aca="false">IF(Time!BJ17&gt;=Time!$F$14,1,0)</f>
        <v>0</v>
      </c>
      <c r="BK82" s="9" t="n">
        <f aca="false">IF(Time!BK17&gt;=Time!$F$14,1,0)</f>
        <v>0</v>
      </c>
      <c r="BL82" s="9" t="n">
        <f aca="false">IF(Time!BL17&gt;=Time!$F$14,1,0)</f>
        <v>0</v>
      </c>
      <c r="BM82" s="9" t="n">
        <f aca="false">IF(Time!BM17&gt;=Time!$F$14,1,0)</f>
        <v>0</v>
      </c>
      <c r="BN82" s="9" t="n">
        <f aca="false">IF(Time!BN17&gt;=Time!$F$14,1,0)</f>
        <v>1</v>
      </c>
    </row>
    <row r="83" customFormat="false" ht="15" hidden="false" customHeight="false" outlineLevel="0" collapsed="false">
      <c r="D83" s="0" t="s">
        <v>531</v>
      </c>
      <c r="E83" s="0" t="s">
        <v>111</v>
      </c>
      <c r="J83" s="9" t="n">
        <f aca="false">Inputs!$F$44*Time!J33</f>
        <v>0</v>
      </c>
      <c r="K83" s="9" t="n">
        <f aca="false">Inputs!$F$44*Time!K33</f>
        <v>0</v>
      </c>
      <c r="L83" s="9" t="n">
        <f aca="false">Inputs!$F$44*Time!L33</f>
        <v>0</v>
      </c>
      <c r="M83" s="9" t="n">
        <f aca="false">Inputs!$F$44*Time!M33</f>
        <v>0</v>
      </c>
      <c r="N83" s="9" t="n">
        <f aca="false">Inputs!$F$44*Time!N33</f>
        <v>0</v>
      </c>
      <c r="O83" s="9" t="n">
        <f aca="false">Inputs!$F$44*Time!O33</f>
        <v>0</v>
      </c>
      <c r="P83" s="9" t="n">
        <f aca="false">Inputs!$F$44*Time!P33</f>
        <v>0</v>
      </c>
      <c r="Q83" s="9" t="n">
        <f aca="false">Inputs!$F$44*Time!Q33</f>
        <v>0</v>
      </c>
      <c r="R83" s="9" t="n">
        <f aca="false">Inputs!$F$44*Time!R33</f>
        <v>0</v>
      </c>
      <c r="S83" s="9" t="n">
        <f aca="false">Inputs!$F$44*Time!S33</f>
        <v>0</v>
      </c>
      <c r="T83" s="9" t="n">
        <f aca="false">Inputs!$F$44*Time!T33</f>
        <v>0</v>
      </c>
      <c r="U83" s="9" t="n">
        <f aca="false">Inputs!$F$44*Time!U33</f>
        <v>0</v>
      </c>
      <c r="V83" s="9" t="n">
        <f aca="false">Inputs!$F$44*Time!V33</f>
        <v>0</v>
      </c>
      <c r="W83" s="9" t="n">
        <f aca="false">Inputs!$F$44*Time!W33</f>
        <v>0</v>
      </c>
      <c r="X83" s="9" t="n">
        <f aca="false">Inputs!$F$44*Time!X33</f>
        <v>0</v>
      </c>
      <c r="Y83" s="9" t="n">
        <f aca="false">Inputs!$F$44*Time!Y33</f>
        <v>0</v>
      </c>
      <c r="Z83" s="9" t="n">
        <f aca="false">Inputs!$F$44*Time!Z33</f>
        <v>0</v>
      </c>
      <c r="AA83" s="9" t="n">
        <f aca="false">Inputs!$F$44*Time!AA33</f>
        <v>0</v>
      </c>
      <c r="AB83" s="9" t="n">
        <f aca="false">Inputs!$F$44*Time!AB33</f>
        <v>0</v>
      </c>
      <c r="AC83" s="9" t="n">
        <f aca="false">Inputs!$F$44*Time!AC33</f>
        <v>0</v>
      </c>
      <c r="AD83" s="9" t="n">
        <f aca="false">Inputs!$F$44*Time!AD33</f>
        <v>0</v>
      </c>
      <c r="AE83" s="9" t="n">
        <f aca="false">Inputs!$F$44*Time!AE33</f>
        <v>0</v>
      </c>
      <c r="AF83" s="9" t="n">
        <f aca="false">Inputs!$F$44*Time!AF33</f>
        <v>0</v>
      </c>
      <c r="AG83" s="9" t="n">
        <f aca="false">Inputs!$F$44*Time!AG33</f>
        <v>0</v>
      </c>
      <c r="AH83" s="9" t="n">
        <f aca="false">Inputs!$F$44*Time!AH33</f>
        <v>0</v>
      </c>
      <c r="AI83" s="9" t="n">
        <f aca="false">Inputs!$F$44*Time!AI33</f>
        <v>0</v>
      </c>
      <c r="AJ83" s="9" t="n">
        <f aca="false">Inputs!$F$44*Time!AJ33</f>
        <v>0</v>
      </c>
      <c r="AK83" s="9" t="n">
        <f aca="false">Inputs!$F$44*Time!AK33</f>
        <v>0</v>
      </c>
      <c r="AL83" s="9" t="n">
        <f aca="false">Inputs!$F$44*Time!AL33</f>
        <v>0</v>
      </c>
      <c r="AM83" s="9" t="n">
        <f aca="false">Inputs!$F$44*Time!AM33</f>
        <v>0</v>
      </c>
      <c r="AN83" s="9" t="n">
        <f aca="false">Inputs!$F$44*Time!AN33</f>
        <v>0</v>
      </c>
      <c r="AO83" s="9" t="n">
        <f aca="false">Inputs!$F$44*Time!AO33</f>
        <v>0</v>
      </c>
      <c r="AP83" s="9" t="n">
        <f aca="false">Inputs!$F$44*Time!AP33</f>
        <v>0</v>
      </c>
      <c r="AQ83" s="9" t="n">
        <f aca="false">Inputs!$F$44*Time!AQ33</f>
        <v>0</v>
      </c>
      <c r="AR83" s="9" t="n">
        <f aca="false">Inputs!$F$44*Time!AR33</f>
        <v>0</v>
      </c>
      <c r="AS83" s="9" t="n">
        <f aca="false">Inputs!$F$44*Time!AS33</f>
        <v>0</v>
      </c>
      <c r="AT83" s="9" t="n">
        <f aca="false">Inputs!$F$44*Time!AT33</f>
        <v>0</v>
      </c>
      <c r="AU83" s="9" t="n">
        <f aca="false">Inputs!$F$44*Time!AU33</f>
        <v>0</v>
      </c>
      <c r="AV83" s="9" t="n">
        <f aca="false">Inputs!$F$44*Time!AV33</f>
        <v>0</v>
      </c>
      <c r="AW83" s="9" t="n">
        <f aca="false">Inputs!$F$44*Time!AW33</f>
        <v>0</v>
      </c>
      <c r="AX83" s="9" t="n">
        <f aca="false">Inputs!$F$44*Time!AX33</f>
        <v>0</v>
      </c>
      <c r="AY83" s="9" t="n">
        <f aca="false">Inputs!$F$44*Time!AY33</f>
        <v>0</v>
      </c>
      <c r="AZ83" s="9" t="n">
        <f aca="false">Inputs!$F$44*Time!AZ33</f>
        <v>0</v>
      </c>
      <c r="BA83" s="9" t="n">
        <f aca="false">Inputs!$F$44*Time!BA33</f>
        <v>0</v>
      </c>
      <c r="BB83" s="9" t="n">
        <f aca="false">Inputs!$F$44*Time!BB33</f>
        <v>0</v>
      </c>
      <c r="BC83" s="9" t="n">
        <f aca="false">Inputs!$F$44*Time!BC33</f>
        <v>0</v>
      </c>
      <c r="BD83" s="9" t="n">
        <f aca="false">Inputs!$F$44*Time!BD33</f>
        <v>0</v>
      </c>
      <c r="BE83" s="9" t="n">
        <f aca="false">Inputs!$F$44*Time!BE33</f>
        <v>0</v>
      </c>
      <c r="BF83" s="9" t="n">
        <f aca="false">Inputs!$F$44*Time!BF33</f>
        <v>0</v>
      </c>
      <c r="BG83" s="9" t="n">
        <f aca="false">Inputs!$F$44*Time!BG33</f>
        <v>0</v>
      </c>
      <c r="BH83" s="9" t="n">
        <f aca="false">Inputs!$F$44*Time!BH33</f>
        <v>0</v>
      </c>
      <c r="BI83" s="9" t="n">
        <f aca="false">Inputs!$F$44*Time!BI33</f>
        <v>0</v>
      </c>
      <c r="BJ83" s="9" t="n">
        <f aca="false">Inputs!$F$44*Time!BJ33</f>
        <v>0</v>
      </c>
      <c r="BK83" s="9" t="n">
        <f aca="false">Inputs!$F$44*Time!BK33</f>
        <v>0</v>
      </c>
      <c r="BL83" s="9" t="n">
        <f aca="false">Inputs!$F$44*Time!BL33</f>
        <v>0</v>
      </c>
      <c r="BM83" s="9" t="n">
        <f aca="false">Inputs!$F$44*Time!BM33</f>
        <v>0</v>
      </c>
      <c r="BN83" s="9" t="n">
        <f aca="false">Inputs!$F$44*Time!BN33</f>
        <v>0</v>
      </c>
    </row>
    <row r="84" customFormat="false" ht="15" hidden="false" customHeight="false" outlineLevel="0" collapsed="false">
      <c r="D84" s="0" t="s">
        <v>532</v>
      </c>
      <c r="E84" s="0" t="s">
        <v>149</v>
      </c>
      <c r="J84" s="11" t="n">
        <f aca="false">(1-J82)*(J52/MAX(Time!J26,1)*Inputs!$F$168+J51/MAX(Time!J26,1)*J83)</f>
        <v>0</v>
      </c>
      <c r="K84" s="11" t="n">
        <f aca="false">(1-K82)*(K52/MAX(Time!K26,1)*Inputs!$F$168+K51/MAX(Time!K26,1)*K83)</f>
        <v>0</v>
      </c>
      <c r="L84" s="11" t="n">
        <f aca="false">(1-L82)*(L52/MAX(Time!L26,1)*Inputs!$F$168+L51/MAX(Time!L26,1)*L83)</f>
        <v>0</v>
      </c>
      <c r="M84" s="11" t="n">
        <f aca="false">(1-M82)*(M52/MAX(Time!M26,1)*Inputs!$F$168+M51/MAX(Time!M26,1)*M83)</f>
        <v>0</v>
      </c>
      <c r="N84" s="11" t="n">
        <f aca="false">(1-N82)*(N52/MAX(Time!N26,1)*Inputs!$F$168+N51/MAX(Time!N26,1)*N83)</f>
        <v>0</v>
      </c>
      <c r="O84" s="11" t="n">
        <f aca="false">(1-O82)*(O52/MAX(Time!O26,1)*Inputs!$F$168+O51/MAX(Time!O26,1)*O83)</f>
        <v>0</v>
      </c>
      <c r="P84" s="11" t="n">
        <f aca="false">(1-P82)*(P52/MAX(Time!P26,1)*Inputs!$F$168+P51/MAX(Time!P26,1)*P83)</f>
        <v>39.1809623256869</v>
      </c>
      <c r="Q84" s="11" t="n">
        <f aca="false">(1-Q82)*(Q52/MAX(Time!Q26,1)*Inputs!$F$168+Q51/MAX(Time!Q26,1)*Q83)</f>
        <v>40.0893437265458</v>
      </c>
      <c r="R84" s="11" t="n">
        <f aca="false">(1-R82)*(R52/MAX(Time!R26,1)*Inputs!$F$168+R51/MAX(Time!R26,1)*R83)</f>
        <v>39.4806540575721</v>
      </c>
      <c r="S84" s="11" t="n">
        <f aca="false">(1-S82)*(S52/MAX(Time!S26,1)*Inputs!$F$168+S51/MAX(Time!S26,1)*S83)</f>
        <v>40.4560693339611</v>
      </c>
      <c r="T84" s="11" t="n">
        <f aca="false">(1-T82)*(T52/MAX(Time!T26,1)*Inputs!$F$168+T51/MAX(Time!T26,1)*T83)</f>
        <v>39.9842158401186</v>
      </c>
      <c r="U84" s="11" t="n">
        <f aca="false">(1-U82)*(U52/MAX(Time!U26,1)*Inputs!$F$168+U51/MAX(Time!U26,1)*U83)</f>
        <v>41.0568815678258</v>
      </c>
      <c r="V84" s="11" t="n">
        <f aca="false">(1-V82)*(V52/MAX(Time!V26,1)*Inputs!$F$168+V51/MAX(Time!V26,1)*V83)</f>
        <v>40.455960140644</v>
      </c>
      <c r="W84" s="11" t="n">
        <f aca="false">(1-W82)*(W52/MAX(Time!W26,1)*Inputs!$F$168+W51/MAX(Time!W26,1)*W83)</f>
        <v>41.0732780709418</v>
      </c>
      <c r="X84" s="11" t="n">
        <f aca="false">(1-X82)*(X52/MAX(Time!X26,1)*Inputs!$F$168+X51/MAX(Time!X26,1)*X83)</f>
        <v>40.7869746077725</v>
      </c>
      <c r="Y84" s="11" t="n">
        <f aca="false">(1-Y82)*(Y52/MAX(Time!Y26,1)*Inputs!$F$168+Y51/MAX(Time!Y26,1)*Y83)</f>
        <v>42.4919435497691</v>
      </c>
      <c r="Z84" s="11" t="n">
        <f aca="false">(1-Z82)*(Z52/MAX(Time!Z26,1)*Inputs!$F$168+Z51/MAX(Time!Z26,1)*Z83)</f>
        <v>41.8473303472152</v>
      </c>
      <c r="AA84" s="11" t="n">
        <f aca="false">(1-AA82)*(AA52/MAX(Time!AA26,1)*Inputs!$F$168+AA51/MAX(Time!AA26,1)*AA83)</f>
        <v>42.8881777291116</v>
      </c>
      <c r="AB84" s="11" t="n">
        <f aca="false">(1-AB82)*(AB52/MAX(Time!AB26,1)*Inputs!$F$168+AB51/MAX(Time!AB26,1)*AB83)</f>
        <v>42.3913466997486</v>
      </c>
      <c r="AC84" s="11" t="n">
        <f aca="false">(1-AC82)*(AC52/MAX(Time!AC26,1)*Inputs!$F$168+AC51/MAX(Time!AC26,1)*AC83)</f>
        <v>43.5413549658211</v>
      </c>
      <c r="AD84" s="11" t="n">
        <f aca="false">(1-AD82)*(AD52/MAX(Time!AD26,1)*Inputs!$F$168+AD51/MAX(Time!AD26,1)*AD83)</f>
        <v>42.7357872806621</v>
      </c>
      <c r="AE84" s="11" t="n">
        <f aca="false">(1-AE82)*(AE52/MAX(Time!AE26,1)*Inputs!$F$168+AE51/MAX(Time!AE26,1)*AE83)</f>
        <v>42.8120519839187</v>
      </c>
      <c r="AF84" s="11" t="n">
        <f aca="false">(1-AF82)*(AF52/MAX(Time!AF26,1)*Inputs!$F$168+AF51/MAX(Time!AF26,1)*AF83)</f>
        <v>42.9218303605379</v>
      </c>
      <c r="AG84" s="11" t="n">
        <f aca="false">(1-AG82)*(AG52/MAX(Time!AG26,1)*Inputs!$F$168+AG51/MAX(Time!AG26,1)*AG83)</f>
        <v>45.0874766827812</v>
      </c>
      <c r="AH84" s="11" t="n">
        <f aca="false">(1-AH82)*(AH52/MAX(Time!AH26,1)*Inputs!$F$168+AH51/MAX(Time!AH26,1)*AH83)</f>
        <v>44.4040512974958</v>
      </c>
      <c r="AI84" s="11" t="n">
        <f aca="false">(1-AI82)*(AI52/MAX(Time!AI26,1)*Inputs!$F$168+AI51/MAX(Time!AI26,1)*AI83)</f>
        <v>45.5156087746249</v>
      </c>
      <c r="AJ84" s="11" t="n">
        <f aca="false">(1-AJ82)*(AJ52/MAX(Time!AJ26,1)*Inputs!$F$168+AJ51/MAX(Time!AJ26,1)*AJ83)</f>
        <v>44.9917806937183</v>
      </c>
      <c r="AK84" s="11" t="n">
        <f aca="false">(1-AK82)*(AK52/MAX(Time!AK26,1)*Inputs!$F$168+AK51/MAX(Time!AK26,1)*AK83)</f>
        <v>46.2253268415193</v>
      </c>
      <c r="AL84" s="11" t="n">
        <f aca="false">(1-AL82)*(AL52/MAX(Time!AL26,1)*Inputs!$F$168+AL51/MAX(Time!AL26,1)*AL83)</f>
        <v>45.5424130591919</v>
      </c>
      <c r="AM84" s="11" t="n">
        <f aca="false">(1-AM82)*(AM52/MAX(Time!AM26,1)*Inputs!$F$168+AM51/MAX(Time!AM26,1)*AM83)</f>
        <v>46.2363564111533</v>
      </c>
      <c r="AN84" s="11" t="n">
        <f aca="false">(1-AN82)*(AN52/MAX(Time!AN26,1)*Inputs!$F$168+AN51/MAX(Time!AN26,1)*AN83)</f>
        <v>45.9289230315007</v>
      </c>
      <c r="AO84" s="11" t="n">
        <f aca="false">(1-AO82)*(AO52/MAX(Time!AO26,1)*Inputs!$F$168+AO51/MAX(Time!AO26,1)*AO83)</f>
        <v>47.8914552156177</v>
      </c>
      <c r="AP84" s="11" t="n">
        <f aca="false">(1-AP82)*(AP52/MAX(Time!AP26,1)*Inputs!$F$168+AP51/MAX(Time!AP26,1)*AP83)</f>
        <v>47.1660981684924</v>
      </c>
      <c r="AQ84" s="11" t="n">
        <f aca="false">(1-AQ82)*(AQ52/MAX(Time!AQ26,1)*Inputs!$F$168+AQ51/MAX(Time!AQ26,1)*AQ83)</f>
        <v>48.3540689255078</v>
      </c>
      <c r="AR84" s="11" t="n">
        <f aca="false">(1-AR82)*(AR52/MAX(Time!AR26,1)*Inputs!$F$168+AR51/MAX(Time!AR26,1)*AR83)</f>
        <v>47.8010618533557</v>
      </c>
      <c r="AS84" s="11" t="n">
        <f aca="false">(1-AS82)*(AS52/MAX(Time!AS26,1)*Inputs!$F$168+AS51/MAX(Time!AS26,1)*AS83)</f>
        <v>49.1248359202865</v>
      </c>
      <c r="AT84" s="11" t="n">
        <f aca="false">(1-AT82)*(AT52/MAX(Time!AT26,1)*Inputs!$F$168+AT51/MAX(Time!AT26,1)*AT83)</f>
        <v>48.2032828475597</v>
      </c>
      <c r="AU84" s="11" t="n">
        <f aca="false">(1-AU82)*(AU52/MAX(Time!AU26,1)*Inputs!$F$168+AU51/MAX(Time!AU26,1)*AU83)</f>
        <v>48.2885721578429</v>
      </c>
      <c r="AV84" s="11" t="n">
        <f aca="false">(1-AV82)*(AV52/MAX(Time!AV26,1)*Inputs!$F$168+AV51/MAX(Time!AV26,1)*AV83)</f>
        <v>48.420800426802</v>
      </c>
      <c r="AW84" s="11" t="n">
        <f aca="false">(1-AW82)*(AW52/MAX(Time!AW26,1)*Inputs!$F$168+AW51/MAX(Time!AW26,1)*AW83)</f>
        <v>50.9206382937657</v>
      </c>
      <c r="AX84" s="11" t="n">
        <f aca="false">(1-AX82)*(AX52/MAX(Time!AX26,1)*Inputs!$F$168+AX51/MAX(Time!AX26,1)*AX83)</f>
        <v>50.1499809615046</v>
      </c>
      <c r="AY84" s="11" t="n">
        <f aca="false">(1-AY82)*(AY52/MAX(Time!AY26,1)*Inputs!$F$168+AY51/MAX(Time!AY26,1)*AY83)</f>
        <v>51.4205275569009</v>
      </c>
      <c r="AZ84" s="11" t="n">
        <f aca="false">(1-AZ82)*(AZ52/MAX(Time!AZ26,1)*Inputs!$F$168+AZ51/MAX(Time!AZ26,1)*AZ83)</f>
        <v>50.8359841433507</v>
      </c>
      <c r="BA84" s="11" t="n">
        <f aca="false">(1-BA82)*(BA52/MAX(Time!BA26,1)*Inputs!$F$168+BA51/MAX(Time!BA26,1)*BA83)</f>
        <v>52.2572101921656</v>
      </c>
      <c r="BB84" s="11" t="n">
        <f aca="false">(1-BB82)*(BB52/MAX(Time!BB26,1)*Inputs!$F$168+BB51/MAX(Time!BB26,1)*BB83)</f>
        <v>51.4787443521526</v>
      </c>
      <c r="BC84" s="11" t="n">
        <f aca="false">(1-BC82)*(BC52/MAX(Time!BC26,1)*Inputs!$F$168+BC51/MAX(Time!BC26,1)*BC83)</f>
        <v>52.2623539369825</v>
      </c>
      <c r="BD84" s="11" t="n">
        <f aca="false">(1-BD82)*(BD52/MAX(Time!BD26,1)*Inputs!$F$168+BD51/MAX(Time!BD26,1)*BD83)</f>
        <v>51.9301352601338</v>
      </c>
      <c r="BE84" s="11" t="n">
        <f aca="false">(1-BE82)*(BE52/MAX(Time!BE26,1)*Inputs!$F$168+BE51/MAX(Time!BE26,1)*BE83)</f>
        <v>54.1931322508396</v>
      </c>
      <c r="BF84" s="11" t="n">
        <f aca="false">(1-BF82)*(BF52/MAX(Time!BF26,1)*Inputs!$F$168+BF51/MAX(Time!BF26,1)*BF83)</f>
        <v>53.3735371105536</v>
      </c>
      <c r="BG84" s="11" t="n">
        <f aca="false">(1-BG82)*(BG52/MAX(Time!BG26,1)*Inputs!$F$168+BG51/MAX(Time!BG26,1)*BG83)</f>
        <v>54.7333183949341</v>
      </c>
      <c r="BH84" s="11" t="n">
        <f aca="false">(1-BH82)*(BH52/MAX(Time!BH26,1)*Inputs!$F$168+BH51/MAX(Time!BH26,1)*BH83)</f>
        <v>54.1146918610221</v>
      </c>
      <c r="BI84" s="11" t="n">
        <f aca="false">(1-BI82)*(BI52/MAX(Time!BI26,1)*Inputs!$F$168+BI51/MAX(Time!BI26,1)*BI83)</f>
        <v>55.6411704213176</v>
      </c>
      <c r="BJ84" s="11" t="n">
        <f aca="false">(1-BJ82)*(BJ52/MAX(Time!BJ26,1)*Inputs!$F$168+BJ51/MAX(Time!BJ26,1)*BJ83)</f>
        <v>54.5844727308456</v>
      </c>
      <c r="BK84" s="11" t="n">
        <f aca="false">(1-BK82)*(BK52/MAX(Time!BK26,1)*Inputs!$F$168+BK51/MAX(Time!BK26,1)*BK83)</f>
        <v>54.6803145932766</v>
      </c>
      <c r="BL84" s="11" t="n">
        <f aca="false">(1-BL82)*(BL52/MAX(Time!BL26,1)*Inputs!$F$168+BL51/MAX(Time!BL26,1)*BL83)</f>
        <v>54.8389143385784</v>
      </c>
      <c r="BM84" s="11" t="n">
        <f aca="false">(1-BM82)*(BM52/MAX(Time!BM26,1)*Inputs!$F$168+BM51/MAX(Time!BM26,1)*BM83)</f>
        <v>57.7284987644055</v>
      </c>
      <c r="BN84" s="11" t="n">
        <f aca="false">(1-BN82)*(BN52/MAX(Time!BN26,1)*Inputs!$F$168+BN51/MAX(Time!BN26,1)*BN83)</f>
        <v>0</v>
      </c>
    </row>
    <row r="85" customFormat="false" ht="15" hidden="false" customHeight="false" outlineLevel="0" collapsed="false">
      <c r="D85" s="0" t="s">
        <v>533</v>
      </c>
      <c r="E85" s="0" t="s">
        <v>149</v>
      </c>
      <c r="J85" s="11" t="n">
        <f aca="false">Inputs!$F$45*Inputs!J219</f>
        <v>0</v>
      </c>
      <c r="K85" s="11" t="n">
        <f aca="false">Inputs!$F$45*Inputs!K219</f>
        <v>0</v>
      </c>
      <c r="L85" s="11" t="n">
        <f aca="false">Inputs!$F$45*Inputs!L219</f>
        <v>0</v>
      </c>
      <c r="M85" s="11" t="n">
        <f aca="false">Inputs!$F$45*Inputs!M219</f>
        <v>0</v>
      </c>
      <c r="N85" s="11" t="n">
        <f aca="false">Inputs!$F$45*Inputs!N219</f>
        <v>0</v>
      </c>
      <c r="O85" s="11" t="n">
        <f aca="false">Inputs!$F$45*Inputs!O219</f>
        <v>0</v>
      </c>
      <c r="P85" s="11" t="n">
        <f aca="false">Inputs!$F$45*Inputs!P219</f>
        <v>0</v>
      </c>
      <c r="Q85" s="11" t="n">
        <f aca="false">Inputs!$F$45*Inputs!Q219</f>
        <v>0</v>
      </c>
      <c r="R85" s="11" t="n">
        <f aca="false">Inputs!$F$45*Inputs!R219</f>
        <v>0</v>
      </c>
      <c r="S85" s="11" t="n">
        <f aca="false">Inputs!$F$45*Inputs!S219</f>
        <v>0</v>
      </c>
      <c r="T85" s="11" t="n">
        <f aca="false">Inputs!$F$45*Inputs!T219</f>
        <v>0</v>
      </c>
      <c r="U85" s="11" t="n">
        <f aca="false">Inputs!$F$45*Inputs!U219</f>
        <v>0</v>
      </c>
      <c r="V85" s="11" t="n">
        <f aca="false">Inputs!$F$45*Inputs!V219</f>
        <v>0</v>
      </c>
      <c r="W85" s="11" t="n">
        <f aca="false">Inputs!$F$45*Inputs!W219</f>
        <v>0</v>
      </c>
      <c r="X85" s="11" t="n">
        <f aca="false">Inputs!$F$45*Inputs!X219</f>
        <v>0</v>
      </c>
      <c r="Y85" s="11" t="n">
        <f aca="false">Inputs!$F$45*Inputs!Y219</f>
        <v>0</v>
      </c>
      <c r="Z85" s="11" t="n">
        <f aca="false">Inputs!$F$45*Inputs!Z219</f>
        <v>0</v>
      </c>
      <c r="AA85" s="11" t="n">
        <f aca="false">Inputs!$F$45*Inputs!AA219</f>
        <v>0</v>
      </c>
      <c r="AB85" s="11" t="n">
        <f aca="false">Inputs!$F$45*Inputs!AB219</f>
        <v>0</v>
      </c>
      <c r="AC85" s="11" t="n">
        <f aca="false">Inputs!$F$45*Inputs!AC219</f>
        <v>0</v>
      </c>
      <c r="AD85" s="11" t="n">
        <f aca="false">Inputs!$F$45*Inputs!AD219</f>
        <v>0</v>
      </c>
      <c r="AE85" s="11" t="n">
        <f aca="false">Inputs!$F$45*Inputs!AE219</f>
        <v>0</v>
      </c>
      <c r="AF85" s="11" t="n">
        <f aca="false">Inputs!$F$45*Inputs!AF219</f>
        <v>0</v>
      </c>
      <c r="AG85" s="11" t="n">
        <f aca="false">Inputs!$F$45*Inputs!AG219</f>
        <v>0</v>
      </c>
      <c r="AH85" s="11" t="n">
        <f aca="false">Inputs!$F$45*Inputs!AH219</f>
        <v>0</v>
      </c>
      <c r="AI85" s="11" t="n">
        <f aca="false">Inputs!$F$45*Inputs!AI219</f>
        <v>0</v>
      </c>
      <c r="AJ85" s="11" t="n">
        <f aca="false">Inputs!$F$45*Inputs!AJ219</f>
        <v>0</v>
      </c>
      <c r="AK85" s="11" t="n">
        <f aca="false">Inputs!$F$45*Inputs!AK219</f>
        <v>0</v>
      </c>
      <c r="AL85" s="11" t="n">
        <f aca="false">Inputs!$F$45*Inputs!AL219</f>
        <v>0</v>
      </c>
      <c r="AM85" s="11" t="n">
        <f aca="false">Inputs!$F$45*Inputs!AM219</f>
        <v>0</v>
      </c>
      <c r="AN85" s="11" t="n">
        <f aca="false">Inputs!$F$45*Inputs!AN219</f>
        <v>0</v>
      </c>
      <c r="AO85" s="11" t="n">
        <f aca="false">Inputs!$F$45*Inputs!AO219</f>
        <v>0</v>
      </c>
      <c r="AP85" s="11" t="n">
        <f aca="false">Inputs!$F$45*Inputs!AP219</f>
        <v>0</v>
      </c>
      <c r="AQ85" s="11" t="n">
        <f aca="false">Inputs!$F$45*Inputs!AQ219</f>
        <v>0</v>
      </c>
      <c r="AR85" s="11" t="n">
        <f aca="false">Inputs!$F$45*Inputs!AR219</f>
        <v>0</v>
      </c>
      <c r="AS85" s="11" t="n">
        <f aca="false">Inputs!$F$45*Inputs!AS219</f>
        <v>0</v>
      </c>
      <c r="AT85" s="11" t="n">
        <f aca="false">Inputs!$F$45*Inputs!AT219</f>
        <v>0</v>
      </c>
      <c r="AU85" s="11" t="n">
        <f aca="false">Inputs!$F$45*Inputs!AU219</f>
        <v>0</v>
      </c>
      <c r="AV85" s="11" t="n">
        <f aca="false">Inputs!$F$45*Inputs!AV219</f>
        <v>0</v>
      </c>
      <c r="AW85" s="11" t="n">
        <f aca="false">Inputs!$F$45*Inputs!AW219</f>
        <v>0</v>
      </c>
      <c r="AX85" s="11" t="n">
        <f aca="false">Inputs!$F$45*Inputs!AX219</f>
        <v>0</v>
      </c>
      <c r="AY85" s="11" t="n">
        <f aca="false">Inputs!$F$45*Inputs!AY219</f>
        <v>0</v>
      </c>
      <c r="AZ85" s="11" t="n">
        <f aca="false">Inputs!$F$45*Inputs!AZ219</f>
        <v>0</v>
      </c>
      <c r="BA85" s="11" t="n">
        <f aca="false">Inputs!$F$45*Inputs!BA219</f>
        <v>0</v>
      </c>
      <c r="BB85" s="11" t="n">
        <f aca="false">Inputs!$F$45*Inputs!BB219</f>
        <v>0</v>
      </c>
      <c r="BC85" s="11" t="n">
        <f aca="false">Inputs!$F$45*Inputs!BC219</f>
        <v>0</v>
      </c>
      <c r="BD85" s="11" t="n">
        <f aca="false">Inputs!$F$45*Inputs!BD219</f>
        <v>0</v>
      </c>
      <c r="BE85" s="11" t="n">
        <f aca="false">Inputs!$F$45*Inputs!BE219</f>
        <v>0</v>
      </c>
      <c r="BF85" s="11" t="n">
        <f aca="false">Inputs!$F$45*Inputs!BF219</f>
        <v>0</v>
      </c>
      <c r="BG85" s="11" t="n">
        <f aca="false">Inputs!$F$45*Inputs!BG219</f>
        <v>0</v>
      </c>
      <c r="BH85" s="11" t="n">
        <f aca="false">Inputs!$F$45*Inputs!BH219</f>
        <v>0</v>
      </c>
      <c r="BI85" s="11" t="n">
        <f aca="false">Inputs!$F$45*Inputs!BI219</f>
        <v>0</v>
      </c>
      <c r="BJ85" s="11" t="n">
        <f aca="false">Inputs!$F$45*Inputs!BJ219</f>
        <v>0</v>
      </c>
      <c r="BK85" s="11" t="n">
        <f aca="false">Inputs!$F$45*Inputs!BK219</f>
        <v>0</v>
      </c>
      <c r="BL85" s="11" t="n">
        <f aca="false">Inputs!$F$45*Inputs!BL219</f>
        <v>0</v>
      </c>
      <c r="BM85" s="11" t="n">
        <f aca="false">Inputs!$F$45*Inputs!BM219</f>
        <v>0</v>
      </c>
      <c r="BN85" s="11" t="n">
        <f aca="false">Inputs!$F$45*Inputs!BN219</f>
        <v>0</v>
      </c>
    </row>
    <row r="86" customFormat="false" ht="15" hidden="false" customHeight="false" outlineLevel="0" collapsed="false">
      <c r="D86" s="0" t="s">
        <v>534</v>
      </c>
      <c r="E86" s="0" t="s">
        <v>149</v>
      </c>
      <c r="J86" s="11" t="n">
        <f aca="false">(1-J82)*(J69+J50)/MAX(Time!J26,1)*Inputs!$F$169</f>
        <v>0</v>
      </c>
      <c r="K86" s="11" t="n">
        <f aca="false">(1-K82)*(K69+K50)/MAX(Time!K26,1)*Inputs!$F$169</f>
        <v>0</v>
      </c>
      <c r="L86" s="11" t="n">
        <f aca="false">(1-L82)*(L69+L50)/MAX(Time!L26,1)*Inputs!$F$169</f>
        <v>0</v>
      </c>
      <c r="M86" s="11" t="n">
        <f aca="false">(1-M82)*(M69+M50)/MAX(Time!M26,1)*Inputs!$F$169</f>
        <v>0</v>
      </c>
      <c r="N86" s="11" t="n">
        <f aca="false">(1-N82)*(N69+N50)/MAX(Time!N26,1)*Inputs!$F$169</f>
        <v>0</v>
      </c>
      <c r="O86" s="11" t="n">
        <f aca="false">(1-O82)*(O69+O50)/MAX(Time!O26,1)*Inputs!$F$169</f>
        <v>0</v>
      </c>
      <c r="P86" s="11" t="n">
        <f aca="false">(1-P82)*(P69+P50)/MAX(Time!P26,1)*Inputs!$F$169</f>
        <v>18.981872567668</v>
      </c>
      <c r="Q86" s="11" t="n">
        <f aca="false">(1-Q82)*(Q69+Q50)/MAX(Time!Q26,1)*Inputs!$F$169</f>
        <v>19.5734858895665</v>
      </c>
      <c r="R86" s="11" t="n">
        <f aca="false">(1-R82)*(R69+R50)/MAX(Time!R26,1)*Inputs!$F$169</f>
        <v>19.1898695703999</v>
      </c>
      <c r="S86" s="11" t="n">
        <f aca="false">(1-S82)*(S69+S50)/MAX(Time!S26,1)*Inputs!$F$169</f>
        <v>19.7673961775234</v>
      </c>
      <c r="T86" s="11" t="n">
        <f aca="false">(1-T82)*(T69+T50)/MAX(Time!T26,1)*Inputs!$F$169</f>
        <v>19.5049093413048</v>
      </c>
      <c r="U86" s="11" t="n">
        <f aca="false">(1-U82)*(U69+U50)/MAX(Time!U26,1)*Inputs!$F$169</f>
        <v>20.2400036692214</v>
      </c>
      <c r="V86" s="11" t="n">
        <f aca="false">(1-V82)*(V69+V50)/MAX(Time!V26,1)*Inputs!$F$169</f>
        <v>19.7892757868369</v>
      </c>
      <c r="W86" s="11" t="n">
        <f aca="false">(1-W82)*(W69+W50)/MAX(Time!W26,1)*Inputs!$F$169</f>
        <v>20.0444416126787</v>
      </c>
      <c r="X86" s="11" t="n">
        <f aca="false">(1-X82)*(X69+X50)/MAX(Time!X26,1)*Inputs!$F$169</f>
        <v>19.9466454705594</v>
      </c>
      <c r="Y86" s="11" t="n">
        <f aca="false">(1-Y82)*(Y69+Y50)/MAX(Time!Y26,1)*Inputs!$F$169</f>
        <v>21.1608056600682</v>
      </c>
      <c r="Z86" s="11" t="n">
        <f aca="false">(1-Z82)*(Z69+Z50)/MAX(Time!Z26,1)*Inputs!$F$169</f>
        <v>20.7459263425221</v>
      </c>
      <c r="AA86" s="11" t="n">
        <f aca="false">(1-AA82)*(AA69+AA50)/MAX(Time!AA26,1)*Inputs!$F$169</f>
        <v>21.3701249165466</v>
      </c>
      <c r="AB86" s="11" t="n">
        <f aca="false">(1-AB82)*(AB69+AB50)/MAX(Time!AB26,1)*Inputs!$F$169</f>
        <v>21.0861996640739</v>
      </c>
      <c r="AC86" s="11" t="n">
        <f aca="false">(1-AC82)*(AC69+AC50)/MAX(Time!AC26,1)*Inputs!$F$169</f>
        <v>21.880727020268</v>
      </c>
      <c r="AD86" s="11" t="n">
        <f aca="false">(1-AD82)*(AD69+AD50)/MAX(Time!AD26,1)*Inputs!$F$169</f>
        <v>21.2471949362023</v>
      </c>
      <c r="AE86" s="11" t="n">
        <f aca="false">(1-AE82)*(AE69+AE50)/MAX(Time!AE26,1)*Inputs!$F$169</f>
        <v>21.2145637935237</v>
      </c>
      <c r="AF86" s="11" t="n">
        <f aca="false">(1-AF82)*(AF69+AF50)/MAX(Time!AF26,1)*Inputs!$F$169</f>
        <v>21.2651455638534</v>
      </c>
      <c r="AG86" s="11" t="n">
        <f aca="false">(1-AG82)*(AG69+AG50)/MAX(Time!AG26,1)*Inputs!$F$169</f>
        <v>22.8754936617536</v>
      </c>
      <c r="AH86" s="11" t="n">
        <f aca="false">(1-AH82)*(AH69+AH50)/MAX(Time!AH26,1)*Inputs!$F$169</f>
        <v>22.4268295858365</v>
      </c>
      <c r="AI86" s="11" t="n">
        <f aca="false">(1-AI82)*(AI69+AI50)/MAX(Time!AI26,1)*Inputs!$F$169</f>
        <v>23.1014311506159</v>
      </c>
      <c r="AJ86" s="11" t="n">
        <f aca="false">(1-AJ82)*(AJ69+AJ50)/MAX(Time!AJ26,1)*Inputs!$F$169</f>
        <v>22.79433418663</v>
      </c>
      <c r="AK86" s="11" t="n">
        <f aca="false">(1-AK82)*(AK69+AK50)/MAX(Time!AK26,1)*Inputs!$F$169</f>
        <v>23.6530480969888</v>
      </c>
      <c r="AL86" s="11" t="n">
        <f aca="false">(1-AL82)*(AL69+AL50)/MAX(Time!AL26,1)*Inputs!$F$169</f>
        <v>23.1259711090982</v>
      </c>
      <c r="AM86" s="11" t="n">
        <f aca="false">(1-AM82)*(AM69+AM50)/MAX(Time!AM26,1)*Inputs!$F$169</f>
        <v>23.4238127094044</v>
      </c>
      <c r="AN86" s="11" t="n">
        <f aca="false">(1-AN82)*(AN69+AN50)/MAX(Time!AN26,1)*Inputs!$F$169</f>
        <v>23.3091822019381</v>
      </c>
      <c r="AO86" s="11" t="n">
        <f aca="false">(1-AO82)*(AO69+AO50)/MAX(Time!AO26,1)*Inputs!$F$169</f>
        <v>24.727653532949</v>
      </c>
      <c r="AP86" s="11" t="n">
        <f aca="false">(1-AP82)*(AP69+AP50)/MAX(Time!AP26,1)*Inputs!$F$169</f>
        <v>24.2424817426379</v>
      </c>
      <c r="AQ86" s="11" t="n">
        <f aca="false">(1-AQ82)*(AQ69+AQ50)/MAX(Time!AQ26,1)*Inputs!$F$169</f>
        <v>24.9715120653825</v>
      </c>
      <c r="AR86" s="11" t="n">
        <f aca="false">(1-AR82)*(AR69+AR50)/MAX(Time!AR26,1)*Inputs!$F$169</f>
        <v>24.6393714556862</v>
      </c>
      <c r="AS86" s="11" t="n">
        <f aca="false">(1-AS82)*(AS69+AS50)/MAX(Time!AS26,1)*Inputs!$F$169</f>
        <v>25.5674011726879</v>
      </c>
      <c r="AT86" s="11" t="n">
        <f aca="false">(1-AT82)*(AT69+AT50)/MAX(Time!AT26,1)*Inputs!$F$169</f>
        <v>24.8267553529679</v>
      </c>
      <c r="AU86" s="11" t="n">
        <f aca="false">(1-AU82)*(AU69+AU50)/MAX(Time!AU26,1)*Inputs!$F$169</f>
        <v>24.7882569678701</v>
      </c>
      <c r="AV86" s="11" t="n">
        <f aca="false">(1-AV82)*(AV69+AV50)/MAX(Time!AV26,1)*Inputs!$F$169</f>
        <v>24.8469886070427</v>
      </c>
      <c r="AW86" s="11" t="n">
        <f aca="false">(1-AW82)*(AW69+AW50)/MAX(Time!AW26,1)*Inputs!$F$169</f>
        <v>26.7281801893645</v>
      </c>
      <c r="AX86" s="11" t="n">
        <f aca="false">(1-AX82)*(AX69+AX50)/MAX(Time!AX26,1)*Inputs!$F$169</f>
        <v>26.2035606726812</v>
      </c>
      <c r="AY86" s="11" t="n">
        <f aca="false">(1-AY82)*(AY69+AY50)/MAX(Time!AY26,1)*Inputs!$F$169</f>
        <v>26.9913632377895</v>
      </c>
      <c r="AZ86" s="11" t="n">
        <f aca="false">(1-AZ82)*(AZ69+AZ50)/MAX(Time!AZ26,1)*Inputs!$F$169</f>
        <v>26.6321574495346</v>
      </c>
      <c r="BA86" s="11" t="n">
        <f aca="false">(1-BA82)*(BA69+BA50)/MAX(Time!BA26,1)*Inputs!$F$169</f>
        <v>27.6350372569313</v>
      </c>
      <c r="BB86" s="11" t="n">
        <f aca="false">(1-BB82)*(BB69+BB50)/MAX(Time!BB26,1)*Inputs!$F$169</f>
        <v>27.0188223510927</v>
      </c>
      <c r="BC86" s="11" t="n">
        <f aca="false">(1-BC82)*(BC69+BC50)/MAX(Time!BC26,1)*Inputs!$F$169</f>
        <v>27.3663903957504</v>
      </c>
      <c r="BD86" s="11" t="n">
        <f aca="false">(1-BD82)*(BD69+BD50)/MAX(Time!BD26,1)*Inputs!$F$169</f>
        <v>27.2320576969325</v>
      </c>
      <c r="BE86" s="11" t="n">
        <f aca="false">(1-BE82)*(BE69+BE50)/MAX(Time!BE26,1)*Inputs!$F$169</f>
        <v>28.8888208826552</v>
      </c>
      <c r="BF86" s="11" t="n">
        <f aca="false">(1-BF82)*(BF69+BF50)/MAX(Time!BF26,1)*Inputs!$F$169</f>
        <v>28.3215794785404</v>
      </c>
      <c r="BG86" s="11" t="n">
        <f aca="false">(1-BG82)*(BG69+BG50)/MAX(Time!BG26,1)*Inputs!$F$169</f>
        <v>29.1728402242454</v>
      </c>
      <c r="BH86" s="11" t="n">
        <f aca="false">(1-BH82)*(BH69+BH50)/MAX(Time!BH26,1)*Inputs!$F$169</f>
        <v>28.784386311227</v>
      </c>
      <c r="BI86" s="11" t="n">
        <f aca="false">(1-BI82)*(BI69+BI50)/MAX(Time!BI26,1)*Inputs!$F$169</f>
        <v>29.8680870790166</v>
      </c>
      <c r="BJ86" s="11" t="n">
        <f aca="false">(1-BJ82)*(BJ69+BJ50)/MAX(Time!BJ26,1)*Inputs!$F$169</f>
        <v>29.0024213102976</v>
      </c>
      <c r="BK86" s="11" t="n">
        <f aca="false">(1-BK82)*(BK69+BK50)/MAX(Time!BK26,1)*Inputs!$F$169</f>
        <v>28.9570121336825</v>
      </c>
      <c r="BL86" s="11" t="n">
        <f aca="false">(1-BL82)*(BL69+BL50)/MAX(Time!BL26,1)*Inputs!$F$169</f>
        <v>29.0251840116346</v>
      </c>
      <c r="BM86" s="11" t="n">
        <f aca="false">(1-BM82)*(BM69+BM50)/MAX(Time!BM26,1)*Inputs!$F$169</f>
        <v>31.2222408875813</v>
      </c>
      <c r="BN86" s="11" t="n">
        <f aca="false">(1-BN82)*(BN69+BN50)/MAX(Time!BN26,1)*Inputs!$F$169</f>
        <v>0</v>
      </c>
    </row>
    <row r="87" customFormat="false" ht="15" hidden="false" customHeight="false" outlineLevel="0" collapsed="false">
      <c r="D87" s="0" t="s">
        <v>535</v>
      </c>
      <c r="E87" s="0" t="s">
        <v>149</v>
      </c>
      <c r="J87" s="11" t="n">
        <f aca="false">(1-J82)*(J48+J49)/MAX(Time!J26,1)*Inputs!$F$170</f>
        <v>0</v>
      </c>
      <c r="K87" s="11" t="n">
        <f aca="false">(1-K82)*(K48+K49)/MAX(Time!K26,1)*Inputs!$F$170</f>
        <v>0</v>
      </c>
      <c r="L87" s="11" t="n">
        <f aca="false">(1-L82)*(L48+L49)/MAX(Time!L26,1)*Inputs!$F$170</f>
        <v>0</v>
      </c>
      <c r="M87" s="11" t="n">
        <f aca="false">(1-M82)*(M48+M49)/MAX(Time!M26,1)*Inputs!$F$170</f>
        <v>0</v>
      </c>
      <c r="N87" s="11" t="n">
        <f aca="false">(1-N82)*(N48+N49)/MAX(Time!N26,1)*Inputs!$F$170</f>
        <v>0</v>
      </c>
      <c r="O87" s="11" t="n">
        <f aca="false">(1-O82)*(O48+O49)/MAX(Time!O26,1)*Inputs!$F$170</f>
        <v>0</v>
      </c>
      <c r="P87" s="11" t="n">
        <f aca="false">(1-P82)*(P48+P49)/MAX(Time!P26,1)*Inputs!$F$170</f>
        <v>2.28118592712896</v>
      </c>
      <c r="Q87" s="11" t="n">
        <f aca="false">(1-Q82)*(Q48+Q49)/MAX(Time!Q26,1)*Inputs!$F$170</f>
        <v>2.31989649068253</v>
      </c>
      <c r="R87" s="11" t="n">
        <f aca="false">(1-R82)*(R48+R49)/MAX(Time!R26,1)*Inputs!$F$170</f>
        <v>2.31176584039505</v>
      </c>
      <c r="S87" s="11" t="n">
        <f aca="false">(1-S82)*(S48+S49)/MAX(Time!S26,1)*Inputs!$F$170</f>
        <v>2.35052824178658</v>
      </c>
      <c r="T87" s="11" t="n">
        <f aca="false">(1-T82)*(T48+T49)/MAX(Time!T26,1)*Inputs!$F$170</f>
        <v>2.34499217135609</v>
      </c>
      <c r="U87" s="11" t="n">
        <f aca="false">(1-U82)*(U48+U49)/MAX(Time!U26,1)*Inputs!$F$170</f>
        <v>2.38740764776105</v>
      </c>
      <c r="V87" s="11" t="n">
        <f aca="false">(1-V82)*(V48+V49)/MAX(Time!V26,1)*Inputs!$F$170</f>
        <v>2.37794801289102</v>
      </c>
      <c r="W87" s="11" t="n">
        <f aca="false">(1-W82)*(W48+W49)/MAX(Time!W26,1)*Inputs!$F$170</f>
        <v>2.41068044942422</v>
      </c>
      <c r="X87" s="11" t="n">
        <f aca="false">(1-X82)*(X48+X49)/MAX(Time!X26,1)*Inputs!$F$170</f>
        <v>2.40863801772481</v>
      </c>
      <c r="Y87" s="11" t="n">
        <f aca="false">(1-Y82)*(Y48+Y49)/MAX(Time!Y26,1)*Inputs!$F$170</f>
        <v>2.46170981099463</v>
      </c>
      <c r="Z87" s="11" t="n">
        <f aca="false">(1-Z82)*(Z48+Z49)/MAX(Time!Z26,1)*Inputs!$F$170</f>
        <v>2.45308770267074</v>
      </c>
      <c r="AA87" s="11" t="n">
        <f aca="false">(1-AA82)*(AA48+AA49)/MAX(Time!AA26,1)*Inputs!$F$170</f>
        <v>2.49421199960215</v>
      </c>
      <c r="AB87" s="11" t="n">
        <f aca="false">(1-AB82)*(AB48+AB49)/MAX(Time!AB26,1)*Inputs!$F$170</f>
        <v>2.48834033039226</v>
      </c>
      <c r="AC87" s="11" t="n">
        <f aca="false">(1-AC82)*(AC48+AC49)/MAX(Time!AC26,1)*Inputs!$F$170</f>
        <v>2.53333734097802</v>
      </c>
      <c r="AD87" s="11" t="n">
        <f aca="false">(1-AD82)*(AD48+AD49)/MAX(Time!AD26,1)*Inputs!$F$170</f>
        <v>2.52029990932913</v>
      </c>
      <c r="AE87" s="11" t="n">
        <f aca="false">(1-AE82)*(AE48+AE49)/MAX(Time!AE26,1)*Inputs!$F$170</f>
        <v>2.54873414824224</v>
      </c>
      <c r="AF87" s="11" t="n">
        <f aca="false">(1-AF82)*(AF48+AF49)/MAX(Time!AF26,1)*Inputs!$F$170</f>
        <v>2.5497699659389</v>
      </c>
      <c r="AG87" s="11" t="n">
        <f aca="false">(1-AG82)*(AG48+AG49)/MAX(Time!AG26,1)*Inputs!$F$170</f>
        <v>2.61216501114156</v>
      </c>
      <c r="AH87" s="11" t="n">
        <f aca="false">(1-AH82)*(AH48+AH49)/MAX(Time!AH26,1)*Inputs!$F$170</f>
        <v>2.60302226904495</v>
      </c>
      <c r="AI87" s="11" t="n">
        <f aca="false">(1-AI82)*(AI48+AI49)/MAX(Time!AI26,1)*Inputs!$F$170</f>
        <v>2.64665170557552</v>
      </c>
      <c r="AJ87" s="11" t="n">
        <f aca="false">(1-AJ82)*(AJ48+AJ49)/MAX(Time!AJ26,1)*Inputs!$F$170</f>
        <v>2.64042445179219</v>
      </c>
      <c r="AK87" s="11" t="n">
        <f aca="false">(1-AK82)*(AK48+AK49)/MAX(Time!AK26,1)*Inputs!$F$170</f>
        <v>2.68815923095673</v>
      </c>
      <c r="AL87" s="11" t="n">
        <f aca="false">(1-AL82)*(AL48+AL49)/MAX(Time!AL26,1)*Inputs!$F$170</f>
        <v>2.67752365611364</v>
      </c>
      <c r="AM87" s="11" t="n">
        <f aca="false">(1-AM82)*(AM48+AM49)/MAX(Time!AM26,1)*Inputs!$F$170</f>
        <v>2.71437986347646</v>
      </c>
      <c r="AN87" s="11" t="n">
        <f aca="false">(1-AN82)*(AN48+AN49)/MAX(Time!AN26,1)*Inputs!$F$170</f>
        <v>2.71207814079032</v>
      </c>
      <c r="AO87" s="11" t="n">
        <f aca="false">(1-AO82)*(AO48+AO49)/MAX(Time!AO26,1)*Inputs!$F$170</f>
        <v>2.77178703599751</v>
      </c>
      <c r="AP87" s="11" t="n">
        <f aca="false">(1-AP82)*(AP48+AP49)/MAX(Time!AP26,1)*Inputs!$F$170</f>
        <v>2.76209278644876</v>
      </c>
      <c r="AQ87" s="11" t="n">
        <f aca="false">(1-AQ82)*(AQ48+AQ49)/MAX(Time!AQ26,1)*Inputs!$F$170</f>
        <v>2.80837925205897</v>
      </c>
      <c r="AR87" s="11" t="n">
        <f aca="false">(1-AR82)*(AR48+AR49)/MAX(Time!AR26,1)*Inputs!$F$170</f>
        <v>2.80177526060309</v>
      </c>
      <c r="AS87" s="11" t="n">
        <f aca="false">(1-AS82)*(AS48+AS49)/MAX(Time!AS26,1)*Inputs!$F$170</f>
        <v>2.85241344251974</v>
      </c>
      <c r="AT87" s="11" t="n">
        <f aca="false">(1-AT82)*(AT48+AT49)/MAX(Time!AT26,1)*Inputs!$F$170</f>
        <v>2.83775928111615</v>
      </c>
      <c r="AU87" s="11" t="n">
        <f aca="false">(1-AU82)*(AU48+AU49)/MAX(Time!AU26,1)*Inputs!$F$170</f>
        <v>2.86979157524969</v>
      </c>
      <c r="AV87" s="11" t="n">
        <f aca="false">(1-AV82)*(AV48+AV49)/MAX(Time!AV26,1)*Inputs!$F$170</f>
        <v>2.87094792280645</v>
      </c>
      <c r="AW87" s="11" t="n">
        <f aca="false">(1-AW82)*(AW48+AW49)/MAX(Time!AW26,1)*Inputs!$F$170</f>
        <v>2.94113261315447</v>
      </c>
      <c r="AX87" s="11" t="n">
        <f aca="false">(1-AX82)*(AX48+AX49)/MAX(Time!AX26,1)*Inputs!$F$170</f>
        <v>2.93085418797993</v>
      </c>
      <c r="AY87" s="11" t="n">
        <f aca="false">(1-AY82)*(AY48+AY49)/MAX(Time!AY26,1)*Inputs!$F$170</f>
        <v>2.97995873671047</v>
      </c>
      <c r="AZ87" s="11" t="n">
        <f aca="false">(1-AZ82)*(AZ48+AZ49)/MAX(Time!AZ26,1)*Inputs!$F$170</f>
        <v>2.97295562051187</v>
      </c>
      <c r="BA87" s="11" t="n">
        <f aca="false">(1-BA82)*(BA48+BA49)/MAX(Time!BA26,1)*Inputs!$F$170</f>
        <v>3.02667280114358</v>
      </c>
      <c r="BB87" s="11" t="n">
        <f aca="false">(1-BB82)*(BB48+BB49)/MAX(Time!BB26,1)*Inputs!$F$170</f>
        <v>3.01471789761139</v>
      </c>
      <c r="BC87" s="11" t="n">
        <f aca="false">(1-BC82)*(BC48+BC49)/MAX(Time!BC26,1)*Inputs!$F$170</f>
        <v>3.05621641466548</v>
      </c>
      <c r="BD87" s="11" t="n">
        <f aca="false">(1-BD82)*(BD48+BD49)/MAX(Time!BD26,1)*Inputs!$F$170</f>
        <v>3.05362306255289</v>
      </c>
      <c r="BE87" s="11" t="n">
        <f aca="false">(1-BE82)*(BE48+BE49)/MAX(Time!BE26,1)*Inputs!$F$170</f>
        <v>3.12079217063018</v>
      </c>
      <c r="BF87" s="11" t="n">
        <f aca="false">(1-BF82)*(BF48+BF49)/MAX(Time!BF26,1)*Inputs!$F$170</f>
        <v>3.10989500527607</v>
      </c>
      <c r="BG87" s="11" t="n">
        <f aca="false">(1-BG82)*(BG48+BG49)/MAX(Time!BG26,1)*Inputs!$F$170</f>
        <v>3.16198840587128</v>
      </c>
      <c r="BH87" s="11" t="n">
        <f aca="false">(1-BH82)*(BH48+BH49)/MAX(Time!BH26,1)*Inputs!$F$170</f>
        <v>3.15456247351866</v>
      </c>
      <c r="BI87" s="11" t="n">
        <f aca="false">(1-BI82)*(BI48+BI49)/MAX(Time!BI26,1)*Inputs!$F$170</f>
        <v>3.21154480600966</v>
      </c>
      <c r="BJ87" s="11" t="n">
        <f aca="false">(1-BJ82)*(BJ48+BJ49)/MAX(Time!BJ26,1)*Inputs!$F$170</f>
        <v>3.19507730863146</v>
      </c>
      <c r="BK87" s="11" t="n">
        <f aca="false">(1-BK82)*(BK48+BK49)/MAX(Time!BK26,1)*Inputs!$F$170</f>
        <v>3.2311637571687</v>
      </c>
      <c r="BL87" s="11" t="n">
        <f aca="false">(1-BL82)*(BL48+BL49)/MAX(Time!BL26,1)*Inputs!$F$170</f>
        <v>3.23245422887442</v>
      </c>
      <c r="BM87" s="11" t="n">
        <f aca="false">(1-BM82)*(BM48+BM49)/MAX(Time!BM26,1)*Inputs!$F$170</f>
        <v>3.31139186987181</v>
      </c>
      <c r="BN87" s="11" t="n">
        <f aca="false">(1-BN82)*(BN48+BN49)/MAX(Time!BN26,1)*Inputs!$F$170</f>
        <v>0</v>
      </c>
    </row>
    <row r="88" customFormat="false" ht="15" hidden="false" customHeight="false" outlineLevel="0" collapsed="false">
      <c r="D88" s="0" t="s">
        <v>536</v>
      </c>
      <c r="E88" s="0" t="s">
        <v>149</v>
      </c>
      <c r="J88" s="11" t="n">
        <f aca="false">(1-J82)*(J56+J57+J58+J60)/MAX(Time!J26,1)*Inputs!$F$171</f>
        <v>0</v>
      </c>
      <c r="K88" s="11" t="n">
        <f aca="false">(1-K82)*(K56+K57+K58+K60)/MAX(Time!K26,1)*Inputs!$F$171</f>
        <v>0</v>
      </c>
      <c r="L88" s="11" t="n">
        <f aca="false">(1-L82)*(L56+L57+L58+L60)/MAX(Time!L26,1)*Inputs!$F$171</f>
        <v>0</v>
      </c>
      <c r="M88" s="11" t="n">
        <f aca="false">(1-M82)*(M56+M57+M58+M60)/MAX(Time!M26,1)*Inputs!$F$171</f>
        <v>0</v>
      </c>
      <c r="N88" s="11" t="n">
        <f aca="false">(1-N82)*(N56+N57+N58+N60)/MAX(Time!N26,1)*Inputs!$F$171</f>
        <v>0</v>
      </c>
      <c r="O88" s="11" t="n">
        <f aca="false">(1-O82)*(O56+O57+O58+O60)/MAX(Time!O26,1)*Inputs!$F$171</f>
        <v>0</v>
      </c>
      <c r="P88" s="11" t="n">
        <f aca="false">(1-P82)*(P56+P57+P58+P60)/MAX(Time!P26,1)*Inputs!$F$171</f>
        <v>1.68108519206451</v>
      </c>
      <c r="Q88" s="11" t="n">
        <f aca="false">(1-Q82)*(Q56+Q57+Q58+Q60)/MAX(Time!Q26,1)*Inputs!$F$171</f>
        <v>1.71825527329156</v>
      </c>
      <c r="R88" s="11" t="n">
        <f aca="false">(1-R82)*(R56+R57+R58+R60)/MAX(Time!R26,1)*Inputs!$F$171</f>
        <v>1.70336647167902</v>
      </c>
      <c r="S88" s="11" t="n">
        <f aca="false">(1-S82)*(S56+S57+S58+S60)/MAX(Time!S26,1)*Inputs!$F$171</f>
        <v>1.73951531102996</v>
      </c>
      <c r="T88" s="11" t="n">
        <f aca="false">(1-T82)*(T56+T57+T58+T60)/MAX(Time!T26,1)*Inputs!$F$171</f>
        <v>1.73535723554703</v>
      </c>
      <c r="U88" s="11" t="n">
        <f aca="false">(1-U82)*(U56+U57+U58+U60)/MAX(Time!U26,1)*Inputs!$F$171</f>
        <v>1.78482920602872</v>
      </c>
      <c r="V88" s="11" t="n">
        <f aca="false">(1-V82)*(V56+V57+V58+V60)/MAX(Time!V26,1)*Inputs!$F$171</f>
        <v>1.76481786861064</v>
      </c>
      <c r="W88" s="11" t="n">
        <f aca="false">(1-W82)*(W56+W57+W58+W60)/MAX(Time!W26,1)*Inputs!$F$171</f>
        <v>1.77274251919636</v>
      </c>
      <c r="X88" s="11" t="n">
        <f aca="false">(1-X82)*(X56+X57+X58+X60)/MAX(Time!X26,1)*Inputs!$F$171</f>
        <v>1.78328042150744</v>
      </c>
      <c r="Y88" s="11" t="n">
        <f aca="false">(1-Y82)*(Y56+Y57+Y58+Y60)/MAX(Time!Y26,1)*Inputs!$F$171</f>
        <v>1.87452513709506</v>
      </c>
      <c r="Z88" s="11" t="n">
        <f aca="false">(1-Z82)*(Z56+Z57+Z58+Z60)/MAX(Time!Z26,1)*Inputs!$F$171</f>
        <v>1.85828224622911</v>
      </c>
      <c r="AA88" s="11" t="n">
        <f aca="false">(1-AA82)*(AA56+AA57+AA58+AA60)/MAX(Time!AA26,1)*Inputs!$F$171</f>
        <v>1.89771870779185</v>
      </c>
      <c r="AB88" s="11" t="n">
        <f aca="false">(1-AB82)*(AB56+AB57+AB58+AB60)/MAX(Time!AB26,1)*Inputs!$F$171</f>
        <v>1.89318246854041</v>
      </c>
      <c r="AC88" s="11" t="n">
        <f aca="false">(1-AC82)*(AC56+AC57+AC58+AC60)/MAX(Time!AC26,1)*Inputs!$F$171</f>
        <v>1.94715375772605</v>
      </c>
      <c r="AD88" s="11" t="n">
        <f aca="false">(1-AD82)*(AD56+AD57+AD58+AD60)/MAX(Time!AD26,1)*Inputs!$F$171</f>
        <v>1.91241598316742</v>
      </c>
      <c r="AE88" s="11" t="n">
        <f aca="false">(1-AE82)*(AE56+AE57+AE58+AE60)/MAX(Time!AE26,1)*Inputs!$F$171</f>
        <v>1.90045895433647</v>
      </c>
      <c r="AF88" s="11" t="n">
        <f aca="false">(1-AF82)*(AF56+AF57+AF58+AF60)/MAX(Time!AF26,1)*Inputs!$F$171</f>
        <v>1.91908329248295</v>
      </c>
      <c r="AG88" s="11" t="n">
        <f aca="false">(1-AG82)*(AG56+AG57+AG58+AG60)/MAX(Time!AG26,1)*Inputs!$F$171</f>
        <v>2.04500724905095</v>
      </c>
      <c r="AH88" s="11" t="n">
        <f aca="false">(1-AH82)*(AH56+AH57+AH58+AH60)/MAX(Time!AH26,1)*Inputs!$F$171</f>
        <v>2.02728711881151</v>
      </c>
      <c r="AI88" s="11" t="n">
        <f aca="false">(1-AI82)*(AI56+AI57+AI58+AI60)/MAX(Time!AI26,1)*Inputs!$F$171</f>
        <v>2.07031020139215</v>
      </c>
      <c r="AJ88" s="11" t="n">
        <f aca="false">(1-AJ82)*(AJ56+AJ57+AJ58+AJ60)/MAX(Time!AJ26,1)*Inputs!$F$171</f>
        <v>2.06536140557766</v>
      </c>
      <c r="AK88" s="11" t="n">
        <f aca="false">(1-AK82)*(AK56+AK57+AK58+AK60)/MAX(Time!AK26,1)*Inputs!$F$171</f>
        <v>2.12424121222368</v>
      </c>
      <c r="AL88" s="11" t="n">
        <f aca="false">(1-AL82)*(AL56+AL57+AL58+AL60)/MAX(Time!AL26,1)*Inputs!$F$171</f>
        <v>2.10042441927138</v>
      </c>
      <c r="AM88" s="11" t="n">
        <f aca="false">(1-AM82)*(AM56+AM57+AM58+AM60)/MAX(Time!AM26,1)*Inputs!$F$171</f>
        <v>2.10985606085915</v>
      </c>
      <c r="AN88" s="11" t="n">
        <f aca="false">(1-AN82)*(AN56+AN57+AN58+AN60)/MAX(Time!AN26,1)*Inputs!$F$171</f>
        <v>2.12239790312842</v>
      </c>
      <c r="AO88" s="11" t="n">
        <f aca="false">(1-AO82)*(AO56+AO57+AO58+AO60)/MAX(Time!AO26,1)*Inputs!$F$171</f>
        <v>2.23099416802264</v>
      </c>
      <c r="AP88" s="11" t="n">
        <f aca="false">(1-AP82)*(AP56+AP57+AP58+AP60)/MAX(Time!AP26,1)*Inputs!$F$171</f>
        <v>2.21166244817709</v>
      </c>
      <c r="AQ88" s="11" t="n">
        <f aca="false">(1-AQ82)*(AQ56+AQ57+AQ58+AQ60)/MAX(Time!AQ26,1)*Inputs!$F$171</f>
        <v>2.25859834357419</v>
      </c>
      <c r="AR88" s="11" t="n">
        <f aca="false">(1-AR82)*(AR56+AR57+AR58+AR60)/MAX(Time!AR26,1)*Inputs!$F$171</f>
        <v>2.25319947048658</v>
      </c>
      <c r="AS88" s="11" t="n">
        <f aca="false">(1-AS82)*(AS56+AS57+AS58+AS60)/MAX(Time!AS26,1)*Inputs!$F$171</f>
        <v>2.31743420867762</v>
      </c>
      <c r="AT88" s="11" t="n">
        <f aca="false">(1-AT82)*(AT56+AT57+AT58+AT60)/MAX(Time!AT26,1)*Inputs!$F$171</f>
        <v>2.27609052599407</v>
      </c>
      <c r="AU88" s="11" t="n">
        <f aca="false">(1-AU82)*(AU56+AU57+AU58+AU60)/MAX(Time!AU26,1)*Inputs!$F$171</f>
        <v>2.26185968904191</v>
      </c>
      <c r="AV88" s="11" t="n">
        <f aca="false">(1-AV82)*(AV56+AV57+AV58+AV60)/MAX(Time!AV26,1)*Inputs!$F$171</f>
        <v>2.28402572403704</v>
      </c>
      <c r="AW88" s="11" t="n">
        <f aca="false">(1-AW82)*(AW56+AW57+AW58+AW60)/MAX(Time!AW26,1)*Inputs!$F$171</f>
        <v>2.43389600699995</v>
      </c>
      <c r="AX88" s="11" t="n">
        <f aca="false">(1-AX82)*(AX56+AX57+AX58+AX60)/MAX(Time!AX26,1)*Inputs!$F$171</f>
        <v>2.41280612858837</v>
      </c>
      <c r="AY88" s="11" t="n">
        <f aca="false">(1-AY82)*(AY56+AY57+AY58+AY60)/MAX(Time!AY26,1)*Inputs!$F$171</f>
        <v>2.46401069470932</v>
      </c>
      <c r="AZ88" s="11" t="n">
        <f aca="false">(1-AZ82)*(AZ56+AZ57+AZ58+AZ60)/MAX(Time!AZ26,1)*Inputs!$F$171</f>
        <v>2.45812081124903</v>
      </c>
      <c r="BA88" s="11" t="n">
        <f aca="false">(1-BA82)*(BA56+BA57+BA58+BA60)/MAX(Time!BA26,1)*Inputs!$F$171</f>
        <v>2.52819749501393</v>
      </c>
      <c r="BB88" s="11" t="n">
        <f aca="false">(1-BB82)*(BB56+BB57+BB58+BB60)/MAX(Time!BB26,1)*Inputs!$F$171</f>
        <v>2.49985158216054</v>
      </c>
      <c r="BC88" s="11" t="n">
        <f aca="false">(1-BC82)*(BC56+BC57+BC58+BC60)/MAX(Time!BC26,1)*Inputs!$F$171</f>
        <v>2.5110767916607</v>
      </c>
      <c r="BD88" s="11" t="n">
        <f aca="false">(1-BD82)*(BD56+BD57+BD58+BD60)/MAX(Time!BD26,1)*Inputs!$F$171</f>
        <v>2.52600365308565</v>
      </c>
      <c r="BE88" s="11" t="n">
        <f aca="false">(1-BE82)*(BE56+BE57+BE58+BE60)/MAX(Time!BE26,1)*Inputs!$F$171</f>
        <v>2.65525112427374</v>
      </c>
      <c r="BF88" s="11" t="n">
        <f aca="false">(1-BF82)*(BF56+BF57+BF58+BF60)/MAX(Time!BF26,1)*Inputs!$F$171</f>
        <v>2.6322431883545</v>
      </c>
      <c r="BG88" s="11" t="n">
        <f aca="false">(1-BG82)*(BG56+BG57+BG58+BG60)/MAX(Time!BG26,1)*Inputs!$F$171</f>
        <v>2.68810464725397</v>
      </c>
      <c r="BH88" s="11" t="n">
        <f aca="false">(1-BH82)*(BH56+BH57+BH58+BH60)/MAX(Time!BH26,1)*Inputs!$F$171</f>
        <v>2.68167909758596</v>
      </c>
      <c r="BI88" s="11" t="n">
        <f aca="false">(1-BI82)*(BI56+BI57+BI58+BI60)/MAX(Time!BI26,1)*Inputs!$F$171</f>
        <v>2.75812903333381</v>
      </c>
      <c r="BJ88" s="11" t="n">
        <f aca="false">(1-BJ82)*(BJ56+BJ57+BJ58+BJ60)/MAX(Time!BJ26,1)*Inputs!$F$171</f>
        <v>2.70892323015397</v>
      </c>
      <c r="BK88" s="11" t="n">
        <f aca="false">(1-BK82)*(BK56+BK57+BK58+BK60)/MAX(Time!BK26,1)*Inputs!$F$171</f>
        <v>2.69198618640989</v>
      </c>
      <c r="BL88" s="11" t="n">
        <f aca="false">(1-BL82)*(BL56+BL57+BL58+BL60)/MAX(Time!BL26,1)*Inputs!$F$171</f>
        <v>2.71836742495596</v>
      </c>
      <c r="BM88" s="11" t="n">
        <f aca="false">(1-BM82)*(BM56+BM57+BM58+BM60)/MAX(Time!BM26,1)*Inputs!$F$171</f>
        <v>2.89673778693911</v>
      </c>
      <c r="BN88" s="11" t="n">
        <f aca="false">(1-BN82)*(BN56+BN57+BN58+BN60)/MAX(Time!BN26,1)*Inputs!$F$171</f>
        <v>0</v>
      </c>
    </row>
    <row r="89" customFormat="false" ht="15" hidden="false" customHeight="false" outlineLevel="0" collapsed="false">
      <c r="D89" s="0" t="s">
        <v>537</v>
      </c>
      <c r="E89" s="0" t="s">
        <v>149</v>
      </c>
      <c r="J89" s="11" t="n">
        <f aca="false">(1-J82)*(J61+J62+J63+J64+J65+J66+J67)/MAX(Time!J26,1)*Inputs!$F$172</f>
        <v>0</v>
      </c>
      <c r="K89" s="11" t="n">
        <f aca="false">(1-K82)*(K61+K62+K63+K64+K65+K66+K67)/MAX(Time!K26,1)*Inputs!$F$172</f>
        <v>0</v>
      </c>
      <c r="L89" s="11" t="n">
        <f aca="false">(1-L82)*(L61+L62+L63+L64+L65+L66+L67)/MAX(Time!L26,1)*Inputs!$F$172</f>
        <v>0</v>
      </c>
      <c r="M89" s="11" t="n">
        <f aca="false">(1-M82)*(M61+M62+M63+M64+M65+M66+M67)/MAX(Time!M26,1)*Inputs!$F$172</f>
        <v>0</v>
      </c>
      <c r="N89" s="11" t="n">
        <f aca="false">(1-N82)*(N61+N62+N63+N64+N65+N66+N67)/MAX(Time!N26,1)*Inputs!$F$172</f>
        <v>0</v>
      </c>
      <c r="O89" s="11" t="n">
        <f aca="false">(1-O82)*(O61+O62+O63+O64+O65+O66+O67)/MAX(Time!O26,1)*Inputs!$F$172</f>
        <v>0</v>
      </c>
      <c r="P89" s="11" t="n">
        <f aca="false">(1-P82)*(P61+P62+P63+P64+P65+P66+P67)/MAX(Time!P26,1)*Inputs!$F$172</f>
        <v>1.1809715928726</v>
      </c>
      <c r="Q89" s="11" t="n">
        <f aca="false">(1-Q82)*(Q61+Q62+Q63+Q64+Q65+Q66+Q67)/MAX(Time!Q26,1)*Inputs!$F$172</f>
        <v>1.20598486595401</v>
      </c>
      <c r="R89" s="11" t="n">
        <f aca="false">(1-R82)*(R61+R62+R63+R64+R65+R66+R67)/MAX(Time!R26,1)*Inputs!$F$172</f>
        <v>1.19697757274406</v>
      </c>
      <c r="S89" s="11" t="n">
        <f aca="false">(1-S82)*(S61+S62+S63+S64+S65+S66+S67)/MAX(Time!S26,1)*Inputs!$F$172</f>
        <v>1.22657253614178</v>
      </c>
      <c r="T89" s="11" t="n">
        <f aca="false">(1-T82)*(T61+T62+T63+T64+T65+T66+T67)/MAX(Time!T26,1)*Inputs!$F$172</f>
        <v>1.21977153593409</v>
      </c>
      <c r="U89" s="11" t="n">
        <f aca="false">(1-U82)*(U61+U62+U63+U64+U65+U66+U67)/MAX(Time!U26,1)*Inputs!$F$172</f>
        <v>1.24787082333884</v>
      </c>
      <c r="V89" s="11" t="n">
        <f aca="false">(1-V82)*(V61+V62+V63+V64+V65+V66+V67)/MAX(Time!V26,1)*Inputs!$F$172</f>
        <v>1.24236729965708</v>
      </c>
      <c r="W89" s="11" t="n">
        <f aca="false">(1-W82)*(W61+W62+W63+W64+W65+W66+W67)/MAX(Time!W26,1)*Inputs!$F$172</f>
        <v>1.26682576650295</v>
      </c>
      <c r="X89" s="11" t="n">
        <f aca="false">(1-X82)*(X61+X62+X63+X64+X65+X66+X67)/MAX(Time!X26,1)*Inputs!$F$172</f>
        <v>1.26296832056571</v>
      </c>
      <c r="Y89" s="11" t="n">
        <f aca="false">(1-Y82)*(Y61+Y62+Y63+Y64+Y65+Y66+Y67)/MAX(Time!Y26,1)*Inputs!$F$172</f>
        <v>1.30566487853674</v>
      </c>
      <c r="Z89" s="11" t="n">
        <f aca="false">(1-Z82)*(Z61+Z62+Z63+Z64+Z65+Z66+Z67)/MAX(Time!Z26,1)*Inputs!$F$172</f>
        <v>1.29598348334859</v>
      </c>
      <c r="AA89" s="11" t="n">
        <f aca="false">(1-AA82)*(AA61+AA62+AA63+AA64+AA65+AA66+AA67)/MAX(Time!AA26,1)*Inputs!$F$172</f>
        <v>1.32809603032811</v>
      </c>
      <c r="AB89" s="11" t="n">
        <f aca="false">(1-AB82)*(AB61+AB62+AB63+AB64+AB65+AB66+AB67)/MAX(Time!AB26,1)*Inputs!$F$172</f>
        <v>1.32080650099895</v>
      </c>
      <c r="AC89" s="11" t="n">
        <f aca="false">(1-AC82)*(AC61+AC62+AC63+AC64+AC65+AC66+AC67)/MAX(Time!AC26,1)*Inputs!$F$172</f>
        <v>1.35131032414771</v>
      </c>
      <c r="AD89" s="11" t="n">
        <f aca="false">(1-AD82)*(AD61+AD62+AD63+AD64+AD65+AD66+AD67)/MAX(Time!AD26,1)*Inputs!$F$172</f>
        <v>1.3426752170156</v>
      </c>
      <c r="AE89" s="11" t="n">
        <f aca="false">(1-AE82)*(AE61+AE62+AE63+AE64+AE65+AE66+AE67)/MAX(Time!AE26,1)*Inputs!$F$172</f>
        <v>1.36267668970368</v>
      </c>
      <c r="AF89" s="11" t="n">
        <f aca="false">(1-AF82)*(AF61+AF62+AF63+AF64+AF65+AF66+AF67)/MAX(Time!AF26,1)*Inputs!$F$172</f>
        <v>1.3622711104418</v>
      </c>
      <c r="AG89" s="11" t="n">
        <f aca="false">(1-AG82)*(AG61+AG62+AG63+AG64+AG65+AG66+AG67)/MAX(Time!AG26,1)*Inputs!$F$172</f>
        <v>1.41419491443296</v>
      </c>
      <c r="AH89" s="11" t="n">
        <f aca="false">(1-AH82)*(AH61+AH62+AH63+AH64+AH65+AH66+AH67)/MAX(Time!AH26,1)*Inputs!$F$172</f>
        <v>1.40377999016716</v>
      </c>
      <c r="AI89" s="11" t="n">
        <f aca="false">(1-AI82)*(AI61+AI62+AI63+AI64+AI65+AI66+AI67)/MAX(Time!AI26,1)*Inputs!$F$172</f>
        <v>1.43863457811479</v>
      </c>
      <c r="AJ89" s="11" t="n">
        <f aca="false">(1-AJ82)*(AJ61+AJ62+AJ63+AJ64+AJ65+AJ66+AJ67)/MAX(Time!AJ26,1)*Inputs!$F$172</f>
        <v>1.43081259812251</v>
      </c>
      <c r="AK89" s="11" t="n">
        <f aca="false">(1-AK82)*(AK61+AK62+AK63+AK64+AK65+AK66+AK67)/MAX(Time!AK26,1)*Inputs!$F$172</f>
        <v>1.46393341000173</v>
      </c>
      <c r="AL89" s="11" t="n">
        <f aca="false">(1-AL82)*(AL61+AL62+AL63+AL64+AL65+AL66+AL67)/MAX(Time!AL26,1)*Inputs!$F$172</f>
        <v>1.45761711879529</v>
      </c>
      <c r="AM89" s="11" t="n">
        <f aca="false">(1-AM82)*(AM61+AM62+AM63+AM64+AM65+AM66+AM67)/MAX(Time!AM26,1)*Inputs!$F$172</f>
        <v>1.48644507177081</v>
      </c>
      <c r="AN89" s="11" t="n">
        <f aca="false">(1-AN82)*(AN61+AN62+AN63+AN64+AN65+AN66+AN67)/MAX(Time!AN26,1)*Inputs!$F$172</f>
        <v>1.48208133000961</v>
      </c>
      <c r="AO89" s="11" t="n">
        <f aca="false">(1-AO82)*(AO61+AO62+AO63+AO64+AO65+AO66+AO67)/MAX(Time!AO26,1)*Inputs!$F$172</f>
        <v>1.53236025090735</v>
      </c>
      <c r="AP89" s="11" t="n">
        <f aca="false">(1-AP82)*(AP61+AP62+AP63+AP64+AP65+AP66+AP67)/MAX(Time!AP26,1)*Inputs!$F$172</f>
        <v>1.52114713676899</v>
      </c>
      <c r="AQ89" s="11" t="n">
        <f aca="false">(1-AQ82)*(AQ61+AQ62+AQ63+AQ64+AQ65+AQ66+AQ67)/MAX(Time!AQ26,1)*Inputs!$F$172</f>
        <v>1.5589882266923</v>
      </c>
      <c r="AR89" s="11" t="n">
        <f aca="false">(1-AR82)*(AR61+AR62+AR63+AR64+AR65+AR66+AR67)/MAX(Time!AR26,1)*Inputs!$F$172</f>
        <v>1.55058592622888</v>
      </c>
      <c r="AS89" s="11" t="n">
        <f aca="false">(1-AS82)*(AS61+AS62+AS63+AS64+AS65+AS66+AS67)/MAX(Time!AS26,1)*Inputs!$F$172</f>
        <v>1.5865549349776</v>
      </c>
      <c r="AT89" s="11" t="n">
        <f aca="false">(1-AT82)*(AT61+AT62+AT63+AT64+AT65+AT66+AT67)/MAX(Time!AT26,1)*Inputs!$F$172</f>
        <v>1.57655668850388</v>
      </c>
      <c r="AU89" s="11" t="n">
        <f aca="false">(1-AU82)*(AU61+AU62+AU63+AU64+AU65+AU66+AU67)/MAX(Time!AU26,1)*Inputs!$F$172</f>
        <v>1.60026210211059</v>
      </c>
      <c r="AV89" s="11" t="n">
        <f aca="false">(1-AV82)*(AV61+AV62+AV63+AV64+AV65+AV66+AV67)/MAX(Time!AV26,1)*Inputs!$F$172</f>
        <v>1.59986099213649</v>
      </c>
      <c r="AW89" s="11" t="n">
        <f aca="false">(1-AW82)*(AW61+AW62+AW63+AW64+AW65+AW66+AW67)/MAX(Time!AW26,1)*Inputs!$F$172</f>
        <v>1.66101580075362</v>
      </c>
      <c r="AX89" s="11" t="n">
        <f aca="false">(1-AX82)*(AX61+AX62+AX63+AX64+AX65+AX66+AX67)/MAX(Time!AX26,1)*Inputs!$F$172</f>
        <v>1.64893414181716</v>
      </c>
      <c r="AY89" s="11" t="n">
        <f aca="false">(1-AY82)*(AY61+AY62+AY63+AY64+AY65+AY66+AY67)/MAX(Time!AY26,1)*Inputs!$F$172</f>
        <v>1.69002798031672</v>
      </c>
      <c r="AZ89" s="11" t="n">
        <f aca="false">(1-AZ82)*(AZ61+AZ62+AZ63+AZ64+AZ65+AZ66+AZ67)/MAX(Time!AZ26,1)*Inputs!$F$172</f>
        <v>1.68099318643248</v>
      </c>
      <c r="BA89" s="11" t="n">
        <f aca="false">(1-BA82)*(BA61+BA62+BA63+BA64+BA65+BA66+BA67)/MAX(Time!BA26,1)*Inputs!$F$172</f>
        <v>1.7200620095178</v>
      </c>
      <c r="BB89" s="11" t="n">
        <f aca="false">(1-BB82)*(BB61+BB62+BB63+BB64+BB65+BB66+BB67)/MAX(Time!BB26,1)*Inputs!$F$172</f>
        <v>1.71279005614975</v>
      </c>
      <c r="BC89" s="11" t="n">
        <f aca="false">(1-BC82)*(BC61+BC62+BC63+BC64+BC65+BC66+BC67)/MAX(Time!BC26,1)*Inputs!$F$172</f>
        <v>1.7468143246314</v>
      </c>
      <c r="BD89" s="11" t="n">
        <f aca="false">(1-BD82)*(BD61+BD62+BD63+BD64+BD65+BD66+BD67)/MAX(Time!BD26,1)*Inputs!$F$172</f>
        <v>1.74184175574147</v>
      </c>
      <c r="BE89" s="11" t="n">
        <f aca="false">(1-BE82)*(BE61+BE62+BE63+BE64+BE65+BE66+BE67)/MAX(Time!BE26,1)*Inputs!$F$172</f>
        <v>1.80109228327155</v>
      </c>
      <c r="BF89" s="11" t="n">
        <f aca="false">(1-BF82)*(BF61+BF62+BF63+BF64+BF65+BF66+BF67)/MAX(Time!BF26,1)*Inputs!$F$172</f>
        <v>1.78806552958507</v>
      </c>
      <c r="BG89" s="11" t="n">
        <f aca="false">(1-BG82)*(BG61+BG62+BG63+BG64+BG65+BG66+BG67)/MAX(Time!BG26,1)*Inputs!$F$172</f>
        <v>1.83270208949904</v>
      </c>
      <c r="BH89" s="11" t="n">
        <f aca="false">(1-BH82)*(BH61+BH62+BH63+BH64+BH65+BH66+BH67)/MAX(Time!BH26,1)*Inputs!$F$172</f>
        <v>1.82297793933527</v>
      </c>
      <c r="BI89" s="11" t="n">
        <f aca="false">(1-BI82)*(BI61+BI62+BI63+BI64+BI65+BI66+BI67)/MAX(Time!BI26,1)*Inputs!$F$172</f>
        <v>1.86542040348184</v>
      </c>
      <c r="BJ89" s="11" t="n">
        <f aca="false">(1-BJ82)*(BJ61+BJ62+BJ63+BJ64+BJ65+BJ66+BJ67)/MAX(Time!BJ26,1)*Inputs!$F$172</f>
        <v>1.85382004671252</v>
      </c>
      <c r="BK89" s="11" t="n">
        <f aca="false">(1-BK82)*(BK61+BK62+BK63+BK64+BK65+BK66+BK67)/MAX(Time!BK26,1)*Inputs!$F$172</f>
        <v>1.88194496848769</v>
      </c>
      <c r="BL89" s="11" t="n">
        <f aca="false">(1-BL82)*(BL61+BL62+BL63+BL64+BL65+BL66+BL67)/MAX(Time!BL26,1)*Inputs!$F$172</f>
        <v>1.88153453925744</v>
      </c>
      <c r="BM89" s="11" t="n">
        <f aca="false">(1-BM82)*(BM61+BM62+BM63+BM64+BM65+BM66+BM67)/MAX(Time!BM26,1)*Inputs!$F$172</f>
        <v>1.95360294172753</v>
      </c>
      <c r="BN89" s="11" t="n">
        <f aca="false">(1-BN82)*(BN61+BN62+BN63+BN64+BN65+BN66+BN67)/MAX(Time!BN26,1)*Inputs!$F$172</f>
        <v>0</v>
      </c>
    </row>
    <row r="90" customFormat="false" ht="15" hidden="false" customHeight="false" outlineLevel="0" collapsed="false">
      <c r="D90" s="0" t="s">
        <v>538</v>
      </c>
      <c r="E90" s="0" t="s">
        <v>149</v>
      </c>
      <c r="J90" s="11" t="n">
        <f aca="false">Inputs!$F$186*J85</f>
        <v>0</v>
      </c>
      <c r="K90" s="11" t="n">
        <f aca="false">Inputs!$F$186*K85</f>
        <v>0</v>
      </c>
      <c r="L90" s="11" t="n">
        <f aca="false">Inputs!$F$186*L85</f>
        <v>0</v>
      </c>
      <c r="M90" s="11" t="n">
        <f aca="false">Inputs!$F$186*M85</f>
        <v>0</v>
      </c>
      <c r="N90" s="11" t="n">
        <f aca="false">Inputs!$F$186*N85</f>
        <v>0</v>
      </c>
      <c r="O90" s="11" t="n">
        <f aca="false">Inputs!$F$186*O85</f>
        <v>0</v>
      </c>
      <c r="P90" s="11" t="n">
        <f aca="false">Inputs!$F$186*P85</f>
        <v>0</v>
      </c>
      <c r="Q90" s="11" t="n">
        <f aca="false">Inputs!$F$186*Q85</f>
        <v>0</v>
      </c>
      <c r="R90" s="11" t="n">
        <f aca="false">Inputs!$F$186*R85</f>
        <v>0</v>
      </c>
      <c r="S90" s="11" t="n">
        <f aca="false">Inputs!$F$186*S85</f>
        <v>0</v>
      </c>
      <c r="T90" s="11" t="n">
        <f aca="false">Inputs!$F$186*T85</f>
        <v>0</v>
      </c>
      <c r="U90" s="11" t="n">
        <f aca="false">Inputs!$F$186*U85</f>
        <v>0</v>
      </c>
      <c r="V90" s="11" t="n">
        <f aca="false">Inputs!$F$186*V85</f>
        <v>0</v>
      </c>
      <c r="W90" s="11" t="n">
        <f aca="false">Inputs!$F$186*W85</f>
        <v>0</v>
      </c>
      <c r="X90" s="11" t="n">
        <f aca="false">Inputs!$F$186*X85</f>
        <v>0</v>
      </c>
      <c r="Y90" s="11" t="n">
        <f aca="false">Inputs!$F$186*Y85</f>
        <v>0</v>
      </c>
      <c r="Z90" s="11" t="n">
        <f aca="false">Inputs!$F$186*Z85</f>
        <v>0</v>
      </c>
      <c r="AA90" s="11" t="n">
        <f aca="false">Inputs!$F$186*AA85</f>
        <v>0</v>
      </c>
      <c r="AB90" s="11" t="n">
        <f aca="false">Inputs!$F$186*AB85</f>
        <v>0</v>
      </c>
      <c r="AC90" s="11" t="n">
        <f aca="false">Inputs!$F$186*AC85</f>
        <v>0</v>
      </c>
      <c r="AD90" s="11" t="n">
        <f aca="false">Inputs!$F$186*AD85</f>
        <v>0</v>
      </c>
      <c r="AE90" s="11" t="n">
        <f aca="false">Inputs!$F$186*AE85</f>
        <v>0</v>
      </c>
      <c r="AF90" s="11" t="n">
        <f aca="false">Inputs!$F$186*AF85</f>
        <v>0</v>
      </c>
      <c r="AG90" s="11" t="n">
        <f aca="false">Inputs!$F$186*AG85</f>
        <v>0</v>
      </c>
      <c r="AH90" s="11" t="n">
        <f aca="false">Inputs!$F$186*AH85</f>
        <v>0</v>
      </c>
      <c r="AI90" s="11" t="n">
        <f aca="false">Inputs!$F$186*AI85</f>
        <v>0</v>
      </c>
      <c r="AJ90" s="11" t="n">
        <f aca="false">Inputs!$F$186*AJ85</f>
        <v>0</v>
      </c>
      <c r="AK90" s="11" t="n">
        <f aca="false">Inputs!$F$186*AK85</f>
        <v>0</v>
      </c>
      <c r="AL90" s="11" t="n">
        <f aca="false">Inputs!$F$186*AL85</f>
        <v>0</v>
      </c>
      <c r="AM90" s="11" t="n">
        <f aca="false">Inputs!$F$186*AM85</f>
        <v>0</v>
      </c>
      <c r="AN90" s="11" t="n">
        <f aca="false">Inputs!$F$186*AN85</f>
        <v>0</v>
      </c>
      <c r="AO90" s="11" t="n">
        <f aca="false">Inputs!$F$186*AO85</f>
        <v>0</v>
      </c>
      <c r="AP90" s="11" t="n">
        <f aca="false">Inputs!$F$186*AP85</f>
        <v>0</v>
      </c>
      <c r="AQ90" s="11" t="n">
        <f aca="false">Inputs!$F$186*AQ85</f>
        <v>0</v>
      </c>
      <c r="AR90" s="11" t="n">
        <f aca="false">Inputs!$F$186*AR85</f>
        <v>0</v>
      </c>
      <c r="AS90" s="11" t="n">
        <f aca="false">Inputs!$F$186*AS85</f>
        <v>0</v>
      </c>
      <c r="AT90" s="11" t="n">
        <f aca="false">Inputs!$F$186*AT85</f>
        <v>0</v>
      </c>
      <c r="AU90" s="11" t="n">
        <f aca="false">Inputs!$F$186*AU85</f>
        <v>0</v>
      </c>
      <c r="AV90" s="11" t="n">
        <f aca="false">Inputs!$F$186*AV85</f>
        <v>0</v>
      </c>
      <c r="AW90" s="11" t="n">
        <f aca="false">Inputs!$F$186*AW85</f>
        <v>0</v>
      </c>
      <c r="AX90" s="11" t="n">
        <f aca="false">Inputs!$F$186*AX85</f>
        <v>0</v>
      </c>
      <c r="AY90" s="11" t="n">
        <f aca="false">Inputs!$F$186*AY85</f>
        <v>0</v>
      </c>
      <c r="AZ90" s="11" t="n">
        <f aca="false">Inputs!$F$186*AZ85</f>
        <v>0</v>
      </c>
      <c r="BA90" s="11" t="n">
        <f aca="false">Inputs!$F$186*BA85</f>
        <v>0</v>
      </c>
      <c r="BB90" s="11" t="n">
        <f aca="false">Inputs!$F$186*BB85</f>
        <v>0</v>
      </c>
      <c r="BC90" s="11" t="n">
        <f aca="false">Inputs!$F$186*BC85</f>
        <v>0</v>
      </c>
      <c r="BD90" s="11" t="n">
        <f aca="false">Inputs!$F$186*BD85</f>
        <v>0</v>
      </c>
      <c r="BE90" s="11" t="n">
        <f aca="false">Inputs!$F$186*BE85</f>
        <v>0</v>
      </c>
      <c r="BF90" s="11" t="n">
        <f aca="false">Inputs!$F$186*BF85</f>
        <v>0</v>
      </c>
      <c r="BG90" s="11" t="n">
        <f aca="false">Inputs!$F$186*BG85</f>
        <v>0</v>
      </c>
      <c r="BH90" s="11" t="n">
        <f aca="false">Inputs!$F$186*BH85</f>
        <v>0</v>
      </c>
      <c r="BI90" s="11" t="n">
        <f aca="false">Inputs!$F$186*BI85</f>
        <v>0</v>
      </c>
      <c r="BJ90" s="11" t="n">
        <f aca="false">Inputs!$F$186*BJ85</f>
        <v>0</v>
      </c>
      <c r="BK90" s="11" t="n">
        <f aca="false">Inputs!$F$186*BK85</f>
        <v>0</v>
      </c>
      <c r="BL90" s="11" t="n">
        <f aca="false">Inputs!$F$186*BL85</f>
        <v>0</v>
      </c>
      <c r="BM90" s="11" t="n">
        <f aca="false">Inputs!$F$186*BM85</f>
        <v>0</v>
      </c>
      <c r="BN90" s="11" t="n">
        <f aca="false">Inputs!$F$186*BN85</f>
        <v>0</v>
      </c>
    </row>
    <row r="91" customFormat="false" ht="15" hidden="false" customHeight="false" outlineLevel="0" collapsed="false">
      <c r="D91" s="0" t="s">
        <v>539</v>
      </c>
      <c r="E91" s="0" t="s">
        <v>149</v>
      </c>
      <c r="J91" s="11" t="n">
        <f aca="false">J84+J85-J86-J87-J88-J89-J90</f>
        <v>0</v>
      </c>
      <c r="K91" s="11" t="n">
        <f aca="false">K84+K85-K86-K87-K88-K89-K90</f>
        <v>0</v>
      </c>
      <c r="L91" s="11" t="n">
        <f aca="false">L84+L85-L86-L87-L88-L89-L90</f>
        <v>0</v>
      </c>
      <c r="M91" s="11" t="n">
        <f aca="false">M84+M85-M86-M87-M88-M89-M90</f>
        <v>0</v>
      </c>
      <c r="N91" s="11" t="n">
        <f aca="false">N84+N85-N86-N87-N88-N89-N90</f>
        <v>0</v>
      </c>
      <c r="O91" s="11" t="n">
        <f aca="false">O84+O85-O86-O87-O88-O89-O90</f>
        <v>0</v>
      </c>
      <c r="P91" s="11" t="n">
        <f aca="false">P84+P85-P86-P87-P88-P89-P90</f>
        <v>15.0558470459528</v>
      </c>
      <c r="Q91" s="11" t="n">
        <f aca="false">Q84+Q85-Q86-Q87-Q88-Q89-Q90</f>
        <v>15.2717212070512</v>
      </c>
      <c r="R91" s="11" t="n">
        <f aca="false">R84+R85-R86-R87-R88-R89-R90</f>
        <v>15.0786746023541</v>
      </c>
      <c r="S91" s="11" t="n">
        <f aca="false">S84+S85-S86-S87-S88-S89-S90</f>
        <v>15.3720570674794</v>
      </c>
      <c r="T91" s="11" t="n">
        <f aca="false">T84+T85-T86-T87-T88-T89-T90</f>
        <v>15.1791855559765</v>
      </c>
      <c r="U91" s="11" t="n">
        <f aca="false">U84+U85-U86-U87-U88-U89-U90</f>
        <v>15.3967702214758</v>
      </c>
      <c r="V91" s="11" t="n">
        <f aca="false">V84+V85-V86-V87-V88-V89-V90</f>
        <v>15.2815511726484</v>
      </c>
      <c r="W91" s="11" t="n">
        <f aca="false">W84+W85-W86-W87-W88-W89-W90</f>
        <v>15.5785877231396</v>
      </c>
      <c r="X91" s="11" t="n">
        <f aca="false">X84+X85-X86-X87-X88-X89-X90</f>
        <v>15.3854423774152</v>
      </c>
      <c r="Y91" s="11" t="n">
        <f aca="false">Y84+Y85-Y86-Y87-Y88-Y89-Y90</f>
        <v>15.6892380630745</v>
      </c>
      <c r="Z91" s="11" t="n">
        <f aca="false">Z84+Z85-Z86-Z87-Z88-Z89-Z90</f>
        <v>15.4940505724447</v>
      </c>
      <c r="AA91" s="11" t="n">
        <f aca="false">AA84+AA85-AA86-AA87-AA88-AA89-AA90</f>
        <v>15.7980260748429</v>
      </c>
      <c r="AB91" s="11" t="n">
        <f aca="false">AB84+AB85-AB86-AB87-AB88-AB89-AB90</f>
        <v>15.602817735743</v>
      </c>
      <c r="AC91" s="11" t="n">
        <f aca="false">AC84+AC85-AC86-AC87-AC88-AC89-AC90</f>
        <v>15.8288265227014</v>
      </c>
      <c r="AD91" s="11" t="n">
        <f aca="false">AD84+AD85-AD86-AD87-AD88-AD89-AD90</f>
        <v>15.7132012349477</v>
      </c>
      <c r="AE91" s="11" t="n">
        <f aca="false">AE84+AE85-AE86-AE87-AE88-AE89-AE90</f>
        <v>15.7856183981126</v>
      </c>
      <c r="AF91" s="11" t="n">
        <f aca="false">AF84+AF85-AF86-AF87-AF88-AF89-AF90</f>
        <v>15.8255604278208</v>
      </c>
      <c r="AG91" s="11" t="n">
        <f aca="false">AG84+AG85-AG86-AG87-AG88-AG89-AG90</f>
        <v>16.1406158464022</v>
      </c>
      <c r="AH91" s="11" t="n">
        <f aca="false">AH84+AH85-AH86-AH87-AH88-AH89-AH90</f>
        <v>15.9431323336356</v>
      </c>
      <c r="AI91" s="11" t="n">
        <f aca="false">AI84+AI85-AI86-AI87-AI88-AI89-AI90</f>
        <v>16.2585811389265</v>
      </c>
      <c r="AJ91" s="11" t="n">
        <f aca="false">AJ84+AJ85-AJ86-AJ87-AJ88-AJ89-AJ90</f>
        <v>16.0608480515959</v>
      </c>
      <c r="AK91" s="11" t="n">
        <f aca="false">AK84+AK85-AK86-AK87-AK88-AK89-AK90</f>
        <v>16.2959448913484</v>
      </c>
      <c r="AL91" s="11" t="n">
        <f aca="false">AL84+AL85-AL86-AL87-AL88-AL89-AL90</f>
        <v>16.1808767559133</v>
      </c>
      <c r="AM91" s="11" t="n">
        <f aca="false">AM84+AM85-AM86-AM87-AM88-AM89-AM90</f>
        <v>16.5018627056425</v>
      </c>
      <c r="AN91" s="11" t="n">
        <f aca="false">AN84+AN85-AN86-AN87-AN88-AN89-AN90</f>
        <v>16.3031834556342</v>
      </c>
      <c r="AO91" s="11" t="n">
        <f aca="false">AO84+AO85-AO86-AO87-AO88-AO89-AO90</f>
        <v>16.6286602277412</v>
      </c>
      <c r="AP91" s="11" t="n">
        <f aca="false">AP84+AP85-AP86-AP87-AP88-AP89-AP90</f>
        <v>16.4287140544597</v>
      </c>
      <c r="AQ91" s="11" t="n">
        <f aca="false">AQ84+AQ85-AQ86-AQ87-AQ88-AQ89-AQ90</f>
        <v>16.7565910377998</v>
      </c>
      <c r="AR91" s="11" t="n">
        <f aca="false">AR84+AR85-AR86-AR87-AR88-AR89-AR90</f>
        <v>16.5561297403509</v>
      </c>
      <c r="AS91" s="11" t="n">
        <f aca="false">AS84+AS85-AS86-AS87-AS88-AS89-AS90</f>
        <v>16.8010321614236</v>
      </c>
      <c r="AT91" s="11" t="n">
        <f aca="false">AT84+AT85-AT86-AT87-AT88-AT89-AT90</f>
        <v>16.6861209989777</v>
      </c>
      <c r="AU91" s="11" t="n">
        <f aca="false">AU84+AU85-AU86-AU87-AU88-AU89-AU90</f>
        <v>16.7684018235705</v>
      </c>
      <c r="AV91" s="11" t="n">
        <f aca="false">AV84+AV85-AV86-AV87-AV88-AV89-AV90</f>
        <v>16.8189771807793</v>
      </c>
      <c r="AW91" s="11" t="n">
        <f aca="false">AW84+AW85-AW86-AW87-AW88-AW89-AW90</f>
        <v>17.1564136834931</v>
      </c>
      <c r="AX91" s="11" t="n">
        <f aca="false">AX84+AX85-AX86-AX87-AX88-AX89-AX90</f>
        <v>16.953825830438</v>
      </c>
      <c r="AY91" s="11" t="n">
        <f aca="false">AY84+AY85-AY86-AY87-AY88-AY89-AY90</f>
        <v>17.2951669073749</v>
      </c>
      <c r="AZ91" s="11" t="n">
        <f aca="false">AZ84+AZ85-AZ86-AZ87-AZ88-AZ89-AZ90</f>
        <v>17.0917570756227</v>
      </c>
      <c r="BA91" s="11" t="n">
        <f aca="false">BA84+BA85-BA86-BA87-BA88-BA89-BA90</f>
        <v>17.347240629559</v>
      </c>
      <c r="BB91" s="11" t="n">
        <f aca="false">BB84+BB85-BB86-BB87-BB88-BB89-BB90</f>
        <v>17.2325624651382</v>
      </c>
      <c r="BC91" s="11" t="n">
        <f aca="false">BC84+BC85-BC86-BC87-BC88-BC89-BC90</f>
        <v>17.5818560102746</v>
      </c>
      <c r="BD91" s="11" t="n">
        <f aca="false">BD84+BD85-BD86-BD87-BD88-BD89-BD90</f>
        <v>17.3766090918213</v>
      </c>
      <c r="BE91" s="11" t="n">
        <f aca="false">BE84+BE85-BE86-BE87-BE88-BE89-BE90</f>
        <v>17.7271757900089</v>
      </c>
      <c r="BF91" s="11" t="n">
        <f aca="false">BF84+BF85-BF86-BF87-BF88-BF89-BF90</f>
        <v>17.5217539087976</v>
      </c>
      <c r="BG91" s="11" t="n">
        <f aca="false">BG84+BG85-BG86-BG87-BG88-BG89-BG90</f>
        <v>17.8776830280644</v>
      </c>
      <c r="BH91" s="11" t="n">
        <f aca="false">BH84+BH85-BH86-BH87-BH88-BH89-BH90</f>
        <v>17.6710860393552</v>
      </c>
      <c r="BI91" s="11" t="n">
        <f aca="false">BI84+BI85-BI86-BI87-BI88-BI89-BI90</f>
        <v>17.9379890994758</v>
      </c>
      <c r="BJ91" s="11" t="n">
        <f aca="false">BJ84+BJ85-BJ86-BJ87-BJ88-BJ89-BJ90</f>
        <v>17.8242308350501</v>
      </c>
      <c r="BK91" s="11" t="n">
        <f aca="false">BK84+BK85-BK86-BK87-BK88-BK89-BK90</f>
        <v>17.9182075475277</v>
      </c>
      <c r="BL91" s="11" t="n">
        <f aca="false">BL84+BL85-BL86-BL87-BL88-BL89-BL90</f>
        <v>17.981374133856</v>
      </c>
      <c r="BM91" s="11" t="n">
        <f aca="false">BM84+BM85-BM86-BM87-BM88-BM89-BM90</f>
        <v>18.3445252782858</v>
      </c>
      <c r="BN91" s="11" t="n">
        <f aca="false">BN84+BN85-BN86-BN87-BN88-BN89-BN90</f>
        <v>0</v>
      </c>
    </row>
    <row r="92" customFormat="false" ht="15" hidden="false" customHeight="false" outlineLevel="0" collapsed="false">
      <c r="D92" s="0" t="s">
        <v>540</v>
      </c>
      <c r="E92" s="0" t="s">
        <v>149</v>
      </c>
      <c r="G92" s="11" t="n">
        <f aca="false">SUM(J92:BN92)</f>
        <v>0</v>
      </c>
      <c r="J92" s="11" t="n">
        <f aca="false">J91-0</f>
        <v>0</v>
      </c>
      <c r="K92" s="11" t="n">
        <f aca="false">K91-J91</f>
        <v>0</v>
      </c>
      <c r="L92" s="11" t="n">
        <f aca="false">L91-K91</f>
        <v>0</v>
      </c>
      <c r="M92" s="11" t="n">
        <f aca="false">M91-L91</f>
        <v>0</v>
      </c>
      <c r="N92" s="11" t="n">
        <f aca="false">N91-M91</f>
        <v>0</v>
      </c>
      <c r="O92" s="11" t="n">
        <f aca="false">O91-N91</f>
        <v>0</v>
      </c>
      <c r="P92" s="11" t="n">
        <f aca="false">P91-O91</f>
        <v>15.0558470459528</v>
      </c>
      <c r="Q92" s="11" t="n">
        <f aca="false">Q91-P91</f>
        <v>0.215874161098427</v>
      </c>
      <c r="R92" s="11" t="n">
        <f aca="false">R91-Q91</f>
        <v>-0.193046604697125</v>
      </c>
      <c r="S92" s="11" t="n">
        <f aca="false">S91-R91</f>
        <v>0.293382465125317</v>
      </c>
      <c r="T92" s="11" t="n">
        <f aca="false">T91-S91</f>
        <v>-0.192871511502883</v>
      </c>
      <c r="U92" s="11" t="n">
        <f aca="false">U91-T91</f>
        <v>0.217584665499286</v>
      </c>
      <c r="V92" s="11" t="n">
        <f aca="false">V91-U91</f>
        <v>-0.115219048827461</v>
      </c>
      <c r="W92" s="11" t="n">
        <f aca="false">W91-V91</f>
        <v>0.297036550491288</v>
      </c>
      <c r="X92" s="11" t="n">
        <f aca="false">X91-W91</f>
        <v>-0.193145345724462</v>
      </c>
      <c r="Y92" s="11" t="n">
        <f aca="false">Y91-X91</f>
        <v>0.303795685659312</v>
      </c>
      <c r="Z92" s="11" t="n">
        <f aca="false">Z91-Y91</f>
        <v>-0.195187490629834</v>
      </c>
      <c r="AA92" s="11" t="n">
        <f aca="false">AA91-Z91</f>
        <v>0.303975502398245</v>
      </c>
      <c r="AB92" s="11" t="n">
        <f aca="false">AB91-AA91</f>
        <v>-0.195208339099855</v>
      </c>
      <c r="AC92" s="11" t="n">
        <f aca="false">AC91-AB91</f>
        <v>0.226008786958307</v>
      </c>
      <c r="AD92" s="11" t="n">
        <f aca="false">AD91-AC91</f>
        <v>-0.1156252877537</v>
      </c>
      <c r="AE92" s="11" t="n">
        <f aca="false">AE91-AD91</f>
        <v>0.0724171631649284</v>
      </c>
      <c r="AF92" s="11" t="n">
        <f aca="false">AF91-AE91</f>
        <v>0.0399420297082553</v>
      </c>
      <c r="AG92" s="11" t="n">
        <f aca="false">AG91-AF91</f>
        <v>0.315055418581322</v>
      </c>
      <c r="AH92" s="11" t="n">
        <f aca="false">AH91-AG91</f>
        <v>-0.197483512766553</v>
      </c>
      <c r="AI92" s="11" t="n">
        <f aca="false">AI91-AH91</f>
        <v>0.315448805290849</v>
      </c>
      <c r="AJ92" s="11" t="n">
        <f aca="false">AJ91-AI91</f>
        <v>-0.197733087330512</v>
      </c>
      <c r="AK92" s="11" t="n">
        <f aca="false">AK91-AJ91</f>
        <v>0.235096839752455</v>
      </c>
      <c r="AL92" s="11" t="n">
        <f aca="false">AL91-AK91</f>
        <v>-0.115068135435106</v>
      </c>
      <c r="AM92" s="11" t="n">
        <f aca="false">AM91-AL91</f>
        <v>0.320985949729216</v>
      </c>
      <c r="AN92" s="11" t="n">
        <f aca="false">AN91-AM91</f>
        <v>-0.198679250008347</v>
      </c>
      <c r="AO92" s="11" t="n">
        <f aca="false">AO91-AN91</f>
        <v>0.325476772107031</v>
      </c>
      <c r="AP92" s="11" t="n">
        <f aca="false">AP91-AO91</f>
        <v>-0.199946173281493</v>
      </c>
      <c r="AQ92" s="11" t="n">
        <f aca="false">AQ91-AP91</f>
        <v>0.327876983340101</v>
      </c>
      <c r="AR92" s="11" t="n">
        <f aca="false">AR91-AQ91</f>
        <v>-0.200461297448854</v>
      </c>
      <c r="AS92" s="11" t="n">
        <f aca="false">AS91-AR91</f>
        <v>0.244902421072624</v>
      </c>
      <c r="AT92" s="11" t="n">
        <f aca="false">AT91-AS91</f>
        <v>-0.114911162445825</v>
      </c>
      <c r="AU92" s="11" t="n">
        <f aca="false">AU91-AT91</f>
        <v>0.0822808245927966</v>
      </c>
      <c r="AV92" s="11" t="n">
        <f aca="false">AV91-AU91</f>
        <v>0.0505753572087642</v>
      </c>
      <c r="AW92" s="11" t="n">
        <f aca="false">AW91-AV91</f>
        <v>0.337436502713789</v>
      </c>
      <c r="AX92" s="11" t="n">
        <f aca="false">AX91-AW91</f>
        <v>-0.2025878530551</v>
      </c>
      <c r="AY92" s="11" t="n">
        <f aca="false">AY91-AX91</f>
        <v>0.341341076936917</v>
      </c>
      <c r="AZ92" s="11" t="n">
        <f aca="false">AZ91-AY91</f>
        <v>-0.203409831752175</v>
      </c>
      <c r="BA92" s="11" t="n">
        <f aca="false">BA91-AZ91</f>
        <v>0.255483553936251</v>
      </c>
      <c r="BB92" s="11" t="n">
        <f aca="false">BB91-BA91</f>
        <v>-0.114678164420837</v>
      </c>
      <c r="BC92" s="11" t="n">
        <f aca="false">BC91-BB91</f>
        <v>0.34929354513644</v>
      </c>
      <c r="BD92" s="11" t="n">
        <f aca="false">BD91-BC91</f>
        <v>-0.205246918453305</v>
      </c>
      <c r="BE92" s="11" t="n">
        <f aca="false">BE91-BD91</f>
        <v>0.350566698187595</v>
      </c>
      <c r="BF92" s="11" t="n">
        <f aca="false">BF91-BE91</f>
        <v>-0.205421881211247</v>
      </c>
      <c r="BG92" s="11" t="n">
        <f aca="false">BG91-BF91</f>
        <v>0.355929119266726</v>
      </c>
      <c r="BH92" s="11" t="n">
        <f aca="false">BH91-BG91</f>
        <v>-0.206596988709137</v>
      </c>
      <c r="BI92" s="11" t="n">
        <f aca="false">BI91-BH91</f>
        <v>0.266903060120537</v>
      </c>
      <c r="BJ92" s="11" t="n">
        <f aca="false">BJ91-BI91</f>
        <v>-0.113758264425687</v>
      </c>
      <c r="BK92" s="11" t="n">
        <f aca="false">BK91-BJ91</f>
        <v>0.0939767124776516</v>
      </c>
      <c r="BL92" s="11" t="n">
        <f aca="false">BL91-BK91</f>
        <v>0.063166586328304</v>
      </c>
      <c r="BM92" s="11" t="n">
        <f aca="false">BM91-BL91</f>
        <v>0.363151144429725</v>
      </c>
      <c r="BN92" s="11" t="n">
        <f aca="false">BN91-BM91</f>
        <v>-18.3445252782858</v>
      </c>
    </row>
    <row r="93" customFormat="false" ht="15" hidden="false" customHeight="false" outlineLevel="0" collapsed="false">
      <c r="D93" s="0" t="s">
        <v>541</v>
      </c>
      <c r="E93" s="0" t="s">
        <v>149</v>
      </c>
      <c r="G93" s="11" t="n">
        <f aca="false">SUM(J93:BN93)</f>
        <v>5.35</v>
      </c>
      <c r="J93" s="11" t="n">
        <f aca="false">Time!J32*Inputs!$F$67*Inputs!$F$36</f>
        <v>0</v>
      </c>
      <c r="K93" s="11" t="n">
        <f aca="false">Time!K32*Inputs!$F$67*Inputs!$F$36</f>
        <v>0</v>
      </c>
      <c r="L93" s="11" t="n">
        <f aca="false">Time!L32*Inputs!$F$67*Inputs!$F$36</f>
        <v>0</v>
      </c>
      <c r="M93" s="11" t="n">
        <f aca="false">Time!M32*Inputs!$F$67*Inputs!$F$36</f>
        <v>0</v>
      </c>
      <c r="N93" s="11" t="n">
        <f aca="false">Time!N32*Inputs!$F$67*Inputs!$F$36</f>
        <v>0</v>
      </c>
      <c r="O93" s="11" t="n">
        <f aca="false">Time!O32*Inputs!$F$67*Inputs!$F$36</f>
        <v>0</v>
      </c>
      <c r="P93" s="11" t="n">
        <f aca="false">Time!P32*Inputs!$F$67*Inputs!$F$36</f>
        <v>0</v>
      </c>
      <c r="Q93" s="11" t="n">
        <f aca="false">Time!Q32*Inputs!$F$67*Inputs!$F$36</f>
        <v>0</v>
      </c>
      <c r="R93" s="11" t="n">
        <f aca="false">Time!R32*Inputs!$F$67*Inputs!$F$36</f>
        <v>0</v>
      </c>
      <c r="S93" s="11" t="n">
        <f aca="false">Time!S32*Inputs!$F$67*Inputs!$F$36</f>
        <v>0</v>
      </c>
      <c r="T93" s="11" t="n">
        <f aca="false">Time!T32*Inputs!$F$67*Inputs!$F$36</f>
        <v>0</v>
      </c>
      <c r="U93" s="11" t="n">
        <f aca="false">Time!U32*Inputs!$F$67*Inputs!$F$36</f>
        <v>0</v>
      </c>
      <c r="V93" s="11" t="n">
        <f aca="false">Time!V32*Inputs!$F$67*Inputs!$F$36</f>
        <v>0</v>
      </c>
      <c r="W93" s="11" t="n">
        <f aca="false">Time!W32*Inputs!$F$67*Inputs!$F$36</f>
        <v>0</v>
      </c>
      <c r="X93" s="11" t="n">
        <f aca="false">Time!X32*Inputs!$F$67*Inputs!$F$36</f>
        <v>0</v>
      </c>
      <c r="Y93" s="11" t="n">
        <f aca="false">Time!Y32*Inputs!$F$67*Inputs!$F$36</f>
        <v>0</v>
      </c>
      <c r="Z93" s="11" t="n">
        <f aca="false">Time!Z32*Inputs!$F$67*Inputs!$F$36</f>
        <v>0</v>
      </c>
      <c r="AA93" s="11" t="n">
        <f aca="false">Time!AA32*Inputs!$F$67*Inputs!$F$36</f>
        <v>0</v>
      </c>
      <c r="AB93" s="11" t="n">
        <f aca="false">Time!AB32*Inputs!$F$67*Inputs!$F$36</f>
        <v>0</v>
      </c>
      <c r="AC93" s="11" t="n">
        <f aca="false">Time!AC32*Inputs!$F$67*Inputs!$F$36</f>
        <v>0</v>
      </c>
      <c r="AD93" s="11" t="n">
        <f aca="false">Time!AD32*Inputs!$F$67*Inputs!$F$36</f>
        <v>0</v>
      </c>
      <c r="AE93" s="11" t="n">
        <f aca="false">Time!AE32*Inputs!$F$67*Inputs!$F$36</f>
        <v>0</v>
      </c>
      <c r="AF93" s="11" t="n">
        <f aca="false">Time!AF32*Inputs!$F$67*Inputs!$F$36</f>
        <v>0</v>
      </c>
      <c r="AG93" s="11" t="n">
        <f aca="false">Time!AG32*Inputs!$F$67*Inputs!$F$36</f>
        <v>0</v>
      </c>
      <c r="AH93" s="11" t="n">
        <f aca="false">Time!AH32*Inputs!$F$67*Inputs!$F$36</f>
        <v>0</v>
      </c>
      <c r="AI93" s="11" t="n">
        <f aca="false">Time!AI32*Inputs!$F$67*Inputs!$F$36</f>
        <v>0</v>
      </c>
      <c r="AJ93" s="11" t="n">
        <f aca="false">Time!AJ32*Inputs!$F$67*Inputs!$F$36</f>
        <v>0</v>
      </c>
      <c r="AK93" s="11" t="n">
        <f aca="false">Time!AK32*Inputs!$F$67*Inputs!$F$36</f>
        <v>0</v>
      </c>
      <c r="AL93" s="11" t="n">
        <f aca="false">Time!AL32*Inputs!$F$67*Inputs!$F$36</f>
        <v>0</v>
      </c>
      <c r="AM93" s="11" t="n">
        <f aca="false">Time!AM32*Inputs!$F$67*Inputs!$F$36</f>
        <v>0</v>
      </c>
      <c r="AN93" s="11" t="n">
        <f aca="false">Time!AN32*Inputs!$F$67*Inputs!$F$36</f>
        <v>0</v>
      </c>
      <c r="AO93" s="11" t="n">
        <f aca="false">Time!AO32*Inputs!$F$67*Inputs!$F$36</f>
        <v>0</v>
      </c>
      <c r="AP93" s="11" t="n">
        <f aca="false">Time!AP32*Inputs!$F$67*Inputs!$F$36</f>
        <v>0</v>
      </c>
      <c r="AQ93" s="11" t="n">
        <f aca="false">Time!AQ32*Inputs!$F$67*Inputs!$F$36</f>
        <v>0</v>
      </c>
      <c r="AR93" s="11" t="n">
        <f aca="false">Time!AR32*Inputs!$F$67*Inputs!$F$36</f>
        <v>0</v>
      </c>
      <c r="AS93" s="11" t="n">
        <f aca="false">Time!AS32*Inputs!$F$67*Inputs!$F$36</f>
        <v>0</v>
      </c>
      <c r="AT93" s="11" t="n">
        <f aca="false">Time!AT32*Inputs!$F$67*Inputs!$F$36</f>
        <v>0</v>
      </c>
      <c r="AU93" s="11" t="n">
        <f aca="false">Time!AU32*Inputs!$F$67*Inputs!$F$36</f>
        <v>0</v>
      </c>
      <c r="AV93" s="11" t="n">
        <f aca="false">Time!AV32*Inputs!$F$67*Inputs!$F$36</f>
        <v>0</v>
      </c>
      <c r="AW93" s="11" t="n">
        <f aca="false">Time!AW32*Inputs!$F$67*Inputs!$F$36</f>
        <v>0</v>
      </c>
      <c r="AX93" s="11" t="n">
        <f aca="false">Time!AX32*Inputs!$F$67*Inputs!$F$36</f>
        <v>0</v>
      </c>
      <c r="AY93" s="11" t="n">
        <f aca="false">Time!AY32*Inputs!$F$67*Inputs!$F$36</f>
        <v>0</v>
      </c>
      <c r="AZ93" s="11" t="n">
        <f aca="false">Time!AZ32*Inputs!$F$67*Inputs!$F$36</f>
        <v>0</v>
      </c>
      <c r="BA93" s="11" t="n">
        <f aca="false">Time!BA32*Inputs!$F$67*Inputs!$F$36</f>
        <v>0</v>
      </c>
      <c r="BB93" s="11" t="n">
        <f aca="false">Time!BB32*Inputs!$F$67*Inputs!$F$36</f>
        <v>0</v>
      </c>
      <c r="BC93" s="11" t="n">
        <f aca="false">Time!BC32*Inputs!$F$67*Inputs!$F$36</f>
        <v>0</v>
      </c>
      <c r="BD93" s="11" t="n">
        <f aca="false">Time!BD32*Inputs!$F$67*Inputs!$F$36</f>
        <v>0</v>
      </c>
      <c r="BE93" s="11" t="n">
        <f aca="false">Time!BE32*Inputs!$F$67*Inputs!$F$36</f>
        <v>0</v>
      </c>
      <c r="BF93" s="11" t="n">
        <f aca="false">Time!BF32*Inputs!$F$67*Inputs!$F$36</f>
        <v>0</v>
      </c>
      <c r="BG93" s="11" t="n">
        <f aca="false">Time!BG32*Inputs!$F$67*Inputs!$F$36</f>
        <v>0</v>
      </c>
      <c r="BH93" s="11" t="n">
        <f aca="false">Time!BH32*Inputs!$F$67*Inputs!$F$36</f>
        <v>0</v>
      </c>
      <c r="BI93" s="11" t="n">
        <f aca="false">Time!BI32*Inputs!$F$67*Inputs!$F$36</f>
        <v>0</v>
      </c>
      <c r="BJ93" s="11" t="n">
        <f aca="false">Time!BJ32*Inputs!$F$67*Inputs!$F$36</f>
        <v>0</v>
      </c>
      <c r="BK93" s="11" t="n">
        <f aca="false">Time!BK32*Inputs!$F$67*Inputs!$F$36</f>
        <v>0</v>
      </c>
      <c r="BL93" s="11" t="n">
        <f aca="false">Time!BL32*Inputs!$F$67*Inputs!$F$36</f>
        <v>0</v>
      </c>
      <c r="BM93" s="11" t="n">
        <f aca="false">Time!BM32*Inputs!$F$67*Inputs!$F$36</f>
        <v>0</v>
      </c>
      <c r="BN93" s="11" t="n">
        <f aca="false">Time!BN32*Inputs!$F$67*Inputs!$F$36</f>
        <v>5.35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543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0</v>
      </c>
      <c r="P7" s="9" t="n">
        <f aca="false">MAX(0,MIN(Time!P28,60)-MIN(Time!P27,60))</f>
        <v>2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6</v>
      </c>
      <c r="Z7" s="9" t="n">
        <f aca="false">MAX(0,MIN(Time!Z28,60)-MIN(Time!Z27,60))</f>
        <v>4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544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0</v>
      </c>
      <c r="Z8" s="9" t="n">
        <f aca="false">MAX(0,MIN(Time!Z28,96)-MIN(MAX(Time!Z27,60),96))</f>
        <v>2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6</v>
      </c>
      <c r="AF8" s="9" t="n">
        <f aca="false">MAX(0,MIN(Time!AF28,96)-MIN(MAX(Time!AF27,60),96))</f>
        <v>4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545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0</v>
      </c>
      <c r="AF9" s="9" t="n">
        <f aca="false">Time!AF25-AF7-AF8</f>
        <v>2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6</v>
      </c>
      <c r="BN9" s="9" t="n">
        <f aca="false">Time!BN25-BN7-BN8</f>
        <v>4</v>
      </c>
    </row>
    <row r="10" customFormat="false" ht="15" hidden="false" customHeight="false" outlineLevel="0" collapsed="false">
      <c r="D10" s="0" t="s">
        <v>546</v>
      </c>
      <c r="E10" s="0" t="s">
        <v>149</v>
      </c>
      <c r="G10" s="11" t="n">
        <f aca="false">SUM(J10:BN10)</f>
        <v>876.457393195604</v>
      </c>
      <c r="J10" s="11" t="n">
        <f aca="false">Inputs!$F$177*Funding!$F$76/Inputs!$F$178*MAX(0,MIN(Time!J28,Inputs!$F$178)-MIN(Time!J27,Inputs!$F$178))+Inputs!$F$179*Funding!$F$76/Inputs!$F$180*MAX(0,MIN(Time!J28,Inputs!$F$180)-MIN(Time!J27,Inputs!$F$180))+Inputs!$F$181*Funding!$F$76/Inputs!$F$182*MAX(0,MIN(Time!J28,Inputs!$F$182)-MIN(Time!J27,Inputs!$F$182))</f>
        <v>0</v>
      </c>
      <c r="K10" s="11" t="n">
        <f aca="false">Inputs!$F$177*Funding!$F$76/Inputs!$F$178*MAX(0,MIN(Time!K28,Inputs!$F$178)-MIN(Time!K27,Inputs!$F$178))+Inputs!$F$179*Funding!$F$76/Inputs!$F$180*MAX(0,MIN(Time!K28,Inputs!$F$180)-MIN(Time!K27,Inputs!$F$180))+Inputs!$F$181*Funding!$F$76/Inputs!$F$182*MAX(0,MIN(Time!K28,Inputs!$F$182)-MIN(Time!K27,Inputs!$F$182))</f>
        <v>0</v>
      </c>
      <c r="L10" s="11" t="n">
        <f aca="false">Inputs!$F$177*Funding!$F$76/Inputs!$F$178*MAX(0,MIN(Time!L28,Inputs!$F$178)-MIN(Time!L27,Inputs!$F$178))+Inputs!$F$179*Funding!$F$76/Inputs!$F$180*MAX(0,MIN(Time!L28,Inputs!$F$180)-MIN(Time!L27,Inputs!$F$180))+Inputs!$F$181*Funding!$F$76/Inputs!$F$182*MAX(0,MIN(Time!L28,Inputs!$F$182)-MIN(Time!L27,Inputs!$F$182))</f>
        <v>0</v>
      </c>
      <c r="M10" s="11" t="n">
        <f aca="false">Inputs!$F$177*Funding!$F$76/Inputs!$F$178*MAX(0,MIN(Time!M28,Inputs!$F$178)-MIN(Time!M27,Inputs!$F$178))+Inputs!$F$179*Funding!$F$76/Inputs!$F$180*MAX(0,MIN(Time!M28,Inputs!$F$180)-MIN(Time!M27,Inputs!$F$180))+Inputs!$F$181*Funding!$F$76/Inputs!$F$182*MAX(0,MIN(Time!M28,Inputs!$F$182)-MIN(Time!M27,Inputs!$F$182))</f>
        <v>0</v>
      </c>
      <c r="N10" s="11" t="n">
        <f aca="false">Inputs!$F$177*Funding!$F$76/Inputs!$F$178*MAX(0,MIN(Time!N28,Inputs!$F$178)-MIN(Time!N27,Inputs!$F$178))+Inputs!$F$179*Funding!$F$76/Inputs!$F$180*MAX(0,MIN(Time!N28,Inputs!$F$180)-MIN(Time!N27,Inputs!$F$180))+Inputs!$F$181*Funding!$F$76/Inputs!$F$182*MAX(0,MIN(Time!N28,Inputs!$F$182)-MIN(Time!N27,Inputs!$F$182))</f>
        <v>0</v>
      </c>
      <c r="O10" s="11" t="n">
        <f aca="false">Inputs!$F$177*Funding!$F$76/Inputs!$F$178*MAX(0,MIN(Time!O28,Inputs!$F$178)-MIN(Time!O27,Inputs!$F$178))+Inputs!$F$179*Funding!$F$76/Inputs!$F$180*MAX(0,MIN(Time!O28,Inputs!$F$180)-MIN(Time!O27,Inputs!$F$180))+Inputs!$F$181*Funding!$F$76/Inputs!$F$182*MAX(0,MIN(Time!O28,Inputs!$F$182)-MIN(Time!O27,Inputs!$F$182))</f>
        <v>0</v>
      </c>
      <c r="P10" s="11" t="n">
        <f aca="false">Inputs!$F$177*Funding!$F$76/Inputs!$F$178*MAX(0,MIN(Time!P28,Inputs!$F$178)-MIN(Time!P27,Inputs!$F$178))+Inputs!$F$179*Funding!$F$76/Inputs!$F$180*MAX(0,MIN(Time!P28,Inputs!$F$180)-MIN(Time!P27,Inputs!$F$180))+Inputs!$F$181*Funding!$F$76/Inputs!$F$182*MAX(0,MIN(Time!P28,Inputs!$F$182)-MIN(Time!P27,Inputs!$F$182))</f>
        <v>7.88811653876043</v>
      </c>
      <c r="Q10" s="11" t="n">
        <f aca="false">Inputs!$F$177*Funding!$F$76/Inputs!$F$178*MAX(0,MIN(Time!Q28,Inputs!$F$178)-MIN(Time!Q27,Inputs!$F$178))+Inputs!$F$179*Funding!$F$76/Inputs!$F$180*MAX(0,MIN(Time!Q28,Inputs!$F$180)-MIN(Time!Q27,Inputs!$F$180))+Inputs!$F$181*Funding!$F$76/Inputs!$F$182*MAX(0,MIN(Time!Q28,Inputs!$F$182)-MIN(Time!Q27,Inputs!$F$182))</f>
        <v>23.6643496162813</v>
      </c>
      <c r="R10" s="11" t="n">
        <f aca="false">Inputs!$F$177*Funding!$F$76/Inputs!$F$178*MAX(0,MIN(Time!R28,Inputs!$F$178)-MIN(Time!R27,Inputs!$F$178))+Inputs!$F$179*Funding!$F$76/Inputs!$F$180*MAX(0,MIN(Time!R28,Inputs!$F$180)-MIN(Time!R27,Inputs!$F$180))+Inputs!$F$181*Funding!$F$76/Inputs!$F$182*MAX(0,MIN(Time!R28,Inputs!$F$182)-MIN(Time!R27,Inputs!$F$182))</f>
        <v>23.6643496162813</v>
      </c>
      <c r="S10" s="11" t="n">
        <f aca="false">Inputs!$F$177*Funding!$F$76/Inputs!$F$178*MAX(0,MIN(Time!S28,Inputs!$F$178)-MIN(Time!S27,Inputs!$F$178))+Inputs!$F$179*Funding!$F$76/Inputs!$F$180*MAX(0,MIN(Time!S28,Inputs!$F$180)-MIN(Time!S27,Inputs!$F$180))+Inputs!$F$181*Funding!$F$76/Inputs!$F$182*MAX(0,MIN(Time!S28,Inputs!$F$182)-MIN(Time!S27,Inputs!$F$182))</f>
        <v>23.6643496162813</v>
      </c>
      <c r="T10" s="11" t="n">
        <f aca="false">Inputs!$F$177*Funding!$F$76/Inputs!$F$178*MAX(0,MIN(Time!T28,Inputs!$F$178)-MIN(Time!T27,Inputs!$F$178))+Inputs!$F$179*Funding!$F$76/Inputs!$F$180*MAX(0,MIN(Time!T28,Inputs!$F$180)-MIN(Time!T27,Inputs!$F$180))+Inputs!$F$181*Funding!$F$76/Inputs!$F$182*MAX(0,MIN(Time!T28,Inputs!$F$182)-MIN(Time!T27,Inputs!$F$182))</f>
        <v>23.6643496162813</v>
      </c>
      <c r="U10" s="11" t="n">
        <f aca="false">Inputs!$F$177*Funding!$F$76/Inputs!$F$178*MAX(0,MIN(Time!U28,Inputs!$F$178)-MIN(Time!U27,Inputs!$F$178))+Inputs!$F$179*Funding!$F$76/Inputs!$F$180*MAX(0,MIN(Time!U28,Inputs!$F$180)-MIN(Time!U27,Inputs!$F$180))+Inputs!$F$181*Funding!$F$76/Inputs!$F$182*MAX(0,MIN(Time!U28,Inputs!$F$182)-MIN(Time!U27,Inputs!$F$182))</f>
        <v>23.6643496162813</v>
      </c>
      <c r="V10" s="11" t="n">
        <f aca="false">Inputs!$F$177*Funding!$F$76/Inputs!$F$178*MAX(0,MIN(Time!V28,Inputs!$F$178)-MIN(Time!V27,Inputs!$F$178))+Inputs!$F$179*Funding!$F$76/Inputs!$F$180*MAX(0,MIN(Time!V28,Inputs!$F$180)-MIN(Time!V27,Inputs!$F$180))+Inputs!$F$181*Funding!$F$76/Inputs!$F$182*MAX(0,MIN(Time!V28,Inputs!$F$182)-MIN(Time!V27,Inputs!$F$182))</f>
        <v>23.6643496162813</v>
      </c>
      <c r="W10" s="11" t="n">
        <f aca="false">Inputs!$F$177*Funding!$F$76/Inputs!$F$178*MAX(0,MIN(Time!W28,Inputs!$F$178)-MIN(Time!W27,Inputs!$F$178))+Inputs!$F$179*Funding!$F$76/Inputs!$F$180*MAX(0,MIN(Time!W28,Inputs!$F$180)-MIN(Time!W27,Inputs!$F$180))+Inputs!$F$181*Funding!$F$76/Inputs!$F$182*MAX(0,MIN(Time!W28,Inputs!$F$182)-MIN(Time!W27,Inputs!$F$182))</f>
        <v>23.6643496162813</v>
      </c>
      <c r="X10" s="11" t="n">
        <f aca="false">Inputs!$F$177*Funding!$F$76/Inputs!$F$178*MAX(0,MIN(Time!X28,Inputs!$F$178)-MIN(Time!X27,Inputs!$F$178))+Inputs!$F$179*Funding!$F$76/Inputs!$F$180*MAX(0,MIN(Time!X28,Inputs!$F$180)-MIN(Time!X27,Inputs!$F$180))+Inputs!$F$181*Funding!$F$76/Inputs!$F$182*MAX(0,MIN(Time!X28,Inputs!$F$182)-MIN(Time!X27,Inputs!$F$182))</f>
        <v>23.6643496162813</v>
      </c>
      <c r="Y10" s="11" t="n">
        <f aca="false">Inputs!$F$177*Funding!$F$76/Inputs!$F$178*MAX(0,MIN(Time!Y28,Inputs!$F$178)-MIN(Time!Y27,Inputs!$F$178))+Inputs!$F$179*Funding!$F$76/Inputs!$F$180*MAX(0,MIN(Time!Y28,Inputs!$F$180)-MIN(Time!Y27,Inputs!$F$180))+Inputs!$F$181*Funding!$F$76/Inputs!$F$182*MAX(0,MIN(Time!Y28,Inputs!$F$182)-MIN(Time!Y27,Inputs!$F$182))</f>
        <v>23.6643496162813</v>
      </c>
      <c r="Z10" s="11" t="n">
        <f aca="false">Inputs!$F$177*Funding!$F$76/Inputs!$F$178*MAX(0,MIN(Time!Z28,Inputs!$F$178)-MIN(Time!Z27,Inputs!$F$178))+Inputs!$F$179*Funding!$F$76/Inputs!$F$180*MAX(0,MIN(Time!Z28,Inputs!$F$180)-MIN(Time!Z27,Inputs!$F$180))+Inputs!$F$181*Funding!$F$76/Inputs!$F$182*MAX(0,MIN(Time!Z28,Inputs!$F$182)-MIN(Time!Z27,Inputs!$F$182))</f>
        <v>22.7878922230857</v>
      </c>
      <c r="AA10" s="11" t="n">
        <f aca="false">Inputs!$F$177*Funding!$F$76/Inputs!$F$178*MAX(0,MIN(Time!AA28,Inputs!$F$178)-MIN(Time!AA27,Inputs!$F$178))+Inputs!$F$179*Funding!$F$76/Inputs!$F$180*MAX(0,MIN(Time!AA28,Inputs!$F$180)-MIN(Time!AA27,Inputs!$F$180))+Inputs!$F$181*Funding!$F$76/Inputs!$F$182*MAX(0,MIN(Time!AA28,Inputs!$F$182)-MIN(Time!AA27,Inputs!$F$182))</f>
        <v>21.0349774366945</v>
      </c>
      <c r="AB10" s="11" t="n">
        <f aca="false">Inputs!$F$177*Funding!$F$76/Inputs!$F$178*MAX(0,MIN(Time!AB28,Inputs!$F$178)-MIN(Time!AB27,Inputs!$F$178))+Inputs!$F$179*Funding!$F$76/Inputs!$F$180*MAX(0,MIN(Time!AB28,Inputs!$F$180)-MIN(Time!AB27,Inputs!$F$180))+Inputs!$F$181*Funding!$F$76/Inputs!$F$182*MAX(0,MIN(Time!AB28,Inputs!$F$182)-MIN(Time!AB27,Inputs!$F$182))</f>
        <v>21.0349774366945</v>
      </c>
      <c r="AC10" s="11" t="n">
        <f aca="false">Inputs!$F$177*Funding!$F$76/Inputs!$F$178*MAX(0,MIN(Time!AC28,Inputs!$F$178)-MIN(Time!AC27,Inputs!$F$178))+Inputs!$F$179*Funding!$F$76/Inputs!$F$180*MAX(0,MIN(Time!AC28,Inputs!$F$180)-MIN(Time!AC27,Inputs!$F$180))+Inputs!$F$181*Funding!$F$76/Inputs!$F$182*MAX(0,MIN(Time!AC28,Inputs!$F$182)-MIN(Time!AC27,Inputs!$F$182))</f>
        <v>21.0349774366945</v>
      </c>
      <c r="AD10" s="11" t="n">
        <f aca="false">Inputs!$F$177*Funding!$F$76/Inputs!$F$178*MAX(0,MIN(Time!AD28,Inputs!$F$178)-MIN(Time!AD27,Inputs!$F$178))+Inputs!$F$179*Funding!$F$76/Inputs!$F$180*MAX(0,MIN(Time!AD28,Inputs!$F$180)-MIN(Time!AD27,Inputs!$F$180))+Inputs!$F$181*Funding!$F$76/Inputs!$F$182*MAX(0,MIN(Time!AD28,Inputs!$F$182)-MIN(Time!AD27,Inputs!$F$182))</f>
        <v>21.0349774366945</v>
      </c>
      <c r="AE10" s="11" t="n">
        <f aca="false">Inputs!$F$177*Funding!$F$76/Inputs!$F$178*MAX(0,MIN(Time!AE28,Inputs!$F$178)-MIN(Time!AE27,Inputs!$F$178))+Inputs!$F$179*Funding!$F$76/Inputs!$F$180*MAX(0,MIN(Time!AE28,Inputs!$F$180)-MIN(Time!AE27,Inputs!$F$180))+Inputs!$F$181*Funding!$F$76/Inputs!$F$182*MAX(0,MIN(Time!AE28,Inputs!$F$182)-MIN(Time!AE27,Inputs!$F$182))</f>
        <v>21.0349774366945</v>
      </c>
      <c r="AF10" s="11" t="n">
        <f aca="false">Inputs!$F$177*Funding!$F$76/Inputs!$F$178*MAX(0,MIN(Time!AF28,Inputs!$F$178)-MIN(Time!AF27,Inputs!$F$178))+Inputs!$F$179*Funding!$F$76/Inputs!$F$180*MAX(0,MIN(Time!AF28,Inputs!$F$180)-MIN(Time!AF27,Inputs!$F$180))+Inputs!$F$181*Funding!$F$76/Inputs!$F$182*MAX(0,MIN(Time!AF28,Inputs!$F$182)-MIN(Time!AF27,Inputs!$F$182))</f>
        <v>21.0349774366945</v>
      </c>
      <c r="AG10" s="11" t="n">
        <f aca="false">Inputs!$F$177*Funding!$F$76/Inputs!$F$178*MAX(0,MIN(Time!AG28,Inputs!$F$178)-MIN(Time!AG27,Inputs!$F$178))+Inputs!$F$179*Funding!$F$76/Inputs!$F$180*MAX(0,MIN(Time!AG28,Inputs!$F$180)-MIN(Time!AG27,Inputs!$F$180))+Inputs!$F$181*Funding!$F$76/Inputs!$F$182*MAX(0,MIN(Time!AG28,Inputs!$F$182)-MIN(Time!AG27,Inputs!$F$182))</f>
        <v>21.0349774366945</v>
      </c>
      <c r="AH10" s="11" t="n">
        <f aca="false">Inputs!$F$177*Funding!$F$76/Inputs!$F$178*MAX(0,MIN(Time!AH28,Inputs!$F$178)-MIN(Time!AH27,Inputs!$F$178))+Inputs!$F$179*Funding!$F$76/Inputs!$F$180*MAX(0,MIN(Time!AH28,Inputs!$F$180)-MIN(Time!AH27,Inputs!$F$180))+Inputs!$F$181*Funding!$F$76/Inputs!$F$182*MAX(0,MIN(Time!AH28,Inputs!$F$182)-MIN(Time!AH27,Inputs!$F$182))</f>
        <v>21.0349774366945</v>
      </c>
      <c r="AI10" s="11" t="n">
        <f aca="false">Inputs!$F$177*Funding!$F$76/Inputs!$F$178*MAX(0,MIN(Time!AI28,Inputs!$F$178)-MIN(Time!AI27,Inputs!$F$178))+Inputs!$F$179*Funding!$F$76/Inputs!$F$180*MAX(0,MIN(Time!AI28,Inputs!$F$180)-MIN(Time!AI27,Inputs!$F$180))+Inputs!$F$181*Funding!$F$76/Inputs!$F$182*MAX(0,MIN(Time!AI28,Inputs!$F$182)-MIN(Time!AI27,Inputs!$F$182))</f>
        <v>21.0349774366945</v>
      </c>
      <c r="AJ10" s="11" t="n">
        <f aca="false">Inputs!$F$177*Funding!$F$76/Inputs!$F$178*MAX(0,MIN(Time!AJ28,Inputs!$F$178)-MIN(Time!AJ27,Inputs!$F$178))+Inputs!$F$179*Funding!$F$76/Inputs!$F$180*MAX(0,MIN(Time!AJ28,Inputs!$F$180)-MIN(Time!AJ27,Inputs!$F$180))+Inputs!$F$181*Funding!$F$76/Inputs!$F$182*MAX(0,MIN(Time!AJ28,Inputs!$F$182)-MIN(Time!AJ27,Inputs!$F$182))</f>
        <v>21.0349774366945</v>
      </c>
      <c r="AK10" s="11" t="n">
        <f aca="false">Inputs!$F$177*Funding!$F$76/Inputs!$F$178*MAX(0,MIN(Time!AK28,Inputs!$F$178)-MIN(Time!AK27,Inputs!$F$178))+Inputs!$F$179*Funding!$F$76/Inputs!$F$180*MAX(0,MIN(Time!AK28,Inputs!$F$180)-MIN(Time!AK27,Inputs!$F$180))+Inputs!$F$181*Funding!$F$76/Inputs!$F$182*MAX(0,MIN(Time!AK28,Inputs!$F$182)-MIN(Time!AK27,Inputs!$F$182))</f>
        <v>21.0349774366945</v>
      </c>
      <c r="AL10" s="11" t="n">
        <f aca="false">Inputs!$F$177*Funding!$F$76/Inputs!$F$178*MAX(0,MIN(Time!AL28,Inputs!$F$178)-MIN(Time!AL27,Inputs!$F$178))+Inputs!$F$179*Funding!$F$76/Inputs!$F$180*MAX(0,MIN(Time!AL28,Inputs!$F$180)-MIN(Time!AL27,Inputs!$F$180))+Inputs!$F$181*Funding!$F$76/Inputs!$F$182*MAX(0,MIN(Time!AL28,Inputs!$F$182)-MIN(Time!AL27,Inputs!$F$182))</f>
        <v>21.0349774366945</v>
      </c>
      <c r="AM10" s="11" t="n">
        <f aca="false">Inputs!$F$177*Funding!$F$76/Inputs!$F$178*MAX(0,MIN(Time!AM28,Inputs!$F$178)-MIN(Time!AM27,Inputs!$F$178))+Inputs!$F$179*Funding!$F$76/Inputs!$F$180*MAX(0,MIN(Time!AM28,Inputs!$F$180)-MIN(Time!AM27,Inputs!$F$180))+Inputs!$F$181*Funding!$F$76/Inputs!$F$182*MAX(0,MIN(Time!AM28,Inputs!$F$182)-MIN(Time!AM27,Inputs!$F$182))</f>
        <v>21.0349774366945</v>
      </c>
      <c r="AN10" s="11" t="n">
        <f aca="false">Inputs!$F$177*Funding!$F$76/Inputs!$F$178*MAX(0,MIN(Time!AN28,Inputs!$F$178)-MIN(Time!AN27,Inputs!$F$178))+Inputs!$F$179*Funding!$F$76/Inputs!$F$180*MAX(0,MIN(Time!AN28,Inputs!$F$180)-MIN(Time!AN27,Inputs!$F$180))+Inputs!$F$181*Funding!$F$76/Inputs!$F$182*MAX(0,MIN(Time!AN28,Inputs!$F$182)-MIN(Time!AN27,Inputs!$F$182))</f>
        <v>21.0349774366945</v>
      </c>
      <c r="AO10" s="11" t="n">
        <f aca="false">Inputs!$F$177*Funding!$F$76/Inputs!$F$178*MAX(0,MIN(Time!AO28,Inputs!$F$178)-MIN(Time!AO27,Inputs!$F$178))+Inputs!$F$179*Funding!$F$76/Inputs!$F$180*MAX(0,MIN(Time!AO28,Inputs!$F$180)-MIN(Time!AO27,Inputs!$F$180))+Inputs!$F$181*Funding!$F$76/Inputs!$F$182*MAX(0,MIN(Time!AO28,Inputs!$F$182)-MIN(Time!AO27,Inputs!$F$182))</f>
        <v>21.0349774366945</v>
      </c>
      <c r="AP10" s="11" t="n">
        <f aca="false">Inputs!$F$177*Funding!$F$76/Inputs!$F$178*MAX(0,MIN(Time!AP28,Inputs!$F$178)-MIN(Time!AP27,Inputs!$F$178))+Inputs!$F$179*Funding!$F$76/Inputs!$F$180*MAX(0,MIN(Time!AP28,Inputs!$F$180)-MIN(Time!AP27,Inputs!$F$180))+Inputs!$F$181*Funding!$F$76/Inputs!$F$182*MAX(0,MIN(Time!AP28,Inputs!$F$182)-MIN(Time!AP27,Inputs!$F$182))</f>
        <v>21.0349774366945</v>
      </c>
      <c r="AQ10" s="11" t="n">
        <f aca="false">Inputs!$F$177*Funding!$F$76/Inputs!$F$178*MAX(0,MIN(Time!AQ28,Inputs!$F$178)-MIN(Time!AQ27,Inputs!$F$178))+Inputs!$F$179*Funding!$F$76/Inputs!$F$180*MAX(0,MIN(Time!AQ28,Inputs!$F$180)-MIN(Time!AQ27,Inputs!$F$180))+Inputs!$F$181*Funding!$F$76/Inputs!$F$182*MAX(0,MIN(Time!AQ28,Inputs!$F$182)-MIN(Time!AQ27,Inputs!$F$182))</f>
        <v>21.0349774366945</v>
      </c>
      <c r="AR10" s="11" t="n">
        <f aca="false">Inputs!$F$177*Funding!$F$76/Inputs!$F$178*MAX(0,MIN(Time!AR28,Inputs!$F$178)-MIN(Time!AR27,Inputs!$F$178))+Inputs!$F$179*Funding!$F$76/Inputs!$F$180*MAX(0,MIN(Time!AR28,Inputs!$F$180)-MIN(Time!AR27,Inputs!$F$180))+Inputs!$F$181*Funding!$F$76/Inputs!$F$182*MAX(0,MIN(Time!AR28,Inputs!$F$182)-MIN(Time!AR27,Inputs!$F$182))</f>
        <v>21.0349774366945</v>
      </c>
      <c r="AS10" s="11" t="n">
        <f aca="false">Inputs!$F$177*Funding!$F$76/Inputs!$F$178*MAX(0,MIN(Time!AS28,Inputs!$F$178)-MIN(Time!AS27,Inputs!$F$178))+Inputs!$F$179*Funding!$F$76/Inputs!$F$180*MAX(0,MIN(Time!AS28,Inputs!$F$180)-MIN(Time!AS27,Inputs!$F$180))+Inputs!$F$181*Funding!$F$76/Inputs!$F$182*MAX(0,MIN(Time!AS28,Inputs!$F$182)-MIN(Time!AS27,Inputs!$F$182))</f>
        <v>21.0349774366945</v>
      </c>
      <c r="AT10" s="11" t="n">
        <f aca="false">Inputs!$F$177*Funding!$F$76/Inputs!$F$178*MAX(0,MIN(Time!AT28,Inputs!$F$178)-MIN(Time!AT27,Inputs!$F$178))+Inputs!$F$179*Funding!$F$76/Inputs!$F$180*MAX(0,MIN(Time!AT28,Inputs!$F$180)-MIN(Time!AT27,Inputs!$F$180))+Inputs!$F$181*Funding!$F$76/Inputs!$F$182*MAX(0,MIN(Time!AT28,Inputs!$F$182)-MIN(Time!AT27,Inputs!$F$182))</f>
        <v>21.0349774366945</v>
      </c>
      <c r="AU10" s="11" t="n">
        <f aca="false">Inputs!$F$177*Funding!$F$76/Inputs!$F$178*MAX(0,MIN(Time!AU28,Inputs!$F$178)-MIN(Time!AU27,Inputs!$F$178))+Inputs!$F$179*Funding!$F$76/Inputs!$F$180*MAX(0,MIN(Time!AU28,Inputs!$F$180)-MIN(Time!AU27,Inputs!$F$180))+Inputs!$F$181*Funding!$F$76/Inputs!$F$182*MAX(0,MIN(Time!AU28,Inputs!$F$182)-MIN(Time!AU27,Inputs!$F$182))</f>
        <v>21.0349774366945</v>
      </c>
      <c r="AV10" s="11" t="n">
        <f aca="false">Inputs!$F$177*Funding!$F$76/Inputs!$F$178*MAX(0,MIN(Time!AV28,Inputs!$F$178)-MIN(Time!AV27,Inputs!$F$178))+Inputs!$F$179*Funding!$F$76/Inputs!$F$180*MAX(0,MIN(Time!AV28,Inputs!$F$180)-MIN(Time!AV27,Inputs!$F$180))+Inputs!$F$181*Funding!$F$76/Inputs!$F$182*MAX(0,MIN(Time!AV28,Inputs!$F$182)-MIN(Time!AV27,Inputs!$F$182))</f>
        <v>21.0349774366945</v>
      </c>
      <c r="AW10" s="11" t="n">
        <f aca="false">Inputs!$F$177*Funding!$F$76/Inputs!$F$178*MAX(0,MIN(Time!AW28,Inputs!$F$178)-MIN(Time!AW27,Inputs!$F$178))+Inputs!$F$179*Funding!$F$76/Inputs!$F$180*MAX(0,MIN(Time!AW28,Inputs!$F$180)-MIN(Time!AW27,Inputs!$F$180))+Inputs!$F$181*Funding!$F$76/Inputs!$F$182*MAX(0,MIN(Time!AW28,Inputs!$F$182)-MIN(Time!AW27,Inputs!$F$182))</f>
        <v>21.0349774366945</v>
      </c>
      <c r="AX10" s="11" t="n">
        <f aca="false">Inputs!$F$177*Funding!$F$76/Inputs!$F$178*MAX(0,MIN(Time!AX28,Inputs!$F$178)-MIN(Time!AX27,Inputs!$F$178))+Inputs!$F$179*Funding!$F$76/Inputs!$F$180*MAX(0,MIN(Time!AX28,Inputs!$F$180)-MIN(Time!AX27,Inputs!$F$180))+Inputs!$F$181*Funding!$F$76/Inputs!$F$182*MAX(0,MIN(Time!AX28,Inputs!$F$182)-MIN(Time!AX27,Inputs!$F$182))</f>
        <v>21.0349774366945</v>
      </c>
      <c r="AY10" s="11" t="n">
        <f aca="false">Inputs!$F$177*Funding!$F$76/Inputs!$F$178*MAX(0,MIN(Time!AY28,Inputs!$F$178)-MIN(Time!AY27,Inputs!$F$178))+Inputs!$F$179*Funding!$F$76/Inputs!$F$180*MAX(0,MIN(Time!AY28,Inputs!$F$180)-MIN(Time!AY27,Inputs!$F$180))+Inputs!$F$181*Funding!$F$76/Inputs!$F$182*MAX(0,MIN(Time!AY28,Inputs!$F$182)-MIN(Time!AY27,Inputs!$F$182))</f>
        <v>21.0349774366945</v>
      </c>
      <c r="AZ10" s="11" t="n">
        <f aca="false">Inputs!$F$177*Funding!$F$76/Inputs!$F$178*MAX(0,MIN(Time!AZ28,Inputs!$F$178)-MIN(Time!AZ27,Inputs!$F$178))+Inputs!$F$179*Funding!$F$76/Inputs!$F$180*MAX(0,MIN(Time!AZ28,Inputs!$F$180)-MIN(Time!AZ27,Inputs!$F$180))+Inputs!$F$181*Funding!$F$76/Inputs!$F$182*MAX(0,MIN(Time!AZ28,Inputs!$F$182)-MIN(Time!AZ27,Inputs!$F$182))</f>
        <v>21.0349774366945</v>
      </c>
      <c r="BA10" s="11" t="n">
        <f aca="false">Inputs!$F$177*Funding!$F$76/Inputs!$F$178*MAX(0,MIN(Time!BA28,Inputs!$F$178)-MIN(Time!BA27,Inputs!$F$178))+Inputs!$F$179*Funding!$F$76/Inputs!$F$180*MAX(0,MIN(Time!BA28,Inputs!$F$180)-MIN(Time!BA27,Inputs!$F$180))+Inputs!$F$181*Funding!$F$76/Inputs!$F$182*MAX(0,MIN(Time!BA28,Inputs!$F$182)-MIN(Time!BA27,Inputs!$F$182))</f>
        <v>21.0349774366945</v>
      </c>
      <c r="BB10" s="11" t="n">
        <f aca="false">Inputs!$F$177*Funding!$F$76/Inputs!$F$178*MAX(0,MIN(Time!BB28,Inputs!$F$178)-MIN(Time!BB27,Inputs!$F$178))+Inputs!$F$179*Funding!$F$76/Inputs!$F$180*MAX(0,MIN(Time!BB28,Inputs!$F$180)-MIN(Time!BB27,Inputs!$F$180))+Inputs!$F$181*Funding!$F$76/Inputs!$F$182*MAX(0,MIN(Time!BB28,Inputs!$F$182)-MIN(Time!BB27,Inputs!$F$182))</f>
        <v>21.0349774366945</v>
      </c>
      <c r="BC10" s="11" t="n">
        <f aca="false">Inputs!$F$177*Funding!$F$76/Inputs!$F$178*MAX(0,MIN(Time!BC28,Inputs!$F$178)-MIN(Time!BC27,Inputs!$F$178))+Inputs!$F$179*Funding!$F$76/Inputs!$F$180*MAX(0,MIN(Time!BC28,Inputs!$F$180)-MIN(Time!BC27,Inputs!$F$180))+Inputs!$F$181*Funding!$F$76/Inputs!$F$182*MAX(0,MIN(Time!BC28,Inputs!$F$182)-MIN(Time!BC27,Inputs!$F$182))</f>
        <v>21.0349774366945</v>
      </c>
      <c r="BD10" s="11" t="n">
        <f aca="false">Inputs!$F$177*Funding!$F$76/Inputs!$F$178*MAX(0,MIN(Time!BD28,Inputs!$F$178)-MIN(Time!BD27,Inputs!$F$178))+Inputs!$F$179*Funding!$F$76/Inputs!$F$180*MAX(0,MIN(Time!BD28,Inputs!$F$180)-MIN(Time!BD27,Inputs!$F$180))+Inputs!$F$181*Funding!$F$76/Inputs!$F$182*MAX(0,MIN(Time!BD28,Inputs!$F$182)-MIN(Time!BD27,Inputs!$F$182))</f>
        <v>14.3154707555282</v>
      </c>
      <c r="BE10" s="11" t="n">
        <f aca="false">Inputs!$F$177*Funding!$F$76/Inputs!$F$178*MAX(0,MIN(Time!BE28,Inputs!$F$178)-MIN(Time!BE27,Inputs!$F$178))+Inputs!$F$179*Funding!$F$76/Inputs!$F$180*MAX(0,MIN(Time!BE28,Inputs!$F$180)-MIN(Time!BE27,Inputs!$F$180))+Inputs!$F$181*Funding!$F$76/Inputs!$F$182*MAX(0,MIN(Time!BE28,Inputs!$F$182)-MIN(Time!BE27,Inputs!$F$182))</f>
        <v>0.876457393195604</v>
      </c>
      <c r="BF10" s="11" t="n">
        <f aca="false">Inputs!$F$177*Funding!$F$76/Inputs!$F$178*MAX(0,MIN(Time!BF28,Inputs!$F$178)-MIN(Time!BF27,Inputs!$F$178))+Inputs!$F$179*Funding!$F$76/Inputs!$F$180*MAX(0,MIN(Time!BF28,Inputs!$F$180)-MIN(Time!BF27,Inputs!$F$180))+Inputs!$F$181*Funding!$F$76/Inputs!$F$182*MAX(0,MIN(Time!BF28,Inputs!$F$182)-MIN(Time!BF27,Inputs!$F$182))</f>
        <v>0.876457393195604</v>
      </c>
      <c r="BG10" s="11" t="n">
        <f aca="false">Inputs!$F$177*Funding!$F$76/Inputs!$F$178*MAX(0,MIN(Time!BG28,Inputs!$F$178)-MIN(Time!BG27,Inputs!$F$178))+Inputs!$F$179*Funding!$F$76/Inputs!$F$180*MAX(0,MIN(Time!BG28,Inputs!$F$180)-MIN(Time!BG27,Inputs!$F$180))+Inputs!$F$181*Funding!$F$76/Inputs!$F$182*MAX(0,MIN(Time!BG28,Inputs!$F$182)-MIN(Time!BG27,Inputs!$F$182))</f>
        <v>0.876457393195604</v>
      </c>
      <c r="BH10" s="11" t="n">
        <f aca="false">Inputs!$F$177*Funding!$F$76/Inputs!$F$178*MAX(0,MIN(Time!BH28,Inputs!$F$178)-MIN(Time!BH27,Inputs!$F$178))+Inputs!$F$179*Funding!$F$76/Inputs!$F$180*MAX(0,MIN(Time!BH28,Inputs!$F$180)-MIN(Time!BH27,Inputs!$F$180))+Inputs!$F$181*Funding!$F$76/Inputs!$F$182*MAX(0,MIN(Time!BH28,Inputs!$F$182)-MIN(Time!BH27,Inputs!$F$182))</f>
        <v>0.876457393195604</v>
      </c>
      <c r="BI10" s="11" t="n">
        <f aca="false">Inputs!$F$177*Funding!$F$76/Inputs!$F$178*MAX(0,MIN(Time!BI28,Inputs!$F$178)-MIN(Time!BI27,Inputs!$F$178))+Inputs!$F$179*Funding!$F$76/Inputs!$F$180*MAX(0,MIN(Time!BI28,Inputs!$F$180)-MIN(Time!BI27,Inputs!$F$180))+Inputs!$F$181*Funding!$F$76/Inputs!$F$182*MAX(0,MIN(Time!BI28,Inputs!$F$182)-MIN(Time!BI27,Inputs!$F$182))</f>
        <v>0.876457393195604</v>
      </c>
      <c r="BJ10" s="11" t="n">
        <f aca="false">Inputs!$F$177*Funding!$F$76/Inputs!$F$178*MAX(0,MIN(Time!BJ28,Inputs!$F$178)-MIN(Time!BJ27,Inputs!$F$178))+Inputs!$F$179*Funding!$F$76/Inputs!$F$180*MAX(0,MIN(Time!BJ28,Inputs!$F$180)-MIN(Time!BJ27,Inputs!$F$180))+Inputs!$F$181*Funding!$F$76/Inputs!$F$182*MAX(0,MIN(Time!BJ28,Inputs!$F$182)-MIN(Time!BJ27,Inputs!$F$182))</f>
        <v>0.876457393195604</v>
      </c>
      <c r="BK10" s="11" t="n">
        <f aca="false">Inputs!$F$177*Funding!$F$76/Inputs!$F$178*MAX(0,MIN(Time!BK28,Inputs!$F$178)-MIN(Time!BK27,Inputs!$F$178))+Inputs!$F$179*Funding!$F$76/Inputs!$F$180*MAX(0,MIN(Time!BK28,Inputs!$F$180)-MIN(Time!BK27,Inputs!$F$180))+Inputs!$F$181*Funding!$F$76/Inputs!$F$182*MAX(0,MIN(Time!BK28,Inputs!$F$182)-MIN(Time!BK27,Inputs!$F$182))</f>
        <v>0.876457393195604</v>
      </c>
      <c r="BL10" s="11" t="n">
        <f aca="false">Inputs!$F$177*Funding!$F$76/Inputs!$F$178*MAX(0,MIN(Time!BL28,Inputs!$F$178)-MIN(Time!BL27,Inputs!$F$178))+Inputs!$F$179*Funding!$F$76/Inputs!$F$180*MAX(0,MIN(Time!BL28,Inputs!$F$180)-MIN(Time!BL27,Inputs!$F$180))+Inputs!$F$181*Funding!$F$76/Inputs!$F$182*MAX(0,MIN(Time!BL28,Inputs!$F$182)-MIN(Time!BL27,Inputs!$F$182))</f>
        <v>0.876457393195604</v>
      </c>
      <c r="BM10" s="11" t="n">
        <f aca="false">Inputs!$F$177*Funding!$F$76/Inputs!$F$178*MAX(0,MIN(Time!BM28,Inputs!$F$178)-MIN(Time!BM27,Inputs!$F$178))+Inputs!$F$179*Funding!$F$76/Inputs!$F$180*MAX(0,MIN(Time!BM28,Inputs!$F$180)-MIN(Time!BM27,Inputs!$F$180))+Inputs!$F$181*Funding!$F$76/Inputs!$F$182*MAX(0,MIN(Time!BM28,Inputs!$F$182)-MIN(Time!BM27,Inputs!$F$182))</f>
        <v>0.876457393195604</v>
      </c>
      <c r="BN10" s="11" t="n">
        <f aca="false">Inputs!$F$177*Funding!$F$76/Inputs!$F$178*MAX(0,MIN(Time!BN28,Inputs!$F$178)-MIN(Time!BN27,Inputs!$F$178))+Inputs!$F$179*Funding!$F$76/Inputs!$F$180*MAX(0,MIN(Time!BN28,Inputs!$F$180)-MIN(Time!BN27,Inputs!$F$180))+Inputs!$F$181*Funding!$F$76/Inputs!$F$182*MAX(0,MIN(Time!BN28,Inputs!$F$182)-MIN(Time!BN27,Inputs!$F$182))</f>
        <v>0.584304928797069</v>
      </c>
    </row>
    <row r="11" customFormat="false" ht="15" hidden="false" customHeight="false" outlineLevel="0" collapsed="false">
      <c r="D11" s="0" t="s">
        <v>547</v>
      </c>
      <c r="E11" s="0" t="s">
        <v>149</v>
      </c>
      <c r="G11" s="11" t="n">
        <f aca="false">SUM(J11:BN11)</f>
        <v>236.643496162813</v>
      </c>
      <c r="J11" s="11" t="n">
        <f aca="false">(Inputs!$F$177*Funding!$F$76/Inputs!$F$178+Inputs!$F$179*Funding!$F$76/Inputs!$F$180)*J7+Inputs!$F$181*Funding!$F$76/Inputs!$F$182*MAX(0,MIN(Time!J28,60)-MIN(Time!J27,60))</f>
        <v>0</v>
      </c>
      <c r="K11" s="11" t="n">
        <f aca="false">(Inputs!$F$177*Funding!$F$76/Inputs!$F$178+Inputs!$F$179*Funding!$F$76/Inputs!$F$180)*K7+Inputs!$F$181*Funding!$F$76/Inputs!$F$182*MAX(0,MIN(Time!K28,60)-MIN(Time!K27,60))</f>
        <v>0</v>
      </c>
      <c r="L11" s="11" t="n">
        <f aca="false">(Inputs!$F$177*Funding!$F$76/Inputs!$F$178+Inputs!$F$179*Funding!$F$76/Inputs!$F$180)*L7+Inputs!$F$181*Funding!$F$76/Inputs!$F$182*MAX(0,MIN(Time!L28,60)-MIN(Time!L27,60))</f>
        <v>0</v>
      </c>
      <c r="M11" s="11" t="n">
        <f aca="false">(Inputs!$F$177*Funding!$F$76/Inputs!$F$178+Inputs!$F$179*Funding!$F$76/Inputs!$F$180)*M7+Inputs!$F$181*Funding!$F$76/Inputs!$F$182*MAX(0,MIN(Time!M28,60)-MIN(Time!M27,60))</f>
        <v>0</v>
      </c>
      <c r="N11" s="11" t="n">
        <f aca="false">(Inputs!$F$177*Funding!$F$76/Inputs!$F$178+Inputs!$F$179*Funding!$F$76/Inputs!$F$180)*N7+Inputs!$F$181*Funding!$F$76/Inputs!$F$182*MAX(0,MIN(Time!N28,60)-MIN(Time!N27,60))</f>
        <v>0</v>
      </c>
      <c r="O11" s="11" t="n">
        <f aca="false">(Inputs!$F$177*Funding!$F$76/Inputs!$F$178+Inputs!$F$179*Funding!$F$76/Inputs!$F$180)*O7+Inputs!$F$181*Funding!$F$76/Inputs!$F$182*MAX(0,MIN(Time!O28,60)-MIN(Time!O27,60))</f>
        <v>0</v>
      </c>
      <c r="P11" s="11" t="n">
        <f aca="false">(Inputs!$F$177*Funding!$F$76/Inputs!$F$178+Inputs!$F$179*Funding!$F$76/Inputs!$F$180)*P7+Inputs!$F$181*Funding!$F$76/Inputs!$F$182*MAX(0,MIN(Time!P28,60)-MIN(Time!P27,60))</f>
        <v>7.88811653876043</v>
      </c>
      <c r="Q11" s="11" t="n">
        <f aca="false">(Inputs!$F$177*Funding!$F$76/Inputs!$F$178+Inputs!$F$179*Funding!$F$76/Inputs!$F$180)*Q7+Inputs!$F$181*Funding!$F$76/Inputs!$F$182*MAX(0,MIN(Time!Q28,60)-MIN(Time!Q27,60))</f>
        <v>23.6643496162813</v>
      </c>
      <c r="R11" s="11" t="n">
        <f aca="false">(Inputs!$F$177*Funding!$F$76/Inputs!$F$178+Inputs!$F$179*Funding!$F$76/Inputs!$F$180)*R7+Inputs!$F$181*Funding!$F$76/Inputs!$F$182*MAX(0,MIN(Time!R28,60)-MIN(Time!R27,60))</f>
        <v>23.6643496162813</v>
      </c>
      <c r="S11" s="11" t="n">
        <f aca="false">(Inputs!$F$177*Funding!$F$76/Inputs!$F$178+Inputs!$F$179*Funding!$F$76/Inputs!$F$180)*S7+Inputs!$F$181*Funding!$F$76/Inputs!$F$182*MAX(0,MIN(Time!S28,60)-MIN(Time!S27,60))</f>
        <v>23.6643496162813</v>
      </c>
      <c r="T11" s="11" t="n">
        <f aca="false">(Inputs!$F$177*Funding!$F$76/Inputs!$F$178+Inputs!$F$179*Funding!$F$76/Inputs!$F$180)*T7+Inputs!$F$181*Funding!$F$76/Inputs!$F$182*MAX(0,MIN(Time!T28,60)-MIN(Time!T27,60))</f>
        <v>23.6643496162813</v>
      </c>
      <c r="U11" s="11" t="n">
        <f aca="false">(Inputs!$F$177*Funding!$F$76/Inputs!$F$178+Inputs!$F$179*Funding!$F$76/Inputs!$F$180)*U7+Inputs!$F$181*Funding!$F$76/Inputs!$F$182*MAX(0,MIN(Time!U28,60)-MIN(Time!U27,60))</f>
        <v>23.6643496162813</v>
      </c>
      <c r="V11" s="11" t="n">
        <f aca="false">(Inputs!$F$177*Funding!$F$76/Inputs!$F$178+Inputs!$F$179*Funding!$F$76/Inputs!$F$180)*V7+Inputs!$F$181*Funding!$F$76/Inputs!$F$182*MAX(0,MIN(Time!V28,60)-MIN(Time!V27,60))</f>
        <v>23.6643496162813</v>
      </c>
      <c r="W11" s="11" t="n">
        <f aca="false">(Inputs!$F$177*Funding!$F$76/Inputs!$F$178+Inputs!$F$179*Funding!$F$76/Inputs!$F$180)*W7+Inputs!$F$181*Funding!$F$76/Inputs!$F$182*MAX(0,MIN(Time!W28,60)-MIN(Time!W27,60))</f>
        <v>23.6643496162813</v>
      </c>
      <c r="X11" s="11" t="n">
        <f aca="false">(Inputs!$F$177*Funding!$F$76/Inputs!$F$178+Inputs!$F$179*Funding!$F$76/Inputs!$F$180)*X7+Inputs!$F$181*Funding!$F$76/Inputs!$F$182*MAX(0,MIN(Time!X28,60)-MIN(Time!X27,60))</f>
        <v>23.6643496162813</v>
      </c>
      <c r="Y11" s="11" t="n">
        <f aca="false">(Inputs!$F$177*Funding!$F$76/Inputs!$F$178+Inputs!$F$179*Funding!$F$76/Inputs!$F$180)*Y7+Inputs!$F$181*Funding!$F$76/Inputs!$F$182*MAX(0,MIN(Time!Y28,60)-MIN(Time!Y27,60))</f>
        <v>23.6643496162813</v>
      </c>
      <c r="Z11" s="11" t="n">
        <f aca="false">(Inputs!$F$177*Funding!$F$76/Inputs!$F$178+Inputs!$F$179*Funding!$F$76/Inputs!$F$180)*Z7+Inputs!$F$181*Funding!$F$76/Inputs!$F$182*MAX(0,MIN(Time!Z28,60)-MIN(Time!Z27,60))</f>
        <v>15.7762330775209</v>
      </c>
      <c r="AA11" s="11" t="n">
        <f aca="false">(Inputs!$F$177*Funding!$F$76/Inputs!$F$178+Inputs!$F$179*Funding!$F$76/Inputs!$F$180)*AA7+Inputs!$F$181*Funding!$F$76/Inputs!$F$182*MAX(0,MIN(Time!AA28,60)-MIN(Time!AA27,60))</f>
        <v>0</v>
      </c>
      <c r="AB11" s="11" t="n">
        <f aca="false">(Inputs!$F$177*Funding!$F$76/Inputs!$F$178+Inputs!$F$179*Funding!$F$76/Inputs!$F$180)*AB7+Inputs!$F$181*Funding!$F$76/Inputs!$F$182*MAX(0,MIN(Time!AB28,60)-MIN(Time!AB27,60))</f>
        <v>0</v>
      </c>
      <c r="AC11" s="11" t="n">
        <f aca="false">(Inputs!$F$177*Funding!$F$76/Inputs!$F$178+Inputs!$F$179*Funding!$F$76/Inputs!$F$180)*AC7+Inputs!$F$181*Funding!$F$76/Inputs!$F$182*MAX(0,MIN(Time!AC28,60)-MIN(Time!AC27,60))</f>
        <v>0</v>
      </c>
      <c r="AD11" s="11" t="n">
        <f aca="false">(Inputs!$F$177*Funding!$F$76/Inputs!$F$178+Inputs!$F$179*Funding!$F$76/Inputs!$F$180)*AD7+Inputs!$F$181*Funding!$F$76/Inputs!$F$182*MAX(0,MIN(Time!AD28,60)-MIN(Time!AD27,60))</f>
        <v>0</v>
      </c>
      <c r="AE11" s="11" t="n">
        <f aca="false">(Inputs!$F$177*Funding!$F$76/Inputs!$F$178+Inputs!$F$179*Funding!$F$76/Inputs!$F$180)*AE7+Inputs!$F$181*Funding!$F$76/Inputs!$F$182*MAX(0,MIN(Time!AE28,60)-MIN(Time!AE27,60))</f>
        <v>0</v>
      </c>
      <c r="AF11" s="11" t="n">
        <f aca="false">(Inputs!$F$177*Funding!$F$76/Inputs!$F$178+Inputs!$F$179*Funding!$F$76/Inputs!$F$180)*AF7+Inputs!$F$181*Funding!$F$76/Inputs!$F$182*MAX(0,MIN(Time!AF28,60)-MIN(Time!AF27,60))</f>
        <v>0</v>
      </c>
      <c r="AG11" s="11" t="n">
        <f aca="false">(Inputs!$F$177*Funding!$F$76/Inputs!$F$178+Inputs!$F$179*Funding!$F$76/Inputs!$F$180)*AG7+Inputs!$F$181*Funding!$F$76/Inputs!$F$182*MAX(0,MIN(Time!AG28,60)-MIN(Time!AG27,60))</f>
        <v>0</v>
      </c>
      <c r="AH11" s="11" t="n">
        <f aca="false">(Inputs!$F$177*Funding!$F$76/Inputs!$F$178+Inputs!$F$179*Funding!$F$76/Inputs!$F$180)*AH7+Inputs!$F$181*Funding!$F$76/Inputs!$F$182*MAX(0,MIN(Time!AH28,60)-MIN(Time!AH27,60))</f>
        <v>0</v>
      </c>
      <c r="AI11" s="11" t="n">
        <f aca="false">(Inputs!$F$177*Funding!$F$76/Inputs!$F$178+Inputs!$F$179*Funding!$F$76/Inputs!$F$180)*AI7+Inputs!$F$181*Funding!$F$76/Inputs!$F$182*MAX(0,MIN(Time!AI28,60)-MIN(Time!AI27,60))</f>
        <v>0</v>
      </c>
      <c r="AJ11" s="11" t="n">
        <f aca="false">(Inputs!$F$177*Funding!$F$76/Inputs!$F$178+Inputs!$F$179*Funding!$F$76/Inputs!$F$180)*AJ7+Inputs!$F$181*Funding!$F$76/Inputs!$F$182*MAX(0,MIN(Time!AJ28,60)-MIN(Time!AJ27,60))</f>
        <v>0</v>
      </c>
      <c r="AK11" s="11" t="n">
        <f aca="false">(Inputs!$F$177*Funding!$F$76/Inputs!$F$178+Inputs!$F$179*Funding!$F$76/Inputs!$F$180)*AK7+Inputs!$F$181*Funding!$F$76/Inputs!$F$182*MAX(0,MIN(Time!AK28,60)-MIN(Time!AK27,60))</f>
        <v>0</v>
      </c>
      <c r="AL11" s="11" t="n">
        <f aca="false">(Inputs!$F$177*Funding!$F$76/Inputs!$F$178+Inputs!$F$179*Funding!$F$76/Inputs!$F$180)*AL7+Inputs!$F$181*Funding!$F$76/Inputs!$F$182*MAX(0,MIN(Time!AL28,60)-MIN(Time!AL27,60))</f>
        <v>0</v>
      </c>
      <c r="AM11" s="11" t="n">
        <f aca="false">(Inputs!$F$177*Funding!$F$76/Inputs!$F$178+Inputs!$F$179*Funding!$F$76/Inputs!$F$180)*AM7+Inputs!$F$181*Funding!$F$76/Inputs!$F$182*MAX(0,MIN(Time!AM28,60)-MIN(Time!AM27,60))</f>
        <v>0</v>
      </c>
      <c r="AN11" s="11" t="n">
        <f aca="false">(Inputs!$F$177*Funding!$F$76/Inputs!$F$178+Inputs!$F$179*Funding!$F$76/Inputs!$F$180)*AN7+Inputs!$F$181*Funding!$F$76/Inputs!$F$182*MAX(0,MIN(Time!AN28,60)-MIN(Time!AN27,60))</f>
        <v>0</v>
      </c>
      <c r="AO11" s="11" t="n">
        <f aca="false">(Inputs!$F$177*Funding!$F$76/Inputs!$F$178+Inputs!$F$179*Funding!$F$76/Inputs!$F$180)*AO7+Inputs!$F$181*Funding!$F$76/Inputs!$F$182*MAX(0,MIN(Time!AO28,60)-MIN(Time!AO27,60))</f>
        <v>0</v>
      </c>
      <c r="AP11" s="11" t="n">
        <f aca="false">(Inputs!$F$177*Funding!$F$76/Inputs!$F$178+Inputs!$F$179*Funding!$F$76/Inputs!$F$180)*AP7+Inputs!$F$181*Funding!$F$76/Inputs!$F$182*MAX(0,MIN(Time!AP28,60)-MIN(Time!AP27,60))</f>
        <v>0</v>
      </c>
      <c r="AQ11" s="11" t="n">
        <f aca="false">(Inputs!$F$177*Funding!$F$76/Inputs!$F$178+Inputs!$F$179*Funding!$F$76/Inputs!$F$180)*AQ7+Inputs!$F$181*Funding!$F$76/Inputs!$F$182*MAX(0,MIN(Time!AQ28,60)-MIN(Time!AQ27,60))</f>
        <v>0</v>
      </c>
      <c r="AR11" s="11" t="n">
        <f aca="false">(Inputs!$F$177*Funding!$F$76/Inputs!$F$178+Inputs!$F$179*Funding!$F$76/Inputs!$F$180)*AR7+Inputs!$F$181*Funding!$F$76/Inputs!$F$182*MAX(0,MIN(Time!AR28,60)-MIN(Time!AR27,60))</f>
        <v>0</v>
      </c>
      <c r="AS11" s="11" t="n">
        <f aca="false">(Inputs!$F$177*Funding!$F$76/Inputs!$F$178+Inputs!$F$179*Funding!$F$76/Inputs!$F$180)*AS7+Inputs!$F$181*Funding!$F$76/Inputs!$F$182*MAX(0,MIN(Time!AS28,60)-MIN(Time!AS27,60))</f>
        <v>0</v>
      </c>
      <c r="AT11" s="11" t="n">
        <f aca="false">(Inputs!$F$177*Funding!$F$76/Inputs!$F$178+Inputs!$F$179*Funding!$F$76/Inputs!$F$180)*AT7+Inputs!$F$181*Funding!$F$76/Inputs!$F$182*MAX(0,MIN(Time!AT28,60)-MIN(Time!AT27,60))</f>
        <v>0</v>
      </c>
      <c r="AU11" s="11" t="n">
        <f aca="false">(Inputs!$F$177*Funding!$F$76/Inputs!$F$178+Inputs!$F$179*Funding!$F$76/Inputs!$F$180)*AU7+Inputs!$F$181*Funding!$F$76/Inputs!$F$182*MAX(0,MIN(Time!AU28,60)-MIN(Time!AU27,60))</f>
        <v>0</v>
      </c>
      <c r="AV11" s="11" t="n">
        <f aca="false">(Inputs!$F$177*Funding!$F$76/Inputs!$F$178+Inputs!$F$179*Funding!$F$76/Inputs!$F$180)*AV7+Inputs!$F$181*Funding!$F$76/Inputs!$F$182*MAX(0,MIN(Time!AV28,60)-MIN(Time!AV27,60))</f>
        <v>0</v>
      </c>
      <c r="AW11" s="11" t="n">
        <f aca="false">(Inputs!$F$177*Funding!$F$76/Inputs!$F$178+Inputs!$F$179*Funding!$F$76/Inputs!$F$180)*AW7+Inputs!$F$181*Funding!$F$76/Inputs!$F$182*MAX(0,MIN(Time!AW28,60)-MIN(Time!AW27,60))</f>
        <v>0</v>
      </c>
      <c r="AX11" s="11" t="n">
        <f aca="false">(Inputs!$F$177*Funding!$F$76/Inputs!$F$178+Inputs!$F$179*Funding!$F$76/Inputs!$F$180)*AX7+Inputs!$F$181*Funding!$F$76/Inputs!$F$182*MAX(0,MIN(Time!AX28,60)-MIN(Time!AX27,60))</f>
        <v>0</v>
      </c>
      <c r="AY11" s="11" t="n">
        <f aca="false">(Inputs!$F$177*Funding!$F$76/Inputs!$F$178+Inputs!$F$179*Funding!$F$76/Inputs!$F$180)*AY7+Inputs!$F$181*Funding!$F$76/Inputs!$F$182*MAX(0,MIN(Time!AY28,60)-MIN(Time!AY27,60))</f>
        <v>0</v>
      </c>
      <c r="AZ11" s="11" t="n">
        <f aca="false">(Inputs!$F$177*Funding!$F$76/Inputs!$F$178+Inputs!$F$179*Funding!$F$76/Inputs!$F$180)*AZ7+Inputs!$F$181*Funding!$F$76/Inputs!$F$182*MAX(0,MIN(Time!AZ28,60)-MIN(Time!AZ27,60))</f>
        <v>0</v>
      </c>
      <c r="BA11" s="11" t="n">
        <f aca="false">(Inputs!$F$177*Funding!$F$76/Inputs!$F$178+Inputs!$F$179*Funding!$F$76/Inputs!$F$180)*BA7+Inputs!$F$181*Funding!$F$76/Inputs!$F$182*MAX(0,MIN(Time!BA28,60)-MIN(Time!BA27,60))</f>
        <v>0</v>
      </c>
      <c r="BB11" s="11" t="n">
        <f aca="false">(Inputs!$F$177*Funding!$F$76/Inputs!$F$178+Inputs!$F$179*Funding!$F$76/Inputs!$F$180)*BB7+Inputs!$F$181*Funding!$F$76/Inputs!$F$182*MAX(0,MIN(Time!BB28,60)-MIN(Time!BB27,60))</f>
        <v>0</v>
      </c>
      <c r="BC11" s="11" t="n">
        <f aca="false">(Inputs!$F$177*Funding!$F$76/Inputs!$F$178+Inputs!$F$179*Funding!$F$76/Inputs!$F$180)*BC7+Inputs!$F$181*Funding!$F$76/Inputs!$F$182*MAX(0,MIN(Time!BC28,60)-MIN(Time!BC27,60))</f>
        <v>0</v>
      </c>
      <c r="BD11" s="11" t="n">
        <f aca="false">(Inputs!$F$177*Funding!$F$76/Inputs!$F$178+Inputs!$F$179*Funding!$F$76/Inputs!$F$180)*BD7+Inputs!$F$181*Funding!$F$76/Inputs!$F$182*MAX(0,MIN(Time!BD28,60)-MIN(Time!BD27,60))</f>
        <v>0</v>
      </c>
      <c r="BE11" s="11" t="n">
        <f aca="false">(Inputs!$F$177*Funding!$F$76/Inputs!$F$178+Inputs!$F$179*Funding!$F$76/Inputs!$F$180)*BE7+Inputs!$F$181*Funding!$F$76/Inputs!$F$182*MAX(0,MIN(Time!BE28,60)-MIN(Time!BE27,60))</f>
        <v>0</v>
      </c>
      <c r="BF11" s="11" t="n">
        <f aca="false">(Inputs!$F$177*Funding!$F$76/Inputs!$F$178+Inputs!$F$179*Funding!$F$76/Inputs!$F$180)*BF7+Inputs!$F$181*Funding!$F$76/Inputs!$F$182*MAX(0,MIN(Time!BF28,60)-MIN(Time!BF27,60))</f>
        <v>0</v>
      </c>
      <c r="BG11" s="11" t="n">
        <f aca="false">(Inputs!$F$177*Funding!$F$76/Inputs!$F$178+Inputs!$F$179*Funding!$F$76/Inputs!$F$180)*BG7+Inputs!$F$181*Funding!$F$76/Inputs!$F$182*MAX(0,MIN(Time!BG28,60)-MIN(Time!BG27,60))</f>
        <v>0</v>
      </c>
      <c r="BH11" s="11" t="n">
        <f aca="false">(Inputs!$F$177*Funding!$F$76/Inputs!$F$178+Inputs!$F$179*Funding!$F$76/Inputs!$F$180)*BH7+Inputs!$F$181*Funding!$F$76/Inputs!$F$182*MAX(0,MIN(Time!BH28,60)-MIN(Time!BH27,60))</f>
        <v>0</v>
      </c>
      <c r="BI11" s="11" t="n">
        <f aca="false">(Inputs!$F$177*Funding!$F$76/Inputs!$F$178+Inputs!$F$179*Funding!$F$76/Inputs!$F$180)*BI7+Inputs!$F$181*Funding!$F$76/Inputs!$F$182*MAX(0,MIN(Time!BI28,60)-MIN(Time!BI27,60))</f>
        <v>0</v>
      </c>
      <c r="BJ11" s="11" t="n">
        <f aca="false">(Inputs!$F$177*Funding!$F$76/Inputs!$F$178+Inputs!$F$179*Funding!$F$76/Inputs!$F$180)*BJ7+Inputs!$F$181*Funding!$F$76/Inputs!$F$182*MAX(0,MIN(Time!BJ28,60)-MIN(Time!BJ27,60))</f>
        <v>0</v>
      </c>
      <c r="BK11" s="11" t="n">
        <f aca="false">(Inputs!$F$177*Funding!$F$76/Inputs!$F$178+Inputs!$F$179*Funding!$F$76/Inputs!$F$180)*BK7+Inputs!$F$181*Funding!$F$76/Inputs!$F$182*MAX(0,MIN(Time!BK28,60)-MIN(Time!BK27,60))</f>
        <v>0</v>
      </c>
      <c r="BL11" s="11" t="n">
        <f aca="false">(Inputs!$F$177*Funding!$F$76/Inputs!$F$178+Inputs!$F$179*Funding!$F$76/Inputs!$F$180)*BL7+Inputs!$F$181*Funding!$F$76/Inputs!$F$182*MAX(0,MIN(Time!BL28,60)-MIN(Time!BL27,60))</f>
        <v>0</v>
      </c>
      <c r="BM11" s="11" t="n">
        <f aca="false">(Inputs!$F$177*Funding!$F$76/Inputs!$F$178+Inputs!$F$179*Funding!$F$76/Inputs!$F$180)*BM7+Inputs!$F$181*Funding!$F$76/Inputs!$F$182*MAX(0,MIN(Time!BM28,60)-MIN(Time!BM27,60))</f>
        <v>0</v>
      </c>
      <c r="BN11" s="11" t="n">
        <f aca="false">(Inputs!$F$177*Funding!$F$76/Inputs!$F$178+Inputs!$F$179*Funding!$F$76/Inputs!$F$180)*BN7+Inputs!$F$181*Funding!$F$76/Inputs!$F$182*MAX(0,MIN(Time!BN28,60)-MIN(Time!BN27,60))</f>
        <v>0</v>
      </c>
    </row>
    <row r="12" customFormat="false" ht="15" hidden="false" customHeight="false" outlineLevel="0" collapsed="false">
      <c r="D12" s="0" t="s">
        <v>548</v>
      </c>
      <c r="E12" s="0" t="s">
        <v>149</v>
      </c>
      <c r="G12" s="11" t="n">
        <f aca="false">SUM(J12:BN12)</f>
        <v>639.813897032791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0</v>
      </c>
      <c r="Z12" s="11" t="n">
        <f aca="false">Z10-Z11</f>
        <v>7.01165914556484</v>
      </c>
      <c r="AA12" s="11" t="n">
        <f aca="false">AA10-AA11</f>
        <v>21.0349774366945</v>
      </c>
      <c r="AB12" s="11" t="n">
        <f aca="false">AB10-AB11</f>
        <v>21.0349774366945</v>
      </c>
      <c r="AC12" s="11" t="n">
        <f aca="false">AC10-AC11</f>
        <v>21.0349774366945</v>
      </c>
      <c r="AD12" s="11" t="n">
        <f aca="false">AD10-AD11</f>
        <v>21.0349774366945</v>
      </c>
      <c r="AE12" s="11" t="n">
        <f aca="false">AE10-AE11</f>
        <v>21.0349774366945</v>
      </c>
      <c r="AF12" s="11" t="n">
        <f aca="false">AF10-AF11</f>
        <v>21.0349774366945</v>
      </c>
      <c r="AG12" s="11" t="n">
        <f aca="false">AG10-AG11</f>
        <v>21.0349774366945</v>
      </c>
      <c r="AH12" s="11" t="n">
        <f aca="false">AH10-AH11</f>
        <v>21.0349774366945</v>
      </c>
      <c r="AI12" s="11" t="n">
        <f aca="false">AI10-AI11</f>
        <v>21.0349774366945</v>
      </c>
      <c r="AJ12" s="11" t="n">
        <f aca="false">AJ10-AJ11</f>
        <v>21.0349774366945</v>
      </c>
      <c r="AK12" s="11" t="n">
        <f aca="false">AK10-AK11</f>
        <v>21.0349774366945</v>
      </c>
      <c r="AL12" s="11" t="n">
        <f aca="false">AL10-AL11</f>
        <v>21.0349774366945</v>
      </c>
      <c r="AM12" s="11" t="n">
        <f aca="false">AM10-AM11</f>
        <v>21.0349774366945</v>
      </c>
      <c r="AN12" s="11" t="n">
        <f aca="false">AN10-AN11</f>
        <v>21.0349774366945</v>
      </c>
      <c r="AO12" s="11" t="n">
        <f aca="false">AO10-AO11</f>
        <v>21.0349774366945</v>
      </c>
      <c r="AP12" s="11" t="n">
        <f aca="false">AP10-AP11</f>
        <v>21.0349774366945</v>
      </c>
      <c r="AQ12" s="11" t="n">
        <f aca="false">AQ10-AQ11</f>
        <v>21.0349774366945</v>
      </c>
      <c r="AR12" s="11" t="n">
        <f aca="false">AR10-AR11</f>
        <v>21.0349774366945</v>
      </c>
      <c r="AS12" s="11" t="n">
        <f aca="false">AS10-AS11</f>
        <v>21.0349774366945</v>
      </c>
      <c r="AT12" s="11" t="n">
        <f aca="false">AT10-AT11</f>
        <v>21.0349774366945</v>
      </c>
      <c r="AU12" s="11" t="n">
        <f aca="false">AU10-AU11</f>
        <v>21.0349774366945</v>
      </c>
      <c r="AV12" s="11" t="n">
        <f aca="false">AV10-AV11</f>
        <v>21.0349774366945</v>
      </c>
      <c r="AW12" s="11" t="n">
        <f aca="false">AW10-AW11</f>
        <v>21.0349774366945</v>
      </c>
      <c r="AX12" s="11" t="n">
        <f aca="false">AX10-AX11</f>
        <v>21.0349774366945</v>
      </c>
      <c r="AY12" s="11" t="n">
        <f aca="false">AY10-AY11</f>
        <v>21.0349774366945</v>
      </c>
      <c r="AZ12" s="11" t="n">
        <f aca="false">AZ10-AZ11</f>
        <v>21.0349774366945</v>
      </c>
      <c r="BA12" s="11" t="n">
        <f aca="false">BA10-BA11</f>
        <v>21.0349774366945</v>
      </c>
      <c r="BB12" s="11" t="n">
        <f aca="false">BB10-BB11</f>
        <v>21.0349774366945</v>
      </c>
      <c r="BC12" s="11" t="n">
        <f aca="false">BC10-BC11</f>
        <v>21.0349774366945</v>
      </c>
      <c r="BD12" s="11" t="n">
        <f aca="false">BD10-BD11</f>
        <v>14.3154707555282</v>
      </c>
      <c r="BE12" s="11" t="n">
        <f aca="false">BE10-BE11</f>
        <v>0.876457393195604</v>
      </c>
      <c r="BF12" s="11" t="n">
        <f aca="false">BF10-BF11</f>
        <v>0.876457393195604</v>
      </c>
      <c r="BG12" s="11" t="n">
        <f aca="false">BG10-BG11</f>
        <v>0.876457393195604</v>
      </c>
      <c r="BH12" s="11" t="n">
        <f aca="false">BH10-BH11</f>
        <v>0.876457393195604</v>
      </c>
      <c r="BI12" s="11" t="n">
        <f aca="false">BI10-BI11</f>
        <v>0.876457393195604</v>
      </c>
      <c r="BJ12" s="11" t="n">
        <f aca="false">BJ10-BJ11</f>
        <v>0.876457393195604</v>
      </c>
      <c r="BK12" s="11" t="n">
        <f aca="false">BK10-BK11</f>
        <v>0.876457393195604</v>
      </c>
      <c r="BL12" s="11" t="n">
        <f aca="false">BL10-BL11</f>
        <v>0.876457393195604</v>
      </c>
      <c r="BM12" s="11" t="n">
        <f aca="false">BM10-BM11</f>
        <v>0.876457393195604</v>
      </c>
      <c r="BN12" s="11" t="n">
        <f aca="false">BN10-BN11</f>
        <v>0.584304928797069</v>
      </c>
    </row>
    <row r="13" customFormat="false" ht="15" hidden="false" customHeight="false" outlineLevel="0" collapsed="false">
      <c r="D13" s="0" t="s">
        <v>549</v>
      </c>
      <c r="E13" s="0" t="s">
        <v>149</v>
      </c>
      <c r="G13" s="11" t="n">
        <f aca="false">SUM(J13:BN13)</f>
        <v>285.122376559517</v>
      </c>
      <c r="J13" s="11" t="n">
        <f aca="false">IF(Time!J17&gt;=Time!$F$11,Waterfall!J33*Inputs!$F$104/100*Time!J26/365,0)</f>
        <v>0</v>
      </c>
      <c r="K13" s="11" t="n">
        <f aca="false">IF(Time!K17&gt;=Time!$F$11,Waterfall!K33*Inputs!$F$104/100*Time!K26/365,0)</f>
        <v>0</v>
      </c>
      <c r="L13" s="11" t="n">
        <f aca="false">IF(Time!L17&gt;=Time!$F$11,Waterfall!L33*Inputs!$F$104/100*Time!L26/365,0)</f>
        <v>0</v>
      </c>
      <c r="M13" s="11" t="n">
        <f aca="false">IF(Time!M17&gt;=Time!$F$11,Waterfall!M33*Inputs!$F$104/100*Time!M26/365,0)</f>
        <v>0</v>
      </c>
      <c r="N13" s="11" t="n">
        <f aca="false">IF(Time!N17&gt;=Time!$F$11,Waterfall!N33*Inputs!$F$104/100*Time!N26/365,0)</f>
        <v>0</v>
      </c>
      <c r="O13" s="11" t="n">
        <f aca="false">IF(Time!O17&gt;=Time!$F$11,Waterfall!O33*Inputs!$F$104/100*Time!O26/365,0)</f>
        <v>0</v>
      </c>
      <c r="P13" s="11" t="n">
        <f aca="false">IF(Time!P17&gt;=Time!$F$11,Waterfall!P33*Inputs!$F$104/100*Time!P26/365,0)</f>
        <v>3.45438227917857</v>
      </c>
      <c r="Q13" s="11" t="n">
        <f aca="false">IF(Time!Q17&gt;=Time!$F$11,Waterfall!Q33*Inputs!$F$104/100*Time!Q26/365,0)</f>
        <v>10.4126229317157</v>
      </c>
      <c r="R13" s="11" t="n">
        <f aca="false">IF(Time!R17&gt;=Time!$F$11,Waterfall!R33*Inputs!$F$104/100*Time!R26/365,0)</f>
        <v>10.5120066389733</v>
      </c>
      <c r="S13" s="11" t="n">
        <f aca="false">IF(Time!S17&gt;=Time!$F$11,Waterfall!S33*Inputs!$F$104/100*Time!S26/365,0)</f>
        <v>10.3185151938829</v>
      </c>
      <c r="T13" s="11" t="n">
        <f aca="false">IF(Time!T17&gt;=Time!$F$11,Waterfall!T33*Inputs!$F$104/100*Time!T26/365,0)</f>
        <v>10.4955149653593</v>
      </c>
      <c r="U13" s="11" t="n">
        <f aca="false">IF(Time!U17&gt;=Time!$F$11,Waterfall!U33*Inputs!$F$104/100*Time!U26/365,0)</f>
        <v>10.3589112675818</v>
      </c>
      <c r="V13" s="11" t="n">
        <f aca="false">IF(Time!V17&gt;=Time!$F$11,Waterfall!V33*Inputs!$F$104/100*Time!V26/365,0)</f>
        <v>10.4959850140566</v>
      </c>
      <c r="W13" s="11" t="n">
        <f aca="false">IF(Time!W17&gt;=Time!$F$11,Waterfall!W33*Inputs!$F$104/100*Time!W26/365,0)</f>
        <v>10.3170983230733</v>
      </c>
      <c r="X13" s="11" t="n">
        <f aca="false">IF(Time!X17&gt;=Time!$F$11,Waterfall!X33*Inputs!$F$104/100*Time!X26/365,0)</f>
        <v>10.4048454512177</v>
      </c>
      <c r="Y13" s="11" t="n">
        <f aca="false">IF(Time!Y17&gt;=Time!$F$11,Waterfall!Y33*Inputs!$F$104/100*Time!Y26/365,0)</f>
        <v>10.1133956065035</v>
      </c>
      <c r="Z13" s="11" t="n">
        <f aca="false">IF(Time!Z17&gt;=Time!$F$11,Waterfall!Z33*Inputs!$F$104/100*Time!Z26/365,0)</f>
        <v>10.2780409527403</v>
      </c>
      <c r="AA13" s="11" t="n">
        <f aca="false">IF(Time!AA17&gt;=Time!$F$11,Waterfall!AA33*Inputs!$F$104/100*Time!AA26/365,0)</f>
        <v>10.0759914734989</v>
      </c>
      <c r="AB13" s="11" t="n">
        <f aca="false">IF(Time!AB17&gt;=Time!$F$11,Waterfall!AB33*Inputs!$F$104/100*Time!AB26/365,0)</f>
        <v>10.4870609573484</v>
      </c>
      <c r="AC13" s="11" t="n">
        <f aca="false">IF(Time!AC17&gt;=Time!$F$11,Waterfall!AC33*Inputs!$F$104/100*Time!AC26/365,0)</f>
        <v>10.5913492139629</v>
      </c>
      <c r="AD13" s="11" t="n">
        <f aca="false">IF(Time!AD17&gt;=Time!$F$11,Waterfall!AD33*Inputs!$F$104/100*Time!AD26/365,0)</f>
        <v>10.9585504855809</v>
      </c>
      <c r="AE13" s="11" t="n">
        <f aca="false">IF(Time!AE17&gt;=Time!$F$11,Waterfall!AE33*Inputs!$F$104/100*Time!AE26/365,0)</f>
        <v>11.0175540929296</v>
      </c>
      <c r="AF13" s="11" t="n">
        <f aca="false">IF(Time!AF17&gt;=Time!$F$11,Waterfall!AF33*Inputs!$F$104/100*Time!AF26/365,0)</f>
        <v>11.3989995120288</v>
      </c>
      <c r="AG13" s="11" t="n">
        <f aca="false">IF(Time!AG17&gt;=Time!$F$11,Waterfall!AG33*Inputs!$F$104/100*Time!AG26/365,0)</f>
        <v>11.3696360353827</v>
      </c>
      <c r="AH13" s="11" t="n">
        <f aca="false">IF(Time!AH17&gt;=Time!$F$11,Waterfall!AH33*Inputs!$F$104/100*Time!AH26/365,0)</f>
        <v>11.7128883627642</v>
      </c>
      <c r="AI13" s="11" t="n">
        <f aca="false">IF(Time!AI17&gt;=Time!$F$11,Waterfall!AI33*Inputs!$F$104/100*Time!AI26/365,0)</f>
        <v>11.6344213378817</v>
      </c>
      <c r="AJ13" s="11" t="n">
        <f aca="false">IF(Time!AJ17&gt;=Time!$F$11,Waterfall!AJ33*Inputs!$F$104/100*Time!AJ26/365,0)</f>
        <v>11.9068784121604</v>
      </c>
      <c r="AK13" s="11" t="n">
        <f aca="false">IF(Time!AK17&gt;=Time!$F$11,Waterfall!AK33*Inputs!$F$104/100*Time!AK26/365,0)</f>
        <v>11.7930830217101</v>
      </c>
      <c r="AL13" s="11" t="n">
        <f aca="false">IF(Time!AL17&gt;=Time!$F$11,Waterfall!AL33*Inputs!$F$104/100*Time!AL26/365,0)</f>
        <v>11.852662553665</v>
      </c>
      <c r="AM13" s="11" t="n">
        <f aca="false">IF(Time!AM17&gt;=Time!$F$11,Waterfall!AM33*Inputs!$F$104/100*Time!AM26/365,0)</f>
        <v>10.7306205867096</v>
      </c>
      <c r="AN13" s="11" t="n">
        <f aca="false">IF(Time!AN17&gt;=Time!$F$11,Waterfall!AN33*Inputs!$F$104/100*Time!AN26/365,0)</f>
        <v>9.86061924661185</v>
      </c>
      <c r="AO13" s="11" t="n">
        <f aca="false">IF(Time!AO17&gt;=Time!$F$11,Waterfall!AO33*Inputs!$F$104/100*Time!AO26/365,0)</f>
        <v>8.58919722859565</v>
      </c>
      <c r="AP13" s="11" t="n">
        <f aca="false">IF(Time!AP17&gt;=Time!$F$11,Waterfall!AP33*Inputs!$F$104/100*Time!AP26/365,0)</f>
        <v>6.71678574226098</v>
      </c>
      <c r="AQ13" s="11" t="n">
        <f aca="false">IF(Time!AQ17&gt;=Time!$F$11,Waterfall!AQ33*Inputs!$F$104/100*Time!AQ26/365,0)</f>
        <v>4.50514789694132</v>
      </c>
      <c r="AR13" s="11" t="n">
        <f aca="false">IF(Time!AR17&gt;=Time!$F$11,Waterfall!AR33*Inputs!$F$104/100*Time!AR26/365,0)</f>
        <v>2.35384053952823</v>
      </c>
      <c r="AS13" s="11" t="n">
        <f aca="false">IF(Time!AS17&gt;=Time!$F$11,Waterfall!AS33*Inputs!$F$104/100*Time!AS26/365,0)</f>
        <v>0.405771235672666</v>
      </c>
      <c r="AT13" s="11" t="n">
        <f aca="false">IF(Time!AT17&gt;=Time!$F$11,Waterfall!AT33*Inputs!$F$104/100*Time!AT26/365,0)</f>
        <v>0</v>
      </c>
      <c r="AU13" s="11" t="n">
        <f aca="false">IF(Time!AU17&gt;=Time!$F$11,Waterfall!AU33*Inputs!$F$104/100*Time!AU26/365,0)</f>
        <v>0</v>
      </c>
      <c r="AV13" s="11" t="n">
        <f aca="false">IF(Time!AV17&gt;=Time!$F$11,Waterfall!AV33*Inputs!$F$104/100*Time!AV26/365,0)</f>
        <v>0</v>
      </c>
      <c r="AW13" s="11" t="n">
        <f aca="false">IF(Time!AW17&gt;=Time!$F$11,Waterfall!AW33*Inputs!$F$104/100*Time!AW26/365,0)</f>
        <v>0</v>
      </c>
      <c r="AX13" s="11" t="n">
        <f aca="false">IF(Time!AX17&gt;=Time!$F$11,Waterfall!AX33*Inputs!$F$104/100*Time!AX26/365,0)</f>
        <v>0</v>
      </c>
      <c r="AY13" s="11" t="n">
        <f aca="false">IF(Time!AY17&gt;=Time!$F$11,Waterfall!AY33*Inputs!$F$104/100*Time!AY26/365,0)</f>
        <v>0</v>
      </c>
      <c r="AZ13" s="11" t="n">
        <f aca="false">IF(Time!AZ17&gt;=Time!$F$11,Waterfall!AZ33*Inputs!$F$104/100*Time!AZ26/365,0)</f>
        <v>0</v>
      </c>
      <c r="BA13" s="11" t="n">
        <f aca="false">IF(Time!BA17&gt;=Time!$F$11,Waterfall!BA33*Inputs!$F$104/100*Time!BA26/365,0)</f>
        <v>0</v>
      </c>
      <c r="BB13" s="11" t="n">
        <f aca="false">IF(Time!BB17&gt;=Time!$F$11,Waterfall!BB33*Inputs!$F$104/100*Time!BB26/365,0)</f>
        <v>0</v>
      </c>
      <c r="BC13" s="11" t="n">
        <f aca="false">IF(Time!BC17&gt;=Time!$F$11,Waterfall!BC33*Inputs!$F$104/100*Time!BC26/365,0)</f>
        <v>0</v>
      </c>
      <c r="BD13" s="11" t="n">
        <f aca="false">IF(Time!BD17&gt;=Time!$F$11,Waterfall!BD33*Inputs!$F$104/100*Time!BD26/365,0)</f>
        <v>0</v>
      </c>
      <c r="BE13" s="11" t="n">
        <f aca="false">IF(Time!BE17&gt;=Time!$F$11,Waterfall!BE33*Inputs!$F$104/100*Time!BE26/365,0)</f>
        <v>0</v>
      </c>
      <c r="BF13" s="11" t="n">
        <f aca="false">IF(Time!BF17&gt;=Time!$F$11,Waterfall!BF33*Inputs!$F$104/100*Time!BF26/365,0)</f>
        <v>0</v>
      </c>
      <c r="BG13" s="11" t="n">
        <f aca="false">IF(Time!BG17&gt;=Time!$F$11,Waterfall!BG33*Inputs!$F$104/100*Time!BG26/365,0)</f>
        <v>0</v>
      </c>
      <c r="BH13" s="11" t="n">
        <f aca="false">IF(Time!BH17&gt;=Time!$F$11,Waterfall!BH33*Inputs!$F$104/100*Time!BH26/365,0)</f>
        <v>0</v>
      </c>
      <c r="BI13" s="11" t="n">
        <f aca="false">IF(Time!BI17&gt;=Time!$F$11,Waterfall!BI33*Inputs!$F$104/100*Time!BI26/365,0)</f>
        <v>0</v>
      </c>
      <c r="BJ13" s="11" t="n">
        <f aca="false">IF(Time!BJ17&gt;=Time!$F$11,Waterfall!BJ33*Inputs!$F$104/100*Time!BJ26/365,0)</f>
        <v>0</v>
      </c>
      <c r="BK13" s="11" t="n">
        <f aca="false">IF(Time!BK17&gt;=Time!$F$11,Waterfall!BK33*Inputs!$F$104/100*Time!BK26/365,0)</f>
        <v>0</v>
      </c>
      <c r="BL13" s="11" t="n">
        <f aca="false">IF(Time!BL17&gt;=Time!$F$11,Waterfall!BL33*Inputs!$F$104/100*Time!BL26/365,0)</f>
        <v>0</v>
      </c>
      <c r="BM13" s="11" t="n">
        <f aca="false">IF(Time!BM17&gt;=Time!$F$11,Waterfall!BM33*Inputs!$F$104/100*Time!BM26/365,0)</f>
        <v>0</v>
      </c>
      <c r="BN13" s="11" t="n">
        <f aca="false">IF(Time!BN17&gt;=Time!$F$11,Waterfall!BN33*Inputs!$F$104/100*Time!BN26/365,0)</f>
        <v>0</v>
      </c>
    </row>
    <row r="14" customFormat="false" ht="15" hidden="false" customHeight="false" outlineLevel="0" collapsed="false">
      <c r="D14" s="0" t="s">
        <v>550</v>
      </c>
      <c r="E14" s="0" t="s">
        <v>109</v>
      </c>
      <c r="J14" s="6" t="n">
        <f aca="false">IF(Waterfall!J33&gt;0,MIN(1,Inputs!$F$183*(Waterfall!$F$32+MAX(0,0))/Waterfall!J33),1)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1</v>
      </c>
      <c r="P14" s="6" t="n">
        <f aca="false">IF(Waterfall!P33&gt;0,MIN(1,Inputs!$F$183*(Waterfall!$F$32+MAX(0,Waterfall!O43))/Waterfall!P33),1)</f>
        <v>0.635395362469034</v>
      </c>
      <c r="Q14" s="6" t="n">
        <f aca="false">IF(Waterfall!Q33&gt;0,MIN(1,Inputs!$F$183*(Waterfall!$F$32+MAX(0,Waterfall!P43))/Waterfall!Q33),1)</f>
        <v>0.752758432647818</v>
      </c>
      <c r="R14" s="6" t="n">
        <f aca="false">IF(Waterfall!R33&gt;0,MIN(1,Inputs!$F$183*(Waterfall!$F$32+MAX(0,Waterfall!Q43))/Waterfall!R33),1)</f>
        <v>0.836217512416345</v>
      </c>
      <c r="S14" s="6" t="n">
        <f aca="false">IF(Waterfall!S33&gt;0,MIN(1,Inputs!$F$183*(Waterfall!$F$32+MAX(0,Waterfall!R43))/Waterfall!S33),1)</f>
        <v>0.922181784087699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551</v>
      </c>
      <c r="E15" s="0" t="s">
        <v>149</v>
      </c>
      <c r="G15" s="11" t="n">
        <f aca="false">SUM(J15:BN15)</f>
        <v>278.76380850676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0</v>
      </c>
      <c r="P15" s="11" t="n">
        <f aca="false">P13*P14</f>
        <v>2.19489848038527</v>
      </c>
      <c r="Q15" s="11" t="n">
        <f aca="false">Q13*Q14</f>
        <v>7.83818971783107</v>
      </c>
      <c r="R15" s="11" t="n">
        <f aca="false">R13*R14</f>
        <v>8.79032404214632</v>
      </c>
      <c r="S15" s="11" t="n">
        <f aca="false">S13*S14</f>
        <v>9.51554675063098</v>
      </c>
      <c r="T15" s="11" t="n">
        <f aca="false">T13*T14</f>
        <v>10.4955149653593</v>
      </c>
      <c r="U15" s="11" t="n">
        <f aca="false">U13*U14</f>
        <v>10.3589112675818</v>
      </c>
      <c r="V15" s="11" t="n">
        <f aca="false">V13*V14</f>
        <v>10.4959850140566</v>
      </c>
      <c r="W15" s="11" t="n">
        <f aca="false">W13*W14</f>
        <v>10.3170983230733</v>
      </c>
      <c r="X15" s="11" t="n">
        <f aca="false">X13*X14</f>
        <v>10.4048454512177</v>
      </c>
      <c r="Y15" s="11" t="n">
        <f aca="false">Y13*Y14</f>
        <v>10.1133956065035</v>
      </c>
      <c r="Z15" s="11" t="n">
        <f aca="false">Z13*Z14</f>
        <v>10.2780409527403</v>
      </c>
      <c r="AA15" s="11" t="n">
        <f aca="false">AA13*AA14</f>
        <v>10.0759914734989</v>
      </c>
      <c r="AB15" s="11" t="n">
        <f aca="false">AB13*AB14</f>
        <v>10.4870609573484</v>
      </c>
      <c r="AC15" s="11" t="n">
        <f aca="false">AC13*AC14</f>
        <v>10.5913492139629</v>
      </c>
      <c r="AD15" s="11" t="n">
        <f aca="false">AD13*AD14</f>
        <v>10.9585504855809</v>
      </c>
      <c r="AE15" s="11" t="n">
        <f aca="false">AE13*AE14</f>
        <v>11.0175540929296</v>
      </c>
      <c r="AF15" s="11" t="n">
        <f aca="false">AF13*AF14</f>
        <v>11.3989995120288</v>
      </c>
      <c r="AG15" s="11" t="n">
        <f aca="false">AG13*AG14</f>
        <v>11.3696360353827</v>
      </c>
      <c r="AH15" s="11" t="n">
        <f aca="false">AH13*AH14</f>
        <v>11.7128883627642</v>
      </c>
      <c r="AI15" s="11" t="n">
        <f aca="false">AI13*AI14</f>
        <v>11.6344213378817</v>
      </c>
      <c r="AJ15" s="11" t="n">
        <f aca="false">AJ13*AJ14</f>
        <v>11.9068784121604</v>
      </c>
      <c r="AK15" s="11" t="n">
        <f aca="false">AK13*AK14</f>
        <v>11.7930830217101</v>
      </c>
      <c r="AL15" s="11" t="n">
        <f aca="false">AL13*AL14</f>
        <v>11.852662553665</v>
      </c>
      <c r="AM15" s="11" t="n">
        <f aca="false">AM13*AM14</f>
        <v>10.7306205867096</v>
      </c>
      <c r="AN15" s="11" t="n">
        <f aca="false">AN13*AN14</f>
        <v>9.86061924661185</v>
      </c>
      <c r="AO15" s="11" t="n">
        <f aca="false">AO13*AO14</f>
        <v>8.58919722859565</v>
      </c>
      <c r="AP15" s="11" t="n">
        <f aca="false">AP13*AP14</f>
        <v>6.71678574226098</v>
      </c>
      <c r="AQ15" s="11" t="n">
        <f aca="false">AQ13*AQ14</f>
        <v>4.50514789694132</v>
      </c>
      <c r="AR15" s="11" t="n">
        <f aca="false">AR13*AR14</f>
        <v>2.35384053952823</v>
      </c>
      <c r="AS15" s="11" t="n">
        <f aca="false">AS13*AS14</f>
        <v>0.405771235672666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552</v>
      </c>
      <c r="E16" s="0" t="s">
        <v>149</v>
      </c>
      <c r="G16" s="11" t="n">
        <f aca="false">SUM(J16:BN16)</f>
        <v>315.15966870259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0</v>
      </c>
      <c r="Q16" s="11" t="n">
        <f aca="false">Debt!Q119+Debt!Q117+Debt!Q111-Debt!Q110</f>
        <v>22.4001807785758</v>
      </c>
      <c r="R16" s="11" t="n">
        <f aca="false">Debt!R119+Debt!R117+Debt!R111-Debt!R110</f>
        <v>22.0587791123852</v>
      </c>
      <c r="S16" s="11" t="n">
        <f aca="false">Debt!S119+Debt!S117+Debt!S111-Debt!S110</f>
        <v>21.2095928780123</v>
      </c>
      <c r="T16" s="11" t="n">
        <f aca="false">Debt!T119+Debt!T117+Debt!T111-Debt!T110</f>
        <v>20.807182234581</v>
      </c>
      <c r="U16" s="11" t="n">
        <f aca="false">Debt!U119+Debt!U117+Debt!U111-Debt!U110</f>
        <v>19.9894919729728</v>
      </c>
      <c r="V16" s="11" t="n">
        <f aca="false">Debt!V119+Debt!V117+Debt!V111-Debt!V110</f>
        <v>19.4475582054411</v>
      </c>
      <c r="W16" s="11" t="n">
        <f aca="false">Debt!W119+Debt!W117+Debt!W111-Debt!W110</f>
        <v>18.5049241155856</v>
      </c>
      <c r="X16" s="11" t="n">
        <f aca="false">Debt!X119+Debt!X117+Debt!X111-Debt!X110</f>
        <v>17.9538900908398</v>
      </c>
      <c r="Y16" s="11" t="n">
        <f aca="false">Debt!Y119+Debt!Y117+Debt!Y111-Debt!Y110</f>
        <v>17.5567814153101</v>
      </c>
      <c r="Z16" s="11" t="n">
        <f aca="false">Debt!Z119+Debt!Z117+Debt!Z111-Debt!Z110</f>
        <v>16.9955974399418</v>
      </c>
      <c r="AA16" s="11" t="n">
        <f aca="false">Debt!AA119+Debt!AA117+Debt!AA111-Debt!AA110</f>
        <v>16.0217493536458</v>
      </c>
      <c r="AB16" s="11" t="n">
        <f aca="false">Debt!AB119+Debt!AB117+Debt!AB111-Debt!AB110</f>
        <v>15.1442228449405</v>
      </c>
      <c r="AC16" s="11" t="n">
        <f aca="false">Debt!AC119+Debt!AC117+Debt!AC111-Debt!AC110</f>
        <v>13.9122092620998</v>
      </c>
      <c r="AD16" s="11" t="n">
        <f aca="false">Debt!AD119+Debt!AD117+Debt!AD111-Debt!AD110</f>
        <v>12.9018413057305</v>
      </c>
      <c r="AE16" s="11" t="n">
        <f aca="false">Debt!AE119+Debt!AE117+Debt!AE111-Debt!AE110</f>
        <v>11.5749318416118</v>
      </c>
      <c r="AF16" s="11" t="n">
        <f aca="false">Debt!AF119+Debt!AF117+Debt!AF111-Debt!AF110</f>
        <v>10.4377762291912</v>
      </c>
      <c r="AG16" s="11" t="n">
        <f aca="false">Debt!AG119+Debt!AG117+Debt!AG111-Debt!AG110</f>
        <v>9.24861901230396</v>
      </c>
      <c r="AH16" s="11" t="n">
        <f aca="false">Debt!AH119+Debt!AH117+Debt!AH111-Debt!AH110</f>
        <v>7.99421285823143</v>
      </c>
      <c r="AI16" s="11" t="n">
        <f aca="false">Debt!AI119+Debt!AI117+Debt!AI111-Debt!AI110</f>
        <v>6.51789252959128</v>
      </c>
      <c r="AJ16" s="11" t="n">
        <f aca="false">Debt!AJ119+Debt!AJ117+Debt!AJ111-Debt!AJ110</f>
        <v>5.17472417864407</v>
      </c>
      <c r="AK16" s="11" t="n">
        <f aca="false">Debt!AK119+Debt!AK117+Debt!AK111-Debt!AK110</f>
        <v>3.70607433433069</v>
      </c>
      <c r="AL16" s="11" t="n">
        <f aca="false">Debt!AL119+Debt!AL117+Debt!AL111-Debt!AL110</f>
        <v>2.32240463708052</v>
      </c>
      <c r="AM16" s="11" t="n">
        <f aca="false">Debt!AM119+Debt!AM117+Debt!AM111-Debt!AM110</f>
        <v>1.68815405182471</v>
      </c>
      <c r="AN16" s="11" t="n">
        <f aca="false">Debt!AN119+Debt!AN117+Debt!AN111-Debt!AN110</f>
        <v>1.05998621057513</v>
      </c>
      <c r="AO16" s="11" t="n">
        <f aca="false">Debt!AO119+Debt!AO117+Debt!AO111-Debt!AO110</f>
        <v>0.530891809143661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553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</v>
      </c>
      <c r="Z17" s="11" t="n">
        <f aca="false">IF(Time!Z25&gt;0,(Time!Z25-Z7)/Time!Z25,0)</f>
        <v>0.333333333333333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1</v>
      </c>
    </row>
    <row r="18" customFormat="false" ht="15" hidden="false" customHeight="false" outlineLevel="0" collapsed="false">
      <c r="D18" s="0" t="s">
        <v>554</v>
      </c>
      <c r="E18" s="0" t="s">
        <v>149</v>
      </c>
      <c r="G18" s="11" t="n">
        <f aca="false">SUM(J18:BN18)</f>
        <v>1168.38053254955</v>
      </c>
      <c r="J18" s="11" t="n">
        <f aca="false">(Operations!J80-J16-J15)*J17-J12</f>
        <v>0</v>
      </c>
      <c r="K18" s="11" t="n">
        <f aca="false">(Operations!K80-K16-K15)*K17-K12</f>
        <v>0</v>
      </c>
      <c r="L18" s="11" t="n">
        <f aca="false">(Operations!L80-L16-L15)*L17-L12</f>
        <v>0</v>
      </c>
      <c r="M18" s="11" t="n">
        <f aca="false">(Operations!M80-M16-M15)*M17-M12</f>
        <v>0</v>
      </c>
      <c r="N18" s="11" t="n">
        <f aca="false">(Operations!N80-N16-N15)*N17-N12</f>
        <v>0</v>
      </c>
      <c r="O18" s="11" t="n">
        <f aca="false">(Operations!O80-O16-O15)*O17-O12</f>
        <v>0</v>
      </c>
      <c r="P18" s="11" t="n">
        <f aca="false">(Operations!P80-P16-P15)*P17-P12</f>
        <v>0</v>
      </c>
      <c r="Q18" s="11" t="n">
        <f aca="false">(Operations!Q80-Q16-Q15)*Q17-Q12</f>
        <v>0</v>
      </c>
      <c r="R18" s="11" t="n">
        <f aca="false">(Operations!R80-R16-R15)*R17-R12</f>
        <v>0</v>
      </c>
      <c r="S18" s="11" t="n">
        <f aca="false">(Operations!S80-S16-S15)*S17-S12</f>
        <v>0</v>
      </c>
      <c r="T18" s="11" t="n">
        <f aca="false">(Operations!T80-T16-T15)*T17-T12</f>
        <v>0</v>
      </c>
      <c r="U18" s="11" t="n">
        <f aca="false">(Operations!U80-U16-U15)*U17-U12</f>
        <v>0</v>
      </c>
      <c r="V18" s="11" t="n">
        <f aca="false">(Operations!V80-V16-V15)*V17-V12</f>
        <v>0</v>
      </c>
      <c r="W18" s="11" t="n">
        <f aca="false">(Operations!W80-W16-W15)*W17-W12</f>
        <v>0</v>
      </c>
      <c r="X18" s="11" t="n">
        <f aca="false">(Operations!X80-X16-X15)*X17-X12</f>
        <v>0</v>
      </c>
      <c r="Y18" s="11" t="n">
        <f aca="false">(Operations!Y80-Y16-Y15)*Y17-Y12</f>
        <v>0</v>
      </c>
      <c r="Z18" s="11" t="n">
        <f aca="false">(Operations!Z80-Z16-Z15)*Z17-Z12</f>
        <v>1.19363760919268</v>
      </c>
      <c r="AA18" s="11" t="n">
        <f aca="false">(Operations!AA80-AA16-AA15)*AA17-AA12</f>
        <v>4.90684395355441</v>
      </c>
      <c r="AB18" s="11" t="n">
        <f aca="false">(Operations!AB80-AB16-AB15)*AB17-AB12</f>
        <v>5.47383137841685</v>
      </c>
      <c r="AC18" s="11" t="n">
        <f aca="false">(Operations!AC80-AC16-AC15)*AC17-AC12</f>
        <v>6.68707514617911</v>
      </c>
      <c r="AD18" s="11" t="n">
        <f aca="false">(Operations!AD80-AD16-AD15)*AD17-AD12</f>
        <v>7.54669844211077</v>
      </c>
      <c r="AE18" s="11" t="n">
        <f aca="false">(Operations!AE80-AE16-AE15)*AE17-AE12</f>
        <v>-3.7884621090458</v>
      </c>
      <c r="AF18" s="11" t="n">
        <f aca="false">(Operations!AF80-AF16-AF15)*AF17-AF12</f>
        <v>9.91579519505391</v>
      </c>
      <c r="AG18" s="11" t="n">
        <f aca="false">(Operations!AG80-AG16-AG15)*AG17-AG12</f>
        <v>11.0577172688452</v>
      </c>
      <c r="AH18" s="11" t="n">
        <f aca="false">(Operations!AH80-AH16-AH15)*AH17-AH12</f>
        <v>12.1112574892161</v>
      </c>
      <c r="AI18" s="11" t="n">
        <f aca="false">(Operations!AI80-AI16-AI15)*AI17-AI12</f>
        <v>13.8287465679598</v>
      </c>
      <c r="AJ18" s="11" t="n">
        <f aca="false">(Operations!AJ80-AJ16-AJ15)*AJ17-AJ12</f>
        <v>15.0085084966867</v>
      </c>
      <c r="AK18" s="11" t="n">
        <f aca="false">(Operations!AK80-AK16-AK15)*AK17-AK12</f>
        <v>16.681767198061</v>
      </c>
      <c r="AL18" s="11" t="n">
        <f aca="false">(Operations!AL80-AL16-AL15)*AL17-AL12</f>
        <v>18.2034959330813</v>
      </c>
      <c r="AM18" s="11" t="n">
        <f aca="false">(Operations!AM80-AM16-AM15)*AM17-AM12</f>
        <v>17.2238380518919</v>
      </c>
      <c r="AN18" s="11" t="n">
        <f aca="false">(Operations!AN80-AN16-AN15)*AN17-AN12</f>
        <v>21.7924721602358</v>
      </c>
      <c r="AO18" s="11" t="n">
        <f aca="false">(Operations!AO80-AO16-AO15)*AO17-AO12</f>
        <v>23.5862046266822</v>
      </c>
      <c r="AP18" s="11" t="n">
        <f aca="false">(Operations!AP80-AP16-AP15)*AP17-AP12</f>
        <v>26.1449561066503</v>
      </c>
      <c r="AQ18" s="11" t="n">
        <f aca="false">(Operations!AQ80-AQ16-AQ15)*AQ17-AQ12</f>
        <v>28.533054020171</v>
      </c>
      <c r="AR18" s="11" t="n">
        <f aca="false">(Operations!AR80-AR16-AR15)*AR17-AR12</f>
        <v>30.8026551738055</v>
      </c>
      <c r="AS18" s="11" t="n">
        <f aca="false">(Operations!AS80-AS16-AS15)*AS17-AS12</f>
        <v>32.8471450617921</v>
      </c>
      <c r="AT18" s="11" t="n">
        <f aca="false">(Operations!AT80-AT16-AT15)*AT17-AT12</f>
        <v>33.5145529236479</v>
      </c>
      <c r="AU18" s="11" t="n">
        <f aca="false">(Operations!AU80-AU16-AU15)*AU17-AU12</f>
        <v>18.6311830820217</v>
      </c>
      <c r="AV18" s="11" t="n">
        <f aca="false">(Operations!AV80-AV16-AV15)*AV17-AV12</f>
        <v>33.9260673294663</v>
      </c>
      <c r="AW18" s="11" t="n">
        <f aca="false">(Operations!AW80-AW16-AW15)*AW17-AW12</f>
        <v>33.8216638215293</v>
      </c>
      <c r="AX18" s="11" t="n">
        <f aca="false">(Operations!AX80-AX16-AX15)*AX17-AX12</f>
        <v>33.9913617328417</v>
      </c>
      <c r="AY18" s="11" t="n">
        <f aca="false">(Operations!AY80-AY16-AY15)*AY17-AY12</f>
        <v>34.1827657738101</v>
      </c>
      <c r="AZ18" s="11" t="n">
        <f aca="false">(Operations!AZ80-AZ16-AZ15)*AZ17-AZ12</f>
        <v>34.3110869419898</v>
      </c>
      <c r="BA18" s="11" t="n">
        <f aca="false">(Operations!BA80-BA16-BA15)*BA17-BA12</f>
        <v>34.4134437802673</v>
      </c>
      <c r="BB18" s="11" t="n">
        <f aca="false">(Operations!BB80-BB16-BB15)*BB17-BB12</f>
        <v>34.651120702875</v>
      </c>
      <c r="BC18" s="11" t="n">
        <f aca="false">(Operations!BC80-BC16-BC15)*BC17-BC12</f>
        <v>31.3971209979017</v>
      </c>
      <c r="BD18" s="11" t="n">
        <f aca="false">(Operations!BD80-BD16-BD15)*BD17-BD12</f>
        <v>41.7672175450975</v>
      </c>
      <c r="BE18" s="11" t="n">
        <f aca="false">(Operations!BE80-BE16-BE15)*BE17-BE12</f>
        <v>55.1877214549539</v>
      </c>
      <c r="BF18" s="11" t="n">
        <f aca="false">(Operations!BF80-BF16-BF15)*BF17-BF12</f>
        <v>55.3729643108694</v>
      </c>
      <c r="BG18" s="11" t="n">
        <f aca="false">(Operations!BG80-BG16-BG15)*BG17-BG12</f>
        <v>55.5806018884078</v>
      </c>
      <c r="BH18" s="11" t="n">
        <f aca="false">(Operations!BH80-BH16-BH15)*BH17-BH12</f>
        <v>55.7198011908242</v>
      </c>
      <c r="BI18" s="11" t="n">
        <f aca="false">(Operations!BI80-BI16-BI15)*BI17-BI12</f>
        <v>55.8284412736374</v>
      </c>
      <c r="BJ18" s="11" t="n">
        <f aca="false">(Operations!BJ80-BJ16-BJ15)*BJ17-BJ12</f>
        <v>56.1444088242133</v>
      </c>
      <c r="BK18" s="11" t="n">
        <f aca="false">(Operations!BK80-BK16-BK15)*BK17-BK12</f>
        <v>38.5479644968282</v>
      </c>
      <c r="BL18" s="11" t="n">
        <f aca="false">(Operations!BL80-BL16-BL15)*BL17-BL12</f>
        <v>56.6345664038139</v>
      </c>
      <c r="BM18" s="11" t="n">
        <f aca="false">(Operations!BM80-BM16-BM15)*BM17-BM12</f>
        <v>56.4951487224042</v>
      </c>
      <c r="BN18" s="11" t="n">
        <f aca="false">(Operations!BN80-BN16-BN15)*BN17-BN12</f>
        <v>18.5040915816047</v>
      </c>
    </row>
    <row r="19" customFormat="false" ht="15" hidden="false" customHeight="false" outlineLevel="0" collapsed="false">
      <c r="D19" s="0" t="s">
        <v>555</v>
      </c>
      <c r="E19" s="0" t="s">
        <v>149</v>
      </c>
      <c r="G19" s="11" t="n">
        <f aca="false">SUM(J19:BN19)</f>
        <v>3.7884621090458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3.7884621090458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556</v>
      </c>
      <c r="E20" s="0" t="s">
        <v>149</v>
      </c>
      <c r="G20" s="11" t="n">
        <f aca="false">SUM(J20:BN20)</f>
        <v>236.643496162813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0</v>
      </c>
      <c r="Z20" s="11" t="n">
        <f aca="false">MIN(Y21,MAX(0,Z18-Z19))</f>
        <v>1.19363760919268</v>
      </c>
      <c r="AA20" s="11" t="n">
        <f aca="false">MIN(Z21,MAX(0,AA18-AA19))</f>
        <v>4.90684395355441</v>
      </c>
      <c r="AB20" s="11" t="n">
        <f aca="false">MIN(AA21,MAX(0,AB18-AB19))</f>
        <v>5.47383137841685</v>
      </c>
      <c r="AC20" s="11" t="n">
        <f aca="false">MIN(AB21,MAX(0,AC18-AC19))</f>
        <v>6.68707514617911</v>
      </c>
      <c r="AD20" s="11" t="n">
        <f aca="false">MIN(AC21,MAX(0,AD18-AD19))</f>
        <v>7.54669844211077</v>
      </c>
      <c r="AE20" s="11" t="n">
        <f aca="false">MIN(AD21,MAX(0,AE18-AE19))</f>
        <v>0</v>
      </c>
      <c r="AF20" s="11" t="n">
        <f aca="false">MIN(AE21,MAX(0,AF18-AF19))</f>
        <v>6.12733308600811</v>
      </c>
      <c r="AG20" s="11" t="n">
        <f aca="false">MIN(AF21,MAX(0,AG18-AG19))</f>
        <v>11.0577172688452</v>
      </c>
      <c r="AH20" s="11" t="n">
        <f aca="false">MIN(AG21,MAX(0,AH18-AH19))</f>
        <v>12.1112574892161</v>
      </c>
      <c r="AI20" s="11" t="n">
        <f aca="false">MIN(AH21,MAX(0,AI18-AI19))</f>
        <v>13.8287465679598</v>
      </c>
      <c r="AJ20" s="11" t="n">
        <f aca="false">MIN(AI21,MAX(0,AJ18-AJ19))</f>
        <v>15.0085084966867</v>
      </c>
      <c r="AK20" s="11" t="n">
        <f aca="false">MIN(AJ21,MAX(0,AK18-AK19))</f>
        <v>16.681767198061</v>
      </c>
      <c r="AL20" s="11" t="n">
        <f aca="false">MIN(AK21,MAX(0,AL18-AL19))</f>
        <v>18.2034959330813</v>
      </c>
      <c r="AM20" s="11" t="n">
        <f aca="false">MIN(AL21,MAX(0,AM18-AM19))</f>
        <v>17.2238380518919</v>
      </c>
      <c r="AN20" s="11" t="n">
        <f aca="false">MIN(AM21,MAX(0,AN18-AN19))</f>
        <v>21.7924721602358</v>
      </c>
      <c r="AO20" s="11" t="n">
        <f aca="false">MIN(AN21,MAX(0,AO18-AO19))</f>
        <v>23.5862046266822</v>
      </c>
      <c r="AP20" s="11" t="n">
        <f aca="false">MIN(AO21,MAX(0,AP18-AP19))</f>
        <v>26.1449561066503</v>
      </c>
      <c r="AQ20" s="11" t="n">
        <f aca="false">MIN(AP21,MAX(0,AQ18-AQ19))</f>
        <v>28.533054020171</v>
      </c>
      <c r="AR20" s="11" t="n">
        <f aca="false">MIN(AQ21,MAX(0,AR18-AR19))</f>
        <v>0.536058627869771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557</v>
      </c>
      <c r="E21" s="0" t="s">
        <v>149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0</v>
      </c>
      <c r="P21" s="11" t="n">
        <f aca="false">O21+P11-P20</f>
        <v>7.88811653876043</v>
      </c>
      <c r="Q21" s="11" t="n">
        <f aca="false">P21+Q11-Q20</f>
        <v>31.5524661550417</v>
      </c>
      <c r="R21" s="11" t="n">
        <f aca="false">Q21+R11-R20</f>
        <v>55.216815771323</v>
      </c>
      <c r="S21" s="11" t="n">
        <f aca="false">R21+S11-S20</f>
        <v>78.8811653876043</v>
      </c>
      <c r="T21" s="11" t="n">
        <f aca="false">S21+T11-T20</f>
        <v>102.545515003886</v>
      </c>
      <c r="U21" s="11" t="n">
        <f aca="false">T21+U11-U20</f>
        <v>126.209864620167</v>
      </c>
      <c r="V21" s="11" t="n">
        <f aca="false">U21+V11-V20</f>
        <v>149.874214236448</v>
      </c>
      <c r="W21" s="11" t="n">
        <f aca="false">V21+W11-W20</f>
        <v>173.53856385273</v>
      </c>
      <c r="X21" s="11" t="n">
        <f aca="false">W21+X11-X20</f>
        <v>197.202913469011</v>
      </c>
      <c r="Y21" s="11" t="n">
        <f aca="false">X21+Y11-Y20</f>
        <v>220.867263085292</v>
      </c>
      <c r="Z21" s="11" t="n">
        <f aca="false">Y21+Z11-Z20</f>
        <v>235.44985855362</v>
      </c>
      <c r="AA21" s="11" t="n">
        <f aca="false">Z21+AA11-AA20</f>
        <v>230.543014600066</v>
      </c>
      <c r="AB21" s="11" t="n">
        <f aca="false">AA21+AB11-AB20</f>
        <v>225.069183221649</v>
      </c>
      <c r="AC21" s="11" t="n">
        <f aca="false">AB21+AC11-AC20</f>
        <v>218.38210807547</v>
      </c>
      <c r="AD21" s="11" t="n">
        <f aca="false">AC21+AD11-AD20</f>
        <v>210.835409633359</v>
      </c>
      <c r="AE21" s="11" t="n">
        <f aca="false">AD21+AE11-AE20</f>
        <v>210.835409633359</v>
      </c>
      <c r="AF21" s="11" t="n">
        <f aca="false">AE21+AF11-AF20</f>
        <v>204.708076547351</v>
      </c>
      <c r="AG21" s="11" t="n">
        <f aca="false">AF21+AG11-AG20</f>
        <v>193.650359278506</v>
      </c>
      <c r="AH21" s="11" t="n">
        <f aca="false">AG21+AH11-AH20</f>
        <v>181.53910178929</v>
      </c>
      <c r="AI21" s="11" t="n">
        <f aca="false">AH21+AI11-AI20</f>
        <v>167.71035522133</v>
      </c>
      <c r="AJ21" s="11" t="n">
        <f aca="false">AI21+AJ11-AJ20</f>
        <v>152.701846724643</v>
      </c>
      <c r="AK21" s="11" t="n">
        <f aca="false">AJ21+AK11-AK20</f>
        <v>136.020079526582</v>
      </c>
      <c r="AL21" s="11" t="n">
        <f aca="false">AK21+AL11-AL20</f>
        <v>117.816583593501</v>
      </c>
      <c r="AM21" s="11" t="n">
        <f aca="false">AL21+AM11-AM20</f>
        <v>100.592745541609</v>
      </c>
      <c r="AN21" s="11" t="n">
        <f aca="false">AM21+AN11-AN20</f>
        <v>78.8002733813733</v>
      </c>
      <c r="AO21" s="11" t="n">
        <f aca="false">AN21+AO11-AO20</f>
        <v>55.2140687546911</v>
      </c>
      <c r="AP21" s="11" t="n">
        <f aca="false">AO21+AP11-AP20</f>
        <v>29.0691126480408</v>
      </c>
      <c r="AQ21" s="11" t="n">
        <f aca="false">AP21+AQ11-AQ20</f>
        <v>0.536058627869771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558</v>
      </c>
      <c r="E22" s="0" t="s">
        <v>149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3.7884621090458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559</v>
      </c>
      <c r="E23" s="0" t="s">
        <v>149</v>
      </c>
      <c r="G23" s="11" t="n">
        <f aca="false">SUM(J23:BN23)</f>
        <v>931.737036386733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</v>
      </c>
      <c r="AO23" s="11" t="n">
        <f aca="false">MAX(0,AO18-AO19-AO20)</f>
        <v>0</v>
      </c>
      <c r="AP23" s="11" t="n">
        <f aca="false">MAX(0,AP18-AP19-AP20)</f>
        <v>0</v>
      </c>
      <c r="AQ23" s="11" t="n">
        <f aca="false">MAX(0,AQ18-AQ19-AQ20)</f>
        <v>0</v>
      </c>
      <c r="AR23" s="11" t="n">
        <f aca="false">MAX(0,AR18-AR19-AR20)</f>
        <v>30.2665965459357</v>
      </c>
      <c r="AS23" s="11" t="n">
        <f aca="false">MAX(0,AS18-AS19-AS20)</f>
        <v>32.8471450617921</v>
      </c>
      <c r="AT23" s="11" t="n">
        <f aca="false">MAX(0,AT18-AT19-AT20)</f>
        <v>33.5145529236479</v>
      </c>
      <c r="AU23" s="11" t="n">
        <f aca="false">MAX(0,AU18-AU19-AU20)</f>
        <v>18.6311830820217</v>
      </c>
      <c r="AV23" s="11" t="n">
        <f aca="false">MAX(0,AV18-AV19-AV20)</f>
        <v>33.9260673294663</v>
      </c>
      <c r="AW23" s="11" t="n">
        <f aca="false">MAX(0,AW18-AW19-AW20)</f>
        <v>33.8216638215293</v>
      </c>
      <c r="AX23" s="11" t="n">
        <f aca="false">MAX(0,AX18-AX19-AX20)</f>
        <v>33.9913617328417</v>
      </c>
      <c r="AY23" s="11" t="n">
        <f aca="false">MAX(0,AY18-AY19-AY20)</f>
        <v>34.1827657738101</v>
      </c>
      <c r="AZ23" s="11" t="n">
        <f aca="false">MAX(0,AZ18-AZ19-AZ20)</f>
        <v>34.3110869419898</v>
      </c>
      <c r="BA23" s="11" t="n">
        <f aca="false">MAX(0,BA18-BA19-BA20)</f>
        <v>34.4134437802673</v>
      </c>
      <c r="BB23" s="11" t="n">
        <f aca="false">MAX(0,BB18-BB19-BB20)</f>
        <v>34.651120702875</v>
      </c>
      <c r="BC23" s="11" t="n">
        <f aca="false">MAX(0,BC18-BC19-BC20)</f>
        <v>31.3971209979017</v>
      </c>
      <c r="BD23" s="11" t="n">
        <f aca="false">MAX(0,BD18-BD19-BD20)</f>
        <v>41.7672175450975</v>
      </c>
      <c r="BE23" s="11" t="n">
        <f aca="false">MAX(0,BE18-BE19-BE20)</f>
        <v>55.1877214549539</v>
      </c>
      <c r="BF23" s="11" t="n">
        <f aca="false">MAX(0,BF18-BF19-BF20)</f>
        <v>55.3729643108694</v>
      </c>
      <c r="BG23" s="11" t="n">
        <f aca="false">MAX(0,BG18-BG19-BG20)</f>
        <v>55.5806018884078</v>
      </c>
      <c r="BH23" s="11" t="n">
        <f aca="false">MAX(0,BH18-BH19-BH20)</f>
        <v>55.7198011908242</v>
      </c>
      <c r="BI23" s="11" t="n">
        <f aca="false">MAX(0,BI18-BI19-BI20)</f>
        <v>55.8284412736374</v>
      </c>
      <c r="BJ23" s="11" t="n">
        <f aca="false">MAX(0,BJ18-BJ19-BJ20)</f>
        <v>56.1444088242133</v>
      </c>
      <c r="BK23" s="11" t="n">
        <f aca="false">MAX(0,BK18-BK19-BK20)</f>
        <v>38.5479644968282</v>
      </c>
      <c r="BL23" s="11" t="n">
        <f aca="false">MAX(0,BL18-BL19-BL20)</f>
        <v>56.6345664038139</v>
      </c>
      <c r="BM23" s="11" t="n">
        <f aca="false">MAX(0,BM18-BM19-BM20)</f>
        <v>56.4951487224042</v>
      </c>
      <c r="BN23" s="11" t="n">
        <f aca="false">MAX(0,BN18-BN19-BN20)</f>
        <v>18.5040915816047</v>
      </c>
    </row>
    <row r="24" customFormat="false" ht="15" hidden="false" customHeight="false" outlineLevel="0" collapsed="false">
      <c r="D24" s="0" t="s">
        <v>560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0.15</v>
      </c>
      <c r="AF24" s="6" t="n">
        <f aca="false">IF(AF8+AF9&gt;0,(AF8*Inputs!$F$175+AF9*Inputs!$F$174)/(AF8+AF9)/100,0)</f>
        <v>0.2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1" t="n">
        <f aca="false">SUM(J25:BN25)</f>
        <v>279.52111091602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</v>
      </c>
      <c r="AO25" s="11" t="n">
        <f aca="false">AO23*AO24</f>
        <v>0</v>
      </c>
      <c r="AP25" s="11" t="n">
        <f aca="false">AP23*AP24</f>
        <v>0</v>
      </c>
      <c r="AQ25" s="11" t="n">
        <f aca="false">AQ23*AQ24</f>
        <v>0</v>
      </c>
      <c r="AR25" s="11" t="n">
        <f aca="false">AR23*AR24</f>
        <v>9.07997896378071</v>
      </c>
      <c r="AS25" s="11" t="n">
        <f aca="false">AS23*AS24</f>
        <v>9.85414351853763</v>
      </c>
      <c r="AT25" s="11" t="n">
        <f aca="false">AT23*AT24</f>
        <v>10.0543658770944</v>
      </c>
      <c r="AU25" s="11" t="n">
        <f aca="false">AU23*AU24</f>
        <v>5.58935492460651</v>
      </c>
      <c r="AV25" s="11" t="n">
        <f aca="false">AV23*AV24</f>
        <v>10.1778201988399</v>
      </c>
      <c r="AW25" s="11" t="n">
        <f aca="false">AW23*AW24</f>
        <v>10.1464991464588</v>
      </c>
      <c r="AX25" s="11" t="n">
        <f aca="false">AX23*AX24</f>
        <v>10.1974085198525</v>
      </c>
      <c r="AY25" s="11" t="n">
        <f aca="false">AY23*AY24</f>
        <v>10.254829732143</v>
      </c>
      <c r="AZ25" s="11" t="n">
        <f aca="false">AZ23*AZ24</f>
        <v>10.2933260825969</v>
      </c>
      <c r="BA25" s="11" t="n">
        <f aca="false">BA23*BA24</f>
        <v>10.3240331340802</v>
      </c>
      <c r="BB25" s="11" t="n">
        <f aca="false">BB23*BB24</f>
        <v>10.3953362108625</v>
      </c>
      <c r="BC25" s="11" t="n">
        <f aca="false">BC23*BC24</f>
        <v>9.4191362993705</v>
      </c>
      <c r="BD25" s="11" t="n">
        <f aca="false">BD23*BD24</f>
        <v>12.5301652635293</v>
      </c>
      <c r="BE25" s="11" t="n">
        <f aca="false">BE23*BE24</f>
        <v>16.5563164364862</v>
      </c>
      <c r="BF25" s="11" t="n">
        <f aca="false">BF23*BF24</f>
        <v>16.6118892932608</v>
      </c>
      <c r="BG25" s="11" t="n">
        <f aca="false">BG23*BG24</f>
        <v>16.6741805665223</v>
      </c>
      <c r="BH25" s="11" t="n">
        <f aca="false">BH23*BH24</f>
        <v>16.7159403572473</v>
      </c>
      <c r="BI25" s="11" t="n">
        <f aca="false">BI23*BI24</f>
        <v>16.7485323820912</v>
      </c>
      <c r="BJ25" s="11" t="n">
        <f aca="false">BJ23*BJ24</f>
        <v>16.843322647264</v>
      </c>
      <c r="BK25" s="11" t="n">
        <f aca="false">BK23*BK24</f>
        <v>11.5643893490485</v>
      </c>
      <c r="BL25" s="11" t="n">
        <f aca="false">BL23*BL24</f>
        <v>16.9903699211442</v>
      </c>
      <c r="BM25" s="11" t="n">
        <f aca="false">BM23*BM24</f>
        <v>16.9485446167213</v>
      </c>
      <c r="BN25" s="11" t="n">
        <f aca="false">BN23*BN24</f>
        <v>5.55122747448142</v>
      </c>
    </row>
    <row r="26" customFormat="false" ht="15" hidden="false" customHeight="false" outlineLevel="0" collapsed="false">
      <c r="D26" s="0" t="s">
        <v>561</v>
      </c>
      <c r="E26" s="0" t="s">
        <v>149</v>
      </c>
      <c r="G26" s="11" t="n">
        <f aca="false">SUM(J26:BN26)</f>
        <v>15.7219188964976</v>
      </c>
      <c r="J26" s="11" t="n">
        <f aca="false">IF(Time!J25&gt;0,Inputs!$F$176/100*Operations!J51*(J8+J9)/Time!J25,0)</f>
        <v>0</v>
      </c>
      <c r="K26" s="11" t="n">
        <f aca="false">IF(Time!K25&gt;0,Inputs!$F$176/100*Operations!K51*(K8+K9)/Time!K25,0)</f>
        <v>0</v>
      </c>
      <c r="L26" s="11" t="n">
        <f aca="false">IF(Time!L25&gt;0,Inputs!$F$176/100*Operations!L51*(L8+L9)/Time!L25,0)</f>
        <v>0</v>
      </c>
      <c r="M26" s="11" t="n">
        <f aca="false">IF(Time!M25&gt;0,Inputs!$F$176/100*Operations!M51*(M8+M9)/Time!M25,0)</f>
        <v>0</v>
      </c>
      <c r="N26" s="11" t="n">
        <f aca="false">IF(Time!N25&gt;0,Inputs!$F$176/100*Operations!N51*(N8+N9)/Time!N25,0)</f>
        <v>0</v>
      </c>
      <c r="O26" s="11" t="n">
        <f aca="false">IF(Time!O25&gt;0,Inputs!$F$176/100*Operations!O51*(O8+O9)/Time!O25,0)</f>
        <v>0</v>
      </c>
      <c r="P26" s="11" t="n">
        <f aca="false">IF(Time!P25&gt;0,Inputs!$F$176/100*Operations!P51*(P8+P9)/Time!P25,0)</f>
        <v>0</v>
      </c>
      <c r="Q26" s="11" t="n">
        <f aca="false">IF(Time!Q25&gt;0,Inputs!$F$176/100*Operations!Q51*(Q8+Q9)/Time!Q25,0)</f>
        <v>0</v>
      </c>
      <c r="R26" s="11" t="n">
        <f aca="false">IF(Time!R25&gt;0,Inputs!$F$176/100*Operations!R51*(R8+R9)/Time!R25,0)</f>
        <v>0</v>
      </c>
      <c r="S26" s="11" t="n">
        <f aca="false">IF(Time!S25&gt;0,Inputs!$F$176/100*Operations!S51*(S8+S9)/Time!S25,0)</f>
        <v>0</v>
      </c>
      <c r="T26" s="11" t="n">
        <f aca="false">IF(Time!T25&gt;0,Inputs!$F$176/100*Operations!T51*(T8+T9)/Time!T25,0)</f>
        <v>0</v>
      </c>
      <c r="U26" s="11" t="n">
        <f aca="false">IF(Time!U25&gt;0,Inputs!$F$176/100*Operations!U51*(U8+U9)/Time!U25,0)</f>
        <v>0</v>
      </c>
      <c r="V26" s="11" t="n">
        <f aca="false">IF(Time!V25&gt;0,Inputs!$F$176/100*Operations!V51*(V8+V9)/Time!V25,0)</f>
        <v>0</v>
      </c>
      <c r="W26" s="11" t="n">
        <f aca="false">IF(Time!W25&gt;0,Inputs!$F$176/100*Operations!W51*(W8+W9)/Time!W25,0)</f>
        <v>0</v>
      </c>
      <c r="X26" s="11" t="n">
        <f aca="false">IF(Time!X25&gt;0,Inputs!$F$176/100*Operations!X51*(X8+X9)/Time!X25,0)</f>
        <v>0</v>
      </c>
      <c r="Y26" s="11" t="n">
        <f aca="false">IF(Time!Y25&gt;0,Inputs!$F$176/100*Operations!Y51*(Y8+Y9)/Time!Y25,0)</f>
        <v>0</v>
      </c>
      <c r="Z26" s="11" t="n">
        <f aca="false">IF(Time!Z25&gt;0,Inputs!$F$176/100*Operations!Z51*(Z8+Z9)/Time!Z25,0)</f>
        <v>0.118597771671728</v>
      </c>
      <c r="AA26" s="11" t="n">
        <f aca="false">IF(Time!AA25&gt;0,Inputs!$F$176/100*Operations!AA51*(AA8+AA9)/Time!AA25,0)</f>
        <v>0.357162155194092</v>
      </c>
      <c r="AB26" s="11" t="n">
        <f aca="false">IF(Time!AB25&gt;0,Inputs!$F$176/100*Operations!AB51*(AB8+AB9)/Time!AB25,0)</f>
        <v>0.358956600187885</v>
      </c>
      <c r="AC26" s="11" t="n">
        <f aca="false">IF(Time!AC25&gt;0,Inputs!$F$176/100*Operations!AC51*(AC8+AC9)/Time!AC25,0)</f>
        <v>0.360910873094833</v>
      </c>
      <c r="AD26" s="11" t="n">
        <f aca="false">IF(Time!AD25&gt;0,Inputs!$F$176/100*Operations!AD51*(AD8+AD9)/Time!AD25,0)</f>
        <v>0.361810322371713</v>
      </c>
      <c r="AE26" s="11" t="n">
        <f aca="false">IF(Time!AE25&gt;0,Inputs!$F$176/100*Operations!AE51*(AE8+AE9)/Time!AE25,0)</f>
        <v>0.357285847425819</v>
      </c>
      <c r="AF26" s="11" t="n">
        <f aca="false">IF(Time!AF25&gt;0,Inputs!$F$176/100*Operations!AF51*(AF8+AF9)/Time!AF25,0)</f>
        <v>0.364428527304582</v>
      </c>
      <c r="AG26" s="11" t="n">
        <f aca="false">IF(Time!AG25&gt;0,Inputs!$F$176/100*Operations!AG51*(AG8+AG9)/Time!AG25,0)</f>
        <v>0.367807136828651</v>
      </c>
      <c r="AH26" s="11" t="n">
        <f aca="false">IF(Time!AH25&gt;0,Inputs!$F$176/100*Operations!AH51*(AH8+AH9)/Time!AH25,0)</f>
        <v>0.369431194794716</v>
      </c>
      <c r="AI26" s="11" t="n">
        <f aca="false">IF(Time!AI25&gt;0,Inputs!$F$176/100*Operations!AI51*(AI8+AI9)/Time!AI25,0)</f>
        <v>0.370923290384181</v>
      </c>
      <c r="AJ26" s="11" t="n">
        <f aca="false">IF(Time!AJ25&gt;0,Inputs!$F$176/100*Operations!AJ51*(AJ8+AJ9)/Time!AJ25,0)</f>
        <v>0.372876973170103</v>
      </c>
      <c r="AK26" s="11" t="n">
        <f aca="false">IF(Time!AK25&gt;0,Inputs!$F$176/100*Operations!AK51*(AK8+AK9)/Time!AK25,0)</f>
        <v>0.375004046052006</v>
      </c>
      <c r="AL26" s="11" t="n">
        <f aca="false">IF(Time!AL25&gt;0,Inputs!$F$176/100*Operations!AL51*(AL8+AL9)/Time!AL25,0)</f>
        <v>0.376309434569326</v>
      </c>
      <c r="AM26" s="11" t="n">
        <f aca="false">IF(Time!AM25&gt;0,Inputs!$F$176/100*Operations!AM51*(AM8+AM9)/Time!AM25,0)</f>
        <v>0.377075756434062</v>
      </c>
      <c r="AN26" s="11" t="n">
        <f aca="false">IF(Time!AN25&gt;0,Inputs!$F$176/100*Operations!AN51*(AN8+AN9)/Time!AN25,0)</f>
        <v>0.379500039032261</v>
      </c>
      <c r="AO26" s="11" t="n">
        <f aca="false">IF(Time!AO25&gt;0,Inputs!$F$176/100*Operations!AO51*(AO8+AO9)/Time!AO25,0)</f>
        <v>0.382514702085066</v>
      </c>
      <c r="AP26" s="11" t="n">
        <f aca="false">IF(Time!AP25&gt;0,Inputs!$F$176/100*Operations!AP51*(AP8+AP9)/Time!AP25,0)</f>
        <v>0.384284146534225</v>
      </c>
      <c r="AQ26" s="11" t="n">
        <f aca="false">IF(Time!AQ25&gt;0,Inputs!$F$176/100*Operations!AQ51*(AQ8+AQ9)/Time!AQ25,0)</f>
        <v>0.385910594788791</v>
      </c>
      <c r="AR26" s="11" t="n">
        <f aca="false">IF(Time!AR25&gt;0,Inputs!$F$176/100*Operations!AR51*(AR8+AR9)/Time!AR25,0)</f>
        <v>0.388037637272362</v>
      </c>
      <c r="AS26" s="11" t="n">
        <f aca="false">IF(Time!AS25&gt;0,Inputs!$F$176/100*Operations!AS51*(AS8+AS9)/Time!AS25,0)</f>
        <v>0.390352776921065</v>
      </c>
      <c r="AT26" s="11" t="n">
        <f aca="false">IF(Time!AT25&gt;0,Inputs!$F$176/100*Operations!AT51*(AT8+AT9)/Time!AT25,0)</f>
        <v>0.391427904793904</v>
      </c>
      <c r="AU26" s="11" t="n">
        <f aca="false">IF(Time!AU25&gt;0,Inputs!$F$176/100*Operations!AU51*(AU8+AU9)/Time!AU25,0)</f>
        <v>0.38661649296821</v>
      </c>
      <c r="AV26" s="11" t="n">
        <f aca="false">IF(Time!AV25&gt;0,Inputs!$F$176/100*Operations!AV51*(AV8+AV9)/Time!AV25,0)</f>
        <v>0.394542046299487</v>
      </c>
      <c r="AW26" s="11" t="n">
        <f aca="false">IF(Time!AW25&gt;0,Inputs!$F$176/100*Operations!AW51*(AW8+AW9)/Time!AW25,0)</f>
        <v>0.398532538072703</v>
      </c>
      <c r="AX26" s="11" t="n">
        <f aca="false">IF(Time!AX25&gt;0,Inputs!$F$176/100*Operations!AX51*(AX8+AX9)/Time!AX25,0)</f>
        <v>0.400460380771801</v>
      </c>
      <c r="AY26" s="11" t="n">
        <f aca="false">IF(Time!AY25&gt;0,Inputs!$F$176/100*Operations!AY51*(AY8+AY9)/Time!AY25,0)</f>
        <v>0.402233277980589</v>
      </c>
      <c r="AZ26" s="11" t="n">
        <f aca="false">IF(Time!AZ25&gt;0,Inputs!$F$176/100*Operations!AZ51*(AZ8+AZ9)/Time!AZ25,0)</f>
        <v>0.404549053644741</v>
      </c>
      <c r="BA26" s="11" t="n">
        <f aca="false">IF(Time!BA25&gt;0,Inputs!$F$176/100*Operations!BA51*(BA8+BA9)/Time!BA25,0)</f>
        <v>0.407068874499829</v>
      </c>
      <c r="BB26" s="11" t="n">
        <f aca="false">IF(Time!BB25&gt;0,Inputs!$F$176/100*Operations!BB51*(BB8+BB9)/Time!BB25,0)</f>
        <v>0.408622883019584</v>
      </c>
      <c r="BC26" s="11" t="n">
        <f aca="false">IF(Time!BC25&gt;0,Inputs!$F$176/100*Operations!BC51*(BC8+BC9)/Time!BC25,0)</f>
        <v>0.409543364355078</v>
      </c>
      <c r="BD26" s="11" t="n">
        <f aca="false">IF(Time!BD25&gt;0,Inputs!$F$176/100*Operations!BD51*(BD8+BD9)/Time!BD25,0)</f>
        <v>0.412413215392352</v>
      </c>
      <c r="BE26" s="11" t="n">
        <f aca="false">IF(Time!BE25&gt;0,Inputs!$F$176/100*Operations!BE51*(BE8+BE9)/Time!BE25,0)</f>
        <v>0.415977323665417</v>
      </c>
      <c r="BF26" s="11" t="n">
        <f aca="false">IF(Time!BF25&gt;0,Inputs!$F$176/100*Operations!BF51*(BF8+BF9)/Time!BF25,0)</f>
        <v>0.418077740600214</v>
      </c>
      <c r="BG26" s="11" t="n">
        <f aca="false">IF(Time!BG25&gt;0,Inputs!$F$176/100*Operations!BG51*(BG8+BG9)/Time!BG25,0)</f>
        <v>0.420010272015969</v>
      </c>
      <c r="BH26" s="11" t="n">
        <f aca="false">IF(Time!BH25&gt;0,Inputs!$F$176/100*Operations!BH51*(BH8+BH9)/Time!BH25,0)</f>
        <v>0.422531516768161</v>
      </c>
      <c r="BI26" s="11" t="n">
        <f aca="false">IF(Time!BI25&gt;0,Inputs!$F$176/100*Operations!BI51*(BI8+BI9)/Time!BI25,0)</f>
        <v>0.425274099768932</v>
      </c>
      <c r="BJ26" s="11" t="n">
        <f aca="false">IF(Time!BJ25&gt;0,Inputs!$F$176/100*Operations!BJ51*(BJ8+BJ9)/Time!BJ25,0)</f>
        <v>0.426559195539071</v>
      </c>
      <c r="BK26" s="11" t="n">
        <f aca="false">IF(Time!BK25&gt;0,Inputs!$F$176/100*Operations!BK51*(BK8+BK9)/Time!BK25,0)</f>
        <v>0.421409408021346</v>
      </c>
      <c r="BL26" s="11" t="n">
        <f aca="false">IF(Time!BL25&gt;0,Inputs!$F$176/100*Operations!BL51*(BL8+BL9)/Time!BL25,0)</f>
        <v>0.430263211743351</v>
      </c>
      <c r="BM26" s="11" t="n">
        <f aca="false">IF(Time!BM25&gt;0,Inputs!$F$176/100*Operations!BM51*(BM8+BM9)/Time!BM25,0)</f>
        <v>0.434976123208277</v>
      </c>
      <c r="BN26" s="11" t="n">
        <f aca="false">IF(Time!BN25&gt;0,Inputs!$F$176/100*Operations!BN51*(BN8+BN9)/Time!BN25,0)</f>
        <v>0.291650147251098</v>
      </c>
    </row>
    <row r="27" customFormat="false" ht="15" hidden="false" customHeight="false" outlineLevel="0" collapsed="false">
      <c r="D27" s="0" t="s">
        <v>562</v>
      </c>
      <c r="E27" s="0" t="s">
        <v>149</v>
      </c>
      <c r="G27" s="11" t="n">
        <f aca="false">SUM(J27:BN27)</f>
        <v>285.941900327944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</v>
      </c>
      <c r="Z27" s="11" t="n">
        <f aca="false">MAX(Z25,Z26)</f>
        <v>0.118597771671728</v>
      </c>
      <c r="AA27" s="11" t="n">
        <f aca="false">MAX(AA25,AA26)</f>
        <v>0.357162155194092</v>
      </c>
      <c r="AB27" s="11" t="n">
        <f aca="false">MAX(AB25,AB26)</f>
        <v>0.358956600187885</v>
      </c>
      <c r="AC27" s="11" t="n">
        <f aca="false">MAX(AC25,AC26)</f>
        <v>0.360910873094833</v>
      </c>
      <c r="AD27" s="11" t="n">
        <f aca="false">MAX(AD25,AD26)</f>
        <v>0.361810322371713</v>
      </c>
      <c r="AE27" s="11" t="n">
        <f aca="false">MAX(AE25,AE26)</f>
        <v>0.357285847425819</v>
      </c>
      <c r="AF27" s="11" t="n">
        <f aca="false">MAX(AF25,AF26)</f>
        <v>0.364428527304582</v>
      </c>
      <c r="AG27" s="11" t="n">
        <f aca="false">MAX(AG25,AG26)</f>
        <v>0.367807136828651</v>
      </c>
      <c r="AH27" s="11" t="n">
        <f aca="false">MAX(AH25,AH26)</f>
        <v>0.369431194794716</v>
      </c>
      <c r="AI27" s="11" t="n">
        <f aca="false">MAX(AI25,AI26)</f>
        <v>0.370923290384181</v>
      </c>
      <c r="AJ27" s="11" t="n">
        <f aca="false">MAX(AJ25,AJ26)</f>
        <v>0.372876973170103</v>
      </c>
      <c r="AK27" s="11" t="n">
        <f aca="false">MAX(AK25,AK26)</f>
        <v>0.375004046052006</v>
      </c>
      <c r="AL27" s="11" t="n">
        <f aca="false">MAX(AL25,AL26)</f>
        <v>0.376309434569326</v>
      </c>
      <c r="AM27" s="11" t="n">
        <f aca="false">MAX(AM25,AM26)</f>
        <v>0.377075756434062</v>
      </c>
      <c r="AN27" s="11" t="n">
        <f aca="false">MAX(AN25,AN26)</f>
        <v>0.379500039032261</v>
      </c>
      <c r="AO27" s="11" t="n">
        <f aca="false">MAX(AO25,AO26)</f>
        <v>0.382514702085066</v>
      </c>
      <c r="AP27" s="11" t="n">
        <f aca="false">MAX(AP25,AP26)</f>
        <v>0.384284146534225</v>
      </c>
      <c r="AQ27" s="11" t="n">
        <f aca="false">MAX(AQ25,AQ26)</f>
        <v>0.385910594788791</v>
      </c>
      <c r="AR27" s="11" t="n">
        <f aca="false">MAX(AR25,AR26)</f>
        <v>9.07997896378071</v>
      </c>
      <c r="AS27" s="11" t="n">
        <f aca="false">MAX(AS25,AS26)</f>
        <v>9.85414351853763</v>
      </c>
      <c r="AT27" s="11" t="n">
        <f aca="false">MAX(AT25,AT26)</f>
        <v>10.0543658770944</v>
      </c>
      <c r="AU27" s="11" t="n">
        <f aca="false">MAX(AU25,AU26)</f>
        <v>5.58935492460651</v>
      </c>
      <c r="AV27" s="11" t="n">
        <f aca="false">MAX(AV25,AV26)</f>
        <v>10.1778201988399</v>
      </c>
      <c r="AW27" s="11" t="n">
        <f aca="false">MAX(AW25,AW26)</f>
        <v>10.1464991464588</v>
      </c>
      <c r="AX27" s="11" t="n">
        <f aca="false">MAX(AX25,AX26)</f>
        <v>10.1974085198525</v>
      </c>
      <c r="AY27" s="11" t="n">
        <f aca="false">MAX(AY25,AY26)</f>
        <v>10.254829732143</v>
      </c>
      <c r="AZ27" s="11" t="n">
        <f aca="false">MAX(AZ25,AZ26)</f>
        <v>10.2933260825969</v>
      </c>
      <c r="BA27" s="11" t="n">
        <f aca="false">MAX(BA25,BA26)</f>
        <v>10.3240331340802</v>
      </c>
      <c r="BB27" s="11" t="n">
        <f aca="false">MAX(BB25,BB26)</f>
        <v>10.3953362108625</v>
      </c>
      <c r="BC27" s="11" t="n">
        <f aca="false">MAX(BC25,BC26)</f>
        <v>9.4191362993705</v>
      </c>
      <c r="BD27" s="11" t="n">
        <f aca="false">MAX(BD25,BD26)</f>
        <v>12.5301652635293</v>
      </c>
      <c r="BE27" s="11" t="n">
        <f aca="false">MAX(BE25,BE26)</f>
        <v>16.5563164364862</v>
      </c>
      <c r="BF27" s="11" t="n">
        <f aca="false">MAX(BF25,BF26)</f>
        <v>16.6118892932608</v>
      </c>
      <c r="BG27" s="11" t="n">
        <f aca="false">MAX(BG25,BG26)</f>
        <v>16.6741805665223</v>
      </c>
      <c r="BH27" s="11" t="n">
        <f aca="false">MAX(BH25,BH26)</f>
        <v>16.7159403572473</v>
      </c>
      <c r="BI27" s="11" t="n">
        <f aca="false">MAX(BI25,BI26)</f>
        <v>16.7485323820912</v>
      </c>
      <c r="BJ27" s="11" t="n">
        <f aca="false">MAX(BJ25,BJ26)</f>
        <v>16.843322647264</v>
      </c>
      <c r="BK27" s="11" t="n">
        <f aca="false">MAX(BK25,BK26)</f>
        <v>11.5643893490485</v>
      </c>
      <c r="BL27" s="11" t="n">
        <f aca="false">MAX(BL25,BL26)</f>
        <v>16.9903699211442</v>
      </c>
      <c r="BM27" s="11" t="n">
        <f aca="false">MAX(BM25,BM26)</f>
        <v>16.9485446167213</v>
      </c>
      <c r="BN27" s="11" t="n">
        <f aca="false">MAX(BN25,BN26)</f>
        <v>5.55122747448142</v>
      </c>
    </row>
    <row r="28" customFormat="false" ht="15" hidden="false" customHeight="false" outlineLevel="0" collapsed="false">
      <c r="D28" s="0" t="s">
        <v>563</v>
      </c>
      <c r="E28" s="0" t="s">
        <v>149</v>
      </c>
      <c r="G28" s="11" t="n">
        <f aca="false">SUM(J28:BN28)</f>
        <v>6.35856805275685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0</v>
      </c>
      <c r="P28" s="11" t="n">
        <f aca="false">P13-P15</f>
        <v>1.25948379879329</v>
      </c>
      <c r="Q28" s="11" t="n">
        <f aca="false">Q13-Q15</f>
        <v>2.57443321388467</v>
      </c>
      <c r="R28" s="11" t="n">
        <f aca="false">R13-R15</f>
        <v>1.72168259682694</v>
      </c>
      <c r="S28" s="11" t="n">
        <f aca="false">S13-S15</f>
        <v>0.802968443251936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565</v>
      </c>
    </row>
    <row r="8" customFormat="false" ht="15" hidden="false" customHeight="false" outlineLevel="0" collapsed="false">
      <c r="D8" s="0" t="s">
        <v>566</v>
      </c>
      <c r="E8" s="0" t="s">
        <v>109</v>
      </c>
      <c r="F8" s="10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567</v>
      </c>
      <c r="E9" s="0" t="s">
        <v>109</v>
      </c>
      <c r="F9" s="10" t="n">
        <f aca="false">IF(Inputs!$F$51=2,Funding!$F$8,Inputs!$F$105)</f>
        <v>0.740572531284416</v>
      </c>
    </row>
    <row r="10" customFormat="false" ht="15" hidden="false" customHeight="false" outlineLevel="0" collapsed="false">
      <c r="D10" s="0" t="s">
        <v>568</v>
      </c>
      <c r="E10" s="0" t="s">
        <v>99</v>
      </c>
      <c r="F10" s="10" t="n">
        <f aca="false">1-Inputs!$F$94/100*Inputs!$F$75*Funding!$F$9</f>
        <v>0.975894364106692</v>
      </c>
    </row>
    <row r="11" customFormat="false" ht="15" hidden="false" customHeight="false" outlineLevel="0" collapsed="false">
      <c r="D11" s="0" t="s">
        <v>569</v>
      </c>
      <c r="E11" s="0" t="s">
        <v>109</v>
      </c>
      <c r="F11" s="10" t="n">
        <f aca="false">INDEX(Debt!$J$17:$BN$17,1,Time!$F$12)/INDEX(Debt!$J$18:$BN$18,1,Time!$F$12)</f>
        <v>0.026134911139682</v>
      </c>
    </row>
    <row r="12" customFormat="false" ht="15" hidden="false" customHeight="false" outlineLevel="0" collapsed="false">
      <c r="D12" s="0" t="s">
        <v>570</v>
      </c>
      <c r="E12" s="0" t="s">
        <v>99</v>
      </c>
      <c r="F12" s="10" t="n">
        <f aca="false">$F$11+(INDEX(Operations!$J$9:$BN$9,1,Time!$F$12)+Inputs!$F$79)/100*INDEX(Time!$J$20:$BN$20,1,Time!$F$12)/360*1</f>
        <v>0.0485588000285709</v>
      </c>
    </row>
    <row r="13" customFormat="false" ht="15" hidden="false" customHeight="false" outlineLevel="0" collapsed="false">
      <c r="D13" s="0" t="s">
        <v>571</v>
      </c>
      <c r="E13" s="0" t="s">
        <v>99</v>
      </c>
      <c r="F13" s="10" t="n">
        <f aca="false">$F$11+(INDEX(Operations!$J$9:$BN$9,1,Time!$F$12)+Inputs!$F$80)/100*INDEX(Time!$J$20:$BN$20,1,Time!$F$12)/360*1</f>
        <v>0.0601226889174598</v>
      </c>
    </row>
    <row r="14" customFormat="false" ht="15" hidden="false" customHeight="false" outlineLevel="0" collapsed="false">
      <c r="D14" s="0" t="s">
        <v>572</v>
      </c>
      <c r="E14" s="0" t="s">
        <v>99</v>
      </c>
      <c r="F14" s="10" t="n">
        <f aca="false">$F$11+(INDEX(Operations!$J$9:$BN$9,1,Time!$F$12)+Inputs!$F$81)/100*INDEX(Time!$J$20:$BN$20,1,Time!$F$12)/360*1</f>
        <v>0.0588657444730153</v>
      </c>
    </row>
    <row r="15" customFormat="false" ht="15" hidden="false" customHeight="false" outlineLevel="0" collapsed="false">
      <c r="D15" s="0" t="s">
        <v>573</v>
      </c>
      <c r="E15" s="0" t="s">
        <v>99</v>
      </c>
      <c r="F15" s="10" t="n">
        <f aca="false">$F$11+(INDEX(Operations!$J$9:$BN$9,1,Time!$F$12)+INDEX(Debt!$J$8:$BN$8,1,Time!$F$12))/100*INDEX(Time!$J$20:$BN$20,1,Time!$F$12)/360*(1/(1-Inputs!$F$93/100))+(Inputs!$F$95/100*Inputs!$F$96/100)*INDEX(Time!$J$20:$BN$20,1,Time!$F$12)/365</f>
        <v>0.0715454633128597</v>
      </c>
    </row>
    <row r="16" customFormat="false" ht="15" hidden="false" customHeight="false" outlineLevel="0" collapsed="false">
      <c r="D16" s="0" t="s">
        <v>574</v>
      </c>
      <c r="E16" s="0" t="s">
        <v>99</v>
      </c>
      <c r="F16" s="10" t="n">
        <f aca="false">$F$11+INDEX(Debt!$J$14:$BN$14,1,Time!$F$12)</f>
        <v>0.0652376148433857</v>
      </c>
    </row>
    <row r="17" customFormat="false" ht="15" hidden="false" customHeight="false" outlineLevel="0" collapsed="false">
      <c r="D17" s="0" t="s">
        <v>575</v>
      </c>
      <c r="E17" s="0" t="s">
        <v>149</v>
      </c>
      <c r="F17" s="10" t="n">
        <f aca="false">INDEX(Inputs!$J$225:$BN$225,1,Time!$F$12)*(Inputs!$F$97/100*0.5-INDEX(Operations!$J$9:$BN$9,1,Time!$F$12)/100*INDEX(Time!$J$20:$BN$20,1,Time!$F$12)/360)</f>
        <v>-0.445478114360217</v>
      </c>
    </row>
    <row r="18" customFormat="false" ht="15" hidden="false" customHeight="false" outlineLevel="0" collapsed="false">
      <c r="B18" s="2" t="s">
        <v>576</v>
      </c>
    </row>
    <row r="19" customFormat="false" ht="15" hidden="false" customHeight="false" outlineLevel="0" collapsed="false">
      <c r="D19" s="0" t="s">
        <v>577</v>
      </c>
      <c r="E19" s="0" t="s">
        <v>99</v>
      </c>
      <c r="J19" s="14" t="n">
        <f aca="false">Inputs!$F$75*(Construction!J17+Inputs!$F$79)/100*Construction!J11/360*1+Inputs!$F$76*(Construction!J17+Inputs!$F$80)/100*Construction!J11/360*1+Inputs!$F$77*(Construction!J17+Inputs!$F$81)/100*Construction!J11/360*1+Inputs!$F$78*(Construction!J17+Inputs!$F$82)/100*Construction!J11/360*(1/(1-Inputs!$F$93/100))+Inputs!$F$78*(Inputs!$F$95/100*Inputs!$F$96/100)*Construction!J11/365</f>
        <v>0.00541933685100626</v>
      </c>
      <c r="K19" s="14" t="n">
        <f aca="false">Inputs!$F$75*(Construction!K17+Inputs!$F$79)/100*Construction!K11/360*1+Inputs!$F$76*(Construction!K17+Inputs!$F$80)/100*Construction!K11/360*1+Inputs!$F$77*(Construction!K17+Inputs!$F$81)/100*Construction!K11/360*1+Inputs!$F$78*(Construction!K17+Inputs!$F$82)/100*Construction!K11/360*(1/(1-Inputs!$F$93/100))+Inputs!$F$78*(Inputs!$F$95/100*Inputs!$F$96/100)*Construction!K11/365</f>
        <v>0.00524451953323186</v>
      </c>
      <c r="L19" s="14" t="n">
        <f aca="false">Inputs!$F$75*(Construction!L17+Inputs!$F$79)/100*Construction!L11/360*1+Inputs!$F$76*(Construction!L17+Inputs!$F$80)/100*Construction!L11/360*1+Inputs!$F$77*(Construction!L17+Inputs!$F$81)/100*Construction!L11/360*1+Inputs!$F$78*(Construction!L17+Inputs!$F$82)/100*Construction!L11/360*(1/(1-Inputs!$F$93/100))+Inputs!$F$78*(Inputs!$F$95/100*Inputs!$F$96/100)*Construction!L11/365</f>
        <v>0.00541933685100626</v>
      </c>
      <c r="M19" s="14" t="n">
        <f aca="false">Inputs!$F$75*(Construction!M17+Inputs!$F$79)/100*Construction!M11/360*1+Inputs!$F$76*(Construction!M17+Inputs!$F$80)/100*Construction!M11/360*1+Inputs!$F$77*(Construction!M17+Inputs!$F$81)/100*Construction!M11/360*1+Inputs!$F$78*(Construction!M17+Inputs!$F$82)/100*Construction!M11/360*(1/(1-Inputs!$F$93/100))+Inputs!$F$78*(Inputs!$F$95/100*Inputs!$F$96/100)*Construction!M11/365</f>
        <v>0.00524451953323186</v>
      </c>
      <c r="N19" s="14" t="n">
        <f aca="false">Inputs!$F$75*(Construction!N17+Inputs!$F$79)/100*Construction!N11/360*1+Inputs!$F$76*(Construction!N17+Inputs!$F$80)/100*Construction!N11/360*1+Inputs!$F$77*(Construction!N17+Inputs!$F$81)/100*Construction!N11/360*1+Inputs!$F$78*(Construction!N17+Inputs!$F$82)/100*Construction!N11/360*(1/(1-Inputs!$F$93/100))+Inputs!$F$78*(Inputs!$F$95/100*Inputs!$F$96/100)*Construction!N11/365</f>
        <v>0.00541933685100626</v>
      </c>
      <c r="O19" s="14" t="n">
        <f aca="false">Inputs!$F$75*(Construction!O17+Inputs!$F$79)/100*Construction!O11/360*1+Inputs!$F$76*(Construction!O17+Inputs!$F$80)/100*Construction!O11/360*1+Inputs!$F$77*(Construction!O17+Inputs!$F$81)/100*Construction!O11/360*1+Inputs!$F$78*(Construction!O17+Inputs!$F$82)/100*Construction!O11/360*(1/(1-Inputs!$F$93/100))+Inputs!$F$78*(Inputs!$F$95/100*Inputs!$F$96/100)*Construction!O11/365</f>
        <v>0.00566165351767292</v>
      </c>
      <c r="P19" s="14" t="n">
        <f aca="false">Inputs!$F$75*(Construction!P17+Inputs!$F$79)/100*Construction!P11/360*1+Inputs!$F$76*(Construction!P17+Inputs!$F$80)/100*Construction!P11/360*1+Inputs!$F$77*(Construction!P17+Inputs!$F$81)/100*Construction!P11/360*1+Inputs!$F$78*(Construction!P17+Inputs!$F$82)/100*Construction!P11/360*(1/(1-Inputs!$F$93/100))+Inputs!$F$78*(Inputs!$F$95/100*Inputs!$F$96/100)*Construction!P11/365</f>
        <v>0.00511375156434974</v>
      </c>
      <c r="Q19" s="14" t="n">
        <f aca="false">Inputs!$F$75*(Construction!Q17+Inputs!$F$79)/100*Construction!Q11/360*1+Inputs!$F$76*(Construction!Q17+Inputs!$F$80)/100*Construction!Q11/360*1+Inputs!$F$77*(Construction!Q17+Inputs!$F$81)/100*Construction!Q11/360*1+Inputs!$F$78*(Construction!Q17+Inputs!$F$82)/100*Construction!Q11/360*(1/(1-Inputs!$F$93/100))+Inputs!$F$78*(Inputs!$F$95/100*Inputs!$F$96/100)*Construction!Q11/365</f>
        <v>0.00566165351767292</v>
      </c>
      <c r="R19" s="14" t="n">
        <f aca="false">Inputs!$F$75*(Construction!R17+Inputs!$F$79)/100*Construction!R11/360*1+Inputs!$F$76*(Construction!R17+Inputs!$F$80)/100*Construction!R11/360*1+Inputs!$F$77*(Construction!R17+Inputs!$F$81)/100*Construction!R11/360*1+Inputs!$F$78*(Construction!R17+Inputs!$F$82)/100*Construction!R11/360*(1/(1-Inputs!$F$93/100))+Inputs!$F$78*(Inputs!$F$95/100*Inputs!$F$96/100)*Construction!R11/365</f>
        <v>0.00547901953323186</v>
      </c>
      <c r="S19" s="14" t="n">
        <f aca="false">Inputs!$F$75*(Construction!S17+Inputs!$F$79)/100*Construction!S11/360*1+Inputs!$F$76*(Construction!S17+Inputs!$F$80)/100*Construction!S11/360*1+Inputs!$F$77*(Construction!S17+Inputs!$F$81)/100*Construction!S11/360*1+Inputs!$F$78*(Construction!S17+Inputs!$F$82)/100*Construction!S11/360*(1/(1-Inputs!$F$93/100))+Inputs!$F$78*(Inputs!$F$95/100*Inputs!$F$96/100)*Construction!S11/365</f>
        <v>0.00566165351767292</v>
      </c>
      <c r="T19" s="14" t="n">
        <f aca="false">Inputs!$F$75*(Construction!T17+Inputs!$F$79)/100*Construction!T11/360*1+Inputs!$F$76*(Construction!T17+Inputs!$F$80)/100*Construction!T11/360*1+Inputs!$F$77*(Construction!T17+Inputs!$F$81)/100*Construction!T11/360*1+Inputs!$F$78*(Construction!T17+Inputs!$F$82)/100*Construction!T11/360*(1/(1-Inputs!$F$93/100))+Inputs!$F$78*(Inputs!$F$95/100*Inputs!$F$96/100)*Construction!T11/365</f>
        <v>0.00547901953323186</v>
      </c>
      <c r="U19" s="14" t="n">
        <f aca="false">Inputs!$F$75*(Construction!U17+Inputs!$F$79)/100*Construction!U11/360*1+Inputs!$F$76*(Construction!U17+Inputs!$F$80)/100*Construction!U11/360*1+Inputs!$F$77*(Construction!U17+Inputs!$F$81)/100*Construction!U11/360*1+Inputs!$F$78*(Construction!U17+Inputs!$F$82)/100*Construction!U11/360*(1/(1-Inputs!$F$93/100))+Inputs!$F$78*(Inputs!$F$95/100*Inputs!$F$96/100)*Construction!U11/365</f>
        <v>0.00579627388804329</v>
      </c>
      <c r="V19" s="14" t="n">
        <f aca="false">Inputs!$F$75*(Construction!V17+Inputs!$F$79)/100*Construction!V11/360*1+Inputs!$F$76*(Construction!V17+Inputs!$F$80)/100*Construction!V11/360*1+Inputs!$F$77*(Construction!V17+Inputs!$F$81)/100*Construction!V11/360*1+Inputs!$F$78*(Construction!V17+Inputs!$F$82)/100*Construction!V11/360*(1/(1-Inputs!$F$93/100))+Inputs!$F$78*(Inputs!$F$95/100*Inputs!$F$96/100)*Construction!V11/365</f>
        <v>0.00579627388804329</v>
      </c>
      <c r="W19" s="14" t="n">
        <f aca="false">Inputs!$F$75*(Construction!W17+Inputs!$F$79)/100*Construction!W11/360*1+Inputs!$F$76*(Construction!W17+Inputs!$F$80)/100*Construction!W11/360*1+Inputs!$F$77*(Construction!W17+Inputs!$F$81)/100*Construction!W11/360*1+Inputs!$F$78*(Construction!W17+Inputs!$F$82)/100*Construction!W11/360*(1/(1-Inputs!$F$93/100))+Inputs!$F$78*(Inputs!$F$95/100*Inputs!$F$96/100)*Construction!W11/365</f>
        <v>0.00560929731100964</v>
      </c>
      <c r="X19" s="14" t="n">
        <f aca="false">Inputs!$F$75*(Construction!X17+Inputs!$F$79)/100*Construction!X11/360*1+Inputs!$F$76*(Construction!X17+Inputs!$F$80)/100*Construction!X11/360*1+Inputs!$F$77*(Construction!X17+Inputs!$F$81)/100*Construction!X11/360*1+Inputs!$F$78*(Construction!X17+Inputs!$F$82)/100*Construction!X11/360*(1/(1-Inputs!$F$93/100))+Inputs!$F$78*(Inputs!$F$95/100*Inputs!$F$96/100)*Construction!X11/365</f>
        <v>0.00579627388804329</v>
      </c>
      <c r="Y19" s="14" t="n">
        <f aca="false">Inputs!$F$75*(Construction!Y17+Inputs!$F$79)/100*Construction!Y11/360*1+Inputs!$F$76*(Construction!Y17+Inputs!$F$80)/100*Construction!Y11/360*1+Inputs!$F$77*(Construction!Y17+Inputs!$F$81)/100*Construction!Y11/360*1+Inputs!$F$78*(Construction!Y17+Inputs!$F$82)/100*Construction!Y11/360*(1/(1-Inputs!$F$93/100))+Inputs!$F$78*(Inputs!$F$95/100*Inputs!$F$96/100)*Construction!Y11/365</f>
        <v>0.00560929731100964</v>
      </c>
      <c r="Z19" s="14" t="n">
        <f aca="false">Inputs!$F$75*(Construction!Z17+Inputs!$F$79)/100*Construction!Z11/360*1+Inputs!$F$76*(Construction!Z17+Inputs!$F$80)/100*Construction!Z11/360*1+Inputs!$F$77*(Construction!Z17+Inputs!$F$81)/100*Construction!Z11/360*1+Inputs!$F$78*(Construction!Z17+Inputs!$F$82)/100*Construction!Z11/360*(1/(1-Inputs!$F$93/100))+Inputs!$F$78*(Inputs!$F$95/100*Inputs!$F$96/100)*Construction!Z11/365</f>
        <v>0.00579627388804329</v>
      </c>
      <c r="AA19" s="14" t="n">
        <f aca="false">Inputs!$F$75*(Construction!AA17+Inputs!$F$79)/100*Construction!AA11/360*1+Inputs!$F$76*(Construction!AA17+Inputs!$F$80)/100*Construction!AA11/360*1+Inputs!$F$77*(Construction!AA17+Inputs!$F$81)/100*Construction!AA11/360*1+Inputs!$F$78*(Construction!AA17+Inputs!$F$82)/100*Construction!AA11/360*(1/(1-Inputs!$F$93/100))+Inputs!$F$78*(Inputs!$F$95/100*Inputs!$F$96/100)*Construction!AA11/365</f>
        <v>0.00586807141890749</v>
      </c>
      <c r="AB19" s="14" t="n">
        <f aca="false">Inputs!$F$75*(Construction!AB17+Inputs!$F$79)/100*Construction!AB11/360*1+Inputs!$F$76*(Construction!AB17+Inputs!$F$80)/100*Construction!AB11/360*1+Inputs!$F$77*(Construction!AB17+Inputs!$F$81)/100*Construction!AB11/360*1+Inputs!$F$78*(Construction!AB17+Inputs!$F$82)/100*Construction!AB11/360*(1/(1-Inputs!$F$93/100))+Inputs!$F$78*(Inputs!$F$95/100*Inputs!$F$96/100)*Construction!AB11/365</f>
        <v>0.00548948616607475</v>
      </c>
      <c r="AC19" s="14" t="n">
        <f aca="false">Inputs!$F$75*(Construction!AC17+Inputs!$F$79)/100*Construction!AC11/360*1+Inputs!$F$76*(Construction!AC17+Inputs!$F$80)/100*Construction!AC11/360*1+Inputs!$F$77*(Construction!AC17+Inputs!$F$81)/100*Construction!AC11/360*1+Inputs!$F$78*(Construction!AC17+Inputs!$F$82)/100*Construction!AC11/360*(1/(1-Inputs!$F$93/100))+Inputs!$F$78*(Inputs!$F$95/100*Inputs!$F$96/100)*Construction!AC11/365</f>
        <v>0.00586807141890749</v>
      </c>
      <c r="AD19" s="14" t="n">
        <f aca="false">Inputs!$F$75*(Construction!AD17+Inputs!$F$79)/100*Construction!AD11/360*1+Inputs!$F$76*(Construction!AD17+Inputs!$F$80)/100*Construction!AD11/360*1+Inputs!$F$77*(Construction!AD17+Inputs!$F$81)/100*Construction!AD11/360*1+Inputs!$F$78*(Construction!AD17+Inputs!$F$82)/100*Construction!AD11/360*(1/(1-Inputs!$F$93/100))+Inputs!$F$78*(Inputs!$F$95/100*Inputs!$F$96/100)*Construction!AD11/365</f>
        <v>0.00567877879249112</v>
      </c>
      <c r="AE19" s="14" t="n">
        <f aca="false">Inputs!$F$75*(Construction!AE17+Inputs!$F$79)/100*Construction!AE11/360*1+Inputs!$F$76*(Construction!AE17+Inputs!$F$80)/100*Construction!AE11/360*1+Inputs!$F$77*(Construction!AE17+Inputs!$F$81)/100*Construction!AE11/360*1+Inputs!$F$78*(Construction!AE17+Inputs!$F$82)/100*Construction!AE11/360*(1/(1-Inputs!$F$93/100))+Inputs!$F$78*(Inputs!$F$95/100*Inputs!$F$96/100)*Construction!AE11/365</f>
        <v>0.00586807141890749</v>
      </c>
      <c r="AF19" s="14" t="n">
        <f aca="false">Inputs!$F$75*(Construction!AF17+Inputs!$F$79)/100*Construction!AF11/360*1+Inputs!$F$76*(Construction!AF17+Inputs!$F$80)/100*Construction!AF11/360*1+Inputs!$F$77*(Construction!AF17+Inputs!$F$81)/100*Construction!AF11/360*1+Inputs!$F$78*(Construction!AF17+Inputs!$F$82)/100*Construction!AF11/360*(1/(1-Inputs!$F$93/100))+Inputs!$F$78*(Inputs!$F$95/100*Inputs!$F$96/100)*Construction!AF11/365</f>
        <v>0.00567877879249112</v>
      </c>
      <c r="AG19" s="14" t="n">
        <f aca="false">Inputs!$F$75*(Construction!AG17+Inputs!$F$79)/100*Construction!AG11/360*1+Inputs!$F$76*(Construction!AG17+Inputs!$F$80)/100*Construction!AG11/360*1+Inputs!$F$77*(Construction!AG17+Inputs!$F$81)/100*Construction!AG11/360*1+Inputs!$F$78*(Construction!AG17+Inputs!$F$82)/100*Construction!AG11/360*(1/(1-Inputs!$F$93/100))+Inputs!$F$78*(Inputs!$F$95/100*Inputs!$F$96/100)*Construction!AG11/365</f>
        <v>0.00590397018433959</v>
      </c>
      <c r="AH19" s="14" t="n">
        <f aca="false">Inputs!$F$75*(Construction!AH17+Inputs!$F$79)/100*Construction!AH11/360*1+Inputs!$F$76*(Construction!AH17+Inputs!$F$80)/100*Construction!AH11/360*1+Inputs!$F$77*(Construction!AH17+Inputs!$F$81)/100*Construction!AH11/360*1+Inputs!$F$78*(Construction!AH17+Inputs!$F$82)/100*Construction!AH11/360*(1/(1-Inputs!$F$93/100))+Inputs!$F$78*(Inputs!$F$95/100*Inputs!$F$96/100)*Construction!AH11/365</f>
        <v>0.00590397018433959</v>
      </c>
      <c r="AI19" s="14" t="n">
        <f aca="false">Inputs!$F$75*(Construction!AI17+Inputs!$F$79)/100*Construction!AI11/360*1+Inputs!$F$76*(Construction!AI17+Inputs!$F$80)/100*Construction!AI11/360*1+Inputs!$F$77*(Construction!AI17+Inputs!$F$81)/100*Construction!AI11/360*1+Inputs!$F$78*(Construction!AI17+Inputs!$F$82)/100*Construction!AI11/360*(1/(1-Inputs!$F$93/100))+Inputs!$F$78*(Inputs!$F$95/100*Inputs!$F$96/100)*Construction!AI11/365</f>
        <v>0.00571351953323186</v>
      </c>
      <c r="AJ19" s="14" t="n">
        <f aca="false">Inputs!$F$75*(Construction!AJ17+Inputs!$F$79)/100*Construction!AJ11/360*1+Inputs!$F$76*(Construction!AJ17+Inputs!$F$80)/100*Construction!AJ11/360*1+Inputs!$F$77*(Construction!AJ17+Inputs!$F$81)/100*Construction!AJ11/360*1+Inputs!$F$78*(Construction!AJ17+Inputs!$F$82)/100*Construction!AJ11/360*(1/(1-Inputs!$F$93/100))+Inputs!$F$78*(Inputs!$F$95/100*Inputs!$F$96/100)*Construction!AJ11/365</f>
        <v>0.00590397018433959</v>
      </c>
      <c r="AK19" s="14" t="n">
        <f aca="false">Inputs!$F$75*(Construction!AK17+Inputs!$F$79)/100*Construction!AK11/360*1+Inputs!$F$76*(Construction!AK17+Inputs!$F$80)/100*Construction!AK11/360*1+Inputs!$F$77*(Construction!AK17+Inputs!$F$81)/100*Construction!AK11/360*1+Inputs!$F$78*(Construction!AK17+Inputs!$F$82)/100*Construction!AK11/360*(1/(1-Inputs!$F$93/100))+Inputs!$F$78*(Inputs!$F$95/100*Inputs!$F$96/100)*Construction!AK11/365</f>
        <v>0.00571351953323186</v>
      </c>
      <c r="AL19" s="14" t="n">
        <f aca="false">Inputs!$F$75*(Construction!AL17+Inputs!$F$79)/100*Construction!AL11/360*1+Inputs!$F$76*(Construction!AL17+Inputs!$F$80)/100*Construction!AL11/360*1+Inputs!$F$77*(Construction!AL17+Inputs!$F$81)/100*Construction!AL11/360*1+Inputs!$F$78*(Construction!AL17+Inputs!$F$82)/100*Construction!AL11/360*(1/(1-Inputs!$F$93/100))+Inputs!$F$78*(Inputs!$F$95/100*Inputs!$F$96/100)*Construction!AL11/365</f>
        <v>0.00590397018433959</v>
      </c>
      <c r="AM19" s="14" t="n">
        <f aca="false">Inputs!$F$75*(Construction!AM17+Inputs!$F$79)/100*Construction!AM11/360*1+Inputs!$F$76*(Construction!AM17+Inputs!$F$80)/100*Construction!AM11/360*1+Inputs!$F$77*(Construction!AM17+Inputs!$F$81)/100*Construction!AM11/360*1+Inputs!$F$78*(Construction!AM17+Inputs!$F$82)/100*Construction!AM11/360*(1/(1-Inputs!$F$93/100))+Inputs!$F$78*(Inputs!$F$95/100*Inputs!$F$96/100)*Construction!AM11/365</f>
        <v>0.00593089425841366</v>
      </c>
      <c r="AN19" s="14" t="n">
        <f aca="false">Inputs!$F$75*(Construction!AN17+Inputs!$F$79)/100*Construction!AN11/360*1+Inputs!$F$76*(Construction!AN17+Inputs!$F$80)/100*Construction!AN11/360*1+Inputs!$F$77*(Construction!AN17+Inputs!$F$81)/100*Construction!AN11/360*1+Inputs!$F$78*(Construction!AN17+Inputs!$F$82)/100*Construction!AN11/360*(1/(1-Inputs!$F$93/100))+Inputs!$F$78*(Inputs!$F$95/100*Inputs!$F$96/100)*Construction!AN11/365</f>
        <v>0.00535693674953492</v>
      </c>
      <c r="AO19" s="14" t="n">
        <f aca="false">Inputs!$F$75*(Construction!AO17+Inputs!$F$79)/100*Construction!AO11/360*1+Inputs!$F$76*(Construction!AO17+Inputs!$F$80)/100*Construction!AO11/360*1+Inputs!$F$77*(Construction!AO17+Inputs!$F$81)/100*Construction!AO11/360*1+Inputs!$F$78*(Construction!AO17+Inputs!$F$82)/100*Construction!AO11/360*(1/(1-Inputs!$F$93/100))+Inputs!$F$78*(Inputs!$F$95/100*Inputs!$F$96/100)*Construction!AO11/365</f>
        <v>0.00593089425841366</v>
      </c>
      <c r="AP19" s="14" t="n">
        <f aca="false">Inputs!$F$75*(Construction!AP17+Inputs!$F$79)/100*Construction!AP11/360*1+Inputs!$F$76*(Construction!AP17+Inputs!$F$80)/100*Construction!AP11/360*1+Inputs!$F$77*(Construction!AP17+Inputs!$F$81)/100*Construction!AP11/360*1+Inputs!$F$78*(Construction!AP17+Inputs!$F$82)/100*Construction!AP11/360*(1/(1-Inputs!$F$93/100))+Inputs!$F$78*(Inputs!$F$95/100*Inputs!$F$96/100)*Construction!AP11/365</f>
        <v>0.00573957508878742</v>
      </c>
      <c r="AQ19" s="14" t="n">
        <f aca="false">Inputs!$F$75*(Construction!AQ17+Inputs!$F$79)/100*Construction!AQ11/360*1+Inputs!$F$76*(Construction!AQ17+Inputs!$F$80)/100*Construction!AQ11/360*1+Inputs!$F$77*(Construction!AQ17+Inputs!$F$81)/100*Construction!AQ11/360*1+Inputs!$F$78*(Construction!AQ17+Inputs!$F$82)/100*Construction!AQ11/360*(1/(1-Inputs!$F$93/100))+Inputs!$F$78*(Inputs!$F$95/100*Inputs!$F$96/100)*Construction!AQ11/365</f>
        <v>0.00593089425841366</v>
      </c>
      <c r="AR19" s="14" t="n">
        <f aca="false">Inputs!$F$75*(Construction!AR17+Inputs!$F$79)/100*Construction!AR11/360*1+Inputs!$F$76*(Construction!AR17+Inputs!$F$80)/100*Construction!AR11/360*1+Inputs!$F$77*(Construction!AR17+Inputs!$F$81)/100*Construction!AR11/360*1+Inputs!$F$78*(Construction!AR17+Inputs!$F$82)/100*Construction!AR11/360*(1/(1-Inputs!$F$93/100))+Inputs!$F$78*(Inputs!$F$95/100*Inputs!$F$96/100)*Construction!AR11/365</f>
        <v>0.00573957508878742</v>
      </c>
      <c r="AS19" s="14" t="n">
        <f aca="false">Inputs!$F$75*(Construction!AS17+Inputs!$F$79)/100*Construction!AS11/360*1+Inputs!$F$76*(Construction!AS17+Inputs!$F$80)/100*Construction!AS11/360*1+Inputs!$F$77*(Construction!AS17+Inputs!$F$81)/100*Construction!AS11/360*1+Inputs!$F$78*(Construction!AS17+Inputs!$F$82)/100*Construction!AS11/360*(1/(1-Inputs!$F$93/100))+Inputs!$F$78*(Inputs!$F$95/100*Inputs!$F$96/100)*Construction!AS11/365</f>
        <v>0.00593089425841366</v>
      </c>
      <c r="AT19" s="14" t="n">
        <f aca="false">Inputs!$F$75*(Construction!AT17+Inputs!$F$79)/100*Construction!AT11/360*1+Inputs!$F$76*(Construction!AT17+Inputs!$F$80)/100*Construction!AT11/360*1+Inputs!$F$77*(Construction!AT17+Inputs!$F$81)/100*Construction!AT11/360*1+Inputs!$F$78*(Construction!AT17+Inputs!$F$82)/100*Construction!AT11/360*(1/(1-Inputs!$F$93/100))+Inputs!$F$78*(Inputs!$F$95/100*Inputs!$F$96/100)*Construction!AT11/365</f>
        <v>0.00593089425841366</v>
      </c>
      <c r="AU19" s="14" t="n">
        <f aca="false">Inputs!$F$75*(Construction!AU17+Inputs!$F$79)/100*Construction!AU11/360*1+Inputs!$F$76*(Construction!AU17+Inputs!$F$80)/100*Construction!AU11/360*1+Inputs!$F$77*(Construction!AU17+Inputs!$F$81)/100*Construction!AU11/360*1+Inputs!$F$78*(Construction!AU17+Inputs!$F$82)/100*Construction!AU11/360*(1/(1-Inputs!$F$93/100))+Inputs!$F$78*(Inputs!$F$95/100*Inputs!$F$96/100)*Construction!AU11/365</f>
        <v>0.00573957508878742</v>
      </c>
      <c r="AV19" s="14" t="n">
        <f aca="false">Inputs!$F$75*(Construction!AV17+Inputs!$F$79)/100*Construction!AV11/360*1+Inputs!$F$76*(Construction!AV17+Inputs!$F$80)/100*Construction!AV11/360*1+Inputs!$F$77*(Construction!AV17+Inputs!$F$81)/100*Construction!AV11/360*1+Inputs!$F$78*(Construction!AV17+Inputs!$F$82)/100*Construction!AV11/360*(1/(1-Inputs!$F$93/100))+Inputs!$F$78*(Inputs!$F$95/100*Inputs!$F$96/100)*Construction!AV11/365</f>
        <v>0.00593089425841366</v>
      </c>
      <c r="AW19" s="14" t="n">
        <f aca="false">Inputs!$F$75*(Construction!AW17+Inputs!$F$79)/100*Construction!AW11/360*1+Inputs!$F$76*(Construction!AW17+Inputs!$F$80)/100*Construction!AW11/360*1+Inputs!$F$77*(Construction!AW17+Inputs!$F$81)/100*Construction!AW11/360*1+Inputs!$F$78*(Construction!AW17+Inputs!$F$82)/100*Construction!AW11/360*(1/(1-Inputs!$F$93/100))+Inputs!$F$78*(Inputs!$F$95/100*Inputs!$F$96/100)*Construction!AW11/365</f>
        <v>0.00573957508878742</v>
      </c>
      <c r="AX19" s="14" t="n">
        <f aca="false">Inputs!$F$75*(Construction!AX17+Inputs!$F$79)/100*Construction!AX11/360*1+Inputs!$F$76*(Construction!AX17+Inputs!$F$80)/100*Construction!AX11/360*1+Inputs!$F$77*(Construction!AX17+Inputs!$F$81)/100*Construction!AX11/360*1+Inputs!$F$78*(Construction!AX17+Inputs!$F$82)/100*Construction!AX11/360*(1/(1-Inputs!$F$93/100))+Inputs!$F$78*(Inputs!$F$95/100*Inputs!$F$96/100)*Construction!AX11/365</f>
        <v>0.00593089425841366</v>
      </c>
      <c r="AY19" s="14" t="n">
        <f aca="false">Inputs!$F$75*(Construction!AY17+Inputs!$F$79)/100*Construction!AY11/360*1+Inputs!$F$76*(Construction!AY17+Inputs!$F$80)/100*Construction!AY11/360*1+Inputs!$F$77*(Construction!AY17+Inputs!$F$81)/100*Construction!AY11/360*1+Inputs!$F$78*(Construction!AY17+Inputs!$F$82)/100*Construction!AY11/360*(1/(1-Inputs!$F$93/100))+Inputs!$F$78*(Inputs!$F$95/100*Inputs!$F$96/100)*Construction!AY11/365</f>
        <v>0.00594884364112971</v>
      </c>
      <c r="AZ19" s="14" t="n">
        <f aca="false">Inputs!$F$75*(Construction!AZ17+Inputs!$F$79)/100*Construction!AZ11/360*1+Inputs!$F$76*(Construction!AZ17+Inputs!$F$80)/100*Construction!AZ11/360*1+Inputs!$F$77*(Construction!AZ17+Inputs!$F$81)/100*Construction!AZ11/360*1+Inputs!$F$78*(Construction!AZ17+Inputs!$F$82)/100*Construction!AZ11/360*(1/(1-Inputs!$F$93/100))+Inputs!$F$78*(Inputs!$F$95/100*Inputs!$F$96/100)*Construction!AZ11/365</f>
        <v>0.00537314909521394</v>
      </c>
      <c r="BA19" s="14" t="n">
        <f aca="false">Inputs!$F$75*(Construction!BA17+Inputs!$F$79)/100*Construction!BA11/360*1+Inputs!$F$76*(Construction!BA17+Inputs!$F$80)/100*Construction!BA11/360*1+Inputs!$F$77*(Construction!BA17+Inputs!$F$81)/100*Construction!BA11/360*1+Inputs!$F$78*(Construction!BA17+Inputs!$F$82)/100*Construction!BA11/360*(1/(1-Inputs!$F$93/100))+Inputs!$F$78*(Inputs!$F$95/100*Inputs!$F$96/100)*Construction!BA11/365</f>
        <v>0.00594884364112971</v>
      </c>
      <c r="BB19" s="14" t="n">
        <f aca="false">Inputs!$F$75*(Construction!BB17+Inputs!$F$79)/100*Construction!BB11/360*1+Inputs!$F$76*(Construction!BB17+Inputs!$F$80)/100*Construction!BB11/360*1+Inputs!$F$77*(Construction!BB17+Inputs!$F$81)/100*Construction!BB11/360*1+Inputs!$F$78*(Construction!BB17+Inputs!$F$82)/100*Construction!BB11/360*(1/(1-Inputs!$F$93/100))+Inputs!$F$78*(Inputs!$F$95/100*Inputs!$F$96/100)*Construction!BB11/365</f>
        <v>0.00575694545915779</v>
      </c>
      <c r="BC19" s="14" t="n">
        <f aca="false">Inputs!$F$75*(Construction!BC17+Inputs!$F$79)/100*Construction!BC11/360*1+Inputs!$F$76*(Construction!BC17+Inputs!$F$80)/100*Construction!BC11/360*1+Inputs!$F$77*(Construction!BC17+Inputs!$F$81)/100*Construction!BC11/360*1+Inputs!$F$78*(Construction!BC17+Inputs!$F$82)/100*Construction!BC11/360*(1/(1-Inputs!$F$93/100))+Inputs!$F$78*(Inputs!$F$95/100*Inputs!$F$96/100)*Construction!BC11/365</f>
        <v>0.00594884364112971</v>
      </c>
      <c r="BD19" s="14" t="n">
        <f aca="false">Inputs!$F$75*(Construction!BD17+Inputs!$F$79)/100*Construction!BD11/360*1+Inputs!$F$76*(Construction!BD17+Inputs!$F$80)/100*Construction!BD11/360*1+Inputs!$F$77*(Construction!BD17+Inputs!$F$81)/100*Construction!BD11/360*1+Inputs!$F$78*(Construction!BD17+Inputs!$F$82)/100*Construction!BD11/360*(1/(1-Inputs!$F$93/100))+Inputs!$F$78*(Inputs!$F$95/100*Inputs!$F$96/100)*Construction!BD11/365</f>
        <v>0.00575694545915779</v>
      </c>
      <c r="BE19" s="14" t="n">
        <f aca="false">Inputs!$F$75*(Construction!BE17+Inputs!$F$79)/100*Construction!BE11/360*1+Inputs!$F$76*(Construction!BE17+Inputs!$F$80)/100*Construction!BE11/360*1+Inputs!$F$77*(Construction!BE17+Inputs!$F$81)/100*Construction!BE11/360*1+Inputs!$F$78*(Construction!BE17+Inputs!$F$82)/100*Construction!BE11/360*(1/(1-Inputs!$F$93/100))+Inputs!$F$78*(Inputs!$F$95/100*Inputs!$F$96/100)*Construction!BE11/365</f>
        <v>0.00594884364112971</v>
      </c>
      <c r="BF19" s="14" t="n">
        <f aca="false">Inputs!$F$75*(Construction!BF17+Inputs!$F$79)/100*Construction!BF11/360*1+Inputs!$F$76*(Construction!BF17+Inputs!$F$80)/100*Construction!BF11/360*1+Inputs!$F$77*(Construction!BF17+Inputs!$F$81)/100*Construction!BF11/360*1+Inputs!$F$78*(Construction!BF17+Inputs!$F$82)/100*Construction!BF11/360*(1/(1-Inputs!$F$93/100))+Inputs!$F$78*(Inputs!$F$95/100*Inputs!$F$96/100)*Construction!BF11/365</f>
        <v>0.00594884364112971</v>
      </c>
      <c r="BG19" s="14" t="n">
        <f aca="false">Inputs!$F$75*(Construction!BG17+Inputs!$F$79)/100*Construction!BG11/360*1+Inputs!$F$76*(Construction!BG17+Inputs!$F$80)/100*Construction!BG11/360*1+Inputs!$F$77*(Construction!BG17+Inputs!$F$81)/100*Construction!BG11/360*1+Inputs!$F$78*(Construction!BG17+Inputs!$F$82)/100*Construction!BG11/360*(1/(1-Inputs!$F$93/100))+Inputs!$F$78*(Inputs!$F$95/100*Inputs!$F$96/100)*Construction!BG11/365</f>
        <v>0.00575694545915779</v>
      </c>
      <c r="BH19" s="14" t="n">
        <f aca="false">Inputs!$F$75*(Construction!BH17+Inputs!$F$79)/100*Construction!BH11/360*1+Inputs!$F$76*(Construction!BH17+Inputs!$F$80)/100*Construction!BH11/360*1+Inputs!$F$77*(Construction!BH17+Inputs!$F$81)/100*Construction!BH11/360*1+Inputs!$F$78*(Construction!BH17+Inputs!$F$82)/100*Construction!BH11/360*(1/(1-Inputs!$F$93/100))+Inputs!$F$78*(Inputs!$F$95/100*Inputs!$F$96/100)*Construction!BH11/365</f>
        <v>0.00594884364112971</v>
      </c>
      <c r="BI19" s="14" t="n">
        <f aca="false">Inputs!$F$75*(Construction!BI17+Inputs!$F$79)/100*Construction!BI11/360*1+Inputs!$F$76*(Construction!BI17+Inputs!$F$80)/100*Construction!BI11/360*1+Inputs!$F$77*(Construction!BI17+Inputs!$F$81)/100*Construction!BI11/360*1+Inputs!$F$78*(Construction!BI17+Inputs!$F$82)/100*Construction!BI11/360*(1/(1-Inputs!$F$93/100))+Inputs!$F$78*(Inputs!$F$95/100*Inputs!$F$96/100)*Construction!BI11/365</f>
        <v>0.00575694545915779</v>
      </c>
      <c r="BJ19" s="14" t="n">
        <f aca="false">Inputs!$F$75*(Construction!BJ17+Inputs!$F$79)/100*Construction!BJ11/360*1+Inputs!$F$76*(Construction!BJ17+Inputs!$F$80)/100*Construction!BJ11/360*1+Inputs!$F$77*(Construction!BJ17+Inputs!$F$81)/100*Construction!BJ11/360*1+Inputs!$F$78*(Construction!BJ17+Inputs!$F$82)/100*Construction!BJ11/360*(1/(1-Inputs!$F$93/100))+Inputs!$F$78*(Inputs!$F$95/100*Inputs!$F$96/100)*Construction!BJ11/365</f>
        <v>0.00594884364112971</v>
      </c>
    </row>
    <row r="20" customFormat="false" ht="15" hidden="false" customHeight="false" outlineLevel="0" collapsed="false">
      <c r="D20" s="0" t="s">
        <v>578</v>
      </c>
      <c r="E20" s="0" t="s">
        <v>99</v>
      </c>
      <c r="J20" s="14" t="n">
        <f aca="false">Inputs!$F$75*Inputs!$F$85/100*Construction!J11/360+Inputs!$F$76*Inputs!$F$86/100*Construction!J11/360+Inputs!$F$77*Inputs!$F$87/100*Construction!J11/360+Inputs!$F$78*(Inputs!$F$88/100*Inputs!$F$82)/100*Construction!J11/360</f>
        <v>0.000868172222222222</v>
      </c>
      <c r="K20" s="14" t="n">
        <f aca="false">Inputs!$F$75*Inputs!$F$85/100*Construction!K11/360+Inputs!$F$76*Inputs!$F$86/100*Construction!K11/360+Inputs!$F$77*Inputs!$F$87/100*Construction!K11/360+Inputs!$F$78*(Inputs!$F$88/100*Inputs!$F$82)/100*Construction!K11/360</f>
        <v>0.000840166666666667</v>
      </c>
      <c r="L20" s="14" t="n">
        <f aca="false">Inputs!$F$75*Inputs!$F$85/100*Construction!L11/360+Inputs!$F$76*Inputs!$F$86/100*Construction!L11/360+Inputs!$F$77*Inputs!$F$87/100*Construction!L11/360+Inputs!$F$78*(Inputs!$F$88/100*Inputs!$F$82)/100*Construction!L11/360</f>
        <v>0.000868172222222222</v>
      </c>
      <c r="M20" s="14" t="n">
        <f aca="false">Inputs!$F$75*Inputs!$F$85/100*Construction!M11/360+Inputs!$F$76*Inputs!$F$86/100*Construction!M11/360+Inputs!$F$77*Inputs!$F$87/100*Construction!M11/360+Inputs!$F$78*(Inputs!$F$88/100*Inputs!$F$82)/100*Construction!M11/360</f>
        <v>0.000840166666666667</v>
      </c>
      <c r="N20" s="14" t="n">
        <f aca="false">Inputs!$F$75*Inputs!$F$85/100*Construction!N11/360+Inputs!$F$76*Inputs!$F$86/100*Construction!N11/360+Inputs!$F$77*Inputs!$F$87/100*Construction!N11/360+Inputs!$F$78*(Inputs!$F$88/100*Inputs!$F$82)/100*Construction!N11/360</f>
        <v>0.000868172222222222</v>
      </c>
      <c r="O20" s="14" t="n">
        <f aca="false">Inputs!$F$75*Inputs!$F$85/100*Construction!O11/360+Inputs!$F$76*Inputs!$F$86/100*Construction!O11/360+Inputs!$F$77*Inputs!$F$87/100*Construction!O11/360+Inputs!$F$78*(Inputs!$F$88/100*Inputs!$F$82)/100*Construction!O11/360</f>
        <v>0.000868172222222222</v>
      </c>
      <c r="P20" s="14" t="n">
        <f aca="false">Inputs!$F$75*Inputs!$F$85/100*Construction!P11/360+Inputs!$F$76*Inputs!$F$86/100*Construction!P11/360+Inputs!$F$77*Inputs!$F$87/100*Construction!P11/360+Inputs!$F$78*(Inputs!$F$88/100*Inputs!$F$82)/100*Construction!P11/360</f>
        <v>0.000784155555555556</v>
      </c>
      <c r="Q20" s="14" t="n">
        <f aca="false">Inputs!$F$75*Inputs!$F$85/100*Construction!Q11/360+Inputs!$F$76*Inputs!$F$86/100*Construction!Q11/360+Inputs!$F$77*Inputs!$F$87/100*Construction!Q11/360+Inputs!$F$78*(Inputs!$F$88/100*Inputs!$F$82)/100*Construction!Q11/360</f>
        <v>0.000868172222222222</v>
      </c>
      <c r="R20" s="14" t="n">
        <f aca="false">Inputs!$F$75*Inputs!$F$85/100*Construction!R11/360+Inputs!$F$76*Inputs!$F$86/100*Construction!R11/360+Inputs!$F$77*Inputs!$F$87/100*Construction!R11/360+Inputs!$F$78*(Inputs!$F$88/100*Inputs!$F$82)/100*Construction!R11/360</f>
        <v>0.000840166666666667</v>
      </c>
      <c r="S20" s="14" t="n">
        <f aca="false">Inputs!$F$75*Inputs!$F$85/100*Construction!S11/360+Inputs!$F$76*Inputs!$F$86/100*Construction!S11/360+Inputs!$F$77*Inputs!$F$87/100*Construction!S11/360+Inputs!$F$78*(Inputs!$F$88/100*Inputs!$F$82)/100*Construction!S11/360</f>
        <v>0.000868172222222222</v>
      </c>
      <c r="T20" s="14" t="n">
        <f aca="false">Inputs!$F$75*Inputs!$F$85/100*Construction!T11/360+Inputs!$F$76*Inputs!$F$86/100*Construction!T11/360+Inputs!$F$77*Inputs!$F$87/100*Construction!T11/360+Inputs!$F$78*(Inputs!$F$88/100*Inputs!$F$82)/100*Construction!T11/360</f>
        <v>0.000840166666666667</v>
      </c>
      <c r="U20" s="14" t="n">
        <f aca="false">Inputs!$F$75*Inputs!$F$85/100*Construction!U11/360+Inputs!$F$76*Inputs!$F$86/100*Construction!U11/360+Inputs!$F$77*Inputs!$F$87/100*Construction!U11/360+Inputs!$F$78*(Inputs!$F$88/100*Inputs!$F$82)/100*Construction!U11/360</f>
        <v>0.000868172222222222</v>
      </c>
      <c r="V20" s="14" t="n">
        <f aca="false">Inputs!$F$75*Inputs!$F$85/100*Construction!V11/360+Inputs!$F$76*Inputs!$F$86/100*Construction!V11/360+Inputs!$F$77*Inputs!$F$87/100*Construction!V11/360+Inputs!$F$78*(Inputs!$F$88/100*Inputs!$F$82)/100*Construction!V11/360</f>
        <v>0.000868172222222222</v>
      </c>
      <c r="W20" s="14" t="n">
        <f aca="false">Inputs!$F$75*Inputs!$F$85/100*Construction!W11/360+Inputs!$F$76*Inputs!$F$86/100*Construction!W11/360+Inputs!$F$77*Inputs!$F$87/100*Construction!W11/360+Inputs!$F$78*(Inputs!$F$88/100*Inputs!$F$82)/100*Construction!W11/360</f>
        <v>0.000840166666666667</v>
      </c>
      <c r="X20" s="14" t="n">
        <f aca="false">Inputs!$F$75*Inputs!$F$85/100*Construction!X11/360+Inputs!$F$76*Inputs!$F$86/100*Construction!X11/360+Inputs!$F$77*Inputs!$F$87/100*Construction!X11/360+Inputs!$F$78*(Inputs!$F$88/100*Inputs!$F$82)/100*Construction!X11/360</f>
        <v>0.000868172222222222</v>
      </c>
      <c r="Y20" s="14" t="n">
        <f aca="false">Inputs!$F$75*Inputs!$F$85/100*Construction!Y11/360+Inputs!$F$76*Inputs!$F$86/100*Construction!Y11/360+Inputs!$F$77*Inputs!$F$87/100*Construction!Y11/360+Inputs!$F$78*(Inputs!$F$88/100*Inputs!$F$82)/100*Construction!Y11/360</f>
        <v>0.000840166666666667</v>
      </c>
      <c r="Z20" s="14" t="n">
        <f aca="false">Inputs!$F$75*Inputs!$F$85/100*Construction!Z11/360+Inputs!$F$76*Inputs!$F$86/100*Construction!Z11/360+Inputs!$F$77*Inputs!$F$87/100*Construction!Z11/360+Inputs!$F$78*(Inputs!$F$88/100*Inputs!$F$82)/100*Construction!Z11/360</f>
        <v>0.000868172222222222</v>
      </c>
      <c r="AA20" s="14" t="n">
        <f aca="false">Inputs!$F$75*Inputs!$F$85/100*Construction!AA11/360+Inputs!$F$76*Inputs!$F$86/100*Construction!AA11/360+Inputs!$F$77*Inputs!$F$87/100*Construction!AA11/360+Inputs!$F$78*(Inputs!$F$88/100*Inputs!$F$82)/100*Construction!AA11/360</f>
        <v>0.000868172222222222</v>
      </c>
      <c r="AB20" s="14" t="n">
        <f aca="false">Inputs!$F$75*Inputs!$F$85/100*Construction!AB11/360+Inputs!$F$76*Inputs!$F$86/100*Construction!AB11/360+Inputs!$F$77*Inputs!$F$87/100*Construction!AB11/360+Inputs!$F$78*(Inputs!$F$88/100*Inputs!$F$82)/100*Construction!AB11/360</f>
        <v>0.000812161111111111</v>
      </c>
      <c r="AC20" s="14" t="n">
        <f aca="false">Inputs!$F$75*Inputs!$F$85/100*Construction!AC11/360+Inputs!$F$76*Inputs!$F$86/100*Construction!AC11/360+Inputs!$F$77*Inputs!$F$87/100*Construction!AC11/360+Inputs!$F$78*(Inputs!$F$88/100*Inputs!$F$82)/100*Construction!AC11/360</f>
        <v>0.000868172222222222</v>
      </c>
      <c r="AD20" s="14" t="n">
        <f aca="false">Inputs!$F$75*Inputs!$F$85/100*Construction!AD11/360+Inputs!$F$76*Inputs!$F$86/100*Construction!AD11/360+Inputs!$F$77*Inputs!$F$87/100*Construction!AD11/360+Inputs!$F$78*(Inputs!$F$88/100*Inputs!$F$82)/100*Construction!AD11/360</f>
        <v>0.000840166666666667</v>
      </c>
      <c r="AE20" s="14" t="n">
        <f aca="false">Inputs!$F$75*Inputs!$F$85/100*Construction!AE11/360+Inputs!$F$76*Inputs!$F$86/100*Construction!AE11/360+Inputs!$F$77*Inputs!$F$87/100*Construction!AE11/360+Inputs!$F$78*(Inputs!$F$88/100*Inputs!$F$82)/100*Construction!AE11/360</f>
        <v>0.000868172222222222</v>
      </c>
      <c r="AF20" s="14" t="n">
        <f aca="false">Inputs!$F$75*Inputs!$F$85/100*Construction!AF11/360+Inputs!$F$76*Inputs!$F$86/100*Construction!AF11/360+Inputs!$F$77*Inputs!$F$87/100*Construction!AF11/360+Inputs!$F$78*(Inputs!$F$88/100*Inputs!$F$82)/100*Construction!AF11/360</f>
        <v>0.000840166666666667</v>
      </c>
      <c r="AG20" s="14" t="n">
        <f aca="false">Inputs!$F$75*Inputs!$F$85/100*Construction!AG11/360+Inputs!$F$76*Inputs!$F$86/100*Construction!AG11/360+Inputs!$F$77*Inputs!$F$87/100*Construction!AG11/360+Inputs!$F$78*(Inputs!$F$88/100*Inputs!$F$82)/100*Construction!AG11/360</f>
        <v>0.000868172222222222</v>
      </c>
      <c r="AH20" s="14" t="n">
        <f aca="false">Inputs!$F$75*Inputs!$F$85/100*Construction!AH11/360+Inputs!$F$76*Inputs!$F$86/100*Construction!AH11/360+Inputs!$F$77*Inputs!$F$87/100*Construction!AH11/360+Inputs!$F$78*(Inputs!$F$88/100*Inputs!$F$82)/100*Construction!AH11/360</f>
        <v>0.000868172222222222</v>
      </c>
      <c r="AI20" s="14" t="n">
        <f aca="false">Inputs!$F$75*Inputs!$F$85/100*Construction!AI11/360+Inputs!$F$76*Inputs!$F$86/100*Construction!AI11/360+Inputs!$F$77*Inputs!$F$87/100*Construction!AI11/360+Inputs!$F$78*(Inputs!$F$88/100*Inputs!$F$82)/100*Construction!AI11/360</f>
        <v>0.000840166666666667</v>
      </c>
      <c r="AJ20" s="14" t="n">
        <f aca="false">Inputs!$F$75*Inputs!$F$85/100*Construction!AJ11/360+Inputs!$F$76*Inputs!$F$86/100*Construction!AJ11/360+Inputs!$F$77*Inputs!$F$87/100*Construction!AJ11/360+Inputs!$F$78*(Inputs!$F$88/100*Inputs!$F$82)/100*Construction!AJ11/360</f>
        <v>0.000868172222222222</v>
      </c>
      <c r="AK20" s="14" t="n">
        <f aca="false">Inputs!$F$75*Inputs!$F$85/100*Construction!AK11/360+Inputs!$F$76*Inputs!$F$86/100*Construction!AK11/360+Inputs!$F$77*Inputs!$F$87/100*Construction!AK11/360+Inputs!$F$78*(Inputs!$F$88/100*Inputs!$F$82)/100*Construction!AK11/360</f>
        <v>0.000840166666666667</v>
      </c>
      <c r="AL20" s="14" t="n">
        <f aca="false">Inputs!$F$75*Inputs!$F$85/100*Construction!AL11/360+Inputs!$F$76*Inputs!$F$86/100*Construction!AL11/360+Inputs!$F$77*Inputs!$F$87/100*Construction!AL11/360+Inputs!$F$78*(Inputs!$F$88/100*Inputs!$F$82)/100*Construction!AL11/360</f>
        <v>0.000868172222222222</v>
      </c>
      <c r="AM20" s="14" t="n">
        <f aca="false">Inputs!$F$75*Inputs!$F$85/100*Construction!AM11/360+Inputs!$F$76*Inputs!$F$86/100*Construction!AM11/360+Inputs!$F$77*Inputs!$F$87/100*Construction!AM11/360+Inputs!$F$78*(Inputs!$F$88/100*Inputs!$F$82)/100*Construction!AM11/360</f>
        <v>0.000868172222222222</v>
      </c>
      <c r="AN20" s="14" t="n">
        <f aca="false">Inputs!$F$75*Inputs!$F$85/100*Construction!AN11/360+Inputs!$F$76*Inputs!$F$86/100*Construction!AN11/360+Inputs!$F$77*Inputs!$F$87/100*Construction!AN11/360+Inputs!$F$78*(Inputs!$F$88/100*Inputs!$F$82)/100*Construction!AN11/360</f>
        <v>0.000784155555555556</v>
      </c>
      <c r="AO20" s="14" t="n">
        <f aca="false">Inputs!$F$75*Inputs!$F$85/100*Construction!AO11/360+Inputs!$F$76*Inputs!$F$86/100*Construction!AO11/360+Inputs!$F$77*Inputs!$F$87/100*Construction!AO11/360+Inputs!$F$78*(Inputs!$F$88/100*Inputs!$F$82)/100*Construction!AO11/360</f>
        <v>0.000868172222222222</v>
      </c>
      <c r="AP20" s="14" t="n">
        <f aca="false">Inputs!$F$75*Inputs!$F$85/100*Construction!AP11/360+Inputs!$F$76*Inputs!$F$86/100*Construction!AP11/360+Inputs!$F$77*Inputs!$F$87/100*Construction!AP11/360+Inputs!$F$78*(Inputs!$F$88/100*Inputs!$F$82)/100*Construction!AP11/360</f>
        <v>0.000840166666666667</v>
      </c>
      <c r="AQ20" s="14" t="n">
        <f aca="false">Inputs!$F$75*Inputs!$F$85/100*Construction!AQ11/360+Inputs!$F$76*Inputs!$F$86/100*Construction!AQ11/360+Inputs!$F$77*Inputs!$F$87/100*Construction!AQ11/360+Inputs!$F$78*(Inputs!$F$88/100*Inputs!$F$82)/100*Construction!AQ11/360</f>
        <v>0.000868172222222222</v>
      </c>
      <c r="AR20" s="14" t="n">
        <f aca="false">Inputs!$F$75*Inputs!$F$85/100*Construction!AR11/360+Inputs!$F$76*Inputs!$F$86/100*Construction!AR11/360+Inputs!$F$77*Inputs!$F$87/100*Construction!AR11/360+Inputs!$F$78*(Inputs!$F$88/100*Inputs!$F$82)/100*Construction!AR11/360</f>
        <v>0.000840166666666667</v>
      </c>
      <c r="AS20" s="14" t="n">
        <f aca="false">Inputs!$F$75*Inputs!$F$85/100*Construction!AS11/360+Inputs!$F$76*Inputs!$F$86/100*Construction!AS11/360+Inputs!$F$77*Inputs!$F$87/100*Construction!AS11/360+Inputs!$F$78*(Inputs!$F$88/100*Inputs!$F$82)/100*Construction!AS11/360</f>
        <v>0.000868172222222222</v>
      </c>
      <c r="AT20" s="14" t="n">
        <f aca="false">Inputs!$F$75*Inputs!$F$85/100*Construction!AT11/360+Inputs!$F$76*Inputs!$F$86/100*Construction!AT11/360+Inputs!$F$77*Inputs!$F$87/100*Construction!AT11/360+Inputs!$F$78*(Inputs!$F$88/100*Inputs!$F$82)/100*Construction!AT11/360</f>
        <v>0.000868172222222222</v>
      </c>
      <c r="AU20" s="14" t="n">
        <f aca="false">Inputs!$F$75*Inputs!$F$85/100*Construction!AU11/360+Inputs!$F$76*Inputs!$F$86/100*Construction!AU11/360+Inputs!$F$77*Inputs!$F$87/100*Construction!AU11/360+Inputs!$F$78*(Inputs!$F$88/100*Inputs!$F$82)/100*Construction!AU11/360</f>
        <v>0.000840166666666667</v>
      </c>
      <c r="AV20" s="14" t="n">
        <f aca="false">Inputs!$F$75*Inputs!$F$85/100*Construction!AV11/360+Inputs!$F$76*Inputs!$F$86/100*Construction!AV11/360+Inputs!$F$77*Inputs!$F$87/100*Construction!AV11/360+Inputs!$F$78*(Inputs!$F$88/100*Inputs!$F$82)/100*Construction!AV11/360</f>
        <v>0.000868172222222222</v>
      </c>
      <c r="AW20" s="14" t="n">
        <f aca="false">Inputs!$F$75*Inputs!$F$85/100*Construction!AW11/360+Inputs!$F$76*Inputs!$F$86/100*Construction!AW11/360+Inputs!$F$77*Inputs!$F$87/100*Construction!AW11/360+Inputs!$F$78*(Inputs!$F$88/100*Inputs!$F$82)/100*Construction!AW11/360</f>
        <v>0.000840166666666667</v>
      </c>
      <c r="AX20" s="14" t="n">
        <f aca="false">Inputs!$F$75*Inputs!$F$85/100*Construction!AX11/360+Inputs!$F$76*Inputs!$F$86/100*Construction!AX11/360+Inputs!$F$77*Inputs!$F$87/100*Construction!AX11/360+Inputs!$F$78*(Inputs!$F$88/100*Inputs!$F$82)/100*Construction!AX11/360</f>
        <v>0.000868172222222222</v>
      </c>
      <c r="AY20" s="14" t="n">
        <f aca="false">Inputs!$F$75*Inputs!$F$85/100*Construction!AY11/360+Inputs!$F$76*Inputs!$F$86/100*Construction!AY11/360+Inputs!$F$77*Inputs!$F$87/100*Construction!AY11/360+Inputs!$F$78*(Inputs!$F$88/100*Inputs!$F$82)/100*Construction!AY11/360</f>
        <v>0.000868172222222222</v>
      </c>
      <c r="AZ20" s="14" t="n">
        <f aca="false">Inputs!$F$75*Inputs!$F$85/100*Construction!AZ11/360+Inputs!$F$76*Inputs!$F$86/100*Construction!AZ11/360+Inputs!$F$77*Inputs!$F$87/100*Construction!AZ11/360+Inputs!$F$78*(Inputs!$F$88/100*Inputs!$F$82)/100*Construction!AZ11/360</f>
        <v>0.000784155555555556</v>
      </c>
      <c r="BA20" s="14" t="n">
        <f aca="false">Inputs!$F$75*Inputs!$F$85/100*Construction!BA11/360+Inputs!$F$76*Inputs!$F$86/100*Construction!BA11/360+Inputs!$F$77*Inputs!$F$87/100*Construction!BA11/360+Inputs!$F$78*(Inputs!$F$88/100*Inputs!$F$82)/100*Construction!BA11/360</f>
        <v>0.000868172222222222</v>
      </c>
      <c r="BB20" s="14" t="n">
        <f aca="false">Inputs!$F$75*Inputs!$F$85/100*Construction!BB11/360+Inputs!$F$76*Inputs!$F$86/100*Construction!BB11/360+Inputs!$F$77*Inputs!$F$87/100*Construction!BB11/360+Inputs!$F$78*(Inputs!$F$88/100*Inputs!$F$82)/100*Construction!BB11/360</f>
        <v>0.000840166666666667</v>
      </c>
      <c r="BC20" s="14" t="n">
        <f aca="false">Inputs!$F$75*Inputs!$F$85/100*Construction!BC11/360+Inputs!$F$76*Inputs!$F$86/100*Construction!BC11/360+Inputs!$F$77*Inputs!$F$87/100*Construction!BC11/360+Inputs!$F$78*(Inputs!$F$88/100*Inputs!$F$82)/100*Construction!BC11/360</f>
        <v>0.000868172222222222</v>
      </c>
      <c r="BD20" s="14" t="n">
        <f aca="false">Inputs!$F$75*Inputs!$F$85/100*Construction!BD11/360+Inputs!$F$76*Inputs!$F$86/100*Construction!BD11/360+Inputs!$F$77*Inputs!$F$87/100*Construction!BD11/360+Inputs!$F$78*(Inputs!$F$88/100*Inputs!$F$82)/100*Construction!BD11/360</f>
        <v>0.000840166666666667</v>
      </c>
      <c r="BE20" s="14" t="n">
        <f aca="false">Inputs!$F$75*Inputs!$F$85/100*Construction!BE11/360+Inputs!$F$76*Inputs!$F$86/100*Construction!BE11/360+Inputs!$F$77*Inputs!$F$87/100*Construction!BE11/360+Inputs!$F$78*(Inputs!$F$88/100*Inputs!$F$82)/100*Construction!BE11/360</f>
        <v>0.000868172222222222</v>
      </c>
      <c r="BF20" s="14" t="n">
        <f aca="false">Inputs!$F$75*Inputs!$F$85/100*Construction!BF11/360+Inputs!$F$76*Inputs!$F$86/100*Construction!BF11/360+Inputs!$F$77*Inputs!$F$87/100*Construction!BF11/360+Inputs!$F$78*(Inputs!$F$88/100*Inputs!$F$82)/100*Construction!BF11/360</f>
        <v>0.000868172222222222</v>
      </c>
      <c r="BG20" s="14" t="n">
        <f aca="false">Inputs!$F$75*Inputs!$F$85/100*Construction!BG11/360+Inputs!$F$76*Inputs!$F$86/100*Construction!BG11/360+Inputs!$F$77*Inputs!$F$87/100*Construction!BG11/360+Inputs!$F$78*(Inputs!$F$88/100*Inputs!$F$82)/100*Construction!BG11/360</f>
        <v>0.000840166666666667</v>
      </c>
      <c r="BH20" s="14" t="n">
        <f aca="false">Inputs!$F$75*Inputs!$F$85/100*Construction!BH11/360+Inputs!$F$76*Inputs!$F$86/100*Construction!BH11/360+Inputs!$F$77*Inputs!$F$87/100*Construction!BH11/360+Inputs!$F$78*(Inputs!$F$88/100*Inputs!$F$82)/100*Construction!BH11/360</f>
        <v>0.000868172222222222</v>
      </c>
      <c r="BI20" s="14" t="n">
        <f aca="false">Inputs!$F$75*Inputs!$F$85/100*Construction!BI11/360+Inputs!$F$76*Inputs!$F$86/100*Construction!BI11/360+Inputs!$F$77*Inputs!$F$87/100*Construction!BI11/360+Inputs!$F$78*(Inputs!$F$88/100*Inputs!$F$82)/100*Construction!BI11/360</f>
        <v>0.000840166666666667</v>
      </c>
      <c r="BJ20" s="14" t="n">
        <f aca="false">Inputs!$F$75*Inputs!$F$85/100*Construction!BJ11/360+Inputs!$F$76*Inputs!$F$86/100*Construction!BJ11/360+Inputs!$F$77*Inputs!$F$87/100*Construction!BJ11/360+Inputs!$F$78*(Inputs!$F$88/100*Inputs!$F$82)/100*Construction!BJ11/360</f>
        <v>0.000868172222222222</v>
      </c>
    </row>
    <row r="21" customFormat="false" ht="15" hidden="false" customHeight="false" outlineLevel="0" collapsed="false">
      <c r="D21" s="0" t="s">
        <v>579</v>
      </c>
      <c r="E21" s="0" t="s">
        <v>149</v>
      </c>
      <c r="J21" s="11" t="n">
        <f aca="false">Construction!J14*(Construction!J30+Construction!J36+Inputs!$F$107/12+Inputs!J233*(Inputs!$F$97/100/12-Construction!J17/100*Construction!J11/360)+Inputs!$F$99*Inputs!$F$100/100*Construction!J11/360+Construction!J15*$F$17)</f>
        <v>108.156616666667</v>
      </c>
      <c r="K21" s="11" t="n">
        <f aca="false">Construction!K14*(Construction!K30+Construction!K36+Inputs!$F$107/12+Inputs!K233*(Inputs!$F$97/100/12-Construction!K17/100*Construction!K11/360)+Inputs!$F$99*Inputs!$F$100/100*Construction!K11/360+Construction!K15*$F$17)</f>
        <v>1.49688076921121</v>
      </c>
      <c r="L21" s="11" t="n">
        <f aca="false">Construction!L14*(Construction!L30+Construction!L36+Inputs!$F$107/12+Inputs!L233*(Inputs!$F$97/100/12-Construction!L17/100*Construction!L11/360)+Inputs!$F$99*Inputs!$F$100/100*Construction!L11/360+Construction!L15*$F$17)</f>
        <v>2.12745836282294</v>
      </c>
      <c r="M21" s="11" t="n">
        <f aca="false">Construction!M14*(Construction!M30+Construction!M36+Inputs!$F$107/12+Inputs!M233*(Inputs!$F$97/100/12-Construction!M17/100*Construction!M11/360)+Inputs!$F$99*Inputs!$F$100/100*Construction!M11/360+Construction!M15*$F$17)</f>
        <v>3.43432015662568</v>
      </c>
      <c r="N21" s="11" t="n">
        <f aca="false">Construction!N14*(Construction!N30+Construction!N36+Inputs!$F$107/12+Inputs!N233*(Inputs!$F$97/100/12-Construction!N17/100*Construction!N11/360)+Inputs!$F$99*Inputs!$F$100/100*Construction!N11/360+Construction!N15*$F$17)</f>
        <v>5.32094715105007</v>
      </c>
      <c r="O21" s="11" t="n">
        <f aca="false">Construction!O14*(Construction!O30+Construction!O36+Inputs!$F$107/12+Inputs!O233*(Inputs!$F$97/100/12-Construction!O17/100*Construction!O11/360)+Inputs!$F$99*Inputs!$F$100/100*Construction!O11/360+Construction!O15*$F$17)</f>
        <v>7.66638864364994</v>
      </c>
      <c r="P21" s="11" t="n">
        <f aca="false">Construction!P14*(Construction!P30+Construction!P36+Inputs!$F$107/12+Inputs!P233*(Inputs!$F$97/100/12-Construction!P17/100*Construction!P11/360)+Inputs!$F$99*Inputs!$F$100/100*Construction!P11/360+Construction!P15*$F$17)</f>
        <v>10.3940085395791</v>
      </c>
      <c r="Q21" s="11" t="n">
        <f aca="false">Construction!Q14*(Construction!Q30+Construction!Q36+Inputs!$F$107/12+Inputs!Q233*(Inputs!$F$97/100/12-Construction!Q17/100*Construction!Q11/360)+Inputs!$F$99*Inputs!$F$100/100*Construction!Q11/360+Construction!Q15*$F$17)</f>
        <v>13.312589450703</v>
      </c>
      <c r="R21" s="11" t="n">
        <f aca="false">Construction!R14*(Construction!R30+Construction!R36+Inputs!$F$107/12+Inputs!R233*(Inputs!$F$97/100/12-Construction!R17/100*Construction!R11/360)+Inputs!$F$99*Inputs!$F$100/100*Construction!R11/360+Construction!R15*$F$17)</f>
        <v>16.3511655703919</v>
      </c>
      <c r="S21" s="11" t="n">
        <f aca="false">Construction!S14*(Construction!S30+Construction!S36+Inputs!$F$107/12+Inputs!S233*(Inputs!$F$97/100/12-Construction!S17/100*Construction!S11/360)+Inputs!$F$99*Inputs!$F$100/100*Construction!S11/360+Construction!S15*$F$17)</f>
        <v>19.3591236850786</v>
      </c>
      <c r="T21" s="11" t="n">
        <f aca="false">Construction!T14*(Construction!T30+Construction!T36+Inputs!$F$107/12+Inputs!T233*(Inputs!$F$97/100/12-Construction!T17/100*Construction!T11/360)+Inputs!$F$99*Inputs!$F$100/100*Construction!T11/360+Construction!T15*$F$17)</f>
        <v>22.2359115770793</v>
      </c>
      <c r="U21" s="11" t="n">
        <f aca="false">Construction!U14*(Construction!U30+Construction!U36+Inputs!$F$107/12+Inputs!U233*(Inputs!$F$97/100/12-Construction!U17/100*Construction!U11/360)+Inputs!$F$99*Inputs!$F$100/100*Construction!U11/360+Construction!U15*$F$17)</f>
        <v>24.8744228506793</v>
      </c>
      <c r="V21" s="11" t="n">
        <f aca="false">Construction!V14*(Construction!V30+Construction!V36+Inputs!$F$107/12+Inputs!V233*(Inputs!$F$97/100/12-Construction!V17/100*Construction!V11/360)+Inputs!$F$99*Inputs!$F$100/100*Construction!V11/360+Construction!V15*$F$17)</f>
        <v>27.2287897621722</v>
      </c>
      <c r="W21" s="11" t="n">
        <f aca="false">Construction!W14*(Construction!W30+Construction!W36+Inputs!$F$107/12+Inputs!W233*(Inputs!$F$97/100/12-Construction!W17/100*Construction!W11/360)+Inputs!$F$99*Inputs!$F$100/100*Construction!W11/360+Construction!W15*$F$17)</f>
        <v>29.2132302859515</v>
      </c>
      <c r="X21" s="11" t="n">
        <f aca="false">Construction!X14*(Construction!X30+Construction!X36+Inputs!$F$107/12+Inputs!X233*(Inputs!$F$97/100/12-Construction!X17/100*Construction!X11/360)+Inputs!$F$99*Inputs!$F$100/100*Construction!X11/360+Construction!X15*$F$17)</f>
        <v>30.7343168736937</v>
      </c>
      <c r="Y21" s="11" t="n">
        <f aca="false">Construction!Y14*(Construction!Y30+Construction!Y36+Inputs!$F$107/12+Inputs!Y233*(Inputs!$F$97/100/12-Construction!Y17/100*Construction!Y11/360)+Inputs!$F$99*Inputs!$F$100/100*Construction!Y11/360+Construction!Y15*$F$17)</f>
        <v>31.7970480116135</v>
      </c>
      <c r="Z21" s="11" t="n">
        <f aca="false">Construction!Z14*(Construction!Z30+Construction!Z36+Inputs!$F$107/12+Inputs!Z233*(Inputs!$F$97/100/12-Construction!Z17/100*Construction!Z11/360)+Inputs!$F$99*Inputs!$F$100/100*Construction!Z11/360+Construction!Z15*$F$17)</f>
        <v>32.3157442712718</v>
      </c>
      <c r="AA21" s="11" t="n">
        <f aca="false">Construction!AA14*(Construction!AA30+Construction!AA36+Inputs!$F$107/12+Inputs!AA233*(Inputs!$F$97/100/12-Construction!AA17/100*Construction!AA11/360)+Inputs!$F$99*Inputs!$F$100/100*Construction!AA11/360+Construction!AA15*$F$17)</f>
        <v>33.4452203983301</v>
      </c>
      <c r="AB21" s="11" t="n">
        <f aca="false">Construction!AB14*(Construction!AB30+Construction!AB36+Inputs!$F$107/12+Inputs!AB233*(Inputs!$F$97/100/12-Construction!AB17/100*Construction!AB11/360)+Inputs!$F$99*Inputs!$F$100/100*Construction!AB11/360+Construction!AB15*$F$17)</f>
        <v>31.8148883978607</v>
      </c>
      <c r="AC21" s="11" t="n">
        <f aca="false">Construction!AC14*(Construction!AC30+Construction!AC36+Inputs!$F$107/12+Inputs!AC233*(Inputs!$F$97/100/12-Construction!AC17/100*Construction!AC11/360)+Inputs!$F$99*Inputs!$F$100/100*Construction!AC11/360+Construction!AC15*$F$17)</f>
        <v>30.7327793818237</v>
      </c>
      <c r="AD21" s="11" t="n">
        <f aca="false">Construction!AD14*(Construction!AD30+Construction!AD36+Inputs!$F$107/12+Inputs!AD233*(Inputs!$F$97/100/12-Construction!AD17/100*Construction!AD11/360)+Inputs!$F$99*Inputs!$F$100/100*Construction!AD11/360+Construction!AD15*$F$17)</f>
        <v>29.2279071492451</v>
      </c>
      <c r="AE21" s="11" t="n">
        <f aca="false">Construction!AE14*(Construction!AE30+Construction!AE36+Inputs!$F$107/12+Inputs!AE233*(Inputs!$F$97/100/12-Construction!AE17/100*Construction!AE11/360)+Inputs!$F$99*Inputs!$F$100/100*Construction!AE11/360+Construction!AE15*$F$17)</f>
        <v>27.2364026257248</v>
      </c>
      <c r="AF21" s="11" t="n">
        <f aca="false">Construction!AF14*(Construction!AF30+Construction!AF36+Inputs!$F$107/12+Inputs!AF233*(Inputs!$F$97/100/12-Construction!AF17/100*Construction!AF11/360)+Inputs!$F$99*Inputs!$F$100/100*Construction!AF11/360+Construction!AF15*$F$17)</f>
        <v>24.9111525239396</v>
      </c>
      <c r="AG21" s="11" t="n">
        <f aca="false">Construction!AG14*(Construction!AG30+Construction!AG36+Inputs!$F$107/12+Inputs!AG233*(Inputs!$F$97/100/12-Construction!AG17/100*Construction!AG11/360)+Inputs!$F$99*Inputs!$F$100/100*Construction!AG11/360+Construction!AG15*$F$17)</f>
        <v>22.2102289558029</v>
      </c>
      <c r="AH21" s="11" t="n">
        <f aca="false">Construction!AH14*(Construction!AH30+Construction!AH36+Inputs!$F$107/12+Inputs!AH233*(Inputs!$F$97/100/12-Construction!AH17/100*Construction!AH11/360)+Inputs!$F$99*Inputs!$F$100/100*Construction!AH11/360+Construction!AH15*$F$17)</f>
        <v>19.3229939341148</v>
      </c>
      <c r="AI21" s="11" t="n">
        <f aca="false">Construction!AI14*(Construction!AI30+Construction!AI36+Inputs!$F$107/12+Inputs!AI233*(Inputs!$F$97/100/12-Construction!AI17/100*Construction!AI11/360)+Inputs!$F$99*Inputs!$F$100/100*Construction!AI11/360+Construction!AI15*$F$17)</f>
        <v>16.3384123477266</v>
      </c>
      <c r="AJ21" s="11" t="n">
        <f aca="false">Construction!AJ14*(Construction!AJ30+Construction!AJ36+Inputs!$F$107/12+Inputs!AJ233*(Inputs!$F$97/100/12-Construction!AJ17/100*Construction!AJ11/360)+Inputs!$F$99*Inputs!$F$100/100*Construction!AJ11/360+Construction!AJ15*$F$17)</f>
        <v>13.2722496145638</v>
      </c>
      <c r="AK21" s="11" t="n">
        <f aca="false">Construction!AK14*(Construction!AK30+Construction!AK36+Inputs!$F$107/12+Inputs!AK233*(Inputs!$F$97/100/12-Construction!AK17/100*Construction!AK11/360)+Inputs!$F$99*Inputs!$F$100/100*Construction!AK11/360+Construction!AK15*$F$17)</f>
        <v>10.3665723680561</v>
      </c>
      <c r="AL21" s="11" t="n">
        <f aca="false">Construction!AL14*(Construction!AL30+Construction!AL36+Inputs!$F$107/12+Inputs!AL233*(Inputs!$F$97/100/12-Construction!AL17/100*Construction!AL11/360)+Inputs!$F$99*Inputs!$F$100/100*Construction!AL11/360+Construction!AL15*$F$17)</f>
        <v>7.61583185466907</v>
      </c>
      <c r="AM21" s="11" t="n">
        <f aca="false">Construction!AM14*(Construction!AM30+Construction!AM36+Inputs!$F$107/12+Inputs!AM233*(Inputs!$F$97/100/12-Construction!AM17/100*Construction!AM11/360)+Inputs!$F$99*Inputs!$F$100/100*Construction!AM11/360+Construction!AM15*$F$17)</f>
        <v>5.23429678561636</v>
      </c>
      <c r="AN21" s="11" t="n">
        <f aca="false">Construction!AN14*(Construction!AN30+Construction!AN36+Inputs!$F$107/12+Inputs!AN233*(Inputs!$F$97/100/12-Construction!AN17/100*Construction!AN11/360)+Inputs!$F$99*Inputs!$F$100/100*Construction!AN11/360+Construction!AN15*$F$17)</f>
        <v>3.44434431644154</v>
      </c>
      <c r="AO21" s="11" t="n">
        <f aca="false">Construction!AO14*(Construction!AO30+Construction!AO36+Inputs!$F$107/12+Inputs!AO233*(Inputs!$F$97/100/12-Construction!AO17/100*Construction!AO11/360)+Inputs!$F$99*Inputs!$F$100/100*Construction!AO11/360+Construction!AO15*$F$17)</f>
        <v>2.02689443260237</v>
      </c>
      <c r="AP21" s="11" t="n">
        <f aca="false">Construction!AP14*(Construction!AP30+Construction!AP36+Inputs!$F$107/12+Inputs!AP233*(Inputs!$F$97/100/12-Construction!AP17/100*Construction!AP11/360)+Inputs!$F$99*Inputs!$F$100/100*Construction!AP11/360+Construction!AP15*$F$17)</f>
        <v>1.42258955355705</v>
      </c>
      <c r="AQ21" s="11" t="n">
        <f aca="false">Construction!AQ14*(Construction!AQ30+Construction!AQ36+Inputs!$F$107/12+Inputs!AQ233*(Inputs!$F$97/100/12-Construction!AQ17/100*Construction!AQ11/360)+Inputs!$F$99*Inputs!$F$100/100*Construction!AQ11/360+Construction!AQ15*$F$17)</f>
        <v>1.30637999719264</v>
      </c>
      <c r="AR21" s="11" t="n">
        <f aca="false">Construction!AR14*(Construction!AR30+Construction!AR36+Inputs!$F$107/12+Inputs!AR233*(Inputs!$F$97/100/12-Construction!AR17/100*Construction!AR11/360)+Inputs!$F$99*Inputs!$F$100/100*Construction!AR11/360+Construction!AR15*$F$17)</f>
        <v>1.33823434069202</v>
      </c>
      <c r="AS21" s="11" t="n">
        <f aca="false">Construction!AS14*(Construction!AS30+Construction!AS36+Inputs!$F$107/12+Inputs!AS233*(Inputs!$F$97/100/12-Construction!AS17/100*Construction!AS11/360)+Inputs!$F$99*Inputs!$F$100/100*Construction!AS11/360+Construction!AS15*$F$17)</f>
        <v>1.39529295162897</v>
      </c>
      <c r="AT21" s="11" t="n">
        <f aca="false">Construction!AT14*(Construction!AT30+Construction!AT36+Inputs!$F$107/12+Inputs!AT233*(Inputs!$F$97/100/12-Construction!AT17/100*Construction!AT11/360)+Inputs!$F$99*Inputs!$F$100/100*Construction!AT11/360+Construction!AT15*$F$17)</f>
        <v>1.39191765405411</v>
      </c>
      <c r="AU21" s="11" t="n">
        <f aca="false">Construction!AU14*(Construction!AU30+Construction!AU36+Inputs!$F$107/12+Inputs!AU233*(Inputs!$F$97/100/12-Construction!AU17/100*Construction!AU11/360)+Inputs!$F$99*Inputs!$F$100/100*Construction!AU11/360+Construction!AU15*$F$17)</f>
        <v>1.3885059730702</v>
      </c>
      <c r="AV21" s="11" t="n">
        <f aca="false">Construction!AV14*(Construction!AV30+Construction!AV36+Inputs!$F$107/12+Inputs!AV233*(Inputs!$F$97/100/12-Construction!AV17/100*Construction!AV11/360)+Inputs!$F$99*Inputs!$F$100/100*Construction!AV11/360+Construction!AV15*$F$17)</f>
        <v>49.6256348742888</v>
      </c>
      <c r="AW21" s="11" t="n">
        <f aca="false">Construction!AW14*(Construction!AW30+Construction!AW36+Inputs!$F$107/12+Inputs!AW233*(Inputs!$F$97/100/12-Construction!AW17/100*Construction!AW11/360)+Inputs!$F$99*Inputs!$F$100/100*Construction!AW11/360+Construction!AW15*$F$17)</f>
        <v>-0.388059208958852</v>
      </c>
      <c r="AX21" s="11" t="n">
        <f aca="false">Construction!AX14*(Construction!AX30+Construction!AX36+Inputs!$F$107/12+Inputs!AX233*(Inputs!$F$97/100/12-Construction!AX17/100*Construction!AX11/360)+Inputs!$F$99*Inputs!$F$100/100*Construction!AX11/360+Construction!AX15*$F$17)</f>
        <v>0.0580151010218565</v>
      </c>
      <c r="AY21" s="11" t="n">
        <f aca="false">Construction!AY14*(Construction!AY30+Construction!AY36+Inputs!$F$107/12+Inputs!AY233*(Inputs!$F$97/100/12-Construction!AY17/100*Construction!AY11/360)+Inputs!$F$99*Inputs!$F$100/100*Construction!AY11/360+Construction!AY15*$F$17)</f>
        <v>0</v>
      </c>
      <c r="AZ21" s="11" t="n">
        <f aca="false">Construction!AZ14*(Construction!AZ30+Construction!AZ36+Inputs!$F$107/12+Inputs!AZ233*(Inputs!$F$97/100/12-Construction!AZ17/100*Construction!AZ11/360)+Inputs!$F$99*Inputs!$F$100/100*Construction!AZ11/360+Construction!AZ15*$F$17)</f>
        <v>0</v>
      </c>
      <c r="BA21" s="11" t="n">
        <f aca="false">Construction!BA14*(Construction!BA30+Construction!BA36+Inputs!$F$107/12+Inputs!BA233*(Inputs!$F$97/100/12-Construction!BA17/100*Construction!BA11/360)+Inputs!$F$99*Inputs!$F$100/100*Construction!BA11/360+Construction!BA15*$F$17)</f>
        <v>0</v>
      </c>
      <c r="BB21" s="11" t="n">
        <f aca="false">Construction!BB14*(Construction!BB30+Construction!BB36+Inputs!$F$107/12+Inputs!BB233*(Inputs!$F$97/100/12-Construction!BB17/100*Construction!BB11/360)+Inputs!$F$99*Inputs!$F$100/100*Construction!BB11/360+Construction!BB15*$F$17)</f>
        <v>0</v>
      </c>
      <c r="BC21" s="11" t="n">
        <f aca="false">Construction!BC14*(Construction!BC30+Construction!BC36+Inputs!$F$107/12+Inputs!BC233*(Inputs!$F$97/100/12-Construction!BC17/100*Construction!BC11/360)+Inputs!$F$99*Inputs!$F$100/100*Construction!BC11/360+Construction!BC15*$F$17)</f>
        <v>0</v>
      </c>
      <c r="BD21" s="11" t="n">
        <f aca="false">Construction!BD14*(Construction!BD30+Construction!BD36+Inputs!$F$107/12+Inputs!BD233*(Inputs!$F$97/100/12-Construction!BD17/100*Construction!BD11/360)+Inputs!$F$99*Inputs!$F$100/100*Construction!BD11/360+Construction!BD15*$F$17)</f>
        <v>0</v>
      </c>
      <c r="BE21" s="11" t="n">
        <f aca="false">Construction!BE14*(Construction!BE30+Construction!BE36+Inputs!$F$107/12+Inputs!BE233*(Inputs!$F$97/100/12-Construction!BE17/100*Construction!BE11/360)+Inputs!$F$99*Inputs!$F$100/100*Construction!BE11/360+Construction!BE15*$F$17)</f>
        <v>0</v>
      </c>
      <c r="BF21" s="11" t="n">
        <f aca="false">Construction!BF14*(Construction!BF30+Construction!BF36+Inputs!$F$107/12+Inputs!BF233*(Inputs!$F$97/100/12-Construction!BF17/100*Construction!BF11/360)+Inputs!$F$99*Inputs!$F$100/100*Construction!BF11/360+Construction!BF15*$F$17)</f>
        <v>0</v>
      </c>
      <c r="BG21" s="11" t="n">
        <f aca="false">Construction!BG14*(Construction!BG30+Construction!BG36+Inputs!$F$107/12+Inputs!BG233*(Inputs!$F$97/100/12-Construction!BG17/100*Construction!BG11/360)+Inputs!$F$99*Inputs!$F$100/100*Construction!BG11/360+Construction!BG15*$F$17)</f>
        <v>0</v>
      </c>
      <c r="BH21" s="11" t="n">
        <f aca="false">Construction!BH14*(Construction!BH30+Construction!BH36+Inputs!$F$107/12+Inputs!BH233*(Inputs!$F$97/100/12-Construction!BH17/100*Construction!BH11/360)+Inputs!$F$99*Inputs!$F$100/100*Construction!BH11/360+Construction!BH15*$F$17)</f>
        <v>0</v>
      </c>
      <c r="BI21" s="11" t="n">
        <f aca="false">Construction!BI14*(Construction!BI30+Construction!BI36+Inputs!$F$107/12+Inputs!BI233*(Inputs!$F$97/100/12-Construction!BI17/100*Construction!BI11/360)+Inputs!$F$99*Inputs!$F$100/100*Construction!BI11/360+Construction!BI15*$F$17)</f>
        <v>0</v>
      </c>
      <c r="BJ21" s="11" t="n">
        <f aca="false">Construction!BJ14*(Construction!BJ30+Construction!BJ36+Inputs!$F$107/12+Inputs!BJ233*(Inputs!$F$97/100/12-Construction!BJ17/100*Construction!BJ11/360)+Inputs!$F$99*Inputs!$F$100/100*Construction!BJ11/360+Construction!BJ15*$F$17)</f>
        <v>0</v>
      </c>
    </row>
    <row r="22" customFormat="false" ht="15" hidden="false" customHeight="false" outlineLevel="0" collapsed="false">
      <c r="D22" s="0" t="s">
        <v>580</v>
      </c>
      <c r="E22" s="0" t="s">
        <v>149</v>
      </c>
      <c r="J22" s="11" t="n">
        <f aca="false">0+Construction!J14*$F$9/$F$10*(J21+(J19-J20)*0)</f>
        <v>82.0763212966303</v>
      </c>
      <c r="K22" s="11" t="n">
        <f aca="false">J22+Construction!K14*$F$9/$F$10*(K21+(K19-K20)*J22)</f>
        <v>83.486577034267</v>
      </c>
      <c r="L22" s="11" t="n">
        <f aca="false">K22+Construction!L14*$F$9/$F$10*(L21+(L19-L20)*K22)</f>
        <v>85.3893711159045</v>
      </c>
      <c r="M22" s="11" t="n">
        <f aca="false">L22+Construction!M14*$F$9/$F$10*(M21+(M19-M20)*L22)</f>
        <v>88.2809559407349</v>
      </c>
      <c r="N22" s="11" t="n">
        <f aca="false">M22+Construction!N14*$F$9/$F$10*(N21+(N19-N20)*M22)</f>
        <v>92.6237368297944</v>
      </c>
      <c r="O22" s="11" t="n">
        <f aca="false">N22+Construction!O14*$F$9/$F$10*(O21+(O19-O20)*N22)</f>
        <v>98.7784232116479</v>
      </c>
      <c r="P22" s="11" t="n">
        <f aca="false">O22+Construction!P14*$F$9/$F$10*(P21+(P19-P20)*O22)</f>
        <v>106.990621844458</v>
      </c>
      <c r="Q22" s="11" t="n">
        <f aca="false">P22+Construction!Q14*$F$9/$F$10*(Q21+(Q19-Q20)*P22)</f>
        <v>117.482276119788</v>
      </c>
      <c r="R22" s="11" t="n">
        <f aca="false">Q22+Construction!R14*$F$9/$F$10*(R21+(R19-R20)*Q22)</f>
        <v>130.304179771482</v>
      </c>
      <c r="S22" s="11" t="n">
        <f aca="false">R22+Construction!S14*$F$9/$F$10*(S21+(S19-S20)*R22)</f>
        <v>145.469145636866</v>
      </c>
      <c r="T22" s="11" t="n">
        <f aca="false">S22+Construction!T14*$F$9/$F$10*(T21+(T19-T20)*S22)</f>
        <v>162.855301012601</v>
      </c>
      <c r="U22" s="11" t="n">
        <f aca="false">T22+Construction!U14*$F$9/$F$10*(U21+(U19-U20)*T22)</f>
        <v>182.340682242891</v>
      </c>
      <c r="V22" s="11" t="n">
        <f aca="false">U22+Construction!V14*$F$9/$F$10*(V21+(V19-V20)*U22)</f>
        <v>203.685581985834</v>
      </c>
      <c r="W22" s="11" t="n">
        <f aca="false">V22+Construction!W14*$F$9/$F$10*(W21+(W19-W20)*V22)</f>
        <v>226.5916579018</v>
      </c>
      <c r="X22" s="11" t="n">
        <f aca="false">W22+Construction!X14*$F$9/$F$10*(X21+(X19-X20)*W22)</f>
        <v>250.762269411052</v>
      </c>
      <c r="Y22" s="11" t="n">
        <f aca="false">X22+Construction!Y14*$F$9/$F$10*(Y21+(Y19-Y20)*X22)</f>
        <v>275.799491952618</v>
      </c>
      <c r="Z22" s="11" t="n">
        <f aca="false">Y22+Construction!Z14*$F$9/$F$10*(Z21+(Z19-Z20)*Y22)</f>
        <v>301.354219893633</v>
      </c>
      <c r="AA22" s="11" t="n">
        <f aca="false">Z22+Construction!AA14*$F$9/$F$10*(AA21+(AA19-AA20)*Z22)</f>
        <v>327.87805615321</v>
      </c>
      <c r="AB22" s="11" t="n">
        <f aca="false">AA22+Construction!AB14*$F$9/$F$10*(AB21+(AB19-AB20)*AA22)</f>
        <v>353.185066454755</v>
      </c>
      <c r="AC22" s="11" t="n">
        <f aca="false">AB22+Construction!AC14*$F$9/$F$10*(AC21+(AC19-AC20)*AB22)</f>
        <v>377.847184131379</v>
      </c>
      <c r="AD22" s="11" t="n">
        <f aca="false">AC22+Construction!AD14*$F$9/$F$10*(AD21+(AD19-AD20)*AC22)</f>
        <v>401.414633823456</v>
      </c>
      <c r="AE22" s="11" t="n">
        <f aca="false">AD22+Construction!AE14*$F$9/$F$10*(AE21+(AE19-AE20)*AD22)</f>
        <v>423.606467000291</v>
      </c>
      <c r="AF22" s="11" t="n">
        <f aca="false">AE22+Construction!AF14*$F$9/$F$10*(AF21+(AF19-AF20)*AE22)</f>
        <v>444.066102163592</v>
      </c>
      <c r="AG22" s="11" t="n">
        <f aca="false">AF22+Construction!AG14*$F$9/$F$10*(AG21+(AG19-AG20)*AF22)</f>
        <v>462.617673482799</v>
      </c>
      <c r="AH22" s="11" t="n">
        <f aca="false">AG22+Construction!AH14*$F$9/$F$10*(AH21+(AH19-AH20)*AG22)</f>
        <v>479.049116555146</v>
      </c>
      <c r="AI22" s="11" t="n">
        <f aca="false">AH22+Construction!AI14*$F$9/$F$10*(AI21+(AI19-AI20)*AH22)</f>
        <v>493.219402090932</v>
      </c>
      <c r="AJ22" s="11" t="n">
        <f aca="false">AI22+Construction!AJ14*$F$9/$F$10*(AJ21+(AJ19-AJ20)*AI22)</f>
        <v>505.176088552962</v>
      </c>
      <c r="AK22" s="11" t="n">
        <f aca="false">AJ22+Construction!AK14*$F$9/$F$10*(AK21+(AK19-AK20)*AJ22)</f>
        <v>514.911174229624</v>
      </c>
      <c r="AL22" s="11" t="n">
        <f aca="false">AK22+Construction!AL14*$F$9/$F$10*(AL21+(AL19-AL20)*AK22)</f>
        <v>522.658295551982</v>
      </c>
      <c r="AM22" s="11" t="n">
        <f aca="false">AL22+Construction!AM14*$F$9/$F$10*(AM21+(AM19-AM20)*AL22)</f>
        <v>528.638436549447</v>
      </c>
      <c r="AN22" s="11" t="n">
        <f aca="false">AM22+Construction!AN14*$F$9/$F$10*(AN21+(AN19-AN20)*AM22)</f>
        <v>533.086672345034</v>
      </c>
      <c r="AO22" s="11" t="n">
        <f aca="false">AN22+Construction!AO14*$F$9/$F$10*(AO21+(AO19-AO20)*AN22)</f>
        <v>536.6728915022</v>
      </c>
      <c r="AP22" s="11" t="n">
        <f aca="false">AO22+Construction!AP14*$F$9/$F$10*(AP21+(AP19-AP20)*AO22)</f>
        <v>539.747791025878</v>
      </c>
      <c r="AQ22" s="11" t="n">
        <f aca="false">AP22+Construction!AQ14*$F$9/$F$10*(AQ21+(AQ19-AQ20)*AP22)</f>
        <v>542.812828178164</v>
      </c>
      <c r="AR22" s="11" t="n">
        <f aca="false">AQ22+Construction!AR14*$F$9/$F$10*(AR21+(AR19-AR20)*AQ22)</f>
        <v>545.846541678481</v>
      </c>
      <c r="AS22" s="11" t="n">
        <f aca="false">AR22+Construction!AS14*$F$9/$F$10*(AS21+(AS19-AS20)*AR22)</f>
        <v>549.002482743453</v>
      </c>
      <c r="AT22" s="11" t="n">
        <f aca="false">AS22+Construction!AT14*$F$9/$F$10*(AT21+(AT19-AT20)*AS22)</f>
        <v>552.167987300271</v>
      </c>
      <c r="AU22" s="11" t="n">
        <f aca="false">AT22+Construction!AU14*$F$9/$F$10*(AU21+(AU19-AU20)*AT22)</f>
        <v>555.274632611731</v>
      </c>
      <c r="AV22" s="11" t="n">
        <f aca="false">AU22+Construction!AV14*$F$9/$F$10*(AV21+(AV19-AV20)*AU22)</f>
        <v>595.067136587704</v>
      </c>
      <c r="AW22" s="11" t="n">
        <f aca="false">AV22+Construction!AW14*$F$9/$F$10*(AW21+(AW19-AW20)*AV22)</f>
        <v>596.985106622238</v>
      </c>
      <c r="AX22" s="11" t="n">
        <f aca="false">AW22+Construction!AX14*$F$9/$F$10*(AX21+(AX19-AX20)*AW22)</f>
        <v>599.322704234936</v>
      </c>
      <c r="AY22" s="11" t="n">
        <f aca="false">AX22+Construction!AY14*$F$9/$F$10*(AY21+(AY19-AY20)*AX22)</f>
        <v>599.322704234936</v>
      </c>
      <c r="AZ22" s="11" t="n">
        <f aca="false">AY22+Construction!AZ14*$F$9/$F$10*(AZ21+(AZ19-AZ20)*AY22)</f>
        <v>599.322704234936</v>
      </c>
      <c r="BA22" s="11" t="n">
        <f aca="false">AZ22+Construction!BA14*$F$9/$F$10*(BA21+(BA19-BA20)*AZ22)</f>
        <v>599.322704234936</v>
      </c>
      <c r="BB22" s="11" t="n">
        <f aca="false">BA22+Construction!BB14*$F$9/$F$10*(BB21+(BB19-BB20)*BA22)</f>
        <v>599.322704234936</v>
      </c>
      <c r="BC22" s="11" t="n">
        <f aca="false">BB22+Construction!BC14*$F$9/$F$10*(BC21+(BC19-BC20)*BB22)</f>
        <v>599.322704234936</v>
      </c>
      <c r="BD22" s="11" t="n">
        <f aca="false">BC22+Construction!BD14*$F$9/$F$10*(BD21+(BD19-BD20)*BC22)</f>
        <v>599.322704234936</v>
      </c>
      <c r="BE22" s="11" t="n">
        <f aca="false">BD22+Construction!BE14*$F$9/$F$10*(BE21+(BE19-BE20)*BD22)</f>
        <v>599.322704234936</v>
      </c>
      <c r="BF22" s="11" t="n">
        <f aca="false">BE22+Construction!BF14*$F$9/$F$10*(BF21+(BF19-BF20)*BE22)</f>
        <v>599.322704234936</v>
      </c>
      <c r="BG22" s="11" t="n">
        <f aca="false">BF22+Construction!BG14*$F$9/$F$10*(BG21+(BG19-BG20)*BF22)</f>
        <v>599.322704234936</v>
      </c>
      <c r="BH22" s="11" t="n">
        <f aca="false">BG22+Construction!BH14*$F$9/$F$10*(BH21+(BH19-BH20)*BG22)</f>
        <v>599.322704234936</v>
      </c>
      <c r="BI22" s="11" t="n">
        <f aca="false">BH22+Construction!BI14*$F$9/$F$10*(BI21+(BI19-BI20)*BH22)</f>
        <v>599.322704234936</v>
      </c>
      <c r="BJ22" s="11" t="n">
        <f aca="false">BI22+Construction!BJ14*$F$9/$F$10*(BJ21+(BJ19-BJ20)*BI22)</f>
        <v>599.322704234936</v>
      </c>
    </row>
    <row r="23" customFormat="false" ht="15" hidden="false" customHeight="false" outlineLevel="0" collapsed="false">
      <c r="D23" s="0" t="s">
        <v>581</v>
      </c>
      <c r="E23" s="0" t="s">
        <v>99</v>
      </c>
      <c r="J23" s="14" t="n">
        <f aca="false">0+Construction!J14*$F$9/$F$10*(J19*0+J20*($F$9-0)+IF(Construction!J8=1,$F$9*(Inputs!$F$75*Inputs!$F$89/100+Inputs!$F$76*Inputs!$F$90/100+Inputs!$F$77*Inputs!$F$91/100+Inputs!$F$78*Inputs!$F$92/100),0)+Construction!J15*$F$9*(Inputs!$F$75*$F$12+Inputs!$F$76*$F$13+Inputs!$F$77*$F$14+Inputs!$F$78*$F$15))</f>
        <v>0.00932246850411913</v>
      </c>
      <c r="K23" s="14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0.00982579649361803</v>
      </c>
      <c r="L23" s="14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0.0103476404375495</v>
      </c>
      <c r="M23" s="14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0.0108543948707758</v>
      </c>
      <c r="N23" s="14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0.0113797913072085</v>
      </c>
      <c r="O23" s="14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0.0119090948981582</v>
      </c>
      <c r="P23" s="14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0.0123889146307161</v>
      </c>
      <c r="Q23" s="14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0.0129218890161516</v>
      </c>
      <c r="R23" s="14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0.01343954689068</v>
      </c>
      <c r="S23" s="14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0.0139763430638164</v>
      </c>
      <c r="T23" s="14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0.014497712896278</v>
      </c>
      <c r="U23" s="14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0.0150398393301528</v>
      </c>
      <c r="V23" s="14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0.015583993190123</v>
      </c>
      <c r="W23" s="14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0.0161125630625409</v>
      </c>
      <c r="X23" s="14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0.0166607286584316</v>
      </c>
      <c r="Y23" s="14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0.0171931953749219</v>
      </c>
      <c r="Z23" s="14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0.017745402282973</v>
      </c>
      <c r="AA23" s="14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0.0183006411680649</v>
      </c>
      <c r="AB23" s="14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0.0188220289880693</v>
      </c>
      <c r="AC23" s="14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0.0193813528649341</v>
      </c>
      <c r="AD23" s="14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0.0199246877926284</v>
      </c>
      <c r="AE23" s="14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0.0204881954335813</v>
      </c>
      <c r="AF23" s="14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0.0210355945274096</v>
      </c>
      <c r="AG23" s="14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0.0216038902858452</v>
      </c>
      <c r="AH23" s="14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0.0221743577826383</v>
      </c>
      <c r="AI23" s="14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0.0227285328159614</v>
      </c>
      <c r="AJ23" s="14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0.0233032981264983</v>
      </c>
      <c r="AK23" s="14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0.0238616482286695</v>
      </c>
      <c r="AL23" s="14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0.0244407437320131</v>
      </c>
      <c r="AM23" s="14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0.0250225516120317</v>
      </c>
      <c r="AN23" s="14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0.0255500744501565</v>
      </c>
      <c r="AO23" s="14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0.0261361442955021</v>
      </c>
      <c r="AP23" s="14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0.0267054876648769</v>
      </c>
      <c r="AQ23" s="14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0.0272959965210412</v>
      </c>
      <c r="AR23" s="14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0.0278696522115434</v>
      </c>
      <c r="AS23" s="14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0.0284646337004867</v>
      </c>
      <c r="AT23" s="14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0.0290619010636373</v>
      </c>
      <c r="AU23" s="14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0.0296421223728453</v>
      </c>
      <c r="AV23" s="14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0.0302439135590654</v>
      </c>
      <c r="AW23" s="14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0.0650363072344174</v>
      </c>
      <c r="AX23" s="14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0.0657740802213635</v>
      </c>
      <c r="AY23" s="14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0.0657740802213635</v>
      </c>
      <c r="AZ23" s="14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0.0657740802213635</v>
      </c>
      <c r="BA23" s="14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0.0657740802213635</v>
      </c>
      <c r="BB23" s="14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0.0657740802213635</v>
      </c>
      <c r="BC23" s="14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0.0657740802213635</v>
      </c>
      <c r="BD23" s="14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0.0657740802213635</v>
      </c>
      <c r="BE23" s="14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0.0657740802213635</v>
      </c>
      <c r="BF23" s="14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0.0657740802213635</v>
      </c>
      <c r="BG23" s="14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0.0657740802213635</v>
      </c>
      <c r="BH23" s="14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0.0657740802213635</v>
      </c>
      <c r="BI23" s="14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0.0657740802213635</v>
      </c>
      <c r="BJ23" s="14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0.0657740802213635</v>
      </c>
    </row>
    <row r="24" customFormat="false" ht="15" hidden="false" customHeight="false" outlineLevel="0" collapsed="false">
      <c r="D24" s="0" t="s">
        <v>582</v>
      </c>
      <c r="E24" s="0" t="s">
        <v>149</v>
      </c>
      <c r="F24" s="15" t="n">
        <f aca="false">INDEX(Funding!$J$22:$BJ$22,1,Time!$F$13)/(Funding!$F$9-INDEX(Funding!$J$23:$BJ$23,1,Time!$F$13))</f>
        <v>888.150681571343</v>
      </c>
    </row>
    <row r="25" customFormat="false" ht="15" hidden="false" customHeight="false" outlineLevel="0" collapsed="false">
      <c r="D25" s="0" t="s">
        <v>583</v>
      </c>
      <c r="E25" s="0" t="s">
        <v>149</v>
      </c>
      <c r="F25" s="15" t="n">
        <f aca="false">IF(Inputs!$F$51=2,Funding!$F$8*Funding!$F$24,Inputs!$F$113)</f>
        <v>657.739998413269</v>
      </c>
    </row>
    <row r="26" customFormat="false" ht="15" hidden="false" customHeight="false" outlineLevel="0" collapsed="false">
      <c r="D26" s="0" t="s">
        <v>584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585</v>
      </c>
    </row>
    <row r="28" customFormat="false" ht="15" hidden="false" customHeight="false" outlineLevel="0" collapsed="false">
      <c r="D28" s="0" t="s">
        <v>586</v>
      </c>
      <c r="E28" s="0" t="s">
        <v>149</v>
      </c>
      <c r="J28" s="11" t="n">
        <f aca="false">0</f>
        <v>0</v>
      </c>
      <c r="K28" s="11" t="n">
        <f aca="false">J61</f>
        <v>27.1068234157473</v>
      </c>
      <c r="L28" s="11" t="n">
        <f aca="false">K61</f>
        <v>27.6640094661166</v>
      </c>
      <c r="M28" s="11" t="n">
        <f aca="false">L61</f>
        <v>28.3738905069508</v>
      </c>
      <c r="N28" s="11" t="n">
        <f aca="false">M61</f>
        <v>29.3763882429777</v>
      </c>
      <c r="O28" s="11" t="n">
        <f aca="false">N61</f>
        <v>30.8192118706294</v>
      </c>
      <c r="P28" s="11" t="n">
        <f aca="false">O61</f>
        <v>32.8066481887035</v>
      </c>
      <c r="Q28" s="11" t="n">
        <f aca="false">P61</f>
        <v>35.3981534452974</v>
      </c>
      <c r="R28" s="11" t="n">
        <f aca="false">Q61</f>
        <v>38.6876581970017</v>
      </c>
      <c r="S28" s="11" t="n">
        <f aca="false">R61</f>
        <v>42.6721567507348</v>
      </c>
      <c r="T28" s="11" t="n">
        <f aca="false">S61</f>
        <v>47.364673276461</v>
      </c>
      <c r="U28" s="11" t="n">
        <f aca="false">T61</f>
        <v>52.7194363807967</v>
      </c>
      <c r="V28" s="11" t="n">
        <f aca="false">U61</f>
        <v>58.7094977384069</v>
      </c>
      <c r="W28" s="11" t="n">
        <f aca="false">V61</f>
        <v>65.2579548477734</v>
      </c>
      <c r="X28" s="11" t="n">
        <f aca="false">W61</f>
        <v>72.270612530297</v>
      </c>
      <c r="Y28" s="11" t="n">
        <f aca="false">X61</f>
        <v>79.667852077354</v>
      </c>
      <c r="Z28" s="11" t="n">
        <f aca="false">Y61</f>
        <v>87.3208920429734</v>
      </c>
      <c r="AA28" s="11" t="n">
        <f aca="false">Z61</f>
        <v>95.1344433078039</v>
      </c>
      <c r="AB28" s="11" t="n">
        <f aca="false">AA61</f>
        <v>103.239534923946</v>
      </c>
      <c r="AC28" s="11" t="n">
        <f aca="false">AB61</f>
        <v>110.970559298719</v>
      </c>
      <c r="AD28" s="11" t="n">
        <f aca="false">AC61</f>
        <v>118.518223766444</v>
      </c>
      <c r="AE28" s="11" t="n">
        <f aca="false">AD61</f>
        <v>125.733227659973</v>
      </c>
      <c r="AF28" s="11" t="n">
        <f aca="false">AE61</f>
        <v>132.540921521638</v>
      </c>
      <c r="AG28" s="11" t="n">
        <f aca="false">AF61</f>
        <v>138.824663934111</v>
      </c>
      <c r="AH28" s="11" t="n">
        <f aca="false">AG61</f>
        <v>144.541555009429</v>
      </c>
      <c r="AI28" s="11" t="n">
        <f aca="false">AH61</f>
        <v>149.622986259961</v>
      </c>
      <c r="AJ28" s="11" t="n">
        <f aca="false">AI61</f>
        <v>154.021729200764</v>
      </c>
      <c r="AK28" s="11" t="n">
        <f aca="false">AJ61</f>
        <v>157.761878600062</v>
      </c>
      <c r="AL28" s="11" t="n">
        <f aca="false">AK61</f>
        <v>160.8311740102</v>
      </c>
      <c r="AM28" s="11" t="n">
        <f aca="false">AL61</f>
        <v>163.309607626704</v>
      </c>
      <c r="AN28" s="11" t="n">
        <f aca="false">AM61</f>
        <v>165.258669845498</v>
      </c>
      <c r="AO28" s="11" t="n">
        <f aca="false">AN61</f>
        <v>166.733696514642</v>
      </c>
      <c r="AP28" s="11" t="n">
        <f aca="false">AO61</f>
        <v>167.965717761569</v>
      </c>
      <c r="AQ28" s="11" t="n">
        <f aca="false">AP61</f>
        <v>169.03988642914</v>
      </c>
      <c r="AR28" s="11" t="n">
        <f aca="false">AQ61</f>
        <v>170.116735827749</v>
      </c>
      <c r="AS28" s="11" t="n">
        <f aca="false">AR61</f>
        <v>171.179697685596</v>
      </c>
      <c r="AT28" s="11" t="n">
        <f aca="false">AS61</f>
        <v>172.285009969566</v>
      </c>
      <c r="AU28" s="11" t="n">
        <f aca="false">AT61</f>
        <v>173.39380036131</v>
      </c>
      <c r="AV28" s="11" t="n">
        <f aca="false">AU61</f>
        <v>174.480391140118</v>
      </c>
      <c r="AW28" s="11" t="n">
        <f aca="false">AV61</f>
        <v>186.578486708572</v>
      </c>
      <c r="AX28" s="11" t="n">
        <f aca="false">AW61</f>
        <v>196.424144165811</v>
      </c>
      <c r="AY28" s="11" t="n">
        <f aca="false">AX61</f>
        <v>197.321999523981</v>
      </c>
      <c r="AZ28" s="11" t="n">
        <f aca="false">AY61</f>
        <v>197.321999523981</v>
      </c>
      <c r="BA28" s="11" t="n">
        <f aca="false">AZ61</f>
        <v>197.321999523981</v>
      </c>
      <c r="BB28" s="11" t="n">
        <f aca="false">BA61</f>
        <v>197.321999523981</v>
      </c>
      <c r="BC28" s="11" t="n">
        <f aca="false">BB61</f>
        <v>197.321999523981</v>
      </c>
      <c r="BD28" s="11" t="n">
        <f aca="false">BC61</f>
        <v>197.321999523981</v>
      </c>
      <c r="BE28" s="11" t="n">
        <f aca="false">BD61</f>
        <v>197.321999523981</v>
      </c>
      <c r="BF28" s="11" t="n">
        <f aca="false">BE61</f>
        <v>197.321999523981</v>
      </c>
      <c r="BG28" s="11" t="n">
        <f aca="false">BF61</f>
        <v>197.321999523981</v>
      </c>
      <c r="BH28" s="11" t="n">
        <f aca="false">BG61</f>
        <v>197.321999523981</v>
      </c>
      <c r="BI28" s="11" t="n">
        <f aca="false">BH61</f>
        <v>197.321999523981</v>
      </c>
      <c r="BJ28" s="11" t="n">
        <f aca="false">BI61</f>
        <v>197.321999523981</v>
      </c>
    </row>
    <row r="29" customFormat="false" ht="15" hidden="false" customHeight="false" outlineLevel="0" collapsed="false">
      <c r="D29" s="0" t="s">
        <v>587</v>
      </c>
      <c r="E29" s="0" t="s">
        <v>149</v>
      </c>
      <c r="J29" s="11" t="n">
        <f aca="false">0</f>
        <v>0</v>
      </c>
      <c r="K29" s="11" t="n">
        <f aca="false">J62</f>
        <v>19.878337171548</v>
      </c>
      <c r="L29" s="11" t="n">
        <f aca="false">K62</f>
        <v>20.2869402751521</v>
      </c>
      <c r="M29" s="11" t="n">
        <f aca="false">L62</f>
        <v>20.8075197050972</v>
      </c>
      <c r="N29" s="11" t="n">
        <f aca="false">M62</f>
        <v>21.5426847115169</v>
      </c>
      <c r="O29" s="11" t="n">
        <f aca="false">N62</f>
        <v>22.6007553717949</v>
      </c>
      <c r="P29" s="11" t="n">
        <f aca="false">O62</f>
        <v>24.0582086717159</v>
      </c>
      <c r="Q29" s="11" t="n">
        <f aca="false">P62</f>
        <v>25.9586458598847</v>
      </c>
      <c r="R29" s="11" t="n">
        <f aca="false">Q62</f>
        <v>28.3709493444679</v>
      </c>
      <c r="S29" s="11" t="n">
        <f aca="false">R62</f>
        <v>31.2929149505388</v>
      </c>
      <c r="T29" s="11" t="n">
        <f aca="false">S62</f>
        <v>34.7340937360714</v>
      </c>
      <c r="U29" s="11" t="n">
        <f aca="false">T62</f>
        <v>38.6609200125843</v>
      </c>
      <c r="V29" s="11" t="n">
        <f aca="false">U62</f>
        <v>43.0536316748318</v>
      </c>
      <c r="W29" s="11" t="n">
        <f aca="false">V62</f>
        <v>47.8558335550338</v>
      </c>
      <c r="X29" s="11" t="n">
        <f aca="false">W62</f>
        <v>52.9984491888844</v>
      </c>
      <c r="Y29" s="11" t="n">
        <f aca="false">X62</f>
        <v>58.4230915233929</v>
      </c>
      <c r="Z29" s="11" t="n">
        <f aca="false">Y62</f>
        <v>64.0353208315138</v>
      </c>
      <c r="AA29" s="11" t="n">
        <f aca="false">Z62</f>
        <v>69.7652584257228</v>
      </c>
      <c r="AB29" s="11" t="n">
        <f aca="false">AA62</f>
        <v>75.7089922775603</v>
      </c>
      <c r="AC29" s="11" t="n">
        <f aca="false">AB62</f>
        <v>81.3784101523941</v>
      </c>
      <c r="AD29" s="11" t="n">
        <f aca="false">AC62</f>
        <v>86.9133640953919</v>
      </c>
      <c r="AE29" s="11" t="n">
        <f aca="false">AD62</f>
        <v>92.2043669506465</v>
      </c>
      <c r="AF29" s="11" t="n">
        <f aca="false">AE62</f>
        <v>97.1966757825344</v>
      </c>
      <c r="AG29" s="11" t="n">
        <f aca="false">AF62</f>
        <v>101.804753551681</v>
      </c>
      <c r="AH29" s="11" t="n">
        <f aca="false">AG62</f>
        <v>105.997140340248</v>
      </c>
      <c r="AI29" s="11" t="n">
        <f aca="false">AH62</f>
        <v>109.723523257305</v>
      </c>
      <c r="AJ29" s="11" t="n">
        <f aca="false">AI62</f>
        <v>112.94926808056</v>
      </c>
      <c r="AK29" s="11" t="n">
        <f aca="false">AJ62</f>
        <v>115.692044306712</v>
      </c>
      <c r="AL29" s="11" t="n">
        <f aca="false">AK62</f>
        <v>117.942860940813</v>
      </c>
      <c r="AM29" s="11" t="n">
        <f aca="false">AL62</f>
        <v>119.76037892625</v>
      </c>
      <c r="AN29" s="11" t="n">
        <f aca="false">AM62</f>
        <v>121.189691220032</v>
      </c>
      <c r="AO29" s="11" t="n">
        <f aca="false">AN62</f>
        <v>122.271377444071</v>
      </c>
      <c r="AP29" s="11" t="n">
        <f aca="false">AO62</f>
        <v>123.174859691817</v>
      </c>
      <c r="AQ29" s="11" t="n">
        <f aca="false">AP62</f>
        <v>123.962583381369</v>
      </c>
      <c r="AR29" s="11" t="n">
        <f aca="false">AQ62</f>
        <v>124.752272940349</v>
      </c>
      <c r="AS29" s="11" t="n">
        <f aca="false">AR62</f>
        <v>125.53177830277</v>
      </c>
      <c r="AT29" s="11" t="n">
        <f aca="false">AS62</f>
        <v>126.342340644348</v>
      </c>
      <c r="AU29" s="11" t="n">
        <f aca="false">AT62</f>
        <v>127.155453598294</v>
      </c>
      <c r="AV29" s="11" t="n">
        <f aca="false">AU62</f>
        <v>127.952286836087</v>
      </c>
      <c r="AW29" s="11" t="n">
        <f aca="false">AV62</f>
        <v>136.824223586286</v>
      </c>
      <c r="AX29" s="11" t="n">
        <f aca="false">AW62</f>
        <v>144.044372388261</v>
      </c>
      <c r="AY29" s="11" t="n">
        <f aca="false">AX62</f>
        <v>144.702799650919</v>
      </c>
      <c r="AZ29" s="11" t="n">
        <f aca="false">AY62</f>
        <v>144.702799650919</v>
      </c>
      <c r="BA29" s="11" t="n">
        <f aca="false">AZ62</f>
        <v>144.702799650919</v>
      </c>
      <c r="BB29" s="11" t="n">
        <f aca="false">BA62</f>
        <v>144.702799650919</v>
      </c>
      <c r="BC29" s="11" t="n">
        <f aca="false">BB62</f>
        <v>144.702799650919</v>
      </c>
      <c r="BD29" s="11" t="n">
        <f aca="false">BC62</f>
        <v>144.702799650919</v>
      </c>
      <c r="BE29" s="11" t="n">
        <f aca="false">BD62</f>
        <v>144.702799650919</v>
      </c>
      <c r="BF29" s="11" t="n">
        <f aca="false">BE62</f>
        <v>144.702799650919</v>
      </c>
      <c r="BG29" s="11" t="n">
        <f aca="false">BF62</f>
        <v>144.702799650919</v>
      </c>
      <c r="BH29" s="11" t="n">
        <f aca="false">BG62</f>
        <v>144.702799650919</v>
      </c>
      <c r="BI29" s="11" t="n">
        <f aca="false">BH62</f>
        <v>144.702799650919</v>
      </c>
      <c r="BJ29" s="11" t="n">
        <f aca="false">BI62</f>
        <v>144.702799650919</v>
      </c>
    </row>
    <row r="30" customFormat="false" ht="15" hidden="false" customHeight="false" outlineLevel="0" collapsed="false">
      <c r="D30" s="0" t="s">
        <v>588</v>
      </c>
      <c r="E30" s="0" t="s">
        <v>149</v>
      </c>
      <c r="J30" s="11" t="n">
        <f aca="false">0</f>
        <v>0</v>
      </c>
      <c r="K30" s="11" t="n">
        <f aca="false">J63</f>
        <v>9.03560780524911</v>
      </c>
      <c r="L30" s="11" t="n">
        <f aca="false">K63</f>
        <v>9.22133648870552</v>
      </c>
      <c r="M30" s="11" t="n">
        <f aca="false">L63</f>
        <v>9.45796350231693</v>
      </c>
      <c r="N30" s="11" t="n">
        <f aca="false">M63</f>
        <v>9.79212941432589</v>
      </c>
      <c r="O30" s="11" t="n">
        <f aca="false">N63</f>
        <v>10.2730706235431</v>
      </c>
      <c r="P30" s="11" t="n">
        <f aca="false">O63</f>
        <v>10.9355493962345</v>
      </c>
      <c r="Q30" s="11" t="n">
        <f aca="false">P63</f>
        <v>11.7993844817658</v>
      </c>
      <c r="R30" s="11" t="n">
        <f aca="false">Q63</f>
        <v>12.8958860656672</v>
      </c>
      <c r="S30" s="11" t="n">
        <f aca="false">R63</f>
        <v>14.2240522502449</v>
      </c>
      <c r="T30" s="11" t="n">
        <f aca="false">S63</f>
        <v>15.788224425487</v>
      </c>
      <c r="U30" s="11" t="n">
        <f aca="false">T63</f>
        <v>17.5731454602656</v>
      </c>
      <c r="V30" s="11" t="n">
        <f aca="false">U63</f>
        <v>19.569832579469</v>
      </c>
      <c r="W30" s="11" t="n">
        <f aca="false">V63</f>
        <v>21.7526516159244</v>
      </c>
      <c r="X30" s="11" t="n">
        <f aca="false">W63</f>
        <v>24.0902041767657</v>
      </c>
      <c r="Y30" s="11" t="n">
        <f aca="false">X63</f>
        <v>26.5559506924513</v>
      </c>
      <c r="Z30" s="11" t="n">
        <f aca="false">Y63</f>
        <v>29.1069640143245</v>
      </c>
      <c r="AA30" s="11" t="n">
        <f aca="false">Z63</f>
        <v>31.7114811026013</v>
      </c>
      <c r="AB30" s="11" t="n">
        <f aca="false">AA63</f>
        <v>34.413178307982</v>
      </c>
      <c r="AC30" s="11" t="n">
        <f aca="false">AB63</f>
        <v>36.9901864329064</v>
      </c>
      <c r="AD30" s="11" t="n">
        <f aca="false">AC63</f>
        <v>39.5060745888145</v>
      </c>
      <c r="AE30" s="11" t="n">
        <f aca="false">AD63</f>
        <v>41.9110758866575</v>
      </c>
      <c r="AF30" s="11" t="n">
        <f aca="false">AE63</f>
        <v>44.1803071738793</v>
      </c>
      <c r="AG30" s="11" t="n">
        <f aca="false">AF63</f>
        <v>46.2748879780369</v>
      </c>
      <c r="AH30" s="11" t="n">
        <f aca="false">AG63</f>
        <v>48.1805183364765</v>
      </c>
      <c r="AI30" s="11" t="n">
        <f aca="false">AH63</f>
        <v>49.8743287533203</v>
      </c>
      <c r="AJ30" s="11" t="n">
        <f aca="false">AI63</f>
        <v>51.3405764002545</v>
      </c>
      <c r="AK30" s="11" t="n">
        <f aca="false">AJ63</f>
        <v>52.5872928666872</v>
      </c>
      <c r="AL30" s="11" t="n">
        <f aca="false">AK63</f>
        <v>53.6103913367332</v>
      </c>
      <c r="AM30" s="11" t="n">
        <f aca="false">AL63</f>
        <v>54.436535875568</v>
      </c>
      <c r="AN30" s="11" t="n">
        <f aca="false">AM63</f>
        <v>55.0862232818327</v>
      </c>
      <c r="AO30" s="11" t="n">
        <f aca="false">AN63</f>
        <v>55.5778988382139</v>
      </c>
      <c r="AP30" s="11" t="n">
        <f aca="false">AO63</f>
        <v>55.9885725871897</v>
      </c>
      <c r="AQ30" s="11" t="n">
        <f aca="false">AP63</f>
        <v>56.3466288097133</v>
      </c>
      <c r="AR30" s="11" t="n">
        <f aca="false">AQ63</f>
        <v>56.7055786092496</v>
      </c>
      <c r="AS30" s="11" t="n">
        <f aca="false">AR63</f>
        <v>57.0598992285319</v>
      </c>
      <c r="AT30" s="11" t="n">
        <f aca="false">AS63</f>
        <v>57.4283366565219</v>
      </c>
      <c r="AU30" s="11" t="n">
        <f aca="false">AT63</f>
        <v>57.79793345377</v>
      </c>
      <c r="AV30" s="11" t="n">
        <f aca="false">AU63</f>
        <v>58.1601303800395</v>
      </c>
      <c r="AW30" s="11" t="n">
        <f aca="false">AV63</f>
        <v>62.1928289028573</v>
      </c>
      <c r="AX30" s="11" t="n">
        <f aca="false">AW63</f>
        <v>65.4747147219369</v>
      </c>
      <c r="AY30" s="11" t="n">
        <f aca="false">AX63</f>
        <v>65.7739998413268</v>
      </c>
      <c r="AZ30" s="11" t="n">
        <f aca="false">AY63</f>
        <v>65.7739998413268</v>
      </c>
      <c r="BA30" s="11" t="n">
        <f aca="false">AZ63</f>
        <v>65.7739998413268</v>
      </c>
      <c r="BB30" s="11" t="n">
        <f aca="false">BA63</f>
        <v>65.7739998413268</v>
      </c>
      <c r="BC30" s="11" t="n">
        <f aca="false">BB63</f>
        <v>65.7739998413268</v>
      </c>
      <c r="BD30" s="11" t="n">
        <f aca="false">BC63</f>
        <v>65.7739998413268</v>
      </c>
      <c r="BE30" s="11" t="n">
        <f aca="false">BD63</f>
        <v>65.7739998413268</v>
      </c>
      <c r="BF30" s="11" t="n">
        <f aca="false">BE63</f>
        <v>65.7739998413268</v>
      </c>
      <c r="BG30" s="11" t="n">
        <f aca="false">BF63</f>
        <v>65.7739998413268</v>
      </c>
      <c r="BH30" s="11" t="n">
        <f aca="false">BG63</f>
        <v>65.7739998413268</v>
      </c>
      <c r="BI30" s="11" t="n">
        <f aca="false">BH63</f>
        <v>65.7739998413268</v>
      </c>
      <c r="BJ30" s="11" t="n">
        <f aca="false">BI63</f>
        <v>65.7739998413268</v>
      </c>
    </row>
    <row r="31" customFormat="false" ht="15" hidden="false" customHeight="false" outlineLevel="0" collapsed="false">
      <c r="D31" s="0" t="s">
        <v>589</v>
      </c>
      <c r="E31" s="0" t="s">
        <v>149</v>
      </c>
      <c r="J31" s="11" t="n">
        <f aca="false">0</f>
        <v>0</v>
      </c>
      <c r="K31" s="11" t="n">
        <f aca="false">J64</f>
        <v>34.3353096599466</v>
      </c>
      <c r="L31" s="11" t="n">
        <f aca="false">K64</f>
        <v>35.041078657081</v>
      </c>
      <c r="M31" s="11" t="n">
        <f aca="false">L64</f>
        <v>35.9402613088043</v>
      </c>
      <c r="N31" s="11" t="n">
        <f aca="false">M64</f>
        <v>37.2100917744384</v>
      </c>
      <c r="O31" s="11" t="n">
        <f aca="false">N64</f>
        <v>39.0376683694639</v>
      </c>
      <c r="P31" s="11" t="n">
        <f aca="false">O64</f>
        <v>41.555087705691</v>
      </c>
      <c r="Q31" s="11" t="n">
        <f aca="false">P64</f>
        <v>44.83766103071</v>
      </c>
      <c r="R31" s="11" t="n">
        <f aca="false">Q64</f>
        <v>49.0043670495354</v>
      </c>
      <c r="S31" s="11" t="n">
        <f aca="false">R64</f>
        <v>54.0513985509307</v>
      </c>
      <c r="T31" s="11" t="n">
        <f aca="false">S64</f>
        <v>59.9952528168505</v>
      </c>
      <c r="U31" s="11" t="n">
        <f aca="false">T64</f>
        <v>66.7779527490092</v>
      </c>
      <c r="V31" s="11" t="n">
        <f aca="false">U64</f>
        <v>74.3653638019821</v>
      </c>
      <c r="W31" s="11" t="n">
        <f aca="false">V64</f>
        <v>82.6600761405129</v>
      </c>
      <c r="X31" s="11" t="n">
        <f aca="false">W64</f>
        <v>91.5427758717095</v>
      </c>
      <c r="Y31" s="11" t="n">
        <f aca="false">X64</f>
        <v>100.912612631315</v>
      </c>
      <c r="Z31" s="11" t="n">
        <f aca="false">Y64</f>
        <v>110.606463254433</v>
      </c>
      <c r="AA31" s="11" t="n">
        <f aca="false">Z64</f>
        <v>120.503628189885</v>
      </c>
      <c r="AB31" s="11" t="n">
        <f aca="false">AA64</f>
        <v>130.770077570332</v>
      </c>
      <c r="AC31" s="11" t="n">
        <f aca="false">AB64</f>
        <v>140.562708445044</v>
      </c>
      <c r="AD31" s="11" t="n">
        <f aca="false">AC64</f>
        <v>150.123083437495</v>
      </c>
      <c r="AE31" s="11" t="n">
        <f aca="false">AD64</f>
        <v>159.262088369299</v>
      </c>
      <c r="AF31" s="11" t="n">
        <f aca="false">AE64</f>
        <v>167.885167260741</v>
      </c>
      <c r="AG31" s="11" t="n">
        <f aca="false">AF64</f>
        <v>175.84457431654</v>
      </c>
      <c r="AH31" s="11" t="n">
        <f aca="false">AG64</f>
        <v>183.085969678611</v>
      </c>
      <c r="AI31" s="11" t="n">
        <f aca="false">AH64</f>
        <v>189.522449262617</v>
      </c>
      <c r="AJ31" s="11" t="n">
        <f aca="false">AI64</f>
        <v>195.094190320967</v>
      </c>
      <c r="AK31" s="11" t="n">
        <f aca="false">AJ64</f>
        <v>199.831712893411</v>
      </c>
      <c r="AL31" s="11" t="n">
        <f aca="false">AK64</f>
        <v>203.719487079586</v>
      </c>
      <c r="AM31" s="11" t="n">
        <f aca="false">AL64</f>
        <v>206.858836327158</v>
      </c>
      <c r="AN31" s="11" t="n">
        <f aca="false">AM64</f>
        <v>209.327648470964</v>
      </c>
      <c r="AO31" s="11" t="n">
        <f aca="false">AN64</f>
        <v>211.196015585213</v>
      </c>
      <c r="AP31" s="11" t="n">
        <f aca="false">AO64</f>
        <v>212.756575831321</v>
      </c>
      <c r="AQ31" s="11" t="n">
        <f aca="false">AP64</f>
        <v>214.117189476911</v>
      </c>
      <c r="AR31" s="11" t="n">
        <f aca="false">AQ64</f>
        <v>215.481198715148</v>
      </c>
      <c r="AS31" s="11" t="n">
        <f aca="false">AR64</f>
        <v>216.827617068421</v>
      </c>
      <c r="AT31" s="11" t="n">
        <f aca="false">AS64</f>
        <v>218.227679294783</v>
      </c>
      <c r="AU31" s="11" t="n">
        <f aca="false">AT64</f>
        <v>219.632147124326</v>
      </c>
      <c r="AV31" s="11" t="n">
        <f aca="false">AU64</f>
        <v>221.00849544415</v>
      </c>
      <c r="AW31" s="11" t="n">
        <f aca="false">AV64</f>
        <v>236.332749830858</v>
      </c>
      <c r="AX31" s="11" t="n">
        <f aca="false">AW64</f>
        <v>248.80391594336</v>
      </c>
      <c r="AY31" s="11" t="n">
        <f aca="false">AX64</f>
        <v>249.941199397042</v>
      </c>
      <c r="AZ31" s="11" t="n">
        <f aca="false">AY64</f>
        <v>249.941199397042</v>
      </c>
      <c r="BA31" s="11" t="n">
        <f aca="false">AZ64</f>
        <v>249.941199397042</v>
      </c>
      <c r="BB31" s="11" t="n">
        <f aca="false">BA64</f>
        <v>249.941199397042</v>
      </c>
      <c r="BC31" s="11" t="n">
        <f aca="false">BB64</f>
        <v>249.941199397042</v>
      </c>
      <c r="BD31" s="11" t="n">
        <f aca="false">BC64</f>
        <v>249.941199397042</v>
      </c>
      <c r="BE31" s="11" t="n">
        <f aca="false">BD64</f>
        <v>249.941199397042</v>
      </c>
      <c r="BF31" s="11" t="n">
        <f aca="false">BE64</f>
        <v>249.941199397042</v>
      </c>
      <c r="BG31" s="11" t="n">
        <f aca="false">BF64</f>
        <v>249.941199397042</v>
      </c>
      <c r="BH31" s="11" t="n">
        <f aca="false">BG64</f>
        <v>249.941199397042</v>
      </c>
      <c r="BI31" s="11" t="n">
        <f aca="false">BH64</f>
        <v>249.941199397042</v>
      </c>
      <c r="BJ31" s="11" t="n">
        <f aca="false">BI64</f>
        <v>249.941199397042</v>
      </c>
    </row>
    <row r="32" customFormat="false" ht="15" hidden="false" customHeight="false" outlineLevel="0" collapsed="false">
      <c r="D32" s="0" t="s">
        <v>590</v>
      </c>
      <c r="E32" s="0" t="s">
        <v>149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0</v>
      </c>
      <c r="AT32" s="11" t="n">
        <f aca="false">AS65</f>
        <v>0</v>
      </c>
      <c r="AU32" s="11" t="n">
        <f aca="false">AT65</f>
        <v>0</v>
      </c>
      <c r="AV32" s="11" t="n">
        <f aca="false">AU65</f>
        <v>0</v>
      </c>
      <c r="AW32" s="11" t="n">
        <f aca="false">AV65</f>
        <v>0</v>
      </c>
      <c r="AX32" s="11" t="n">
        <f aca="false">AW65</f>
        <v>0</v>
      </c>
      <c r="AY32" s="11" t="n">
        <f aca="false">AX65</f>
        <v>1.99840144432528E-013</v>
      </c>
      <c r="AZ32" s="11" t="n">
        <f aca="false">AY65</f>
        <v>1.99840144432528E-013</v>
      </c>
      <c r="BA32" s="11" t="n">
        <f aca="false">AZ65</f>
        <v>1.99840144432528E-013</v>
      </c>
      <c r="BB32" s="11" t="n">
        <f aca="false">BA65</f>
        <v>1.99840144432528E-013</v>
      </c>
      <c r="BC32" s="11" t="n">
        <f aca="false">BB65</f>
        <v>1.99840144432528E-013</v>
      </c>
      <c r="BD32" s="11" t="n">
        <f aca="false">BC65</f>
        <v>1.99840144432528E-013</v>
      </c>
      <c r="BE32" s="11" t="n">
        <f aca="false">BD65</f>
        <v>1.99840144432528E-013</v>
      </c>
      <c r="BF32" s="11" t="n">
        <f aca="false">BE65</f>
        <v>1.99840144432528E-013</v>
      </c>
      <c r="BG32" s="11" t="n">
        <f aca="false">BF65</f>
        <v>1.99840144432528E-013</v>
      </c>
      <c r="BH32" s="11" t="n">
        <f aca="false">BG65</f>
        <v>1.99840144432528E-013</v>
      </c>
      <c r="BI32" s="11" t="n">
        <f aca="false">BH65</f>
        <v>1.99840144432528E-013</v>
      </c>
      <c r="BJ32" s="11" t="n">
        <f aca="false">BI65</f>
        <v>1.99840144432528E-013</v>
      </c>
    </row>
    <row r="33" customFormat="false" ht="15" hidden="false" customHeight="false" outlineLevel="0" collapsed="false">
      <c r="D33" s="0" t="s">
        <v>591</v>
      </c>
      <c r="E33" s="0" t="s">
        <v>149</v>
      </c>
      <c r="G33" s="11" t="n">
        <f aca="false">SUM(J33:BJ33)</f>
        <v>16.3997626582507</v>
      </c>
      <c r="J33" s="11" t="n">
        <f aca="false">Construction!J14*J28*(Construction!J17+Inputs!$F$79)/100*Construction!J11/360*1</f>
        <v>0</v>
      </c>
      <c r="K33" s="11" t="n">
        <f aca="false">Construction!K14*K28*(Construction!K17+Inputs!$F$79)/100*Construction!K11/360*1</f>
        <v>0.0874195055157851</v>
      </c>
      <c r="L33" s="11" t="n">
        <f aca="false">Construction!L14*L28*(Construction!L17+Inputs!$F$79)/100*Construction!L11/360*1</f>
        <v>0.0921903115458334</v>
      </c>
      <c r="M33" s="11" t="n">
        <f aca="false">Construction!M14*M28*(Construction!M17+Inputs!$F$79)/100*Construction!M11/360*1</f>
        <v>0.0915057968849163</v>
      </c>
      <c r="N33" s="11" t="n">
        <f aca="false">Construction!N14*N28*(Construction!N17+Inputs!$F$79)/100*Construction!N11/360*1</f>
        <v>0.097896813819723</v>
      </c>
      <c r="O33" s="11" t="n">
        <f aca="false">Construction!O14*O28*(Construction!O17+Inputs!$F$79)/100*Construction!O11/360*1</f>
        <v>0.109870490318794</v>
      </c>
      <c r="P33" s="11" t="n">
        <f aca="false">Construction!P14*P28*(Construction!P17+Inputs!$F$79)/100*Construction!P11/360*1</f>
        <v>0.105637407167625</v>
      </c>
      <c r="Q33" s="11" t="n">
        <f aca="false">Construction!Q14*Q28*(Construction!Q17+Inputs!$F$79)/100*Construction!Q11/360*1</f>
        <v>0.126194417032485</v>
      </c>
      <c r="R33" s="11" t="n">
        <f aca="false">Construction!R14*R28*(Construction!R17+Inputs!$F$79)/100*Construction!R11/360*1</f>
        <v>0.133472420779656</v>
      </c>
      <c r="S33" s="11" t="n">
        <f aca="false">Construction!S14*S28*(Construction!S17+Inputs!$F$79)/100*Construction!S11/360*1</f>
        <v>0.15212623881637</v>
      </c>
      <c r="T33" s="11" t="n">
        <f aca="false">Construction!T14*T28*(Construction!T17+Inputs!$F$79)/100*Construction!T11/360*1</f>
        <v>0.16340812280379</v>
      </c>
      <c r="U33" s="11" t="n">
        <f aca="false">Construction!U14*U28*(Construction!U17+Inputs!$F$79)/100*Construction!U11/360*1</f>
        <v>0.194754384563393</v>
      </c>
      <c r="V33" s="11" t="n">
        <f aca="false">Construction!V14*V28*(Construction!V17+Inputs!$F$79)/100*Construction!V11/360*1</f>
        <v>0.216882669561965</v>
      </c>
      <c r="W33" s="11" t="n">
        <f aca="false">Construction!W14*W28*(Construction!W17+Inputs!$F$79)/100*Construction!W11/360*1</f>
        <v>0.23329718858079</v>
      </c>
      <c r="X33" s="11" t="n">
        <f aca="false">Construction!X14*X28*(Construction!X17+Inputs!$F$79)/100*Construction!X11/360*1</f>
        <v>0.266979687789005</v>
      </c>
      <c r="Y33" s="11" t="n">
        <f aca="false">Construction!Y14*Y28*(Construction!Y17+Inputs!$F$79)/100*Construction!Y11/360*1</f>
        <v>0.28481257117654</v>
      </c>
      <c r="Z33" s="11" t="n">
        <f aca="false">Construction!Z14*Z28*(Construction!Z17+Inputs!$F$79)/100*Construction!Z11/360*1</f>
        <v>0.322577928688751</v>
      </c>
      <c r="AA33" s="11" t="n">
        <f aca="false">Construction!AA14*AA28*(Construction!AA17+Inputs!$F$79)/100*Construction!AA11/360*1</f>
        <v>0.357996195414116</v>
      </c>
      <c r="AB33" s="11" t="n">
        <f aca="false">Construction!AB14*AB28*(Construction!AB17+Inputs!$F$79)/100*Construction!AB11/360*1</f>
        <v>0.36343184058088</v>
      </c>
      <c r="AC33" s="11" t="n">
        <f aca="false">Construction!AC14*AC28*(Construction!AC17+Inputs!$F$79)/100*Construction!AC11/360*1</f>
        <v>0.417588379672153</v>
      </c>
      <c r="AD33" s="11" t="n">
        <f aca="false">Construction!AD14*AD28*(Construction!AD17+Inputs!$F$79)/100*Construction!AD11/360*1</f>
        <v>0.431603864882799</v>
      </c>
      <c r="AE33" s="11" t="n">
        <f aca="false">Construction!AE14*AE28*(Construction!AE17+Inputs!$F$79)/100*Construction!AE11/360*1</f>
        <v>0.473141120863791</v>
      </c>
      <c r="AF33" s="11" t="n">
        <f aca="false">Construction!AF14*AF28*(Construction!AF17+Inputs!$F$79)/100*Construction!AF11/360*1</f>
        <v>0.482669855874631</v>
      </c>
      <c r="AG33" s="11" t="n">
        <f aca="false">Construction!AG14*AG28*(Construction!AG17+Inputs!$F$79)/100*Construction!AG11/360*1</f>
        <v>0.527186661289785</v>
      </c>
      <c r="AH33" s="11" t="n">
        <f aca="false">Construction!AH14*AH28*(Construction!AH17+Inputs!$F$79)/100*Construction!AH11/360*1</f>
        <v>0.548896555148309</v>
      </c>
      <c r="AI33" s="11" t="n">
        <f aca="false">Construction!AI14*AI28*(Construction!AI17+Inputs!$F$79)/100*Construction!AI11/360*1</f>
        <v>0.549864474505356</v>
      </c>
      <c r="AJ33" s="11" t="n">
        <f aca="false">Construction!AJ14*AJ28*(Construction!AJ17+Inputs!$F$79)/100*Construction!AJ11/360*1</f>
        <v>0.584897516639899</v>
      </c>
      <c r="AK33" s="11" t="n">
        <f aca="false">Construction!AK14*AK28*(Construction!AK17+Inputs!$F$79)/100*Construction!AK11/360*1</f>
        <v>0.579774903855226</v>
      </c>
      <c r="AL33" s="11" t="n">
        <f aca="false">Construction!AL14*AL28*(Construction!AL17+Inputs!$F$79)/100*Construction!AL11/360*1</f>
        <v>0.610756383303733</v>
      </c>
      <c r="AM33" s="11" t="n">
        <f aca="false">Construction!AM14*AM28*(Construction!AM17+Inputs!$F$79)/100*Construction!AM11/360*1</f>
        <v>0.624387066492765</v>
      </c>
      <c r="AN33" s="11" t="n">
        <f aca="false">Construction!AN14*AN28*(Construction!AN17+Inputs!$F$79)/100*Construction!AN11/360*1</f>
        <v>0.570693273199787</v>
      </c>
      <c r="AO33" s="11" t="n">
        <f aca="false">Construction!AO14*AO28*(Construction!AO17+Inputs!$F$79)/100*Construction!AO11/360*1</f>
        <v>0.637478499674313</v>
      </c>
      <c r="AP33" s="11" t="n">
        <f aca="false">Construction!AP14*AP28*(Construction!AP17+Inputs!$F$79)/100*Construction!AP11/360*1</f>
        <v>0.621473155717806</v>
      </c>
      <c r="AQ33" s="11" t="n">
        <f aca="false">Construction!AQ14*AQ28*(Construction!AQ17+Inputs!$F$79)/100*Construction!AQ11/360*1</f>
        <v>0.646295832447412</v>
      </c>
      <c r="AR33" s="11" t="n">
        <f aca="false">Construction!AR14*AR28*(Construction!AR17+Inputs!$F$79)/100*Construction!AR11/360*1</f>
        <v>0.62943192256267</v>
      </c>
      <c r="AS33" s="11" t="n">
        <f aca="false">Construction!AS14*AS28*(Construction!AS17+Inputs!$F$79)/100*Construction!AS11/360*1</f>
        <v>0.654477044151261</v>
      </c>
      <c r="AT33" s="11" t="n">
        <f aca="false">Construction!AT14*AT28*(Construction!AT17+Inputs!$F$79)/100*Construction!AT11/360*1</f>
        <v>0.658703021450306</v>
      </c>
      <c r="AU33" s="11" t="n">
        <f aca="false">Construction!AU14*AU28*(Construction!AU17+Inputs!$F$79)/100*Construction!AU11/360*1</f>
        <v>0.641557061336847</v>
      </c>
      <c r="AV33" s="11" t="n">
        <f aca="false">Construction!AV14*AV28*(Construction!AV17+Inputs!$F$79)/100*Construction!AV11/360*1</f>
        <v>0.667096695459053</v>
      </c>
      <c r="AW33" s="11" t="n">
        <f aca="false">Construction!AW14*AW28*(Construction!AW17+Inputs!$F$79)/100*Construction!AW11/360*1</f>
        <v>0.690340400821715</v>
      </c>
      <c r="AX33" s="11" t="n">
        <f aca="false">Construction!AX14*AX28*(Construction!AX17+Inputs!$F$79)/100*Construction!AX11/360*1</f>
        <v>0.750994977860616</v>
      </c>
      <c r="AY33" s="11" t="n">
        <f aca="false">Construction!AY14*AY28*(Construction!AY17+Inputs!$F$79)/100*Construction!AY11/360*1</f>
        <v>0</v>
      </c>
      <c r="AZ33" s="11" t="n">
        <f aca="false">Construction!AZ14*AZ28*(Construction!AZ17+Inputs!$F$79)/100*Construction!AZ11/360*1</f>
        <v>0</v>
      </c>
      <c r="BA33" s="11" t="n">
        <f aca="false">Construction!BA14*BA28*(Construction!BA17+Inputs!$F$79)/100*Construction!BA11/360*1</f>
        <v>0</v>
      </c>
      <c r="BB33" s="11" t="n">
        <f aca="false">Construction!BB14*BB28*(Construction!BB17+Inputs!$F$79)/100*Construction!BB11/360*1</f>
        <v>0</v>
      </c>
      <c r="BC33" s="11" t="n">
        <f aca="false">Construction!BC14*BC28*(Construction!BC17+Inputs!$F$79)/100*Construction!BC11/360*1</f>
        <v>0</v>
      </c>
      <c r="BD33" s="11" t="n">
        <f aca="false">Construction!BD14*BD28*(Construction!BD17+Inputs!$F$79)/100*Construction!BD11/360*1</f>
        <v>0</v>
      </c>
      <c r="BE33" s="11" t="n">
        <f aca="false">Construction!BE14*BE28*(Construction!BE17+Inputs!$F$79)/100*Construction!BE11/360*1</f>
        <v>0</v>
      </c>
      <c r="BF33" s="11" t="n">
        <f aca="false">Construction!BF14*BF28*(Construction!BF17+Inputs!$F$79)/100*Construction!BF11/360*1</f>
        <v>0</v>
      </c>
      <c r="BG33" s="11" t="n">
        <f aca="false">Construction!BG14*BG28*(Construction!BG17+Inputs!$F$79)/100*Construction!BG11/360*1</f>
        <v>0</v>
      </c>
      <c r="BH33" s="11" t="n">
        <f aca="false">Construction!BH14*BH28*(Construction!BH17+Inputs!$F$79)/100*Construction!BH11/360*1</f>
        <v>0</v>
      </c>
      <c r="BI33" s="11" t="n">
        <f aca="false">Construction!BI14*BI28*(Construction!BI17+Inputs!$F$79)/100*Construction!BI11/360*1</f>
        <v>0</v>
      </c>
      <c r="BJ33" s="11" t="n">
        <f aca="false">Construction!BJ14*BJ28*(Construction!BJ17+Inputs!$F$79)/100*Construction!BJ11/360*1</f>
        <v>0</v>
      </c>
    </row>
    <row r="34" customFormat="false" ht="15" hidden="false" customHeight="false" outlineLevel="0" collapsed="false">
      <c r="D34" s="0" t="s">
        <v>592</v>
      </c>
      <c r="E34" s="0" t="s">
        <v>149</v>
      </c>
      <c r="G34" s="11" t="n">
        <f aca="false">SUM(J34:BJ34)</f>
        <v>18.3431889681115</v>
      </c>
      <c r="J34" s="11" t="n">
        <f aca="false">Construction!J14*J29*(Construction!J17+Inputs!$F$80)/100*Construction!J11/360*1</f>
        <v>0</v>
      </c>
      <c r="K34" s="11" t="n">
        <f aca="false">Construction!K14*K29*(Construction!K17+Inputs!$F$80)/100*Construction!K11/360*1</f>
        <v>0.102207783623709</v>
      </c>
      <c r="L34" s="11" t="n">
        <f aca="false">Construction!L14*L29*(Construction!L17+Inputs!$F$80)/100*Construction!L11/360*1</f>
        <v>0.107785640734121</v>
      </c>
      <c r="M34" s="11" t="n">
        <f aca="false">Construction!M14*M29*(Construction!M17+Inputs!$F$80)/100*Construction!M11/360*1</f>
        <v>0.106985330483708</v>
      </c>
      <c r="N34" s="11" t="n">
        <f aca="false">Construction!N14*N29*(Construction!N17+Inputs!$F$80)/100*Construction!N11/360*1</f>
        <v>0.114457480688107</v>
      </c>
      <c r="O34" s="11" t="n">
        <f aca="false">Construction!O14*O29*(Construction!O17+Inputs!$F$80)/100*Construction!O11/360*1</f>
        <v>0.125333744511809</v>
      </c>
      <c r="P34" s="11" t="n">
        <f aca="false">Construction!P14*P29*(Construction!P17+Inputs!$F$80)/100*Construction!P11/360*1</f>
        <v>0.120504894102328</v>
      </c>
      <c r="Q34" s="11" t="n">
        <f aca="false">Construction!Q14*Q29*(Construction!Q17+Inputs!$F$80)/100*Construction!Q11/360*1</f>
        <v>0.143955112762983</v>
      </c>
      <c r="R34" s="11" t="n">
        <f aca="false">Construction!R14*R29*(Construction!R17+Inputs!$F$80)/100*Construction!R11/360*1</f>
        <v>0.152257428148644</v>
      </c>
      <c r="S34" s="11" t="n">
        <f aca="false">Construction!S14*S29*(Construction!S17+Inputs!$F$80)/100*Construction!S11/360*1</f>
        <v>0.173536598353488</v>
      </c>
      <c r="T34" s="11" t="n">
        <f aca="false">Construction!T14*T29*(Construction!T17+Inputs!$F$80)/100*Construction!T11/360*1</f>
        <v>0.18640630305025</v>
      </c>
      <c r="U34" s="11" t="n">
        <f aca="false">Construction!U14*U29*(Construction!U17+Inputs!$F$80)/100*Construction!U11/360*1</f>
        <v>0.219389981926968</v>
      </c>
      <c r="V34" s="11" t="n">
        <f aca="false">Construction!V14*V29*(Construction!V17+Inputs!$F$80)/100*Construction!V11/360*1</f>
        <v>0.244317400412538</v>
      </c>
      <c r="W34" s="11" t="n">
        <f aca="false">Construction!W14*W29*(Construction!W17+Inputs!$F$80)/100*Construction!W11/360*1</f>
        <v>0.262808285939727</v>
      </c>
      <c r="X34" s="11" t="n">
        <f aca="false">Construction!X14*X29*(Construction!X17+Inputs!$F$80)/100*Construction!X11/360*1</f>
        <v>0.300751477355478</v>
      </c>
      <c r="Y34" s="11" t="n">
        <f aca="false">Construction!Y14*Y29*(Construction!Y17+Inputs!$F$80)/100*Construction!Y11/360*1</f>
        <v>0.320840144282633</v>
      </c>
      <c r="Z34" s="11" t="n">
        <f aca="false">Construction!Z14*Z29*(Construction!Z17+Inputs!$F$80)/100*Construction!Z11/360*1</f>
        <v>0.363382658129721</v>
      </c>
      <c r="AA34" s="11" t="n">
        <f aca="false">Construction!AA14*AA29*(Construction!AA17+Inputs!$F$80)/100*Construction!AA11/360*1</f>
        <v>0.40070451346352</v>
      </c>
      <c r="AB34" s="11" t="n">
        <f aca="false">Construction!AB14*AB29*(Construction!AB17+Inputs!$F$80)/100*Construction!AB11/360*1</f>
        <v>0.406788621562458</v>
      </c>
      <c r="AC34" s="11" t="n">
        <f aca="false">Construction!AC14*AC29*(Construction!AC17+Inputs!$F$80)/100*Construction!AC11/360*1</f>
        <v>0.467405940755848</v>
      </c>
      <c r="AD34" s="11" t="n">
        <f aca="false">Construction!AD14*AD29*(Construction!AD17+Inputs!$F$80)/100*Construction!AD11/360*1</f>
        <v>0.483093448763554</v>
      </c>
      <c r="AE34" s="11" t="n">
        <f aca="false">Construction!AE14*AE29*(Construction!AE17+Inputs!$F$80)/100*Construction!AE11/360*1</f>
        <v>0.5295860265107</v>
      </c>
      <c r="AF34" s="11" t="n">
        <f aca="false">Construction!AF14*AF29*(Construction!AF17+Inputs!$F$80)/100*Construction!AF11/360*1</f>
        <v>0.540251522891254</v>
      </c>
      <c r="AG34" s="11" t="n">
        <f aca="false">Construction!AG14*AG29*(Construction!AG17+Inputs!$F$80)/100*Construction!AG11/360*1</f>
        <v>0.588233521841255</v>
      </c>
      <c r="AH34" s="11" t="n">
        <f aca="false">Construction!AH14*AH29*(Construction!AH17+Inputs!$F$80)/100*Construction!AH11/360*1</f>
        <v>0.612457365615973</v>
      </c>
      <c r="AI34" s="11" t="n">
        <f aca="false">Construction!AI14*AI29*(Construction!AI17+Inputs!$F$80)/100*Construction!AI11/360*1</f>
        <v>0.613537367547095</v>
      </c>
      <c r="AJ34" s="11" t="n">
        <f aca="false">Construction!AJ14*AJ29*(Construction!AJ17+Inputs!$F$80)/100*Construction!AJ11/360*1</f>
        <v>0.652627145928813</v>
      </c>
      <c r="AK34" s="11" t="n">
        <f aca="false">Construction!AK14*AK29*(Construction!AK17+Inputs!$F$80)/100*Construction!AK11/360*1</f>
        <v>0.646911347748363</v>
      </c>
      <c r="AL34" s="11" t="n">
        <f aca="false">Construction!AL14*AL29*(Construction!AL17+Inputs!$F$80)/100*Construction!AL11/360*1</f>
        <v>0.681480402897181</v>
      </c>
      <c r="AM34" s="11" t="n">
        <f aca="false">Construction!AM14*AM29*(Construction!AM17+Inputs!$F$80)/100*Construction!AM11/360*1</f>
        <v>0.695075932579183</v>
      </c>
      <c r="AN34" s="11" t="n">
        <f aca="false">Construction!AN14*AN29*(Construction!AN17+Inputs!$F$80)/100*Construction!AN11/360*1</f>
        <v>0.635303292417901</v>
      </c>
      <c r="AO34" s="11" t="n">
        <f aca="false">Construction!AO14*AO29*(Construction!AO17+Inputs!$F$80)/100*Construction!AO11/360*1</f>
        <v>0.709649488976781</v>
      </c>
      <c r="AP34" s="11" t="n">
        <f aca="false">Construction!AP14*AP29*(Construction!AP17+Inputs!$F$80)/100*Construction!AP11/360*1</f>
        <v>0.691832128602374</v>
      </c>
      <c r="AQ34" s="11" t="n">
        <f aca="false">Construction!AQ14*AQ29*(Construction!AQ17+Inputs!$F$80)/100*Construction!AQ11/360*1</f>
        <v>0.719465060325092</v>
      </c>
      <c r="AR34" s="11" t="n">
        <f aca="false">Construction!AR14*AR29*(Construction!AR17+Inputs!$F$80)/100*Construction!AR11/360*1</f>
        <v>0.700691933014961</v>
      </c>
      <c r="AS34" s="11" t="n">
        <f aca="false">Construction!AS14*AS29*(Construction!AS17+Inputs!$F$80)/100*Construction!AS11/360*1</f>
        <v>0.728572493293912</v>
      </c>
      <c r="AT34" s="11" t="n">
        <f aca="false">Construction!AT14*AT29*(Construction!AT17+Inputs!$F$80)/100*Construction!AT11/360*1</f>
        <v>0.733276907061947</v>
      </c>
      <c r="AU34" s="11" t="n">
        <f aca="false">Construction!AU14*AU29*(Construction!AU17+Inputs!$F$80)/100*Construction!AU11/360*1</f>
        <v>0.714189797710418</v>
      </c>
      <c r="AV34" s="11" t="n">
        <f aca="false">Construction!AV14*AV29*(Construction!AV17+Inputs!$F$80)/100*Construction!AV11/360*1</f>
        <v>0.742620855875889</v>
      </c>
      <c r="AW34" s="11" t="n">
        <f aca="false">Construction!AW14*AW29*(Construction!AW17+Inputs!$F$80)/100*Construction!AW11/360*1</f>
        <v>0.76849605580964</v>
      </c>
      <c r="AX34" s="11" t="n">
        <f aca="false">Construction!AX14*AX29*(Construction!AX17+Inputs!$F$80)/100*Construction!AX11/360*1</f>
        <v>0.836017532411203</v>
      </c>
      <c r="AY34" s="11" t="n">
        <f aca="false">Construction!AY14*AY29*(Construction!AY17+Inputs!$F$80)/100*Construction!AY11/360*1</f>
        <v>0</v>
      </c>
      <c r="AZ34" s="11" t="n">
        <f aca="false">Construction!AZ14*AZ29*(Construction!AZ17+Inputs!$F$80)/100*Construction!AZ11/360*1</f>
        <v>0</v>
      </c>
      <c r="BA34" s="11" t="n">
        <f aca="false">Construction!BA14*BA29*(Construction!BA17+Inputs!$F$80)/100*Construction!BA11/360*1</f>
        <v>0</v>
      </c>
      <c r="BB34" s="11" t="n">
        <f aca="false">Construction!BB14*BB29*(Construction!BB17+Inputs!$F$80)/100*Construction!BB11/360*1</f>
        <v>0</v>
      </c>
      <c r="BC34" s="11" t="n">
        <f aca="false">Construction!BC14*BC29*(Construction!BC17+Inputs!$F$80)/100*Construction!BC11/360*1</f>
        <v>0</v>
      </c>
      <c r="BD34" s="11" t="n">
        <f aca="false">Construction!BD14*BD29*(Construction!BD17+Inputs!$F$80)/100*Construction!BD11/360*1</f>
        <v>0</v>
      </c>
      <c r="BE34" s="11" t="n">
        <f aca="false">Construction!BE14*BE29*(Construction!BE17+Inputs!$F$80)/100*Construction!BE11/360*1</f>
        <v>0</v>
      </c>
      <c r="BF34" s="11" t="n">
        <f aca="false">Construction!BF14*BF29*(Construction!BF17+Inputs!$F$80)/100*Construction!BF11/360*1</f>
        <v>0</v>
      </c>
      <c r="BG34" s="11" t="n">
        <f aca="false">Construction!BG14*BG29*(Construction!BG17+Inputs!$F$80)/100*Construction!BG11/360*1</f>
        <v>0</v>
      </c>
      <c r="BH34" s="11" t="n">
        <f aca="false">Construction!BH14*BH29*(Construction!BH17+Inputs!$F$80)/100*Construction!BH11/360*1</f>
        <v>0</v>
      </c>
      <c r="BI34" s="11" t="n">
        <f aca="false">Construction!BI14*BI29*(Construction!BI17+Inputs!$F$80)/100*Construction!BI11/360*1</f>
        <v>0</v>
      </c>
      <c r="BJ34" s="11" t="n">
        <f aca="false">Construction!BJ14*BJ29*(Construction!BJ17+Inputs!$F$80)/100*Construction!BJ11/360*1</f>
        <v>0</v>
      </c>
    </row>
    <row r="35" customFormat="false" ht="15" hidden="false" customHeight="false" outlineLevel="0" collapsed="false">
      <c r="D35" s="0" t="s">
        <v>593</v>
      </c>
      <c r="E35" s="0" t="s">
        <v>149</v>
      </c>
      <c r="G35" s="11" t="n">
        <f aca="false">SUM(J35:BJ35)</f>
        <v>8.02572342660894</v>
      </c>
      <c r="J35" s="11" t="n">
        <f aca="false">Construction!J14*J30*(Construction!J17+Inputs!$F$81)/100*Construction!J11/360*1</f>
        <v>0</v>
      </c>
      <c r="K35" s="11" t="n">
        <f aca="false">Construction!K14*K30*(Construction!K17+Inputs!$F$81)/100*Construction!K11/360*1</f>
        <v>0.0445756651725623</v>
      </c>
      <c r="L35" s="11" t="n">
        <f aca="false">Construction!L14*L30*(Construction!L17+Inputs!$F$81)/100*Construction!L11/360*1</f>
        <v>0.0470083242335344</v>
      </c>
      <c r="M35" s="11" t="n">
        <f aca="false">Construction!M14*M30*(Construction!M17+Inputs!$F$81)/100*Construction!M11/360*1</f>
        <v>0.0466592866114302</v>
      </c>
      <c r="N35" s="11" t="n">
        <f aca="false">Construction!N14*N30*(Construction!N17+Inputs!$F$81)/100*Construction!N11/360*1</f>
        <v>0.0499180997254746</v>
      </c>
      <c r="O35" s="11" t="n">
        <f aca="false">Construction!O14*O30*(Construction!O17+Inputs!$F$81)/100*Construction!O11/360*1</f>
        <v>0.0547583200542136</v>
      </c>
      <c r="P35" s="11" t="n">
        <f aca="false">Construction!P14*P30*(Construction!P17+Inputs!$F$81)/100*Construction!P11/360*1</f>
        <v>0.0526485950376489</v>
      </c>
      <c r="Q35" s="11" t="n">
        <f aca="false">Construction!Q14*Q30*(Construction!Q17+Inputs!$F$81)/100*Construction!Q11/360*1</f>
        <v>0.0628939968946122</v>
      </c>
      <c r="R35" s="11" t="n">
        <f aca="false">Construction!R14*R30*(Construction!R17+Inputs!$F$81)/100*Construction!R11/360*1</f>
        <v>0.0665212789554001</v>
      </c>
      <c r="S35" s="11" t="n">
        <f aca="false">Construction!S14*S30*(Construction!S17+Inputs!$F$81)/100*Construction!S11/360*1</f>
        <v>0.0758181496194305</v>
      </c>
      <c r="T35" s="11" t="n">
        <f aca="false">Construction!T14*T30*(Construction!T17+Inputs!$F$81)/100*Construction!T11/360*1</f>
        <v>0.081440924328137</v>
      </c>
      <c r="U35" s="11" t="n">
        <f aca="false">Construction!U14*U30*(Construction!U17+Inputs!$F$81)/100*Construction!U11/360*1</f>
        <v>0.095939611354461</v>
      </c>
      <c r="V35" s="11" t="n">
        <f aca="false">Construction!V14*V30*(Construction!V17+Inputs!$F$81)/100*Construction!V11/360*1</f>
        <v>0.10684041375469</v>
      </c>
      <c r="W35" s="11" t="n">
        <f aca="false">Construction!W14*W30*(Construction!W17+Inputs!$F$81)/100*Construction!W11/360*1</f>
        <v>0.114926509370801</v>
      </c>
      <c r="X35" s="11" t="n">
        <f aca="false">Construction!X14*X30*(Construction!X17+Inputs!$F$81)/100*Construction!X11/360*1</f>
        <v>0.131519131358376</v>
      </c>
      <c r="Y35" s="11" t="n">
        <f aca="false">Construction!Y14*Y30*(Construction!Y17+Inputs!$F$81)/100*Construction!Y11/360*1</f>
        <v>0.140303939491784</v>
      </c>
      <c r="Z35" s="11" t="n">
        <f aca="false">Construction!Z14*Z30*(Construction!Z17+Inputs!$F$81)/100*Construction!Z11/360*1</f>
        <v>0.158907852982648</v>
      </c>
      <c r="AA35" s="11" t="n">
        <f aca="false">Construction!AA14*AA30*(Construction!AA17+Inputs!$F$81)/100*Construction!AA11/360*1</f>
        <v>0.175311638028881</v>
      </c>
      <c r="AB35" s="11" t="n">
        <f aca="false">Construction!AB14*AB30*(Construction!AB17+Inputs!$F$81)/100*Construction!AB11/360*1</f>
        <v>0.177973487149447</v>
      </c>
      <c r="AC35" s="11" t="n">
        <f aca="false">Construction!AC14*AC30*(Construction!AC17+Inputs!$F$81)/100*Construction!AC11/360*1</f>
        <v>0.204494080663251</v>
      </c>
      <c r="AD35" s="11" t="n">
        <f aca="false">Construction!AD14*AD30*(Construction!AD17+Inputs!$F$81)/100*Construction!AD11/360*1</f>
        <v>0.211357499050158</v>
      </c>
      <c r="AE35" s="11" t="n">
        <f aca="false">Construction!AE14*AE30*(Construction!AE17+Inputs!$F$81)/100*Construction!AE11/360*1</f>
        <v>0.231698397860072</v>
      </c>
      <c r="AF35" s="11" t="n">
        <f aca="false">Construction!AF14*AF30*(Construction!AF17+Inputs!$F$81)/100*Construction!AF11/360*1</f>
        <v>0.236364643380254</v>
      </c>
      <c r="AG35" s="11" t="n">
        <f aca="false">Construction!AG14*AG30*(Construction!AG17+Inputs!$F$81)/100*Construction!AG11/360*1</f>
        <v>0.25741691851338</v>
      </c>
      <c r="AH35" s="11" t="n">
        <f aca="false">Construction!AH14*AH30*(Construction!AH17+Inputs!$F$81)/100*Construction!AH11/360*1</f>
        <v>0.268017516723966</v>
      </c>
      <c r="AI35" s="11" t="n">
        <f aca="false">Construction!AI14*AI30*(Construction!AI17+Inputs!$F$81)/100*Construction!AI11/360*1</f>
        <v>0.268490136455374</v>
      </c>
      <c r="AJ35" s="11" t="n">
        <f aca="false">Construction!AJ14*AJ30*(Construction!AJ17+Inputs!$F$81)/100*Construction!AJ11/360*1</f>
        <v>0.285596217497638</v>
      </c>
      <c r="AK35" s="11" t="n">
        <f aca="false">Construction!AK14*AK30*(Construction!AK17+Inputs!$F$81)/100*Construction!AK11/360*1</f>
        <v>0.283094926598999</v>
      </c>
      <c r="AL35" s="11" t="n">
        <f aca="false">Construction!AL14*AL30*(Construction!AL17+Inputs!$F$81)/100*Construction!AL11/360*1</f>
        <v>0.29822269358595</v>
      </c>
      <c r="AM35" s="11" t="n">
        <f aca="false">Construction!AM14*AM30*(Construction!AM17+Inputs!$F$81)/100*Construction!AM11/360*1</f>
        <v>0.304224629244598</v>
      </c>
      <c r="AN35" s="11" t="n">
        <f aca="false">Construction!AN14*AN30*(Construction!AN17+Inputs!$F$81)/100*Construction!AN11/360*1</f>
        <v>0.27806301374374</v>
      </c>
      <c r="AO35" s="11" t="n">
        <f aca="false">Construction!AO14*AO30*(Construction!AO17+Inputs!$F$81)/100*Construction!AO11/360*1</f>
        <v>0.310603262979451</v>
      </c>
      <c r="AP35" s="11" t="n">
        <f aca="false">Construction!AP14*AP30*(Construction!AP17+Inputs!$F$81)/100*Construction!AP11/360*1</f>
        <v>0.302804863409051</v>
      </c>
      <c r="AQ35" s="11" t="n">
        <f aca="false">Construction!AQ14*AQ30*(Construction!AQ17+Inputs!$F$81)/100*Construction!AQ11/360*1</f>
        <v>0.314899395839617</v>
      </c>
      <c r="AR35" s="11" t="n">
        <f aca="false">Construction!AR14*AR30*(Construction!AR17+Inputs!$F$81)/100*Construction!AR11/360*1</f>
        <v>0.306682670978358</v>
      </c>
      <c r="AS35" s="11" t="n">
        <f aca="false">Construction!AS14*AS30*(Construction!AS17+Inputs!$F$81)/100*Construction!AS11/360*1</f>
        <v>0.318885586827454</v>
      </c>
      <c r="AT35" s="11" t="n">
        <f aca="false">Construction!AT14*AT30*(Construction!AT17+Inputs!$F$81)/100*Construction!AT11/360*1</f>
        <v>0.320944640331268</v>
      </c>
      <c r="AU35" s="11" t="n">
        <f aca="false">Construction!AU14*AU30*(Construction!AU17+Inputs!$F$81)/100*Construction!AU11/360*1</f>
        <v>0.312590490095806</v>
      </c>
      <c r="AV35" s="11" t="n">
        <f aca="false">Construction!AV14*AV30*(Construction!AV17+Inputs!$F$81)/100*Construction!AV11/360*1</f>
        <v>0.32503435086556</v>
      </c>
      <c r="AW35" s="11" t="n">
        <f aca="false">Construction!AW14*AW30*(Construction!AW17+Inputs!$F$81)/100*Construction!AW11/360*1</f>
        <v>0.33635954964962</v>
      </c>
      <c r="AX35" s="11" t="n">
        <f aca="false">Construction!AX14*AX30*(Construction!AX17+Inputs!$F$81)/100*Construction!AX11/360*1</f>
        <v>0.365912718191847</v>
      </c>
      <c r="AY35" s="11" t="n">
        <f aca="false">Construction!AY14*AY30*(Construction!AY17+Inputs!$F$81)/100*Construction!AY11/360*1</f>
        <v>0</v>
      </c>
      <c r="AZ35" s="11" t="n">
        <f aca="false">Construction!AZ14*AZ30*(Construction!AZ17+Inputs!$F$81)/100*Construction!AZ11/360*1</f>
        <v>0</v>
      </c>
      <c r="BA35" s="11" t="n">
        <f aca="false">Construction!BA14*BA30*(Construction!BA17+Inputs!$F$81)/100*Construction!BA11/360*1</f>
        <v>0</v>
      </c>
      <c r="BB35" s="11" t="n">
        <f aca="false">Construction!BB14*BB30*(Construction!BB17+Inputs!$F$81)/100*Construction!BB11/360*1</f>
        <v>0</v>
      </c>
      <c r="BC35" s="11" t="n">
        <f aca="false">Construction!BC14*BC30*(Construction!BC17+Inputs!$F$81)/100*Construction!BC11/360*1</f>
        <v>0</v>
      </c>
      <c r="BD35" s="11" t="n">
        <f aca="false">Construction!BD14*BD30*(Construction!BD17+Inputs!$F$81)/100*Construction!BD11/360*1</f>
        <v>0</v>
      </c>
      <c r="BE35" s="11" t="n">
        <f aca="false">Construction!BE14*BE30*(Construction!BE17+Inputs!$F$81)/100*Construction!BE11/360*1</f>
        <v>0</v>
      </c>
      <c r="BF35" s="11" t="n">
        <f aca="false">Construction!BF14*BF30*(Construction!BF17+Inputs!$F$81)/100*Construction!BF11/360*1</f>
        <v>0</v>
      </c>
      <c r="BG35" s="11" t="n">
        <f aca="false">Construction!BG14*BG30*(Construction!BG17+Inputs!$F$81)/100*Construction!BG11/360*1</f>
        <v>0</v>
      </c>
      <c r="BH35" s="11" t="n">
        <f aca="false">Construction!BH14*BH30*(Construction!BH17+Inputs!$F$81)/100*Construction!BH11/360*1</f>
        <v>0</v>
      </c>
      <c r="BI35" s="11" t="n">
        <f aca="false">Construction!BI14*BI30*(Construction!BI17+Inputs!$F$81)/100*Construction!BI11/360*1</f>
        <v>0</v>
      </c>
      <c r="BJ35" s="11" t="n">
        <f aca="false">Construction!BJ14*BJ30*(Construction!BJ17+Inputs!$F$81)/100*Construction!BJ11/360*1</f>
        <v>0</v>
      </c>
    </row>
    <row r="36" customFormat="false" ht="15" hidden="false" customHeight="false" outlineLevel="0" collapsed="false">
      <c r="D36" s="0" t="s">
        <v>594</v>
      </c>
      <c r="E36" s="0" t="s">
        <v>149</v>
      </c>
      <c r="G36" s="11" t="n">
        <f aca="false">SUM(J36:BJ36)</f>
        <v>37.57598206924</v>
      </c>
      <c r="J36" s="11" t="n">
        <f aca="false">Construction!J14*J31*(Construction!J17+Inputs!$F$82)/100*Construction!J11/360*(1/(1-Inputs!$F$93/100))</f>
        <v>0</v>
      </c>
      <c r="K36" s="11" t="n">
        <f aca="false">Construction!K14*K31*(Construction!K17+Inputs!$F$82)/100*Construction!K11/360*(1/(1-Inputs!$F$93/100))</f>
        <v>0.210462731434117</v>
      </c>
      <c r="L36" s="11" t="n">
        <f aca="false">Construction!L14*L31*(Construction!L17+Inputs!$F$82)/100*Construction!L11/360*(1/(1-Inputs!$F$93/100))</f>
        <v>0.221948461790313</v>
      </c>
      <c r="M36" s="11" t="n">
        <f aca="false">Construction!M14*M31*(Construction!M17+Inputs!$F$82)/100*Construction!M11/360*(1/(1-Inputs!$F$93/100))</f>
        <v>0.220300490615078</v>
      </c>
      <c r="N36" s="11" t="n">
        <f aca="false">Construction!N14*N31*(Construction!N17+Inputs!$F$82)/100*Construction!N11/360*(1/(1-Inputs!$F$93/100))</f>
        <v>0.235686883763896</v>
      </c>
      <c r="O36" s="11" t="n">
        <f aca="false">Construction!O14*O31*(Construction!O17+Inputs!$F$82)/100*Construction!O11/360*(1/(1-Inputs!$F$93/100))</f>
        <v>0.257347394661537</v>
      </c>
      <c r="P36" s="11" t="n">
        <f aca="false">Construction!P14*P31*(Construction!P17+Inputs!$F$82)/100*Construction!P11/360*(1/(1-Inputs!$F$93/100))</f>
        <v>0.247432330869812</v>
      </c>
      <c r="Q36" s="11" t="n">
        <f aca="false">Construction!Q14*Q31*(Construction!Q17+Inputs!$F$82)/100*Construction!Q11/360*(1/(1-Inputs!$F$93/100))</f>
        <v>0.295582593195968</v>
      </c>
      <c r="R36" s="11" t="n">
        <f aca="false">Construction!R14*R31*(Construction!R17+Inputs!$F$82)/100*Construction!R11/360*(1/(1-Inputs!$F$93/100))</f>
        <v>0.312629712010462</v>
      </c>
      <c r="S36" s="11" t="n">
        <f aca="false">Construction!S14*S31*(Construction!S17+Inputs!$F$82)/100*Construction!S11/360*(1/(1-Inputs!$F$93/100))</f>
        <v>0.356322167175719</v>
      </c>
      <c r="T36" s="11" t="n">
        <f aca="false">Construction!T14*T31*(Construction!T17+Inputs!$F$82)/100*Construction!T11/360*(1/(1-Inputs!$F$93/100))</f>
        <v>0.3827474925075</v>
      </c>
      <c r="U36" s="11" t="n">
        <f aca="false">Construction!U14*U31*(Construction!U17+Inputs!$F$82)/100*Construction!U11/360*(1/(1-Inputs!$F$93/100))</f>
        <v>0.44980309901061</v>
      </c>
      <c r="V36" s="11" t="n">
        <f aca="false">Construction!V14*V31*(Construction!V17+Inputs!$F$82)/100*Construction!V11/360*(1/(1-Inputs!$F$93/100))</f>
        <v>0.500910401115573</v>
      </c>
      <c r="W36" s="11" t="n">
        <f aca="false">Construction!W14*W31*(Construction!W17+Inputs!$F$82)/100*Construction!W11/360*(1/(1-Inputs!$F$93/100))</f>
        <v>0.538821237064084</v>
      </c>
      <c r="X36" s="11" t="n">
        <f aca="false">Construction!X14*X31*(Construction!X17+Inputs!$F$82)/100*Construction!X11/360*(1/(1-Inputs!$F$93/100))</f>
        <v>0.616614055748206</v>
      </c>
      <c r="Y36" s="11" t="n">
        <f aca="false">Construction!Y14*Y31*(Construction!Y17+Inputs!$F$82)/100*Construction!Y11/360*(1/(1-Inputs!$F$93/100))</f>
        <v>0.657800734189313</v>
      </c>
      <c r="Z36" s="11" t="n">
        <f aca="false">Construction!Z14*Z31*(Construction!Z17+Inputs!$F$82)/100*Construction!Z11/360*(1/(1-Inputs!$F$93/100))</f>
        <v>0.745023288291588</v>
      </c>
      <c r="AA36" s="11" t="n">
        <f aca="false">Construction!AA14*AA31*(Construction!AA17+Inputs!$F$82)/100*Construction!AA11/360*(1/(1-Inputs!$F$93/100))</f>
        <v>0.820912370804673</v>
      </c>
      <c r="AB36" s="11" t="n">
        <f aca="false">Construction!AB14*AB31*(Construction!AB17+Inputs!$F$82)/100*Construction!AB11/360*(1/(1-Inputs!$F$93/100))</f>
        <v>0.833376716565495</v>
      </c>
      <c r="AC36" s="11" t="n">
        <f aca="false">Construction!AC14*AC31*(Construction!AC17+Inputs!$F$82)/100*Construction!AC11/360*(1/(1-Inputs!$F$93/100))</f>
        <v>0.95756175950587</v>
      </c>
      <c r="AD36" s="11" t="n">
        <f aca="false">Construction!AD14*AD31*(Construction!AD17+Inputs!$F$82)/100*Construction!AD11/360*(1/(1-Inputs!$F$93/100))</f>
        <v>0.98970032784719</v>
      </c>
      <c r="AE36" s="11" t="n">
        <f aca="false">Construction!AE14*AE31*(Construction!AE17+Inputs!$F$82)/100*Construction!AE11/360*(1/(1-Inputs!$F$93/100))</f>
        <v>1.08494839953307</v>
      </c>
      <c r="AF36" s="11" t="n">
        <f aca="false">Construction!AF14*AF31*(Construction!AF17+Inputs!$F$82)/100*Construction!AF11/360*(1/(1-Inputs!$F$93/100))</f>
        <v>1.10679851008933</v>
      </c>
      <c r="AG36" s="11" t="n">
        <f aca="false">Construction!AG14*AG31*(Construction!AG17+Inputs!$F$82)/100*Construction!AG11/360*(1/(1-Inputs!$F$93/100))</f>
        <v>1.20464388010183</v>
      </c>
      <c r="AH36" s="11" t="n">
        <f aca="false">Construction!AH14*AH31*(Construction!AH17+Inputs!$F$82)/100*Construction!AH11/360*(1/(1-Inputs!$F$93/100))</f>
        <v>1.25425190832915</v>
      </c>
      <c r="AI36" s="11" t="n">
        <f aca="false">Construction!AI14*AI31*(Construction!AI17+Inputs!$F$82)/100*Construction!AI11/360*(1/(1-Inputs!$F$93/100))</f>
        <v>1.25646364511142</v>
      </c>
      <c r="AJ36" s="11" t="n">
        <f aca="false">Construction!AJ14*AJ31*(Construction!AJ17+Inputs!$F$82)/100*Construction!AJ11/360*(1/(1-Inputs!$F$93/100))</f>
        <v>1.33651563221117</v>
      </c>
      <c r="AK36" s="11" t="n">
        <f aca="false">Construction!AK14*AK31*(Construction!AK17+Inputs!$F$82)/100*Construction!AK11/360*(1/(1-Inputs!$F$93/100))</f>
        <v>1.3248102447378</v>
      </c>
      <c r="AL36" s="11" t="n">
        <f aca="false">Construction!AL14*AL31*(Construction!AL17+Inputs!$F$82)/100*Construction!AL11/360*(1/(1-Inputs!$F$93/100))</f>
        <v>1.39560423926497</v>
      </c>
      <c r="AM36" s="11" t="n">
        <f aca="false">Construction!AM14*AM31*(Construction!AM17+Inputs!$F$82)/100*Construction!AM11/360*(1/(1-Inputs!$F$93/100))</f>
        <v>1.42304833422717</v>
      </c>
      <c r="AN36" s="11" t="n">
        <f aca="false">Construction!AN14*AN31*(Construction!AN17+Inputs!$F$82)/100*Construction!AN11/360*(1/(1-Inputs!$F$93/100))</f>
        <v>1.30067414167205</v>
      </c>
      <c r="AO36" s="11" t="n">
        <f aca="false">Construction!AO14*AO31*(Construction!AO17+Inputs!$F$82)/100*Construction!AO11/360*(1/(1-Inputs!$F$93/100))</f>
        <v>1.45288518252432</v>
      </c>
      <c r="AP36" s="11" t="n">
        <f aca="false">Construction!AP14*AP31*(Construction!AP17+Inputs!$F$82)/100*Construction!AP11/360*(1/(1-Inputs!$F$93/100))</f>
        <v>1.41640720391407</v>
      </c>
      <c r="AQ36" s="11" t="n">
        <f aca="false">Construction!AQ14*AQ31*(Construction!AQ17+Inputs!$F$82)/100*Construction!AQ11/360*(1/(1-Inputs!$F$93/100))</f>
        <v>1.47298087538607</v>
      </c>
      <c r="AR36" s="11" t="n">
        <f aca="false">Construction!AR14*AR31*(Construction!AR17+Inputs!$F$82)/100*Construction!AR11/360*(1/(1-Inputs!$F$93/100))</f>
        <v>1.43454612848326</v>
      </c>
      <c r="AS36" s="11" t="n">
        <f aca="false">Construction!AS14*AS31*(Construction!AS17+Inputs!$F$82)/100*Construction!AS11/360*(1/(1-Inputs!$F$93/100))</f>
        <v>1.49162677680187</v>
      </c>
      <c r="AT36" s="11" t="n">
        <f aca="false">Construction!AT14*AT31*(Construction!AT17+Inputs!$F$82)/100*Construction!AT11/360*(1/(1-Inputs!$F$93/100))</f>
        <v>1.5012582542597</v>
      </c>
      <c r="AU36" s="11" t="n">
        <f aca="false">Construction!AU14*AU31*(Construction!AU17+Inputs!$F$82)/100*Construction!AU11/360*(1/(1-Inputs!$F$93/100))</f>
        <v>1.46218068317028</v>
      </c>
      <c r="AV36" s="11" t="n">
        <f aca="false">Construction!AV14*AV31*(Construction!AV17+Inputs!$F$82)/100*Construction!AV11/360*(1/(1-Inputs!$F$93/100))</f>
        <v>1.52038838115885</v>
      </c>
      <c r="AW36" s="11" t="n">
        <f aca="false">Construction!AW14*AW31*(Construction!AW17+Inputs!$F$82)/100*Construction!AW11/360*(1/(1-Inputs!$F$93/100))</f>
        <v>1.57336339933691</v>
      </c>
      <c r="AX36" s="11" t="n">
        <f aca="false">Construction!AX14*AX31*(Construction!AX17+Inputs!$F$82)/100*Construction!AX11/360*(1/(1-Inputs!$F$93/100))</f>
        <v>1.71160200075974</v>
      </c>
      <c r="AY36" s="11" t="n">
        <f aca="false">Construction!AY14*AY31*(Construction!AY17+Inputs!$F$82)/100*Construction!AY11/360*(1/(1-Inputs!$F$93/100))</f>
        <v>0</v>
      </c>
      <c r="AZ36" s="11" t="n">
        <f aca="false">Construction!AZ14*AZ31*(Construction!AZ17+Inputs!$F$82)/100*Construction!AZ11/360*(1/(1-Inputs!$F$93/100))</f>
        <v>0</v>
      </c>
      <c r="BA36" s="11" t="n">
        <f aca="false">Construction!BA14*BA31*(Construction!BA17+Inputs!$F$82)/100*Construction!BA11/360*(1/(1-Inputs!$F$93/100))</f>
        <v>0</v>
      </c>
      <c r="BB36" s="11" t="n">
        <f aca="false">Construction!BB14*BB31*(Construction!BB17+Inputs!$F$82)/100*Construction!BB11/360*(1/(1-Inputs!$F$93/100))</f>
        <v>0</v>
      </c>
      <c r="BC36" s="11" t="n">
        <f aca="false">Construction!BC14*BC31*(Construction!BC17+Inputs!$F$82)/100*Construction!BC11/360*(1/(1-Inputs!$F$93/100))</f>
        <v>0</v>
      </c>
      <c r="BD36" s="11" t="n">
        <f aca="false">Construction!BD14*BD31*(Construction!BD17+Inputs!$F$82)/100*Construction!BD11/360*(1/(1-Inputs!$F$93/100))</f>
        <v>0</v>
      </c>
      <c r="BE36" s="11" t="n">
        <f aca="false">Construction!BE14*BE31*(Construction!BE17+Inputs!$F$82)/100*Construction!BE11/360*(1/(1-Inputs!$F$93/100))</f>
        <v>0</v>
      </c>
      <c r="BF36" s="11" t="n">
        <f aca="false">Construction!BF14*BF31*(Construction!BF17+Inputs!$F$82)/100*Construction!BF11/360*(1/(1-Inputs!$F$93/100))</f>
        <v>0</v>
      </c>
      <c r="BG36" s="11" t="n">
        <f aca="false">Construction!BG14*BG31*(Construction!BG17+Inputs!$F$82)/100*Construction!BG11/360*(1/(1-Inputs!$F$93/100))</f>
        <v>0</v>
      </c>
      <c r="BH36" s="11" t="n">
        <f aca="false">Construction!BH14*BH31*(Construction!BH17+Inputs!$F$82)/100*Construction!BH11/360*(1/(1-Inputs!$F$93/100))</f>
        <v>0</v>
      </c>
      <c r="BI36" s="11" t="n">
        <f aca="false">Construction!BI14*BI31*(Construction!BI17+Inputs!$F$82)/100*Construction!BI11/360*(1/(1-Inputs!$F$93/100))</f>
        <v>0</v>
      </c>
      <c r="BJ36" s="11" t="n">
        <f aca="false">Construction!BJ14*BJ31*(Construction!BJ17+Inputs!$F$82)/100*Construction!BJ11/360*(1/(1-Inputs!$F$93/100))</f>
        <v>0</v>
      </c>
    </row>
    <row r="37" customFormat="false" ht="15" hidden="false" customHeight="false" outlineLevel="0" collapsed="false">
      <c r="D37" s="0" t="s">
        <v>595</v>
      </c>
      <c r="E37" s="0" t="s">
        <v>149</v>
      </c>
      <c r="G37" s="11" t="n">
        <f aca="false">SUM(J37:BJ37)</f>
        <v>0</v>
      </c>
      <c r="J37" s="11" t="n">
        <f aca="false">Construction!J14*J32*(Inputs!$F$102*(Construction!J17+Inputs!$F$82+Inputs!$F$101)/(1-Inputs!$F$93/100)+(1-Inputs!$F$102)*(Construction!J17+Inputs!$F$80+Inputs!$F$101))/100*Construction!J11/360</f>
        <v>0</v>
      </c>
      <c r="K37" s="11" t="n">
        <f aca="false">Construction!K14*K32*(Inputs!$F$102*(Construction!K17+Inputs!$F$82+Inputs!$F$101)/(1-Inputs!$F$93/100)+(1-Inputs!$F$102)*(Construction!K17+Inputs!$F$80+Inputs!$F$101))/100*Construction!K11/360</f>
        <v>0</v>
      </c>
      <c r="L37" s="11" t="n">
        <f aca="false">Construction!L14*L32*(Inputs!$F$102*(Construction!L17+Inputs!$F$82+Inputs!$F$101)/(1-Inputs!$F$93/100)+(1-Inputs!$F$102)*(Construction!L17+Inputs!$F$80+Inputs!$F$101))/100*Construction!L11/360</f>
        <v>0</v>
      </c>
      <c r="M37" s="11" t="n">
        <f aca="false">Construction!M14*M32*(Inputs!$F$102*(Construction!M17+Inputs!$F$82+Inputs!$F$101)/(1-Inputs!$F$93/100)+(1-Inputs!$F$102)*(Construction!M17+Inputs!$F$80+Inputs!$F$101))/100*Construction!M11/360</f>
        <v>0</v>
      </c>
      <c r="N37" s="11" t="n">
        <f aca="false">Construction!N14*N32*(Inputs!$F$102*(Construction!N17+Inputs!$F$82+Inputs!$F$101)/(1-Inputs!$F$93/100)+(1-Inputs!$F$102)*(Construction!N17+Inputs!$F$80+Inputs!$F$101))/100*Construction!N11/360</f>
        <v>0</v>
      </c>
      <c r="O37" s="11" t="n">
        <f aca="false">Construction!O14*O32*(Inputs!$F$102*(Construction!O17+Inputs!$F$82+Inputs!$F$101)/(1-Inputs!$F$93/100)+(1-Inputs!$F$102)*(Construction!O17+Inputs!$F$80+Inputs!$F$101))/100*Construction!O11/360</f>
        <v>0</v>
      </c>
      <c r="P37" s="11" t="n">
        <f aca="false">Construction!P14*P32*(Inputs!$F$102*(Construction!P17+Inputs!$F$82+Inputs!$F$101)/(1-Inputs!$F$93/100)+(1-Inputs!$F$102)*(Construction!P17+Inputs!$F$80+Inputs!$F$101))/100*Construction!P11/360</f>
        <v>0</v>
      </c>
      <c r="Q37" s="11" t="n">
        <f aca="false">Construction!Q14*Q32*(Inputs!$F$102*(Construction!Q17+Inputs!$F$82+Inputs!$F$101)/(1-Inputs!$F$93/100)+(1-Inputs!$F$102)*(Construction!Q17+Inputs!$F$80+Inputs!$F$101))/100*Construction!Q11/360</f>
        <v>0</v>
      </c>
      <c r="R37" s="11" t="n">
        <f aca="false">Construction!R14*R32*(Inputs!$F$102*(Construction!R17+Inputs!$F$82+Inputs!$F$101)/(1-Inputs!$F$93/100)+(1-Inputs!$F$102)*(Construction!R17+Inputs!$F$80+Inputs!$F$101))/100*Construction!R11/360</f>
        <v>0</v>
      </c>
      <c r="S37" s="11" t="n">
        <f aca="false">Construction!S14*S32*(Inputs!$F$102*(Construction!S17+Inputs!$F$82+Inputs!$F$101)/(1-Inputs!$F$93/100)+(1-Inputs!$F$102)*(Construction!S17+Inputs!$F$80+Inputs!$F$101))/100*Construction!S11/360</f>
        <v>0</v>
      </c>
      <c r="T37" s="11" t="n">
        <f aca="false">Construction!T14*T32*(Inputs!$F$102*(Construction!T17+Inputs!$F$82+Inputs!$F$101)/(1-Inputs!$F$93/100)+(1-Inputs!$F$102)*(Construction!T17+Inputs!$F$80+Inputs!$F$101))/100*Construction!T11/360</f>
        <v>0</v>
      </c>
      <c r="U37" s="11" t="n">
        <f aca="false">Construction!U14*U32*(Inputs!$F$102*(Construction!U17+Inputs!$F$82+Inputs!$F$101)/(1-Inputs!$F$93/100)+(1-Inputs!$F$102)*(Construction!U17+Inputs!$F$80+Inputs!$F$101))/100*Construction!U11/360</f>
        <v>0</v>
      </c>
      <c r="V37" s="11" t="n">
        <f aca="false">Construction!V14*V32*(Inputs!$F$102*(Construction!V17+Inputs!$F$82+Inputs!$F$101)/(1-Inputs!$F$93/100)+(1-Inputs!$F$102)*(Construction!V17+Inputs!$F$80+Inputs!$F$101))/100*Construction!V11/360</f>
        <v>0</v>
      </c>
      <c r="W37" s="11" t="n">
        <f aca="false">Construction!W14*W32*(Inputs!$F$102*(Construction!W17+Inputs!$F$82+Inputs!$F$101)/(1-Inputs!$F$93/100)+(1-Inputs!$F$102)*(Construction!W17+Inputs!$F$80+Inputs!$F$101))/100*Construction!W11/360</f>
        <v>0</v>
      </c>
      <c r="X37" s="11" t="n">
        <f aca="false">Construction!X14*X32*(Inputs!$F$102*(Construction!X17+Inputs!$F$82+Inputs!$F$101)/(1-Inputs!$F$93/100)+(1-Inputs!$F$102)*(Construction!X17+Inputs!$F$80+Inputs!$F$101))/100*Construction!X11/360</f>
        <v>0</v>
      </c>
      <c r="Y37" s="11" t="n">
        <f aca="false">Construction!Y14*Y32*(Inputs!$F$102*(Construction!Y17+Inputs!$F$82+Inputs!$F$101)/(1-Inputs!$F$93/100)+(1-Inputs!$F$102)*(Construction!Y17+Inputs!$F$80+Inputs!$F$101))/100*Construction!Y11/360</f>
        <v>0</v>
      </c>
      <c r="Z37" s="11" t="n">
        <f aca="false">Construction!Z14*Z32*(Inputs!$F$102*(Construction!Z17+Inputs!$F$82+Inputs!$F$101)/(1-Inputs!$F$93/100)+(1-Inputs!$F$102)*(Construction!Z17+Inputs!$F$80+Inputs!$F$101))/100*Construction!Z11/360</f>
        <v>0</v>
      </c>
      <c r="AA37" s="11" t="n">
        <f aca="false">Construction!AA14*AA32*(Inputs!$F$102*(Construction!AA17+Inputs!$F$82+Inputs!$F$101)/(1-Inputs!$F$93/100)+(1-Inputs!$F$102)*(Construction!AA17+Inputs!$F$80+Inputs!$F$101))/100*Construction!AA11/360</f>
        <v>0</v>
      </c>
      <c r="AB37" s="11" t="n">
        <f aca="false">Construction!AB14*AB32*(Inputs!$F$102*(Construction!AB17+Inputs!$F$82+Inputs!$F$101)/(1-Inputs!$F$93/100)+(1-Inputs!$F$102)*(Construction!AB17+Inputs!$F$80+Inputs!$F$101))/100*Construction!AB11/360</f>
        <v>0</v>
      </c>
      <c r="AC37" s="11" t="n">
        <f aca="false">Construction!AC14*AC32*(Inputs!$F$102*(Construction!AC17+Inputs!$F$82+Inputs!$F$101)/(1-Inputs!$F$93/100)+(1-Inputs!$F$102)*(Construction!AC17+Inputs!$F$80+Inputs!$F$101))/100*Construction!AC11/360</f>
        <v>0</v>
      </c>
      <c r="AD37" s="11" t="n">
        <f aca="false">Construction!AD14*AD32*(Inputs!$F$102*(Construction!AD17+Inputs!$F$82+Inputs!$F$101)/(1-Inputs!$F$93/100)+(1-Inputs!$F$102)*(Construction!AD17+Inputs!$F$80+Inputs!$F$101))/100*Construction!AD11/360</f>
        <v>0</v>
      </c>
      <c r="AE37" s="11" t="n">
        <f aca="false">Construction!AE14*AE32*(Inputs!$F$102*(Construction!AE17+Inputs!$F$82+Inputs!$F$101)/(1-Inputs!$F$93/100)+(1-Inputs!$F$102)*(Construction!AE17+Inputs!$F$80+Inputs!$F$101))/100*Construction!AE11/360</f>
        <v>0</v>
      </c>
      <c r="AF37" s="11" t="n">
        <f aca="false">Construction!AF14*AF32*(Inputs!$F$102*(Construction!AF17+Inputs!$F$82+Inputs!$F$101)/(1-Inputs!$F$93/100)+(1-Inputs!$F$102)*(Construction!AF17+Inputs!$F$80+Inputs!$F$101))/100*Construction!AF11/360</f>
        <v>0</v>
      </c>
      <c r="AG37" s="11" t="n">
        <f aca="false">Construction!AG14*AG32*(Inputs!$F$102*(Construction!AG17+Inputs!$F$82+Inputs!$F$101)/(1-Inputs!$F$93/100)+(1-Inputs!$F$102)*(Construction!AG17+Inputs!$F$80+Inputs!$F$101))/100*Construction!AG11/360</f>
        <v>0</v>
      </c>
      <c r="AH37" s="11" t="n">
        <f aca="false">Construction!AH14*AH32*(Inputs!$F$102*(Construction!AH17+Inputs!$F$82+Inputs!$F$101)/(1-Inputs!$F$93/100)+(1-Inputs!$F$102)*(Construction!AH17+Inputs!$F$80+Inputs!$F$101))/100*Construction!AH11/360</f>
        <v>0</v>
      </c>
      <c r="AI37" s="11" t="n">
        <f aca="false">Construction!AI14*AI32*(Inputs!$F$102*(Construction!AI17+Inputs!$F$82+Inputs!$F$101)/(1-Inputs!$F$93/100)+(1-Inputs!$F$102)*(Construction!AI17+Inputs!$F$80+Inputs!$F$101))/100*Construction!AI11/360</f>
        <v>0</v>
      </c>
      <c r="AJ37" s="11" t="n">
        <f aca="false">Construction!AJ14*AJ32*(Inputs!$F$102*(Construction!AJ17+Inputs!$F$82+Inputs!$F$101)/(1-Inputs!$F$93/100)+(1-Inputs!$F$102)*(Construction!AJ17+Inputs!$F$80+Inputs!$F$101))/100*Construction!AJ11/360</f>
        <v>0</v>
      </c>
      <c r="AK37" s="11" t="n">
        <f aca="false">Construction!AK14*AK32*(Inputs!$F$102*(Construction!AK17+Inputs!$F$82+Inputs!$F$101)/(1-Inputs!$F$93/100)+(1-Inputs!$F$102)*(Construction!AK17+Inputs!$F$80+Inputs!$F$101))/100*Construction!AK11/360</f>
        <v>0</v>
      </c>
      <c r="AL37" s="11" t="n">
        <f aca="false">Construction!AL14*AL32*(Inputs!$F$102*(Construction!AL17+Inputs!$F$82+Inputs!$F$101)/(1-Inputs!$F$93/100)+(1-Inputs!$F$102)*(Construction!AL17+Inputs!$F$80+Inputs!$F$101))/100*Construction!AL11/360</f>
        <v>0</v>
      </c>
      <c r="AM37" s="11" t="n">
        <f aca="false">Construction!AM14*AM32*(Inputs!$F$102*(Construction!AM17+Inputs!$F$82+Inputs!$F$101)/(1-Inputs!$F$93/100)+(1-Inputs!$F$102)*(Construction!AM17+Inputs!$F$80+Inputs!$F$101))/100*Construction!AM11/360</f>
        <v>0</v>
      </c>
      <c r="AN37" s="11" t="n">
        <f aca="false">Construction!AN14*AN32*(Inputs!$F$102*(Construction!AN17+Inputs!$F$82+Inputs!$F$101)/(1-Inputs!$F$93/100)+(1-Inputs!$F$102)*(Construction!AN17+Inputs!$F$80+Inputs!$F$101))/100*Construction!AN11/360</f>
        <v>0</v>
      </c>
      <c r="AO37" s="11" t="n">
        <f aca="false">Construction!AO14*AO32*(Inputs!$F$102*(Construction!AO17+Inputs!$F$82+Inputs!$F$101)/(1-Inputs!$F$93/100)+(1-Inputs!$F$102)*(Construction!AO17+Inputs!$F$80+Inputs!$F$101))/100*Construction!AO11/360</f>
        <v>0</v>
      </c>
      <c r="AP37" s="11" t="n">
        <f aca="false">Construction!AP14*AP32*(Inputs!$F$102*(Construction!AP17+Inputs!$F$82+Inputs!$F$101)/(1-Inputs!$F$93/100)+(1-Inputs!$F$102)*(Construction!AP17+Inputs!$F$80+Inputs!$F$101))/100*Construction!AP11/360</f>
        <v>0</v>
      </c>
      <c r="AQ37" s="11" t="n">
        <f aca="false">Construction!AQ14*AQ32*(Inputs!$F$102*(Construction!AQ17+Inputs!$F$82+Inputs!$F$101)/(1-Inputs!$F$93/100)+(1-Inputs!$F$102)*(Construction!AQ17+Inputs!$F$80+Inputs!$F$101))/100*Construction!AQ11/360</f>
        <v>0</v>
      </c>
      <c r="AR37" s="11" t="n">
        <f aca="false">Construction!AR14*AR32*(Inputs!$F$102*(Construction!AR17+Inputs!$F$82+Inputs!$F$101)/(1-Inputs!$F$93/100)+(1-Inputs!$F$102)*(Construction!AR17+Inputs!$F$80+Inputs!$F$101))/100*Construction!AR11/360</f>
        <v>0</v>
      </c>
      <c r="AS37" s="11" t="n">
        <f aca="false">Construction!AS14*AS32*(Inputs!$F$102*(Construction!AS17+Inputs!$F$82+Inputs!$F$101)/(1-Inputs!$F$93/100)+(1-Inputs!$F$102)*(Construction!AS17+Inputs!$F$80+Inputs!$F$101))/100*Construction!AS11/360</f>
        <v>0</v>
      </c>
      <c r="AT37" s="11" t="n">
        <f aca="false">Construction!AT14*AT32*(Inputs!$F$102*(Construction!AT17+Inputs!$F$82+Inputs!$F$101)/(1-Inputs!$F$93/100)+(1-Inputs!$F$102)*(Construction!AT17+Inputs!$F$80+Inputs!$F$101))/100*Construction!AT11/360</f>
        <v>0</v>
      </c>
      <c r="AU37" s="11" t="n">
        <f aca="false">Construction!AU14*AU32*(Inputs!$F$102*(Construction!AU17+Inputs!$F$82+Inputs!$F$101)/(1-Inputs!$F$93/100)+(1-Inputs!$F$102)*(Construction!AU17+Inputs!$F$80+Inputs!$F$101))/100*Construction!AU11/360</f>
        <v>0</v>
      </c>
      <c r="AV37" s="11" t="n">
        <f aca="false">Construction!AV14*AV32*(Inputs!$F$102*(Construction!AV17+Inputs!$F$82+Inputs!$F$101)/(1-Inputs!$F$93/100)+(1-Inputs!$F$102)*(Construction!AV17+Inputs!$F$80+Inputs!$F$101))/100*Construction!AV11/360</f>
        <v>0</v>
      </c>
      <c r="AW37" s="11" t="n">
        <f aca="false">Construction!AW14*AW32*(Inputs!$F$102*(Construction!AW17+Inputs!$F$82+Inputs!$F$101)/(1-Inputs!$F$93/100)+(1-Inputs!$F$102)*(Construction!AW17+Inputs!$F$80+Inputs!$F$101))/100*Construction!AW11/360</f>
        <v>0</v>
      </c>
      <c r="AX37" s="11" t="n">
        <f aca="false">Construction!AX14*AX32*(Inputs!$F$102*(Construction!AX17+Inputs!$F$82+Inputs!$F$101)/(1-Inputs!$F$93/100)+(1-Inputs!$F$102)*(Construction!AX17+Inputs!$F$80+Inputs!$F$101))/100*Construction!AX11/360</f>
        <v>0</v>
      </c>
      <c r="AY37" s="11" t="n">
        <f aca="false">Construction!AY14*AY32*(Inputs!$F$102*(Construction!AY17+Inputs!$F$82+Inputs!$F$101)/(1-Inputs!$F$93/100)+(1-Inputs!$F$102)*(Construction!AY17+Inputs!$F$80+Inputs!$F$101))/100*Construction!AY11/360</f>
        <v>0</v>
      </c>
      <c r="AZ37" s="11" t="n">
        <f aca="false">Construction!AZ14*AZ32*(Inputs!$F$102*(Construction!AZ17+Inputs!$F$82+Inputs!$F$101)/(1-Inputs!$F$93/100)+(1-Inputs!$F$102)*(Construction!AZ17+Inputs!$F$80+Inputs!$F$101))/100*Construction!AZ11/360</f>
        <v>0</v>
      </c>
      <c r="BA37" s="11" t="n">
        <f aca="false">Construction!BA14*BA32*(Inputs!$F$102*(Construction!BA17+Inputs!$F$82+Inputs!$F$101)/(1-Inputs!$F$93/100)+(1-Inputs!$F$102)*(Construction!BA17+Inputs!$F$80+Inputs!$F$101))/100*Construction!BA11/360</f>
        <v>0</v>
      </c>
      <c r="BB37" s="11" t="n">
        <f aca="false">Construction!BB14*BB32*(Inputs!$F$102*(Construction!BB17+Inputs!$F$82+Inputs!$F$101)/(1-Inputs!$F$93/100)+(1-Inputs!$F$102)*(Construction!BB17+Inputs!$F$80+Inputs!$F$101))/100*Construction!BB11/360</f>
        <v>0</v>
      </c>
      <c r="BC37" s="11" t="n">
        <f aca="false">Construction!BC14*BC32*(Inputs!$F$102*(Construction!BC17+Inputs!$F$82+Inputs!$F$101)/(1-Inputs!$F$93/100)+(1-Inputs!$F$102)*(Construction!BC17+Inputs!$F$80+Inputs!$F$101))/100*Construction!BC11/360</f>
        <v>0</v>
      </c>
      <c r="BD37" s="11" t="n">
        <f aca="false">Construction!BD14*BD32*(Inputs!$F$102*(Construction!BD17+Inputs!$F$82+Inputs!$F$101)/(1-Inputs!$F$93/100)+(1-Inputs!$F$102)*(Construction!BD17+Inputs!$F$80+Inputs!$F$101))/100*Construction!BD11/360</f>
        <v>0</v>
      </c>
      <c r="BE37" s="11" t="n">
        <f aca="false">Construction!BE14*BE32*(Inputs!$F$102*(Construction!BE17+Inputs!$F$82+Inputs!$F$101)/(1-Inputs!$F$93/100)+(1-Inputs!$F$102)*(Construction!BE17+Inputs!$F$80+Inputs!$F$101))/100*Construction!BE11/360</f>
        <v>0</v>
      </c>
      <c r="BF37" s="11" t="n">
        <f aca="false">Construction!BF14*BF32*(Inputs!$F$102*(Construction!BF17+Inputs!$F$82+Inputs!$F$101)/(1-Inputs!$F$93/100)+(1-Inputs!$F$102)*(Construction!BF17+Inputs!$F$80+Inputs!$F$101))/100*Construction!BF11/360</f>
        <v>0</v>
      </c>
      <c r="BG37" s="11" t="n">
        <f aca="false">Construction!BG14*BG32*(Inputs!$F$102*(Construction!BG17+Inputs!$F$82+Inputs!$F$101)/(1-Inputs!$F$93/100)+(1-Inputs!$F$102)*(Construction!BG17+Inputs!$F$80+Inputs!$F$101))/100*Construction!BG11/360</f>
        <v>0</v>
      </c>
      <c r="BH37" s="11" t="n">
        <f aca="false">Construction!BH14*BH32*(Inputs!$F$102*(Construction!BH17+Inputs!$F$82+Inputs!$F$101)/(1-Inputs!$F$93/100)+(1-Inputs!$F$102)*(Construction!BH17+Inputs!$F$80+Inputs!$F$101))/100*Construction!BH11/360</f>
        <v>0</v>
      </c>
      <c r="BI37" s="11" t="n">
        <f aca="false">Construction!BI14*BI32*(Inputs!$F$102*(Construction!BI17+Inputs!$F$82+Inputs!$F$101)/(1-Inputs!$F$93/100)+(1-Inputs!$F$102)*(Construction!BI17+Inputs!$F$80+Inputs!$F$101))/100*Construction!BI11/360</f>
        <v>0</v>
      </c>
      <c r="BJ37" s="11" t="n">
        <f aca="false">Construction!BJ14*BJ32*(Inputs!$F$102*(Construction!BJ17+Inputs!$F$82+Inputs!$F$101)/(1-Inputs!$F$93/100)+(1-Inputs!$F$102)*(Construction!BJ17+Inputs!$F$80+Inputs!$F$101))/100*Construction!BJ11/360</f>
        <v>0</v>
      </c>
    </row>
    <row r="38" customFormat="false" ht="15" hidden="false" customHeight="false" outlineLevel="0" collapsed="false">
      <c r="D38" s="0" t="s">
        <v>596</v>
      </c>
      <c r="E38" s="0" t="s">
        <v>149</v>
      </c>
      <c r="G38" s="11" t="n">
        <f aca="false">SUM(J38:BJ38)</f>
        <v>4.84253832419524</v>
      </c>
      <c r="J38" s="11" t="n">
        <f aca="false">Construction!J14*(Inputs!$F$95/100*Inputs!$F$96/100)*J31*Construction!J11/365</f>
        <v>0</v>
      </c>
      <c r="K38" s="11" t="n">
        <f aca="false">Construction!K14*(Inputs!$F$95/100*Inputs!$F$96/100)*K31*Construction!K11/365</f>
        <v>0.0292085305463381</v>
      </c>
      <c r="L38" s="11" t="n">
        <f aca="false">Construction!L14*(Inputs!$F$95/100*Inputs!$F$96/100)*L31*Construction!L11/365</f>
        <v>0.0308025481839025</v>
      </c>
      <c r="M38" s="11" t="n">
        <f aca="false">Construction!M14*(Inputs!$F$95/100*Inputs!$F$96/100)*M31*Construction!M11/365</f>
        <v>0.0305738387298185</v>
      </c>
      <c r="N38" s="11" t="n">
        <f aca="false">Construction!N14*(Inputs!$F$95/100*Inputs!$F$96/100)*N31*Construction!N11/365</f>
        <v>0.0327091998515851</v>
      </c>
      <c r="O38" s="11" t="n">
        <f aca="false">Construction!O14*(Inputs!$F$95/100*Inputs!$F$96/100)*O31*Construction!O11/365</f>
        <v>0.0343157147845</v>
      </c>
      <c r="P38" s="11" t="n">
        <f aca="false">Construction!P14*(Inputs!$F$95/100*Inputs!$F$96/100)*P31*Construction!P11/365</f>
        <v>0.0329936011427651</v>
      </c>
      <c r="Q38" s="11" t="n">
        <f aca="false">Construction!Q14*(Inputs!$F$95/100*Inputs!$F$96/100)*Q31*Construction!Q11/365</f>
        <v>0.0394141466895981</v>
      </c>
      <c r="R38" s="11" t="n">
        <f aca="false">Construction!R14*(Inputs!$F$95/100*Inputs!$F$96/100)*R31*Construction!R11/365</f>
        <v>0.0416872766270705</v>
      </c>
      <c r="S38" s="11" t="n">
        <f aca="false">Construction!S14*(Inputs!$F$95/100*Inputs!$F$96/100)*S31*Construction!S11/365</f>
        <v>0.0475134006166195</v>
      </c>
      <c r="T38" s="11" t="n">
        <f aca="false">Construction!T14*(Inputs!$F$95/100*Inputs!$F$96/100)*T31*Construction!T11/365</f>
        <v>0.0510370575332386</v>
      </c>
      <c r="U38" s="11" t="n">
        <f aca="false">Construction!U14*(Inputs!$F$95/100*Inputs!$F$96/100)*U31*Construction!U11/365</f>
        <v>0.0587005647658071</v>
      </c>
      <c r="V38" s="11" t="n">
        <f aca="false">Construction!V14*(Inputs!$F$95/100*Inputs!$F$96/100)*V31*Construction!V11/365</f>
        <v>0.0653702108927835</v>
      </c>
      <c r="W38" s="11" t="n">
        <f aca="false">Construction!W14*(Inputs!$F$95/100*Inputs!$F$96/100)*W31*Construction!W11/365</f>
        <v>0.0703176812099432</v>
      </c>
      <c r="X38" s="11" t="n">
        <f aca="false">Construction!X14*(Inputs!$F$95/100*Inputs!$F$96/100)*X31*Construction!X11/365</f>
        <v>0.0804698620231178</v>
      </c>
      <c r="Y38" s="11" t="n">
        <f aca="false">Construction!Y14*(Inputs!$F$95/100*Inputs!$F$96/100)*Y31*Construction!Y11/365</f>
        <v>0.0858448389644474</v>
      </c>
      <c r="Z38" s="11" t="n">
        <f aca="false">Construction!Z14*(Inputs!$F$95/100*Inputs!$F$96/100)*Z31*Construction!Z11/365</f>
        <v>0.0972276266717392</v>
      </c>
      <c r="AA38" s="11" t="n">
        <f aca="false">Construction!AA14*(Inputs!$F$95/100*Inputs!$F$96/100)*AA31*Construction!AA11/365</f>
        <v>0.105927641382807</v>
      </c>
      <c r="AB38" s="11" t="n">
        <f aca="false">Construction!AB14*(Inputs!$F$95/100*Inputs!$F$96/100)*AB31*Construction!AB11/365</f>
        <v>0.107535996665027</v>
      </c>
      <c r="AC38" s="11" t="n">
        <f aca="false">Construction!AC14*(Inputs!$F$95/100*Inputs!$F$96/100)*AC31*Construction!AC11/365</f>
        <v>0.123560397272856</v>
      </c>
      <c r="AD38" s="11" t="n">
        <f aca="false">Construction!AD14*(Inputs!$F$95/100*Inputs!$F$96/100)*AD31*Construction!AD11/365</f>
        <v>0.127707444951623</v>
      </c>
      <c r="AE38" s="11" t="n">
        <f aca="false">Construction!AE14*(Inputs!$F$95/100*Inputs!$F$96/100)*AE31*Construction!AE11/365</f>
        <v>0.139997920693944</v>
      </c>
      <c r="AF38" s="11" t="n">
        <f aca="false">Construction!AF14*(Inputs!$F$95/100*Inputs!$F$96/100)*AF31*Construction!AF11/365</f>
        <v>0.14281738201222</v>
      </c>
      <c r="AG38" s="11" t="n">
        <f aca="false">Construction!AG14*(Inputs!$F$95/100*Inputs!$F$96/100)*AG31*Construction!AG11/365</f>
        <v>0.154574607313594</v>
      </c>
      <c r="AH38" s="11" t="n">
        <f aca="false">Construction!AH14*(Inputs!$F$95/100*Inputs!$F$96/100)*AH31*Construction!AH11/365</f>
        <v>0.160940091428444</v>
      </c>
      <c r="AI38" s="11" t="n">
        <f aca="false">Construction!AI14*(Inputs!$F$95/100*Inputs!$F$96/100)*AI31*Construction!AI11/365</f>
        <v>0.16122389176998</v>
      </c>
      <c r="AJ38" s="11" t="n">
        <f aca="false">Construction!AJ14*(Inputs!$F$95/100*Inputs!$F$96/100)*AJ31*Construction!AJ11/365</f>
        <v>0.171495810861595</v>
      </c>
      <c r="AK38" s="11" t="n">
        <f aca="false">Construction!AK14*(Inputs!$F$95/100*Inputs!$F$96/100)*AK31*Construction!AK11/365</f>
        <v>0.169993826995628</v>
      </c>
      <c r="AL38" s="11" t="n">
        <f aca="false">Construction!AL14*(Inputs!$F$95/100*Inputs!$F$96/100)*AL31*Construction!AL11/365</f>
        <v>0.179077801176672</v>
      </c>
      <c r="AM38" s="11" t="n">
        <f aca="false">Construction!AM14*(Inputs!$F$95/100*Inputs!$F$96/100)*AM31*Construction!AM11/365</f>
        <v>0.181837418179641</v>
      </c>
      <c r="AN38" s="11" t="n">
        <f aca="false">Construction!AN14*(Inputs!$F$95/100*Inputs!$F$96/100)*AN31*Construction!AN11/365</f>
        <v>0.166200417881878</v>
      </c>
      <c r="AO38" s="11" t="n">
        <f aca="false">Construction!AO14*(Inputs!$F$95/100*Inputs!$F$96/100)*AO31*Construction!AO11/365</f>
        <v>0.185649976987714</v>
      </c>
      <c r="AP38" s="11" t="n">
        <f aca="false">Construction!AP14*(Inputs!$F$95/100*Inputs!$F$96/100)*AP31*Construction!AP11/365</f>
        <v>0.180988813138699</v>
      </c>
      <c r="AQ38" s="11" t="n">
        <f aca="false">Construction!AQ14*(Inputs!$F$95/100*Inputs!$F$96/100)*AQ31*Construction!AQ11/365</f>
        <v>0.188217808886758</v>
      </c>
      <c r="AR38" s="11" t="n">
        <f aca="false">Construction!AR14*(Inputs!$F$95/100*Inputs!$F$96/100)*AR31*Construction!AR11/365</f>
        <v>0.18330660877001</v>
      </c>
      <c r="AS38" s="11" t="n">
        <f aca="false">Construction!AS14*(Inputs!$F$95/100*Inputs!$F$96/100)*AS31*Construction!AS11/365</f>
        <v>0.190600386127131</v>
      </c>
      <c r="AT38" s="11" t="n">
        <f aca="false">Construction!AT14*(Inputs!$F$95/100*Inputs!$F$96/100)*AT31*Construction!AT11/365</f>
        <v>0.191831098360907</v>
      </c>
      <c r="AU38" s="11" t="n">
        <f aca="false">Construction!AU14*(Inputs!$F$95/100*Inputs!$F$96/100)*AU31*Construction!AU11/365</f>
        <v>0.186837758033159</v>
      </c>
      <c r="AV38" s="11" t="n">
        <f aca="false">Construction!AV14*(Inputs!$F$95/100*Inputs!$F$96/100)*AV31*Construction!AV11/365</f>
        <v>0.194275550036317</v>
      </c>
      <c r="AW38" s="11" t="n">
        <f aca="false">Construction!AW14*(Inputs!$F$95/100*Inputs!$F$96/100)*AW31*Construction!AW11/365</f>
        <v>0.201044709102688</v>
      </c>
      <c r="AX38" s="11" t="n">
        <f aca="false">Construction!AX14*(Inputs!$F$95/100*Inputs!$F$96/100)*AX31*Construction!AX11/365</f>
        <v>0.218708866932677</v>
      </c>
      <c r="AY38" s="11" t="n">
        <f aca="false">Construction!AY14*(Inputs!$F$95/100*Inputs!$F$96/100)*AY31*Construction!AY11/365</f>
        <v>0</v>
      </c>
      <c r="AZ38" s="11" t="n">
        <f aca="false">Construction!AZ14*(Inputs!$F$95/100*Inputs!$F$96/100)*AZ31*Construction!AZ11/365</f>
        <v>0</v>
      </c>
      <c r="BA38" s="11" t="n">
        <f aca="false">Construction!BA14*(Inputs!$F$95/100*Inputs!$F$96/100)*BA31*Construction!BA11/365</f>
        <v>0</v>
      </c>
      <c r="BB38" s="11" t="n">
        <f aca="false">Construction!BB14*(Inputs!$F$95/100*Inputs!$F$96/100)*BB31*Construction!BB11/365</f>
        <v>0</v>
      </c>
      <c r="BC38" s="11" t="n">
        <f aca="false">Construction!BC14*(Inputs!$F$95/100*Inputs!$F$96/100)*BC31*Construction!BC11/365</f>
        <v>0</v>
      </c>
      <c r="BD38" s="11" t="n">
        <f aca="false">Construction!BD14*(Inputs!$F$95/100*Inputs!$F$96/100)*BD31*Construction!BD11/365</f>
        <v>0</v>
      </c>
      <c r="BE38" s="11" t="n">
        <f aca="false">Construction!BE14*(Inputs!$F$95/100*Inputs!$F$96/100)*BE31*Construction!BE11/365</f>
        <v>0</v>
      </c>
      <c r="BF38" s="11" t="n">
        <f aca="false">Construction!BF14*(Inputs!$F$95/100*Inputs!$F$96/100)*BF31*Construction!BF11/365</f>
        <v>0</v>
      </c>
      <c r="BG38" s="11" t="n">
        <f aca="false">Construction!BG14*(Inputs!$F$95/100*Inputs!$F$96/100)*BG31*Construction!BG11/365</f>
        <v>0</v>
      </c>
      <c r="BH38" s="11" t="n">
        <f aca="false">Construction!BH14*(Inputs!$F$95/100*Inputs!$F$96/100)*BH31*Construction!BH11/365</f>
        <v>0</v>
      </c>
      <c r="BI38" s="11" t="n">
        <f aca="false">Construction!BI14*(Inputs!$F$95/100*Inputs!$F$96/100)*BI31*Construction!BI11/365</f>
        <v>0</v>
      </c>
      <c r="BJ38" s="11" t="n">
        <f aca="false">Construction!BJ14*(Inputs!$F$95/100*Inputs!$F$96/100)*BJ31*Construction!BJ11/365</f>
        <v>0</v>
      </c>
    </row>
    <row r="39" customFormat="false" ht="15" hidden="false" customHeight="false" outlineLevel="0" collapsed="false">
      <c r="D39" s="0" t="s">
        <v>597</v>
      </c>
      <c r="E39" s="0" t="s">
        <v>149</v>
      </c>
      <c r="G39" s="11" t="n">
        <f aca="false">SUM(J39:BJ39)</f>
        <v>-0.780154394273374</v>
      </c>
      <c r="J39" s="11" t="n">
        <f aca="false">Construction!J14*Inputs!J233*(Inputs!$F$97/100/12-Construction!J17/100*Construction!J11/360)</f>
        <v>0</v>
      </c>
      <c r="K39" s="11" t="n">
        <f aca="false">Construction!K14*Inputs!K233*(Inputs!$F$97/100/12-Construction!K17/100*Construction!K11/360)</f>
        <v>0.0256336265468404</v>
      </c>
      <c r="L39" s="11" t="n">
        <f aca="false">Construction!L14*Inputs!L233*(Inputs!$F$97/100/12-Construction!L17/100*Construction!L11/360)</f>
        <v>0.0210141444648804</v>
      </c>
      <c r="M39" s="11" t="n">
        <f aca="false">Construction!M14*Inputs!M233*(Inputs!$F$97/100/12-Construction!M17/100*Construction!M11/360)</f>
        <v>0.0268320307959709</v>
      </c>
      <c r="N39" s="11" t="n">
        <f aca="false">Construction!N14*Inputs!N233*(Inputs!$F$97/100/12-Construction!N17/100*Construction!N11/360)</f>
        <v>0.0223162130457094</v>
      </c>
      <c r="O39" s="11" t="n">
        <f aca="false">Construction!O14*Inputs!O233*(Inputs!$F$97/100/12-Construction!O17/100*Construction!O11/360)</f>
        <v>0.00436885296429229</v>
      </c>
      <c r="P39" s="11" t="n">
        <f aca="false">Construction!P14*Inputs!P233*(Inputs!$F$97/100/12-Construction!P17/100*Construction!P11/360)</f>
        <v>0.0249275257662273</v>
      </c>
      <c r="Q39" s="11" t="n">
        <f aca="false">Construction!Q14*Inputs!Q233*(Inputs!$F$97/100/12-Construction!Q17/100*Construction!Q11/360)</f>
        <v>0.00501952997504109</v>
      </c>
      <c r="R39" s="11" t="n">
        <f aca="false">Construction!R14*Inputs!R233*(Inputs!$F$97/100/12-Construction!R17/100*Construction!R11/360)</f>
        <v>0.0134604396914615</v>
      </c>
      <c r="S39" s="11" t="n">
        <f aca="false">Construction!S14*Inputs!S233*(Inputs!$F$97/100/12-Construction!S17/100*Construction!S11/360)</f>
        <v>0.0060534528711158</v>
      </c>
      <c r="T39" s="11" t="n">
        <f aca="false">Construction!T14*Inputs!T233*(Inputs!$F$97/100/12-Construction!T17/100*Construction!T11/360)</f>
        <v>0.0164862716424018</v>
      </c>
      <c r="U39" s="11" t="n">
        <f aca="false">Construction!U14*Inputs!U233*(Inputs!$F$97/100/12-Construction!U17/100*Construction!U11/360)</f>
        <v>-0.0106381743817501</v>
      </c>
      <c r="V39" s="11" t="n">
        <f aca="false">Construction!V14*Inputs!V233*(Inputs!$F$97/100/12-Construction!V17/100*Construction!V11/360)</f>
        <v>-0.0118490450742335</v>
      </c>
      <c r="W39" s="11" t="n">
        <f aca="false">Construction!W14*Inputs!W233*(Inputs!$F$97/100/12-Construction!W17/100*Construction!W11/360)</f>
        <v>0.00101329493099842</v>
      </c>
      <c r="X39" s="11" t="n">
        <f aca="false">Construction!X14*Inputs!X233*(Inputs!$F$97/100/12-Construction!X17/100*Construction!X11/360)</f>
        <v>-0.0145905275390518</v>
      </c>
      <c r="Y39" s="11" t="n">
        <f aca="false">Construction!Y14*Inputs!Y233*(Inputs!$F$97/100/12-Construction!Y17/100*Construction!Y11/360)</f>
        <v>0.00123738122778837</v>
      </c>
      <c r="Z39" s="11" t="n">
        <f aca="false">Construction!Z14*Inputs!Z233*(Inputs!$F$97/100/12-Construction!Z17/100*Construction!Z11/360)</f>
        <v>-0.017633145742279</v>
      </c>
      <c r="AA39" s="11" t="n">
        <f aca="false">Construction!AA14*Inputs!AA233*(Inputs!$F$97/100/12-Construction!AA17/100*Construction!AA11/360)</f>
        <v>-0.0366661065828445</v>
      </c>
      <c r="AB39" s="11" t="n">
        <f aca="false">Construction!AB14*Inputs!AB233*(Inputs!$F$97/100/12-Construction!AB17/100*Construction!AB11/360)</f>
        <v>0.0063394134529816</v>
      </c>
      <c r="AC39" s="11" t="n">
        <f aca="false">Construction!AC14*Inputs!AC233*(Inputs!$F$97/100/12-Construction!AC17/100*Construction!AC11/360)</f>
        <v>-0.0427760317478335</v>
      </c>
      <c r="AD39" s="11" t="n">
        <f aca="false">Construction!AD14*Inputs!AD233*(Inputs!$F$97/100/12-Construction!AD17/100*Construction!AD11/360)</f>
        <v>-0.0192047358923709</v>
      </c>
      <c r="AE39" s="11" t="n">
        <f aca="false">Construction!AE14*Inputs!AE233*(Inputs!$F$97/100/12-Construction!AE17/100*Construction!AE11/360)</f>
        <v>-0.0484716070376672</v>
      </c>
      <c r="AF39" s="11" t="n">
        <f aca="false">Construction!AF14*Inputs!AF233*(Inputs!$F$97/100/12-Construction!AF17/100*Construction!AF11/360)</f>
        <v>-0.0214788028541397</v>
      </c>
      <c r="AG39" s="11" t="n">
        <f aca="false">Construction!AG14*Inputs!AG233*(Inputs!$F$97/100/12-Construction!AG17/100*Construction!AG11/360)</f>
        <v>-0.0662606861661246</v>
      </c>
      <c r="AH39" s="11" t="n">
        <f aca="false">Construction!AH14*Inputs!AH233*(Inputs!$F$97/100/12-Construction!AH17/100*Construction!AH11/360)</f>
        <v>-0.0689909671481443</v>
      </c>
      <c r="AI39" s="11" t="n">
        <f aca="false">Construction!AI14*Inputs!AI233*(Inputs!$F$97/100/12-Construction!AI17/100*Construction!AI11/360)</f>
        <v>-0.0375357803912348</v>
      </c>
      <c r="AJ39" s="11" t="n">
        <f aca="false">Construction!AJ14*Inputs!AJ233*(Inputs!$F$97/100/12-Construction!AJ17/100*Construction!AJ11/360)</f>
        <v>-0.0735182088344329</v>
      </c>
      <c r="AK39" s="11" t="n">
        <f aca="false">Construction!AK14*Inputs!AK233*(Inputs!$F$97/100/12-Construction!AK17/100*Construction!AK11/360)</f>
        <v>-0.0395783992497945</v>
      </c>
      <c r="AL39" s="11" t="n">
        <f aca="false">Construction!AL14*Inputs!AL233*(Inputs!$F$97/100/12-Construction!AL17/100*Construction!AL11/360)</f>
        <v>-0.0767694189872691</v>
      </c>
      <c r="AM39" s="11" t="n">
        <f aca="false">Construction!AM14*Inputs!AM233*(Inputs!$F$97/100/12-Construction!AM17/100*Construction!AM11/360)</f>
        <v>-0.089192066664552</v>
      </c>
      <c r="AN39" s="11" t="n">
        <f aca="false">Construction!AN14*Inputs!AN233*(Inputs!$F$97/100/12-Construction!AN17/100*Construction!AN11/360)</f>
        <v>0.0231144026488669</v>
      </c>
      <c r="AO39" s="11" t="n">
        <f aca="false">Construction!AO14*Inputs!AO233*(Inputs!$F$97/100/12-Construction!AO17/100*Construction!AO11/360)</f>
        <v>-0.0910615543535457</v>
      </c>
      <c r="AP39" s="11" t="n">
        <f aca="false">Construction!AP14*Inputs!AP233*(Inputs!$F$97/100/12-Construction!AP17/100*Construction!AP11/360)</f>
        <v>-0.0533248948443183</v>
      </c>
      <c r="AQ39" s="11" t="n">
        <f aca="false">Construction!AQ14*Inputs!AQ233*(Inputs!$F$97/100/12-Construction!AQ17/100*Construction!AQ11/360)</f>
        <v>-0.0983231233537221</v>
      </c>
      <c r="AR39" s="11" t="n">
        <f aca="false">Construction!AR14*Inputs!AR233*(Inputs!$F$97/100/12-Construction!AR17/100*Construction!AR11/360)</f>
        <v>-0.0601076974526416</v>
      </c>
      <c r="AS39" s="11" t="n">
        <f aca="false">Construction!AS14*Inputs!AS233*(Inputs!$F$97/100/12-Construction!AS17/100*Construction!AS11/360)</f>
        <v>-0</v>
      </c>
      <c r="AT39" s="11" t="n">
        <f aca="false">Construction!AT14*Inputs!AT233*(Inputs!$F$97/100/12-Construction!AT17/100*Construction!AT11/360)</f>
        <v>-0</v>
      </c>
      <c r="AU39" s="11" t="n">
        <f aca="false">Construction!AU14*Inputs!AU233*(Inputs!$F$97/100/12-Construction!AU17/100*Construction!AU11/360)</f>
        <v>-0</v>
      </c>
      <c r="AV39" s="11" t="n">
        <f aca="false">Construction!AV14*Inputs!AV233*(Inputs!$F$97/100/12-Construction!AV17/100*Construction!AV11/360)</f>
        <v>-0</v>
      </c>
      <c r="AW39" s="11" t="n">
        <f aca="false">Construction!AW14*Inputs!AW233*(Inputs!$F$97/100/12-Construction!AW17/100*Construction!AW11/360)</f>
        <v>-0</v>
      </c>
      <c r="AX39" s="11" t="n">
        <f aca="false">Construction!AX14*Inputs!AX233*(Inputs!$F$97/100/12-Construction!AX17/100*Construction!AX11/360)</f>
        <v>-0</v>
      </c>
      <c r="AY39" s="11" t="n">
        <f aca="false">Construction!AY14*Inputs!AY233*(Inputs!$F$97/100/12-Construction!AY17/100*Construction!AY11/360)</f>
        <v>-0</v>
      </c>
      <c r="AZ39" s="11" t="n">
        <f aca="false">Construction!AZ14*Inputs!AZ233*(Inputs!$F$97/100/12-Construction!AZ17/100*Construction!AZ11/360)</f>
        <v>0</v>
      </c>
      <c r="BA39" s="11" t="n">
        <f aca="false">Construction!BA14*Inputs!BA233*(Inputs!$F$97/100/12-Construction!BA17/100*Construction!BA11/360)</f>
        <v>-0</v>
      </c>
      <c r="BB39" s="11" t="n">
        <f aca="false">Construction!BB14*Inputs!BB233*(Inputs!$F$97/100/12-Construction!BB17/100*Construction!BB11/360)</f>
        <v>-0</v>
      </c>
      <c r="BC39" s="11" t="n">
        <f aca="false">Construction!BC14*Inputs!BC233*(Inputs!$F$97/100/12-Construction!BC17/100*Construction!BC11/360)</f>
        <v>-0</v>
      </c>
      <c r="BD39" s="11" t="n">
        <f aca="false">Construction!BD14*Inputs!BD233*(Inputs!$F$97/100/12-Construction!BD17/100*Construction!BD11/360)</f>
        <v>-0</v>
      </c>
      <c r="BE39" s="11" t="n">
        <f aca="false">Construction!BE14*Inputs!BE233*(Inputs!$F$97/100/12-Construction!BE17/100*Construction!BE11/360)</f>
        <v>-0</v>
      </c>
      <c r="BF39" s="11" t="n">
        <f aca="false">Construction!BF14*Inputs!BF233*(Inputs!$F$97/100/12-Construction!BF17/100*Construction!BF11/360)</f>
        <v>-0</v>
      </c>
      <c r="BG39" s="11" t="n">
        <f aca="false">Construction!BG14*Inputs!BG233*(Inputs!$F$97/100/12-Construction!BG17/100*Construction!BG11/360)</f>
        <v>-0</v>
      </c>
      <c r="BH39" s="11" t="n">
        <f aca="false">Construction!BH14*Inputs!BH233*(Inputs!$F$97/100/12-Construction!BH17/100*Construction!BH11/360)</f>
        <v>-0</v>
      </c>
      <c r="BI39" s="11" t="n">
        <f aca="false">Construction!BI14*Inputs!BI233*(Inputs!$F$97/100/12-Construction!BI17/100*Construction!BI11/360)</f>
        <v>-0</v>
      </c>
      <c r="BJ39" s="11" t="n">
        <f aca="false">Construction!BJ14*Inputs!BJ233*(Inputs!$F$97/100/12-Construction!BJ17/100*Construction!BJ11/360)</f>
        <v>-0</v>
      </c>
    </row>
    <row r="40" customFormat="false" ht="15" hidden="false" customHeight="false" outlineLevel="0" collapsed="false">
      <c r="D40" s="0" t="s">
        <v>598</v>
      </c>
      <c r="E40" s="0" t="s">
        <v>149</v>
      </c>
      <c r="G40" s="11" t="n">
        <f aca="false">SUM(J40:BJ40)</f>
        <v>10.4210921457421</v>
      </c>
      <c r="J40" s="11" t="n">
        <f aca="false">Construction!J14*((Inputs!$F$75*$F$25-J28)*Inputs!$F$85/100+(Inputs!$F$76*$F$25-J29)*Inputs!$F$86/100+(Inputs!$F$77*$F$25-J30)*Inputs!$F$87/100+(Inputs!$F$78*$F$25-J31)*(Inputs!$F$88/100*Inputs!$F$82)/100)*Construction!J11/360</f>
        <v>0.571031596066888</v>
      </c>
      <c r="K40" s="11" t="n">
        <f aca="false">Construction!K14*((Inputs!$F$75*$F$25-K28)*Inputs!$F$85/100+(Inputs!$F$76*$F$25-K29)*Inputs!$F$86/100+(Inputs!$F$77*$F$25-K30)*Inputs!$F$87/100+(Inputs!$F$78*$F$25-K31)*(Inputs!$F$88/100*Inputs!$F$82)/100)*Construction!K11/360</f>
        <v>0.47669705708978</v>
      </c>
      <c r="L40" s="11" t="n">
        <f aca="false">Construction!L14*((Inputs!$F$75*$F$25-L28)*Inputs!$F$85/100+(Inputs!$F$76*$F$25-L29)*Inputs!$F$86/100+(Inputs!$F$77*$F$25-L30)*Inputs!$F$87/100+(Inputs!$F$78*$F$25-L31)*(Inputs!$F$88/100*Inputs!$F$82)/100)*Construction!L11/360</f>
        <v>0.490974514154305</v>
      </c>
      <c r="M40" s="11" t="n">
        <f aca="false">Construction!M14*((Inputs!$F$75*$F$25-M28)*Inputs!$F$85/100+(Inputs!$F$76*$F$25-M29)*Inputs!$F$86/100+(Inputs!$F$77*$F$25-M30)*Inputs!$F$87/100+(Inputs!$F$78*$F$25-M31)*(Inputs!$F$88/100*Inputs!$F$82)/100)*Construction!M11/360</f>
        <v>0.473148565308248</v>
      </c>
      <c r="N40" s="11" t="n">
        <f aca="false">Construction!N14*((Inputs!$F$75*$F$25-N28)*Inputs!$F$85/100+(Inputs!$F$76*$F$25-N29)*Inputs!$F$86/100+(Inputs!$F$77*$F$25-N30)*Inputs!$F$87/100+(Inputs!$F$78*$F$25-N31)*(Inputs!$F$88/100*Inputs!$F$82)/100)*Construction!N11/360</f>
        <v>0.486019048527659</v>
      </c>
      <c r="O40" s="11" t="n">
        <f aca="false">Construction!O14*((Inputs!$F$75*$F$25-O28)*Inputs!$F$85/100+(Inputs!$F$76*$F$25-O29)*Inputs!$F$86/100+(Inputs!$F$77*$F$25-O30)*Inputs!$F$87/100+(Inputs!$F$78*$F$25-O31)*(Inputs!$F$88/100*Inputs!$F$82)/100)*Construction!O11/360</f>
        <v>0.481843650544016</v>
      </c>
      <c r="P40" s="11" t="n">
        <f aca="false">Construction!P14*((Inputs!$F$75*$F$25-P28)*Inputs!$F$85/100+(Inputs!$F$76*$F$25-P29)*Inputs!$F$86/100+(Inputs!$F$77*$F$25-P30)*Inputs!$F$87/100+(Inputs!$F$78*$F$25-P31)*(Inputs!$F$88/100*Inputs!$F$82)/100)*Construction!P11/360</f>
        <v>0.430018755745772</v>
      </c>
      <c r="Q40" s="11" t="n">
        <f aca="false">Construction!Q14*((Inputs!$F$75*$F$25-Q28)*Inputs!$F$85/100+(Inputs!$F$76*$F$25-Q29)*Inputs!$F$86/100+(Inputs!$F$77*$F$25-Q30)*Inputs!$F$87/100+(Inputs!$F$78*$F$25-Q31)*(Inputs!$F$88/100*Inputs!$F$82)/100)*Construction!Q11/360</f>
        <v>0.468592617602998</v>
      </c>
      <c r="R40" s="11" t="n">
        <f aca="false">Construction!R14*((Inputs!$F$75*$F$25-R28)*Inputs!$F$85/100+(Inputs!$F$76*$F$25-R29)*Inputs!$F$86/100+(Inputs!$F$77*$F$25-R30)*Inputs!$F$87/100+(Inputs!$F$78*$F$25-R31)*(Inputs!$F$88/100*Inputs!$F$82)/100)*Construction!R11/360</f>
        <v>0.444264285905167</v>
      </c>
      <c r="S40" s="11" t="n">
        <f aca="false">Construction!S14*((Inputs!$F$75*$F$25-S28)*Inputs!$F$85/100+(Inputs!$F$76*$F$25-S29)*Inputs!$F$86/100+(Inputs!$F$77*$F$25-S30)*Inputs!$F$87/100+(Inputs!$F$78*$F$25-S31)*(Inputs!$F$88/100*Inputs!$F$82)/100)*Construction!S11/360</f>
        <v>0.447542325555887</v>
      </c>
      <c r="T40" s="11" t="n">
        <f aca="false">Construction!T14*((Inputs!$F$75*$F$25-T28)*Inputs!$F$85/100+(Inputs!$F$76*$F$25-T29)*Inputs!$F$86/100+(Inputs!$F$77*$F$25-T30)*Inputs!$F$87/100+(Inputs!$F$78*$F$25-T31)*(Inputs!$F$88/100*Inputs!$F$82)/100)*Construction!T11/360</f>
        <v>0.419963823118748</v>
      </c>
      <c r="U40" s="11" t="n">
        <f aca="false">Construction!U14*((Inputs!$F$75*$F$25-U28)*Inputs!$F$85/100+(Inputs!$F$76*$F$25-U29)*Inputs!$F$86/100+(Inputs!$F$77*$F$25-U30)*Inputs!$F$87/100+(Inputs!$F$78*$F$25-U31)*(Inputs!$F$88/100*Inputs!$F$82)/100)*Construction!U11/360</f>
        <v>0.418466428610157</v>
      </c>
      <c r="V40" s="11" t="n">
        <f aca="false">Construction!V14*((Inputs!$F$75*$F$25-V28)*Inputs!$F$85/100+(Inputs!$F$76*$F$25-V29)*Inputs!$F$86/100+(Inputs!$F$77*$F$25-V30)*Inputs!$F$87/100+(Inputs!$F$78*$F$25-V31)*(Inputs!$F$88/100*Inputs!$F$82)/100)*Construction!V11/360</f>
        <v>0.401131745676544</v>
      </c>
      <c r="W40" s="11" t="n">
        <f aca="false">Construction!W14*((Inputs!$F$75*$F$25-W28)*Inputs!$F$85/100+(Inputs!$F$76*$F$25-W29)*Inputs!$F$86/100+(Inputs!$F$77*$F$25-W30)*Inputs!$F$87/100+(Inputs!$F$78*$F$25-W31)*(Inputs!$F$88/100*Inputs!$F$82)/100)*Construction!W11/360</f>
        <v>0.369852694007089</v>
      </c>
      <c r="X40" s="11" t="n">
        <f aca="false">Construction!X14*((Inputs!$F$75*$F$25-X28)*Inputs!$F$85/100+(Inputs!$F$76*$F$25-X29)*Inputs!$F$86/100+(Inputs!$F$77*$F$25-X30)*Inputs!$F$87/100+(Inputs!$F$78*$F$25-X31)*(Inputs!$F$88/100*Inputs!$F$82)/100)*Construction!X11/360</f>
        <v>0.361887135127591</v>
      </c>
      <c r="Y40" s="11" t="n">
        <f aca="false">Construction!Y14*((Inputs!$F$75*$F$25-Y28)*Inputs!$F$85/100+(Inputs!$F$76*$F$25-Y29)*Inputs!$F$86/100+(Inputs!$F$77*$F$25-Y30)*Inputs!$F$87/100+(Inputs!$F$78*$F$25-Y31)*(Inputs!$F$88/100*Inputs!$F$82)/100)*Construction!Y11/360</f>
        <v>0.329496976265803</v>
      </c>
      <c r="Z40" s="11" t="n">
        <f aca="false">Construction!Z14*((Inputs!$F$75*$F$25-Z28)*Inputs!$F$85/100+(Inputs!$F$76*$F$25-Z29)*Inputs!$F$86/100+(Inputs!$F$77*$F$25-Z30)*Inputs!$F$87/100+(Inputs!$F$78*$F$25-Z31)*(Inputs!$F$88/100*Inputs!$F$82)/100)*Construction!Z11/360</f>
        <v>0.318333019762305</v>
      </c>
      <c r="AA40" s="11" t="n">
        <f aca="false">Construction!AA14*((Inputs!$F$75*$F$25-AA28)*Inputs!$F$85/100+(Inputs!$F$76*$F$25-AA29)*Inputs!$F$86/100+(Inputs!$F$77*$F$25-AA30)*Inputs!$F$87/100+(Inputs!$F$78*$F$25-AA31)*(Inputs!$F$88/100*Inputs!$F$82)/100)*Construction!AA11/360</f>
        <v>0.295721325878855</v>
      </c>
      <c r="AB40" s="11" t="n">
        <f aca="false">Construction!AB14*((Inputs!$F$75*$F$25-AB28)*Inputs!$F$85/100+(Inputs!$F$76*$F$25-AB29)*Inputs!$F$86/100+(Inputs!$F$77*$F$25-AB30)*Inputs!$F$87/100+(Inputs!$F$78*$F$25-AB31)*(Inputs!$F$88/100*Inputs!$F$82)/100)*Construction!AB11/360</f>
        <v>0.254700396618786</v>
      </c>
      <c r="AC40" s="11" t="n">
        <f aca="false">Construction!AC14*((Inputs!$F$75*$F$25-AC28)*Inputs!$F$85/100+(Inputs!$F$76*$F$25-AC29)*Inputs!$F$86/100+(Inputs!$F$77*$F$25-AC30)*Inputs!$F$87/100+(Inputs!$F$78*$F$25-AC31)*(Inputs!$F$88/100*Inputs!$F$82)/100)*Construction!AC11/360</f>
        <v>0.249893072508182</v>
      </c>
      <c r="AD40" s="11" t="n">
        <f aca="false">Construction!AD14*((Inputs!$F$75*$F$25-AD28)*Inputs!$F$85/100+(Inputs!$F$76*$F$25-AD29)*Inputs!$F$86/100+(Inputs!$F$77*$F$25-AD30)*Inputs!$F$87/100+(Inputs!$F$78*$F$25-AD31)*(Inputs!$F$88/100*Inputs!$F$82)/100)*Construction!AD11/360</f>
        <v>0.220694351996524</v>
      </c>
      <c r="AE40" s="11" t="n">
        <f aca="false">Construction!AE14*((Inputs!$F$75*$F$25-AE28)*Inputs!$F$85/100+(Inputs!$F$76*$F$25-AE29)*Inputs!$F$86/100+(Inputs!$F$77*$F$25-AE30)*Inputs!$F$87/100+(Inputs!$F$78*$F$25-AE31)*(Inputs!$F$88/100*Inputs!$F$82)/100)*Construction!AE11/360</f>
        <v>0.207171277184452</v>
      </c>
      <c r="AF40" s="11" t="n">
        <f aca="false">Construction!AF14*((Inputs!$F$75*$F$25-AF28)*Inputs!$F$85/100+(Inputs!$F$76*$F$25-AF29)*Inputs!$F$86/100+(Inputs!$F$77*$F$25-AF30)*Inputs!$F$87/100+(Inputs!$F$78*$F$25-AF31)*(Inputs!$F$88/100*Inputs!$F$82)/100)*Construction!AF11/360</f>
        <v>0.181423007894339</v>
      </c>
      <c r="AG40" s="11" t="n">
        <f aca="false">Construction!AG14*((Inputs!$F$75*$F$25-AG28)*Inputs!$F$85/100+(Inputs!$F$76*$F$25-AG29)*Inputs!$F$86/100+(Inputs!$F$77*$F$25-AG30)*Inputs!$F$87/100+(Inputs!$F$78*$F$25-AG31)*(Inputs!$F$88/100*Inputs!$F$82)/100)*Construction!AG11/360</f>
        <v>0.169285872777122</v>
      </c>
      <c r="AH40" s="11" t="n">
        <f aca="false">Construction!AH14*((Inputs!$F$75*$F$25-AH28)*Inputs!$F$85/100+(Inputs!$F$76*$F$25-AH29)*Inputs!$F$86/100+(Inputs!$F$77*$F$25-AH30)*Inputs!$F$87/100+(Inputs!$F$78*$F$25-AH31)*(Inputs!$F$88/100*Inputs!$F$82)/100)*Construction!AH11/360</f>
        <v>0.152741719346915</v>
      </c>
      <c r="AI40" s="11" t="n">
        <f aca="false">Construction!AI14*((Inputs!$F$75*$F$25-AI28)*Inputs!$F$85/100+(Inputs!$F$76*$F$25-AI29)*Inputs!$F$86/100+(Inputs!$F$77*$F$25-AI30)*Inputs!$F$87/100+(Inputs!$F$78*$F$25-AI31)*(Inputs!$F$88/100*Inputs!$F$82)/100)*Construction!AI11/360</f>
        <v>0.133583736591069</v>
      </c>
      <c r="AJ40" s="11" t="n">
        <f aca="false">Construction!AJ14*((Inputs!$F$75*$F$25-AJ28)*Inputs!$F$85/100+(Inputs!$F$76*$F$25-AJ29)*Inputs!$F$86/100+(Inputs!$F$77*$F$25-AJ30)*Inputs!$F$87/100+(Inputs!$F$78*$F$25-AJ31)*(Inputs!$F$88/100*Inputs!$F$82)/100)*Construction!AJ11/360</f>
        <v>0.125306973031101</v>
      </c>
      <c r="AK40" s="11" t="n">
        <f aca="false">Construction!AK14*((Inputs!$F$75*$F$25-AK28)*Inputs!$F$85/100+(Inputs!$F$76*$F$25-AK29)*Inputs!$F$86/100+(Inputs!$F$77*$F$25-AK30)*Inputs!$F$87/100+(Inputs!$F$78*$F$25-AK31)*(Inputs!$F$88/100*Inputs!$F$82)/100)*Construction!AK11/360</f>
        <v>0.110790316431931</v>
      </c>
      <c r="AL40" s="11" t="n">
        <f aca="false">Construction!AL14*((Inputs!$F$75*$F$25-AL28)*Inputs!$F$85/100+(Inputs!$F$76*$F$25-AL29)*Inputs!$F$86/100+(Inputs!$F$77*$F$25-AL30)*Inputs!$F$87/100+(Inputs!$F$78*$F$25-AL31)*(Inputs!$F$88/100*Inputs!$F$82)/100)*Construction!AL11/360</f>
        <v>0.105601070256742</v>
      </c>
      <c r="AM40" s="11" t="n">
        <f aca="false">Construction!AM14*((Inputs!$F$75*$F$25-AM28)*Inputs!$F$85/100+(Inputs!$F$76*$F$25-AM29)*Inputs!$F$86/100+(Inputs!$F$77*$F$25-AM30)*Inputs!$F$87/100+(Inputs!$F$78*$F$25-AM31)*(Inputs!$F$88/100*Inputs!$F$82)/100)*Construction!AM11/360</f>
        <v>0.0984287128551721</v>
      </c>
      <c r="AN40" s="11" t="n">
        <f aca="false">Construction!AN14*((Inputs!$F$75*$F$25-AN28)*Inputs!$F$85/100+(Inputs!$F$76*$F$25-AN29)*Inputs!$F$86/100+(Inputs!$F$77*$F$25-AN30)*Inputs!$F$87/100+(Inputs!$F$78*$F$25-AN31)*(Inputs!$F$88/100*Inputs!$F$82)/100)*Construction!AN11/360</f>
        <v>0.0838087936566379</v>
      </c>
      <c r="AO40" s="11" t="n">
        <f aca="false">Construction!AO14*((Inputs!$F$75*$F$25-AO28)*Inputs!$F$85/100+(Inputs!$F$76*$F$25-AO29)*Inputs!$F$86/100+(Inputs!$F$77*$F$25-AO30)*Inputs!$F$87/100+(Inputs!$F$78*$F$25-AO31)*(Inputs!$F$88/100*Inputs!$F$82)/100)*Construction!AO11/360</f>
        <v>0.088519716658748</v>
      </c>
      <c r="AP40" s="11" t="n">
        <f aca="false">Construction!AP14*((Inputs!$F$75*$F$25-AP28)*Inputs!$F$85/100+(Inputs!$F$76*$F$25-AP29)*Inputs!$F$86/100+(Inputs!$F$77*$F$25-AP30)*Inputs!$F$87/100+(Inputs!$F$78*$F$25-AP31)*(Inputs!$F$88/100*Inputs!$F$82)/100)*Construction!AP11/360</f>
        <v>0.0822138979801753</v>
      </c>
      <c r="AQ40" s="11" t="n">
        <f aca="false">Construction!AQ14*((Inputs!$F$75*$F$25-AQ28)*Inputs!$F$85/100+(Inputs!$F$76*$F$25-AQ29)*Inputs!$F$86/100+(Inputs!$F$77*$F$25-AQ30)*Inputs!$F$87/100+(Inputs!$F$78*$F$25-AQ31)*(Inputs!$F$88/100*Inputs!$F$82)/100)*Construction!AQ11/360</f>
        <v>0.0818458165822931</v>
      </c>
      <c r="AR40" s="11" t="n">
        <f aca="false">Construction!AR14*((Inputs!$F$75*$F$25-AR28)*Inputs!$F$85/100+(Inputs!$F$76*$F$25-AR29)*Inputs!$F$86/100+(Inputs!$F$77*$F$25-AR30)*Inputs!$F$87/100+(Inputs!$F$78*$F$25-AR31)*(Inputs!$F$88/100*Inputs!$F$82)/100)*Construction!AR11/360</f>
        <v>0.0761898523848358</v>
      </c>
      <c r="AS40" s="11" t="n">
        <f aca="false">Construction!AS14*((Inputs!$F$75*$F$25-AS28)*Inputs!$F$85/100+(Inputs!$F$76*$F$25-AS29)*Inputs!$F$86/100+(Inputs!$F$77*$F$25-AS30)*Inputs!$F$87/100+(Inputs!$F$78*$F$25-AS31)*(Inputs!$F$88/100*Inputs!$F$82)/100)*Construction!AS11/360</f>
        <v>0.0756534009367819</v>
      </c>
      <c r="AT40" s="11" t="n">
        <f aca="false">Construction!AT14*((Inputs!$F$75*$F$25-AT28)*Inputs!$F$85/100+(Inputs!$F$76*$F$25-AT29)*Inputs!$F$86/100+(Inputs!$F$77*$F$25-AT30)*Inputs!$F$87/100+(Inputs!$F$78*$F$25-AT31)*(Inputs!$F$88/100*Inputs!$F$82)/100)*Construction!AT11/360</f>
        <v>0.0724547295307033</v>
      </c>
      <c r="AU40" s="11" t="n">
        <f aca="false">Construction!AU14*((Inputs!$F$75*$F$25-AU28)*Inputs!$F$85/100+(Inputs!$F$76*$F$25-AU29)*Inputs!$F$86/100+(Inputs!$F$77*$F$25-AU30)*Inputs!$F$87/100+(Inputs!$F$78*$F$25-AU31)*(Inputs!$F$88/100*Inputs!$F$82)/100)*Construction!AU11/360</f>
        <v>0.0670122510994571</v>
      </c>
      <c r="AV40" s="11" t="n">
        <f aca="false">Construction!AV14*((Inputs!$F$75*$F$25-AV28)*Inputs!$F$85/100+(Inputs!$F$76*$F$25-AV29)*Inputs!$F$86/100+(Inputs!$F$77*$F$25-AV30)*Inputs!$F$87/100+(Inputs!$F$78*$F$25-AV31)*(Inputs!$F$88/100*Inputs!$F$82)/100)*Construction!AV11/360</f>
        <v>0.0661014996991577</v>
      </c>
      <c r="AW40" s="11" t="n">
        <f aca="false">Construction!AW14*((Inputs!$F$75*$F$25-AW28)*Inputs!$F$85/100+(Inputs!$F$76*$F$25-AW29)*Inputs!$F$86/100+(Inputs!$F$77*$F$25-AW30)*Inputs!$F$87/100+(Inputs!$F$78*$F$25-AW31)*(Inputs!$F$88/100*Inputs!$F$82)/100)*Construction!AW11/360</f>
        <v>0.0300878045013754</v>
      </c>
      <c r="AX40" s="11" t="n">
        <f aca="false">Construction!AX14*((Inputs!$F$75*$F$25-AX28)*Inputs!$F$85/100+(Inputs!$F$76*$F$25-AX29)*Inputs!$F$86/100+(Inputs!$F$77*$F$25-AX30)*Inputs!$F$87/100+(Inputs!$F$78*$F$25-AX31)*(Inputs!$F$88/100*Inputs!$F$82)/100)*Construction!AX11/360</f>
        <v>0.0025983102717883</v>
      </c>
      <c r="AY40" s="11" t="n">
        <f aca="false">Construction!AY14*((Inputs!$F$75*$F$25-AY28)*Inputs!$F$85/100+(Inputs!$F$76*$F$25-AY29)*Inputs!$F$86/100+(Inputs!$F$77*$F$25-AY30)*Inputs!$F$87/100+(Inputs!$F$78*$F$25-AY31)*(Inputs!$F$88/100*Inputs!$F$82)/100)*Construction!AY11/360</f>
        <v>0</v>
      </c>
      <c r="AZ40" s="11" t="n">
        <f aca="false">Construction!AZ14*((Inputs!$F$75*$F$25-AZ28)*Inputs!$F$85/100+(Inputs!$F$76*$F$25-AZ29)*Inputs!$F$86/100+(Inputs!$F$77*$F$25-AZ30)*Inputs!$F$87/100+(Inputs!$F$78*$F$25-AZ31)*(Inputs!$F$88/100*Inputs!$F$82)/100)*Construction!AZ11/360</f>
        <v>0</v>
      </c>
      <c r="BA40" s="11" t="n">
        <f aca="false">Construction!BA14*((Inputs!$F$75*$F$25-BA28)*Inputs!$F$85/100+(Inputs!$F$76*$F$25-BA29)*Inputs!$F$86/100+(Inputs!$F$77*$F$25-BA30)*Inputs!$F$87/100+(Inputs!$F$78*$F$25-BA31)*(Inputs!$F$88/100*Inputs!$F$82)/100)*Construction!BA11/360</f>
        <v>0</v>
      </c>
      <c r="BB40" s="11" t="n">
        <f aca="false">Construction!BB14*((Inputs!$F$75*$F$25-BB28)*Inputs!$F$85/100+(Inputs!$F$76*$F$25-BB29)*Inputs!$F$86/100+(Inputs!$F$77*$F$25-BB30)*Inputs!$F$87/100+(Inputs!$F$78*$F$25-BB31)*(Inputs!$F$88/100*Inputs!$F$82)/100)*Construction!BB11/360</f>
        <v>0</v>
      </c>
      <c r="BC40" s="11" t="n">
        <f aca="false">Construction!BC14*((Inputs!$F$75*$F$25-BC28)*Inputs!$F$85/100+(Inputs!$F$76*$F$25-BC29)*Inputs!$F$86/100+(Inputs!$F$77*$F$25-BC30)*Inputs!$F$87/100+(Inputs!$F$78*$F$25-BC31)*(Inputs!$F$88/100*Inputs!$F$82)/100)*Construction!BC11/360</f>
        <v>0</v>
      </c>
      <c r="BD40" s="11" t="n">
        <f aca="false">Construction!BD14*((Inputs!$F$75*$F$25-BD28)*Inputs!$F$85/100+(Inputs!$F$76*$F$25-BD29)*Inputs!$F$86/100+(Inputs!$F$77*$F$25-BD30)*Inputs!$F$87/100+(Inputs!$F$78*$F$25-BD31)*(Inputs!$F$88/100*Inputs!$F$82)/100)*Construction!BD11/360</f>
        <v>0</v>
      </c>
      <c r="BE40" s="11" t="n">
        <f aca="false">Construction!BE14*((Inputs!$F$75*$F$25-BE28)*Inputs!$F$85/100+(Inputs!$F$76*$F$25-BE29)*Inputs!$F$86/100+(Inputs!$F$77*$F$25-BE30)*Inputs!$F$87/100+(Inputs!$F$78*$F$25-BE31)*(Inputs!$F$88/100*Inputs!$F$82)/100)*Construction!BE11/360</f>
        <v>0</v>
      </c>
      <c r="BF40" s="11" t="n">
        <f aca="false">Construction!BF14*((Inputs!$F$75*$F$25-BF28)*Inputs!$F$85/100+(Inputs!$F$76*$F$25-BF29)*Inputs!$F$86/100+(Inputs!$F$77*$F$25-BF30)*Inputs!$F$87/100+(Inputs!$F$78*$F$25-BF31)*(Inputs!$F$88/100*Inputs!$F$82)/100)*Construction!BF11/360</f>
        <v>0</v>
      </c>
      <c r="BG40" s="11" t="n">
        <f aca="false">Construction!BG14*((Inputs!$F$75*$F$25-BG28)*Inputs!$F$85/100+(Inputs!$F$76*$F$25-BG29)*Inputs!$F$86/100+(Inputs!$F$77*$F$25-BG30)*Inputs!$F$87/100+(Inputs!$F$78*$F$25-BG31)*(Inputs!$F$88/100*Inputs!$F$82)/100)*Construction!BG11/360</f>
        <v>0</v>
      </c>
      <c r="BH40" s="11" t="n">
        <f aca="false">Construction!BH14*((Inputs!$F$75*$F$25-BH28)*Inputs!$F$85/100+(Inputs!$F$76*$F$25-BH29)*Inputs!$F$86/100+(Inputs!$F$77*$F$25-BH30)*Inputs!$F$87/100+(Inputs!$F$78*$F$25-BH31)*(Inputs!$F$88/100*Inputs!$F$82)/100)*Construction!BH11/360</f>
        <v>0</v>
      </c>
      <c r="BI40" s="11" t="n">
        <f aca="false">Construction!BI14*((Inputs!$F$75*$F$25-BI28)*Inputs!$F$85/100+(Inputs!$F$76*$F$25-BI29)*Inputs!$F$86/100+(Inputs!$F$77*$F$25-BI30)*Inputs!$F$87/100+(Inputs!$F$78*$F$25-BI31)*(Inputs!$F$88/100*Inputs!$F$82)/100)*Construction!BI11/360</f>
        <v>0</v>
      </c>
      <c r="BJ40" s="11" t="n">
        <f aca="false">Construction!BJ14*((Inputs!$F$75*$F$25-BJ28)*Inputs!$F$85/100+(Inputs!$F$76*$F$25-BJ29)*Inputs!$F$86/100+(Inputs!$F$77*$F$25-BJ30)*Inputs!$F$87/100+(Inputs!$F$78*$F$25-BJ31)*(Inputs!$F$88/100*Inputs!$F$82)/100)*Construction!BJ11/360</f>
        <v>0</v>
      </c>
    </row>
    <row r="41" customFormat="false" ht="15" hidden="false" customHeight="false" outlineLevel="0" collapsed="false">
      <c r="D41" s="0" t="s">
        <v>599</v>
      </c>
      <c r="E41" s="0" t="s">
        <v>149</v>
      </c>
      <c r="G41" s="11" t="n">
        <f aca="false">SUM(J41:BJ41)</f>
        <v>0.957566666666667</v>
      </c>
      <c r="J41" s="11" t="n">
        <f aca="false">Construction!J14*(Inputs!$F$99-J32)*Inputs!$F$100/100*Construction!J11/360</f>
        <v>0.0237666666666667</v>
      </c>
      <c r="K41" s="11" t="n">
        <f aca="false">Construction!K14*(Inputs!$F$99-K32)*Inputs!$F$100/100*Construction!K11/360</f>
        <v>0.023</v>
      </c>
      <c r="L41" s="11" t="n">
        <f aca="false">Construction!L14*(Inputs!$F$99-L32)*Inputs!$F$100/100*Construction!L11/360</f>
        <v>0.0237666666666667</v>
      </c>
      <c r="M41" s="11" t="n">
        <f aca="false">Construction!M14*(Inputs!$F$99-M32)*Inputs!$F$100/100*Construction!M11/360</f>
        <v>0.023</v>
      </c>
      <c r="N41" s="11" t="n">
        <f aca="false">Construction!N14*(Inputs!$F$99-N32)*Inputs!$F$100/100*Construction!N11/360</f>
        <v>0.0237666666666667</v>
      </c>
      <c r="O41" s="11" t="n">
        <f aca="false">Construction!O14*(Inputs!$F$99-O32)*Inputs!$F$100/100*Construction!O11/360</f>
        <v>0.0237666666666667</v>
      </c>
      <c r="P41" s="11" t="n">
        <f aca="false">Construction!P14*(Inputs!$F$99-P32)*Inputs!$F$100/100*Construction!P11/360</f>
        <v>0.0214666666666667</v>
      </c>
      <c r="Q41" s="11" t="n">
        <f aca="false">Construction!Q14*(Inputs!$F$99-Q32)*Inputs!$F$100/100*Construction!Q11/360</f>
        <v>0.0237666666666667</v>
      </c>
      <c r="R41" s="11" t="n">
        <f aca="false">Construction!R14*(Inputs!$F$99-R32)*Inputs!$F$100/100*Construction!R11/360</f>
        <v>0.023</v>
      </c>
      <c r="S41" s="11" t="n">
        <f aca="false">Construction!S14*(Inputs!$F$99-S32)*Inputs!$F$100/100*Construction!S11/360</f>
        <v>0.0237666666666667</v>
      </c>
      <c r="T41" s="11" t="n">
        <f aca="false">Construction!T14*(Inputs!$F$99-T32)*Inputs!$F$100/100*Construction!T11/360</f>
        <v>0.023</v>
      </c>
      <c r="U41" s="11" t="n">
        <f aca="false">Construction!U14*(Inputs!$F$99-U32)*Inputs!$F$100/100*Construction!U11/360</f>
        <v>0.0237666666666667</v>
      </c>
      <c r="V41" s="11" t="n">
        <f aca="false">Construction!V14*(Inputs!$F$99-V32)*Inputs!$F$100/100*Construction!V11/360</f>
        <v>0.0237666666666667</v>
      </c>
      <c r="W41" s="11" t="n">
        <f aca="false">Construction!W14*(Inputs!$F$99-W32)*Inputs!$F$100/100*Construction!W11/360</f>
        <v>0.023</v>
      </c>
      <c r="X41" s="11" t="n">
        <f aca="false">Construction!X14*(Inputs!$F$99-X32)*Inputs!$F$100/100*Construction!X11/360</f>
        <v>0.0237666666666667</v>
      </c>
      <c r="Y41" s="11" t="n">
        <f aca="false">Construction!Y14*(Inputs!$F$99-Y32)*Inputs!$F$100/100*Construction!Y11/360</f>
        <v>0.023</v>
      </c>
      <c r="Z41" s="11" t="n">
        <f aca="false">Construction!Z14*(Inputs!$F$99-Z32)*Inputs!$F$100/100*Construction!Z11/360</f>
        <v>0.0237666666666667</v>
      </c>
      <c r="AA41" s="11" t="n">
        <f aca="false">Construction!AA14*(Inputs!$F$99-AA32)*Inputs!$F$100/100*Construction!AA11/360</f>
        <v>0.0237666666666667</v>
      </c>
      <c r="AB41" s="11" t="n">
        <f aca="false">Construction!AB14*(Inputs!$F$99-AB32)*Inputs!$F$100/100*Construction!AB11/360</f>
        <v>0.0222333333333333</v>
      </c>
      <c r="AC41" s="11" t="n">
        <f aca="false">Construction!AC14*(Inputs!$F$99-AC32)*Inputs!$F$100/100*Construction!AC11/360</f>
        <v>0.0237666666666667</v>
      </c>
      <c r="AD41" s="11" t="n">
        <f aca="false">Construction!AD14*(Inputs!$F$99-AD32)*Inputs!$F$100/100*Construction!AD11/360</f>
        <v>0.023</v>
      </c>
      <c r="AE41" s="11" t="n">
        <f aca="false">Construction!AE14*(Inputs!$F$99-AE32)*Inputs!$F$100/100*Construction!AE11/360</f>
        <v>0.0237666666666667</v>
      </c>
      <c r="AF41" s="11" t="n">
        <f aca="false">Construction!AF14*(Inputs!$F$99-AF32)*Inputs!$F$100/100*Construction!AF11/360</f>
        <v>0.023</v>
      </c>
      <c r="AG41" s="11" t="n">
        <f aca="false">Construction!AG14*(Inputs!$F$99-AG32)*Inputs!$F$100/100*Construction!AG11/360</f>
        <v>0.0237666666666667</v>
      </c>
      <c r="AH41" s="11" t="n">
        <f aca="false">Construction!AH14*(Inputs!$F$99-AH32)*Inputs!$F$100/100*Construction!AH11/360</f>
        <v>0.0237666666666667</v>
      </c>
      <c r="AI41" s="11" t="n">
        <f aca="false">Construction!AI14*(Inputs!$F$99-AI32)*Inputs!$F$100/100*Construction!AI11/360</f>
        <v>0.023</v>
      </c>
      <c r="AJ41" s="11" t="n">
        <f aca="false">Construction!AJ14*(Inputs!$F$99-AJ32)*Inputs!$F$100/100*Construction!AJ11/360</f>
        <v>0.0237666666666667</v>
      </c>
      <c r="AK41" s="11" t="n">
        <f aca="false">Construction!AK14*(Inputs!$F$99-AK32)*Inputs!$F$100/100*Construction!AK11/360</f>
        <v>0.023</v>
      </c>
      <c r="AL41" s="11" t="n">
        <f aca="false">Construction!AL14*(Inputs!$F$99-AL32)*Inputs!$F$100/100*Construction!AL11/360</f>
        <v>0.0237666666666667</v>
      </c>
      <c r="AM41" s="11" t="n">
        <f aca="false">Construction!AM14*(Inputs!$F$99-AM32)*Inputs!$F$100/100*Construction!AM11/360</f>
        <v>0.0237666666666667</v>
      </c>
      <c r="AN41" s="11" t="n">
        <f aca="false">Construction!AN14*(Inputs!$F$99-AN32)*Inputs!$F$100/100*Construction!AN11/360</f>
        <v>0.0214666666666667</v>
      </c>
      <c r="AO41" s="11" t="n">
        <f aca="false">Construction!AO14*(Inputs!$F$99-AO32)*Inputs!$F$100/100*Construction!AO11/360</f>
        <v>0.0237666666666667</v>
      </c>
      <c r="AP41" s="11" t="n">
        <f aca="false">Construction!AP14*(Inputs!$F$99-AP32)*Inputs!$F$100/100*Construction!AP11/360</f>
        <v>0.023</v>
      </c>
      <c r="AQ41" s="11" t="n">
        <f aca="false">Construction!AQ14*(Inputs!$F$99-AQ32)*Inputs!$F$100/100*Construction!AQ11/360</f>
        <v>0.0237666666666667</v>
      </c>
      <c r="AR41" s="11" t="n">
        <f aca="false">Construction!AR14*(Inputs!$F$99-AR32)*Inputs!$F$100/100*Construction!AR11/360</f>
        <v>0.023</v>
      </c>
      <c r="AS41" s="11" t="n">
        <f aca="false">Construction!AS14*(Inputs!$F$99-AS32)*Inputs!$F$100/100*Construction!AS11/360</f>
        <v>0.0237666666666667</v>
      </c>
      <c r="AT41" s="11" t="n">
        <f aca="false">Construction!AT14*(Inputs!$F$99-AT32)*Inputs!$F$100/100*Construction!AT11/360</f>
        <v>0.0237666666666667</v>
      </c>
      <c r="AU41" s="11" t="n">
        <f aca="false">Construction!AU14*(Inputs!$F$99-AU32)*Inputs!$F$100/100*Construction!AU11/360</f>
        <v>0.023</v>
      </c>
      <c r="AV41" s="11" t="n">
        <f aca="false">Construction!AV14*(Inputs!$F$99-AV32)*Inputs!$F$100/100*Construction!AV11/360</f>
        <v>0.0237666666666667</v>
      </c>
      <c r="AW41" s="11" t="n">
        <f aca="false">Construction!AW14*(Inputs!$F$99-AW32)*Inputs!$F$100/100*Construction!AW11/360</f>
        <v>0.023</v>
      </c>
      <c r="AX41" s="11" t="n">
        <f aca="false">Construction!AX14*(Inputs!$F$99-AX32)*Inputs!$F$100/100*Construction!AX11/360</f>
        <v>0.0237666666666667</v>
      </c>
      <c r="AY41" s="11" t="n">
        <f aca="false">Construction!AY14*(Inputs!$F$99-AY32)*Inputs!$F$100/100*Construction!AY11/360</f>
        <v>0</v>
      </c>
      <c r="AZ41" s="11" t="n">
        <f aca="false">Construction!AZ14*(Inputs!$F$99-AZ32)*Inputs!$F$100/100*Construction!AZ11/360</f>
        <v>0</v>
      </c>
      <c r="BA41" s="11" t="n">
        <f aca="false">Construction!BA14*(Inputs!$F$99-BA32)*Inputs!$F$100/100*Construction!BA11/360</f>
        <v>0</v>
      </c>
      <c r="BB41" s="11" t="n">
        <f aca="false">Construction!BB14*(Inputs!$F$99-BB32)*Inputs!$F$100/100*Construction!BB11/360</f>
        <v>0</v>
      </c>
      <c r="BC41" s="11" t="n">
        <f aca="false">Construction!BC14*(Inputs!$F$99-BC32)*Inputs!$F$100/100*Construction!BC11/360</f>
        <v>0</v>
      </c>
      <c r="BD41" s="11" t="n">
        <f aca="false">Construction!BD14*(Inputs!$F$99-BD32)*Inputs!$F$100/100*Construction!BD11/360</f>
        <v>0</v>
      </c>
      <c r="BE41" s="11" t="n">
        <f aca="false">Construction!BE14*(Inputs!$F$99-BE32)*Inputs!$F$100/100*Construction!BE11/360</f>
        <v>0</v>
      </c>
      <c r="BF41" s="11" t="n">
        <f aca="false">Construction!BF14*(Inputs!$F$99-BF32)*Inputs!$F$100/100*Construction!BF11/360</f>
        <v>0</v>
      </c>
      <c r="BG41" s="11" t="n">
        <f aca="false">Construction!BG14*(Inputs!$F$99-BG32)*Inputs!$F$100/100*Construction!BG11/360</f>
        <v>0</v>
      </c>
      <c r="BH41" s="11" t="n">
        <f aca="false">Construction!BH14*(Inputs!$F$99-BH32)*Inputs!$F$100/100*Construction!BH11/360</f>
        <v>0</v>
      </c>
      <c r="BI41" s="11" t="n">
        <f aca="false">Construction!BI14*(Inputs!$F$99-BI32)*Inputs!$F$100/100*Construction!BI11/360</f>
        <v>0</v>
      </c>
      <c r="BJ41" s="11" t="n">
        <f aca="false">Construction!BJ14*(Inputs!$F$99-BJ32)*Inputs!$F$100/100*Construction!BJ11/360</f>
        <v>0</v>
      </c>
    </row>
    <row r="42" customFormat="false" ht="15" hidden="false" customHeight="false" outlineLevel="0" collapsed="false">
      <c r="D42" s="0" t="s">
        <v>600</v>
      </c>
      <c r="E42" s="0" t="s">
        <v>149</v>
      </c>
      <c r="G42" s="11" t="n">
        <f aca="false">SUM(J42:BJ42)</f>
        <v>10.3396727750566</v>
      </c>
      <c r="J42" s="11" t="n">
        <f aca="false">IF(Construction!J8=1,Inputs!$F$75*$F$25*Inputs!$F$89/100+Inputs!$F$76*$F$25*Inputs!$F$90/100+Inputs!$F$77*$F$25*Inputs!$F$91/100+Inputs!$F$78*$F$25*Inputs!$F$92/100,0)</f>
        <v>10.3396727750566</v>
      </c>
      <c r="K42" s="11" t="n">
        <f aca="false">IF(Construction!K8=1,Inputs!$F$75*$F$25*Inputs!$F$89/100+Inputs!$F$76*$F$25*Inputs!$F$90/100+Inputs!$F$77*$F$25*Inputs!$F$91/100+Inputs!$F$78*$F$25*Inputs!$F$92/100,0)</f>
        <v>0</v>
      </c>
      <c r="L42" s="11" t="n">
        <f aca="false">IF(Construction!L8=1,Inputs!$F$75*$F$25*Inputs!$F$89/100+Inputs!$F$76*$F$25*Inputs!$F$90/100+Inputs!$F$77*$F$25*Inputs!$F$91/100+Inputs!$F$78*$F$25*Inputs!$F$92/100,0)</f>
        <v>0</v>
      </c>
      <c r="M42" s="11" t="n">
        <f aca="false">IF(Construction!M8=1,Inputs!$F$75*$F$25*Inputs!$F$89/100+Inputs!$F$76*$F$25*Inputs!$F$90/100+Inputs!$F$77*$F$25*Inputs!$F$91/100+Inputs!$F$78*$F$25*Inputs!$F$92/100,0)</f>
        <v>0</v>
      </c>
      <c r="N42" s="11" t="n">
        <f aca="false">IF(Construction!N8=1,Inputs!$F$75*$F$25*Inputs!$F$89/100+Inputs!$F$76*$F$25*Inputs!$F$90/100+Inputs!$F$77*$F$25*Inputs!$F$91/100+Inputs!$F$78*$F$25*Inputs!$F$92/100,0)</f>
        <v>0</v>
      </c>
      <c r="O42" s="11" t="n">
        <f aca="false">IF(Construction!O8=1,Inputs!$F$75*$F$25*Inputs!$F$89/100+Inputs!$F$76*$F$25*Inputs!$F$90/100+Inputs!$F$77*$F$25*Inputs!$F$91/100+Inputs!$F$78*$F$25*Inputs!$F$92/100,0)</f>
        <v>0</v>
      </c>
      <c r="P42" s="11" t="n">
        <f aca="false">IF(Construction!P8=1,Inputs!$F$75*$F$25*Inputs!$F$89/100+Inputs!$F$76*$F$25*Inputs!$F$90/100+Inputs!$F$77*$F$25*Inputs!$F$91/100+Inputs!$F$78*$F$25*Inputs!$F$92/100,0)</f>
        <v>0</v>
      </c>
      <c r="Q42" s="11" t="n">
        <f aca="false">IF(Construction!Q8=1,Inputs!$F$75*$F$25*Inputs!$F$89/100+Inputs!$F$76*$F$25*Inputs!$F$90/100+Inputs!$F$77*$F$25*Inputs!$F$91/100+Inputs!$F$78*$F$25*Inputs!$F$92/100,0)</f>
        <v>0</v>
      </c>
      <c r="R42" s="11" t="n">
        <f aca="false">IF(Construction!R8=1,Inputs!$F$75*$F$25*Inputs!$F$89/100+Inputs!$F$76*$F$25*Inputs!$F$90/100+Inputs!$F$77*$F$25*Inputs!$F$91/100+Inputs!$F$78*$F$25*Inputs!$F$92/100,0)</f>
        <v>0</v>
      </c>
      <c r="S42" s="11" t="n">
        <f aca="false">IF(Construction!S8=1,Inputs!$F$75*$F$25*Inputs!$F$89/100+Inputs!$F$76*$F$25*Inputs!$F$90/100+Inputs!$F$77*$F$25*Inputs!$F$91/100+Inputs!$F$78*$F$25*Inputs!$F$92/100,0)</f>
        <v>0</v>
      </c>
      <c r="T42" s="11" t="n">
        <f aca="false">IF(Construction!T8=1,Inputs!$F$75*$F$25*Inputs!$F$89/100+Inputs!$F$76*$F$25*Inputs!$F$90/100+Inputs!$F$77*$F$25*Inputs!$F$91/100+Inputs!$F$78*$F$25*Inputs!$F$92/100,0)</f>
        <v>0</v>
      </c>
      <c r="U42" s="11" t="n">
        <f aca="false">IF(Construction!U8=1,Inputs!$F$75*$F$25*Inputs!$F$89/100+Inputs!$F$76*$F$25*Inputs!$F$90/100+Inputs!$F$77*$F$25*Inputs!$F$91/100+Inputs!$F$78*$F$25*Inputs!$F$92/100,0)</f>
        <v>0</v>
      </c>
      <c r="V42" s="11" t="n">
        <f aca="false">IF(Construction!V8=1,Inputs!$F$75*$F$25*Inputs!$F$89/100+Inputs!$F$76*$F$25*Inputs!$F$90/100+Inputs!$F$77*$F$25*Inputs!$F$91/100+Inputs!$F$78*$F$25*Inputs!$F$92/100,0)</f>
        <v>0</v>
      </c>
      <c r="W42" s="11" t="n">
        <f aca="false">IF(Construction!W8=1,Inputs!$F$75*$F$25*Inputs!$F$89/100+Inputs!$F$76*$F$25*Inputs!$F$90/100+Inputs!$F$77*$F$25*Inputs!$F$91/100+Inputs!$F$78*$F$25*Inputs!$F$92/100,0)</f>
        <v>0</v>
      </c>
      <c r="X42" s="11" t="n">
        <f aca="false">IF(Construction!X8=1,Inputs!$F$75*$F$25*Inputs!$F$89/100+Inputs!$F$76*$F$25*Inputs!$F$90/100+Inputs!$F$77*$F$25*Inputs!$F$91/100+Inputs!$F$78*$F$25*Inputs!$F$92/100,0)</f>
        <v>0</v>
      </c>
      <c r="Y42" s="11" t="n">
        <f aca="false">IF(Construction!Y8=1,Inputs!$F$75*$F$25*Inputs!$F$89/100+Inputs!$F$76*$F$25*Inputs!$F$90/100+Inputs!$F$77*$F$25*Inputs!$F$91/100+Inputs!$F$78*$F$25*Inputs!$F$92/100,0)</f>
        <v>0</v>
      </c>
      <c r="Z42" s="11" t="n">
        <f aca="false">IF(Construction!Z8=1,Inputs!$F$75*$F$25*Inputs!$F$89/100+Inputs!$F$76*$F$25*Inputs!$F$90/100+Inputs!$F$77*$F$25*Inputs!$F$91/100+Inputs!$F$78*$F$25*Inputs!$F$92/100,0)</f>
        <v>0</v>
      </c>
      <c r="AA42" s="11" t="n">
        <f aca="false">IF(Construction!AA8=1,Inputs!$F$75*$F$25*Inputs!$F$89/100+Inputs!$F$76*$F$25*Inputs!$F$90/100+Inputs!$F$77*$F$25*Inputs!$F$91/100+Inputs!$F$78*$F$25*Inputs!$F$92/100,0)</f>
        <v>0</v>
      </c>
      <c r="AB42" s="11" t="n">
        <f aca="false">IF(Construction!AB8=1,Inputs!$F$75*$F$25*Inputs!$F$89/100+Inputs!$F$76*$F$25*Inputs!$F$90/100+Inputs!$F$77*$F$25*Inputs!$F$91/100+Inputs!$F$78*$F$25*Inputs!$F$92/100,0)</f>
        <v>0</v>
      </c>
      <c r="AC42" s="11" t="n">
        <f aca="false">IF(Construction!AC8=1,Inputs!$F$75*$F$25*Inputs!$F$89/100+Inputs!$F$76*$F$25*Inputs!$F$90/100+Inputs!$F$77*$F$25*Inputs!$F$91/100+Inputs!$F$78*$F$25*Inputs!$F$92/100,0)</f>
        <v>0</v>
      </c>
      <c r="AD42" s="11" t="n">
        <f aca="false">IF(Construction!AD8=1,Inputs!$F$75*$F$25*Inputs!$F$89/100+Inputs!$F$76*$F$25*Inputs!$F$90/100+Inputs!$F$77*$F$25*Inputs!$F$91/100+Inputs!$F$78*$F$25*Inputs!$F$92/100,0)</f>
        <v>0</v>
      </c>
      <c r="AE42" s="11" t="n">
        <f aca="false">IF(Construction!AE8=1,Inputs!$F$75*$F$25*Inputs!$F$89/100+Inputs!$F$76*$F$25*Inputs!$F$90/100+Inputs!$F$77*$F$25*Inputs!$F$91/100+Inputs!$F$78*$F$25*Inputs!$F$92/100,0)</f>
        <v>0</v>
      </c>
      <c r="AF42" s="11" t="n">
        <f aca="false">IF(Construction!AF8=1,Inputs!$F$75*$F$25*Inputs!$F$89/100+Inputs!$F$76*$F$25*Inputs!$F$90/100+Inputs!$F$77*$F$25*Inputs!$F$91/100+Inputs!$F$78*$F$25*Inputs!$F$92/100,0)</f>
        <v>0</v>
      </c>
      <c r="AG42" s="11" t="n">
        <f aca="false">IF(Construction!AG8=1,Inputs!$F$75*$F$25*Inputs!$F$89/100+Inputs!$F$76*$F$25*Inputs!$F$90/100+Inputs!$F$77*$F$25*Inputs!$F$91/100+Inputs!$F$78*$F$25*Inputs!$F$92/100,0)</f>
        <v>0</v>
      </c>
      <c r="AH42" s="11" t="n">
        <f aca="false">IF(Construction!AH8=1,Inputs!$F$75*$F$25*Inputs!$F$89/100+Inputs!$F$76*$F$25*Inputs!$F$90/100+Inputs!$F$77*$F$25*Inputs!$F$91/100+Inputs!$F$78*$F$25*Inputs!$F$92/100,0)</f>
        <v>0</v>
      </c>
      <c r="AI42" s="11" t="n">
        <f aca="false">IF(Construction!AI8=1,Inputs!$F$75*$F$25*Inputs!$F$89/100+Inputs!$F$76*$F$25*Inputs!$F$90/100+Inputs!$F$77*$F$25*Inputs!$F$91/100+Inputs!$F$78*$F$25*Inputs!$F$92/100,0)</f>
        <v>0</v>
      </c>
      <c r="AJ42" s="11" t="n">
        <f aca="false">IF(Construction!AJ8=1,Inputs!$F$75*$F$25*Inputs!$F$89/100+Inputs!$F$76*$F$25*Inputs!$F$90/100+Inputs!$F$77*$F$25*Inputs!$F$91/100+Inputs!$F$78*$F$25*Inputs!$F$92/100,0)</f>
        <v>0</v>
      </c>
      <c r="AK42" s="11" t="n">
        <f aca="false">IF(Construction!AK8=1,Inputs!$F$75*$F$25*Inputs!$F$89/100+Inputs!$F$76*$F$25*Inputs!$F$90/100+Inputs!$F$77*$F$25*Inputs!$F$91/100+Inputs!$F$78*$F$25*Inputs!$F$92/100,0)</f>
        <v>0</v>
      </c>
      <c r="AL42" s="11" t="n">
        <f aca="false">IF(Construction!AL8=1,Inputs!$F$75*$F$25*Inputs!$F$89/100+Inputs!$F$76*$F$25*Inputs!$F$90/100+Inputs!$F$77*$F$25*Inputs!$F$91/100+Inputs!$F$78*$F$25*Inputs!$F$92/100,0)</f>
        <v>0</v>
      </c>
      <c r="AM42" s="11" t="n">
        <f aca="false">IF(Construction!AM8=1,Inputs!$F$75*$F$25*Inputs!$F$89/100+Inputs!$F$76*$F$25*Inputs!$F$90/100+Inputs!$F$77*$F$25*Inputs!$F$91/100+Inputs!$F$78*$F$25*Inputs!$F$92/100,0)</f>
        <v>0</v>
      </c>
      <c r="AN42" s="11" t="n">
        <f aca="false">IF(Construction!AN8=1,Inputs!$F$75*$F$25*Inputs!$F$89/100+Inputs!$F$76*$F$25*Inputs!$F$90/100+Inputs!$F$77*$F$25*Inputs!$F$91/100+Inputs!$F$78*$F$25*Inputs!$F$92/100,0)</f>
        <v>0</v>
      </c>
      <c r="AO42" s="11" t="n">
        <f aca="false">IF(Construction!AO8=1,Inputs!$F$75*$F$25*Inputs!$F$89/100+Inputs!$F$76*$F$25*Inputs!$F$90/100+Inputs!$F$77*$F$25*Inputs!$F$91/100+Inputs!$F$78*$F$25*Inputs!$F$92/100,0)</f>
        <v>0</v>
      </c>
      <c r="AP42" s="11" t="n">
        <f aca="false">IF(Construction!AP8=1,Inputs!$F$75*$F$25*Inputs!$F$89/100+Inputs!$F$76*$F$25*Inputs!$F$90/100+Inputs!$F$77*$F$25*Inputs!$F$91/100+Inputs!$F$78*$F$25*Inputs!$F$92/100,0)</f>
        <v>0</v>
      </c>
      <c r="AQ42" s="11" t="n">
        <f aca="false">IF(Construction!AQ8=1,Inputs!$F$75*$F$25*Inputs!$F$89/100+Inputs!$F$76*$F$25*Inputs!$F$90/100+Inputs!$F$77*$F$25*Inputs!$F$91/100+Inputs!$F$78*$F$25*Inputs!$F$92/100,0)</f>
        <v>0</v>
      </c>
      <c r="AR42" s="11" t="n">
        <f aca="false">IF(Construction!AR8=1,Inputs!$F$75*$F$25*Inputs!$F$89/100+Inputs!$F$76*$F$25*Inputs!$F$90/100+Inputs!$F$77*$F$25*Inputs!$F$91/100+Inputs!$F$78*$F$25*Inputs!$F$92/100,0)</f>
        <v>0</v>
      </c>
      <c r="AS42" s="11" t="n">
        <f aca="false">IF(Construction!AS8=1,Inputs!$F$75*$F$25*Inputs!$F$89/100+Inputs!$F$76*$F$25*Inputs!$F$90/100+Inputs!$F$77*$F$25*Inputs!$F$91/100+Inputs!$F$78*$F$25*Inputs!$F$92/100,0)</f>
        <v>0</v>
      </c>
      <c r="AT42" s="11" t="n">
        <f aca="false">IF(Construction!AT8=1,Inputs!$F$75*$F$25*Inputs!$F$89/100+Inputs!$F$76*$F$25*Inputs!$F$90/100+Inputs!$F$77*$F$25*Inputs!$F$91/100+Inputs!$F$78*$F$25*Inputs!$F$92/100,0)</f>
        <v>0</v>
      </c>
      <c r="AU42" s="11" t="n">
        <f aca="false">IF(Construction!AU8=1,Inputs!$F$75*$F$25*Inputs!$F$89/100+Inputs!$F$76*$F$25*Inputs!$F$90/100+Inputs!$F$77*$F$25*Inputs!$F$91/100+Inputs!$F$78*$F$25*Inputs!$F$92/100,0)</f>
        <v>0</v>
      </c>
      <c r="AV42" s="11" t="n">
        <f aca="false">IF(Construction!AV8=1,Inputs!$F$75*$F$25*Inputs!$F$89/100+Inputs!$F$76*$F$25*Inputs!$F$90/100+Inputs!$F$77*$F$25*Inputs!$F$91/100+Inputs!$F$78*$F$25*Inputs!$F$92/100,0)</f>
        <v>0</v>
      </c>
      <c r="AW42" s="11" t="n">
        <f aca="false">IF(Construction!AW8=1,Inputs!$F$75*$F$25*Inputs!$F$89/100+Inputs!$F$76*$F$25*Inputs!$F$90/100+Inputs!$F$77*$F$25*Inputs!$F$91/100+Inputs!$F$78*$F$25*Inputs!$F$92/100,0)</f>
        <v>0</v>
      </c>
      <c r="AX42" s="11" t="n">
        <f aca="false">IF(Construction!AX8=1,Inputs!$F$75*$F$25*Inputs!$F$89/100+Inputs!$F$76*$F$25*Inputs!$F$90/100+Inputs!$F$77*$F$25*Inputs!$F$91/100+Inputs!$F$78*$F$25*Inputs!$F$92/100,0)</f>
        <v>0</v>
      </c>
      <c r="AY42" s="11" t="n">
        <f aca="false">IF(Construction!AY8=1,Inputs!$F$75*$F$25*Inputs!$F$89/100+Inputs!$F$76*$F$25*Inputs!$F$90/100+Inputs!$F$77*$F$25*Inputs!$F$91/100+Inputs!$F$78*$F$25*Inputs!$F$92/100,0)</f>
        <v>0</v>
      </c>
      <c r="AZ42" s="11" t="n">
        <f aca="false">IF(Construction!AZ8=1,Inputs!$F$75*$F$25*Inputs!$F$89/100+Inputs!$F$76*$F$25*Inputs!$F$90/100+Inputs!$F$77*$F$25*Inputs!$F$91/100+Inputs!$F$78*$F$25*Inputs!$F$92/100,0)</f>
        <v>0</v>
      </c>
      <c r="BA42" s="11" t="n">
        <f aca="false">IF(Construction!BA8=1,Inputs!$F$75*$F$25*Inputs!$F$89/100+Inputs!$F$76*$F$25*Inputs!$F$90/100+Inputs!$F$77*$F$25*Inputs!$F$91/100+Inputs!$F$78*$F$25*Inputs!$F$92/100,0)</f>
        <v>0</v>
      </c>
      <c r="BB42" s="11" t="n">
        <f aca="false">IF(Construction!BB8=1,Inputs!$F$75*$F$25*Inputs!$F$89/100+Inputs!$F$76*$F$25*Inputs!$F$90/100+Inputs!$F$77*$F$25*Inputs!$F$91/100+Inputs!$F$78*$F$25*Inputs!$F$92/100,0)</f>
        <v>0</v>
      </c>
      <c r="BC42" s="11" t="n">
        <f aca="false">IF(Construction!BC8=1,Inputs!$F$75*$F$25*Inputs!$F$89/100+Inputs!$F$76*$F$25*Inputs!$F$90/100+Inputs!$F$77*$F$25*Inputs!$F$91/100+Inputs!$F$78*$F$25*Inputs!$F$92/100,0)</f>
        <v>0</v>
      </c>
      <c r="BD42" s="11" t="n">
        <f aca="false">IF(Construction!BD8=1,Inputs!$F$75*$F$25*Inputs!$F$89/100+Inputs!$F$76*$F$25*Inputs!$F$90/100+Inputs!$F$77*$F$25*Inputs!$F$91/100+Inputs!$F$78*$F$25*Inputs!$F$92/100,0)</f>
        <v>0</v>
      </c>
      <c r="BE42" s="11" t="n">
        <f aca="false">IF(Construction!BE8=1,Inputs!$F$75*$F$25*Inputs!$F$89/100+Inputs!$F$76*$F$25*Inputs!$F$90/100+Inputs!$F$77*$F$25*Inputs!$F$91/100+Inputs!$F$78*$F$25*Inputs!$F$92/100,0)</f>
        <v>0</v>
      </c>
      <c r="BF42" s="11" t="n">
        <f aca="false">IF(Construction!BF8=1,Inputs!$F$75*$F$25*Inputs!$F$89/100+Inputs!$F$76*$F$25*Inputs!$F$90/100+Inputs!$F$77*$F$25*Inputs!$F$91/100+Inputs!$F$78*$F$25*Inputs!$F$92/100,0)</f>
        <v>0</v>
      </c>
      <c r="BG42" s="11" t="n">
        <f aca="false">IF(Construction!BG8=1,Inputs!$F$75*$F$25*Inputs!$F$89/100+Inputs!$F$76*$F$25*Inputs!$F$90/100+Inputs!$F$77*$F$25*Inputs!$F$91/100+Inputs!$F$78*$F$25*Inputs!$F$92/100,0)</f>
        <v>0</v>
      </c>
      <c r="BH42" s="11" t="n">
        <f aca="false">IF(Construction!BH8=1,Inputs!$F$75*$F$25*Inputs!$F$89/100+Inputs!$F$76*$F$25*Inputs!$F$90/100+Inputs!$F$77*$F$25*Inputs!$F$91/100+Inputs!$F$78*$F$25*Inputs!$F$92/100,0)</f>
        <v>0</v>
      </c>
      <c r="BI42" s="11" t="n">
        <f aca="false">IF(Construction!BI8=1,Inputs!$F$75*$F$25*Inputs!$F$89/100+Inputs!$F$76*$F$25*Inputs!$F$90/100+Inputs!$F$77*$F$25*Inputs!$F$91/100+Inputs!$F$78*$F$25*Inputs!$F$92/100,0)</f>
        <v>0</v>
      </c>
      <c r="BJ42" s="11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601</v>
      </c>
      <c r="E43" s="0" t="s">
        <v>149</v>
      </c>
      <c r="G43" s="11" t="n">
        <f aca="false">SUM(J43:BJ43)</f>
        <v>0.87125</v>
      </c>
      <c r="J43" s="11" t="n">
        <f aca="false">Construction!J14*Inputs!$F$107/12</f>
        <v>0.02125</v>
      </c>
      <c r="K43" s="11" t="n">
        <f aca="false">Construction!K14*Inputs!$F$107/12</f>
        <v>0.02125</v>
      </c>
      <c r="L43" s="11" t="n">
        <f aca="false">Construction!L14*Inputs!$F$107/12</f>
        <v>0.02125</v>
      </c>
      <c r="M43" s="11" t="n">
        <f aca="false">Construction!M14*Inputs!$F$107/12</f>
        <v>0.02125</v>
      </c>
      <c r="N43" s="11" t="n">
        <f aca="false">Construction!N14*Inputs!$F$107/12</f>
        <v>0.02125</v>
      </c>
      <c r="O43" s="11" t="n">
        <f aca="false">Construction!O14*Inputs!$F$107/12</f>
        <v>0.02125</v>
      </c>
      <c r="P43" s="11" t="n">
        <f aca="false">Construction!P14*Inputs!$F$107/12</f>
        <v>0.02125</v>
      </c>
      <c r="Q43" s="11" t="n">
        <f aca="false">Construction!Q14*Inputs!$F$107/12</f>
        <v>0.02125</v>
      </c>
      <c r="R43" s="11" t="n">
        <f aca="false">Construction!R14*Inputs!$F$107/12</f>
        <v>0.02125</v>
      </c>
      <c r="S43" s="11" t="n">
        <f aca="false">Construction!S14*Inputs!$F$107/12</f>
        <v>0.02125</v>
      </c>
      <c r="T43" s="11" t="n">
        <f aca="false">Construction!T14*Inputs!$F$107/12</f>
        <v>0.02125</v>
      </c>
      <c r="U43" s="11" t="n">
        <f aca="false">Construction!U14*Inputs!$F$107/12</f>
        <v>0.02125</v>
      </c>
      <c r="V43" s="11" t="n">
        <f aca="false">Construction!V14*Inputs!$F$107/12</f>
        <v>0.02125</v>
      </c>
      <c r="W43" s="11" t="n">
        <f aca="false">Construction!W14*Inputs!$F$107/12</f>
        <v>0.02125</v>
      </c>
      <c r="X43" s="11" t="n">
        <f aca="false">Construction!X14*Inputs!$F$107/12</f>
        <v>0.02125</v>
      </c>
      <c r="Y43" s="11" t="n">
        <f aca="false">Construction!Y14*Inputs!$F$107/12</f>
        <v>0.02125</v>
      </c>
      <c r="Z43" s="11" t="n">
        <f aca="false">Construction!Z14*Inputs!$F$107/12</f>
        <v>0.02125</v>
      </c>
      <c r="AA43" s="11" t="n">
        <f aca="false">Construction!AA14*Inputs!$F$107/12</f>
        <v>0.02125</v>
      </c>
      <c r="AB43" s="11" t="n">
        <f aca="false">Construction!AB14*Inputs!$F$107/12</f>
        <v>0.02125</v>
      </c>
      <c r="AC43" s="11" t="n">
        <f aca="false">Construction!AC14*Inputs!$F$107/12</f>
        <v>0.02125</v>
      </c>
      <c r="AD43" s="11" t="n">
        <f aca="false">Construction!AD14*Inputs!$F$107/12</f>
        <v>0.02125</v>
      </c>
      <c r="AE43" s="11" t="n">
        <f aca="false">Construction!AE14*Inputs!$F$107/12</f>
        <v>0.02125</v>
      </c>
      <c r="AF43" s="11" t="n">
        <f aca="false">Construction!AF14*Inputs!$F$107/12</f>
        <v>0.02125</v>
      </c>
      <c r="AG43" s="11" t="n">
        <f aca="false">Construction!AG14*Inputs!$F$107/12</f>
        <v>0.02125</v>
      </c>
      <c r="AH43" s="11" t="n">
        <f aca="false">Construction!AH14*Inputs!$F$107/12</f>
        <v>0.02125</v>
      </c>
      <c r="AI43" s="11" t="n">
        <f aca="false">Construction!AI14*Inputs!$F$107/12</f>
        <v>0.02125</v>
      </c>
      <c r="AJ43" s="11" t="n">
        <f aca="false">Construction!AJ14*Inputs!$F$107/12</f>
        <v>0.02125</v>
      </c>
      <c r="AK43" s="11" t="n">
        <f aca="false">Construction!AK14*Inputs!$F$107/12</f>
        <v>0.02125</v>
      </c>
      <c r="AL43" s="11" t="n">
        <f aca="false">Construction!AL14*Inputs!$F$107/12</f>
        <v>0.02125</v>
      </c>
      <c r="AM43" s="11" t="n">
        <f aca="false">Construction!AM14*Inputs!$F$107/12</f>
        <v>0.02125</v>
      </c>
      <c r="AN43" s="11" t="n">
        <f aca="false">Construction!AN14*Inputs!$F$107/12</f>
        <v>0.02125</v>
      </c>
      <c r="AO43" s="11" t="n">
        <f aca="false">Construction!AO14*Inputs!$F$107/12</f>
        <v>0.02125</v>
      </c>
      <c r="AP43" s="11" t="n">
        <f aca="false">Construction!AP14*Inputs!$F$107/12</f>
        <v>0.02125</v>
      </c>
      <c r="AQ43" s="11" t="n">
        <f aca="false">Construction!AQ14*Inputs!$F$107/12</f>
        <v>0.02125</v>
      </c>
      <c r="AR43" s="11" t="n">
        <f aca="false">Construction!AR14*Inputs!$F$107/12</f>
        <v>0.02125</v>
      </c>
      <c r="AS43" s="11" t="n">
        <f aca="false">Construction!AS14*Inputs!$F$107/12</f>
        <v>0.02125</v>
      </c>
      <c r="AT43" s="11" t="n">
        <f aca="false">Construction!AT14*Inputs!$F$107/12</f>
        <v>0.02125</v>
      </c>
      <c r="AU43" s="11" t="n">
        <f aca="false">Construction!AU14*Inputs!$F$107/12</f>
        <v>0.02125</v>
      </c>
      <c r="AV43" s="11" t="n">
        <f aca="false">Construction!AV14*Inputs!$F$107/12</f>
        <v>0.02125</v>
      </c>
      <c r="AW43" s="11" t="n">
        <f aca="false">Construction!AW14*Inputs!$F$107/12</f>
        <v>0.02125</v>
      </c>
      <c r="AX43" s="11" t="n">
        <f aca="false">Construction!AX14*Inputs!$F$107/12</f>
        <v>0.02125</v>
      </c>
      <c r="AY43" s="11" t="n">
        <f aca="false">Construction!AY14*Inputs!$F$107/12</f>
        <v>0</v>
      </c>
      <c r="AZ43" s="11" t="n">
        <f aca="false">Construction!AZ14*Inputs!$F$107/12</f>
        <v>0</v>
      </c>
      <c r="BA43" s="11" t="n">
        <f aca="false">Construction!BA14*Inputs!$F$107/12</f>
        <v>0</v>
      </c>
      <c r="BB43" s="11" t="n">
        <f aca="false">Construction!BB14*Inputs!$F$107/12</f>
        <v>0</v>
      </c>
      <c r="BC43" s="11" t="n">
        <f aca="false">Construction!BC14*Inputs!$F$107/12</f>
        <v>0</v>
      </c>
      <c r="BD43" s="11" t="n">
        <f aca="false">Construction!BD14*Inputs!$F$107/12</f>
        <v>0</v>
      </c>
      <c r="BE43" s="11" t="n">
        <f aca="false">Construction!BE14*Inputs!$F$107/12</f>
        <v>0</v>
      </c>
      <c r="BF43" s="11" t="n">
        <f aca="false">Construction!BF14*Inputs!$F$107/12</f>
        <v>0</v>
      </c>
      <c r="BG43" s="11" t="n">
        <f aca="false">Construction!BG14*Inputs!$F$107/12</f>
        <v>0</v>
      </c>
      <c r="BH43" s="11" t="n">
        <f aca="false">Construction!BH14*Inputs!$F$107/12</f>
        <v>0</v>
      </c>
      <c r="BI43" s="11" t="n">
        <f aca="false">Construction!BI14*Inputs!$F$107/12</f>
        <v>0</v>
      </c>
      <c r="BJ43" s="11" t="n">
        <f aca="false">Construction!BJ14*Inputs!$F$107/12</f>
        <v>0</v>
      </c>
    </row>
    <row r="44" customFormat="false" ht="15" hidden="false" customHeight="false" outlineLevel="0" collapsed="false">
      <c r="D44" s="0" t="s">
        <v>602</v>
      </c>
      <c r="E44" s="0" t="s">
        <v>149</v>
      </c>
      <c r="G44" s="11" t="n">
        <f aca="false">SUM(J44:BJ44)</f>
        <v>39.5901571901212</v>
      </c>
      <c r="J44" s="11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1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1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1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1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1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1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1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1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1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1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1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1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1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1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1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1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1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1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1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1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1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1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1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1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1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1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1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1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1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1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1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1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1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1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1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1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1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1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1" t="n">
        <f aca="false">Construction!AW15*IF(Inputs!$F$34=1,$F$12*Inputs!$F$75*$F$25+$F$13*Inputs!$F$76*$F$25+$F$14*Inputs!$F$77*$F$25+$F$15*Inputs!$F$78*$F$25+$F$17,$F$12*AW28+$F$13*AW29+$F$14*AW30+$F$15*AW31+$F$16*AW32+$F$17)</f>
        <v>39.5901571901212</v>
      </c>
      <c r="AX44" s="11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1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1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1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1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1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1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1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1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1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1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1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1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603</v>
      </c>
      <c r="E45" s="0" t="s">
        <v>149</v>
      </c>
      <c r="J45" s="11" t="n">
        <f aca="false">Construction!J14*(Construction!J30+Construction!J36)+J33+J34+J35+J36+J37+J38+J39+J40+J41+J42+J43+J44</f>
        <v>119.06732103779</v>
      </c>
      <c r="K45" s="11" t="n">
        <f aca="false">Construction!K14*(Construction!K30+Construction!K36)+K33+K34+K35+K36+K37+K38+K39+K40+K41+K42+K43+K44</f>
        <v>2.4474520425935</v>
      </c>
      <c r="L45" s="11" t="n">
        <f aca="false">Construction!L14*(Construction!L30+Construction!L36)+L33+L34+L35+L36+L37+L38+L39+L40+L41+L42+L43+L44</f>
        <v>3.11816816346495</v>
      </c>
      <c r="M45" s="11" t="n">
        <f aca="false">Construction!M14*(Construction!M30+Construction!M36)+M33+M34+M35+M36+M37+M38+M39+M40+M41+M42+M43+M44</f>
        <v>4.40349346525888</v>
      </c>
      <c r="N45" s="11" t="n">
        <f aca="false">Construction!N14*(Construction!N30+Construction!N36)+N33+N34+N35+N36+N37+N38+N39+N40+N41+N42+N43+N44</f>
        <v>6.33763467742651</v>
      </c>
      <c r="O45" s="11" t="n">
        <f aca="false">Construction!O14*(Construction!O30+Construction!O36)+O33+O34+O35+O36+O37+O38+O39+O40+O41+O42+O43+O44</f>
        <v>8.72985795852481</v>
      </c>
      <c r="P45" s="11" t="n">
        <f aca="false">Construction!P14*(Construction!P30+Construction!P36)+P33+P34+P35+P36+P37+P38+P39+P40+P41+P42+P43+P44</f>
        <v>11.3832441236451</v>
      </c>
      <c r="Q45" s="11" t="n">
        <f aca="false">Construction!Q14*(Construction!Q30+Construction!Q36)+Q33+Q34+Q35+Q36+Q37+Q38+Q39+Q40+Q41+Q42+Q43+Q44</f>
        <v>14.4492223348816</v>
      </c>
      <c r="R45" s="11" t="n">
        <f aca="false">Construction!R14*(Construction!R30+Construction!R36)+R33+R34+R35+R36+R37+R38+R39+R40+R41+R42+R43+R44</f>
        <v>17.5019979728183</v>
      </c>
      <c r="S45" s="11" t="n">
        <f aca="false">Construction!S14*(Construction!S30+Construction!S36)+S33+S34+S35+S36+S37+S38+S39+S40+S41+S42+S43+S44</f>
        <v>20.6119825652161</v>
      </c>
      <c r="T45" s="11" t="n">
        <f aca="false">Construction!T14*(Construction!T30+Construction!T36)+T33+T34+T35+T36+T37+T38+T39+T40+T41+T42+T43+T44</f>
        <v>23.520915300421</v>
      </c>
      <c r="U45" s="11" t="n">
        <f aca="false">Construction!U14*(Construction!U30+Construction!U36)+U33+U34+U35+U36+U37+U38+U39+U40+U41+U42+U43+U44</f>
        <v>26.3114769209107</v>
      </c>
      <c r="V45" s="11" t="n">
        <f aca="false">Construction!V14*(Construction!V30+Construction!V36)+V33+V34+V35+V36+V37+V38+V39+V40+V41+V42+V43+V44</f>
        <v>28.7642426035863</v>
      </c>
      <c r="W45" s="11" t="n">
        <f aca="false">Construction!W14*(Construction!W30+Construction!W36)+W33+W34+W35+W36+W37+W38+W39+W40+W41+W42+W43+W44</f>
        <v>30.8032538821239</v>
      </c>
      <c r="X45" s="11" t="n">
        <f aca="false">Construction!X14*(Construction!X30+Construction!X36)+X33+X34+X35+X36+X37+X38+X39+X40+X41+X42+X43+X44</f>
        <v>32.4925382230955</v>
      </c>
      <c r="Y45" s="11" t="n">
        <f aca="false">Construction!Y14*(Construction!Y30+Construction!Y36)+Y33+Y34+Y35+Y36+Y37+Y38+Y39+Y40+Y41+Y42+Y43+Y44</f>
        <v>33.616147215984</v>
      </c>
      <c r="Z45" s="11" t="n">
        <f aca="false">Construction!Z14*(Construction!Z30+Construction!Z36)+Z33+Z34+Z35+Z36+Z37+Z38+Z39+Z40+Z41+Z42+Z43+Z44</f>
        <v>34.3211966457986</v>
      </c>
      <c r="AA45" s="11" t="n">
        <f aca="false">Construction!AA14*(Construction!AA30+Construction!AA36)+AA33+AA34+AA35+AA36+AA37+AA38+AA39+AA40+AA41+AA42+AA43+AA44</f>
        <v>35.6017940833029</v>
      </c>
      <c r="AB45" s="11" t="n">
        <f aca="false">Construction!AB14*(Construction!AB30+Construction!AB36)+AB33+AB34+AB35+AB36+AB37+AB38+AB39+AB40+AB41+AB42+AB43+AB44</f>
        <v>33.9586954570028</v>
      </c>
      <c r="AC45" s="11" t="n">
        <f aca="false">Construction!AC14*(Construction!AC30+Construction!AC36)+AC33+AC34+AC35+AC36+AC37+AC38+AC39+AC40+AC41+AC42+AC43+AC44</f>
        <v>33.1532830122019</v>
      </c>
      <c r="AD45" s="11" t="n">
        <f aca="false">Construction!AD14*(Construction!AD30+Construction!AD36)+AD33+AD34+AD35+AD36+AD37+AD38+AD39+AD40+AD41+AD42+AD43+AD44</f>
        <v>31.6920640867369</v>
      </c>
      <c r="AE45" s="11" t="n">
        <f aca="false">Construction!AE14*(Construction!AE30+Construction!AE36)+AE33+AE34+AE35+AE36+AE37+AE38+AE39+AE40+AE41+AE42+AE43+AE44</f>
        <v>29.9029457683709</v>
      </c>
      <c r="AF45" s="11" t="n">
        <f aca="false">Construction!AF14*(Construction!AF30+Construction!AF36)+AF33+AF34+AF35+AF36+AF37+AF38+AF39+AF40+AF41+AF42+AF43+AF44</f>
        <v>27.6014774460817</v>
      </c>
      <c r="AG45" s="11" t="n">
        <f aca="false">Construction!AG14*(Construction!AG30+Construction!AG36)+AG33+AG34+AG35+AG36+AG37+AG38+AG39+AG40+AG41+AG42+AG43+AG44</f>
        <v>25.1115704176399</v>
      </c>
      <c r="AH45" s="11" t="n">
        <f aca="false">Construction!AH14*(Construction!AH30+Construction!AH36)+AH33+AH34+AH35+AH36+AH37+AH38+AH39+AH40+AH41+AH42+AH43+AH44</f>
        <v>22.3202990907075</v>
      </c>
      <c r="AI45" s="11" t="n">
        <f aca="false">Construction!AI14*(Construction!AI30+Construction!AI36)+AI33+AI34+AI35+AI36+AI37+AI38+AI39+AI40+AI41+AI42+AI43+AI44</f>
        <v>19.3215755997069</v>
      </c>
      <c r="AJ45" s="11" t="n">
        <f aca="false">Construction!AJ14*(Construction!AJ30+Construction!AJ36)+AJ33+AJ34+AJ35+AJ36+AJ37+AJ38+AJ39+AJ40+AJ41+AJ42+AJ43+AJ44</f>
        <v>16.428688910734</v>
      </c>
      <c r="AK45" s="11" t="n">
        <f aca="false">Construction!AK14*(Construction!AK30+Construction!AK36)+AK33+AK34+AK35+AK36+AK37+AK38+AK39+AK40+AK41+AK42+AK43+AK44</f>
        <v>13.481947934424</v>
      </c>
      <c r="AL45" s="11" t="n">
        <f aca="false">Construction!AL14*(Construction!AL30+Construction!AL36)+AL33+AL34+AL35+AL36+AL37+AL38+AL39+AL40+AL41+AL42+AL43+AL44</f>
        <v>10.8865744451543</v>
      </c>
      <c r="AM45" s="11" t="n">
        <f aca="false">Construction!AM14*(Construction!AM30+Construction!AM36)+AM33+AM34+AM35+AM36+AM37+AM38+AM39+AM40+AM41+AM42+AM43+AM44</f>
        <v>8.56129887919489</v>
      </c>
      <c r="AN45" s="11" t="n">
        <f aca="false">Construction!AN14*(Construction!AN30+Construction!AN36)+AN33+AN34+AN35+AN36+AN37+AN38+AN39+AN40+AN41+AN42+AN43+AN44</f>
        <v>6.47908724901354</v>
      </c>
      <c r="AO45" s="11" t="n">
        <f aca="false">Construction!AO14*(Construction!AO30+Construction!AO36)+AO33+AO34+AO35+AO36+AO37+AO38+AO39+AO40+AO41+AO42+AO43+AO44</f>
        <v>5.4116805604037</v>
      </c>
      <c r="AP45" s="11" t="n">
        <f aca="false">Construction!AP14*(Construction!AP30+Construction!AP36)+AP33+AP34+AP35+AP36+AP37+AP38+AP39+AP40+AP41+AP42+AP43+AP44</f>
        <v>4.71830961631922</v>
      </c>
      <c r="AQ45" s="11" t="n">
        <f aca="false">Construction!AQ14*(Construction!AQ30+Construction!AQ36)+AQ33+AQ34+AQ35+AQ36+AQ37+AQ38+AQ39+AQ40+AQ41+AQ42+AQ43+AQ44</f>
        <v>4.73008478665988</v>
      </c>
      <c r="AR45" s="11" t="n">
        <f aca="false">Construction!AR14*(Construction!AR30+Construction!AR36)+AR33+AR34+AR35+AR36+AR37+AR38+AR39+AR40+AR41+AR42+AR43+AR44</f>
        <v>4.66908345688611</v>
      </c>
      <c r="AS45" s="11" t="n">
        <f aca="false">Construction!AS14*(Construction!AS30+Construction!AS36)+AS33+AS34+AS35+AS36+AS37+AS38+AS39+AS40+AS41+AS42+AS43+AS44</f>
        <v>4.85510863976738</v>
      </c>
      <c r="AT45" s="11" t="n">
        <f aca="false">Construction!AT14*(Construction!AT30+Construction!AT36)+AT33+AT34+AT35+AT36+AT37+AT38+AT39+AT40+AT41+AT42+AT43+AT44</f>
        <v>4.87038630504894</v>
      </c>
      <c r="AU45" s="11" t="n">
        <f aca="false">Construction!AU14*(Construction!AU30+Construction!AU36)+AU33+AU34+AU35+AU36+AU37+AU38+AU39+AU40+AU41+AU42+AU43+AU44</f>
        <v>4.77287401451617</v>
      </c>
      <c r="AV45" s="11" t="n">
        <f aca="false">Construction!AV14*(Construction!AV30+Construction!AV36)+AV33+AV34+AV35+AV36+AV37+AV38+AV39+AV40+AV41+AV42+AV43+AV44</f>
        <v>53.1411522073836</v>
      </c>
      <c r="AW45" s="11" t="n">
        <f aca="false">Construction!AW14*(Construction!AW30+Construction!AW36)+AW33+AW34+AW35+AW36+AW37+AW38+AW39+AW40+AW41+AW42+AW43+AW44</f>
        <v>43.2472680147445</v>
      </c>
      <c r="AX45" s="11" t="n">
        <f aca="false">Construction!AX14*(Construction!AX30+Construction!AX36)+AX33+AX34+AX35+AX36+AX37+AX38+AX39+AX40+AX41+AX42+AX43+AX44</f>
        <v>3.94384950744973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604</v>
      </c>
      <c r="E46" s="0" t="s">
        <v>149</v>
      </c>
      <c r="J46" s="11" t="n">
        <f aca="false">$F$25-J28-J29-J30-J31</f>
        <v>657.739998413269</v>
      </c>
      <c r="K46" s="11" t="n">
        <f aca="false">$F$25-K28-K29-K30-K31</f>
        <v>567.383920360777</v>
      </c>
      <c r="L46" s="11" t="n">
        <f aca="false">$F$25-L28-L29-L30-L31</f>
        <v>565.526633526213</v>
      </c>
      <c r="M46" s="11" t="n">
        <f aca="false">$F$25-M28-M29-M30-M31</f>
        <v>563.160363390099</v>
      </c>
      <c r="N46" s="11" t="n">
        <f aca="false">$F$25-N28-N29-N30-N31</f>
        <v>559.81870427001</v>
      </c>
      <c r="O46" s="11" t="n">
        <f aca="false">$F$25-O28-O29-O30-O31</f>
        <v>555.009292177837</v>
      </c>
      <c r="P46" s="11" t="n">
        <f aca="false">$F$25-P28-P29-P30-P31</f>
        <v>548.384504450924</v>
      </c>
      <c r="Q46" s="11" t="n">
        <f aca="false">$F$25-Q28-Q29-Q30-Q31</f>
        <v>539.746153595611</v>
      </c>
      <c r="R46" s="11" t="n">
        <f aca="false">$F$25-R28-R29-R30-R31</f>
        <v>528.781137756596</v>
      </c>
      <c r="S46" s="11" t="n">
        <f aca="false">$F$25-S28-S29-S30-S31</f>
        <v>515.499475910819</v>
      </c>
      <c r="T46" s="11" t="n">
        <f aca="false">$F$25-T28-T29-T30-T31</f>
        <v>499.857754158399</v>
      </c>
      <c r="U46" s="11" t="n">
        <f aca="false">$F$25-U28-U29-U30-U31</f>
        <v>482.008543810613</v>
      </c>
      <c r="V46" s="11" t="n">
        <f aca="false">$F$25-V28-V29-V30-V31</f>
        <v>462.041672618579</v>
      </c>
      <c r="W46" s="11" t="n">
        <f aca="false">$F$25-W28-W29-W30-W31</f>
        <v>440.213482254024</v>
      </c>
      <c r="X46" s="11" t="n">
        <f aca="false">$F$25-X28-X29-X30-X31</f>
        <v>416.837956645612</v>
      </c>
      <c r="Y46" s="11" t="n">
        <f aca="false">$F$25-Y28-Y29-Y30-Y31</f>
        <v>392.180491488755</v>
      </c>
      <c r="Z46" s="11" t="n">
        <f aca="false">$F$25-Z28-Z29-Z30-Z31</f>
        <v>366.670358270024</v>
      </c>
      <c r="AA46" s="11" t="n">
        <f aca="false">$F$25-AA28-AA29-AA30-AA31</f>
        <v>340.625187387256</v>
      </c>
      <c r="AB46" s="11" t="n">
        <f aca="false">$F$25-AB28-AB29-AB30-AB31</f>
        <v>313.608215333449</v>
      </c>
      <c r="AC46" s="11" t="n">
        <f aca="false">$F$25-AC28-AC29-AC30-AC31</f>
        <v>287.838134084204</v>
      </c>
      <c r="AD46" s="11" t="n">
        <f aca="false">$F$25-AD28-AD29-AD30-AD31</f>
        <v>262.679252525123</v>
      </c>
      <c r="AE46" s="11" t="n">
        <f aca="false">$F$25-AE28-AE29-AE30-AE31</f>
        <v>238.629239546693</v>
      </c>
      <c r="AF46" s="11" t="n">
        <f aca="false">$F$25-AF28-AF29-AF30-AF31</f>
        <v>215.936926674476</v>
      </c>
      <c r="AG46" s="11" t="n">
        <f aca="false">$F$25-AG28-AG29-AG30-AG31</f>
        <v>194.9911186329</v>
      </c>
      <c r="AH46" s="11" t="n">
        <f aca="false">$F$25-AH28-AH29-AH30-AH31</f>
        <v>175.934815048504</v>
      </c>
      <c r="AI46" s="11" t="n">
        <f aca="false">$F$25-AI28-AI29-AI30-AI31</f>
        <v>158.996710880066</v>
      </c>
      <c r="AJ46" s="11" t="n">
        <f aca="false">$F$25-AJ28-AJ29-AJ30-AJ31</f>
        <v>144.334234410724</v>
      </c>
      <c r="AK46" s="11" t="n">
        <f aca="false">$F$25-AK28-AK29-AK30-AK31</f>
        <v>131.867069746397</v>
      </c>
      <c r="AL46" s="11" t="n">
        <f aca="false">$F$25-AL28-AL29-AL30-AL31</f>
        <v>121.636085045936</v>
      </c>
      <c r="AM46" s="11" t="n">
        <f aca="false">$F$25-AM28-AM29-AM30-AM31</f>
        <v>113.374639657588</v>
      </c>
      <c r="AN46" s="11" t="n">
        <f aca="false">$F$25-AN28-AN29-AN30-AN31</f>
        <v>106.877765594942</v>
      </c>
      <c r="AO46" s="11" t="n">
        <f aca="false">$F$25-AO28-AO29-AO30-AO31</f>
        <v>101.961010031129</v>
      </c>
      <c r="AP46" s="11" t="n">
        <f aca="false">$F$25-AP28-AP29-AP30-AP31</f>
        <v>97.8542725413712</v>
      </c>
      <c r="AQ46" s="11" t="n">
        <f aca="false">$F$25-AQ28-AQ29-AQ30-AQ31</f>
        <v>94.2737103161352</v>
      </c>
      <c r="AR46" s="11" t="n">
        <f aca="false">$F$25-AR28-AR29-AR30-AR31</f>
        <v>90.6842123207726</v>
      </c>
      <c r="AS46" s="11" t="n">
        <f aca="false">$F$25-AS28-AS29-AS30-AS31</f>
        <v>87.1410061279492</v>
      </c>
      <c r="AT46" s="11" t="n">
        <f aca="false">$F$25-AT28-AT29-AT30-AT31</f>
        <v>83.4566318480498</v>
      </c>
      <c r="AU46" s="11" t="n">
        <f aca="false">$F$25-AU28-AU29-AU30-AU31</f>
        <v>79.7606638755688</v>
      </c>
      <c r="AV46" s="11" t="n">
        <f aca="false">$F$25-AV28-AV29-AV30-AV31</f>
        <v>76.1386946128737</v>
      </c>
      <c r="AW46" s="11" t="n">
        <f aca="false">$F$25-AW28-AW29-AW30-AW31</f>
        <v>35.811709384696</v>
      </c>
      <c r="AX46" s="11" t="n">
        <f aca="false">$F$25-AX28-AX29-AX30-AX31</f>
        <v>2.99285119389964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605</v>
      </c>
      <c r="E47" s="0" t="s">
        <v>149</v>
      </c>
      <c r="G47" s="11" t="n">
        <f aca="false">SUM(J47:BJ47)</f>
        <v>657.739998413269</v>
      </c>
      <c r="J47" s="11" t="n">
        <f aca="false">MIN($F$26*J45/(1-Inputs!$F$94/100*Inputs!$F$75*$F$26),J46)</f>
        <v>90.3560780524911</v>
      </c>
      <c r="K47" s="11" t="n">
        <f aca="false">MIN($F$26*K45/(1-Inputs!$F$94/100*Inputs!$F$75*$F$26),K46)</f>
        <v>1.85728683456412</v>
      </c>
      <c r="L47" s="11" t="n">
        <f aca="false">MIN($F$26*L45/(1-Inputs!$F$94/100*Inputs!$F$75*$F$26),L46)</f>
        <v>2.36627013611409</v>
      </c>
      <c r="M47" s="11" t="n">
        <f aca="false">MIN($F$26*M45/(1-Inputs!$F$94/100*Inputs!$F$75*$F$26),M46)</f>
        <v>3.34165912008958</v>
      </c>
      <c r="N47" s="11" t="n">
        <f aca="false">MIN($F$26*N45/(1-Inputs!$F$94/100*Inputs!$F$75*$F$26),N46)</f>
        <v>4.80941209217243</v>
      </c>
      <c r="O47" s="11" t="n">
        <f aca="false">MIN($F$26*O45/(1-Inputs!$F$94/100*Inputs!$F$75*$F$26),O46)</f>
        <v>6.62478772691356</v>
      </c>
      <c r="P47" s="11" t="n">
        <f aca="false">MIN($F$26*P45/(1-Inputs!$F$94/100*Inputs!$F$75*$F$26),P46)</f>
        <v>8.63835085531311</v>
      </c>
      <c r="Q47" s="11" t="n">
        <f aca="false">MIN($F$26*Q45/(1-Inputs!$F$94/100*Inputs!$F$75*$F$26),Q46)</f>
        <v>10.9650158390143</v>
      </c>
      <c r="R47" s="11" t="n">
        <f aca="false">MIN($F$26*R45/(1-Inputs!$F$94/100*Inputs!$F$75*$F$26),R46)</f>
        <v>13.2816618457771</v>
      </c>
      <c r="S47" s="11" t="n">
        <f aca="false">MIN($F$26*S45/(1-Inputs!$F$94/100*Inputs!$F$75*$F$26),S46)</f>
        <v>15.6417217524206</v>
      </c>
      <c r="T47" s="11" t="n">
        <f aca="false">MIN($F$26*T45/(1-Inputs!$F$94/100*Inputs!$F$75*$F$26),T46)</f>
        <v>17.8492103477859</v>
      </c>
      <c r="U47" s="11" t="n">
        <f aca="false">MIN($F$26*U45/(1-Inputs!$F$94/100*Inputs!$F$75*$F$26),U46)</f>
        <v>19.9668711920341</v>
      </c>
      <c r="V47" s="11" t="n">
        <f aca="false">MIN($F$26*V45/(1-Inputs!$F$94/100*Inputs!$F$75*$F$26),V46)</f>
        <v>21.8281903645547</v>
      </c>
      <c r="W47" s="11" t="n">
        <f aca="false">MIN($F$26*W45/(1-Inputs!$F$94/100*Inputs!$F$75*$F$26),W46)</f>
        <v>23.3755256084121</v>
      </c>
      <c r="X47" s="11" t="n">
        <f aca="false">MIN($F$26*X45/(1-Inputs!$F$94/100*Inputs!$F$75*$F$26),X46)</f>
        <v>24.6574651568566</v>
      </c>
      <c r="Y47" s="11" t="n">
        <f aca="false">MIN($F$26*Y45/(1-Inputs!$F$94/100*Inputs!$F$75*$F$26),Y46)</f>
        <v>25.5101332187314</v>
      </c>
      <c r="Z47" s="11" t="n">
        <f aca="false">MIN($F$26*Z45/(1-Inputs!$F$94/100*Inputs!$F$75*$F$26),Z46)</f>
        <v>26.0451708827683</v>
      </c>
      <c r="AA47" s="11" t="n">
        <f aca="false">MIN($F$26*AA45/(1-Inputs!$F$94/100*Inputs!$F$75*$F$26),AA46)</f>
        <v>27.0169720538069</v>
      </c>
      <c r="AB47" s="11" t="n">
        <f aca="false">MIN($F$26*AB45/(1-Inputs!$F$94/100*Inputs!$F$75*$F$26),AB46)</f>
        <v>25.7700812492444</v>
      </c>
      <c r="AC47" s="11" t="n">
        <f aca="false">MIN($F$26*AC45/(1-Inputs!$F$94/100*Inputs!$F$75*$F$26),AC46)</f>
        <v>25.158881559081</v>
      </c>
      <c r="AD47" s="11" t="n">
        <f aca="false">MIN($F$26*AD45/(1-Inputs!$F$94/100*Inputs!$F$75*$F$26),AD46)</f>
        <v>24.0500129784301</v>
      </c>
      <c r="AE47" s="11" t="n">
        <f aca="false">MIN($F$26*AE45/(1-Inputs!$F$94/100*Inputs!$F$75*$F$26),AE46)</f>
        <v>22.6923128722177</v>
      </c>
      <c r="AF47" s="11" t="n">
        <f aca="false">MIN($F$26*AF45/(1-Inputs!$F$94/100*Inputs!$F$75*$F$26),AF46)</f>
        <v>20.9458080415758</v>
      </c>
      <c r="AG47" s="11" t="n">
        <f aca="false">MIN($F$26*AG45/(1-Inputs!$F$94/100*Inputs!$F$75*$F$26),AG46)</f>
        <v>19.0563035843962</v>
      </c>
      <c r="AH47" s="11" t="n">
        <f aca="false">MIN($F$26*AH45/(1-Inputs!$F$94/100*Inputs!$F$75*$F$26),AH46)</f>
        <v>16.9381041684378</v>
      </c>
      <c r="AI47" s="11" t="n">
        <f aca="false">MIN($F$26*AI45/(1-Inputs!$F$94/100*Inputs!$F$75*$F$26),AI46)</f>
        <v>14.6624764693423</v>
      </c>
      <c r="AJ47" s="11" t="n">
        <f aca="false">MIN($F$26*AJ45/(1-Inputs!$F$94/100*Inputs!$F$75*$F$26),AJ46)</f>
        <v>12.4671646643266</v>
      </c>
      <c r="AK47" s="11" t="n">
        <f aca="false">MIN($F$26*AK45/(1-Inputs!$F$94/100*Inputs!$F$75*$F$26),AK46)</f>
        <v>10.2309847004604</v>
      </c>
      <c r="AL47" s="11" t="n">
        <f aca="false">MIN($F$26*AL45/(1-Inputs!$F$94/100*Inputs!$F$75*$F$26),AL46)</f>
        <v>8.26144538834813</v>
      </c>
      <c r="AM47" s="11" t="n">
        <f aca="false">MIN($F$26*AM45/(1-Inputs!$F$94/100*Inputs!$F$75*$F$26),AM46)</f>
        <v>6.49687406264663</v>
      </c>
      <c r="AN47" s="11" t="n">
        <f aca="false">MIN($F$26*AN45/(1-Inputs!$F$94/100*Inputs!$F$75*$F$26),AN46)</f>
        <v>4.91675556381219</v>
      </c>
      <c r="AO47" s="11" t="n">
        <f aca="false">MIN($F$26*AO45/(1-Inputs!$F$94/100*Inputs!$F$75*$F$26),AO46)</f>
        <v>4.10673748975834</v>
      </c>
      <c r="AP47" s="11" t="n">
        <f aca="false">MIN($F$26*AP45/(1-Inputs!$F$94/100*Inputs!$F$75*$F$26),AP46)</f>
        <v>3.580562225236</v>
      </c>
      <c r="AQ47" s="11" t="n">
        <f aca="false">MIN($F$26*AQ45/(1-Inputs!$F$94/100*Inputs!$F$75*$F$26),AQ46)</f>
        <v>3.58949799536258</v>
      </c>
      <c r="AR47" s="11" t="n">
        <f aca="false">MIN($F$26*AR45/(1-Inputs!$F$94/100*Inputs!$F$75*$F$26),AR46)</f>
        <v>3.54320619282345</v>
      </c>
      <c r="AS47" s="11" t="n">
        <f aca="false">MIN($F$26*AS45/(1-Inputs!$F$94/100*Inputs!$F$75*$F$26),AS46)</f>
        <v>3.68437427989929</v>
      </c>
      <c r="AT47" s="11" t="n">
        <f aca="false">MIN($F$26*AT45/(1-Inputs!$F$94/100*Inputs!$F$75*$F$26),AT46)</f>
        <v>3.695967972481</v>
      </c>
      <c r="AU47" s="11" t="n">
        <f aca="false">MIN($F$26*AU45/(1-Inputs!$F$94/100*Inputs!$F$75*$F$26),AU46)</f>
        <v>3.62196926269513</v>
      </c>
      <c r="AV47" s="11" t="n">
        <f aca="false">MIN($F$26*AV45/(1-Inputs!$F$94/100*Inputs!$F$75*$F$26),AV46)</f>
        <v>40.3269852281777</v>
      </c>
      <c r="AW47" s="11" t="n">
        <f aca="false">MIN($F$26*AW45/(1-Inputs!$F$94/100*Inputs!$F$75*$F$26),AW46)</f>
        <v>32.8188581907963</v>
      </c>
      <c r="AX47" s="11" t="n">
        <f aca="false">MIN($F$26*AX45/(1-Inputs!$F$94/100*Inputs!$F$75*$F$26),AX46)</f>
        <v>2.99285119389964</v>
      </c>
      <c r="AY47" s="11" t="n">
        <f aca="false">MIN($F$26*AY45/(1-Inputs!$F$94/100*Inputs!$F$75*$F$26),AY46)</f>
        <v>0</v>
      </c>
      <c r="AZ47" s="11" t="n">
        <f aca="false">MIN($F$26*AZ45/(1-Inputs!$F$94/100*Inputs!$F$75*$F$26),AZ46)</f>
        <v>0</v>
      </c>
      <c r="BA47" s="11" t="n">
        <f aca="false">MIN($F$26*BA45/(1-Inputs!$F$94/100*Inputs!$F$75*$F$26),BA46)</f>
        <v>0</v>
      </c>
      <c r="BB47" s="11" t="n">
        <f aca="false">MIN($F$26*BB45/(1-Inputs!$F$94/100*Inputs!$F$75*$F$26),BB46)</f>
        <v>0</v>
      </c>
      <c r="BC47" s="11" t="n">
        <f aca="false">MIN($F$26*BC45/(1-Inputs!$F$94/100*Inputs!$F$75*$F$26),BC46)</f>
        <v>0</v>
      </c>
      <c r="BD47" s="11" t="n">
        <f aca="false">MIN($F$26*BD45/(1-Inputs!$F$94/100*Inputs!$F$75*$F$26),BD46)</f>
        <v>0</v>
      </c>
      <c r="BE47" s="11" t="n">
        <f aca="false">MIN($F$26*BE45/(1-Inputs!$F$94/100*Inputs!$F$75*$F$26),BE46)</f>
        <v>0</v>
      </c>
      <c r="BF47" s="11" t="n">
        <f aca="false">MIN($F$26*BF45/(1-Inputs!$F$94/100*Inputs!$F$75*$F$26),BF46)</f>
        <v>0</v>
      </c>
      <c r="BG47" s="11" t="n">
        <f aca="false">MIN($F$26*BG45/(1-Inputs!$F$94/100*Inputs!$F$75*$F$26),BG46)</f>
        <v>0</v>
      </c>
      <c r="BH47" s="11" t="n">
        <f aca="false">MIN($F$26*BH45/(1-Inputs!$F$94/100*Inputs!$F$75*$F$26),BH46)</f>
        <v>0</v>
      </c>
      <c r="BI47" s="11" t="n">
        <f aca="false">MIN($F$26*BI45/(1-Inputs!$F$94/100*Inputs!$F$75*$F$26),BI46)</f>
        <v>0</v>
      </c>
      <c r="BJ47" s="11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606</v>
      </c>
      <c r="E48" s="0" t="s">
        <v>149</v>
      </c>
      <c r="G48" s="11" t="n">
        <f aca="false">SUM(J48:BJ48)</f>
        <v>21.4094369483519</v>
      </c>
      <c r="J48" s="11" t="n">
        <f aca="false">Inputs!$F$94/100*Inputs!$F$75*J47</f>
        <v>2.94109034060858</v>
      </c>
      <c r="K48" s="11" t="n">
        <f aca="false">Inputs!$F$94/100*Inputs!$F$75*K47</f>
        <v>0.0604546864650621</v>
      </c>
      <c r="L48" s="11" t="n">
        <f aca="false">Inputs!$F$94/100*Inputs!$F$75*L47</f>
        <v>0.0770220929305135</v>
      </c>
      <c r="M48" s="11" t="n">
        <f aca="false">Inputs!$F$94/100*Inputs!$F$75*M47</f>
        <v>0.108771004358916</v>
      </c>
      <c r="N48" s="11" t="n">
        <f aca="false">Inputs!$F$94/100*Inputs!$F$75*N47</f>
        <v>0.156546363600212</v>
      </c>
      <c r="O48" s="11" t="n">
        <f aca="false">Inputs!$F$94/100*Inputs!$F$75*O47</f>
        <v>0.215636840511036</v>
      </c>
      <c r="P48" s="11" t="n">
        <f aca="false">Inputs!$F$94/100*Inputs!$F$75*P47</f>
        <v>0.281178320340442</v>
      </c>
      <c r="Q48" s="11" t="n">
        <f aca="false">Inputs!$F$94/100*Inputs!$F$75*Q47</f>
        <v>0.356911265559914</v>
      </c>
      <c r="R48" s="11" t="n">
        <f aca="false">Inputs!$F$94/100*Inputs!$F$75*R47</f>
        <v>0.432318093080044</v>
      </c>
      <c r="S48" s="11" t="n">
        <f aca="false">Inputs!$F$94/100*Inputs!$F$75*S47</f>
        <v>0.50913804304129</v>
      </c>
      <c r="T48" s="11" t="n">
        <f aca="false">Inputs!$F$94/100*Inputs!$F$75*T47</f>
        <v>0.580991796820431</v>
      </c>
      <c r="U48" s="11" t="n">
        <f aca="false">Inputs!$F$94/100*Inputs!$F$75*U47</f>
        <v>0.649921657300708</v>
      </c>
      <c r="V48" s="11" t="n">
        <f aca="false">Inputs!$F$94/100*Inputs!$F$75*V47</f>
        <v>0.710507596366256</v>
      </c>
      <c r="W48" s="11" t="n">
        <f aca="false">Inputs!$F$94/100*Inputs!$F$75*W47</f>
        <v>0.760873358553814</v>
      </c>
      <c r="X48" s="11" t="n">
        <f aca="false">Inputs!$F$94/100*Inputs!$F$75*X47</f>
        <v>0.802600490855682</v>
      </c>
      <c r="Y48" s="11" t="n">
        <f aca="false">Inputs!$F$94/100*Inputs!$F$75*Y47</f>
        <v>0.830354836269707</v>
      </c>
      <c r="Z48" s="11" t="n">
        <f aca="false">Inputs!$F$94/100*Inputs!$F$75*Z47</f>
        <v>0.847770312234107</v>
      </c>
      <c r="AA48" s="11" t="n">
        <f aca="false">Inputs!$F$94/100*Inputs!$F$75*AA47</f>
        <v>0.879402440351415</v>
      </c>
      <c r="AB48" s="11" t="n">
        <f aca="false">Inputs!$F$94/100*Inputs!$F$75*AB47</f>
        <v>0.838816144662904</v>
      </c>
      <c r="AC48" s="11" t="n">
        <f aca="false">Inputs!$F$94/100*Inputs!$F$75*AC47</f>
        <v>0.818921594748087</v>
      </c>
      <c r="AD48" s="11" t="n">
        <f aca="false">Inputs!$F$94/100*Inputs!$F$75*AD47</f>
        <v>0.782827922447899</v>
      </c>
      <c r="AE48" s="11" t="n">
        <f aca="false">Inputs!$F$94/100*Inputs!$F$75*AE47</f>
        <v>0.738634783990687</v>
      </c>
      <c r="AF48" s="11" t="n">
        <f aca="false">Inputs!$F$94/100*Inputs!$F$75*AF47</f>
        <v>0.681786051753291</v>
      </c>
      <c r="AG48" s="11" t="n">
        <f aca="false">Inputs!$F$94/100*Inputs!$F$75*AG47</f>
        <v>0.620282681672096</v>
      </c>
      <c r="AH48" s="11" t="n">
        <f aca="false">Inputs!$F$94/100*Inputs!$F$75*AH47</f>
        <v>0.55133529068265</v>
      </c>
      <c r="AI48" s="11" t="n">
        <f aca="false">Inputs!$F$94/100*Inputs!$F$75*AI47</f>
        <v>0.477263609077093</v>
      </c>
      <c r="AJ48" s="11" t="n">
        <f aca="false">Inputs!$F$94/100*Inputs!$F$75*AJ47</f>
        <v>0.405806209823832</v>
      </c>
      <c r="AK48" s="11" t="n">
        <f aca="false">Inputs!$F$94/100*Inputs!$F$75*AK47</f>
        <v>0.333018551999986</v>
      </c>
      <c r="AL48" s="11" t="n">
        <f aca="false">Inputs!$F$94/100*Inputs!$F$75*AL47</f>
        <v>0.268910047390732</v>
      </c>
      <c r="AM48" s="11" t="n">
        <f aca="false">Inputs!$F$94/100*Inputs!$F$75*AM47</f>
        <v>0.211473250739148</v>
      </c>
      <c r="AN48" s="11" t="n">
        <f aca="false">Inputs!$F$94/100*Inputs!$F$75*AN47</f>
        <v>0.160040393602087</v>
      </c>
      <c r="AO48" s="11" t="n">
        <f aca="false">Inputs!$F$94/100*Inputs!$F$75*AO47</f>
        <v>0.133674305291634</v>
      </c>
      <c r="AP48" s="11" t="n">
        <f aca="false">Inputs!$F$94/100*Inputs!$F$75*AP47</f>
        <v>0.116547300431432</v>
      </c>
      <c r="AQ48" s="11" t="n">
        <f aca="false">Inputs!$F$94/100*Inputs!$F$75*AQ47</f>
        <v>0.116838159749052</v>
      </c>
      <c r="AR48" s="11" t="n">
        <f aca="false">Inputs!$F$94/100*Inputs!$F$75*AR47</f>
        <v>0.115331361576403</v>
      </c>
      <c r="AS48" s="11" t="n">
        <f aca="false">Inputs!$F$94/100*Inputs!$F$75*AS47</f>
        <v>0.119926382810722</v>
      </c>
      <c r="AT48" s="11" t="n">
        <f aca="false">Inputs!$F$94/100*Inputs!$F$75*AT47</f>
        <v>0.120303757504257</v>
      </c>
      <c r="AU48" s="11" t="n">
        <f aca="false">Inputs!$F$94/100*Inputs!$F$75*AU47</f>
        <v>0.117895099500726</v>
      </c>
      <c r="AV48" s="11" t="n">
        <f aca="false">Inputs!$F$94/100*Inputs!$F$75*AV47</f>
        <v>1.31264336917719</v>
      </c>
      <c r="AW48" s="11" t="n">
        <f aca="false">Inputs!$F$94/100*Inputs!$F$75*AW47</f>
        <v>1.06825383411042</v>
      </c>
      <c r="AX48" s="11" t="n">
        <f aca="false">Inputs!$F$94/100*Inputs!$F$75*AX47</f>
        <v>0.0974173063614333</v>
      </c>
      <c r="AY48" s="11" t="n">
        <f aca="false">Inputs!$F$94/100*Inputs!$F$75*AY47</f>
        <v>0</v>
      </c>
      <c r="AZ48" s="11" t="n">
        <f aca="false">Inputs!$F$94/100*Inputs!$F$75*AZ47</f>
        <v>0</v>
      </c>
      <c r="BA48" s="11" t="n">
        <f aca="false">Inputs!$F$94/100*Inputs!$F$75*BA47</f>
        <v>0</v>
      </c>
      <c r="BB48" s="11" t="n">
        <f aca="false">Inputs!$F$94/100*Inputs!$F$75*BB47</f>
        <v>0</v>
      </c>
      <c r="BC48" s="11" t="n">
        <f aca="false">Inputs!$F$94/100*Inputs!$F$75*BC47</f>
        <v>0</v>
      </c>
      <c r="BD48" s="11" t="n">
        <f aca="false">Inputs!$F$94/100*Inputs!$F$75*BD47</f>
        <v>0</v>
      </c>
      <c r="BE48" s="11" t="n">
        <f aca="false">Inputs!$F$94/100*Inputs!$F$75*BE47</f>
        <v>0</v>
      </c>
      <c r="BF48" s="11" t="n">
        <f aca="false">Inputs!$F$94/100*Inputs!$F$75*BF47</f>
        <v>0</v>
      </c>
      <c r="BG48" s="11" t="n">
        <f aca="false">Inputs!$F$94/100*Inputs!$F$75*BG47</f>
        <v>0</v>
      </c>
      <c r="BH48" s="11" t="n">
        <f aca="false">Inputs!$F$94/100*Inputs!$F$75*BH47</f>
        <v>0</v>
      </c>
      <c r="BI48" s="11" t="n">
        <f aca="false">Inputs!$F$94/100*Inputs!$F$75*BI47</f>
        <v>0</v>
      </c>
      <c r="BJ48" s="11" t="n">
        <f aca="false">Inputs!$F$94/100*Inputs!$F$75*BJ47</f>
        <v>0</v>
      </c>
    </row>
    <row r="49" customFormat="false" ht="15" hidden="false" customHeight="false" outlineLevel="0" collapsed="false">
      <c r="D49" s="0" t="s">
        <v>607</v>
      </c>
      <c r="E49" s="0" t="s">
        <v>149</v>
      </c>
      <c r="G49" s="11" t="n">
        <f aca="false">SUM(J49:BJ49)</f>
        <v>888.150681571343</v>
      </c>
      <c r="J49" s="11" t="n">
        <f aca="false">J45+J48</f>
        <v>122.008411378399</v>
      </c>
      <c r="K49" s="11" t="n">
        <f aca="false">K45+K48</f>
        <v>2.50790672905856</v>
      </c>
      <c r="L49" s="11" t="n">
        <f aca="false">L45+L48</f>
        <v>3.19519025639546</v>
      </c>
      <c r="M49" s="11" t="n">
        <f aca="false">M45+M48</f>
        <v>4.5122644696178</v>
      </c>
      <c r="N49" s="11" t="n">
        <f aca="false">N45+N48</f>
        <v>6.49418104102673</v>
      </c>
      <c r="O49" s="11" t="n">
        <f aca="false">O45+O48</f>
        <v>8.94549479903585</v>
      </c>
      <c r="P49" s="11" t="n">
        <f aca="false">P45+P48</f>
        <v>11.6644224439855</v>
      </c>
      <c r="Q49" s="11" t="n">
        <f aca="false">Q45+Q48</f>
        <v>14.8061336004416</v>
      </c>
      <c r="R49" s="11" t="n">
        <f aca="false">R45+R48</f>
        <v>17.9343160658983</v>
      </c>
      <c r="S49" s="11" t="n">
        <f aca="false">S45+S48</f>
        <v>21.1211206082574</v>
      </c>
      <c r="T49" s="11" t="n">
        <f aca="false">T45+T48</f>
        <v>24.1019070972414</v>
      </c>
      <c r="U49" s="11" t="n">
        <f aca="false">U45+U48</f>
        <v>26.9613985782114</v>
      </c>
      <c r="V49" s="11" t="n">
        <f aca="false">V45+V48</f>
        <v>29.4747501999526</v>
      </c>
      <c r="W49" s="11" t="n">
        <f aca="false">W45+W48</f>
        <v>31.5641272406777</v>
      </c>
      <c r="X49" s="11" t="n">
        <f aca="false">X45+X48</f>
        <v>33.2951387139512</v>
      </c>
      <c r="Y49" s="11" t="n">
        <f aca="false">Y45+Y48</f>
        <v>34.4465020522538</v>
      </c>
      <c r="Z49" s="11" t="n">
        <f aca="false">Z45+Z48</f>
        <v>35.1689669580327</v>
      </c>
      <c r="AA49" s="11" t="n">
        <f aca="false">AA45+AA48</f>
        <v>36.4811965236543</v>
      </c>
      <c r="AB49" s="11" t="n">
        <f aca="false">AB45+AB48</f>
        <v>34.7975116016657</v>
      </c>
      <c r="AC49" s="11" t="n">
        <f aca="false">AC45+AC48</f>
        <v>33.97220460695</v>
      </c>
      <c r="AD49" s="11" t="n">
        <f aca="false">AD45+AD48</f>
        <v>32.4748920091848</v>
      </c>
      <c r="AE49" s="11" t="n">
        <f aca="false">AE45+AE48</f>
        <v>30.6415805523616</v>
      </c>
      <c r="AF49" s="11" t="n">
        <f aca="false">AF45+AF48</f>
        <v>28.283263497835</v>
      </c>
      <c r="AG49" s="11" t="n">
        <f aca="false">AG45+AG48</f>
        <v>25.7318530993119</v>
      </c>
      <c r="AH49" s="11" t="n">
        <f aca="false">AH45+AH48</f>
        <v>22.8716343813902</v>
      </c>
      <c r="AI49" s="11" t="n">
        <f aca="false">AI45+AI48</f>
        <v>19.798839208784</v>
      </c>
      <c r="AJ49" s="11" t="n">
        <f aca="false">AJ45+AJ48</f>
        <v>16.8344951205578</v>
      </c>
      <c r="AK49" s="11" t="n">
        <f aca="false">AK45+AK48</f>
        <v>13.814966486424</v>
      </c>
      <c r="AL49" s="11" t="n">
        <f aca="false">AL45+AL48</f>
        <v>11.155484492545</v>
      </c>
      <c r="AM49" s="11" t="n">
        <f aca="false">AM45+AM48</f>
        <v>8.77277212993404</v>
      </c>
      <c r="AN49" s="11" t="n">
        <f aca="false">AN45+AN48</f>
        <v>6.63912764261562</v>
      </c>
      <c r="AO49" s="11" t="n">
        <f aca="false">AO45+AO48</f>
        <v>5.54535486569533</v>
      </c>
      <c r="AP49" s="11" t="n">
        <f aca="false">AP45+AP48</f>
        <v>4.83485691675066</v>
      </c>
      <c r="AQ49" s="11" t="n">
        <f aca="false">AQ45+AQ48</f>
        <v>4.84692294640893</v>
      </c>
      <c r="AR49" s="11" t="n">
        <f aca="false">AR45+AR48</f>
        <v>4.78441481846251</v>
      </c>
      <c r="AS49" s="11" t="n">
        <f aca="false">AS45+AS48</f>
        <v>4.9750350225781</v>
      </c>
      <c r="AT49" s="11" t="n">
        <f aca="false">AT45+AT48</f>
        <v>4.99069006255319</v>
      </c>
      <c r="AU49" s="11" t="n">
        <f aca="false">AU45+AU48</f>
        <v>4.89076911401689</v>
      </c>
      <c r="AV49" s="11" t="n">
        <f aca="false">AV45+AV48</f>
        <v>54.4537955765608</v>
      </c>
      <c r="AW49" s="11" t="n">
        <f aca="false">AW45+AW48</f>
        <v>44.3155218488549</v>
      </c>
      <c r="AX49" s="11" t="n">
        <f aca="false">AX45+AX48</f>
        <v>4.04126681381116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608</v>
      </c>
      <c r="E50" s="0" t="s">
        <v>149</v>
      </c>
      <c r="G50" s="11" t="n">
        <f aca="false">SUM(J50:BJ50)</f>
        <v>888.150681571343</v>
      </c>
      <c r="J50" s="11" t="n">
        <f aca="false">J47/$F$26</f>
        <v>122.008411378399</v>
      </c>
      <c r="K50" s="11" t="n">
        <f aca="false">K47/$F$26</f>
        <v>2.50790672905856</v>
      </c>
      <c r="L50" s="11" t="n">
        <f aca="false">L47/$F$26</f>
        <v>3.19519025639546</v>
      </c>
      <c r="M50" s="11" t="n">
        <f aca="false">M47/$F$26</f>
        <v>4.5122644696178</v>
      </c>
      <c r="N50" s="11" t="n">
        <f aca="false">N47/$F$26</f>
        <v>6.49418104102673</v>
      </c>
      <c r="O50" s="11" t="n">
        <f aca="false">O47/$F$26</f>
        <v>8.94549479903585</v>
      </c>
      <c r="P50" s="11" t="n">
        <f aca="false">P47/$F$26</f>
        <v>11.6644224439855</v>
      </c>
      <c r="Q50" s="11" t="n">
        <f aca="false">Q47/$F$26</f>
        <v>14.8061336004416</v>
      </c>
      <c r="R50" s="11" t="n">
        <f aca="false">R47/$F$26</f>
        <v>17.9343160658983</v>
      </c>
      <c r="S50" s="11" t="n">
        <f aca="false">S47/$F$26</f>
        <v>21.1211206082574</v>
      </c>
      <c r="T50" s="11" t="n">
        <f aca="false">T47/$F$26</f>
        <v>24.1019070972414</v>
      </c>
      <c r="U50" s="11" t="n">
        <f aca="false">U47/$F$26</f>
        <v>26.9613985782114</v>
      </c>
      <c r="V50" s="11" t="n">
        <f aca="false">V47/$F$26</f>
        <v>29.4747501999526</v>
      </c>
      <c r="W50" s="11" t="n">
        <f aca="false">W47/$F$26</f>
        <v>31.5641272406777</v>
      </c>
      <c r="X50" s="11" t="n">
        <f aca="false">X47/$F$26</f>
        <v>33.2951387139512</v>
      </c>
      <c r="Y50" s="11" t="n">
        <f aca="false">Y47/$F$26</f>
        <v>34.4465020522538</v>
      </c>
      <c r="Z50" s="11" t="n">
        <f aca="false">Z47/$F$26</f>
        <v>35.1689669580327</v>
      </c>
      <c r="AA50" s="11" t="n">
        <f aca="false">AA47/$F$26</f>
        <v>36.4811965236543</v>
      </c>
      <c r="AB50" s="11" t="n">
        <f aca="false">AB47/$F$26</f>
        <v>34.7975116016657</v>
      </c>
      <c r="AC50" s="11" t="n">
        <f aca="false">AC47/$F$26</f>
        <v>33.97220460695</v>
      </c>
      <c r="AD50" s="11" t="n">
        <f aca="false">AD47/$F$26</f>
        <v>32.4748920091848</v>
      </c>
      <c r="AE50" s="11" t="n">
        <f aca="false">AE47/$F$26</f>
        <v>30.6415805523616</v>
      </c>
      <c r="AF50" s="11" t="n">
        <f aca="false">AF47/$F$26</f>
        <v>28.283263497835</v>
      </c>
      <c r="AG50" s="11" t="n">
        <f aca="false">AG47/$F$26</f>
        <v>25.7318530993119</v>
      </c>
      <c r="AH50" s="11" t="n">
        <f aca="false">AH47/$F$26</f>
        <v>22.8716343813902</v>
      </c>
      <c r="AI50" s="11" t="n">
        <f aca="false">AI47/$F$26</f>
        <v>19.798839208784</v>
      </c>
      <c r="AJ50" s="11" t="n">
        <f aca="false">AJ47/$F$26</f>
        <v>16.8344951205578</v>
      </c>
      <c r="AK50" s="11" t="n">
        <f aca="false">AK47/$F$26</f>
        <v>13.814966486424</v>
      </c>
      <c r="AL50" s="11" t="n">
        <f aca="false">AL47/$F$26</f>
        <v>11.155484492545</v>
      </c>
      <c r="AM50" s="11" t="n">
        <f aca="false">AM47/$F$26</f>
        <v>8.77277212993404</v>
      </c>
      <c r="AN50" s="11" t="n">
        <f aca="false">AN47/$F$26</f>
        <v>6.63912764261562</v>
      </c>
      <c r="AO50" s="11" t="n">
        <f aca="false">AO47/$F$26</f>
        <v>5.54535486569533</v>
      </c>
      <c r="AP50" s="11" t="n">
        <f aca="false">AP47/$F$26</f>
        <v>4.83485691675066</v>
      </c>
      <c r="AQ50" s="11" t="n">
        <f aca="false">AQ47/$F$26</f>
        <v>4.84692294640893</v>
      </c>
      <c r="AR50" s="11" t="n">
        <f aca="false">AR47/$F$26</f>
        <v>4.78441481846251</v>
      </c>
      <c r="AS50" s="11" t="n">
        <f aca="false">AS47/$F$26</f>
        <v>4.9750350225781</v>
      </c>
      <c r="AT50" s="11" t="n">
        <f aca="false">AT47/$F$26</f>
        <v>4.99069006255319</v>
      </c>
      <c r="AU50" s="11" t="n">
        <f aca="false">AU47/$F$26</f>
        <v>4.89076911401689</v>
      </c>
      <c r="AV50" s="11" t="n">
        <f aca="false">AV47/$F$26</f>
        <v>54.4537955765608</v>
      </c>
      <c r="AW50" s="11" t="n">
        <f aca="false">AW47/$F$26</f>
        <v>44.3155218488549</v>
      </c>
      <c r="AX50" s="11" t="n">
        <f aca="false">AX47/$F$26</f>
        <v>4.04126681381089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609</v>
      </c>
      <c r="E51" s="0" t="s">
        <v>149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0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2.66453525910038E-013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610</v>
      </c>
      <c r="E52" s="0" t="s">
        <v>149</v>
      </c>
      <c r="G52" s="11" t="n">
        <f aca="false">SUM(J52:BJ52)</f>
        <v>0</v>
      </c>
      <c r="J52" s="11" t="n">
        <f aca="false">IF(AND(Inputs!$F$34=2,Construction!J8=40),Inputs!$F$189+Inputs!$F$190,0)</f>
        <v>0</v>
      </c>
      <c r="K52" s="11" t="n">
        <f aca="false">IF(AND(Inputs!$F$34=2,Construction!K8=40),Inputs!$F$189+Inputs!$F$190,0)</f>
        <v>0</v>
      </c>
      <c r="L52" s="11" t="n">
        <f aca="false">IF(AND(Inputs!$F$34=2,Construction!L8=40),Inputs!$F$189+Inputs!$F$190,0)</f>
        <v>0</v>
      </c>
      <c r="M52" s="11" t="n">
        <f aca="false">IF(AND(Inputs!$F$34=2,Construction!M8=40),Inputs!$F$189+Inputs!$F$190,0)</f>
        <v>0</v>
      </c>
      <c r="N52" s="11" t="n">
        <f aca="false">IF(AND(Inputs!$F$34=2,Construction!N8=40),Inputs!$F$189+Inputs!$F$190,0)</f>
        <v>0</v>
      </c>
      <c r="O52" s="11" t="n">
        <f aca="false">IF(AND(Inputs!$F$34=2,Construction!O8=40),Inputs!$F$189+Inputs!$F$190,0)</f>
        <v>0</v>
      </c>
      <c r="P52" s="11" t="n">
        <f aca="false">IF(AND(Inputs!$F$34=2,Construction!P8=40),Inputs!$F$189+Inputs!$F$190,0)</f>
        <v>0</v>
      </c>
      <c r="Q52" s="11" t="n">
        <f aca="false">IF(AND(Inputs!$F$34=2,Construction!Q8=40),Inputs!$F$189+Inputs!$F$190,0)</f>
        <v>0</v>
      </c>
      <c r="R52" s="11" t="n">
        <f aca="false">IF(AND(Inputs!$F$34=2,Construction!R8=40),Inputs!$F$189+Inputs!$F$190,0)</f>
        <v>0</v>
      </c>
      <c r="S52" s="11" t="n">
        <f aca="false">IF(AND(Inputs!$F$34=2,Construction!S8=40),Inputs!$F$189+Inputs!$F$190,0)</f>
        <v>0</v>
      </c>
      <c r="T52" s="11" t="n">
        <f aca="false">IF(AND(Inputs!$F$34=2,Construction!T8=40),Inputs!$F$189+Inputs!$F$190,0)</f>
        <v>0</v>
      </c>
      <c r="U52" s="11" t="n">
        <f aca="false">IF(AND(Inputs!$F$34=2,Construction!U8=40),Inputs!$F$189+Inputs!$F$190,0)</f>
        <v>0</v>
      </c>
      <c r="V52" s="11" t="n">
        <f aca="false">IF(AND(Inputs!$F$34=2,Construction!V8=40),Inputs!$F$189+Inputs!$F$190,0)</f>
        <v>0</v>
      </c>
      <c r="W52" s="11" t="n">
        <f aca="false">IF(AND(Inputs!$F$34=2,Construction!W8=40),Inputs!$F$189+Inputs!$F$190,0)</f>
        <v>0</v>
      </c>
      <c r="X52" s="11" t="n">
        <f aca="false">IF(AND(Inputs!$F$34=2,Construction!X8=40),Inputs!$F$189+Inputs!$F$190,0)</f>
        <v>0</v>
      </c>
      <c r="Y52" s="11" t="n">
        <f aca="false">IF(AND(Inputs!$F$34=2,Construction!Y8=40),Inputs!$F$189+Inputs!$F$190,0)</f>
        <v>0</v>
      </c>
      <c r="Z52" s="11" t="n">
        <f aca="false">IF(AND(Inputs!$F$34=2,Construction!Z8=40),Inputs!$F$189+Inputs!$F$190,0)</f>
        <v>0</v>
      </c>
      <c r="AA52" s="11" t="n">
        <f aca="false">IF(AND(Inputs!$F$34=2,Construction!AA8=40),Inputs!$F$189+Inputs!$F$190,0)</f>
        <v>0</v>
      </c>
      <c r="AB52" s="11" t="n">
        <f aca="false">IF(AND(Inputs!$F$34=2,Construction!AB8=40),Inputs!$F$189+Inputs!$F$190,0)</f>
        <v>0</v>
      </c>
      <c r="AC52" s="11" t="n">
        <f aca="false">IF(AND(Inputs!$F$34=2,Construction!AC8=40),Inputs!$F$189+Inputs!$F$190,0)</f>
        <v>0</v>
      </c>
      <c r="AD52" s="11" t="n">
        <f aca="false">IF(AND(Inputs!$F$34=2,Construction!AD8=40),Inputs!$F$189+Inputs!$F$190,0)</f>
        <v>0</v>
      </c>
      <c r="AE52" s="11" t="n">
        <f aca="false">IF(AND(Inputs!$F$34=2,Construction!AE8=40),Inputs!$F$189+Inputs!$F$190,0)</f>
        <v>0</v>
      </c>
      <c r="AF52" s="11" t="n">
        <f aca="false">IF(AND(Inputs!$F$34=2,Construction!AF8=40),Inputs!$F$189+Inputs!$F$190,0)</f>
        <v>0</v>
      </c>
      <c r="AG52" s="11" t="n">
        <f aca="false">IF(AND(Inputs!$F$34=2,Construction!AG8=40),Inputs!$F$189+Inputs!$F$190,0)</f>
        <v>0</v>
      </c>
      <c r="AH52" s="11" t="n">
        <f aca="false">IF(AND(Inputs!$F$34=2,Construction!AH8=40),Inputs!$F$189+Inputs!$F$190,0)</f>
        <v>0</v>
      </c>
      <c r="AI52" s="11" t="n">
        <f aca="false">IF(AND(Inputs!$F$34=2,Construction!AI8=40),Inputs!$F$189+Inputs!$F$190,0)</f>
        <v>0</v>
      </c>
      <c r="AJ52" s="11" t="n">
        <f aca="false">IF(AND(Inputs!$F$34=2,Construction!AJ8=40),Inputs!$F$189+Inputs!$F$190,0)</f>
        <v>0</v>
      </c>
      <c r="AK52" s="11" t="n">
        <f aca="false">IF(AND(Inputs!$F$34=2,Construction!AK8=40),Inputs!$F$189+Inputs!$F$190,0)</f>
        <v>0</v>
      </c>
      <c r="AL52" s="11" t="n">
        <f aca="false">IF(AND(Inputs!$F$34=2,Construction!AL8=40),Inputs!$F$189+Inputs!$F$190,0)</f>
        <v>0</v>
      </c>
      <c r="AM52" s="11" t="n">
        <f aca="false">IF(AND(Inputs!$F$34=2,Construction!AM8=40),Inputs!$F$189+Inputs!$F$190,0)</f>
        <v>0</v>
      </c>
      <c r="AN52" s="11" t="n">
        <f aca="false">IF(AND(Inputs!$F$34=2,Construction!AN8=40),Inputs!$F$189+Inputs!$F$190,0)</f>
        <v>0</v>
      </c>
      <c r="AO52" s="11" t="n">
        <f aca="false">IF(AND(Inputs!$F$34=2,Construction!AO8=40),Inputs!$F$189+Inputs!$F$190,0)</f>
        <v>0</v>
      </c>
      <c r="AP52" s="11" t="n">
        <f aca="false">IF(AND(Inputs!$F$34=2,Construction!AP8=40),Inputs!$F$189+Inputs!$F$190,0)</f>
        <v>0</v>
      </c>
      <c r="AQ52" s="11" t="n">
        <f aca="false">IF(AND(Inputs!$F$34=2,Construction!AQ8=40),Inputs!$F$189+Inputs!$F$190,0)</f>
        <v>0</v>
      </c>
      <c r="AR52" s="11" t="n">
        <f aca="false">IF(AND(Inputs!$F$34=2,Construction!AR8=40),Inputs!$F$189+Inputs!$F$190,0)</f>
        <v>0</v>
      </c>
      <c r="AS52" s="11" t="n">
        <f aca="false">IF(AND(Inputs!$F$34=2,Construction!AS8=40),Inputs!$F$189+Inputs!$F$190,0)</f>
        <v>0</v>
      </c>
      <c r="AT52" s="11" t="n">
        <f aca="false">IF(AND(Inputs!$F$34=2,Construction!AT8=40),Inputs!$F$189+Inputs!$F$190,0)</f>
        <v>0</v>
      </c>
      <c r="AU52" s="11" t="n">
        <f aca="false">IF(AND(Inputs!$F$34=2,Construction!AU8=40),Inputs!$F$189+Inputs!$F$190,0)</f>
        <v>0</v>
      </c>
      <c r="AV52" s="11" t="n">
        <f aca="false">IF(AND(Inputs!$F$34=2,Construction!AV8=40),Inputs!$F$189+Inputs!$F$190,0)</f>
        <v>0</v>
      </c>
      <c r="AW52" s="11" t="n">
        <f aca="false">IF(AND(Inputs!$F$34=2,Construction!AW8=40),Inputs!$F$189+Inputs!$F$190,0)</f>
        <v>0</v>
      </c>
      <c r="AX52" s="11" t="n">
        <f aca="false">IF(AND(Inputs!$F$34=2,Construction!AX8=40),Inputs!$F$189+Inputs!$F$190,0)</f>
        <v>0</v>
      </c>
      <c r="AY52" s="11" t="n">
        <f aca="false">IF(AND(Inputs!$F$34=2,Construction!AY8=40),Inputs!$F$189+Inputs!$F$190,0)</f>
        <v>0</v>
      </c>
      <c r="AZ52" s="11" t="n">
        <f aca="false">IF(AND(Inputs!$F$34=2,Construction!AZ8=40),Inputs!$F$189+Inputs!$F$190,0)</f>
        <v>0</v>
      </c>
      <c r="BA52" s="11" t="n">
        <f aca="false">IF(AND(Inputs!$F$34=2,Construction!BA8=40),Inputs!$F$189+Inputs!$F$190,0)</f>
        <v>0</v>
      </c>
      <c r="BB52" s="11" t="n">
        <f aca="false">IF(AND(Inputs!$F$34=2,Construction!BB8=40),Inputs!$F$189+Inputs!$F$190,0)</f>
        <v>0</v>
      </c>
      <c r="BC52" s="11" t="n">
        <f aca="false">IF(AND(Inputs!$F$34=2,Construction!BC8=40),Inputs!$F$189+Inputs!$F$190,0)</f>
        <v>0</v>
      </c>
      <c r="BD52" s="11" t="n">
        <f aca="false">IF(AND(Inputs!$F$34=2,Construction!BD8=40),Inputs!$F$189+Inputs!$F$190,0)</f>
        <v>0</v>
      </c>
      <c r="BE52" s="11" t="n">
        <f aca="false">IF(AND(Inputs!$F$34=2,Construction!BE8=40),Inputs!$F$189+Inputs!$F$190,0)</f>
        <v>0</v>
      </c>
      <c r="BF52" s="11" t="n">
        <f aca="false">IF(AND(Inputs!$F$34=2,Construction!BF8=40),Inputs!$F$189+Inputs!$F$190,0)</f>
        <v>0</v>
      </c>
      <c r="BG52" s="11" t="n">
        <f aca="false">IF(AND(Inputs!$F$34=2,Construction!BG8=40),Inputs!$F$189+Inputs!$F$190,0)</f>
        <v>0</v>
      </c>
      <c r="BH52" s="11" t="n">
        <f aca="false">IF(AND(Inputs!$F$34=2,Construction!BH8=40),Inputs!$F$189+Inputs!$F$190,0)</f>
        <v>0</v>
      </c>
      <c r="BI52" s="11" t="n">
        <f aca="false">IF(AND(Inputs!$F$34=2,Construction!BI8=40),Inputs!$F$189+Inputs!$F$190,0)</f>
        <v>0</v>
      </c>
      <c r="BJ52" s="11" t="n">
        <f aca="false">IF(AND(Inputs!$F$34=2,Construction!BJ8=40),Inputs!$F$189+Inputs!$F$190,0)</f>
        <v>0</v>
      </c>
    </row>
    <row r="53" customFormat="false" ht="15" hidden="false" customHeight="false" outlineLevel="0" collapsed="false">
      <c r="D53" s="0" t="s">
        <v>611</v>
      </c>
      <c r="E53" s="0" t="s">
        <v>149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612</v>
      </c>
      <c r="E54" s="0" t="s">
        <v>149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613</v>
      </c>
      <c r="E55" s="0" t="s">
        <v>149</v>
      </c>
      <c r="G55" s="11" t="n">
        <f aca="false">SUM(J55:BJ55)</f>
        <v>1.99840144432528E-013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0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1.99840144432528E-013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614</v>
      </c>
      <c r="E56" s="0" t="s">
        <v>149</v>
      </c>
      <c r="G56" s="11" t="n">
        <f aca="false">SUM(J56:BJ56)</f>
        <v>6.66133814775094E-014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0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6.66133814775094E-014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615</v>
      </c>
      <c r="E57" s="0" t="s">
        <v>149</v>
      </c>
      <c r="G57" s="11" t="n">
        <f aca="false">SUM(J57:BJ57)</f>
        <v>197.321999523981</v>
      </c>
      <c r="J57" s="11" t="n">
        <f aca="false">Inputs!$F$75*J47</f>
        <v>27.1068234157473</v>
      </c>
      <c r="K57" s="11" t="n">
        <f aca="false">Inputs!$F$75*K47</f>
        <v>0.557186050369236</v>
      </c>
      <c r="L57" s="11" t="n">
        <f aca="false">Inputs!$F$75*L47</f>
        <v>0.709881040834226</v>
      </c>
      <c r="M57" s="11" t="n">
        <f aca="false">Inputs!$F$75*M47</f>
        <v>1.00249773602688</v>
      </c>
      <c r="N57" s="11" t="n">
        <f aca="false">Inputs!$F$75*N47</f>
        <v>1.44282362765173</v>
      </c>
      <c r="O57" s="11" t="n">
        <f aca="false">Inputs!$F$75*O47</f>
        <v>1.98743631807407</v>
      </c>
      <c r="P57" s="11" t="n">
        <f aca="false">Inputs!$F$75*P47</f>
        <v>2.59150525659393</v>
      </c>
      <c r="Q57" s="11" t="n">
        <f aca="false">Inputs!$F$75*Q47</f>
        <v>3.28950475170428</v>
      </c>
      <c r="R57" s="11" t="n">
        <f aca="false">Inputs!$F$75*R47</f>
        <v>3.98449855373312</v>
      </c>
      <c r="S57" s="11" t="n">
        <f aca="false">Inputs!$F$75*S47</f>
        <v>4.69251652572618</v>
      </c>
      <c r="T57" s="11" t="n">
        <f aca="false">Inputs!$F$75*T47</f>
        <v>5.35476310433577</v>
      </c>
      <c r="U57" s="11" t="n">
        <f aca="false">Inputs!$F$75*U47</f>
        <v>5.99006135761022</v>
      </c>
      <c r="V57" s="11" t="n">
        <f aca="false">Inputs!$F$75*V47</f>
        <v>6.54845710936642</v>
      </c>
      <c r="W57" s="11" t="n">
        <f aca="false">Inputs!$F$75*W47</f>
        <v>7.01265768252363</v>
      </c>
      <c r="X57" s="11" t="n">
        <f aca="false">Inputs!$F$75*X47</f>
        <v>7.39723954705698</v>
      </c>
      <c r="Y57" s="11" t="n">
        <f aca="false">Inputs!$F$75*Y47</f>
        <v>7.65303996561942</v>
      </c>
      <c r="Z57" s="11" t="n">
        <f aca="false">Inputs!$F$75*Z47</f>
        <v>7.81355126483048</v>
      </c>
      <c r="AA57" s="11" t="n">
        <f aca="false">Inputs!$F$75*AA47</f>
        <v>8.10509161614207</v>
      </c>
      <c r="AB57" s="11" t="n">
        <f aca="false">Inputs!$F$75*AB47</f>
        <v>7.73102437477331</v>
      </c>
      <c r="AC57" s="11" t="n">
        <f aca="false">Inputs!$F$75*AC47</f>
        <v>7.54766446772431</v>
      </c>
      <c r="AD57" s="11" t="n">
        <f aca="false">Inputs!$F$75*AD47</f>
        <v>7.21500389352902</v>
      </c>
      <c r="AE57" s="11" t="n">
        <f aca="false">Inputs!$F$75*AE47</f>
        <v>6.80769386166532</v>
      </c>
      <c r="AF57" s="11" t="n">
        <f aca="false">Inputs!$F$75*AF47</f>
        <v>6.28374241247273</v>
      </c>
      <c r="AG57" s="11" t="n">
        <f aca="false">Inputs!$F$75*AG47</f>
        <v>5.71689107531886</v>
      </c>
      <c r="AH57" s="11" t="n">
        <f aca="false">Inputs!$F$75*AH47</f>
        <v>5.08143125053134</v>
      </c>
      <c r="AI57" s="11" t="n">
        <f aca="false">Inputs!$F$75*AI47</f>
        <v>4.3987429408027</v>
      </c>
      <c r="AJ57" s="11" t="n">
        <f aca="false">Inputs!$F$75*AJ47</f>
        <v>3.74014939929799</v>
      </c>
      <c r="AK57" s="11" t="n">
        <f aca="false">Inputs!$F$75*AK47</f>
        <v>3.06929541013812</v>
      </c>
      <c r="AL57" s="11" t="n">
        <f aca="false">Inputs!$F$75*AL47</f>
        <v>2.47843361650444</v>
      </c>
      <c r="AM57" s="11" t="n">
        <f aca="false">Inputs!$F$75*AM47</f>
        <v>1.94906221879399</v>
      </c>
      <c r="AN57" s="11" t="n">
        <f aca="false">Inputs!$F$75*AN47</f>
        <v>1.47502666914366</v>
      </c>
      <c r="AO57" s="11" t="n">
        <f aca="false">Inputs!$F$75*AO47</f>
        <v>1.2320212469275</v>
      </c>
      <c r="AP57" s="11" t="n">
        <f aca="false">Inputs!$F$75*AP47</f>
        <v>1.0741686675708</v>
      </c>
      <c r="AQ57" s="11" t="n">
        <f aca="false">Inputs!$F$75*AQ47</f>
        <v>1.07684939860877</v>
      </c>
      <c r="AR57" s="11" t="n">
        <f aca="false">Inputs!$F$75*AR47</f>
        <v>1.06296185784704</v>
      </c>
      <c r="AS57" s="11" t="n">
        <f aca="false">Inputs!$F$75*AS47</f>
        <v>1.10531228396979</v>
      </c>
      <c r="AT57" s="11" t="n">
        <f aca="false">Inputs!$F$75*AT47</f>
        <v>1.1087903917443</v>
      </c>
      <c r="AU57" s="11" t="n">
        <f aca="false">Inputs!$F$75*AU47</f>
        <v>1.08659077880854</v>
      </c>
      <c r="AV57" s="11" t="n">
        <f aca="false">Inputs!$F$75*AV47</f>
        <v>12.0980955684533</v>
      </c>
      <c r="AW57" s="11" t="n">
        <f aca="false">Inputs!$F$75*AW47</f>
        <v>9.84565745723889</v>
      </c>
      <c r="AX57" s="11" t="n">
        <f aca="false">Inputs!$F$75*AX47</f>
        <v>0.897855358169892</v>
      </c>
      <c r="AY57" s="11" t="n">
        <f aca="false">Inputs!$F$75*AY47</f>
        <v>0</v>
      </c>
      <c r="AZ57" s="11" t="n">
        <f aca="false">Inputs!$F$75*AZ47</f>
        <v>0</v>
      </c>
      <c r="BA57" s="11" t="n">
        <f aca="false">Inputs!$F$75*BA47</f>
        <v>0</v>
      </c>
      <c r="BB57" s="11" t="n">
        <f aca="false">Inputs!$F$75*BB47</f>
        <v>0</v>
      </c>
      <c r="BC57" s="11" t="n">
        <f aca="false">Inputs!$F$75*BC47</f>
        <v>0</v>
      </c>
      <c r="BD57" s="11" t="n">
        <f aca="false">Inputs!$F$75*BD47</f>
        <v>0</v>
      </c>
      <c r="BE57" s="11" t="n">
        <f aca="false">Inputs!$F$75*BE47</f>
        <v>0</v>
      </c>
      <c r="BF57" s="11" t="n">
        <f aca="false">Inputs!$F$75*BF47</f>
        <v>0</v>
      </c>
      <c r="BG57" s="11" t="n">
        <f aca="false">Inputs!$F$75*BG47</f>
        <v>0</v>
      </c>
      <c r="BH57" s="11" t="n">
        <f aca="false">Inputs!$F$75*BH47</f>
        <v>0</v>
      </c>
      <c r="BI57" s="11" t="n">
        <f aca="false">Inputs!$F$75*BI47</f>
        <v>0</v>
      </c>
      <c r="BJ57" s="11" t="n">
        <f aca="false">Inputs!$F$75*BJ47</f>
        <v>0</v>
      </c>
    </row>
    <row r="58" customFormat="false" ht="15" hidden="false" customHeight="false" outlineLevel="0" collapsed="false">
      <c r="D58" s="0" t="s">
        <v>616</v>
      </c>
      <c r="E58" s="0" t="s">
        <v>149</v>
      </c>
      <c r="G58" s="11" t="n">
        <f aca="false">SUM(J58:BJ58)</f>
        <v>144.702799650919</v>
      </c>
      <c r="J58" s="11" t="n">
        <f aca="false">Inputs!$F$76*J47</f>
        <v>19.878337171548</v>
      </c>
      <c r="K58" s="11" t="n">
        <f aca="false">Inputs!$F$76*K47</f>
        <v>0.408603103604106</v>
      </c>
      <c r="L58" s="11" t="n">
        <f aca="false">Inputs!$F$76*L47</f>
        <v>0.520579429945099</v>
      </c>
      <c r="M58" s="11" t="n">
        <f aca="false">Inputs!$F$76*M47</f>
        <v>0.735165006419708</v>
      </c>
      <c r="N58" s="11" t="n">
        <f aca="false">Inputs!$F$76*N47</f>
        <v>1.05807066027793</v>
      </c>
      <c r="O58" s="11" t="n">
        <f aca="false">Inputs!$F$76*O47</f>
        <v>1.45745329992098</v>
      </c>
      <c r="P58" s="11" t="n">
        <f aca="false">Inputs!$F$76*P47</f>
        <v>1.90043718816888</v>
      </c>
      <c r="Q58" s="11" t="n">
        <f aca="false">Inputs!$F$76*Q47</f>
        <v>2.41230348458314</v>
      </c>
      <c r="R58" s="11" t="n">
        <f aca="false">Inputs!$F$76*R47</f>
        <v>2.92196560607096</v>
      </c>
      <c r="S58" s="11" t="n">
        <f aca="false">Inputs!$F$76*S47</f>
        <v>3.44117878553253</v>
      </c>
      <c r="T58" s="11" t="n">
        <f aca="false">Inputs!$F$76*T47</f>
        <v>3.92682627651289</v>
      </c>
      <c r="U58" s="11" t="n">
        <f aca="false">Inputs!$F$76*U47</f>
        <v>4.39271166224749</v>
      </c>
      <c r="V58" s="11" t="n">
        <f aca="false">Inputs!$F$76*V47</f>
        <v>4.80220188020204</v>
      </c>
      <c r="W58" s="11" t="n">
        <f aca="false">Inputs!$F$76*W47</f>
        <v>5.14261563385066</v>
      </c>
      <c r="X58" s="11" t="n">
        <f aca="false">Inputs!$F$76*X47</f>
        <v>5.42464233450845</v>
      </c>
      <c r="Y58" s="11" t="n">
        <f aca="false">Inputs!$F$76*Y47</f>
        <v>5.61222930812091</v>
      </c>
      <c r="Z58" s="11" t="n">
        <f aca="false">Inputs!$F$76*Z47</f>
        <v>5.72993759420902</v>
      </c>
      <c r="AA58" s="11" t="n">
        <f aca="false">Inputs!$F$76*AA47</f>
        <v>5.94373385183752</v>
      </c>
      <c r="AB58" s="11" t="n">
        <f aca="false">Inputs!$F$76*AB47</f>
        <v>5.66941787483376</v>
      </c>
      <c r="AC58" s="11" t="n">
        <f aca="false">Inputs!$F$76*AC47</f>
        <v>5.53495394299783</v>
      </c>
      <c r="AD58" s="11" t="n">
        <f aca="false">Inputs!$F$76*AD47</f>
        <v>5.29100285525462</v>
      </c>
      <c r="AE58" s="11" t="n">
        <f aca="false">Inputs!$F$76*AE47</f>
        <v>4.9923088318879</v>
      </c>
      <c r="AF58" s="11" t="n">
        <f aca="false">Inputs!$F$76*AF47</f>
        <v>4.60807776914667</v>
      </c>
      <c r="AG58" s="11" t="n">
        <f aca="false">Inputs!$F$76*AG47</f>
        <v>4.19238678856716</v>
      </c>
      <c r="AH58" s="11" t="n">
        <f aca="false">Inputs!$F$76*AH47</f>
        <v>3.72638291705632</v>
      </c>
      <c r="AI58" s="11" t="n">
        <f aca="false">Inputs!$F$76*AI47</f>
        <v>3.22574482325531</v>
      </c>
      <c r="AJ58" s="11" t="n">
        <f aca="false">Inputs!$F$76*AJ47</f>
        <v>2.74277622615186</v>
      </c>
      <c r="AK58" s="11" t="n">
        <f aca="false">Inputs!$F$76*AK47</f>
        <v>2.25081663410129</v>
      </c>
      <c r="AL58" s="11" t="n">
        <f aca="false">Inputs!$F$76*AL47</f>
        <v>1.81751798543659</v>
      </c>
      <c r="AM58" s="11" t="n">
        <f aca="false">Inputs!$F$76*AM47</f>
        <v>1.42931229378226</v>
      </c>
      <c r="AN58" s="11" t="n">
        <f aca="false">Inputs!$F$76*AN47</f>
        <v>1.08168622403868</v>
      </c>
      <c r="AO58" s="11" t="n">
        <f aca="false">Inputs!$F$76*AO47</f>
        <v>0.903482247746836</v>
      </c>
      <c r="AP58" s="11" t="n">
        <f aca="false">Inputs!$F$76*AP47</f>
        <v>0.78772368955192</v>
      </c>
      <c r="AQ58" s="11" t="n">
        <f aca="false">Inputs!$F$76*AQ47</f>
        <v>0.789689558979768</v>
      </c>
      <c r="AR58" s="11" t="n">
        <f aca="false">Inputs!$F$76*AR47</f>
        <v>0.779505362421159</v>
      </c>
      <c r="AS58" s="11" t="n">
        <f aca="false">Inputs!$F$76*AS47</f>
        <v>0.810562341577843</v>
      </c>
      <c r="AT58" s="11" t="n">
        <f aca="false">Inputs!$F$76*AT47</f>
        <v>0.81311295394582</v>
      </c>
      <c r="AU58" s="11" t="n">
        <f aca="false">Inputs!$F$76*AU47</f>
        <v>0.796833237792929</v>
      </c>
      <c r="AV58" s="11" t="n">
        <f aca="false">Inputs!$F$76*AV47</f>
        <v>8.8719367501991</v>
      </c>
      <c r="AW58" s="11" t="n">
        <f aca="false">Inputs!$F$76*AW47</f>
        <v>7.22014880197519</v>
      </c>
      <c r="AX58" s="11" t="n">
        <f aca="false">Inputs!$F$76*AX47</f>
        <v>0.658427262657921</v>
      </c>
      <c r="AY58" s="11" t="n">
        <f aca="false">Inputs!$F$76*AY47</f>
        <v>0</v>
      </c>
      <c r="AZ58" s="11" t="n">
        <f aca="false">Inputs!$F$76*AZ47</f>
        <v>0</v>
      </c>
      <c r="BA58" s="11" t="n">
        <f aca="false">Inputs!$F$76*BA47</f>
        <v>0</v>
      </c>
      <c r="BB58" s="11" t="n">
        <f aca="false">Inputs!$F$76*BB47</f>
        <v>0</v>
      </c>
      <c r="BC58" s="11" t="n">
        <f aca="false">Inputs!$F$76*BC47</f>
        <v>0</v>
      </c>
      <c r="BD58" s="11" t="n">
        <f aca="false">Inputs!$F$76*BD47</f>
        <v>0</v>
      </c>
      <c r="BE58" s="11" t="n">
        <f aca="false">Inputs!$F$76*BE47</f>
        <v>0</v>
      </c>
      <c r="BF58" s="11" t="n">
        <f aca="false">Inputs!$F$76*BF47</f>
        <v>0</v>
      </c>
      <c r="BG58" s="11" t="n">
        <f aca="false">Inputs!$F$76*BG47</f>
        <v>0</v>
      </c>
      <c r="BH58" s="11" t="n">
        <f aca="false">Inputs!$F$76*BH47</f>
        <v>0</v>
      </c>
      <c r="BI58" s="11" t="n">
        <f aca="false">Inputs!$F$76*BI47</f>
        <v>0</v>
      </c>
      <c r="BJ58" s="11" t="n">
        <f aca="false">Inputs!$F$76*BJ47</f>
        <v>0</v>
      </c>
    </row>
    <row r="59" customFormat="false" ht="15" hidden="false" customHeight="false" outlineLevel="0" collapsed="false">
      <c r="D59" s="0" t="s">
        <v>617</v>
      </c>
      <c r="E59" s="0" t="s">
        <v>149</v>
      </c>
      <c r="G59" s="11" t="n">
        <f aca="false">SUM(J59:BJ59)</f>
        <v>65.7739998413269</v>
      </c>
      <c r="J59" s="11" t="n">
        <f aca="false">Inputs!$F$77*J47</f>
        <v>9.03560780524911</v>
      </c>
      <c r="K59" s="11" t="n">
        <f aca="false">Inputs!$F$77*K47</f>
        <v>0.185728683456412</v>
      </c>
      <c r="L59" s="11" t="n">
        <f aca="false">Inputs!$F$77*L47</f>
        <v>0.236627013611409</v>
      </c>
      <c r="M59" s="11" t="n">
        <f aca="false">Inputs!$F$77*M47</f>
        <v>0.334165912008958</v>
      </c>
      <c r="N59" s="11" t="n">
        <f aca="false">Inputs!$F$77*N47</f>
        <v>0.480941209217243</v>
      </c>
      <c r="O59" s="11" t="n">
        <f aca="false">Inputs!$F$77*O47</f>
        <v>0.662478772691356</v>
      </c>
      <c r="P59" s="11" t="n">
        <f aca="false">Inputs!$F$77*P47</f>
        <v>0.863835085531311</v>
      </c>
      <c r="Q59" s="11" t="n">
        <f aca="false">Inputs!$F$77*Q47</f>
        <v>1.09650158390143</v>
      </c>
      <c r="R59" s="11" t="n">
        <f aca="false">Inputs!$F$77*R47</f>
        <v>1.32816618457771</v>
      </c>
      <c r="S59" s="11" t="n">
        <f aca="false">Inputs!$F$77*S47</f>
        <v>1.56417217524206</v>
      </c>
      <c r="T59" s="11" t="n">
        <f aca="false">Inputs!$F$77*T47</f>
        <v>1.78492103477859</v>
      </c>
      <c r="U59" s="11" t="n">
        <f aca="false">Inputs!$F$77*U47</f>
        <v>1.99668711920341</v>
      </c>
      <c r="V59" s="11" t="n">
        <f aca="false">Inputs!$F$77*V47</f>
        <v>2.18281903645547</v>
      </c>
      <c r="W59" s="11" t="n">
        <f aca="false">Inputs!$F$77*W47</f>
        <v>2.33755256084121</v>
      </c>
      <c r="X59" s="11" t="n">
        <f aca="false">Inputs!$F$77*X47</f>
        <v>2.46574651568566</v>
      </c>
      <c r="Y59" s="11" t="n">
        <f aca="false">Inputs!$F$77*Y47</f>
        <v>2.55101332187314</v>
      </c>
      <c r="Z59" s="11" t="n">
        <f aca="false">Inputs!$F$77*Z47</f>
        <v>2.60451708827683</v>
      </c>
      <c r="AA59" s="11" t="n">
        <f aca="false">Inputs!$F$77*AA47</f>
        <v>2.70169720538069</v>
      </c>
      <c r="AB59" s="11" t="n">
        <f aca="false">Inputs!$F$77*AB47</f>
        <v>2.57700812492444</v>
      </c>
      <c r="AC59" s="11" t="n">
        <f aca="false">Inputs!$F$77*AC47</f>
        <v>2.5158881559081</v>
      </c>
      <c r="AD59" s="11" t="n">
        <f aca="false">Inputs!$F$77*AD47</f>
        <v>2.40500129784301</v>
      </c>
      <c r="AE59" s="11" t="n">
        <f aca="false">Inputs!$F$77*AE47</f>
        <v>2.26923128722177</v>
      </c>
      <c r="AF59" s="11" t="n">
        <f aca="false">Inputs!$F$77*AF47</f>
        <v>2.09458080415758</v>
      </c>
      <c r="AG59" s="11" t="n">
        <f aca="false">Inputs!$F$77*AG47</f>
        <v>1.90563035843962</v>
      </c>
      <c r="AH59" s="11" t="n">
        <f aca="false">Inputs!$F$77*AH47</f>
        <v>1.69381041684378</v>
      </c>
      <c r="AI59" s="11" t="n">
        <f aca="false">Inputs!$F$77*AI47</f>
        <v>1.46624764693423</v>
      </c>
      <c r="AJ59" s="11" t="n">
        <f aca="false">Inputs!$F$77*AJ47</f>
        <v>1.24671646643266</v>
      </c>
      <c r="AK59" s="11" t="n">
        <f aca="false">Inputs!$F$77*AK47</f>
        <v>1.02309847004604</v>
      </c>
      <c r="AL59" s="11" t="n">
        <f aca="false">Inputs!$F$77*AL47</f>
        <v>0.826144538834813</v>
      </c>
      <c r="AM59" s="11" t="n">
        <f aca="false">Inputs!$F$77*AM47</f>
        <v>0.649687406264663</v>
      </c>
      <c r="AN59" s="11" t="n">
        <f aca="false">Inputs!$F$77*AN47</f>
        <v>0.491675556381219</v>
      </c>
      <c r="AO59" s="11" t="n">
        <f aca="false">Inputs!$F$77*AO47</f>
        <v>0.410673748975834</v>
      </c>
      <c r="AP59" s="11" t="n">
        <f aca="false">Inputs!$F$77*AP47</f>
        <v>0.3580562225236</v>
      </c>
      <c r="AQ59" s="11" t="n">
        <f aca="false">Inputs!$F$77*AQ47</f>
        <v>0.358949799536258</v>
      </c>
      <c r="AR59" s="11" t="n">
        <f aca="false">Inputs!$F$77*AR47</f>
        <v>0.354320619282345</v>
      </c>
      <c r="AS59" s="11" t="n">
        <f aca="false">Inputs!$F$77*AS47</f>
        <v>0.368437427989929</v>
      </c>
      <c r="AT59" s="11" t="n">
        <f aca="false">Inputs!$F$77*AT47</f>
        <v>0.3695967972481</v>
      </c>
      <c r="AU59" s="11" t="n">
        <f aca="false">Inputs!$F$77*AU47</f>
        <v>0.362196926269513</v>
      </c>
      <c r="AV59" s="11" t="n">
        <f aca="false">Inputs!$F$77*AV47</f>
        <v>4.03269852281777</v>
      </c>
      <c r="AW59" s="11" t="n">
        <f aca="false">Inputs!$F$77*AW47</f>
        <v>3.28188581907963</v>
      </c>
      <c r="AX59" s="11" t="n">
        <f aca="false">Inputs!$F$77*AX47</f>
        <v>0.299285119389964</v>
      </c>
      <c r="AY59" s="11" t="n">
        <f aca="false">Inputs!$F$77*AY47</f>
        <v>0</v>
      </c>
      <c r="AZ59" s="11" t="n">
        <f aca="false">Inputs!$F$77*AZ47</f>
        <v>0</v>
      </c>
      <c r="BA59" s="11" t="n">
        <f aca="false">Inputs!$F$77*BA47</f>
        <v>0</v>
      </c>
      <c r="BB59" s="11" t="n">
        <f aca="false">Inputs!$F$77*BB47</f>
        <v>0</v>
      </c>
      <c r="BC59" s="11" t="n">
        <f aca="false">Inputs!$F$77*BC47</f>
        <v>0</v>
      </c>
      <c r="BD59" s="11" t="n">
        <f aca="false">Inputs!$F$77*BD47</f>
        <v>0</v>
      </c>
      <c r="BE59" s="11" t="n">
        <f aca="false">Inputs!$F$77*BE47</f>
        <v>0</v>
      </c>
      <c r="BF59" s="11" t="n">
        <f aca="false">Inputs!$F$77*BF47</f>
        <v>0</v>
      </c>
      <c r="BG59" s="11" t="n">
        <f aca="false">Inputs!$F$77*BG47</f>
        <v>0</v>
      </c>
      <c r="BH59" s="11" t="n">
        <f aca="false">Inputs!$F$77*BH47</f>
        <v>0</v>
      </c>
      <c r="BI59" s="11" t="n">
        <f aca="false">Inputs!$F$77*BI47</f>
        <v>0</v>
      </c>
      <c r="BJ59" s="11" t="n">
        <f aca="false">Inputs!$F$77*BJ47</f>
        <v>0</v>
      </c>
    </row>
    <row r="60" customFormat="false" ht="15" hidden="false" customHeight="false" outlineLevel="0" collapsed="false">
      <c r="D60" s="0" t="s">
        <v>618</v>
      </c>
      <c r="E60" s="0" t="s">
        <v>149</v>
      </c>
      <c r="G60" s="11" t="n">
        <f aca="false">SUM(J60:BJ60)</f>
        <v>249.941199397042</v>
      </c>
      <c r="J60" s="11" t="n">
        <f aca="false">Inputs!$F$78*J47</f>
        <v>34.3353096599466</v>
      </c>
      <c r="K60" s="11" t="n">
        <f aca="false">Inputs!$F$78*K47</f>
        <v>0.705768997134365</v>
      </c>
      <c r="L60" s="11" t="n">
        <f aca="false">Inputs!$F$78*L47</f>
        <v>0.899182651723353</v>
      </c>
      <c r="M60" s="11" t="n">
        <f aca="false">Inputs!$F$78*M47</f>
        <v>1.26983046563404</v>
      </c>
      <c r="N60" s="11" t="n">
        <f aca="false">Inputs!$F$78*N47</f>
        <v>1.82757659502552</v>
      </c>
      <c r="O60" s="11" t="n">
        <f aca="false">Inputs!$F$78*O47</f>
        <v>2.51741933622715</v>
      </c>
      <c r="P60" s="11" t="n">
        <f aca="false">Inputs!$F$78*P47</f>
        <v>3.28257332501898</v>
      </c>
      <c r="Q60" s="11" t="n">
        <f aca="false">Inputs!$F$78*Q47</f>
        <v>4.16670601882542</v>
      </c>
      <c r="R60" s="11" t="n">
        <f aca="false">Inputs!$F$78*R47</f>
        <v>5.04703150139529</v>
      </c>
      <c r="S60" s="11" t="n">
        <f aca="false">Inputs!$F$78*S47</f>
        <v>5.94385426591983</v>
      </c>
      <c r="T60" s="11" t="n">
        <f aca="false">Inputs!$F$78*T47</f>
        <v>6.78269993215864</v>
      </c>
      <c r="U60" s="11" t="n">
        <f aca="false">Inputs!$F$78*U47</f>
        <v>7.58741105297294</v>
      </c>
      <c r="V60" s="11" t="n">
        <f aca="false">Inputs!$F$78*V47</f>
        <v>8.29471233853079</v>
      </c>
      <c r="W60" s="11" t="n">
        <f aca="false">Inputs!$F$78*W47</f>
        <v>8.8826997311966</v>
      </c>
      <c r="X60" s="11" t="n">
        <f aca="false">Inputs!$F$78*X47</f>
        <v>9.36983675960551</v>
      </c>
      <c r="Y60" s="11" t="n">
        <f aca="false">Inputs!$F$78*Y47</f>
        <v>9.69385062311793</v>
      </c>
      <c r="Z60" s="11" t="n">
        <f aca="false">Inputs!$F$78*Z47</f>
        <v>9.89716493545194</v>
      </c>
      <c r="AA60" s="11" t="n">
        <f aca="false">Inputs!$F$78*AA47</f>
        <v>10.2664493804466</v>
      </c>
      <c r="AB60" s="11" t="n">
        <f aca="false">Inputs!$F$78*AB47</f>
        <v>9.79263087471286</v>
      </c>
      <c r="AC60" s="11" t="n">
        <f aca="false">Inputs!$F$78*AC47</f>
        <v>9.56037499245079</v>
      </c>
      <c r="AD60" s="11" t="n">
        <f aca="false">Inputs!$F$78*AD47</f>
        <v>9.13900493180343</v>
      </c>
      <c r="AE60" s="11" t="n">
        <f aca="false">Inputs!$F$78*AE47</f>
        <v>8.62307889144274</v>
      </c>
      <c r="AF60" s="11" t="n">
        <f aca="false">Inputs!$F$78*AF47</f>
        <v>7.95940705579879</v>
      </c>
      <c r="AG60" s="11" t="n">
        <f aca="false">Inputs!$F$78*AG47</f>
        <v>7.24139536207055</v>
      </c>
      <c r="AH60" s="11" t="n">
        <f aca="false">Inputs!$F$78*AH47</f>
        <v>6.43647958400637</v>
      </c>
      <c r="AI60" s="11" t="n">
        <f aca="false">Inputs!$F$78*AI47</f>
        <v>5.57174105835009</v>
      </c>
      <c r="AJ60" s="11" t="n">
        <f aca="false">Inputs!$F$78*AJ47</f>
        <v>4.73752257244412</v>
      </c>
      <c r="AK60" s="11" t="n">
        <f aca="false">Inputs!$F$78*AK47</f>
        <v>3.88777418617495</v>
      </c>
      <c r="AL60" s="11" t="n">
        <f aca="false">Inputs!$F$78*AL47</f>
        <v>3.13934924757229</v>
      </c>
      <c r="AM60" s="11" t="n">
        <f aca="false">Inputs!$F$78*AM47</f>
        <v>2.46881214380572</v>
      </c>
      <c r="AN60" s="11" t="n">
        <f aca="false">Inputs!$F$78*AN47</f>
        <v>1.86836711424863</v>
      </c>
      <c r="AO60" s="11" t="n">
        <f aca="false">Inputs!$F$78*AO47</f>
        <v>1.56056024610817</v>
      </c>
      <c r="AP60" s="11" t="n">
        <f aca="false">Inputs!$F$78*AP47</f>
        <v>1.36061364558968</v>
      </c>
      <c r="AQ60" s="11" t="n">
        <f aca="false">Inputs!$F$78*AQ47</f>
        <v>1.36400923823778</v>
      </c>
      <c r="AR60" s="11" t="n">
        <f aca="false">Inputs!$F$78*AR47</f>
        <v>1.34641835327291</v>
      </c>
      <c r="AS60" s="11" t="n">
        <f aca="false">Inputs!$F$78*AS47</f>
        <v>1.40006222636173</v>
      </c>
      <c r="AT60" s="11" t="n">
        <f aca="false">Inputs!$F$78*AT47</f>
        <v>1.40446782954278</v>
      </c>
      <c r="AU60" s="11" t="n">
        <f aca="false">Inputs!$F$78*AU47</f>
        <v>1.37634831982415</v>
      </c>
      <c r="AV60" s="11" t="n">
        <f aca="false">Inputs!$F$78*AV47</f>
        <v>15.3242543867075</v>
      </c>
      <c r="AW60" s="11" t="n">
        <f aca="false">Inputs!$F$78*AW47</f>
        <v>12.4711661125026</v>
      </c>
      <c r="AX60" s="11" t="n">
        <f aca="false">Inputs!$F$78*AX47</f>
        <v>1.13728345368186</v>
      </c>
      <c r="AY60" s="11" t="n">
        <f aca="false">Inputs!$F$78*AY47</f>
        <v>0</v>
      </c>
      <c r="AZ60" s="11" t="n">
        <f aca="false">Inputs!$F$78*AZ47</f>
        <v>0</v>
      </c>
      <c r="BA60" s="11" t="n">
        <f aca="false">Inputs!$F$78*BA47</f>
        <v>0</v>
      </c>
      <c r="BB60" s="11" t="n">
        <f aca="false">Inputs!$F$78*BB47</f>
        <v>0</v>
      </c>
      <c r="BC60" s="11" t="n">
        <f aca="false">Inputs!$F$78*BC47</f>
        <v>0</v>
      </c>
      <c r="BD60" s="11" t="n">
        <f aca="false">Inputs!$F$78*BD47</f>
        <v>0</v>
      </c>
      <c r="BE60" s="11" t="n">
        <f aca="false">Inputs!$F$78*BE47</f>
        <v>0</v>
      </c>
      <c r="BF60" s="11" t="n">
        <f aca="false">Inputs!$F$78*BF47</f>
        <v>0</v>
      </c>
      <c r="BG60" s="11" t="n">
        <f aca="false">Inputs!$F$78*BG47</f>
        <v>0</v>
      </c>
      <c r="BH60" s="11" t="n">
        <f aca="false">Inputs!$F$78*BH47</f>
        <v>0</v>
      </c>
      <c r="BI60" s="11" t="n">
        <f aca="false">Inputs!$F$78*BI47</f>
        <v>0</v>
      </c>
      <c r="BJ60" s="11" t="n">
        <f aca="false">Inputs!$F$78*BJ47</f>
        <v>0</v>
      </c>
    </row>
    <row r="61" customFormat="false" ht="15" hidden="false" customHeight="false" outlineLevel="0" collapsed="false">
      <c r="D61" s="0" t="s">
        <v>619</v>
      </c>
      <c r="E61" s="0" t="s">
        <v>149</v>
      </c>
      <c r="J61" s="11" t="n">
        <f aca="false">J28+J57</f>
        <v>27.1068234157473</v>
      </c>
      <c r="K61" s="11" t="n">
        <f aca="false">K28+K57</f>
        <v>27.6640094661166</v>
      </c>
      <c r="L61" s="11" t="n">
        <f aca="false">L28+L57</f>
        <v>28.3738905069508</v>
      </c>
      <c r="M61" s="11" t="n">
        <f aca="false">M28+M57</f>
        <v>29.3763882429777</v>
      </c>
      <c r="N61" s="11" t="n">
        <f aca="false">N28+N57</f>
        <v>30.8192118706294</v>
      </c>
      <c r="O61" s="11" t="n">
        <f aca="false">O28+O57</f>
        <v>32.8066481887035</v>
      </c>
      <c r="P61" s="11" t="n">
        <f aca="false">P28+P57</f>
        <v>35.3981534452974</v>
      </c>
      <c r="Q61" s="11" t="n">
        <f aca="false">Q28+Q57</f>
        <v>38.6876581970017</v>
      </c>
      <c r="R61" s="11" t="n">
        <f aca="false">R28+R57</f>
        <v>42.6721567507348</v>
      </c>
      <c r="S61" s="11" t="n">
        <f aca="false">S28+S57</f>
        <v>47.364673276461</v>
      </c>
      <c r="T61" s="11" t="n">
        <f aca="false">T28+T57</f>
        <v>52.7194363807967</v>
      </c>
      <c r="U61" s="11" t="n">
        <f aca="false">U28+U57</f>
        <v>58.7094977384069</v>
      </c>
      <c r="V61" s="11" t="n">
        <f aca="false">V28+V57</f>
        <v>65.2579548477734</v>
      </c>
      <c r="W61" s="11" t="n">
        <f aca="false">W28+W57</f>
        <v>72.270612530297</v>
      </c>
      <c r="X61" s="11" t="n">
        <f aca="false">X28+X57</f>
        <v>79.667852077354</v>
      </c>
      <c r="Y61" s="11" t="n">
        <f aca="false">Y28+Y57</f>
        <v>87.3208920429734</v>
      </c>
      <c r="Z61" s="11" t="n">
        <f aca="false">Z28+Z57</f>
        <v>95.1344433078039</v>
      </c>
      <c r="AA61" s="11" t="n">
        <f aca="false">AA28+AA57</f>
        <v>103.239534923946</v>
      </c>
      <c r="AB61" s="11" t="n">
        <f aca="false">AB28+AB57</f>
        <v>110.970559298719</v>
      </c>
      <c r="AC61" s="11" t="n">
        <f aca="false">AC28+AC57</f>
        <v>118.518223766444</v>
      </c>
      <c r="AD61" s="11" t="n">
        <f aca="false">AD28+AD57</f>
        <v>125.733227659973</v>
      </c>
      <c r="AE61" s="11" t="n">
        <f aca="false">AE28+AE57</f>
        <v>132.540921521638</v>
      </c>
      <c r="AF61" s="11" t="n">
        <f aca="false">AF28+AF57</f>
        <v>138.824663934111</v>
      </c>
      <c r="AG61" s="11" t="n">
        <f aca="false">AG28+AG57</f>
        <v>144.541555009429</v>
      </c>
      <c r="AH61" s="11" t="n">
        <f aca="false">AH28+AH57</f>
        <v>149.622986259961</v>
      </c>
      <c r="AI61" s="11" t="n">
        <f aca="false">AI28+AI57</f>
        <v>154.021729200764</v>
      </c>
      <c r="AJ61" s="11" t="n">
        <f aca="false">AJ28+AJ57</f>
        <v>157.761878600062</v>
      </c>
      <c r="AK61" s="11" t="n">
        <f aca="false">AK28+AK57</f>
        <v>160.8311740102</v>
      </c>
      <c r="AL61" s="11" t="n">
        <f aca="false">AL28+AL57</f>
        <v>163.309607626704</v>
      </c>
      <c r="AM61" s="11" t="n">
        <f aca="false">AM28+AM57</f>
        <v>165.258669845498</v>
      </c>
      <c r="AN61" s="11" t="n">
        <f aca="false">AN28+AN57</f>
        <v>166.733696514642</v>
      </c>
      <c r="AO61" s="11" t="n">
        <f aca="false">AO28+AO57</f>
        <v>167.965717761569</v>
      </c>
      <c r="AP61" s="11" t="n">
        <f aca="false">AP28+AP57</f>
        <v>169.03988642914</v>
      </c>
      <c r="AQ61" s="11" t="n">
        <f aca="false">AQ28+AQ57</f>
        <v>170.116735827749</v>
      </c>
      <c r="AR61" s="11" t="n">
        <f aca="false">AR28+AR57</f>
        <v>171.179697685596</v>
      </c>
      <c r="AS61" s="11" t="n">
        <f aca="false">AS28+AS57</f>
        <v>172.285009969566</v>
      </c>
      <c r="AT61" s="11" t="n">
        <f aca="false">AT28+AT57</f>
        <v>173.39380036131</v>
      </c>
      <c r="AU61" s="11" t="n">
        <f aca="false">AU28+AU57</f>
        <v>174.480391140118</v>
      </c>
      <c r="AV61" s="11" t="n">
        <f aca="false">AV28+AV57</f>
        <v>186.578486708572</v>
      </c>
      <c r="AW61" s="11" t="n">
        <f aca="false">AW28+AW57</f>
        <v>196.424144165811</v>
      </c>
      <c r="AX61" s="11" t="n">
        <f aca="false">AX28+AX57</f>
        <v>197.321999523981</v>
      </c>
      <c r="AY61" s="11" t="n">
        <f aca="false">AY28+AY57</f>
        <v>197.321999523981</v>
      </c>
      <c r="AZ61" s="11" t="n">
        <f aca="false">AZ28+AZ57</f>
        <v>197.321999523981</v>
      </c>
      <c r="BA61" s="11" t="n">
        <f aca="false">BA28+BA57</f>
        <v>197.321999523981</v>
      </c>
      <c r="BB61" s="11" t="n">
        <f aca="false">BB28+BB57</f>
        <v>197.321999523981</v>
      </c>
      <c r="BC61" s="11" t="n">
        <f aca="false">BC28+BC57</f>
        <v>197.321999523981</v>
      </c>
      <c r="BD61" s="11" t="n">
        <f aca="false">BD28+BD57</f>
        <v>197.321999523981</v>
      </c>
      <c r="BE61" s="11" t="n">
        <f aca="false">BE28+BE57</f>
        <v>197.321999523981</v>
      </c>
      <c r="BF61" s="11" t="n">
        <f aca="false">BF28+BF57</f>
        <v>197.321999523981</v>
      </c>
      <c r="BG61" s="11" t="n">
        <f aca="false">BG28+BG57</f>
        <v>197.321999523981</v>
      </c>
      <c r="BH61" s="11" t="n">
        <f aca="false">BH28+BH57</f>
        <v>197.321999523981</v>
      </c>
      <c r="BI61" s="11" t="n">
        <f aca="false">BI28+BI57</f>
        <v>197.321999523981</v>
      </c>
      <c r="BJ61" s="11" t="n">
        <f aca="false">BJ28+BJ57</f>
        <v>197.321999523981</v>
      </c>
    </row>
    <row r="62" customFormat="false" ht="15" hidden="false" customHeight="false" outlineLevel="0" collapsed="false">
      <c r="D62" s="0" t="s">
        <v>620</v>
      </c>
      <c r="E62" s="0" t="s">
        <v>149</v>
      </c>
      <c r="J62" s="11" t="n">
        <f aca="false">J29+J58</f>
        <v>19.878337171548</v>
      </c>
      <c r="K62" s="11" t="n">
        <f aca="false">K29+K58</f>
        <v>20.2869402751521</v>
      </c>
      <c r="L62" s="11" t="n">
        <f aca="false">L29+L58</f>
        <v>20.8075197050972</v>
      </c>
      <c r="M62" s="11" t="n">
        <f aca="false">M29+M58</f>
        <v>21.5426847115169</v>
      </c>
      <c r="N62" s="11" t="n">
        <f aca="false">N29+N58</f>
        <v>22.6007553717949</v>
      </c>
      <c r="O62" s="11" t="n">
        <f aca="false">O29+O58</f>
        <v>24.0582086717159</v>
      </c>
      <c r="P62" s="11" t="n">
        <f aca="false">P29+P58</f>
        <v>25.9586458598847</v>
      </c>
      <c r="Q62" s="11" t="n">
        <f aca="false">Q29+Q58</f>
        <v>28.3709493444679</v>
      </c>
      <c r="R62" s="11" t="n">
        <f aca="false">R29+R58</f>
        <v>31.2929149505388</v>
      </c>
      <c r="S62" s="11" t="n">
        <f aca="false">S29+S58</f>
        <v>34.7340937360714</v>
      </c>
      <c r="T62" s="11" t="n">
        <f aca="false">T29+T58</f>
        <v>38.6609200125843</v>
      </c>
      <c r="U62" s="11" t="n">
        <f aca="false">U29+U58</f>
        <v>43.0536316748318</v>
      </c>
      <c r="V62" s="11" t="n">
        <f aca="false">V29+V58</f>
        <v>47.8558335550338</v>
      </c>
      <c r="W62" s="11" t="n">
        <f aca="false">W29+W58</f>
        <v>52.9984491888844</v>
      </c>
      <c r="X62" s="11" t="n">
        <f aca="false">X29+X58</f>
        <v>58.4230915233929</v>
      </c>
      <c r="Y62" s="11" t="n">
        <f aca="false">Y29+Y58</f>
        <v>64.0353208315138</v>
      </c>
      <c r="Z62" s="11" t="n">
        <f aca="false">Z29+Z58</f>
        <v>69.7652584257228</v>
      </c>
      <c r="AA62" s="11" t="n">
        <f aca="false">AA29+AA58</f>
        <v>75.7089922775603</v>
      </c>
      <c r="AB62" s="11" t="n">
        <f aca="false">AB29+AB58</f>
        <v>81.3784101523941</v>
      </c>
      <c r="AC62" s="11" t="n">
        <f aca="false">AC29+AC58</f>
        <v>86.9133640953919</v>
      </c>
      <c r="AD62" s="11" t="n">
        <f aca="false">AD29+AD58</f>
        <v>92.2043669506465</v>
      </c>
      <c r="AE62" s="11" t="n">
        <f aca="false">AE29+AE58</f>
        <v>97.1966757825344</v>
      </c>
      <c r="AF62" s="11" t="n">
        <f aca="false">AF29+AF58</f>
        <v>101.804753551681</v>
      </c>
      <c r="AG62" s="11" t="n">
        <f aca="false">AG29+AG58</f>
        <v>105.997140340248</v>
      </c>
      <c r="AH62" s="11" t="n">
        <f aca="false">AH29+AH58</f>
        <v>109.723523257305</v>
      </c>
      <c r="AI62" s="11" t="n">
        <f aca="false">AI29+AI58</f>
        <v>112.94926808056</v>
      </c>
      <c r="AJ62" s="11" t="n">
        <f aca="false">AJ29+AJ58</f>
        <v>115.692044306712</v>
      </c>
      <c r="AK62" s="11" t="n">
        <f aca="false">AK29+AK58</f>
        <v>117.942860940813</v>
      </c>
      <c r="AL62" s="11" t="n">
        <f aca="false">AL29+AL58</f>
        <v>119.76037892625</v>
      </c>
      <c r="AM62" s="11" t="n">
        <f aca="false">AM29+AM58</f>
        <v>121.189691220032</v>
      </c>
      <c r="AN62" s="11" t="n">
        <f aca="false">AN29+AN58</f>
        <v>122.271377444071</v>
      </c>
      <c r="AO62" s="11" t="n">
        <f aca="false">AO29+AO58</f>
        <v>123.174859691817</v>
      </c>
      <c r="AP62" s="11" t="n">
        <f aca="false">AP29+AP58</f>
        <v>123.962583381369</v>
      </c>
      <c r="AQ62" s="11" t="n">
        <f aca="false">AQ29+AQ58</f>
        <v>124.752272940349</v>
      </c>
      <c r="AR62" s="11" t="n">
        <f aca="false">AR29+AR58</f>
        <v>125.53177830277</v>
      </c>
      <c r="AS62" s="11" t="n">
        <f aca="false">AS29+AS58</f>
        <v>126.342340644348</v>
      </c>
      <c r="AT62" s="11" t="n">
        <f aca="false">AT29+AT58</f>
        <v>127.155453598294</v>
      </c>
      <c r="AU62" s="11" t="n">
        <f aca="false">AU29+AU58</f>
        <v>127.952286836087</v>
      </c>
      <c r="AV62" s="11" t="n">
        <f aca="false">AV29+AV58</f>
        <v>136.824223586286</v>
      </c>
      <c r="AW62" s="11" t="n">
        <f aca="false">AW29+AW58</f>
        <v>144.044372388261</v>
      </c>
      <c r="AX62" s="11" t="n">
        <f aca="false">AX29+AX58</f>
        <v>144.702799650919</v>
      </c>
      <c r="AY62" s="11" t="n">
        <f aca="false">AY29+AY58</f>
        <v>144.702799650919</v>
      </c>
      <c r="AZ62" s="11" t="n">
        <f aca="false">AZ29+AZ58</f>
        <v>144.702799650919</v>
      </c>
      <c r="BA62" s="11" t="n">
        <f aca="false">BA29+BA58</f>
        <v>144.702799650919</v>
      </c>
      <c r="BB62" s="11" t="n">
        <f aca="false">BB29+BB58</f>
        <v>144.702799650919</v>
      </c>
      <c r="BC62" s="11" t="n">
        <f aca="false">BC29+BC58</f>
        <v>144.702799650919</v>
      </c>
      <c r="BD62" s="11" t="n">
        <f aca="false">BD29+BD58</f>
        <v>144.702799650919</v>
      </c>
      <c r="BE62" s="11" t="n">
        <f aca="false">BE29+BE58</f>
        <v>144.702799650919</v>
      </c>
      <c r="BF62" s="11" t="n">
        <f aca="false">BF29+BF58</f>
        <v>144.702799650919</v>
      </c>
      <c r="BG62" s="11" t="n">
        <f aca="false">BG29+BG58</f>
        <v>144.702799650919</v>
      </c>
      <c r="BH62" s="11" t="n">
        <f aca="false">BH29+BH58</f>
        <v>144.702799650919</v>
      </c>
      <c r="BI62" s="11" t="n">
        <f aca="false">BI29+BI58</f>
        <v>144.702799650919</v>
      </c>
      <c r="BJ62" s="11" t="n">
        <f aca="false">BJ29+BJ58</f>
        <v>144.702799650919</v>
      </c>
    </row>
    <row r="63" customFormat="false" ht="15" hidden="false" customHeight="false" outlineLevel="0" collapsed="false">
      <c r="D63" s="0" t="s">
        <v>621</v>
      </c>
      <c r="E63" s="0" t="s">
        <v>149</v>
      </c>
      <c r="J63" s="11" t="n">
        <f aca="false">J30+J59</f>
        <v>9.03560780524911</v>
      </c>
      <c r="K63" s="11" t="n">
        <f aca="false">K30+K59</f>
        <v>9.22133648870552</v>
      </c>
      <c r="L63" s="11" t="n">
        <f aca="false">L30+L59</f>
        <v>9.45796350231693</v>
      </c>
      <c r="M63" s="11" t="n">
        <f aca="false">M30+M59</f>
        <v>9.79212941432589</v>
      </c>
      <c r="N63" s="11" t="n">
        <f aca="false">N30+N59</f>
        <v>10.2730706235431</v>
      </c>
      <c r="O63" s="11" t="n">
        <f aca="false">O30+O59</f>
        <v>10.9355493962345</v>
      </c>
      <c r="P63" s="11" t="n">
        <f aca="false">P30+P59</f>
        <v>11.7993844817658</v>
      </c>
      <c r="Q63" s="11" t="n">
        <f aca="false">Q30+Q59</f>
        <v>12.8958860656672</v>
      </c>
      <c r="R63" s="11" t="n">
        <f aca="false">R30+R59</f>
        <v>14.2240522502449</v>
      </c>
      <c r="S63" s="11" t="n">
        <f aca="false">S30+S59</f>
        <v>15.788224425487</v>
      </c>
      <c r="T63" s="11" t="n">
        <f aca="false">T30+T59</f>
        <v>17.5731454602656</v>
      </c>
      <c r="U63" s="11" t="n">
        <f aca="false">U30+U59</f>
        <v>19.569832579469</v>
      </c>
      <c r="V63" s="11" t="n">
        <f aca="false">V30+V59</f>
        <v>21.7526516159244</v>
      </c>
      <c r="W63" s="11" t="n">
        <f aca="false">W30+W59</f>
        <v>24.0902041767657</v>
      </c>
      <c r="X63" s="11" t="n">
        <f aca="false">X30+X59</f>
        <v>26.5559506924513</v>
      </c>
      <c r="Y63" s="11" t="n">
        <f aca="false">Y30+Y59</f>
        <v>29.1069640143245</v>
      </c>
      <c r="Z63" s="11" t="n">
        <f aca="false">Z30+Z59</f>
        <v>31.7114811026013</v>
      </c>
      <c r="AA63" s="11" t="n">
        <f aca="false">AA30+AA59</f>
        <v>34.413178307982</v>
      </c>
      <c r="AB63" s="11" t="n">
        <f aca="false">AB30+AB59</f>
        <v>36.9901864329064</v>
      </c>
      <c r="AC63" s="11" t="n">
        <f aca="false">AC30+AC59</f>
        <v>39.5060745888145</v>
      </c>
      <c r="AD63" s="11" t="n">
        <f aca="false">AD30+AD59</f>
        <v>41.9110758866575</v>
      </c>
      <c r="AE63" s="11" t="n">
        <f aca="false">AE30+AE59</f>
        <v>44.1803071738793</v>
      </c>
      <c r="AF63" s="11" t="n">
        <f aca="false">AF30+AF59</f>
        <v>46.2748879780369</v>
      </c>
      <c r="AG63" s="11" t="n">
        <f aca="false">AG30+AG59</f>
        <v>48.1805183364765</v>
      </c>
      <c r="AH63" s="11" t="n">
        <f aca="false">AH30+AH59</f>
        <v>49.8743287533203</v>
      </c>
      <c r="AI63" s="11" t="n">
        <f aca="false">AI30+AI59</f>
        <v>51.3405764002545</v>
      </c>
      <c r="AJ63" s="11" t="n">
        <f aca="false">AJ30+AJ59</f>
        <v>52.5872928666872</v>
      </c>
      <c r="AK63" s="11" t="n">
        <f aca="false">AK30+AK59</f>
        <v>53.6103913367332</v>
      </c>
      <c r="AL63" s="11" t="n">
        <f aca="false">AL30+AL59</f>
        <v>54.436535875568</v>
      </c>
      <c r="AM63" s="11" t="n">
        <f aca="false">AM30+AM59</f>
        <v>55.0862232818327</v>
      </c>
      <c r="AN63" s="11" t="n">
        <f aca="false">AN30+AN59</f>
        <v>55.5778988382139</v>
      </c>
      <c r="AO63" s="11" t="n">
        <f aca="false">AO30+AO59</f>
        <v>55.9885725871897</v>
      </c>
      <c r="AP63" s="11" t="n">
        <f aca="false">AP30+AP59</f>
        <v>56.3466288097133</v>
      </c>
      <c r="AQ63" s="11" t="n">
        <f aca="false">AQ30+AQ59</f>
        <v>56.7055786092496</v>
      </c>
      <c r="AR63" s="11" t="n">
        <f aca="false">AR30+AR59</f>
        <v>57.0598992285319</v>
      </c>
      <c r="AS63" s="11" t="n">
        <f aca="false">AS30+AS59</f>
        <v>57.4283366565219</v>
      </c>
      <c r="AT63" s="11" t="n">
        <f aca="false">AT30+AT59</f>
        <v>57.79793345377</v>
      </c>
      <c r="AU63" s="11" t="n">
        <f aca="false">AU30+AU59</f>
        <v>58.1601303800395</v>
      </c>
      <c r="AV63" s="11" t="n">
        <f aca="false">AV30+AV59</f>
        <v>62.1928289028573</v>
      </c>
      <c r="AW63" s="11" t="n">
        <f aca="false">AW30+AW59</f>
        <v>65.4747147219369</v>
      </c>
      <c r="AX63" s="11" t="n">
        <f aca="false">AX30+AX59</f>
        <v>65.7739998413268</v>
      </c>
      <c r="AY63" s="11" t="n">
        <f aca="false">AY30+AY59</f>
        <v>65.7739998413268</v>
      </c>
      <c r="AZ63" s="11" t="n">
        <f aca="false">AZ30+AZ59</f>
        <v>65.7739998413268</v>
      </c>
      <c r="BA63" s="11" t="n">
        <f aca="false">BA30+BA59</f>
        <v>65.7739998413268</v>
      </c>
      <c r="BB63" s="11" t="n">
        <f aca="false">BB30+BB59</f>
        <v>65.7739998413268</v>
      </c>
      <c r="BC63" s="11" t="n">
        <f aca="false">BC30+BC59</f>
        <v>65.7739998413268</v>
      </c>
      <c r="BD63" s="11" t="n">
        <f aca="false">BD30+BD59</f>
        <v>65.7739998413268</v>
      </c>
      <c r="BE63" s="11" t="n">
        <f aca="false">BE30+BE59</f>
        <v>65.7739998413268</v>
      </c>
      <c r="BF63" s="11" t="n">
        <f aca="false">BF30+BF59</f>
        <v>65.7739998413268</v>
      </c>
      <c r="BG63" s="11" t="n">
        <f aca="false">BG30+BG59</f>
        <v>65.7739998413268</v>
      </c>
      <c r="BH63" s="11" t="n">
        <f aca="false">BH30+BH59</f>
        <v>65.7739998413268</v>
      </c>
      <c r="BI63" s="11" t="n">
        <f aca="false">BI30+BI59</f>
        <v>65.7739998413268</v>
      </c>
      <c r="BJ63" s="11" t="n">
        <f aca="false">BJ30+BJ59</f>
        <v>65.7739998413268</v>
      </c>
    </row>
    <row r="64" customFormat="false" ht="15" hidden="false" customHeight="false" outlineLevel="0" collapsed="false">
      <c r="D64" s="0" t="s">
        <v>622</v>
      </c>
      <c r="E64" s="0" t="s">
        <v>149</v>
      </c>
      <c r="J64" s="11" t="n">
        <f aca="false">J31+J60</f>
        <v>34.3353096599466</v>
      </c>
      <c r="K64" s="11" t="n">
        <f aca="false">K31+K60</f>
        <v>35.041078657081</v>
      </c>
      <c r="L64" s="11" t="n">
        <f aca="false">L31+L60</f>
        <v>35.9402613088043</v>
      </c>
      <c r="M64" s="11" t="n">
        <f aca="false">M31+M60</f>
        <v>37.2100917744384</v>
      </c>
      <c r="N64" s="11" t="n">
        <f aca="false">N31+N60</f>
        <v>39.0376683694639</v>
      </c>
      <c r="O64" s="11" t="n">
        <f aca="false">O31+O60</f>
        <v>41.555087705691</v>
      </c>
      <c r="P64" s="11" t="n">
        <f aca="false">P31+P60</f>
        <v>44.83766103071</v>
      </c>
      <c r="Q64" s="11" t="n">
        <f aca="false">Q31+Q60</f>
        <v>49.0043670495354</v>
      </c>
      <c r="R64" s="11" t="n">
        <f aca="false">R31+R60</f>
        <v>54.0513985509307</v>
      </c>
      <c r="S64" s="11" t="n">
        <f aca="false">S31+S60</f>
        <v>59.9952528168505</v>
      </c>
      <c r="T64" s="11" t="n">
        <f aca="false">T31+T60</f>
        <v>66.7779527490092</v>
      </c>
      <c r="U64" s="11" t="n">
        <f aca="false">U31+U60</f>
        <v>74.3653638019821</v>
      </c>
      <c r="V64" s="11" t="n">
        <f aca="false">V31+V60</f>
        <v>82.6600761405129</v>
      </c>
      <c r="W64" s="11" t="n">
        <f aca="false">W31+W60</f>
        <v>91.5427758717095</v>
      </c>
      <c r="X64" s="11" t="n">
        <f aca="false">X31+X60</f>
        <v>100.912612631315</v>
      </c>
      <c r="Y64" s="11" t="n">
        <f aca="false">Y31+Y60</f>
        <v>110.606463254433</v>
      </c>
      <c r="Z64" s="11" t="n">
        <f aca="false">Z31+Z60</f>
        <v>120.503628189885</v>
      </c>
      <c r="AA64" s="11" t="n">
        <f aca="false">AA31+AA60</f>
        <v>130.770077570332</v>
      </c>
      <c r="AB64" s="11" t="n">
        <f aca="false">AB31+AB60</f>
        <v>140.562708445044</v>
      </c>
      <c r="AC64" s="11" t="n">
        <f aca="false">AC31+AC60</f>
        <v>150.123083437495</v>
      </c>
      <c r="AD64" s="11" t="n">
        <f aca="false">AD31+AD60</f>
        <v>159.262088369299</v>
      </c>
      <c r="AE64" s="11" t="n">
        <f aca="false">AE31+AE60</f>
        <v>167.885167260741</v>
      </c>
      <c r="AF64" s="11" t="n">
        <f aca="false">AF31+AF60</f>
        <v>175.84457431654</v>
      </c>
      <c r="AG64" s="11" t="n">
        <f aca="false">AG31+AG60</f>
        <v>183.085969678611</v>
      </c>
      <c r="AH64" s="11" t="n">
        <f aca="false">AH31+AH60</f>
        <v>189.522449262617</v>
      </c>
      <c r="AI64" s="11" t="n">
        <f aca="false">AI31+AI60</f>
        <v>195.094190320967</v>
      </c>
      <c r="AJ64" s="11" t="n">
        <f aca="false">AJ31+AJ60</f>
        <v>199.831712893411</v>
      </c>
      <c r="AK64" s="11" t="n">
        <f aca="false">AK31+AK60</f>
        <v>203.719487079586</v>
      </c>
      <c r="AL64" s="11" t="n">
        <f aca="false">AL31+AL60</f>
        <v>206.858836327158</v>
      </c>
      <c r="AM64" s="11" t="n">
        <f aca="false">AM31+AM60</f>
        <v>209.327648470964</v>
      </c>
      <c r="AN64" s="11" t="n">
        <f aca="false">AN31+AN60</f>
        <v>211.196015585213</v>
      </c>
      <c r="AO64" s="11" t="n">
        <f aca="false">AO31+AO60</f>
        <v>212.756575831321</v>
      </c>
      <c r="AP64" s="11" t="n">
        <f aca="false">AP31+AP60</f>
        <v>214.117189476911</v>
      </c>
      <c r="AQ64" s="11" t="n">
        <f aca="false">AQ31+AQ60</f>
        <v>215.481198715148</v>
      </c>
      <c r="AR64" s="11" t="n">
        <f aca="false">AR31+AR60</f>
        <v>216.827617068421</v>
      </c>
      <c r="AS64" s="11" t="n">
        <f aca="false">AS31+AS60</f>
        <v>218.227679294783</v>
      </c>
      <c r="AT64" s="11" t="n">
        <f aca="false">AT31+AT60</f>
        <v>219.632147124326</v>
      </c>
      <c r="AU64" s="11" t="n">
        <f aca="false">AU31+AU60</f>
        <v>221.00849544415</v>
      </c>
      <c r="AV64" s="11" t="n">
        <f aca="false">AV31+AV60</f>
        <v>236.332749830858</v>
      </c>
      <c r="AW64" s="11" t="n">
        <f aca="false">AW31+AW60</f>
        <v>248.80391594336</v>
      </c>
      <c r="AX64" s="11" t="n">
        <f aca="false">AX31+AX60</f>
        <v>249.941199397042</v>
      </c>
      <c r="AY64" s="11" t="n">
        <f aca="false">AY31+AY60</f>
        <v>249.941199397042</v>
      </c>
      <c r="AZ64" s="11" t="n">
        <f aca="false">AZ31+AZ60</f>
        <v>249.941199397042</v>
      </c>
      <c r="BA64" s="11" t="n">
        <f aca="false">BA31+BA60</f>
        <v>249.941199397042</v>
      </c>
      <c r="BB64" s="11" t="n">
        <f aca="false">BB31+BB60</f>
        <v>249.941199397042</v>
      </c>
      <c r="BC64" s="11" t="n">
        <f aca="false">BC31+BC60</f>
        <v>249.941199397042</v>
      </c>
      <c r="BD64" s="11" t="n">
        <f aca="false">BD31+BD60</f>
        <v>249.941199397042</v>
      </c>
      <c r="BE64" s="11" t="n">
        <f aca="false">BE31+BE60</f>
        <v>249.941199397042</v>
      </c>
      <c r="BF64" s="11" t="n">
        <f aca="false">BF31+BF60</f>
        <v>249.941199397042</v>
      </c>
      <c r="BG64" s="11" t="n">
        <f aca="false">BG31+BG60</f>
        <v>249.941199397042</v>
      </c>
      <c r="BH64" s="11" t="n">
        <f aca="false">BH31+BH60</f>
        <v>249.941199397042</v>
      </c>
      <c r="BI64" s="11" t="n">
        <f aca="false">BI31+BI60</f>
        <v>249.941199397042</v>
      </c>
      <c r="BJ64" s="11" t="n">
        <f aca="false">BJ31+BJ60</f>
        <v>249.941199397042</v>
      </c>
    </row>
    <row r="65" customFormat="false" ht="15" hidden="false" customHeight="false" outlineLevel="0" collapsed="false">
      <c r="D65" s="0" t="s">
        <v>623</v>
      </c>
      <c r="E65" s="0" t="s">
        <v>149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0</v>
      </c>
      <c r="AS65" s="11" t="n">
        <f aca="false">AS32+AS55</f>
        <v>0</v>
      </c>
      <c r="AT65" s="11" t="n">
        <f aca="false">AT32+AT55</f>
        <v>0</v>
      </c>
      <c r="AU65" s="11" t="n">
        <f aca="false">AU32+AU55</f>
        <v>0</v>
      </c>
      <c r="AV65" s="11" t="n">
        <f aca="false">AV32+AV55</f>
        <v>0</v>
      </c>
      <c r="AW65" s="11" t="n">
        <f aca="false">AW32+AW55</f>
        <v>0</v>
      </c>
      <c r="AX65" s="11" t="n">
        <f aca="false">AX32+AX55</f>
        <v>1.99840144432528E-013</v>
      </c>
      <c r="AY65" s="11" t="n">
        <f aca="false">AY32+AY55</f>
        <v>1.99840144432528E-013</v>
      </c>
      <c r="AZ65" s="11" t="n">
        <f aca="false">AZ32+AZ55</f>
        <v>1.99840144432528E-013</v>
      </c>
      <c r="BA65" s="11" t="n">
        <f aca="false">BA32+BA55</f>
        <v>1.99840144432528E-013</v>
      </c>
      <c r="BB65" s="11" t="n">
        <f aca="false">BB32+BB55</f>
        <v>1.99840144432528E-013</v>
      </c>
      <c r="BC65" s="11" t="n">
        <f aca="false">BC32+BC55</f>
        <v>1.99840144432528E-013</v>
      </c>
      <c r="BD65" s="11" t="n">
        <f aca="false">BD32+BD55</f>
        <v>1.99840144432528E-013</v>
      </c>
      <c r="BE65" s="11" t="n">
        <f aca="false">BE32+BE55</f>
        <v>1.99840144432528E-013</v>
      </c>
      <c r="BF65" s="11" t="n">
        <f aca="false">BF32+BF55</f>
        <v>1.99840144432528E-013</v>
      </c>
      <c r="BG65" s="11" t="n">
        <f aca="false">BG32+BG55</f>
        <v>1.99840144432528E-013</v>
      </c>
      <c r="BH65" s="11" t="n">
        <f aca="false">BH32+BH55</f>
        <v>1.99840144432528E-013</v>
      </c>
      <c r="BI65" s="11" t="n">
        <f aca="false">BI32+BI55</f>
        <v>1.99840144432528E-013</v>
      </c>
      <c r="BJ65" s="11" t="n">
        <f aca="false">BJ32+BJ55</f>
        <v>1.99840144432528E-013</v>
      </c>
    </row>
    <row r="66" customFormat="false" ht="15" hidden="false" customHeight="false" outlineLevel="0" collapsed="false">
      <c r="B66" s="2" t="s">
        <v>624</v>
      </c>
    </row>
    <row r="67" customFormat="false" ht="15" hidden="false" customHeight="false" outlineLevel="0" collapsed="false">
      <c r="D67" s="0" t="s">
        <v>625</v>
      </c>
      <c r="E67" s="0" t="s">
        <v>149</v>
      </c>
      <c r="G67" s="11" t="n">
        <f aca="false">SUM(J67:BJ67)</f>
        <v>230.410683158074</v>
      </c>
      <c r="J67" s="11" t="n">
        <f aca="false">J50-J47+J56</f>
        <v>31.6523333259076</v>
      </c>
      <c r="K67" s="11" t="n">
        <f aca="false">K50-K47+K56</f>
        <v>0.650619894494443</v>
      </c>
      <c r="L67" s="11" t="n">
        <f aca="false">L50-L47+L56</f>
        <v>0.828920120281372</v>
      </c>
      <c r="M67" s="11" t="n">
        <f aca="false">M50-M47+M56</f>
        <v>1.17060534952821</v>
      </c>
      <c r="N67" s="11" t="n">
        <f aca="false">N50-N47+N56</f>
        <v>1.6847689488543</v>
      </c>
      <c r="O67" s="11" t="n">
        <f aca="false">O50-O47+O56</f>
        <v>2.32070707212229</v>
      </c>
      <c r="P67" s="11" t="n">
        <f aca="false">P50-P47+P56</f>
        <v>3.02607158867241</v>
      </c>
      <c r="Q67" s="11" t="n">
        <f aca="false">Q50-Q47+Q56</f>
        <v>3.84111776142731</v>
      </c>
      <c r="R67" s="11" t="n">
        <f aca="false">R50-R47+R56</f>
        <v>4.65265422012123</v>
      </c>
      <c r="S67" s="11" t="n">
        <f aca="false">S50-S47+S56</f>
        <v>5.47939885583676</v>
      </c>
      <c r="T67" s="11" t="n">
        <f aca="false">T50-T47+T56</f>
        <v>6.25269674945551</v>
      </c>
      <c r="U67" s="11" t="n">
        <f aca="false">U50-U47+U56</f>
        <v>6.99452738617733</v>
      </c>
      <c r="V67" s="11" t="n">
        <f aca="false">V50-V47+V56</f>
        <v>7.64655983539785</v>
      </c>
      <c r="W67" s="11" t="n">
        <f aca="false">W50-W47+W56</f>
        <v>8.18860163226564</v>
      </c>
      <c r="X67" s="11" t="n">
        <f aca="false">X50-X47+X56</f>
        <v>8.63767355709461</v>
      </c>
      <c r="Y67" s="11" t="n">
        <f aca="false">Y50-Y47+Y56</f>
        <v>8.93636883352236</v>
      </c>
      <c r="Z67" s="11" t="n">
        <f aca="false">Z50-Z47+Z56</f>
        <v>9.12379607526444</v>
      </c>
      <c r="AA67" s="11" t="n">
        <f aca="false">AA50-AA47+AA56</f>
        <v>9.4642244698474</v>
      </c>
      <c r="AB67" s="11" t="n">
        <f aca="false">AB50-AB47+AB56</f>
        <v>9.02743035242129</v>
      </c>
      <c r="AC67" s="11" t="n">
        <f aca="false">AC50-AC47+AC56</f>
        <v>8.81332304786893</v>
      </c>
      <c r="AD67" s="11" t="n">
        <f aca="false">AD50-AD47+AD56</f>
        <v>8.42487903075477</v>
      </c>
      <c r="AE67" s="11" t="n">
        <f aca="false">AE50-AE47+AE56</f>
        <v>7.94926768014383</v>
      </c>
      <c r="AF67" s="11" t="n">
        <f aca="false">AF50-AF47+AF56</f>
        <v>7.3374554562592</v>
      </c>
      <c r="AG67" s="11" t="n">
        <f aca="false">AG50-AG47+AG56</f>
        <v>6.67554951491576</v>
      </c>
      <c r="AH67" s="11" t="n">
        <f aca="false">AH50-AH47+AH56</f>
        <v>5.93353021295238</v>
      </c>
      <c r="AI67" s="11" t="n">
        <f aca="false">AI50-AI47+AI56</f>
        <v>5.1363627394417</v>
      </c>
      <c r="AJ67" s="11" t="n">
        <f aca="false">AJ50-AJ47+AJ56</f>
        <v>4.36733045623116</v>
      </c>
      <c r="AK67" s="11" t="n">
        <f aca="false">AK50-AK47+AK56</f>
        <v>3.58398178596361</v>
      </c>
      <c r="AL67" s="11" t="n">
        <f aca="false">AL50-AL47+AL56</f>
        <v>2.89403910419691</v>
      </c>
      <c r="AM67" s="11" t="n">
        <f aca="false">AM50-AM47+AM56</f>
        <v>2.27589806728741</v>
      </c>
      <c r="AN67" s="11" t="n">
        <f aca="false">AN50-AN47+AN56</f>
        <v>1.72237207880343</v>
      </c>
      <c r="AO67" s="11" t="n">
        <f aca="false">AO50-AO47+AO56</f>
        <v>1.43861737593699</v>
      </c>
      <c r="AP67" s="11" t="n">
        <f aca="false">AP50-AP47+AP56</f>
        <v>1.25429469151466</v>
      </c>
      <c r="AQ67" s="11" t="n">
        <f aca="false">AQ50-AQ47+AQ56</f>
        <v>1.25742495104635</v>
      </c>
      <c r="AR67" s="11" t="n">
        <f aca="false">AR50-AR47+AR56</f>
        <v>1.24120862563906</v>
      </c>
      <c r="AS67" s="11" t="n">
        <f aca="false">AS50-AS47+AS56</f>
        <v>1.29066074267882</v>
      </c>
      <c r="AT67" s="11" t="n">
        <f aca="false">AT50-AT47+AT56</f>
        <v>1.29472209007219</v>
      </c>
      <c r="AU67" s="11" t="n">
        <f aca="false">AU50-AU47+AU56</f>
        <v>1.26879985132176</v>
      </c>
      <c r="AV67" s="11" t="n">
        <f aca="false">AV50-AV47+AV56</f>
        <v>14.126810348383</v>
      </c>
      <c r="AW67" s="11" t="n">
        <f aca="false">AW50-AW47+AW56</f>
        <v>11.4966636580586</v>
      </c>
      <c r="AX67" s="11" t="n">
        <f aca="false">AX50-AX47+AX56</f>
        <v>1.04841561991132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626</v>
      </c>
      <c r="E68" s="0" t="s">
        <v>149</v>
      </c>
      <c r="G68" s="11" t="n">
        <f aca="false">SUM(J68:BJ68)</f>
        <v>216.210683158074</v>
      </c>
      <c r="J68" s="11" t="n">
        <f aca="false">J67-IF(Construction!J8=1,Inputs!$F$68,0)</f>
        <v>17.4523333259077</v>
      </c>
      <c r="K68" s="11" t="n">
        <f aca="false">K67-IF(Construction!K8=1,Inputs!$F$68,0)</f>
        <v>0.650619894494443</v>
      </c>
      <c r="L68" s="11" t="n">
        <f aca="false">L67-IF(Construction!L8=1,Inputs!$F$68,0)</f>
        <v>0.828920120281372</v>
      </c>
      <c r="M68" s="11" t="n">
        <f aca="false">M67-IF(Construction!M8=1,Inputs!$F$68,0)</f>
        <v>1.17060534952821</v>
      </c>
      <c r="N68" s="11" t="n">
        <f aca="false">N67-IF(Construction!N8=1,Inputs!$F$68,0)</f>
        <v>1.6847689488543</v>
      </c>
      <c r="O68" s="11" t="n">
        <f aca="false">O67-IF(Construction!O8=1,Inputs!$F$68,0)</f>
        <v>2.32070707212229</v>
      </c>
      <c r="P68" s="11" t="n">
        <f aca="false">P67-IF(Construction!P8=1,Inputs!$F$68,0)</f>
        <v>3.02607158867241</v>
      </c>
      <c r="Q68" s="11" t="n">
        <f aca="false">Q67-IF(Construction!Q8=1,Inputs!$F$68,0)</f>
        <v>3.84111776142731</v>
      </c>
      <c r="R68" s="11" t="n">
        <f aca="false">R67-IF(Construction!R8=1,Inputs!$F$68,0)</f>
        <v>4.65265422012123</v>
      </c>
      <c r="S68" s="11" t="n">
        <f aca="false">S67-IF(Construction!S8=1,Inputs!$F$68,0)</f>
        <v>5.47939885583676</v>
      </c>
      <c r="T68" s="11" t="n">
        <f aca="false">T67-IF(Construction!T8=1,Inputs!$F$68,0)</f>
        <v>6.25269674945551</v>
      </c>
      <c r="U68" s="11" t="n">
        <f aca="false">U67-IF(Construction!U8=1,Inputs!$F$68,0)</f>
        <v>6.99452738617733</v>
      </c>
      <c r="V68" s="11" t="n">
        <f aca="false">V67-IF(Construction!V8=1,Inputs!$F$68,0)</f>
        <v>7.64655983539785</v>
      </c>
      <c r="W68" s="11" t="n">
        <f aca="false">W67-IF(Construction!W8=1,Inputs!$F$68,0)</f>
        <v>8.18860163226564</v>
      </c>
      <c r="X68" s="11" t="n">
        <f aca="false">X67-IF(Construction!X8=1,Inputs!$F$68,0)</f>
        <v>8.63767355709461</v>
      </c>
      <c r="Y68" s="11" t="n">
        <f aca="false">Y67-IF(Construction!Y8=1,Inputs!$F$68,0)</f>
        <v>8.93636883352236</v>
      </c>
      <c r="Z68" s="11" t="n">
        <f aca="false">Z67-IF(Construction!Z8=1,Inputs!$F$68,0)</f>
        <v>9.12379607526444</v>
      </c>
      <c r="AA68" s="11" t="n">
        <f aca="false">AA67-IF(Construction!AA8=1,Inputs!$F$68,0)</f>
        <v>9.4642244698474</v>
      </c>
      <c r="AB68" s="11" t="n">
        <f aca="false">AB67-IF(Construction!AB8=1,Inputs!$F$68,0)</f>
        <v>9.02743035242129</v>
      </c>
      <c r="AC68" s="11" t="n">
        <f aca="false">AC67-IF(Construction!AC8=1,Inputs!$F$68,0)</f>
        <v>8.81332304786893</v>
      </c>
      <c r="AD68" s="11" t="n">
        <f aca="false">AD67-IF(Construction!AD8=1,Inputs!$F$68,0)</f>
        <v>8.42487903075477</v>
      </c>
      <c r="AE68" s="11" t="n">
        <f aca="false">AE67-IF(Construction!AE8=1,Inputs!$F$68,0)</f>
        <v>7.94926768014383</v>
      </c>
      <c r="AF68" s="11" t="n">
        <f aca="false">AF67-IF(Construction!AF8=1,Inputs!$F$68,0)</f>
        <v>7.3374554562592</v>
      </c>
      <c r="AG68" s="11" t="n">
        <f aca="false">AG67-IF(Construction!AG8=1,Inputs!$F$68,0)</f>
        <v>6.67554951491576</v>
      </c>
      <c r="AH68" s="11" t="n">
        <f aca="false">AH67-IF(Construction!AH8=1,Inputs!$F$68,0)</f>
        <v>5.93353021295238</v>
      </c>
      <c r="AI68" s="11" t="n">
        <f aca="false">AI67-IF(Construction!AI8=1,Inputs!$F$68,0)</f>
        <v>5.1363627394417</v>
      </c>
      <c r="AJ68" s="11" t="n">
        <f aca="false">AJ67-IF(Construction!AJ8=1,Inputs!$F$68,0)</f>
        <v>4.36733045623116</v>
      </c>
      <c r="AK68" s="11" t="n">
        <f aca="false">AK67-IF(Construction!AK8=1,Inputs!$F$68,0)</f>
        <v>3.58398178596361</v>
      </c>
      <c r="AL68" s="11" t="n">
        <f aca="false">AL67-IF(Construction!AL8=1,Inputs!$F$68,0)</f>
        <v>2.89403910419691</v>
      </c>
      <c r="AM68" s="11" t="n">
        <f aca="false">AM67-IF(Construction!AM8=1,Inputs!$F$68,0)</f>
        <v>2.27589806728741</v>
      </c>
      <c r="AN68" s="11" t="n">
        <f aca="false">AN67-IF(Construction!AN8=1,Inputs!$F$68,0)</f>
        <v>1.72237207880343</v>
      </c>
      <c r="AO68" s="11" t="n">
        <f aca="false">AO67-IF(Construction!AO8=1,Inputs!$F$68,0)</f>
        <v>1.43861737593699</v>
      </c>
      <c r="AP68" s="11" t="n">
        <f aca="false">AP67-IF(Construction!AP8=1,Inputs!$F$68,0)</f>
        <v>1.25429469151466</v>
      </c>
      <c r="AQ68" s="11" t="n">
        <f aca="false">AQ67-IF(Construction!AQ8=1,Inputs!$F$68,0)</f>
        <v>1.25742495104635</v>
      </c>
      <c r="AR68" s="11" t="n">
        <f aca="false">AR67-IF(Construction!AR8=1,Inputs!$F$68,0)</f>
        <v>1.24120862563906</v>
      </c>
      <c r="AS68" s="11" t="n">
        <f aca="false">AS67-IF(Construction!AS8=1,Inputs!$F$68,0)</f>
        <v>1.29066074267882</v>
      </c>
      <c r="AT68" s="11" t="n">
        <f aca="false">AT67-IF(Construction!AT8=1,Inputs!$F$68,0)</f>
        <v>1.29472209007219</v>
      </c>
      <c r="AU68" s="11" t="n">
        <f aca="false">AU67-IF(Construction!AU8=1,Inputs!$F$68,0)</f>
        <v>1.26879985132176</v>
      </c>
      <c r="AV68" s="11" t="n">
        <f aca="false">AV67-IF(Construction!AV8=1,Inputs!$F$68,0)</f>
        <v>14.126810348383</v>
      </c>
      <c r="AW68" s="11" t="n">
        <f aca="false">AW67-IF(Construction!AW8=1,Inputs!$F$68,0)</f>
        <v>11.4966636580586</v>
      </c>
      <c r="AX68" s="11" t="n">
        <f aca="false">AX67-IF(Construction!AX8=1,Inputs!$F$68,0)</f>
        <v>1.04841561991132</v>
      </c>
      <c r="AY68" s="11" t="n">
        <f aca="false">AY67-IF(Construction!AY8=1,Inputs!$F$68,0)</f>
        <v>0</v>
      </c>
      <c r="AZ68" s="11" t="n">
        <f aca="false">AZ67-IF(Construction!AZ8=1,Inputs!$F$68,0)</f>
        <v>0</v>
      </c>
      <c r="BA68" s="11" t="n">
        <f aca="false">BA67-IF(Construction!BA8=1,Inputs!$F$68,0)</f>
        <v>0</v>
      </c>
      <c r="BB68" s="11" t="n">
        <f aca="false">BB67-IF(Construction!BB8=1,Inputs!$F$68,0)</f>
        <v>0</v>
      </c>
      <c r="BC68" s="11" t="n">
        <f aca="false">BC67-IF(Construction!BC8=1,Inputs!$F$68,0)</f>
        <v>0</v>
      </c>
      <c r="BD68" s="11" t="n">
        <f aca="false">BD67-IF(Construction!BD8=1,Inputs!$F$68,0)</f>
        <v>0</v>
      </c>
      <c r="BE68" s="11" t="n">
        <f aca="false">BE67-IF(Construction!BE8=1,Inputs!$F$68,0)</f>
        <v>0</v>
      </c>
      <c r="BF68" s="11" t="n">
        <f aca="false">BF67-IF(Construction!BF8=1,Inputs!$F$68,0)</f>
        <v>0</v>
      </c>
      <c r="BG68" s="11" t="n">
        <f aca="false">BG67-IF(Construction!BG8=1,Inputs!$F$68,0)</f>
        <v>0</v>
      </c>
      <c r="BH68" s="11" t="n">
        <f aca="false">BH67-IF(Construction!BH8=1,Inputs!$F$68,0)</f>
        <v>0</v>
      </c>
      <c r="BI68" s="11" t="n">
        <f aca="false">BI67-IF(Construction!BI8=1,Inputs!$F$68,0)</f>
        <v>0</v>
      </c>
      <c r="BJ68" s="11" t="n">
        <f aca="false">BJ67-IF(Construction!BJ8=1,Inputs!$F$68,0)</f>
        <v>0</v>
      </c>
    </row>
    <row r="69" customFormat="false" ht="15" hidden="false" customHeight="false" outlineLevel="0" collapsed="false">
      <c r="D69" s="0" t="s">
        <v>627</v>
      </c>
      <c r="E69" s="0" t="s">
        <v>149</v>
      </c>
      <c r="G69" s="11" t="n">
        <f aca="false">SUM(J69:BJ69)</f>
        <v>46.0821366316148</v>
      </c>
      <c r="J69" s="11" t="n">
        <f aca="false">(1-Inputs!$F$53)*J67</f>
        <v>6.33046666518153</v>
      </c>
      <c r="K69" s="11" t="n">
        <f aca="false">(1-Inputs!$F$53)*K67</f>
        <v>0.130123978898889</v>
      </c>
      <c r="L69" s="11" t="n">
        <f aca="false">(1-Inputs!$F$53)*L67</f>
        <v>0.165784024056274</v>
      </c>
      <c r="M69" s="11" t="n">
        <f aca="false">(1-Inputs!$F$53)*M67</f>
        <v>0.234121069905643</v>
      </c>
      <c r="N69" s="11" t="n">
        <f aca="false">(1-Inputs!$F$53)*N67</f>
        <v>0.33695378977086</v>
      </c>
      <c r="O69" s="11" t="n">
        <f aca="false">(1-Inputs!$F$53)*O67</f>
        <v>0.464141414424458</v>
      </c>
      <c r="P69" s="11" t="n">
        <f aca="false">(1-Inputs!$F$53)*P67</f>
        <v>0.605214317734482</v>
      </c>
      <c r="Q69" s="11" t="n">
        <f aca="false">(1-Inputs!$F$53)*Q67</f>
        <v>0.768223552285462</v>
      </c>
      <c r="R69" s="11" t="n">
        <f aca="false">(1-Inputs!$F$53)*R67</f>
        <v>0.930530844024245</v>
      </c>
      <c r="S69" s="11" t="n">
        <f aca="false">(1-Inputs!$F$53)*S67</f>
        <v>1.09587977116735</v>
      </c>
      <c r="T69" s="11" t="n">
        <f aca="false">(1-Inputs!$F$53)*T67</f>
        <v>1.2505393498911</v>
      </c>
      <c r="U69" s="11" t="n">
        <f aca="false">(1-Inputs!$F$53)*U67</f>
        <v>1.39890547723547</v>
      </c>
      <c r="V69" s="11" t="n">
        <f aca="false">(1-Inputs!$F$53)*V67</f>
        <v>1.52931196707957</v>
      </c>
      <c r="W69" s="11" t="n">
        <f aca="false">(1-Inputs!$F$53)*W67</f>
        <v>1.63772032645313</v>
      </c>
      <c r="X69" s="11" t="n">
        <f aca="false">(1-Inputs!$F$53)*X67</f>
        <v>1.72753471141892</v>
      </c>
      <c r="Y69" s="11" t="n">
        <f aca="false">(1-Inputs!$F$53)*Y67</f>
        <v>1.78727376670447</v>
      </c>
      <c r="Z69" s="11" t="n">
        <f aca="false">(1-Inputs!$F$53)*Z67</f>
        <v>1.82475921505289</v>
      </c>
      <c r="AA69" s="11" t="n">
        <f aca="false">(1-Inputs!$F$53)*AA67</f>
        <v>1.89284489396948</v>
      </c>
      <c r="AB69" s="11" t="n">
        <f aca="false">(1-Inputs!$F$53)*AB67</f>
        <v>1.80548607048426</v>
      </c>
      <c r="AC69" s="11" t="n">
        <f aca="false">(1-Inputs!$F$53)*AC67</f>
        <v>1.76266460957379</v>
      </c>
      <c r="AD69" s="11" t="n">
        <f aca="false">(1-Inputs!$F$53)*AD67</f>
        <v>1.68497580615095</v>
      </c>
      <c r="AE69" s="11" t="n">
        <f aca="false">(1-Inputs!$F$53)*AE67</f>
        <v>1.58985353602877</v>
      </c>
      <c r="AF69" s="11" t="n">
        <f aca="false">(1-Inputs!$F$53)*AF67</f>
        <v>1.46749109125184</v>
      </c>
      <c r="AG69" s="11" t="n">
        <f aca="false">(1-Inputs!$F$53)*AG67</f>
        <v>1.33510990298315</v>
      </c>
      <c r="AH69" s="11" t="n">
        <f aca="false">(1-Inputs!$F$53)*AH67</f>
        <v>1.18670604259048</v>
      </c>
      <c r="AI69" s="11" t="n">
        <f aca="false">(1-Inputs!$F$53)*AI67</f>
        <v>1.02727254788834</v>
      </c>
      <c r="AJ69" s="11" t="n">
        <f aca="false">(1-Inputs!$F$53)*AJ67</f>
        <v>0.873466091246232</v>
      </c>
      <c r="AK69" s="11" t="n">
        <f aca="false">(1-Inputs!$F$53)*AK67</f>
        <v>0.716796357192722</v>
      </c>
      <c r="AL69" s="11" t="n">
        <f aca="false">(1-Inputs!$F$53)*AL67</f>
        <v>0.578807820839383</v>
      </c>
      <c r="AM69" s="11" t="n">
        <f aca="false">(1-Inputs!$F$53)*AM67</f>
        <v>0.455179613457482</v>
      </c>
      <c r="AN69" s="11" t="n">
        <f aca="false">(1-Inputs!$F$53)*AN67</f>
        <v>0.344474415760687</v>
      </c>
      <c r="AO69" s="11" t="n">
        <f aca="false">(1-Inputs!$F$53)*AO67</f>
        <v>0.287723475187398</v>
      </c>
      <c r="AP69" s="11" t="n">
        <f aca="false">(1-Inputs!$F$53)*AP67</f>
        <v>0.250858938302931</v>
      </c>
      <c r="AQ69" s="11" t="n">
        <f aca="false">(1-Inputs!$F$53)*AQ67</f>
        <v>0.25148499020927</v>
      </c>
      <c r="AR69" s="11" t="n">
        <f aca="false">(1-Inputs!$F$53)*AR67</f>
        <v>0.248241725127812</v>
      </c>
      <c r="AS69" s="11" t="n">
        <f aca="false">(1-Inputs!$F$53)*AS67</f>
        <v>0.258132148535763</v>
      </c>
      <c r="AT69" s="11" t="n">
        <f aca="false">(1-Inputs!$F$53)*AT67</f>
        <v>0.258944418014439</v>
      </c>
      <c r="AU69" s="11" t="n">
        <f aca="false">(1-Inputs!$F$53)*AU67</f>
        <v>0.253759970264352</v>
      </c>
      <c r="AV69" s="11" t="n">
        <f aca="false">(1-Inputs!$F$53)*AV67</f>
        <v>2.82536206967661</v>
      </c>
      <c r="AW69" s="11" t="n">
        <f aca="false">(1-Inputs!$F$53)*AW67</f>
        <v>2.29933273161172</v>
      </c>
      <c r="AX69" s="11" t="n">
        <f aca="false">(1-Inputs!$F$53)*AX67</f>
        <v>0.209683123982264</v>
      </c>
      <c r="AY69" s="11" t="n">
        <f aca="false">(1-Inputs!$F$53)*AY67</f>
        <v>0</v>
      </c>
      <c r="AZ69" s="11" t="n">
        <f aca="false">(1-Inputs!$F$53)*AZ67</f>
        <v>0</v>
      </c>
      <c r="BA69" s="11" t="n">
        <f aca="false">(1-Inputs!$F$53)*BA67</f>
        <v>0</v>
      </c>
      <c r="BB69" s="11" t="n">
        <f aca="false">(1-Inputs!$F$53)*BB67</f>
        <v>0</v>
      </c>
      <c r="BC69" s="11" t="n">
        <f aca="false">(1-Inputs!$F$53)*BC67</f>
        <v>0</v>
      </c>
      <c r="BD69" s="11" t="n">
        <f aca="false">(1-Inputs!$F$53)*BD67</f>
        <v>0</v>
      </c>
      <c r="BE69" s="11" t="n">
        <f aca="false">(1-Inputs!$F$53)*BE67</f>
        <v>0</v>
      </c>
      <c r="BF69" s="11" t="n">
        <f aca="false">(1-Inputs!$F$53)*BF67</f>
        <v>0</v>
      </c>
      <c r="BG69" s="11" t="n">
        <f aca="false">(1-Inputs!$F$53)*BG67</f>
        <v>0</v>
      </c>
      <c r="BH69" s="11" t="n">
        <f aca="false">(1-Inputs!$F$53)*BH67</f>
        <v>0</v>
      </c>
      <c r="BI69" s="11" t="n">
        <f aca="false">(1-Inputs!$F$53)*BI67</f>
        <v>0</v>
      </c>
      <c r="BJ69" s="11" t="n">
        <f aca="false">(1-Inputs!$F$53)*BJ67</f>
        <v>0</v>
      </c>
    </row>
    <row r="70" customFormat="false" ht="15" hidden="false" customHeight="false" outlineLevel="0" collapsed="false">
      <c r="D70" s="0" t="s">
        <v>628</v>
      </c>
      <c r="E70" s="0" t="s">
        <v>149</v>
      </c>
      <c r="G70" s="11" t="n">
        <f aca="false">SUM(J70:BJ70)</f>
        <v>184.328546526459</v>
      </c>
      <c r="J70" s="11" t="n">
        <f aca="false">Inputs!$F$53*J67</f>
        <v>25.3218666607261</v>
      </c>
      <c r="K70" s="11" t="n">
        <f aca="false">Inputs!$F$53*K67</f>
        <v>0.520495915595554</v>
      </c>
      <c r="L70" s="11" t="n">
        <f aca="false">Inputs!$F$53*L67</f>
        <v>0.663136096225098</v>
      </c>
      <c r="M70" s="11" t="n">
        <f aca="false">Inputs!$F$53*M67</f>
        <v>0.93648427962257</v>
      </c>
      <c r="N70" s="11" t="n">
        <f aca="false">Inputs!$F$53*N67</f>
        <v>1.34781515908344</v>
      </c>
      <c r="O70" s="11" t="n">
        <f aca="false">Inputs!$F$53*O67</f>
        <v>1.85656565769783</v>
      </c>
      <c r="P70" s="11" t="n">
        <f aca="false">Inputs!$F$53*P67</f>
        <v>2.42085727093793</v>
      </c>
      <c r="Q70" s="11" t="n">
        <f aca="false">Inputs!$F$53*Q67</f>
        <v>3.07289420914185</v>
      </c>
      <c r="R70" s="11" t="n">
        <f aca="false">Inputs!$F$53*R67</f>
        <v>3.72212337609698</v>
      </c>
      <c r="S70" s="11" t="n">
        <f aca="false">Inputs!$F$53*S67</f>
        <v>4.38351908466941</v>
      </c>
      <c r="T70" s="11" t="n">
        <f aca="false">Inputs!$F$53*T67</f>
        <v>5.00215739956441</v>
      </c>
      <c r="U70" s="11" t="n">
        <f aca="false">Inputs!$F$53*U67</f>
        <v>5.59562190894186</v>
      </c>
      <c r="V70" s="11" t="n">
        <f aca="false">Inputs!$F$53*V67</f>
        <v>6.11724786831828</v>
      </c>
      <c r="W70" s="11" t="n">
        <f aca="false">Inputs!$F$53*W67</f>
        <v>6.55088130581251</v>
      </c>
      <c r="X70" s="11" t="n">
        <f aca="false">Inputs!$F$53*X67</f>
        <v>6.91013884567569</v>
      </c>
      <c r="Y70" s="11" t="n">
        <f aca="false">Inputs!$F$53*Y67</f>
        <v>7.14909506681789</v>
      </c>
      <c r="Z70" s="11" t="n">
        <f aca="false">Inputs!$F$53*Z67</f>
        <v>7.29903686021155</v>
      </c>
      <c r="AA70" s="11" t="n">
        <f aca="false">Inputs!$F$53*AA67</f>
        <v>7.57137957587792</v>
      </c>
      <c r="AB70" s="11" t="n">
        <f aca="false">Inputs!$F$53*AB67</f>
        <v>7.22194428193703</v>
      </c>
      <c r="AC70" s="11" t="n">
        <f aca="false">Inputs!$F$53*AC67</f>
        <v>7.05065843829515</v>
      </c>
      <c r="AD70" s="11" t="n">
        <f aca="false">Inputs!$F$53*AD67</f>
        <v>6.73990322460382</v>
      </c>
      <c r="AE70" s="11" t="n">
        <f aca="false">Inputs!$F$53*AE67</f>
        <v>6.35941414411506</v>
      </c>
      <c r="AF70" s="11" t="n">
        <f aca="false">Inputs!$F$53*AF67</f>
        <v>5.86996436500736</v>
      </c>
      <c r="AG70" s="11" t="n">
        <f aca="false">Inputs!$F$53*AG67</f>
        <v>5.3404396119326</v>
      </c>
      <c r="AH70" s="11" t="n">
        <f aca="false">Inputs!$F$53*AH67</f>
        <v>4.7468241703619</v>
      </c>
      <c r="AI70" s="11" t="n">
        <f aca="false">Inputs!$F$53*AI67</f>
        <v>4.10909019155336</v>
      </c>
      <c r="AJ70" s="11" t="n">
        <f aca="false">Inputs!$F$53*AJ67</f>
        <v>3.49386436498493</v>
      </c>
      <c r="AK70" s="11" t="n">
        <f aca="false">Inputs!$F$53*AK67</f>
        <v>2.86718542877089</v>
      </c>
      <c r="AL70" s="11" t="n">
        <f aca="false">Inputs!$F$53*AL67</f>
        <v>2.31523128335753</v>
      </c>
      <c r="AM70" s="11" t="n">
        <f aca="false">Inputs!$F$53*AM67</f>
        <v>1.82071845382993</v>
      </c>
      <c r="AN70" s="11" t="n">
        <f aca="false">Inputs!$F$53*AN67</f>
        <v>1.37789766304275</v>
      </c>
      <c r="AO70" s="11" t="n">
        <f aca="false">Inputs!$F$53*AO67</f>
        <v>1.15089390074959</v>
      </c>
      <c r="AP70" s="11" t="n">
        <f aca="false">Inputs!$F$53*AP67</f>
        <v>1.00343575321172</v>
      </c>
      <c r="AQ70" s="11" t="n">
        <f aca="false">Inputs!$F$53*AQ67</f>
        <v>1.00593996083708</v>
      </c>
      <c r="AR70" s="11" t="n">
        <f aca="false">Inputs!$F$53*AR67</f>
        <v>0.992966900511248</v>
      </c>
      <c r="AS70" s="11" t="n">
        <f aca="false">Inputs!$F$53*AS67</f>
        <v>1.03252859414305</v>
      </c>
      <c r="AT70" s="11" t="n">
        <f aca="false">Inputs!$F$53*AT67</f>
        <v>1.03577767205776</v>
      </c>
      <c r="AU70" s="11" t="n">
        <f aca="false">Inputs!$F$53*AU67</f>
        <v>1.01503988105741</v>
      </c>
      <c r="AV70" s="11" t="n">
        <f aca="false">Inputs!$F$53*AV67</f>
        <v>11.3014482787064</v>
      </c>
      <c r="AW70" s="11" t="n">
        <f aca="false">Inputs!$F$53*AW67</f>
        <v>9.19733092644687</v>
      </c>
      <c r="AX70" s="11" t="n">
        <f aca="false">Inputs!$F$53*AX67</f>
        <v>0.838732495929056</v>
      </c>
      <c r="AY70" s="11" t="n">
        <f aca="false">Inputs!$F$53*AY67</f>
        <v>0</v>
      </c>
      <c r="AZ70" s="11" t="n">
        <f aca="false">Inputs!$F$53*AZ67</f>
        <v>0</v>
      </c>
      <c r="BA70" s="11" t="n">
        <f aca="false">Inputs!$F$53*BA67</f>
        <v>0</v>
      </c>
      <c r="BB70" s="11" t="n">
        <f aca="false">Inputs!$F$53*BB67</f>
        <v>0</v>
      </c>
      <c r="BC70" s="11" t="n">
        <f aca="false">Inputs!$F$53*BC67</f>
        <v>0</v>
      </c>
      <c r="BD70" s="11" t="n">
        <f aca="false">Inputs!$F$53*BD67</f>
        <v>0</v>
      </c>
      <c r="BE70" s="11" t="n">
        <f aca="false">Inputs!$F$53*BE67</f>
        <v>0</v>
      </c>
      <c r="BF70" s="11" t="n">
        <f aca="false">Inputs!$F$53*BF67</f>
        <v>0</v>
      </c>
      <c r="BG70" s="11" t="n">
        <f aca="false">Inputs!$F$53*BG67</f>
        <v>0</v>
      </c>
      <c r="BH70" s="11" t="n">
        <f aca="false">Inputs!$F$53*BH67</f>
        <v>0</v>
      </c>
      <c r="BI70" s="11" t="n">
        <f aca="false">Inputs!$F$53*BI67</f>
        <v>0</v>
      </c>
      <c r="BJ70" s="11" t="n">
        <f aca="false">Inputs!$F$53*BJ67</f>
        <v>0</v>
      </c>
    </row>
    <row r="71" customFormat="false" ht="15" hidden="false" customHeight="false" outlineLevel="0" collapsed="false">
      <c r="D71" s="0" t="s">
        <v>629</v>
      </c>
      <c r="E71" s="0" t="s">
        <v>149</v>
      </c>
      <c r="G71" s="11" t="n">
        <f aca="false">SUM(J71:BJ71)</f>
        <v>33.2468688143821</v>
      </c>
      <c r="J71" s="11" t="n">
        <f aca="false">IF(Construction!J8&lt;=Time!$F$10,0*Inputs!$F$104/100*Construction!J11/365,0)</f>
        <v>0</v>
      </c>
      <c r="K71" s="11" t="n">
        <f aca="false">IF(Construction!K8&lt;=Time!$F$10,J72*Inputs!$F$104/100*Construction!K11/365,0)</f>
        <v>0.197718684885122</v>
      </c>
      <c r="L71" s="11" t="n">
        <f aca="false">IF(Construction!L8&lt;=Time!$F$10,K72*Inputs!$F$104/100*Construction!L11/365,0)</f>
        <v>0.210104217299326</v>
      </c>
      <c r="M71" s="11" t="n">
        <f aca="false">IF(Construction!M8&lt;=Time!$F$10,L72*Inputs!$F$104/100*Construction!M11/365,0)</f>
        <v>0.21014511366571</v>
      </c>
      <c r="N71" s="11" t="n">
        <f aca="false">IF(Construction!N8&lt;=Time!$F$10,M72*Inputs!$F$104/100*Construction!N11/365,0)</f>
        <v>0.22640152219402</v>
      </c>
      <c r="O71" s="11" t="n">
        <f aca="false">IF(Construction!O8&lt;=Time!$F$10,N72*Inputs!$F$104/100*Construction!O11/365,0)</f>
        <v>0.239103078704601</v>
      </c>
      <c r="P71" s="11" t="n">
        <f aca="false">IF(Construction!P8&lt;=Time!$F$10,O72*Inputs!$F$104/100*Construction!P11/365,0)</f>
        <v>0.231236615851946</v>
      </c>
      <c r="Q71" s="11" t="n">
        <f aca="false">IF(Construction!Q8&lt;=Time!$F$10,P72*Inputs!$F$104/100*Construction!Q11/365,0)</f>
        <v>0.277410368910907</v>
      </c>
      <c r="R71" s="11" t="n">
        <f aca="false">IF(Construction!R8&lt;=Time!$F$10,Q72*Inputs!$F$104/100*Construction!R11/365,0)</f>
        <v>0.294621559791903</v>
      </c>
      <c r="S71" s="11" t="n">
        <f aca="false">IF(Construction!S8&lt;=Time!$F$10,R72*Inputs!$F$104/100*Construction!S11/365,0)</f>
        <v>0.336851357454901</v>
      </c>
      <c r="T71" s="11" t="n">
        <f aca="false">IF(Construction!T8&lt;=Time!$F$10,S72*Inputs!$F$104/100*Construction!T11/365,0)</f>
        <v>0.362842871647623</v>
      </c>
      <c r="U71" s="11" t="n">
        <f aca="false">IF(Construction!U8&lt;=Time!$F$10,T72*Inputs!$F$104/100*Construction!U11/365,0)</f>
        <v>0.418225101977574</v>
      </c>
      <c r="V71" s="11" t="n">
        <f aca="false">IF(Construction!V8&lt;=Time!$F$10,U72*Inputs!$F$104/100*Construction!V11/365,0)</f>
        <v>0.466747785394445</v>
      </c>
      <c r="W71" s="11" t="n">
        <f aca="false">IF(Construction!W8&lt;=Time!$F$10,V72*Inputs!$F$104/100*Construction!W11/365,0)</f>
        <v>0.50310068635216</v>
      </c>
      <c r="X71" s="11" t="n">
        <f aca="false">IF(Construction!X8&lt;=Time!$F$10,W72*Inputs!$F$104/100*Construction!X11/365,0)</f>
        <v>0.576785714619401</v>
      </c>
      <c r="Y71" s="11" t="n">
        <f aca="false">IF(Construction!Y8&lt;=Time!$F$10,X72*Inputs!$F$104/100*Construction!Y11/365,0)</f>
        <v>0.616639271761777</v>
      </c>
      <c r="Z71" s="11" t="n">
        <f aca="false">IF(Construction!Z8&lt;=Time!$F$10,Y72*Inputs!$F$104/100*Construction!Z11/365,0)</f>
        <v>0.699851688474705</v>
      </c>
      <c r="AA71" s="11" t="n">
        <f aca="false">IF(Construction!AA8&lt;=Time!$F$10,Z72*Inputs!$F$104/100*Construction!AA11/365,0)</f>
        <v>0.764390665942873</v>
      </c>
      <c r="AB71" s="11" t="n">
        <f aca="false">IF(Construction!AB8&lt;=Time!$F$10,AA72*Inputs!$F$104/100*Construction!AB11/365,0)</f>
        <v>0.777993076138578</v>
      </c>
      <c r="AC71" s="11" t="n">
        <f aca="false">IF(Construction!AC8&lt;=Time!$F$10,AB72*Inputs!$F$104/100*Construction!AC11/365,0)</f>
        <v>0.896195210824228</v>
      </c>
      <c r="AD71" s="11" t="n">
        <f aca="false">IF(Construction!AD8&lt;=Time!$F$10,AC72*Inputs!$F$104/100*Construction!AD11/365,0)</f>
        <v>0.929336462962881</v>
      </c>
      <c r="AE71" s="11" t="n">
        <f aca="false">IF(Construction!AE8&lt;=Time!$F$10,AD72*Inputs!$F$104/100*Construction!AE11/365,0)</f>
        <v>1.02219355295174</v>
      </c>
      <c r="AF71" s="11" t="n">
        <f aca="false">IF(Construction!AF8&lt;=Time!$F$10,AE72*Inputs!$F$104/100*Construction!AF11/365,0)</f>
        <v>1.04685677815796</v>
      </c>
      <c r="AG71" s="11" t="n">
        <f aca="false">IF(Construction!AG8&lt;=Time!$F$10,AF72*Inputs!$F$104/100*Construction!AG11/365,0)</f>
        <v>1.13756032811471</v>
      </c>
      <c r="AH71" s="11" t="n">
        <f aca="false">IF(Construction!AH8&lt;=Time!$F$10,AG72*Inputs!$F$104/100*Construction!AH11/365,0)</f>
        <v>1.18982802626111</v>
      </c>
      <c r="AI71" s="11" t="n">
        <f aca="false">IF(Construction!AI8&lt;=Time!$F$10,AH72*Inputs!$F$104/100*Construction!AI11/365,0)</f>
        <v>1.19780115856216</v>
      </c>
      <c r="AJ71" s="11" t="n">
        <f aca="false">IF(Construction!AJ8&lt;=Time!$F$10,AI72*Inputs!$F$104/100*Construction!AJ11/365,0)</f>
        <v>1.2805464803574</v>
      </c>
      <c r="AK71" s="11" t="n">
        <f aca="false">IF(Construction!AK8&lt;=Time!$F$10,AJ72*Inputs!$F$104/100*Construction!AK11/365,0)</f>
        <v>1.27651817570478</v>
      </c>
      <c r="AL71" s="11" t="n">
        <f aca="false">IF(Construction!AL8&lt;=Time!$F$10,AK72*Inputs!$F$104/100*Construction!AL11/365,0)</f>
        <v>1.35250222571278</v>
      </c>
      <c r="AM71" s="11" t="n">
        <f aca="false">IF(Construction!AM8&lt;=Time!$F$10,AL72*Inputs!$F$104/100*Construction!AM11/365,0)</f>
        <v>1.38209530840925</v>
      </c>
      <c r="AN71" s="11" t="n">
        <f aca="false">IF(Construction!AN8&lt;=Time!$F$10,AM72*Inputs!$F$104/100*Construction!AN11/365,0)</f>
        <v>1.27168520325027</v>
      </c>
      <c r="AO71" s="11" t="n">
        <f aca="false">IF(Construction!AO8&lt;=Time!$F$10,AN72*Inputs!$F$104/100*Construction!AO11/365,0)</f>
        <v>1.42931533052166</v>
      </c>
      <c r="AP71" s="11" t="n">
        <f aca="false">IF(Construction!AP8&lt;=Time!$F$10,AO72*Inputs!$F$104/100*Construction!AP11/365,0)</f>
        <v>1.40335522357887</v>
      </c>
      <c r="AQ71" s="11" t="n">
        <f aca="false">IF(Construction!AQ8&lt;=Time!$F$10,AP72*Inputs!$F$104/100*Construction!AQ11/365,0)</f>
        <v>1.46955290754287</v>
      </c>
      <c r="AR71" s="11" t="n">
        <f aca="false">IF(Construction!AR8&lt;=Time!$F$10,AQ72*Inputs!$F$104/100*Construction!AR11/365,0)</f>
        <v>1.44147716593158</v>
      </c>
      <c r="AS71" s="11" t="n">
        <f aca="false">IF(Construction!AS8&lt;=Time!$F$10,AR72*Inputs!$F$104/100*Construction!AS11/365,0)</f>
        <v>1.50916870007178</v>
      </c>
      <c r="AT71" s="11" t="n">
        <f aca="false">IF(Construction!AT8&lt;=Time!$F$10,AS72*Inputs!$F$104/100*Construction!AT11/365,0)</f>
        <v>1.52967636728127</v>
      </c>
      <c r="AU71" s="11" t="n">
        <f aca="false">IF(Construction!AU8&lt;=Time!$F$10,AT72*Inputs!$F$104/100*Construction!AU11/365,0)</f>
        <v>1.50036359576717</v>
      </c>
      <c r="AV71" s="11" t="n">
        <f aca="false">IF(Construction!AV8&lt;=Time!$F$10,AU72*Inputs!$F$104/100*Construction!AV11/365,0)</f>
        <v>1.57067123135004</v>
      </c>
      <c r="AW71" s="11" t="n">
        <f aca="false">IF(Construction!AW8&lt;=Time!$F$10,AV72*Inputs!$F$104/100*Construction!AW11/365,0)</f>
        <v>0</v>
      </c>
      <c r="AX71" s="11" t="n">
        <f aca="false">IF(Construction!AX8&lt;=Time!$F$10,AW72*Inputs!$F$104/100*Construction!AX11/365,0)</f>
        <v>0</v>
      </c>
      <c r="AY71" s="11" t="n">
        <f aca="false">IF(Construction!AY8&lt;=Time!$F$10,AX72*Inputs!$F$104/100*Construction!AY11/365,0)</f>
        <v>0</v>
      </c>
      <c r="AZ71" s="11" t="n">
        <f aca="false">IF(Construction!AZ8&lt;=Time!$F$10,AY72*Inputs!$F$104/100*Construction!AZ11/365,0)</f>
        <v>0</v>
      </c>
      <c r="BA71" s="11" t="n">
        <f aca="false">IF(Construction!BA8&lt;=Time!$F$10,AZ72*Inputs!$F$104/100*Construction!BA11/365,0)</f>
        <v>0</v>
      </c>
      <c r="BB71" s="11" t="n">
        <f aca="false">IF(Construction!BB8&lt;=Time!$F$10,BA72*Inputs!$F$104/100*Construction!BB11/365,0)</f>
        <v>0</v>
      </c>
      <c r="BC71" s="11" t="n">
        <f aca="false">IF(Construction!BC8&lt;=Time!$F$10,BB72*Inputs!$F$104/100*Construction!BC11/365,0)</f>
        <v>0</v>
      </c>
      <c r="BD71" s="11" t="n">
        <f aca="false">IF(Construction!BD8&lt;=Time!$F$10,BC72*Inputs!$F$104/100*Construction!BD11/365,0)</f>
        <v>0</v>
      </c>
      <c r="BE71" s="11" t="n">
        <f aca="false">IF(Construction!BE8&lt;=Time!$F$10,BD72*Inputs!$F$104/100*Construction!BE11/365,0)</f>
        <v>0</v>
      </c>
      <c r="BF71" s="11" t="n">
        <f aca="false">IF(Construction!BF8&lt;=Time!$F$10,BE72*Inputs!$F$104/100*Construction!BF11/365,0)</f>
        <v>0</v>
      </c>
      <c r="BG71" s="11" t="n">
        <f aca="false">IF(Construction!BG8&lt;=Time!$F$10,BF72*Inputs!$F$104/100*Construction!BG11/365,0)</f>
        <v>0</v>
      </c>
      <c r="BH71" s="11" t="n">
        <f aca="false">IF(Construction!BH8&lt;=Time!$F$10,BG72*Inputs!$F$104/100*Construction!BH11/365,0)</f>
        <v>0</v>
      </c>
      <c r="BI71" s="11" t="n">
        <f aca="false">IF(Construction!BI8&lt;=Time!$F$10,BH72*Inputs!$F$104/100*Construction!BI11/365,0)</f>
        <v>0</v>
      </c>
      <c r="BJ71" s="11" t="n">
        <f aca="false">IF(Construction!BJ8&lt;=Time!$F$10,BI72*Inputs!$F$104/100*Construction!BJ11/365,0)</f>
        <v>0</v>
      </c>
    </row>
    <row r="72" customFormat="false" ht="15" hidden="false" customHeight="false" outlineLevel="0" collapsed="false">
      <c r="D72" s="0" t="s">
        <v>630</v>
      </c>
      <c r="E72" s="0" t="s">
        <v>149</v>
      </c>
      <c r="J72" s="11" t="n">
        <f aca="false">0+J71+J70</f>
        <v>25.3218666607261</v>
      </c>
      <c r="K72" s="11" t="n">
        <f aca="false">J72+K71+K70</f>
        <v>26.0400812612068</v>
      </c>
      <c r="L72" s="11" t="n">
        <f aca="false">K72+L71+L70</f>
        <v>26.9133215747312</v>
      </c>
      <c r="M72" s="11" t="n">
        <f aca="false">L72+M71+M70</f>
        <v>28.0599509680195</v>
      </c>
      <c r="N72" s="11" t="n">
        <f aca="false">M72+N71+N70</f>
        <v>29.634167649297</v>
      </c>
      <c r="O72" s="11" t="n">
        <f aca="false">N72+O71+O70</f>
        <v>31.7298363856994</v>
      </c>
      <c r="P72" s="11" t="n">
        <f aca="false">O72+P71+P70</f>
        <v>34.3819302724893</v>
      </c>
      <c r="Q72" s="11" t="n">
        <f aca="false">P72+Q71+Q70</f>
        <v>37.732234850542</v>
      </c>
      <c r="R72" s="11" t="n">
        <f aca="false">Q72+R71+R70</f>
        <v>41.7489797864309</v>
      </c>
      <c r="S72" s="11" t="n">
        <f aca="false">R72+S71+S70</f>
        <v>46.4693502285552</v>
      </c>
      <c r="T72" s="11" t="n">
        <f aca="false">S72+T71+T70</f>
        <v>51.8343504997673</v>
      </c>
      <c r="U72" s="11" t="n">
        <f aca="false">T72+U71+U70</f>
        <v>57.8481975106867</v>
      </c>
      <c r="V72" s="11" t="n">
        <f aca="false">U72+V71+V70</f>
        <v>64.4321931643994</v>
      </c>
      <c r="W72" s="11" t="n">
        <f aca="false">V72+W71+W70</f>
        <v>71.4861751565641</v>
      </c>
      <c r="X72" s="11" t="n">
        <f aca="false">W72+X71+X70</f>
        <v>78.9730997168592</v>
      </c>
      <c r="Y72" s="11" t="n">
        <f aca="false">X72+Y71+Y70</f>
        <v>86.7388340554388</v>
      </c>
      <c r="Z72" s="11" t="n">
        <f aca="false">Y72+Z71+Z70</f>
        <v>94.7377226041251</v>
      </c>
      <c r="AA72" s="11" t="n">
        <f aca="false">Z72+AA71+AA70</f>
        <v>103.073492845946</v>
      </c>
      <c r="AB72" s="11" t="n">
        <f aca="false">AA72+AB71+AB70</f>
        <v>111.073430204022</v>
      </c>
      <c r="AC72" s="11" t="n">
        <f aca="false">AB72+AC71+AC70</f>
        <v>119.020283853141</v>
      </c>
      <c r="AD72" s="11" t="n">
        <f aca="false">AC72+AD71+AD70</f>
        <v>126.689523540708</v>
      </c>
      <c r="AE72" s="11" t="n">
        <f aca="false">AD72+AE71+AE70</f>
        <v>134.071131237774</v>
      </c>
      <c r="AF72" s="11" t="n">
        <f aca="false">AE72+AF71+AF70</f>
        <v>140.98795238094</v>
      </c>
      <c r="AG72" s="11" t="n">
        <f aca="false">AF72+AG71+AG70</f>
        <v>147.465952320987</v>
      </c>
      <c r="AH72" s="11" t="n">
        <f aca="false">AG72+AH71+AH70</f>
        <v>153.40260451761</v>
      </c>
      <c r="AI72" s="11" t="n">
        <f aca="false">AH72+AI71+AI70</f>
        <v>158.709495867726</v>
      </c>
      <c r="AJ72" s="11" t="n">
        <f aca="false">AI72+AJ71+AJ70</f>
        <v>163.483906713068</v>
      </c>
      <c r="AK72" s="11" t="n">
        <f aca="false">AJ72+AK71+AK70</f>
        <v>167.627610317544</v>
      </c>
      <c r="AL72" s="11" t="n">
        <f aca="false">AK72+AL71+AL70</f>
        <v>171.295343826614</v>
      </c>
      <c r="AM72" s="11" t="n">
        <f aca="false">AL72+AM71+AM70</f>
        <v>174.498157588853</v>
      </c>
      <c r="AN72" s="11" t="n">
        <f aca="false">AM72+AN71+AN70</f>
        <v>177.147740455146</v>
      </c>
      <c r="AO72" s="11" t="n">
        <f aca="false">AN72+AO71+AO70</f>
        <v>179.727949686417</v>
      </c>
      <c r="AP72" s="11" t="n">
        <f aca="false">AO72+AP71+AP70</f>
        <v>182.134740663208</v>
      </c>
      <c r="AQ72" s="11" t="n">
        <f aca="false">AP72+AQ71+AQ70</f>
        <v>184.610233531588</v>
      </c>
      <c r="AR72" s="11" t="n">
        <f aca="false">AQ72+AR71+AR70</f>
        <v>187.044677598031</v>
      </c>
      <c r="AS72" s="11" t="n">
        <f aca="false">AR72+AS71+AS70</f>
        <v>189.586374892245</v>
      </c>
      <c r="AT72" s="11" t="n">
        <f aca="false">AS72+AT71+AT70</f>
        <v>192.151828931584</v>
      </c>
      <c r="AU72" s="11" t="n">
        <f aca="false">AT72+AU71+AU70</f>
        <v>194.667232408409</v>
      </c>
      <c r="AV72" s="11" t="n">
        <f aca="false">AU72+AV71+AV70</f>
        <v>207.539351918466</v>
      </c>
      <c r="AW72" s="11" t="n">
        <f aca="false">AV72+AW71+AW70</f>
        <v>216.736682844912</v>
      </c>
      <c r="AX72" s="11" t="n">
        <f aca="false">AW72+AX71+AX70</f>
        <v>217.575415340841</v>
      </c>
      <c r="AY72" s="11" t="n">
        <f aca="false">AX72+AY71+AY70</f>
        <v>217.575415340841</v>
      </c>
      <c r="AZ72" s="11" t="n">
        <f aca="false">AY72+AZ71+AZ70</f>
        <v>217.575415340841</v>
      </c>
      <c r="BA72" s="11" t="n">
        <f aca="false">AZ72+BA71+BA70</f>
        <v>217.575415340841</v>
      </c>
      <c r="BB72" s="11" t="n">
        <f aca="false">BA72+BB71+BB70</f>
        <v>217.575415340841</v>
      </c>
      <c r="BC72" s="11" t="n">
        <f aca="false">BB72+BC71+BC70</f>
        <v>217.575415340841</v>
      </c>
      <c r="BD72" s="11" t="n">
        <f aca="false">BC72+BD71+BD70</f>
        <v>217.575415340841</v>
      </c>
      <c r="BE72" s="11" t="n">
        <f aca="false">BD72+BE71+BE70</f>
        <v>217.575415340841</v>
      </c>
      <c r="BF72" s="11" t="n">
        <f aca="false">BE72+BF71+BF70</f>
        <v>217.575415340841</v>
      </c>
      <c r="BG72" s="11" t="n">
        <f aca="false">BF72+BG71+BG70</f>
        <v>217.575415340841</v>
      </c>
      <c r="BH72" s="11" t="n">
        <f aca="false">BG72+BH71+BH70</f>
        <v>217.575415340841</v>
      </c>
      <c r="BI72" s="11" t="n">
        <f aca="false">BH72+BI71+BI70</f>
        <v>217.575415340841</v>
      </c>
      <c r="BJ72" s="11" t="n">
        <f aca="false">BI72+BJ71+BJ70</f>
        <v>217.575415340841</v>
      </c>
    </row>
    <row r="73" customFormat="false" ht="15" hidden="false" customHeight="false" outlineLevel="0" collapsed="false">
      <c r="D73" s="0" t="s">
        <v>631</v>
      </c>
      <c r="E73" s="0" t="s">
        <v>149</v>
      </c>
      <c r="G73" s="11" t="n">
        <f aca="false">SUM(J73:BJ73)</f>
        <v>657.739998413269</v>
      </c>
      <c r="J73" s="11" t="n">
        <f aca="false">J47+J55</f>
        <v>90.3560780524911</v>
      </c>
      <c r="K73" s="11" t="n">
        <f aca="false">K47+K55</f>
        <v>1.85728683456412</v>
      </c>
      <c r="L73" s="11" t="n">
        <f aca="false">L47+L55</f>
        <v>2.36627013611409</v>
      </c>
      <c r="M73" s="11" t="n">
        <f aca="false">M47+M55</f>
        <v>3.34165912008958</v>
      </c>
      <c r="N73" s="11" t="n">
        <f aca="false">N47+N55</f>
        <v>4.80941209217243</v>
      </c>
      <c r="O73" s="11" t="n">
        <f aca="false">O47+O55</f>
        <v>6.62478772691356</v>
      </c>
      <c r="P73" s="11" t="n">
        <f aca="false">P47+P55</f>
        <v>8.63835085531311</v>
      </c>
      <c r="Q73" s="11" t="n">
        <f aca="false">Q47+Q55</f>
        <v>10.9650158390143</v>
      </c>
      <c r="R73" s="11" t="n">
        <f aca="false">R47+R55</f>
        <v>13.2816618457771</v>
      </c>
      <c r="S73" s="11" t="n">
        <f aca="false">S47+S55</f>
        <v>15.6417217524206</v>
      </c>
      <c r="T73" s="11" t="n">
        <f aca="false">T47+T55</f>
        <v>17.8492103477859</v>
      </c>
      <c r="U73" s="11" t="n">
        <f aca="false">U47+U55</f>
        <v>19.9668711920341</v>
      </c>
      <c r="V73" s="11" t="n">
        <f aca="false">V47+V55</f>
        <v>21.8281903645547</v>
      </c>
      <c r="W73" s="11" t="n">
        <f aca="false">W47+W55</f>
        <v>23.3755256084121</v>
      </c>
      <c r="X73" s="11" t="n">
        <f aca="false">X47+X55</f>
        <v>24.6574651568566</v>
      </c>
      <c r="Y73" s="11" t="n">
        <f aca="false">Y47+Y55</f>
        <v>25.5101332187314</v>
      </c>
      <c r="Z73" s="11" t="n">
        <f aca="false">Z47+Z55</f>
        <v>26.0451708827683</v>
      </c>
      <c r="AA73" s="11" t="n">
        <f aca="false">AA47+AA55</f>
        <v>27.0169720538069</v>
      </c>
      <c r="AB73" s="11" t="n">
        <f aca="false">AB47+AB55</f>
        <v>25.7700812492444</v>
      </c>
      <c r="AC73" s="11" t="n">
        <f aca="false">AC47+AC55</f>
        <v>25.158881559081</v>
      </c>
      <c r="AD73" s="11" t="n">
        <f aca="false">AD47+AD55</f>
        <v>24.0500129784301</v>
      </c>
      <c r="AE73" s="11" t="n">
        <f aca="false">AE47+AE55</f>
        <v>22.6923128722177</v>
      </c>
      <c r="AF73" s="11" t="n">
        <f aca="false">AF47+AF55</f>
        <v>20.9458080415758</v>
      </c>
      <c r="AG73" s="11" t="n">
        <f aca="false">AG47+AG55</f>
        <v>19.0563035843962</v>
      </c>
      <c r="AH73" s="11" t="n">
        <f aca="false">AH47+AH55</f>
        <v>16.9381041684378</v>
      </c>
      <c r="AI73" s="11" t="n">
        <f aca="false">AI47+AI55</f>
        <v>14.6624764693423</v>
      </c>
      <c r="AJ73" s="11" t="n">
        <f aca="false">AJ47+AJ55</f>
        <v>12.4671646643266</v>
      </c>
      <c r="AK73" s="11" t="n">
        <f aca="false">AK47+AK55</f>
        <v>10.2309847004604</v>
      </c>
      <c r="AL73" s="11" t="n">
        <f aca="false">AL47+AL55</f>
        <v>8.26144538834813</v>
      </c>
      <c r="AM73" s="11" t="n">
        <f aca="false">AM47+AM55</f>
        <v>6.49687406264663</v>
      </c>
      <c r="AN73" s="11" t="n">
        <f aca="false">AN47+AN55</f>
        <v>4.91675556381219</v>
      </c>
      <c r="AO73" s="11" t="n">
        <f aca="false">AO47+AO55</f>
        <v>4.10673748975834</v>
      </c>
      <c r="AP73" s="11" t="n">
        <f aca="false">AP47+AP55</f>
        <v>3.580562225236</v>
      </c>
      <c r="AQ73" s="11" t="n">
        <f aca="false">AQ47+AQ55</f>
        <v>3.58949799536258</v>
      </c>
      <c r="AR73" s="11" t="n">
        <f aca="false">AR47+AR55</f>
        <v>3.54320619282345</v>
      </c>
      <c r="AS73" s="11" t="n">
        <f aca="false">AS47+AS55</f>
        <v>3.68437427989929</v>
      </c>
      <c r="AT73" s="11" t="n">
        <f aca="false">AT47+AT55</f>
        <v>3.695967972481</v>
      </c>
      <c r="AU73" s="11" t="n">
        <f aca="false">AU47+AU55</f>
        <v>3.62196926269513</v>
      </c>
      <c r="AV73" s="11" t="n">
        <f aca="false">AV47+AV55</f>
        <v>40.3269852281777</v>
      </c>
      <c r="AW73" s="11" t="n">
        <f aca="false">AW47+AW55</f>
        <v>32.8188581907963</v>
      </c>
      <c r="AX73" s="11" t="n">
        <f aca="false">AX47+AX55</f>
        <v>2.99285119389984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632</v>
      </c>
      <c r="E74" s="0" t="s">
        <v>149</v>
      </c>
      <c r="G74" s="11" t="n">
        <f aca="false">SUM(J74:BJ74)</f>
        <v>129.950824381222</v>
      </c>
      <c r="J74" s="11" t="n">
        <f aca="false">J33+J34+J35+J36+J37+J38+J39+J40+J41+J42+J43+J48+Construction!J14*Construction!J36</f>
        <v>13.8968113783987</v>
      </c>
      <c r="K74" s="11" t="n">
        <f aca="false">K33+K34+K35+K36+K37+K38+K39+K40+K41+K42+K43+K48+Construction!K14*Construction!K36</f>
        <v>1.10035531049397</v>
      </c>
      <c r="L74" s="11" t="n">
        <f aca="false">L33+L34+L35+L36+L37+L38+L39+L40+L41+L42+L43+L48+Construction!L14*Construction!L36</f>
        <v>1.15379374692177</v>
      </c>
      <c r="M74" s="11" t="n">
        <f aca="false">M33+M34+M35+M36+M37+M38+M39+M40+M41+M42+M43+M48+Construction!M14*Construction!M36</f>
        <v>1.16854819287138</v>
      </c>
      <c r="N74" s="11" t="n">
        <f aca="false">N33+N34+N35+N36+N37+N38+N39+N40+N41+N42+N43+N48+Construction!N14*Construction!N36</f>
        <v>1.26129720064395</v>
      </c>
      <c r="O74" s="11" t="n">
        <f aca="false">O33+O34+O35+O36+O37+O38+O39+O40+O41+O42+O43+O48+Construction!O14*Construction!O36</f>
        <v>1.35037852228943</v>
      </c>
      <c r="P74" s="11" t="n">
        <f aca="false">P33+P34+P35+P36+P37+P38+P39+P40+P41+P42+P43+P48+Construction!P14*Construction!P36</f>
        <v>1.35954110542092</v>
      </c>
      <c r="Q74" s="11" t="n">
        <f aca="false">Q33+Q34+Q35+Q36+Q37+Q38+Q39+Q40+Q41+Q42+Q43+Q48+Construction!Q14*Construction!Q36</f>
        <v>1.57010520733151</v>
      </c>
      <c r="R74" s="11" t="n">
        <f aca="false">R33+R34+R35+R36+R37+R38+R39+R40+R41+R42+R43+R48+Construction!R14*Construction!R36</f>
        <v>1.67005410187916</v>
      </c>
      <c r="S74" s="11" t="n">
        <f aca="false">S33+S34+S35+S36+S37+S38+S39+S40+S41+S42+S43+S48+Construction!S14*Construction!S36</f>
        <v>1.84779502242003</v>
      </c>
      <c r="T74" s="11" t="n">
        <f aca="false">T33+T34+T35+T36+T37+T38+T39+T40+T41+T42+T43+T48+Construction!T14*Construction!T36</f>
        <v>1.94690529322224</v>
      </c>
      <c r="U74" s="11" t="n">
        <f aca="false">U33+U34+U35+U36+U37+U38+U39+U40+U41+U42+U43+U48+Construction!U14*Construction!U36</f>
        <v>2.14857609055588</v>
      </c>
      <c r="V74" s="11" t="n">
        <f aca="false">V33+V34+V35+V36+V37+V38+V39+V40+V41+V42+V43+V48+Construction!V14*Construction!V36</f>
        <v>2.31329975593342</v>
      </c>
      <c r="W74" s="11" t="n">
        <f aca="false">W33+W34+W35+W36+W37+W38+W39+W40+W41+W42+W43+W48+Construction!W14*Construction!W36</f>
        <v>2.43621105120406</v>
      </c>
      <c r="X74" s="11" t="n">
        <f aca="false">X33+X34+X35+X36+X37+X38+X39+X40+X41+X42+X43+X48+Construction!X14*Construction!X36</f>
        <v>2.63981045175024</v>
      </c>
      <c r="Y74" s="11" t="n">
        <f aca="false">Y33+Y34+Y35+Y36+Y37+Y38+Y39+Y40+Y41+Y42+Y43+Y48+Construction!Y14*Construction!Y36</f>
        <v>2.74857591368914</v>
      </c>
      <c r="Z74" s="11" t="n">
        <f aca="false">Z33+Z34+Z35+Z36+Z37+Z38+Z39+Z40+Z41+Z42+Z43+Z48+Construction!Z14*Construction!Z36</f>
        <v>2.94232125583174</v>
      </c>
      <c r="AA74" s="11" t="n">
        <f aca="false">AA33+AA34+AA35+AA36+AA37+AA38+AA39+AA40+AA41+AA42+AA43+AA48+Construction!AA14*Construction!AA36</f>
        <v>3.11155082145335</v>
      </c>
      <c r="AB74" s="11" t="n">
        <f aca="false">AB33+AB34+AB35+AB36+AB37+AB38+AB39+AB40+AB41+AB42+AB43+AB48+Construction!AB14*Construction!AB36</f>
        <v>3.09958546310106</v>
      </c>
      <c r="AC74" s="11" t="n">
        <f aca="false">AC33+AC34+AC35+AC36+AC37+AC38+AC39+AC40+AC41+AC42+AC43+AC48+Construction!AC14*Construction!AC36</f>
        <v>3.31687634474899</v>
      </c>
      <c r="AD74" s="11" t="n">
        <f aca="false">AD33+AD34+AD35+AD36+AD37+AD38+AD39+AD40+AD41+AD42+AD43+AD48+Construction!AD14*Construction!AD36</f>
        <v>3.34697581971116</v>
      </c>
      <c r="AE74" s="11" t="n">
        <f aca="false">AE33+AE34+AE35+AE36+AE37+AE38+AE39+AE40+AE41+AE42+AE43+AE48+Construction!AE14*Construction!AE36</f>
        <v>3.48013010834242</v>
      </c>
      <c r="AF74" s="11" t="n">
        <f aca="false">AF33+AF34+AF35+AF36+AF37+AF38+AF39+AF40+AF41+AF42+AF43+AF48+Construction!AF14*Construction!AF36</f>
        <v>3.47044101017945</v>
      </c>
      <c r="AG74" s="11" t="n">
        <f aca="false">AG33+AG34+AG35+AG36+AG37+AG38+AG39+AG40+AG41+AG42+AG43+AG48+Construction!AG14*Construction!AG36</f>
        <v>3.57685129529281</v>
      </c>
      <c r="AH74" s="11" t="n">
        <f aca="false">AH33+AH34+AH35+AH36+AH37+AH38+AH39+AH40+AH41+AH42+AH43+AH48+Construction!AH14*Construction!AH36</f>
        <v>3.59830879555286</v>
      </c>
      <c r="AI74" s="11" t="n">
        <f aca="false">AI33+AI34+AI35+AI36+AI37+AI38+AI39+AI40+AI41+AI42+AI43+AI48+Construction!AI14*Construction!AI36</f>
        <v>3.53457724476489</v>
      </c>
      <c r="AJ74" s="11" t="n">
        <f aca="false">AJ33+AJ34+AJ35+AJ36+AJ37+AJ38+AJ39+AJ40+AJ41+AJ42+AJ43+AJ48+Construction!AJ14*Construction!AJ36</f>
        <v>3.59846672744775</v>
      </c>
      <c r="AK74" s="11" t="n">
        <f aca="false">AK33+AK34+AK35+AK36+AK37+AK38+AK39+AK40+AK41+AK42+AK43+AK48+Construction!AK14*Construction!AK36</f>
        <v>3.51008514785942</v>
      </c>
      <c r="AL74" s="11" t="n">
        <f aca="false">AL33+AL34+AL35+AL36+AL37+AL38+AL39+AL40+AL41+AL42+AL43+AL48+Construction!AL14*Construction!AL36</f>
        <v>3.56036821579863</v>
      </c>
      <c r="AM74" s="11" t="n">
        <f aca="false">AM33+AM34+AM35+AM36+AM37+AM38+AM39+AM40+AM41+AM42+AM43+AM48+Construction!AM14*Construction!AM36</f>
        <v>3.53988828955126</v>
      </c>
      <c r="AN74" s="11" t="n">
        <f aca="false">AN33+AN34+AN35+AN36+AN37+AN38+AN39+AN40+AN41+AN42+AN43+AN48+Construction!AN14*Construction!AN36</f>
        <v>3.29541136586921</v>
      </c>
      <c r="AO74" s="11" t="n">
        <f aca="false">AO33+AO34+AO35+AO36+AO37+AO38+AO39+AO40+AO41+AO42+AO43+AO48+Construction!AO14*Construction!AO36</f>
        <v>3.50395835622165</v>
      </c>
      <c r="AP74" s="11" t="n">
        <f aca="false">AP33+AP34+AP35+AP36+AP37+AP38+AP39+AP40+AP41+AP42+AP43+AP48+Construction!AP14*Construction!AP36</f>
        <v>3.42730549818607</v>
      </c>
      <c r="AQ74" s="11" t="n">
        <f aca="false">AQ33+AQ34+AQ35+AQ36+AQ37+AQ38+AQ39+AQ40+AQ41+AQ42+AQ43+AQ48+Construction!AQ14*Construction!AQ36</f>
        <v>3.50615715693525</v>
      </c>
      <c r="AR74" s="11" t="n">
        <f aca="false">AR33+AR34+AR35+AR36+AR37+AR38+AR39+AR40+AR41+AR42+AR43+AR48+Construction!AR14*Construction!AR36</f>
        <v>3.44364902898883</v>
      </c>
      <c r="AS74" s="11" t="n">
        <f aca="false">AS33+AS34+AS35+AS36+AS37+AS38+AS39+AS40+AS41+AS42+AS43+AS48+Construction!AS14*Construction!AS36</f>
        <v>3.63426923310442</v>
      </c>
      <c r="AT74" s="11" t="n">
        <f aca="false">AT33+AT34+AT35+AT36+AT37+AT38+AT39+AT40+AT41+AT42+AT43+AT48+Construction!AT14*Construction!AT36</f>
        <v>3.64992427307951</v>
      </c>
      <c r="AU74" s="11" t="n">
        <f aca="false">AU33+AU34+AU35+AU36+AU37+AU38+AU39+AU40+AU41+AU42+AU43+AU48+Construction!AU14*Construction!AU36</f>
        <v>3.55000332454321</v>
      </c>
      <c r="AV74" s="11" t="n">
        <f aca="false">AV33+AV34+AV35+AV36+AV37+AV38+AV39+AV40+AV41+AV42+AV43+AV48+Construction!AV14*Construction!AV36</f>
        <v>4.87502978708708</v>
      </c>
      <c r="AW74" s="11" t="n">
        <f aca="false">AW33+AW34+AW35+AW36+AW37+AW38+AW39+AW40+AW41+AW42+AW43+AW48+Construction!AW14*Construction!AW36</f>
        <v>4.72536465873374</v>
      </c>
      <c r="AX74" s="11" t="n">
        <f aca="false">AX33+AX34+AX35+AX36+AX37+AX38+AX39+AX40+AX41+AX42+AX43+AX48+Construction!AX14*Construction!AX36</f>
        <v>4.04126681381116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633</v>
      </c>
      <c r="E75" s="0" t="s">
        <v>149</v>
      </c>
      <c r="F75" s="15" t="n">
        <f aca="false">SUM(Funding!$J$49:$BJ$49)</f>
        <v>888.150681571343</v>
      </c>
    </row>
    <row r="76" customFormat="false" ht="15" hidden="false" customHeight="false" outlineLevel="0" collapsed="false">
      <c r="D76" s="0" t="s">
        <v>634</v>
      </c>
      <c r="E76" s="0" t="s">
        <v>149</v>
      </c>
      <c r="F76" s="15" t="n">
        <f aca="false">SUM(Funding!$J$49:$BJ$49)-SUM(Funding!$J$44:$BJ$44)-SUM(Construction!$J$28:$BJ$28)+SUM(Funding!$J$71:$BJ$71)-SUM(Funding!$J$52:$BJ$52)-Inputs!$F$48*Inputs!$F$191</f>
        <v>876.457393195604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636</v>
      </c>
    </row>
    <row r="8" customFormat="false" ht="15" hidden="false" customHeight="false" outlineLevel="0" collapsed="false">
      <c r="D8" s="0" t="s">
        <v>637</v>
      </c>
      <c r="E8" s="0" t="s">
        <v>103</v>
      </c>
      <c r="J8" s="11" t="n">
        <f aca="false">IF(Time!J21&lt;=2025,Inputs!$F$82,IF(Time!J21&lt;=2029,Inputs!$F$83,Inputs!$F$84))</f>
        <v>4.1</v>
      </c>
      <c r="K8" s="11" t="n">
        <f aca="false">IF(Time!K21&lt;=2025,Inputs!$F$82,IF(Time!K21&lt;=2029,Inputs!$F$83,Inputs!$F$84))</f>
        <v>4.1</v>
      </c>
      <c r="L8" s="11" t="n">
        <f aca="false">IF(Time!L21&lt;=2025,Inputs!$F$82,IF(Time!L21&lt;=2029,Inputs!$F$83,Inputs!$F$84))</f>
        <v>4.1</v>
      </c>
      <c r="M8" s="11" t="n">
        <f aca="false">IF(Time!M21&lt;=2025,Inputs!$F$82,IF(Time!M21&lt;=2029,Inputs!$F$83,Inputs!$F$84))</f>
        <v>4.1</v>
      </c>
      <c r="N8" s="11" t="n">
        <f aca="false">IF(Time!N21&lt;=2025,Inputs!$F$82,IF(Time!N21&lt;=2029,Inputs!$F$83,Inputs!$F$84))</f>
        <v>4.1</v>
      </c>
      <c r="O8" s="11" t="n">
        <f aca="false">IF(Time!O21&lt;=2025,Inputs!$F$82,IF(Time!O21&lt;=2029,Inputs!$F$83,Inputs!$F$84))</f>
        <v>4.1</v>
      </c>
      <c r="P8" s="11" t="n">
        <f aca="false">IF(Time!P21&lt;=2025,Inputs!$F$82,IF(Time!P21&lt;=2029,Inputs!$F$83,Inputs!$F$84))</f>
        <v>4.1</v>
      </c>
      <c r="Q8" s="11" t="n">
        <f aca="false">IF(Time!Q21&lt;=2025,Inputs!$F$82,IF(Time!Q21&lt;=2029,Inputs!$F$83,Inputs!$F$84))</f>
        <v>4.1</v>
      </c>
      <c r="R8" s="11" t="n">
        <f aca="false">IF(Time!R21&lt;=2025,Inputs!$F$82,IF(Time!R21&lt;=2029,Inputs!$F$83,Inputs!$F$84))</f>
        <v>4.1</v>
      </c>
      <c r="S8" s="11" t="n">
        <f aca="false">IF(Time!S21&lt;=2025,Inputs!$F$82,IF(Time!S21&lt;=2029,Inputs!$F$83,Inputs!$F$84))</f>
        <v>4.1</v>
      </c>
      <c r="T8" s="11" t="n">
        <f aca="false">IF(Time!T21&lt;=2025,Inputs!$F$82,IF(Time!T21&lt;=2029,Inputs!$F$83,Inputs!$F$84))</f>
        <v>4.1</v>
      </c>
      <c r="U8" s="11" t="n">
        <f aca="false">IF(Time!U21&lt;=2025,Inputs!$F$82,IF(Time!U21&lt;=2029,Inputs!$F$83,Inputs!$F$84))</f>
        <v>4.1</v>
      </c>
      <c r="V8" s="11" t="n">
        <f aca="false">IF(Time!V21&lt;=2025,Inputs!$F$82,IF(Time!V21&lt;=2029,Inputs!$F$83,Inputs!$F$84))</f>
        <v>4.1</v>
      </c>
      <c r="W8" s="11" t="n">
        <f aca="false">IF(Time!W21&lt;=2025,Inputs!$F$82,IF(Time!W21&lt;=2029,Inputs!$F$83,Inputs!$F$84))</f>
        <v>4.1</v>
      </c>
      <c r="X8" s="11" t="n">
        <f aca="false">IF(Time!X21&lt;=2025,Inputs!$F$82,IF(Time!X21&lt;=2029,Inputs!$F$83,Inputs!$F$84))</f>
        <v>4.1</v>
      </c>
      <c r="Y8" s="11" t="n">
        <f aca="false">IF(Time!Y21&lt;=2025,Inputs!$F$82,IF(Time!Y21&lt;=2029,Inputs!$F$83,Inputs!$F$84))</f>
        <v>4.6</v>
      </c>
      <c r="Z8" s="11" t="n">
        <f aca="false">IF(Time!Z21&lt;=2025,Inputs!$F$82,IF(Time!Z21&lt;=2029,Inputs!$F$83,Inputs!$F$84))</f>
        <v>4.6</v>
      </c>
      <c r="AA8" s="11" t="n">
        <f aca="false">IF(Time!AA21&lt;=2025,Inputs!$F$82,IF(Time!AA21&lt;=2029,Inputs!$F$83,Inputs!$F$84))</f>
        <v>4.6</v>
      </c>
      <c r="AB8" s="11" t="n">
        <f aca="false">IF(Time!AB21&lt;=2025,Inputs!$F$82,IF(Time!AB21&lt;=2029,Inputs!$F$83,Inputs!$F$84))</f>
        <v>4.6</v>
      </c>
      <c r="AC8" s="11" t="n">
        <f aca="false">IF(Time!AC21&lt;=2025,Inputs!$F$82,IF(Time!AC21&lt;=2029,Inputs!$F$83,Inputs!$F$84))</f>
        <v>4.6</v>
      </c>
      <c r="AD8" s="11" t="n">
        <f aca="false">IF(Time!AD21&lt;=2025,Inputs!$F$82,IF(Time!AD21&lt;=2029,Inputs!$F$83,Inputs!$F$84))</f>
        <v>4.6</v>
      </c>
      <c r="AE8" s="11" t="n">
        <f aca="false">IF(Time!AE21&lt;=2025,Inputs!$F$82,IF(Time!AE21&lt;=2029,Inputs!$F$83,Inputs!$F$84))</f>
        <v>4.6</v>
      </c>
      <c r="AF8" s="11" t="n">
        <f aca="false">IF(Time!AF21&lt;=2025,Inputs!$F$82,IF(Time!AF21&lt;=2029,Inputs!$F$83,Inputs!$F$84))</f>
        <v>4.6</v>
      </c>
      <c r="AG8" s="11" t="n">
        <f aca="false">IF(Time!AG21&lt;=2025,Inputs!$F$82,IF(Time!AG21&lt;=2029,Inputs!$F$83,Inputs!$F$84))</f>
        <v>5.1</v>
      </c>
      <c r="AH8" s="11" t="n">
        <f aca="false">IF(Time!AH21&lt;=2025,Inputs!$F$82,IF(Time!AH21&lt;=2029,Inputs!$F$83,Inputs!$F$84))</f>
        <v>5.1</v>
      </c>
      <c r="AI8" s="11" t="n">
        <f aca="false">IF(Time!AI21&lt;=2025,Inputs!$F$82,IF(Time!AI21&lt;=2029,Inputs!$F$83,Inputs!$F$84))</f>
        <v>5.1</v>
      </c>
      <c r="AJ8" s="11" t="n">
        <f aca="false">IF(Time!AJ21&lt;=2025,Inputs!$F$82,IF(Time!AJ21&lt;=2029,Inputs!$F$83,Inputs!$F$84))</f>
        <v>5.1</v>
      </c>
      <c r="AK8" s="11" t="n">
        <f aca="false">IF(Time!AK21&lt;=2025,Inputs!$F$82,IF(Time!AK21&lt;=2029,Inputs!$F$83,Inputs!$F$84))</f>
        <v>5.1</v>
      </c>
      <c r="AL8" s="11" t="n">
        <f aca="false">IF(Time!AL21&lt;=2025,Inputs!$F$82,IF(Time!AL21&lt;=2029,Inputs!$F$83,Inputs!$F$84))</f>
        <v>5.1</v>
      </c>
      <c r="AM8" s="11" t="n">
        <f aca="false">IF(Time!AM21&lt;=2025,Inputs!$F$82,IF(Time!AM21&lt;=2029,Inputs!$F$83,Inputs!$F$84))</f>
        <v>5.1</v>
      </c>
      <c r="AN8" s="11" t="n">
        <f aca="false">IF(Time!AN21&lt;=2025,Inputs!$F$82,IF(Time!AN21&lt;=2029,Inputs!$F$83,Inputs!$F$84))</f>
        <v>5.1</v>
      </c>
      <c r="AO8" s="11" t="n">
        <f aca="false">IF(Time!AO21&lt;=2025,Inputs!$F$82,IF(Time!AO21&lt;=2029,Inputs!$F$83,Inputs!$F$84))</f>
        <v>5.1</v>
      </c>
      <c r="AP8" s="11" t="n">
        <f aca="false">IF(Time!AP21&lt;=2025,Inputs!$F$82,IF(Time!AP21&lt;=2029,Inputs!$F$83,Inputs!$F$84))</f>
        <v>5.1</v>
      </c>
      <c r="AQ8" s="11" t="n">
        <f aca="false">IF(Time!AQ21&lt;=2025,Inputs!$F$82,IF(Time!AQ21&lt;=2029,Inputs!$F$83,Inputs!$F$84))</f>
        <v>5.1</v>
      </c>
      <c r="AR8" s="11" t="n">
        <f aca="false">IF(Time!AR21&lt;=2025,Inputs!$F$82,IF(Time!AR21&lt;=2029,Inputs!$F$83,Inputs!$F$84))</f>
        <v>5.1</v>
      </c>
      <c r="AS8" s="11" t="n">
        <f aca="false">IF(Time!AS21&lt;=2025,Inputs!$F$82,IF(Time!AS21&lt;=2029,Inputs!$F$83,Inputs!$F$84))</f>
        <v>5.1</v>
      </c>
      <c r="AT8" s="11" t="n">
        <f aca="false">IF(Time!AT21&lt;=2025,Inputs!$F$82,IF(Time!AT21&lt;=2029,Inputs!$F$83,Inputs!$F$84))</f>
        <v>5.1</v>
      </c>
      <c r="AU8" s="11" t="n">
        <f aca="false">IF(Time!AU21&lt;=2025,Inputs!$F$82,IF(Time!AU21&lt;=2029,Inputs!$F$83,Inputs!$F$84))</f>
        <v>5.1</v>
      </c>
      <c r="AV8" s="11" t="n">
        <f aca="false">IF(Time!AV21&lt;=2025,Inputs!$F$82,IF(Time!AV21&lt;=2029,Inputs!$F$83,Inputs!$F$84))</f>
        <v>5.1</v>
      </c>
      <c r="AW8" s="11" t="n">
        <f aca="false">IF(Time!AW21&lt;=2025,Inputs!$F$82,IF(Time!AW21&lt;=2029,Inputs!$F$83,Inputs!$F$84))</f>
        <v>5.1</v>
      </c>
      <c r="AX8" s="11" t="n">
        <f aca="false">IF(Time!AX21&lt;=2025,Inputs!$F$82,IF(Time!AX21&lt;=2029,Inputs!$F$83,Inputs!$F$84))</f>
        <v>5.1</v>
      </c>
      <c r="AY8" s="11" t="n">
        <f aca="false">IF(Time!AY21&lt;=2025,Inputs!$F$82,IF(Time!AY21&lt;=2029,Inputs!$F$83,Inputs!$F$84))</f>
        <v>5.1</v>
      </c>
      <c r="AZ8" s="11" t="n">
        <f aca="false">IF(Time!AZ21&lt;=2025,Inputs!$F$82,IF(Time!AZ21&lt;=2029,Inputs!$F$83,Inputs!$F$84))</f>
        <v>5.1</v>
      </c>
      <c r="BA8" s="11" t="n">
        <f aca="false">IF(Time!BA21&lt;=2025,Inputs!$F$82,IF(Time!BA21&lt;=2029,Inputs!$F$83,Inputs!$F$84))</f>
        <v>5.1</v>
      </c>
      <c r="BB8" s="11" t="n">
        <f aca="false">IF(Time!BB21&lt;=2025,Inputs!$F$82,IF(Time!BB21&lt;=2029,Inputs!$F$83,Inputs!$F$84))</f>
        <v>5.1</v>
      </c>
      <c r="BC8" s="11" t="n">
        <f aca="false">IF(Time!BC21&lt;=2025,Inputs!$F$82,IF(Time!BC21&lt;=2029,Inputs!$F$83,Inputs!$F$84))</f>
        <v>5.1</v>
      </c>
      <c r="BD8" s="11" t="n">
        <f aca="false">IF(Time!BD21&lt;=2025,Inputs!$F$82,IF(Time!BD21&lt;=2029,Inputs!$F$83,Inputs!$F$84))</f>
        <v>5.1</v>
      </c>
      <c r="BE8" s="11" t="n">
        <f aca="false">IF(Time!BE21&lt;=2025,Inputs!$F$82,IF(Time!BE21&lt;=2029,Inputs!$F$83,Inputs!$F$84))</f>
        <v>5.1</v>
      </c>
      <c r="BF8" s="11" t="n">
        <f aca="false">IF(Time!BF21&lt;=2025,Inputs!$F$82,IF(Time!BF21&lt;=2029,Inputs!$F$83,Inputs!$F$84))</f>
        <v>5.1</v>
      </c>
      <c r="BG8" s="11" t="n">
        <f aca="false">IF(Time!BG21&lt;=2025,Inputs!$F$82,IF(Time!BG21&lt;=2029,Inputs!$F$83,Inputs!$F$84))</f>
        <v>5.1</v>
      </c>
      <c r="BH8" s="11" t="n">
        <f aca="false">IF(Time!BH21&lt;=2025,Inputs!$F$82,IF(Time!BH21&lt;=2029,Inputs!$F$83,Inputs!$F$84))</f>
        <v>5.1</v>
      </c>
      <c r="BI8" s="11" t="n">
        <f aca="false">IF(Time!BI21&lt;=2025,Inputs!$F$82,IF(Time!BI21&lt;=2029,Inputs!$F$83,Inputs!$F$84))</f>
        <v>5.1</v>
      </c>
      <c r="BJ8" s="11" t="n">
        <f aca="false">IF(Time!BJ21&lt;=2025,Inputs!$F$82,IF(Time!BJ21&lt;=2029,Inputs!$F$83,Inputs!$F$84))</f>
        <v>5.1</v>
      </c>
      <c r="BK8" s="11" t="n">
        <f aca="false">IF(Time!BK21&lt;=2025,Inputs!$F$82,IF(Time!BK21&lt;=2029,Inputs!$F$83,Inputs!$F$84))</f>
        <v>5.1</v>
      </c>
      <c r="BL8" s="11" t="n">
        <f aca="false">IF(Time!BL21&lt;=2025,Inputs!$F$82,IF(Time!BL21&lt;=2029,Inputs!$F$83,Inputs!$F$84))</f>
        <v>5.1</v>
      </c>
      <c r="BM8" s="11" t="n">
        <f aca="false">IF(Time!BM21&lt;=2025,Inputs!$F$82,IF(Time!BM21&lt;=2029,Inputs!$F$83,Inputs!$F$84))</f>
        <v>5.1</v>
      </c>
      <c r="BN8" s="11" t="n">
        <f aca="false">IF(Time!BN21&lt;=2025,Inputs!$F$82,IF(Time!BN21&lt;=2029,Inputs!$F$83,Inputs!$F$84))</f>
        <v>5.1</v>
      </c>
    </row>
    <row r="9" customFormat="false" ht="15" hidden="false" customHeight="false" outlineLevel="0" collapsed="false">
      <c r="D9" s="0" t="s">
        <v>638</v>
      </c>
      <c r="E9" s="0" t="s">
        <v>103</v>
      </c>
      <c r="J9" s="11" t="n">
        <f aca="false">Inputs!$F$49*IF(AND(Time!J17&gt;=11,Time!J17&lt;=13),Inputs!$F$193,0)</f>
        <v>0</v>
      </c>
      <c r="K9" s="11" t="n">
        <f aca="false">Inputs!$F$49*IF(AND(Time!K17&gt;=11,Time!K17&lt;=13),Inputs!$F$193,0)</f>
        <v>0</v>
      </c>
      <c r="L9" s="11" t="n">
        <f aca="false">Inputs!$F$49*IF(AND(Time!L17&gt;=11,Time!L17&lt;=13),Inputs!$F$193,0)</f>
        <v>0</v>
      </c>
      <c r="M9" s="11" t="n">
        <f aca="false">Inputs!$F$49*IF(AND(Time!M17&gt;=11,Time!M17&lt;=13),Inputs!$F$193,0)</f>
        <v>0</v>
      </c>
      <c r="N9" s="11" t="n">
        <f aca="false">Inputs!$F$49*IF(AND(Time!N17&gt;=11,Time!N17&lt;=13),Inputs!$F$193,0)</f>
        <v>0</v>
      </c>
      <c r="O9" s="11" t="n">
        <f aca="false">Inputs!$F$49*IF(AND(Time!O17&gt;=11,Time!O17&lt;=13),Inputs!$F$193,0)</f>
        <v>0</v>
      </c>
      <c r="P9" s="11" t="n">
        <f aca="false">Inputs!$F$49*IF(AND(Time!P17&gt;=11,Time!P17&lt;=13),Inputs!$F$193,0)</f>
        <v>0</v>
      </c>
      <c r="Q9" s="11" t="n">
        <f aca="false">Inputs!$F$49*IF(AND(Time!Q17&gt;=11,Time!Q17&lt;=13),Inputs!$F$193,0)</f>
        <v>0</v>
      </c>
      <c r="R9" s="11" t="n">
        <f aca="false">Inputs!$F$49*IF(AND(Time!R17&gt;=11,Time!R17&lt;=13),Inputs!$F$193,0)</f>
        <v>0</v>
      </c>
      <c r="S9" s="11" t="n">
        <f aca="false">Inputs!$F$49*IF(AND(Time!S17&gt;=11,Time!S17&lt;=13),Inputs!$F$193,0)</f>
        <v>0</v>
      </c>
      <c r="T9" s="11" t="n">
        <f aca="false">Inputs!$F$49*IF(AND(Time!T17&gt;=11,Time!T17&lt;=13),Inputs!$F$193,0)</f>
        <v>0</v>
      </c>
      <c r="U9" s="11" t="n">
        <f aca="false">Inputs!$F$49*IF(AND(Time!U17&gt;=11,Time!U17&lt;=13),Inputs!$F$193,0)</f>
        <v>0</v>
      </c>
      <c r="V9" s="11" t="n">
        <f aca="false">Inputs!$F$49*IF(AND(Time!V17&gt;=11,Time!V17&lt;=13),Inputs!$F$193,0)</f>
        <v>0</v>
      </c>
      <c r="W9" s="11" t="n">
        <f aca="false">Inputs!$F$49*IF(AND(Time!W17&gt;=11,Time!W17&lt;=13),Inputs!$F$193,0)</f>
        <v>0</v>
      </c>
      <c r="X9" s="11" t="n">
        <f aca="false">Inputs!$F$49*IF(AND(Time!X17&gt;=11,Time!X17&lt;=13),Inputs!$F$193,0)</f>
        <v>0</v>
      </c>
      <c r="Y9" s="11" t="n">
        <f aca="false">Inputs!$F$49*IF(AND(Time!Y17&gt;=11,Time!Y17&lt;=13),Inputs!$F$193,0)</f>
        <v>0</v>
      </c>
      <c r="Z9" s="11" t="n">
        <f aca="false">Inputs!$F$49*IF(AND(Time!Z17&gt;=11,Time!Z17&lt;=13),Inputs!$F$193,0)</f>
        <v>0</v>
      </c>
      <c r="AA9" s="11" t="n">
        <f aca="false">Inputs!$F$49*IF(AND(Time!AA17&gt;=11,Time!AA17&lt;=13),Inputs!$F$193,0)</f>
        <v>0</v>
      </c>
      <c r="AB9" s="11" t="n">
        <f aca="false">Inputs!$F$49*IF(AND(Time!AB17&gt;=11,Time!AB17&lt;=13),Inputs!$F$193,0)</f>
        <v>0</v>
      </c>
      <c r="AC9" s="11" t="n">
        <f aca="false">Inputs!$F$49*IF(AND(Time!AC17&gt;=11,Time!AC17&lt;=13),Inputs!$F$193,0)</f>
        <v>0</v>
      </c>
      <c r="AD9" s="11" t="n">
        <f aca="false">Inputs!$F$49*IF(AND(Time!AD17&gt;=11,Time!AD17&lt;=13),Inputs!$F$193,0)</f>
        <v>0</v>
      </c>
      <c r="AE9" s="11" t="n">
        <f aca="false">Inputs!$F$49*IF(AND(Time!AE17&gt;=11,Time!AE17&lt;=13),Inputs!$F$193,0)</f>
        <v>0</v>
      </c>
      <c r="AF9" s="11" t="n">
        <f aca="false">Inputs!$F$49*IF(AND(Time!AF17&gt;=11,Time!AF17&lt;=13),Inputs!$F$193,0)</f>
        <v>0</v>
      </c>
      <c r="AG9" s="11" t="n">
        <f aca="false">Inputs!$F$49*IF(AND(Time!AG17&gt;=11,Time!AG17&lt;=13),Inputs!$F$193,0)</f>
        <v>0</v>
      </c>
      <c r="AH9" s="11" t="n">
        <f aca="false">Inputs!$F$49*IF(AND(Time!AH17&gt;=11,Time!AH17&lt;=13),Inputs!$F$193,0)</f>
        <v>0</v>
      </c>
      <c r="AI9" s="11" t="n">
        <f aca="false">Inputs!$F$49*IF(AND(Time!AI17&gt;=11,Time!AI17&lt;=13),Inputs!$F$193,0)</f>
        <v>0</v>
      </c>
      <c r="AJ9" s="11" t="n">
        <f aca="false">Inputs!$F$49*IF(AND(Time!AJ17&gt;=11,Time!AJ17&lt;=13),Inputs!$F$193,0)</f>
        <v>0</v>
      </c>
      <c r="AK9" s="11" t="n">
        <f aca="false">Inputs!$F$49*IF(AND(Time!AK17&gt;=11,Time!AK17&lt;=13),Inputs!$F$193,0)</f>
        <v>0</v>
      </c>
      <c r="AL9" s="11" t="n">
        <f aca="false">Inputs!$F$49*IF(AND(Time!AL17&gt;=11,Time!AL17&lt;=13),Inputs!$F$193,0)</f>
        <v>0</v>
      </c>
      <c r="AM9" s="11" t="n">
        <f aca="false">Inputs!$F$49*IF(AND(Time!AM17&gt;=11,Time!AM17&lt;=13),Inputs!$F$193,0)</f>
        <v>0</v>
      </c>
      <c r="AN9" s="11" t="n">
        <f aca="false">Inputs!$F$49*IF(AND(Time!AN17&gt;=11,Time!AN17&lt;=13),Inputs!$F$193,0)</f>
        <v>0</v>
      </c>
      <c r="AO9" s="11" t="n">
        <f aca="false">Inputs!$F$49*IF(AND(Time!AO17&gt;=11,Time!AO17&lt;=13),Inputs!$F$193,0)</f>
        <v>0</v>
      </c>
      <c r="AP9" s="11" t="n">
        <f aca="false">Inputs!$F$49*IF(AND(Time!AP17&gt;=11,Time!AP17&lt;=13),Inputs!$F$193,0)</f>
        <v>0</v>
      </c>
      <c r="AQ9" s="11" t="n">
        <f aca="false">Inputs!$F$49*IF(AND(Time!AQ17&gt;=11,Time!AQ17&lt;=13),Inputs!$F$193,0)</f>
        <v>0</v>
      </c>
      <c r="AR9" s="11" t="n">
        <f aca="false">Inputs!$F$49*IF(AND(Time!AR17&gt;=11,Time!AR17&lt;=13),Inputs!$F$193,0)</f>
        <v>0</v>
      </c>
      <c r="AS9" s="11" t="n">
        <f aca="false">Inputs!$F$49*IF(AND(Time!AS17&gt;=11,Time!AS17&lt;=13),Inputs!$F$193,0)</f>
        <v>0</v>
      </c>
      <c r="AT9" s="11" t="n">
        <f aca="false">Inputs!$F$49*IF(AND(Time!AT17&gt;=11,Time!AT17&lt;=13),Inputs!$F$193,0)</f>
        <v>0</v>
      </c>
      <c r="AU9" s="11" t="n">
        <f aca="false">Inputs!$F$49*IF(AND(Time!AU17&gt;=11,Time!AU17&lt;=13),Inputs!$F$193,0)</f>
        <v>0</v>
      </c>
      <c r="AV9" s="11" t="n">
        <f aca="false">Inputs!$F$49*IF(AND(Time!AV17&gt;=11,Time!AV17&lt;=13),Inputs!$F$193,0)</f>
        <v>0</v>
      </c>
      <c r="AW9" s="11" t="n">
        <f aca="false">Inputs!$F$49*IF(AND(Time!AW17&gt;=11,Time!AW17&lt;=13),Inputs!$F$193,0)</f>
        <v>0</v>
      </c>
      <c r="AX9" s="11" t="n">
        <f aca="false">Inputs!$F$49*IF(AND(Time!AX17&gt;=11,Time!AX17&lt;=13),Inputs!$F$193,0)</f>
        <v>0</v>
      </c>
      <c r="AY9" s="11" t="n">
        <f aca="false">Inputs!$F$49*IF(AND(Time!AY17&gt;=11,Time!AY17&lt;=13),Inputs!$F$193,0)</f>
        <v>0</v>
      </c>
      <c r="AZ9" s="11" t="n">
        <f aca="false">Inputs!$F$49*IF(AND(Time!AZ17&gt;=11,Time!AZ17&lt;=13),Inputs!$F$193,0)</f>
        <v>0</v>
      </c>
      <c r="BA9" s="11" t="n">
        <f aca="false">Inputs!$F$49*IF(AND(Time!BA17&gt;=11,Time!BA17&lt;=13),Inputs!$F$193,0)</f>
        <v>0</v>
      </c>
      <c r="BB9" s="11" t="n">
        <f aca="false">Inputs!$F$49*IF(AND(Time!BB17&gt;=11,Time!BB17&lt;=13),Inputs!$F$193,0)</f>
        <v>0</v>
      </c>
      <c r="BC9" s="11" t="n">
        <f aca="false">Inputs!$F$49*IF(AND(Time!BC17&gt;=11,Time!BC17&lt;=13),Inputs!$F$193,0)</f>
        <v>0</v>
      </c>
      <c r="BD9" s="11" t="n">
        <f aca="false">Inputs!$F$49*IF(AND(Time!BD17&gt;=11,Time!BD17&lt;=13),Inputs!$F$193,0)</f>
        <v>0</v>
      </c>
      <c r="BE9" s="11" t="n">
        <f aca="false">Inputs!$F$49*IF(AND(Time!BE17&gt;=11,Time!BE17&lt;=13),Inputs!$F$193,0)</f>
        <v>0</v>
      </c>
      <c r="BF9" s="11" t="n">
        <f aca="false">Inputs!$F$49*IF(AND(Time!BF17&gt;=11,Time!BF17&lt;=13),Inputs!$F$193,0)</f>
        <v>0</v>
      </c>
      <c r="BG9" s="11" t="n">
        <f aca="false">Inputs!$F$49*IF(AND(Time!BG17&gt;=11,Time!BG17&lt;=13),Inputs!$F$193,0)</f>
        <v>0</v>
      </c>
      <c r="BH9" s="11" t="n">
        <f aca="false">Inputs!$F$49*IF(AND(Time!BH17&gt;=11,Time!BH17&lt;=13),Inputs!$F$193,0)</f>
        <v>0</v>
      </c>
      <c r="BI9" s="11" t="n">
        <f aca="false">Inputs!$F$49*IF(AND(Time!BI17&gt;=11,Time!BI17&lt;=13),Inputs!$F$193,0)</f>
        <v>0</v>
      </c>
      <c r="BJ9" s="11" t="n">
        <f aca="false">Inputs!$F$49*IF(AND(Time!BJ17&gt;=11,Time!BJ17&lt;=13),Inputs!$F$193,0)</f>
        <v>0</v>
      </c>
      <c r="BK9" s="11" t="n">
        <f aca="false">Inputs!$F$49*IF(AND(Time!BK17&gt;=11,Time!BK17&lt;=13),Inputs!$F$193,0)</f>
        <v>0</v>
      </c>
      <c r="BL9" s="11" t="n">
        <f aca="false">Inputs!$F$49*IF(AND(Time!BL17&gt;=11,Time!BL17&lt;=13),Inputs!$F$193,0)</f>
        <v>0</v>
      </c>
      <c r="BM9" s="11" t="n">
        <f aca="false">Inputs!$F$49*IF(AND(Time!BM17&gt;=11,Time!BM17&lt;=13),Inputs!$F$193,0)</f>
        <v>0</v>
      </c>
      <c r="BN9" s="11" t="n">
        <f aca="false">Inputs!$F$49*IF(AND(Time!BN17&gt;=11,Time!BN17&lt;=13),Inputs!$F$193,0)</f>
        <v>0</v>
      </c>
    </row>
    <row r="10" customFormat="false" ht="15" hidden="false" customHeight="false" outlineLevel="0" collapsed="false">
      <c r="D10" s="0" t="s">
        <v>639</v>
      </c>
      <c r="E10" s="0" t="s">
        <v>99</v>
      </c>
      <c r="J10" s="14" t="n">
        <f aca="false">(Operations!J9+Inputs!$F$79+J9)/100*Time!J20/360</f>
        <v>0.01978</v>
      </c>
      <c r="K10" s="14" t="n">
        <f aca="false">(Operations!K9+Inputs!$F$79+K9)/100*Time!K20/360</f>
        <v>0.020815</v>
      </c>
      <c r="L10" s="14" t="n">
        <f aca="false">(Operations!L9+Inputs!$F$79+L9)/100*Time!L20/360</f>
        <v>0.0219266666666667</v>
      </c>
      <c r="M10" s="14" t="n">
        <f aca="false">(Operations!M9+Inputs!$F$79+M9)/100*Time!M20/360</f>
        <v>0.0220927777777778</v>
      </c>
      <c r="N10" s="14" t="n">
        <f aca="false">(Operations!N9+Inputs!$F$79+N9)/100*Time!N20/360</f>
        <v>0.02254</v>
      </c>
      <c r="O10" s="14" t="n">
        <f aca="false">(Operations!O9+Inputs!$F$79+O9)/100*Time!O20/360</f>
        <v>0.0223233333333333</v>
      </c>
      <c r="P10" s="14" t="n">
        <f aca="false">(Operations!P9+Inputs!$F$79+P9)/100*Time!P20/360</f>
        <v>0.0226933333333333</v>
      </c>
      <c r="Q10" s="14" t="n">
        <f aca="false">(Operations!Q9+Inputs!$F$79+Q9)/100*Time!Q20/360</f>
        <v>0.0224238888888889</v>
      </c>
      <c r="R10" s="14" t="n">
        <f aca="false">(Operations!R9+Inputs!$F$79+R9)/100*Time!R20/360</f>
        <v>0.0227955555555556</v>
      </c>
      <c r="S10" s="14" t="n">
        <f aca="false">(Operations!S9+Inputs!$F$79+S9)/100*Time!S20/360</f>
        <v>0.0224741666666667</v>
      </c>
      <c r="T10" s="14" t="n">
        <f aca="false">(Operations!T9+Inputs!$F$79+T9)/100*Time!T20/360</f>
        <v>0.0228466666666667</v>
      </c>
      <c r="U10" s="14" t="n">
        <f aca="false">(Operations!U9+Inputs!$F$79+U9)/100*Time!U20/360</f>
        <v>0.0225983333333333</v>
      </c>
      <c r="V10" s="14" t="n">
        <f aca="false">(Operations!V9+Inputs!$F$79+V9)/100*Time!V20/360</f>
        <v>0.0228466666666667</v>
      </c>
      <c r="W10" s="14" t="n">
        <f aca="false">(Operations!W9+Inputs!$F$79+W9)/100*Time!W20/360</f>
        <v>0.0224741666666667</v>
      </c>
      <c r="X10" s="14" t="n">
        <f aca="false">(Operations!X9+Inputs!$F$79+X9)/100*Time!X20/360</f>
        <v>0.0228466666666667</v>
      </c>
      <c r="Y10" s="14" t="n">
        <f aca="false">(Operations!Y9+Inputs!$F$79+Y9)/100*Time!Y20/360</f>
        <v>0.0224741666666667</v>
      </c>
      <c r="Z10" s="14" t="n">
        <f aca="false">(Operations!Z9+Inputs!$F$79+Z9)/100*Time!Z20/360</f>
        <v>0.0228466666666667</v>
      </c>
      <c r="AA10" s="14" t="n">
        <f aca="false">(Operations!AA9+Inputs!$F$79+AA9)/100*Time!AA20/360</f>
        <v>0.0224741666666667</v>
      </c>
      <c r="AB10" s="14" t="n">
        <f aca="false">(Operations!AB9+Inputs!$F$79+AB9)/100*Time!AB20/360</f>
        <v>0.0228466666666667</v>
      </c>
      <c r="AC10" s="14" t="n">
        <f aca="false">(Operations!AC9+Inputs!$F$79+AC9)/100*Time!AC20/360</f>
        <v>0.0225983333333333</v>
      </c>
      <c r="AD10" s="14" t="n">
        <f aca="false">(Operations!AD9+Inputs!$F$79+AD9)/100*Time!AD20/360</f>
        <v>0.0228466666666667</v>
      </c>
      <c r="AE10" s="14" t="n">
        <f aca="false">(Operations!AE9+Inputs!$F$79+AE9)/100*Time!AE20/360</f>
        <v>0.0224741666666667</v>
      </c>
      <c r="AF10" s="14" t="n">
        <f aca="false">(Operations!AF9+Inputs!$F$79+AF9)/100*Time!AF20/360</f>
        <v>0.0228466666666667</v>
      </c>
      <c r="AG10" s="14" t="n">
        <f aca="false">(Operations!AG9+Inputs!$F$79+AG9)/100*Time!AG20/360</f>
        <v>0.0224741666666667</v>
      </c>
      <c r="AH10" s="14" t="n">
        <f aca="false">(Operations!AH9+Inputs!$F$79+AH9)/100*Time!AH20/360</f>
        <v>0.0228466666666667</v>
      </c>
      <c r="AI10" s="14" t="n">
        <f aca="false">(Operations!AI9+Inputs!$F$79+AI9)/100*Time!AI20/360</f>
        <v>0.0224741666666667</v>
      </c>
      <c r="AJ10" s="14" t="n">
        <f aca="false">(Operations!AJ9+Inputs!$F$79+AJ9)/100*Time!AJ20/360</f>
        <v>0.0228466666666667</v>
      </c>
      <c r="AK10" s="14" t="n">
        <f aca="false">(Operations!AK9+Inputs!$F$79+AK9)/100*Time!AK20/360</f>
        <v>0.0225983333333333</v>
      </c>
      <c r="AL10" s="14" t="n">
        <f aca="false">(Operations!AL9+Inputs!$F$79+AL9)/100*Time!AL20/360</f>
        <v>0.0228466666666667</v>
      </c>
      <c r="AM10" s="14" t="n">
        <f aca="false">(Operations!AM9+Inputs!$F$79+AM9)/100*Time!AM20/360</f>
        <v>0.0224741666666667</v>
      </c>
      <c r="AN10" s="14" t="n">
        <f aca="false">(Operations!AN9+Inputs!$F$79+AN9)/100*Time!AN20/360</f>
        <v>0.0228466666666667</v>
      </c>
      <c r="AO10" s="14" t="n">
        <f aca="false">(Operations!AO9+Inputs!$F$79+AO9)/100*Time!AO20/360</f>
        <v>0.0224741666666667</v>
      </c>
      <c r="AP10" s="14" t="n">
        <f aca="false">(Operations!AP9+Inputs!$F$79+AP9)/100*Time!AP20/360</f>
        <v>0.0228466666666667</v>
      </c>
      <c r="AQ10" s="14" t="n">
        <f aca="false">(Operations!AQ9+Inputs!$F$79+AQ9)/100*Time!AQ20/360</f>
        <v>0.0224741666666667</v>
      </c>
      <c r="AR10" s="14" t="n">
        <f aca="false">(Operations!AR9+Inputs!$F$79+AR9)/100*Time!AR20/360</f>
        <v>0.0228466666666667</v>
      </c>
      <c r="AS10" s="14" t="n">
        <f aca="false">(Operations!AS9+Inputs!$F$79+AS9)/100*Time!AS20/360</f>
        <v>0.0225983333333333</v>
      </c>
      <c r="AT10" s="14" t="n">
        <f aca="false">(Operations!AT9+Inputs!$F$79+AT9)/100*Time!AT20/360</f>
        <v>0.0228466666666667</v>
      </c>
      <c r="AU10" s="14" t="n">
        <f aca="false">(Operations!AU9+Inputs!$F$79+AU9)/100*Time!AU20/360</f>
        <v>0.0224741666666667</v>
      </c>
      <c r="AV10" s="14" t="n">
        <f aca="false">(Operations!AV9+Inputs!$F$79+AV9)/100*Time!AV20/360</f>
        <v>0.0228466666666667</v>
      </c>
      <c r="AW10" s="14" t="n">
        <f aca="false">(Operations!AW9+Inputs!$F$79+AW9)/100*Time!AW20/360</f>
        <v>0.0224741666666667</v>
      </c>
      <c r="AX10" s="14" t="n">
        <f aca="false">(Operations!AX9+Inputs!$F$79+AX9)/100*Time!AX20/360</f>
        <v>0.0228466666666667</v>
      </c>
      <c r="AY10" s="14" t="n">
        <f aca="false">(Operations!AY9+Inputs!$F$79+AY9)/100*Time!AY20/360</f>
        <v>0.0224741666666667</v>
      </c>
      <c r="AZ10" s="14" t="n">
        <f aca="false">(Operations!AZ9+Inputs!$F$79+AZ9)/100*Time!AZ20/360</f>
        <v>0.0228466666666667</v>
      </c>
      <c r="BA10" s="14" t="n">
        <f aca="false">(Operations!BA9+Inputs!$F$79+BA9)/100*Time!BA20/360</f>
        <v>0.0225983333333333</v>
      </c>
      <c r="BB10" s="14" t="n">
        <f aca="false">(Operations!BB9+Inputs!$F$79+BB9)/100*Time!BB20/360</f>
        <v>0.0228466666666667</v>
      </c>
      <c r="BC10" s="14" t="n">
        <f aca="false">(Operations!BC9+Inputs!$F$79+BC9)/100*Time!BC20/360</f>
        <v>0.0224741666666667</v>
      </c>
      <c r="BD10" s="14" t="n">
        <f aca="false">(Operations!BD9+Inputs!$F$79+BD9)/100*Time!BD20/360</f>
        <v>0.0228466666666667</v>
      </c>
      <c r="BE10" s="14" t="n">
        <f aca="false">(Operations!BE9+Inputs!$F$79+BE9)/100*Time!BE20/360</f>
        <v>0.0224741666666667</v>
      </c>
      <c r="BF10" s="14" t="n">
        <f aca="false">(Operations!BF9+Inputs!$F$79+BF9)/100*Time!BF20/360</f>
        <v>0.0228466666666667</v>
      </c>
      <c r="BG10" s="14" t="n">
        <f aca="false">(Operations!BG9+Inputs!$F$79+BG9)/100*Time!BG20/360</f>
        <v>0.0224741666666667</v>
      </c>
      <c r="BH10" s="14" t="n">
        <f aca="false">(Operations!BH9+Inputs!$F$79+BH9)/100*Time!BH20/360</f>
        <v>0.0228466666666667</v>
      </c>
      <c r="BI10" s="14" t="n">
        <f aca="false">(Operations!BI9+Inputs!$F$79+BI9)/100*Time!BI20/360</f>
        <v>0.0225983333333333</v>
      </c>
      <c r="BJ10" s="14" t="n">
        <f aca="false">(Operations!BJ9+Inputs!$F$79+BJ9)/100*Time!BJ20/360</f>
        <v>0.0228466666666667</v>
      </c>
      <c r="BK10" s="14" t="n">
        <f aca="false">(Operations!BK9+Inputs!$F$79+BK9)/100*Time!BK20/360</f>
        <v>0.0224741666666667</v>
      </c>
      <c r="BL10" s="14" t="n">
        <f aca="false">(Operations!BL9+Inputs!$F$79+BL9)/100*Time!BL20/360</f>
        <v>0.0228466666666667</v>
      </c>
      <c r="BM10" s="14" t="n">
        <f aca="false">(Operations!BM9+Inputs!$F$79+BM9)/100*Time!BM20/360</f>
        <v>0.0224741666666667</v>
      </c>
      <c r="BN10" s="14" t="n">
        <f aca="false">(Operations!BN9+Inputs!$F$79+BN9)/100*Time!BN20/360</f>
        <v>0.0228466666666667</v>
      </c>
    </row>
    <row r="11" customFormat="false" ht="15" hidden="false" customHeight="false" outlineLevel="0" collapsed="false">
      <c r="D11" s="0" t="s">
        <v>640</v>
      </c>
      <c r="E11" s="0" t="s">
        <v>99</v>
      </c>
      <c r="J11" s="14" t="n">
        <f aca="false">(Operations!J9+Inputs!$F$80+J9)/100*Time!J20/360</f>
        <v>0.0315355555555556</v>
      </c>
      <c r="K11" s="14" t="n">
        <f aca="false">(Operations!K9+Inputs!$F$80+K9)/100*Time!K20/360</f>
        <v>0.0323788888888889</v>
      </c>
      <c r="L11" s="14" t="n">
        <f aca="false">(Operations!L9+Inputs!$F$80+L9)/100*Time!L20/360</f>
        <v>0.0336822222222222</v>
      </c>
      <c r="M11" s="14" t="n">
        <f aca="false">(Operations!M9+Inputs!$F$80+M9)/100*Time!M20/360</f>
        <v>0.0337205555555556</v>
      </c>
      <c r="N11" s="14" t="n">
        <f aca="false">(Operations!N9+Inputs!$F$80+N9)/100*Time!N20/360</f>
        <v>0.0342955555555556</v>
      </c>
      <c r="O11" s="14" t="n">
        <f aca="false">(Operations!O9+Inputs!$F$80+O9)/100*Time!O20/360</f>
        <v>0.0338872222222222</v>
      </c>
      <c r="P11" s="14" t="n">
        <f aca="false">(Operations!P9+Inputs!$F$80+P9)/100*Time!P20/360</f>
        <v>0.0344488888888889</v>
      </c>
      <c r="Q11" s="14" t="n">
        <f aca="false">(Operations!Q9+Inputs!$F$80+Q9)/100*Time!Q20/360</f>
        <v>0.0339877777777778</v>
      </c>
      <c r="R11" s="14" t="n">
        <f aca="false">(Operations!R9+Inputs!$F$80+R9)/100*Time!R20/360</f>
        <v>0.0345511111111111</v>
      </c>
      <c r="S11" s="14" t="n">
        <f aca="false">(Operations!S9+Inputs!$F$80+S9)/100*Time!S20/360</f>
        <v>0.0340380555555556</v>
      </c>
      <c r="T11" s="14" t="n">
        <f aca="false">(Operations!T9+Inputs!$F$80+T9)/100*Time!T20/360</f>
        <v>0.0346022222222222</v>
      </c>
      <c r="U11" s="14" t="n">
        <f aca="false">(Operations!U9+Inputs!$F$80+U9)/100*Time!U20/360</f>
        <v>0.0342261111111111</v>
      </c>
      <c r="V11" s="14" t="n">
        <f aca="false">(Operations!V9+Inputs!$F$80+V9)/100*Time!V20/360</f>
        <v>0.0346022222222222</v>
      </c>
      <c r="W11" s="14" t="n">
        <f aca="false">(Operations!W9+Inputs!$F$80+W9)/100*Time!W20/360</f>
        <v>0.0340380555555556</v>
      </c>
      <c r="X11" s="14" t="n">
        <f aca="false">(Operations!X9+Inputs!$F$80+X9)/100*Time!X20/360</f>
        <v>0.0346022222222222</v>
      </c>
      <c r="Y11" s="14" t="n">
        <f aca="false">(Operations!Y9+Inputs!$F$80+Y9)/100*Time!Y20/360</f>
        <v>0.0340380555555556</v>
      </c>
      <c r="Z11" s="14" t="n">
        <f aca="false">(Operations!Z9+Inputs!$F$80+Z9)/100*Time!Z20/360</f>
        <v>0.0346022222222222</v>
      </c>
      <c r="AA11" s="14" t="n">
        <f aca="false">(Operations!AA9+Inputs!$F$80+AA9)/100*Time!AA20/360</f>
        <v>0.0340380555555556</v>
      </c>
      <c r="AB11" s="14" t="n">
        <f aca="false">(Operations!AB9+Inputs!$F$80+AB9)/100*Time!AB20/360</f>
        <v>0.0346022222222222</v>
      </c>
      <c r="AC11" s="14" t="n">
        <f aca="false">(Operations!AC9+Inputs!$F$80+AC9)/100*Time!AC20/360</f>
        <v>0.0342261111111111</v>
      </c>
      <c r="AD11" s="14" t="n">
        <f aca="false">(Operations!AD9+Inputs!$F$80+AD9)/100*Time!AD20/360</f>
        <v>0.0346022222222222</v>
      </c>
      <c r="AE11" s="14" t="n">
        <f aca="false">(Operations!AE9+Inputs!$F$80+AE9)/100*Time!AE20/360</f>
        <v>0.0340380555555556</v>
      </c>
      <c r="AF11" s="14" t="n">
        <f aca="false">(Operations!AF9+Inputs!$F$80+AF9)/100*Time!AF20/360</f>
        <v>0.0346022222222222</v>
      </c>
      <c r="AG11" s="14" t="n">
        <f aca="false">(Operations!AG9+Inputs!$F$80+AG9)/100*Time!AG20/360</f>
        <v>0.0340380555555556</v>
      </c>
      <c r="AH11" s="14" t="n">
        <f aca="false">(Operations!AH9+Inputs!$F$80+AH9)/100*Time!AH20/360</f>
        <v>0.0346022222222222</v>
      </c>
      <c r="AI11" s="14" t="n">
        <f aca="false">(Operations!AI9+Inputs!$F$80+AI9)/100*Time!AI20/360</f>
        <v>0.0340380555555556</v>
      </c>
      <c r="AJ11" s="14" t="n">
        <f aca="false">(Operations!AJ9+Inputs!$F$80+AJ9)/100*Time!AJ20/360</f>
        <v>0.0346022222222222</v>
      </c>
      <c r="AK11" s="14" t="n">
        <f aca="false">(Operations!AK9+Inputs!$F$80+AK9)/100*Time!AK20/360</f>
        <v>0.0342261111111111</v>
      </c>
      <c r="AL11" s="14" t="n">
        <f aca="false">(Operations!AL9+Inputs!$F$80+AL9)/100*Time!AL20/360</f>
        <v>0.0346022222222222</v>
      </c>
      <c r="AM11" s="14" t="n">
        <f aca="false">(Operations!AM9+Inputs!$F$80+AM9)/100*Time!AM20/360</f>
        <v>0.0340380555555556</v>
      </c>
      <c r="AN11" s="14" t="n">
        <f aca="false">(Operations!AN9+Inputs!$F$80+AN9)/100*Time!AN20/360</f>
        <v>0.0346022222222222</v>
      </c>
      <c r="AO11" s="14" t="n">
        <f aca="false">(Operations!AO9+Inputs!$F$80+AO9)/100*Time!AO20/360</f>
        <v>0.0340380555555556</v>
      </c>
      <c r="AP11" s="14" t="n">
        <f aca="false">(Operations!AP9+Inputs!$F$80+AP9)/100*Time!AP20/360</f>
        <v>0.0346022222222222</v>
      </c>
      <c r="AQ11" s="14" t="n">
        <f aca="false">(Operations!AQ9+Inputs!$F$80+AQ9)/100*Time!AQ20/360</f>
        <v>0.0340380555555556</v>
      </c>
      <c r="AR11" s="14" t="n">
        <f aca="false">(Operations!AR9+Inputs!$F$80+AR9)/100*Time!AR20/360</f>
        <v>0.0346022222222222</v>
      </c>
      <c r="AS11" s="14" t="n">
        <f aca="false">(Operations!AS9+Inputs!$F$80+AS9)/100*Time!AS20/360</f>
        <v>0.0342261111111111</v>
      </c>
      <c r="AT11" s="14" t="n">
        <f aca="false">(Operations!AT9+Inputs!$F$80+AT9)/100*Time!AT20/360</f>
        <v>0.0346022222222222</v>
      </c>
      <c r="AU11" s="14" t="n">
        <f aca="false">(Operations!AU9+Inputs!$F$80+AU9)/100*Time!AU20/360</f>
        <v>0.0340380555555556</v>
      </c>
      <c r="AV11" s="14" t="n">
        <f aca="false">(Operations!AV9+Inputs!$F$80+AV9)/100*Time!AV20/360</f>
        <v>0.0346022222222222</v>
      </c>
      <c r="AW11" s="14" t="n">
        <f aca="false">(Operations!AW9+Inputs!$F$80+AW9)/100*Time!AW20/360</f>
        <v>0.0340380555555556</v>
      </c>
      <c r="AX11" s="14" t="n">
        <f aca="false">(Operations!AX9+Inputs!$F$80+AX9)/100*Time!AX20/360</f>
        <v>0.0346022222222222</v>
      </c>
      <c r="AY11" s="14" t="n">
        <f aca="false">(Operations!AY9+Inputs!$F$80+AY9)/100*Time!AY20/360</f>
        <v>0.0340380555555556</v>
      </c>
      <c r="AZ11" s="14" t="n">
        <f aca="false">(Operations!AZ9+Inputs!$F$80+AZ9)/100*Time!AZ20/360</f>
        <v>0.0346022222222222</v>
      </c>
      <c r="BA11" s="14" t="n">
        <f aca="false">(Operations!BA9+Inputs!$F$80+BA9)/100*Time!BA20/360</f>
        <v>0.0342261111111111</v>
      </c>
      <c r="BB11" s="14" t="n">
        <f aca="false">(Operations!BB9+Inputs!$F$80+BB9)/100*Time!BB20/360</f>
        <v>0.0346022222222222</v>
      </c>
      <c r="BC11" s="14" t="n">
        <f aca="false">(Operations!BC9+Inputs!$F$80+BC9)/100*Time!BC20/360</f>
        <v>0.0340380555555556</v>
      </c>
      <c r="BD11" s="14" t="n">
        <f aca="false">(Operations!BD9+Inputs!$F$80+BD9)/100*Time!BD20/360</f>
        <v>0.0346022222222222</v>
      </c>
      <c r="BE11" s="14" t="n">
        <f aca="false">(Operations!BE9+Inputs!$F$80+BE9)/100*Time!BE20/360</f>
        <v>0.0340380555555556</v>
      </c>
      <c r="BF11" s="14" t="n">
        <f aca="false">(Operations!BF9+Inputs!$F$80+BF9)/100*Time!BF20/360</f>
        <v>0.0346022222222222</v>
      </c>
      <c r="BG11" s="14" t="n">
        <f aca="false">(Operations!BG9+Inputs!$F$80+BG9)/100*Time!BG20/360</f>
        <v>0.0340380555555556</v>
      </c>
      <c r="BH11" s="14" t="n">
        <f aca="false">(Operations!BH9+Inputs!$F$80+BH9)/100*Time!BH20/360</f>
        <v>0.0346022222222222</v>
      </c>
      <c r="BI11" s="14" t="n">
        <f aca="false">(Operations!BI9+Inputs!$F$80+BI9)/100*Time!BI20/360</f>
        <v>0.0342261111111111</v>
      </c>
      <c r="BJ11" s="14" t="n">
        <f aca="false">(Operations!BJ9+Inputs!$F$80+BJ9)/100*Time!BJ20/360</f>
        <v>0.0346022222222222</v>
      </c>
      <c r="BK11" s="14" t="n">
        <f aca="false">(Operations!BK9+Inputs!$F$80+BK9)/100*Time!BK20/360</f>
        <v>0.0340380555555556</v>
      </c>
      <c r="BL11" s="14" t="n">
        <f aca="false">(Operations!BL9+Inputs!$F$80+BL9)/100*Time!BL20/360</f>
        <v>0.0346022222222222</v>
      </c>
      <c r="BM11" s="14" t="n">
        <f aca="false">(Operations!BM9+Inputs!$F$80+BM9)/100*Time!BM20/360</f>
        <v>0.0340380555555556</v>
      </c>
      <c r="BN11" s="14" t="n">
        <f aca="false">(Operations!BN9+Inputs!$F$80+BN9)/100*Time!BN20/360</f>
        <v>0.0346022222222222</v>
      </c>
    </row>
    <row r="12" customFormat="false" ht="15" hidden="false" customHeight="false" outlineLevel="0" collapsed="false">
      <c r="D12" s="0" t="s">
        <v>641</v>
      </c>
      <c r="E12" s="0" t="s">
        <v>99</v>
      </c>
      <c r="J12" s="14" t="n">
        <f aca="false">(Operations!J9+Inputs!$F$81+J9)/100*Time!J20/360</f>
        <v>0.0302577777777778</v>
      </c>
      <c r="K12" s="14" t="n">
        <f aca="false">(Operations!K9+Inputs!$F$81+K9)/100*Time!K20/360</f>
        <v>0.0311219444444444</v>
      </c>
      <c r="L12" s="14" t="n">
        <f aca="false">(Operations!L9+Inputs!$F$81+L9)/100*Time!L20/360</f>
        <v>0.0324044444444444</v>
      </c>
      <c r="M12" s="14" t="n">
        <f aca="false">(Operations!M9+Inputs!$F$81+M9)/100*Time!M20/360</f>
        <v>0.0324566666666667</v>
      </c>
      <c r="N12" s="14" t="n">
        <f aca="false">(Operations!N9+Inputs!$F$81+N9)/100*Time!N20/360</f>
        <v>0.0330177777777778</v>
      </c>
      <c r="O12" s="14" t="n">
        <f aca="false">(Operations!O9+Inputs!$F$81+O9)/100*Time!O20/360</f>
        <v>0.0326302777777778</v>
      </c>
      <c r="P12" s="14" t="n">
        <f aca="false">(Operations!P9+Inputs!$F$81+P9)/100*Time!P20/360</f>
        <v>0.0331711111111111</v>
      </c>
      <c r="Q12" s="14" t="n">
        <f aca="false">(Operations!Q9+Inputs!$F$81+Q9)/100*Time!Q20/360</f>
        <v>0.0327308333333333</v>
      </c>
      <c r="R12" s="14" t="n">
        <f aca="false">(Operations!R9+Inputs!$F$81+R9)/100*Time!R20/360</f>
        <v>0.0332733333333333</v>
      </c>
      <c r="S12" s="14" t="n">
        <f aca="false">(Operations!S9+Inputs!$F$81+S9)/100*Time!S20/360</f>
        <v>0.0327811111111111</v>
      </c>
      <c r="T12" s="14" t="n">
        <f aca="false">(Operations!T9+Inputs!$F$81+T9)/100*Time!T20/360</f>
        <v>0.0333244444444444</v>
      </c>
      <c r="U12" s="14" t="n">
        <f aca="false">(Operations!U9+Inputs!$F$81+U9)/100*Time!U20/360</f>
        <v>0.0329622222222222</v>
      </c>
      <c r="V12" s="14" t="n">
        <f aca="false">(Operations!V9+Inputs!$F$81+V9)/100*Time!V20/360</f>
        <v>0.0333244444444444</v>
      </c>
      <c r="W12" s="14" t="n">
        <f aca="false">(Operations!W9+Inputs!$F$81+W9)/100*Time!W20/360</f>
        <v>0.0327811111111111</v>
      </c>
      <c r="X12" s="14" t="n">
        <f aca="false">(Operations!X9+Inputs!$F$81+X9)/100*Time!X20/360</f>
        <v>0.0333244444444444</v>
      </c>
      <c r="Y12" s="14" t="n">
        <f aca="false">(Operations!Y9+Inputs!$F$81+Y9)/100*Time!Y20/360</f>
        <v>0.0327811111111111</v>
      </c>
      <c r="Z12" s="14" t="n">
        <f aca="false">(Operations!Z9+Inputs!$F$81+Z9)/100*Time!Z20/360</f>
        <v>0.0333244444444444</v>
      </c>
      <c r="AA12" s="14" t="n">
        <f aca="false">(Operations!AA9+Inputs!$F$81+AA9)/100*Time!AA20/360</f>
        <v>0.0327811111111111</v>
      </c>
      <c r="AB12" s="14" t="n">
        <f aca="false">(Operations!AB9+Inputs!$F$81+AB9)/100*Time!AB20/360</f>
        <v>0.0333244444444444</v>
      </c>
      <c r="AC12" s="14" t="n">
        <f aca="false">(Operations!AC9+Inputs!$F$81+AC9)/100*Time!AC20/360</f>
        <v>0.0329622222222222</v>
      </c>
      <c r="AD12" s="14" t="n">
        <f aca="false">(Operations!AD9+Inputs!$F$81+AD9)/100*Time!AD20/360</f>
        <v>0.0333244444444444</v>
      </c>
      <c r="AE12" s="14" t="n">
        <f aca="false">(Operations!AE9+Inputs!$F$81+AE9)/100*Time!AE20/360</f>
        <v>0.0327811111111111</v>
      </c>
      <c r="AF12" s="14" t="n">
        <f aca="false">(Operations!AF9+Inputs!$F$81+AF9)/100*Time!AF20/360</f>
        <v>0.0333244444444444</v>
      </c>
      <c r="AG12" s="14" t="n">
        <f aca="false">(Operations!AG9+Inputs!$F$81+AG9)/100*Time!AG20/360</f>
        <v>0.0327811111111111</v>
      </c>
      <c r="AH12" s="14" t="n">
        <f aca="false">(Operations!AH9+Inputs!$F$81+AH9)/100*Time!AH20/360</f>
        <v>0.0333244444444444</v>
      </c>
      <c r="AI12" s="14" t="n">
        <f aca="false">(Operations!AI9+Inputs!$F$81+AI9)/100*Time!AI20/360</f>
        <v>0.0327811111111111</v>
      </c>
      <c r="AJ12" s="14" t="n">
        <f aca="false">(Operations!AJ9+Inputs!$F$81+AJ9)/100*Time!AJ20/360</f>
        <v>0.0333244444444444</v>
      </c>
      <c r="AK12" s="14" t="n">
        <f aca="false">(Operations!AK9+Inputs!$F$81+AK9)/100*Time!AK20/360</f>
        <v>0.0329622222222222</v>
      </c>
      <c r="AL12" s="14" t="n">
        <f aca="false">(Operations!AL9+Inputs!$F$81+AL9)/100*Time!AL20/360</f>
        <v>0.0333244444444444</v>
      </c>
      <c r="AM12" s="14" t="n">
        <f aca="false">(Operations!AM9+Inputs!$F$81+AM9)/100*Time!AM20/360</f>
        <v>0.0327811111111111</v>
      </c>
      <c r="AN12" s="14" t="n">
        <f aca="false">(Operations!AN9+Inputs!$F$81+AN9)/100*Time!AN20/360</f>
        <v>0.0333244444444444</v>
      </c>
      <c r="AO12" s="14" t="n">
        <f aca="false">(Operations!AO9+Inputs!$F$81+AO9)/100*Time!AO20/360</f>
        <v>0.0327811111111111</v>
      </c>
      <c r="AP12" s="14" t="n">
        <f aca="false">(Operations!AP9+Inputs!$F$81+AP9)/100*Time!AP20/360</f>
        <v>0.0333244444444444</v>
      </c>
      <c r="AQ12" s="14" t="n">
        <f aca="false">(Operations!AQ9+Inputs!$F$81+AQ9)/100*Time!AQ20/360</f>
        <v>0.0327811111111111</v>
      </c>
      <c r="AR12" s="14" t="n">
        <f aca="false">(Operations!AR9+Inputs!$F$81+AR9)/100*Time!AR20/360</f>
        <v>0.0333244444444444</v>
      </c>
      <c r="AS12" s="14" t="n">
        <f aca="false">(Operations!AS9+Inputs!$F$81+AS9)/100*Time!AS20/360</f>
        <v>0.0329622222222222</v>
      </c>
      <c r="AT12" s="14" t="n">
        <f aca="false">(Operations!AT9+Inputs!$F$81+AT9)/100*Time!AT20/360</f>
        <v>0.0333244444444444</v>
      </c>
      <c r="AU12" s="14" t="n">
        <f aca="false">(Operations!AU9+Inputs!$F$81+AU9)/100*Time!AU20/360</f>
        <v>0.0327811111111111</v>
      </c>
      <c r="AV12" s="14" t="n">
        <f aca="false">(Operations!AV9+Inputs!$F$81+AV9)/100*Time!AV20/360</f>
        <v>0.0333244444444444</v>
      </c>
      <c r="AW12" s="14" t="n">
        <f aca="false">(Operations!AW9+Inputs!$F$81+AW9)/100*Time!AW20/360</f>
        <v>0.0327811111111111</v>
      </c>
      <c r="AX12" s="14" t="n">
        <f aca="false">(Operations!AX9+Inputs!$F$81+AX9)/100*Time!AX20/360</f>
        <v>0.0333244444444444</v>
      </c>
      <c r="AY12" s="14" t="n">
        <f aca="false">(Operations!AY9+Inputs!$F$81+AY9)/100*Time!AY20/360</f>
        <v>0.0327811111111111</v>
      </c>
      <c r="AZ12" s="14" t="n">
        <f aca="false">(Operations!AZ9+Inputs!$F$81+AZ9)/100*Time!AZ20/360</f>
        <v>0.0333244444444444</v>
      </c>
      <c r="BA12" s="14" t="n">
        <f aca="false">(Operations!BA9+Inputs!$F$81+BA9)/100*Time!BA20/360</f>
        <v>0.0329622222222222</v>
      </c>
      <c r="BB12" s="14" t="n">
        <f aca="false">(Operations!BB9+Inputs!$F$81+BB9)/100*Time!BB20/360</f>
        <v>0.0333244444444444</v>
      </c>
      <c r="BC12" s="14" t="n">
        <f aca="false">(Operations!BC9+Inputs!$F$81+BC9)/100*Time!BC20/360</f>
        <v>0.0327811111111111</v>
      </c>
      <c r="BD12" s="14" t="n">
        <f aca="false">(Operations!BD9+Inputs!$F$81+BD9)/100*Time!BD20/360</f>
        <v>0.0333244444444444</v>
      </c>
      <c r="BE12" s="14" t="n">
        <f aca="false">(Operations!BE9+Inputs!$F$81+BE9)/100*Time!BE20/360</f>
        <v>0.0327811111111111</v>
      </c>
      <c r="BF12" s="14" t="n">
        <f aca="false">(Operations!BF9+Inputs!$F$81+BF9)/100*Time!BF20/360</f>
        <v>0.0333244444444444</v>
      </c>
      <c r="BG12" s="14" t="n">
        <f aca="false">(Operations!BG9+Inputs!$F$81+BG9)/100*Time!BG20/360</f>
        <v>0.0327811111111111</v>
      </c>
      <c r="BH12" s="14" t="n">
        <f aca="false">(Operations!BH9+Inputs!$F$81+BH9)/100*Time!BH20/360</f>
        <v>0.0333244444444444</v>
      </c>
      <c r="BI12" s="14" t="n">
        <f aca="false">(Operations!BI9+Inputs!$F$81+BI9)/100*Time!BI20/360</f>
        <v>0.0329622222222222</v>
      </c>
      <c r="BJ12" s="14" t="n">
        <f aca="false">(Operations!BJ9+Inputs!$F$81+BJ9)/100*Time!BJ20/360</f>
        <v>0.0333244444444444</v>
      </c>
      <c r="BK12" s="14" t="n">
        <f aca="false">(Operations!BK9+Inputs!$F$81+BK9)/100*Time!BK20/360</f>
        <v>0.0327811111111111</v>
      </c>
      <c r="BL12" s="14" t="n">
        <f aca="false">(Operations!BL9+Inputs!$F$81+BL9)/100*Time!BL20/360</f>
        <v>0.0333244444444444</v>
      </c>
      <c r="BM12" s="14" t="n">
        <f aca="false">(Operations!BM9+Inputs!$F$81+BM9)/100*Time!BM20/360</f>
        <v>0.0327811111111111</v>
      </c>
      <c r="BN12" s="14" t="n">
        <f aca="false">(Operations!BN9+Inputs!$F$81+BN9)/100*Time!BN20/360</f>
        <v>0.0333244444444444</v>
      </c>
    </row>
    <row r="13" customFormat="false" ht="15" hidden="false" customHeight="false" outlineLevel="0" collapsed="false">
      <c r="D13" s="0" t="s">
        <v>642</v>
      </c>
      <c r="E13" s="0" t="s">
        <v>99</v>
      </c>
      <c r="J13" s="14" t="n">
        <f aca="false">(Operations!J9+J8+J9)/100*Time!J20/360/(1-Inputs!$F$93/100)</f>
        <v>0.0375950617283951</v>
      </c>
      <c r="K13" s="14" t="n">
        <f aca="false">(Operations!K9+K8+K9)/100*Time!K20/360/(1-Inputs!$F$93/100)</f>
        <v>0.0384904320987654</v>
      </c>
      <c r="L13" s="14" t="n">
        <f aca="false">(Operations!L9+L8+L9)/100*Time!L20/360/(1-Inputs!$F$93/100)</f>
        <v>0.0399802469135802</v>
      </c>
      <c r="M13" s="14" t="n">
        <f aca="false">(Operations!M9+M8+M9)/100*Time!M20/360/(1-Inputs!$F$93/100)</f>
        <v>0.0399950617283951</v>
      </c>
      <c r="N13" s="14" t="n">
        <f aca="false">(Operations!N9+N8+N9)/100*Time!N20/360/(1-Inputs!$F$93/100)</f>
        <v>0.0406617283950617</v>
      </c>
      <c r="O13" s="14" t="n">
        <f aca="false">(Operations!O9+O8+O9)/100*Time!O20/360/(1-Inputs!$F$93/100)</f>
        <v>0.0401663580246914</v>
      </c>
      <c r="P13" s="14" t="n">
        <f aca="false">(Operations!P9+P8+P9)/100*Time!P20/360/(1-Inputs!$F$93/100)</f>
        <v>0.0408320987654321</v>
      </c>
      <c r="Q13" s="14" t="n">
        <f aca="false">(Operations!Q9+Q8+Q9)/100*Time!Q20/360/(1-Inputs!$F$93/100)</f>
        <v>0.0402780864197531</v>
      </c>
      <c r="R13" s="14" t="n">
        <f aca="false">(Operations!R9+R8+R9)/100*Time!R20/360/(1-Inputs!$F$93/100)</f>
        <v>0.0409456790123457</v>
      </c>
      <c r="S13" s="14" t="n">
        <f aca="false">(Operations!S9+S8+S9)/100*Time!S20/360/(1-Inputs!$F$93/100)</f>
        <v>0.040333950617284</v>
      </c>
      <c r="T13" s="14" t="n">
        <f aca="false">(Operations!T9+T8+T9)/100*Time!T20/360/(1-Inputs!$F$93/100)</f>
        <v>0.0410024691358025</v>
      </c>
      <c r="U13" s="14" t="n">
        <f aca="false">(Operations!U9+U8+U9)/100*Time!U20/360/(1-Inputs!$F$93/100)</f>
        <v>0.0405567901234568</v>
      </c>
      <c r="V13" s="14" t="n">
        <f aca="false">(Operations!V9+V8+V9)/100*Time!V20/360/(1-Inputs!$F$93/100)</f>
        <v>0.0410024691358025</v>
      </c>
      <c r="W13" s="14" t="n">
        <f aca="false">(Operations!W9+W8+W9)/100*Time!W20/360/(1-Inputs!$F$93/100)</f>
        <v>0.040333950617284</v>
      </c>
      <c r="X13" s="14" t="n">
        <f aca="false">(Operations!X9+X8+X9)/100*Time!X20/360/(1-Inputs!$F$93/100)</f>
        <v>0.0410024691358025</v>
      </c>
      <c r="Y13" s="14" t="n">
        <f aca="false">(Operations!Y9+Y8+Y9)/100*Time!Y20/360/(1-Inputs!$F$93/100)</f>
        <v>0.0431271604938272</v>
      </c>
      <c r="Z13" s="14" t="n">
        <f aca="false">(Operations!Z9+Z8+Z9)/100*Time!Z20/360/(1-Inputs!$F$93/100)</f>
        <v>0.043841975308642</v>
      </c>
      <c r="AA13" s="14" t="n">
        <f aca="false">(Operations!AA9+AA8+AA9)/100*Time!AA20/360/(1-Inputs!$F$93/100)</f>
        <v>0.0431271604938272</v>
      </c>
      <c r="AB13" s="14" t="n">
        <f aca="false">(Operations!AB9+AB8+AB9)/100*Time!AB20/360/(1-Inputs!$F$93/100)</f>
        <v>0.043841975308642</v>
      </c>
      <c r="AC13" s="14" t="n">
        <f aca="false">(Operations!AC9+AC8+AC9)/100*Time!AC20/360/(1-Inputs!$F$93/100)</f>
        <v>0.0433654320987654</v>
      </c>
      <c r="AD13" s="14" t="n">
        <f aca="false">(Operations!AD9+AD8+AD9)/100*Time!AD20/360/(1-Inputs!$F$93/100)</f>
        <v>0.043841975308642</v>
      </c>
      <c r="AE13" s="14" t="n">
        <f aca="false">(Operations!AE9+AE8+AE9)/100*Time!AE20/360/(1-Inputs!$F$93/100)</f>
        <v>0.0431271604938272</v>
      </c>
      <c r="AF13" s="14" t="n">
        <f aca="false">(Operations!AF9+AF8+AF9)/100*Time!AF20/360/(1-Inputs!$F$93/100)</f>
        <v>0.043841975308642</v>
      </c>
      <c r="AG13" s="14" t="n">
        <f aca="false">(Operations!AG9+AG8+AG9)/100*Time!AG20/360/(1-Inputs!$F$93/100)</f>
        <v>0.0459203703703704</v>
      </c>
      <c r="AH13" s="14" t="n">
        <f aca="false">(Operations!AH9+AH8+AH9)/100*Time!AH20/360/(1-Inputs!$F$93/100)</f>
        <v>0.0466814814814815</v>
      </c>
      <c r="AI13" s="14" t="n">
        <f aca="false">(Operations!AI9+AI8+AI9)/100*Time!AI20/360/(1-Inputs!$F$93/100)</f>
        <v>0.0459203703703704</v>
      </c>
      <c r="AJ13" s="14" t="n">
        <f aca="false">(Operations!AJ9+AJ8+AJ9)/100*Time!AJ20/360/(1-Inputs!$F$93/100)</f>
        <v>0.0466814814814815</v>
      </c>
      <c r="AK13" s="14" t="n">
        <f aca="false">(Operations!AK9+AK8+AK9)/100*Time!AK20/360/(1-Inputs!$F$93/100)</f>
        <v>0.0461740740740741</v>
      </c>
      <c r="AL13" s="14" t="n">
        <f aca="false">(Operations!AL9+AL8+AL9)/100*Time!AL20/360/(1-Inputs!$F$93/100)</f>
        <v>0.0466814814814815</v>
      </c>
      <c r="AM13" s="14" t="n">
        <f aca="false">(Operations!AM9+AM8+AM9)/100*Time!AM20/360/(1-Inputs!$F$93/100)</f>
        <v>0.0459203703703704</v>
      </c>
      <c r="AN13" s="14" t="n">
        <f aca="false">(Operations!AN9+AN8+AN9)/100*Time!AN20/360/(1-Inputs!$F$93/100)</f>
        <v>0.0466814814814815</v>
      </c>
      <c r="AO13" s="14" t="n">
        <f aca="false">(Operations!AO9+AO8+AO9)/100*Time!AO20/360/(1-Inputs!$F$93/100)</f>
        <v>0.0459203703703704</v>
      </c>
      <c r="AP13" s="14" t="n">
        <f aca="false">(Operations!AP9+AP8+AP9)/100*Time!AP20/360/(1-Inputs!$F$93/100)</f>
        <v>0.0466814814814815</v>
      </c>
      <c r="AQ13" s="14" t="n">
        <f aca="false">(Operations!AQ9+AQ8+AQ9)/100*Time!AQ20/360/(1-Inputs!$F$93/100)</f>
        <v>0.0459203703703704</v>
      </c>
      <c r="AR13" s="14" t="n">
        <f aca="false">(Operations!AR9+AR8+AR9)/100*Time!AR20/360/(1-Inputs!$F$93/100)</f>
        <v>0.0466814814814815</v>
      </c>
      <c r="AS13" s="14" t="n">
        <f aca="false">(Operations!AS9+AS8+AS9)/100*Time!AS20/360/(1-Inputs!$F$93/100)</f>
        <v>0.0461740740740741</v>
      </c>
      <c r="AT13" s="14" t="n">
        <f aca="false">(Operations!AT9+AT8+AT9)/100*Time!AT20/360/(1-Inputs!$F$93/100)</f>
        <v>0.0466814814814815</v>
      </c>
      <c r="AU13" s="14" t="n">
        <f aca="false">(Operations!AU9+AU8+AU9)/100*Time!AU20/360/(1-Inputs!$F$93/100)</f>
        <v>0.0459203703703704</v>
      </c>
      <c r="AV13" s="14" t="n">
        <f aca="false">(Operations!AV9+AV8+AV9)/100*Time!AV20/360/(1-Inputs!$F$93/100)</f>
        <v>0.0466814814814815</v>
      </c>
      <c r="AW13" s="14" t="n">
        <f aca="false">(Operations!AW9+AW8+AW9)/100*Time!AW20/360/(1-Inputs!$F$93/100)</f>
        <v>0.0459203703703704</v>
      </c>
      <c r="AX13" s="14" t="n">
        <f aca="false">(Operations!AX9+AX8+AX9)/100*Time!AX20/360/(1-Inputs!$F$93/100)</f>
        <v>0.0466814814814815</v>
      </c>
      <c r="AY13" s="14" t="n">
        <f aca="false">(Operations!AY9+AY8+AY9)/100*Time!AY20/360/(1-Inputs!$F$93/100)</f>
        <v>0.0459203703703704</v>
      </c>
      <c r="AZ13" s="14" t="n">
        <f aca="false">(Operations!AZ9+AZ8+AZ9)/100*Time!AZ20/360/(1-Inputs!$F$93/100)</f>
        <v>0.0466814814814815</v>
      </c>
      <c r="BA13" s="14" t="n">
        <f aca="false">(Operations!BA9+BA8+BA9)/100*Time!BA20/360/(1-Inputs!$F$93/100)</f>
        <v>0.0461740740740741</v>
      </c>
      <c r="BB13" s="14" t="n">
        <f aca="false">(Operations!BB9+BB8+BB9)/100*Time!BB20/360/(1-Inputs!$F$93/100)</f>
        <v>0.0466814814814815</v>
      </c>
      <c r="BC13" s="14" t="n">
        <f aca="false">(Operations!BC9+BC8+BC9)/100*Time!BC20/360/(1-Inputs!$F$93/100)</f>
        <v>0.0459203703703704</v>
      </c>
      <c r="BD13" s="14" t="n">
        <f aca="false">(Operations!BD9+BD8+BD9)/100*Time!BD20/360/(1-Inputs!$F$93/100)</f>
        <v>0.0466814814814815</v>
      </c>
      <c r="BE13" s="14" t="n">
        <f aca="false">(Operations!BE9+BE8+BE9)/100*Time!BE20/360/(1-Inputs!$F$93/100)</f>
        <v>0.0459203703703704</v>
      </c>
      <c r="BF13" s="14" t="n">
        <f aca="false">(Operations!BF9+BF8+BF9)/100*Time!BF20/360/(1-Inputs!$F$93/100)</f>
        <v>0.0466814814814815</v>
      </c>
      <c r="BG13" s="14" t="n">
        <f aca="false">(Operations!BG9+BG8+BG9)/100*Time!BG20/360/(1-Inputs!$F$93/100)</f>
        <v>0.0459203703703704</v>
      </c>
      <c r="BH13" s="14" t="n">
        <f aca="false">(Operations!BH9+BH8+BH9)/100*Time!BH20/360/(1-Inputs!$F$93/100)</f>
        <v>0.0466814814814815</v>
      </c>
      <c r="BI13" s="14" t="n">
        <f aca="false">(Operations!BI9+BI8+BI9)/100*Time!BI20/360/(1-Inputs!$F$93/100)</f>
        <v>0.0461740740740741</v>
      </c>
      <c r="BJ13" s="14" t="n">
        <f aca="false">(Operations!BJ9+BJ8+BJ9)/100*Time!BJ20/360/(1-Inputs!$F$93/100)</f>
        <v>0.0466814814814815</v>
      </c>
      <c r="BK13" s="14" t="n">
        <f aca="false">(Operations!BK9+BK8+BK9)/100*Time!BK20/360/(1-Inputs!$F$93/100)</f>
        <v>0.0459203703703704</v>
      </c>
      <c r="BL13" s="14" t="n">
        <f aca="false">(Operations!BL9+BL8+BL9)/100*Time!BL20/360/(1-Inputs!$F$93/100)</f>
        <v>0.0466814814814815</v>
      </c>
      <c r="BM13" s="14" t="n">
        <f aca="false">(Operations!BM9+BM8+BM9)/100*Time!BM20/360/(1-Inputs!$F$93/100)</f>
        <v>0.0459203703703704</v>
      </c>
      <c r="BN13" s="14" t="n">
        <f aca="false">(Operations!BN9+BN8+BN9)/100*Time!BN20/360/(1-Inputs!$F$93/100)</f>
        <v>0.0466814814814815</v>
      </c>
    </row>
    <row r="14" customFormat="false" ht="15" hidden="false" customHeight="false" outlineLevel="0" collapsed="false">
      <c r="D14" s="0" t="s">
        <v>643</v>
      </c>
      <c r="E14" s="0" t="s">
        <v>99</v>
      </c>
      <c r="J14" s="14" t="n">
        <f aca="false">(Inputs!$F$102*(Operations!J9+J8+Inputs!$F$101+J9)/(1-Inputs!$F$93/100)+(1-Inputs!$F$102)*(Operations!J9+Inputs!$F$80+Inputs!$F$101+J9))/100*Time!J20/360</f>
        <v>0.0365342222222222</v>
      </c>
      <c r="K14" s="14" t="n">
        <f aca="false">(Inputs!$F$102*(Operations!K9+K8+Inputs!$F$101+K9)/(1-Inputs!$F$93/100)+(1-Inputs!$F$102)*(Operations!K9+Inputs!$F$80+Inputs!$F$101+K9))/100*Time!K20/360</f>
        <v>0.0373865555555556</v>
      </c>
      <c r="L14" s="14" t="n">
        <f aca="false">(Inputs!$F$102*(Operations!L9+L8+Inputs!$F$101+L9)/(1-Inputs!$F$93/100)+(1-Inputs!$F$102)*(Operations!L9+Inputs!$F$80+Inputs!$F$101+L9))/100*Time!L20/360</f>
        <v>0.038824</v>
      </c>
      <c r="M14" s="14" t="n">
        <f aca="false">(Inputs!$F$102*(Operations!M9+M8+Inputs!$F$101+M9)/(1-Inputs!$F$93/100)+(1-Inputs!$F$102)*(Operations!M9+Inputs!$F$80+Inputs!$F$101+M9))/100*Time!M20/360</f>
        <v>0.0388334074074074</v>
      </c>
      <c r="N14" s="14" t="n">
        <f aca="false">(Inputs!$F$102*(Operations!N9+N8+Inputs!$F$101+N9)/(1-Inputs!$F$93/100)+(1-Inputs!$F$102)*(Operations!N9+Inputs!$F$80+Inputs!$F$101+N9))/100*Time!N20/360</f>
        <v>0.0394782222222222</v>
      </c>
      <c r="O14" s="14" t="n">
        <f aca="false">(Inputs!$F$102*(Operations!O9+O8+Inputs!$F$101+O9)/(1-Inputs!$F$93/100)+(1-Inputs!$F$102)*(Operations!O9+Inputs!$F$80+Inputs!$F$101+O9))/100*Time!O20/360</f>
        <v>0.0389954444444444</v>
      </c>
      <c r="P14" s="14" t="n">
        <f aca="false">(Inputs!$F$102*(Operations!P9+P8+Inputs!$F$101+P9)/(1-Inputs!$F$93/100)+(1-Inputs!$F$102)*(Operations!P9+Inputs!$F$80+Inputs!$F$101+P9))/100*Time!P20/360</f>
        <v>0.0396417777777778</v>
      </c>
      <c r="Q14" s="14" t="n">
        <f aca="false">(Inputs!$F$102*(Operations!Q9+Q8+Inputs!$F$101+Q9)/(1-Inputs!$F$93/100)+(1-Inputs!$F$102)*(Operations!Q9+Inputs!$F$80+Inputs!$F$101+Q9))/100*Time!Q20/360</f>
        <v>0.0391027037037037</v>
      </c>
      <c r="R14" s="14" t="n">
        <f aca="false">(Inputs!$F$102*(Operations!R9+R8+Inputs!$F$101+R9)/(1-Inputs!$F$93/100)+(1-Inputs!$F$102)*(Operations!R9+Inputs!$F$80+Inputs!$F$101+R9))/100*Time!R20/360</f>
        <v>0.0397508148148148</v>
      </c>
      <c r="S14" s="14" t="n">
        <f aca="false">(Inputs!$F$102*(Operations!S9+S8+Inputs!$F$101+S9)/(1-Inputs!$F$93/100)+(1-Inputs!$F$102)*(Operations!S9+Inputs!$F$80+Inputs!$F$101+S9))/100*Time!S20/360</f>
        <v>0.0391563333333333</v>
      </c>
      <c r="T14" s="14" t="n">
        <f aca="false">(Inputs!$F$102*(Operations!T9+T8+Inputs!$F$101+T9)/(1-Inputs!$F$93/100)+(1-Inputs!$F$102)*(Operations!T9+Inputs!$F$80+Inputs!$F$101+T9))/100*Time!T20/360</f>
        <v>0.0398053333333333</v>
      </c>
      <c r="U14" s="14" t="n">
        <f aca="false">(Inputs!$F$102*(Operations!U9+U8+Inputs!$F$101+U9)/(1-Inputs!$F$93/100)+(1-Inputs!$F$102)*(Operations!U9+Inputs!$F$80+Inputs!$F$101+U9))/100*Time!U20/360</f>
        <v>0.0393726666666667</v>
      </c>
      <c r="V14" s="14" t="n">
        <f aca="false">(Inputs!$F$102*(Operations!V9+V8+Inputs!$F$101+V9)/(1-Inputs!$F$93/100)+(1-Inputs!$F$102)*(Operations!V9+Inputs!$F$80+Inputs!$F$101+V9))/100*Time!V20/360</f>
        <v>0.0398053333333333</v>
      </c>
      <c r="W14" s="14" t="n">
        <f aca="false">(Inputs!$F$102*(Operations!W9+W8+Inputs!$F$101+W9)/(1-Inputs!$F$93/100)+(1-Inputs!$F$102)*(Operations!W9+Inputs!$F$80+Inputs!$F$101+W9))/100*Time!W20/360</f>
        <v>0.0391563333333333</v>
      </c>
      <c r="X14" s="14" t="n">
        <f aca="false">(Inputs!$F$102*(Operations!X9+X8+Inputs!$F$101+X9)/(1-Inputs!$F$93/100)+(1-Inputs!$F$102)*(Operations!X9+Inputs!$F$80+Inputs!$F$101+X9))/100*Time!X20/360</f>
        <v>0.0398053333333333</v>
      </c>
      <c r="Y14" s="14" t="n">
        <f aca="false">(Inputs!$F$102*(Operations!Y9+Y8+Inputs!$F$101+Y9)/(1-Inputs!$F$93/100)+(1-Inputs!$F$102)*(Operations!Y9+Inputs!$F$80+Inputs!$F$101+Y9))/100*Time!Y20/360</f>
        <v>0.0408322592592593</v>
      </c>
      <c r="Z14" s="14" t="n">
        <f aca="false">(Inputs!$F$102*(Operations!Z9+Z8+Inputs!$F$101+Z9)/(1-Inputs!$F$93/100)+(1-Inputs!$F$102)*(Operations!Z9+Inputs!$F$80+Inputs!$F$101+Z9))/100*Time!Z20/360</f>
        <v>0.041509037037037</v>
      </c>
      <c r="AA14" s="14" t="n">
        <f aca="false">(Inputs!$F$102*(Operations!AA9+AA8+Inputs!$F$101+AA9)/(1-Inputs!$F$93/100)+(1-Inputs!$F$102)*(Operations!AA9+Inputs!$F$80+Inputs!$F$101+AA9))/100*Time!AA20/360</f>
        <v>0.0408322592592593</v>
      </c>
      <c r="AB14" s="14" t="n">
        <f aca="false">(Inputs!$F$102*(Operations!AB9+AB8+Inputs!$F$101+AB9)/(1-Inputs!$F$93/100)+(1-Inputs!$F$102)*(Operations!AB9+Inputs!$F$80+Inputs!$F$101+AB9))/100*Time!AB20/360</f>
        <v>0.041509037037037</v>
      </c>
      <c r="AC14" s="14" t="n">
        <f aca="false">(Inputs!$F$102*(Operations!AC9+AC8+Inputs!$F$101+AC9)/(1-Inputs!$F$93/100)+(1-Inputs!$F$102)*(Operations!AC9+Inputs!$F$80+Inputs!$F$101+AC9))/100*Time!AC20/360</f>
        <v>0.0410578518518518</v>
      </c>
      <c r="AD14" s="14" t="n">
        <f aca="false">(Inputs!$F$102*(Operations!AD9+AD8+Inputs!$F$101+AD9)/(1-Inputs!$F$93/100)+(1-Inputs!$F$102)*(Operations!AD9+Inputs!$F$80+Inputs!$F$101+AD9))/100*Time!AD20/360</f>
        <v>0.041509037037037</v>
      </c>
      <c r="AE14" s="14" t="n">
        <f aca="false">(Inputs!$F$102*(Operations!AE9+AE8+Inputs!$F$101+AE9)/(1-Inputs!$F$93/100)+(1-Inputs!$F$102)*(Operations!AE9+Inputs!$F$80+Inputs!$F$101+AE9))/100*Time!AE20/360</f>
        <v>0.0408322592592593</v>
      </c>
      <c r="AF14" s="14" t="n">
        <f aca="false">(Inputs!$F$102*(Operations!AF9+AF8+Inputs!$F$101+AF9)/(1-Inputs!$F$93/100)+(1-Inputs!$F$102)*(Operations!AF9+Inputs!$F$80+Inputs!$F$101+AF9))/100*Time!AF20/360</f>
        <v>0.041509037037037</v>
      </c>
      <c r="AG14" s="14" t="n">
        <f aca="false">(Inputs!$F$102*(Operations!AG9+AG8+Inputs!$F$101+AG9)/(1-Inputs!$F$93/100)+(1-Inputs!$F$102)*(Operations!AG9+Inputs!$F$80+Inputs!$F$101+AG9))/100*Time!AG20/360</f>
        <v>0.0425081851851852</v>
      </c>
      <c r="AH14" s="14" t="n">
        <f aca="false">(Inputs!$F$102*(Operations!AH9+AH8+Inputs!$F$101+AH9)/(1-Inputs!$F$93/100)+(1-Inputs!$F$102)*(Operations!AH9+Inputs!$F$80+Inputs!$F$101+AH9))/100*Time!AH20/360</f>
        <v>0.0432127407407407</v>
      </c>
      <c r="AI14" s="14" t="n">
        <f aca="false">(Inputs!$F$102*(Operations!AI9+AI8+Inputs!$F$101+AI9)/(1-Inputs!$F$93/100)+(1-Inputs!$F$102)*(Operations!AI9+Inputs!$F$80+Inputs!$F$101+AI9))/100*Time!AI20/360</f>
        <v>0.0425081851851852</v>
      </c>
      <c r="AJ14" s="14" t="n">
        <f aca="false">(Inputs!$F$102*(Operations!AJ9+AJ8+Inputs!$F$101+AJ9)/(1-Inputs!$F$93/100)+(1-Inputs!$F$102)*(Operations!AJ9+Inputs!$F$80+Inputs!$F$101+AJ9))/100*Time!AJ20/360</f>
        <v>0.0432127407407407</v>
      </c>
      <c r="AK14" s="14" t="n">
        <f aca="false">(Inputs!$F$102*(Operations!AK9+AK8+Inputs!$F$101+AK9)/(1-Inputs!$F$93/100)+(1-Inputs!$F$102)*(Operations!AK9+Inputs!$F$80+Inputs!$F$101+AK9))/100*Time!AK20/360</f>
        <v>0.042743037037037</v>
      </c>
      <c r="AL14" s="14" t="n">
        <f aca="false">(Inputs!$F$102*(Operations!AL9+AL8+Inputs!$F$101+AL9)/(1-Inputs!$F$93/100)+(1-Inputs!$F$102)*(Operations!AL9+Inputs!$F$80+Inputs!$F$101+AL9))/100*Time!AL20/360</f>
        <v>0.0432127407407407</v>
      </c>
      <c r="AM14" s="14" t="n">
        <f aca="false">(Inputs!$F$102*(Operations!AM9+AM8+Inputs!$F$101+AM9)/(1-Inputs!$F$93/100)+(1-Inputs!$F$102)*(Operations!AM9+Inputs!$F$80+Inputs!$F$101+AM9))/100*Time!AM20/360</f>
        <v>0.0425081851851852</v>
      </c>
      <c r="AN14" s="14" t="n">
        <f aca="false">(Inputs!$F$102*(Operations!AN9+AN8+Inputs!$F$101+AN9)/(1-Inputs!$F$93/100)+(1-Inputs!$F$102)*(Operations!AN9+Inputs!$F$80+Inputs!$F$101+AN9))/100*Time!AN20/360</f>
        <v>0.0432127407407407</v>
      </c>
      <c r="AO14" s="14" t="n">
        <f aca="false">(Inputs!$F$102*(Operations!AO9+AO8+Inputs!$F$101+AO9)/(1-Inputs!$F$93/100)+(1-Inputs!$F$102)*(Operations!AO9+Inputs!$F$80+Inputs!$F$101+AO9))/100*Time!AO20/360</f>
        <v>0.0425081851851852</v>
      </c>
      <c r="AP14" s="14" t="n">
        <f aca="false">(Inputs!$F$102*(Operations!AP9+AP8+Inputs!$F$101+AP9)/(1-Inputs!$F$93/100)+(1-Inputs!$F$102)*(Operations!AP9+Inputs!$F$80+Inputs!$F$101+AP9))/100*Time!AP20/360</f>
        <v>0.0432127407407407</v>
      </c>
      <c r="AQ14" s="14" t="n">
        <f aca="false">(Inputs!$F$102*(Operations!AQ9+AQ8+Inputs!$F$101+AQ9)/(1-Inputs!$F$93/100)+(1-Inputs!$F$102)*(Operations!AQ9+Inputs!$F$80+Inputs!$F$101+AQ9))/100*Time!AQ20/360</f>
        <v>0.0425081851851852</v>
      </c>
      <c r="AR14" s="14" t="n">
        <f aca="false">(Inputs!$F$102*(Operations!AR9+AR8+Inputs!$F$101+AR9)/(1-Inputs!$F$93/100)+(1-Inputs!$F$102)*(Operations!AR9+Inputs!$F$80+Inputs!$F$101+AR9))/100*Time!AR20/360</f>
        <v>0.0432127407407407</v>
      </c>
      <c r="AS14" s="14" t="n">
        <f aca="false">(Inputs!$F$102*(Operations!AS9+AS8+Inputs!$F$101+AS9)/(1-Inputs!$F$93/100)+(1-Inputs!$F$102)*(Operations!AS9+Inputs!$F$80+Inputs!$F$101+AS9))/100*Time!AS20/360</f>
        <v>0.042743037037037</v>
      </c>
      <c r="AT14" s="14" t="n">
        <f aca="false">(Inputs!$F$102*(Operations!AT9+AT8+Inputs!$F$101+AT9)/(1-Inputs!$F$93/100)+(1-Inputs!$F$102)*(Operations!AT9+Inputs!$F$80+Inputs!$F$101+AT9))/100*Time!AT20/360</f>
        <v>0.0432127407407407</v>
      </c>
      <c r="AU14" s="14" t="n">
        <f aca="false">(Inputs!$F$102*(Operations!AU9+AU8+Inputs!$F$101+AU9)/(1-Inputs!$F$93/100)+(1-Inputs!$F$102)*(Operations!AU9+Inputs!$F$80+Inputs!$F$101+AU9))/100*Time!AU20/360</f>
        <v>0.0425081851851852</v>
      </c>
      <c r="AV14" s="14" t="n">
        <f aca="false">(Inputs!$F$102*(Operations!AV9+AV8+Inputs!$F$101+AV9)/(1-Inputs!$F$93/100)+(1-Inputs!$F$102)*(Operations!AV9+Inputs!$F$80+Inputs!$F$101+AV9))/100*Time!AV20/360</f>
        <v>0.0432127407407407</v>
      </c>
      <c r="AW14" s="14" t="n">
        <f aca="false">(Inputs!$F$102*(Operations!AW9+AW8+Inputs!$F$101+AW9)/(1-Inputs!$F$93/100)+(1-Inputs!$F$102)*(Operations!AW9+Inputs!$F$80+Inputs!$F$101+AW9))/100*Time!AW20/360</f>
        <v>0.0425081851851852</v>
      </c>
      <c r="AX14" s="14" t="n">
        <f aca="false">(Inputs!$F$102*(Operations!AX9+AX8+Inputs!$F$101+AX9)/(1-Inputs!$F$93/100)+(1-Inputs!$F$102)*(Operations!AX9+Inputs!$F$80+Inputs!$F$101+AX9))/100*Time!AX20/360</f>
        <v>0.0432127407407407</v>
      </c>
      <c r="AY14" s="14" t="n">
        <f aca="false">(Inputs!$F$102*(Operations!AY9+AY8+Inputs!$F$101+AY9)/(1-Inputs!$F$93/100)+(1-Inputs!$F$102)*(Operations!AY9+Inputs!$F$80+Inputs!$F$101+AY9))/100*Time!AY20/360</f>
        <v>0.0425081851851852</v>
      </c>
      <c r="AZ14" s="14" t="n">
        <f aca="false">(Inputs!$F$102*(Operations!AZ9+AZ8+Inputs!$F$101+AZ9)/(1-Inputs!$F$93/100)+(1-Inputs!$F$102)*(Operations!AZ9+Inputs!$F$80+Inputs!$F$101+AZ9))/100*Time!AZ20/360</f>
        <v>0.0432127407407407</v>
      </c>
      <c r="BA14" s="14" t="n">
        <f aca="false">(Inputs!$F$102*(Operations!BA9+BA8+Inputs!$F$101+BA9)/(1-Inputs!$F$93/100)+(1-Inputs!$F$102)*(Operations!BA9+Inputs!$F$80+Inputs!$F$101+BA9))/100*Time!BA20/360</f>
        <v>0.042743037037037</v>
      </c>
      <c r="BB14" s="14" t="n">
        <f aca="false">(Inputs!$F$102*(Operations!BB9+BB8+Inputs!$F$101+BB9)/(1-Inputs!$F$93/100)+(1-Inputs!$F$102)*(Operations!BB9+Inputs!$F$80+Inputs!$F$101+BB9))/100*Time!BB20/360</f>
        <v>0.0432127407407407</v>
      </c>
      <c r="BC14" s="14" t="n">
        <f aca="false">(Inputs!$F$102*(Operations!BC9+BC8+Inputs!$F$101+BC9)/(1-Inputs!$F$93/100)+(1-Inputs!$F$102)*(Operations!BC9+Inputs!$F$80+Inputs!$F$101+BC9))/100*Time!BC20/360</f>
        <v>0.0425081851851852</v>
      </c>
      <c r="BD14" s="14" t="n">
        <f aca="false">(Inputs!$F$102*(Operations!BD9+BD8+Inputs!$F$101+BD9)/(1-Inputs!$F$93/100)+(1-Inputs!$F$102)*(Operations!BD9+Inputs!$F$80+Inputs!$F$101+BD9))/100*Time!BD20/360</f>
        <v>0.0432127407407407</v>
      </c>
      <c r="BE14" s="14" t="n">
        <f aca="false">(Inputs!$F$102*(Operations!BE9+BE8+Inputs!$F$101+BE9)/(1-Inputs!$F$93/100)+(1-Inputs!$F$102)*(Operations!BE9+Inputs!$F$80+Inputs!$F$101+BE9))/100*Time!BE20/360</f>
        <v>0.0425081851851852</v>
      </c>
      <c r="BF14" s="14" t="n">
        <f aca="false">(Inputs!$F$102*(Operations!BF9+BF8+Inputs!$F$101+BF9)/(1-Inputs!$F$93/100)+(1-Inputs!$F$102)*(Operations!BF9+Inputs!$F$80+Inputs!$F$101+BF9))/100*Time!BF20/360</f>
        <v>0.0432127407407407</v>
      </c>
      <c r="BG14" s="14" t="n">
        <f aca="false">(Inputs!$F$102*(Operations!BG9+BG8+Inputs!$F$101+BG9)/(1-Inputs!$F$93/100)+(1-Inputs!$F$102)*(Operations!BG9+Inputs!$F$80+Inputs!$F$101+BG9))/100*Time!BG20/360</f>
        <v>0.0425081851851852</v>
      </c>
      <c r="BH14" s="14" t="n">
        <f aca="false">(Inputs!$F$102*(Operations!BH9+BH8+Inputs!$F$101+BH9)/(1-Inputs!$F$93/100)+(1-Inputs!$F$102)*(Operations!BH9+Inputs!$F$80+Inputs!$F$101+BH9))/100*Time!BH20/360</f>
        <v>0.0432127407407407</v>
      </c>
      <c r="BI14" s="14" t="n">
        <f aca="false">(Inputs!$F$102*(Operations!BI9+BI8+Inputs!$F$101+BI9)/(1-Inputs!$F$93/100)+(1-Inputs!$F$102)*(Operations!BI9+Inputs!$F$80+Inputs!$F$101+BI9))/100*Time!BI20/360</f>
        <v>0.042743037037037</v>
      </c>
      <c r="BJ14" s="14" t="n">
        <f aca="false">(Inputs!$F$102*(Operations!BJ9+BJ8+Inputs!$F$101+BJ9)/(1-Inputs!$F$93/100)+(1-Inputs!$F$102)*(Operations!BJ9+Inputs!$F$80+Inputs!$F$101+BJ9))/100*Time!BJ20/360</f>
        <v>0.0432127407407407</v>
      </c>
      <c r="BK14" s="14" t="n">
        <f aca="false">(Inputs!$F$102*(Operations!BK9+BK8+Inputs!$F$101+BK9)/(1-Inputs!$F$93/100)+(1-Inputs!$F$102)*(Operations!BK9+Inputs!$F$80+Inputs!$F$101+BK9))/100*Time!BK20/360</f>
        <v>0.0425081851851852</v>
      </c>
      <c r="BL14" s="14" t="n">
        <f aca="false">(Inputs!$F$102*(Operations!BL9+BL8+Inputs!$F$101+BL9)/(1-Inputs!$F$93/100)+(1-Inputs!$F$102)*(Operations!BL9+Inputs!$F$80+Inputs!$F$101+BL9))/100*Time!BL20/360</f>
        <v>0.0432127407407407</v>
      </c>
      <c r="BM14" s="14" t="n">
        <f aca="false">(Inputs!$F$102*(Operations!BM9+BM8+Inputs!$F$101+BM9)/(1-Inputs!$F$93/100)+(1-Inputs!$F$102)*(Operations!BM9+Inputs!$F$80+Inputs!$F$101+BM9))/100*Time!BM20/360</f>
        <v>0.0425081851851852</v>
      </c>
      <c r="BN14" s="14" t="n">
        <f aca="false">(Inputs!$F$102*(Operations!BN9+BN8+Inputs!$F$101+BN9)/(1-Inputs!$F$93/100)+(1-Inputs!$F$102)*(Operations!BN9+Inputs!$F$80+Inputs!$F$101+BN9))/100*Time!BN20/360</f>
        <v>0.0432127407407407</v>
      </c>
    </row>
    <row r="15" customFormat="false" ht="15" hidden="false" customHeight="false" outlineLevel="0" collapsed="false">
      <c r="D15" s="0" t="s">
        <v>644</v>
      </c>
      <c r="E15" s="0" t="s">
        <v>99</v>
      </c>
      <c r="J15" s="14" t="n">
        <f aca="false">Inputs!$F$195/100*0.5</f>
        <v>0.039375</v>
      </c>
      <c r="K15" s="14" t="n">
        <f aca="false">Inputs!$F$195/100*0.5</f>
        <v>0.039375</v>
      </c>
      <c r="L15" s="14" t="n">
        <f aca="false">Inputs!$F$195/100*0.5</f>
        <v>0.039375</v>
      </c>
      <c r="M15" s="14" t="n">
        <f aca="false">Inputs!$F$195/100*0.5</f>
        <v>0.039375</v>
      </c>
      <c r="N15" s="14" t="n">
        <f aca="false">Inputs!$F$195/100*0.5</f>
        <v>0.039375</v>
      </c>
      <c r="O15" s="14" t="n">
        <f aca="false">Inputs!$F$195/100*0.5</f>
        <v>0.039375</v>
      </c>
      <c r="P15" s="14" t="n">
        <f aca="false">Inputs!$F$195/100*0.5</f>
        <v>0.039375</v>
      </c>
      <c r="Q15" s="14" t="n">
        <f aca="false">Inputs!$F$195/100*0.5</f>
        <v>0.039375</v>
      </c>
      <c r="R15" s="14" t="n">
        <f aca="false">Inputs!$F$195/100*0.5</f>
        <v>0.039375</v>
      </c>
      <c r="S15" s="14" t="n">
        <f aca="false">Inputs!$F$195/100*0.5</f>
        <v>0.039375</v>
      </c>
      <c r="T15" s="14" t="n">
        <f aca="false">Inputs!$F$195/100*0.5</f>
        <v>0.039375</v>
      </c>
      <c r="U15" s="14" t="n">
        <f aca="false">Inputs!$F$195/100*0.5</f>
        <v>0.039375</v>
      </c>
      <c r="V15" s="14" t="n">
        <f aca="false">Inputs!$F$195/100*0.5</f>
        <v>0.039375</v>
      </c>
      <c r="W15" s="14" t="n">
        <f aca="false">Inputs!$F$195/100*0.5</f>
        <v>0.039375</v>
      </c>
      <c r="X15" s="14" t="n">
        <f aca="false">Inputs!$F$195/100*0.5</f>
        <v>0.039375</v>
      </c>
      <c r="Y15" s="14" t="n">
        <f aca="false">Inputs!$F$195/100*0.5</f>
        <v>0.039375</v>
      </c>
      <c r="Z15" s="14" t="n">
        <f aca="false">Inputs!$F$195/100*0.5</f>
        <v>0.039375</v>
      </c>
      <c r="AA15" s="14" t="n">
        <f aca="false">Inputs!$F$195/100*0.5</f>
        <v>0.039375</v>
      </c>
      <c r="AB15" s="14" t="n">
        <f aca="false">Inputs!$F$195/100*0.5</f>
        <v>0.039375</v>
      </c>
      <c r="AC15" s="14" t="n">
        <f aca="false">Inputs!$F$195/100*0.5</f>
        <v>0.039375</v>
      </c>
      <c r="AD15" s="14" t="n">
        <f aca="false">Inputs!$F$195/100*0.5</f>
        <v>0.039375</v>
      </c>
      <c r="AE15" s="14" t="n">
        <f aca="false">Inputs!$F$195/100*0.5</f>
        <v>0.039375</v>
      </c>
      <c r="AF15" s="14" t="n">
        <f aca="false">Inputs!$F$195/100*0.5</f>
        <v>0.039375</v>
      </c>
      <c r="AG15" s="14" t="n">
        <f aca="false">Inputs!$F$195/100*0.5</f>
        <v>0.039375</v>
      </c>
      <c r="AH15" s="14" t="n">
        <f aca="false">Inputs!$F$195/100*0.5</f>
        <v>0.039375</v>
      </c>
      <c r="AI15" s="14" t="n">
        <f aca="false">Inputs!$F$195/100*0.5</f>
        <v>0.039375</v>
      </c>
      <c r="AJ15" s="14" t="n">
        <f aca="false">Inputs!$F$195/100*0.5</f>
        <v>0.039375</v>
      </c>
      <c r="AK15" s="14" t="n">
        <f aca="false">Inputs!$F$195/100*0.5</f>
        <v>0.039375</v>
      </c>
      <c r="AL15" s="14" t="n">
        <f aca="false">Inputs!$F$195/100*0.5</f>
        <v>0.039375</v>
      </c>
      <c r="AM15" s="14" t="n">
        <f aca="false">Inputs!$F$195/100*0.5</f>
        <v>0.039375</v>
      </c>
      <c r="AN15" s="14" t="n">
        <f aca="false">Inputs!$F$195/100*0.5</f>
        <v>0.039375</v>
      </c>
      <c r="AO15" s="14" t="n">
        <f aca="false">Inputs!$F$195/100*0.5</f>
        <v>0.039375</v>
      </c>
      <c r="AP15" s="14" t="n">
        <f aca="false">Inputs!$F$195/100*0.5</f>
        <v>0.039375</v>
      </c>
      <c r="AQ15" s="14" t="n">
        <f aca="false">Inputs!$F$195/100*0.5</f>
        <v>0.039375</v>
      </c>
      <c r="AR15" s="14" t="n">
        <f aca="false">Inputs!$F$195/100*0.5</f>
        <v>0.039375</v>
      </c>
      <c r="AS15" s="14" t="n">
        <f aca="false">Inputs!$F$195/100*0.5</f>
        <v>0.039375</v>
      </c>
      <c r="AT15" s="14" t="n">
        <f aca="false">Inputs!$F$195/100*0.5</f>
        <v>0.039375</v>
      </c>
      <c r="AU15" s="14" t="n">
        <f aca="false">Inputs!$F$195/100*0.5</f>
        <v>0.039375</v>
      </c>
      <c r="AV15" s="14" t="n">
        <f aca="false">Inputs!$F$195/100*0.5</f>
        <v>0.039375</v>
      </c>
      <c r="AW15" s="14" t="n">
        <f aca="false">Inputs!$F$195/100*0.5</f>
        <v>0.039375</v>
      </c>
      <c r="AX15" s="14" t="n">
        <f aca="false">Inputs!$F$195/100*0.5</f>
        <v>0.039375</v>
      </c>
      <c r="AY15" s="14" t="n">
        <f aca="false">Inputs!$F$195/100*0.5</f>
        <v>0.039375</v>
      </c>
      <c r="AZ15" s="14" t="n">
        <f aca="false">Inputs!$F$195/100*0.5</f>
        <v>0.039375</v>
      </c>
      <c r="BA15" s="14" t="n">
        <f aca="false">Inputs!$F$195/100*0.5</f>
        <v>0.039375</v>
      </c>
      <c r="BB15" s="14" t="n">
        <f aca="false">Inputs!$F$195/100*0.5</f>
        <v>0.039375</v>
      </c>
      <c r="BC15" s="14" t="n">
        <f aca="false">Inputs!$F$195/100*0.5</f>
        <v>0.039375</v>
      </c>
      <c r="BD15" s="14" t="n">
        <f aca="false">Inputs!$F$195/100*0.5</f>
        <v>0.039375</v>
      </c>
      <c r="BE15" s="14" t="n">
        <f aca="false">Inputs!$F$195/100*0.5</f>
        <v>0.039375</v>
      </c>
      <c r="BF15" s="14" t="n">
        <f aca="false">Inputs!$F$195/100*0.5</f>
        <v>0.039375</v>
      </c>
      <c r="BG15" s="14" t="n">
        <f aca="false">Inputs!$F$195/100*0.5</f>
        <v>0.039375</v>
      </c>
      <c r="BH15" s="14" t="n">
        <f aca="false">Inputs!$F$195/100*0.5</f>
        <v>0.039375</v>
      </c>
      <c r="BI15" s="14" t="n">
        <f aca="false">Inputs!$F$195/100*0.5</f>
        <v>0.039375</v>
      </c>
      <c r="BJ15" s="14" t="n">
        <f aca="false">Inputs!$F$195/100*0.5</f>
        <v>0.039375</v>
      </c>
      <c r="BK15" s="14" t="n">
        <f aca="false">Inputs!$F$195/100*0.5</f>
        <v>0.039375</v>
      </c>
      <c r="BL15" s="14" t="n">
        <f aca="false">Inputs!$F$195/100*0.5</f>
        <v>0.039375</v>
      </c>
      <c r="BM15" s="14" t="n">
        <f aca="false">Inputs!$F$195/100*0.5</f>
        <v>0.039375</v>
      </c>
      <c r="BN15" s="14" t="n">
        <f aca="false">Inputs!$F$195/100*0.5</f>
        <v>0.039375</v>
      </c>
    </row>
    <row r="16" customFormat="false" ht="15" hidden="false" customHeight="false" outlineLevel="0" collapsed="false">
      <c r="B16" s="2" t="s">
        <v>645</v>
      </c>
    </row>
    <row r="17" customFormat="false" ht="15" hidden="false" customHeight="false" outlineLevel="0" collapsed="false">
      <c r="D17" s="0" t="s">
        <v>646</v>
      </c>
      <c r="E17" s="0" t="s">
        <v>109</v>
      </c>
      <c r="J17" s="10" t="n">
        <f aca="false">IF(Inputs!$F$47=1,Inputs!J222,Inputs!J223)</f>
        <v>0</v>
      </c>
      <c r="K17" s="10" t="n">
        <f aca="false">IF(Inputs!$F$47=1,Inputs!K222,Inputs!K223)</f>
        <v>0</v>
      </c>
      <c r="L17" s="10" t="n">
        <f aca="false">IF(Inputs!$F$47=1,Inputs!L222,Inputs!L223)</f>
        <v>0</v>
      </c>
      <c r="M17" s="10" t="n">
        <f aca="false">IF(Inputs!$F$47=1,Inputs!M222,Inputs!M223)</f>
        <v>0</v>
      </c>
      <c r="N17" s="10" t="n">
        <f aca="false">IF(Inputs!$F$47=1,Inputs!N222,Inputs!N223)</f>
        <v>0</v>
      </c>
      <c r="O17" s="10" t="n">
        <f aca="false">IF(Inputs!$F$47=1,Inputs!O222,Inputs!O223)</f>
        <v>0</v>
      </c>
      <c r="P17" s="10" t="n">
        <f aca="false">IF(Inputs!$F$47=1,Inputs!P222,Inputs!P223)</f>
        <v>0.024460432114308</v>
      </c>
      <c r="Q17" s="10" t="n">
        <f aca="false">IF(Inputs!$F$47=1,Inputs!Q222,Inputs!Q223)</f>
        <v>0.0254956399199363</v>
      </c>
      <c r="R17" s="10" t="n">
        <f aca="false">IF(Inputs!$F$47=1,Inputs!R222,Inputs!R223)</f>
        <v>0.0267515222906662</v>
      </c>
      <c r="S17" s="10" t="n">
        <f aca="false">IF(Inputs!$F$47=1,Inputs!S222,Inputs!S223)</f>
        <v>0.0275398463746851</v>
      </c>
      <c r="T17" s="10" t="n">
        <f aca="false">IF(Inputs!$F$47=1,Inputs!T222,Inputs!T223)</f>
        <v>0.0288066694390464</v>
      </c>
      <c r="U17" s="10" t="n">
        <f aca="false">IF(Inputs!$F$47=1,Inputs!U222,Inputs!U223)</f>
        <v>0.0297253648392077</v>
      </c>
      <c r="V17" s="10" t="n">
        <f aca="false">IF(Inputs!$F$47=1,Inputs!V222,Inputs!V223)</f>
        <v>0.0316673019225092</v>
      </c>
      <c r="W17" s="10" t="n">
        <f aca="false">IF(Inputs!$F$47=1,Inputs!W222,Inputs!W223)</f>
        <v>0.0326353519070817</v>
      </c>
      <c r="X17" s="10" t="n">
        <f aca="false">IF(Inputs!$F$47=1,Inputs!X222,Inputs!X223)</f>
        <v>0.0317294685115491</v>
      </c>
      <c r="Y17" s="10" t="n">
        <f aca="false">IF(Inputs!$F$47=1,Inputs!Y222,Inputs!Y223)</f>
        <v>0.0317443987963029</v>
      </c>
      <c r="Z17" s="10" t="n">
        <f aca="false">IF(Inputs!$F$47=1,Inputs!Z222,Inputs!Z223)</f>
        <v>0.0330595043187038</v>
      </c>
      <c r="AA17" s="10" t="n">
        <f aca="false">IF(Inputs!$F$47=1,Inputs!AA222,Inputs!AA223)</f>
        <v>0.0340242635392698</v>
      </c>
      <c r="AB17" s="10" t="n">
        <f aca="false">IF(Inputs!$F$47=1,Inputs!AB222,Inputs!AB223)</f>
        <v>0.035649748512346</v>
      </c>
      <c r="AC17" s="10" t="n">
        <f aca="false">IF(Inputs!$F$47=1,Inputs!AC222,Inputs!AC223)</f>
        <v>0.036830769646369</v>
      </c>
      <c r="AD17" s="10" t="n">
        <f aca="false">IF(Inputs!$F$47=1,Inputs!AD222,Inputs!AD223)</f>
        <v>0.0402165127561107</v>
      </c>
      <c r="AE17" s="10" t="n">
        <f aca="false">IF(Inputs!$F$47=1,Inputs!AE222,Inputs!AE223)</f>
        <v>0.0419450401653678</v>
      </c>
      <c r="AF17" s="10" t="n">
        <f aca="false">IF(Inputs!$F$47=1,Inputs!AF222,Inputs!AF223)</f>
        <v>0.0434165471296656</v>
      </c>
      <c r="AG17" s="10" t="n">
        <f aca="false">IF(Inputs!$F$47=1,Inputs!AG222,Inputs!AG223)</f>
        <v>0.0442268395359645</v>
      </c>
      <c r="AH17" s="10" t="n">
        <f aca="false">IF(Inputs!$F$47=1,Inputs!AH222,Inputs!AH223)</f>
        <v>0.0464470950071792</v>
      </c>
      <c r="AI17" s="10" t="n">
        <f aca="false">IF(Inputs!$F$47=1,Inputs!AI222,Inputs!AI223)</f>
        <v>0.0478108988283702</v>
      </c>
      <c r="AJ17" s="10" t="n">
        <f aca="false">IF(Inputs!$F$47=1,Inputs!AJ222,Inputs!AJ223)</f>
        <v>0.0501190973065472</v>
      </c>
      <c r="AK17" s="10" t="n">
        <f aca="false">IF(Inputs!$F$47=1,Inputs!AK222,Inputs!AK223)</f>
        <v>0.0517413637371501</v>
      </c>
      <c r="AL17" s="10" t="n">
        <f aca="false">IF(Inputs!$F$47=1,Inputs!AL222,Inputs!AL223)</f>
        <v>0.0548633733406637</v>
      </c>
      <c r="AM17" s="10" t="n">
        <f aca="false">IF(Inputs!$F$47=1,Inputs!AM222,Inputs!AM223)</f>
        <v>0.0560037067338176</v>
      </c>
      <c r="AN17" s="10" t="n">
        <f aca="false">IF(Inputs!$F$47=1,Inputs!AN222,Inputs!AN223)</f>
        <v>0.0462023932183935</v>
      </c>
      <c r="AO17" s="10" t="n">
        <f aca="false">IF(Inputs!$F$47=1,Inputs!AO222,Inputs!AO223)</f>
        <v>0.0468868501087888</v>
      </c>
      <c r="AP17" s="10" t="n">
        <f aca="false">IF(Inputs!$F$47=1,Inputs!AP222,Inputs!AP223)</f>
        <v>0</v>
      </c>
      <c r="AQ17" s="10" t="n">
        <f aca="false">IF(Inputs!$F$47=1,Inputs!AQ222,Inputs!AQ223)</f>
        <v>0</v>
      </c>
      <c r="AR17" s="10" t="n">
        <f aca="false">IF(Inputs!$F$47=1,Inputs!AR222,Inputs!AR223)</f>
        <v>0</v>
      </c>
      <c r="AS17" s="10" t="n">
        <f aca="false">IF(Inputs!$F$47=1,Inputs!AS222,Inputs!AS223)</f>
        <v>0</v>
      </c>
      <c r="AT17" s="10" t="n">
        <f aca="false">IF(Inputs!$F$47=1,Inputs!AT222,Inputs!AT223)</f>
        <v>0</v>
      </c>
      <c r="AU17" s="10" t="n">
        <f aca="false">IF(Inputs!$F$47=1,Inputs!AU222,Inputs!AU223)</f>
        <v>0</v>
      </c>
      <c r="AV17" s="10" t="n">
        <f aca="false">IF(Inputs!$F$47=1,Inputs!AV222,Inputs!AV223)</f>
        <v>0</v>
      </c>
      <c r="AW17" s="10" t="n">
        <f aca="false">IF(Inputs!$F$47=1,Inputs!AW222,Inputs!AW223)</f>
        <v>0</v>
      </c>
      <c r="AX17" s="10" t="n">
        <f aca="false">IF(Inputs!$F$47=1,Inputs!AX222,Inputs!AX223)</f>
        <v>0</v>
      </c>
      <c r="AY17" s="10" t="n">
        <f aca="false">IF(Inputs!$F$47=1,Inputs!AY222,Inputs!AY223)</f>
        <v>0</v>
      </c>
      <c r="AZ17" s="10" t="n">
        <f aca="false">IF(Inputs!$F$47=1,Inputs!AZ222,Inputs!AZ223)</f>
        <v>0</v>
      </c>
      <c r="BA17" s="10" t="n">
        <f aca="false">IF(Inputs!$F$47=1,Inputs!BA222,Inputs!BA223)</f>
        <v>0</v>
      </c>
      <c r="BB17" s="10" t="n">
        <f aca="false">IF(Inputs!$F$47=1,Inputs!BB222,Inputs!BB223)</f>
        <v>0</v>
      </c>
      <c r="BC17" s="10" t="n">
        <f aca="false">IF(Inputs!$F$47=1,Inputs!BC222,Inputs!BC223)</f>
        <v>0</v>
      </c>
      <c r="BD17" s="10" t="n">
        <f aca="false">IF(Inputs!$F$47=1,Inputs!BD222,Inputs!BD223)</f>
        <v>0</v>
      </c>
      <c r="BE17" s="10" t="n">
        <f aca="false">IF(Inputs!$F$47=1,Inputs!BE222,Inputs!BE223)</f>
        <v>0</v>
      </c>
      <c r="BF17" s="10" t="n">
        <f aca="false">IF(Inputs!$F$47=1,Inputs!BF222,Inputs!BF223)</f>
        <v>0</v>
      </c>
      <c r="BG17" s="10" t="n">
        <f aca="false">IF(Inputs!$F$47=1,Inputs!BG222,Inputs!BG223)</f>
        <v>0</v>
      </c>
      <c r="BH17" s="10" t="n">
        <f aca="false">IF(Inputs!$F$47=1,Inputs!BH222,Inputs!BH223)</f>
        <v>0</v>
      </c>
      <c r="BI17" s="10" t="n">
        <f aca="false">IF(Inputs!$F$47=1,Inputs!BI222,Inputs!BI223)</f>
        <v>0</v>
      </c>
      <c r="BJ17" s="10" t="n">
        <f aca="false">IF(Inputs!$F$47=1,Inputs!BJ222,Inputs!BJ223)</f>
        <v>0</v>
      </c>
      <c r="BK17" s="10" t="n">
        <f aca="false">IF(Inputs!$F$47=1,Inputs!BK222,Inputs!BK223)</f>
        <v>0</v>
      </c>
      <c r="BL17" s="10" t="n">
        <f aca="false">IF(Inputs!$F$47=1,Inputs!BL222,Inputs!BL223)</f>
        <v>0</v>
      </c>
      <c r="BM17" s="10" t="n">
        <f aca="false">IF(Inputs!$F$47=1,Inputs!BM222,Inputs!BM223)</f>
        <v>0</v>
      </c>
      <c r="BN17" s="10" t="n">
        <f aca="false">IF(Inputs!$F$47=1,Inputs!BN222,Inputs!BN223)</f>
        <v>0</v>
      </c>
    </row>
    <row r="18" customFormat="false" ht="15" hidden="false" customHeight="false" outlineLevel="0" collapsed="false">
      <c r="D18" s="0" t="s">
        <v>647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648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649</v>
      </c>
      <c r="E20" s="0" t="s">
        <v>113</v>
      </c>
      <c r="J20" s="9" t="n">
        <f aca="false">Inputs!$F$50*IF(Time!J17=14,1,0)</f>
        <v>0</v>
      </c>
      <c r="K20" s="9" t="n">
        <f aca="false">Inputs!$F$50*IF(Time!K17=14,1,0)</f>
        <v>0</v>
      </c>
      <c r="L20" s="9" t="n">
        <f aca="false">Inputs!$F$50*IF(Time!L17=14,1,0)</f>
        <v>0</v>
      </c>
      <c r="M20" s="9" t="n">
        <f aca="false">Inputs!$F$50*IF(Time!M17=14,1,0)</f>
        <v>0</v>
      </c>
      <c r="N20" s="9" t="n">
        <f aca="false">Inputs!$F$50*IF(Time!N17=14,1,0)</f>
        <v>0</v>
      </c>
      <c r="O20" s="9" t="n">
        <f aca="false">Inputs!$F$50*IF(Time!O17=14,1,0)</f>
        <v>0</v>
      </c>
      <c r="P20" s="9" t="n">
        <f aca="false">Inputs!$F$50*IF(Time!P17=14,1,0)</f>
        <v>0</v>
      </c>
      <c r="Q20" s="9" t="n">
        <f aca="false">Inputs!$F$50*IF(Time!Q17=14,1,0)</f>
        <v>0</v>
      </c>
      <c r="R20" s="9" t="n">
        <f aca="false">Inputs!$F$50*IF(Time!R17=14,1,0)</f>
        <v>0</v>
      </c>
      <c r="S20" s="9" t="n">
        <f aca="false">Inputs!$F$50*IF(Time!S17=14,1,0)</f>
        <v>0</v>
      </c>
      <c r="T20" s="9" t="n">
        <f aca="false">Inputs!$F$50*IF(Time!T17=14,1,0)</f>
        <v>0</v>
      </c>
      <c r="U20" s="9" t="n">
        <f aca="false">Inputs!$F$50*IF(Time!U17=14,1,0)</f>
        <v>0</v>
      </c>
      <c r="V20" s="9" t="n">
        <f aca="false">Inputs!$F$50*IF(Time!V17=14,1,0)</f>
        <v>0</v>
      </c>
      <c r="W20" s="9" t="n">
        <f aca="false">Inputs!$F$50*IF(Time!W17=14,1,0)</f>
        <v>0</v>
      </c>
      <c r="X20" s="9" t="n">
        <f aca="false">Inputs!$F$50*IF(Time!X17=14,1,0)</f>
        <v>0</v>
      </c>
      <c r="Y20" s="9" t="n">
        <f aca="false">Inputs!$F$50*IF(Time!Y17=14,1,0)</f>
        <v>0</v>
      </c>
      <c r="Z20" s="9" t="n">
        <f aca="false">Inputs!$F$50*IF(Time!Z17=14,1,0)</f>
        <v>0</v>
      </c>
      <c r="AA20" s="9" t="n">
        <f aca="false">Inputs!$F$50*IF(Time!AA17=14,1,0)</f>
        <v>0</v>
      </c>
      <c r="AB20" s="9" t="n">
        <f aca="false">Inputs!$F$50*IF(Time!AB17=14,1,0)</f>
        <v>0</v>
      </c>
      <c r="AC20" s="9" t="n">
        <f aca="false">Inputs!$F$50*IF(Time!AC17=14,1,0)</f>
        <v>0</v>
      </c>
      <c r="AD20" s="9" t="n">
        <f aca="false">Inputs!$F$50*IF(Time!AD17=14,1,0)</f>
        <v>0</v>
      </c>
      <c r="AE20" s="9" t="n">
        <f aca="false">Inputs!$F$50*IF(Time!AE17=14,1,0)</f>
        <v>0</v>
      </c>
      <c r="AF20" s="9" t="n">
        <f aca="false">Inputs!$F$50*IF(Time!AF17=14,1,0)</f>
        <v>0</v>
      </c>
      <c r="AG20" s="9" t="n">
        <f aca="false">Inputs!$F$50*IF(Time!AG17=14,1,0)</f>
        <v>0</v>
      </c>
      <c r="AH20" s="9" t="n">
        <f aca="false">Inputs!$F$50*IF(Time!AH17=14,1,0)</f>
        <v>0</v>
      </c>
      <c r="AI20" s="9" t="n">
        <f aca="false">Inputs!$F$50*IF(Time!AI17=14,1,0)</f>
        <v>0</v>
      </c>
      <c r="AJ20" s="9" t="n">
        <f aca="false">Inputs!$F$50*IF(Time!AJ17=14,1,0)</f>
        <v>0</v>
      </c>
      <c r="AK20" s="9" t="n">
        <f aca="false">Inputs!$F$50*IF(Time!AK17=14,1,0)</f>
        <v>0</v>
      </c>
      <c r="AL20" s="9" t="n">
        <f aca="false">Inputs!$F$50*IF(Time!AL17=14,1,0)</f>
        <v>0</v>
      </c>
      <c r="AM20" s="9" t="n">
        <f aca="false">Inputs!$F$50*IF(Time!AM17=14,1,0)</f>
        <v>0</v>
      </c>
      <c r="AN20" s="9" t="n">
        <f aca="false">Inputs!$F$50*IF(Time!AN17=14,1,0)</f>
        <v>0</v>
      </c>
      <c r="AO20" s="9" t="n">
        <f aca="false">Inputs!$F$50*IF(Time!AO17=14,1,0)</f>
        <v>0</v>
      </c>
      <c r="AP20" s="9" t="n">
        <f aca="false">Inputs!$F$50*IF(Time!AP17=14,1,0)</f>
        <v>0</v>
      </c>
      <c r="AQ20" s="9" t="n">
        <f aca="false">Inputs!$F$50*IF(Time!AQ17=14,1,0)</f>
        <v>0</v>
      </c>
      <c r="AR20" s="9" t="n">
        <f aca="false">Inputs!$F$50*IF(Time!AR17=14,1,0)</f>
        <v>0</v>
      </c>
      <c r="AS20" s="9" t="n">
        <f aca="false">Inputs!$F$50*IF(Time!AS17=14,1,0)</f>
        <v>0</v>
      </c>
      <c r="AT20" s="9" t="n">
        <f aca="false">Inputs!$F$50*IF(Time!AT17=14,1,0)</f>
        <v>0</v>
      </c>
      <c r="AU20" s="9" t="n">
        <f aca="false">Inputs!$F$50*IF(Time!AU17=14,1,0)</f>
        <v>0</v>
      </c>
      <c r="AV20" s="9" t="n">
        <f aca="false">Inputs!$F$50*IF(Time!AV17=14,1,0)</f>
        <v>0</v>
      </c>
      <c r="AW20" s="9" t="n">
        <f aca="false">Inputs!$F$50*IF(Time!AW17=14,1,0)</f>
        <v>0</v>
      </c>
      <c r="AX20" s="9" t="n">
        <f aca="false">Inputs!$F$50*IF(Time!AX17=14,1,0)</f>
        <v>0</v>
      </c>
      <c r="AY20" s="9" t="n">
        <f aca="false">Inputs!$F$50*IF(Time!AY17=14,1,0)</f>
        <v>0</v>
      </c>
      <c r="AZ20" s="9" t="n">
        <f aca="false">Inputs!$F$50*IF(Time!AZ17=14,1,0)</f>
        <v>0</v>
      </c>
      <c r="BA20" s="9" t="n">
        <f aca="false">Inputs!$F$50*IF(Time!BA17=14,1,0)</f>
        <v>0</v>
      </c>
      <c r="BB20" s="9" t="n">
        <f aca="false">Inputs!$F$50*IF(Time!BB17=14,1,0)</f>
        <v>0</v>
      </c>
      <c r="BC20" s="9" t="n">
        <f aca="false">Inputs!$F$50*IF(Time!BC17=14,1,0)</f>
        <v>0</v>
      </c>
      <c r="BD20" s="9" t="n">
        <f aca="false">Inputs!$F$50*IF(Time!BD17=14,1,0)</f>
        <v>0</v>
      </c>
      <c r="BE20" s="9" t="n">
        <f aca="false">Inputs!$F$50*IF(Time!BE17=14,1,0)</f>
        <v>0</v>
      </c>
      <c r="BF20" s="9" t="n">
        <f aca="false">Inputs!$F$50*IF(Time!BF17=14,1,0)</f>
        <v>0</v>
      </c>
      <c r="BG20" s="9" t="n">
        <f aca="false">Inputs!$F$50*IF(Time!BG17=14,1,0)</f>
        <v>0</v>
      </c>
      <c r="BH20" s="9" t="n">
        <f aca="false">Inputs!$F$50*IF(Time!BH17=14,1,0)</f>
        <v>0</v>
      </c>
      <c r="BI20" s="9" t="n">
        <f aca="false">Inputs!$F$50*IF(Time!BI17=14,1,0)</f>
        <v>0</v>
      </c>
      <c r="BJ20" s="9" t="n">
        <f aca="false">Inputs!$F$50*IF(Time!BJ17=14,1,0)</f>
        <v>0</v>
      </c>
      <c r="BK20" s="9" t="n">
        <f aca="false">Inputs!$F$50*IF(Time!BK17=14,1,0)</f>
        <v>0</v>
      </c>
      <c r="BL20" s="9" t="n">
        <f aca="false">Inputs!$F$50*IF(Time!BL17=14,1,0)</f>
        <v>0</v>
      </c>
      <c r="BM20" s="9" t="n">
        <f aca="false">Inputs!$F$50*IF(Time!BM17=14,1,0)</f>
        <v>0</v>
      </c>
      <c r="BN20" s="9" t="n">
        <f aca="false">Inputs!$F$50*IF(Time!BN17=14,1,0)</f>
        <v>0</v>
      </c>
    </row>
    <row r="21" customFormat="false" ht="15" hidden="false" customHeight="false" outlineLevel="0" collapsed="false">
      <c r="D21" s="0" t="s">
        <v>650</v>
      </c>
      <c r="E21" s="0" t="s">
        <v>113</v>
      </c>
      <c r="J21" s="9" t="n">
        <f aca="false">Inputs!$F$49*IF(Time!J17=11,1,0)</f>
        <v>0</v>
      </c>
      <c r="K21" s="9" t="n">
        <f aca="false">Inputs!$F$49*IF(Time!K17=11,1,0)</f>
        <v>0</v>
      </c>
      <c r="L21" s="9" t="n">
        <f aca="false">Inputs!$F$49*IF(Time!L17=11,1,0)</f>
        <v>0</v>
      </c>
      <c r="M21" s="9" t="n">
        <f aca="false">Inputs!$F$49*IF(Time!M17=11,1,0)</f>
        <v>0</v>
      </c>
      <c r="N21" s="9" t="n">
        <f aca="false">Inputs!$F$49*IF(Time!N17=11,1,0)</f>
        <v>0</v>
      </c>
      <c r="O21" s="9" t="n">
        <f aca="false">Inputs!$F$49*IF(Time!O17=11,1,0)</f>
        <v>0</v>
      </c>
      <c r="P21" s="9" t="n">
        <f aca="false">Inputs!$F$49*IF(Time!P17=11,1,0)</f>
        <v>0</v>
      </c>
      <c r="Q21" s="9" t="n">
        <f aca="false">Inputs!$F$49*IF(Time!Q17=11,1,0)</f>
        <v>0</v>
      </c>
      <c r="R21" s="9" t="n">
        <f aca="false">Inputs!$F$49*IF(Time!R17=11,1,0)</f>
        <v>0</v>
      </c>
      <c r="S21" s="9" t="n">
        <f aca="false">Inputs!$F$49*IF(Time!S17=11,1,0)</f>
        <v>0</v>
      </c>
      <c r="T21" s="9" t="n">
        <f aca="false">Inputs!$F$49*IF(Time!T17=11,1,0)</f>
        <v>0</v>
      </c>
      <c r="U21" s="9" t="n">
        <f aca="false">Inputs!$F$49*IF(Time!U17=11,1,0)</f>
        <v>0</v>
      </c>
      <c r="V21" s="9" t="n">
        <f aca="false">Inputs!$F$49*IF(Time!V17=11,1,0)</f>
        <v>0</v>
      </c>
      <c r="W21" s="9" t="n">
        <f aca="false">Inputs!$F$49*IF(Time!W17=11,1,0)</f>
        <v>0</v>
      </c>
      <c r="X21" s="9" t="n">
        <f aca="false">Inputs!$F$49*IF(Time!X17=11,1,0)</f>
        <v>0</v>
      </c>
      <c r="Y21" s="9" t="n">
        <f aca="false">Inputs!$F$49*IF(Time!Y17=11,1,0)</f>
        <v>0</v>
      </c>
      <c r="Z21" s="9" t="n">
        <f aca="false">Inputs!$F$49*IF(Time!Z17=11,1,0)</f>
        <v>0</v>
      </c>
      <c r="AA21" s="9" t="n">
        <f aca="false">Inputs!$F$49*IF(Time!AA17=11,1,0)</f>
        <v>0</v>
      </c>
      <c r="AB21" s="9" t="n">
        <f aca="false">Inputs!$F$49*IF(Time!AB17=11,1,0)</f>
        <v>0</v>
      </c>
      <c r="AC21" s="9" t="n">
        <f aca="false">Inputs!$F$49*IF(Time!AC17=11,1,0)</f>
        <v>0</v>
      </c>
      <c r="AD21" s="9" t="n">
        <f aca="false">Inputs!$F$49*IF(Time!AD17=11,1,0)</f>
        <v>0</v>
      </c>
      <c r="AE21" s="9" t="n">
        <f aca="false">Inputs!$F$49*IF(Time!AE17=11,1,0)</f>
        <v>0</v>
      </c>
      <c r="AF21" s="9" t="n">
        <f aca="false">Inputs!$F$49*IF(Time!AF17=11,1,0)</f>
        <v>0</v>
      </c>
      <c r="AG21" s="9" t="n">
        <f aca="false">Inputs!$F$49*IF(Time!AG17=11,1,0)</f>
        <v>0</v>
      </c>
      <c r="AH21" s="9" t="n">
        <f aca="false">Inputs!$F$49*IF(Time!AH17=11,1,0)</f>
        <v>0</v>
      </c>
      <c r="AI21" s="9" t="n">
        <f aca="false">Inputs!$F$49*IF(Time!AI17=11,1,0)</f>
        <v>0</v>
      </c>
      <c r="AJ21" s="9" t="n">
        <f aca="false">Inputs!$F$49*IF(Time!AJ17=11,1,0)</f>
        <v>0</v>
      </c>
      <c r="AK21" s="9" t="n">
        <f aca="false">Inputs!$F$49*IF(Time!AK17=11,1,0)</f>
        <v>0</v>
      </c>
      <c r="AL21" s="9" t="n">
        <f aca="false">Inputs!$F$49*IF(Time!AL17=11,1,0)</f>
        <v>0</v>
      </c>
      <c r="AM21" s="9" t="n">
        <f aca="false">Inputs!$F$49*IF(Time!AM17=11,1,0)</f>
        <v>0</v>
      </c>
      <c r="AN21" s="9" t="n">
        <f aca="false">Inputs!$F$49*IF(Time!AN17=11,1,0)</f>
        <v>0</v>
      </c>
      <c r="AO21" s="9" t="n">
        <f aca="false">Inputs!$F$49*IF(Time!AO17=11,1,0)</f>
        <v>0</v>
      </c>
      <c r="AP21" s="9" t="n">
        <f aca="false">Inputs!$F$49*IF(Time!AP17=11,1,0)</f>
        <v>0</v>
      </c>
      <c r="AQ21" s="9" t="n">
        <f aca="false">Inputs!$F$49*IF(Time!AQ17=11,1,0)</f>
        <v>0</v>
      </c>
      <c r="AR21" s="9" t="n">
        <f aca="false">Inputs!$F$49*IF(Time!AR17=11,1,0)</f>
        <v>0</v>
      </c>
      <c r="AS21" s="9" t="n">
        <f aca="false">Inputs!$F$49*IF(Time!AS17=11,1,0)</f>
        <v>0</v>
      </c>
      <c r="AT21" s="9" t="n">
        <f aca="false">Inputs!$F$49*IF(Time!AT17=11,1,0)</f>
        <v>0</v>
      </c>
      <c r="AU21" s="9" t="n">
        <f aca="false">Inputs!$F$49*IF(Time!AU17=11,1,0)</f>
        <v>0</v>
      </c>
      <c r="AV21" s="9" t="n">
        <f aca="false">Inputs!$F$49*IF(Time!AV17=11,1,0)</f>
        <v>0</v>
      </c>
      <c r="AW21" s="9" t="n">
        <f aca="false">Inputs!$F$49*IF(Time!AW17=11,1,0)</f>
        <v>0</v>
      </c>
      <c r="AX21" s="9" t="n">
        <f aca="false">Inputs!$F$49*IF(Time!AX17=11,1,0)</f>
        <v>0</v>
      </c>
      <c r="AY21" s="9" t="n">
        <f aca="false">Inputs!$F$49*IF(Time!AY17=11,1,0)</f>
        <v>0</v>
      </c>
      <c r="AZ21" s="9" t="n">
        <f aca="false">Inputs!$F$49*IF(Time!AZ17=11,1,0)</f>
        <v>0</v>
      </c>
      <c r="BA21" s="9" t="n">
        <f aca="false">Inputs!$F$49*IF(Time!BA17=11,1,0)</f>
        <v>0</v>
      </c>
      <c r="BB21" s="9" t="n">
        <f aca="false">Inputs!$F$49*IF(Time!BB17=11,1,0)</f>
        <v>0</v>
      </c>
      <c r="BC21" s="9" t="n">
        <f aca="false">Inputs!$F$49*IF(Time!BC17=11,1,0)</f>
        <v>0</v>
      </c>
      <c r="BD21" s="9" t="n">
        <f aca="false">Inputs!$F$49*IF(Time!BD17=11,1,0)</f>
        <v>0</v>
      </c>
      <c r="BE21" s="9" t="n">
        <f aca="false">Inputs!$F$49*IF(Time!BE17=11,1,0)</f>
        <v>0</v>
      </c>
      <c r="BF21" s="9" t="n">
        <f aca="false">Inputs!$F$49*IF(Time!BF17=11,1,0)</f>
        <v>0</v>
      </c>
      <c r="BG21" s="9" t="n">
        <f aca="false">Inputs!$F$49*IF(Time!BG17=11,1,0)</f>
        <v>0</v>
      </c>
      <c r="BH21" s="9" t="n">
        <f aca="false">Inputs!$F$49*IF(Time!BH17=11,1,0)</f>
        <v>0</v>
      </c>
      <c r="BI21" s="9" t="n">
        <f aca="false">Inputs!$F$49*IF(Time!BI17=11,1,0)</f>
        <v>0</v>
      </c>
      <c r="BJ21" s="9" t="n">
        <f aca="false">Inputs!$F$49*IF(Time!BJ17=11,1,0)</f>
        <v>0</v>
      </c>
      <c r="BK21" s="9" t="n">
        <f aca="false">Inputs!$F$49*IF(Time!BK17=11,1,0)</f>
        <v>0</v>
      </c>
      <c r="BL21" s="9" t="n">
        <f aca="false">Inputs!$F$49*IF(Time!BL17=11,1,0)</f>
        <v>0</v>
      </c>
      <c r="BM21" s="9" t="n">
        <f aca="false">Inputs!$F$49*IF(Time!BM17=11,1,0)</f>
        <v>0</v>
      </c>
      <c r="BN21" s="9" t="n">
        <f aca="false">Inputs!$F$49*IF(Time!BN17=11,1,0)</f>
        <v>0</v>
      </c>
    </row>
    <row r="22" customFormat="false" ht="15" hidden="false" customHeight="false" outlineLevel="0" collapsed="false">
      <c r="D22" s="0" t="s">
        <v>651</v>
      </c>
      <c r="E22" s="0" t="s">
        <v>113</v>
      </c>
      <c r="J22" s="9" t="n">
        <f aca="false">Inputs!$F$49*IF(AND(Time!J17&gt;=12,Time!J17&lt;=15),1,0)</f>
        <v>0</v>
      </c>
      <c r="K22" s="9" t="n">
        <f aca="false">Inputs!$F$49*IF(AND(Time!K17&gt;=12,Time!K17&lt;=15),1,0)</f>
        <v>0</v>
      </c>
      <c r="L22" s="9" t="n">
        <f aca="false">Inputs!$F$49*IF(AND(Time!L17&gt;=12,Time!L17&lt;=15),1,0)</f>
        <v>0</v>
      </c>
      <c r="M22" s="9" t="n">
        <f aca="false">Inputs!$F$49*IF(AND(Time!M17&gt;=12,Time!M17&lt;=15),1,0)</f>
        <v>0</v>
      </c>
      <c r="N22" s="9" t="n">
        <f aca="false">Inputs!$F$49*IF(AND(Time!N17&gt;=12,Time!N17&lt;=15),1,0)</f>
        <v>0</v>
      </c>
      <c r="O22" s="9" t="n">
        <f aca="false">Inputs!$F$49*IF(AND(Time!O17&gt;=12,Time!O17&lt;=15),1,0)</f>
        <v>0</v>
      </c>
      <c r="P22" s="9" t="n">
        <f aca="false">Inputs!$F$49*IF(AND(Time!P17&gt;=12,Time!P17&lt;=15),1,0)</f>
        <v>0</v>
      </c>
      <c r="Q22" s="9" t="n">
        <f aca="false">Inputs!$F$49*IF(AND(Time!Q17&gt;=12,Time!Q17&lt;=15),1,0)</f>
        <v>0</v>
      </c>
      <c r="R22" s="9" t="n">
        <f aca="false">Inputs!$F$49*IF(AND(Time!R17&gt;=12,Time!R17&lt;=15),1,0)</f>
        <v>0</v>
      </c>
      <c r="S22" s="9" t="n">
        <f aca="false">Inputs!$F$49*IF(AND(Time!S17&gt;=12,Time!S17&lt;=15),1,0)</f>
        <v>0</v>
      </c>
      <c r="T22" s="9" t="n">
        <f aca="false">Inputs!$F$49*IF(AND(Time!T17&gt;=12,Time!T17&lt;=15),1,0)</f>
        <v>0</v>
      </c>
      <c r="U22" s="9" t="n">
        <f aca="false">Inputs!$F$49*IF(AND(Time!U17&gt;=12,Time!U17&lt;=15),1,0)</f>
        <v>0</v>
      </c>
      <c r="V22" s="9" t="n">
        <f aca="false">Inputs!$F$49*IF(AND(Time!V17&gt;=12,Time!V17&lt;=15),1,0)</f>
        <v>0</v>
      </c>
      <c r="W22" s="9" t="n">
        <f aca="false">Inputs!$F$49*IF(AND(Time!W17&gt;=12,Time!W17&lt;=15),1,0)</f>
        <v>0</v>
      </c>
      <c r="X22" s="9" t="n">
        <f aca="false">Inputs!$F$49*IF(AND(Time!X17&gt;=12,Time!X17&lt;=15),1,0)</f>
        <v>0</v>
      </c>
      <c r="Y22" s="9" t="n">
        <f aca="false">Inputs!$F$49*IF(AND(Time!Y17&gt;=12,Time!Y17&lt;=15),1,0)</f>
        <v>0</v>
      </c>
      <c r="Z22" s="9" t="n">
        <f aca="false">Inputs!$F$49*IF(AND(Time!Z17&gt;=12,Time!Z17&lt;=15),1,0)</f>
        <v>0</v>
      </c>
      <c r="AA22" s="9" t="n">
        <f aca="false">Inputs!$F$49*IF(AND(Time!AA17&gt;=12,Time!AA17&lt;=15),1,0)</f>
        <v>0</v>
      </c>
      <c r="AB22" s="9" t="n">
        <f aca="false">Inputs!$F$49*IF(AND(Time!AB17&gt;=12,Time!AB17&lt;=15),1,0)</f>
        <v>0</v>
      </c>
      <c r="AC22" s="9" t="n">
        <f aca="false">Inputs!$F$49*IF(AND(Time!AC17&gt;=12,Time!AC17&lt;=15),1,0)</f>
        <v>0</v>
      </c>
      <c r="AD22" s="9" t="n">
        <f aca="false">Inputs!$F$49*IF(AND(Time!AD17&gt;=12,Time!AD17&lt;=15),1,0)</f>
        <v>0</v>
      </c>
      <c r="AE22" s="9" t="n">
        <f aca="false">Inputs!$F$49*IF(AND(Time!AE17&gt;=12,Time!AE17&lt;=15),1,0)</f>
        <v>0</v>
      </c>
      <c r="AF22" s="9" t="n">
        <f aca="false">Inputs!$F$49*IF(AND(Time!AF17&gt;=12,Time!AF17&lt;=15),1,0)</f>
        <v>0</v>
      </c>
      <c r="AG22" s="9" t="n">
        <f aca="false">Inputs!$F$49*IF(AND(Time!AG17&gt;=12,Time!AG17&lt;=15),1,0)</f>
        <v>0</v>
      </c>
      <c r="AH22" s="9" t="n">
        <f aca="false">Inputs!$F$49*IF(AND(Time!AH17&gt;=12,Time!AH17&lt;=15),1,0)</f>
        <v>0</v>
      </c>
      <c r="AI22" s="9" t="n">
        <f aca="false">Inputs!$F$49*IF(AND(Time!AI17&gt;=12,Time!AI17&lt;=15),1,0)</f>
        <v>0</v>
      </c>
      <c r="AJ22" s="9" t="n">
        <f aca="false">Inputs!$F$49*IF(AND(Time!AJ17&gt;=12,Time!AJ17&lt;=15),1,0)</f>
        <v>0</v>
      </c>
      <c r="AK22" s="9" t="n">
        <f aca="false">Inputs!$F$49*IF(AND(Time!AK17&gt;=12,Time!AK17&lt;=15),1,0)</f>
        <v>0</v>
      </c>
      <c r="AL22" s="9" t="n">
        <f aca="false">Inputs!$F$49*IF(AND(Time!AL17&gt;=12,Time!AL17&lt;=15),1,0)</f>
        <v>0</v>
      </c>
      <c r="AM22" s="9" t="n">
        <f aca="false">Inputs!$F$49*IF(AND(Time!AM17&gt;=12,Time!AM17&lt;=15),1,0)</f>
        <v>0</v>
      </c>
      <c r="AN22" s="9" t="n">
        <f aca="false">Inputs!$F$49*IF(AND(Time!AN17&gt;=12,Time!AN17&lt;=15),1,0)</f>
        <v>0</v>
      </c>
      <c r="AO22" s="9" t="n">
        <f aca="false">Inputs!$F$49*IF(AND(Time!AO17&gt;=12,Time!AO17&lt;=15),1,0)</f>
        <v>0</v>
      </c>
      <c r="AP22" s="9" t="n">
        <f aca="false">Inputs!$F$49*IF(AND(Time!AP17&gt;=12,Time!AP17&lt;=15),1,0)</f>
        <v>0</v>
      </c>
      <c r="AQ22" s="9" t="n">
        <f aca="false">Inputs!$F$49*IF(AND(Time!AQ17&gt;=12,Time!AQ17&lt;=15),1,0)</f>
        <v>0</v>
      </c>
      <c r="AR22" s="9" t="n">
        <f aca="false">Inputs!$F$49*IF(AND(Time!AR17&gt;=12,Time!AR17&lt;=15),1,0)</f>
        <v>0</v>
      </c>
      <c r="AS22" s="9" t="n">
        <f aca="false">Inputs!$F$49*IF(AND(Time!AS17&gt;=12,Time!AS17&lt;=15),1,0)</f>
        <v>0</v>
      </c>
      <c r="AT22" s="9" t="n">
        <f aca="false">Inputs!$F$49*IF(AND(Time!AT17&gt;=12,Time!AT17&lt;=15),1,0)</f>
        <v>0</v>
      </c>
      <c r="AU22" s="9" t="n">
        <f aca="false">Inputs!$F$49*IF(AND(Time!AU17&gt;=12,Time!AU17&lt;=15),1,0)</f>
        <v>0</v>
      </c>
      <c r="AV22" s="9" t="n">
        <f aca="false">Inputs!$F$49*IF(AND(Time!AV17&gt;=12,Time!AV17&lt;=15),1,0)</f>
        <v>0</v>
      </c>
      <c r="AW22" s="9" t="n">
        <f aca="false">Inputs!$F$49*IF(AND(Time!AW17&gt;=12,Time!AW17&lt;=15),1,0)</f>
        <v>0</v>
      </c>
      <c r="AX22" s="9" t="n">
        <f aca="false">Inputs!$F$49*IF(AND(Time!AX17&gt;=12,Time!AX17&lt;=15),1,0)</f>
        <v>0</v>
      </c>
      <c r="AY22" s="9" t="n">
        <f aca="false">Inputs!$F$49*IF(AND(Time!AY17&gt;=12,Time!AY17&lt;=15),1,0)</f>
        <v>0</v>
      </c>
      <c r="AZ22" s="9" t="n">
        <f aca="false">Inputs!$F$49*IF(AND(Time!AZ17&gt;=12,Time!AZ17&lt;=15),1,0)</f>
        <v>0</v>
      </c>
      <c r="BA22" s="9" t="n">
        <f aca="false">Inputs!$F$49*IF(AND(Time!BA17&gt;=12,Time!BA17&lt;=15),1,0)</f>
        <v>0</v>
      </c>
      <c r="BB22" s="9" t="n">
        <f aca="false">Inputs!$F$49*IF(AND(Time!BB17&gt;=12,Time!BB17&lt;=15),1,0)</f>
        <v>0</v>
      </c>
      <c r="BC22" s="9" t="n">
        <f aca="false">Inputs!$F$49*IF(AND(Time!BC17&gt;=12,Time!BC17&lt;=15),1,0)</f>
        <v>0</v>
      </c>
      <c r="BD22" s="9" t="n">
        <f aca="false">Inputs!$F$49*IF(AND(Time!BD17&gt;=12,Time!BD17&lt;=15),1,0)</f>
        <v>0</v>
      </c>
      <c r="BE22" s="9" t="n">
        <f aca="false">Inputs!$F$49*IF(AND(Time!BE17&gt;=12,Time!BE17&lt;=15),1,0)</f>
        <v>0</v>
      </c>
      <c r="BF22" s="9" t="n">
        <f aca="false">Inputs!$F$49*IF(AND(Time!BF17&gt;=12,Time!BF17&lt;=15),1,0)</f>
        <v>0</v>
      </c>
      <c r="BG22" s="9" t="n">
        <f aca="false">Inputs!$F$49*IF(AND(Time!BG17&gt;=12,Time!BG17&lt;=15),1,0)</f>
        <v>0</v>
      </c>
      <c r="BH22" s="9" t="n">
        <f aca="false">Inputs!$F$49*IF(AND(Time!BH17&gt;=12,Time!BH17&lt;=15),1,0)</f>
        <v>0</v>
      </c>
      <c r="BI22" s="9" t="n">
        <f aca="false">Inputs!$F$49*IF(AND(Time!BI17&gt;=12,Time!BI17&lt;=15),1,0)</f>
        <v>0</v>
      </c>
      <c r="BJ22" s="9" t="n">
        <f aca="false">Inputs!$F$49*IF(AND(Time!BJ17&gt;=12,Time!BJ17&lt;=15),1,0)</f>
        <v>0</v>
      </c>
      <c r="BK22" s="9" t="n">
        <f aca="false">Inputs!$F$49*IF(AND(Time!BK17&gt;=12,Time!BK17&lt;=15),1,0)</f>
        <v>0</v>
      </c>
      <c r="BL22" s="9" t="n">
        <f aca="false">Inputs!$F$49*IF(AND(Time!BL17&gt;=12,Time!BL17&lt;=15),1,0)</f>
        <v>0</v>
      </c>
      <c r="BM22" s="9" t="n">
        <f aca="false">Inputs!$F$49*IF(AND(Time!BM17&gt;=12,Time!BM17&lt;=15),1,0)</f>
        <v>0</v>
      </c>
      <c r="BN22" s="9" t="n">
        <f aca="false">Inputs!$F$49*IF(AND(Time!BN17&gt;=12,Time!BN17&lt;=15),1,0)</f>
        <v>0</v>
      </c>
    </row>
    <row r="23" customFormat="false" ht="15" hidden="false" customHeight="false" outlineLevel="0" collapsed="false">
      <c r="D23" s="0" t="s">
        <v>652</v>
      </c>
      <c r="E23" s="0" t="s">
        <v>113</v>
      </c>
      <c r="J23" s="9" t="n">
        <f aca="false">Inputs!$F$48*IF(Time!J17=8,1,0)</f>
        <v>0</v>
      </c>
      <c r="K23" s="9" t="n">
        <f aca="false">Inputs!$F$48*IF(Time!K17=8,1,0)</f>
        <v>0</v>
      </c>
      <c r="L23" s="9" t="n">
        <f aca="false">Inputs!$F$48*IF(Time!L17=8,1,0)</f>
        <v>0</v>
      </c>
      <c r="M23" s="9" t="n">
        <f aca="false">Inputs!$F$48*IF(Time!M17=8,1,0)</f>
        <v>0</v>
      </c>
      <c r="N23" s="9" t="n">
        <f aca="false">Inputs!$F$48*IF(Time!N17=8,1,0)</f>
        <v>0</v>
      </c>
      <c r="O23" s="9" t="n">
        <f aca="false">Inputs!$F$48*IF(Time!O17=8,1,0)</f>
        <v>0</v>
      </c>
      <c r="P23" s="9" t="n">
        <f aca="false">Inputs!$F$48*IF(Time!P17=8,1,0)</f>
        <v>0</v>
      </c>
      <c r="Q23" s="9" t="n">
        <f aca="false">Inputs!$F$48*IF(Time!Q17=8,1,0)</f>
        <v>0</v>
      </c>
      <c r="R23" s="9" t="n">
        <f aca="false">Inputs!$F$48*IF(Time!R17=8,1,0)</f>
        <v>0</v>
      </c>
      <c r="S23" s="9" t="n">
        <f aca="false">Inputs!$F$48*IF(Time!S17=8,1,0)</f>
        <v>0</v>
      </c>
      <c r="T23" s="9" t="n">
        <f aca="false">Inputs!$F$48*IF(Time!T17=8,1,0)</f>
        <v>0</v>
      </c>
      <c r="U23" s="9" t="n">
        <f aca="false">Inputs!$F$48*IF(Time!U17=8,1,0)</f>
        <v>0</v>
      </c>
      <c r="V23" s="9" t="n">
        <f aca="false">Inputs!$F$48*IF(Time!V17=8,1,0)</f>
        <v>0</v>
      </c>
      <c r="W23" s="9" t="n">
        <f aca="false">Inputs!$F$48*IF(Time!W17=8,1,0)</f>
        <v>0</v>
      </c>
      <c r="X23" s="9" t="n">
        <f aca="false">Inputs!$F$48*IF(Time!X17=8,1,0)</f>
        <v>0</v>
      </c>
      <c r="Y23" s="9" t="n">
        <f aca="false">Inputs!$F$48*IF(Time!Y17=8,1,0)</f>
        <v>0</v>
      </c>
      <c r="Z23" s="9" t="n">
        <f aca="false">Inputs!$F$48*IF(Time!Z17=8,1,0)</f>
        <v>0</v>
      </c>
      <c r="AA23" s="9" t="n">
        <f aca="false">Inputs!$F$48*IF(Time!AA17=8,1,0)</f>
        <v>0</v>
      </c>
      <c r="AB23" s="9" t="n">
        <f aca="false">Inputs!$F$48*IF(Time!AB17=8,1,0)</f>
        <v>0</v>
      </c>
      <c r="AC23" s="9" t="n">
        <f aca="false">Inputs!$F$48*IF(Time!AC17=8,1,0)</f>
        <v>0</v>
      </c>
      <c r="AD23" s="9" t="n">
        <f aca="false">Inputs!$F$48*IF(Time!AD17=8,1,0)</f>
        <v>0</v>
      </c>
      <c r="AE23" s="9" t="n">
        <f aca="false">Inputs!$F$48*IF(Time!AE17=8,1,0)</f>
        <v>0</v>
      </c>
      <c r="AF23" s="9" t="n">
        <f aca="false">Inputs!$F$48*IF(Time!AF17=8,1,0)</f>
        <v>0</v>
      </c>
      <c r="AG23" s="9" t="n">
        <f aca="false">Inputs!$F$48*IF(Time!AG17=8,1,0)</f>
        <v>0</v>
      </c>
      <c r="AH23" s="9" t="n">
        <f aca="false">Inputs!$F$48*IF(Time!AH17=8,1,0)</f>
        <v>0</v>
      </c>
      <c r="AI23" s="9" t="n">
        <f aca="false">Inputs!$F$48*IF(Time!AI17=8,1,0)</f>
        <v>0</v>
      </c>
      <c r="AJ23" s="9" t="n">
        <f aca="false">Inputs!$F$48*IF(Time!AJ17=8,1,0)</f>
        <v>0</v>
      </c>
      <c r="AK23" s="9" t="n">
        <f aca="false">Inputs!$F$48*IF(Time!AK17=8,1,0)</f>
        <v>0</v>
      </c>
      <c r="AL23" s="9" t="n">
        <f aca="false">Inputs!$F$48*IF(Time!AL17=8,1,0)</f>
        <v>0</v>
      </c>
      <c r="AM23" s="9" t="n">
        <f aca="false">Inputs!$F$48*IF(Time!AM17=8,1,0)</f>
        <v>0</v>
      </c>
      <c r="AN23" s="9" t="n">
        <f aca="false">Inputs!$F$48*IF(Time!AN17=8,1,0)</f>
        <v>0</v>
      </c>
      <c r="AO23" s="9" t="n">
        <f aca="false">Inputs!$F$48*IF(Time!AO17=8,1,0)</f>
        <v>0</v>
      </c>
      <c r="AP23" s="9" t="n">
        <f aca="false">Inputs!$F$48*IF(Time!AP17=8,1,0)</f>
        <v>0</v>
      </c>
      <c r="AQ23" s="9" t="n">
        <f aca="false">Inputs!$F$48*IF(Time!AQ17=8,1,0)</f>
        <v>0</v>
      </c>
      <c r="AR23" s="9" t="n">
        <f aca="false">Inputs!$F$48*IF(Time!AR17=8,1,0)</f>
        <v>0</v>
      </c>
      <c r="AS23" s="9" t="n">
        <f aca="false">Inputs!$F$48*IF(Time!AS17=8,1,0)</f>
        <v>0</v>
      </c>
      <c r="AT23" s="9" t="n">
        <f aca="false">Inputs!$F$48*IF(Time!AT17=8,1,0)</f>
        <v>0</v>
      </c>
      <c r="AU23" s="9" t="n">
        <f aca="false">Inputs!$F$48*IF(Time!AU17=8,1,0)</f>
        <v>0</v>
      </c>
      <c r="AV23" s="9" t="n">
        <f aca="false">Inputs!$F$48*IF(Time!AV17=8,1,0)</f>
        <v>0</v>
      </c>
      <c r="AW23" s="9" t="n">
        <f aca="false">Inputs!$F$48*IF(Time!AW17=8,1,0)</f>
        <v>0</v>
      </c>
      <c r="AX23" s="9" t="n">
        <f aca="false">Inputs!$F$48*IF(Time!AX17=8,1,0)</f>
        <v>0</v>
      </c>
      <c r="AY23" s="9" t="n">
        <f aca="false">Inputs!$F$48*IF(Time!AY17=8,1,0)</f>
        <v>0</v>
      </c>
      <c r="AZ23" s="9" t="n">
        <f aca="false">Inputs!$F$48*IF(Time!AZ17=8,1,0)</f>
        <v>0</v>
      </c>
      <c r="BA23" s="9" t="n">
        <f aca="false">Inputs!$F$48*IF(Time!BA17=8,1,0)</f>
        <v>0</v>
      </c>
      <c r="BB23" s="9" t="n">
        <f aca="false">Inputs!$F$48*IF(Time!BB17=8,1,0)</f>
        <v>0</v>
      </c>
      <c r="BC23" s="9" t="n">
        <f aca="false">Inputs!$F$48*IF(Time!BC17=8,1,0)</f>
        <v>0</v>
      </c>
      <c r="BD23" s="9" t="n">
        <f aca="false">Inputs!$F$48*IF(Time!BD17=8,1,0)</f>
        <v>0</v>
      </c>
      <c r="BE23" s="9" t="n">
        <f aca="false">Inputs!$F$48*IF(Time!BE17=8,1,0)</f>
        <v>0</v>
      </c>
      <c r="BF23" s="9" t="n">
        <f aca="false">Inputs!$F$48*IF(Time!BF17=8,1,0)</f>
        <v>0</v>
      </c>
      <c r="BG23" s="9" t="n">
        <f aca="false">Inputs!$F$48*IF(Time!BG17=8,1,0)</f>
        <v>0</v>
      </c>
      <c r="BH23" s="9" t="n">
        <f aca="false">Inputs!$F$48*IF(Time!BH17=8,1,0)</f>
        <v>0</v>
      </c>
      <c r="BI23" s="9" t="n">
        <f aca="false">Inputs!$F$48*IF(Time!BI17=8,1,0)</f>
        <v>0</v>
      </c>
      <c r="BJ23" s="9" t="n">
        <f aca="false">Inputs!$F$48*IF(Time!BJ17=8,1,0)</f>
        <v>0</v>
      </c>
      <c r="BK23" s="9" t="n">
        <f aca="false">Inputs!$F$48*IF(Time!BK17=8,1,0)</f>
        <v>0</v>
      </c>
      <c r="BL23" s="9" t="n">
        <f aca="false">Inputs!$F$48*IF(Time!BL17=8,1,0)</f>
        <v>0</v>
      </c>
      <c r="BM23" s="9" t="n">
        <f aca="false">Inputs!$F$48*IF(Time!BM17=8,1,0)</f>
        <v>0</v>
      </c>
      <c r="BN23" s="9" t="n">
        <f aca="false">Inputs!$F$48*IF(Time!BN17=8,1,0)</f>
        <v>0</v>
      </c>
    </row>
    <row r="24" customFormat="false" ht="15" hidden="false" customHeight="false" outlineLevel="0" collapsed="false">
      <c r="B24" s="2" t="s">
        <v>653</v>
      </c>
    </row>
    <row r="25" customFormat="false" ht="15" hidden="false" customHeight="false" outlineLevel="0" collapsed="false">
      <c r="D25" s="0" t="s">
        <v>654</v>
      </c>
      <c r="E25" s="0" t="s">
        <v>149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0</v>
      </c>
      <c r="Q25" s="11" t="n">
        <f aca="false">Time!Q30*P38</f>
        <v>197.321999523981</v>
      </c>
      <c r="R25" s="11" t="n">
        <f aca="false">Time!R30*Q38</f>
        <v>192.165006600517</v>
      </c>
      <c r="S25" s="11" t="n">
        <f aca="false">Time!S30*R38</f>
        <v>186.753986850549</v>
      </c>
      <c r="T25" s="11" t="n">
        <f aca="false">Time!T30*S38</f>
        <v>181.183513102351</v>
      </c>
      <c r="U25" s="11" t="n">
        <f aca="false">Time!U30*T38</f>
        <v>175.356799557908</v>
      </c>
      <c r="V25" s="11" t="n">
        <f aca="false">Time!V30*U38</f>
        <v>169.344261861088</v>
      </c>
      <c r="W25" s="11" t="n">
        <f aca="false">Time!W30*V38</f>
        <v>162.938929324529</v>
      </c>
      <c r="X25" s="11" t="n">
        <f aca="false">Time!X30*W38</f>
        <v>156.337789703477</v>
      </c>
      <c r="Y25" s="11" t="n">
        <f aca="false">Time!Y30*X38</f>
        <v>149.919882755734</v>
      </c>
      <c r="Z25" s="11" t="n">
        <f aca="false">Time!Z30*Y38</f>
        <v>143.498955865245</v>
      </c>
      <c r="AA25" s="11" t="n">
        <f aca="false">Time!AA30*Z38</f>
        <v>136.812023104971</v>
      </c>
      <c r="AB25" s="11" t="n">
        <f aca="false">Time!AB30*AA38</f>
        <v>129.929948881728</v>
      </c>
      <c r="AC25" s="11" t="n">
        <f aca="false">Time!AC30*AB38</f>
        <v>122.719088460937</v>
      </c>
      <c r="AD25" s="11" t="n">
        <f aca="false">Time!AD30*AC38</f>
        <v>115.269343366148</v>
      </c>
      <c r="AE25" s="11" t="n">
        <f aca="false">Time!AE30*AD38</f>
        <v>107.134765362186</v>
      </c>
      <c r="AF25" s="11" t="n">
        <f aca="false">Time!AF30*AE38</f>
        <v>98.650558808184</v>
      </c>
      <c r="AG25" s="11" t="n">
        <f aca="false">Time!AG30*AF38</f>
        <v>89.8687111270897</v>
      </c>
      <c r="AH25" s="11" t="n">
        <f aca="false">Time!AH30*AG38</f>
        <v>80.9229659239743</v>
      </c>
      <c r="AI25" s="11" t="n">
        <f aca="false">Time!AI30*AH38</f>
        <v>71.5281305317405</v>
      </c>
      <c r="AJ25" s="11" t="n">
        <f aca="false">Time!AJ30*AI38</f>
        <v>61.8574390842377</v>
      </c>
      <c r="AK25" s="11" t="n">
        <f aca="false">Time!AK30*AJ38</f>
        <v>51.7198692506544</v>
      </c>
      <c r="AL25" s="11" t="n">
        <f aca="false">Time!AL30*AK38</f>
        <v>41.2541642328254</v>
      </c>
      <c r="AM25" s="11" t="n">
        <f aca="false">Time!AM30*AL38</f>
        <v>30.1569715769977</v>
      </c>
      <c r="AN25" s="11" t="n">
        <f aca="false">Time!AN30*AM38</f>
        <v>18.8291241402997</v>
      </c>
      <c r="AO25" s="11" t="n">
        <f aca="false">Time!AO30*AN38</f>
        <v>9.48378448133992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655</v>
      </c>
      <c r="E26" s="0" t="s">
        <v>149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656</v>
      </c>
      <c r="E27" s="0" t="s">
        <v>149</v>
      </c>
      <c r="G27" s="11" t="n">
        <f aca="false">SUM(J27:BN27)</f>
        <v>65.2883138932964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0</v>
      </c>
      <c r="Q27" s="11" t="n">
        <f aca="false">Q25*Q10</f>
        <v>4.42472659265913</v>
      </c>
      <c r="R27" s="11" t="n">
        <f aca="false">R25*R10</f>
        <v>4.38050808379578</v>
      </c>
      <c r="S27" s="11" t="n">
        <f aca="false">S25*S10</f>
        <v>4.19714022614371</v>
      </c>
      <c r="T27" s="11" t="n">
        <f aca="false">T25*T10</f>
        <v>4.13943932934504</v>
      </c>
      <c r="U27" s="11" t="n">
        <f aca="false">U25*U10</f>
        <v>3.96277140867613</v>
      </c>
      <c r="V27" s="11" t="n">
        <f aca="false">V25*V10</f>
        <v>3.868951902653</v>
      </c>
      <c r="W27" s="11" t="n">
        <f aca="false">W25*W10</f>
        <v>3.66191665412769</v>
      </c>
      <c r="X27" s="11" t="n">
        <f aca="false">X25*X10</f>
        <v>3.57179736875877</v>
      </c>
      <c r="Y27" s="11" t="n">
        <f aca="false">Y25*Y10</f>
        <v>3.36932443169949</v>
      </c>
      <c r="Z27" s="11" t="n">
        <f aca="false">Z25*Z10</f>
        <v>3.27847281166796</v>
      </c>
      <c r="AA27" s="11" t="n">
        <f aca="false">AA25*AA10</f>
        <v>3.07473620926497</v>
      </c>
      <c r="AB27" s="11" t="n">
        <f aca="false">AB25*AB10</f>
        <v>2.96846623211788</v>
      </c>
      <c r="AC27" s="11" t="n">
        <f aca="false">AC25*AC10</f>
        <v>2.77324686740306</v>
      </c>
      <c r="AD27" s="11" t="n">
        <f aca="false">AD25*AD10</f>
        <v>2.63352026477193</v>
      </c>
      <c r="AE27" s="11" t="n">
        <f aca="false">AE25*AE10</f>
        <v>2.407764572544</v>
      </c>
      <c r="AF27" s="11" t="n">
        <f aca="false">AF25*AF10</f>
        <v>2.25383643357098</v>
      </c>
      <c r="AG27" s="11" t="n">
        <f aca="false">AG25*AG10</f>
        <v>2.01972439198874</v>
      </c>
      <c r="AH27" s="11" t="n">
        <f aca="false">AH25*AH10</f>
        <v>1.84882002814307</v>
      </c>
      <c r="AI27" s="11" t="n">
        <f aca="false">AI25*AI10</f>
        <v>1.60753512692543</v>
      </c>
      <c r="AJ27" s="11" t="n">
        <f aca="false">AJ25*AJ10</f>
        <v>1.41323629161122</v>
      </c>
      <c r="AK27" s="11" t="n">
        <f aca="false">AK25*AK10</f>
        <v>1.16878284528271</v>
      </c>
      <c r="AL27" s="11" t="n">
        <f aca="false">AL25*AL10</f>
        <v>0.942520138839285</v>
      </c>
      <c r="AM27" s="11" t="n">
        <f aca="false">AM25*AM10</f>
        <v>0.677752805383377</v>
      </c>
      <c r="AN27" s="11" t="n">
        <f aca="false">AN25*AN10</f>
        <v>0.430182722858713</v>
      </c>
      <c r="AO27" s="11" t="n">
        <f aca="false">AO25*AO10</f>
        <v>0.21314015306438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657</v>
      </c>
      <c r="E28" s="0" t="s">
        <v>149</v>
      </c>
      <c r="G28" s="11" t="n">
        <f aca="false">SUM(J28:BN28)</f>
        <v>197.321999523981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0</v>
      </c>
      <c r="Q28" s="11" t="n">
        <f aca="false">Time!Q30*(Q25-Q26)*Q19</f>
        <v>5.1569929234636</v>
      </c>
      <c r="R28" s="11" t="n">
        <f aca="false">Time!R30*(R25-R26)*R19</f>
        <v>5.41101974996786</v>
      </c>
      <c r="S28" s="11" t="n">
        <f aca="false">Time!S30*(S25-S26)*S19</f>
        <v>5.57047374819846</v>
      </c>
      <c r="T28" s="11" t="n">
        <f aca="false">Time!T30*(T25-T26)*T19</f>
        <v>5.82671354444233</v>
      </c>
      <c r="U28" s="11" t="n">
        <f aca="false">Time!U30*(U25-U26)*U19</f>
        <v>6.01253769682008</v>
      </c>
      <c r="V28" s="11" t="n">
        <f aca="false">Time!V30*(V25-V26)*V19</f>
        <v>6.40533253655919</v>
      </c>
      <c r="W28" s="11" t="n">
        <f aca="false">Time!W30*(W25-W26)*W19</f>
        <v>6.60113962105192</v>
      </c>
      <c r="X28" s="11" t="n">
        <f aca="false">Time!X30*(X25-X26)*X19</f>
        <v>6.41790694774327</v>
      </c>
      <c r="Y28" s="11" t="n">
        <f aca="false">Time!Y30*(Y25-Y26)*Y19</f>
        <v>6.42092689048887</v>
      </c>
      <c r="Z28" s="11" t="n">
        <f aca="false">Time!Z30*(Z25-Z26)*Z19</f>
        <v>6.68693276027392</v>
      </c>
      <c r="AA28" s="11" t="n">
        <f aca="false">Time!AA30*(AA25-AA26)*AA19</f>
        <v>6.88207422324284</v>
      </c>
      <c r="AB28" s="11" t="n">
        <f aca="false">Time!AB30*(AB25-AB26)*AB19</f>
        <v>7.21086042079169</v>
      </c>
      <c r="AC28" s="11" t="n">
        <f aca="false">Time!AC30*(AC25-AC26)*AC19</f>
        <v>7.44974509478864</v>
      </c>
      <c r="AD28" s="11" t="n">
        <f aca="false">Time!AD30*(AD25-AD26)*AD19</f>
        <v>8.13457800396188</v>
      </c>
      <c r="AE28" s="11" t="n">
        <f aca="false">Time!AE30*(AE25-AE26)*AE19</f>
        <v>8.48420655400198</v>
      </c>
      <c r="AF28" s="11" t="n">
        <f aca="false">Time!AF30*(AF25-AF26)*AF19</f>
        <v>8.78184768109435</v>
      </c>
      <c r="AG28" s="11" t="n">
        <f aca="false">Time!AG30*(AG25-AG26)*AG19</f>
        <v>8.94574520311545</v>
      </c>
      <c r="AH28" s="11" t="n">
        <f aca="false">Time!AH30*(AH25-AH26)*AH19</f>
        <v>9.39483539223373</v>
      </c>
      <c r="AI28" s="11" t="n">
        <f aca="false">Time!AI30*(AI25-AI26)*AI19</f>
        <v>9.67069144750282</v>
      </c>
      <c r="AJ28" s="11" t="n">
        <f aca="false">Time!AJ30*(AJ25-AJ26)*AJ19</f>
        <v>10.1375698335833</v>
      </c>
      <c r="AK28" s="11" t="n">
        <f aca="false">Time!AK30*(AK25-AK26)*AK19</f>
        <v>10.465705017829</v>
      </c>
      <c r="AL28" s="11" t="n">
        <f aca="false">Time!AL30*(AL25-AL26)*AL19</f>
        <v>11.0971926558277</v>
      </c>
      <c r="AM28" s="11" t="n">
        <f aca="false">Time!AM30*(AM25-AM26)*AM19</f>
        <v>11.3278474366981</v>
      </c>
      <c r="AN28" s="11" t="n">
        <f aca="false">Time!AN30*(AN25-AN26)*AN19</f>
        <v>9.34533965895973</v>
      </c>
      <c r="AO28" s="11" t="n">
        <f aca="false">Time!AO30*(AO25-AO26)*AO19</f>
        <v>9.48378448133992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658</v>
      </c>
      <c r="E29" s="0" t="s">
        <v>149</v>
      </c>
      <c r="G29" s="11" t="n">
        <f aca="false">SUM(J29:BN29)</f>
        <v>0</v>
      </c>
      <c r="J29" s="11" t="n">
        <f aca="false">J21*Inputs!$F$194*J28</f>
        <v>0</v>
      </c>
      <c r="K29" s="11" t="n">
        <f aca="false">K21*Inputs!$F$194*K28</f>
        <v>0</v>
      </c>
      <c r="L29" s="11" t="n">
        <f aca="false">L21*Inputs!$F$194*L28</f>
        <v>0</v>
      </c>
      <c r="M29" s="11" t="n">
        <f aca="false">M21*Inputs!$F$194*M28</f>
        <v>0</v>
      </c>
      <c r="N29" s="11" t="n">
        <f aca="false">N21*Inputs!$F$194*N28</f>
        <v>0</v>
      </c>
      <c r="O29" s="11" t="n">
        <f aca="false">O21*Inputs!$F$194*O28</f>
        <v>0</v>
      </c>
      <c r="P29" s="11" t="n">
        <f aca="false">P21*Inputs!$F$194*P28</f>
        <v>0</v>
      </c>
      <c r="Q29" s="11" t="n">
        <f aca="false">Q21*Inputs!$F$194*Q28</f>
        <v>0</v>
      </c>
      <c r="R29" s="11" t="n">
        <f aca="false">R21*Inputs!$F$194*R28</f>
        <v>0</v>
      </c>
      <c r="S29" s="11" t="n">
        <f aca="false">S21*Inputs!$F$194*S28</f>
        <v>0</v>
      </c>
      <c r="T29" s="11" t="n">
        <f aca="false">T21*Inputs!$F$194*T28</f>
        <v>0</v>
      </c>
      <c r="U29" s="11" t="n">
        <f aca="false">U21*Inputs!$F$194*U28</f>
        <v>0</v>
      </c>
      <c r="V29" s="11" t="n">
        <f aca="false">V21*Inputs!$F$194*V28</f>
        <v>0</v>
      </c>
      <c r="W29" s="11" t="n">
        <f aca="false">W21*Inputs!$F$194*W28</f>
        <v>0</v>
      </c>
      <c r="X29" s="11" t="n">
        <f aca="false">X21*Inputs!$F$194*X28</f>
        <v>0</v>
      </c>
      <c r="Y29" s="11" t="n">
        <f aca="false">Y21*Inputs!$F$194*Y28</f>
        <v>0</v>
      </c>
      <c r="Z29" s="11" t="n">
        <f aca="false">Z21*Inputs!$F$194*Z28</f>
        <v>0</v>
      </c>
      <c r="AA29" s="11" t="n">
        <f aca="false">AA21*Inputs!$F$194*AA28</f>
        <v>0</v>
      </c>
      <c r="AB29" s="11" t="n">
        <f aca="false">AB21*Inputs!$F$194*AB28</f>
        <v>0</v>
      </c>
      <c r="AC29" s="11" t="n">
        <f aca="false">AC21*Inputs!$F$194*AC28</f>
        <v>0</v>
      </c>
      <c r="AD29" s="11" t="n">
        <f aca="false">AD21*Inputs!$F$194*AD28</f>
        <v>0</v>
      </c>
      <c r="AE29" s="11" t="n">
        <f aca="false">AE21*Inputs!$F$194*AE28</f>
        <v>0</v>
      </c>
      <c r="AF29" s="11" t="n">
        <f aca="false">AF21*Inputs!$F$194*AF28</f>
        <v>0</v>
      </c>
      <c r="AG29" s="11" t="n">
        <f aca="false">AG21*Inputs!$F$194*AG28</f>
        <v>0</v>
      </c>
      <c r="AH29" s="11" t="n">
        <f aca="false">AH21*Inputs!$F$194*AH28</f>
        <v>0</v>
      </c>
      <c r="AI29" s="11" t="n">
        <f aca="false">AI21*Inputs!$F$194*AI28</f>
        <v>0</v>
      </c>
      <c r="AJ29" s="11" t="n">
        <f aca="false">AJ21*Inputs!$F$194*AJ28</f>
        <v>0</v>
      </c>
      <c r="AK29" s="11" t="n">
        <f aca="false">AK21*Inputs!$F$194*AK28</f>
        <v>0</v>
      </c>
      <c r="AL29" s="11" t="n">
        <f aca="false">AL21*Inputs!$F$194*AL28</f>
        <v>0</v>
      </c>
      <c r="AM29" s="11" t="n">
        <f aca="false">AM21*Inputs!$F$194*AM28</f>
        <v>0</v>
      </c>
      <c r="AN29" s="11" t="n">
        <f aca="false">AN21*Inputs!$F$194*AN28</f>
        <v>0</v>
      </c>
      <c r="AO29" s="11" t="n">
        <f aca="false">AO21*Inputs!$F$194*AO28</f>
        <v>0</v>
      </c>
      <c r="AP29" s="11" t="n">
        <f aca="false">AP21*Inputs!$F$194*AP28</f>
        <v>0</v>
      </c>
      <c r="AQ29" s="11" t="n">
        <f aca="false">AQ21*Inputs!$F$194*AQ28</f>
        <v>0</v>
      </c>
      <c r="AR29" s="11" t="n">
        <f aca="false">AR21*Inputs!$F$194*AR28</f>
        <v>0</v>
      </c>
      <c r="AS29" s="11" t="n">
        <f aca="false">AS21*Inputs!$F$194*AS28</f>
        <v>0</v>
      </c>
      <c r="AT29" s="11" t="n">
        <f aca="false">AT21*Inputs!$F$194*AT28</f>
        <v>0</v>
      </c>
      <c r="AU29" s="11" t="n">
        <f aca="false">AU21*Inputs!$F$194*AU28</f>
        <v>0</v>
      </c>
      <c r="AV29" s="11" t="n">
        <f aca="false">AV21*Inputs!$F$194*AV28</f>
        <v>0</v>
      </c>
      <c r="AW29" s="11" t="n">
        <f aca="false">AW21*Inputs!$F$194*AW28</f>
        <v>0</v>
      </c>
      <c r="AX29" s="11" t="n">
        <f aca="false">AX21*Inputs!$F$194*AX28</f>
        <v>0</v>
      </c>
      <c r="AY29" s="11" t="n">
        <f aca="false">AY21*Inputs!$F$194*AY28</f>
        <v>0</v>
      </c>
      <c r="AZ29" s="11" t="n">
        <f aca="false">AZ21*Inputs!$F$194*AZ28</f>
        <v>0</v>
      </c>
      <c r="BA29" s="11" t="n">
        <f aca="false">BA21*Inputs!$F$194*BA28</f>
        <v>0</v>
      </c>
      <c r="BB29" s="11" t="n">
        <f aca="false">BB21*Inputs!$F$194*BB28</f>
        <v>0</v>
      </c>
      <c r="BC29" s="11" t="n">
        <f aca="false">BC21*Inputs!$F$194*BC28</f>
        <v>0</v>
      </c>
      <c r="BD29" s="11" t="n">
        <f aca="false">BD21*Inputs!$F$194*BD28</f>
        <v>0</v>
      </c>
      <c r="BE29" s="11" t="n">
        <f aca="false">BE21*Inputs!$F$194*BE28</f>
        <v>0</v>
      </c>
      <c r="BF29" s="11" t="n">
        <f aca="false">BF21*Inputs!$F$194*BF28</f>
        <v>0</v>
      </c>
      <c r="BG29" s="11" t="n">
        <f aca="false">BG21*Inputs!$F$194*BG28</f>
        <v>0</v>
      </c>
      <c r="BH29" s="11" t="n">
        <f aca="false">BH21*Inputs!$F$194*BH28</f>
        <v>0</v>
      </c>
      <c r="BI29" s="11" t="n">
        <f aca="false">BI21*Inputs!$F$194*BI28</f>
        <v>0</v>
      </c>
      <c r="BJ29" s="11" t="n">
        <f aca="false">BJ21*Inputs!$F$194*BJ28</f>
        <v>0</v>
      </c>
      <c r="BK29" s="11" t="n">
        <f aca="false">BK21*Inputs!$F$194*BK28</f>
        <v>0</v>
      </c>
      <c r="BL29" s="11" t="n">
        <f aca="false">BL21*Inputs!$F$194*BL28</f>
        <v>0</v>
      </c>
      <c r="BM29" s="11" t="n">
        <f aca="false">BM21*Inputs!$F$194*BM28</f>
        <v>0</v>
      </c>
      <c r="BN29" s="11" t="n">
        <f aca="false">BN21*Inputs!$F$194*BN28</f>
        <v>0</v>
      </c>
    </row>
    <row r="30" customFormat="false" ht="15" hidden="false" customHeight="false" outlineLevel="0" collapsed="false">
      <c r="D30" s="0" t="s">
        <v>659</v>
      </c>
      <c r="E30" s="0" t="s">
        <v>149</v>
      </c>
      <c r="F30" s="15" t="n">
        <f aca="false">$T$29</f>
        <v>0</v>
      </c>
    </row>
    <row r="31" customFormat="false" ht="15" hidden="false" customHeight="false" outlineLevel="0" collapsed="false">
      <c r="D31" s="0" t="s">
        <v>660</v>
      </c>
      <c r="E31" s="0" t="s">
        <v>149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661</v>
      </c>
      <c r="E32" s="0" t="s">
        <v>149</v>
      </c>
      <c r="G32" s="11" t="n">
        <f aca="false">SUM(J32:BN32)</f>
        <v>197.321999523981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0</v>
      </c>
      <c r="Q32" s="11" t="n">
        <f aca="false">Q28-Q29+Q31</f>
        <v>5.1569929234636</v>
      </c>
      <c r="R32" s="11" t="n">
        <f aca="false">R28-R29+R31</f>
        <v>5.41101974996786</v>
      </c>
      <c r="S32" s="11" t="n">
        <f aca="false">S28-S29+S31</f>
        <v>5.57047374819846</v>
      </c>
      <c r="T32" s="11" t="n">
        <f aca="false">T28-T29+T31</f>
        <v>5.82671354444233</v>
      </c>
      <c r="U32" s="11" t="n">
        <f aca="false">U28-U29+U31</f>
        <v>6.01253769682008</v>
      </c>
      <c r="V32" s="11" t="n">
        <f aca="false">V28-V29+V31</f>
        <v>6.40533253655919</v>
      </c>
      <c r="W32" s="11" t="n">
        <f aca="false">W28-W29+W31</f>
        <v>6.60113962105192</v>
      </c>
      <c r="X32" s="11" t="n">
        <f aca="false">X28-X29+X31</f>
        <v>6.41790694774327</v>
      </c>
      <c r="Y32" s="11" t="n">
        <f aca="false">Y28-Y29+Y31</f>
        <v>6.42092689048887</v>
      </c>
      <c r="Z32" s="11" t="n">
        <f aca="false">Z28-Z29+Z31</f>
        <v>6.68693276027392</v>
      </c>
      <c r="AA32" s="11" t="n">
        <f aca="false">AA28-AA29+AA31</f>
        <v>6.88207422324284</v>
      </c>
      <c r="AB32" s="11" t="n">
        <f aca="false">AB28-AB29+AB31</f>
        <v>7.21086042079169</v>
      </c>
      <c r="AC32" s="11" t="n">
        <f aca="false">AC28-AC29+AC31</f>
        <v>7.44974509478864</v>
      </c>
      <c r="AD32" s="11" t="n">
        <f aca="false">AD28-AD29+AD31</f>
        <v>8.13457800396188</v>
      </c>
      <c r="AE32" s="11" t="n">
        <f aca="false">AE28-AE29+AE31</f>
        <v>8.48420655400198</v>
      </c>
      <c r="AF32" s="11" t="n">
        <f aca="false">AF28-AF29+AF31</f>
        <v>8.78184768109435</v>
      </c>
      <c r="AG32" s="11" t="n">
        <f aca="false">AG28-AG29+AG31</f>
        <v>8.94574520311545</v>
      </c>
      <c r="AH32" s="11" t="n">
        <f aca="false">AH28-AH29+AH31</f>
        <v>9.39483539223373</v>
      </c>
      <c r="AI32" s="11" t="n">
        <f aca="false">AI28-AI29+AI31</f>
        <v>9.67069144750282</v>
      </c>
      <c r="AJ32" s="11" t="n">
        <f aca="false">AJ28-AJ29+AJ31</f>
        <v>10.1375698335833</v>
      </c>
      <c r="AK32" s="11" t="n">
        <f aca="false">AK28-AK29+AK31</f>
        <v>10.465705017829</v>
      </c>
      <c r="AL32" s="11" t="n">
        <f aca="false">AL28-AL29+AL31</f>
        <v>11.0971926558277</v>
      </c>
      <c r="AM32" s="11" t="n">
        <f aca="false">AM28-AM29+AM31</f>
        <v>11.3278474366981</v>
      </c>
      <c r="AN32" s="11" t="n">
        <f aca="false">AN28-AN29+AN31</f>
        <v>9.34533965895973</v>
      </c>
      <c r="AO32" s="11" t="n">
        <f aca="false">AO28-AO29+AO31</f>
        <v>9.48378448133992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662</v>
      </c>
      <c r="E33" s="0" t="s">
        <v>149</v>
      </c>
      <c r="G33" s="11" t="n">
        <f aca="false">SUM(J33:BN33)</f>
        <v>0</v>
      </c>
      <c r="J33" s="11" t="n">
        <f aca="false">J23*Inputs!$F$191*(J25-J32)/(J25-J32+J40-J47+J55-J62+J70-J77+J85-J92+0.000000001)</f>
        <v>0</v>
      </c>
      <c r="K33" s="11" t="n">
        <f aca="false">K23*Inputs!$F$191*(K25-K32)/(K25-K32+K40-K47+K55-K62+K70-K77+K85-K92+0.000000001)</f>
        <v>0</v>
      </c>
      <c r="L33" s="11" t="n">
        <f aca="false">L23*Inputs!$F$191*(L25-L32)/(L25-L32+L40-L47+L55-L62+L70-L77+L85-L92+0.000000001)</f>
        <v>0</v>
      </c>
      <c r="M33" s="11" t="n">
        <f aca="false">M23*Inputs!$F$191*(M25-M32)/(M25-M32+M40-M47+M55-M62+M70-M77+M85-M92+0.000000001)</f>
        <v>0</v>
      </c>
      <c r="N33" s="11" t="n">
        <f aca="false">N23*Inputs!$F$191*(N25-N32)/(N25-N32+N40-N47+N55-N62+N70-N77+N85-N92+0.000000001)</f>
        <v>0</v>
      </c>
      <c r="O33" s="11" t="n">
        <f aca="false">O23*Inputs!$F$191*(O25-O32)/(O25-O32+O40-O47+O55-O62+O70-O77+O85-O92+0.000000001)</f>
        <v>0</v>
      </c>
      <c r="P33" s="11" t="n">
        <f aca="false">P23*Inputs!$F$191*(P25-P32)/(P25-P32+P40-P47+P55-P62+P70-P77+P85-P92+0.000000001)</f>
        <v>0</v>
      </c>
      <c r="Q33" s="11" t="n">
        <f aca="false">Q23*Inputs!$F$191*(Q25-Q32)/(Q25-Q32+Q40-Q47+Q55-Q62+Q70-Q77+Q85-Q92+0.000000001)</f>
        <v>0</v>
      </c>
      <c r="R33" s="11" t="n">
        <f aca="false">R23*Inputs!$F$191*(R25-R32)/(R25-R32+R40-R47+R55-R62+R70-R77+R85-R92+0.000000001)</f>
        <v>0</v>
      </c>
      <c r="S33" s="11" t="n">
        <f aca="false">S23*Inputs!$F$191*(S25-S32)/(S25-S32+S40-S47+S55-S62+S70-S77+S85-S92+0.000000001)</f>
        <v>0</v>
      </c>
      <c r="T33" s="11" t="n">
        <f aca="false">T23*Inputs!$F$191*(T25-T32)/(T25-T32+T40-T47+T55-T62+T70-T77+T85-T92+0.000000001)</f>
        <v>0</v>
      </c>
      <c r="U33" s="11" t="n">
        <f aca="false">U23*Inputs!$F$191*(U25-U32)/(U25-U32+U40-U47+U55-U62+U70-U77+U85-U92+0.000000001)</f>
        <v>0</v>
      </c>
      <c r="V33" s="11" t="n">
        <f aca="false">V23*Inputs!$F$191*(V25-V32)/(V25-V32+V40-V47+V55-V62+V70-V77+V85-V92+0.000000001)</f>
        <v>0</v>
      </c>
      <c r="W33" s="11" t="n">
        <f aca="false">W23*Inputs!$F$191*(W25-W32)/(W25-W32+W40-W47+W55-W62+W70-W77+W85-W92+0.000000001)</f>
        <v>0</v>
      </c>
      <c r="X33" s="11" t="n">
        <f aca="false">X23*Inputs!$F$191*(X25-X32)/(X25-X32+X40-X47+X55-X62+X70-X77+X85-X92+0.000000001)</f>
        <v>0</v>
      </c>
      <c r="Y33" s="11" t="n">
        <f aca="false">Y23*Inputs!$F$191*(Y25-Y32)/(Y25-Y32+Y40-Y47+Y55-Y62+Y70-Y77+Y85-Y92+0.000000001)</f>
        <v>0</v>
      </c>
      <c r="Z33" s="11" t="n">
        <f aca="false">Z23*Inputs!$F$191*(Z25-Z32)/(Z25-Z32+Z40-Z47+Z55-Z62+Z70-Z77+Z85-Z92+0.000000001)</f>
        <v>0</v>
      </c>
      <c r="AA33" s="11" t="n">
        <f aca="false">AA23*Inputs!$F$191*(AA25-AA32)/(AA25-AA32+AA40-AA47+AA55-AA62+AA70-AA77+AA85-AA92+0.000000001)</f>
        <v>0</v>
      </c>
      <c r="AB33" s="11" t="n">
        <f aca="false">AB23*Inputs!$F$191*(AB25-AB32)/(AB25-AB32+AB40-AB47+AB55-AB62+AB70-AB77+AB85-AB92+0.000000001)</f>
        <v>0</v>
      </c>
      <c r="AC33" s="11" t="n">
        <f aca="false">AC23*Inputs!$F$191*(AC25-AC32)/(AC25-AC32+AC40-AC47+AC55-AC62+AC70-AC77+AC85-AC92+0.000000001)</f>
        <v>0</v>
      </c>
      <c r="AD33" s="11" t="n">
        <f aca="false">AD23*Inputs!$F$191*(AD25-AD32)/(AD25-AD32+AD40-AD47+AD55-AD62+AD70-AD77+AD85-AD92+0.000000001)</f>
        <v>0</v>
      </c>
      <c r="AE33" s="11" t="n">
        <f aca="false">AE23*Inputs!$F$191*(AE25-AE32)/(AE25-AE32+AE40-AE47+AE55-AE62+AE70-AE77+AE85-AE92+0.000000001)</f>
        <v>0</v>
      </c>
      <c r="AF33" s="11" t="n">
        <f aca="false">AF23*Inputs!$F$191*(AF25-AF32)/(AF25-AF32+AF40-AF47+AF55-AF62+AF70-AF77+AF85-AF92+0.000000001)</f>
        <v>0</v>
      </c>
      <c r="AG33" s="11" t="n">
        <f aca="false">AG23*Inputs!$F$191*(AG25-AG32)/(AG25-AG32+AG40-AG47+AG55-AG62+AG70-AG77+AG85-AG92+0.000000001)</f>
        <v>0</v>
      </c>
      <c r="AH33" s="11" t="n">
        <f aca="false">AH23*Inputs!$F$191*(AH25-AH32)/(AH25-AH32+AH40-AH47+AH55-AH62+AH70-AH77+AH85-AH92+0.000000001)</f>
        <v>0</v>
      </c>
      <c r="AI33" s="11" t="n">
        <f aca="false">AI23*Inputs!$F$191*(AI25-AI32)/(AI25-AI32+AI40-AI47+AI55-AI62+AI70-AI77+AI85-AI92+0.000000001)</f>
        <v>0</v>
      </c>
      <c r="AJ33" s="11" t="n">
        <f aca="false">AJ23*Inputs!$F$191*(AJ25-AJ32)/(AJ25-AJ32+AJ40-AJ47+AJ55-AJ62+AJ70-AJ77+AJ85-AJ92+0.000000001)</f>
        <v>0</v>
      </c>
      <c r="AK33" s="11" t="n">
        <f aca="false">AK23*Inputs!$F$191*(AK25-AK32)/(AK25-AK32+AK40-AK47+AK55-AK62+AK70-AK77+AK85-AK92+0.000000001)</f>
        <v>0</v>
      </c>
      <c r="AL33" s="11" t="n">
        <f aca="false">AL23*Inputs!$F$191*(AL25-AL32)/(AL25-AL32+AL40-AL47+AL55-AL62+AL70-AL77+AL85-AL92+0.000000001)</f>
        <v>0</v>
      </c>
      <c r="AM33" s="11" t="n">
        <f aca="false">AM23*Inputs!$F$191*(AM25-AM32)/(AM25-AM32+AM40-AM47+AM55-AM62+AM70-AM77+AM85-AM92+0.000000001)</f>
        <v>0</v>
      </c>
      <c r="AN33" s="11" t="n">
        <f aca="false">AN23*Inputs!$F$191*(AN25-AN32)/(AN25-AN32+AN40-AN47+AN55-AN62+AN70-AN77+AN85-AN92+0.000000001)</f>
        <v>0</v>
      </c>
      <c r="AO33" s="11" t="n">
        <f aca="false">AO23*Inputs!$F$191*(AO25-AO32)/(AO25-AO32+AO40-AO47+AO55-AO62+AO70-AO77+AO85-AO92+0.000000001)</f>
        <v>0</v>
      </c>
      <c r="AP33" s="11" t="n">
        <f aca="false">AP23*Inputs!$F$191*(AP25-AP32)/(AP25-AP32+AP40-AP47+AP55-AP62+AP70-AP77+AP85-AP92+0.000000001)</f>
        <v>0</v>
      </c>
      <c r="AQ33" s="11" t="n">
        <f aca="false">AQ23*Inputs!$F$191*(AQ25-AQ32)/(AQ25-AQ32+AQ40-AQ47+AQ55-AQ62+AQ70-AQ77+AQ85-AQ92+0.000000001)</f>
        <v>0</v>
      </c>
      <c r="AR33" s="11" t="n">
        <f aca="false">AR23*Inputs!$F$191*(AR25-AR32)/(AR25-AR32+AR40-AR47+AR55-AR62+AR70-AR77+AR85-AR92+0.000000001)</f>
        <v>0</v>
      </c>
      <c r="AS33" s="11" t="n">
        <f aca="false">AS23*Inputs!$F$191*(AS25-AS32)/(AS25-AS32+AS40-AS47+AS55-AS62+AS70-AS77+AS85-AS92+0.000000001)</f>
        <v>0</v>
      </c>
      <c r="AT33" s="11" t="n">
        <f aca="false">AT23*Inputs!$F$191*(AT25-AT32)/(AT25-AT32+AT40-AT47+AT55-AT62+AT70-AT77+AT85-AT92+0.000000001)</f>
        <v>0</v>
      </c>
      <c r="AU33" s="11" t="n">
        <f aca="false">AU23*Inputs!$F$191*(AU25-AU32)/(AU25-AU32+AU40-AU47+AU55-AU62+AU70-AU77+AU85-AU92+0.000000001)</f>
        <v>0</v>
      </c>
      <c r="AV33" s="11" t="n">
        <f aca="false">AV23*Inputs!$F$191*(AV25-AV32)/(AV25-AV32+AV40-AV47+AV55-AV62+AV70-AV77+AV85-AV92+0.000000001)</f>
        <v>0</v>
      </c>
      <c r="AW33" s="11" t="n">
        <f aca="false">AW23*Inputs!$F$191*(AW25-AW32)/(AW25-AW32+AW40-AW47+AW55-AW62+AW70-AW77+AW85-AW92+0.000000001)</f>
        <v>0</v>
      </c>
      <c r="AX33" s="11" t="n">
        <f aca="false">AX23*Inputs!$F$191*(AX25-AX32)/(AX25-AX32+AX40-AX47+AX55-AX62+AX70-AX77+AX85-AX92+0.000000001)</f>
        <v>0</v>
      </c>
      <c r="AY33" s="11" t="n">
        <f aca="false">AY23*Inputs!$F$191*(AY25-AY32)/(AY25-AY32+AY40-AY47+AY55-AY62+AY70-AY77+AY85-AY92+0.000000001)</f>
        <v>0</v>
      </c>
      <c r="AZ33" s="11" t="n">
        <f aca="false">AZ23*Inputs!$F$191*(AZ25-AZ32)/(AZ25-AZ32+AZ40-AZ47+AZ55-AZ62+AZ70-AZ77+AZ85-AZ92+0.000000001)</f>
        <v>0</v>
      </c>
      <c r="BA33" s="11" t="n">
        <f aca="false">BA23*Inputs!$F$191*(BA25-BA32)/(BA25-BA32+BA40-BA47+BA55-BA62+BA70-BA77+BA85-BA92+0.000000001)</f>
        <v>0</v>
      </c>
      <c r="BB33" s="11" t="n">
        <f aca="false">BB23*Inputs!$F$191*(BB25-BB32)/(BB25-BB32+BB40-BB47+BB55-BB62+BB70-BB77+BB85-BB92+0.000000001)</f>
        <v>0</v>
      </c>
      <c r="BC33" s="11" t="n">
        <f aca="false">BC23*Inputs!$F$191*(BC25-BC32)/(BC25-BC32+BC40-BC47+BC55-BC62+BC70-BC77+BC85-BC92+0.000000001)</f>
        <v>0</v>
      </c>
      <c r="BD33" s="11" t="n">
        <f aca="false">BD23*Inputs!$F$191*(BD25-BD32)/(BD25-BD32+BD40-BD47+BD55-BD62+BD70-BD77+BD85-BD92+0.000000001)</f>
        <v>0</v>
      </c>
      <c r="BE33" s="11" t="n">
        <f aca="false">BE23*Inputs!$F$191*(BE25-BE32)/(BE25-BE32+BE40-BE47+BE55-BE62+BE70-BE77+BE85-BE92+0.000000001)</f>
        <v>0</v>
      </c>
      <c r="BF33" s="11" t="n">
        <f aca="false">BF23*Inputs!$F$191*(BF25-BF32)/(BF25-BF32+BF40-BF47+BF55-BF62+BF70-BF77+BF85-BF92+0.000000001)</f>
        <v>0</v>
      </c>
      <c r="BG33" s="11" t="n">
        <f aca="false">BG23*Inputs!$F$191*(BG25-BG32)/(BG25-BG32+BG40-BG47+BG55-BG62+BG70-BG77+BG85-BG92+0.000000001)</f>
        <v>0</v>
      </c>
      <c r="BH33" s="11" t="n">
        <f aca="false">BH23*Inputs!$F$191*(BH25-BH32)/(BH25-BH32+BH40-BH47+BH55-BH62+BH70-BH77+BH85-BH92+0.000000001)</f>
        <v>0</v>
      </c>
      <c r="BI33" s="11" t="n">
        <f aca="false">BI23*Inputs!$F$191*(BI25-BI32)/(BI25-BI32+BI40-BI47+BI55-BI62+BI70-BI77+BI85-BI92+0.000000001)</f>
        <v>0</v>
      </c>
      <c r="BJ33" s="11" t="n">
        <f aca="false">BJ23*Inputs!$F$191*(BJ25-BJ32)/(BJ25-BJ32+BJ40-BJ47+BJ55-BJ62+BJ70-BJ77+BJ85-BJ92+0.000000001)</f>
        <v>0</v>
      </c>
      <c r="BK33" s="11" t="n">
        <f aca="false">BK23*Inputs!$F$191*(BK25-BK32)/(BK25-BK32+BK40-BK47+BK55-BK62+BK70-BK77+BK85-BK92+0.000000001)</f>
        <v>0</v>
      </c>
      <c r="BL33" s="11" t="n">
        <f aca="false">BL23*Inputs!$F$191*(BL25-BL32)/(BL25-BL32+BL40-BL47+BL55-BL62+BL70-BL77+BL85-BL92+0.000000001)</f>
        <v>0</v>
      </c>
      <c r="BM33" s="11" t="n">
        <f aca="false">BM23*Inputs!$F$191*(BM25-BM32)/(BM25-BM32+BM40-BM47+BM55-BM62+BM70-BM77+BM85-BM92+0.000000001)</f>
        <v>0</v>
      </c>
      <c r="BN33" s="11" t="n">
        <f aca="false">BN23*Inputs!$F$191*(BN25-BN32)/(BN25-BN32+BN40-BN47+BN55-BN62+BN70-BN77+BN85-BN92+0.000000001)</f>
        <v>0</v>
      </c>
    </row>
    <row r="34" customFormat="false" ht="15" hidden="false" customHeight="false" outlineLevel="0" collapsed="false">
      <c r="D34" s="0" t="s">
        <v>663</v>
      </c>
      <c r="E34" s="0" t="s">
        <v>149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664</v>
      </c>
      <c r="E35" s="0" t="s">
        <v>149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665</v>
      </c>
      <c r="E36" s="0" t="s">
        <v>149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0</v>
      </c>
      <c r="Q36" s="11" t="n">
        <f aca="false">Q25-Q32-Q33-Q34</f>
        <v>192.165006600517</v>
      </c>
      <c r="R36" s="11" t="n">
        <f aca="false">R25-R32-R33-R34</f>
        <v>186.753986850549</v>
      </c>
      <c r="S36" s="11" t="n">
        <f aca="false">S25-S32-S33-S34</f>
        <v>181.183513102351</v>
      </c>
      <c r="T36" s="11" t="n">
        <f aca="false">T25-T32-T33-T34</f>
        <v>175.356799557908</v>
      </c>
      <c r="U36" s="11" t="n">
        <f aca="false">U25-U32-U33-U34</f>
        <v>169.344261861088</v>
      </c>
      <c r="V36" s="11" t="n">
        <f aca="false">V25-V32-V33-V34</f>
        <v>162.938929324529</v>
      </c>
      <c r="W36" s="11" t="n">
        <f aca="false">W25-W32-W33-W34</f>
        <v>156.337789703477</v>
      </c>
      <c r="X36" s="11" t="n">
        <f aca="false">X25-X32-X33-X34</f>
        <v>149.919882755734</v>
      </c>
      <c r="Y36" s="11" t="n">
        <f aca="false">Y25-Y32-Y33-Y34</f>
        <v>143.498955865245</v>
      </c>
      <c r="Z36" s="11" t="n">
        <f aca="false">Z25-Z32-Z33-Z34</f>
        <v>136.812023104971</v>
      </c>
      <c r="AA36" s="11" t="n">
        <f aca="false">AA25-AA32-AA33-AA34</f>
        <v>129.929948881728</v>
      </c>
      <c r="AB36" s="11" t="n">
        <f aca="false">AB25-AB32-AB33-AB34</f>
        <v>122.719088460937</v>
      </c>
      <c r="AC36" s="11" t="n">
        <f aca="false">AC25-AC32-AC33-AC34</f>
        <v>115.269343366148</v>
      </c>
      <c r="AD36" s="11" t="n">
        <f aca="false">AD25-AD32-AD33-AD34</f>
        <v>107.134765362186</v>
      </c>
      <c r="AE36" s="11" t="n">
        <f aca="false">AE25-AE32-AE33-AE34</f>
        <v>98.650558808184</v>
      </c>
      <c r="AF36" s="11" t="n">
        <f aca="false">AF25-AF32-AF33-AF34</f>
        <v>89.8687111270897</v>
      </c>
      <c r="AG36" s="11" t="n">
        <f aca="false">AG25-AG32-AG33-AG34</f>
        <v>80.9229659239743</v>
      </c>
      <c r="AH36" s="11" t="n">
        <f aca="false">AH25-AH32-AH33-AH34</f>
        <v>71.5281305317405</v>
      </c>
      <c r="AI36" s="11" t="n">
        <f aca="false">AI25-AI32-AI33-AI34</f>
        <v>61.8574390842377</v>
      </c>
      <c r="AJ36" s="11" t="n">
        <f aca="false">AJ25-AJ32-AJ33-AJ34</f>
        <v>51.7198692506544</v>
      </c>
      <c r="AK36" s="11" t="n">
        <f aca="false">AK25-AK32-AK33-AK34</f>
        <v>41.2541642328254</v>
      </c>
      <c r="AL36" s="11" t="n">
        <f aca="false">AL25-AL32-AL33-AL34</f>
        <v>30.1569715769977</v>
      </c>
      <c r="AM36" s="11" t="n">
        <f aca="false">AM25-AM32-AM33-AM34</f>
        <v>18.8291241402997</v>
      </c>
      <c r="AN36" s="11" t="n">
        <f aca="false">AN25-AN32-AN33-AN34</f>
        <v>9.48378448133992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666</v>
      </c>
      <c r="E37" s="0" t="s">
        <v>149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667</v>
      </c>
      <c r="E38" s="0" t="s">
        <v>149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0</v>
      </c>
      <c r="P38" s="11" t="n">
        <f aca="false">IF(Time!P29=1,INDEX(Funding!$J$61:$BJ$61,1,Time!$F$13),Time!P30*(P36-P37))</f>
        <v>197.321999523981</v>
      </c>
      <c r="Q38" s="11" t="n">
        <f aca="false">IF(Time!Q29=1,INDEX(Funding!$J$61:$BJ$61,1,Time!$F$13),Time!Q30*(Q36-Q37))</f>
        <v>192.165006600517</v>
      </c>
      <c r="R38" s="11" t="n">
        <f aca="false">IF(Time!R29=1,INDEX(Funding!$J$61:$BJ$61,1,Time!$F$13),Time!R30*(R36-R37))</f>
        <v>186.753986850549</v>
      </c>
      <c r="S38" s="11" t="n">
        <f aca="false">IF(Time!S29=1,INDEX(Funding!$J$61:$BJ$61,1,Time!$F$13),Time!S30*(S36-S37))</f>
        <v>181.183513102351</v>
      </c>
      <c r="T38" s="11" t="n">
        <f aca="false">IF(Time!T29=1,INDEX(Funding!$J$61:$BJ$61,1,Time!$F$13),Time!T30*(T36-T37))</f>
        <v>175.356799557908</v>
      </c>
      <c r="U38" s="11" t="n">
        <f aca="false">IF(Time!U29=1,INDEX(Funding!$J$61:$BJ$61,1,Time!$F$13),Time!U30*(U36-U37))</f>
        <v>169.344261861088</v>
      </c>
      <c r="V38" s="11" t="n">
        <f aca="false">IF(Time!V29=1,INDEX(Funding!$J$61:$BJ$61,1,Time!$F$13),Time!V30*(V36-V37))</f>
        <v>162.938929324529</v>
      </c>
      <c r="W38" s="11" t="n">
        <f aca="false">IF(Time!W29=1,INDEX(Funding!$J$61:$BJ$61,1,Time!$F$13),Time!W30*(W36-W37))</f>
        <v>156.337789703477</v>
      </c>
      <c r="X38" s="11" t="n">
        <f aca="false">IF(Time!X29=1,INDEX(Funding!$J$61:$BJ$61,1,Time!$F$13),Time!X30*(X36-X37))</f>
        <v>149.919882755734</v>
      </c>
      <c r="Y38" s="11" t="n">
        <f aca="false">IF(Time!Y29=1,INDEX(Funding!$J$61:$BJ$61,1,Time!$F$13),Time!Y30*(Y36-Y37))</f>
        <v>143.498955865245</v>
      </c>
      <c r="Z38" s="11" t="n">
        <f aca="false">IF(Time!Z29=1,INDEX(Funding!$J$61:$BJ$61,1,Time!$F$13),Time!Z30*(Z36-Z37))</f>
        <v>136.812023104971</v>
      </c>
      <c r="AA38" s="11" t="n">
        <f aca="false">IF(Time!AA29=1,INDEX(Funding!$J$61:$BJ$61,1,Time!$F$13),Time!AA30*(AA36-AA37))</f>
        <v>129.929948881728</v>
      </c>
      <c r="AB38" s="11" t="n">
        <f aca="false">IF(Time!AB29=1,INDEX(Funding!$J$61:$BJ$61,1,Time!$F$13),Time!AB30*(AB36-AB37))</f>
        <v>122.719088460937</v>
      </c>
      <c r="AC38" s="11" t="n">
        <f aca="false">IF(Time!AC29=1,INDEX(Funding!$J$61:$BJ$61,1,Time!$F$13),Time!AC30*(AC36-AC37))</f>
        <v>115.269343366148</v>
      </c>
      <c r="AD38" s="11" t="n">
        <f aca="false">IF(Time!AD29=1,INDEX(Funding!$J$61:$BJ$61,1,Time!$F$13),Time!AD30*(AD36-AD37))</f>
        <v>107.134765362186</v>
      </c>
      <c r="AE38" s="11" t="n">
        <f aca="false">IF(Time!AE29=1,INDEX(Funding!$J$61:$BJ$61,1,Time!$F$13),Time!AE30*(AE36-AE37))</f>
        <v>98.650558808184</v>
      </c>
      <c r="AF38" s="11" t="n">
        <f aca="false">IF(Time!AF29=1,INDEX(Funding!$J$61:$BJ$61,1,Time!$F$13),Time!AF30*(AF36-AF37))</f>
        <v>89.8687111270897</v>
      </c>
      <c r="AG38" s="11" t="n">
        <f aca="false">IF(Time!AG29=1,INDEX(Funding!$J$61:$BJ$61,1,Time!$F$13),Time!AG30*(AG36-AG37))</f>
        <v>80.9229659239743</v>
      </c>
      <c r="AH38" s="11" t="n">
        <f aca="false">IF(Time!AH29=1,INDEX(Funding!$J$61:$BJ$61,1,Time!$F$13),Time!AH30*(AH36-AH37))</f>
        <v>71.5281305317405</v>
      </c>
      <c r="AI38" s="11" t="n">
        <f aca="false">IF(Time!AI29=1,INDEX(Funding!$J$61:$BJ$61,1,Time!$F$13),Time!AI30*(AI36-AI37))</f>
        <v>61.8574390842377</v>
      </c>
      <c r="AJ38" s="11" t="n">
        <f aca="false">IF(Time!AJ29=1,INDEX(Funding!$J$61:$BJ$61,1,Time!$F$13),Time!AJ30*(AJ36-AJ37))</f>
        <v>51.7198692506544</v>
      </c>
      <c r="AK38" s="11" t="n">
        <f aca="false">IF(Time!AK29=1,INDEX(Funding!$J$61:$BJ$61,1,Time!$F$13),Time!AK30*(AK36-AK37))</f>
        <v>41.2541642328254</v>
      </c>
      <c r="AL38" s="11" t="n">
        <f aca="false">IF(Time!AL29=1,INDEX(Funding!$J$61:$BJ$61,1,Time!$F$13),Time!AL30*(AL36-AL37))</f>
        <v>30.1569715769977</v>
      </c>
      <c r="AM38" s="11" t="n">
        <f aca="false">IF(Time!AM29=1,INDEX(Funding!$J$61:$BJ$61,1,Time!$F$13),Time!AM30*(AM36-AM37))</f>
        <v>18.8291241402997</v>
      </c>
      <c r="AN38" s="11" t="n">
        <f aca="false">IF(Time!AN29=1,INDEX(Funding!$J$61:$BJ$61,1,Time!$F$13),Time!AN30*(AN36-AN37))</f>
        <v>9.48378448133992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668</v>
      </c>
    </row>
    <row r="40" customFormat="false" ht="15" hidden="false" customHeight="false" outlineLevel="0" collapsed="false">
      <c r="D40" s="0" t="s">
        <v>654</v>
      </c>
      <c r="E40" s="0" t="s">
        <v>149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0</v>
      </c>
      <c r="Q40" s="11" t="n">
        <f aca="false">Time!Q30*P53</f>
        <v>144.702799650919</v>
      </c>
      <c r="R40" s="11" t="n">
        <f aca="false">Time!R30*Q53</f>
        <v>140.921004840379</v>
      </c>
      <c r="S40" s="11" t="n">
        <f aca="false">Time!S30*R53</f>
        <v>136.952923690403</v>
      </c>
      <c r="T40" s="11" t="n">
        <f aca="false">Time!T30*S53</f>
        <v>132.86790960839</v>
      </c>
      <c r="U40" s="11" t="n">
        <f aca="false">Time!U30*T53</f>
        <v>128.594986342466</v>
      </c>
      <c r="V40" s="11" t="n">
        <f aca="false">Time!V30*U53</f>
        <v>124.185792031465</v>
      </c>
      <c r="W40" s="11" t="n">
        <f aca="false">Time!W30*V53</f>
        <v>119.488548171321</v>
      </c>
      <c r="X40" s="11" t="n">
        <f aca="false">Time!X30*W53</f>
        <v>114.647712449217</v>
      </c>
      <c r="Y40" s="11" t="n">
        <f aca="false">Time!Y30*X53</f>
        <v>109.941247354205</v>
      </c>
      <c r="Z40" s="11" t="n">
        <f aca="false">Time!Z30*Y53</f>
        <v>105.232567634513</v>
      </c>
      <c r="AA40" s="11" t="n">
        <f aca="false">Time!AA30*Z53</f>
        <v>100.328816943645</v>
      </c>
      <c r="AB40" s="11" t="n">
        <f aca="false">Time!AB30*AA53</f>
        <v>95.2819625132674</v>
      </c>
      <c r="AC40" s="11" t="n">
        <f aca="false">Time!AC30*AB53</f>
        <v>89.9939982046868</v>
      </c>
      <c r="AD40" s="11" t="n">
        <f aca="false">Time!AD30*AC53</f>
        <v>84.5308518018418</v>
      </c>
      <c r="AE40" s="11" t="n">
        <f aca="false">Time!AE30*AD53</f>
        <v>78.5654945989364</v>
      </c>
      <c r="AF40" s="11" t="n">
        <f aca="false">Time!AF30*AE53</f>
        <v>72.3437431260017</v>
      </c>
      <c r="AG40" s="11" t="n">
        <f aca="false">Time!AG30*AF53</f>
        <v>65.9037214931991</v>
      </c>
      <c r="AH40" s="11" t="n">
        <f aca="false">Time!AH30*AG53</f>
        <v>59.3435083442478</v>
      </c>
      <c r="AI40" s="11" t="n">
        <f aca="false">Time!AI30*AH53</f>
        <v>52.4539623899431</v>
      </c>
      <c r="AJ40" s="11" t="n">
        <f aca="false">Time!AJ30*AI53</f>
        <v>45.3621219951077</v>
      </c>
      <c r="AK40" s="11" t="n">
        <f aca="false">Time!AK30*AJ53</f>
        <v>37.9279041171466</v>
      </c>
      <c r="AL40" s="11" t="n">
        <f aca="false">Time!AL30*AK53</f>
        <v>30.2530537707386</v>
      </c>
      <c r="AM40" s="11" t="n">
        <f aca="false">Time!AM30*AL53</f>
        <v>22.1151124897984</v>
      </c>
      <c r="AN40" s="11" t="n">
        <f aca="false">Time!AN30*AM53</f>
        <v>13.8080243695531</v>
      </c>
      <c r="AO40" s="11" t="n">
        <f aca="false">Time!AO30*AN53</f>
        <v>6.95477528631594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655</v>
      </c>
      <c r="E41" s="0" t="s">
        <v>149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656</v>
      </c>
      <c r="E42" s="0" t="s">
        <v>149</v>
      </c>
      <c r="G42" s="11" t="n">
        <f aca="false">SUM(J42:BN42)</f>
        <v>72.5208087308508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0</v>
      </c>
      <c r="Q42" s="11" t="n">
        <f aca="false">Q40*Q11</f>
        <v>4.91812659835774</v>
      </c>
      <c r="R42" s="11" t="n">
        <f aca="false">R40*R11</f>
        <v>4.86897729612936</v>
      </c>
      <c r="S42" s="11" t="n">
        <f aca="false">S40*S11</f>
        <v>4.66161122506969</v>
      </c>
      <c r="T42" s="11" t="n">
        <f aca="false">T40*T11</f>
        <v>4.59752493447166</v>
      </c>
      <c r="U42" s="11" t="n">
        <f aca="false">U40*U11</f>
        <v>4.40130629088906</v>
      </c>
      <c r="V42" s="11" t="n">
        <f aca="false">V40*V11</f>
        <v>4.29710437271542</v>
      </c>
      <c r="W42" s="11" t="n">
        <f aca="false">W40*W11</f>
        <v>4.06715784090811</v>
      </c>
      <c r="X42" s="11" t="n">
        <f aca="false">X40*X11</f>
        <v>3.96706562343723</v>
      </c>
      <c r="Y42" s="11" t="n">
        <f aca="false">Y40*Y11</f>
        <v>3.7421862852895</v>
      </c>
      <c r="Z42" s="11" t="n">
        <f aca="false">Z40*Z11</f>
        <v>3.64128069030445</v>
      </c>
      <c r="AA42" s="11" t="n">
        <f aca="false">AA40*AA11</f>
        <v>3.41499784495097</v>
      </c>
      <c r="AB42" s="11" t="n">
        <f aca="false">AB40*AB11</f>
        <v>3.29696764065353</v>
      </c>
      <c r="AC42" s="11" t="n">
        <f aca="false">AC40*AC11</f>
        <v>3.08014458188675</v>
      </c>
      <c r="AD42" s="11" t="n">
        <f aca="false">AD40*AD11</f>
        <v>2.92495531868106</v>
      </c>
      <c r="AE42" s="11" t="n">
        <f aca="false">AE40*AE11</f>
        <v>2.6742166699083</v>
      </c>
      <c r="AF42" s="11" t="n">
        <f aca="false">AF40*AF11</f>
        <v>2.50325427603327</v>
      </c>
      <c r="AG42" s="11" t="n">
        <f aca="false">AG40*AG11</f>
        <v>2.24323453350337</v>
      </c>
      <c r="AH42" s="11" t="n">
        <f aca="false">AH40*AH11</f>
        <v>2.05341726317396</v>
      </c>
      <c r="AI42" s="11" t="n">
        <f aca="false">AI40*AI11</f>
        <v>1.7854308859379</v>
      </c>
      <c r="AJ42" s="11" t="n">
        <f aca="false">AJ40*AJ11</f>
        <v>1.56963022574627</v>
      </c>
      <c r="AK42" s="11" t="n">
        <f aca="false">AK40*AK11</f>
        <v>1.29812466052503</v>
      </c>
      <c r="AL42" s="11" t="n">
        <f aca="false">AL40*AL11</f>
        <v>1.04682288947594</v>
      </c>
      <c r="AM42" s="11" t="n">
        <f aca="false">AM40*AM11</f>
        <v>0.752755427545117</v>
      </c>
      <c r="AN42" s="11" t="n">
        <f aca="false">AN40*AN11</f>
        <v>0.477788327685136</v>
      </c>
      <c r="AO42" s="11" t="n">
        <f aca="false">AO40*AO11</f>
        <v>0.236727027572027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657</v>
      </c>
      <c r="E43" s="0" t="s">
        <v>149</v>
      </c>
      <c r="G43" s="11" t="n">
        <f aca="false">SUM(J43:BN43)</f>
        <v>144.702799650919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0</v>
      </c>
      <c r="Q43" s="11" t="n">
        <f aca="false">Time!Q30*(Q40-Q41)*Q19</f>
        <v>3.78179481053998</v>
      </c>
      <c r="R43" s="11" t="n">
        <f aca="false">Time!R30*(R40-R41)*R19</f>
        <v>3.96808114997643</v>
      </c>
      <c r="S43" s="11" t="n">
        <f aca="false">Time!S30*(S40-S41)*S19</f>
        <v>4.0850140820122</v>
      </c>
      <c r="T43" s="11" t="n">
        <f aca="false">Time!T30*(T40-T41)*T19</f>
        <v>4.27292326592438</v>
      </c>
      <c r="U43" s="11" t="n">
        <f aca="false">Time!U30*(U40-U41)*U19</f>
        <v>4.40919431100139</v>
      </c>
      <c r="V43" s="11" t="n">
        <f aca="false">Time!V30*(V40-V41)*V19</f>
        <v>4.69724386014341</v>
      </c>
      <c r="W43" s="11" t="n">
        <f aca="false">Time!W30*(W40-W41)*W19</f>
        <v>4.84083572210474</v>
      </c>
      <c r="X43" s="11" t="n">
        <f aca="false">Time!X30*(X40-X41)*X19</f>
        <v>4.70646509501173</v>
      </c>
      <c r="Y43" s="11" t="n">
        <f aca="false">Time!Y30*(Y40-Y41)*Y19</f>
        <v>4.70867971969184</v>
      </c>
      <c r="Z43" s="11" t="n">
        <f aca="false">Time!Z30*(Z40-Z41)*Z19</f>
        <v>4.90375069086754</v>
      </c>
      <c r="AA43" s="11" t="n">
        <f aca="false">Time!AA30*(AA40-AA41)*AA19</f>
        <v>5.04685443037808</v>
      </c>
      <c r="AB43" s="11" t="n">
        <f aca="false">Time!AB30*(AB40-AB41)*AB19</f>
        <v>5.28796430858057</v>
      </c>
      <c r="AC43" s="11" t="n">
        <f aca="false">Time!AC30*(AC40-AC41)*AC19</f>
        <v>5.463146402845</v>
      </c>
      <c r="AD43" s="11" t="n">
        <f aca="false">Time!AD30*(AD40-AD41)*AD19</f>
        <v>5.96535720290539</v>
      </c>
      <c r="AE43" s="11" t="n">
        <f aca="false">Time!AE30*(AE40-AE41)*AE19</f>
        <v>6.22175147293479</v>
      </c>
      <c r="AF43" s="11" t="n">
        <f aca="false">Time!AF30*(AF40-AF41)*AF19</f>
        <v>6.44002163280253</v>
      </c>
      <c r="AG43" s="11" t="n">
        <f aca="false">Time!AG30*(AG40-AG41)*AG19</f>
        <v>6.56021314895133</v>
      </c>
      <c r="AH43" s="11" t="n">
        <f aca="false">Time!AH30*(AH40-AH41)*AH19</f>
        <v>6.88954595430473</v>
      </c>
      <c r="AI43" s="11" t="n">
        <f aca="false">Time!AI30*(AI40-AI41)*AI19</f>
        <v>7.0918403948354</v>
      </c>
      <c r="AJ43" s="11" t="n">
        <f aca="false">Time!AJ30*(AJ40-AJ41)*AJ19</f>
        <v>7.43421787796106</v>
      </c>
      <c r="AK43" s="11" t="n">
        <f aca="false">Time!AK30*(AK40-AK41)*AK19</f>
        <v>7.67485034640795</v>
      </c>
      <c r="AL43" s="11" t="n">
        <f aca="false">Time!AL30*(AL40-AL41)*AL19</f>
        <v>8.1379412809403</v>
      </c>
      <c r="AM43" s="11" t="n">
        <f aca="false">Time!AM30*(AM40-AM41)*AM19</f>
        <v>8.30708812024527</v>
      </c>
      <c r="AN43" s="11" t="n">
        <f aca="false">Time!AN30*(AN40-AN41)*AN19</f>
        <v>6.85324908323714</v>
      </c>
      <c r="AO43" s="11" t="n">
        <f aca="false">Time!AO30*(AO40-AO41)*AO19</f>
        <v>6.95477528631594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658</v>
      </c>
      <c r="E44" s="0" t="s">
        <v>149</v>
      </c>
      <c r="G44" s="11" t="n">
        <f aca="false">SUM(J44:BN44)</f>
        <v>0</v>
      </c>
      <c r="J44" s="11" t="n">
        <f aca="false">J21*Inputs!$F$194*J43</f>
        <v>0</v>
      </c>
      <c r="K44" s="11" t="n">
        <f aca="false">K21*Inputs!$F$194*K43</f>
        <v>0</v>
      </c>
      <c r="L44" s="11" t="n">
        <f aca="false">L21*Inputs!$F$194*L43</f>
        <v>0</v>
      </c>
      <c r="M44" s="11" t="n">
        <f aca="false">M21*Inputs!$F$194*M43</f>
        <v>0</v>
      </c>
      <c r="N44" s="11" t="n">
        <f aca="false">N21*Inputs!$F$194*N43</f>
        <v>0</v>
      </c>
      <c r="O44" s="11" t="n">
        <f aca="false">O21*Inputs!$F$194*O43</f>
        <v>0</v>
      </c>
      <c r="P44" s="11" t="n">
        <f aca="false">P21*Inputs!$F$194*P43</f>
        <v>0</v>
      </c>
      <c r="Q44" s="11" t="n">
        <f aca="false">Q21*Inputs!$F$194*Q43</f>
        <v>0</v>
      </c>
      <c r="R44" s="11" t="n">
        <f aca="false">R21*Inputs!$F$194*R43</f>
        <v>0</v>
      </c>
      <c r="S44" s="11" t="n">
        <f aca="false">S21*Inputs!$F$194*S43</f>
        <v>0</v>
      </c>
      <c r="T44" s="11" t="n">
        <f aca="false">T21*Inputs!$F$194*T43</f>
        <v>0</v>
      </c>
      <c r="U44" s="11" t="n">
        <f aca="false">U21*Inputs!$F$194*U43</f>
        <v>0</v>
      </c>
      <c r="V44" s="11" t="n">
        <f aca="false">V21*Inputs!$F$194*V43</f>
        <v>0</v>
      </c>
      <c r="W44" s="11" t="n">
        <f aca="false">W21*Inputs!$F$194*W43</f>
        <v>0</v>
      </c>
      <c r="X44" s="11" t="n">
        <f aca="false">X21*Inputs!$F$194*X43</f>
        <v>0</v>
      </c>
      <c r="Y44" s="11" t="n">
        <f aca="false">Y21*Inputs!$F$194*Y43</f>
        <v>0</v>
      </c>
      <c r="Z44" s="11" t="n">
        <f aca="false">Z21*Inputs!$F$194*Z43</f>
        <v>0</v>
      </c>
      <c r="AA44" s="11" t="n">
        <f aca="false">AA21*Inputs!$F$194*AA43</f>
        <v>0</v>
      </c>
      <c r="AB44" s="11" t="n">
        <f aca="false">AB21*Inputs!$F$194*AB43</f>
        <v>0</v>
      </c>
      <c r="AC44" s="11" t="n">
        <f aca="false">AC21*Inputs!$F$194*AC43</f>
        <v>0</v>
      </c>
      <c r="AD44" s="11" t="n">
        <f aca="false">AD21*Inputs!$F$194*AD43</f>
        <v>0</v>
      </c>
      <c r="AE44" s="11" t="n">
        <f aca="false">AE21*Inputs!$F$194*AE43</f>
        <v>0</v>
      </c>
      <c r="AF44" s="11" t="n">
        <f aca="false">AF21*Inputs!$F$194*AF43</f>
        <v>0</v>
      </c>
      <c r="AG44" s="11" t="n">
        <f aca="false">AG21*Inputs!$F$194*AG43</f>
        <v>0</v>
      </c>
      <c r="AH44" s="11" t="n">
        <f aca="false">AH21*Inputs!$F$194*AH43</f>
        <v>0</v>
      </c>
      <c r="AI44" s="11" t="n">
        <f aca="false">AI21*Inputs!$F$194*AI43</f>
        <v>0</v>
      </c>
      <c r="AJ44" s="11" t="n">
        <f aca="false">AJ21*Inputs!$F$194*AJ43</f>
        <v>0</v>
      </c>
      <c r="AK44" s="11" t="n">
        <f aca="false">AK21*Inputs!$F$194*AK43</f>
        <v>0</v>
      </c>
      <c r="AL44" s="11" t="n">
        <f aca="false">AL21*Inputs!$F$194*AL43</f>
        <v>0</v>
      </c>
      <c r="AM44" s="11" t="n">
        <f aca="false">AM21*Inputs!$F$194*AM43</f>
        <v>0</v>
      </c>
      <c r="AN44" s="11" t="n">
        <f aca="false">AN21*Inputs!$F$194*AN43</f>
        <v>0</v>
      </c>
      <c r="AO44" s="11" t="n">
        <f aca="false">AO21*Inputs!$F$194*AO43</f>
        <v>0</v>
      </c>
      <c r="AP44" s="11" t="n">
        <f aca="false">AP21*Inputs!$F$194*AP43</f>
        <v>0</v>
      </c>
      <c r="AQ44" s="11" t="n">
        <f aca="false">AQ21*Inputs!$F$194*AQ43</f>
        <v>0</v>
      </c>
      <c r="AR44" s="11" t="n">
        <f aca="false">AR21*Inputs!$F$194*AR43</f>
        <v>0</v>
      </c>
      <c r="AS44" s="11" t="n">
        <f aca="false">AS21*Inputs!$F$194*AS43</f>
        <v>0</v>
      </c>
      <c r="AT44" s="11" t="n">
        <f aca="false">AT21*Inputs!$F$194*AT43</f>
        <v>0</v>
      </c>
      <c r="AU44" s="11" t="n">
        <f aca="false">AU21*Inputs!$F$194*AU43</f>
        <v>0</v>
      </c>
      <c r="AV44" s="11" t="n">
        <f aca="false">AV21*Inputs!$F$194*AV43</f>
        <v>0</v>
      </c>
      <c r="AW44" s="11" t="n">
        <f aca="false">AW21*Inputs!$F$194*AW43</f>
        <v>0</v>
      </c>
      <c r="AX44" s="11" t="n">
        <f aca="false">AX21*Inputs!$F$194*AX43</f>
        <v>0</v>
      </c>
      <c r="AY44" s="11" t="n">
        <f aca="false">AY21*Inputs!$F$194*AY43</f>
        <v>0</v>
      </c>
      <c r="AZ44" s="11" t="n">
        <f aca="false">AZ21*Inputs!$F$194*AZ43</f>
        <v>0</v>
      </c>
      <c r="BA44" s="11" t="n">
        <f aca="false">BA21*Inputs!$F$194*BA43</f>
        <v>0</v>
      </c>
      <c r="BB44" s="11" t="n">
        <f aca="false">BB21*Inputs!$F$194*BB43</f>
        <v>0</v>
      </c>
      <c r="BC44" s="11" t="n">
        <f aca="false">BC21*Inputs!$F$194*BC43</f>
        <v>0</v>
      </c>
      <c r="BD44" s="11" t="n">
        <f aca="false">BD21*Inputs!$F$194*BD43</f>
        <v>0</v>
      </c>
      <c r="BE44" s="11" t="n">
        <f aca="false">BE21*Inputs!$F$194*BE43</f>
        <v>0</v>
      </c>
      <c r="BF44" s="11" t="n">
        <f aca="false">BF21*Inputs!$F$194*BF43</f>
        <v>0</v>
      </c>
      <c r="BG44" s="11" t="n">
        <f aca="false">BG21*Inputs!$F$194*BG43</f>
        <v>0</v>
      </c>
      <c r="BH44" s="11" t="n">
        <f aca="false">BH21*Inputs!$F$194*BH43</f>
        <v>0</v>
      </c>
      <c r="BI44" s="11" t="n">
        <f aca="false">BI21*Inputs!$F$194*BI43</f>
        <v>0</v>
      </c>
      <c r="BJ44" s="11" t="n">
        <f aca="false">BJ21*Inputs!$F$194*BJ43</f>
        <v>0</v>
      </c>
      <c r="BK44" s="11" t="n">
        <f aca="false">BK21*Inputs!$F$194*BK43</f>
        <v>0</v>
      </c>
      <c r="BL44" s="11" t="n">
        <f aca="false">BL21*Inputs!$F$194*BL43</f>
        <v>0</v>
      </c>
      <c r="BM44" s="11" t="n">
        <f aca="false">BM21*Inputs!$F$194*BM43</f>
        <v>0</v>
      </c>
      <c r="BN44" s="11" t="n">
        <f aca="false">BN21*Inputs!$F$194*BN43</f>
        <v>0</v>
      </c>
    </row>
    <row r="45" customFormat="false" ht="15" hidden="false" customHeight="false" outlineLevel="0" collapsed="false">
      <c r="D45" s="0" t="s">
        <v>659</v>
      </c>
      <c r="E45" s="0" t="s">
        <v>149</v>
      </c>
      <c r="F45" s="15" t="n">
        <f aca="false">$T$44</f>
        <v>0</v>
      </c>
    </row>
    <row r="46" customFormat="false" ht="15" hidden="false" customHeight="false" outlineLevel="0" collapsed="false">
      <c r="D46" s="0" t="s">
        <v>660</v>
      </c>
      <c r="E46" s="0" t="s">
        <v>149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661</v>
      </c>
      <c r="E47" s="0" t="s">
        <v>149</v>
      </c>
      <c r="G47" s="11" t="n">
        <f aca="false">SUM(J47:BN47)</f>
        <v>144.702799650919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0</v>
      </c>
      <c r="Q47" s="11" t="n">
        <f aca="false">Q43-Q44+Q46</f>
        <v>3.78179481053998</v>
      </c>
      <c r="R47" s="11" t="n">
        <f aca="false">R43-R44+R46</f>
        <v>3.96808114997643</v>
      </c>
      <c r="S47" s="11" t="n">
        <f aca="false">S43-S44+S46</f>
        <v>4.0850140820122</v>
      </c>
      <c r="T47" s="11" t="n">
        <f aca="false">T43-T44+T46</f>
        <v>4.27292326592438</v>
      </c>
      <c r="U47" s="11" t="n">
        <f aca="false">U43-U44+U46</f>
        <v>4.40919431100139</v>
      </c>
      <c r="V47" s="11" t="n">
        <f aca="false">V43-V44+V46</f>
        <v>4.69724386014341</v>
      </c>
      <c r="W47" s="11" t="n">
        <f aca="false">W43-W44+W46</f>
        <v>4.84083572210474</v>
      </c>
      <c r="X47" s="11" t="n">
        <f aca="false">X43-X44+X46</f>
        <v>4.70646509501173</v>
      </c>
      <c r="Y47" s="11" t="n">
        <f aca="false">Y43-Y44+Y46</f>
        <v>4.70867971969184</v>
      </c>
      <c r="Z47" s="11" t="n">
        <f aca="false">Z43-Z44+Z46</f>
        <v>4.90375069086754</v>
      </c>
      <c r="AA47" s="11" t="n">
        <f aca="false">AA43-AA44+AA46</f>
        <v>5.04685443037808</v>
      </c>
      <c r="AB47" s="11" t="n">
        <f aca="false">AB43-AB44+AB46</f>
        <v>5.28796430858057</v>
      </c>
      <c r="AC47" s="11" t="n">
        <f aca="false">AC43-AC44+AC46</f>
        <v>5.463146402845</v>
      </c>
      <c r="AD47" s="11" t="n">
        <f aca="false">AD43-AD44+AD46</f>
        <v>5.96535720290539</v>
      </c>
      <c r="AE47" s="11" t="n">
        <f aca="false">AE43-AE44+AE46</f>
        <v>6.22175147293479</v>
      </c>
      <c r="AF47" s="11" t="n">
        <f aca="false">AF43-AF44+AF46</f>
        <v>6.44002163280253</v>
      </c>
      <c r="AG47" s="11" t="n">
        <f aca="false">AG43-AG44+AG46</f>
        <v>6.56021314895133</v>
      </c>
      <c r="AH47" s="11" t="n">
        <f aca="false">AH43-AH44+AH46</f>
        <v>6.88954595430473</v>
      </c>
      <c r="AI47" s="11" t="n">
        <f aca="false">AI43-AI44+AI46</f>
        <v>7.0918403948354</v>
      </c>
      <c r="AJ47" s="11" t="n">
        <f aca="false">AJ43-AJ44+AJ46</f>
        <v>7.43421787796106</v>
      </c>
      <c r="AK47" s="11" t="n">
        <f aca="false">AK43-AK44+AK46</f>
        <v>7.67485034640795</v>
      </c>
      <c r="AL47" s="11" t="n">
        <f aca="false">AL43-AL44+AL46</f>
        <v>8.1379412809403</v>
      </c>
      <c r="AM47" s="11" t="n">
        <f aca="false">AM43-AM44+AM46</f>
        <v>8.30708812024527</v>
      </c>
      <c r="AN47" s="11" t="n">
        <f aca="false">AN43-AN44+AN46</f>
        <v>6.85324908323714</v>
      </c>
      <c r="AO47" s="11" t="n">
        <f aca="false">AO43-AO44+AO46</f>
        <v>6.95477528631594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662</v>
      </c>
      <c r="E48" s="0" t="s">
        <v>149</v>
      </c>
      <c r="G48" s="11" t="n">
        <f aca="false">SUM(J48:BN48)</f>
        <v>0</v>
      </c>
      <c r="J48" s="11" t="n">
        <f aca="false">J23*Inputs!$F$191*(J40-J47)/(J25-J32+J40-J47+J55-J62+J70-J77+J85-J92+0.000000001)</f>
        <v>0</v>
      </c>
      <c r="K48" s="11" t="n">
        <f aca="false">K23*Inputs!$F$191*(K40-K47)/(K25-K32+K40-K47+K55-K62+K70-K77+K85-K92+0.000000001)</f>
        <v>0</v>
      </c>
      <c r="L48" s="11" t="n">
        <f aca="false">L23*Inputs!$F$191*(L40-L47)/(L25-L32+L40-L47+L55-L62+L70-L77+L85-L92+0.000000001)</f>
        <v>0</v>
      </c>
      <c r="M48" s="11" t="n">
        <f aca="false">M23*Inputs!$F$191*(M40-M47)/(M25-M32+M40-M47+M55-M62+M70-M77+M85-M92+0.000000001)</f>
        <v>0</v>
      </c>
      <c r="N48" s="11" t="n">
        <f aca="false">N23*Inputs!$F$191*(N40-N47)/(N25-N32+N40-N47+N55-N62+N70-N77+N85-N92+0.000000001)</f>
        <v>0</v>
      </c>
      <c r="O48" s="11" t="n">
        <f aca="false">O23*Inputs!$F$191*(O40-O47)/(O25-O32+O40-O47+O55-O62+O70-O77+O85-O92+0.000000001)</f>
        <v>0</v>
      </c>
      <c r="P48" s="11" t="n">
        <f aca="false">P23*Inputs!$F$191*(P40-P47)/(P25-P32+P40-P47+P55-P62+P70-P77+P85-P92+0.000000001)</f>
        <v>0</v>
      </c>
      <c r="Q48" s="11" t="n">
        <f aca="false">Q23*Inputs!$F$191*(Q40-Q47)/(Q25-Q32+Q40-Q47+Q55-Q62+Q70-Q77+Q85-Q92+0.000000001)</f>
        <v>0</v>
      </c>
      <c r="R48" s="11" t="n">
        <f aca="false">R23*Inputs!$F$191*(R40-R47)/(R25-R32+R40-R47+R55-R62+R70-R77+R85-R92+0.000000001)</f>
        <v>0</v>
      </c>
      <c r="S48" s="11" t="n">
        <f aca="false">S23*Inputs!$F$191*(S40-S47)/(S25-S32+S40-S47+S55-S62+S70-S77+S85-S92+0.000000001)</f>
        <v>0</v>
      </c>
      <c r="T48" s="11" t="n">
        <f aca="false">T23*Inputs!$F$191*(T40-T47)/(T25-T32+T40-T47+T55-T62+T70-T77+T85-T92+0.000000001)</f>
        <v>0</v>
      </c>
      <c r="U48" s="11" t="n">
        <f aca="false">U23*Inputs!$F$191*(U40-U47)/(U25-U32+U40-U47+U55-U62+U70-U77+U85-U92+0.000000001)</f>
        <v>0</v>
      </c>
      <c r="V48" s="11" t="n">
        <f aca="false">V23*Inputs!$F$191*(V40-V47)/(V25-V32+V40-V47+V55-V62+V70-V77+V85-V92+0.000000001)</f>
        <v>0</v>
      </c>
      <c r="W48" s="11" t="n">
        <f aca="false">W23*Inputs!$F$191*(W40-W47)/(W25-W32+W40-W47+W55-W62+W70-W77+W85-W92+0.000000001)</f>
        <v>0</v>
      </c>
      <c r="X48" s="11" t="n">
        <f aca="false">X23*Inputs!$F$191*(X40-X47)/(X25-X32+X40-X47+X55-X62+X70-X77+X85-X92+0.000000001)</f>
        <v>0</v>
      </c>
      <c r="Y48" s="11" t="n">
        <f aca="false">Y23*Inputs!$F$191*(Y40-Y47)/(Y25-Y32+Y40-Y47+Y55-Y62+Y70-Y77+Y85-Y92+0.000000001)</f>
        <v>0</v>
      </c>
      <c r="Z48" s="11" t="n">
        <f aca="false">Z23*Inputs!$F$191*(Z40-Z47)/(Z25-Z32+Z40-Z47+Z55-Z62+Z70-Z77+Z85-Z92+0.000000001)</f>
        <v>0</v>
      </c>
      <c r="AA48" s="11" t="n">
        <f aca="false">AA23*Inputs!$F$191*(AA40-AA47)/(AA25-AA32+AA40-AA47+AA55-AA62+AA70-AA77+AA85-AA92+0.000000001)</f>
        <v>0</v>
      </c>
      <c r="AB48" s="11" t="n">
        <f aca="false">AB23*Inputs!$F$191*(AB40-AB47)/(AB25-AB32+AB40-AB47+AB55-AB62+AB70-AB77+AB85-AB92+0.000000001)</f>
        <v>0</v>
      </c>
      <c r="AC48" s="11" t="n">
        <f aca="false">AC23*Inputs!$F$191*(AC40-AC47)/(AC25-AC32+AC40-AC47+AC55-AC62+AC70-AC77+AC85-AC92+0.000000001)</f>
        <v>0</v>
      </c>
      <c r="AD48" s="11" t="n">
        <f aca="false">AD23*Inputs!$F$191*(AD40-AD47)/(AD25-AD32+AD40-AD47+AD55-AD62+AD70-AD77+AD85-AD92+0.000000001)</f>
        <v>0</v>
      </c>
      <c r="AE48" s="11" t="n">
        <f aca="false">AE23*Inputs!$F$191*(AE40-AE47)/(AE25-AE32+AE40-AE47+AE55-AE62+AE70-AE77+AE85-AE92+0.000000001)</f>
        <v>0</v>
      </c>
      <c r="AF48" s="11" t="n">
        <f aca="false">AF23*Inputs!$F$191*(AF40-AF47)/(AF25-AF32+AF40-AF47+AF55-AF62+AF70-AF77+AF85-AF92+0.000000001)</f>
        <v>0</v>
      </c>
      <c r="AG48" s="11" t="n">
        <f aca="false">AG23*Inputs!$F$191*(AG40-AG47)/(AG25-AG32+AG40-AG47+AG55-AG62+AG70-AG77+AG85-AG92+0.000000001)</f>
        <v>0</v>
      </c>
      <c r="AH48" s="11" t="n">
        <f aca="false">AH23*Inputs!$F$191*(AH40-AH47)/(AH25-AH32+AH40-AH47+AH55-AH62+AH70-AH77+AH85-AH92+0.000000001)</f>
        <v>0</v>
      </c>
      <c r="AI48" s="11" t="n">
        <f aca="false">AI23*Inputs!$F$191*(AI40-AI47)/(AI25-AI32+AI40-AI47+AI55-AI62+AI70-AI77+AI85-AI92+0.000000001)</f>
        <v>0</v>
      </c>
      <c r="AJ48" s="11" t="n">
        <f aca="false">AJ23*Inputs!$F$191*(AJ40-AJ47)/(AJ25-AJ32+AJ40-AJ47+AJ55-AJ62+AJ70-AJ77+AJ85-AJ92+0.000000001)</f>
        <v>0</v>
      </c>
      <c r="AK48" s="11" t="n">
        <f aca="false">AK23*Inputs!$F$191*(AK40-AK47)/(AK25-AK32+AK40-AK47+AK55-AK62+AK70-AK77+AK85-AK92+0.000000001)</f>
        <v>0</v>
      </c>
      <c r="AL48" s="11" t="n">
        <f aca="false">AL23*Inputs!$F$191*(AL40-AL47)/(AL25-AL32+AL40-AL47+AL55-AL62+AL70-AL77+AL85-AL92+0.000000001)</f>
        <v>0</v>
      </c>
      <c r="AM48" s="11" t="n">
        <f aca="false">AM23*Inputs!$F$191*(AM40-AM47)/(AM25-AM32+AM40-AM47+AM55-AM62+AM70-AM77+AM85-AM92+0.000000001)</f>
        <v>0</v>
      </c>
      <c r="AN48" s="11" t="n">
        <f aca="false">AN23*Inputs!$F$191*(AN40-AN47)/(AN25-AN32+AN40-AN47+AN55-AN62+AN70-AN77+AN85-AN92+0.000000001)</f>
        <v>0</v>
      </c>
      <c r="AO48" s="11" t="n">
        <f aca="false">AO23*Inputs!$F$191*(AO40-AO47)/(AO25-AO32+AO40-AO47+AO55-AO62+AO70-AO77+AO85-AO92+0.000000001)</f>
        <v>0</v>
      </c>
      <c r="AP48" s="11" t="n">
        <f aca="false">AP23*Inputs!$F$191*(AP40-AP47)/(AP25-AP32+AP40-AP47+AP55-AP62+AP70-AP77+AP85-AP92+0.000000001)</f>
        <v>0</v>
      </c>
      <c r="AQ48" s="11" t="n">
        <f aca="false">AQ23*Inputs!$F$191*(AQ40-AQ47)/(AQ25-AQ32+AQ40-AQ47+AQ55-AQ62+AQ70-AQ77+AQ85-AQ92+0.000000001)</f>
        <v>0</v>
      </c>
      <c r="AR48" s="11" t="n">
        <f aca="false">AR23*Inputs!$F$191*(AR40-AR47)/(AR25-AR32+AR40-AR47+AR55-AR62+AR70-AR77+AR85-AR92+0.000000001)</f>
        <v>0</v>
      </c>
      <c r="AS48" s="11" t="n">
        <f aca="false">AS23*Inputs!$F$191*(AS40-AS47)/(AS25-AS32+AS40-AS47+AS55-AS62+AS70-AS77+AS85-AS92+0.000000001)</f>
        <v>0</v>
      </c>
      <c r="AT48" s="11" t="n">
        <f aca="false">AT23*Inputs!$F$191*(AT40-AT47)/(AT25-AT32+AT40-AT47+AT55-AT62+AT70-AT77+AT85-AT92+0.000000001)</f>
        <v>0</v>
      </c>
      <c r="AU48" s="11" t="n">
        <f aca="false">AU23*Inputs!$F$191*(AU40-AU47)/(AU25-AU32+AU40-AU47+AU55-AU62+AU70-AU77+AU85-AU92+0.000000001)</f>
        <v>0</v>
      </c>
      <c r="AV48" s="11" t="n">
        <f aca="false">AV23*Inputs!$F$191*(AV40-AV47)/(AV25-AV32+AV40-AV47+AV55-AV62+AV70-AV77+AV85-AV92+0.000000001)</f>
        <v>0</v>
      </c>
      <c r="AW48" s="11" t="n">
        <f aca="false">AW23*Inputs!$F$191*(AW40-AW47)/(AW25-AW32+AW40-AW47+AW55-AW62+AW70-AW77+AW85-AW92+0.000000001)</f>
        <v>0</v>
      </c>
      <c r="AX48" s="11" t="n">
        <f aca="false">AX23*Inputs!$F$191*(AX40-AX47)/(AX25-AX32+AX40-AX47+AX55-AX62+AX70-AX77+AX85-AX92+0.000000001)</f>
        <v>0</v>
      </c>
      <c r="AY48" s="11" t="n">
        <f aca="false">AY23*Inputs!$F$191*(AY40-AY47)/(AY25-AY32+AY40-AY47+AY55-AY62+AY70-AY77+AY85-AY92+0.000000001)</f>
        <v>0</v>
      </c>
      <c r="AZ48" s="11" t="n">
        <f aca="false">AZ23*Inputs!$F$191*(AZ40-AZ47)/(AZ25-AZ32+AZ40-AZ47+AZ55-AZ62+AZ70-AZ77+AZ85-AZ92+0.000000001)</f>
        <v>0</v>
      </c>
      <c r="BA48" s="11" t="n">
        <f aca="false">BA23*Inputs!$F$191*(BA40-BA47)/(BA25-BA32+BA40-BA47+BA55-BA62+BA70-BA77+BA85-BA92+0.000000001)</f>
        <v>0</v>
      </c>
      <c r="BB48" s="11" t="n">
        <f aca="false">BB23*Inputs!$F$191*(BB40-BB47)/(BB25-BB32+BB40-BB47+BB55-BB62+BB70-BB77+BB85-BB92+0.000000001)</f>
        <v>0</v>
      </c>
      <c r="BC48" s="11" t="n">
        <f aca="false">BC23*Inputs!$F$191*(BC40-BC47)/(BC25-BC32+BC40-BC47+BC55-BC62+BC70-BC77+BC85-BC92+0.000000001)</f>
        <v>0</v>
      </c>
      <c r="BD48" s="11" t="n">
        <f aca="false">BD23*Inputs!$F$191*(BD40-BD47)/(BD25-BD32+BD40-BD47+BD55-BD62+BD70-BD77+BD85-BD92+0.000000001)</f>
        <v>0</v>
      </c>
      <c r="BE48" s="11" t="n">
        <f aca="false">BE23*Inputs!$F$191*(BE40-BE47)/(BE25-BE32+BE40-BE47+BE55-BE62+BE70-BE77+BE85-BE92+0.000000001)</f>
        <v>0</v>
      </c>
      <c r="BF48" s="11" t="n">
        <f aca="false">BF23*Inputs!$F$191*(BF40-BF47)/(BF25-BF32+BF40-BF47+BF55-BF62+BF70-BF77+BF85-BF92+0.000000001)</f>
        <v>0</v>
      </c>
      <c r="BG48" s="11" t="n">
        <f aca="false">BG23*Inputs!$F$191*(BG40-BG47)/(BG25-BG32+BG40-BG47+BG55-BG62+BG70-BG77+BG85-BG92+0.000000001)</f>
        <v>0</v>
      </c>
      <c r="BH48" s="11" t="n">
        <f aca="false">BH23*Inputs!$F$191*(BH40-BH47)/(BH25-BH32+BH40-BH47+BH55-BH62+BH70-BH77+BH85-BH92+0.000000001)</f>
        <v>0</v>
      </c>
      <c r="BI48" s="11" t="n">
        <f aca="false">BI23*Inputs!$F$191*(BI40-BI47)/(BI25-BI32+BI40-BI47+BI55-BI62+BI70-BI77+BI85-BI92+0.000000001)</f>
        <v>0</v>
      </c>
      <c r="BJ48" s="11" t="n">
        <f aca="false">BJ23*Inputs!$F$191*(BJ40-BJ47)/(BJ25-BJ32+BJ40-BJ47+BJ55-BJ62+BJ70-BJ77+BJ85-BJ92+0.000000001)</f>
        <v>0</v>
      </c>
      <c r="BK48" s="11" t="n">
        <f aca="false">BK23*Inputs!$F$191*(BK40-BK47)/(BK25-BK32+BK40-BK47+BK55-BK62+BK70-BK77+BK85-BK92+0.000000001)</f>
        <v>0</v>
      </c>
      <c r="BL48" s="11" t="n">
        <f aca="false">BL23*Inputs!$F$191*(BL40-BL47)/(BL25-BL32+BL40-BL47+BL55-BL62+BL70-BL77+BL85-BL92+0.000000001)</f>
        <v>0</v>
      </c>
      <c r="BM48" s="11" t="n">
        <f aca="false">BM23*Inputs!$F$191*(BM40-BM47)/(BM25-BM32+BM40-BM47+BM55-BM62+BM70-BM77+BM85-BM92+0.000000001)</f>
        <v>0</v>
      </c>
      <c r="BN48" s="11" t="n">
        <f aca="false">BN23*Inputs!$F$191*(BN40-BN47)/(BN25-BN32+BN40-BN47+BN55-BN62+BN70-BN77+BN85-BN92+0.000000001)</f>
        <v>0</v>
      </c>
    </row>
    <row r="49" customFormat="false" ht="15" hidden="false" customHeight="false" outlineLevel="0" collapsed="false">
      <c r="D49" s="0" t="s">
        <v>663</v>
      </c>
      <c r="E49" s="0" t="s">
        <v>149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664</v>
      </c>
      <c r="E50" s="0" t="s">
        <v>149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665</v>
      </c>
      <c r="E51" s="0" t="s">
        <v>149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0</v>
      </c>
      <c r="Q51" s="11" t="n">
        <f aca="false">Q40-Q47-Q48-Q49</f>
        <v>140.921004840379</v>
      </c>
      <c r="R51" s="11" t="n">
        <f aca="false">R40-R47-R48-R49</f>
        <v>136.952923690403</v>
      </c>
      <c r="S51" s="11" t="n">
        <f aca="false">S40-S47-S48-S49</f>
        <v>132.86790960839</v>
      </c>
      <c r="T51" s="11" t="n">
        <f aca="false">T40-T47-T48-T49</f>
        <v>128.594986342466</v>
      </c>
      <c r="U51" s="11" t="n">
        <f aca="false">U40-U47-U48-U49</f>
        <v>124.185792031465</v>
      </c>
      <c r="V51" s="11" t="n">
        <f aca="false">V40-V47-V48-V49</f>
        <v>119.488548171321</v>
      </c>
      <c r="W51" s="11" t="n">
        <f aca="false">W40-W47-W48-W49</f>
        <v>114.647712449217</v>
      </c>
      <c r="X51" s="11" t="n">
        <f aca="false">X40-X47-X48-X49</f>
        <v>109.941247354205</v>
      </c>
      <c r="Y51" s="11" t="n">
        <f aca="false">Y40-Y47-Y48-Y49</f>
        <v>105.232567634513</v>
      </c>
      <c r="Z51" s="11" t="n">
        <f aca="false">Z40-Z47-Z48-Z49</f>
        <v>100.328816943645</v>
      </c>
      <c r="AA51" s="11" t="n">
        <f aca="false">AA40-AA47-AA48-AA49</f>
        <v>95.2819625132674</v>
      </c>
      <c r="AB51" s="11" t="n">
        <f aca="false">AB40-AB47-AB48-AB49</f>
        <v>89.9939982046868</v>
      </c>
      <c r="AC51" s="11" t="n">
        <f aca="false">AC40-AC47-AC48-AC49</f>
        <v>84.5308518018418</v>
      </c>
      <c r="AD51" s="11" t="n">
        <f aca="false">AD40-AD47-AD48-AD49</f>
        <v>78.5654945989364</v>
      </c>
      <c r="AE51" s="11" t="n">
        <f aca="false">AE40-AE47-AE48-AE49</f>
        <v>72.3437431260017</v>
      </c>
      <c r="AF51" s="11" t="n">
        <f aca="false">AF40-AF47-AF48-AF49</f>
        <v>65.9037214931991</v>
      </c>
      <c r="AG51" s="11" t="n">
        <f aca="false">AG40-AG47-AG48-AG49</f>
        <v>59.3435083442478</v>
      </c>
      <c r="AH51" s="11" t="n">
        <f aca="false">AH40-AH47-AH48-AH49</f>
        <v>52.4539623899431</v>
      </c>
      <c r="AI51" s="11" t="n">
        <f aca="false">AI40-AI47-AI48-AI49</f>
        <v>45.3621219951077</v>
      </c>
      <c r="AJ51" s="11" t="n">
        <f aca="false">AJ40-AJ47-AJ48-AJ49</f>
        <v>37.9279041171466</v>
      </c>
      <c r="AK51" s="11" t="n">
        <f aca="false">AK40-AK47-AK48-AK49</f>
        <v>30.2530537707386</v>
      </c>
      <c r="AL51" s="11" t="n">
        <f aca="false">AL40-AL47-AL48-AL49</f>
        <v>22.1151124897984</v>
      </c>
      <c r="AM51" s="11" t="n">
        <f aca="false">AM40-AM47-AM48-AM49</f>
        <v>13.8080243695531</v>
      </c>
      <c r="AN51" s="11" t="n">
        <f aca="false">AN40-AN47-AN48-AN49</f>
        <v>6.95477528631594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666</v>
      </c>
      <c r="E52" s="0" t="s">
        <v>149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667</v>
      </c>
      <c r="E53" s="0" t="s">
        <v>149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0</v>
      </c>
      <c r="P53" s="11" t="n">
        <f aca="false">IF(Time!P29=1,INDEX(Funding!$J$62:$BJ$62,1,Time!$F$13),Time!P30*(P51-P52))</f>
        <v>144.702799650919</v>
      </c>
      <c r="Q53" s="11" t="n">
        <f aca="false">IF(Time!Q29=1,INDEX(Funding!$J$62:$BJ$62,1,Time!$F$13),Time!Q30*(Q51-Q52))</f>
        <v>140.921004840379</v>
      </c>
      <c r="R53" s="11" t="n">
        <f aca="false">IF(Time!R29=1,INDEX(Funding!$J$62:$BJ$62,1,Time!$F$13),Time!R30*(R51-R52))</f>
        <v>136.952923690403</v>
      </c>
      <c r="S53" s="11" t="n">
        <f aca="false">IF(Time!S29=1,INDEX(Funding!$J$62:$BJ$62,1,Time!$F$13),Time!S30*(S51-S52))</f>
        <v>132.86790960839</v>
      </c>
      <c r="T53" s="11" t="n">
        <f aca="false">IF(Time!T29=1,INDEX(Funding!$J$62:$BJ$62,1,Time!$F$13),Time!T30*(T51-T52))</f>
        <v>128.594986342466</v>
      </c>
      <c r="U53" s="11" t="n">
        <f aca="false">IF(Time!U29=1,INDEX(Funding!$J$62:$BJ$62,1,Time!$F$13),Time!U30*(U51-U52))</f>
        <v>124.185792031465</v>
      </c>
      <c r="V53" s="11" t="n">
        <f aca="false">IF(Time!V29=1,INDEX(Funding!$J$62:$BJ$62,1,Time!$F$13),Time!V30*(V51-V52))</f>
        <v>119.488548171321</v>
      </c>
      <c r="W53" s="11" t="n">
        <f aca="false">IF(Time!W29=1,INDEX(Funding!$J$62:$BJ$62,1,Time!$F$13),Time!W30*(W51-W52))</f>
        <v>114.647712449217</v>
      </c>
      <c r="X53" s="11" t="n">
        <f aca="false">IF(Time!X29=1,INDEX(Funding!$J$62:$BJ$62,1,Time!$F$13),Time!X30*(X51-X52))</f>
        <v>109.941247354205</v>
      </c>
      <c r="Y53" s="11" t="n">
        <f aca="false">IF(Time!Y29=1,INDEX(Funding!$J$62:$BJ$62,1,Time!$F$13),Time!Y30*(Y51-Y52))</f>
        <v>105.232567634513</v>
      </c>
      <c r="Z53" s="11" t="n">
        <f aca="false">IF(Time!Z29=1,INDEX(Funding!$J$62:$BJ$62,1,Time!$F$13),Time!Z30*(Z51-Z52))</f>
        <v>100.328816943645</v>
      </c>
      <c r="AA53" s="11" t="n">
        <f aca="false">IF(Time!AA29=1,INDEX(Funding!$J$62:$BJ$62,1,Time!$F$13),Time!AA30*(AA51-AA52))</f>
        <v>95.2819625132674</v>
      </c>
      <c r="AB53" s="11" t="n">
        <f aca="false">IF(Time!AB29=1,INDEX(Funding!$J$62:$BJ$62,1,Time!$F$13),Time!AB30*(AB51-AB52))</f>
        <v>89.9939982046868</v>
      </c>
      <c r="AC53" s="11" t="n">
        <f aca="false">IF(Time!AC29=1,INDEX(Funding!$J$62:$BJ$62,1,Time!$F$13),Time!AC30*(AC51-AC52))</f>
        <v>84.5308518018418</v>
      </c>
      <c r="AD53" s="11" t="n">
        <f aca="false">IF(Time!AD29=1,INDEX(Funding!$J$62:$BJ$62,1,Time!$F$13),Time!AD30*(AD51-AD52))</f>
        <v>78.5654945989364</v>
      </c>
      <c r="AE53" s="11" t="n">
        <f aca="false">IF(Time!AE29=1,INDEX(Funding!$J$62:$BJ$62,1,Time!$F$13),Time!AE30*(AE51-AE52))</f>
        <v>72.3437431260017</v>
      </c>
      <c r="AF53" s="11" t="n">
        <f aca="false">IF(Time!AF29=1,INDEX(Funding!$J$62:$BJ$62,1,Time!$F$13),Time!AF30*(AF51-AF52))</f>
        <v>65.9037214931991</v>
      </c>
      <c r="AG53" s="11" t="n">
        <f aca="false">IF(Time!AG29=1,INDEX(Funding!$J$62:$BJ$62,1,Time!$F$13),Time!AG30*(AG51-AG52))</f>
        <v>59.3435083442478</v>
      </c>
      <c r="AH53" s="11" t="n">
        <f aca="false">IF(Time!AH29=1,INDEX(Funding!$J$62:$BJ$62,1,Time!$F$13),Time!AH30*(AH51-AH52))</f>
        <v>52.4539623899431</v>
      </c>
      <c r="AI53" s="11" t="n">
        <f aca="false">IF(Time!AI29=1,INDEX(Funding!$J$62:$BJ$62,1,Time!$F$13),Time!AI30*(AI51-AI52))</f>
        <v>45.3621219951077</v>
      </c>
      <c r="AJ53" s="11" t="n">
        <f aca="false">IF(Time!AJ29=1,INDEX(Funding!$J$62:$BJ$62,1,Time!$F$13),Time!AJ30*(AJ51-AJ52))</f>
        <v>37.9279041171466</v>
      </c>
      <c r="AK53" s="11" t="n">
        <f aca="false">IF(Time!AK29=1,INDEX(Funding!$J$62:$BJ$62,1,Time!$F$13),Time!AK30*(AK51-AK52))</f>
        <v>30.2530537707386</v>
      </c>
      <c r="AL53" s="11" t="n">
        <f aca="false">IF(Time!AL29=1,INDEX(Funding!$J$62:$BJ$62,1,Time!$F$13),Time!AL30*(AL51-AL52))</f>
        <v>22.1151124897984</v>
      </c>
      <c r="AM53" s="11" t="n">
        <f aca="false">IF(Time!AM29=1,INDEX(Funding!$J$62:$BJ$62,1,Time!$F$13),Time!AM30*(AM51-AM52))</f>
        <v>13.8080243695531</v>
      </c>
      <c r="AN53" s="11" t="n">
        <f aca="false">IF(Time!AN29=1,INDEX(Funding!$J$62:$BJ$62,1,Time!$F$13),Time!AN30*(AN51-AN52))</f>
        <v>6.95477528631594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669</v>
      </c>
    </row>
    <row r="55" customFormat="false" ht="15" hidden="false" customHeight="false" outlineLevel="0" collapsed="false">
      <c r="D55" s="0" t="s">
        <v>654</v>
      </c>
      <c r="E55" s="0" t="s">
        <v>149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0</v>
      </c>
      <c r="Q55" s="11" t="n">
        <f aca="false">Time!Q30*P68</f>
        <v>65.7739998413268</v>
      </c>
      <c r="R55" s="11" t="n">
        <f aca="false">Time!R30*Q68</f>
        <v>64.0550022001723</v>
      </c>
      <c r="S55" s="11" t="n">
        <f aca="false">Time!S30*R68</f>
        <v>62.251328950183</v>
      </c>
      <c r="T55" s="11" t="n">
        <f aca="false">Time!T30*S68</f>
        <v>60.3945043674502</v>
      </c>
      <c r="U55" s="11" t="n">
        <f aca="false">Time!U30*T68</f>
        <v>58.4522665193028</v>
      </c>
      <c r="V55" s="11" t="n">
        <f aca="false">Time!V30*U68</f>
        <v>56.4480872870294</v>
      </c>
      <c r="W55" s="11" t="n">
        <f aca="false">Time!W30*V68</f>
        <v>54.3129764415097</v>
      </c>
      <c r="X55" s="11" t="n">
        <f aca="false">Time!X30*W68</f>
        <v>52.1125965678257</v>
      </c>
      <c r="Y55" s="11" t="n">
        <f aca="false">Time!Y30*X68</f>
        <v>49.9732942519113</v>
      </c>
      <c r="Z55" s="11" t="n">
        <f aca="false">Time!Z30*Y68</f>
        <v>47.832985288415</v>
      </c>
      <c r="AA55" s="11" t="n">
        <f aca="false">Time!AA30*Z68</f>
        <v>45.604007701657</v>
      </c>
      <c r="AB55" s="11" t="n">
        <f aca="false">Time!AB30*AA68</f>
        <v>43.3099829605761</v>
      </c>
      <c r="AC55" s="11" t="n">
        <f aca="false">Time!AC30*AB68</f>
        <v>40.9063628203122</v>
      </c>
      <c r="AD55" s="11" t="n">
        <f aca="false">Time!AD30*AC68</f>
        <v>38.4231144553826</v>
      </c>
      <c r="AE55" s="11" t="n">
        <f aca="false">Time!AE30*AD68</f>
        <v>35.711588454062</v>
      </c>
      <c r="AF55" s="11" t="n">
        <f aca="false">Time!AF30*AE68</f>
        <v>32.883519602728</v>
      </c>
      <c r="AG55" s="11" t="n">
        <f aca="false">Time!AG30*AF68</f>
        <v>29.9562370423632</v>
      </c>
      <c r="AH55" s="11" t="n">
        <f aca="false">Time!AH30*AG68</f>
        <v>26.9743219746581</v>
      </c>
      <c r="AI55" s="11" t="n">
        <f aca="false">Time!AI30*AH68</f>
        <v>23.8427101772468</v>
      </c>
      <c r="AJ55" s="11" t="n">
        <f aca="false">Time!AJ30*AI68</f>
        <v>20.6191463614126</v>
      </c>
      <c r="AK55" s="11" t="n">
        <f aca="false">Time!AK30*AJ68</f>
        <v>17.2399564168848</v>
      </c>
      <c r="AL55" s="11" t="n">
        <f aca="false">Time!AL30*AK68</f>
        <v>13.7513880776085</v>
      </c>
      <c r="AM55" s="11" t="n">
        <f aca="false">Time!AM30*AL68</f>
        <v>10.0523238589992</v>
      </c>
      <c r="AN55" s="11" t="n">
        <f aca="false">Time!AN30*AM68</f>
        <v>6.27637471343322</v>
      </c>
      <c r="AO55" s="11" t="n">
        <f aca="false">Time!AO30*AN68</f>
        <v>3.16126149377997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655</v>
      </c>
      <c r="E56" s="0" t="s">
        <v>149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656</v>
      </c>
      <c r="E57" s="0" t="s">
        <v>149</v>
      </c>
      <c r="G57" s="11" t="n">
        <f aca="false">SUM(J57:BN57)</f>
        <v>31.7464786782639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0</v>
      </c>
      <c r="Q57" s="11" t="n">
        <f aca="false">Q55*Q12</f>
        <v>2.15283782647316</v>
      </c>
      <c r="R57" s="11" t="n">
        <f aca="false">R55*R12</f>
        <v>2.13132343987373</v>
      </c>
      <c r="S57" s="11" t="n">
        <f aca="false">S55*S12</f>
        <v>2.04066773113028</v>
      </c>
      <c r="T57" s="11" t="n">
        <f aca="false">T55*T12</f>
        <v>2.01261330554285</v>
      </c>
      <c r="U57" s="11" t="n">
        <f aca="false">U55*U12</f>
        <v>1.92671659840182</v>
      </c>
      <c r="V57" s="11" t="n">
        <f aca="false">V55*V12</f>
        <v>1.88110114879176</v>
      </c>
      <c r="W57" s="11" t="n">
        <f aca="false">W55*W12</f>
        <v>1.78043971550429</v>
      </c>
      <c r="X57" s="11" t="n">
        <f aca="false">X55*X12</f>
        <v>1.73662332918025</v>
      </c>
      <c r="Y57" s="11" t="n">
        <f aca="false">Y55*Y12</f>
        <v>1.63818011146015</v>
      </c>
      <c r="Z57" s="11" t="n">
        <f aca="false">Z55*Z12</f>
        <v>1.59400766085571</v>
      </c>
      <c r="AA57" s="11" t="n">
        <f aca="false">AA55*AA12</f>
        <v>1.49495004357999</v>
      </c>
      <c r="AB57" s="11" t="n">
        <f aca="false">AB55*AB12</f>
        <v>1.44328112105955</v>
      </c>
      <c r="AC57" s="11" t="n">
        <f aca="false">AC55*AC12</f>
        <v>1.34836462158598</v>
      </c>
      <c r="AD57" s="11" t="n">
        <f aca="false">AD55*AD12</f>
        <v>1.28042894305093</v>
      </c>
      <c r="AE57" s="11" t="n">
        <f aca="false">AE55*AE12</f>
        <v>1.17066554906688</v>
      </c>
      <c r="AF57" s="11" t="n">
        <f aca="false">AF55*AF12</f>
        <v>1.09582502213891</v>
      </c>
      <c r="AG57" s="11" t="n">
        <f aca="false">AG55*AG12</f>
        <v>0.981998734956492</v>
      </c>
      <c r="AH57" s="11" t="n">
        <f aca="false">AH55*AH12</f>
        <v>0.89890429407105</v>
      </c>
      <c r="AI57" s="11" t="n">
        <f aca="false">AI55*AI12</f>
        <v>0.781590531510348</v>
      </c>
      <c r="AJ57" s="11" t="n">
        <f aca="false">AJ55*AJ12</f>
        <v>0.687121597412762</v>
      </c>
      <c r="AK57" s="11" t="n">
        <f aca="false">AK55*AK12</f>
        <v>0.568267274514783</v>
      </c>
      <c r="AL57" s="11" t="n">
        <f aca="false">AL55*AL12</f>
        <v>0.458257368026259</v>
      </c>
      <c r="AM57" s="11" t="n">
        <f aca="false">AM55*AM12</f>
        <v>0.329526345346728</v>
      </c>
      <c r="AN57" s="11" t="n">
        <f aca="false">AN55*AN12</f>
        <v>0.209156700450321</v>
      </c>
      <c r="AO57" s="11" t="n">
        <f aca="false">AO55*AO12</f>
        <v>0.103629664278878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657</v>
      </c>
      <c r="E58" s="0" t="s">
        <v>149</v>
      </c>
      <c r="G58" s="11" t="n">
        <f aca="false">SUM(J58:BN58)</f>
        <v>65.7739998413269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0</v>
      </c>
      <c r="Q58" s="11" t="n">
        <f aca="false">Time!Q30*(Q55-Q56)*Q19</f>
        <v>1.71899764115453</v>
      </c>
      <c r="R58" s="11" t="n">
        <f aca="false">Time!R30*(R55-R56)*R19</f>
        <v>1.80367324998929</v>
      </c>
      <c r="S58" s="11" t="n">
        <f aca="false">Time!S30*(S55-S56)*S19</f>
        <v>1.85682458273282</v>
      </c>
      <c r="T58" s="11" t="n">
        <f aca="false">Time!T30*(T55-T56)*T19</f>
        <v>1.94223784814744</v>
      </c>
      <c r="U58" s="11" t="n">
        <f aca="false">Time!U30*(U55-U56)*U19</f>
        <v>2.00417923227336</v>
      </c>
      <c r="V58" s="11" t="n">
        <f aca="false">Time!V30*(V55-V56)*V19</f>
        <v>2.13511084551973</v>
      </c>
      <c r="W58" s="11" t="n">
        <f aca="false">Time!W30*(W55-W56)*W19</f>
        <v>2.20037987368397</v>
      </c>
      <c r="X58" s="11" t="n">
        <f aca="false">Time!X30*(X55-X56)*X19</f>
        <v>2.13930231591442</v>
      </c>
      <c r="Y58" s="11" t="n">
        <f aca="false">Time!Y30*(Y55-Y56)*Y19</f>
        <v>2.14030896349629</v>
      </c>
      <c r="Z58" s="11" t="n">
        <f aca="false">Time!Z30*(Z55-Z56)*Z19</f>
        <v>2.22897758675797</v>
      </c>
      <c r="AA58" s="11" t="n">
        <f aca="false">Time!AA30*(AA55-AA56)*AA19</f>
        <v>2.29402474108095</v>
      </c>
      <c r="AB58" s="11" t="n">
        <f aca="false">Time!AB30*(AB55-AB56)*AB19</f>
        <v>2.4036201402639</v>
      </c>
      <c r="AC58" s="11" t="n">
        <f aca="false">Time!AC30*(AC55-AC56)*AC19</f>
        <v>2.48324836492955</v>
      </c>
      <c r="AD58" s="11" t="n">
        <f aca="false">Time!AD30*(AD55-AD56)*AD19</f>
        <v>2.71152600132063</v>
      </c>
      <c r="AE58" s="11" t="n">
        <f aca="false">Time!AE30*(AE55-AE56)*AE19</f>
        <v>2.82806885133399</v>
      </c>
      <c r="AF58" s="11" t="n">
        <f aca="false">Time!AF30*(AF55-AF56)*AF19</f>
        <v>2.92728256036478</v>
      </c>
      <c r="AG58" s="11" t="n">
        <f aca="false">Time!AG30*(AG55-AG56)*AG19</f>
        <v>2.98191506770515</v>
      </c>
      <c r="AH58" s="11" t="n">
        <f aca="false">Time!AH30*(AH55-AH56)*AH19</f>
        <v>3.13161179741124</v>
      </c>
      <c r="AI58" s="11" t="n">
        <f aca="false">Time!AI30*(AI55-AI56)*AI19</f>
        <v>3.22356381583427</v>
      </c>
      <c r="AJ58" s="11" t="n">
        <f aca="false">Time!AJ30*(AJ55-AJ56)*AJ19</f>
        <v>3.37918994452776</v>
      </c>
      <c r="AK58" s="11" t="n">
        <f aca="false">Time!AK30*(AK55-AK56)*AK19</f>
        <v>3.48856833927634</v>
      </c>
      <c r="AL58" s="11" t="n">
        <f aca="false">Time!AL30*(AL55-AL56)*AL19</f>
        <v>3.69906421860923</v>
      </c>
      <c r="AM58" s="11" t="n">
        <f aca="false">Time!AM30*(AM55-AM56)*AM19</f>
        <v>3.77594914556603</v>
      </c>
      <c r="AN58" s="11" t="n">
        <f aca="false">Time!AN30*(AN55-AN56)*AN19</f>
        <v>3.11511321965325</v>
      </c>
      <c r="AO58" s="11" t="n">
        <f aca="false">Time!AO30*(AO55-AO56)*AO19</f>
        <v>3.16126149377997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658</v>
      </c>
      <c r="E59" s="0" t="s">
        <v>149</v>
      </c>
      <c r="G59" s="11" t="n">
        <f aca="false">SUM(J59:BN59)</f>
        <v>0</v>
      </c>
      <c r="J59" s="11" t="n">
        <f aca="false">J21*Inputs!$F$194*J58</f>
        <v>0</v>
      </c>
      <c r="K59" s="11" t="n">
        <f aca="false">K21*Inputs!$F$194*K58</f>
        <v>0</v>
      </c>
      <c r="L59" s="11" t="n">
        <f aca="false">L21*Inputs!$F$194*L58</f>
        <v>0</v>
      </c>
      <c r="M59" s="11" t="n">
        <f aca="false">M21*Inputs!$F$194*M58</f>
        <v>0</v>
      </c>
      <c r="N59" s="11" t="n">
        <f aca="false">N21*Inputs!$F$194*N58</f>
        <v>0</v>
      </c>
      <c r="O59" s="11" t="n">
        <f aca="false">O21*Inputs!$F$194*O58</f>
        <v>0</v>
      </c>
      <c r="P59" s="11" t="n">
        <f aca="false">P21*Inputs!$F$194*P58</f>
        <v>0</v>
      </c>
      <c r="Q59" s="11" t="n">
        <f aca="false">Q21*Inputs!$F$194*Q58</f>
        <v>0</v>
      </c>
      <c r="R59" s="11" t="n">
        <f aca="false">R21*Inputs!$F$194*R58</f>
        <v>0</v>
      </c>
      <c r="S59" s="11" t="n">
        <f aca="false">S21*Inputs!$F$194*S58</f>
        <v>0</v>
      </c>
      <c r="T59" s="11" t="n">
        <f aca="false">T21*Inputs!$F$194*T58</f>
        <v>0</v>
      </c>
      <c r="U59" s="11" t="n">
        <f aca="false">U21*Inputs!$F$194*U58</f>
        <v>0</v>
      </c>
      <c r="V59" s="11" t="n">
        <f aca="false">V21*Inputs!$F$194*V58</f>
        <v>0</v>
      </c>
      <c r="W59" s="11" t="n">
        <f aca="false">W21*Inputs!$F$194*W58</f>
        <v>0</v>
      </c>
      <c r="X59" s="11" t="n">
        <f aca="false">X21*Inputs!$F$194*X58</f>
        <v>0</v>
      </c>
      <c r="Y59" s="11" t="n">
        <f aca="false">Y21*Inputs!$F$194*Y58</f>
        <v>0</v>
      </c>
      <c r="Z59" s="11" t="n">
        <f aca="false">Z21*Inputs!$F$194*Z58</f>
        <v>0</v>
      </c>
      <c r="AA59" s="11" t="n">
        <f aca="false">AA21*Inputs!$F$194*AA58</f>
        <v>0</v>
      </c>
      <c r="AB59" s="11" t="n">
        <f aca="false">AB21*Inputs!$F$194*AB58</f>
        <v>0</v>
      </c>
      <c r="AC59" s="11" t="n">
        <f aca="false">AC21*Inputs!$F$194*AC58</f>
        <v>0</v>
      </c>
      <c r="AD59" s="11" t="n">
        <f aca="false">AD21*Inputs!$F$194*AD58</f>
        <v>0</v>
      </c>
      <c r="AE59" s="11" t="n">
        <f aca="false">AE21*Inputs!$F$194*AE58</f>
        <v>0</v>
      </c>
      <c r="AF59" s="11" t="n">
        <f aca="false">AF21*Inputs!$F$194*AF58</f>
        <v>0</v>
      </c>
      <c r="AG59" s="11" t="n">
        <f aca="false">AG21*Inputs!$F$194*AG58</f>
        <v>0</v>
      </c>
      <c r="AH59" s="11" t="n">
        <f aca="false">AH21*Inputs!$F$194*AH58</f>
        <v>0</v>
      </c>
      <c r="AI59" s="11" t="n">
        <f aca="false">AI21*Inputs!$F$194*AI58</f>
        <v>0</v>
      </c>
      <c r="AJ59" s="11" t="n">
        <f aca="false">AJ21*Inputs!$F$194*AJ58</f>
        <v>0</v>
      </c>
      <c r="AK59" s="11" t="n">
        <f aca="false">AK21*Inputs!$F$194*AK58</f>
        <v>0</v>
      </c>
      <c r="AL59" s="11" t="n">
        <f aca="false">AL21*Inputs!$F$194*AL58</f>
        <v>0</v>
      </c>
      <c r="AM59" s="11" t="n">
        <f aca="false">AM21*Inputs!$F$194*AM58</f>
        <v>0</v>
      </c>
      <c r="AN59" s="11" t="n">
        <f aca="false">AN21*Inputs!$F$194*AN58</f>
        <v>0</v>
      </c>
      <c r="AO59" s="11" t="n">
        <f aca="false">AO21*Inputs!$F$194*AO58</f>
        <v>0</v>
      </c>
      <c r="AP59" s="11" t="n">
        <f aca="false">AP21*Inputs!$F$194*AP58</f>
        <v>0</v>
      </c>
      <c r="AQ59" s="11" t="n">
        <f aca="false">AQ21*Inputs!$F$194*AQ58</f>
        <v>0</v>
      </c>
      <c r="AR59" s="11" t="n">
        <f aca="false">AR21*Inputs!$F$194*AR58</f>
        <v>0</v>
      </c>
      <c r="AS59" s="11" t="n">
        <f aca="false">AS21*Inputs!$F$194*AS58</f>
        <v>0</v>
      </c>
      <c r="AT59" s="11" t="n">
        <f aca="false">AT21*Inputs!$F$194*AT58</f>
        <v>0</v>
      </c>
      <c r="AU59" s="11" t="n">
        <f aca="false">AU21*Inputs!$F$194*AU58</f>
        <v>0</v>
      </c>
      <c r="AV59" s="11" t="n">
        <f aca="false">AV21*Inputs!$F$194*AV58</f>
        <v>0</v>
      </c>
      <c r="AW59" s="11" t="n">
        <f aca="false">AW21*Inputs!$F$194*AW58</f>
        <v>0</v>
      </c>
      <c r="AX59" s="11" t="n">
        <f aca="false">AX21*Inputs!$F$194*AX58</f>
        <v>0</v>
      </c>
      <c r="AY59" s="11" t="n">
        <f aca="false">AY21*Inputs!$F$194*AY58</f>
        <v>0</v>
      </c>
      <c r="AZ59" s="11" t="n">
        <f aca="false">AZ21*Inputs!$F$194*AZ58</f>
        <v>0</v>
      </c>
      <c r="BA59" s="11" t="n">
        <f aca="false">BA21*Inputs!$F$194*BA58</f>
        <v>0</v>
      </c>
      <c r="BB59" s="11" t="n">
        <f aca="false">BB21*Inputs!$F$194*BB58</f>
        <v>0</v>
      </c>
      <c r="BC59" s="11" t="n">
        <f aca="false">BC21*Inputs!$F$194*BC58</f>
        <v>0</v>
      </c>
      <c r="BD59" s="11" t="n">
        <f aca="false">BD21*Inputs!$F$194*BD58</f>
        <v>0</v>
      </c>
      <c r="BE59" s="11" t="n">
        <f aca="false">BE21*Inputs!$F$194*BE58</f>
        <v>0</v>
      </c>
      <c r="BF59" s="11" t="n">
        <f aca="false">BF21*Inputs!$F$194*BF58</f>
        <v>0</v>
      </c>
      <c r="BG59" s="11" t="n">
        <f aca="false">BG21*Inputs!$F$194*BG58</f>
        <v>0</v>
      </c>
      <c r="BH59" s="11" t="n">
        <f aca="false">BH21*Inputs!$F$194*BH58</f>
        <v>0</v>
      </c>
      <c r="BI59" s="11" t="n">
        <f aca="false">BI21*Inputs!$F$194*BI58</f>
        <v>0</v>
      </c>
      <c r="BJ59" s="11" t="n">
        <f aca="false">BJ21*Inputs!$F$194*BJ58</f>
        <v>0</v>
      </c>
      <c r="BK59" s="11" t="n">
        <f aca="false">BK21*Inputs!$F$194*BK58</f>
        <v>0</v>
      </c>
      <c r="BL59" s="11" t="n">
        <f aca="false">BL21*Inputs!$F$194*BL58</f>
        <v>0</v>
      </c>
      <c r="BM59" s="11" t="n">
        <f aca="false">BM21*Inputs!$F$194*BM58</f>
        <v>0</v>
      </c>
      <c r="BN59" s="11" t="n">
        <f aca="false">BN21*Inputs!$F$194*BN58</f>
        <v>0</v>
      </c>
    </row>
    <row r="60" customFormat="false" ht="15" hidden="false" customHeight="false" outlineLevel="0" collapsed="false">
      <c r="D60" s="0" t="s">
        <v>659</v>
      </c>
      <c r="E60" s="0" t="s">
        <v>149</v>
      </c>
      <c r="F60" s="15" t="n">
        <f aca="false">$T$59</f>
        <v>0</v>
      </c>
    </row>
    <row r="61" customFormat="false" ht="15" hidden="false" customHeight="false" outlineLevel="0" collapsed="false">
      <c r="D61" s="0" t="s">
        <v>660</v>
      </c>
      <c r="E61" s="0" t="s">
        <v>149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661</v>
      </c>
      <c r="E62" s="0" t="s">
        <v>149</v>
      </c>
      <c r="G62" s="11" t="n">
        <f aca="false">SUM(J62:BN62)</f>
        <v>65.7739998413269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0</v>
      </c>
      <c r="Q62" s="11" t="n">
        <f aca="false">Q58-Q59+Q61</f>
        <v>1.71899764115453</v>
      </c>
      <c r="R62" s="11" t="n">
        <f aca="false">R58-R59+R61</f>
        <v>1.80367324998929</v>
      </c>
      <c r="S62" s="11" t="n">
        <f aca="false">S58-S59+S61</f>
        <v>1.85682458273282</v>
      </c>
      <c r="T62" s="11" t="n">
        <f aca="false">T58-T59+T61</f>
        <v>1.94223784814744</v>
      </c>
      <c r="U62" s="11" t="n">
        <f aca="false">U58-U59+U61</f>
        <v>2.00417923227336</v>
      </c>
      <c r="V62" s="11" t="n">
        <f aca="false">V58-V59+V61</f>
        <v>2.13511084551973</v>
      </c>
      <c r="W62" s="11" t="n">
        <f aca="false">W58-W59+W61</f>
        <v>2.20037987368397</v>
      </c>
      <c r="X62" s="11" t="n">
        <f aca="false">X58-X59+X61</f>
        <v>2.13930231591442</v>
      </c>
      <c r="Y62" s="11" t="n">
        <f aca="false">Y58-Y59+Y61</f>
        <v>2.14030896349629</v>
      </c>
      <c r="Z62" s="11" t="n">
        <f aca="false">Z58-Z59+Z61</f>
        <v>2.22897758675797</v>
      </c>
      <c r="AA62" s="11" t="n">
        <f aca="false">AA58-AA59+AA61</f>
        <v>2.29402474108095</v>
      </c>
      <c r="AB62" s="11" t="n">
        <f aca="false">AB58-AB59+AB61</f>
        <v>2.4036201402639</v>
      </c>
      <c r="AC62" s="11" t="n">
        <f aca="false">AC58-AC59+AC61</f>
        <v>2.48324836492955</v>
      </c>
      <c r="AD62" s="11" t="n">
        <f aca="false">AD58-AD59+AD61</f>
        <v>2.71152600132063</v>
      </c>
      <c r="AE62" s="11" t="n">
        <f aca="false">AE58-AE59+AE61</f>
        <v>2.82806885133399</v>
      </c>
      <c r="AF62" s="11" t="n">
        <f aca="false">AF58-AF59+AF61</f>
        <v>2.92728256036478</v>
      </c>
      <c r="AG62" s="11" t="n">
        <f aca="false">AG58-AG59+AG61</f>
        <v>2.98191506770515</v>
      </c>
      <c r="AH62" s="11" t="n">
        <f aca="false">AH58-AH59+AH61</f>
        <v>3.13161179741124</v>
      </c>
      <c r="AI62" s="11" t="n">
        <f aca="false">AI58-AI59+AI61</f>
        <v>3.22356381583427</v>
      </c>
      <c r="AJ62" s="11" t="n">
        <f aca="false">AJ58-AJ59+AJ61</f>
        <v>3.37918994452776</v>
      </c>
      <c r="AK62" s="11" t="n">
        <f aca="false">AK58-AK59+AK61</f>
        <v>3.48856833927634</v>
      </c>
      <c r="AL62" s="11" t="n">
        <f aca="false">AL58-AL59+AL61</f>
        <v>3.69906421860923</v>
      </c>
      <c r="AM62" s="11" t="n">
        <f aca="false">AM58-AM59+AM61</f>
        <v>3.77594914556603</v>
      </c>
      <c r="AN62" s="11" t="n">
        <f aca="false">AN58-AN59+AN61</f>
        <v>3.11511321965325</v>
      </c>
      <c r="AO62" s="11" t="n">
        <f aca="false">AO58-AO59+AO61</f>
        <v>3.16126149377997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662</v>
      </c>
      <c r="E63" s="0" t="s">
        <v>149</v>
      </c>
      <c r="G63" s="11" t="n">
        <f aca="false">SUM(J63:BN63)</f>
        <v>0</v>
      </c>
      <c r="J63" s="11" t="n">
        <f aca="false">J23*Inputs!$F$191*(J55-J62)/(J25-J32+J40-J47+J55-J62+J70-J77+J85-J92+0.000000001)</f>
        <v>0</v>
      </c>
      <c r="K63" s="11" t="n">
        <f aca="false">K23*Inputs!$F$191*(K55-K62)/(K25-K32+K40-K47+K55-K62+K70-K77+K85-K92+0.000000001)</f>
        <v>0</v>
      </c>
      <c r="L63" s="11" t="n">
        <f aca="false">L23*Inputs!$F$191*(L55-L62)/(L25-L32+L40-L47+L55-L62+L70-L77+L85-L92+0.000000001)</f>
        <v>0</v>
      </c>
      <c r="M63" s="11" t="n">
        <f aca="false">M23*Inputs!$F$191*(M55-M62)/(M25-M32+M40-M47+M55-M62+M70-M77+M85-M92+0.000000001)</f>
        <v>0</v>
      </c>
      <c r="N63" s="11" t="n">
        <f aca="false">N23*Inputs!$F$191*(N55-N62)/(N25-N32+N40-N47+N55-N62+N70-N77+N85-N92+0.000000001)</f>
        <v>0</v>
      </c>
      <c r="O63" s="11" t="n">
        <f aca="false">O23*Inputs!$F$191*(O55-O62)/(O25-O32+O40-O47+O55-O62+O70-O77+O85-O92+0.000000001)</f>
        <v>0</v>
      </c>
      <c r="P63" s="11" t="n">
        <f aca="false">P23*Inputs!$F$191*(P55-P62)/(P25-P32+P40-P47+P55-P62+P70-P77+P85-P92+0.000000001)</f>
        <v>0</v>
      </c>
      <c r="Q63" s="11" t="n">
        <f aca="false">Q23*Inputs!$F$191*(Q55-Q62)/(Q25-Q32+Q40-Q47+Q55-Q62+Q70-Q77+Q85-Q92+0.000000001)</f>
        <v>0</v>
      </c>
      <c r="R63" s="11" t="n">
        <f aca="false">R23*Inputs!$F$191*(R55-R62)/(R25-R32+R40-R47+R55-R62+R70-R77+R85-R92+0.000000001)</f>
        <v>0</v>
      </c>
      <c r="S63" s="11" t="n">
        <f aca="false">S23*Inputs!$F$191*(S55-S62)/(S25-S32+S40-S47+S55-S62+S70-S77+S85-S92+0.000000001)</f>
        <v>0</v>
      </c>
      <c r="T63" s="11" t="n">
        <f aca="false">T23*Inputs!$F$191*(T55-T62)/(T25-T32+T40-T47+T55-T62+T70-T77+T85-T92+0.000000001)</f>
        <v>0</v>
      </c>
      <c r="U63" s="11" t="n">
        <f aca="false">U23*Inputs!$F$191*(U55-U62)/(U25-U32+U40-U47+U55-U62+U70-U77+U85-U92+0.000000001)</f>
        <v>0</v>
      </c>
      <c r="V63" s="11" t="n">
        <f aca="false">V23*Inputs!$F$191*(V55-V62)/(V25-V32+V40-V47+V55-V62+V70-V77+V85-V92+0.000000001)</f>
        <v>0</v>
      </c>
      <c r="W63" s="11" t="n">
        <f aca="false">W23*Inputs!$F$191*(W55-W62)/(W25-W32+W40-W47+W55-W62+W70-W77+W85-W92+0.000000001)</f>
        <v>0</v>
      </c>
      <c r="X63" s="11" t="n">
        <f aca="false">X23*Inputs!$F$191*(X55-X62)/(X25-X32+X40-X47+X55-X62+X70-X77+X85-X92+0.000000001)</f>
        <v>0</v>
      </c>
      <c r="Y63" s="11" t="n">
        <f aca="false">Y23*Inputs!$F$191*(Y55-Y62)/(Y25-Y32+Y40-Y47+Y55-Y62+Y70-Y77+Y85-Y92+0.000000001)</f>
        <v>0</v>
      </c>
      <c r="Z63" s="11" t="n">
        <f aca="false">Z23*Inputs!$F$191*(Z55-Z62)/(Z25-Z32+Z40-Z47+Z55-Z62+Z70-Z77+Z85-Z92+0.000000001)</f>
        <v>0</v>
      </c>
      <c r="AA63" s="11" t="n">
        <f aca="false">AA23*Inputs!$F$191*(AA55-AA62)/(AA25-AA32+AA40-AA47+AA55-AA62+AA70-AA77+AA85-AA92+0.000000001)</f>
        <v>0</v>
      </c>
      <c r="AB63" s="11" t="n">
        <f aca="false">AB23*Inputs!$F$191*(AB55-AB62)/(AB25-AB32+AB40-AB47+AB55-AB62+AB70-AB77+AB85-AB92+0.000000001)</f>
        <v>0</v>
      </c>
      <c r="AC63" s="11" t="n">
        <f aca="false">AC23*Inputs!$F$191*(AC55-AC62)/(AC25-AC32+AC40-AC47+AC55-AC62+AC70-AC77+AC85-AC92+0.000000001)</f>
        <v>0</v>
      </c>
      <c r="AD63" s="11" t="n">
        <f aca="false">AD23*Inputs!$F$191*(AD55-AD62)/(AD25-AD32+AD40-AD47+AD55-AD62+AD70-AD77+AD85-AD92+0.000000001)</f>
        <v>0</v>
      </c>
      <c r="AE63" s="11" t="n">
        <f aca="false">AE23*Inputs!$F$191*(AE55-AE62)/(AE25-AE32+AE40-AE47+AE55-AE62+AE70-AE77+AE85-AE92+0.000000001)</f>
        <v>0</v>
      </c>
      <c r="AF63" s="11" t="n">
        <f aca="false">AF23*Inputs!$F$191*(AF55-AF62)/(AF25-AF32+AF40-AF47+AF55-AF62+AF70-AF77+AF85-AF92+0.000000001)</f>
        <v>0</v>
      </c>
      <c r="AG63" s="11" t="n">
        <f aca="false">AG23*Inputs!$F$191*(AG55-AG62)/(AG25-AG32+AG40-AG47+AG55-AG62+AG70-AG77+AG85-AG92+0.000000001)</f>
        <v>0</v>
      </c>
      <c r="AH63" s="11" t="n">
        <f aca="false">AH23*Inputs!$F$191*(AH55-AH62)/(AH25-AH32+AH40-AH47+AH55-AH62+AH70-AH77+AH85-AH92+0.000000001)</f>
        <v>0</v>
      </c>
      <c r="AI63" s="11" t="n">
        <f aca="false">AI23*Inputs!$F$191*(AI55-AI62)/(AI25-AI32+AI40-AI47+AI55-AI62+AI70-AI77+AI85-AI92+0.000000001)</f>
        <v>0</v>
      </c>
      <c r="AJ63" s="11" t="n">
        <f aca="false">AJ23*Inputs!$F$191*(AJ55-AJ62)/(AJ25-AJ32+AJ40-AJ47+AJ55-AJ62+AJ70-AJ77+AJ85-AJ92+0.000000001)</f>
        <v>0</v>
      </c>
      <c r="AK63" s="11" t="n">
        <f aca="false">AK23*Inputs!$F$191*(AK55-AK62)/(AK25-AK32+AK40-AK47+AK55-AK62+AK70-AK77+AK85-AK92+0.000000001)</f>
        <v>0</v>
      </c>
      <c r="AL63" s="11" t="n">
        <f aca="false">AL23*Inputs!$F$191*(AL55-AL62)/(AL25-AL32+AL40-AL47+AL55-AL62+AL70-AL77+AL85-AL92+0.000000001)</f>
        <v>0</v>
      </c>
      <c r="AM63" s="11" t="n">
        <f aca="false">AM23*Inputs!$F$191*(AM55-AM62)/(AM25-AM32+AM40-AM47+AM55-AM62+AM70-AM77+AM85-AM92+0.000000001)</f>
        <v>0</v>
      </c>
      <c r="AN63" s="11" t="n">
        <f aca="false">AN23*Inputs!$F$191*(AN55-AN62)/(AN25-AN32+AN40-AN47+AN55-AN62+AN70-AN77+AN85-AN92+0.000000001)</f>
        <v>0</v>
      </c>
      <c r="AO63" s="11" t="n">
        <f aca="false">AO23*Inputs!$F$191*(AO55-AO62)/(AO25-AO32+AO40-AO47+AO55-AO62+AO70-AO77+AO85-AO92+0.000000001)</f>
        <v>0</v>
      </c>
      <c r="AP63" s="11" t="n">
        <f aca="false">AP23*Inputs!$F$191*(AP55-AP62)/(AP25-AP32+AP40-AP47+AP55-AP62+AP70-AP77+AP85-AP92+0.000000001)</f>
        <v>0</v>
      </c>
      <c r="AQ63" s="11" t="n">
        <f aca="false">AQ23*Inputs!$F$191*(AQ55-AQ62)/(AQ25-AQ32+AQ40-AQ47+AQ55-AQ62+AQ70-AQ77+AQ85-AQ92+0.000000001)</f>
        <v>0</v>
      </c>
      <c r="AR63" s="11" t="n">
        <f aca="false">AR23*Inputs!$F$191*(AR55-AR62)/(AR25-AR32+AR40-AR47+AR55-AR62+AR70-AR77+AR85-AR92+0.000000001)</f>
        <v>0</v>
      </c>
      <c r="AS63" s="11" t="n">
        <f aca="false">AS23*Inputs!$F$191*(AS55-AS62)/(AS25-AS32+AS40-AS47+AS55-AS62+AS70-AS77+AS85-AS92+0.000000001)</f>
        <v>0</v>
      </c>
      <c r="AT63" s="11" t="n">
        <f aca="false">AT23*Inputs!$F$191*(AT55-AT62)/(AT25-AT32+AT40-AT47+AT55-AT62+AT70-AT77+AT85-AT92+0.000000001)</f>
        <v>0</v>
      </c>
      <c r="AU63" s="11" t="n">
        <f aca="false">AU23*Inputs!$F$191*(AU55-AU62)/(AU25-AU32+AU40-AU47+AU55-AU62+AU70-AU77+AU85-AU92+0.000000001)</f>
        <v>0</v>
      </c>
      <c r="AV63" s="11" t="n">
        <f aca="false">AV23*Inputs!$F$191*(AV55-AV62)/(AV25-AV32+AV40-AV47+AV55-AV62+AV70-AV77+AV85-AV92+0.000000001)</f>
        <v>0</v>
      </c>
      <c r="AW63" s="11" t="n">
        <f aca="false">AW23*Inputs!$F$191*(AW55-AW62)/(AW25-AW32+AW40-AW47+AW55-AW62+AW70-AW77+AW85-AW92+0.000000001)</f>
        <v>0</v>
      </c>
      <c r="AX63" s="11" t="n">
        <f aca="false">AX23*Inputs!$F$191*(AX55-AX62)/(AX25-AX32+AX40-AX47+AX55-AX62+AX70-AX77+AX85-AX92+0.000000001)</f>
        <v>0</v>
      </c>
      <c r="AY63" s="11" t="n">
        <f aca="false">AY23*Inputs!$F$191*(AY55-AY62)/(AY25-AY32+AY40-AY47+AY55-AY62+AY70-AY77+AY85-AY92+0.000000001)</f>
        <v>0</v>
      </c>
      <c r="AZ63" s="11" t="n">
        <f aca="false">AZ23*Inputs!$F$191*(AZ55-AZ62)/(AZ25-AZ32+AZ40-AZ47+AZ55-AZ62+AZ70-AZ77+AZ85-AZ92+0.000000001)</f>
        <v>0</v>
      </c>
      <c r="BA63" s="11" t="n">
        <f aca="false">BA23*Inputs!$F$191*(BA55-BA62)/(BA25-BA32+BA40-BA47+BA55-BA62+BA70-BA77+BA85-BA92+0.000000001)</f>
        <v>0</v>
      </c>
      <c r="BB63" s="11" t="n">
        <f aca="false">BB23*Inputs!$F$191*(BB55-BB62)/(BB25-BB32+BB40-BB47+BB55-BB62+BB70-BB77+BB85-BB92+0.000000001)</f>
        <v>0</v>
      </c>
      <c r="BC63" s="11" t="n">
        <f aca="false">BC23*Inputs!$F$191*(BC55-BC62)/(BC25-BC32+BC40-BC47+BC55-BC62+BC70-BC77+BC85-BC92+0.000000001)</f>
        <v>0</v>
      </c>
      <c r="BD63" s="11" t="n">
        <f aca="false">BD23*Inputs!$F$191*(BD55-BD62)/(BD25-BD32+BD40-BD47+BD55-BD62+BD70-BD77+BD85-BD92+0.000000001)</f>
        <v>0</v>
      </c>
      <c r="BE63" s="11" t="n">
        <f aca="false">BE23*Inputs!$F$191*(BE55-BE62)/(BE25-BE32+BE40-BE47+BE55-BE62+BE70-BE77+BE85-BE92+0.000000001)</f>
        <v>0</v>
      </c>
      <c r="BF63" s="11" t="n">
        <f aca="false">BF23*Inputs!$F$191*(BF55-BF62)/(BF25-BF32+BF40-BF47+BF55-BF62+BF70-BF77+BF85-BF92+0.000000001)</f>
        <v>0</v>
      </c>
      <c r="BG63" s="11" t="n">
        <f aca="false">BG23*Inputs!$F$191*(BG55-BG62)/(BG25-BG32+BG40-BG47+BG55-BG62+BG70-BG77+BG85-BG92+0.000000001)</f>
        <v>0</v>
      </c>
      <c r="BH63" s="11" t="n">
        <f aca="false">BH23*Inputs!$F$191*(BH55-BH62)/(BH25-BH32+BH40-BH47+BH55-BH62+BH70-BH77+BH85-BH92+0.000000001)</f>
        <v>0</v>
      </c>
      <c r="BI63" s="11" t="n">
        <f aca="false">BI23*Inputs!$F$191*(BI55-BI62)/(BI25-BI32+BI40-BI47+BI55-BI62+BI70-BI77+BI85-BI92+0.000000001)</f>
        <v>0</v>
      </c>
      <c r="BJ63" s="11" t="n">
        <f aca="false">BJ23*Inputs!$F$191*(BJ55-BJ62)/(BJ25-BJ32+BJ40-BJ47+BJ55-BJ62+BJ70-BJ77+BJ85-BJ92+0.000000001)</f>
        <v>0</v>
      </c>
      <c r="BK63" s="11" t="n">
        <f aca="false">BK23*Inputs!$F$191*(BK55-BK62)/(BK25-BK32+BK40-BK47+BK55-BK62+BK70-BK77+BK85-BK92+0.000000001)</f>
        <v>0</v>
      </c>
      <c r="BL63" s="11" t="n">
        <f aca="false">BL23*Inputs!$F$191*(BL55-BL62)/(BL25-BL32+BL40-BL47+BL55-BL62+BL70-BL77+BL85-BL92+0.000000001)</f>
        <v>0</v>
      </c>
      <c r="BM63" s="11" t="n">
        <f aca="false">BM23*Inputs!$F$191*(BM55-BM62)/(BM25-BM32+BM40-BM47+BM55-BM62+BM70-BM77+BM85-BM92+0.000000001)</f>
        <v>0</v>
      </c>
      <c r="BN63" s="11" t="n">
        <f aca="false">BN23*Inputs!$F$191*(BN55-BN62)/(BN25-BN32+BN40-BN47+BN55-BN62+BN70-BN77+BN85-BN92+0.000000001)</f>
        <v>0</v>
      </c>
    </row>
    <row r="64" customFormat="false" ht="15" hidden="false" customHeight="false" outlineLevel="0" collapsed="false">
      <c r="D64" s="0" t="s">
        <v>663</v>
      </c>
      <c r="E64" s="0" t="s">
        <v>149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664</v>
      </c>
      <c r="E65" s="0" t="s">
        <v>149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665</v>
      </c>
      <c r="E66" s="0" t="s">
        <v>149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0</v>
      </c>
      <c r="Q66" s="11" t="n">
        <f aca="false">Q55-Q62-Q63-Q64</f>
        <v>64.0550022001723</v>
      </c>
      <c r="R66" s="11" t="n">
        <f aca="false">R55-R62-R63-R64</f>
        <v>62.251328950183</v>
      </c>
      <c r="S66" s="11" t="n">
        <f aca="false">S55-S62-S63-S64</f>
        <v>60.3945043674502</v>
      </c>
      <c r="T66" s="11" t="n">
        <f aca="false">T55-T62-T63-T64</f>
        <v>58.4522665193028</v>
      </c>
      <c r="U66" s="11" t="n">
        <f aca="false">U55-U62-U63-U64</f>
        <v>56.4480872870294</v>
      </c>
      <c r="V66" s="11" t="n">
        <f aca="false">V55-V62-V63-V64</f>
        <v>54.3129764415097</v>
      </c>
      <c r="W66" s="11" t="n">
        <f aca="false">W55-W62-W63-W64</f>
        <v>52.1125965678257</v>
      </c>
      <c r="X66" s="11" t="n">
        <f aca="false">X55-X62-X63-X64</f>
        <v>49.9732942519113</v>
      </c>
      <c r="Y66" s="11" t="n">
        <f aca="false">Y55-Y62-Y63-Y64</f>
        <v>47.832985288415</v>
      </c>
      <c r="Z66" s="11" t="n">
        <f aca="false">Z55-Z62-Z63-Z64</f>
        <v>45.604007701657</v>
      </c>
      <c r="AA66" s="11" t="n">
        <f aca="false">AA55-AA62-AA63-AA64</f>
        <v>43.3099829605761</v>
      </c>
      <c r="AB66" s="11" t="n">
        <f aca="false">AB55-AB62-AB63-AB64</f>
        <v>40.9063628203122</v>
      </c>
      <c r="AC66" s="11" t="n">
        <f aca="false">AC55-AC62-AC63-AC64</f>
        <v>38.4231144553826</v>
      </c>
      <c r="AD66" s="11" t="n">
        <f aca="false">AD55-AD62-AD63-AD64</f>
        <v>35.711588454062</v>
      </c>
      <c r="AE66" s="11" t="n">
        <f aca="false">AE55-AE62-AE63-AE64</f>
        <v>32.883519602728</v>
      </c>
      <c r="AF66" s="11" t="n">
        <f aca="false">AF55-AF62-AF63-AF64</f>
        <v>29.9562370423632</v>
      </c>
      <c r="AG66" s="11" t="n">
        <f aca="false">AG55-AG62-AG63-AG64</f>
        <v>26.9743219746581</v>
      </c>
      <c r="AH66" s="11" t="n">
        <f aca="false">AH55-AH62-AH63-AH64</f>
        <v>23.8427101772468</v>
      </c>
      <c r="AI66" s="11" t="n">
        <f aca="false">AI55-AI62-AI63-AI64</f>
        <v>20.6191463614126</v>
      </c>
      <c r="AJ66" s="11" t="n">
        <f aca="false">AJ55-AJ62-AJ63-AJ64</f>
        <v>17.2399564168848</v>
      </c>
      <c r="AK66" s="11" t="n">
        <f aca="false">AK55-AK62-AK63-AK64</f>
        <v>13.7513880776085</v>
      </c>
      <c r="AL66" s="11" t="n">
        <f aca="false">AL55-AL62-AL63-AL64</f>
        <v>10.0523238589992</v>
      </c>
      <c r="AM66" s="11" t="n">
        <f aca="false">AM55-AM62-AM63-AM64</f>
        <v>6.27637471343322</v>
      </c>
      <c r="AN66" s="11" t="n">
        <f aca="false">AN55-AN62-AN63-AN64</f>
        <v>3.16126149377997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666</v>
      </c>
      <c r="E67" s="0" t="s">
        <v>149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667</v>
      </c>
      <c r="E68" s="0" t="s">
        <v>149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0</v>
      </c>
      <c r="P68" s="11" t="n">
        <f aca="false">IF(Time!P29=1,INDEX(Funding!$J$63:$BJ$63,1,Time!$F$13),Time!P30*(P66-P67))</f>
        <v>65.7739998413268</v>
      </c>
      <c r="Q68" s="11" t="n">
        <f aca="false">IF(Time!Q29=1,INDEX(Funding!$J$63:$BJ$63,1,Time!$F$13),Time!Q30*(Q66-Q67))</f>
        <v>64.0550022001723</v>
      </c>
      <c r="R68" s="11" t="n">
        <f aca="false">IF(Time!R29=1,INDEX(Funding!$J$63:$BJ$63,1,Time!$F$13),Time!R30*(R66-R67))</f>
        <v>62.251328950183</v>
      </c>
      <c r="S68" s="11" t="n">
        <f aca="false">IF(Time!S29=1,INDEX(Funding!$J$63:$BJ$63,1,Time!$F$13),Time!S30*(S66-S67))</f>
        <v>60.3945043674502</v>
      </c>
      <c r="T68" s="11" t="n">
        <f aca="false">IF(Time!T29=1,INDEX(Funding!$J$63:$BJ$63,1,Time!$F$13),Time!T30*(T66-T67))</f>
        <v>58.4522665193028</v>
      </c>
      <c r="U68" s="11" t="n">
        <f aca="false">IF(Time!U29=1,INDEX(Funding!$J$63:$BJ$63,1,Time!$F$13),Time!U30*(U66-U67))</f>
        <v>56.4480872870294</v>
      </c>
      <c r="V68" s="11" t="n">
        <f aca="false">IF(Time!V29=1,INDEX(Funding!$J$63:$BJ$63,1,Time!$F$13),Time!V30*(V66-V67))</f>
        <v>54.3129764415097</v>
      </c>
      <c r="W68" s="11" t="n">
        <f aca="false">IF(Time!W29=1,INDEX(Funding!$J$63:$BJ$63,1,Time!$F$13),Time!W30*(W66-W67))</f>
        <v>52.1125965678257</v>
      </c>
      <c r="X68" s="11" t="n">
        <f aca="false">IF(Time!X29=1,INDEX(Funding!$J$63:$BJ$63,1,Time!$F$13),Time!X30*(X66-X67))</f>
        <v>49.9732942519113</v>
      </c>
      <c r="Y68" s="11" t="n">
        <f aca="false">IF(Time!Y29=1,INDEX(Funding!$J$63:$BJ$63,1,Time!$F$13),Time!Y30*(Y66-Y67))</f>
        <v>47.832985288415</v>
      </c>
      <c r="Z68" s="11" t="n">
        <f aca="false">IF(Time!Z29=1,INDEX(Funding!$J$63:$BJ$63,1,Time!$F$13),Time!Z30*(Z66-Z67))</f>
        <v>45.604007701657</v>
      </c>
      <c r="AA68" s="11" t="n">
        <f aca="false">IF(Time!AA29=1,INDEX(Funding!$J$63:$BJ$63,1,Time!$F$13),Time!AA30*(AA66-AA67))</f>
        <v>43.3099829605761</v>
      </c>
      <c r="AB68" s="11" t="n">
        <f aca="false">IF(Time!AB29=1,INDEX(Funding!$J$63:$BJ$63,1,Time!$F$13),Time!AB30*(AB66-AB67))</f>
        <v>40.9063628203122</v>
      </c>
      <c r="AC68" s="11" t="n">
        <f aca="false">IF(Time!AC29=1,INDEX(Funding!$J$63:$BJ$63,1,Time!$F$13),Time!AC30*(AC66-AC67))</f>
        <v>38.4231144553826</v>
      </c>
      <c r="AD68" s="11" t="n">
        <f aca="false">IF(Time!AD29=1,INDEX(Funding!$J$63:$BJ$63,1,Time!$F$13),Time!AD30*(AD66-AD67))</f>
        <v>35.711588454062</v>
      </c>
      <c r="AE68" s="11" t="n">
        <f aca="false">IF(Time!AE29=1,INDEX(Funding!$J$63:$BJ$63,1,Time!$F$13),Time!AE30*(AE66-AE67))</f>
        <v>32.883519602728</v>
      </c>
      <c r="AF68" s="11" t="n">
        <f aca="false">IF(Time!AF29=1,INDEX(Funding!$J$63:$BJ$63,1,Time!$F$13),Time!AF30*(AF66-AF67))</f>
        <v>29.9562370423632</v>
      </c>
      <c r="AG68" s="11" t="n">
        <f aca="false">IF(Time!AG29=1,INDEX(Funding!$J$63:$BJ$63,1,Time!$F$13),Time!AG30*(AG66-AG67))</f>
        <v>26.9743219746581</v>
      </c>
      <c r="AH68" s="11" t="n">
        <f aca="false">IF(Time!AH29=1,INDEX(Funding!$J$63:$BJ$63,1,Time!$F$13),Time!AH30*(AH66-AH67))</f>
        <v>23.8427101772468</v>
      </c>
      <c r="AI68" s="11" t="n">
        <f aca="false">IF(Time!AI29=1,INDEX(Funding!$J$63:$BJ$63,1,Time!$F$13),Time!AI30*(AI66-AI67))</f>
        <v>20.6191463614126</v>
      </c>
      <c r="AJ68" s="11" t="n">
        <f aca="false">IF(Time!AJ29=1,INDEX(Funding!$J$63:$BJ$63,1,Time!$F$13),Time!AJ30*(AJ66-AJ67))</f>
        <v>17.2399564168848</v>
      </c>
      <c r="AK68" s="11" t="n">
        <f aca="false">IF(Time!AK29=1,INDEX(Funding!$J$63:$BJ$63,1,Time!$F$13),Time!AK30*(AK66-AK67))</f>
        <v>13.7513880776085</v>
      </c>
      <c r="AL68" s="11" t="n">
        <f aca="false">IF(Time!AL29=1,INDEX(Funding!$J$63:$BJ$63,1,Time!$F$13),Time!AL30*(AL66-AL67))</f>
        <v>10.0523238589992</v>
      </c>
      <c r="AM68" s="11" t="n">
        <f aca="false">IF(Time!AM29=1,INDEX(Funding!$J$63:$BJ$63,1,Time!$F$13),Time!AM30*(AM66-AM67))</f>
        <v>6.27637471343322</v>
      </c>
      <c r="AN68" s="11" t="n">
        <f aca="false">IF(Time!AN29=1,INDEX(Funding!$J$63:$BJ$63,1,Time!$F$13),Time!AN30*(AN66-AN67))</f>
        <v>3.16126149377997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670</v>
      </c>
    </row>
    <row r="70" customFormat="false" ht="15" hidden="false" customHeight="false" outlineLevel="0" collapsed="false">
      <c r="D70" s="0" t="s">
        <v>654</v>
      </c>
      <c r="E70" s="0" t="s">
        <v>149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0</v>
      </c>
      <c r="Q70" s="11" t="n">
        <f aca="false">Time!Q30*P83</f>
        <v>249.941199397042</v>
      </c>
      <c r="R70" s="11" t="n">
        <f aca="false">Time!R30*Q83</f>
        <v>243.409008360655</v>
      </c>
      <c r="S70" s="11" t="n">
        <f aca="false">Time!S30*R83</f>
        <v>236.555050010696</v>
      </c>
      <c r="T70" s="11" t="n">
        <f aca="false">Time!T30*S83</f>
        <v>229.499116596311</v>
      </c>
      <c r="U70" s="11" t="n">
        <f aca="false">Time!U30*T83</f>
        <v>222.118612773351</v>
      </c>
      <c r="V70" s="11" t="n">
        <f aca="false">Time!V30*U83</f>
        <v>214.502731690712</v>
      </c>
      <c r="W70" s="11" t="n">
        <f aca="false">Time!W30*V83</f>
        <v>206.389310477737</v>
      </c>
      <c r="X70" s="11" t="n">
        <f aca="false">Time!X30*W83</f>
        <v>198.027866957738</v>
      </c>
      <c r="Y70" s="11" t="n">
        <f aca="false">Time!Y30*X83</f>
        <v>189.898518157263</v>
      </c>
      <c r="Z70" s="11" t="n">
        <f aca="false">Time!Z30*Y83</f>
        <v>181.765344095977</v>
      </c>
      <c r="AA70" s="11" t="n">
        <f aca="false">Time!AA30*Z83</f>
        <v>173.295229266297</v>
      </c>
      <c r="AB70" s="11" t="n">
        <f aca="false">Time!AB30*AA83</f>
        <v>159.598247930778</v>
      </c>
      <c r="AC70" s="11" t="n">
        <f aca="false">Time!AC30*AB83</f>
        <v>144.86174532473</v>
      </c>
      <c r="AD70" s="11" t="n">
        <f aca="false">Time!AD30*AC83</f>
        <v>130.713690275245</v>
      </c>
      <c r="AE70" s="11" t="n">
        <f aca="false">Time!AE30*AD83</f>
        <v>115.57581598311</v>
      </c>
      <c r="AF70" s="11" t="n">
        <f aca="false">Time!AF30*AE83</f>
        <v>99.5574470734754</v>
      </c>
      <c r="AG70" s="11" t="n">
        <f aca="false">Time!AG30*AF83</f>
        <v>82.6176931882564</v>
      </c>
      <c r="AH70" s="11" t="n">
        <f aca="false">Time!AH30*AG83</f>
        <v>66.2565864936613</v>
      </c>
      <c r="AI70" s="11" t="n">
        <f aca="false">Time!AI30*AH83</f>
        <v>49.239704578839</v>
      </c>
      <c r="AJ70" s="11" t="n">
        <f aca="false">Time!AJ30*AI83</f>
        <v>32.6105886616076</v>
      </c>
      <c r="AK70" s="11" t="n">
        <f aca="false">Time!AK30*AJ83</f>
        <v>15.6891880212347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655</v>
      </c>
      <c r="E71" s="0" t="s">
        <v>149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656</v>
      </c>
      <c r="E72" s="0" t="s">
        <v>149</v>
      </c>
      <c r="G72" s="11" t="n">
        <f aca="false">SUM(J72:BN72)</f>
        <v>136.618818010277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0</v>
      </c>
      <c r="Q72" s="11" t="n">
        <f aca="false">Q70*Q13</f>
        <v>10.0671532291708</v>
      </c>
      <c r="R72" s="11" t="n">
        <f aca="false">R70*R13</f>
        <v>9.96654712504874</v>
      </c>
      <c r="S72" s="11" t="n">
        <f aca="false">S70*S13</f>
        <v>9.54119970540053</v>
      </c>
      <c r="T72" s="11" t="n">
        <f aca="false">T70*T13</f>
        <v>9.41003044493417</v>
      </c>
      <c r="U72" s="11" t="n">
        <f aca="false">U70*U13</f>
        <v>9.00841796076214</v>
      </c>
      <c r="V72" s="11" t="n">
        <f aca="false">V70*V13</f>
        <v>8.79514163569373</v>
      </c>
      <c r="W72" s="11" t="n">
        <f aca="false">W70*W13</f>
        <v>8.32449625674432</v>
      </c>
      <c r="X72" s="11" t="n">
        <f aca="false">X70*X13</f>
        <v>8.11963150296344</v>
      </c>
      <c r="Y72" s="11" t="n">
        <f aca="false">Y70*Y13</f>
        <v>8.18978387010823</v>
      </c>
      <c r="Z72" s="11" t="n">
        <f aca="false">Z70*Z13</f>
        <v>7.96895172782263</v>
      </c>
      <c r="AA72" s="11" t="n">
        <f aca="false">AA70*AA13</f>
        <v>7.47373116538215</v>
      </c>
      <c r="AB72" s="11" t="n">
        <f aca="false">AB70*AB13</f>
        <v>6.9971024450837</v>
      </c>
      <c r="AC72" s="11" t="n">
        <f aca="false">AC70*AC13</f>
        <v>6.28199218058822</v>
      </c>
      <c r="AD72" s="11" t="n">
        <f aca="false">AD70*AD13</f>
        <v>5.73074638154876</v>
      </c>
      <c r="AE72" s="11" t="n">
        <f aca="false">AE70*AE13</f>
        <v>4.98445676510863</v>
      </c>
      <c r="AF72" s="11" t="n">
        <f aca="false">AF70*AF13</f>
        <v>4.36479513638674</v>
      </c>
      <c r="AG72" s="11" t="n">
        <f aca="false">AG70*AG13</f>
        <v>3.79383507035036</v>
      </c>
      <c r="AH72" s="11" t="n">
        <f aca="false">AH70*AH13</f>
        <v>3.09295561543002</v>
      </c>
      <c r="AI72" s="11" t="n">
        <f aca="false">AI70*AI13</f>
        <v>2.26110547118791</v>
      </c>
      <c r="AJ72" s="11" t="n">
        <f aca="false">AJ70*AJ13</f>
        <v>1.52231059070704</v>
      </c>
      <c r="AK72" s="11" t="n">
        <f aca="false">AK70*AK13</f>
        <v>0.724433729854568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657</v>
      </c>
      <c r="E73" s="0" t="s">
        <v>149</v>
      </c>
      <c r="G73" s="11" t="n">
        <f aca="false">SUM(J73:BN73)</f>
        <v>161.346865874348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0</v>
      </c>
      <c r="Q73" s="11" t="n">
        <f aca="false">Time!Q30*(Q70-Q71)*Q19</f>
        <v>6.53219103638723</v>
      </c>
      <c r="R73" s="11" t="n">
        <f aca="false">Time!R30*(R70-R71)*R19</f>
        <v>6.85395834995929</v>
      </c>
      <c r="S73" s="11" t="n">
        <f aca="false">Time!S30*(S70-S71)*S19</f>
        <v>7.05593341438472</v>
      </c>
      <c r="T73" s="11" t="n">
        <f aca="false">Time!T30*(T70-T71)*T19</f>
        <v>7.38050382296028</v>
      </c>
      <c r="U73" s="11" t="n">
        <f aca="false">Time!U30*(U70-U71)*U19</f>
        <v>7.61588108263877</v>
      </c>
      <c r="V73" s="11" t="n">
        <f aca="false">Time!V30*(V70-V71)*V19</f>
        <v>8.11342121297497</v>
      </c>
      <c r="W73" s="11" t="n">
        <f aca="false">Time!W30*(W70-W71)*W19</f>
        <v>8.3614435199991</v>
      </c>
      <c r="X73" s="11" t="n">
        <f aca="false">Time!X30*(X70-X71)*X19</f>
        <v>8.1293488004748</v>
      </c>
      <c r="Y73" s="11" t="n">
        <f aca="false">Time!Y30*(Y70-Y71)*Y19</f>
        <v>8.1331740612859</v>
      </c>
      <c r="Z73" s="11" t="n">
        <f aca="false">Time!Z30*(Z70-Z71)*Z19</f>
        <v>8.4701148296803</v>
      </c>
      <c r="AA73" s="11" t="n">
        <f aca="false">Time!AA30*(AA70-AA71)*AA19</f>
        <v>8.71729401610759</v>
      </c>
      <c r="AB73" s="11" t="n">
        <f aca="false">Time!AB30*(AB70-AB71)*AB19</f>
        <v>8.85739353502961</v>
      </c>
      <c r="AC73" s="11" t="n">
        <f aca="false">Time!AC30*(AC70-AC71)*AC19</f>
        <v>8.79393002498505</v>
      </c>
      <c r="AD73" s="11" t="n">
        <f aca="false">Time!AD30*(AD70-AD71)*AD19</f>
        <v>9.22448830433749</v>
      </c>
      <c r="AE73" s="11" t="n">
        <f aca="false">Time!AE30*(AE70-AE71)*AE19</f>
        <v>9.15266946385761</v>
      </c>
      <c r="AF73" s="11" t="n">
        <f aca="false">Time!AF30*(AF70-AF71)*AF19</f>
        <v>8.86257864405875</v>
      </c>
      <c r="AG73" s="11" t="n">
        <f aca="false">Time!AG30*(AG70-AG71)*AG19</f>
        <v>8.22396163539196</v>
      </c>
      <c r="AH73" s="11" t="n">
        <f aca="false">Time!AH30*(AH70-AH71)*AH19</f>
        <v>7.69212690923913</v>
      </c>
      <c r="AI73" s="11" t="n">
        <f aca="false">Time!AI30*(AI70-AI71)*AI19</f>
        <v>6.65726877535039</v>
      </c>
      <c r="AJ73" s="11" t="n">
        <f aca="false">Time!AJ30*(AJ70-AJ71)*AJ19</f>
        <v>5.34441976204518</v>
      </c>
      <c r="AK73" s="11" t="n">
        <f aca="false">Time!AK30*(AK70-AK71)*AK19</f>
        <v>3.17476467319997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658</v>
      </c>
      <c r="E74" s="0" t="s">
        <v>149</v>
      </c>
      <c r="G74" s="11" t="n">
        <f aca="false">SUM(J74:BN74)</f>
        <v>0</v>
      </c>
      <c r="J74" s="11" t="n">
        <f aca="false">J21*Inputs!$F$194*J73</f>
        <v>0</v>
      </c>
      <c r="K74" s="11" t="n">
        <f aca="false">K21*Inputs!$F$194*K73</f>
        <v>0</v>
      </c>
      <c r="L74" s="11" t="n">
        <f aca="false">L21*Inputs!$F$194*L73</f>
        <v>0</v>
      </c>
      <c r="M74" s="11" t="n">
        <f aca="false">M21*Inputs!$F$194*M73</f>
        <v>0</v>
      </c>
      <c r="N74" s="11" t="n">
        <f aca="false">N21*Inputs!$F$194*N73</f>
        <v>0</v>
      </c>
      <c r="O74" s="11" t="n">
        <f aca="false">O21*Inputs!$F$194*O73</f>
        <v>0</v>
      </c>
      <c r="P74" s="11" t="n">
        <f aca="false">P21*Inputs!$F$194*P73</f>
        <v>0</v>
      </c>
      <c r="Q74" s="11" t="n">
        <f aca="false">Q21*Inputs!$F$194*Q73</f>
        <v>0</v>
      </c>
      <c r="R74" s="11" t="n">
        <f aca="false">R21*Inputs!$F$194*R73</f>
        <v>0</v>
      </c>
      <c r="S74" s="11" t="n">
        <f aca="false">S21*Inputs!$F$194*S73</f>
        <v>0</v>
      </c>
      <c r="T74" s="11" t="n">
        <f aca="false">T21*Inputs!$F$194*T73</f>
        <v>0</v>
      </c>
      <c r="U74" s="11" t="n">
        <f aca="false">U21*Inputs!$F$194*U73</f>
        <v>0</v>
      </c>
      <c r="V74" s="11" t="n">
        <f aca="false">V21*Inputs!$F$194*V73</f>
        <v>0</v>
      </c>
      <c r="W74" s="11" t="n">
        <f aca="false">W21*Inputs!$F$194*W73</f>
        <v>0</v>
      </c>
      <c r="X74" s="11" t="n">
        <f aca="false">X21*Inputs!$F$194*X73</f>
        <v>0</v>
      </c>
      <c r="Y74" s="11" t="n">
        <f aca="false">Y21*Inputs!$F$194*Y73</f>
        <v>0</v>
      </c>
      <c r="Z74" s="11" t="n">
        <f aca="false">Z21*Inputs!$F$194*Z73</f>
        <v>0</v>
      </c>
      <c r="AA74" s="11" t="n">
        <f aca="false">AA21*Inputs!$F$194*AA73</f>
        <v>0</v>
      </c>
      <c r="AB74" s="11" t="n">
        <f aca="false">AB21*Inputs!$F$194*AB73</f>
        <v>0</v>
      </c>
      <c r="AC74" s="11" t="n">
        <f aca="false">AC21*Inputs!$F$194*AC73</f>
        <v>0</v>
      </c>
      <c r="AD74" s="11" t="n">
        <f aca="false">AD21*Inputs!$F$194*AD73</f>
        <v>0</v>
      </c>
      <c r="AE74" s="11" t="n">
        <f aca="false">AE21*Inputs!$F$194*AE73</f>
        <v>0</v>
      </c>
      <c r="AF74" s="11" t="n">
        <f aca="false">AF21*Inputs!$F$194*AF73</f>
        <v>0</v>
      </c>
      <c r="AG74" s="11" t="n">
        <f aca="false">AG21*Inputs!$F$194*AG73</f>
        <v>0</v>
      </c>
      <c r="AH74" s="11" t="n">
        <f aca="false">AH21*Inputs!$F$194*AH73</f>
        <v>0</v>
      </c>
      <c r="AI74" s="11" t="n">
        <f aca="false">AI21*Inputs!$F$194*AI73</f>
        <v>0</v>
      </c>
      <c r="AJ74" s="11" t="n">
        <f aca="false">AJ21*Inputs!$F$194*AJ73</f>
        <v>0</v>
      </c>
      <c r="AK74" s="11" t="n">
        <f aca="false">AK21*Inputs!$F$194*AK73</f>
        <v>0</v>
      </c>
      <c r="AL74" s="11" t="n">
        <f aca="false">AL21*Inputs!$F$194*AL73</f>
        <v>0</v>
      </c>
      <c r="AM74" s="11" t="n">
        <f aca="false">AM21*Inputs!$F$194*AM73</f>
        <v>0</v>
      </c>
      <c r="AN74" s="11" t="n">
        <f aca="false">AN21*Inputs!$F$194*AN73</f>
        <v>0</v>
      </c>
      <c r="AO74" s="11" t="n">
        <f aca="false">AO21*Inputs!$F$194*AO73</f>
        <v>0</v>
      </c>
      <c r="AP74" s="11" t="n">
        <f aca="false">AP21*Inputs!$F$194*AP73</f>
        <v>0</v>
      </c>
      <c r="AQ74" s="11" t="n">
        <f aca="false">AQ21*Inputs!$F$194*AQ73</f>
        <v>0</v>
      </c>
      <c r="AR74" s="11" t="n">
        <f aca="false">AR21*Inputs!$F$194*AR73</f>
        <v>0</v>
      </c>
      <c r="AS74" s="11" t="n">
        <f aca="false">AS21*Inputs!$F$194*AS73</f>
        <v>0</v>
      </c>
      <c r="AT74" s="11" t="n">
        <f aca="false">AT21*Inputs!$F$194*AT73</f>
        <v>0</v>
      </c>
      <c r="AU74" s="11" t="n">
        <f aca="false">AU21*Inputs!$F$194*AU73</f>
        <v>0</v>
      </c>
      <c r="AV74" s="11" t="n">
        <f aca="false">AV21*Inputs!$F$194*AV73</f>
        <v>0</v>
      </c>
      <c r="AW74" s="11" t="n">
        <f aca="false">AW21*Inputs!$F$194*AW73</f>
        <v>0</v>
      </c>
      <c r="AX74" s="11" t="n">
        <f aca="false">AX21*Inputs!$F$194*AX73</f>
        <v>0</v>
      </c>
      <c r="AY74" s="11" t="n">
        <f aca="false">AY21*Inputs!$F$194*AY73</f>
        <v>0</v>
      </c>
      <c r="AZ74" s="11" t="n">
        <f aca="false">AZ21*Inputs!$F$194*AZ73</f>
        <v>0</v>
      </c>
      <c r="BA74" s="11" t="n">
        <f aca="false">BA21*Inputs!$F$194*BA73</f>
        <v>0</v>
      </c>
      <c r="BB74" s="11" t="n">
        <f aca="false">BB21*Inputs!$F$194*BB73</f>
        <v>0</v>
      </c>
      <c r="BC74" s="11" t="n">
        <f aca="false">BC21*Inputs!$F$194*BC73</f>
        <v>0</v>
      </c>
      <c r="BD74" s="11" t="n">
        <f aca="false">BD21*Inputs!$F$194*BD73</f>
        <v>0</v>
      </c>
      <c r="BE74" s="11" t="n">
        <f aca="false">BE21*Inputs!$F$194*BE73</f>
        <v>0</v>
      </c>
      <c r="BF74" s="11" t="n">
        <f aca="false">BF21*Inputs!$F$194*BF73</f>
        <v>0</v>
      </c>
      <c r="BG74" s="11" t="n">
        <f aca="false">BG21*Inputs!$F$194*BG73</f>
        <v>0</v>
      </c>
      <c r="BH74" s="11" t="n">
        <f aca="false">BH21*Inputs!$F$194*BH73</f>
        <v>0</v>
      </c>
      <c r="BI74" s="11" t="n">
        <f aca="false">BI21*Inputs!$F$194*BI73</f>
        <v>0</v>
      </c>
      <c r="BJ74" s="11" t="n">
        <f aca="false">BJ21*Inputs!$F$194*BJ73</f>
        <v>0</v>
      </c>
      <c r="BK74" s="11" t="n">
        <f aca="false">BK21*Inputs!$F$194*BK73</f>
        <v>0</v>
      </c>
      <c r="BL74" s="11" t="n">
        <f aca="false">BL21*Inputs!$F$194*BL73</f>
        <v>0</v>
      </c>
      <c r="BM74" s="11" t="n">
        <f aca="false">BM21*Inputs!$F$194*BM73</f>
        <v>0</v>
      </c>
      <c r="BN74" s="11" t="n">
        <f aca="false">BN21*Inputs!$F$194*BN73</f>
        <v>0</v>
      </c>
    </row>
    <row r="75" customFormat="false" ht="15" hidden="false" customHeight="false" outlineLevel="0" collapsed="false">
      <c r="D75" s="0" t="s">
        <v>659</v>
      </c>
      <c r="E75" s="0" t="s">
        <v>149</v>
      </c>
      <c r="F75" s="15" t="n">
        <f aca="false">$T$74</f>
        <v>0</v>
      </c>
    </row>
    <row r="76" customFormat="false" ht="15" hidden="false" customHeight="false" outlineLevel="0" collapsed="false">
      <c r="D76" s="0" t="s">
        <v>660</v>
      </c>
      <c r="E76" s="0" t="s">
        <v>149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661</v>
      </c>
      <c r="E77" s="0" t="s">
        <v>149</v>
      </c>
      <c r="G77" s="11" t="n">
        <f aca="false">SUM(J77:BN77)</f>
        <v>161.346865874348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0</v>
      </c>
      <c r="Q77" s="11" t="n">
        <f aca="false">Q73-Q74+Q76</f>
        <v>6.53219103638723</v>
      </c>
      <c r="R77" s="11" t="n">
        <f aca="false">R73-R74+R76</f>
        <v>6.85395834995929</v>
      </c>
      <c r="S77" s="11" t="n">
        <f aca="false">S73-S74+S76</f>
        <v>7.05593341438472</v>
      </c>
      <c r="T77" s="11" t="n">
        <f aca="false">T73-T74+T76</f>
        <v>7.38050382296028</v>
      </c>
      <c r="U77" s="11" t="n">
        <f aca="false">U73-U74+U76</f>
        <v>7.61588108263877</v>
      </c>
      <c r="V77" s="11" t="n">
        <f aca="false">V73-V74+V76</f>
        <v>8.11342121297497</v>
      </c>
      <c r="W77" s="11" t="n">
        <f aca="false">W73-W74+W76</f>
        <v>8.3614435199991</v>
      </c>
      <c r="X77" s="11" t="n">
        <f aca="false">X73-X74+X76</f>
        <v>8.1293488004748</v>
      </c>
      <c r="Y77" s="11" t="n">
        <f aca="false">Y73-Y74+Y76</f>
        <v>8.1331740612859</v>
      </c>
      <c r="Z77" s="11" t="n">
        <f aca="false">Z73-Z74+Z76</f>
        <v>8.4701148296803</v>
      </c>
      <c r="AA77" s="11" t="n">
        <f aca="false">AA73-AA74+AA76</f>
        <v>8.71729401610759</v>
      </c>
      <c r="AB77" s="11" t="n">
        <f aca="false">AB73-AB74+AB76</f>
        <v>8.85739353502961</v>
      </c>
      <c r="AC77" s="11" t="n">
        <f aca="false">AC73-AC74+AC76</f>
        <v>8.79393002498505</v>
      </c>
      <c r="AD77" s="11" t="n">
        <f aca="false">AD73-AD74+AD76</f>
        <v>9.22448830433749</v>
      </c>
      <c r="AE77" s="11" t="n">
        <f aca="false">AE73-AE74+AE76</f>
        <v>9.15266946385761</v>
      </c>
      <c r="AF77" s="11" t="n">
        <f aca="false">AF73-AF74+AF76</f>
        <v>8.86257864405875</v>
      </c>
      <c r="AG77" s="11" t="n">
        <f aca="false">AG73-AG74+AG76</f>
        <v>8.22396163539196</v>
      </c>
      <c r="AH77" s="11" t="n">
        <f aca="false">AH73-AH74+AH76</f>
        <v>7.69212690923913</v>
      </c>
      <c r="AI77" s="11" t="n">
        <f aca="false">AI73-AI74+AI76</f>
        <v>6.65726877535039</v>
      </c>
      <c r="AJ77" s="11" t="n">
        <f aca="false">AJ73-AJ74+AJ76</f>
        <v>5.34441976204518</v>
      </c>
      <c r="AK77" s="11" t="n">
        <f aca="false">AK73-AK74+AK76</f>
        <v>3.17476467319997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662</v>
      </c>
      <c r="E78" s="0" t="s">
        <v>149</v>
      </c>
      <c r="G78" s="11" t="n">
        <f aca="false">SUM(J78:BN78)</f>
        <v>0</v>
      </c>
      <c r="J78" s="11" t="n">
        <f aca="false">J23*Inputs!$F$191*(J70-J77)/(J25-J32+J40-J47+J55-J62+J70-J77+J85-J92+0.000000001)</f>
        <v>0</v>
      </c>
      <c r="K78" s="11" t="n">
        <f aca="false">K23*Inputs!$F$191*(K70-K77)/(K25-K32+K40-K47+K55-K62+K70-K77+K85-K92+0.000000001)</f>
        <v>0</v>
      </c>
      <c r="L78" s="11" t="n">
        <f aca="false">L23*Inputs!$F$191*(L70-L77)/(L25-L32+L40-L47+L55-L62+L70-L77+L85-L92+0.000000001)</f>
        <v>0</v>
      </c>
      <c r="M78" s="11" t="n">
        <f aca="false">M23*Inputs!$F$191*(M70-M77)/(M25-M32+M40-M47+M55-M62+M70-M77+M85-M92+0.000000001)</f>
        <v>0</v>
      </c>
      <c r="N78" s="11" t="n">
        <f aca="false">N23*Inputs!$F$191*(N70-N77)/(N25-N32+N40-N47+N55-N62+N70-N77+N85-N92+0.000000001)</f>
        <v>0</v>
      </c>
      <c r="O78" s="11" t="n">
        <f aca="false">O23*Inputs!$F$191*(O70-O77)/(O25-O32+O40-O47+O55-O62+O70-O77+O85-O92+0.000000001)</f>
        <v>0</v>
      </c>
      <c r="P78" s="11" t="n">
        <f aca="false">P23*Inputs!$F$191*(P70-P77)/(P25-P32+P40-P47+P55-P62+P70-P77+P85-P92+0.000000001)</f>
        <v>0</v>
      </c>
      <c r="Q78" s="11" t="n">
        <f aca="false">Q23*Inputs!$F$191*(Q70-Q77)/(Q25-Q32+Q40-Q47+Q55-Q62+Q70-Q77+Q85-Q92+0.000000001)</f>
        <v>0</v>
      </c>
      <c r="R78" s="11" t="n">
        <f aca="false">R23*Inputs!$F$191*(R70-R77)/(R25-R32+R40-R47+R55-R62+R70-R77+R85-R92+0.000000001)</f>
        <v>0</v>
      </c>
      <c r="S78" s="11" t="n">
        <f aca="false">S23*Inputs!$F$191*(S70-S77)/(S25-S32+S40-S47+S55-S62+S70-S77+S85-S92+0.000000001)</f>
        <v>0</v>
      </c>
      <c r="T78" s="11" t="n">
        <f aca="false">T23*Inputs!$F$191*(T70-T77)/(T25-T32+T40-T47+T55-T62+T70-T77+T85-T92+0.000000001)</f>
        <v>0</v>
      </c>
      <c r="U78" s="11" t="n">
        <f aca="false">U23*Inputs!$F$191*(U70-U77)/(U25-U32+U40-U47+U55-U62+U70-U77+U85-U92+0.000000001)</f>
        <v>0</v>
      </c>
      <c r="V78" s="11" t="n">
        <f aca="false">V23*Inputs!$F$191*(V70-V77)/(V25-V32+V40-V47+V55-V62+V70-V77+V85-V92+0.000000001)</f>
        <v>0</v>
      </c>
      <c r="W78" s="11" t="n">
        <f aca="false">W23*Inputs!$F$191*(W70-W77)/(W25-W32+W40-W47+W55-W62+W70-W77+W85-W92+0.000000001)</f>
        <v>0</v>
      </c>
      <c r="X78" s="11" t="n">
        <f aca="false">X23*Inputs!$F$191*(X70-X77)/(X25-X32+X40-X47+X55-X62+X70-X77+X85-X92+0.000000001)</f>
        <v>0</v>
      </c>
      <c r="Y78" s="11" t="n">
        <f aca="false">Y23*Inputs!$F$191*(Y70-Y77)/(Y25-Y32+Y40-Y47+Y55-Y62+Y70-Y77+Y85-Y92+0.000000001)</f>
        <v>0</v>
      </c>
      <c r="Z78" s="11" t="n">
        <f aca="false">Z23*Inputs!$F$191*(Z70-Z77)/(Z25-Z32+Z40-Z47+Z55-Z62+Z70-Z77+Z85-Z92+0.000000001)</f>
        <v>0</v>
      </c>
      <c r="AA78" s="11" t="n">
        <f aca="false">AA23*Inputs!$F$191*(AA70-AA77)/(AA25-AA32+AA40-AA47+AA55-AA62+AA70-AA77+AA85-AA92+0.000000001)</f>
        <v>0</v>
      </c>
      <c r="AB78" s="11" t="n">
        <f aca="false">AB23*Inputs!$F$191*(AB70-AB77)/(AB25-AB32+AB40-AB47+AB55-AB62+AB70-AB77+AB85-AB92+0.000000001)</f>
        <v>0</v>
      </c>
      <c r="AC78" s="11" t="n">
        <f aca="false">AC23*Inputs!$F$191*(AC70-AC77)/(AC25-AC32+AC40-AC47+AC55-AC62+AC70-AC77+AC85-AC92+0.000000001)</f>
        <v>0</v>
      </c>
      <c r="AD78" s="11" t="n">
        <f aca="false">AD23*Inputs!$F$191*(AD70-AD77)/(AD25-AD32+AD40-AD47+AD55-AD62+AD70-AD77+AD85-AD92+0.000000001)</f>
        <v>0</v>
      </c>
      <c r="AE78" s="11" t="n">
        <f aca="false">AE23*Inputs!$F$191*(AE70-AE77)/(AE25-AE32+AE40-AE47+AE55-AE62+AE70-AE77+AE85-AE92+0.000000001)</f>
        <v>0</v>
      </c>
      <c r="AF78" s="11" t="n">
        <f aca="false">AF23*Inputs!$F$191*(AF70-AF77)/(AF25-AF32+AF40-AF47+AF55-AF62+AF70-AF77+AF85-AF92+0.000000001)</f>
        <v>0</v>
      </c>
      <c r="AG78" s="11" t="n">
        <f aca="false">AG23*Inputs!$F$191*(AG70-AG77)/(AG25-AG32+AG40-AG47+AG55-AG62+AG70-AG77+AG85-AG92+0.000000001)</f>
        <v>0</v>
      </c>
      <c r="AH78" s="11" t="n">
        <f aca="false">AH23*Inputs!$F$191*(AH70-AH77)/(AH25-AH32+AH40-AH47+AH55-AH62+AH70-AH77+AH85-AH92+0.000000001)</f>
        <v>0</v>
      </c>
      <c r="AI78" s="11" t="n">
        <f aca="false">AI23*Inputs!$F$191*(AI70-AI77)/(AI25-AI32+AI40-AI47+AI55-AI62+AI70-AI77+AI85-AI92+0.000000001)</f>
        <v>0</v>
      </c>
      <c r="AJ78" s="11" t="n">
        <f aca="false">AJ23*Inputs!$F$191*(AJ70-AJ77)/(AJ25-AJ32+AJ40-AJ47+AJ55-AJ62+AJ70-AJ77+AJ85-AJ92+0.000000001)</f>
        <v>0</v>
      </c>
      <c r="AK78" s="11" t="n">
        <f aca="false">AK23*Inputs!$F$191*(AK70-AK77)/(AK25-AK32+AK40-AK47+AK55-AK62+AK70-AK77+AK85-AK92+0.000000001)</f>
        <v>0</v>
      </c>
      <c r="AL78" s="11" t="n">
        <f aca="false">AL23*Inputs!$F$191*(AL70-AL77)/(AL25-AL32+AL40-AL47+AL55-AL62+AL70-AL77+AL85-AL92+0.000000001)</f>
        <v>0</v>
      </c>
      <c r="AM78" s="11" t="n">
        <f aca="false">AM23*Inputs!$F$191*(AM70-AM77)/(AM25-AM32+AM40-AM47+AM55-AM62+AM70-AM77+AM85-AM92+0.000000001)</f>
        <v>0</v>
      </c>
      <c r="AN78" s="11" t="n">
        <f aca="false">AN23*Inputs!$F$191*(AN70-AN77)/(AN25-AN32+AN40-AN47+AN55-AN62+AN70-AN77+AN85-AN92+0.000000001)</f>
        <v>0</v>
      </c>
      <c r="AO78" s="11" t="n">
        <f aca="false">AO23*Inputs!$F$191*(AO70-AO77)/(AO25-AO32+AO40-AO47+AO55-AO62+AO70-AO77+AO85-AO92+0.000000001)</f>
        <v>0</v>
      </c>
      <c r="AP78" s="11" t="n">
        <f aca="false">AP23*Inputs!$F$191*(AP70-AP77)/(AP25-AP32+AP40-AP47+AP55-AP62+AP70-AP77+AP85-AP92+0.000000001)</f>
        <v>0</v>
      </c>
      <c r="AQ78" s="11" t="n">
        <f aca="false">AQ23*Inputs!$F$191*(AQ70-AQ77)/(AQ25-AQ32+AQ40-AQ47+AQ55-AQ62+AQ70-AQ77+AQ85-AQ92+0.000000001)</f>
        <v>0</v>
      </c>
      <c r="AR78" s="11" t="n">
        <f aca="false">AR23*Inputs!$F$191*(AR70-AR77)/(AR25-AR32+AR40-AR47+AR55-AR62+AR70-AR77+AR85-AR92+0.000000001)</f>
        <v>0</v>
      </c>
      <c r="AS78" s="11" t="n">
        <f aca="false">AS23*Inputs!$F$191*(AS70-AS77)/(AS25-AS32+AS40-AS47+AS55-AS62+AS70-AS77+AS85-AS92+0.000000001)</f>
        <v>0</v>
      </c>
      <c r="AT78" s="11" t="n">
        <f aca="false">AT23*Inputs!$F$191*(AT70-AT77)/(AT25-AT32+AT40-AT47+AT55-AT62+AT70-AT77+AT85-AT92+0.000000001)</f>
        <v>0</v>
      </c>
      <c r="AU78" s="11" t="n">
        <f aca="false">AU23*Inputs!$F$191*(AU70-AU77)/(AU25-AU32+AU40-AU47+AU55-AU62+AU70-AU77+AU85-AU92+0.000000001)</f>
        <v>0</v>
      </c>
      <c r="AV78" s="11" t="n">
        <f aca="false">AV23*Inputs!$F$191*(AV70-AV77)/(AV25-AV32+AV40-AV47+AV55-AV62+AV70-AV77+AV85-AV92+0.000000001)</f>
        <v>0</v>
      </c>
      <c r="AW78" s="11" t="n">
        <f aca="false">AW23*Inputs!$F$191*(AW70-AW77)/(AW25-AW32+AW40-AW47+AW55-AW62+AW70-AW77+AW85-AW92+0.000000001)</f>
        <v>0</v>
      </c>
      <c r="AX78" s="11" t="n">
        <f aca="false">AX23*Inputs!$F$191*(AX70-AX77)/(AX25-AX32+AX40-AX47+AX55-AX62+AX70-AX77+AX85-AX92+0.000000001)</f>
        <v>0</v>
      </c>
      <c r="AY78" s="11" t="n">
        <f aca="false">AY23*Inputs!$F$191*(AY70-AY77)/(AY25-AY32+AY40-AY47+AY55-AY62+AY70-AY77+AY85-AY92+0.000000001)</f>
        <v>0</v>
      </c>
      <c r="AZ78" s="11" t="n">
        <f aca="false">AZ23*Inputs!$F$191*(AZ70-AZ77)/(AZ25-AZ32+AZ40-AZ47+AZ55-AZ62+AZ70-AZ77+AZ85-AZ92+0.000000001)</f>
        <v>0</v>
      </c>
      <c r="BA78" s="11" t="n">
        <f aca="false">BA23*Inputs!$F$191*(BA70-BA77)/(BA25-BA32+BA40-BA47+BA55-BA62+BA70-BA77+BA85-BA92+0.000000001)</f>
        <v>0</v>
      </c>
      <c r="BB78" s="11" t="n">
        <f aca="false">BB23*Inputs!$F$191*(BB70-BB77)/(BB25-BB32+BB40-BB47+BB55-BB62+BB70-BB77+BB85-BB92+0.000000001)</f>
        <v>0</v>
      </c>
      <c r="BC78" s="11" t="n">
        <f aca="false">BC23*Inputs!$F$191*(BC70-BC77)/(BC25-BC32+BC40-BC47+BC55-BC62+BC70-BC77+BC85-BC92+0.000000001)</f>
        <v>0</v>
      </c>
      <c r="BD78" s="11" t="n">
        <f aca="false">BD23*Inputs!$F$191*(BD70-BD77)/(BD25-BD32+BD40-BD47+BD55-BD62+BD70-BD77+BD85-BD92+0.000000001)</f>
        <v>0</v>
      </c>
      <c r="BE78" s="11" t="n">
        <f aca="false">BE23*Inputs!$F$191*(BE70-BE77)/(BE25-BE32+BE40-BE47+BE55-BE62+BE70-BE77+BE85-BE92+0.000000001)</f>
        <v>0</v>
      </c>
      <c r="BF78" s="11" t="n">
        <f aca="false">BF23*Inputs!$F$191*(BF70-BF77)/(BF25-BF32+BF40-BF47+BF55-BF62+BF70-BF77+BF85-BF92+0.000000001)</f>
        <v>0</v>
      </c>
      <c r="BG78" s="11" t="n">
        <f aca="false">BG23*Inputs!$F$191*(BG70-BG77)/(BG25-BG32+BG40-BG47+BG55-BG62+BG70-BG77+BG85-BG92+0.000000001)</f>
        <v>0</v>
      </c>
      <c r="BH78" s="11" t="n">
        <f aca="false">BH23*Inputs!$F$191*(BH70-BH77)/(BH25-BH32+BH40-BH47+BH55-BH62+BH70-BH77+BH85-BH92+0.000000001)</f>
        <v>0</v>
      </c>
      <c r="BI78" s="11" t="n">
        <f aca="false">BI23*Inputs!$F$191*(BI70-BI77)/(BI25-BI32+BI40-BI47+BI55-BI62+BI70-BI77+BI85-BI92+0.000000001)</f>
        <v>0</v>
      </c>
      <c r="BJ78" s="11" t="n">
        <f aca="false">BJ23*Inputs!$F$191*(BJ70-BJ77)/(BJ25-BJ32+BJ40-BJ47+BJ55-BJ62+BJ70-BJ77+BJ85-BJ92+0.000000001)</f>
        <v>0</v>
      </c>
      <c r="BK78" s="11" t="n">
        <f aca="false">BK23*Inputs!$F$191*(BK70-BK77)/(BK25-BK32+BK40-BK47+BK55-BK62+BK70-BK77+BK85-BK92+0.000000001)</f>
        <v>0</v>
      </c>
      <c r="BL78" s="11" t="n">
        <f aca="false">BL23*Inputs!$F$191*(BL70-BL77)/(BL25-BL32+BL40-BL47+BL55-BL62+BL70-BL77+BL85-BL92+0.000000001)</f>
        <v>0</v>
      </c>
      <c r="BM78" s="11" t="n">
        <f aca="false">BM23*Inputs!$F$191*(BM70-BM77)/(BM25-BM32+BM40-BM47+BM55-BM62+BM70-BM77+BM85-BM92+0.000000001)</f>
        <v>0</v>
      </c>
      <c r="BN78" s="11" t="n">
        <f aca="false">BN23*Inputs!$F$191*(BN70-BN77)/(BN25-BN32+BN40-BN47+BN55-BN62+BN70-BN77+BN85-BN92+0.000000001)</f>
        <v>0</v>
      </c>
    </row>
    <row r="79" customFormat="false" ht="15" hidden="false" customHeight="false" outlineLevel="0" collapsed="false">
      <c r="D79" s="0" t="s">
        <v>663</v>
      </c>
      <c r="E79" s="0" t="s">
        <v>149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664</v>
      </c>
      <c r="E80" s="0" t="s">
        <v>149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665</v>
      </c>
      <c r="E81" s="0" t="s">
        <v>149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0</v>
      </c>
      <c r="Q81" s="11" t="n">
        <f aca="false">Q70-Q77-Q78-Q79</f>
        <v>243.409008360655</v>
      </c>
      <c r="R81" s="11" t="n">
        <f aca="false">R70-R77-R78-R79</f>
        <v>236.555050010696</v>
      </c>
      <c r="S81" s="11" t="n">
        <f aca="false">S70-S77-S78-S79</f>
        <v>229.499116596311</v>
      </c>
      <c r="T81" s="11" t="n">
        <f aca="false">T70-T77-T78-T79</f>
        <v>222.118612773351</v>
      </c>
      <c r="U81" s="11" t="n">
        <f aca="false">U70-U77-U78-U79</f>
        <v>214.502731690712</v>
      </c>
      <c r="V81" s="11" t="n">
        <f aca="false">V70-V77-V78-V79</f>
        <v>206.389310477737</v>
      </c>
      <c r="W81" s="11" t="n">
        <f aca="false">W70-W77-W78-W79</f>
        <v>198.027866957738</v>
      </c>
      <c r="X81" s="11" t="n">
        <f aca="false">X70-X77-X78-X79</f>
        <v>189.898518157263</v>
      </c>
      <c r="Y81" s="11" t="n">
        <f aca="false">Y70-Y77-Y78-Y79</f>
        <v>181.765344095977</v>
      </c>
      <c r="Z81" s="11" t="n">
        <f aca="false">Z70-Z77-Z78-Z79</f>
        <v>173.295229266297</v>
      </c>
      <c r="AA81" s="11" t="n">
        <f aca="false">AA70-AA77-AA78-AA79</f>
        <v>164.577935250189</v>
      </c>
      <c r="AB81" s="11" t="n">
        <f aca="false">AB70-AB77-AB78-AB79</f>
        <v>150.740854395749</v>
      </c>
      <c r="AC81" s="11" t="n">
        <f aca="false">AC70-AC77-AC78-AC79</f>
        <v>136.067815299745</v>
      </c>
      <c r="AD81" s="11" t="n">
        <f aca="false">AD70-AD77-AD78-AD79</f>
        <v>121.489201970907</v>
      </c>
      <c r="AE81" s="11" t="n">
        <f aca="false">AE70-AE77-AE78-AE79</f>
        <v>106.423146519253</v>
      </c>
      <c r="AF81" s="11" t="n">
        <f aca="false">AF70-AF77-AF78-AF79</f>
        <v>90.6948684294166</v>
      </c>
      <c r="AG81" s="11" t="n">
        <f aca="false">AG70-AG77-AG78-AG79</f>
        <v>74.3937315528644</v>
      </c>
      <c r="AH81" s="11" t="n">
        <f aca="false">AH70-AH77-AH78-AH79</f>
        <v>58.5644595844221</v>
      </c>
      <c r="AI81" s="11" t="n">
        <f aca="false">AI70-AI77-AI78-AI79</f>
        <v>42.5824358034886</v>
      </c>
      <c r="AJ81" s="11" t="n">
        <f aca="false">AJ70-AJ77-AJ78-AJ79</f>
        <v>27.2661688995624</v>
      </c>
      <c r="AK81" s="11" t="n">
        <f aca="false">AK70-AK77-AK78-AK79</f>
        <v>12.5144233480348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666</v>
      </c>
      <c r="E82" s="0" t="s">
        <v>149</v>
      </c>
      <c r="G82" s="11" t="n">
        <f aca="false">SUM(J82:BN82)</f>
        <v>88.5943335226939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4.97968731941094</v>
      </c>
      <c r="AB82" s="11" t="n">
        <f aca="false">Waterfall!AB28*AB81/(AB36+AB51+AB66+AB81+AB96+0.000000001)+Waterfall!AB29</f>
        <v>5.87910907101877</v>
      </c>
      <c r="AC82" s="11" t="n">
        <f aca="false">Waterfall!AC28*AC81/(AC36+AC51+AC66+AC81+AC96+0.000000001)+Waterfall!AC29</f>
        <v>5.3541250244998</v>
      </c>
      <c r="AD82" s="11" t="n">
        <f aca="false">Waterfall!AD28*AD81/(AD36+AD51+AD66+AD81+AD96+0.000000001)+Waterfall!AD29</f>
        <v>5.91338598779726</v>
      </c>
      <c r="AE82" s="11" t="n">
        <f aca="false">Waterfall!AE28*AE81/(AE36+AE51+AE66+AE81+AE96+0.000000001)+Waterfall!AE29</f>
        <v>6.86569944577716</v>
      </c>
      <c r="AF82" s="11" t="n">
        <f aca="false">Waterfall!AF28*AF81/(AF36+AF51+AF66+AF81+AF96+0.000000001)+Waterfall!AF29</f>
        <v>8.07717524116026</v>
      </c>
      <c r="AG82" s="11" t="n">
        <f aca="false">Waterfall!AG28*AG81/(AG36+AG51+AG66+AG81+AG96+0.000000001)+Waterfall!AG29</f>
        <v>8.13714505920316</v>
      </c>
      <c r="AH82" s="11" t="n">
        <f aca="false">Waterfall!AH28*AH81/(AH36+AH51+AH66+AH81+AH96+0.000000001)+Waterfall!AH29</f>
        <v>9.32475500558314</v>
      </c>
      <c r="AI82" s="11" t="n">
        <f aca="false">Waterfall!AI28*AI81/(AI36+AI51+AI66+AI81+AI96+0.000000001)+Waterfall!AI29</f>
        <v>9.97184714188098</v>
      </c>
      <c r="AJ82" s="11" t="n">
        <f aca="false">Waterfall!AJ28*AJ81/(AJ36+AJ51+AJ66+AJ81+AJ96+0.000000001)+Waterfall!AJ29</f>
        <v>11.5769808783277</v>
      </c>
      <c r="AK82" s="11" t="n">
        <f aca="false">Waterfall!AK28*AK81/(AK36+AK51+AK66+AK81+AK96+0.000000001)+Waterfall!AK29</f>
        <v>12.5144233480348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667</v>
      </c>
      <c r="E83" s="0" t="s">
        <v>149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0</v>
      </c>
      <c r="P83" s="11" t="n">
        <f aca="false">IF(Time!P29=1,INDEX(Funding!$J$64:$BJ$64,1,Time!$F$13),Time!P30*(P81-P82))</f>
        <v>249.941199397042</v>
      </c>
      <c r="Q83" s="11" t="n">
        <f aca="false">IF(Time!Q29=1,INDEX(Funding!$J$64:$BJ$64,1,Time!$F$13),Time!Q30*(Q81-Q82))</f>
        <v>243.409008360655</v>
      </c>
      <c r="R83" s="11" t="n">
        <f aca="false">IF(Time!R29=1,INDEX(Funding!$J$64:$BJ$64,1,Time!$F$13),Time!R30*(R81-R82))</f>
        <v>236.555050010696</v>
      </c>
      <c r="S83" s="11" t="n">
        <f aca="false">IF(Time!S29=1,INDEX(Funding!$J$64:$BJ$64,1,Time!$F$13),Time!S30*(S81-S82))</f>
        <v>229.499116596311</v>
      </c>
      <c r="T83" s="11" t="n">
        <f aca="false">IF(Time!T29=1,INDEX(Funding!$J$64:$BJ$64,1,Time!$F$13),Time!T30*(T81-T82))</f>
        <v>222.118612773351</v>
      </c>
      <c r="U83" s="11" t="n">
        <f aca="false">IF(Time!U29=1,INDEX(Funding!$J$64:$BJ$64,1,Time!$F$13),Time!U30*(U81-U82))</f>
        <v>214.502731690712</v>
      </c>
      <c r="V83" s="11" t="n">
        <f aca="false">IF(Time!V29=1,INDEX(Funding!$J$64:$BJ$64,1,Time!$F$13),Time!V30*(V81-V82))</f>
        <v>206.389310477737</v>
      </c>
      <c r="W83" s="11" t="n">
        <f aca="false">IF(Time!W29=1,INDEX(Funding!$J$64:$BJ$64,1,Time!$F$13),Time!W30*(W81-W82))</f>
        <v>198.027866957738</v>
      </c>
      <c r="X83" s="11" t="n">
        <f aca="false">IF(Time!X29=1,INDEX(Funding!$J$64:$BJ$64,1,Time!$F$13),Time!X30*(X81-X82))</f>
        <v>189.898518157263</v>
      </c>
      <c r="Y83" s="11" t="n">
        <f aca="false">IF(Time!Y29=1,INDEX(Funding!$J$64:$BJ$64,1,Time!$F$13),Time!Y30*(Y81-Y82))</f>
        <v>181.765344095977</v>
      </c>
      <c r="Z83" s="11" t="n">
        <f aca="false">IF(Time!Z29=1,INDEX(Funding!$J$64:$BJ$64,1,Time!$F$13),Time!Z30*(Z81-Z82))</f>
        <v>173.295229266297</v>
      </c>
      <c r="AA83" s="11" t="n">
        <f aca="false">IF(Time!AA29=1,INDEX(Funding!$J$64:$BJ$64,1,Time!$F$13),Time!AA30*(AA81-AA82))</f>
        <v>159.598247930778</v>
      </c>
      <c r="AB83" s="11" t="n">
        <f aca="false">IF(Time!AB29=1,INDEX(Funding!$J$64:$BJ$64,1,Time!$F$13),Time!AB30*(AB81-AB82))</f>
        <v>144.86174532473</v>
      </c>
      <c r="AC83" s="11" t="n">
        <f aca="false">IF(Time!AC29=1,INDEX(Funding!$J$64:$BJ$64,1,Time!$F$13),Time!AC30*(AC81-AC82))</f>
        <v>130.713690275245</v>
      </c>
      <c r="AD83" s="11" t="n">
        <f aca="false">IF(Time!AD29=1,INDEX(Funding!$J$64:$BJ$64,1,Time!$F$13),Time!AD30*(AD81-AD82))</f>
        <v>115.57581598311</v>
      </c>
      <c r="AE83" s="11" t="n">
        <f aca="false">IF(Time!AE29=1,INDEX(Funding!$J$64:$BJ$64,1,Time!$F$13),Time!AE30*(AE81-AE82))</f>
        <v>99.5574470734754</v>
      </c>
      <c r="AF83" s="11" t="n">
        <f aca="false">IF(Time!AF29=1,INDEX(Funding!$J$64:$BJ$64,1,Time!$F$13),Time!AF30*(AF81-AF82))</f>
        <v>82.6176931882564</v>
      </c>
      <c r="AG83" s="11" t="n">
        <f aca="false">IF(Time!AG29=1,INDEX(Funding!$J$64:$BJ$64,1,Time!$F$13),Time!AG30*(AG81-AG82))</f>
        <v>66.2565864936613</v>
      </c>
      <c r="AH83" s="11" t="n">
        <f aca="false">IF(Time!AH29=1,INDEX(Funding!$J$64:$BJ$64,1,Time!$F$13),Time!AH30*(AH81-AH82))</f>
        <v>49.239704578839</v>
      </c>
      <c r="AI83" s="11" t="n">
        <f aca="false">IF(Time!AI29=1,INDEX(Funding!$J$64:$BJ$64,1,Time!$F$13),Time!AI30*(AI81-AI82))</f>
        <v>32.6105886616076</v>
      </c>
      <c r="AJ83" s="11" t="n">
        <f aca="false">IF(Time!AJ29=1,INDEX(Funding!$J$64:$BJ$64,1,Time!$F$13),Time!AJ30*(AJ81-AJ82))</f>
        <v>15.6891880212347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194</v>
      </c>
    </row>
    <row r="85" customFormat="false" ht="15" hidden="false" customHeight="false" outlineLevel="0" collapsed="false">
      <c r="D85" s="0" t="s">
        <v>654</v>
      </c>
      <c r="E85" s="0" t="s">
        <v>149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0</v>
      </c>
      <c r="Q85" s="11" t="n">
        <f aca="false">Time!Q30*P98</f>
        <v>1.99840144432528E-013</v>
      </c>
      <c r="R85" s="11" t="n">
        <f aca="false">Time!R30*Q98</f>
        <v>1.94617340015643E-013</v>
      </c>
      <c r="S85" s="11" t="n">
        <f aca="false">Time!S30*R98</f>
        <v>1.89137266982887E-013</v>
      </c>
      <c r="T85" s="11" t="n">
        <f aca="false">Time!T30*S98</f>
        <v>1.83495705063369E-013</v>
      </c>
      <c r="U85" s="11" t="n">
        <f aca="false">Time!U30*T98</f>
        <v>1.77594633317201E-013</v>
      </c>
      <c r="V85" s="11" t="n">
        <f aca="false">Time!V30*U98</f>
        <v>1.71505366004701E-013</v>
      </c>
      <c r="W85" s="11" t="n">
        <f aca="false">Time!W30*V98</f>
        <v>1.65018291160881E-013</v>
      </c>
      <c r="X85" s="11" t="n">
        <f aca="false">Time!X30*W98</f>
        <v>1.58332910420402E-013</v>
      </c>
      <c r="Y85" s="11" t="n">
        <f aca="false">Time!Y30*X98</f>
        <v>1.51833100695762E-013</v>
      </c>
      <c r="Z85" s="11" t="n">
        <f aca="false">Time!Z30*Y98</f>
        <v>1.45330232489066E-013</v>
      </c>
      <c r="AA85" s="11" t="n">
        <f aca="false">Time!AA30*Z98</f>
        <v>1.38557963751432E-013</v>
      </c>
      <c r="AB85" s="11" t="n">
        <f aca="false">Time!AB30*AA98</f>
        <v>1.31588063233061E-013</v>
      </c>
      <c r="AC85" s="11" t="n">
        <f aca="false">Time!AC30*AB98</f>
        <v>1.24285180678403E-013</v>
      </c>
      <c r="AD85" s="11" t="n">
        <f aca="false">Time!AD30*AC98</f>
        <v>1.16740364898513E-013</v>
      </c>
      <c r="AE85" s="11" t="n">
        <f aca="false">Time!AE30*AD98</f>
        <v>1.08501976644132E-013</v>
      </c>
      <c r="AF85" s="11" t="n">
        <f aca="false">Time!AF30*AE98</f>
        <v>9.99094980191564E-014</v>
      </c>
      <c r="AG85" s="11" t="n">
        <f aca="false">Time!AG30*AF98</f>
        <v>9.10155798893582E-014</v>
      </c>
      <c r="AH85" s="11" t="n">
        <f aca="false">Time!AH30*AG98</f>
        <v>8.19556726425237E-014</v>
      </c>
      <c r="AI85" s="11" t="n">
        <f aca="false">Time!AI30*AH98</f>
        <v>7.24409440961224E-014</v>
      </c>
      <c r="AJ85" s="11" t="n">
        <f aca="false">Time!AJ30*AI98</f>
        <v>6.26468391291467E-014</v>
      </c>
      <c r="AK85" s="11" t="n">
        <f aca="false">Time!AK30*AJ98</f>
        <v>5.23798976597445E-014</v>
      </c>
      <c r="AL85" s="11" t="n">
        <f aca="false">Time!AL30*AK98</f>
        <v>4.1780633475332E-014</v>
      </c>
      <c r="AM85" s="11" t="n">
        <f aca="false">Time!AM30*AL98</f>
        <v>3.05418228587455E-014</v>
      </c>
      <c r="AN85" s="11" t="n">
        <f aca="false">Time!AN30*AM98</f>
        <v>1.90694139366766E-014</v>
      </c>
      <c r="AO85" s="11" t="n">
        <f aca="false">Time!AO30*AN98</f>
        <v>9.60481276841922E-015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655</v>
      </c>
      <c r="E86" s="0" t="s">
        <v>149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656</v>
      </c>
      <c r="E87" s="0" t="s">
        <v>149</v>
      </c>
      <c r="G87" s="11" t="n">
        <f aca="false">SUM(J87:BN87)</f>
        <v>1.18493695905764E-013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0</v>
      </c>
      <c r="Q87" s="11" t="n">
        <f aca="false">Q85*Q14</f>
        <v>7.8142899558505E-015</v>
      </c>
      <c r="R87" s="11" t="n">
        <f aca="false">R85*R14</f>
        <v>7.73619784271367E-015</v>
      </c>
      <c r="S87" s="11" t="n">
        <f aca="false">S85*S14</f>
        <v>7.40592187173758E-015</v>
      </c>
      <c r="T87" s="11" t="n">
        <f aca="false">T85*T14</f>
        <v>7.30410770528243E-015</v>
      </c>
      <c r="U87" s="11" t="n">
        <f aca="false">U85*U14</f>
        <v>6.99237429938706E-015</v>
      </c>
      <c r="V87" s="11" t="n">
        <f aca="false">V85*V14</f>
        <v>6.82682826227246E-015</v>
      </c>
      <c r="W87" s="11" t="n">
        <f aca="false">W85*W14</f>
        <v>6.4615112147925E-015</v>
      </c>
      <c r="X87" s="11" t="n">
        <f aca="false">X85*X14</f>
        <v>6.30249427692092E-015</v>
      </c>
      <c r="Y87" s="11" t="n">
        <f aca="false">Y85*Y14</f>
        <v>6.19968853174655E-015</v>
      </c>
      <c r="Z87" s="11" t="n">
        <f aca="false">Z85*Z14</f>
        <v>6.03251800298986E-015</v>
      </c>
      <c r="AA87" s="11" t="n">
        <f aca="false">AA85*AA14</f>
        <v>5.65763469833352E-015</v>
      </c>
      <c r="AB87" s="11" t="n">
        <f aca="false">AB85*AB14</f>
        <v>5.4620937903731E-015</v>
      </c>
      <c r="AC87" s="11" t="n">
        <f aca="false">AC85*AC14</f>
        <v>5.10288253567453E-015</v>
      </c>
      <c r="AD87" s="11" t="n">
        <f aca="false">AD85*AD14</f>
        <v>4.84578013028959E-015</v>
      </c>
      <c r="AE87" s="11" t="n">
        <f aca="false">AE85*AE14</f>
        <v>4.43038084047527E-015</v>
      </c>
      <c r="AF87" s="11" t="n">
        <f aca="false">AF85*AF14</f>
        <v>4.14714705362894E-015</v>
      </c>
      <c r="AG87" s="11" t="n">
        <f aca="false">AG85*AG14</f>
        <v>3.86890712467386E-015</v>
      </c>
      <c r="AH87" s="11" t="n">
        <f aca="false">AH85*AH14</f>
        <v>3.5415292341344E-015</v>
      </c>
      <c r="AI87" s="11" t="n">
        <f aca="false">AI85*AI14</f>
        <v>3.07933306662762E-015</v>
      </c>
      <c r="AJ87" s="11" t="n">
        <f aca="false">AJ85*AJ14</f>
        <v>2.70714161751471E-015</v>
      </c>
      <c r="AK87" s="11" t="n">
        <f aca="false">AK85*AK14</f>
        <v>2.23887590566667E-015</v>
      </c>
      <c r="AL87" s="11" t="n">
        <f aca="false">AL85*AL14</f>
        <v>1.80545568235344E-015</v>
      </c>
      <c r="AM87" s="11" t="n">
        <f aca="false">AM85*AM14</f>
        <v>1.29827746197268E-015</v>
      </c>
      <c r="AN87" s="11" t="n">
        <f aca="false">AN85*AN14</f>
        <v>8.24041640523474E-016</v>
      </c>
      <c r="AO87" s="11" t="n">
        <f aca="false">AO85*AO14</f>
        <v>4.08283159828995E-016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657</v>
      </c>
      <c r="E88" s="0" t="s">
        <v>149</v>
      </c>
      <c r="G88" s="11" t="n">
        <f aca="false">SUM(J88:BN88)</f>
        <v>1.99840144432528E-013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0</v>
      </c>
      <c r="Q88" s="11" t="n">
        <f aca="false">Time!Q30*(Q85-Q86)*Q19</f>
        <v>5.22280441688534E-015</v>
      </c>
      <c r="R88" s="11" t="n">
        <f aca="false">Time!R30*(R85-R86)*R19</f>
        <v>5.48007303275591E-015</v>
      </c>
      <c r="S88" s="11" t="n">
        <f aca="false">Time!S30*(S85-S86)*S19</f>
        <v>5.64156191951774E-015</v>
      </c>
      <c r="T88" s="11" t="n">
        <f aca="false">Time!T30*(T85-T86)*T19</f>
        <v>5.90107174616793E-015</v>
      </c>
      <c r="U88" s="11" t="n">
        <f aca="false">Time!U30*(U85-U86)*U19</f>
        <v>6.08926731250015E-015</v>
      </c>
      <c r="V88" s="11" t="n">
        <f aca="false">Time!V30*(V85-V86)*V19</f>
        <v>6.48707484382043E-015</v>
      </c>
      <c r="W88" s="11" t="n">
        <f aca="false">Time!W30*(W85-W86)*W19</f>
        <v>6.68538074047836E-015</v>
      </c>
      <c r="X88" s="11" t="n">
        <f aca="false">Time!X30*(X85-X86)*X19</f>
        <v>6.49980972464082E-015</v>
      </c>
      <c r="Y88" s="11" t="n">
        <f aca="false">Time!Y30*(Y85-Y86)*Y19</f>
        <v>6.50286820669511E-015</v>
      </c>
      <c r="Z88" s="11" t="n">
        <f aca="false">Time!Z30*(Z85-Z86)*Z19</f>
        <v>6.7722687376343E-015</v>
      </c>
      <c r="AA88" s="11" t="n">
        <f aca="false">Time!AA30*(AA85-AA86)*AA19</f>
        <v>6.96990051837117E-015</v>
      </c>
      <c r="AB88" s="11" t="n">
        <f aca="false">Time!AB30*(AB85-AB86)*AB19</f>
        <v>7.3028825546575E-015</v>
      </c>
      <c r="AC88" s="11" t="n">
        <f aca="false">Time!AC30*(AC85-AC86)*AC19</f>
        <v>7.54481577989053E-015</v>
      </c>
      <c r="AD88" s="11" t="n">
        <f aca="false">Time!AD30*(AD85-AD86)*AD19</f>
        <v>8.23838825438139E-015</v>
      </c>
      <c r="AE88" s="11" t="n">
        <f aca="false">Time!AE30*(AE85-AE86)*AE19</f>
        <v>8.59247862497514E-015</v>
      </c>
      <c r="AF88" s="11" t="n">
        <f aca="false">Time!AF30*(AF85-AF86)*AF19</f>
        <v>8.89391812979818E-015</v>
      </c>
      <c r="AG88" s="11" t="n">
        <f aca="false">Time!AG30*(AG85-AG86)*AG19</f>
        <v>9.05990724683451E-015</v>
      </c>
      <c r="AH88" s="11" t="n">
        <f aca="false">Time!AH30*(AH85-AH86)*AH19</f>
        <v>9.51472854640137E-015</v>
      </c>
      <c r="AI88" s="11" t="n">
        <f aca="false">Time!AI30*(AI85-AI86)*AI19</f>
        <v>9.79410496697562E-015</v>
      </c>
      <c r="AJ88" s="11" t="n">
        <f aca="false">Time!AJ30*(AJ85-AJ86)*AJ19</f>
        <v>1.02669414694022E-014</v>
      </c>
      <c r="AK88" s="11" t="n">
        <f aca="false">Time!AK30*(AK85-AK86)*AK19</f>
        <v>1.05992641844125E-014</v>
      </c>
      <c r="AL88" s="11" t="n">
        <f aca="false">Time!AL30*(AL85-AL86)*AL19</f>
        <v>1.12388106165865E-014</v>
      </c>
      <c r="AM88" s="11" t="n">
        <f aca="false">Time!AM30*(AM85-AM86)*AM19</f>
        <v>1.14724089220689E-014</v>
      </c>
      <c r="AN88" s="11" t="n">
        <f aca="false">Time!AN30*(AN85-AN86)*AN19</f>
        <v>9.46460116825737E-015</v>
      </c>
      <c r="AO88" s="11" t="n">
        <f aca="false">Time!AO30*(AO85-AO86)*AO19</f>
        <v>9.60481276841922E-015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658</v>
      </c>
      <c r="E89" s="0" t="s">
        <v>149</v>
      </c>
      <c r="G89" s="11" t="n">
        <f aca="false">SUM(J89:BN89)</f>
        <v>0</v>
      </c>
      <c r="J89" s="11" t="n">
        <f aca="false">J21*Inputs!$F$194*J88</f>
        <v>0</v>
      </c>
      <c r="K89" s="11" t="n">
        <f aca="false">K21*Inputs!$F$194*K88</f>
        <v>0</v>
      </c>
      <c r="L89" s="11" t="n">
        <f aca="false">L21*Inputs!$F$194*L88</f>
        <v>0</v>
      </c>
      <c r="M89" s="11" t="n">
        <f aca="false">M21*Inputs!$F$194*M88</f>
        <v>0</v>
      </c>
      <c r="N89" s="11" t="n">
        <f aca="false">N21*Inputs!$F$194*N88</f>
        <v>0</v>
      </c>
      <c r="O89" s="11" t="n">
        <f aca="false">O21*Inputs!$F$194*O88</f>
        <v>0</v>
      </c>
      <c r="P89" s="11" t="n">
        <f aca="false">P21*Inputs!$F$194*P88</f>
        <v>0</v>
      </c>
      <c r="Q89" s="11" t="n">
        <f aca="false">Q21*Inputs!$F$194*Q88</f>
        <v>0</v>
      </c>
      <c r="R89" s="11" t="n">
        <f aca="false">R21*Inputs!$F$194*R88</f>
        <v>0</v>
      </c>
      <c r="S89" s="11" t="n">
        <f aca="false">S21*Inputs!$F$194*S88</f>
        <v>0</v>
      </c>
      <c r="T89" s="11" t="n">
        <f aca="false">T21*Inputs!$F$194*T88</f>
        <v>0</v>
      </c>
      <c r="U89" s="11" t="n">
        <f aca="false">U21*Inputs!$F$194*U88</f>
        <v>0</v>
      </c>
      <c r="V89" s="11" t="n">
        <f aca="false">V21*Inputs!$F$194*V88</f>
        <v>0</v>
      </c>
      <c r="W89" s="11" t="n">
        <f aca="false">W21*Inputs!$F$194*W88</f>
        <v>0</v>
      </c>
      <c r="X89" s="11" t="n">
        <f aca="false">X21*Inputs!$F$194*X88</f>
        <v>0</v>
      </c>
      <c r="Y89" s="11" t="n">
        <f aca="false">Y21*Inputs!$F$194*Y88</f>
        <v>0</v>
      </c>
      <c r="Z89" s="11" t="n">
        <f aca="false">Z21*Inputs!$F$194*Z88</f>
        <v>0</v>
      </c>
      <c r="AA89" s="11" t="n">
        <f aca="false">AA21*Inputs!$F$194*AA88</f>
        <v>0</v>
      </c>
      <c r="AB89" s="11" t="n">
        <f aca="false">AB21*Inputs!$F$194*AB88</f>
        <v>0</v>
      </c>
      <c r="AC89" s="11" t="n">
        <f aca="false">AC21*Inputs!$F$194*AC88</f>
        <v>0</v>
      </c>
      <c r="AD89" s="11" t="n">
        <f aca="false">AD21*Inputs!$F$194*AD88</f>
        <v>0</v>
      </c>
      <c r="AE89" s="11" t="n">
        <f aca="false">AE21*Inputs!$F$194*AE88</f>
        <v>0</v>
      </c>
      <c r="AF89" s="11" t="n">
        <f aca="false">AF21*Inputs!$F$194*AF88</f>
        <v>0</v>
      </c>
      <c r="AG89" s="11" t="n">
        <f aca="false">AG21*Inputs!$F$194*AG88</f>
        <v>0</v>
      </c>
      <c r="AH89" s="11" t="n">
        <f aca="false">AH21*Inputs!$F$194*AH88</f>
        <v>0</v>
      </c>
      <c r="AI89" s="11" t="n">
        <f aca="false">AI21*Inputs!$F$194*AI88</f>
        <v>0</v>
      </c>
      <c r="AJ89" s="11" t="n">
        <f aca="false">AJ21*Inputs!$F$194*AJ88</f>
        <v>0</v>
      </c>
      <c r="AK89" s="11" t="n">
        <f aca="false">AK21*Inputs!$F$194*AK88</f>
        <v>0</v>
      </c>
      <c r="AL89" s="11" t="n">
        <f aca="false">AL21*Inputs!$F$194*AL88</f>
        <v>0</v>
      </c>
      <c r="AM89" s="11" t="n">
        <f aca="false">AM21*Inputs!$F$194*AM88</f>
        <v>0</v>
      </c>
      <c r="AN89" s="11" t="n">
        <f aca="false">AN21*Inputs!$F$194*AN88</f>
        <v>0</v>
      </c>
      <c r="AO89" s="11" t="n">
        <f aca="false">AO21*Inputs!$F$194*AO88</f>
        <v>0</v>
      </c>
      <c r="AP89" s="11" t="n">
        <f aca="false">AP21*Inputs!$F$194*AP88</f>
        <v>0</v>
      </c>
      <c r="AQ89" s="11" t="n">
        <f aca="false">AQ21*Inputs!$F$194*AQ88</f>
        <v>0</v>
      </c>
      <c r="AR89" s="11" t="n">
        <f aca="false">AR21*Inputs!$F$194*AR88</f>
        <v>0</v>
      </c>
      <c r="AS89" s="11" t="n">
        <f aca="false">AS21*Inputs!$F$194*AS88</f>
        <v>0</v>
      </c>
      <c r="AT89" s="11" t="n">
        <f aca="false">AT21*Inputs!$F$194*AT88</f>
        <v>0</v>
      </c>
      <c r="AU89" s="11" t="n">
        <f aca="false">AU21*Inputs!$F$194*AU88</f>
        <v>0</v>
      </c>
      <c r="AV89" s="11" t="n">
        <f aca="false">AV21*Inputs!$F$194*AV88</f>
        <v>0</v>
      </c>
      <c r="AW89" s="11" t="n">
        <f aca="false">AW21*Inputs!$F$194*AW88</f>
        <v>0</v>
      </c>
      <c r="AX89" s="11" t="n">
        <f aca="false">AX21*Inputs!$F$194*AX88</f>
        <v>0</v>
      </c>
      <c r="AY89" s="11" t="n">
        <f aca="false">AY21*Inputs!$F$194*AY88</f>
        <v>0</v>
      </c>
      <c r="AZ89" s="11" t="n">
        <f aca="false">AZ21*Inputs!$F$194*AZ88</f>
        <v>0</v>
      </c>
      <c r="BA89" s="11" t="n">
        <f aca="false">BA21*Inputs!$F$194*BA88</f>
        <v>0</v>
      </c>
      <c r="BB89" s="11" t="n">
        <f aca="false">BB21*Inputs!$F$194*BB88</f>
        <v>0</v>
      </c>
      <c r="BC89" s="11" t="n">
        <f aca="false">BC21*Inputs!$F$194*BC88</f>
        <v>0</v>
      </c>
      <c r="BD89" s="11" t="n">
        <f aca="false">BD21*Inputs!$F$194*BD88</f>
        <v>0</v>
      </c>
      <c r="BE89" s="11" t="n">
        <f aca="false">BE21*Inputs!$F$194*BE88</f>
        <v>0</v>
      </c>
      <c r="BF89" s="11" t="n">
        <f aca="false">BF21*Inputs!$F$194*BF88</f>
        <v>0</v>
      </c>
      <c r="BG89" s="11" t="n">
        <f aca="false">BG21*Inputs!$F$194*BG88</f>
        <v>0</v>
      </c>
      <c r="BH89" s="11" t="n">
        <f aca="false">BH21*Inputs!$F$194*BH88</f>
        <v>0</v>
      </c>
      <c r="BI89" s="11" t="n">
        <f aca="false">BI21*Inputs!$F$194*BI88</f>
        <v>0</v>
      </c>
      <c r="BJ89" s="11" t="n">
        <f aca="false">BJ21*Inputs!$F$194*BJ88</f>
        <v>0</v>
      </c>
      <c r="BK89" s="11" t="n">
        <f aca="false">BK21*Inputs!$F$194*BK88</f>
        <v>0</v>
      </c>
      <c r="BL89" s="11" t="n">
        <f aca="false">BL21*Inputs!$F$194*BL88</f>
        <v>0</v>
      </c>
      <c r="BM89" s="11" t="n">
        <f aca="false">BM21*Inputs!$F$194*BM88</f>
        <v>0</v>
      </c>
      <c r="BN89" s="11" t="n">
        <f aca="false">BN21*Inputs!$F$194*BN88</f>
        <v>0</v>
      </c>
    </row>
    <row r="90" customFormat="false" ht="15" hidden="false" customHeight="false" outlineLevel="0" collapsed="false">
      <c r="D90" s="0" t="s">
        <v>659</v>
      </c>
      <c r="E90" s="0" t="s">
        <v>149</v>
      </c>
      <c r="F90" s="15" t="n">
        <f aca="false">$T$89</f>
        <v>0</v>
      </c>
    </row>
    <row r="91" customFormat="false" ht="15" hidden="false" customHeight="false" outlineLevel="0" collapsed="false">
      <c r="D91" s="0" t="s">
        <v>660</v>
      </c>
      <c r="E91" s="0" t="s">
        <v>149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661</v>
      </c>
      <c r="E92" s="0" t="s">
        <v>149</v>
      </c>
      <c r="G92" s="11" t="n">
        <f aca="false">SUM(J92:BN92)</f>
        <v>1.99840144432528E-013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0</v>
      </c>
      <c r="Q92" s="11" t="n">
        <f aca="false">Q88-Q89+Q91</f>
        <v>5.22280441688534E-015</v>
      </c>
      <c r="R92" s="11" t="n">
        <f aca="false">R88-R89+R91</f>
        <v>5.48007303275591E-015</v>
      </c>
      <c r="S92" s="11" t="n">
        <f aca="false">S88-S89+S91</f>
        <v>5.64156191951774E-015</v>
      </c>
      <c r="T92" s="11" t="n">
        <f aca="false">T88-T89+T91</f>
        <v>5.90107174616793E-015</v>
      </c>
      <c r="U92" s="11" t="n">
        <f aca="false">U88-U89+U91</f>
        <v>6.08926731250015E-015</v>
      </c>
      <c r="V92" s="11" t="n">
        <f aca="false">V88-V89+V91</f>
        <v>6.48707484382043E-015</v>
      </c>
      <c r="W92" s="11" t="n">
        <f aca="false">W88-W89+W91</f>
        <v>6.68538074047836E-015</v>
      </c>
      <c r="X92" s="11" t="n">
        <f aca="false">X88-X89+X91</f>
        <v>6.49980972464082E-015</v>
      </c>
      <c r="Y92" s="11" t="n">
        <f aca="false">Y88-Y89+Y91</f>
        <v>6.50286820669511E-015</v>
      </c>
      <c r="Z92" s="11" t="n">
        <f aca="false">Z88-Z89+Z91</f>
        <v>6.7722687376343E-015</v>
      </c>
      <c r="AA92" s="11" t="n">
        <f aca="false">AA88-AA89+AA91</f>
        <v>6.96990051837117E-015</v>
      </c>
      <c r="AB92" s="11" t="n">
        <f aca="false">AB88-AB89+AB91</f>
        <v>7.3028825546575E-015</v>
      </c>
      <c r="AC92" s="11" t="n">
        <f aca="false">AC88-AC89+AC91</f>
        <v>7.54481577989053E-015</v>
      </c>
      <c r="AD92" s="11" t="n">
        <f aca="false">AD88-AD89+AD91</f>
        <v>8.23838825438139E-015</v>
      </c>
      <c r="AE92" s="11" t="n">
        <f aca="false">AE88-AE89+AE91</f>
        <v>8.59247862497514E-015</v>
      </c>
      <c r="AF92" s="11" t="n">
        <f aca="false">AF88-AF89+AF91</f>
        <v>8.89391812979818E-015</v>
      </c>
      <c r="AG92" s="11" t="n">
        <f aca="false">AG88-AG89+AG91</f>
        <v>9.05990724683451E-015</v>
      </c>
      <c r="AH92" s="11" t="n">
        <f aca="false">AH88-AH89+AH91</f>
        <v>9.51472854640137E-015</v>
      </c>
      <c r="AI92" s="11" t="n">
        <f aca="false">AI88-AI89+AI91</f>
        <v>9.79410496697562E-015</v>
      </c>
      <c r="AJ92" s="11" t="n">
        <f aca="false">AJ88-AJ89+AJ91</f>
        <v>1.02669414694022E-014</v>
      </c>
      <c r="AK92" s="11" t="n">
        <f aca="false">AK88-AK89+AK91</f>
        <v>1.05992641844125E-014</v>
      </c>
      <c r="AL92" s="11" t="n">
        <f aca="false">AL88-AL89+AL91</f>
        <v>1.12388106165865E-014</v>
      </c>
      <c r="AM92" s="11" t="n">
        <f aca="false">AM88-AM89+AM91</f>
        <v>1.14724089220689E-014</v>
      </c>
      <c r="AN92" s="11" t="n">
        <f aca="false">AN88-AN89+AN91</f>
        <v>9.46460116825737E-015</v>
      </c>
      <c r="AO92" s="11" t="n">
        <f aca="false">AO88-AO89+AO91</f>
        <v>9.60481276841922E-015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662</v>
      </c>
      <c r="E93" s="0" t="s">
        <v>149</v>
      </c>
      <c r="G93" s="11" t="n">
        <f aca="false">SUM(J93:BN93)</f>
        <v>0</v>
      </c>
      <c r="J93" s="11" t="n">
        <f aca="false">J23*Inputs!$F$191*(J85-J92)/(J25-J32+J40-J47+J55-J62+J70-J77+J85-J92+0.000000001)</f>
        <v>0</v>
      </c>
      <c r="K93" s="11" t="n">
        <f aca="false">K23*Inputs!$F$191*(K85-K92)/(K25-K32+K40-K47+K55-K62+K70-K77+K85-K92+0.000000001)</f>
        <v>0</v>
      </c>
      <c r="L93" s="11" t="n">
        <f aca="false">L23*Inputs!$F$191*(L85-L92)/(L25-L32+L40-L47+L55-L62+L70-L77+L85-L92+0.000000001)</f>
        <v>0</v>
      </c>
      <c r="M93" s="11" t="n">
        <f aca="false">M23*Inputs!$F$191*(M85-M92)/(M25-M32+M40-M47+M55-M62+M70-M77+M85-M92+0.000000001)</f>
        <v>0</v>
      </c>
      <c r="N93" s="11" t="n">
        <f aca="false">N23*Inputs!$F$191*(N85-N92)/(N25-N32+N40-N47+N55-N62+N70-N77+N85-N92+0.000000001)</f>
        <v>0</v>
      </c>
      <c r="O93" s="11" t="n">
        <f aca="false">O23*Inputs!$F$191*(O85-O92)/(O25-O32+O40-O47+O55-O62+O70-O77+O85-O92+0.000000001)</f>
        <v>0</v>
      </c>
      <c r="P93" s="11" t="n">
        <f aca="false">P23*Inputs!$F$191*(P85-P92)/(P25-P32+P40-P47+P55-P62+P70-P77+P85-P92+0.000000001)</f>
        <v>0</v>
      </c>
      <c r="Q93" s="11" t="n">
        <f aca="false">Q23*Inputs!$F$191*(Q85-Q92)/(Q25-Q32+Q40-Q47+Q55-Q62+Q70-Q77+Q85-Q92+0.000000001)</f>
        <v>0</v>
      </c>
      <c r="R93" s="11" t="n">
        <f aca="false">R23*Inputs!$F$191*(R85-R92)/(R25-R32+R40-R47+R55-R62+R70-R77+R85-R92+0.000000001)</f>
        <v>0</v>
      </c>
      <c r="S93" s="11" t="n">
        <f aca="false">S23*Inputs!$F$191*(S85-S92)/(S25-S32+S40-S47+S55-S62+S70-S77+S85-S92+0.000000001)</f>
        <v>0</v>
      </c>
      <c r="T93" s="11" t="n">
        <f aca="false">T23*Inputs!$F$191*(T85-T92)/(T25-T32+T40-T47+T55-T62+T70-T77+T85-T92+0.000000001)</f>
        <v>0</v>
      </c>
      <c r="U93" s="11" t="n">
        <f aca="false">U23*Inputs!$F$191*(U85-U92)/(U25-U32+U40-U47+U55-U62+U70-U77+U85-U92+0.000000001)</f>
        <v>0</v>
      </c>
      <c r="V93" s="11" t="n">
        <f aca="false">V23*Inputs!$F$191*(V85-V92)/(V25-V32+V40-V47+V55-V62+V70-V77+V85-V92+0.000000001)</f>
        <v>0</v>
      </c>
      <c r="W93" s="11" t="n">
        <f aca="false">W23*Inputs!$F$191*(W85-W92)/(W25-W32+W40-W47+W55-W62+W70-W77+W85-W92+0.000000001)</f>
        <v>0</v>
      </c>
      <c r="X93" s="11" t="n">
        <f aca="false">X23*Inputs!$F$191*(X85-X92)/(X25-X32+X40-X47+X55-X62+X70-X77+X85-X92+0.000000001)</f>
        <v>0</v>
      </c>
      <c r="Y93" s="11" t="n">
        <f aca="false">Y23*Inputs!$F$191*(Y85-Y92)/(Y25-Y32+Y40-Y47+Y55-Y62+Y70-Y77+Y85-Y92+0.000000001)</f>
        <v>0</v>
      </c>
      <c r="Z93" s="11" t="n">
        <f aca="false">Z23*Inputs!$F$191*(Z85-Z92)/(Z25-Z32+Z40-Z47+Z55-Z62+Z70-Z77+Z85-Z92+0.000000001)</f>
        <v>0</v>
      </c>
      <c r="AA93" s="11" t="n">
        <f aca="false">AA23*Inputs!$F$191*(AA85-AA92)/(AA25-AA32+AA40-AA47+AA55-AA62+AA70-AA77+AA85-AA92+0.000000001)</f>
        <v>0</v>
      </c>
      <c r="AB93" s="11" t="n">
        <f aca="false">AB23*Inputs!$F$191*(AB85-AB92)/(AB25-AB32+AB40-AB47+AB55-AB62+AB70-AB77+AB85-AB92+0.000000001)</f>
        <v>0</v>
      </c>
      <c r="AC93" s="11" t="n">
        <f aca="false">AC23*Inputs!$F$191*(AC85-AC92)/(AC25-AC32+AC40-AC47+AC55-AC62+AC70-AC77+AC85-AC92+0.000000001)</f>
        <v>0</v>
      </c>
      <c r="AD93" s="11" t="n">
        <f aca="false">AD23*Inputs!$F$191*(AD85-AD92)/(AD25-AD32+AD40-AD47+AD55-AD62+AD70-AD77+AD85-AD92+0.000000001)</f>
        <v>0</v>
      </c>
      <c r="AE93" s="11" t="n">
        <f aca="false">AE23*Inputs!$F$191*(AE85-AE92)/(AE25-AE32+AE40-AE47+AE55-AE62+AE70-AE77+AE85-AE92+0.000000001)</f>
        <v>0</v>
      </c>
      <c r="AF93" s="11" t="n">
        <f aca="false">AF23*Inputs!$F$191*(AF85-AF92)/(AF25-AF32+AF40-AF47+AF55-AF62+AF70-AF77+AF85-AF92+0.000000001)</f>
        <v>0</v>
      </c>
      <c r="AG93" s="11" t="n">
        <f aca="false">AG23*Inputs!$F$191*(AG85-AG92)/(AG25-AG32+AG40-AG47+AG55-AG62+AG70-AG77+AG85-AG92+0.000000001)</f>
        <v>0</v>
      </c>
      <c r="AH93" s="11" t="n">
        <f aca="false">AH23*Inputs!$F$191*(AH85-AH92)/(AH25-AH32+AH40-AH47+AH55-AH62+AH70-AH77+AH85-AH92+0.000000001)</f>
        <v>0</v>
      </c>
      <c r="AI93" s="11" t="n">
        <f aca="false">AI23*Inputs!$F$191*(AI85-AI92)/(AI25-AI32+AI40-AI47+AI55-AI62+AI70-AI77+AI85-AI92+0.000000001)</f>
        <v>0</v>
      </c>
      <c r="AJ93" s="11" t="n">
        <f aca="false">AJ23*Inputs!$F$191*(AJ85-AJ92)/(AJ25-AJ32+AJ40-AJ47+AJ55-AJ62+AJ70-AJ77+AJ85-AJ92+0.000000001)</f>
        <v>0</v>
      </c>
      <c r="AK93" s="11" t="n">
        <f aca="false">AK23*Inputs!$F$191*(AK85-AK92)/(AK25-AK32+AK40-AK47+AK55-AK62+AK70-AK77+AK85-AK92+0.000000001)</f>
        <v>0</v>
      </c>
      <c r="AL93" s="11" t="n">
        <f aca="false">AL23*Inputs!$F$191*(AL85-AL92)/(AL25-AL32+AL40-AL47+AL55-AL62+AL70-AL77+AL85-AL92+0.000000001)</f>
        <v>0</v>
      </c>
      <c r="AM93" s="11" t="n">
        <f aca="false">AM23*Inputs!$F$191*(AM85-AM92)/(AM25-AM32+AM40-AM47+AM55-AM62+AM70-AM77+AM85-AM92+0.000000001)</f>
        <v>0</v>
      </c>
      <c r="AN93" s="11" t="n">
        <f aca="false">AN23*Inputs!$F$191*(AN85-AN92)/(AN25-AN32+AN40-AN47+AN55-AN62+AN70-AN77+AN85-AN92+0.000000001)</f>
        <v>0</v>
      </c>
      <c r="AO93" s="11" t="n">
        <f aca="false">AO23*Inputs!$F$191*(AO85-AO92)/(AO25-AO32+AO40-AO47+AO55-AO62+AO70-AO77+AO85-AO92+0.000000001)</f>
        <v>0</v>
      </c>
      <c r="AP93" s="11" t="n">
        <f aca="false">AP23*Inputs!$F$191*(AP85-AP92)/(AP25-AP32+AP40-AP47+AP55-AP62+AP70-AP77+AP85-AP92+0.000000001)</f>
        <v>0</v>
      </c>
      <c r="AQ93" s="11" t="n">
        <f aca="false">AQ23*Inputs!$F$191*(AQ85-AQ92)/(AQ25-AQ32+AQ40-AQ47+AQ55-AQ62+AQ70-AQ77+AQ85-AQ92+0.000000001)</f>
        <v>0</v>
      </c>
      <c r="AR93" s="11" t="n">
        <f aca="false">AR23*Inputs!$F$191*(AR85-AR92)/(AR25-AR32+AR40-AR47+AR55-AR62+AR70-AR77+AR85-AR92+0.000000001)</f>
        <v>0</v>
      </c>
      <c r="AS93" s="11" t="n">
        <f aca="false">AS23*Inputs!$F$191*(AS85-AS92)/(AS25-AS32+AS40-AS47+AS55-AS62+AS70-AS77+AS85-AS92+0.000000001)</f>
        <v>0</v>
      </c>
      <c r="AT93" s="11" t="n">
        <f aca="false">AT23*Inputs!$F$191*(AT85-AT92)/(AT25-AT32+AT40-AT47+AT55-AT62+AT70-AT77+AT85-AT92+0.000000001)</f>
        <v>0</v>
      </c>
      <c r="AU93" s="11" t="n">
        <f aca="false">AU23*Inputs!$F$191*(AU85-AU92)/(AU25-AU32+AU40-AU47+AU55-AU62+AU70-AU77+AU85-AU92+0.000000001)</f>
        <v>0</v>
      </c>
      <c r="AV93" s="11" t="n">
        <f aca="false">AV23*Inputs!$F$191*(AV85-AV92)/(AV25-AV32+AV40-AV47+AV55-AV62+AV70-AV77+AV85-AV92+0.000000001)</f>
        <v>0</v>
      </c>
      <c r="AW93" s="11" t="n">
        <f aca="false">AW23*Inputs!$F$191*(AW85-AW92)/(AW25-AW32+AW40-AW47+AW55-AW62+AW70-AW77+AW85-AW92+0.000000001)</f>
        <v>0</v>
      </c>
      <c r="AX93" s="11" t="n">
        <f aca="false">AX23*Inputs!$F$191*(AX85-AX92)/(AX25-AX32+AX40-AX47+AX55-AX62+AX70-AX77+AX85-AX92+0.000000001)</f>
        <v>0</v>
      </c>
      <c r="AY93" s="11" t="n">
        <f aca="false">AY23*Inputs!$F$191*(AY85-AY92)/(AY25-AY32+AY40-AY47+AY55-AY62+AY70-AY77+AY85-AY92+0.000000001)</f>
        <v>0</v>
      </c>
      <c r="AZ93" s="11" t="n">
        <f aca="false">AZ23*Inputs!$F$191*(AZ85-AZ92)/(AZ25-AZ32+AZ40-AZ47+AZ55-AZ62+AZ70-AZ77+AZ85-AZ92+0.000000001)</f>
        <v>0</v>
      </c>
      <c r="BA93" s="11" t="n">
        <f aca="false">BA23*Inputs!$F$191*(BA85-BA92)/(BA25-BA32+BA40-BA47+BA55-BA62+BA70-BA77+BA85-BA92+0.000000001)</f>
        <v>0</v>
      </c>
      <c r="BB93" s="11" t="n">
        <f aca="false">BB23*Inputs!$F$191*(BB85-BB92)/(BB25-BB32+BB40-BB47+BB55-BB62+BB70-BB77+BB85-BB92+0.000000001)</f>
        <v>0</v>
      </c>
      <c r="BC93" s="11" t="n">
        <f aca="false">BC23*Inputs!$F$191*(BC85-BC92)/(BC25-BC32+BC40-BC47+BC55-BC62+BC70-BC77+BC85-BC92+0.000000001)</f>
        <v>0</v>
      </c>
      <c r="BD93" s="11" t="n">
        <f aca="false">BD23*Inputs!$F$191*(BD85-BD92)/(BD25-BD32+BD40-BD47+BD55-BD62+BD70-BD77+BD85-BD92+0.000000001)</f>
        <v>0</v>
      </c>
      <c r="BE93" s="11" t="n">
        <f aca="false">BE23*Inputs!$F$191*(BE85-BE92)/(BE25-BE32+BE40-BE47+BE55-BE62+BE70-BE77+BE85-BE92+0.000000001)</f>
        <v>0</v>
      </c>
      <c r="BF93" s="11" t="n">
        <f aca="false">BF23*Inputs!$F$191*(BF85-BF92)/(BF25-BF32+BF40-BF47+BF55-BF62+BF70-BF77+BF85-BF92+0.000000001)</f>
        <v>0</v>
      </c>
      <c r="BG93" s="11" t="n">
        <f aca="false">BG23*Inputs!$F$191*(BG85-BG92)/(BG25-BG32+BG40-BG47+BG55-BG62+BG70-BG77+BG85-BG92+0.000000001)</f>
        <v>0</v>
      </c>
      <c r="BH93" s="11" t="n">
        <f aca="false">BH23*Inputs!$F$191*(BH85-BH92)/(BH25-BH32+BH40-BH47+BH55-BH62+BH70-BH77+BH85-BH92+0.000000001)</f>
        <v>0</v>
      </c>
      <c r="BI93" s="11" t="n">
        <f aca="false">BI23*Inputs!$F$191*(BI85-BI92)/(BI25-BI32+BI40-BI47+BI55-BI62+BI70-BI77+BI85-BI92+0.000000001)</f>
        <v>0</v>
      </c>
      <c r="BJ93" s="11" t="n">
        <f aca="false">BJ23*Inputs!$F$191*(BJ85-BJ92)/(BJ25-BJ32+BJ40-BJ47+BJ55-BJ62+BJ70-BJ77+BJ85-BJ92+0.000000001)</f>
        <v>0</v>
      </c>
      <c r="BK93" s="11" t="n">
        <f aca="false">BK23*Inputs!$F$191*(BK85-BK92)/(BK25-BK32+BK40-BK47+BK55-BK62+BK70-BK77+BK85-BK92+0.000000001)</f>
        <v>0</v>
      </c>
      <c r="BL93" s="11" t="n">
        <f aca="false">BL23*Inputs!$F$191*(BL85-BL92)/(BL25-BL32+BL40-BL47+BL55-BL62+BL70-BL77+BL85-BL92+0.000000001)</f>
        <v>0</v>
      </c>
      <c r="BM93" s="11" t="n">
        <f aca="false">BM23*Inputs!$F$191*(BM85-BM92)/(BM25-BM32+BM40-BM47+BM55-BM62+BM70-BM77+BM85-BM92+0.000000001)</f>
        <v>0</v>
      </c>
      <c r="BN93" s="11" t="n">
        <f aca="false">BN23*Inputs!$F$191*(BN85-BN92)/(BN25-BN32+BN40-BN47+BN55-BN62+BN70-BN77+BN85-BN92+0.000000001)</f>
        <v>0</v>
      </c>
    </row>
    <row r="94" customFormat="false" ht="15" hidden="false" customHeight="false" outlineLevel="0" collapsed="false">
      <c r="D94" s="0" t="s">
        <v>663</v>
      </c>
      <c r="E94" s="0" t="s">
        <v>149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664</v>
      </c>
      <c r="E95" s="0" t="s">
        <v>149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665</v>
      </c>
      <c r="E96" s="0" t="s">
        <v>149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0</v>
      </c>
      <c r="Q96" s="11" t="n">
        <f aca="false">Q85-Q92-Q93-Q94</f>
        <v>1.94617340015643E-013</v>
      </c>
      <c r="R96" s="11" t="n">
        <f aca="false">R85-R92-R93-R94</f>
        <v>1.89137266982887E-013</v>
      </c>
      <c r="S96" s="11" t="n">
        <f aca="false">S85-S92-S93-S94</f>
        <v>1.83495705063369E-013</v>
      </c>
      <c r="T96" s="11" t="n">
        <f aca="false">T85-T92-T93-T94</f>
        <v>1.77594633317201E-013</v>
      </c>
      <c r="U96" s="11" t="n">
        <f aca="false">U85-U92-U93-U94</f>
        <v>1.71505366004701E-013</v>
      </c>
      <c r="V96" s="11" t="n">
        <f aca="false">V85-V92-V93-V94</f>
        <v>1.65018291160881E-013</v>
      </c>
      <c r="W96" s="11" t="n">
        <f aca="false">W85-W92-W93-W94</f>
        <v>1.58332910420402E-013</v>
      </c>
      <c r="X96" s="11" t="n">
        <f aca="false">X85-X92-X93-X94</f>
        <v>1.51833100695762E-013</v>
      </c>
      <c r="Y96" s="11" t="n">
        <f aca="false">Y85-Y92-Y93-Y94</f>
        <v>1.45330232489066E-013</v>
      </c>
      <c r="Z96" s="11" t="n">
        <f aca="false">Z85-Z92-Z93-Z94</f>
        <v>1.38557963751432E-013</v>
      </c>
      <c r="AA96" s="11" t="n">
        <f aca="false">AA85-AA92-AA93-AA94</f>
        <v>1.31588063233061E-013</v>
      </c>
      <c r="AB96" s="11" t="n">
        <f aca="false">AB85-AB92-AB93-AB94</f>
        <v>1.24285180678403E-013</v>
      </c>
      <c r="AC96" s="11" t="n">
        <f aca="false">AC85-AC92-AC93-AC94</f>
        <v>1.16740364898513E-013</v>
      </c>
      <c r="AD96" s="11" t="n">
        <f aca="false">AD85-AD92-AD93-AD94</f>
        <v>1.08501976644132E-013</v>
      </c>
      <c r="AE96" s="11" t="n">
        <f aca="false">AE85-AE92-AE93-AE94</f>
        <v>9.99094980191564E-014</v>
      </c>
      <c r="AF96" s="11" t="n">
        <f aca="false">AF85-AF92-AF93-AF94</f>
        <v>9.10155798893582E-014</v>
      </c>
      <c r="AG96" s="11" t="n">
        <f aca="false">AG85-AG92-AG93-AG94</f>
        <v>8.19556726425237E-014</v>
      </c>
      <c r="AH96" s="11" t="n">
        <f aca="false">AH85-AH92-AH93-AH94</f>
        <v>7.24409440961224E-014</v>
      </c>
      <c r="AI96" s="11" t="n">
        <f aca="false">AI85-AI92-AI93-AI94</f>
        <v>6.26468391291467E-014</v>
      </c>
      <c r="AJ96" s="11" t="n">
        <f aca="false">AJ85-AJ92-AJ93-AJ94</f>
        <v>5.23798976597445E-014</v>
      </c>
      <c r="AK96" s="11" t="n">
        <f aca="false">AK85-AK92-AK93-AK94</f>
        <v>4.1780633475332E-014</v>
      </c>
      <c r="AL96" s="11" t="n">
        <f aca="false">AL85-AL92-AL93-AL94</f>
        <v>3.05418228587455E-014</v>
      </c>
      <c r="AM96" s="11" t="n">
        <f aca="false">AM85-AM92-AM93-AM94</f>
        <v>1.90694139366766E-014</v>
      </c>
      <c r="AN96" s="11" t="n">
        <f aca="false">AN85-AN92-AN93-AN94</f>
        <v>9.60481276841922E-015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666</v>
      </c>
      <c r="E97" s="0" t="s">
        <v>149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667</v>
      </c>
      <c r="E98" s="0" t="s">
        <v>149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0</v>
      </c>
      <c r="P98" s="11" t="n">
        <f aca="false">IF(Time!P29=1,INDEX(Funding!$J$65:$BJ$65,1,Time!$F$13),Time!P30*(P96-P97))</f>
        <v>1.99840144432528E-013</v>
      </c>
      <c r="Q98" s="11" t="n">
        <f aca="false">IF(Time!Q29=1,INDEX(Funding!$J$65:$BJ$65,1,Time!$F$13),Time!Q30*(Q96-Q97))</f>
        <v>1.94617340015643E-013</v>
      </c>
      <c r="R98" s="11" t="n">
        <f aca="false">IF(Time!R29=1,INDEX(Funding!$J$65:$BJ$65,1,Time!$F$13),Time!R30*(R96-R97))</f>
        <v>1.89137266982887E-013</v>
      </c>
      <c r="S98" s="11" t="n">
        <f aca="false">IF(Time!S29=1,INDEX(Funding!$J$65:$BJ$65,1,Time!$F$13),Time!S30*(S96-S97))</f>
        <v>1.83495705063369E-013</v>
      </c>
      <c r="T98" s="11" t="n">
        <f aca="false">IF(Time!T29=1,INDEX(Funding!$J$65:$BJ$65,1,Time!$F$13),Time!T30*(T96-T97))</f>
        <v>1.77594633317201E-013</v>
      </c>
      <c r="U98" s="11" t="n">
        <f aca="false">IF(Time!U29=1,INDEX(Funding!$J$65:$BJ$65,1,Time!$F$13),Time!U30*(U96-U97))</f>
        <v>1.71505366004701E-013</v>
      </c>
      <c r="V98" s="11" t="n">
        <f aca="false">IF(Time!V29=1,INDEX(Funding!$J$65:$BJ$65,1,Time!$F$13),Time!V30*(V96-V97))</f>
        <v>1.65018291160881E-013</v>
      </c>
      <c r="W98" s="11" t="n">
        <f aca="false">IF(Time!W29=1,INDEX(Funding!$J$65:$BJ$65,1,Time!$F$13),Time!W30*(W96-W97))</f>
        <v>1.58332910420402E-013</v>
      </c>
      <c r="X98" s="11" t="n">
        <f aca="false">IF(Time!X29=1,INDEX(Funding!$J$65:$BJ$65,1,Time!$F$13),Time!X30*(X96-X97))</f>
        <v>1.51833100695762E-013</v>
      </c>
      <c r="Y98" s="11" t="n">
        <f aca="false">IF(Time!Y29=1,INDEX(Funding!$J$65:$BJ$65,1,Time!$F$13),Time!Y30*(Y96-Y97))</f>
        <v>1.45330232489066E-013</v>
      </c>
      <c r="Z98" s="11" t="n">
        <f aca="false">IF(Time!Z29=1,INDEX(Funding!$J$65:$BJ$65,1,Time!$F$13),Time!Z30*(Z96-Z97))</f>
        <v>1.38557963751432E-013</v>
      </c>
      <c r="AA98" s="11" t="n">
        <f aca="false">IF(Time!AA29=1,INDEX(Funding!$J$65:$BJ$65,1,Time!$F$13),Time!AA30*(AA96-AA97))</f>
        <v>1.31588063233061E-013</v>
      </c>
      <c r="AB98" s="11" t="n">
        <f aca="false">IF(Time!AB29=1,INDEX(Funding!$J$65:$BJ$65,1,Time!$F$13),Time!AB30*(AB96-AB97))</f>
        <v>1.24285180678403E-013</v>
      </c>
      <c r="AC98" s="11" t="n">
        <f aca="false">IF(Time!AC29=1,INDEX(Funding!$J$65:$BJ$65,1,Time!$F$13),Time!AC30*(AC96-AC97))</f>
        <v>1.16740364898513E-013</v>
      </c>
      <c r="AD98" s="11" t="n">
        <f aca="false">IF(Time!AD29=1,INDEX(Funding!$J$65:$BJ$65,1,Time!$F$13),Time!AD30*(AD96-AD97))</f>
        <v>1.08501976644132E-013</v>
      </c>
      <c r="AE98" s="11" t="n">
        <f aca="false">IF(Time!AE29=1,INDEX(Funding!$J$65:$BJ$65,1,Time!$F$13),Time!AE30*(AE96-AE97))</f>
        <v>9.99094980191564E-014</v>
      </c>
      <c r="AF98" s="11" t="n">
        <f aca="false">IF(Time!AF29=1,INDEX(Funding!$J$65:$BJ$65,1,Time!$F$13),Time!AF30*(AF96-AF97))</f>
        <v>9.10155798893582E-014</v>
      </c>
      <c r="AG98" s="11" t="n">
        <f aca="false">IF(Time!AG29=1,INDEX(Funding!$J$65:$BJ$65,1,Time!$F$13),Time!AG30*(AG96-AG97))</f>
        <v>8.19556726425237E-014</v>
      </c>
      <c r="AH98" s="11" t="n">
        <f aca="false">IF(Time!AH29=1,INDEX(Funding!$J$65:$BJ$65,1,Time!$F$13),Time!AH30*(AH96-AH97))</f>
        <v>7.24409440961224E-014</v>
      </c>
      <c r="AI98" s="11" t="n">
        <f aca="false">IF(Time!AI29=1,INDEX(Funding!$J$65:$BJ$65,1,Time!$F$13),Time!AI30*(AI96-AI97))</f>
        <v>6.26468391291467E-014</v>
      </c>
      <c r="AJ98" s="11" t="n">
        <f aca="false">IF(Time!AJ29=1,INDEX(Funding!$J$65:$BJ$65,1,Time!$F$13),Time!AJ30*(AJ96-AJ97))</f>
        <v>5.23798976597445E-014</v>
      </c>
      <c r="AK98" s="11" t="n">
        <f aca="false">IF(Time!AK29=1,INDEX(Funding!$J$65:$BJ$65,1,Time!$F$13),Time!AK30*(AK96-AK97))</f>
        <v>4.1780633475332E-014</v>
      </c>
      <c r="AL98" s="11" t="n">
        <f aca="false">IF(Time!AL29=1,INDEX(Funding!$J$65:$BJ$65,1,Time!$F$13),Time!AL30*(AL96-AL97))</f>
        <v>3.05418228587455E-014</v>
      </c>
      <c r="AM98" s="11" t="n">
        <f aca="false">IF(Time!AM29=1,INDEX(Funding!$J$65:$BJ$65,1,Time!$F$13),Time!AM30*(AM96-AM97))</f>
        <v>1.90694139366766E-014</v>
      </c>
      <c r="AN98" s="11" t="n">
        <f aca="false">IF(Time!AN29=1,INDEX(Funding!$J$65:$BJ$65,1,Time!$F$13),Time!AN30*(AN96-AN97))</f>
        <v>9.60481276841922E-015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671</v>
      </c>
    </row>
    <row r="100" customFormat="false" ht="15" hidden="false" customHeight="false" outlineLevel="0" collapsed="false">
      <c r="D100" s="0" t="s">
        <v>654</v>
      </c>
      <c r="E100" s="0" t="s">
        <v>149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656</v>
      </c>
      <c r="E101" s="0" t="s">
        <v>149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661</v>
      </c>
      <c r="E102" s="0" t="s">
        <v>149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IF(W100&gt;0,MIN($F$109*Inputs!W224,W100),0)</f>
        <v>0</v>
      </c>
      <c r="X102" s="11" t="n">
        <f aca="false">IF(X100&gt;0,MIN($F$109*Inputs!X224,X100),0)</f>
        <v>0</v>
      </c>
      <c r="Y102" s="11" t="n">
        <f aca="false">IF(Y100&gt;0,MIN($F$109*Inputs!Y224,Y100),0)</f>
        <v>0</v>
      </c>
      <c r="Z102" s="11" t="n">
        <f aca="false">IF(Z100&gt;0,MIN($F$109*Inputs!Z224,Z100),0)</f>
        <v>0</v>
      </c>
      <c r="AA102" s="11" t="n">
        <f aca="false">IF(AA100&gt;0,MIN($F$109*Inputs!AA224,AA100),0)</f>
        <v>0</v>
      </c>
      <c r="AB102" s="11" t="n">
        <f aca="false">IF(AB100&gt;0,MIN($F$109*Inputs!AB224,AB100),0)</f>
        <v>0</v>
      </c>
      <c r="AC102" s="11" t="n">
        <f aca="false">IF(AC100&gt;0,MIN($F$109*Inputs!AC224,AC100),0)</f>
        <v>0</v>
      </c>
      <c r="AD102" s="11" t="n">
        <f aca="false">IF(AD100&gt;0,MIN($F$109*Inputs!AD224,AD100),0)</f>
        <v>0</v>
      </c>
      <c r="AE102" s="11" t="n">
        <f aca="false">IF(AE100&gt;0,MIN($F$109*Inputs!AE224,AE100),0)</f>
        <v>0</v>
      </c>
      <c r="AF102" s="11" t="n">
        <f aca="false">IF(AF100&gt;0,MIN($F$109*Inputs!AF224,AF100),0)</f>
        <v>0</v>
      </c>
      <c r="AG102" s="11" t="n">
        <f aca="false">IF(AG100&gt;0,MIN($F$109*Inputs!AG224,AG100),0)</f>
        <v>0</v>
      </c>
      <c r="AH102" s="11" t="n">
        <f aca="false">IF(AH100&gt;0,MIN($F$109*Inputs!AH224,AH100),0)</f>
        <v>0</v>
      </c>
      <c r="AI102" s="11" t="n">
        <f aca="false">IF(AI100&gt;0,MIN($F$109*Inputs!AI224,AI100),0)</f>
        <v>0</v>
      </c>
      <c r="AJ102" s="11" t="n">
        <f aca="false">IF(AJ100&gt;0,MIN($F$109*Inputs!AJ224,AJ100),0)</f>
        <v>0</v>
      </c>
      <c r="AK102" s="11" t="n">
        <f aca="false">IF(AK100&gt;0,MIN($F$109*Inputs!AK224,AK100),0)</f>
        <v>0</v>
      </c>
      <c r="AL102" s="11" t="n">
        <f aca="false">IF(AL100&gt;0,MIN($F$109*Inputs!AL224,AL100),0)</f>
        <v>0</v>
      </c>
      <c r="AM102" s="11" t="n">
        <f aca="false">IF(AM100&gt;0,MIN($F$109*Inputs!AM224,AM100),0)</f>
        <v>0</v>
      </c>
      <c r="AN102" s="11" t="n">
        <f aca="false">IF(AN100&gt;0,MIN($F$109*Inputs!AN224,AN100),0)</f>
        <v>0</v>
      </c>
      <c r="AO102" s="11" t="n">
        <f aca="false">IF(AO100&gt;0,MIN($F$109*Inputs!AO224,AO100),0)</f>
        <v>0</v>
      </c>
      <c r="AP102" s="11" t="n">
        <f aca="false">IF(AP100&gt;0,MIN($F$109*Inputs!AP224,AP100),0)</f>
        <v>0</v>
      </c>
      <c r="AQ102" s="11" t="n">
        <f aca="false">IF(AQ100&gt;0,MIN($F$109*Inputs!AQ224,AQ100),0)</f>
        <v>0</v>
      </c>
      <c r="AR102" s="11" t="n">
        <f aca="false">IF(AR100&gt;0,MIN($F$109*Inputs!AR224,AR100),0)</f>
        <v>0</v>
      </c>
      <c r="AS102" s="11" t="n">
        <f aca="false">IF(AS100&gt;0,MIN($F$109*Inputs!AS224,AS100),0)</f>
        <v>0</v>
      </c>
      <c r="AT102" s="11" t="n">
        <f aca="false">IF(AT100&gt;0,MIN($F$109*Inputs!AT224,AT100),0)</f>
        <v>0</v>
      </c>
      <c r="AU102" s="11" t="n">
        <f aca="false">IF(AU100&gt;0,MIN($F$109*Inputs!AU224,AU100),0)</f>
        <v>0</v>
      </c>
      <c r="AV102" s="11" t="n">
        <f aca="false">IF(AV100&gt;0,MIN($F$109*Inputs!AV224,AV100),0)</f>
        <v>0</v>
      </c>
      <c r="AW102" s="11" t="n">
        <f aca="false">IF(AW100&gt;0,MIN($F$109*Inputs!AW224,AW100),0)</f>
        <v>0</v>
      </c>
      <c r="AX102" s="11" t="n">
        <f aca="false">IF(AX100&gt;0,MIN($F$109*Inputs!AX224,AX100),0)</f>
        <v>0</v>
      </c>
      <c r="AY102" s="11" t="n">
        <f aca="false">IF(AY100&gt;0,MIN($F$109*Inputs!AY224,AY100),0)</f>
        <v>0</v>
      </c>
      <c r="AZ102" s="11" t="n">
        <f aca="false">IF(AZ100&gt;0,MIN($F$109*Inputs!AZ224,AZ100),0)</f>
        <v>0</v>
      </c>
      <c r="BA102" s="11" t="n">
        <f aca="false">IF(BA100&gt;0,MIN($F$109*Inputs!BA224,BA100),0)</f>
        <v>0</v>
      </c>
      <c r="BB102" s="11" t="n">
        <f aca="false">IF(BB100&gt;0,MIN($F$109*Inputs!BB224,BB100),0)</f>
        <v>0</v>
      </c>
      <c r="BC102" s="11" t="n">
        <f aca="false">IF(BC100&gt;0,MIN($F$109*Inputs!BC224,BC100),0)</f>
        <v>0</v>
      </c>
      <c r="BD102" s="11" t="n">
        <f aca="false">IF(BD100&gt;0,MIN($F$109*Inputs!BD224,BD100),0)</f>
        <v>0</v>
      </c>
      <c r="BE102" s="11" t="n">
        <f aca="false">IF(BE100&gt;0,MIN($F$109*Inputs!BE224,BE100),0)</f>
        <v>0</v>
      </c>
      <c r="BF102" s="11" t="n">
        <f aca="false">IF(BF100&gt;0,MIN($F$109*Inputs!BF224,BF100),0)</f>
        <v>0</v>
      </c>
      <c r="BG102" s="11" t="n">
        <f aca="false">IF(BG100&gt;0,MIN($F$109*Inputs!BG224,BG100),0)</f>
        <v>0</v>
      </c>
      <c r="BH102" s="11" t="n">
        <f aca="false">IF(BH100&gt;0,MIN($F$109*Inputs!BH224,BH100),0)</f>
        <v>0</v>
      </c>
      <c r="BI102" s="11" t="n">
        <f aca="false">IF(BI100&gt;0,MIN($F$109*Inputs!BI224,BI100),0)</f>
        <v>0</v>
      </c>
      <c r="BJ102" s="11" t="n">
        <f aca="false">IF(BJ100&gt;0,MIN($F$109*Inputs!BJ224,BJ100),0)</f>
        <v>0</v>
      </c>
      <c r="BK102" s="11" t="n">
        <f aca="false">IF(BK100&gt;0,MIN($F$109*Inputs!BK224,BK100),0)</f>
        <v>0</v>
      </c>
      <c r="BL102" s="11" t="n">
        <f aca="false">IF(BL100&gt;0,MIN($F$109*Inputs!BL224,BL100),0)</f>
        <v>0</v>
      </c>
      <c r="BM102" s="11" t="n">
        <f aca="false">IF(BM100&gt;0,MIN($F$109*Inputs!BM224,BM100),0)</f>
        <v>0</v>
      </c>
      <c r="BN102" s="11" t="n">
        <f aca="false">IF(BN100&gt;0,MIN($F$109*Inputs!BN224,BN100),0)</f>
        <v>0</v>
      </c>
    </row>
    <row r="103" customFormat="false" ht="15" hidden="false" customHeight="false" outlineLevel="0" collapsed="false">
      <c r="D103" s="0" t="s">
        <v>672</v>
      </c>
      <c r="E103" s="0" t="s">
        <v>149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667</v>
      </c>
      <c r="E104" s="0" t="s">
        <v>149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673</v>
      </c>
    </row>
    <row r="106" customFormat="false" ht="15" hidden="false" customHeight="false" outlineLevel="0" collapsed="false">
      <c r="D106" s="0" t="s">
        <v>674</v>
      </c>
      <c r="E106" s="0" t="s">
        <v>99</v>
      </c>
      <c r="J106" s="10" t="n">
        <f aca="false">IF(Time!J17&gt;14,(1+Inputs!$F$202/200)^-(Time!J17-14),0)</f>
        <v>0</v>
      </c>
      <c r="K106" s="10" t="n">
        <f aca="false">IF(Time!K17&gt;14,(1+Inputs!$F$202/200)^-(Time!K17-14),0)</f>
        <v>0</v>
      </c>
      <c r="L106" s="10" t="n">
        <f aca="false">IF(Time!L17&gt;14,(1+Inputs!$F$202/200)^-(Time!L17-14),0)</f>
        <v>0</v>
      </c>
      <c r="M106" s="10" t="n">
        <f aca="false">IF(Time!M17&gt;14,(1+Inputs!$F$202/200)^-(Time!M17-14),0)</f>
        <v>0</v>
      </c>
      <c r="N106" s="10" t="n">
        <f aca="false">IF(Time!N17&gt;14,(1+Inputs!$F$202/200)^-(Time!N17-14),0)</f>
        <v>0</v>
      </c>
      <c r="O106" s="10" t="n">
        <f aca="false">IF(Time!O17&gt;14,(1+Inputs!$F$202/200)^-(Time!O17-14),0)</f>
        <v>0</v>
      </c>
      <c r="P106" s="10" t="n">
        <f aca="false">IF(Time!P17&gt;14,(1+Inputs!$F$202/200)^-(Time!P17-14),0)</f>
        <v>0</v>
      </c>
      <c r="Q106" s="10" t="n">
        <f aca="false">IF(Time!Q17&gt;14,(1+Inputs!$F$202/200)^-(Time!Q17-14),0)</f>
        <v>0</v>
      </c>
      <c r="R106" s="10" t="n">
        <f aca="false">IF(Time!R17&gt;14,(1+Inputs!$F$202/200)^-(Time!R17-14),0)</f>
        <v>0</v>
      </c>
      <c r="S106" s="10" t="n">
        <f aca="false">IF(Time!S17&gt;14,(1+Inputs!$F$202/200)^-(Time!S17-14),0)</f>
        <v>0</v>
      </c>
      <c r="T106" s="10" t="n">
        <f aca="false">IF(Time!T17&gt;14,(1+Inputs!$F$202/200)^-(Time!T17-14),0)</f>
        <v>0</v>
      </c>
      <c r="U106" s="10" t="n">
        <f aca="false">IF(Time!U17&gt;14,(1+Inputs!$F$202/200)^-(Time!U17-14),0)</f>
        <v>0</v>
      </c>
      <c r="V106" s="10" t="n">
        <f aca="false">IF(Time!V17&gt;14,(1+Inputs!$F$202/200)^-(Time!V17-14),0)</f>
        <v>0</v>
      </c>
      <c r="W106" s="10" t="n">
        <f aca="false">IF(Time!W17&gt;14,(1+Inputs!$F$202/200)^-(Time!W17-14),0)</f>
        <v>0</v>
      </c>
      <c r="X106" s="10" t="n">
        <f aca="false">IF(Time!X17&gt;14,(1+Inputs!$F$202/200)^-(Time!X17-14),0)</f>
        <v>0.981932443047918</v>
      </c>
      <c r="Y106" s="10" t="n">
        <f aca="false">IF(Time!Y17&gt;14,(1+Inputs!$F$202/200)^-(Time!Y17-14),0)</f>
        <v>0.964191322710053</v>
      </c>
      <c r="Z106" s="10" t="n">
        <f aca="false">IF(Time!Z17&gt;14,(1+Inputs!$F$202/200)^-(Time!Z17-14),0)</f>
        <v>0.946770741074287</v>
      </c>
      <c r="AA106" s="10" t="n">
        <f aca="false">IF(Time!AA17&gt;14,(1+Inputs!$F$202/200)^-(Time!AA17-14),0)</f>
        <v>0.929664906789362</v>
      </c>
      <c r="AB106" s="10" t="n">
        <f aca="false">IF(Time!AB17&gt;14,(1+Inputs!$F$202/200)^-(Time!AB17-14),0)</f>
        <v>0.912868133139594</v>
      </c>
      <c r="AC106" s="10" t="n">
        <f aca="false">IF(Time!AC17&gt;14,(1+Inputs!$F$202/200)^-(Time!AC17-14),0)</f>
        <v>0.896374836154354</v>
      </c>
      <c r="AD106" s="10" t="n">
        <f aca="false">IF(Time!AD17&gt;14,(1+Inputs!$F$202/200)^-(Time!AD17-14),0)</f>
        <v>0.880179532751722</v>
      </c>
      <c r="AE106" s="10" t="n">
        <f aca="false">IF(Time!AE17&gt;14,(1+Inputs!$F$202/200)^-(Time!AE17-14),0)</f>
        <v>0.864276838915674</v>
      </c>
      <c r="AF106" s="10" t="n">
        <f aca="false">IF(Time!AF17&gt;14,(1+Inputs!$F$202/200)^-(Time!AF17-14),0)</f>
        <v>0.8486614679062</v>
      </c>
      <c r="AG106" s="10" t="n">
        <f aca="false">IF(Time!AG17&gt;14,(1+Inputs!$F$202/200)^-(Time!AG17-14),0)</f>
        <v>0.833328228501767</v>
      </c>
      <c r="AH106" s="10" t="n">
        <f aca="false">IF(Time!AH17&gt;14,(1+Inputs!$F$202/200)^-(Time!AH17-14),0)</f>
        <v>0.818272023273534</v>
      </c>
      <c r="AI106" s="10" t="n">
        <f aca="false">IF(Time!AI17&gt;14,(1+Inputs!$F$202/200)^-(Time!AI17-14),0)</f>
        <v>0.803487846890745</v>
      </c>
      <c r="AJ106" s="10" t="n">
        <f aca="false">IF(Time!AJ17&gt;14,(1+Inputs!$F$202/200)^-(Time!AJ17-14),0)</f>
        <v>0.78897078445674</v>
      </c>
      <c r="AK106" s="10" t="n">
        <f aca="false">IF(Time!AK17&gt;14,(1+Inputs!$F$202/200)^-(Time!AK17-14),0)</f>
        <v>0.77471600987504</v>
      </c>
      <c r="AL106" s="10" t="n">
        <f aca="false">IF(Time!AL17&gt;14,(1+Inputs!$F$202/200)^-(Time!AL17-14),0)</f>
        <v>0.760718784244933</v>
      </c>
      <c r="AM106" s="10" t="n">
        <f aca="false">IF(Time!AM17&gt;14,(1+Inputs!$F$202/200)^-(Time!AM17-14),0)</f>
        <v>0.746974454286069</v>
      </c>
      <c r="AN106" s="10" t="n">
        <f aca="false">IF(Time!AN17&gt;14,(1+Inputs!$F$202/200)^-(Time!AN17-14),0)</f>
        <v>0.733478450791506</v>
      </c>
      <c r="AO106" s="10" t="n">
        <f aca="false">IF(Time!AO17&gt;14,(1+Inputs!$F$202/200)^-(Time!AO17-14),0)</f>
        <v>0.720226287108706</v>
      </c>
      <c r="AP106" s="10" t="n">
        <f aca="false">IF(Time!AP17&gt;14,(1+Inputs!$F$202/200)^-(Time!AP17-14),0)</f>
        <v>0.707213557647983</v>
      </c>
      <c r="AQ106" s="10" t="n">
        <f aca="false">IF(Time!AQ17&gt;14,(1+Inputs!$F$202/200)^-(Time!AQ17-14),0)</f>
        <v>0.694435936417893</v>
      </c>
      <c r="AR106" s="10" t="n">
        <f aca="false">IF(Time!AR17&gt;14,(1+Inputs!$F$202/200)^-(Time!AR17-14),0)</f>
        <v>0.681889175587091</v>
      </c>
      <c r="AS106" s="10" t="n">
        <f aca="false">IF(Time!AS17&gt;14,(1+Inputs!$F$202/200)^-(Time!AS17-14),0)</f>
        <v>0.669569104072163</v>
      </c>
      <c r="AT106" s="10" t="n">
        <f aca="false">IF(Time!AT17&gt;14,(1+Inputs!$F$202/200)^-(Time!AT17-14),0)</f>
        <v>0.657471626150985</v>
      </c>
      <c r="AU106" s="10" t="n">
        <f aca="false">IF(Time!AU17&gt;14,(1+Inputs!$F$202/200)^-(Time!AU17-14),0)</f>
        <v>0.645592720101125</v>
      </c>
      <c r="AV106" s="10" t="n">
        <f aca="false">IF(Time!AV17&gt;14,(1+Inputs!$F$202/200)^-(Time!AV17-14),0)</f>
        <v>0.633928436862848</v>
      </c>
      <c r="AW106" s="10" t="n">
        <f aca="false">IF(Time!AW17&gt;14,(1+Inputs!$F$202/200)^-(Time!AW17-14),0)</f>
        <v>0.622474898726284</v>
      </c>
      <c r="AX106" s="10" t="n">
        <f aca="false">IF(Time!AX17&gt;14,(1+Inputs!$F$202/200)^-(Time!AX17-14),0)</f>
        <v>0.611228298042306</v>
      </c>
      <c r="AY106" s="10" t="n">
        <f aca="false">IF(Time!AY17&gt;14,(1+Inputs!$F$202/200)^-(Time!AY17-14),0)</f>
        <v>0.600184895956703</v>
      </c>
      <c r="AZ106" s="10" t="n">
        <f aca="false">IF(Time!AZ17&gt;14,(1+Inputs!$F$202/200)^-(Time!AZ17-14),0)</f>
        <v>0.589341021167226</v>
      </c>
      <c r="BA106" s="10" t="n">
        <f aca="false">IF(Time!BA17&gt;14,(1+Inputs!$F$202/200)^-(Time!BA17-14),0)</f>
        <v>0.578693068703089</v>
      </c>
      <c r="BB106" s="10" t="n">
        <f aca="false">IF(Time!BB17&gt;14,(1+Inputs!$F$202/200)^-(Time!BB17-14),0)</f>
        <v>0.568237498726521</v>
      </c>
      <c r="BC106" s="10" t="n">
        <f aca="false">IF(Time!BC17&gt;14,(1+Inputs!$F$202/200)^-(Time!BC17-14),0)</f>
        <v>0.557970835355971</v>
      </c>
      <c r="BD106" s="10" t="n">
        <f aca="false">IF(Time!BD17&gt;14,(1+Inputs!$F$202/200)^-(Time!BD17-14),0)</f>
        <v>0.547889665510577</v>
      </c>
      <c r="BE106" s="10" t="n">
        <f aca="false">IF(Time!BE17&gt;14,(1+Inputs!$F$202/200)^-(Time!BE17-14),0)</f>
        <v>0.537990637775507</v>
      </c>
      <c r="BF106" s="10" t="n">
        <f aca="false">IF(Time!BF17&gt;14,(1+Inputs!$F$202/200)^-(Time!BF17-14),0)</f>
        <v>0.528270461287812</v>
      </c>
      <c r="BG106" s="10" t="n">
        <f aca="false">IF(Time!BG17&gt;14,(1+Inputs!$F$202/200)^-(Time!BG17-14),0)</f>
        <v>0.518725904642391</v>
      </c>
      <c r="BH106" s="10" t="n">
        <f aca="false">IF(Time!BH17&gt;14,(1+Inputs!$F$202/200)^-(Time!BH17-14),0)</f>
        <v>0.509353794817745</v>
      </c>
      <c r="BI106" s="10" t="n">
        <f aca="false">IF(Time!BI17&gt;14,(1+Inputs!$F$202/200)^-(Time!BI17-14),0)</f>
        <v>0.500151016121117</v>
      </c>
      <c r="BJ106" s="10" t="n">
        <f aca="false">IF(Time!BJ17&gt;14,(1+Inputs!$F$202/200)^-(Time!BJ17-14),0)</f>
        <v>0.491114509152707</v>
      </c>
      <c r="BK106" s="10" t="n">
        <f aca="false">IF(Time!BK17&gt;14,(1+Inputs!$F$202/200)^-(Time!BK17-14),0)</f>
        <v>0.482241269788597</v>
      </c>
      <c r="BL106" s="10" t="n">
        <f aca="false">IF(Time!BL17&gt;14,(1+Inputs!$F$202/200)^-(Time!BL17-14),0)</f>
        <v>0.473528348182047</v>
      </c>
      <c r="BM106" s="10" t="n">
        <f aca="false">IF(Time!BM17&gt;14,(1+Inputs!$F$202/200)^-(Time!BM17-14),0)</f>
        <v>0.464972847782843</v>
      </c>
      <c r="BN106" s="10" t="n">
        <f aca="false">IF(Time!BN17&gt;14,(1+Inputs!$F$202/200)^-(Time!BN17-14),0)</f>
        <v>0.456571924374354</v>
      </c>
    </row>
    <row r="107" customFormat="false" ht="15" hidden="false" customHeight="false" outlineLevel="0" collapsed="false">
      <c r="D107" s="0" t="s">
        <v>675</v>
      </c>
      <c r="E107" s="0" t="s">
        <v>149</v>
      </c>
      <c r="F107" s="15" t="n">
        <f aca="false">Inputs!$F$50*Inputs!$F$203*(Inputs!$F$202-Inputs!$F$97)/100*0.5*SUMPRODUCT(Inputs!$J$225:$BN$225,Debt!$J$106:$BN$106)</f>
        <v>0</v>
      </c>
    </row>
    <row r="108" customFormat="false" ht="15" hidden="false" customHeight="false" outlineLevel="0" collapsed="false">
      <c r="D108" s="0" t="s">
        <v>676</v>
      </c>
      <c r="E108" s="0" t="s">
        <v>149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677</v>
      </c>
      <c r="E109" s="0" t="s">
        <v>149</v>
      </c>
      <c r="F109" s="15" t="n">
        <f aca="false">Inputs!$F$50*(Debt!$F$108+Inputs!$F$198+Inputs!$F$201/100*Inputs!$F$199-Debt!$F$107)/(Inputs!$F$196-Inputs!$F$197)</f>
        <v>0</v>
      </c>
    </row>
    <row r="110" customFormat="false" ht="15" hidden="false" customHeight="false" outlineLevel="0" collapsed="false">
      <c r="D110" s="0" t="s">
        <v>678</v>
      </c>
      <c r="E110" s="0" t="s">
        <v>149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679</v>
      </c>
      <c r="E111" s="0" t="s">
        <v>149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W20*($F$109*(1-Inputs!$F$196)+Inputs!$F$197*$F$109+Inputs!$F$198+Inputs!$F$201/100*Inputs!$F$199)</f>
        <v>0</v>
      </c>
      <c r="X111" s="11" t="n">
        <f aca="false">X20*($F$109*(1-Inputs!$F$196)+Inputs!$F$197*$F$109+Inputs!$F$198+Inputs!$F$201/100*Inputs!$F$199)</f>
        <v>0</v>
      </c>
      <c r="Y111" s="11" t="n">
        <f aca="false">Y20*($F$109*(1-Inputs!$F$196)+Inputs!$F$197*$F$109+Inputs!$F$198+Inputs!$F$201/100*Inputs!$F$199)</f>
        <v>0</v>
      </c>
      <c r="Z111" s="11" t="n">
        <f aca="false">Z20*($F$109*(1-Inputs!$F$196)+Inputs!$F$197*$F$109+Inputs!$F$198+Inputs!$F$201/100*Inputs!$F$199)</f>
        <v>0</v>
      </c>
      <c r="AA111" s="11" t="n">
        <f aca="false">AA20*($F$109*(1-Inputs!$F$196)+Inputs!$F$197*$F$109+Inputs!$F$198+Inputs!$F$201/100*Inputs!$F$199)</f>
        <v>0</v>
      </c>
      <c r="AB111" s="11" t="n">
        <f aca="false">AB20*($F$109*(1-Inputs!$F$196)+Inputs!$F$197*$F$109+Inputs!$F$198+Inputs!$F$201/100*Inputs!$F$199)</f>
        <v>0</v>
      </c>
      <c r="AC111" s="11" t="n">
        <f aca="false">AC20*($F$109*(1-Inputs!$F$196)+Inputs!$F$197*$F$109+Inputs!$F$198+Inputs!$F$201/100*Inputs!$F$199)</f>
        <v>0</v>
      </c>
      <c r="AD111" s="11" t="n">
        <f aca="false">AD20*($F$109*(1-Inputs!$F$196)+Inputs!$F$197*$F$109+Inputs!$F$198+Inputs!$F$201/100*Inputs!$F$199)</f>
        <v>0</v>
      </c>
      <c r="AE111" s="11" t="n">
        <f aca="false">AE20*($F$109*(1-Inputs!$F$196)+Inputs!$F$197*$F$109+Inputs!$F$198+Inputs!$F$201/100*Inputs!$F$199)</f>
        <v>0</v>
      </c>
      <c r="AF111" s="11" t="n">
        <f aca="false">AF20*($F$109*(1-Inputs!$F$196)+Inputs!$F$197*$F$109+Inputs!$F$198+Inputs!$F$201/100*Inputs!$F$199)</f>
        <v>0</v>
      </c>
      <c r="AG111" s="11" t="n">
        <f aca="false">AG20*($F$109*(1-Inputs!$F$196)+Inputs!$F$197*$F$109+Inputs!$F$198+Inputs!$F$201/100*Inputs!$F$199)</f>
        <v>0</v>
      </c>
      <c r="AH111" s="11" t="n">
        <f aca="false">AH20*($F$109*(1-Inputs!$F$196)+Inputs!$F$197*$F$109+Inputs!$F$198+Inputs!$F$201/100*Inputs!$F$199)</f>
        <v>0</v>
      </c>
      <c r="AI111" s="11" t="n">
        <f aca="false">AI20*($F$109*(1-Inputs!$F$196)+Inputs!$F$197*$F$109+Inputs!$F$198+Inputs!$F$201/100*Inputs!$F$199)</f>
        <v>0</v>
      </c>
      <c r="AJ111" s="11" t="n">
        <f aca="false">AJ20*($F$109*(1-Inputs!$F$196)+Inputs!$F$197*$F$109+Inputs!$F$198+Inputs!$F$201/100*Inputs!$F$199)</f>
        <v>0</v>
      </c>
      <c r="AK111" s="11" t="n">
        <f aca="false">AK20*($F$109*(1-Inputs!$F$196)+Inputs!$F$197*$F$109+Inputs!$F$198+Inputs!$F$201/100*Inputs!$F$199)</f>
        <v>0</v>
      </c>
      <c r="AL111" s="11" t="n">
        <f aca="false">AL20*($F$109*(1-Inputs!$F$196)+Inputs!$F$197*$F$109+Inputs!$F$198+Inputs!$F$201/100*Inputs!$F$199)</f>
        <v>0</v>
      </c>
      <c r="AM111" s="11" t="n">
        <f aca="false">AM20*($F$109*(1-Inputs!$F$196)+Inputs!$F$197*$F$109+Inputs!$F$198+Inputs!$F$201/100*Inputs!$F$199)</f>
        <v>0</v>
      </c>
      <c r="AN111" s="11" t="n">
        <f aca="false">AN20*($F$109*(1-Inputs!$F$196)+Inputs!$F$197*$F$109+Inputs!$F$198+Inputs!$F$201/100*Inputs!$F$199)</f>
        <v>0</v>
      </c>
      <c r="AO111" s="11" t="n">
        <f aca="false">AO20*($F$109*(1-Inputs!$F$196)+Inputs!$F$197*$F$109+Inputs!$F$198+Inputs!$F$201/100*Inputs!$F$199)</f>
        <v>0</v>
      </c>
      <c r="AP111" s="11" t="n">
        <f aca="false">AP20*($F$109*(1-Inputs!$F$196)+Inputs!$F$197*$F$109+Inputs!$F$198+Inputs!$F$201/100*Inputs!$F$199)</f>
        <v>0</v>
      </c>
      <c r="AQ111" s="11" t="n">
        <f aca="false">AQ20*($F$109*(1-Inputs!$F$196)+Inputs!$F$197*$F$109+Inputs!$F$198+Inputs!$F$201/100*Inputs!$F$199)</f>
        <v>0</v>
      </c>
      <c r="AR111" s="11" t="n">
        <f aca="false">AR20*($F$109*(1-Inputs!$F$196)+Inputs!$F$197*$F$109+Inputs!$F$198+Inputs!$F$201/100*Inputs!$F$199)</f>
        <v>0</v>
      </c>
      <c r="AS111" s="11" t="n">
        <f aca="false">AS20*($F$109*(1-Inputs!$F$196)+Inputs!$F$197*$F$109+Inputs!$F$198+Inputs!$F$201/100*Inputs!$F$199)</f>
        <v>0</v>
      </c>
      <c r="AT111" s="11" t="n">
        <f aca="false">AT20*($F$109*(1-Inputs!$F$196)+Inputs!$F$197*$F$109+Inputs!$F$198+Inputs!$F$201/100*Inputs!$F$199)</f>
        <v>0</v>
      </c>
      <c r="AU111" s="11" t="n">
        <f aca="false">AU20*($F$109*(1-Inputs!$F$196)+Inputs!$F$197*$F$109+Inputs!$F$198+Inputs!$F$201/100*Inputs!$F$199)</f>
        <v>0</v>
      </c>
      <c r="AV111" s="11" t="n">
        <f aca="false">AV20*($F$109*(1-Inputs!$F$196)+Inputs!$F$197*$F$109+Inputs!$F$198+Inputs!$F$201/100*Inputs!$F$199)</f>
        <v>0</v>
      </c>
      <c r="AW111" s="11" t="n">
        <f aca="false">AW20*($F$109*(1-Inputs!$F$196)+Inputs!$F$197*$F$109+Inputs!$F$198+Inputs!$F$201/100*Inputs!$F$199)</f>
        <v>0</v>
      </c>
      <c r="AX111" s="11" t="n">
        <f aca="false">AX20*($F$109*(1-Inputs!$F$196)+Inputs!$F$197*$F$109+Inputs!$F$198+Inputs!$F$201/100*Inputs!$F$199)</f>
        <v>0</v>
      </c>
      <c r="AY111" s="11" t="n">
        <f aca="false">AY20*($F$109*(1-Inputs!$F$196)+Inputs!$F$197*$F$109+Inputs!$F$198+Inputs!$F$201/100*Inputs!$F$199)</f>
        <v>0</v>
      </c>
      <c r="AZ111" s="11" t="n">
        <f aca="false">AZ20*($F$109*(1-Inputs!$F$196)+Inputs!$F$197*$F$109+Inputs!$F$198+Inputs!$F$201/100*Inputs!$F$199)</f>
        <v>0</v>
      </c>
      <c r="BA111" s="11" t="n">
        <f aca="false">BA20*($F$109*(1-Inputs!$F$196)+Inputs!$F$197*$F$109+Inputs!$F$198+Inputs!$F$201/100*Inputs!$F$199)</f>
        <v>0</v>
      </c>
      <c r="BB111" s="11" t="n">
        <f aca="false">BB20*($F$109*(1-Inputs!$F$196)+Inputs!$F$197*$F$109+Inputs!$F$198+Inputs!$F$201/100*Inputs!$F$199)</f>
        <v>0</v>
      </c>
      <c r="BC111" s="11" t="n">
        <f aca="false">BC20*($F$109*(1-Inputs!$F$196)+Inputs!$F$197*$F$109+Inputs!$F$198+Inputs!$F$201/100*Inputs!$F$199)</f>
        <v>0</v>
      </c>
      <c r="BD111" s="11" t="n">
        <f aca="false">BD20*($F$109*(1-Inputs!$F$196)+Inputs!$F$197*$F$109+Inputs!$F$198+Inputs!$F$201/100*Inputs!$F$199)</f>
        <v>0</v>
      </c>
      <c r="BE111" s="11" t="n">
        <f aca="false">BE20*($F$109*(1-Inputs!$F$196)+Inputs!$F$197*$F$109+Inputs!$F$198+Inputs!$F$201/100*Inputs!$F$199)</f>
        <v>0</v>
      </c>
      <c r="BF111" s="11" t="n">
        <f aca="false">BF20*($F$109*(1-Inputs!$F$196)+Inputs!$F$197*$F$109+Inputs!$F$198+Inputs!$F$201/100*Inputs!$F$199)</f>
        <v>0</v>
      </c>
      <c r="BG111" s="11" t="n">
        <f aca="false">BG20*($F$109*(1-Inputs!$F$196)+Inputs!$F$197*$F$109+Inputs!$F$198+Inputs!$F$201/100*Inputs!$F$199)</f>
        <v>0</v>
      </c>
      <c r="BH111" s="11" t="n">
        <f aca="false">BH20*($F$109*(1-Inputs!$F$196)+Inputs!$F$197*$F$109+Inputs!$F$198+Inputs!$F$201/100*Inputs!$F$199)</f>
        <v>0</v>
      </c>
      <c r="BI111" s="11" t="n">
        <f aca="false">BI20*($F$109*(1-Inputs!$F$196)+Inputs!$F$197*$F$109+Inputs!$F$198+Inputs!$F$201/100*Inputs!$F$199)</f>
        <v>0</v>
      </c>
      <c r="BJ111" s="11" t="n">
        <f aca="false">BJ20*($F$109*(1-Inputs!$F$196)+Inputs!$F$197*$F$109+Inputs!$F$198+Inputs!$F$201/100*Inputs!$F$199)</f>
        <v>0</v>
      </c>
      <c r="BK111" s="11" t="n">
        <f aca="false">BK20*($F$109*(1-Inputs!$F$196)+Inputs!$F$197*$F$109+Inputs!$F$198+Inputs!$F$201/100*Inputs!$F$199)</f>
        <v>0</v>
      </c>
      <c r="BL111" s="11" t="n">
        <f aca="false">BL20*($F$109*(1-Inputs!$F$196)+Inputs!$F$197*$F$109+Inputs!$F$198+Inputs!$F$201/100*Inputs!$F$199)</f>
        <v>0</v>
      </c>
      <c r="BM111" s="11" t="n">
        <f aca="false">BM20*($F$109*(1-Inputs!$F$196)+Inputs!$F$197*$F$109+Inputs!$F$198+Inputs!$F$201/100*Inputs!$F$199)</f>
        <v>0</v>
      </c>
      <c r="BN111" s="11" t="n">
        <f aca="false">BN20*($F$109*(1-Inputs!$F$196)+Inputs!$F$197*$F$109+Inputs!$F$198+Inputs!$F$201/100*Inputs!$F$199)</f>
        <v>0</v>
      </c>
    </row>
    <row r="112" customFormat="false" ht="15" hidden="false" customHeight="false" outlineLevel="0" collapsed="false">
      <c r="B112" s="2" t="s">
        <v>680</v>
      </c>
    </row>
    <row r="113" customFormat="false" ht="15" hidden="false" customHeight="false" outlineLevel="0" collapsed="false">
      <c r="D113" s="0" t="s">
        <v>681</v>
      </c>
      <c r="E113" s="0" t="s">
        <v>109</v>
      </c>
      <c r="J113" s="11" t="n">
        <f aca="false">IF(AND(Inputs!$F$50=1,Time!J17&gt;14),Inputs!$F$204,1)</f>
        <v>1</v>
      </c>
      <c r="K113" s="11" t="n">
        <f aca="false">IF(AND(Inputs!$F$50=1,Time!K17&gt;14),Inputs!$F$204,1)</f>
        <v>1</v>
      </c>
      <c r="L113" s="11" t="n">
        <f aca="false">IF(AND(Inputs!$F$50=1,Time!L17&gt;14),Inputs!$F$204,1)</f>
        <v>1</v>
      </c>
      <c r="M113" s="11" t="n">
        <f aca="false">IF(AND(Inputs!$F$50=1,Time!M17&gt;14),Inputs!$F$204,1)</f>
        <v>1</v>
      </c>
      <c r="N113" s="11" t="n">
        <f aca="false">IF(AND(Inputs!$F$50=1,Time!N17&gt;14),Inputs!$F$204,1)</f>
        <v>1</v>
      </c>
      <c r="O113" s="11" t="n">
        <f aca="false">IF(AND(Inputs!$F$50=1,Time!O17&gt;14),Inputs!$F$204,1)</f>
        <v>1</v>
      </c>
      <c r="P113" s="11" t="n">
        <f aca="false">IF(AND(Inputs!$F$50=1,Time!P17&gt;14),Inputs!$F$204,1)</f>
        <v>1</v>
      </c>
      <c r="Q113" s="11" t="n">
        <f aca="false">IF(AND(Inputs!$F$50=1,Time!Q17&gt;14),Inputs!$F$204,1)</f>
        <v>1</v>
      </c>
      <c r="R113" s="11" t="n">
        <f aca="false">IF(AND(Inputs!$F$50=1,Time!R17&gt;14),Inputs!$F$204,1)</f>
        <v>1</v>
      </c>
      <c r="S113" s="11" t="n">
        <f aca="false">IF(AND(Inputs!$F$50=1,Time!S17&gt;14),Inputs!$F$204,1)</f>
        <v>1</v>
      </c>
      <c r="T113" s="11" t="n">
        <f aca="false">IF(AND(Inputs!$F$50=1,Time!T17&gt;14),Inputs!$F$204,1)</f>
        <v>1</v>
      </c>
      <c r="U113" s="11" t="n">
        <f aca="false">IF(AND(Inputs!$F$50=1,Time!U17&gt;14),Inputs!$F$204,1)</f>
        <v>1</v>
      </c>
      <c r="V113" s="11" t="n">
        <f aca="false">IF(AND(Inputs!$F$50=1,Time!V17&gt;14),Inputs!$F$204,1)</f>
        <v>1</v>
      </c>
      <c r="W113" s="11" t="n">
        <f aca="false">IF(AND(Inputs!$F$50=1,Time!W17&gt;14),Inputs!$F$204,1)</f>
        <v>1</v>
      </c>
      <c r="X113" s="11" t="n">
        <f aca="false">IF(AND(Inputs!$F$50=1,Time!X17&gt;14),Inputs!$F$204,1)</f>
        <v>1</v>
      </c>
      <c r="Y113" s="11" t="n">
        <f aca="false">IF(AND(Inputs!$F$50=1,Time!Y17&gt;14),Inputs!$F$204,1)</f>
        <v>1</v>
      </c>
      <c r="Z113" s="11" t="n">
        <f aca="false">IF(AND(Inputs!$F$50=1,Time!Z17&gt;14),Inputs!$F$204,1)</f>
        <v>1</v>
      </c>
      <c r="AA113" s="11" t="n">
        <f aca="false">IF(AND(Inputs!$F$50=1,Time!AA17&gt;14),Inputs!$F$204,1)</f>
        <v>1</v>
      </c>
      <c r="AB113" s="11" t="n">
        <f aca="false">IF(AND(Inputs!$F$50=1,Time!AB17&gt;14),Inputs!$F$204,1)</f>
        <v>1</v>
      </c>
      <c r="AC113" s="11" t="n">
        <f aca="false">IF(AND(Inputs!$F$50=1,Time!AC17&gt;14),Inputs!$F$204,1)</f>
        <v>1</v>
      </c>
      <c r="AD113" s="11" t="n">
        <f aca="false">IF(AND(Inputs!$F$50=1,Time!AD17&gt;14),Inputs!$F$204,1)</f>
        <v>1</v>
      </c>
      <c r="AE113" s="11" t="n">
        <f aca="false">IF(AND(Inputs!$F$50=1,Time!AE17&gt;14),Inputs!$F$204,1)</f>
        <v>1</v>
      </c>
      <c r="AF113" s="11" t="n">
        <f aca="false">IF(AND(Inputs!$F$50=1,Time!AF17&gt;14),Inputs!$F$204,1)</f>
        <v>1</v>
      </c>
      <c r="AG113" s="11" t="n">
        <f aca="false">IF(AND(Inputs!$F$50=1,Time!AG17&gt;14),Inputs!$F$204,1)</f>
        <v>1</v>
      </c>
      <c r="AH113" s="11" t="n">
        <f aca="false">IF(AND(Inputs!$F$50=1,Time!AH17&gt;14),Inputs!$F$204,1)</f>
        <v>1</v>
      </c>
      <c r="AI113" s="11" t="n">
        <f aca="false">IF(AND(Inputs!$F$50=1,Time!AI17&gt;14),Inputs!$F$204,1)</f>
        <v>1</v>
      </c>
      <c r="AJ113" s="11" t="n">
        <f aca="false">IF(AND(Inputs!$F$50=1,Time!AJ17&gt;14),Inputs!$F$204,1)</f>
        <v>1</v>
      </c>
      <c r="AK113" s="11" t="n">
        <f aca="false">IF(AND(Inputs!$F$50=1,Time!AK17&gt;14),Inputs!$F$204,1)</f>
        <v>1</v>
      </c>
      <c r="AL113" s="11" t="n">
        <f aca="false">IF(AND(Inputs!$F$50=1,Time!AL17&gt;14),Inputs!$F$204,1)</f>
        <v>1</v>
      </c>
      <c r="AM113" s="11" t="n">
        <f aca="false">IF(AND(Inputs!$F$50=1,Time!AM17&gt;14),Inputs!$F$204,1)</f>
        <v>1</v>
      </c>
      <c r="AN113" s="11" t="n">
        <f aca="false">IF(AND(Inputs!$F$50=1,Time!AN17&gt;14),Inputs!$F$204,1)</f>
        <v>1</v>
      </c>
      <c r="AO113" s="11" t="n">
        <f aca="false">IF(AND(Inputs!$F$50=1,Time!AO17&gt;14),Inputs!$F$204,1)</f>
        <v>1</v>
      </c>
      <c r="AP113" s="11" t="n">
        <f aca="false">IF(AND(Inputs!$F$50=1,Time!AP17&gt;14),Inputs!$F$204,1)</f>
        <v>1</v>
      </c>
      <c r="AQ113" s="11" t="n">
        <f aca="false">IF(AND(Inputs!$F$50=1,Time!AQ17&gt;14),Inputs!$F$204,1)</f>
        <v>1</v>
      </c>
      <c r="AR113" s="11" t="n">
        <f aca="false">IF(AND(Inputs!$F$50=1,Time!AR17&gt;14),Inputs!$F$204,1)</f>
        <v>1</v>
      </c>
      <c r="AS113" s="11" t="n">
        <f aca="false">IF(AND(Inputs!$F$50=1,Time!AS17&gt;14),Inputs!$F$204,1)</f>
        <v>1</v>
      </c>
      <c r="AT113" s="11" t="n">
        <f aca="false">IF(AND(Inputs!$F$50=1,Time!AT17&gt;14),Inputs!$F$204,1)</f>
        <v>1</v>
      </c>
      <c r="AU113" s="11" t="n">
        <f aca="false">IF(AND(Inputs!$F$50=1,Time!AU17&gt;14),Inputs!$F$204,1)</f>
        <v>1</v>
      </c>
      <c r="AV113" s="11" t="n">
        <f aca="false">IF(AND(Inputs!$F$50=1,Time!AV17&gt;14),Inputs!$F$204,1)</f>
        <v>1</v>
      </c>
      <c r="AW113" s="11" t="n">
        <f aca="false">IF(AND(Inputs!$F$50=1,Time!AW17&gt;14),Inputs!$F$204,1)</f>
        <v>1</v>
      </c>
      <c r="AX113" s="11" t="n">
        <f aca="false">IF(AND(Inputs!$F$50=1,Time!AX17&gt;14),Inputs!$F$204,1)</f>
        <v>1</v>
      </c>
      <c r="AY113" s="11" t="n">
        <f aca="false">IF(AND(Inputs!$F$50=1,Time!AY17&gt;14),Inputs!$F$204,1)</f>
        <v>1</v>
      </c>
      <c r="AZ113" s="11" t="n">
        <f aca="false">IF(AND(Inputs!$F$50=1,Time!AZ17&gt;14),Inputs!$F$204,1)</f>
        <v>1</v>
      </c>
      <c r="BA113" s="11" t="n">
        <f aca="false">IF(AND(Inputs!$F$50=1,Time!BA17&gt;14),Inputs!$F$204,1)</f>
        <v>1</v>
      </c>
      <c r="BB113" s="11" t="n">
        <f aca="false">IF(AND(Inputs!$F$50=1,Time!BB17&gt;14),Inputs!$F$204,1)</f>
        <v>1</v>
      </c>
      <c r="BC113" s="11" t="n">
        <f aca="false">IF(AND(Inputs!$F$50=1,Time!BC17&gt;14),Inputs!$F$204,1)</f>
        <v>1</v>
      </c>
      <c r="BD113" s="11" t="n">
        <f aca="false">IF(AND(Inputs!$F$50=1,Time!BD17&gt;14),Inputs!$F$204,1)</f>
        <v>1</v>
      </c>
      <c r="BE113" s="11" t="n">
        <f aca="false">IF(AND(Inputs!$F$50=1,Time!BE17&gt;14),Inputs!$F$204,1)</f>
        <v>1</v>
      </c>
      <c r="BF113" s="11" t="n">
        <f aca="false">IF(AND(Inputs!$F$50=1,Time!BF17&gt;14),Inputs!$F$204,1)</f>
        <v>1</v>
      </c>
      <c r="BG113" s="11" t="n">
        <f aca="false">IF(AND(Inputs!$F$50=1,Time!BG17&gt;14),Inputs!$F$204,1)</f>
        <v>1</v>
      </c>
      <c r="BH113" s="11" t="n">
        <f aca="false">IF(AND(Inputs!$F$50=1,Time!BH17&gt;14),Inputs!$F$204,1)</f>
        <v>1</v>
      </c>
      <c r="BI113" s="11" t="n">
        <f aca="false">IF(AND(Inputs!$F$50=1,Time!BI17&gt;14),Inputs!$F$204,1)</f>
        <v>1</v>
      </c>
      <c r="BJ113" s="11" t="n">
        <f aca="false">IF(AND(Inputs!$F$50=1,Time!BJ17&gt;14),Inputs!$F$204,1)</f>
        <v>1</v>
      </c>
      <c r="BK113" s="11" t="n">
        <f aca="false">IF(AND(Inputs!$F$50=1,Time!BK17&gt;14),Inputs!$F$204,1)</f>
        <v>1</v>
      </c>
      <c r="BL113" s="11" t="n">
        <f aca="false">IF(AND(Inputs!$F$50=1,Time!BL17&gt;14),Inputs!$F$204,1)</f>
        <v>1</v>
      </c>
      <c r="BM113" s="11" t="n">
        <f aca="false">IF(AND(Inputs!$F$50=1,Time!BM17&gt;14),Inputs!$F$204,1)</f>
        <v>1</v>
      </c>
      <c r="BN113" s="11" t="n">
        <f aca="false">IF(AND(Inputs!$F$50=1,Time!BN17&gt;14),Inputs!$F$204,1)</f>
        <v>1</v>
      </c>
    </row>
    <row r="114" customFormat="false" ht="15" hidden="false" customHeight="false" outlineLevel="0" collapsed="false">
      <c r="D114" s="0" t="s">
        <v>682</v>
      </c>
      <c r="E114" s="0" t="s">
        <v>149</v>
      </c>
      <c r="G114" s="11" t="n">
        <f aca="false">SUM(J114:BN114)</f>
        <v>-7.79804687742323</v>
      </c>
      <c r="J114" s="11" t="n">
        <f aca="false">Time!J30*Inputs!J225*J113*(Inputs!$F$97/100*0.5-Operations!J9/100*Time!J20/360)</f>
        <v>0</v>
      </c>
      <c r="K114" s="11" t="n">
        <f aca="false">Time!K30*Inputs!K225*K113*(Inputs!$F$97/100*0.5-Operations!K9/100*Time!K20/360)</f>
        <v>0</v>
      </c>
      <c r="L114" s="11" t="n">
        <f aca="false">Time!L30*Inputs!L225*L113*(Inputs!$F$97/100*0.5-Operations!L9/100*Time!L20/360)</f>
        <v>-0</v>
      </c>
      <c r="M114" s="11" t="n">
        <f aca="false">Time!M30*Inputs!M225*M113*(Inputs!$F$97/100*0.5-Operations!M9/100*Time!M20/360)</f>
        <v>-0</v>
      </c>
      <c r="N114" s="11" t="n">
        <f aca="false">Time!N30*Inputs!N225*N113*(Inputs!$F$97/100*0.5-Operations!N9/100*Time!N20/360)</f>
        <v>-0</v>
      </c>
      <c r="O114" s="11" t="n">
        <f aca="false">Time!O30*Inputs!O225*O113*(Inputs!$F$97/100*0.5-Operations!O9/100*Time!O20/360)</f>
        <v>-0</v>
      </c>
      <c r="P114" s="11" t="n">
        <f aca="false">Time!P30*Inputs!P225*P113*(Inputs!$F$97/100*0.5-Operations!P9/100*Time!P20/360)</f>
        <v>-0</v>
      </c>
      <c r="Q114" s="11" t="n">
        <f aca="false">Time!Q30*Inputs!Q225*Q113*(Inputs!$F$97/100*0.5-Operations!Q9/100*Time!Q20/360)</f>
        <v>-0.445478114360217</v>
      </c>
      <c r="R114" s="11" t="n">
        <f aca="false">Time!R30*Inputs!R225*R113*(Inputs!$F$97/100*0.5-Operations!R9/100*Time!R20/360)</f>
        <v>-0.558571669509065</v>
      </c>
      <c r="S114" s="11" t="n">
        <f aca="false">Time!S30*Inputs!S225*S113*(Inputs!$F$97/100*0.5-Operations!S9/100*Time!S20/360)</f>
        <v>-0.445136702711515</v>
      </c>
      <c r="T114" s="11" t="n">
        <f aca="false">Time!T30*Inputs!T225*T113*(Inputs!$F$97/100*0.5-Operations!T9/100*Time!T20/360)</f>
        <v>-0.549845280112812</v>
      </c>
      <c r="U114" s="11" t="n">
        <f aca="false">Time!U30*Inputs!U225*U113*(Inputs!$F$97/100*0.5-Operations!U9/100*Time!U20/360)</f>
        <v>-0.456034890910268</v>
      </c>
      <c r="V114" s="11" t="n">
        <f aca="false">Time!V30*Inputs!V225*V113*(Inputs!$F$97/100*0.5-Operations!V9/100*Time!V20/360)</f>
        <v>-0.513916202993083</v>
      </c>
      <c r="W114" s="11" t="n">
        <f aca="false">Time!W30*Inputs!W225*W113*(Inputs!$F$97/100*0.5-Operations!W9/100*Time!W20/360)</f>
        <v>-0.388372419598774</v>
      </c>
      <c r="X114" s="11" t="n">
        <f aca="false">Time!X30*Inputs!X225*X113*(Inputs!$F$97/100*0.5-Operations!X9/100*Time!X20/360)</f>
        <v>-0.474444911128126</v>
      </c>
      <c r="Y114" s="11" t="n">
        <f aca="false">Time!Y30*Inputs!Y225*Y113*(Inputs!$F$97/100*0.5-Operations!Y9/100*Time!Y20/360)</f>
        <v>-0.357340924315523</v>
      </c>
      <c r="Z114" s="11" t="n">
        <f aca="false">Time!Z30*Inputs!Z225*Z113*(Inputs!$F$97/100*0.5-Operations!Z9/100*Time!Z20/360)</f>
        <v>-0.435482358370267</v>
      </c>
      <c r="AA114" s="11" t="n">
        <f aca="false">Time!AA30*Inputs!AA225*AA113*(Inputs!$F$97/100*0.5-Operations!AA9/100*Time!AA20/360)</f>
        <v>-0.326097738973434</v>
      </c>
      <c r="AB114" s="11" t="n">
        <f aca="false">Time!AB30*Inputs!AB225*AB113*(Inputs!$F$97/100*0.5-Operations!AB9/100*Time!AB20/360)</f>
        <v>-0.394303918246469</v>
      </c>
      <c r="AC114" s="11" t="n">
        <f aca="false">Time!AC30*Inputs!AC225*AC113*(Inputs!$F$97/100*0.5-Operations!AC9/100*Time!AC20/360)</f>
        <v>-0.31914465968803</v>
      </c>
      <c r="AD114" s="11" t="n">
        <f aca="false">Time!AD30*Inputs!AD225*AD113*(Inputs!$F$97/100*0.5-Operations!AD9/100*Time!AD20/360)</f>
        <v>-0.349812757829549</v>
      </c>
      <c r="AE114" s="11" t="n">
        <f aca="false">Time!AE30*Inputs!AE225*AE113*(Inputs!$F$97/100*0.5-Operations!AE9/100*Time!AE20/360)</f>
        <v>-0.255360632473454</v>
      </c>
      <c r="AF114" s="11" t="n">
        <f aca="false">Time!AF30*Inputs!AF225*AF113*(Inputs!$F$97/100*0.5-Operations!AF9/100*Time!AF20/360)</f>
        <v>-0.299379028546211</v>
      </c>
      <c r="AG114" s="11" t="n">
        <f aca="false">Time!AG30*Inputs!AG225*AG113*(Inputs!$F$97/100*0.5-Operations!AG9/100*Time!AG20/360)</f>
        <v>-0.21420619941067</v>
      </c>
      <c r="AH114" s="11" t="n">
        <f aca="false">Time!AH30*Inputs!AH225*AH113*(Inputs!$F$97/100*0.5-Operations!AH9/100*Time!AH20/360)</f>
        <v>-0.245580351678532</v>
      </c>
      <c r="AI114" s="11" t="n">
        <f aca="false">Time!AI30*Inputs!AI225*AI113*(Inputs!$F$97/100*0.5-Operations!AI9/100*Time!AI20/360)</f>
        <v>-0.170490583429942</v>
      </c>
      <c r="AJ114" s="11" t="n">
        <f aca="false">Time!AJ30*Inputs!AJ225*AJ113*(Inputs!$F$97/100*0.5-Operations!AJ9/100*Time!AJ20/360)</f>
        <v>-0.187721389976143</v>
      </c>
      <c r="AK114" s="11" t="n">
        <f aca="false">Time!AK30*Inputs!AK225*AK113*(Inputs!$F$97/100*0.5-Operations!AK9/100*Time!AK20/360)</f>
        <v>-0.134503281259001</v>
      </c>
      <c r="AL114" s="11" t="n">
        <f aca="false">Time!AL30*Inputs!AL225*AL113*(Inputs!$F$97/100*0.5-Operations!AL9/100*Time!AL20/360)</f>
        <v>-0.125195759260965</v>
      </c>
      <c r="AM114" s="11" t="n">
        <f aca="false">Time!AM30*Inputs!AM225*AM113*(Inputs!$F$97/100*0.5-Operations!AM9/100*Time!AM20/360)</f>
        <v>-0.071880526450513</v>
      </c>
      <c r="AN114" s="11" t="n">
        <f aca="false">Time!AN30*Inputs!AN225*AN113*(Inputs!$F$97/100*0.5-Operations!AN9/100*Time!AN20/360)</f>
        <v>-0.0571415404190419</v>
      </c>
      <c r="AO114" s="11" t="n">
        <f aca="false">Time!AO30*Inputs!AO225*AO113*(Inputs!$F$97/100*0.5-Operations!AO9/100*Time!AO20/360)</f>
        <v>-0.0226050357716252</v>
      </c>
      <c r="AP114" s="11" t="n">
        <f aca="false">Time!AP30*Inputs!AP225*AP113*(Inputs!$F$97/100*0.5-Operations!AP9/100*Time!AP20/360)</f>
        <v>-0</v>
      </c>
      <c r="AQ114" s="11" t="n">
        <f aca="false">Time!AQ30*Inputs!AQ225*AQ113*(Inputs!$F$97/100*0.5-Operations!AQ9/100*Time!AQ20/360)</f>
        <v>-0</v>
      </c>
      <c r="AR114" s="11" t="n">
        <f aca="false">Time!AR30*Inputs!AR225*AR113*(Inputs!$F$97/100*0.5-Operations!AR9/100*Time!AR20/360)</f>
        <v>-0</v>
      </c>
      <c r="AS114" s="11" t="n">
        <f aca="false">Time!AS30*Inputs!AS225*AS113*(Inputs!$F$97/100*0.5-Operations!AS9/100*Time!AS20/360)</f>
        <v>-0</v>
      </c>
      <c r="AT114" s="11" t="n">
        <f aca="false">Time!AT30*Inputs!AT225*AT113*(Inputs!$F$97/100*0.5-Operations!AT9/100*Time!AT20/360)</f>
        <v>-0</v>
      </c>
      <c r="AU114" s="11" t="n">
        <f aca="false">Time!AU30*Inputs!AU225*AU113*(Inputs!$F$97/100*0.5-Operations!AU9/100*Time!AU20/360)</f>
        <v>-0</v>
      </c>
      <c r="AV114" s="11" t="n">
        <f aca="false">Time!AV30*Inputs!AV225*AV113*(Inputs!$F$97/100*0.5-Operations!AV9/100*Time!AV20/360)</f>
        <v>-0</v>
      </c>
      <c r="AW114" s="11" t="n">
        <f aca="false">Time!AW30*Inputs!AW225*AW113*(Inputs!$F$97/100*0.5-Operations!AW9/100*Time!AW20/360)</f>
        <v>-0</v>
      </c>
      <c r="AX114" s="11" t="n">
        <f aca="false">Time!AX30*Inputs!AX225*AX113*(Inputs!$F$97/100*0.5-Operations!AX9/100*Time!AX20/360)</f>
        <v>-0</v>
      </c>
      <c r="AY114" s="11" t="n">
        <f aca="false">Time!AY30*Inputs!AY225*AY113*(Inputs!$F$97/100*0.5-Operations!AY9/100*Time!AY20/360)</f>
        <v>-0</v>
      </c>
      <c r="AZ114" s="11" t="n">
        <f aca="false">Time!AZ30*Inputs!AZ225*AZ113*(Inputs!$F$97/100*0.5-Operations!AZ9/100*Time!AZ20/360)</f>
        <v>-0</v>
      </c>
      <c r="BA114" s="11" t="n">
        <f aca="false">Time!BA30*Inputs!BA225*BA113*(Inputs!$F$97/100*0.5-Operations!BA9/100*Time!BA20/360)</f>
        <v>-0</v>
      </c>
      <c r="BB114" s="11" t="n">
        <f aca="false">Time!BB30*Inputs!BB225*BB113*(Inputs!$F$97/100*0.5-Operations!BB9/100*Time!BB20/360)</f>
        <v>-0</v>
      </c>
      <c r="BC114" s="11" t="n">
        <f aca="false">Time!BC30*Inputs!BC225*BC113*(Inputs!$F$97/100*0.5-Operations!BC9/100*Time!BC20/360)</f>
        <v>-0</v>
      </c>
      <c r="BD114" s="11" t="n">
        <f aca="false">Time!BD30*Inputs!BD225*BD113*(Inputs!$F$97/100*0.5-Operations!BD9/100*Time!BD20/360)</f>
        <v>-0</v>
      </c>
      <c r="BE114" s="11" t="n">
        <f aca="false">Time!BE30*Inputs!BE225*BE113*(Inputs!$F$97/100*0.5-Operations!BE9/100*Time!BE20/360)</f>
        <v>-0</v>
      </c>
      <c r="BF114" s="11" t="n">
        <f aca="false">Time!BF30*Inputs!BF225*BF113*(Inputs!$F$97/100*0.5-Operations!BF9/100*Time!BF20/360)</f>
        <v>-0</v>
      </c>
      <c r="BG114" s="11" t="n">
        <f aca="false">Time!BG30*Inputs!BG225*BG113*(Inputs!$F$97/100*0.5-Operations!BG9/100*Time!BG20/360)</f>
        <v>-0</v>
      </c>
      <c r="BH114" s="11" t="n">
        <f aca="false">Time!BH30*Inputs!BH225*BH113*(Inputs!$F$97/100*0.5-Operations!BH9/100*Time!BH20/360)</f>
        <v>-0</v>
      </c>
      <c r="BI114" s="11" t="n">
        <f aca="false">Time!BI30*Inputs!BI225*BI113*(Inputs!$F$97/100*0.5-Operations!BI9/100*Time!BI20/360)</f>
        <v>-0</v>
      </c>
      <c r="BJ114" s="11" t="n">
        <f aca="false">Time!BJ30*Inputs!BJ225*BJ113*(Inputs!$F$97/100*0.5-Operations!BJ9/100*Time!BJ20/360)</f>
        <v>-0</v>
      </c>
      <c r="BK114" s="11" t="n">
        <f aca="false">Time!BK30*Inputs!BK225*BK113*(Inputs!$F$97/100*0.5-Operations!BK9/100*Time!BK20/360)</f>
        <v>-0</v>
      </c>
      <c r="BL114" s="11" t="n">
        <f aca="false">Time!BL30*Inputs!BL225*BL113*(Inputs!$F$97/100*0.5-Operations!BL9/100*Time!BL20/360)</f>
        <v>-0</v>
      </c>
      <c r="BM114" s="11" t="n">
        <f aca="false">Time!BM30*Inputs!BM225*BM113*(Inputs!$F$97/100*0.5-Operations!BM9/100*Time!BM20/360)</f>
        <v>-0</v>
      </c>
      <c r="BN114" s="11" t="n">
        <f aca="false">Time!BN30*Inputs!BN225*BN113*(Inputs!$F$97/100*0.5-Operations!BN9/100*Time!BN20/360)</f>
        <v>-0</v>
      </c>
    </row>
    <row r="115" customFormat="false" ht="15" hidden="false" customHeight="false" outlineLevel="0" collapsed="false">
      <c r="D115" s="0" t="s">
        <v>683</v>
      </c>
      <c r="E115" s="0" t="s">
        <v>149</v>
      </c>
      <c r="G115" s="11" t="n">
        <f aca="false">SUM(J115:BN115)</f>
        <v>16.7832962673254</v>
      </c>
      <c r="J115" s="11" t="n">
        <f aca="false">(Inputs!$F$95/100*Inputs!$F$96/100)*J70*Time!J20/365</f>
        <v>0</v>
      </c>
      <c r="K115" s="11" t="n">
        <f aca="false">(Inputs!$F$95/100*Inputs!$F$96/100)*K70*Time!K20/365</f>
        <v>0</v>
      </c>
      <c r="L115" s="11" t="n">
        <f aca="false">(Inputs!$F$95/100*Inputs!$F$96/100)*L70*Time!L20/365</f>
        <v>0</v>
      </c>
      <c r="M115" s="11" t="n">
        <f aca="false">(Inputs!$F$95/100*Inputs!$F$96/100)*M70*Time!M20/365</f>
        <v>0</v>
      </c>
      <c r="N115" s="11" t="n">
        <f aca="false">(Inputs!$F$95/100*Inputs!$F$96/100)*N70*Time!N20/365</f>
        <v>0</v>
      </c>
      <c r="O115" s="11" t="n">
        <f aca="false">(Inputs!$F$95/100*Inputs!$F$96/100)*O70*Time!O20/365</f>
        <v>0</v>
      </c>
      <c r="P115" s="11" t="n">
        <f aca="false">(Inputs!$F$95/100*Inputs!$F$96/100)*P70*Time!P20/365</f>
        <v>0</v>
      </c>
      <c r="Q115" s="11" t="n">
        <f aca="false">(Inputs!$F$95/100*Inputs!$F$96/100)*Q70*Time!Q20/365</f>
        <v>1.2828146462752</v>
      </c>
      <c r="R115" s="11" t="n">
        <f aca="false">(Inputs!$F$95/100*Inputs!$F$96/100)*R70*Time!R20/365</f>
        <v>1.26999483704666</v>
      </c>
      <c r="S115" s="11" t="n">
        <f aca="false">(Inputs!$F$95/100*Inputs!$F$96/100)*S70*Time!S20/365</f>
        <v>1.21411069297955</v>
      </c>
      <c r="T115" s="11" t="n">
        <f aca="false">(Inputs!$F$95/100*Inputs!$F$96/100)*T70*Time!T20/365</f>
        <v>1.19741950040004</v>
      </c>
      <c r="U115" s="11" t="n">
        <f aca="false">(Inputs!$F$95/100*Inputs!$F$96/100)*U70*Time!U20/365</f>
        <v>1.14631460515386</v>
      </c>
      <c r="V115" s="11" t="n">
        <f aca="false">(Inputs!$F$95/100*Inputs!$F$96/100)*V70*Time!V20/365</f>
        <v>1.11917534858025</v>
      </c>
      <c r="W115" s="11" t="n">
        <f aca="false">(Inputs!$F$95/100*Inputs!$F$96/100)*W70*Time!W20/365</f>
        <v>1.05928606789991</v>
      </c>
      <c r="X115" s="11" t="n">
        <f aca="false">(Inputs!$F$95/100*Inputs!$F$96/100)*X70*Time!X20/365</f>
        <v>1.03321717762826</v>
      </c>
      <c r="Y115" s="11" t="n">
        <f aca="false">(Inputs!$F$95/100*Inputs!$F$96/100)*Y70*Time!Y20/365</f>
        <v>0.974647641068242</v>
      </c>
      <c r="Z115" s="11" t="n">
        <f aca="false">(Inputs!$F$95/100*Inputs!$F$96/100)*Z70*Time!Z20/365</f>
        <v>0.948366907661311</v>
      </c>
      <c r="AA115" s="11" t="n">
        <f aca="false">(Inputs!$F$95/100*Inputs!$F$96/100)*AA70*Time!AA20/365</f>
        <v>0.889431829441142</v>
      </c>
      <c r="AB115" s="11" t="n">
        <f aca="false">(Inputs!$F$95/100*Inputs!$F$96/100)*AB70*Time!AB20/365</f>
        <v>0.832709324272257</v>
      </c>
      <c r="AC115" s="11" t="n">
        <f aca="false">(Inputs!$F$95/100*Inputs!$F$96/100)*AC70*Time!AC20/365</f>
        <v>0.747605670323818</v>
      </c>
      <c r="AD115" s="11" t="n">
        <f aca="false">(Inputs!$F$95/100*Inputs!$F$96/100)*AD70*Time!AD20/365</f>
        <v>0.682003155507333</v>
      </c>
      <c r="AE115" s="11" t="n">
        <f aca="false">(Inputs!$F$95/100*Inputs!$F$96/100)*AE70*Time!AE20/365</f>
        <v>0.593188917457423</v>
      </c>
      <c r="AF115" s="11" t="n">
        <f aca="false">(Inputs!$F$95/100*Inputs!$F$96/100)*AF70*Time!AF20/365</f>
        <v>0.51944438960747</v>
      </c>
      <c r="AG115" s="11" t="n">
        <f aca="false">(Inputs!$F$95/100*Inputs!$F$96/100)*AG70*Time!AG20/365</f>
        <v>0.424032480915671</v>
      </c>
      <c r="AH115" s="11" t="n">
        <f aca="false">(Inputs!$F$95/100*Inputs!$F$96/100)*AH70*Time!AH20/365</f>
        <v>0.345696009091859</v>
      </c>
      <c r="AI115" s="11" t="n">
        <f aca="false">(Inputs!$F$95/100*Inputs!$F$96/100)*AI70*Time!AI20/365</f>
        <v>0.252721097459638</v>
      </c>
      <c r="AJ115" s="11" t="n">
        <f aca="false">(Inputs!$F$95/100*Inputs!$F$96/100)*AJ70*Time!AJ20/365</f>
        <v>0.170146863142919</v>
      </c>
      <c r="AK115" s="11" t="n">
        <f aca="false">(Inputs!$F$95/100*Inputs!$F$96/100)*AK70*Time!AK20/365</f>
        <v>0.0809691054126024</v>
      </c>
      <c r="AL115" s="11" t="n">
        <f aca="false">(Inputs!$F$95/100*Inputs!$F$96/100)*AL70*Time!AL20/365</f>
        <v>0</v>
      </c>
      <c r="AM115" s="11" t="n">
        <f aca="false">(Inputs!$F$95/100*Inputs!$F$96/100)*AM70*Time!AM20/365</f>
        <v>0</v>
      </c>
      <c r="AN115" s="11" t="n">
        <f aca="false">(Inputs!$F$95/100*Inputs!$F$96/100)*AN70*Time!AN20/365</f>
        <v>0</v>
      </c>
      <c r="AO115" s="11" t="n">
        <f aca="false">(Inputs!$F$95/100*Inputs!$F$96/100)*AO70*Time!AO20/365</f>
        <v>0</v>
      </c>
      <c r="AP115" s="11" t="n">
        <f aca="false">(Inputs!$F$95/100*Inputs!$F$96/100)*AP70*Time!AP20/365</f>
        <v>0</v>
      </c>
      <c r="AQ115" s="11" t="n">
        <f aca="false">(Inputs!$F$95/100*Inputs!$F$96/100)*AQ70*Time!AQ20/365</f>
        <v>0</v>
      </c>
      <c r="AR115" s="11" t="n">
        <f aca="false">(Inputs!$F$95/100*Inputs!$F$96/100)*AR70*Time!AR20/365</f>
        <v>0</v>
      </c>
      <c r="AS115" s="11" t="n">
        <f aca="false">(Inputs!$F$95/100*Inputs!$F$96/100)*AS70*Time!AS20/365</f>
        <v>0</v>
      </c>
      <c r="AT115" s="11" t="n">
        <f aca="false">(Inputs!$F$95/100*Inputs!$F$96/100)*AT70*Time!AT20/365</f>
        <v>0</v>
      </c>
      <c r="AU115" s="11" t="n">
        <f aca="false">(Inputs!$F$95/100*Inputs!$F$96/100)*AU70*Time!AU20/365</f>
        <v>0</v>
      </c>
      <c r="AV115" s="11" t="n">
        <f aca="false">(Inputs!$F$95/100*Inputs!$F$96/100)*AV70*Time!AV20/365</f>
        <v>0</v>
      </c>
      <c r="AW115" s="11" t="n">
        <f aca="false">(Inputs!$F$95/100*Inputs!$F$96/100)*AW70*Time!AW20/365</f>
        <v>0</v>
      </c>
      <c r="AX115" s="11" t="n">
        <f aca="false">(Inputs!$F$95/100*Inputs!$F$96/100)*AX70*Time!AX20/365</f>
        <v>0</v>
      </c>
      <c r="AY115" s="11" t="n">
        <f aca="false">(Inputs!$F$95/100*Inputs!$F$96/100)*AY70*Time!AY20/365</f>
        <v>0</v>
      </c>
      <c r="AZ115" s="11" t="n">
        <f aca="false">(Inputs!$F$95/100*Inputs!$F$96/100)*AZ70*Time!AZ20/365</f>
        <v>0</v>
      </c>
      <c r="BA115" s="11" t="n">
        <f aca="false">(Inputs!$F$95/100*Inputs!$F$96/100)*BA70*Time!BA20/365</f>
        <v>0</v>
      </c>
      <c r="BB115" s="11" t="n">
        <f aca="false">(Inputs!$F$95/100*Inputs!$F$96/100)*BB70*Time!BB20/365</f>
        <v>0</v>
      </c>
      <c r="BC115" s="11" t="n">
        <f aca="false">(Inputs!$F$95/100*Inputs!$F$96/100)*BC70*Time!BC20/365</f>
        <v>0</v>
      </c>
      <c r="BD115" s="11" t="n">
        <f aca="false">(Inputs!$F$95/100*Inputs!$F$96/100)*BD70*Time!BD20/365</f>
        <v>0</v>
      </c>
      <c r="BE115" s="11" t="n">
        <f aca="false">(Inputs!$F$95/100*Inputs!$F$96/100)*BE70*Time!BE20/365</f>
        <v>0</v>
      </c>
      <c r="BF115" s="11" t="n">
        <f aca="false">(Inputs!$F$95/100*Inputs!$F$96/100)*BF70*Time!BF20/365</f>
        <v>0</v>
      </c>
      <c r="BG115" s="11" t="n">
        <f aca="false">(Inputs!$F$95/100*Inputs!$F$96/100)*BG70*Time!BG20/365</f>
        <v>0</v>
      </c>
      <c r="BH115" s="11" t="n">
        <f aca="false">(Inputs!$F$95/100*Inputs!$F$96/100)*BH70*Time!BH20/365</f>
        <v>0</v>
      </c>
      <c r="BI115" s="11" t="n">
        <f aca="false">(Inputs!$F$95/100*Inputs!$F$96/100)*BI70*Time!BI20/365</f>
        <v>0</v>
      </c>
      <c r="BJ115" s="11" t="n">
        <f aca="false">(Inputs!$F$95/100*Inputs!$F$96/100)*BJ70*Time!BJ20/365</f>
        <v>0</v>
      </c>
      <c r="BK115" s="11" t="n">
        <f aca="false">(Inputs!$F$95/100*Inputs!$F$96/100)*BK70*Time!BK20/365</f>
        <v>0</v>
      </c>
      <c r="BL115" s="11" t="n">
        <f aca="false">(Inputs!$F$95/100*Inputs!$F$96/100)*BL70*Time!BL20/365</f>
        <v>0</v>
      </c>
      <c r="BM115" s="11" t="n">
        <f aca="false">(Inputs!$F$95/100*Inputs!$F$96/100)*BM70*Time!BM20/365</f>
        <v>0</v>
      </c>
      <c r="BN115" s="11" t="n">
        <f aca="false">(Inputs!$F$95/100*Inputs!$F$96/100)*BN70*Time!BN20/365</f>
        <v>0</v>
      </c>
    </row>
    <row r="116" customFormat="false" ht="15" hidden="false" customHeight="false" outlineLevel="0" collapsed="false">
      <c r="D116" s="0" t="s">
        <v>684</v>
      </c>
      <c r="E116" s="0" t="s">
        <v>149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IF($F$109&gt;0,Inputs!$F$200/100*0.5*W100*Inputs!$F$199/$F$109,0)</f>
        <v>0</v>
      </c>
      <c r="X116" s="11" t="n">
        <f aca="false">IF($F$109&gt;0,Inputs!$F$200/100*0.5*X100*Inputs!$F$199/$F$109,0)</f>
        <v>0</v>
      </c>
      <c r="Y116" s="11" t="n">
        <f aca="false">IF($F$109&gt;0,Inputs!$F$200/100*0.5*Y100*Inputs!$F$199/$F$109,0)</f>
        <v>0</v>
      </c>
      <c r="Z116" s="11" t="n">
        <f aca="false">IF($F$109&gt;0,Inputs!$F$200/100*0.5*Z100*Inputs!$F$199/$F$109,0)</f>
        <v>0</v>
      </c>
      <c r="AA116" s="11" t="n">
        <f aca="false">IF($F$109&gt;0,Inputs!$F$200/100*0.5*AA100*Inputs!$F$199/$F$109,0)</f>
        <v>0</v>
      </c>
      <c r="AB116" s="11" t="n">
        <f aca="false">IF($F$109&gt;0,Inputs!$F$200/100*0.5*AB100*Inputs!$F$199/$F$109,0)</f>
        <v>0</v>
      </c>
      <c r="AC116" s="11" t="n">
        <f aca="false">IF($F$109&gt;0,Inputs!$F$200/100*0.5*AC100*Inputs!$F$199/$F$109,0)</f>
        <v>0</v>
      </c>
      <c r="AD116" s="11" t="n">
        <f aca="false">IF($F$109&gt;0,Inputs!$F$200/100*0.5*AD100*Inputs!$F$199/$F$109,0)</f>
        <v>0</v>
      </c>
      <c r="AE116" s="11" t="n">
        <f aca="false">IF($F$109&gt;0,Inputs!$F$200/100*0.5*AE100*Inputs!$F$199/$F$109,0)</f>
        <v>0</v>
      </c>
      <c r="AF116" s="11" t="n">
        <f aca="false">IF($F$109&gt;0,Inputs!$F$200/100*0.5*AF100*Inputs!$F$199/$F$109,0)</f>
        <v>0</v>
      </c>
      <c r="AG116" s="11" t="n">
        <f aca="false">IF($F$109&gt;0,Inputs!$F$200/100*0.5*AG100*Inputs!$F$199/$F$109,0)</f>
        <v>0</v>
      </c>
      <c r="AH116" s="11" t="n">
        <f aca="false">IF($F$109&gt;0,Inputs!$F$200/100*0.5*AH100*Inputs!$F$199/$F$109,0)</f>
        <v>0</v>
      </c>
      <c r="AI116" s="11" t="n">
        <f aca="false">IF($F$109&gt;0,Inputs!$F$200/100*0.5*AI100*Inputs!$F$199/$F$109,0)</f>
        <v>0</v>
      </c>
      <c r="AJ116" s="11" t="n">
        <f aca="false">IF($F$109&gt;0,Inputs!$F$200/100*0.5*AJ100*Inputs!$F$199/$F$109,0)</f>
        <v>0</v>
      </c>
      <c r="AK116" s="11" t="n">
        <f aca="false">IF($F$109&gt;0,Inputs!$F$200/100*0.5*AK100*Inputs!$F$199/$F$109,0)</f>
        <v>0</v>
      </c>
      <c r="AL116" s="11" t="n">
        <f aca="false">IF($F$109&gt;0,Inputs!$F$200/100*0.5*AL100*Inputs!$F$199/$F$109,0)</f>
        <v>0</v>
      </c>
      <c r="AM116" s="11" t="n">
        <f aca="false">IF($F$109&gt;0,Inputs!$F$200/100*0.5*AM100*Inputs!$F$199/$F$109,0)</f>
        <v>0</v>
      </c>
      <c r="AN116" s="11" t="n">
        <f aca="false">IF($F$109&gt;0,Inputs!$F$200/100*0.5*AN100*Inputs!$F$199/$F$109,0)</f>
        <v>0</v>
      </c>
      <c r="AO116" s="11" t="n">
        <f aca="false">IF($F$109&gt;0,Inputs!$F$200/100*0.5*AO100*Inputs!$F$199/$F$109,0)</f>
        <v>0</v>
      </c>
      <c r="AP116" s="11" t="n">
        <f aca="false">IF($F$109&gt;0,Inputs!$F$200/100*0.5*AP100*Inputs!$F$199/$F$109,0)</f>
        <v>0</v>
      </c>
      <c r="AQ116" s="11" t="n">
        <f aca="false">IF($F$109&gt;0,Inputs!$F$200/100*0.5*AQ100*Inputs!$F$199/$F$109,0)</f>
        <v>0</v>
      </c>
      <c r="AR116" s="11" t="n">
        <f aca="false">IF($F$109&gt;0,Inputs!$F$200/100*0.5*AR100*Inputs!$F$199/$F$109,0)</f>
        <v>0</v>
      </c>
      <c r="AS116" s="11" t="n">
        <f aca="false">IF($F$109&gt;0,Inputs!$F$200/100*0.5*AS100*Inputs!$F$199/$F$109,0)</f>
        <v>0</v>
      </c>
      <c r="AT116" s="11" t="n">
        <f aca="false">IF($F$109&gt;0,Inputs!$F$200/100*0.5*AT100*Inputs!$F$199/$F$109,0)</f>
        <v>0</v>
      </c>
      <c r="AU116" s="11" t="n">
        <f aca="false">IF($F$109&gt;0,Inputs!$F$200/100*0.5*AU100*Inputs!$F$199/$F$109,0)</f>
        <v>0</v>
      </c>
      <c r="AV116" s="11" t="n">
        <f aca="false">IF($F$109&gt;0,Inputs!$F$200/100*0.5*AV100*Inputs!$F$199/$F$109,0)</f>
        <v>0</v>
      </c>
      <c r="AW116" s="11" t="n">
        <f aca="false">IF($F$109&gt;0,Inputs!$F$200/100*0.5*AW100*Inputs!$F$199/$F$109,0)</f>
        <v>0</v>
      </c>
      <c r="AX116" s="11" t="n">
        <f aca="false">IF($F$109&gt;0,Inputs!$F$200/100*0.5*AX100*Inputs!$F$199/$F$109,0)</f>
        <v>0</v>
      </c>
      <c r="AY116" s="11" t="n">
        <f aca="false">IF($F$109&gt;0,Inputs!$F$200/100*0.5*AY100*Inputs!$F$199/$F$109,0)</f>
        <v>0</v>
      </c>
      <c r="AZ116" s="11" t="n">
        <f aca="false">IF($F$109&gt;0,Inputs!$F$200/100*0.5*AZ100*Inputs!$F$199/$F$109,0)</f>
        <v>0</v>
      </c>
      <c r="BA116" s="11" t="n">
        <f aca="false">IF($F$109&gt;0,Inputs!$F$200/100*0.5*BA100*Inputs!$F$199/$F$109,0)</f>
        <v>0</v>
      </c>
      <c r="BB116" s="11" t="n">
        <f aca="false">IF($F$109&gt;0,Inputs!$F$200/100*0.5*BB100*Inputs!$F$199/$F$109,0)</f>
        <v>0</v>
      </c>
      <c r="BC116" s="11" t="n">
        <f aca="false">IF($F$109&gt;0,Inputs!$F$200/100*0.5*BC100*Inputs!$F$199/$F$109,0)</f>
        <v>0</v>
      </c>
      <c r="BD116" s="11" t="n">
        <f aca="false">IF($F$109&gt;0,Inputs!$F$200/100*0.5*BD100*Inputs!$F$199/$F$109,0)</f>
        <v>0</v>
      </c>
      <c r="BE116" s="11" t="n">
        <f aca="false">IF($F$109&gt;0,Inputs!$F$200/100*0.5*BE100*Inputs!$F$199/$F$109,0)</f>
        <v>0</v>
      </c>
      <c r="BF116" s="11" t="n">
        <f aca="false">IF($F$109&gt;0,Inputs!$F$200/100*0.5*BF100*Inputs!$F$199/$F$109,0)</f>
        <v>0</v>
      </c>
      <c r="BG116" s="11" t="n">
        <f aca="false">IF($F$109&gt;0,Inputs!$F$200/100*0.5*BG100*Inputs!$F$199/$F$109,0)</f>
        <v>0</v>
      </c>
      <c r="BH116" s="11" t="n">
        <f aca="false">IF($F$109&gt;0,Inputs!$F$200/100*0.5*BH100*Inputs!$F$199/$F$109,0)</f>
        <v>0</v>
      </c>
      <c r="BI116" s="11" t="n">
        <f aca="false">IF($F$109&gt;0,Inputs!$F$200/100*0.5*BI100*Inputs!$F$199/$F$109,0)</f>
        <v>0</v>
      </c>
      <c r="BJ116" s="11" t="n">
        <f aca="false">IF($F$109&gt;0,Inputs!$F$200/100*0.5*BJ100*Inputs!$F$199/$F$109,0)</f>
        <v>0</v>
      </c>
      <c r="BK116" s="11" t="n">
        <f aca="false">IF($F$109&gt;0,Inputs!$F$200/100*0.5*BK100*Inputs!$F$199/$F$109,0)</f>
        <v>0</v>
      </c>
      <c r="BL116" s="11" t="n">
        <f aca="false">IF($F$109&gt;0,Inputs!$F$200/100*0.5*BL100*Inputs!$F$199/$F$109,0)</f>
        <v>0</v>
      </c>
      <c r="BM116" s="11" t="n">
        <f aca="false">IF($F$109&gt;0,Inputs!$F$200/100*0.5*BM100*Inputs!$F$199/$F$109,0)</f>
        <v>0</v>
      </c>
      <c r="BN116" s="11" t="n">
        <f aca="false">IF($F$109&gt;0,Inputs!$F$200/100*0.5*BN100*Inputs!$F$199/$F$109,0)</f>
        <v>0</v>
      </c>
    </row>
    <row r="117" customFormat="false" ht="15" hidden="false" customHeight="false" outlineLevel="0" collapsed="false">
      <c r="D117" s="0" t="s">
        <v>301</v>
      </c>
      <c r="E117" s="0" t="s">
        <v>149</v>
      </c>
      <c r="G117" s="11" t="n">
        <f aca="false">SUM(J117:BN117)</f>
        <v>0</v>
      </c>
      <c r="J117" s="11" t="n">
        <f aca="false">J21*Inputs!$F$192/100*(J25+J40+J55+J70+J85)</f>
        <v>0</v>
      </c>
      <c r="K117" s="11" t="n">
        <f aca="false">K21*Inputs!$F$192/100*(K25+K40+K55+K70+K85)</f>
        <v>0</v>
      </c>
      <c r="L117" s="11" t="n">
        <f aca="false">L21*Inputs!$F$192/100*(L25+L40+L55+L70+L85)</f>
        <v>0</v>
      </c>
      <c r="M117" s="11" t="n">
        <f aca="false">M21*Inputs!$F$192/100*(M25+M40+M55+M70+M85)</f>
        <v>0</v>
      </c>
      <c r="N117" s="11" t="n">
        <f aca="false">N21*Inputs!$F$192/100*(N25+N40+N55+N70+N85)</f>
        <v>0</v>
      </c>
      <c r="O117" s="11" t="n">
        <f aca="false">O21*Inputs!$F$192/100*(O25+O40+O55+O70+O85)</f>
        <v>0</v>
      </c>
      <c r="P117" s="11" t="n">
        <f aca="false">P21*Inputs!$F$192/100*(P25+P40+P55+P70+P85)</f>
        <v>0</v>
      </c>
      <c r="Q117" s="11" t="n">
        <f aca="false">Q21*Inputs!$F$192/100*(Q25+Q40+Q55+Q70+Q85)</f>
        <v>0</v>
      </c>
      <c r="R117" s="11" t="n">
        <f aca="false">R21*Inputs!$F$192/100*(R25+R40+R55+R70+R85)</f>
        <v>0</v>
      </c>
      <c r="S117" s="11" t="n">
        <f aca="false">S21*Inputs!$F$192/100*(S25+S40+S55+S70+S85)</f>
        <v>0</v>
      </c>
      <c r="T117" s="11" t="n">
        <f aca="false">T21*Inputs!$F$192/100*(T25+T40+T55+T70+T85)</f>
        <v>0</v>
      </c>
      <c r="U117" s="11" t="n">
        <f aca="false">U21*Inputs!$F$192/100*(U25+U40+U55+U70+U85)</f>
        <v>0</v>
      </c>
      <c r="V117" s="11" t="n">
        <f aca="false">V21*Inputs!$F$192/100*(V25+V40+V55+V70+V85)</f>
        <v>0</v>
      </c>
      <c r="W117" s="11" t="n">
        <f aca="false">W21*Inputs!$F$192/100*(W25+W40+W55+W70+W85)</f>
        <v>0</v>
      </c>
      <c r="X117" s="11" t="n">
        <f aca="false">X21*Inputs!$F$192/100*(X25+X40+X55+X70+X85)</f>
        <v>0</v>
      </c>
      <c r="Y117" s="11" t="n">
        <f aca="false">Y21*Inputs!$F$192/100*(Y25+Y40+Y55+Y70+Y85)</f>
        <v>0</v>
      </c>
      <c r="Z117" s="11" t="n">
        <f aca="false">Z21*Inputs!$F$192/100*(Z25+Z40+Z55+Z70+Z85)</f>
        <v>0</v>
      </c>
      <c r="AA117" s="11" t="n">
        <f aca="false">AA21*Inputs!$F$192/100*(AA25+AA40+AA55+AA70+AA85)</f>
        <v>0</v>
      </c>
      <c r="AB117" s="11" t="n">
        <f aca="false">AB21*Inputs!$F$192/100*(AB25+AB40+AB55+AB70+AB85)</f>
        <v>0</v>
      </c>
      <c r="AC117" s="11" t="n">
        <f aca="false">AC21*Inputs!$F$192/100*(AC25+AC40+AC55+AC70+AC85)</f>
        <v>0</v>
      </c>
      <c r="AD117" s="11" t="n">
        <f aca="false">AD21*Inputs!$F$192/100*(AD25+AD40+AD55+AD70+AD85)</f>
        <v>0</v>
      </c>
      <c r="AE117" s="11" t="n">
        <f aca="false">AE21*Inputs!$F$192/100*(AE25+AE40+AE55+AE70+AE85)</f>
        <v>0</v>
      </c>
      <c r="AF117" s="11" t="n">
        <f aca="false">AF21*Inputs!$F$192/100*(AF25+AF40+AF55+AF70+AF85)</f>
        <v>0</v>
      </c>
      <c r="AG117" s="11" t="n">
        <f aca="false">AG21*Inputs!$F$192/100*(AG25+AG40+AG55+AG70+AG85)</f>
        <v>0</v>
      </c>
      <c r="AH117" s="11" t="n">
        <f aca="false">AH21*Inputs!$F$192/100*(AH25+AH40+AH55+AH70+AH85)</f>
        <v>0</v>
      </c>
      <c r="AI117" s="11" t="n">
        <f aca="false">AI21*Inputs!$F$192/100*(AI25+AI40+AI55+AI70+AI85)</f>
        <v>0</v>
      </c>
      <c r="AJ117" s="11" t="n">
        <f aca="false">AJ21*Inputs!$F$192/100*(AJ25+AJ40+AJ55+AJ70+AJ85)</f>
        <v>0</v>
      </c>
      <c r="AK117" s="11" t="n">
        <f aca="false">AK21*Inputs!$F$192/100*(AK25+AK40+AK55+AK70+AK85)</f>
        <v>0</v>
      </c>
      <c r="AL117" s="11" t="n">
        <f aca="false">AL21*Inputs!$F$192/100*(AL25+AL40+AL55+AL70+AL85)</f>
        <v>0</v>
      </c>
      <c r="AM117" s="11" t="n">
        <f aca="false">AM21*Inputs!$F$192/100*(AM25+AM40+AM55+AM70+AM85)</f>
        <v>0</v>
      </c>
      <c r="AN117" s="11" t="n">
        <f aca="false">AN21*Inputs!$F$192/100*(AN25+AN40+AN55+AN70+AN85)</f>
        <v>0</v>
      </c>
      <c r="AO117" s="11" t="n">
        <f aca="false">AO21*Inputs!$F$192/100*(AO25+AO40+AO55+AO70+AO85)</f>
        <v>0</v>
      </c>
      <c r="AP117" s="11" t="n">
        <f aca="false">AP21*Inputs!$F$192/100*(AP25+AP40+AP55+AP70+AP85)</f>
        <v>0</v>
      </c>
      <c r="AQ117" s="11" t="n">
        <f aca="false">AQ21*Inputs!$F$192/100*(AQ25+AQ40+AQ55+AQ70+AQ85)</f>
        <v>0</v>
      </c>
      <c r="AR117" s="11" t="n">
        <f aca="false">AR21*Inputs!$F$192/100*(AR25+AR40+AR55+AR70+AR85)</f>
        <v>0</v>
      </c>
      <c r="AS117" s="11" t="n">
        <f aca="false">AS21*Inputs!$F$192/100*(AS25+AS40+AS55+AS70+AS85)</f>
        <v>0</v>
      </c>
      <c r="AT117" s="11" t="n">
        <f aca="false">AT21*Inputs!$F$192/100*(AT25+AT40+AT55+AT70+AT85)</f>
        <v>0</v>
      </c>
      <c r="AU117" s="11" t="n">
        <f aca="false">AU21*Inputs!$F$192/100*(AU25+AU40+AU55+AU70+AU85)</f>
        <v>0</v>
      </c>
      <c r="AV117" s="11" t="n">
        <f aca="false">AV21*Inputs!$F$192/100*(AV25+AV40+AV55+AV70+AV85)</f>
        <v>0</v>
      </c>
      <c r="AW117" s="11" t="n">
        <f aca="false">AW21*Inputs!$F$192/100*(AW25+AW40+AW55+AW70+AW85)</f>
        <v>0</v>
      </c>
      <c r="AX117" s="11" t="n">
        <f aca="false">AX21*Inputs!$F$192/100*(AX25+AX40+AX55+AX70+AX85)</f>
        <v>0</v>
      </c>
      <c r="AY117" s="11" t="n">
        <f aca="false">AY21*Inputs!$F$192/100*(AY25+AY40+AY55+AY70+AY85)</f>
        <v>0</v>
      </c>
      <c r="AZ117" s="11" t="n">
        <f aca="false">AZ21*Inputs!$F$192/100*(AZ25+AZ40+AZ55+AZ70+AZ85)</f>
        <v>0</v>
      </c>
      <c r="BA117" s="11" t="n">
        <f aca="false">BA21*Inputs!$F$192/100*(BA25+BA40+BA55+BA70+BA85)</f>
        <v>0</v>
      </c>
      <c r="BB117" s="11" t="n">
        <f aca="false">BB21*Inputs!$F$192/100*(BB25+BB40+BB55+BB70+BB85)</f>
        <v>0</v>
      </c>
      <c r="BC117" s="11" t="n">
        <f aca="false">BC21*Inputs!$F$192/100*(BC25+BC40+BC55+BC70+BC85)</f>
        <v>0</v>
      </c>
      <c r="BD117" s="11" t="n">
        <f aca="false">BD21*Inputs!$F$192/100*(BD25+BD40+BD55+BD70+BD85)</f>
        <v>0</v>
      </c>
      <c r="BE117" s="11" t="n">
        <f aca="false">BE21*Inputs!$F$192/100*(BE25+BE40+BE55+BE70+BE85)</f>
        <v>0</v>
      </c>
      <c r="BF117" s="11" t="n">
        <f aca="false">BF21*Inputs!$F$192/100*(BF25+BF40+BF55+BF70+BF85)</f>
        <v>0</v>
      </c>
      <c r="BG117" s="11" t="n">
        <f aca="false">BG21*Inputs!$F$192/100*(BG25+BG40+BG55+BG70+BG85)</f>
        <v>0</v>
      </c>
      <c r="BH117" s="11" t="n">
        <f aca="false">BH21*Inputs!$F$192/100*(BH25+BH40+BH55+BH70+BH85)</f>
        <v>0</v>
      </c>
      <c r="BI117" s="11" t="n">
        <f aca="false">BI21*Inputs!$F$192/100*(BI25+BI40+BI55+BI70+BI85)</f>
        <v>0</v>
      </c>
      <c r="BJ117" s="11" t="n">
        <f aca="false">BJ21*Inputs!$F$192/100*(BJ25+BJ40+BJ55+BJ70+BJ85)</f>
        <v>0</v>
      </c>
      <c r="BK117" s="11" t="n">
        <f aca="false">BK21*Inputs!$F$192/100*(BK25+BK40+BK55+BK70+BK85)</f>
        <v>0</v>
      </c>
      <c r="BL117" s="11" t="n">
        <f aca="false">BL21*Inputs!$F$192/100*(BL25+BL40+BL55+BL70+BL85)</f>
        <v>0</v>
      </c>
      <c r="BM117" s="11" t="n">
        <f aca="false">BM21*Inputs!$F$192/100*(BM25+BM40+BM55+BM70+BM85)</f>
        <v>0</v>
      </c>
      <c r="BN117" s="11" t="n">
        <f aca="false">BN21*Inputs!$F$192/100*(BN25+BN40+BN55+BN70+BN85)</f>
        <v>0</v>
      </c>
    </row>
    <row r="118" customFormat="false" ht="15" hidden="false" customHeight="false" outlineLevel="0" collapsed="false">
      <c r="D118" s="0" t="s">
        <v>685</v>
      </c>
      <c r="E118" s="0" t="s">
        <v>149</v>
      </c>
      <c r="G118" s="11" t="n">
        <f aca="false">SUM(J118:BN118)</f>
        <v>306.174419312688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0</v>
      </c>
      <c r="Q118" s="11" t="n">
        <f aca="false">Q27+Q42+Q57+Q72+Q87+Q101</f>
        <v>21.5628442466608</v>
      </c>
      <c r="R118" s="11" t="n">
        <f aca="false">R27+R42+R57+R72+R87+R101</f>
        <v>21.3473559448476</v>
      </c>
      <c r="S118" s="11" t="n">
        <f aca="false">S27+S42+S57+S72+S87+S101</f>
        <v>20.4406188877442</v>
      </c>
      <c r="T118" s="11" t="n">
        <f aca="false">T27+T42+T57+T72+T87+T101</f>
        <v>20.1596080142937</v>
      </c>
      <c r="U118" s="11" t="n">
        <f aca="false">U27+U42+U57+U72+U87+U101</f>
        <v>19.2992122587292</v>
      </c>
      <c r="V118" s="11" t="n">
        <f aca="false">V27+V42+V57+V72+V87+V101</f>
        <v>18.8422990598539</v>
      </c>
      <c r="W118" s="11" t="n">
        <f aca="false">W27+W42+W57+W72+W87+W101</f>
        <v>17.8340104672844</v>
      </c>
      <c r="X118" s="11" t="n">
        <f aca="false">X27+X42+X57+X72+X87+X101</f>
        <v>17.3951178243397</v>
      </c>
      <c r="Y118" s="11" t="n">
        <f aca="false">Y27+Y42+Y57+Y72+Y87+Y101</f>
        <v>16.9394746985574</v>
      </c>
      <c r="Z118" s="11" t="n">
        <f aca="false">Z27+Z42+Z57+Z72+Z87+Z101</f>
        <v>16.4827128906508</v>
      </c>
      <c r="AA118" s="11" t="n">
        <f aca="false">AA27+AA42+AA57+AA72+AA87+AA101</f>
        <v>15.4584152631781</v>
      </c>
      <c r="AB118" s="11" t="n">
        <f aca="false">AB27+AB42+AB57+AB72+AB87+AB101</f>
        <v>14.7058174389147</v>
      </c>
      <c r="AC118" s="11" t="n">
        <f aca="false">AC27+AC42+AC57+AC72+AC87+AC101</f>
        <v>13.483748251464</v>
      </c>
      <c r="AD118" s="11" t="n">
        <f aca="false">AD27+AD42+AD57+AD72+AD87+AD101</f>
        <v>12.5696509080527</v>
      </c>
      <c r="AE118" s="11" t="n">
        <f aca="false">AE27+AE42+AE57+AE72+AE87+AE101</f>
        <v>11.2371035566278</v>
      </c>
      <c r="AF118" s="11" t="n">
        <f aca="false">AF27+AF42+AF57+AF72+AF87+AF101</f>
        <v>10.2177108681299</v>
      </c>
      <c r="AG118" s="11" t="n">
        <f aca="false">AG27+AG42+AG57+AG72+AG87+AG101</f>
        <v>9.03879273079896</v>
      </c>
      <c r="AH118" s="11" t="n">
        <f aca="false">AH27+AH42+AH57+AH72+AH87+AH101</f>
        <v>7.8940972008181</v>
      </c>
      <c r="AI118" s="11" t="n">
        <f aca="false">AI27+AI42+AI57+AI72+AI87+AI101</f>
        <v>6.43566201556159</v>
      </c>
      <c r="AJ118" s="11" t="n">
        <f aca="false">AJ27+AJ42+AJ57+AJ72+AJ87+AJ101</f>
        <v>5.1922987054773</v>
      </c>
      <c r="AK118" s="11" t="n">
        <f aca="false">AK27+AK42+AK57+AK72+AK87+AK101</f>
        <v>3.75960851017709</v>
      </c>
      <c r="AL118" s="11" t="n">
        <f aca="false">AL27+AL42+AL57+AL72+AL87+AL101</f>
        <v>2.44760039634148</v>
      </c>
      <c r="AM118" s="11" t="n">
        <f aca="false">AM27+AM42+AM57+AM72+AM87+AM101</f>
        <v>1.76003457827522</v>
      </c>
      <c r="AN118" s="11" t="n">
        <f aca="false">AN27+AN42+AN57+AN72+AN87+AN101</f>
        <v>1.11712775099417</v>
      </c>
      <c r="AO118" s="11" t="n">
        <f aca="false">AO27+AO42+AO57+AO72+AO87+AO101</f>
        <v>0.553496844915286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686</v>
      </c>
      <c r="E119" s="0" t="s">
        <v>149</v>
      </c>
      <c r="G119" s="11" t="n">
        <f aca="false">SUM(J119:BN119)</f>
        <v>315.15966870259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0</v>
      </c>
      <c r="Q119" s="11" t="n">
        <f aca="false">Q118+Q114+Q115+Q116</f>
        <v>22.4001807785758</v>
      </c>
      <c r="R119" s="11" t="n">
        <f aca="false">R118+R114+R115+R116</f>
        <v>22.0587791123852</v>
      </c>
      <c r="S119" s="11" t="n">
        <f aca="false">S118+S114+S115+S116</f>
        <v>21.2095928780123</v>
      </c>
      <c r="T119" s="11" t="n">
        <f aca="false">T118+T114+T115+T116</f>
        <v>20.807182234581</v>
      </c>
      <c r="U119" s="11" t="n">
        <f aca="false">U118+U114+U115+U116</f>
        <v>19.9894919729728</v>
      </c>
      <c r="V119" s="11" t="n">
        <f aca="false">V118+V114+V115+V116</f>
        <v>19.4475582054411</v>
      </c>
      <c r="W119" s="11" t="n">
        <f aca="false">W118+W114+W115+W116</f>
        <v>18.5049241155856</v>
      </c>
      <c r="X119" s="11" t="n">
        <f aca="false">X118+X114+X115+X116</f>
        <v>17.9538900908398</v>
      </c>
      <c r="Y119" s="11" t="n">
        <f aca="false">Y118+Y114+Y115+Y116</f>
        <v>17.5567814153101</v>
      </c>
      <c r="Z119" s="11" t="n">
        <f aca="false">Z118+Z114+Z115+Z116</f>
        <v>16.9955974399418</v>
      </c>
      <c r="AA119" s="11" t="n">
        <f aca="false">AA118+AA114+AA115+AA116</f>
        <v>16.0217493536458</v>
      </c>
      <c r="AB119" s="11" t="n">
        <f aca="false">AB118+AB114+AB115+AB116</f>
        <v>15.1442228449405</v>
      </c>
      <c r="AC119" s="11" t="n">
        <f aca="false">AC118+AC114+AC115+AC116</f>
        <v>13.9122092620998</v>
      </c>
      <c r="AD119" s="11" t="n">
        <f aca="false">AD118+AD114+AD115+AD116</f>
        <v>12.9018413057305</v>
      </c>
      <c r="AE119" s="11" t="n">
        <f aca="false">AE118+AE114+AE115+AE116</f>
        <v>11.5749318416118</v>
      </c>
      <c r="AF119" s="11" t="n">
        <f aca="false">AF118+AF114+AF115+AF116</f>
        <v>10.4377762291912</v>
      </c>
      <c r="AG119" s="11" t="n">
        <f aca="false">AG118+AG114+AG115+AG116</f>
        <v>9.24861901230396</v>
      </c>
      <c r="AH119" s="11" t="n">
        <f aca="false">AH118+AH114+AH115+AH116</f>
        <v>7.99421285823143</v>
      </c>
      <c r="AI119" s="11" t="n">
        <f aca="false">AI118+AI114+AI115+AI116</f>
        <v>6.51789252959128</v>
      </c>
      <c r="AJ119" s="11" t="n">
        <f aca="false">AJ118+AJ114+AJ115+AJ116</f>
        <v>5.17472417864407</v>
      </c>
      <c r="AK119" s="11" t="n">
        <f aca="false">AK118+AK114+AK115+AK116</f>
        <v>3.70607433433069</v>
      </c>
      <c r="AL119" s="11" t="n">
        <f aca="false">AL118+AL114+AL115+AL116</f>
        <v>2.32240463708052</v>
      </c>
      <c r="AM119" s="11" t="n">
        <f aca="false">AM118+AM114+AM115+AM116</f>
        <v>1.68815405182471</v>
      </c>
      <c r="AN119" s="11" t="n">
        <f aca="false">AN118+AN114+AN115+AN116</f>
        <v>1.05998621057513</v>
      </c>
      <c r="AO119" s="11" t="n">
        <f aca="false">AO118+AO114+AO115+AO116</f>
        <v>0.530891809143661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687</v>
      </c>
      <c r="E120" s="0" t="s">
        <v>149</v>
      </c>
      <c r="G120" s="11" t="n">
        <f aca="false">SUM(J120:BN120)</f>
        <v>569.145664890575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0</v>
      </c>
      <c r="Q120" s="11" t="n">
        <f aca="false">Q32+Q47+Q62+Q77+Q92+Q102</f>
        <v>17.1899764115454</v>
      </c>
      <c r="R120" s="11" t="n">
        <f aca="false">R32+R47+R62+R77+R92+R102</f>
        <v>18.0367324998929</v>
      </c>
      <c r="S120" s="11" t="n">
        <f aca="false">S32+S47+S62+S77+S92+S102</f>
        <v>18.5682458273282</v>
      </c>
      <c r="T120" s="11" t="n">
        <f aca="false">T32+T47+T62+T77+T92+T102</f>
        <v>19.4223784814744</v>
      </c>
      <c r="U120" s="11" t="n">
        <f aca="false">U32+U47+U62+U77+U92+U102</f>
        <v>20.0417923227336</v>
      </c>
      <c r="V120" s="11" t="n">
        <f aca="false">V32+V47+V62+V77+V92+V102</f>
        <v>21.3511084551973</v>
      </c>
      <c r="W120" s="11" t="n">
        <f aca="false">W32+W47+W62+W77+W92+W102</f>
        <v>22.0037987368397</v>
      </c>
      <c r="X120" s="11" t="n">
        <f aca="false">X32+X47+X62+X77+X92+X102</f>
        <v>21.3930231591442</v>
      </c>
      <c r="Y120" s="11" t="n">
        <f aca="false">Y32+Y47+Y62+Y77+Y92+Y102</f>
        <v>21.4030896349629</v>
      </c>
      <c r="Z120" s="11" t="n">
        <f aca="false">Z32+Z47+Z62+Z77+Z92+Z102</f>
        <v>22.2897758675797</v>
      </c>
      <c r="AA120" s="11" t="n">
        <f aca="false">AA32+AA47+AA62+AA77+AA92+AA102</f>
        <v>22.9402474108095</v>
      </c>
      <c r="AB120" s="11" t="n">
        <f aca="false">AB32+AB47+AB62+AB77+AB92+AB102</f>
        <v>23.7598384046658</v>
      </c>
      <c r="AC120" s="11" t="n">
        <f aca="false">AC32+AC47+AC62+AC77+AC92+AC102</f>
        <v>24.1900698875482</v>
      </c>
      <c r="AD120" s="11" t="n">
        <f aca="false">AD32+AD47+AD62+AD77+AD92+AD102</f>
        <v>26.0359495125254</v>
      </c>
      <c r="AE120" s="11" t="n">
        <f aca="false">AE32+AE47+AE62+AE77+AE92+AE102</f>
        <v>26.6866963421284</v>
      </c>
      <c r="AF120" s="11" t="n">
        <f aca="false">AF32+AF47+AF62+AF77+AF92+AF102</f>
        <v>27.0117305183204</v>
      </c>
      <c r="AG120" s="11" t="n">
        <f aca="false">AG32+AG47+AG62+AG77+AG92+AG102</f>
        <v>26.7118350551639</v>
      </c>
      <c r="AH120" s="11" t="n">
        <f aca="false">AH32+AH47+AH62+AH77+AH92+AH102</f>
        <v>27.1081200531888</v>
      </c>
      <c r="AI120" s="11" t="n">
        <f aca="false">AI32+AI47+AI62+AI77+AI92+AI102</f>
        <v>26.6433644335229</v>
      </c>
      <c r="AJ120" s="11" t="n">
        <f aca="false">AJ32+AJ47+AJ62+AJ77+AJ92+AJ102</f>
        <v>26.2953974181173</v>
      </c>
      <c r="AK120" s="11" t="n">
        <f aca="false">AK32+AK47+AK62+AK77+AK92+AK102</f>
        <v>24.8038883767133</v>
      </c>
      <c r="AL120" s="11" t="n">
        <f aca="false">AL32+AL47+AL62+AL77+AL92+AL102</f>
        <v>22.9341981553772</v>
      </c>
      <c r="AM120" s="11" t="n">
        <f aca="false">AM32+AM47+AM62+AM77+AM92+AM102</f>
        <v>23.4108847025094</v>
      </c>
      <c r="AN120" s="11" t="n">
        <f aca="false">AN32+AN47+AN62+AN77+AN92+AN102</f>
        <v>19.3137019618501</v>
      </c>
      <c r="AO120" s="11" t="n">
        <f aca="false">AO32+AO47+AO62+AO77+AO92+AO102</f>
        <v>19.5998212614359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688</v>
      </c>
      <c r="E121" s="0" t="s">
        <v>149</v>
      </c>
      <c r="G121" s="11" t="n">
        <f aca="false">SUM(J121:BN121)</f>
        <v>884.305333593165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0</v>
      </c>
      <c r="Q121" s="11" t="n">
        <f aca="false">Q119+Q120</f>
        <v>39.5901571901212</v>
      </c>
      <c r="R121" s="11" t="n">
        <f aca="false">R119+R120</f>
        <v>40.0955116122781</v>
      </c>
      <c r="S121" s="11" t="n">
        <f aca="false">S119+S120</f>
        <v>39.7778387053405</v>
      </c>
      <c r="T121" s="11" t="n">
        <f aca="false">T119+T120</f>
        <v>40.2295607160554</v>
      </c>
      <c r="U121" s="11" t="n">
        <f aca="false">U119+U120</f>
        <v>40.0312842957064</v>
      </c>
      <c r="V121" s="11" t="n">
        <f aca="false">V119+V120</f>
        <v>40.7986666606384</v>
      </c>
      <c r="W121" s="11" t="n">
        <f aca="false">W119+W120</f>
        <v>40.5087228524253</v>
      </c>
      <c r="X121" s="11" t="n">
        <f aca="false">X119+X120</f>
        <v>39.3469132499841</v>
      </c>
      <c r="Y121" s="11" t="n">
        <f aca="false">Y119+Y120</f>
        <v>38.959871050273</v>
      </c>
      <c r="Z121" s="11" t="n">
        <f aca="false">Z119+Z120</f>
        <v>39.2853733075215</v>
      </c>
      <c r="AA121" s="11" t="n">
        <f aca="false">AA119+AA120</f>
        <v>38.9619967644553</v>
      </c>
      <c r="AB121" s="11" t="n">
        <f aca="false">AB119+AB120</f>
        <v>38.9040612496062</v>
      </c>
      <c r="AC121" s="11" t="n">
        <f aca="false">AC119+AC120</f>
        <v>38.102279149648</v>
      </c>
      <c r="AD121" s="11" t="n">
        <f aca="false">AD119+AD120</f>
        <v>38.9377908182559</v>
      </c>
      <c r="AE121" s="11" t="n">
        <f aca="false">AE119+AE120</f>
        <v>38.2616281837401</v>
      </c>
      <c r="AF121" s="11" t="n">
        <f aca="false">AF119+AF120</f>
        <v>37.4495067475116</v>
      </c>
      <c r="AG121" s="11" t="n">
        <f aca="false">AG119+AG120</f>
        <v>35.9604540674679</v>
      </c>
      <c r="AH121" s="11" t="n">
        <f aca="false">AH119+AH120</f>
        <v>35.1023329114203</v>
      </c>
      <c r="AI121" s="11" t="n">
        <f aca="false">AI119+AI120</f>
        <v>33.1612569631142</v>
      </c>
      <c r="AJ121" s="11" t="n">
        <f aca="false">AJ119+AJ120</f>
        <v>31.4701215967613</v>
      </c>
      <c r="AK121" s="11" t="n">
        <f aca="false">AK119+AK120</f>
        <v>28.509962711044</v>
      </c>
      <c r="AL121" s="11" t="n">
        <f aca="false">AL119+AL120</f>
        <v>25.2566027924577</v>
      </c>
      <c r="AM121" s="11" t="n">
        <f aca="false">AM119+AM120</f>
        <v>25.0990387543341</v>
      </c>
      <c r="AN121" s="11" t="n">
        <f aca="false">AN119+AN120</f>
        <v>20.3736881724253</v>
      </c>
      <c r="AO121" s="11" t="n">
        <f aca="false">AO119+AO120</f>
        <v>20.1307130705795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689</v>
      </c>
      <c r="E122" s="0" t="s">
        <v>149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0</v>
      </c>
      <c r="Q122" s="11" t="n">
        <f aca="false">Q25+Q40+Q55+Q70+Q85+Q100</f>
        <v>657.739998413269</v>
      </c>
      <c r="R122" s="11" t="n">
        <f aca="false">R25+R40+R55+R70+R85+R100</f>
        <v>640.550022001723</v>
      </c>
      <c r="S122" s="11" t="n">
        <f aca="false">S25+S40+S55+S70+S85+S100</f>
        <v>622.513289501831</v>
      </c>
      <c r="T122" s="11" t="n">
        <f aca="false">T25+T40+T55+T70+T85+T100</f>
        <v>603.945043674502</v>
      </c>
      <c r="U122" s="11" t="n">
        <f aca="false">U25+U40+U55+U70+U85+U100</f>
        <v>584.522665193028</v>
      </c>
      <c r="V122" s="11" t="n">
        <f aca="false">V25+V40+V55+V70+V85+V100</f>
        <v>564.480872870294</v>
      </c>
      <c r="W122" s="11" t="n">
        <f aca="false">W25+W40+W55+W70+W85+W100</f>
        <v>543.129764415097</v>
      </c>
      <c r="X122" s="11" t="n">
        <f aca="false">X25+X40+X55+X70+X85+X100</f>
        <v>521.125965678257</v>
      </c>
      <c r="Y122" s="11" t="n">
        <f aca="false">Y25+Y40+Y55+Y70+Y85+Y100</f>
        <v>499.732942519113</v>
      </c>
      <c r="Z122" s="11" t="n">
        <f aca="false">Z25+Z40+Z55+Z70+Z85+Z100</f>
        <v>478.32985288415</v>
      </c>
      <c r="AA122" s="11" t="n">
        <f aca="false">AA25+AA40+AA55+AA70+AA85+AA100</f>
        <v>456.04007701657</v>
      </c>
      <c r="AB122" s="11" t="n">
        <f aca="false">AB25+AB40+AB55+AB70+AB85+AB100</f>
        <v>428.12014228635</v>
      </c>
      <c r="AC122" s="11" t="n">
        <f aca="false">AC25+AC40+AC55+AC70+AC85+AC100</f>
        <v>398.481194810665</v>
      </c>
      <c r="AD122" s="11" t="n">
        <f aca="false">AD25+AD40+AD55+AD70+AD85+AD100</f>
        <v>368.936999898617</v>
      </c>
      <c r="AE122" s="11" t="n">
        <f aca="false">AE25+AE40+AE55+AE70+AE85+AE100</f>
        <v>336.987664398295</v>
      </c>
      <c r="AF122" s="11" t="n">
        <f aca="false">AF25+AF40+AF55+AF70+AF85+AF100</f>
        <v>303.435268610389</v>
      </c>
      <c r="AG122" s="11" t="n">
        <f aca="false">AG25+AG40+AG55+AG70+AG85+AG100</f>
        <v>268.346362850909</v>
      </c>
      <c r="AH122" s="11" t="n">
        <f aca="false">AH25+AH40+AH55+AH70+AH85+AH100</f>
        <v>233.497382736541</v>
      </c>
      <c r="AI122" s="11" t="n">
        <f aca="false">AI25+AI40+AI55+AI70+AI85+AI100</f>
        <v>197.064507677769</v>
      </c>
      <c r="AJ122" s="11" t="n">
        <f aca="false">AJ25+AJ40+AJ55+AJ70+AJ85+AJ100</f>
        <v>160.449296102366</v>
      </c>
      <c r="AK122" s="11" t="n">
        <f aca="false">AK25+AK40+AK55+AK70+AK85+AK100</f>
        <v>122.576917805921</v>
      </c>
      <c r="AL122" s="11" t="n">
        <f aca="false">AL25+AL40+AL55+AL70+AL85+AL100</f>
        <v>85.2586060811726</v>
      </c>
      <c r="AM122" s="11" t="n">
        <f aca="false">AM25+AM40+AM55+AM70+AM85+AM100</f>
        <v>62.3244079257954</v>
      </c>
      <c r="AN122" s="11" t="n">
        <f aca="false">AN25+AN40+AN55+AN70+AN85+AN100</f>
        <v>38.913523223286</v>
      </c>
      <c r="AO122" s="11" t="n">
        <f aca="false">AO25+AO40+AO55+AO70+AO85+AO100</f>
        <v>19.5998212614359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690</v>
      </c>
      <c r="E123" s="0" t="s">
        <v>149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0</v>
      </c>
      <c r="P123" s="11" t="n">
        <f aca="false">P38+P53+P68+P83+P98+P104</f>
        <v>657.739998413269</v>
      </c>
      <c r="Q123" s="11" t="n">
        <f aca="false">Q38+Q53+Q68+Q83+Q98+Q104</f>
        <v>640.550022001723</v>
      </c>
      <c r="R123" s="11" t="n">
        <f aca="false">R38+R53+R68+R83+R98+R104</f>
        <v>622.513289501831</v>
      </c>
      <c r="S123" s="11" t="n">
        <f aca="false">S38+S53+S68+S83+S98+S104</f>
        <v>603.945043674502</v>
      </c>
      <c r="T123" s="11" t="n">
        <f aca="false">T38+T53+T68+T83+T98+T104</f>
        <v>584.522665193028</v>
      </c>
      <c r="U123" s="11" t="n">
        <f aca="false">U38+U53+U68+U83+U98+U104</f>
        <v>564.480872870294</v>
      </c>
      <c r="V123" s="11" t="n">
        <f aca="false">V38+V53+V68+V83+V98+V104</f>
        <v>543.129764415097</v>
      </c>
      <c r="W123" s="11" t="n">
        <f aca="false">W38+W53+W68+W83+W98+W104</f>
        <v>521.125965678257</v>
      </c>
      <c r="X123" s="11" t="n">
        <f aca="false">X38+X53+X68+X83+X98+X104</f>
        <v>499.732942519113</v>
      </c>
      <c r="Y123" s="11" t="n">
        <f aca="false">Y38+Y53+Y68+Y83+Y98+Y104</f>
        <v>478.32985288415</v>
      </c>
      <c r="Z123" s="11" t="n">
        <f aca="false">Z38+Z53+Z68+Z83+Z98+Z104</f>
        <v>456.04007701657</v>
      </c>
      <c r="AA123" s="11" t="n">
        <f aca="false">AA38+AA53+AA68+AA83+AA98+AA104</f>
        <v>428.12014228635</v>
      </c>
      <c r="AB123" s="11" t="n">
        <f aca="false">AB38+AB53+AB68+AB83+AB98+AB104</f>
        <v>398.481194810665</v>
      </c>
      <c r="AC123" s="11" t="n">
        <f aca="false">AC38+AC53+AC68+AC83+AC98+AC104</f>
        <v>368.936999898617</v>
      </c>
      <c r="AD123" s="11" t="n">
        <f aca="false">AD38+AD53+AD68+AD83+AD98+AD104</f>
        <v>336.987664398295</v>
      </c>
      <c r="AE123" s="11" t="n">
        <f aca="false">AE38+AE53+AE68+AE83+AE98+AE104</f>
        <v>303.435268610389</v>
      </c>
      <c r="AF123" s="11" t="n">
        <f aca="false">AF38+AF53+AF68+AF83+AF98+AF104</f>
        <v>268.346362850909</v>
      </c>
      <c r="AG123" s="11" t="n">
        <f aca="false">AG38+AG53+AG68+AG83+AG98+AG104</f>
        <v>233.497382736541</v>
      </c>
      <c r="AH123" s="11" t="n">
        <f aca="false">AH38+AH53+AH68+AH83+AH98+AH104</f>
        <v>197.064507677769</v>
      </c>
      <c r="AI123" s="11" t="n">
        <f aca="false">AI38+AI53+AI68+AI83+AI98+AI104</f>
        <v>160.449296102366</v>
      </c>
      <c r="AJ123" s="11" t="n">
        <f aca="false">AJ38+AJ53+AJ68+AJ83+AJ98+AJ104</f>
        <v>122.576917805921</v>
      </c>
      <c r="AK123" s="11" t="n">
        <f aca="false">AK38+AK53+AK68+AK83+AK98+AK104</f>
        <v>85.2586060811726</v>
      </c>
      <c r="AL123" s="11" t="n">
        <f aca="false">AL38+AL53+AL68+AL83+AL98+AL104</f>
        <v>62.3244079257954</v>
      </c>
      <c r="AM123" s="11" t="n">
        <f aca="false">AM38+AM53+AM68+AM83+AM98+AM104</f>
        <v>38.913523223286</v>
      </c>
      <c r="AN123" s="11" t="n">
        <f aca="false">AN38+AN53+AN68+AN83+AN98+AN104</f>
        <v>19.5998212614359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691</v>
      </c>
    </row>
    <row r="125" customFormat="false" ht="15" hidden="false" customHeight="false" outlineLevel="0" collapsed="false">
      <c r="D125" s="0" t="s">
        <v>692</v>
      </c>
      <c r="E125" s="0" t="s">
        <v>149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0</v>
      </c>
      <c r="P125" s="11" t="n">
        <f aca="false">IF(Time!P29=1,P83,P81)</f>
        <v>249.941199397042</v>
      </c>
      <c r="Q125" s="11" t="n">
        <f aca="false">IF(Time!Q29=1,Q83,Q81)</f>
        <v>243.409008360655</v>
      </c>
      <c r="R125" s="11" t="n">
        <f aca="false">IF(Time!R29=1,R83,R81)</f>
        <v>236.555050010696</v>
      </c>
      <c r="S125" s="11" t="n">
        <f aca="false">IF(Time!S29=1,S83,S81)</f>
        <v>229.499116596311</v>
      </c>
      <c r="T125" s="11" t="n">
        <f aca="false">IF(Time!T29=1,T83,T81)</f>
        <v>222.118612773351</v>
      </c>
      <c r="U125" s="11" t="n">
        <f aca="false">IF(Time!U29=1,U83,U81)</f>
        <v>214.502731690712</v>
      </c>
      <c r="V125" s="11" t="n">
        <f aca="false">IF(Time!V29=1,V83,V81)</f>
        <v>206.389310477737</v>
      </c>
      <c r="W125" s="11" t="n">
        <f aca="false">IF(Time!W29=1,W83,W81)</f>
        <v>198.027866957738</v>
      </c>
      <c r="X125" s="11" t="n">
        <f aca="false">IF(Time!X29=1,X83,X81)</f>
        <v>189.898518157263</v>
      </c>
      <c r="Y125" s="11" t="n">
        <f aca="false">IF(Time!Y29=1,Y83,Y81)</f>
        <v>181.765344095977</v>
      </c>
      <c r="Z125" s="11" t="n">
        <f aca="false">IF(Time!Z29=1,Z83,Z81)</f>
        <v>173.295229266297</v>
      </c>
      <c r="AA125" s="11" t="n">
        <f aca="false">IF(Time!AA29=1,AA83,AA81)</f>
        <v>164.577935250189</v>
      </c>
      <c r="AB125" s="11" t="n">
        <f aca="false">IF(Time!AB29=1,AB83,AB81)</f>
        <v>150.740854395749</v>
      </c>
      <c r="AC125" s="11" t="n">
        <f aca="false">IF(Time!AC29=1,AC83,AC81)</f>
        <v>136.067815299745</v>
      </c>
      <c r="AD125" s="11" t="n">
        <f aca="false">IF(Time!AD29=1,AD83,AD81)</f>
        <v>121.489201970907</v>
      </c>
      <c r="AE125" s="11" t="n">
        <f aca="false">IF(Time!AE29=1,AE83,AE81)</f>
        <v>106.423146519253</v>
      </c>
      <c r="AF125" s="11" t="n">
        <f aca="false">IF(Time!AF29=1,AF83,AF81)</f>
        <v>90.6948684294166</v>
      </c>
      <c r="AG125" s="11" t="n">
        <f aca="false">IF(Time!AG29=1,AG83,AG81)</f>
        <v>74.3937315528644</v>
      </c>
      <c r="AH125" s="11" t="n">
        <f aca="false">IF(Time!AH29=1,AH83,AH81)</f>
        <v>58.5644595844221</v>
      </c>
      <c r="AI125" s="11" t="n">
        <f aca="false">IF(Time!AI29=1,AI83,AI81)</f>
        <v>42.5824358034886</v>
      </c>
      <c r="AJ125" s="11" t="n">
        <f aca="false">IF(Time!AJ29=1,AJ83,AJ81)</f>
        <v>27.2661688995624</v>
      </c>
      <c r="AK125" s="11" t="n">
        <f aca="false">IF(Time!AK29=1,AK83,AK81)</f>
        <v>12.5144233480348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693</v>
      </c>
      <c r="E126" s="0" t="s">
        <v>149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0</v>
      </c>
      <c r="P126" s="11" t="n">
        <f aca="false">IF(AND(Time!P17&gt;=Time!$F$11,Time!P17&lt;57),(IF(Time!P29=1,P38,P36)-P35)*Q19+IF(Time!P29=1,P38,P36)*Q10,0)</f>
        <v>9.58171951612273</v>
      </c>
      <c r="Q126" s="11" t="n">
        <f aca="false">IF(AND(Time!Q17&gt;=Time!$F$11,Time!Q17&lt;57),(IF(Time!Q29=1,Q38,Q36)-Q35)*R19+IF(Time!Q29=1,Q38,Q36)*R10,0)</f>
        <v>9.79152783376365</v>
      </c>
      <c r="R126" s="11" t="n">
        <f aca="false">IF(AND(Time!R17&gt;=Time!$F$11,Time!R17&lt;57),(IF(Time!R29=1,R38,R36)-R35)*S19+IF(Time!R29=1,R38,R36)*S10,0)</f>
        <v>9.76761397434217</v>
      </c>
      <c r="S126" s="11" t="n">
        <f aca="false">IF(AND(Time!S17&gt;=Time!$F$11,Time!S17&lt;57),(IF(Time!S29=1,S38,S36)-S35)*T19+IF(Time!S29=1,S38,S36)*T10,0)</f>
        <v>9.96615287378737</v>
      </c>
      <c r="T126" s="11" t="n">
        <f aca="false">IF(AND(Time!T17&gt;=Time!$F$11,Time!T17&lt;57),(IF(Time!T29=1,T38,T36)-T35)*U19+U22*MIN($F$30/4,T35)+IF(Time!T29=1,T38,T36)*U10,0)</f>
        <v>9.97530910549621</v>
      </c>
      <c r="U126" s="11" t="n">
        <f aca="false">IF(AND(Time!U17&gt;=Time!$F$11,Time!U17&lt;57),(IF(Time!U29=1,U38,U36)-U35)*V19+V22*MIN($F$30/4,U35)+IF(Time!U29=1,U38,U36)*V10,0)</f>
        <v>10.2742844392122</v>
      </c>
      <c r="V126" s="11" t="n">
        <f aca="false">IF(AND(Time!V17&gt;=Time!$F$11,Time!V17&lt;57),(IF(Time!V29=1,V38,V36)-V35)*W19+W22*MIN($F$30/4,V35)+IF(Time!V29=1,V38,V36)*W10,0)</f>
        <v>10.2630562751796</v>
      </c>
      <c r="W126" s="11" t="n">
        <f aca="false">IF(AND(Time!W17&gt;=Time!$F$11,Time!W17&lt;57),(IF(Time!W29=1,W38,W36)-W35)*X19+X22*MIN($F$30/4,W35)+IF(Time!W29=1,W38,W36)*X10,0)</f>
        <v>9.98970431650204</v>
      </c>
      <c r="X126" s="11" t="n">
        <f aca="false">IF(AND(Time!X17&gt;=Time!$F$11,Time!X17&lt;57),(IF(Time!X29=1,X38,X36)-X35)*Y19+IF(Time!X29=1,X38,X36)*Y10,0)</f>
        <v>9.79025132218836</v>
      </c>
      <c r="Y126" s="11" t="n">
        <f aca="false">IF(AND(Time!Y17&gt;=Time!$F$11,Time!Y17&lt;57),(IF(Time!Y29=1,Y38,Y36)-Y35)*Z19+IF(Time!Y29=1,Y38,Y36)*Z10,0)</f>
        <v>9.96540557194188</v>
      </c>
      <c r="Z126" s="11" t="n">
        <f aca="false">IF(AND(Time!Z17&gt;=Time!$F$11,Time!Z17&lt;57),(IF(Time!Z29=1,Z38,Z36)-Z35)*AA19+IF(Time!Z29=1,Z38,Z36)*AA10,0)</f>
        <v>9.95681043250781</v>
      </c>
      <c r="AA126" s="11" t="n">
        <f aca="false">IF(AND(Time!AA17&gt;=Time!$F$11,Time!AA17&lt;57),(IF(Time!AA29=1,AA38,AA36)-AA35)*AB19+IF(Time!AA29=1,AA38,AA36)*AB10,0)</f>
        <v>10.1793266529096</v>
      </c>
      <c r="AB126" s="11" t="n">
        <f aca="false">IF(AND(Time!AB17&gt;=Time!$F$11,Time!AB17&lt;57),(IF(Time!AB29=1,AB38,AB36)-AB35)*AC19+IF(Time!AB29=1,AB38,AB36)*AC10,0)</f>
        <v>10.2229919621917</v>
      </c>
      <c r="AC126" s="11" t="n">
        <f aca="false">IF(AND(Time!AC17&gt;=Time!$F$11,Time!AC17&lt;57),(IF(Time!AC29=1,AC38,AC36)-AC35)*AD19+IF(Time!AC29=1,AC38,AC36)*AD10,0)</f>
        <v>10.7680982687338</v>
      </c>
      <c r="AD126" s="11" t="n">
        <f aca="false">IF(AND(Time!AD17&gt;=Time!$F$11,Time!AD17&lt;57),(IF(Time!AD29=1,AD38,AD36)-AD35)*AE19+IF(Time!AD29=1,AD38,AD36)*AE10,0)</f>
        <v>10.891971126546</v>
      </c>
      <c r="AE126" s="11" t="n">
        <f aca="false">IF(AND(Time!AE17&gt;=Time!$F$11,Time!AE17&lt;57),(IF(Time!AE29=1,AE38,AE36)-AE35)*AF19+IF(Time!AE29=1,AE38,AE36)*AF10,0)</f>
        <v>11.0356841146653</v>
      </c>
      <c r="AF126" s="11" t="n">
        <f aca="false">IF(AND(Time!AF17&gt;=Time!$F$11,Time!AF17&lt;57),(IF(Time!AF29=1,AF38,AF36)-AF35)*AG19+IF(Time!AF29=1,AF38,AF36)*AG10,0)</f>
        <v>10.9654695951042</v>
      </c>
      <c r="AG126" s="11" t="n">
        <f aca="false">IF(AND(Time!AG17&gt;=Time!$F$11,Time!AG17&lt;57),(IF(Time!AG29=1,AG38,AG36)-AG35)*AH19+IF(Time!AG29=1,AG38,AG36)*AH10,0)</f>
        <v>11.2436554203768</v>
      </c>
      <c r="AH126" s="11" t="n">
        <f aca="false">IF(AND(Time!AH17&gt;=Time!$F$11,Time!AH17&lt;57),(IF(Time!AH29=1,AH38,AH36)-AH35)*AI19+IF(Time!AH29=1,AH38,AH36)*AI10,0)</f>
        <v>11.2782265744282</v>
      </c>
      <c r="AI126" s="11" t="n">
        <f aca="false">IF(AND(Time!AI17&gt;=Time!$F$11,Time!AI17&lt;57),(IF(Time!AI29=1,AI38,AI36)-AI35)*AJ19+IF(Time!AI29=1,AI38,AI36)*AJ10,0)</f>
        <v>11.5508061251945</v>
      </c>
      <c r="AJ126" s="11" t="n">
        <f aca="false">IF(AND(Time!AJ17&gt;=Time!$F$11,Time!AJ17&lt;57),(IF(Time!AJ29=1,AJ38,AJ36)-AJ35)*AK19+IF(Time!AJ29=1,AJ38,AJ36)*AK10,0)</f>
        <v>11.6344878631117</v>
      </c>
      <c r="AK126" s="11" t="n">
        <f aca="false">IF(AND(Time!AK17&gt;=Time!$F$11,Time!AK17&lt;57),(IF(Time!AK29=1,AK38,AK36)-AK35)*AL19+IF(Time!AK29=1,AK38,AK36)*AL10,0)</f>
        <v>12.039712794667</v>
      </c>
      <c r="AL126" s="11" t="n">
        <f aca="false">IF(AND(Time!AL17&gt;=Time!$F$11,Time!AL17&lt;57),(IF(Time!AL29=1,AL38,AL36)-AL35)*AM19+IF(Time!AL29=1,AL38,AL36)*AM10,0)</f>
        <v>12.0056002420815</v>
      </c>
      <c r="AM126" s="11" t="n">
        <f aca="false">IF(AND(Time!AM17&gt;=Time!$F$11,Time!AM17&lt;57),(IF(Time!AM29=1,AM38,AM36)-AM35)*AN19+IF(Time!AM29=1,AM38,AM36)*AN10,0)</f>
        <v>9.77552238181845</v>
      </c>
      <c r="AN126" s="11" t="n">
        <f aca="false">IF(AND(Time!AN17&gt;=Time!$F$11,Time!AN17&lt;57),(IF(Time!AN29=1,AN38,AN36)-AN35)*AO19+IF(Time!AN29=1,AN38,AN36)*AO10,0)</f>
        <v>9.6969246344043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694</v>
      </c>
      <c r="E127" s="0" t="s">
        <v>149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0</v>
      </c>
      <c r="P127" s="11" t="n">
        <f aca="false">IF(AND(Time!P17&gt;=Time!$F$11,Time!P17&lt;57),(IF(Time!P29=1,P53,P51)-P50)*Q19+IF(Time!P29=1,P53,P51)*Q11,0)</f>
        <v>8.69992140889771</v>
      </c>
      <c r="Q127" s="11" t="n">
        <f aca="false">IF(AND(Time!Q17&gt;=Time!$F$11,Time!Q17&lt;57),(IF(Time!Q29=1,Q53,Q51)-Q50)*R19+IF(Time!Q29=1,Q53,Q51)*R11,0)</f>
        <v>8.8370584461058</v>
      </c>
      <c r="R127" s="11" t="n">
        <f aca="false">IF(AND(Time!R17&gt;=Time!$F$11,Time!R17&lt;57),(IF(Time!R29=1,R53,R51)-R50)*S19+IF(Time!R29=1,R53,R51)*S11,0)</f>
        <v>8.74662530708189</v>
      </c>
      <c r="S127" s="11" t="n">
        <f aca="false">IF(AND(Time!S17&gt;=Time!$F$11,Time!S17&lt;57),(IF(Time!S29=1,S53,S51)-S50)*T19+IF(Time!S29=1,S53,S51)*T11,0)</f>
        <v>8.87044820039604</v>
      </c>
      <c r="T127" s="11" t="n">
        <f aca="false">IF(AND(Time!T17&gt;=Time!$F$11,Time!T17&lt;57),(IF(Time!T29=1,T53,T51)-T50)*U19+U22*MIN($F$45/4,T50)+IF(Time!T29=1,T53,T51)*U11,0)</f>
        <v>8.81050060189045</v>
      </c>
      <c r="U127" s="11" t="n">
        <f aca="false">IF(AND(Time!U17&gt;=Time!$F$11,Time!U17&lt;57),(IF(Time!U29=1,U53,U51)-U50)*V19+V22*MIN($F$45/4,U50)+IF(Time!U29=1,U53,U51)*V11,0)</f>
        <v>8.99434823285882</v>
      </c>
      <c r="V127" s="11" t="n">
        <f aca="false">IF(AND(Time!V17&gt;=Time!$F$11,Time!V17&lt;57),(IF(Time!V29=1,V53,V51)-V50)*W19+W22*MIN($F$45/4,V50)+IF(Time!V29=1,V53,V51)*W11,0)</f>
        <v>8.90799356301285</v>
      </c>
      <c r="W127" s="11" t="n">
        <f aca="false">IF(AND(Time!W17&gt;=Time!$F$11,Time!W17&lt;57),(IF(Time!W29=1,W53,W51)-W50)*X19+X22*MIN($F$45/4,W50)+IF(Time!W29=1,W53,W51)*X11,0)</f>
        <v>8.67353071844896</v>
      </c>
      <c r="X127" s="11" t="n">
        <f aca="false">IF(AND(Time!X17&gt;=Time!$F$11,Time!X17&lt;57),(IF(Time!X29=1,X53,X51)-X50)*Y19+IF(Time!X29=1,X53,X51)*Y11,0)</f>
        <v>8.45086600498134</v>
      </c>
      <c r="Y127" s="11" t="n">
        <f aca="false">IF(AND(Time!Y17&gt;=Time!$F$11,Time!Y17&lt;57),(IF(Time!Y29=1,Y53,Y51)-Y50)*Z19+IF(Time!Y29=1,Y53,Y51)*Z11,0)</f>
        <v>8.54503138117199</v>
      </c>
      <c r="Z127" s="11" t="n">
        <f aca="false">IF(AND(Time!Z17&gt;=Time!$F$11,Time!Z17&lt;57),(IF(Time!Z29=1,Z53,Z51)-Z50)*AA19+IF(Time!Z29=1,Z53,Z51)*AA11,0)</f>
        <v>8.46185227532905</v>
      </c>
      <c r="AA127" s="11" t="n">
        <f aca="false">IF(AND(Time!AA17&gt;=Time!$F$11,Time!AA17&lt;57),(IF(Time!AA29=1,AA53,AA51)-AA50)*AB19+IF(Time!AA29=1,AA53,AA51)*AB11,0)</f>
        <v>8.5849319492341</v>
      </c>
      <c r="AB127" s="11" t="n">
        <f aca="false">IF(AND(Time!AB17&gt;=Time!$F$11,Time!AB17&lt;57),(IF(Time!AB29=1,AB53,AB51)-AB50)*AC19+IF(Time!AB29=1,AB53,AB51)*AC11,0)</f>
        <v>8.54329098473175</v>
      </c>
      <c r="AC127" s="11" t="n">
        <f aca="false">IF(AND(Time!AC17&gt;=Time!$F$11,Time!AC17&lt;57),(IF(Time!AC29=1,AC53,AC51)-AC50)*AD19+IF(Time!AC29=1,AC53,AC51)*AD11,0)</f>
        <v>8.89031252158645</v>
      </c>
      <c r="AD127" s="11" t="n">
        <f aca="false">IF(AND(Time!AD17&gt;=Time!$F$11,Time!AD17&lt;57),(IF(Time!AD29=1,AD53,AD51)-AD50)*AE19+IF(Time!AD29=1,AD53,AD51)*AE11,0)</f>
        <v>8.89596814284308</v>
      </c>
      <c r="AE127" s="11" t="n">
        <f aca="false">IF(AND(Time!AE17&gt;=Time!$F$11,Time!AE17&lt;57),(IF(Time!AE29=1,AE53,AE51)-AE50)*AF19+IF(Time!AE29=1,AE53,AE51)*AF11,0)</f>
        <v>8.9432759088358</v>
      </c>
      <c r="AF127" s="11" t="n">
        <f aca="false">IF(AND(Time!AF17&gt;=Time!$F$11,Time!AF17&lt;57),(IF(Time!AF29=1,AF53,AF51)-AF50)*AG19+IF(Time!AF29=1,AF53,AF51)*AG11,0)</f>
        <v>8.8034476824547</v>
      </c>
      <c r="AG127" s="11" t="n">
        <f aca="false">IF(AND(Time!AG17&gt;=Time!$F$11,Time!AG17&lt;57),(IF(Time!AG29=1,AG53,AG51)-AG50)*AH19+IF(Time!AG29=1,AG53,AG51)*AH11,0)</f>
        <v>8.9429632174787</v>
      </c>
      <c r="AH127" s="11" t="n">
        <f aca="false">IF(AND(Time!AH17&gt;=Time!$F$11,Time!AH17&lt;57),(IF(Time!AH29=1,AH53,AH51)-AH50)*AI19+IF(Time!AH29=1,AH53,AH51)*AI11,0)</f>
        <v>8.8772712807733</v>
      </c>
      <c r="AI127" s="11" t="n">
        <f aca="false">IF(AND(Time!AI17&gt;=Time!$F$11,Time!AI17&lt;57),(IF(Time!AI29=1,AI53,AI51)-AI50)*AJ19+IF(Time!AI29=1,AI53,AI51)*AJ11,0)</f>
        <v>9.00384810370733</v>
      </c>
      <c r="AJ127" s="11" t="n">
        <f aca="false">IF(AND(Time!AJ17&gt;=Time!$F$11,Time!AJ17&lt;57),(IF(Time!AJ29=1,AJ53,AJ51)-AJ50)*AK19+IF(Time!AJ29=1,AJ53,AJ51)*AK11,0)</f>
        <v>8.97297500693298</v>
      </c>
      <c r="AK127" s="11" t="n">
        <f aca="false">IF(AND(Time!AK17&gt;=Time!$F$11,Time!AK17&lt;57),(IF(Time!AK29=1,AK53,AK51)-AK50)*AL19+IF(Time!AK29=1,AK53,AK51)*AL11,0)</f>
        <v>9.18476417041624</v>
      </c>
      <c r="AL127" s="11" t="n">
        <f aca="false">IF(AND(Time!AL17&gt;=Time!$F$11,Time!AL17&lt;57),(IF(Time!AL29=1,AL53,AL51)-AL50)*AM19+IF(Time!AL29=1,AL53,AL51)*AM11,0)</f>
        <v>9.05984354779038</v>
      </c>
      <c r="AM127" s="11" t="n">
        <f aca="false">IF(AND(Time!AM17&gt;=Time!$F$11,Time!AM17&lt;57),(IF(Time!AM29=1,AM53,AM51)-AM50)*AN19+IF(Time!AM29=1,AM53,AM51)*AN11,0)</f>
        <v>7.33103741092228</v>
      </c>
      <c r="AN127" s="11" t="n">
        <f aca="false">IF(AND(Time!AN17&gt;=Time!$F$11,Time!AN17&lt;57),(IF(Time!AN29=1,AN53,AN51)-AN50)*AO19+IF(Time!AN29=1,AN53,AN51)*AO11,0)</f>
        <v>7.19150231388797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695</v>
      </c>
      <c r="E128" s="0" t="s">
        <v>149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0</v>
      </c>
      <c r="P128" s="11" t="n">
        <f aca="false">IF(AND(Time!P17&gt;=Time!$F$11,Time!P17&lt;57),(IF(Time!P29=1,P68,P66)-P65)*Q19+IF(Time!P29=1,P68,P66)*Q12,0)</f>
        <v>3.8718354676277</v>
      </c>
      <c r="Q128" s="11" t="n">
        <f aca="false">IF(AND(Time!Q17&gt;=Time!$F$11,Time!Q17&lt;57),(IF(Time!Q29=1,Q68,Q66)-Q65)*R19+IF(Time!Q29=1,Q68,Q66)*R12,0)</f>
        <v>3.93499668986302</v>
      </c>
      <c r="R128" s="11" t="n">
        <f aca="false">IF(AND(Time!R17&gt;=Time!$F$11,Time!R17&lt;57),(IF(Time!R29=1,R68,R66)-R65)*S19+IF(Time!R29=1,R68,R66)*S12,0)</f>
        <v>3.8974923138631</v>
      </c>
      <c r="S128" s="11" t="n">
        <f aca="false">IF(AND(Time!S17&gt;=Time!$F$11,Time!S17&lt;57),(IF(Time!S29=1,S68,S66)-S65)*T19+IF(Time!S29=1,S68,S66)*T12,0)</f>
        <v>3.95485115369029</v>
      </c>
      <c r="T128" s="11" t="n">
        <f aca="false">IF(AND(Time!T17&gt;=Time!$F$11,Time!T17&lt;57),(IF(Time!T29=1,T68,T66)-T65)*U19+U22*MIN($F$60/4,T65)+IF(Time!T29=1,T68,T66)*U12,0)</f>
        <v>3.93089583067518</v>
      </c>
      <c r="U128" s="11" t="n">
        <f aca="false">IF(AND(Time!U17&gt;=Time!$F$11,Time!U17&lt;57),(IF(Time!U29=1,U68,U66)-U65)*V19+V22*MIN($F$60/4,U65)+IF(Time!U29=1,U68,U66)*V12,0)</f>
        <v>4.01621199431149</v>
      </c>
      <c r="V128" s="11" t="n">
        <f aca="false">IF(AND(Time!V17&gt;=Time!$F$11,Time!V17&lt;57),(IF(Time!V29=1,V68,V66)-V65)*W19+W22*MIN($F$60/4,V65)+IF(Time!V29=1,V68,V66)*W12,0)</f>
        <v>3.98081958918826</v>
      </c>
      <c r="W128" s="11" t="n">
        <f aca="false">IF(AND(Time!W17&gt;=Time!$F$11,Time!W17&lt;57),(IF(Time!W29=1,W68,W66)-W65)*X19+X22*MIN($F$60/4,W65)+IF(Time!W29=1,W68,W66)*X12,0)</f>
        <v>3.87592564509468</v>
      </c>
      <c r="X128" s="11" t="n">
        <f aca="false">IF(AND(Time!X17&gt;=Time!$F$11,Time!X17&lt;57),(IF(Time!X29=1,X68,X66)-X65)*Y19+IF(Time!X29=1,X68,X66)*Y12,0)</f>
        <v>3.77848907495644</v>
      </c>
      <c r="Y128" s="11" t="n">
        <f aca="false">IF(AND(Time!Y17&gt;=Time!$F$11,Time!Y17&lt;57),(IF(Time!Y29=1,Y68,Y66)-Y65)*Z19+IF(Time!Y29=1,Y68,Y66)*Z12,0)</f>
        <v>3.82298524761369</v>
      </c>
      <c r="Z128" s="11" t="n">
        <f aca="false">IF(AND(Time!Z17&gt;=Time!$F$11,Time!Z17&lt;57),(IF(Time!Z29=1,Z68,Z66)-Z65)*AA19+IF(Time!Z29=1,Z68,Z66)*AA12,0)</f>
        <v>3.78897478466093</v>
      </c>
      <c r="AA128" s="11" t="n">
        <f aca="false">IF(AND(Time!AA17&gt;=Time!$F$11,Time!AA17&lt;57),(IF(Time!AA29=1,AA68,AA66)-AA65)*AB19+IF(Time!AA29=1,AA68,AA66)*AB12,0)</f>
        <v>3.84690126132345</v>
      </c>
      <c r="AB128" s="11" t="n">
        <f aca="false">IF(AND(Time!AB17&gt;=Time!$F$11,Time!AB17&lt;57),(IF(Time!AB29=1,AB68,AB66)-AB65)*AC19+IF(Time!AB29=1,AB68,AB66)*AC12,0)</f>
        <v>3.83161298651552</v>
      </c>
      <c r="AC128" s="11" t="n">
        <f aca="false">IF(AND(Time!AC17&gt;=Time!$F$11,Time!AC17&lt;57),(IF(Time!AC29=1,AC68,AC66)-AC65)*AD19+IF(Time!AC29=1,AC68,AC66)*AD12,0)</f>
        <v>3.99195494437156</v>
      </c>
      <c r="AD128" s="11" t="n">
        <f aca="false">IF(AND(Time!AD17&gt;=Time!$F$11,Time!AD17&lt;57),(IF(Time!AD29=1,AD68,AD66)-AD65)*AE19+IF(Time!AD29=1,AD68,AD66)*AE12,0)</f>
        <v>3.99873440040087</v>
      </c>
      <c r="AE128" s="11" t="n">
        <f aca="false">IF(AND(Time!AE17&gt;=Time!$F$11,Time!AE17&lt;57),(IF(Time!AE29=1,AE68,AE66)-AE65)*AF19+IF(Time!AE29=1,AE68,AE66)*AF12,0)</f>
        <v>4.02310758250369</v>
      </c>
      <c r="AF128" s="11" t="n">
        <f aca="false">IF(AND(Time!AF17&gt;=Time!$F$11,Time!AF17&lt;57),(IF(Time!AF29=1,AF68,AF66)-AF65)*AG19+IF(Time!AF29=1,AF68,AF66)*AG12,0)</f>
        <v>3.96391380266164</v>
      </c>
      <c r="AG128" s="11" t="n">
        <f aca="false">IF(AND(Time!AG17&gt;=Time!$F$11,Time!AG17&lt;57),(IF(Time!AG29=1,AG68,AG66)-AG65)*AH19+IF(Time!AG29=1,AG68,AG66)*AH12,0)</f>
        <v>4.03051609148229</v>
      </c>
      <c r="AH128" s="11" t="n">
        <f aca="false">IF(AND(Time!AH17&gt;=Time!$F$11,Time!AH17&lt;57),(IF(Time!AH29=1,AH68,AH66)-AH65)*AI19+IF(Time!AH29=1,AH68,AH66)*AI12,0)</f>
        <v>4.00515434734462</v>
      </c>
      <c r="AI128" s="11" t="n">
        <f aca="false">IF(AND(Time!AI17&gt;=Time!$F$11,Time!AI17&lt;57),(IF(Time!AI29=1,AI68,AI66)-AI65)*AJ19+IF(Time!AI29=1,AI68,AI66)*AJ12,0)</f>
        <v>4.06631154194052</v>
      </c>
      <c r="AJ128" s="11" t="n">
        <f aca="false">IF(AND(Time!AJ17&gt;=Time!$F$11,Time!AJ17&lt;57),(IF(Time!AJ29=1,AJ68,AJ66)-AJ65)*AK19+IF(Time!AJ29=1,AJ68,AJ66)*AK12,0)</f>
        <v>4.05683561379112</v>
      </c>
      <c r="AK128" s="11" t="n">
        <f aca="false">IF(AND(Time!AK17&gt;=Time!$F$11,Time!AK17&lt;57),(IF(Time!AK29=1,AK68,AK66)-AK65)*AL19+IF(Time!AK29=1,AK68,AK66)*AL12,0)</f>
        <v>4.15732158663549</v>
      </c>
      <c r="AL128" s="11" t="n">
        <f aca="false">IF(AND(Time!AL17&gt;=Time!$F$11,Time!AL17&lt;57),(IF(Time!AL29=1,AL68,AL66)-AL65)*AM19+IF(Time!AL29=1,AL68,AL66)*AM12,0)</f>
        <v>4.10547549091276</v>
      </c>
      <c r="AM128" s="11" t="n">
        <f aca="false">IF(AND(Time!AM17&gt;=Time!$F$11,Time!AM17&lt;57),(IF(Time!AM29=1,AM68,AM66)-AM65)*AN19+IF(Time!AM29=1,AM68,AM66)*AN12,0)</f>
        <v>3.32426992010357</v>
      </c>
      <c r="AN128" s="11" t="n">
        <f aca="false">IF(AND(Time!AN17&gt;=Time!$F$11,Time!AN17&lt;57),(IF(Time!AN29=1,AN68,AN66)-AN65)*AO19+IF(Time!AN29=1,AN68,AN66)*AO12,0)</f>
        <v>3.26489115805885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696</v>
      </c>
      <c r="E129" s="0" t="s">
        <v>149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0</v>
      </c>
      <c r="P129" s="11" t="n">
        <f aca="false">IF(AND(Time!P17&gt;=Time!$F$11,Time!P17&lt;57),(IF(Time!P29=1,P83,P81)-P80)*Q19+IF(Time!P29=1,P83,P81)*Q13,0)</f>
        <v>16.599344265558</v>
      </c>
      <c r="Q129" s="11" t="n">
        <f aca="false">IF(AND(Time!Q17&gt;=Time!$F$11,Time!Q17&lt;57),(IF(Time!Q29=1,Q83,Q81)-Q80)*R19+IF(Time!Q29=1,Q83,Q81)*R13,0)</f>
        <v>16.820505475008</v>
      </c>
      <c r="R129" s="11" t="n">
        <f aca="false">IF(AND(Time!R17&gt;=Time!$F$11,Time!R17&lt;57),(IF(Time!R29=1,R83,R81)-R80)*S19+IF(Time!R29=1,R83,R81)*S13,0)</f>
        <v>16.5971331197852</v>
      </c>
      <c r="S129" s="11" t="n">
        <f aca="false">IF(AND(Time!S17&gt;=Time!$F$11,Time!S17&lt;57),(IF(Time!S29=1,S83,S81)-S80)*T19+IF(Time!S29=1,S83,S81)*T13,0)</f>
        <v>16.7905342678945</v>
      </c>
      <c r="T129" s="11" t="n">
        <f aca="false">IF(AND(Time!T17&gt;=Time!$F$11,Time!T17&lt;57),(IF(Time!T29=1,T83,T81)-T80)*U19+U22*MIN($F$75/4,T80)+IF(Time!T29=1,T83,T81)*U13,0)</f>
        <v>16.6242990434009</v>
      </c>
      <c r="U129" s="11" t="n">
        <f aca="false">IF(AND(Time!U17&gt;=Time!$F$11,Time!U17&lt;57),(IF(Time!U29=1,U83,U81)-U80)*V19+V22*MIN($F$75/4,U80)+IF(Time!U29=1,U83,U81)*V13,0)</f>
        <v>16.9085628486687</v>
      </c>
      <c r="V129" s="11" t="n">
        <f aca="false">IF(AND(Time!V17&gt;=Time!$F$11,Time!V17&lt;57),(IF(Time!V29=1,V83,V81)-V80)*W19+W22*MIN($F$75/4,V80)+IF(Time!V29=1,V83,V81)*W13,0)</f>
        <v>16.6859397767434</v>
      </c>
      <c r="W129" s="11" t="n">
        <f aca="false">IF(AND(Time!W17&gt;=Time!$F$11,Time!W17&lt;57),(IF(Time!W29=1,W83,W81)-W80)*X19+X22*MIN($F$75/4,W80)+IF(Time!W29=1,W83,W81)*X13,0)</f>
        <v>16.2489803034382</v>
      </c>
      <c r="X129" s="11" t="n">
        <f aca="false">IF(AND(Time!X17&gt;=Time!$F$11,Time!X17&lt;57),(IF(Time!X29=1,X83,X81)-X80)*Y19+IF(Time!X29=1,X83,X81)*Y13,0)</f>
        <v>16.3229579313941</v>
      </c>
      <c r="Y129" s="11" t="n">
        <f aca="false">IF(AND(Time!Y17&gt;=Time!$F$11,Time!Y17&lt;57),(IF(Time!Y29=1,Y83,Y81)-Y80)*Z19+IF(Time!Y29=1,Y83,Y81)*Z13,0)</f>
        <v>16.4390665575029</v>
      </c>
      <c r="Z129" s="11" t="n">
        <f aca="false">IF(AND(Time!Z17&gt;=Time!$F$11,Time!Z17&lt;57),(IF(Time!Z29=1,Z83,Z81)-Z80)*AA19+IF(Time!Z29=1,Z83,Z81)*AA13,0)</f>
        <v>16.1910251814897</v>
      </c>
      <c r="AA129" s="11" t="n">
        <f aca="false">IF(AND(Time!AA17&gt;=Time!$F$11,Time!AA17&lt;57),(IF(Time!AA29=1,AA83,AA81)-AA80)*AB19+IF(Time!AA29=1,AA83,AA81)*AB13,0)</f>
        <v>16.3491783065889</v>
      </c>
      <c r="AB129" s="11" t="n">
        <f aca="false">IF(AND(Time!AB17&gt;=Time!$F$11,Time!AB17&lt;57),(IF(Time!AB29=1,AB83,AB81)-AB80)*AC19+IF(Time!AB29=1,AB83,AB81)*AC13,0)</f>
        <v>15.6877675950795</v>
      </c>
      <c r="AC129" s="11" t="n">
        <f aca="false">IF(AND(Time!AC17&gt;=Time!$F$11,Time!AC17&lt;57),(IF(Time!AC29=1,AC83,AC81)-AC80)*AD19+IF(Time!AC29=1,AC83,AC81)*AD13,0)</f>
        <v>15.567811655524</v>
      </c>
      <c r="AD129" s="11" t="n">
        <f aca="false">IF(AND(Time!AD17&gt;=Time!$F$11,Time!AD17&lt;57),(IF(Time!AD29=1,AD83,AD81)-AD80)*AE19+IF(Time!AD29=1,AD83,AD81)*AE13,0)</f>
        <v>14.8604460986032</v>
      </c>
      <c r="AE129" s="11" t="n">
        <f aca="false">IF(AND(Time!AE17&gt;=Time!$F$11,Time!AE17&lt;57),(IF(Time!AE29=1,AE83,AE81)-AE80)*AF19+IF(Time!AE29=1,AE83,AE81)*AF13,0)</f>
        <v>14.1395624263282</v>
      </c>
      <c r="AF129" s="11" t="n">
        <f aca="false">IF(AND(Time!AF17&gt;=Time!$F$11,Time!AF17&lt;57),(IF(Time!AF29=1,AF83,AF81)-AF80)*AG19+IF(Time!AF29=1,AF83,AF81)*AG13,0)</f>
        <v>13.1927248144675</v>
      </c>
      <c r="AG129" s="11" t="n">
        <f aca="false">IF(AND(Time!AG17&gt;=Time!$F$11,Time!AG17&lt;57),(IF(Time!AG29=1,AG83,AG81)-AG80)*AH19+IF(Time!AG29=1,AG83,AG81)*AH13,0)</f>
        <v>12.1096267794069</v>
      </c>
      <c r="AH129" s="11" t="n">
        <f aca="false">IF(AND(Time!AH17&gt;=Time!$F$11,Time!AH17&lt;57),(IF(Time!AH29=1,AH83,AH81)-AH80)*AI19+IF(Time!AH29=1,AH83,AH81)*AI13,0)</f>
        <v>10.6072888248928</v>
      </c>
      <c r="AI129" s="11" t="n">
        <f aca="false">IF(AND(Time!AI17&gt;=Time!$F$11,Time!AI17&lt;57),(IF(Time!AI29=1,AI83,AI81)-AI80)*AJ19+IF(Time!AI29=1,AI83,AI81)*AJ13,0)</f>
        <v>8.96647734452529</v>
      </c>
      <c r="AJ129" s="11" t="n">
        <f aca="false">IF(AND(Time!AJ17&gt;=Time!$F$11,Time!AJ17&lt;57),(IF(Time!AJ29=1,AJ83,AJ81)-AJ80)*AK19+IF(Time!AJ29=1,AJ83,AJ81)*AK13,0)</f>
        <v>6.77639926850862</v>
      </c>
      <c r="AK129" s="11" t="n">
        <f aca="false">IF(AND(Time!AK17&gt;=Time!$F$11,Time!AK17&lt;57),(IF(Time!AK29=1,AK83,AK81)-AK80)*AL19+IF(Time!AK29=1,AK83,AK81)*AL13,0)</f>
        <v>3.95051785096975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697</v>
      </c>
      <c r="E130" s="0" t="s">
        <v>149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0</v>
      </c>
      <c r="P130" s="11" t="n">
        <f aca="false">IF(AND(Time!P17&gt;=Time!$F$11,Time!P17&lt;57),(IF(Time!P29=1,P98,P96)-P95)*Q19+IF(Time!P29=1,P98,P96)*Q14,0)</f>
        <v>1.30370943727358E-014</v>
      </c>
      <c r="Q130" s="11" t="n">
        <f aca="false">IF(AND(Time!Q17&gt;=Time!$F$11,Time!Q17&lt;57),(IF(Time!Q29=1,Q98,Q96)-Q95)*R19+IF(Time!Q29=1,Q98,Q96)*R14,0)</f>
        <v>1.32162708754696E-014</v>
      </c>
      <c r="R130" s="11" t="n">
        <f aca="false">IF(AND(Time!R17&gt;=Time!$F$11,Time!R17&lt;57),(IF(Time!R29=1,R98,R96)-R95)*S19+IF(Time!R29=1,R98,R96)*S14,0)</f>
        <v>1.30474837912553E-014</v>
      </c>
      <c r="S130" s="11" t="n">
        <f aca="false">IF(AND(Time!S17&gt;=Time!$F$11,Time!S17&lt;57),(IF(Time!S29=1,S98,S96)-S95)*T19+IF(Time!S29=1,S98,S96)*T14,0)</f>
        <v>1.32051794514504E-014</v>
      </c>
      <c r="T130" s="11" t="n">
        <f aca="false">IF(AND(Time!T17&gt;=Time!$F$11,Time!T17&lt;57),(IF(Time!T29=1,T98,T96)-T95)*U19+U22*MIN($F$90/4,T95)+IF(Time!T29=1,T98,T96)*U14,0)</f>
        <v>1.30816416118872E-014</v>
      </c>
      <c r="U130" s="11" t="n">
        <f aca="false">IF(AND(Time!U17&gt;=Time!$F$11,Time!U17&lt;57),(IF(Time!U29=1,U98,U96)-U95)*V19+V22*MIN($F$90/4,U95)+IF(Time!U29=1,U98,U96)*V14,0)</f>
        <v>1.33139031060929E-014</v>
      </c>
      <c r="V130" s="11" t="n">
        <f aca="false">IF(AND(Time!V17&gt;=Time!$F$11,Time!V17&lt;57),(IF(Time!V29=1,V98,V96)-V95)*W19+W22*MIN($F$90/4,V95)+IF(Time!V29=1,V98,V96)*W14,0)</f>
        <v>1.31468919552709E-014</v>
      </c>
      <c r="W130" s="11" t="n">
        <f aca="false">IF(AND(Time!W17&gt;=Time!$F$11,Time!W17&lt;57),(IF(Time!W29=1,W98,W96)-W95)*X19+X22*MIN($F$90/4,W95)+IF(Time!W29=1,W98,W96)*X14,0)</f>
        <v>1.28023040015617E-014</v>
      </c>
      <c r="X130" s="11" t="n">
        <f aca="false">IF(AND(Time!X17&gt;=Time!$F$11,Time!X17&lt;57),(IF(Time!X29=1,X98,X96)-X95)*Y19+IF(Time!X29=1,X98,X96)*Y14,0)</f>
        <v>1.27025567384417E-014</v>
      </c>
      <c r="Y130" s="11" t="n">
        <f aca="false">IF(AND(Time!Y17&gt;=Time!$F$11,Time!Y17&lt;57),(IF(Time!Y29=1,Y98,Y96)-Y95)*Z19+IF(Time!Y29=1,Y98,Y96)*Z14,0)</f>
        <v>1.28047867406242E-014</v>
      </c>
      <c r="Z130" s="11" t="n">
        <f aca="false">IF(AND(Time!Z17&gt;=Time!$F$11,Time!Z17&lt;57),(IF(Time!Z29=1,Z98,Z96)-Z95)*AA19+IF(Time!Z29=1,Z98,Z96)*AA14,0)</f>
        <v>1.26275352167047E-014</v>
      </c>
      <c r="AA130" s="11" t="n">
        <f aca="false">IF(AND(Time!AA17&gt;=Time!$F$11,Time!AA17&lt;57),(IF(Time!AA29=1,AA98,AA96)-AA95)*AB19+IF(Time!AA29=1,AA98,AA96)*AB14,0)</f>
        <v>1.27649763450306E-014</v>
      </c>
      <c r="AB130" s="11" t="n">
        <f aca="false">IF(AND(Time!AB17&gt;=Time!$F$11,Time!AB17&lt;57),(IF(Time!AB29=1,AB98,AB96)-AB95)*AC19+IF(Time!AB29=1,AB98,AB96)*AC14,0)</f>
        <v>1.26476983155651E-014</v>
      </c>
      <c r="AC130" s="11" t="n">
        <f aca="false">IF(AND(Time!AC17&gt;=Time!$F$11,Time!AC17&lt;57),(IF(Time!AC29=1,AC98,AC96)-AC95)*AD19+IF(Time!AC29=1,AC98,AC96)*AD14,0)</f>
        <v>1.3084168384671E-014</v>
      </c>
      <c r="AD130" s="11" t="n">
        <f aca="false">IF(AND(Time!AD17&gt;=Time!$F$11,Time!AD17&lt;57),(IF(Time!AD29=1,AD98,AD96)-AD95)*AE19+IF(Time!AD29=1,AD98,AD96)*AE14,0)</f>
        <v>1.30228594654504E-014</v>
      </c>
      <c r="AE130" s="11" t="n">
        <f aca="false">IF(AND(Time!AE17&gt;=Time!$F$11,Time!AE17&lt;57),(IF(Time!AE29=1,AE98,AE96)-AE95)*AF19+IF(Time!AE29=1,AE98,AE96)*AF14,0)</f>
        <v>1.30410651834271E-014</v>
      </c>
      <c r="AF130" s="11" t="n">
        <f aca="false">IF(AND(Time!AF17&gt;=Time!$F$11,Time!AF17&lt;57),(IF(Time!AF29=1,AF98,AF96)-AF95)*AG19+IF(Time!AF29=1,AF98,AF96)*AG14,0)</f>
        <v>1.29288143715084E-014</v>
      </c>
      <c r="AG130" s="11" t="n">
        <f aca="false">IF(AND(Time!AG17&gt;=Time!$F$11,Time!AG17&lt;57),(IF(Time!AG29=1,AG98,AG96)-AG95)*AH19+IF(Time!AG29=1,AG98,AG96)*AH14,0)</f>
        <v>1.30562577805358E-014</v>
      </c>
      <c r="AH130" s="11" t="n">
        <f aca="false">IF(AND(Time!AH17&gt;=Time!$F$11,Time!AH17&lt;57),(IF(Time!AH29=1,AH98,AH96)-AH95)*AI19+IF(Time!AH29=1,AH98,AH96)*AI14,0)</f>
        <v>1.28734380336032E-014</v>
      </c>
      <c r="AI130" s="11" t="n">
        <f aca="false">IF(AND(Time!AI17&gt;=Time!$F$11,Time!AI17&lt;57),(IF(Time!AI29=1,AI98,AI96)-AI95)*AJ19+IF(Time!AI29=1,AI98,AI96)*AJ14,0)</f>
        <v>1.29740830869169E-014</v>
      </c>
      <c r="AJ130" s="11" t="n">
        <f aca="false">IF(AND(Time!AJ17&gt;=Time!$F$11,Time!AJ17&lt;57),(IF(Time!AJ29=1,AJ98,AJ96)-AJ95)*AK19+IF(Time!AJ29=1,AJ98,AJ96)*AK14,0)</f>
        <v>1.28381400900792E-014</v>
      </c>
      <c r="AK130" s="11" t="n">
        <f aca="false">IF(AND(Time!AK17&gt;=Time!$F$11,Time!AK17&lt;57),(IF(Time!AK29=1,AK98,AK96)-AK95)*AL19+IF(Time!AK29=1,AK98,AK96)*AL14,0)</f>
        <v>1.304426629894E-014</v>
      </c>
      <c r="AL130" s="11" t="n">
        <f aca="false">IF(AND(Time!AL17&gt;=Time!$F$11,Time!AL17&lt;57),(IF(Time!AL29=1,AL98,AL96)-AL95)*AM19+IF(Time!AL29=1,AL98,AL96)*AM14,0)</f>
        <v>1.27706863840416E-014</v>
      </c>
      <c r="AM130" s="11" t="n">
        <f aca="false">IF(AND(Time!AM17&gt;=Time!$F$11,Time!AM17&lt;57),(IF(Time!AM29=1,AM98,AM96)-AM95)*AN19+IF(Time!AM29=1,AM98,AM96)*AN14,0)</f>
        <v>1.02886428087808E-014</v>
      </c>
      <c r="AN130" s="11" t="n">
        <f aca="false">IF(AND(Time!AN17&gt;=Time!$F$11,Time!AN17&lt;57),(IF(Time!AN29=1,AN98,AN96)-AN95)*AO19+IF(Time!AN29=1,AN98,AN96)*AO14,0)</f>
        <v>1.00130959282482E-014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698</v>
      </c>
      <c r="E131" s="0" t="s">
        <v>149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IF(AND(Time!W17&gt;=Time!$F$11,Time!W17&lt;57,W103+W20*$F$109&gt;0.000000001),MIN($F$109*Inputs!X224,W103+W20*$F$109)+(W103+W20*$F$109)*(X15+Inputs!$F$200/100*0.5*Inputs!$F$199/$F$109),0)</f>
        <v>0</v>
      </c>
      <c r="X131" s="11" t="n">
        <f aca="false">IF(AND(Time!X17&gt;=Time!$F$11,Time!X17&lt;57,X103+X20*$F$109&gt;0.000000001),MIN($F$109*Inputs!Y224,X103+X20*$F$109)+(X103+X20*$F$109)*(Y15+Inputs!$F$200/100*0.5*Inputs!$F$199/$F$109),0)</f>
        <v>0</v>
      </c>
      <c r="Y131" s="11" t="n">
        <f aca="false">IF(AND(Time!Y17&gt;=Time!$F$11,Time!Y17&lt;57,Y103+Y20*$F$109&gt;0.000000001),MIN($F$109*Inputs!Z224,Y103+Y20*$F$109)+(Y103+Y20*$F$109)*(Z15+Inputs!$F$200/100*0.5*Inputs!$F$199/$F$109),0)</f>
        <v>0</v>
      </c>
      <c r="Z131" s="11" t="n">
        <f aca="false">IF(AND(Time!Z17&gt;=Time!$F$11,Time!Z17&lt;57,Z103+Z20*$F$109&gt;0.000000001),MIN($F$109*Inputs!AA224,Z103+Z20*$F$109)+(Z103+Z20*$F$109)*(AA15+Inputs!$F$200/100*0.5*Inputs!$F$199/$F$109),0)</f>
        <v>0</v>
      </c>
      <c r="AA131" s="11" t="n">
        <f aca="false">IF(AND(Time!AA17&gt;=Time!$F$11,Time!AA17&lt;57,AA103+AA20*$F$109&gt;0.000000001),MIN($F$109*Inputs!AB224,AA103+AA20*$F$109)+(AA103+AA20*$F$109)*(AB15+Inputs!$F$200/100*0.5*Inputs!$F$199/$F$109),0)</f>
        <v>0</v>
      </c>
      <c r="AB131" s="11" t="n">
        <f aca="false">IF(AND(Time!AB17&gt;=Time!$F$11,Time!AB17&lt;57,AB103+AB20*$F$109&gt;0.000000001),MIN($F$109*Inputs!AC224,AB103+AB20*$F$109)+(AB103+AB20*$F$109)*(AC15+Inputs!$F$200/100*0.5*Inputs!$F$199/$F$109),0)</f>
        <v>0</v>
      </c>
      <c r="AC131" s="11" t="n">
        <f aca="false">IF(AND(Time!AC17&gt;=Time!$F$11,Time!AC17&lt;57,AC103+AC20*$F$109&gt;0.000000001),MIN($F$109*Inputs!AD224,AC103+AC20*$F$109)+(AC103+AC20*$F$109)*(AD15+Inputs!$F$200/100*0.5*Inputs!$F$199/$F$109),0)</f>
        <v>0</v>
      </c>
      <c r="AD131" s="11" t="n">
        <f aca="false">IF(AND(Time!AD17&gt;=Time!$F$11,Time!AD17&lt;57,AD103+AD20*$F$109&gt;0.000000001),MIN($F$109*Inputs!AE224,AD103+AD20*$F$109)+(AD103+AD20*$F$109)*(AE15+Inputs!$F$200/100*0.5*Inputs!$F$199/$F$109),0)</f>
        <v>0</v>
      </c>
      <c r="AE131" s="11" t="n">
        <f aca="false">IF(AND(Time!AE17&gt;=Time!$F$11,Time!AE17&lt;57,AE103+AE20*$F$109&gt;0.000000001),MIN($F$109*Inputs!AF224,AE103+AE20*$F$109)+(AE103+AE20*$F$109)*(AF15+Inputs!$F$200/100*0.5*Inputs!$F$199/$F$109),0)</f>
        <v>0</v>
      </c>
      <c r="AF131" s="11" t="n">
        <f aca="false">IF(AND(Time!AF17&gt;=Time!$F$11,Time!AF17&lt;57,AF103+AF20*$F$109&gt;0.000000001),MIN($F$109*Inputs!AG224,AF103+AF20*$F$109)+(AF103+AF20*$F$109)*(AG15+Inputs!$F$200/100*0.5*Inputs!$F$199/$F$109),0)</f>
        <v>0</v>
      </c>
      <c r="AG131" s="11" t="n">
        <f aca="false">IF(AND(Time!AG17&gt;=Time!$F$11,Time!AG17&lt;57,AG103+AG20*$F$109&gt;0.000000001),MIN($F$109*Inputs!AH224,AG103+AG20*$F$109)+(AG103+AG20*$F$109)*(AH15+Inputs!$F$200/100*0.5*Inputs!$F$199/$F$109),0)</f>
        <v>0</v>
      </c>
      <c r="AH131" s="11" t="n">
        <f aca="false">IF(AND(Time!AH17&gt;=Time!$F$11,Time!AH17&lt;57,AH103+AH20*$F$109&gt;0.000000001),MIN($F$109*Inputs!AI224,AH103+AH20*$F$109)+(AH103+AH20*$F$109)*(AI15+Inputs!$F$200/100*0.5*Inputs!$F$199/$F$109),0)</f>
        <v>0</v>
      </c>
      <c r="AI131" s="11" t="n">
        <f aca="false">IF(AND(Time!AI17&gt;=Time!$F$11,Time!AI17&lt;57,AI103+AI20*$F$109&gt;0.000000001),MIN($F$109*Inputs!AJ224,AI103+AI20*$F$109)+(AI103+AI20*$F$109)*(AJ15+Inputs!$F$200/100*0.5*Inputs!$F$199/$F$109),0)</f>
        <v>0</v>
      </c>
      <c r="AJ131" s="11" t="n">
        <f aca="false">IF(AND(Time!AJ17&gt;=Time!$F$11,Time!AJ17&lt;57,AJ103+AJ20*$F$109&gt;0.000000001),MIN($F$109*Inputs!AK224,AJ103+AJ20*$F$109)+(AJ103+AJ20*$F$109)*(AK15+Inputs!$F$200/100*0.5*Inputs!$F$199/$F$109),0)</f>
        <v>0</v>
      </c>
      <c r="AK131" s="11" t="n">
        <f aca="false">IF(AND(Time!AK17&gt;=Time!$F$11,Time!AK17&lt;57,AK103+AK20*$F$109&gt;0.000000001),MIN($F$109*Inputs!AL224,AK103+AK20*$F$109)+(AK103+AK20*$F$109)*(AL15+Inputs!$F$200/100*0.5*Inputs!$F$199/$F$109),0)</f>
        <v>0</v>
      </c>
      <c r="AL131" s="11" t="n">
        <f aca="false">IF(AND(Time!AL17&gt;=Time!$F$11,Time!AL17&lt;57,AL103+AL20*$F$109&gt;0.000000001),MIN($F$109*Inputs!AM224,AL103+AL20*$F$109)+(AL103+AL20*$F$109)*(AM15+Inputs!$F$200/100*0.5*Inputs!$F$199/$F$109),0)</f>
        <v>0</v>
      </c>
      <c r="AM131" s="11" t="n">
        <f aca="false">IF(AND(Time!AM17&gt;=Time!$F$11,Time!AM17&lt;57,AM103+AM20*$F$109&gt;0.000000001),MIN($F$109*Inputs!AN224,AM103+AM20*$F$109)+(AM103+AM20*$F$109)*(AN15+Inputs!$F$200/100*0.5*Inputs!$F$199/$F$109),0)</f>
        <v>0</v>
      </c>
      <c r="AN131" s="11" t="n">
        <f aca="false">IF(AND(Time!AN17&gt;=Time!$F$11,Time!AN17&lt;57,AN103+AN20*$F$109&gt;0.000000001),MIN($F$109*Inputs!AO224,AN103+AN20*$F$109)+(AN103+AN20*$F$109)*(AO15+Inputs!$F$200/100*0.5*Inputs!$F$199/$F$109),0)</f>
        <v>0</v>
      </c>
      <c r="AO131" s="11" t="n">
        <f aca="false">IF(AND(Time!AO17&gt;=Time!$F$11,Time!AO17&lt;57,AO103+AO20*$F$109&gt;0.000000001),MIN($F$109*Inputs!AP224,AO103+AO20*$F$109)+(AO103+AO20*$F$109)*(AP15+Inputs!$F$200/100*0.5*Inputs!$F$199/$F$109),0)</f>
        <v>0</v>
      </c>
      <c r="AP131" s="11" t="n">
        <f aca="false">IF(AND(Time!AP17&gt;=Time!$F$11,Time!AP17&lt;57,AP103+AP20*$F$109&gt;0.000000001),MIN($F$109*Inputs!AQ224,AP103+AP20*$F$109)+(AP103+AP20*$F$109)*(AQ15+Inputs!$F$200/100*0.5*Inputs!$F$199/$F$109),0)</f>
        <v>0</v>
      </c>
      <c r="AQ131" s="11" t="n">
        <f aca="false">IF(AND(Time!AQ17&gt;=Time!$F$11,Time!AQ17&lt;57,AQ103+AQ20*$F$109&gt;0.000000001),MIN($F$109*Inputs!AR224,AQ103+AQ20*$F$109)+(AQ103+AQ20*$F$109)*(AR15+Inputs!$F$200/100*0.5*Inputs!$F$199/$F$109),0)</f>
        <v>0</v>
      </c>
      <c r="AR131" s="11" t="n">
        <f aca="false">IF(AND(Time!AR17&gt;=Time!$F$11,Time!AR17&lt;57,AR103+AR20*$F$109&gt;0.000000001),MIN($F$109*Inputs!AS224,AR103+AR20*$F$109)+(AR103+AR20*$F$109)*(AS15+Inputs!$F$200/100*0.5*Inputs!$F$199/$F$109),0)</f>
        <v>0</v>
      </c>
      <c r="AS131" s="11" t="n">
        <f aca="false">IF(AND(Time!AS17&gt;=Time!$F$11,Time!AS17&lt;57,AS103+AS20*$F$109&gt;0.000000001),MIN($F$109*Inputs!AT224,AS103+AS20*$F$109)+(AS103+AS20*$F$109)*(AT15+Inputs!$F$200/100*0.5*Inputs!$F$199/$F$109),0)</f>
        <v>0</v>
      </c>
      <c r="AT131" s="11" t="n">
        <f aca="false">IF(AND(Time!AT17&gt;=Time!$F$11,Time!AT17&lt;57,AT103+AT20*$F$109&gt;0.000000001),MIN($F$109*Inputs!AU224,AT103+AT20*$F$109)+(AT103+AT20*$F$109)*(AU15+Inputs!$F$200/100*0.5*Inputs!$F$199/$F$109),0)</f>
        <v>0</v>
      </c>
      <c r="AU131" s="11" t="n">
        <f aca="false">IF(AND(Time!AU17&gt;=Time!$F$11,Time!AU17&lt;57,AU103+AU20*$F$109&gt;0.000000001),MIN($F$109*Inputs!AV224,AU103+AU20*$F$109)+(AU103+AU20*$F$109)*(AV15+Inputs!$F$200/100*0.5*Inputs!$F$199/$F$109),0)</f>
        <v>0</v>
      </c>
      <c r="AV131" s="11" t="n">
        <f aca="false">IF(AND(Time!AV17&gt;=Time!$F$11,Time!AV17&lt;57,AV103+AV20*$F$109&gt;0.000000001),MIN($F$109*Inputs!AW224,AV103+AV20*$F$109)+(AV103+AV20*$F$109)*(AW15+Inputs!$F$200/100*0.5*Inputs!$F$199/$F$109),0)</f>
        <v>0</v>
      </c>
      <c r="AW131" s="11" t="n">
        <f aca="false">IF(AND(Time!AW17&gt;=Time!$F$11,Time!AW17&lt;57,AW103+AW20*$F$109&gt;0.000000001),MIN($F$109*Inputs!AX224,AW103+AW20*$F$109)+(AW103+AW20*$F$109)*(AX15+Inputs!$F$200/100*0.5*Inputs!$F$199/$F$109),0)</f>
        <v>0</v>
      </c>
      <c r="AX131" s="11" t="n">
        <f aca="false">IF(AND(Time!AX17&gt;=Time!$F$11,Time!AX17&lt;57,AX103+AX20*$F$109&gt;0.000000001),MIN($F$109*Inputs!AY224,AX103+AX20*$F$109)+(AX103+AX20*$F$109)*(AY15+Inputs!$F$200/100*0.5*Inputs!$F$199/$F$109),0)</f>
        <v>0</v>
      </c>
      <c r="AY131" s="11" t="n">
        <f aca="false">IF(AND(Time!AY17&gt;=Time!$F$11,Time!AY17&lt;57,AY103+AY20*$F$109&gt;0.000000001),MIN($F$109*Inputs!AZ224,AY103+AY20*$F$109)+(AY103+AY20*$F$109)*(AZ15+Inputs!$F$200/100*0.5*Inputs!$F$199/$F$109),0)</f>
        <v>0</v>
      </c>
      <c r="AZ131" s="11" t="n">
        <f aca="false">IF(AND(Time!AZ17&gt;=Time!$F$11,Time!AZ17&lt;57,AZ103+AZ20*$F$109&gt;0.000000001),MIN($F$109*Inputs!BA224,AZ103+AZ20*$F$109)+(AZ103+AZ20*$F$109)*(BA15+Inputs!$F$200/100*0.5*Inputs!$F$199/$F$109),0)</f>
        <v>0</v>
      </c>
      <c r="BA131" s="11" t="n">
        <f aca="false">IF(AND(Time!BA17&gt;=Time!$F$11,Time!BA17&lt;57,BA103+BA20*$F$109&gt;0.000000001),MIN($F$109*Inputs!BB224,BA103+BA20*$F$109)+(BA103+BA20*$F$109)*(BB15+Inputs!$F$200/100*0.5*Inputs!$F$199/$F$109),0)</f>
        <v>0</v>
      </c>
      <c r="BB131" s="11" t="n">
        <f aca="false">IF(AND(Time!BB17&gt;=Time!$F$11,Time!BB17&lt;57,BB103+BB20*$F$109&gt;0.000000001),MIN($F$109*Inputs!BC224,BB103+BB20*$F$109)+(BB103+BB20*$F$109)*(BC15+Inputs!$F$200/100*0.5*Inputs!$F$199/$F$109),0)</f>
        <v>0</v>
      </c>
      <c r="BC131" s="11" t="n">
        <f aca="false">IF(AND(Time!BC17&gt;=Time!$F$11,Time!BC17&lt;57,BC103+BC20*$F$109&gt;0.000000001),MIN($F$109*Inputs!BD224,BC103+BC20*$F$109)+(BC103+BC20*$F$109)*(BD15+Inputs!$F$200/100*0.5*Inputs!$F$199/$F$109),0)</f>
        <v>0</v>
      </c>
      <c r="BD131" s="11" t="n">
        <f aca="false">IF(AND(Time!BD17&gt;=Time!$F$11,Time!BD17&lt;57,BD103+BD20*$F$109&gt;0.000000001),MIN($F$109*Inputs!BE224,BD103+BD20*$F$109)+(BD103+BD20*$F$109)*(BE15+Inputs!$F$200/100*0.5*Inputs!$F$199/$F$109),0)</f>
        <v>0</v>
      </c>
      <c r="BE131" s="11" t="n">
        <f aca="false">IF(AND(Time!BE17&gt;=Time!$F$11,Time!BE17&lt;57,BE103+BE20*$F$109&gt;0.000000001),MIN($F$109*Inputs!BF224,BE103+BE20*$F$109)+(BE103+BE20*$F$109)*(BF15+Inputs!$F$200/100*0.5*Inputs!$F$199/$F$109),0)</f>
        <v>0</v>
      </c>
      <c r="BF131" s="11" t="n">
        <f aca="false">IF(AND(Time!BF17&gt;=Time!$F$11,Time!BF17&lt;57,BF103+BF20*$F$109&gt;0.000000001),MIN($F$109*Inputs!BG224,BF103+BF20*$F$109)+(BF103+BF20*$F$109)*(BG15+Inputs!$F$200/100*0.5*Inputs!$F$199/$F$109),0)</f>
        <v>0</v>
      </c>
      <c r="BG131" s="11" t="n">
        <f aca="false">IF(AND(Time!BG17&gt;=Time!$F$11,Time!BG17&lt;57,BG103+BG20*$F$109&gt;0.000000001),MIN($F$109*Inputs!BH224,BG103+BG20*$F$109)+(BG103+BG20*$F$109)*(BH15+Inputs!$F$200/100*0.5*Inputs!$F$199/$F$109),0)</f>
        <v>0</v>
      </c>
      <c r="BH131" s="11" t="n">
        <f aca="false">IF(AND(Time!BH17&gt;=Time!$F$11,Time!BH17&lt;57,BH103+BH20*$F$109&gt;0.000000001),MIN($F$109*Inputs!BI224,BH103+BH20*$F$109)+(BH103+BH20*$F$109)*(BI15+Inputs!$F$200/100*0.5*Inputs!$F$199/$F$109),0)</f>
        <v>0</v>
      </c>
      <c r="BI131" s="11" t="n">
        <f aca="false">IF(AND(Time!BI17&gt;=Time!$F$11,Time!BI17&lt;57,BI103+BI20*$F$109&gt;0.000000001),MIN($F$109*Inputs!BJ224,BI103+BI20*$F$109)+(BI103+BI20*$F$109)*(BJ15+Inputs!$F$200/100*0.5*Inputs!$F$199/$F$109),0)</f>
        <v>0</v>
      </c>
      <c r="BJ131" s="11" t="n">
        <f aca="false">IF(AND(Time!BJ17&gt;=Time!$F$11,Time!BJ17&lt;57,BJ103+BJ20*$F$109&gt;0.000000001),MIN($F$109*Inputs!BK224,BJ103+BJ20*$F$109)+(BJ103+BJ20*$F$109)*(BK15+Inputs!$F$200/100*0.5*Inputs!$F$199/$F$109),0)</f>
        <v>0</v>
      </c>
      <c r="BK131" s="11" t="n">
        <f aca="false">IF(AND(Time!BK17&gt;=Time!$F$11,Time!BK17&lt;57,BK103+BK20*$F$109&gt;0.000000001),MIN($F$109*Inputs!BL224,BK103+BK20*$F$109)+(BK103+BK20*$F$109)*(BL15+Inputs!$F$200/100*0.5*Inputs!$F$199/$F$109),0)</f>
        <v>0</v>
      </c>
      <c r="BL131" s="11" t="n">
        <f aca="false">IF(AND(Time!BL17&gt;=Time!$F$11,Time!BL17&lt;57,BL103+BL20*$F$109&gt;0.000000001),MIN($F$109*Inputs!BM224,BL103+BL20*$F$109)+(BL103+BL20*$F$109)*(BM15+Inputs!$F$200/100*0.5*Inputs!$F$199/$F$109),0)</f>
        <v>0</v>
      </c>
      <c r="BM131" s="11" t="n">
        <f aca="false">IF(AND(Time!BM17&gt;=Time!$F$11,Time!BM17&lt;57,BM103+BM20*$F$109&gt;0.000000001),MIN($F$109*Inputs!BN224,BM103+BM20*$F$109)+(BM103+BM20*$F$109)*(BN15+Inputs!$F$200/100*0.5*Inputs!$F$199/$F$109),0)</f>
        <v>0</v>
      </c>
      <c r="BN131" s="11" t="n">
        <f aca="false">IF(AND(Time!BN17&gt;=Time!$F$11,Time!BN17&lt;57,BN103+BN20*$F$109&gt;0.000000001),MIN($F$109*0,BN103+BN20*$F$109)+(BN103+BN20*$F$109)*(0+Inputs!$F$200/100*0.5*Inputs!$F$199/$F$109),0)</f>
        <v>0</v>
      </c>
    </row>
    <row r="132" customFormat="false" ht="15" hidden="false" customHeight="false" outlineLevel="0" collapsed="false">
      <c r="D132" s="0" t="s">
        <v>699</v>
      </c>
      <c r="E132" s="0" t="s">
        <v>149</v>
      </c>
      <c r="J132" s="11" t="n">
        <f aca="false">IF(AND(Time!J17&gt;=Time!$F$11,Time!J17&lt;57),J126+J127+J128+J129+J130+J131+Inputs!K225*K113*(Inputs!$F$97/100*0.5-Operations!K9/100*Time!K20/360)+(Inputs!$F$95/100*Inputs!$F$96/100)*J125*Time!K20/365,0)</f>
        <v>0</v>
      </c>
      <c r="K132" s="11" t="n">
        <f aca="false">IF(AND(Time!K17&gt;=Time!$F$11,Time!K17&lt;57),K126+K127+K128+K129+K130+K131+Inputs!L225*L113*(Inputs!$F$97/100*0.5-Operations!L9/100*Time!L20/360)+(Inputs!$F$95/100*Inputs!$F$96/100)*K125*Time!L20/365,0)</f>
        <v>0</v>
      </c>
      <c r="L132" s="11" t="n">
        <f aca="false">IF(AND(Time!L17&gt;=Time!$F$11,Time!L17&lt;57),L126+L127+L128+L129+L130+L131+Inputs!M225*M113*(Inputs!$F$97/100*0.5-Operations!M9/100*Time!M20/360)+(Inputs!$F$95/100*Inputs!$F$96/100)*L125*Time!M20/365,0)</f>
        <v>0</v>
      </c>
      <c r="M132" s="11" t="n">
        <f aca="false">IF(AND(Time!M17&gt;=Time!$F$11,Time!M17&lt;57),M126+M127+M128+M129+M130+M131+Inputs!N225*N113*(Inputs!$F$97/100*0.5-Operations!N9/100*Time!N20/360)+(Inputs!$F$95/100*Inputs!$F$96/100)*M125*Time!N20/365,0)</f>
        <v>0</v>
      </c>
      <c r="N132" s="11" t="n">
        <f aca="false">IF(AND(Time!N17&gt;=Time!$F$11,Time!N17&lt;57),N126+N127+N128+N129+N130+N131+Inputs!O225*O113*(Inputs!$F$97/100*0.5-Operations!O9/100*Time!O20/360)+(Inputs!$F$95/100*Inputs!$F$96/100)*N125*Time!O20/365,0)</f>
        <v>0</v>
      </c>
      <c r="O132" s="11" t="n">
        <f aca="false">IF(AND(Time!O17&gt;=Time!$F$11,Time!O17&lt;57),O126+O127+O128+O129+O130+O131+Inputs!P225*P113*(Inputs!$F$97/100*0.5-Operations!P9/100*Time!P20/360)+(Inputs!$F$95/100*Inputs!$F$96/100)*O125*Time!P20/365,0)</f>
        <v>0</v>
      </c>
      <c r="P132" s="11" t="n">
        <f aca="false">IF(AND(Time!P17&gt;=Time!$F$11,Time!P17&lt;57),P126+P127+P128+P129+P130+P131+Inputs!Q225*Q113*(Inputs!$F$97/100*0.5-Operations!Q9/100*Time!Q20/360)+(Inputs!$F$95/100*Inputs!$F$96/100)*P125*Time!Q20/365,0)</f>
        <v>39.5901571901212</v>
      </c>
      <c r="Q132" s="11" t="n">
        <f aca="false">IF(AND(Time!Q17&gt;=Time!$F$11,Time!Q17&lt;57),Q126+Q127+Q128+Q129+Q130+Q131+Inputs!R225*R113*(Inputs!$F$97/100*0.5-Operations!R9/100*Time!R20/360)+(Inputs!$F$95/100*Inputs!$F$96/100)*Q125*Time!R20/365,0)</f>
        <v>40.0955116122781</v>
      </c>
      <c r="R132" s="11" t="n">
        <f aca="false">IF(AND(Time!R17&gt;=Time!$F$11,Time!R17&lt;57),R126+R127+R128+R129+R130+R131+Inputs!S225*S113*(Inputs!$F$97/100*0.5-Operations!S9/100*Time!S20/360)+(Inputs!$F$95/100*Inputs!$F$96/100)*R125*Time!S20/365,0)</f>
        <v>39.7778387053405</v>
      </c>
      <c r="S132" s="11" t="n">
        <f aca="false">IF(AND(Time!S17&gt;=Time!$F$11,Time!S17&lt;57),S126+S127+S128+S129+S130+S131+Inputs!T225*T113*(Inputs!$F$97/100*0.5-Operations!T9/100*Time!T20/360)+(Inputs!$F$95/100*Inputs!$F$96/100)*S125*Time!T20/365,0)</f>
        <v>40.2295607160554</v>
      </c>
      <c r="T132" s="11" t="n">
        <f aca="false">IF(AND(Time!T17&gt;=Time!$F$11,Time!T17&lt;57),T126+T127+T128+T129+T130+T131+Inputs!U225*U113*(Inputs!$F$97/100*0.5-Operations!U9/100*Time!U20/360)+(Inputs!$F$95/100*Inputs!$F$96/100)*T125*Time!U20/365,0)</f>
        <v>40.0312842957064</v>
      </c>
      <c r="U132" s="11" t="n">
        <f aca="false">IF(AND(Time!U17&gt;=Time!$F$11,Time!U17&lt;57),U126+U127+U128+U129+U130+U131+Inputs!V225*V113*(Inputs!$F$97/100*0.5-Operations!V9/100*Time!V20/360)+(Inputs!$F$95/100*Inputs!$F$96/100)*U125*Time!V20/365,0)</f>
        <v>40.7986666606384</v>
      </c>
      <c r="V132" s="11" t="n">
        <f aca="false">IF(AND(Time!V17&gt;=Time!$F$11,Time!V17&lt;57),V126+V127+V128+V129+V130+V131+Inputs!W225*W113*(Inputs!$F$97/100*0.5-Operations!W9/100*Time!W20/360)+(Inputs!$F$95/100*Inputs!$F$96/100)*V125*Time!W20/365,0)</f>
        <v>40.5087228524253</v>
      </c>
      <c r="W132" s="11" t="n">
        <f aca="false">IF(AND(Time!W17&gt;=Time!$F$11,Time!W17&lt;57),W126+W127+W128+W129+W130+W131+Inputs!X225*X113*(Inputs!$F$97/100*0.5-Operations!X9/100*Time!X20/360)+(Inputs!$F$95/100*Inputs!$F$96/100)*W125*Time!X20/365,0)</f>
        <v>39.3469132499841</v>
      </c>
      <c r="X132" s="11" t="n">
        <f aca="false">IF(AND(Time!X17&gt;=Time!$F$11,Time!X17&lt;57),X126+X127+X128+X129+X130+X131+Inputs!Y225*Y113*(Inputs!$F$97/100*0.5-Operations!Y9/100*Time!Y20/360)+(Inputs!$F$95/100*Inputs!$F$96/100)*X125*Time!Y20/365,0)</f>
        <v>38.959871050273</v>
      </c>
      <c r="Y132" s="11" t="n">
        <f aca="false">IF(AND(Time!Y17&gt;=Time!$F$11,Time!Y17&lt;57),Y126+Y127+Y128+Y129+Y130+Y131+Inputs!Z225*Z113*(Inputs!$F$97/100*0.5-Operations!Z9/100*Time!Z20/360)+(Inputs!$F$95/100*Inputs!$F$96/100)*Y125*Time!Z20/365,0)</f>
        <v>39.2853733075215</v>
      </c>
      <c r="Z132" s="11" t="n">
        <f aca="false">IF(AND(Time!Z17&gt;=Time!$F$11,Time!Z17&lt;57),Z126+Z127+Z128+Z129+Z130+Z131+Inputs!AA225*AA113*(Inputs!$F$97/100*0.5-Operations!AA9/100*Time!AA20/360)+(Inputs!$F$95/100*Inputs!$F$96/100)*Z125*Time!AA20/365,0)</f>
        <v>38.9619967644553</v>
      </c>
      <c r="AA132" s="11" t="n">
        <f aca="false">IF(AND(Time!AA17&gt;=Time!$F$11,Time!AA17&lt;57),AA126+AA127+AA128+AA129+AA130+AA131+Inputs!AB225*AB113*(Inputs!$F$97/100*0.5-Operations!AB9/100*Time!AB20/360)+(Inputs!$F$95/100*Inputs!$F$96/100)*AA125*Time!AB20/365,0)</f>
        <v>39.4247252652081</v>
      </c>
      <c r="AB132" s="11" t="n">
        <f aca="false">IF(AND(Time!AB17&gt;=Time!$F$11,Time!AB17&lt;57),AB126+AB127+AB128+AB129+AB130+AB131+Inputs!AC225*AC113*(Inputs!$F$97/100*0.5-Operations!AC9/100*Time!AC20/360)+(Inputs!$F$95/100*Inputs!$F$96/100)*AB125*Time!AC20/365,0)</f>
        <v>38.7444655741052</v>
      </c>
      <c r="AC132" s="11" t="n">
        <f aca="false">IF(AND(Time!AC17&gt;=Time!$F$11,Time!AC17&lt;57),AC126+AC127+AC128+AC129+AC130+AC131+Inputs!AD225*AD113*(Inputs!$F$97/100*0.5-Operations!AD9/100*Time!AD20/360)+(Inputs!$F$95/100*Inputs!$F$96/100)*AC125*Time!AD20/365,0)</f>
        <v>39.5783031185693</v>
      </c>
      <c r="AD132" s="11" t="n">
        <f aca="false">IF(AND(Time!AD17&gt;=Time!$F$11,Time!AD17&lt;57),AD126+AD127+AD128+AD129+AD130+AD131+Inputs!AE225*AE113*(Inputs!$F$97/100*0.5-Operations!AE9/100*Time!AE20/360)+(Inputs!$F$95/100*Inputs!$F$96/100)*AD125*Time!AE20/365,0)</f>
        <v>39.0152983044463</v>
      </c>
      <c r="AE132" s="11" t="n">
        <f aca="false">IF(AND(Time!AE17&gt;=Time!$F$11,Time!AE17&lt;57),AE126+AE127+AE128+AE129+AE130+AE131+Inputs!AF225*AF113*(Inputs!$F$97/100*0.5-Operations!AF9/100*Time!AF20/360)+(Inputs!$F$95/100*Inputs!$F$96/100)*AE125*Time!AF20/365,0)</f>
        <v>38.3975174153793</v>
      </c>
      <c r="AF132" s="11" t="n">
        <f aca="false">IF(AND(Time!AF17&gt;=Time!$F$11,Time!AF17&lt;57),AF126+AF127+AF128+AF129+AF130+AF131+Inputs!AG225*AG113*(Inputs!$F$97/100*0.5-Operations!AG9/100*Time!AG20/360)+(Inputs!$F$95/100*Inputs!$F$96/100)*AF125*Time!AG20/365,0)</f>
        <v>37.1768380015028</v>
      </c>
      <c r="AG132" s="11" t="n">
        <f aca="false">IF(AND(Time!AG17&gt;=Time!$F$11,Time!AG17&lt;57),AG126+AG127+AG128+AG129+AG130+AG131+Inputs!AH225*AH113*(Inputs!$F$97/100*0.5-Operations!AH9/100*Time!AH20/360)+(Inputs!$F$95/100*Inputs!$F$96/100)*AG125*Time!AH20/365,0)</f>
        <v>36.4693329991737</v>
      </c>
      <c r="AH132" s="11" t="n">
        <f aca="false">IF(AND(Time!AH17&gt;=Time!$F$11,Time!AH17&lt;57),AH126+AH127+AH128+AH129+AH130+AH131+Inputs!AI225*AI113*(Inputs!$F$97/100*0.5-Operations!AI9/100*Time!AI20/360)+(Inputs!$F$95/100*Inputs!$F$96/100)*AH125*Time!AI20/365,0)</f>
        <v>34.8980305271939</v>
      </c>
      <c r="AI132" s="11" t="n">
        <f aca="false">IF(AND(Time!AI17&gt;=Time!$F$11,Time!AI17&lt;57),AI126+AI127+AI128+AI129+AI130+AI131+Inputs!AJ225*AJ113*(Inputs!$F$97/100*0.5-Operations!AJ9/100*Time!AJ20/360)+(Inputs!$F$95/100*Inputs!$F$96/100)*AI125*Time!AJ20/365,0)</f>
        <v>33.6218970424988</v>
      </c>
      <c r="AJ132" s="11" t="n">
        <f aca="false">IF(AND(Time!AJ17&gt;=Time!$F$11,Time!AJ17&lt;57),AJ126+AJ127+AJ128+AJ129+AJ130+AJ131+Inputs!AK225*AK113*(Inputs!$F$97/100*0.5-Operations!AK9/100*Time!AK20/360)+(Inputs!$F$95/100*Inputs!$F$96/100)*AJ125*Time!AK20/365,0)</f>
        <v>31.446910313157</v>
      </c>
      <c r="AK132" s="11" t="n">
        <f aca="false">IF(AND(Time!AK17&gt;=Time!$F$11,Time!AK17&lt;57),AK126+AK127+AK128+AK129+AK130+AK131+Inputs!AL225*AL113*(Inputs!$F$97/100*0.5-Operations!AL9/100*Time!AL20/360)+(Inputs!$F$95/100*Inputs!$F$96/100)*AK125*Time!AL20/365,0)</f>
        <v>29.272415075822</v>
      </c>
      <c r="AL132" s="11" t="n">
        <f aca="false">IF(AND(Time!AL17&gt;=Time!$F$11,Time!AL17&lt;57),AL126+AL127+AL128+AL129+AL130+AL131+Inputs!AM225*AM113*(Inputs!$F$97/100*0.5-Operations!AM9/100*Time!AM20/360)+(Inputs!$F$95/100*Inputs!$F$96/100)*AL125*Time!AM20/365,0)</f>
        <v>25.0990387543341</v>
      </c>
      <c r="AM132" s="11" t="n">
        <f aca="false">IF(AND(Time!AM17&gt;=Time!$F$11,Time!AM17&lt;57),AM126+AM127+AM128+AM129+AM130+AM131+Inputs!AN225*AN113*(Inputs!$F$97/100*0.5-Operations!AN9/100*Time!AN20/360)+(Inputs!$F$95/100*Inputs!$F$96/100)*AM125*Time!AN20/365,0)</f>
        <v>20.3736881724253</v>
      </c>
      <c r="AN132" s="11" t="n">
        <f aca="false">IF(AND(Time!AN17&gt;=Time!$F$11,Time!AN17&lt;57),AN126+AN127+AN128+AN129+AN130+AN131+Inputs!AO225*AO113*(Inputs!$F$97/100*0.5-Operations!AO9/100*Time!AO20/360)+(Inputs!$F$95/100*Inputs!$F$96/100)*AN125*Time!AO20/365,0)</f>
        <v>20.1307130705795</v>
      </c>
      <c r="AO132" s="11" t="n">
        <f aca="false">IF(AND(Time!AO17&gt;=Time!$F$11,Time!AO17&lt;57),AO126+AO127+AO128+AO129+AO130+AO131+Inputs!AP225*AP113*(Inputs!$F$97/100*0.5-Operations!AP9/100*Time!AP20/360)+(Inputs!$F$95/100*Inputs!$F$96/100)*AO125*Time!AP20/365,0)</f>
        <v>0</v>
      </c>
      <c r="AP132" s="11" t="n">
        <f aca="false">IF(AND(Time!AP17&gt;=Time!$F$11,Time!AP17&lt;57),AP126+AP127+AP128+AP129+AP130+AP131+Inputs!AQ225*AQ113*(Inputs!$F$97/100*0.5-Operations!AQ9/100*Time!AQ20/360)+(Inputs!$F$95/100*Inputs!$F$96/100)*AP125*Time!AQ20/365,0)</f>
        <v>0</v>
      </c>
      <c r="AQ132" s="11" t="n">
        <f aca="false">IF(AND(Time!AQ17&gt;=Time!$F$11,Time!AQ17&lt;57),AQ126+AQ127+AQ128+AQ129+AQ130+AQ131+Inputs!AR225*AR113*(Inputs!$F$97/100*0.5-Operations!AR9/100*Time!AR20/360)+(Inputs!$F$95/100*Inputs!$F$96/100)*AQ125*Time!AR20/365,0)</f>
        <v>0</v>
      </c>
      <c r="AR132" s="11" t="n">
        <f aca="false">IF(AND(Time!AR17&gt;=Time!$F$11,Time!AR17&lt;57),AR126+AR127+AR128+AR129+AR130+AR131+Inputs!AS225*AS113*(Inputs!$F$97/100*0.5-Operations!AS9/100*Time!AS20/360)+(Inputs!$F$95/100*Inputs!$F$96/100)*AR125*Time!AS20/365,0)</f>
        <v>0</v>
      </c>
      <c r="AS132" s="11" t="n">
        <f aca="false">IF(AND(Time!AS17&gt;=Time!$F$11,Time!AS17&lt;57),AS126+AS127+AS128+AS129+AS130+AS131+Inputs!AT225*AT113*(Inputs!$F$97/100*0.5-Operations!AT9/100*Time!AT20/360)+(Inputs!$F$95/100*Inputs!$F$96/100)*AS125*Time!AT20/365,0)</f>
        <v>0</v>
      </c>
      <c r="AT132" s="11" t="n">
        <f aca="false">IF(AND(Time!AT17&gt;=Time!$F$11,Time!AT17&lt;57),AT126+AT127+AT128+AT129+AT130+AT131+Inputs!AU225*AU113*(Inputs!$F$97/100*0.5-Operations!AU9/100*Time!AU20/360)+(Inputs!$F$95/100*Inputs!$F$96/100)*AT125*Time!AU20/365,0)</f>
        <v>0</v>
      </c>
      <c r="AU132" s="11" t="n">
        <f aca="false">IF(AND(Time!AU17&gt;=Time!$F$11,Time!AU17&lt;57),AU126+AU127+AU128+AU129+AU130+AU131+Inputs!AV225*AV113*(Inputs!$F$97/100*0.5-Operations!AV9/100*Time!AV20/360)+(Inputs!$F$95/100*Inputs!$F$96/100)*AU125*Time!AV20/365,0)</f>
        <v>0</v>
      </c>
      <c r="AV132" s="11" t="n">
        <f aca="false">IF(AND(Time!AV17&gt;=Time!$F$11,Time!AV17&lt;57),AV126+AV127+AV128+AV129+AV130+AV131+Inputs!AW225*AW113*(Inputs!$F$97/100*0.5-Operations!AW9/100*Time!AW20/360)+(Inputs!$F$95/100*Inputs!$F$96/100)*AV125*Time!AW20/365,0)</f>
        <v>0</v>
      </c>
      <c r="AW132" s="11" t="n">
        <f aca="false">IF(AND(Time!AW17&gt;=Time!$F$11,Time!AW17&lt;57),AW126+AW127+AW128+AW129+AW130+AW131+Inputs!AX225*AX113*(Inputs!$F$97/100*0.5-Operations!AX9/100*Time!AX20/360)+(Inputs!$F$95/100*Inputs!$F$96/100)*AW125*Time!AX20/365,0)</f>
        <v>0</v>
      </c>
      <c r="AX132" s="11" t="n">
        <f aca="false">IF(AND(Time!AX17&gt;=Time!$F$11,Time!AX17&lt;57),AX126+AX127+AX128+AX129+AX130+AX131+Inputs!AY225*AY113*(Inputs!$F$97/100*0.5-Operations!AY9/100*Time!AY20/360)+(Inputs!$F$95/100*Inputs!$F$96/100)*AX125*Time!AY20/365,0)</f>
        <v>0</v>
      </c>
      <c r="AY132" s="11" t="n">
        <f aca="false">IF(AND(Time!AY17&gt;=Time!$F$11,Time!AY17&lt;57),AY126+AY127+AY128+AY129+AY130+AY131+Inputs!AZ225*AZ113*(Inputs!$F$97/100*0.5-Operations!AZ9/100*Time!AZ20/360)+(Inputs!$F$95/100*Inputs!$F$96/100)*AY125*Time!AZ20/365,0)</f>
        <v>0</v>
      </c>
      <c r="AZ132" s="11" t="n">
        <f aca="false">IF(AND(Time!AZ17&gt;=Time!$F$11,Time!AZ17&lt;57),AZ126+AZ127+AZ128+AZ129+AZ130+AZ131+Inputs!BA225*BA113*(Inputs!$F$97/100*0.5-Operations!BA9/100*Time!BA20/360)+(Inputs!$F$95/100*Inputs!$F$96/100)*AZ125*Time!BA20/365,0)</f>
        <v>0</v>
      </c>
      <c r="BA132" s="11" t="n">
        <f aca="false">IF(AND(Time!BA17&gt;=Time!$F$11,Time!BA17&lt;57),BA126+BA127+BA128+BA129+BA130+BA131+Inputs!BB225*BB113*(Inputs!$F$97/100*0.5-Operations!BB9/100*Time!BB20/360)+(Inputs!$F$95/100*Inputs!$F$96/100)*BA125*Time!BB20/365,0)</f>
        <v>0</v>
      </c>
      <c r="BB132" s="11" t="n">
        <f aca="false">IF(AND(Time!BB17&gt;=Time!$F$11,Time!BB17&lt;57),BB126+BB127+BB128+BB129+BB130+BB131+Inputs!BC225*BC113*(Inputs!$F$97/100*0.5-Operations!BC9/100*Time!BC20/360)+(Inputs!$F$95/100*Inputs!$F$96/100)*BB125*Time!BC20/365,0)</f>
        <v>0</v>
      </c>
      <c r="BC132" s="11" t="n">
        <f aca="false">IF(AND(Time!BC17&gt;=Time!$F$11,Time!BC17&lt;57),BC126+BC127+BC128+BC129+BC130+BC131+Inputs!BD225*BD113*(Inputs!$F$97/100*0.5-Operations!BD9/100*Time!BD20/360)+(Inputs!$F$95/100*Inputs!$F$96/100)*BC125*Time!BD20/365,0)</f>
        <v>0</v>
      </c>
      <c r="BD132" s="11" t="n">
        <f aca="false">IF(AND(Time!BD17&gt;=Time!$F$11,Time!BD17&lt;57),BD126+BD127+BD128+BD129+BD130+BD131+Inputs!BE225*BE113*(Inputs!$F$97/100*0.5-Operations!BE9/100*Time!BE20/360)+(Inputs!$F$95/100*Inputs!$F$96/100)*BD125*Time!BE20/365,0)</f>
        <v>0</v>
      </c>
      <c r="BE132" s="11" t="n">
        <f aca="false">IF(AND(Time!BE17&gt;=Time!$F$11,Time!BE17&lt;57),BE126+BE127+BE128+BE129+BE130+BE131+Inputs!BF225*BF113*(Inputs!$F$97/100*0.5-Operations!BF9/100*Time!BF20/360)+(Inputs!$F$95/100*Inputs!$F$96/100)*BE125*Time!BF20/365,0)</f>
        <v>0</v>
      </c>
      <c r="BF132" s="11" t="n">
        <f aca="false">IF(AND(Time!BF17&gt;=Time!$F$11,Time!BF17&lt;57),BF126+BF127+BF128+BF129+BF130+BF131+Inputs!BG225*BG113*(Inputs!$F$97/100*0.5-Operations!BG9/100*Time!BG20/360)+(Inputs!$F$95/100*Inputs!$F$96/100)*BF125*Time!BG20/365,0)</f>
        <v>0</v>
      </c>
      <c r="BG132" s="11" t="n">
        <f aca="false">IF(AND(Time!BG17&gt;=Time!$F$11,Time!BG17&lt;57),BG126+BG127+BG128+BG129+BG130+BG131+Inputs!BH225*BH113*(Inputs!$F$97/100*0.5-Operations!BH9/100*Time!BH20/360)+(Inputs!$F$95/100*Inputs!$F$96/100)*BG125*Time!BH20/365,0)</f>
        <v>0</v>
      </c>
      <c r="BH132" s="11" t="n">
        <f aca="false">IF(AND(Time!BH17&gt;=Time!$F$11,Time!BH17&lt;57),BH126+BH127+BH128+BH129+BH130+BH131+Inputs!BI225*BI113*(Inputs!$F$97/100*0.5-Operations!BI9/100*Time!BI20/360)+(Inputs!$F$95/100*Inputs!$F$96/100)*BH125*Time!BI20/365,0)</f>
        <v>0</v>
      </c>
      <c r="BI132" s="11" t="n">
        <f aca="false">IF(AND(Time!BI17&gt;=Time!$F$11,Time!BI17&lt;57),BI126+BI127+BI128+BI129+BI130+BI131+Inputs!BJ225*BJ113*(Inputs!$F$97/100*0.5-Operations!BJ9/100*Time!BJ20/360)+(Inputs!$F$95/100*Inputs!$F$96/100)*BI125*Time!BJ20/365,0)</f>
        <v>0</v>
      </c>
      <c r="BJ132" s="11" t="n">
        <f aca="false">IF(AND(Time!BJ17&gt;=Time!$F$11,Time!BJ17&lt;57),BJ126+BJ127+BJ128+BJ129+BJ130+BJ131+Inputs!BK225*BK113*(Inputs!$F$97/100*0.5-Operations!BK9/100*Time!BK20/360)+(Inputs!$F$95/100*Inputs!$F$96/100)*BJ125*Time!BK20/365,0)</f>
        <v>0</v>
      </c>
      <c r="BK132" s="11" t="n">
        <f aca="false">IF(AND(Time!BK17&gt;=Time!$F$11,Time!BK17&lt;57),BK126+BK127+BK128+BK129+BK130+BK131+Inputs!BL225*BL113*(Inputs!$F$97/100*0.5-Operations!BL9/100*Time!BL20/360)+(Inputs!$F$95/100*Inputs!$F$96/100)*BK125*Time!BL20/365,0)</f>
        <v>0</v>
      </c>
      <c r="BL132" s="11" t="n">
        <f aca="false">IF(AND(Time!BL17&gt;=Time!$F$11,Time!BL17&lt;57),BL126+BL127+BL128+BL129+BL130+BL131+Inputs!BM225*BM113*(Inputs!$F$97/100*0.5-Operations!BM9/100*Time!BM20/360)+(Inputs!$F$95/100*Inputs!$F$96/100)*BL125*Time!BM20/365,0)</f>
        <v>0</v>
      </c>
      <c r="BM132" s="11" t="n">
        <f aca="false">IF(AND(Time!BM17&gt;=Time!$F$11,Time!BM17&lt;57),BM126+BM127+BM128+BM129+BM130+BM131+Inputs!BN225*BN113*(Inputs!$F$97/100*0.5-Operations!BN9/100*Time!BN20/360)+(Inputs!$F$95/100*Inputs!$F$96/100)*BM125*Time!BN20/365,0)</f>
        <v>0</v>
      </c>
      <c r="BN132" s="11" t="n">
        <f aca="false">IF(AND(Time!BN17&gt;=Time!$F$11,Time!BN17&lt;57),BN126+BN127+BN128+BN129+BN130+BN131+0*0*(Inputs!$F$97/100*0.5-0/100*0/360)+(Inputs!$F$95/100*Inputs!$F$96/100)*BN125*0/365,0)</f>
        <v>0</v>
      </c>
    </row>
    <row r="133" customFormat="false" ht="15" hidden="false" customHeight="false" outlineLevel="0" collapsed="false">
      <c r="B133" s="2" t="s">
        <v>700</v>
      </c>
    </row>
    <row r="134" customFormat="false" ht="15" hidden="false" customHeight="false" outlineLevel="0" collapsed="false">
      <c r="D134" s="0" t="s">
        <v>701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0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702</v>
      </c>
      <c r="E135" s="0" t="s">
        <v>99</v>
      </c>
      <c r="J135" s="14" t="n">
        <f aca="false">IF(J134=1,Inputs!$F$75*J10+Inputs!$F$76*J11+Inputs!$F$77*J12+Inputs!$F$78*(J13+(Inputs!$F$95/100*Inputs!$F$96/100)*Time!J20/365)+Inputs!J225/(Funding!$F$25*J18)*(Inputs!$F$97/100*0.5-Operations!J9/100*Time!J20/360),0)</f>
        <v>0</v>
      </c>
      <c r="K135" s="14" t="n">
        <f aca="false">IF(K134=1,Inputs!$F$75*K10+Inputs!$F$76*K11+Inputs!$F$77*K12+Inputs!$F$78*(K13+(Inputs!$F$95/100*Inputs!$F$96/100)*Time!K20/365)+Inputs!K225/(Funding!$F$25*K18)*(Inputs!$F$97/100*0.5-Operations!K9/100*Time!K20/360),0)</f>
        <v>0</v>
      </c>
      <c r="L135" s="14" t="n">
        <f aca="false">IF(L134=1,Inputs!$F$75*L10+Inputs!$F$76*L11+Inputs!$F$77*L12+Inputs!$F$78*(L13+(Inputs!$F$95/100*Inputs!$F$96/100)*Time!L20/365)+Inputs!L225/(Funding!$F$25*L18)*(Inputs!$F$97/100*0.5-Operations!L9/100*Time!L20/360),0)</f>
        <v>0</v>
      </c>
      <c r="M135" s="14" t="n">
        <f aca="false">IF(M134=1,Inputs!$F$75*M10+Inputs!$F$76*M11+Inputs!$F$77*M12+Inputs!$F$78*(M13+(Inputs!$F$95/100*Inputs!$F$96/100)*Time!M20/365)+Inputs!M225/(Funding!$F$25*M18)*(Inputs!$F$97/100*0.5-Operations!M9/100*Time!M20/360),0)</f>
        <v>0</v>
      </c>
      <c r="N135" s="14" t="n">
        <f aca="false">IF(N134=1,Inputs!$F$75*N10+Inputs!$F$76*N11+Inputs!$F$77*N12+Inputs!$F$78*(N13+(Inputs!$F$95/100*Inputs!$F$96/100)*Time!N20/365)+Inputs!N225/(Funding!$F$25*N18)*(Inputs!$F$97/100*0.5-Operations!N9/100*Time!N20/360),0)</f>
        <v>0</v>
      </c>
      <c r="O135" s="14" t="n">
        <f aca="false">IF(O134=1,Inputs!$F$75*O10+Inputs!$F$76*O11+Inputs!$F$77*O12+Inputs!$F$78*(O13+(Inputs!$F$95/100*Inputs!$F$96/100)*Time!O20/365)+Inputs!O225/(Funding!$F$25*O18)*(Inputs!$F$97/100*0.5-Operations!O9/100*Time!O20/360),0)</f>
        <v>0</v>
      </c>
      <c r="P135" s="14" t="n">
        <f aca="false">IF(P134=1,Inputs!$F$75*P10+Inputs!$F$76*P11+Inputs!$F$77*P12+Inputs!$F$78*(P13+(Inputs!$F$95/100*Inputs!$F$96/100)*Time!P20/365)+Inputs!P225/(Funding!$F$25*P18)*(Inputs!$F$97/100*0.5-Operations!P9/100*Time!P20/360),0)</f>
        <v>0</v>
      </c>
      <c r="Q135" s="14" t="n">
        <f aca="false">IF(Q134=1,Inputs!$F$75*Q10+Inputs!$F$76*Q11+Inputs!$F$77*Q12+Inputs!$F$78*(Q13+(Inputs!$F$95/100*Inputs!$F$96/100)*Time!Q20/365)+Inputs!Q225/(Funding!$F$25*Q18)*(Inputs!$F$97/100*0.5-Operations!Q9/100*Time!Q20/360),0)</f>
        <v>0.0340393028052795</v>
      </c>
      <c r="R135" s="14" t="n">
        <f aca="false">IF(R134=1,Inputs!$F$75*R10+Inputs!$F$76*R11+Inputs!$F$77*R12+Inputs!$F$78*(R13+(Inputs!$F$95/100*Inputs!$F$96/100)*Time!R20/365)+Inputs!R225/(Funding!$F$25*R18)*(Inputs!$F$97/100*0.5-Operations!R9/100*Time!R20/360),0)</f>
        <v>0.0344153818914667</v>
      </c>
      <c r="S135" s="14" t="n">
        <f aca="false">IF(S134=1,Inputs!$F$75*S10+Inputs!$F$76*S11+Inputs!$F$77*S12+Inputs!$F$78*(S13+(Inputs!$F$95/100*Inputs!$F$96/100)*Time!S20/365)+Inputs!S225/(Funding!$F$25*S18)*(Inputs!$F$97/100*0.5-Operations!S9/100*Time!S20/360),0)</f>
        <v>0.0340529784512764</v>
      </c>
      <c r="T135" s="14" t="n">
        <f aca="false">IF(T134=1,Inputs!$F$75*T10+Inputs!$F$76*T11+Inputs!$F$77*T12+Inputs!$F$78*(T13+(Inputs!$F$95/100*Inputs!$F$96/100)*Time!T20/365)+Inputs!T225/(Funding!$F$25*T18)*(Inputs!$F$97/100*0.5-Operations!T9/100*Time!T20/360),0)</f>
        <v>0.0344292842056293</v>
      </c>
      <c r="U135" s="14" t="n">
        <f aca="false">IF(U134=1,Inputs!$F$75*U10+Inputs!$F$76*U11+Inputs!$F$77*U12+Inputs!$F$78*(U13+(Inputs!$F$95/100*Inputs!$F$96/100)*Time!U20/365)+Inputs!U225/(Funding!$F$25*U18)*(Inputs!$F$97/100*0.5-Operations!U9/100*Time!U20/360),0)</f>
        <v>0.0341784137027273</v>
      </c>
      <c r="V135" s="14" t="n">
        <f aca="false">IF(V134=1,Inputs!$F$75*V10+Inputs!$F$76*V11+Inputs!$F$77*V12+Inputs!$F$78*(V13+(Inputs!$F$95/100*Inputs!$F$96/100)*Time!V20/365)+Inputs!V225/(Funding!$F$25*V18)*(Inputs!$F$97/100*0.5-Operations!V9/100*Time!V20/360),0)</f>
        <v>0.0344292842056293</v>
      </c>
      <c r="W135" s="14" t="n">
        <f aca="false">IF(W134=1,Inputs!$F$75*W10+Inputs!$F$76*W11+Inputs!$F$77*W12+Inputs!$F$78*(W13+(Inputs!$F$95/100*Inputs!$F$96/100)*Time!W20/365)+Inputs!W225/(Funding!$F$25*W18)*(Inputs!$F$97/100*0.5-Operations!W9/100*Time!W20/360),0)</f>
        <v>0.0340529784512764</v>
      </c>
      <c r="X135" s="14" t="n">
        <f aca="false">IF(X134=1,Inputs!$F$75*X10+Inputs!$F$76*X11+Inputs!$F$77*X12+Inputs!$F$78*(X13+(Inputs!$F$95/100*Inputs!$F$96/100)*Time!X20/365)+Inputs!X225/(Funding!$F$25*X18)*(Inputs!$F$97/100*0.5-Operations!X9/100*Time!X20/360),0)</f>
        <v>0.0344292842056293</v>
      </c>
      <c r="Y135" s="14" t="n">
        <f aca="false">IF(Y134=1,Inputs!$F$75*Y10+Inputs!$F$76*Y11+Inputs!$F$77*Y12+Inputs!$F$78*(Y13+(Inputs!$F$95/100*Inputs!$F$96/100)*Time!Y20/365)+Inputs!Y225/(Funding!$F$25*Y18)*(Inputs!$F$97/100*0.5-Operations!Y9/100*Time!Y20/360),0)</f>
        <v>0.0351143982043628</v>
      </c>
      <c r="Z135" s="14" t="n">
        <f aca="false">IF(Z134=1,Inputs!$F$75*Z10+Inputs!$F$76*Z11+Inputs!$F$77*Z12+Inputs!$F$78*(Z13+(Inputs!$F$95/100*Inputs!$F$96/100)*Time!Z20/365)+Inputs!Z225/(Funding!$F$25*Z18)*(Inputs!$F$97/100*0.5-Operations!Z9/100*Time!Z20/360),0)</f>
        <v>0.0355082965513083</v>
      </c>
      <c r="AA135" s="14" t="n">
        <f aca="false">IF(AA134=1,Inputs!$F$75*AA10+Inputs!$F$76*AA11+Inputs!$F$77*AA12+Inputs!$F$78*(AA13+(Inputs!$F$95/100*Inputs!$F$96/100)*Time!AA20/365)+Inputs!AA225/(Funding!$F$25*AA18)*(Inputs!$F$97/100*0.5-Operations!AA9/100*Time!AA20/360),0)</f>
        <v>0.0351143982043628</v>
      </c>
      <c r="AB135" s="14" t="n">
        <f aca="false">IF(AB134=1,Inputs!$F$75*AB10+Inputs!$F$76*AB11+Inputs!$F$77*AB12+Inputs!$F$78*(AB13+(Inputs!$F$95/100*Inputs!$F$96/100)*Time!AB20/365)+Inputs!AB225/(Funding!$F$25*AB18)*(Inputs!$F$97/100*0.5-Operations!AB9/100*Time!AB20/360),0)</f>
        <v>0.0355082965513083</v>
      </c>
      <c r="AC135" s="14" t="n">
        <f aca="false">IF(AC134=1,Inputs!$F$75*AC10+Inputs!$F$76*AC11+Inputs!$F$77*AC12+Inputs!$F$78*(AC13+(Inputs!$F$95/100*Inputs!$F$96/100)*Time!AC20/365)+Inputs!AC225/(Funding!$F$25*AC18)*(Inputs!$F$97/100*0.5-Operations!AC9/100*Time!AC20/360),0)</f>
        <v>0.0352456976533446</v>
      </c>
      <c r="AD135" s="14" t="n">
        <f aca="false">IF(AD134=1,Inputs!$F$75*AD10+Inputs!$F$76*AD11+Inputs!$F$77*AD12+Inputs!$F$78*(AD13+(Inputs!$F$95/100*Inputs!$F$96/100)*Time!AD20/365)+Inputs!AD225/(Funding!$F$25*AD18)*(Inputs!$F$97/100*0.5-Operations!AD9/100*Time!AD20/360),0)</f>
        <v>0.0355082965513083</v>
      </c>
      <c r="AE135" s="14" t="n">
        <f aca="false">IF(AE134=1,Inputs!$F$75*AE10+Inputs!$F$76*AE11+Inputs!$F$77*AE12+Inputs!$F$78*(AE13+(Inputs!$F$95/100*Inputs!$F$96/100)*Time!AE20/365)+Inputs!AE225/(Funding!$F$25*AE18)*(Inputs!$F$97/100*0.5-Operations!AE9/100*Time!AE20/360),0)</f>
        <v>0.0351143982043628</v>
      </c>
      <c r="AF135" s="14" t="n">
        <f aca="false">IF(AF134=1,Inputs!$F$75*AF10+Inputs!$F$76*AF11+Inputs!$F$77*AF12+Inputs!$F$78*(AF13+(Inputs!$F$95/100*Inputs!$F$96/100)*Time!AF20/365)+Inputs!AF225/(Funding!$F$25*AF18)*(Inputs!$F$97/100*0.5-Operations!AF9/100*Time!AF20/360),0)</f>
        <v>0.0355082965513083</v>
      </c>
      <c r="AG135" s="14" t="n">
        <f aca="false">IF(AG134=1,Inputs!$F$75*AG10+Inputs!$F$76*AG11+Inputs!$F$77*AG12+Inputs!$F$78*(AG13+(Inputs!$F$95/100*Inputs!$F$96/100)*Time!AG20/365)+Inputs!AG225/(Funding!$F$25*AG18)*(Inputs!$F$97/100*0.5-Operations!AG9/100*Time!AG20/360),0)</f>
        <v>0.0361758179574492</v>
      </c>
      <c r="AH135" s="14" t="n">
        <f aca="false">IF(AH134=1,Inputs!$F$75*AH10+Inputs!$F$76*AH11+Inputs!$F$77*AH12+Inputs!$F$78*(AH13+(Inputs!$F$95/100*Inputs!$F$96/100)*Time!AH20/365)+Inputs!AH225/(Funding!$F$25*AH18)*(Inputs!$F$97/100*0.5-Operations!AH9/100*Time!AH20/360),0)</f>
        <v>0.0365873088969873</v>
      </c>
      <c r="AI135" s="14" t="n">
        <f aca="false">IF(AI134=1,Inputs!$F$75*AI10+Inputs!$F$76*AI11+Inputs!$F$77*AI12+Inputs!$F$78*(AI13+(Inputs!$F$95/100*Inputs!$F$96/100)*Time!AI20/365)+Inputs!AI225/(Funding!$F$25*AI18)*(Inputs!$F$97/100*0.5-Operations!AI9/100*Time!AI20/360),0)</f>
        <v>0.0361758179574492</v>
      </c>
      <c r="AJ135" s="14" t="n">
        <f aca="false">IF(AJ134=1,Inputs!$F$75*AJ10+Inputs!$F$76*AJ11+Inputs!$F$77*AJ12+Inputs!$F$78*(AJ13+(Inputs!$F$95/100*Inputs!$F$96/100)*Time!AJ20/365)+Inputs!AJ225/(Funding!$F$25*AJ18)*(Inputs!$F$97/100*0.5-Operations!AJ9/100*Time!AJ20/360),0)</f>
        <v>0.0365873088969873</v>
      </c>
      <c r="AK135" s="14" t="n">
        <f aca="false">IF(AK134=1,Inputs!$F$75*AK10+Inputs!$F$76*AK11+Inputs!$F$77*AK12+Inputs!$F$78*(AK13+(Inputs!$F$95/100*Inputs!$F$96/100)*Time!AK20/365)+Inputs!AK225/(Funding!$F$25*AK18)*(Inputs!$F$97/100*0.5-Operations!AK9/100*Time!AK20/360),0)</f>
        <v>0.0363129816039619</v>
      </c>
      <c r="AL135" s="14" t="n">
        <f aca="false">IF(AL134=1,Inputs!$F$75*AL10+Inputs!$F$76*AL11+Inputs!$F$77*AL12+Inputs!$F$78*(AL13+(Inputs!$F$95/100*Inputs!$F$96/100)*Time!AL20/365)+Inputs!AL225/(Funding!$F$25*AL18)*(Inputs!$F$97/100*0.5-Operations!AL9/100*Time!AL20/360),0)</f>
        <v>0.0365873088969873</v>
      </c>
      <c r="AM135" s="14" t="n">
        <f aca="false">IF(AM134=1,Inputs!$F$75*AM10+Inputs!$F$76*AM11+Inputs!$F$77*AM12+Inputs!$F$78*(AM13+(Inputs!$F$95/100*Inputs!$F$96/100)*Time!AM20/365)+Inputs!AM225/(Funding!$F$25*AM18)*(Inputs!$F$97/100*0.5-Operations!AM9/100*Time!AM20/360),0)</f>
        <v>0.0361758179574492</v>
      </c>
      <c r="AN135" s="14" t="n">
        <f aca="false">IF(AN134=1,Inputs!$F$75*AN10+Inputs!$F$76*AN11+Inputs!$F$77*AN12+Inputs!$F$78*(AN13+(Inputs!$F$95/100*Inputs!$F$96/100)*Time!AN20/365)+Inputs!AN225/(Funding!$F$25*AN18)*(Inputs!$F$97/100*0.5-Operations!AN9/100*Time!AN20/360),0)</f>
        <v>0.0365873088969873</v>
      </c>
      <c r="AO135" s="14" t="n">
        <f aca="false">IF(AO134=1,Inputs!$F$75*AO10+Inputs!$F$76*AO11+Inputs!$F$77*AO12+Inputs!$F$78*(AO13+(Inputs!$F$95/100*Inputs!$F$96/100)*Time!AO20/365)+Inputs!AO225/(Funding!$F$25*AO18)*(Inputs!$F$97/100*0.5-Operations!AO9/100*Time!AO20/360),0)</f>
        <v>0.0361758179574492</v>
      </c>
      <c r="AP135" s="14" t="n">
        <f aca="false">IF(AP134=1,Inputs!$F$75*AP10+Inputs!$F$76*AP11+Inputs!$F$77*AP12+Inputs!$F$78*(AP13+(Inputs!$F$95/100*Inputs!$F$96/100)*Time!AP20/365)+Inputs!AP225/(Funding!$F$25*AP18)*(Inputs!$F$97/100*0.5-Operations!AP9/100*Time!AP20/360),0)</f>
        <v>0</v>
      </c>
      <c r="AQ135" s="14" t="n">
        <f aca="false">IF(AQ134=1,Inputs!$F$75*AQ10+Inputs!$F$76*AQ11+Inputs!$F$77*AQ12+Inputs!$F$78*(AQ13+(Inputs!$F$95/100*Inputs!$F$96/100)*Time!AQ20/365)+Inputs!AQ225/(Funding!$F$25*AQ18)*(Inputs!$F$97/100*0.5-Operations!AQ9/100*Time!AQ20/360),0)</f>
        <v>0</v>
      </c>
      <c r="AR135" s="14" t="n">
        <f aca="false">IF(AR134=1,Inputs!$F$75*AR10+Inputs!$F$76*AR11+Inputs!$F$77*AR12+Inputs!$F$78*(AR13+(Inputs!$F$95/100*Inputs!$F$96/100)*Time!AR20/365)+Inputs!AR225/(Funding!$F$25*AR18)*(Inputs!$F$97/100*0.5-Operations!AR9/100*Time!AR20/360),0)</f>
        <v>0</v>
      </c>
      <c r="AS135" s="14" t="n">
        <f aca="false">IF(AS134=1,Inputs!$F$75*AS10+Inputs!$F$76*AS11+Inputs!$F$77*AS12+Inputs!$F$78*(AS13+(Inputs!$F$95/100*Inputs!$F$96/100)*Time!AS20/365)+Inputs!AS225/(Funding!$F$25*AS18)*(Inputs!$F$97/100*0.5-Operations!AS9/100*Time!AS20/360),0)</f>
        <v>0</v>
      </c>
      <c r="AT135" s="14" t="n">
        <f aca="false">IF(AT134=1,Inputs!$F$75*AT10+Inputs!$F$76*AT11+Inputs!$F$77*AT12+Inputs!$F$78*(AT13+(Inputs!$F$95/100*Inputs!$F$96/100)*Time!AT20/365)+Inputs!AT225/(Funding!$F$25*AT18)*(Inputs!$F$97/100*0.5-Operations!AT9/100*Time!AT20/360),0)</f>
        <v>0</v>
      </c>
      <c r="AU135" s="14" t="n">
        <f aca="false">IF(AU134=1,Inputs!$F$75*AU10+Inputs!$F$76*AU11+Inputs!$F$77*AU12+Inputs!$F$78*(AU13+(Inputs!$F$95/100*Inputs!$F$96/100)*Time!AU20/365)+Inputs!AU225/(Funding!$F$25*AU18)*(Inputs!$F$97/100*0.5-Operations!AU9/100*Time!AU20/360),0)</f>
        <v>0</v>
      </c>
      <c r="AV135" s="14" t="n">
        <f aca="false">IF(AV134=1,Inputs!$F$75*AV10+Inputs!$F$76*AV11+Inputs!$F$77*AV12+Inputs!$F$78*(AV13+(Inputs!$F$95/100*Inputs!$F$96/100)*Time!AV20/365)+Inputs!AV225/(Funding!$F$25*AV18)*(Inputs!$F$97/100*0.5-Operations!AV9/100*Time!AV20/360),0)</f>
        <v>0</v>
      </c>
      <c r="AW135" s="14" t="n">
        <f aca="false">IF(AW134=1,Inputs!$F$75*AW10+Inputs!$F$76*AW11+Inputs!$F$77*AW12+Inputs!$F$78*(AW13+(Inputs!$F$95/100*Inputs!$F$96/100)*Time!AW20/365)+Inputs!AW225/(Funding!$F$25*AW18)*(Inputs!$F$97/100*0.5-Operations!AW9/100*Time!AW20/360),0)</f>
        <v>0</v>
      </c>
      <c r="AX135" s="14" t="n">
        <f aca="false">IF(AX134=1,Inputs!$F$75*AX10+Inputs!$F$76*AX11+Inputs!$F$77*AX12+Inputs!$F$78*(AX13+(Inputs!$F$95/100*Inputs!$F$96/100)*Time!AX20/365)+Inputs!AX225/(Funding!$F$25*AX18)*(Inputs!$F$97/100*0.5-Operations!AX9/100*Time!AX20/360),0)</f>
        <v>0</v>
      </c>
      <c r="AY135" s="14" t="n">
        <f aca="false">IF(AY134=1,Inputs!$F$75*AY10+Inputs!$F$76*AY11+Inputs!$F$77*AY12+Inputs!$F$78*(AY13+(Inputs!$F$95/100*Inputs!$F$96/100)*Time!AY20/365)+Inputs!AY225/(Funding!$F$25*AY18)*(Inputs!$F$97/100*0.5-Operations!AY9/100*Time!AY20/360),0)</f>
        <v>0</v>
      </c>
      <c r="AZ135" s="14" t="n">
        <f aca="false">IF(AZ134=1,Inputs!$F$75*AZ10+Inputs!$F$76*AZ11+Inputs!$F$77*AZ12+Inputs!$F$78*(AZ13+(Inputs!$F$95/100*Inputs!$F$96/100)*Time!AZ20/365)+Inputs!AZ225/(Funding!$F$25*AZ18)*(Inputs!$F$97/100*0.5-Operations!AZ9/100*Time!AZ20/360),0)</f>
        <v>0</v>
      </c>
      <c r="BA135" s="14" t="n">
        <f aca="false">IF(BA134=1,Inputs!$F$75*BA10+Inputs!$F$76*BA11+Inputs!$F$77*BA12+Inputs!$F$78*(BA13+(Inputs!$F$95/100*Inputs!$F$96/100)*Time!BA20/365)+Inputs!BA225/(Funding!$F$25*BA18)*(Inputs!$F$97/100*0.5-Operations!BA9/100*Time!BA20/360),0)</f>
        <v>0</v>
      </c>
      <c r="BB135" s="14" t="n">
        <f aca="false">IF(BB134=1,Inputs!$F$75*BB10+Inputs!$F$76*BB11+Inputs!$F$77*BB12+Inputs!$F$78*(BB13+(Inputs!$F$95/100*Inputs!$F$96/100)*Time!BB20/365)+Inputs!BB225/(Funding!$F$25*BB18)*(Inputs!$F$97/100*0.5-Operations!BB9/100*Time!BB20/360),0)</f>
        <v>0</v>
      </c>
      <c r="BC135" s="14" t="n">
        <f aca="false">IF(BC134=1,Inputs!$F$75*BC10+Inputs!$F$76*BC11+Inputs!$F$77*BC12+Inputs!$F$78*(BC13+(Inputs!$F$95/100*Inputs!$F$96/100)*Time!BC20/365)+Inputs!BC225/(Funding!$F$25*BC18)*(Inputs!$F$97/100*0.5-Operations!BC9/100*Time!BC20/360),0)</f>
        <v>0</v>
      </c>
      <c r="BD135" s="14" t="n">
        <f aca="false">IF(BD134=1,Inputs!$F$75*BD10+Inputs!$F$76*BD11+Inputs!$F$77*BD12+Inputs!$F$78*(BD13+(Inputs!$F$95/100*Inputs!$F$96/100)*Time!BD20/365)+Inputs!BD225/(Funding!$F$25*BD18)*(Inputs!$F$97/100*0.5-Operations!BD9/100*Time!BD20/360),0)</f>
        <v>0</v>
      </c>
      <c r="BE135" s="14" t="n">
        <f aca="false">IF(BE134=1,Inputs!$F$75*BE10+Inputs!$F$76*BE11+Inputs!$F$77*BE12+Inputs!$F$78*(BE13+(Inputs!$F$95/100*Inputs!$F$96/100)*Time!BE20/365)+Inputs!BE225/(Funding!$F$25*BE18)*(Inputs!$F$97/100*0.5-Operations!BE9/100*Time!BE20/360),0)</f>
        <v>0</v>
      </c>
      <c r="BF135" s="14" t="n">
        <f aca="false">IF(BF134=1,Inputs!$F$75*BF10+Inputs!$F$76*BF11+Inputs!$F$77*BF12+Inputs!$F$78*(BF13+(Inputs!$F$95/100*Inputs!$F$96/100)*Time!BF20/365)+Inputs!BF225/(Funding!$F$25*BF18)*(Inputs!$F$97/100*0.5-Operations!BF9/100*Time!BF20/360),0)</f>
        <v>0</v>
      </c>
      <c r="BG135" s="14" t="n">
        <f aca="false">IF(BG134=1,Inputs!$F$75*BG10+Inputs!$F$76*BG11+Inputs!$F$77*BG12+Inputs!$F$78*(BG13+(Inputs!$F$95/100*Inputs!$F$96/100)*Time!BG20/365)+Inputs!BG225/(Funding!$F$25*BG18)*(Inputs!$F$97/100*0.5-Operations!BG9/100*Time!BG20/360),0)</f>
        <v>0</v>
      </c>
      <c r="BH135" s="14" t="n">
        <f aca="false">IF(BH134=1,Inputs!$F$75*BH10+Inputs!$F$76*BH11+Inputs!$F$77*BH12+Inputs!$F$78*(BH13+(Inputs!$F$95/100*Inputs!$F$96/100)*Time!BH20/365)+Inputs!BH225/(Funding!$F$25*BH18)*(Inputs!$F$97/100*0.5-Operations!BH9/100*Time!BH20/360),0)</f>
        <v>0</v>
      </c>
      <c r="BI135" s="14" t="n">
        <f aca="false">IF(BI134=1,Inputs!$F$75*BI10+Inputs!$F$76*BI11+Inputs!$F$77*BI12+Inputs!$F$78*(BI13+(Inputs!$F$95/100*Inputs!$F$96/100)*Time!BI20/365)+Inputs!BI225/(Funding!$F$25*BI18)*(Inputs!$F$97/100*0.5-Operations!BI9/100*Time!BI20/360),0)</f>
        <v>0</v>
      </c>
      <c r="BJ135" s="14" t="n">
        <f aca="false">IF(BJ134=1,Inputs!$F$75*BJ10+Inputs!$F$76*BJ11+Inputs!$F$77*BJ12+Inputs!$F$78*(BJ13+(Inputs!$F$95/100*Inputs!$F$96/100)*Time!BJ20/365)+Inputs!BJ225/(Funding!$F$25*BJ18)*(Inputs!$F$97/100*0.5-Operations!BJ9/100*Time!BJ20/360),0)</f>
        <v>0</v>
      </c>
      <c r="BK135" s="14" t="n">
        <f aca="false">IF(BK134=1,Inputs!$F$75*BK10+Inputs!$F$76*BK11+Inputs!$F$77*BK12+Inputs!$F$78*(BK13+(Inputs!$F$95/100*Inputs!$F$96/100)*Time!BK20/365)+Inputs!BK225/(Funding!$F$25*BK18)*(Inputs!$F$97/100*0.5-Operations!BK9/100*Time!BK20/360),0)</f>
        <v>0</v>
      </c>
      <c r="BL135" s="14" t="n">
        <f aca="false">IF(BL134=1,Inputs!$F$75*BL10+Inputs!$F$76*BL11+Inputs!$F$77*BL12+Inputs!$F$78*(BL13+(Inputs!$F$95/100*Inputs!$F$96/100)*Time!BL20/365)+Inputs!BL225/(Funding!$F$25*BL18)*(Inputs!$F$97/100*0.5-Operations!BL9/100*Time!BL20/360),0)</f>
        <v>0</v>
      </c>
      <c r="BM135" s="14" t="n">
        <f aca="false">IF(BM134=1,Inputs!$F$75*BM10+Inputs!$F$76*BM11+Inputs!$F$77*BM12+Inputs!$F$78*(BM13+(Inputs!$F$95/100*Inputs!$F$96/100)*Time!BM20/365)+Inputs!BM225/(Funding!$F$25*BM18)*(Inputs!$F$97/100*0.5-Operations!BM9/100*Time!BM20/360),0)</f>
        <v>0</v>
      </c>
      <c r="BN135" s="14" t="n">
        <f aca="false">IF(BN134=1,Inputs!$F$75*BN10+Inputs!$F$76*BN11+Inputs!$F$77*BN12+Inputs!$F$78*(BN13+(Inputs!$F$95/100*Inputs!$F$96/100)*Time!BN20/365)+Inputs!BN225/(Funding!$F$25*BN18)*(Inputs!$F$97/100*0.5-Operations!BN9/100*Time!BN20/360),0)</f>
        <v>0</v>
      </c>
    </row>
    <row r="136" customFormat="false" ht="15" hidden="false" customHeight="false" outlineLevel="0" collapsed="false">
      <c r="D136" s="0" t="s">
        <v>703</v>
      </c>
      <c r="E136" s="0" t="s">
        <v>149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0</v>
      </c>
      <c r="Q136" s="11" t="n">
        <f aca="false">IF(Q134=1,(Waterfall!Q7+R136)/(1+Q135),0)</f>
        <v>842.828491809481</v>
      </c>
      <c r="R136" s="11" t="n">
        <f aca="false">IF(R134=1,(Waterfall!R7+S136)/(1+R135),0)</f>
        <v>821.348351129121</v>
      </c>
      <c r="S136" s="11" t="n">
        <f aca="false">IF(S134=1,(Waterfall!S7+T136)/(1+S135),0)</f>
        <v>798.856403335074</v>
      </c>
      <c r="T136" s="11" t="n">
        <f aca="false">IF(T134=1,(Waterfall!T7+U136)/(1+T135),0)</f>
        <v>775.63652418339</v>
      </c>
      <c r="U136" s="11" t="n">
        <f aca="false">IF(U134=1,(Waterfall!U7+V136)/(1+U135),0)</f>
        <v>751.33888500034</v>
      </c>
      <c r="V136" s="11" t="n">
        <f aca="false">IF(V134=1,(Waterfall!V7+W136)/(1+V135),0)</f>
        <v>726.346143658043</v>
      </c>
      <c r="W136" s="11" t="n">
        <f aca="false">IF(W134=1,(Waterfall!W7+X136)/(1+W135),0)</f>
        <v>700.184365583691</v>
      </c>
      <c r="X136" s="11" t="n">
        <f aca="false">IF(X134=1,(Waterfall!X7+Y136)/(1+X135),0)</f>
        <v>672.625279306</v>
      </c>
      <c r="Y136" s="11" t="n">
        <f aca="false">IF(Y134=1,(Waterfall!Y7+Z136)/(1+Y135),0)</f>
        <v>643.832989408882</v>
      </c>
      <c r="Z136" s="11" t="n">
        <f aca="false">IF(Z134=1,(Waterfall!Z7+AA136)/(1+Z135),0)</f>
        <v>616.979803159592</v>
      </c>
      <c r="AA136" s="11" t="n">
        <f aca="false">IF(AA134=1,(Waterfall!AA7+AB136)/(1+AA135),0)</f>
        <v>588.91591125621</v>
      </c>
      <c r="AB136" s="11" t="n">
        <f aca="false">IF(AB134=1,(Waterfall!AB7+AC136)/(1+AB135),0)</f>
        <v>560.211239168915</v>
      </c>
      <c r="AC136" s="11" t="n">
        <f aca="false">IF(AC134=1,(Waterfall!AC7+AD136)/(1+AC135),0)</f>
        <v>530.12136628016</v>
      </c>
      <c r="AD136" s="11" t="n">
        <f aca="false">IF(AD134=1,(Waterfall!AD7+AE136)/(1+AD135),0)</f>
        <v>499.161496932537</v>
      </c>
      <c r="AE136" s="11" t="n">
        <f aca="false">IF(AE134=1,(Waterfall!AE7+AF136)/(1+AE135),0)</f>
        <v>466.684313412885</v>
      </c>
      <c r="AF136" s="11" t="n">
        <f aca="false">IF(AF134=1,(Waterfall!AF7+AG136)/(1+AF135),0)</f>
        <v>431.696406043568</v>
      </c>
      <c r="AG136" s="11" t="n">
        <f aca="false">IF(AG134=1,(Waterfall!AG7+AH136)/(1+AG135),0)</f>
        <v>394.642032233541</v>
      </c>
      <c r="AH136" s="11" t="n">
        <f aca="false">IF(AH134=1,(Waterfall!AH7+AI136)/(1+AH135),0)</f>
        <v>357.391291366434</v>
      </c>
      <c r="AI136" s="11" t="n">
        <f aca="false">IF(AI134=1,(Waterfall!AI7+AJ136)/(1+AI135),0)</f>
        <v>318.286736490144</v>
      </c>
      <c r="AJ136" s="11" t="n">
        <f aca="false">IF(AJ134=1,(Waterfall!AJ7+AK136)/(1+AJ135),0)</f>
        <v>277.972201765501</v>
      </c>
      <c r="AK136" s="11" t="n">
        <f aca="false">IF(AK134=1,(Waterfall!AK7+AL136)/(1+AK135),0)</f>
        <v>235.693359952197</v>
      </c>
      <c r="AL136" s="11" t="n">
        <f aca="false">IF(AL134=1,(Waterfall!AL7+AM136)/(1+AL135),0)</f>
        <v>192.147135505596</v>
      </c>
      <c r="AM136" s="11" t="n">
        <f aca="false">IF(AM134=1,(Waterfall!AM7+AN136)/(1+AM135),0)</f>
        <v>146.525830858895</v>
      </c>
      <c r="AN136" s="11" t="n">
        <f aca="false">IF(AN134=1,(Waterfall!AN7+AO136)/(1+AN135),0)</f>
        <v>98.8419061355255</v>
      </c>
      <c r="AO136" s="11" t="n">
        <f aca="false">IF(AO134=1,(Waterfall!AO7+AP136)/(1+AO135),0)</f>
        <v>48.8910312221797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704</v>
      </c>
      <c r="E137" s="0" t="s">
        <v>202</v>
      </c>
      <c r="F137" s="10" t="n">
        <f aca="false">INDEX(Debt!$J$136:$BN$136,1,Time!$F$12)/Funding!$F$25</f>
        <v>1.28140069608465</v>
      </c>
    </row>
    <row r="138" customFormat="false" ht="15" hidden="false" customHeight="false" outlineLevel="0" collapsed="false">
      <c r="D138" s="0" t="s">
        <v>705</v>
      </c>
      <c r="E138" s="0" t="s">
        <v>149</v>
      </c>
      <c r="F138" s="15" t="n">
        <f aca="false">INDEX(Debt!$J$136:$BN$136,1,Time!$F$12)/Inputs!$F$106</f>
        <v>624.317401340357</v>
      </c>
    </row>
    <row r="139" customFormat="false" ht="15" hidden="false" customHeight="false" outlineLevel="0" collapsed="false">
      <c r="D139" s="0" t="s">
        <v>706</v>
      </c>
      <c r="E139" s="0" t="s">
        <v>149</v>
      </c>
      <c r="F139" s="15" t="n">
        <f aca="false">Inputs!$F$105*Funding!$F$24</f>
        <v>666.113011178507</v>
      </c>
    </row>
    <row r="140" customFormat="false" ht="15" hidden="false" customHeight="false" outlineLevel="0" collapsed="false">
      <c r="D140" s="0" t="s">
        <v>707</v>
      </c>
      <c r="E140" s="0" t="s">
        <v>149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0</v>
      </c>
      <c r="Q140" s="11" t="n">
        <f aca="false">IF(Q134=1,(Waterfall!Q7)/$F$137,0)</f>
        <v>39.152027214652</v>
      </c>
      <c r="R140" s="11" t="n">
        <f aca="false">IF(R134=1,(Waterfall!R7)/$F$137,0)</f>
        <v>39.6120941085618</v>
      </c>
      <c r="S140" s="11" t="n">
        <f aca="false">IF(S134=1,(Waterfall!S7)/$F$137,0)</f>
        <v>39.3501573662221</v>
      </c>
      <c r="T140" s="11" t="n">
        <f aca="false">IF(T134=1,(Waterfall!T7)/$F$137,0)</f>
        <v>39.8019524027609</v>
      </c>
      <c r="U140" s="11" t="n">
        <f aca="false">IF(U134=1,(Waterfall!U7)/$F$137,0)</f>
        <v>39.5444709368545</v>
      </c>
      <c r="V140" s="11" t="n">
        <f aca="false">IF(V134=1,(Waterfall!V7)/$F$137,0)</f>
        <v>39.9323615496442</v>
      </c>
      <c r="W140" s="11" t="n">
        <f aca="false">IF(W134=1,(Waterfall!W7)/$F$137,0)</f>
        <v>40.1142667924985</v>
      </c>
      <c r="X140" s="11" t="n">
        <f aca="false">IF(X134=1,(Waterfall!X7)/$F$137,0)</f>
        <v>40.5418047305346</v>
      </c>
      <c r="Y140" s="11" t="n">
        <f aca="false">IF(Y134=1,(Waterfall!Y7)/$F$137,0)</f>
        <v>38.5991629063626</v>
      </c>
      <c r="Z140" s="11" t="n">
        <f aca="false">IF(Z134=1,(Waterfall!Z7)/$F$137,0)</f>
        <v>38.9977888047285</v>
      </c>
      <c r="AA140" s="11" t="n">
        <f aca="false">IF(AA134=1,(Waterfall!AA7)/$F$137,0)</f>
        <v>38.5391548911469</v>
      </c>
      <c r="AB140" s="11" t="n">
        <f aca="false">IF(AB134=1,(Waterfall!AB7)/$F$137,0)</f>
        <v>39.0057691191069</v>
      </c>
      <c r="AC140" s="11" t="n">
        <f aca="false">IF(AC134=1,(Waterfall!AC7)/$F$137,0)</f>
        <v>38.7422660958443</v>
      </c>
      <c r="AD140" s="11" t="n">
        <f aca="false">IF(AD134=1,(Waterfall!AD7)/$F$137,0)</f>
        <v>39.1770959178649</v>
      </c>
      <c r="AE140" s="11" t="n">
        <f aca="false">IF(AE134=1,(Waterfall!AE7)/$F$137,0)</f>
        <v>40.093037519962</v>
      </c>
      <c r="AF140" s="11" t="n">
        <f aca="false">IF(AF134=1,(Waterfall!AF7)/$F$137,0)</f>
        <v>40.8796233496778</v>
      </c>
      <c r="AG140" s="11" t="n">
        <f aca="false">IF(AG134=1,(Waterfall!AG7)/$F$137,0)</f>
        <v>40.2116522497511</v>
      </c>
      <c r="AH140" s="11" t="n">
        <f aca="false">IF(AH134=1,(Waterfall!AH7)/$F$137,0)</f>
        <v>40.7214859567702</v>
      </c>
      <c r="AI140" s="11" t="n">
        <f aca="false">IF(AI134=1,(Waterfall!AI7)/$F$137,0)</f>
        <v>40.447002971471</v>
      </c>
      <c r="AJ140" s="11" t="n">
        <f aca="false">IF(AJ134=1,(Waterfall!AJ7)/$F$137,0)</f>
        <v>40.93106612501</v>
      </c>
      <c r="AK140" s="11" t="n">
        <f aca="false">IF(AK134=1,(Waterfall!AK7)/$F$137,0)</f>
        <v>40.6624978821444</v>
      </c>
      <c r="AL140" s="11" t="n">
        <f aca="false">IF(AL134=1,(Waterfall!AL7)/$F$137,0)</f>
        <v>41.0889828669466</v>
      </c>
      <c r="AM140" s="11" t="n">
        <f aca="false">IF(AM134=1,(Waterfall!AM7)/$F$137,0)</f>
        <v>41.3489837085935</v>
      </c>
      <c r="AN140" s="11" t="n">
        <f aca="false">IF(AN134=1,(Waterfall!AN7)/$F$137,0)</f>
        <v>41.8036562870374</v>
      </c>
      <c r="AO140" s="11" t="n">
        <f aca="false">IF(AO134=1,(Waterfall!AO7)/$F$137,0)</f>
        <v>39.5346314562002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708</v>
      </c>
      <c r="E141" s="0" t="s">
        <v>149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0</v>
      </c>
      <c r="Q141" s="11" t="n">
        <f aca="false">IF(Q134=1,IF(Time!Q17=Time!$F$12,Funding!$F$25,P141-P142),0)</f>
        <v>657.739998413269</v>
      </c>
      <c r="R141" s="11" t="n">
        <f aca="false">IF(R134=1,IF(Time!R17=Time!$F$12,Funding!$F$25,Q141-Q142),0)</f>
        <v>640.97698217175</v>
      </c>
      <c r="S141" s="11" t="n">
        <f aca="false">IF(S134=1,IF(Time!S17=Time!$F$12,Funding!$F$25,R141-R142),0)</f>
        <v>623.424355688269</v>
      </c>
      <c r="T141" s="11" t="n">
        <f aca="false">IF(T134=1,IF(Time!T17=Time!$F$12,Funding!$F$25,S141-S142),0)</f>
        <v>605.3036544723</v>
      </c>
      <c r="U141" s="11" t="n">
        <f aca="false">IF(U134=1,IF(Time!U17=Time!$F$12,Funding!$F$25,T141-T142),0)</f>
        <v>586.341873620072</v>
      </c>
      <c r="V141" s="11" t="n">
        <f aca="false">IF(V134=1,IF(Time!V17=Time!$F$12,Funding!$F$25,U141-U142),0)</f>
        <v>566.837637811036</v>
      </c>
      <c r="W141" s="11" t="n">
        <f aca="false">IF(W134=1,IF(Time!W17=Time!$F$12,Funding!$F$25,V141-V142),0)</f>
        <v>546.421090392036</v>
      </c>
      <c r="X141" s="11" t="n">
        <f aca="false">IF(X134=1,IF(Time!X17=Time!$F$12,Funding!$F$25,W141-W142),0)</f>
        <v>524.91408921598</v>
      </c>
      <c r="Y141" s="11" t="n">
        <f aca="false">IF(Y134=1,IF(Time!Y17=Time!$F$12,Funding!$F$25,X141-X142),0)</f>
        <v>502.444700846602</v>
      </c>
      <c r="Z141" s="11" t="n">
        <f aca="false">IF(Z134=1,IF(Time!Z17=Time!$F$12,Funding!$F$25,Y141-Y142),0)</f>
        <v>481.488581241439</v>
      </c>
      <c r="AA141" s="11" t="n">
        <f aca="false">IF(AA134=1,IF(Time!AA17=Time!$F$12,Funding!$F$25,Z141-Z142),0)</f>
        <v>459.5876317655</v>
      </c>
      <c r="AB141" s="11" t="n">
        <f aca="false">IF(AB134=1,IF(Time!AB17=Time!$F$12,Funding!$F$25,AA141-AA142),0)</f>
        <v>437.186619985967</v>
      </c>
      <c r="AC141" s="11" t="n">
        <f aca="false">IF(AC134=1,IF(Time!AC17=Time!$F$12,Funding!$F$25,AB141-AB142),0)</f>
        <v>413.704603017586</v>
      </c>
      <c r="AD141" s="11" t="n">
        <f aca="false">IF(AD134=1,IF(Time!AD17=Time!$F$12,Funding!$F$25,AC141-AC142),0)</f>
        <v>389.543644277496</v>
      </c>
      <c r="AE141" s="11" t="n">
        <f aca="false">IF(AE134=1,IF(Time!AE17=Time!$F$12,Funding!$F$25,AD141-AD142),0)</f>
        <v>364.198579600314</v>
      </c>
      <c r="AF141" s="11" t="n">
        <f aca="false">IF(AF134=1,IF(Time!AF17=Time!$F$12,Funding!$F$25,AE141-AE142),0)</f>
        <v>336.894156029901</v>
      </c>
      <c r="AG141" s="11" t="n">
        <f aca="false">IF(AG134=1,IF(Time!AG17=Time!$F$12,Funding!$F$25,AF141-AF142),0)</f>
        <v>307.977070278936</v>
      </c>
      <c r="AH141" s="11" t="n">
        <f aca="false">IF(AH134=1,IF(Time!AH17=Time!$F$12,Funding!$F$25,AG141-AG142),0)</f>
        <v>278.906740458664</v>
      </c>
      <c r="AI141" s="11" t="n">
        <f aca="false">IF(AI134=1,IF(Time!AI17=Time!$F$12,Funding!$F$25,AH141-AH142),0)</f>
        <v>248.389701568507</v>
      </c>
      <c r="AJ141" s="11" t="n">
        <f aca="false">IF(AJ134=1,IF(Time!AJ17=Time!$F$12,Funding!$F$25,AI141-AI142),0)</f>
        <v>216.928399223483</v>
      </c>
      <c r="AK141" s="11" t="n">
        <f aca="false">IF(AK134=1,IF(Time!AK17=Time!$F$12,Funding!$F$25,AJ141-AJ142),0)</f>
        <v>183.934159449391</v>
      </c>
      <c r="AL141" s="11" t="n">
        <f aca="false">IF(AL134=1,IF(Time!AL17=Time!$F$12,Funding!$F$25,AK141-AK142),0)</f>
        <v>149.950859315673</v>
      </c>
      <c r="AM141" s="11" t="n">
        <f aca="false">IF(AM134=1,IF(Time!AM17=Time!$F$12,Funding!$F$25,AL141-AL142),0)</f>
        <v>114.348174857878</v>
      </c>
      <c r="AN141" s="11" t="n">
        <f aca="false">IF(AN134=1,IF(Time!AN17=Time!$F$12,Funding!$F$25,AM141-AM142),0)</f>
        <v>77.1358299067093</v>
      </c>
      <c r="AO141" s="11" t="n">
        <f aca="false">IF(AO134=1,IF(Time!AO17=Time!$F$12,Funding!$F$25,AN141-AN142),0)</f>
        <v>38.1543660554942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709</v>
      </c>
      <c r="E142" s="0" t="s">
        <v>149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0</v>
      </c>
      <c r="Q142" s="11" t="n">
        <f aca="false">Q140-Q141*Q135</f>
        <v>16.7630162415187</v>
      </c>
      <c r="R142" s="11" t="n">
        <f aca="false">R140-R141*R135</f>
        <v>17.5526264834812</v>
      </c>
      <c r="S142" s="11" t="n">
        <f aca="false">S140-S141*S135</f>
        <v>18.1207012159686</v>
      </c>
      <c r="T142" s="11" t="n">
        <f aca="false">T140-T141*T135</f>
        <v>18.9617808522281</v>
      </c>
      <c r="U142" s="11" t="n">
        <f aca="false">U140-U141*U135</f>
        <v>19.5042358090354</v>
      </c>
      <c r="V142" s="11" t="n">
        <f aca="false">V140-V141*V135</f>
        <v>20.4165474190005</v>
      </c>
      <c r="W142" s="11" t="n">
        <f aca="false">W140-W141*W135</f>
        <v>21.5070011760555</v>
      </c>
      <c r="X142" s="11" t="n">
        <f aca="false">X140-X141*X135</f>
        <v>22.4693883693786</v>
      </c>
      <c r="Y142" s="11" t="n">
        <f aca="false">Y140-Y141*Y135</f>
        <v>20.9561196051631</v>
      </c>
      <c r="Z142" s="11" t="n">
        <f aca="false">Z140-Z141*Z135</f>
        <v>21.9009494759388</v>
      </c>
      <c r="AA142" s="11" t="n">
        <f aca="false">AA140-AA141*AA135</f>
        <v>22.4010117795331</v>
      </c>
      <c r="AB142" s="11" t="n">
        <f aca="false">AB140-AB141*AB135</f>
        <v>23.482016968381</v>
      </c>
      <c r="AC142" s="11" t="n">
        <f aca="false">AC140-AC141*AC135</f>
        <v>24.1609587400895</v>
      </c>
      <c r="AD142" s="11" t="n">
        <f aca="false">AD140-AD141*AD135</f>
        <v>25.3450646771822</v>
      </c>
      <c r="AE142" s="11" t="n">
        <f aca="false">AE140-AE141*AE135</f>
        <v>27.3044235704133</v>
      </c>
      <c r="AF142" s="11" t="n">
        <f aca="false">AF140-AF141*AF135</f>
        <v>28.9170857509653</v>
      </c>
      <c r="AG142" s="11" t="n">
        <f aca="false">AG140-AG141*AG135</f>
        <v>29.0703298202718</v>
      </c>
      <c r="AH142" s="11" t="n">
        <f aca="false">AH140-AH141*AH135</f>
        <v>30.5170388901572</v>
      </c>
      <c r="AI142" s="11" t="n">
        <f aca="false">AI140-AI141*AI135</f>
        <v>31.4613023450236</v>
      </c>
      <c r="AJ142" s="11" t="n">
        <f aca="false">AJ140-AJ141*AJ135</f>
        <v>32.9942397740915</v>
      </c>
      <c r="AK142" s="11" t="n">
        <f aca="false">AK140-AK141*AK135</f>
        <v>33.9833001337184</v>
      </c>
      <c r="AL142" s="11" t="n">
        <f aca="false">AL140-AL141*AL135</f>
        <v>35.6026844577954</v>
      </c>
      <c r="AM142" s="11" t="n">
        <f aca="false">AM140-AM141*AM135</f>
        <v>37.2123449511684</v>
      </c>
      <c r="AN142" s="11" t="n">
        <f aca="false">AN140-AN141*AN135</f>
        <v>38.9814638512152</v>
      </c>
      <c r="AO142" s="11" t="n">
        <f aca="false">AO140-AO141*AO135</f>
        <v>38.1543660554948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710</v>
      </c>
      <c r="E143" s="0" t="s">
        <v>149</v>
      </c>
      <c r="J143" s="11" t="n">
        <f aca="false">IF(Inputs!$F$8=1,J142-J134*Inputs!J222*Funding!$F$25,0)</f>
        <v>0</v>
      </c>
      <c r="K143" s="11" t="n">
        <f aca="false">IF(Inputs!$F$8=1,K142-K134*Inputs!K222*Funding!$F$25,0)</f>
        <v>0</v>
      </c>
      <c r="L143" s="11" t="n">
        <f aca="false">IF(Inputs!$F$8=1,L142-L134*Inputs!L222*Funding!$F$25,0)</f>
        <v>0</v>
      </c>
      <c r="M143" s="11" t="n">
        <f aca="false">IF(Inputs!$F$8=1,M142-M134*Inputs!M222*Funding!$F$25,0)</f>
        <v>0</v>
      </c>
      <c r="N143" s="11" t="n">
        <f aca="false">IF(Inputs!$F$8=1,N142-N134*Inputs!N222*Funding!$F$25,0)</f>
        <v>0</v>
      </c>
      <c r="O143" s="11" t="n">
        <f aca="false">IF(Inputs!$F$8=1,O142-O134*Inputs!O222*Funding!$F$25,0)</f>
        <v>0</v>
      </c>
      <c r="P143" s="11" t="n">
        <f aca="false">IF(Inputs!$F$8=1,P142-P134*Inputs!P222*Funding!$F$25,0)</f>
        <v>0</v>
      </c>
      <c r="Q143" s="11" t="n">
        <f aca="false">IF(Inputs!$F$8=1,Q142-Q134*Inputs!Q222*Funding!$F$25,0)</f>
        <v>0</v>
      </c>
      <c r="R143" s="11" t="n">
        <f aca="false">IF(Inputs!$F$8=1,R142-R134*Inputs!R222*Funding!$F$25,0)</f>
        <v>0</v>
      </c>
      <c r="S143" s="11" t="n">
        <f aca="false">IF(Inputs!$F$8=1,S142-S134*Inputs!S222*Funding!$F$25,0)</f>
        <v>0</v>
      </c>
      <c r="T143" s="11" t="n">
        <f aca="false">IF(Inputs!$F$8=1,T142-T134*Inputs!T222*Funding!$F$25,0)</f>
        <v>0</v>
      </c>
      <c r="U143" s="11" t="n">
        <f aca="false">IF(Inputs!$F$8=1,U142-U134*Inputs!U222*Funding!$F$25,0)</f>
        <v>0</v>
      </c>
      <c r="V143" s="11" t="n">
        <f aca="false">IF(Inputs!$F$8=1,V142-V134*Inputs!V222*Funding!$F$25,0)</f>
        <v>0</v>
      </c>
      <c r="W143" s="11" t="n">
        <f aca="false">IF(Inputs!$F$8=1,W142-W134*Inputs!W222*Funding!$F$25,0)</f>
        <v>0</v>
      </c>
      <c r="X143" s="11" t="n">
        <f aca="false">IF(Inputs!$F$8=1,X142-X134*Inputs!X222*Funding!$F$25,0)</f>
        <v>0</v>
      </c>
      <c r="Y143" s="11" t="n">
        <f aca="false">IF(Inputs!$F$8=1,Y142-Y134*Inputs!Y222*Funding!$F$25,0)</f>
        <v>0</v>
      </c>
      <c r="Z143" s="11" t="n">
        <f aca="false">IF(Inputs!$F$8=1,Z142-Z134*Inputs!Z222*Funding!$F$25,0)</f>
        <v>0</v>
      </c>
      <c r="AA143" s="11" t="n">
        <f aca="false">IF(Inputs!$F$8=1,AA142-AA134*Inputs!AA222*Funding!$F$25,0)</f>
        <v>0</v>
      </c>
      <c r="AB143" s="11" t="n">
        <f aca="false">IF(Inputs!$F$8=1,AB142-AB134*Inputs!AB222*Funding!$F$25,0)</f>
        <v>0</v>
      </c>
      <c r="AC143" s="11" t="n">
        <f aca="false">IF(Inputs!$F$8=1,AC142-AC134*Inputs!AC222*Funding!$F$25,0)</f>
        <v>0</v>
      </c>
      <c r="AD143" s="11" t="n">
        <f aca="false">IF(Inputs!$F$8=1,AD142-AD134*Inputs!AD222*Funding!$F$25,0)</f>
        <v>0</v>
      </c>
      <c r="AE143" s="11" t="n">
        <f aca="false">IF(Inputs!$F$8=1,AE142-AE134*Inputs!AE222*Funding!$F$25,0)</f>
        <v>0</v>
      </c>
      <c r="AF143" s="11" t="n">
        <f aca="false">IF(Inputs!$F$8=1,AF142-AF134*Inputs!AF222*Funding!$F$25,0)</f>
        <v>0</v>
      </c>
      <c r="AG143" s="11" t="n">
        <f aca="false">IF(Inputs!$F$8=1,AG142-AG134*Inputs!AG222*Funding!$F$25,0)</f>
        <v>0</v>
      </c>
      <c r="AH143" s="11" t="n">
        <f aca="false">IF(Inputs!$F$8=1,AH142-AH134*Inputs!AH222*Funding!$F$25,0)</f>
        <v>0</v>
      </c>
      <c r="AI143" s="11" t="n">
        <f aca="false">IF(Inputs!$F$8=1,AI142-AI134*Inputs!AI222*Funding!$F$25,0)</f>
        <v>0</v>
      </c>
      <c r="AJ143" s="11" t="n">
        <f aca="false">IF(Inputs!$F$8=1,AJ142-AJ134*Inputs!AJ222*Funding!$F$25,0)</f>
        <v>0</v>
      </c>
      <c r="AK143" s="11" t="n">
        <f aca="false">IF(Inputs!$F$8=1,AK142-AK134*Inputs!AK222*Funding!$F$25,0)</f>
        <v>0</v>
      </c>
      <c r="AL143" s="11" t="n">
        <f aca="false">IF(Inputs!$F$8=1,AL142-AL134*Inputs!AL222*Funding!$F$25,0)</f>
        <v>0</v>
      </c>
      <c r="AM143" s="11" t="n">
        <f aca="false">IF(Inputs!$F$8=1,AM142-AM134*Inputs!AM222*Funding!$F$25,0)</f>
        <v>0</v>
      </c>
      <c r="AN143" s="11" t="n">
        <f aca="false">IF(Inputs!$F$8=1,AN142-AN134*Inputs!AN222*Funding!$F$25,0)</f>
        <v>0</v>
      </c>
      <c r="AO143" s="11" t="n">
        <f aca="false">IF(Inputs!$F$8=1,AO142-AO134*Inputs!AO222*Funding!$F$25,0)</f>
        <v>0</v>
      </c>
      <c r="AP143" s="11" t="n">
        <f aca="false">IF(Inputs!$F$8=1,AP142-AP134*Inputs!AP222*Funding!$F$25,0)</f>
        <v>0</v>
      </c>
      <c r="AQ143" s="11" t="n">
        <f aca="false">IF(Inputs!$F$8=1,AQ142-AQ134*Inputs!AQ222*Funding!$F$25,0)</f>
        <v>0</v>
      </c>
      <c r="AR143" s="11" t="n">
        <f aca="false">IF(Inputs!$F$8=1,AR142-AR134*Inputs!AR222*Funding!$F$25,0)</f>
        <v>0</v>
      </c>
      <c r="AS143" s="11" t="n">
        <f aca="false">IF(Inputs!$F$8=1,AS142-AS134*Inputs!AS222*Funding!$F$25,0)</f>
        <v>0</v>
      </c>
      <c r="AT143" s="11" t="n">
        <f aca="false">IF(Inputs!$F$8=1,AT142-AT134*Inputs!AT222*Funding!$F$25,0)</f>
        <v>0</v>
      </c>
      <c r="AU143" s="11" t="n">
        <f aca="false">IF(Inputs!$F$8=1,AU142-AU134*Inputs!AU222*Funding!$F$25,0)</f>
        <v>0</v>
      </c>
      <c r="AV143" s="11" t="n">
        <f aca="false">IF(Inputs!$F$8=1,AV142-AV134*Inputs!AV222*Funding!$F$25,0)</f>
        <v>0</v>
      </c>
      <c r="AW143" s="11" t="n">
        <f aca="false">IF(Inputs!$F$8=1,AW142-AW134*Inputs!AW222*Funding!$F$25,0)</f>
        <v>0</v>
      </c>
      <c r="AX143" s="11" t="n">
        <f aca="false">IF(Inputs!$F$8=1,AX142-AX134*Inputs!AX222*Funding!$F$25,0)</f>
        <v>0</v>
      </c>
      <c r="AY143" s="11" t="n">
        <f aca="false">IF(Inputs!$F$8=1,AY142-AY134*Inputs!AY222*Funding!$F$25,0)</f>
        <v>0</v>
      </c>
      <c r="AZ143" s="11" t="n">
        <f aca="false">IF(Inputs!$F$8=1,AZ142-AZ134*Inputs!AZ222*Funding!$F$25,0)</f>
        <v>0</v>
      </c>
      <c r="BA143" s="11" t="n">
        <f aca="false">IF(Inputs!$F$8=1,BA142-BA134*Inputs!BA222*Funding!$F$25,0)</f>
        <v>0</v>
      </c>
      <c r="BB143" s="11" t="n">
        <f aca="false">IF(Inputs!$F$8=1,BB142-BB134*Inputs!BB222*Funding!$F$25,0)</f>
        <v>0</v>
      </c>
      <c r="BC143" s="11" t="n">
        <f aca="false">IF(Inputs!$F$8=1,BC142-BC134*Inputs!BC222*Funding!$F$25,0)</f>
        <v>0</v>
      </c>
      <c r="BD143" s="11" t="n">
        <f aca="false">IF(Inputs!$F$8=1,BD142-BD134*Inputs!BD222*Funding!$F$25,0)</f>
        <v>0</v>
      </c>
      <c r="BE143" s="11" t="n">
        <f aca="false">IF(Inputs!$F$8=1,BE142-BE134*Inputs!BE222*Funding!$F$25,0)</f>
        <v>0</v>
      </c>
      <c r="BF143" s="11" t="n">
        <f aca="false">IF(Inputs!$F$8=1,BF142-BF134*Inputs!BF222*Funding!$F$25,0)</f>
        <v>0</v>
      </c>
      <c r="BG143" s="11" t="n">
        <f aca="false">IF(Inputs!$F$8=1,BG142-BG134*Inputs!BG222*Funding!$F$25,0)</f>
        <v>0</v>
      </c>
      <c r="BH143" s="11" t="n">
        <f aca="false">IF(Inputs!$F$8=1,BH142-BH134*Inputs!BH222*Funding!$F$25,0)</f>
        <v>0</v>
      </c>
      <c r="BI143" s="11" t="n">
        <f aca="false">IF(Inputs!$F$8=1,BI142-BI134*Inputs!BI222*Funding!$F$25,0)</f>
        <v>0</v>
      </c>
      <c r="BJ143" s="11" t="n">
        <f aca="false">IF(Inputs!$F$8=1,BJ142-BJ134*Inputs!BJ222*Funding!$F$25,0)</f>
        <v>0</v>
      </c>
      <c r="BK143" s="11" t="n">
        <f aca="false">IF(Inputs!$F$8=1,BK142-BK134*Inputs!BK222*Funding!$F$25,0)</f>
        <v>0</v>
      </c>
      <c r="BL143" s="11" t="n">
        <f aca="false">IF(Inputs!$F$8=1,BL142-BL134*Inputs!BL222*Funding!$F$25,0)</f>
        <v>0</v>
      </c>
      <c r="BM143" s="11" t="n">
        <f aca="false">IF(Inputs!$F$8=1,BM142-BM134*Inputs!BM222*Funding!$F$25,0)</f>
        <v>0</v>
      </c>
      <c r="BN143" s="11" t="n">
        <f aca="false">IF(Inputs!$F$8=1,BN142-BN134*Inputs!BN222*Funding!$F$25,0)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712</v>
      </c>
      <c r="E7" s="0" t="s">
        <v>149</v>
      </c>
      <c r="G7" s="11" t="n">
        <f aca="false">SUM(J7:BN7)</f>
        <v>52.263650417766</v>
      </c>
      <c r="J7" s="11" t="n">
        <f aca="false">SUM(Operations!K75:P75)/6</f>
        <v>0</v>
      </c>
      <c r="K7" s="11" t="n">
        <f aca="false">SUM(Operations!L75:Q75)/6</f>
        <v>0</v>
      </c>
      <c r="L7" s="11" t="n">
        <f aca="false">SUM(Operations!M75:R75)/6</f>
        <v>0</v>
      </c>
      <c r="M7" s="11" t="n">
        <f aca="false">SUM(Operations!N75:S75)/6</f>
        <v>0</v>
      </c>
      <c r="N7" s="11" t="n">
        <f aca="false">SUM(Operations!O75:T75)/6</f>
        <v>0</v>
      </c>
      <c r="O7" s="11" t="n">
        <f aca="false">SUM(Operations!P75:U75)/6</f>
        <v>0</v>
      </c>
      <c r="P7" s="11" t="n">
        <f aca="false">SUM(Operations!Q75:V75)/6</f>
        <v>0</v>
      </c>
      <c r="Q7" s="11" t="n">
        <f aca="false">SUM(Operations!R75:W75)/6</f>
        <v>0.420822342824714</v>
      </c>
      <c r="R7" s="11" t="n">
        <f aca="false">SUM(Operations!S75:X75)/6</f>
        <v>0.420822342824714</v>
      </c>
      <c r="S7" s="11" t="n">
        <f aca="false">SUM(Operations!T75:Y75)/6</f>
        <v>0.420822342824714</v>
      </c>
      <c r="T7" s="11" t="n">
        <f aca="false">SUM(Operations!U75:Z75)/6</f>
        <v>0.420822342824714</v>
      </c>
      <c r="U7" s="11" t="n">
        <f aca="false">SUM(Operations!V75:AA75)/6</f>
        <v>0.420822342824714</v>
      </c>
      <c r="V7" s="11" t="n">
        <f aca="false">SUM(Operations!W75:AB75)/6</f>
        <v>0.420822342824714</v>
      </c>
      <c r="W7" s="11" t="n">
        <f aca="false">SUM(Operations!X75:AC75)/6</f>
        <v>0</v>
      </c>
      <c r="X7" s="11" t="n">
        <f aca="false">SUM(Operations!Y75:AD75)/6</f>
        <v>0</v>
      </c>
      <c r="Y7" s="11" t="n">
        <f aca="false">SUM(Operations!Z75:AE75)/6</f>
        <v>1.99432465577136</v>
      </c>
      <c r="Z7" s="11" t="n">
        <f aca="false">SUM(Operations!AA75:AF75)/6</f>
        <v>1.99432465577136</v>
      </c>
      <c r="AA7" s="11" t="n">
        <f aca="false">SUM(Operations!AB75:AG75)/6</f>
        <v>1.99432465577136</v>
      </c>
      <c r="AB7" s="11" t="n">
        <f aca="false">SUM(Operations!AC75:AH75)/6</f>
        <v>1.99432465577136</v>
      </c>
      <c r="AC7" s="11" t="n">
        <f aca="false">SUM(Operations!AD75:AI75)/6</f>
        <v>1.99432465577136</v>
      </c>
      <c r="AD7" s="11" t="n">
        <f aca="false">SUM(Operations!AE75:AJ75)/6</f>
        <v>1.99432465577136</v>
      </c>
      <c r="AE7" s="11" t="n">
        <f aca="false">SUM(Operations!AF75:AK75)/6</f>
        <v>0</v>
      </c>
      <c r="AF7" s="11" t="n">
        <f aca="false">SUM(Operations!AG75:AL75)/6</f>
        <v>0</v>
      </c>
      <c r="AG7" s="11" t="n">
        <f aca="false">SUM(Operations!AH75:AM75)/6</f>
        <v>0.500848014271228</v>
      </c>
      <c r="AH7" s="11" t="n">
        <f aca="false">SUM(Operations!AI75:AN75)/6</f>
        <v>0.500848014271228</v>
      </c>
      <c r="AI7" s="11" t="n">
        <f aca="false">SUM(Operations!AJ75:AO75)/6</f>
        <v>0.500848014271228</v>
      </c>
      <c r="AJ7" s="11" t="n">
        <f aca="false">SUM(Operations!AK75:AP75)/6</f>
        <v>0.500848014271228</v>
      </c>
      <c r="AK7" s="11" t="n">
        <f aca="false">SUM(Operations!AL75:AQ75)/6</f>
        <v>0.500848014271228</v>
      </c>
      <c r="AL7" s="11" t="n">
        <f aca="false">SUM(Operations!AM75:AR75)/6</f>
        <v>0.500848014271228</v>
      </c>
      <c r="AM7" s="11" t="n">
        <f aca="false">SUM(Operations!AN75:AS75)/6</f>
        <v>0</v>
      </c>
      <c r="AN7" s="11" t="n">
        <f aca="false">SUM(Operations!AO75:AT75)/6</f>
        <v>0</v>
      </c>
      <c r="AO7" s="11" t="n">
        <f aca="false">SUM(Operations!AP75:AU75)/6</f>
        <v>2.37357535949866</v>
      </c>
      <c r="AP7" s="11" t="n">
        <f aca="false">SUM(Operations!AQ75:AV75)/6</f>
        <v>2.37357535949866</v>
      </c>
      <c r="AQ7" s="11" t="n">
        <f aca="false">SUM(Operations!AR75:AW75)/6</f>
        <v>2.37357535949866</v>
      </c>
      <c r="AR7" s="11" t="n">
        <f aca="false">SUM(Operations!AS75:AX75)/6</f>
        <v>2.37357535949866</v>
      </c>
      <c r="AS7" s="11" t="n">
        <f aca="false">SUM(Operations!AT75:AY75)/6</f>
        <v>2.37357535949866</v>
      </c>
      <c r="AT7" s="11" t="n">
        <f aca="false">SUM(Operations!AU75:AZ75)/6</f>
        <v>2.37357535949866</v>
      </c>
      <c r="AU7" s="11" t="n">
        <f aca="false">SUM(Operations!AV75:BA75)/6</f>
        <v>0</v>
      </c>
      <c r="AV7" s="11" t="n">
        <f aca="false">SUM(Operations!AW75:BB75)/6</f>
        <v>0</v>
      </c>
      <c r="AW7" s="11" t="n">
        <f aca="false">SUM(Operations!AX75:BC75)/6</f>
        <v>0.596091765745239</v>
      </c>
      <c r="AX7" s="11" t="n">
        <f aca="false">SUM(Operations!AY75:BD75)/6</f>
        <v>0.596091765745239</v>
      </c>
      <c r="AY7" s="11" t="n">
        <f aca="false">SUM(Operations!AZ75:BE75)/6</f>
        <v>0.596091765745239</v>
      </c>
      <c r="AZ7" s="11" t="n">
        <f aca="false">SUM(Operations!BA75:BF75)/6</f>
        <v>0.596091765745239</v>
      </c>
      <c r="BA7" s="11" t="n">
        <f aca="false">SUM(Operations!BB75:BG75)/6</f>
        <v>0.596091765745239</v>
      </c>
      <c r="BB7" s="11" t="n">
        <f aca="false">SUM(Operations!BC75:BH75)/6</f>
        <v>0.596091765745239</v>
      </c>
      <c r="BC7" s="11" t="n">
        <f aca="false">SUM(Operations!BD75:BI75)/6</f>
        <v>0</v>
      </c>
      <c r="BD7" s="11" t="n">
        <f aca="false">SUM(Operations!BE75:BJ75)/6</f>
        <v>0</v>
      </c>
      <c r="BE7" s="11" t="n">
        <f aca="false">SUM(Operations!BF75:BK75)/6</f>
        <v>2.8249462648498</v>
      </c>
      <c r="BF7" s="11" t="n">
        <f aca="false">SUM(Operations!BG75:BL75)/6</f>
        <v>2.8249462648498</v>
      </c>
      <c r="BG7" s="11" t="n">
        <f aca="false">SUM(Operations!BH75:BM75)/6</f>
        <v>2.8249462648498</v>
      </c>
      <c r="BH7" s="11" t="n">
        <f aca="false">SUM(Operations!BI75:BN75)/6</f>
        <v>2.8249462648498</v>
      </c>
      <c r="BI7" s="11" t="n">
        <f aca="false">SUM(Operations!BJ75:BN75)/6</f>
        <v>2.8249462648498</v>
      </c>
      <c r="BJ7" s="11" t="n">
        <f aca="false">SUM(Operations!BK75:BN75)/6</f>
        <v>2.8249462648498</v>
      </c>
      <c r="BK7" s="11" t="n">
        <f aca="false">SUM(Operations!BL75:BN75)/6</f>
        <v>0</v>
      </c>
      <c r="BL7" s="11" t="n">
        <f aca="false">SUM(Operations!BM75:BN75)/6</f>
        <v>0</v>
      </c>
      <c r="BM7" s="11" t="n">
        <f aca="false">SUM(Operations!BN75:BN75)/6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713</v>
      </c>
      <c r="E8" s="0" t="s">
        <v>149</v>
      </c>
      <c r="J8" s="11" t="n">
        <f aca="false">0+J7-Operations!J75</f>
        <v>0</v>
      </c>
      <c r="K8" s="11" t="n">
        <f aca="false">J8+K7-Operations!K75</f>
        <v>0</v>
      </c>
      <c r="L8" s="11" t="n">
        <f aca="false">K8+L7-Operations!L75</f>
        <v>0</v>
      </c>
      <c r="M8" s="11" t="n">
        <f aca="false">L8+M7-Operations!M75</f>
        <v>0</v>
      </c>
      <c r="N8" s="11" t="n">
        <f aca="false">M8+N7-Operations!N75</f>
        <v>0</v>
      </c>
      <c r="O8" s="11" t="n">
        <f aca="false">N8+O7-Operations!O75</f>
        <v>0</v>
      </c>
      <c r="P8" s="11" t="n">
        <f aca="false">O8+P7-Operations!P75</f>
        <v>0</v>
      </c>
      <c r="Q8" s="11" t="n">
        <f aca="false">P8+Q7-Operations!Q75</f>
        <v>0.420822342824714</v>
      </c>
      <c r="R8" s="11" t="n">
        <f aca="false">Q8+R7-Operations!R75</f>
        <v>0.841644685649428</v>
      </c>
      <c r="S8" s="11" t="n">
        <f aca="false">R8+S7-Operations!S75</f>
        <v>1.26246702847414</v>
      </c>
      <c r="T8" s="11" t="n">
        <f aca="false">S8+T7-Operations!T75</f>
        <v>1.68328937129886</v>
      </c>
      <c r="U8" s="11" t="n">
        <f aca="false">T8+U7-Operations!U75</f>
        <v>2.10411171412357</v>
      </c>
      <c r="V8" s="11" t="n">
        <f aca="false">U8+V7-Operations!V75</f>
        <v>2.52493405694828</v>
      </c>
      <c r="W8" s="11" t="n">
        <f aca="false">V8+W7-Operations!W75</f>
        <v>0</v>
      </c>
      <c r="X8" s="11" t="n">
        <f aca="false">W8+X7-Operations!X75</f>
        <v>0</v>
      </c>
      <c r="Y8" s="11" t="n">
        <f aca="false">X8+Y7-Operations!Y75</f>
        <v>1.99432465577136</v>
      </c>
      <c r="Z8" s="11" t="n">
        <f aca="false">Y8+Z7-Operations!Z75</f>
        <v>3.98864931154273</v>
      </c>
      <c r="AA8" s="11" t="n">
        <f aca="false">Z8+AA7-Operations!AA75</f>
        <v>5.98297396731409</v>
      </c>
      <c r="AB8" s="11" t="n">
        <f aca="false">AA8+AB7-Operations!AB75</f>
        <v>7.97729862308545</v>
      </c>
      <c r="AC8" s="11" t="n">
        <f aca="false">AB8+AC7-Operations!AC75</f>
        <v>9.97162327885681</v>
      </c>
      <c r="AD8" s="11" t="n">
        <f aca="false">AC8+AD7-Operations!AD75</f>
        <v>11.9659479346282</v>
      </c>
      <c r="AE8" s="11" t="n">
        <f aca="false">AD8+AE7-Operations!AE75</f>
        <v>0</v>
      </c>
      <c r="AF8" s="11" t="n">
        <f aca="false">AE8+AF7-Operations!AF75</f>
        <v>0</v>
      </c>
      <c r="AG8" s="11" t="n">
        <f aca="false">AF8+AG7-Operations!AG75</f>
        <v>0.500848014271228</v>
      </c>
      <c r="AH8" s="11" t="n">
        <f aca="false">AG8+AH7-Operations!AH75</f>
        <v>1.00169602854246</v>
      </c>
      <c r="AI8" s="11" t="n">
        <f aca="false">AH8+AI7-Operations!AI75</f>
        <v>1.50254404281368</v>
      </c>
      <c r="AJ8" s="11" t="n">
        <f aca="false">AI8+AJ7-Operations!AJ75</f>
        <v>2.00339205708491</v>
      </c>
      <c r="AK8" s="11" t="n">
        <f aca="false">AJ8+AK7-Operations!AK75</f>
        <v>2.50424007135614</v>
      </c>
      <c r="AL8" s="11" t="n">
        <f aca="false">AK8+AL7-Operations!AL75</f>
        <v>3.00508808562737</v>
      </c>
      <c r="AM8" s="11" t="n">
        <f aca="false">AL8+AM7-Operations!AM75</f>
        <v>0</v>
      </c>
      <c r="AN8" s="11" t="n">
        <f aca="false">AM8+AN7-Operations!AN75</f>
        <v>0</v>
      </c>
      <c r="AO8" s="11" t="n">
        <f aca="false">AN8+AO7-Operations!AO75</f>
        <v>2.37357535949866</v>
      </c>
      <c r="AP8" s="11" t="n">
        <f aca="false">AO8+AP7-Operations!AP75</f>
        <v>4.74715071899731</v>
      </c>
      <c r="AQ8" s="11" t="n">
        <f aca="false">AP8+AQ7-Operations!AQ75</f>
        <v>7.12072607849597</v>
      </c>
      <c r="AR8" s="11" t="n">
        <f aca="false">AQ8+AR7-Operations!AR75</f>
        <v>9.49430143799463</v>
      </c>
      <c r="AS8" s="11" t="n">
        <f aca="false">AR8+AS7-Operations!AS75</f>
        <v>11.8678767974933</v>
      </c>
      <c r="AT8" s="11" t="n">
        <f aca="false">AS8+AT7-Operations!AT75</f>
        <v>14.2414521569919</v>
      </c>
      <c r="AU8" s="11" t="n">
        <f aca="false">AT8+AU7-Operations!AU75</f>
        <v>0</v>
      </c>
      <c r="AV8" s="11" t="n">
        <f aca="false">AU8+AV7-Operations!AV75</f>
        <v>0</v>
      </c>
      <c r="AW8" s="11" t="n">
        <f aca="false">AV8+AW7-Operations!AW75</f>
        <v>0.596091765745239</v>
      </c>
      <c r="AX8" s="11" t="n">
        <f aca="false">AW8+AX7-Operations!AX75</f>
        <v>1.19218353149048</v>
      </c>
      <c r="AY8" s="11" t="n">
        <f aca="false">AX8+AY7-Operations!AY75</f>
        <v>1.78827529723572</v>
      </c>
      <c r="AZ8" s="11" t="n">
        <f aca="false">AY8+AZ7-Operations!AZ75</f>
        <v>2.38436706298096</v>
      </c>
      <c r="BA8" s="11" t="n">
        <f aca="false">AZ8+BA7-Operations!BA75</f>
        <v>2.9804588287262</v>
      </c>
      <c r="BB8" s="11" t="n">
        <f aca="false">BA8+BB7-Operations!BB75</f>
        <v>3.57655059447143</v>
      </c>
      <c r="BC8" s="11" t="n">
        <f aca="false">BB8+BC7-Operations!BC75</f>
        <v>0</v>
      </c>
      <c r="BD8" s="11" t="n">
        <f aca="false">BC8+BD7-Operations!BD75</f>
        <v>0</v>
      </c>
      <c r="BE8" s="11" t="n">
        <f aca="false">BD8+BE7-Operations!BE75</f>
        <v>2.8249462648498</v>
      </c>
      <c r="BF8" s="11" t="n">
        <f aca="false">BE8+BF7-Operations!BF75</f>
        <v>5.6498925296996</v>
      </c>
      <c r="BG8" s="11" t="n">
        <f aca="false">BF8+BG7-Operations!BG75</f>
        <v>8.4748387945494</v>
      </c>
      <c r="BH8" s="11" t="n">
        <f aca="false">BG8+BH7-Operations!BH75</f>
        <v>11.2997850593992</v>
      </c>
      <c r="BI8" s="11" t="n">
        <f aca="false">BH8+BI7-Operations!BI75</f>
        <v>14.124731324249</v>
      </c>
      <c r="BJ8" s="11" t="n">
        <f aca="false">BI8+BJ7-Operations!BJ75</f>
        <v>16.9496775890988</v>
      </c>
      <c r="BK8" s="11" t="n">
        <f aca="false">BJ8+BK7-Operations!BK75</f>
        <v>0</v>
      </c>
      <c r="BL8" s="11" t="n">
        <f aca="false">BK8+BL7-Operations!BL75</f>
        <v>0</v>
      </c>
      <c r="BM8" s="11" t="n">
        <f aca="false">BL8+BM7-Operations!BM75</f>
        <v>0</v>
      </c>
      <c r="BN8" s="11" t="n">
        <f aca="false">BM8+BN7-Operations!BN75</f>
        <v>0</v>
      </c>
    </row>
    <row r="9" customFormat="false" ht="15" hidden="false" customHeight="false" outlineLevel="0" collapsed="false">
      <c r="D9" s="0" t="s">
        <v>714</v>
      </c>
      <c r="E9" s="0" t="s">
        <v>149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0</v>
      </c>
      <c r="P9" s="11" t="n">
        <f aca="false">IF(Time!P29=1,SUM(Funding!$J$44:$BJ$44),O13)</f>
        <v>39.5901571901212</v>
      </c>
      <c r="Q9" s="11" t="n">
        <f aca="false">IF(Time!Q29=1,SUM(Funding!$J$44:$BJ$44),P13)</f>
        <v>39.5901571901212</v>
      </c>
      <c r="R9" s="11" t="n">
        <f aca="false">IF(Time!R29=1,SUM(Funding!$J$44:$BJ$44),Q13)</f>
        <v>40.0955116122781</v>
      </c>
      <c r="S9" s="11" t="n">
        <f aca="false">IF(Time!S29=1,SUM(Funding!$J$44:$BJ$44),R13)</f>
        <v>39.7778387053405</v>
      </c>
      <c r="T9" s="11" t="n">
        <f aca="false">IF(Time!T29=1,SUM(Funding!$J$44:$BJ$44),S13)</f>
        <v>40.2295607160554</v>
      </c>
      <c r="U9" s="11" t="n">
        <f aca="false">IF(Time!U29=1,SUM(Funding!$J$44:$BJ$44),T13)</f>
        <v>40.0312842957064</v>
      </c>
      <c r="V9" s="11" t="n">
        <f aca="false">IF(Time!V29=1,SUM(Funding!$J$44:$BJ$44),U13)</f>
        <v>40.7986666606384</v>
      </c>
      <c r="W9" s="11" t="n">
        <f aca="false">IF(Time!W29=1,SUM(Funding!$J$44:$BJ$44),V13)</f>
        <v>40.5087228524253</v>
      </c>
      <c r="X9" s="11" t="n">
        <f aca="false">IF(Time!X29=1,SUM(Funding!$J$44:$BJ$44),W13)</f>
        <v>39.3469132499841</v>
      </c>
      <c r="Y9" s="11" t="n">
        <f aca="false">IF(Time!Y29=1,SUM(Funding!$J$44:$BJ$44),X13)</f>
        <v>38.959871050273</v>
      </c>
      <c r="Z9" s="11" t="n">
        <f aca="false">IF(Time!Z29=1,SUM(Funding!$J$44:$BJ$44),Y13)</f>
        <v>39.2853733075215</v>
      </c>
      <c r="AA9" s="11" t="n">
        <f aca="false">IF(Time!AA29=1,SUM(Funding!$J$44:$BJ$44),Z13)</f>
        <v>38.9619967644553</v>
      </c>
      <c r="AB9" s="11" t="n">
        <f aca="false">IF(Time!AB29=1,SUM(Funding!$J$44:$BJ$44),AA13)</f>
        <v>39.4247252652081</v>
      </c>
      <c r="AC9" s="11" t="n">
        <f aca="false">IF(Time!AC29=1,SUM(Funding!$J$44:$BJ$44),AB13)</f>
        <v>38.7444655741052</v>
      </c>
      <c r="AD9" s="11" t="n">
        <f aca="false">IF(Time!AD29=1,SUM(Funding!$J$44:$BJ$44),AC13)</f>
        <v>39.5783031185693</v>
      </c>
      <c r="AE9" s="11" t="n">
        <f aca="false">IF(Time!AE29=1,SUM(Funding!$J$44:$BJ$44),AD13)</f>
        <v>39.0152983044463</v>
      </c>
      <c r="AF9" s="11" t="n">
        <f aca="false">IF(Time!AF29=1,SUM(Funding!$J$44:$BJ$44),AE13)</f>
        <v>38.3975174153793</v>
      </c>
      <c r="AG9" s="11" t="n">
        <f aca="false">IF(Time!AG29=1,SUM(Funding!$J$44:$BJ$44),AF13)</f>
        <v>37.1768380015028</v>
      </c>
      <c r="AH9" s="11" t="n">
        <f aca="false">IF(Time!AH29=1,SUM(Funding!$J$44:$BJ$44),AG13)</f>
        <v>36.4693329991737</v>
      </c>
      <c r="AI9" s="11" t="n">
        <f aca="false">IF(Time!AI29=1,SUM(Funding!$J$44:$BJ$44),AH13)</f>
        <v>34.8980305271939</v>
      </c>
      <c r="AJ9" s="11" t="n">
        <f aca="false">IF(Time!AJ29=1,SUM(Funding!$J$44:$BJ$44),AI13)</f>
        <v>33.6218970424988</v>
      </c>
      <c r="AK9" s="11" t="n">
        <f aca="false">IF(Time!AK29=1,SUM(Funding!$J$44:$BJ$44),AJ13)</f>
        <v>31.446910313157</v>
      </c>
      <c r="AL9" s="11" t="n">
        <f aca="false">IF(Time!AL29=1,SUM(Funding!$J$44:$BJ$44),AK13)</f>
        <v>29.272415075822</v>
      </c>
      <c r="AM9" s="11" t="n">
        <f aca="false">IF(Time!AM29=1,SUM(Funding!$J$44:$BJ$44),AL13)</f>
        <v>25.0990387543341</v>
      </c>
      <c r="AN9" s="11" t="n">
        <f aca="false">IF(Time!AN29=1,SUM(Funding!$J$44:$BJ$44),AM13)</f>
        <v>20.3736881724253</v>
      </c>
      <c r="AO9" s="11" t="n">
        <f aca="false">IF(Time!AO29=1,SUM(Funding!$J$44:$BJ$44),AN13)</f>
        <v>20.1307130705795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715</v>
      </c>
      <c r="E10" s="0" t="s">
        <v>149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716</v>
      </c>
      <c r="E11" s="0" t="s">
        <v>149</v>
      </c>
      <c r="G11" s="11" t="n">
        <f aca="false">SUM(J11:BN11)</f>
        <v>3.34652710026946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0</v>
      </c>
      <c r="P11" s="11" t="n">
        <f aca="false">MIN(Waterfall!P13,MAX(0,Debt!P132-(P9-P10)))</f>
        <v>0</v>
      </c>
      <c r="Q11" s="11" t="n">
        <f aca="false">MIN(Waterfall!Q13,MAX(0,Debt!Q132-(Q9-Q10)))</f>
        <v>0.505354422156948</v>
      </c>
      <c r="R11" s="11" t="n">
        <f aca="false">MIN(Waterfall!R13,MAX(0,Debt!R132-(R9-R10)))</f>
        <v>0</v>
      </c>
      <c r="S11" s="11" t="n">
        <f aca="false">MIN(Waterfall!S13,MAX(0,Debt!S132-(S9-S10)))</f>
        <v>0.451722010714931</v>
      </c>
      <c r="T11" s="11" t="n">
        <f aca="false">MIN(Waterfall!T13,MAX(0,Debt!T132-(T9-T10)))</f>
        <v>0</v>
      </c>
      <c r="U11" s="11" t="n">
        <f aca="false">MIN(Waterfall!U13,MAX(0,Debt!U132-(U9-U10)))</f>
        <v>0.767382364932026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0.325502257248544</v>
      </c>
      <c r="Z11" s="11" t="n">
        <f aca="false">MIN(Waterfall!Z13,MAX(0,Debt!Z132-(Z9-Z10)))</f>
        <v>0</v>
      </c>
      <c r="AA11" s="11" t="n">
        <f aca="false">MIN(Waterfall!AA13,MAX(0,Debt!AA132-(AA9-AA10)))</f>
        <v>0.462728500752817</v>
      </c>
      <c r="AB11" s="11" t="n">
        <f aca="false">MIN(Waterfall!AB13,MAX(0,Debt!AB132-(AB9-AB10)))</f>
        <v>0</v>
      </c>
      <c r="AC11" s="11" t="n">
        <f aca="false">MIN(Waterfall!AC13,MAX(0,Debt!AC132-(AC9-AC10)))</f>
        <v>0.833837544464195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717</v>
      </c>
      <c r="E12" s="0" t="s">
        <v>149</v>
      </c>
      <c r="G12" s="11" t="n">
        <f aca="false">SUM(J12:BN12)</f>
        <v>42.9366842903906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</v>
      </c>
      <c r="Q12" s="11" t="n">
        <f aca="false">MAX(0,Q9-Q10-Debt!Q132)</f>
        <v>0</v>
      </c>
      <c r="R12" s="11" t="n">
        <f aca="false">MAX(0,R9-R10-Debt!R132)</f>
        <v>0.317672906937638</v>
      </c>
      <c r="S12" s="11" t="n">
        <f aca="false">MAX(0,S9-S10-Debt!S132)</f>
        <v>0</v>
      </c>
      <c r="T12" s="11" t="n">
        <f aca="false">MAX(0,T9-T10-Debt!T132)</f>
        <v>0.198276420349032</v>
      </c>
      <c r="U12" s="11" t="n">
        <f aca="false">MAX(0,U9-U10-Debt!U132)</f>
        <v>0</v>
      </c>
      <c r="V12" s="11" t="n">
        <f aca="false">MAX(0,V9-V10-Debt!V132)</f>
        <v>0.289943808213103</v>
      </c>
      <c r="W12" s="11" t="n">
        <f aca="false">MAX(0,W9-W10-Debt!W132)</f>
        <v>1.16180960244122</v>
      </c>
      <c r="X12" s="11" t="n">
        <f aca="false">MAX(0,X9-X10-Debt!X132)</f>
        <v>0.387042199711061</v>
      </c>
      <c r="Y12" s="11" t="n">
        <f aca="false">MAX(0,Y9-Y10-Debt!Y132)</f>
        <v>0</v>
      </c>
      <c r="Z12" s="11" t="n">
        <f aca="false">MAX(0,Z9-Z10-Debt!Z132)</f>
        <v>0.323376543066296</v>
      </c>
      <c r="AA12" s="11" t="n">
        <f aca="false">MAX(0,AA9-AA10-Debt!AA132)</f>
        <v>0</v>
      </c>
      <c r="AB12" s="11" t="n">
        <f aca="false">MAX(0,AB9-AB10-Debt!AB132)</f>
        <v>0.680259691102918</v>
      </c>
      <c r="AC12" s="11" t="n">
        <f aca="false">MAX(0,AC9-AC10-Debt!AC132)</f>
        <v>0</v>
      </c>
      <c r="AD12" s="11" t="n">
        <f aca="false">MAX(0,AD9-AD10-Debt!AD132)</f>
        <v>0.563004814123076</v>
      </c>
      <c r="AE12" s="11" t="n">
        <f aca="false">MAX(0,AE9-AE10-Debt!AE132)</f>
        <v>0.617780889066964</v>
      </c>
      <c r="AF12" s="11" t="n">
        <f aca="false">MAX(0,AF9-AF10-Debt!AF132)</f>
        <v>1.22067941387655</v>
      </c>
      <c r="AG12" s="11" t="n">
        <f aca="false">MAX(0,AG9-AG10-Debt!AG132)</f>
        <v>0.707505002329043</v>
      </c>
      <c r="AH12" s="11" t="n">
        <f aca="false">MAX(0,AH9-AH10-Debt!AH132)</f>
        <v>1.57130247197977</v>
      </c>
      <c r="AI12" s="11" t="n">
        <f aca="false">MAX(0,AI9-AI10-Debt!AI132)</f>
        <v>1.27613348469514</v>
      </c>
      <c r="AJ12" s="11" t="n">
        <f aca="false">MAX(0,AJ9-AJ10-Debt!AJ132)</f>
        <v>2.17498672934183</v>
      </c>
      <c r="AK12" s="11" t="n">
        <f aca="false">MAX(0,AK9-AK10-Debt!AK132)</f>
        <v>2.17449523733498</v>
      </c>
      <c r="AL12" s="11" t="n">
        <f aca="false">MAX(0,AL9-AL10-Debt!AL132)</f>
        <v>4.17337632148789</v>
      </c>
      <c r="AM12" s="11" t="n">
        <f aca="false">MAX(0,AM9-AM10-Debt!AM132)</f>
        <v>4.72535058190885</v>
      </c>
      <c r="AN12" s="11" t="n">
        <f aca="false">MAX(0,AN9-AN10-Debt!AN132)</f>
        <v>0.242975101845747</v>
      </c>
      <c r="AO12" s="11" t="n">
        <f aca="false">MAX(0,AO9-AO10-Debt!AO132)</f>
        <v>20.1307130705795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718</v>
      </c>
      <c r="E13" s="0" t="s">
        <v>149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0</v>
      </c>
      <c r="P13" s="11" t="n">
        <f aca="false">(1-Time!P32)*(P9-P10+P11-P12)</f>
        <v>39.5901571901212</v>
      </c>
      <c r="Q13" s="11" t="n">
        <f aca="false">(1-Time!Q32)*(Q9-Q10+Q11-Q12)</f>
        <v>40.0955116122781</v>
      </c>
      <c r="R13" s="11" t="n">
        <f aca="false">(1-Time!R32)*(R9-R10+R11-R12)</f>
        <v>39.7778387053405</v>
      </c>
      <c r="S13" s="11" t="n">
        <f aca="false">(1-Time!S32)*(S9-S10+S11-S12)</f>
        <v>40.2295607160554</v>
      </c>
      <c r="T13" s="11" t="n">
        <f aca="false">(1-Time!T32)*(T9-T10+T11-T12)</f>
        <v>40.0312842957064</v>
      </c>
      <c r="U13" s="11" t="n">
        <f aca="false">(1-Time!U32)*(U9-U10+U11-U12)</f>
        <v>40.7986666606384</v>
      </c>
      <c r="V13" s="11" t="n">
        <f aca="false">(1-Time!V32)*(V9-V10+V11-V12)</f>
        <v>40.5087228524253</v>
      </c>
      <c r="W13" s="11" t="n">
        <f aca="false">(1-Time!W32)*(W9-W10+W11-W12)</f>
        <v>39.3469132499841</v>
      </c>
      <c r="X13" s="11" t="n">
        <f aca="false">(1-Time!X32)*(X9-X10+X11-X12)</f>
        <v>38.959871050273</v>
      </c>
      <c r="Y13" s="11" t="n">
        <f aca="false">(1-Time!Y32)*(Y9-Y10+Y11-Y12)</f>
        <v>39.2853733075215</v>
      </c>
      <c r="Z13" s="11" t="n">
        <f aca="false">(1-Time!Z32)*(Z9-Z10+Z11-Z12)</f>
        <v>38.9619967644553</v>
      </c>
      <c r="AA13" s="11" t="n">
        <f aca="false">(1-Time!AA32)*(AA9-AA10+AA11-AA12)</f>
        <v>39.4247252652081</v>
      </c>
      <c r="AB13" s="11" t="n">
        <f aca="false">(1-Time!AB32)*(AB9-AB10+AB11-AB12)</f>
        <v>38.7444655741052</v>
      </c>
      <c r="AC13" s="11" t="n">
        <f aca="false">(1-Time!AC32)*(AC9-AC10+AC11-AC12)</f>
        <v>39.5783031185693</v>
      </c>
      <c r="AD13" s="11" t="n">
        <f aca="false">(1-Time!AD32)*(AD9-AD10+AD11-AD12)</f>
        <v>39.0152983044463</v>
      </c>
      <c r="AE13" s="11" t="n">
        <f aca="false">(1-Time!AE32)*(AE9-AE10+AE11-AE12)</f>
        <v>38.3975174153793</v>
      </c>
      <c r="AF13" s="11" t="n">
        <f aca="false">(1-Time!AF32)*(AF9-AF10+AF11-AF12)</f>
        <v>37.1768380015028</v>
      </c>
      <c r="AG13" s="11" t="n">
        <f aca="false">(1-Time!AG32)*(AG9-AG10+AG11-AG12)</f>
        <v>36.4693329991737</v>
      </c>
      <c r="AH13" s="11" t="n">
        <f aca="false">(1-Time!AH32)*(AH9-AH10+AH11-AH12)</f>
        <v>34.8980305271939</v>
      </c>
      <c r="AI13" s="11" t="n">
        <f aca="false">(1-Time!AI32)*(AI9-AI10+AI11-AI12)</f>
        <v>33.6218970424988</v>
      </c>
      <c r="AJ13" s="11" t="n">
        <f aca="false">(1-Time!AJ32)*(AJ9-AJ10+AJ11-AJ12)</f>
        <v>31.446910313157</v>
      </c>
      <c r="AK13" s="11" t="n">
        <f aca="false">(1-Time!AK32)*(AK9-AK10+AK11-AK12)</f>
        <v>29.272415075822</v>
      </c>
      <c r="AL13" s="11" t="n">
        <f aca="false">(1-Time!AL32)*(AL9-AL10+AL11-AL12)</f>
        <v>25.0990387543341</v>
      </c>
      <c r="AM13" s="11" t="n">
        <f aca="false">(1-Time!AM32)*(AM9-AM10+AM11-AM12)</f>
        <v>20.3736881724253</v>
      </c>
      <c r="AN13" s="11" t="n">
        <f aca="false">(1-Time!AN32)*(AN9-AN10+AN11-AN12)</f>
        <v>20.1307130705795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719</v>
      </c>
      <c r="E14" s="0" t="s">
        <v>149</v>
      </c>
      <c r="G14" s="11" t="n">
        <f aca="false">SUM(J14:BN14)</f>
        <v>19.2778097774822</v>
      </c>
      <c r="J14" s="11" t="n">
        <f aca="false">MIN(Waterfall!J14,Operations!J77)</f>
        <v>0</v>
      </c>
      <c r="K14" s="11" t="n">
        <f aca="false">MIN(Waterfall!K14,Operations!K77)</f>
        <v>0</v>
      </c>
      <c r="L14" s="11" t="n">
        <f aca="false">MIN(Waterfall!L14,Operations!L77)</f>
        <v>0</v>
      </c>
      <c r="M14" s="11" t="n">
        <f aca="false">MIN(Waterfall!M14,Operations!M77)</f>
        <v>0</v>
      </c>
      <c r="N14" s="11" t="n">
        <f aca="false">MIN(Waterfall!N14,Operations!N77)</f>
        <v>0</v>
      </c>
      <c r="O14" s="11" t="n">
        <f aca="false">MIN(Waterfall!O14,Operations!O77)</f>
        <v>0</v>
      </c>
      <c r="P14" s="11" t="n">
        <f aca="false">MIN(Waterfall!P14,Operations!P77)</f>
        <v>0</v>
      </c>
      <c r="Q14" s="11" t="n">
        <f aca="false">MIN(Waterfall!Q14,Operations!Q77)</f>
        <v>0</v>
      </c>
      <c r="R14" s="11" t="n">
        <f aca="false">MIN(Waterfall!R14,Operations!R77)</f>
        <v>0</v>
      </c>
      <c r="S14" s="11" t="n">
        <f aca="false">MIN(Waterfall!S14,Operations!S77)</f>
        <v>0</v>
      </c>
      <c r="T14" s="11" t="n">
        <f aca="false">MIN(Waterfall!T14,Operations!T77)</f>
        <v>0</v>
      </c>
      <c r="U14" s="11" t="n">
        <f aca="false">MIN(Waterfall!U14,Operations!U77)</f>
        <v>0</v>
      </c>
      <c r="V14" s="11" t="n">
        <f aca="false">MIN(Waterfall!V14,Operations!V77)</f>
        <v>0</v>
      </c>
      <c r="W14" s="11" t="n">
        <f aca="false">MIN(Waterfall!W14,Operations!W77)</f>
        <v>0</v>
      </c>
      <c r="X14" s="11" t="n">
        <f aca="false">MIN(Waterfall!X14,Operations!X77)</f>
        <v>0</v>
      </c>
      <c r="Y14" s="11" t="n">
        <f aca="false">MIN(Waterfall!Y14,Operations!Y77)</f>
        <v>0</v>
      </c>
      <c r="Z14" s="11" t="n">
        <f aca="false">MIN(Waterfall!Z14,Operations!Z77)</f>
        <v>0</v>
      </c>
      <c r="AA14" s="11" t="n">
        <f aca="false">MIN(Waterfall!AA14,Operations!AA77)</f>
        <v>0</v>
      </c>
      <c r="AB14" s="11" t="n">
        <f aca="false">MIN(Waterfall!AB14,Operations!AB77)</f>
        <v>0</v>
      </c>
      <c r="AC14" s="11" t="n">
        <f aca="false">MIN(Waterfall!AC14,Operations!AC77)</f>
        <v>0</v>
      </c>
      <c r="AD14" s="11" t="n">
        <f aca="false">MIN(Waterfall!AD14,Operations!AD77)</f>
        <v>0</v>
      </c>
      <c r="AE14" s="11" t="n">
        <f aca="false">MIN(Waterfall!AE14,Operations!AE77)</f>
        <v>0</v>
      </c>
      <c r="AF14" s="11" t="n">
        <f aca="false">MIN(Waterfall!AF14,Operations!AF77)</f>
        <v>0</v>
      </c>
      <c r="AG14" s="11" t="n">
        <f aca="false">MIN(Waterfall!AG14,Operations!AG77)</f>
        <v>0</v>
      </c>
      <c r="AH14" s="11" t="n">
        <f aca="false">MIN(Waterfall!AH14,Operations!AH77)</f>
        <v>0</v>
      </c>
      <c r="AI14" s="11" t="n">
        <f aca="false">MIN(Waterfall!AI14,Operations!AI77)</f>
        <v>0</v>
      </c>
      <c r="AJ14" s="11" t="n">
        <f aca="false">MIN(Waterfall!AJ14,Operations!AJ77)</f>
        <v>0</v>
      </c>
      <c r="AK14" s="11" t="n">
        <f aca="false">MIN(Waterfall!AK14,Operations!AK77)</f>
        <v>0</v>
      </c>
      <c r="AL14" s="11" t="n">
        <f aca="false">MIN(Waterfall!AL14,Operations!AL77)</f>
        <v>0</v>
      </c>
      <c r="AM14" s="11" t="n">
        <f aca="false">MIN(Waterfall!AM14,Operations!AM77)</f>
        <v>0</v>
      </c>
      <c r="AN14" s="11" t="n">
        <f aca="false">MIN(Waterfall!AN14,Operations!AN77)</f>
        <v>0</v>
      </c>
      <c r="AO14" s="11" t="n">
        <f aca="false">MIN(Waterfall!AO14,Operations!AO77)</f>
        <v>0</v>
      </c>
      <c r="AP14" s="11" t="n">
        <f aca="false">MIN(Waterfall!AP14,Operations!AP77)</f>
        <v>0</v>
      </c>
      <c r="AQ14" s="11" t="n">
        <f aca="false">MIN(Waterfall!AQ14,Operations!AQ77)</f>
        <v>0</v>
      </c>
      <c r="AR14" s="11" t="n">
        <f aca="false">MIN(Waterfall!AR14,Operations!AR77)</f>
        <v>0</v>
      </c>
      <c r="AS14" s="11" t="n">
        <f aca="false">MIN(Waterfall!AS14,Operations!AS77)</f>
        <v>0</v>
      </c>
      <c r="AT14" s="11" t="n">
        <f aca="false">MIN(Waterfall!AT14,Operations!AT77)</f>
        <v>0</v>
      </c>
      <c r="AU14" s="11" t="n">
        <f aca="false">MIN(Waterfall!AU14,Operations!AU77)</f>
        <v>0</v>
      </c>
      <c r="AV14" s="11" t="n">
        <f aca="false">MIN(Waterfall!AV14,Operations!AV77)</f>
        <v>0</v>
      </c>
      <c r="AW14" s="11" t="n">
        <f aca="false">MIN(Waterfall!AW14,Operations!AW77)</f>
        <v>0</v>
      </c>
      <c r="AX14" s="11" t="n">
        <f aca="false">MIN(Waterfall!AX14,Operations!AX77)</f>
        <v>0</v>
      </c>
      <c r="AY14" s="11" t="n">
        <f aca="false">MIN(Waterfall!AY14,Operations!AY77)</f>
        <v>0</v>
      </c>
      <c r="AZ14" s="11" t="n">
        <f aca="false">MIN(Waterfall!AZ14,Operations!AZ77)</f>
        <v>0</v>
      </c>
      <c r="BA14" s="11" t="n">
        <f aca="false">MIN(Waterfall!BA14,Operations!BA77)</f>
        <v>0</v>
      </c>
      <c r="BB14" s="11" t="n">
        <f aca="false">MIN(Waterfall!BB14,Operations!BB77)</f>
        <v>0.500383418214804</v>
      </c>
      <c r="BC14" s="11" t="n">
        <f aca="false">MIN(Waterfall!BC14,Operations!BC77)</f>
        <v>1.51757307334224</v>
      </c>
      <c r="BD14" s="11" t="n">
        <f aca="false">MIN(Waterfall!BD14,Operations!BD77)</f>
        <v>1.53417556024659</v>
      </c>
      <c r="BE14" s="11" t="n">
        <f aca="false">MIN(Waterfall!BE14,Operations!BE77)</f>
        <v>1.55095968095577</v>
      </c>
      <c r="BF14" s="11" t="n">
        <f aca="false">MIN(Waterfall!BF14,Operations!BF77)</f>
        <v>1.56792742257201</v>
      </c>
      <c r="BG14" s="11" t="n">
        <f aca="false">MIN(Waterfall!BG14,Operations!BG77)</f>
        <v>1.58508079393679</v>
      </c>
      <c r="BH14" s="11" t="n">
        <f aca="false">MIN(Waterfall!BH14,Operations!BH77)</f>
        <v>1.6024218258686</v>
      </c>
      <c r="BI14" s="11" t="n">
        <f aca="false">MIN(Waterfall!BI14,Operations!BI77)</f>
        <v>1.6199525714034</v>
      </c>
      <c r="BJ14" s="11" t="n">
        <f aca="false">MIN(Waterfall!BJ14,Operations!BJ77)</f>
        <v>1.63767510603771</v>
      </c>
      <c r="BK14" s="11" t="n">
        <f aca="false">MIN(Waterfall!BK14,Operations!BK77)</f>
        <v>1.65559152797428</v>
      </c>
      <c r="BL14" s="11" t="n">
        <f aca="false">MIN(Waterfall!BL14,Operations!BL77)</f>
        <v>1.67370395837054</v>
      </c>
      <c r="BM14" s="11" t="n">
        <f aca="false">MIN(Waterfall!BM14,Operations!BM77)</f>
        <v>1.69201454158971</v>
      </c>
      <c r="BN14" s="11" t="n">
        <f aca="false">MIN(Waterfall!BN14,Operations!BN77)</f>
        <v>1.14035029696979</v>
      </c>
    </row>
    <row r="15" customFormat="false" ht="15" hidden="false" customHeight="false" outlineLevel="0" collapsed="false">
      <c r="D15" s="0" t="s">
        <v>720</v>
      </c>
      <c r="E15" s="0" t="s">
        <v>149</v>
      </c>
      <c r="G15" s="11" t="n">
        <f aca="false">SUM(J15:BN15)</f>
        <v>19.2778097774822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0</v>
      </c>
      <c r="BN15" s="11" t="n">
        <f aca="false">Time!BN32*(BM16+BN14)</f>
        <v>19.2778097774822</v>
      </c>
    </row>
    <row r="16" customFormat="false" ht="15" hidden="false" customHeight="false" outlineLevel="0" collapsed="false">
      <c r="D16" s="0" t="s">
        <v>721</v>
      </c>
      <c r="E16" s="0" t="s">
        <v>149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</v>
      </c>
      <c r="BB16" s="11" t="n">
        <f aca="false">BA16+BB14-BB15</f>
        <v>0.500383418214804</v>
      </c>
      <c r="BC16" s="11" t="n">
        <f aca="false">BB16+BC14-BC15</f>
        <v>2.01795649155704</v>
      </c>
      <c r="BD16" s="11" t="n">
        <f aca="false">BC16+BD14-BD15</f>
        <v>3.55213205180363</v>
      </c>
      <c r="BE16" s="11" t="n">
        <f aca="false">BD16+BE14-BE15</f>
        <v>5.1030917327594</v>
      </c>
      <c r="BF16" s="11" t="n">
        <f aca="false">BE16+BF14-BF15</f>
        <v>6.67101915533141</v>
      </c>
      <c r="BG16" s="11" t="n">
        <f aca="false">BF16+BG14-BG15</f>
        <v>8.2560999492682</v>
      </c>
      <c r="BH16" s="11" t="n">
        <f aca="false">BG16+BH14-BH15</f>
        <v>9.8585217751368</v>
      </c>
      <c r="BI16" s="11" t="n">
        <f aca="false">BH16+BI14-BI15</f>
        <v>11.4784743465402</v>
      </c>
      <c r="BJ16" s="11" t="n">
        <f aca="false">BI16+BJ14-BJ15</f>
        <v>13.1161494525779</v>
      </c>
      <c r="BK16" s="11" t="n">
        <f aca="false">BJ16+BK14-BK15</f>
        <v>14.7717409805522</v>
      </c>
      <c r="BL16" s="11" t="n">
        <f aca="false">BK16+BL14-BL15</f>
        <v>16.4454449389227</v>
      </c>
      <c r="BM16" s="11" t="n">
        <f aca="false">BL16+BM14-BM15</f>
        <v>18.1374594805124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722</v>
      </c>
      <c r="E17" s="0" t="s">
        <v>149</v>
      </c>
      <c r="J17" s="11" t="n">
        <f aca="false">Inputs!$F$48*IF(AND(Time!J17&gt;=Time!$F$11,Time!J17&lt;8),Inputs!$F$191,0)</f>
        <v>0</v>
      </c>
      <c r="K17" s="11" t="n">
        <f aca="false">Inputs!$F$48*IF(AND(Time!K17&gt;=Time!$F$11,Time!K17&lt;8),Inputs!$F$191,0)</f>
        <v>0</v>
      </c>
      <c r="L17" s="11" t="n">
        <f aca="false">Inputs!$F$48*IF(AND(Time!L17&gt;=Time!$F$11,Time!L17&lt;8),Inputs!$F$191,0)</f>
        <v>0</v>
      </c>
      <c r="M17" s="11" t="n">
        <f aca="false">Inputs!$F$48*IF(AND(Time!M17&gt;=Time!$F$11,Time!M17&lt;8),Inputs!$F$191,0)</f>
        <v>0</v>
      </c>
      <c r="N17" s="11" t="n">
        <f aca="false">Inputs!$F$48*IF(AND(Time!N17&gt;=Time!$F$11,Time!N17&lt;8),Inputs!$F$191,0)</f>
        <v>0</v>
      </c>
      <c r="O17" s="11" t="n">
        <f aca="false">Inputs!$F$48*IF(AND(Time!O17&gt;=Time!$F$11,Time!O17&lt;8),Inputs!$F$191,0)</f>
        <v>0</v>
      </c>
      <c r="P17" s="11" t="n">
        <f aca="false">Inputs!$F$48*IF(AND(Time!P17&gt;=Time!$F$11,Time!P17&lt;8),Inputs!$F$191,0)</f>
        <v>0</v>
      </c>
      <c r="Q17" s="11" t="n">
        <f aca="false">Inputs!$F$48*IF(AND(Time!Q17&gt;=Time!$F$11,Time!Q17&lt;8),Inputs!$F$191,0)</f>
        <v>0</v>
      </c>
      <c r="R17" s="11" t="n">
        <f aca="false">Inputs!$F$48*IF(AND(Time!R17&gt;=Time!$F$11,Time!R17&lt;8),Inputs!$F$191,0)</f>
        <v>0</v>
      </c>
      <c r="S17" s="11" t="n">
        <f aca="false">Inputs!$F$48*IF(AND(Time!S17&gt;=Time!$F$11,Time!S17&lt;8),Inputs!$F$191,0)</f>
        <v>0</v>
      </c>
      <c r="T17" s="11" t="n">
        <f aca="false">Inputs!$F$48*IF(AND(Time!T17&gt;=Time!$F$11,Time!T17&lt;8),Inputs!$F$191,0)</f>
        <v>0</v>
      </c>
      <c r="U17" s="11" t="n">
        <f aca="false">Inputs!$F$48*IF(AND(Time!U17&gt;=Time!$F$11,Time!U17&lt;8),Inputs!$F$191,0)</f>
        <v>0</v>
      </c>
      <c r="V17" s="11" t="n">
        <f aca="false">Inputs!$F$48*IF(AND(Time!V17&gt;=Time!$F$11,Time!V17&lt;8),Inputs!$F$191,0)</f>
        <v>0</v>
      </c>
      <c r="W17" s="11" t="n">
        <f aca="false">Inputs!$F$48*IF(AND(Time!W17&gt;=Time!$F$11,Time!W17&lt;8),Inputs!$F$191,0)</f>
        <v>0</v>
      </c>
      <c r="X17" s="11" t="n">
        <f aca="false">Inputs!$F$48*IF(AND(Time!X17&gt;=Time!$F$11,Time!X17&lt;8),Inputs!$F$191,0)</f>
        <v>0</v>
      </c>
      <c r="Y17" s="11" t="n">
        <f aca="false">Inputs!$F$48*IF(AND(Time!Y17&gt;=Time!$F$11,Time!Y17&lt;8),Inputs!$F$191,0)</f>
        <v>0</v>
      </c>
      <c r="Z17" s="11" t="n">
        <f aca="false">Inputs!$F$48*IF(AND(Time!Z17&gt;=Time!$F$11,Time!Z17&lt;8),Inputs!$F$191,0)</f>
        <v>0</v>
      </c>
      <c r="AA17" s="11" t="n">
        <f aca="false">Inputs!$F$48*IF(AND(Time!AA17&gt;=Time!$F$11,Time!AA17&lt;8),Inputs!$F$191,0)</f>
        <v>0</v>
      </c>
      <c r="AB17" s="11" t="n">
        <f aca="false">Inputs!$F$48*IF(AND(Time!AB17&gt;=Time!$F$11,Time!AB17&lt;8),Inputs!$F$191,0)</f>
        <v>0</v>
      </c>
      <c r="AC17" s="11" t="n">
        <f aca="false">Inputs!$F$48*IF(AND(Time!AC17&gt;=Time!$F$11,Time!AC17&lt;8),Inputs!$F$191,0)</f>
        <v>0</v>
      </c>
      <c r="AD17" s="11" t="n">
        <f aca="false">Inputs!$F$48*IF(AND(Time!AD17&gt;=Time!$F$11,Time!AD17&lt;8),Inputs!$F$191,0)</f>
        <v>0</v>
      </c>
      <c r="AE17" s="11" t="n">
        <f aca="false">Inputs!$F$48*IF(AND(Time!AE17&gt;=Time!$F$11,Time!AE17&lt;8),Inputs!$F$191,0)</f>
        <v>0</v>
      </c>
      <c r="AF17" s="11" t="n">
        <f aca="false">Inputs!$F$48*IF(AND(Time!AF17&gt;=Time!$F$11,Time!AF17&lt;8),Inputs!$F$191,0)</f>
        <v>0</v>
      </c>
      <c r="AG17" s="11" t="n">
        <f aca="false">Inputs!$F$48*IF(AND(Time!AG17&gt;=Time!$F$11,Time!AG17&lt;8),Inputs!$F$191,0)</f>
        <v>0</v>
      </c>
      <c r="AH17" s="11" t="n">
        <f aca="false">Inputs!$F$48*IF(AND(Time!AH17&gt;=Time!$F$11,Time!AH17&lt;8),Inputs!$F$191,0)</f>
        <v>0</v>
      </c>
      <c r="AI17" s="11" t="n">
        <f aca="false">Inputs!$F$48*IF(AND(Time!AI17&gt;=Time!$F$11,Time!AI17&lt;8),Inputs!$F$191,0)</f>
        <v>0</v>
      </c>
      <c r="AJ17" s="11" t="n">
        <f aca="false">Inputs!$F$48*IF(AND(Time!AJ17&gt;=Time!$F$11,Time!AJ17&lt;8),Inputs!$F$191,0)</f>
        <v>0</v>
      </c>
      <c r="AK17" s="11" t="n">
        <f aca="false">Inputs!$F$48*IF(AND(Time!AK17&gt;=Time!$F$11,Time!AK17&lt;8),Inputs!$F$191,0)</f>
        <v>0</v>
      </c>
      <c r="AL17" s="11" t="n">
        <f aca="false">Inputs!$F$48*IF(AND(Time!AL17&gt;=Time!$F$11,Time!AL17&lt;8),Inputs!$F$191,0)</f>
        <v>0</v>
      </c>
      <c r="AM17" s="11" t="n">
        <f aca="false">Inputs!$F$48*IF(AND(Time!AM17&gt;=Time!$F$11,Time!AM17&lt;8),Inputs!$F$191,0)</f>
        <v>0</v>
      </c>
      <c r="AN17" s="11" t="n">
        <f aca="false">Inputs!$F$48*IF(AND(Time!AN17&gt;=Time!$F$11,Time!AN17&lt;8),Inputs!$F$191,0)</f>
        <v>0</v>
      </c>
      <c r="AO17" s="11" t="n">
        <f aca="false">Inputs!$F$48*IF(AND(Time!AO17&gt;=Time!$F$11,Time!AO17&lt;8),Inputs!$F$191,0)</f>
        <v>0</v>
      </c>
      <c r="AP17" s="11" t="n">
        <f aca="false">Inputs!$F$48*IF(AND(Time!AP17&gt;=Time!$F$11,Time!AP17&lt;8),Inputs!$F$191,0)</f>
        <v>0</v>
      </c>
      <c r="AQ17" s="11" t="n">
        <f aca="false">Inputs!$F$48*IF(AND(Time!AQ17&gt;=Time!$F$11,Time!AQ17&lt;8),Inputs!$F$191,0)</f>
        <v>0</v>
      </c>
      <c r="AR17" s="11" t="n">
        <f aca="false">Inputs!$F$48*IF(AND(Time!AR17&gt;=Time!$F$11,Time!AR17&lt;8),Inputs!$F$191,0)</f>
        <v>0</v>
      </c>
      <c r="AS17" s="11" t="n">
        <f aca="false">Inputs!$F$48*IF(AND(Time!AS17&gt;=Time!$F$11,Time!AS17&lt;8),Inputs!$F$191,0)</f>
        <v>0</v>
      </c>
      <c r="AT17" s="11" t="n">
        <f aca="false">Inputs!$F$48*IF(AND(Time!AT17&gt;=Time!$F$11,Time!AT17&lt;8),Inputs!$F$191,0)</f>
        <v>0</v>
      </c>
      <c r="AU17" s="11" t="n">
        <f aca="false">Inputs!$F$48*IF(AND(Time!AU17&gt;=Time!$F$11,Time!AU17&lt;8),Inputs!$F$191,0)</f>
        <v>0</v>
      </c>
      <c r="AV17" s="11" t="n">
        <f aca="false">Inputs!$F$48*IF(AND(Time!AV17&gt;=Time!$F$11,Time!AV17&lt;8),Inputs!$F$191,0)</f>
        <v>0</v>
      </c>
      <c r="AW17" s="11" t="n">
        <f aca="false">Inputs!$F$48*IF(AND(Time!AW17&gt;=Time!$F$11,Time!AW17&lt;8),Inputs!$F$191,0)</f>
        <v>0</v>
      </c>
      <c r="AX17" s="11" t="n">
        <f aca="false">Inputs!$F$48*IF(AND(Time!AX17&gt;=Time!$F$11,Time!AX17&lt;8),Inputs!$F$191,0)</f>
        <v>0</v>
      </c>
      <c r="AY17" s="11" t="n">
        <f aca="false">Inputs!$F$48*IF(AND(Time!AY17&gt;=Time!$F$11,Time!AY17&lt;8),Inputs!$F$191,0)</f>
        <v>0</v>
      </c>
      <c r="AZ17" s="11" t="n">
        <f aca="false">Inputs!$F$48*IF(AND(Time!AZ17&gt;=Time!$F$11,Time!AZ17&lt;8),Inputs!$F$191,0)</f>
        <v>0</v>
      </c>
      <c r="BA17" s="11" t="n">
        <f aca="false">Inputs!$F$48*IF(AND(Time!BA17&gt;=Time!$F$11,Time!BA17&lt;8),Inputs!$F$191,0)</f>
        <v>0</v>
      </c>
      <c r="BB17" s="11" t="n">
        <f aca="false">Inputs!$F$48*IF(AND(Time!BB17&gt;=Time!$F$11,Time!BB17&lt;8),Inputs!$F$191,0)</f>
        <v>0</v>
      </c>
      <c r="BC17" s="11" t="n">
        <f aca="false">Inputs!$F$48*IF(AND(Time!BC17&gt;=Time!$F$11,Time!BC17&lt;8),Inputs!$F$191,0)</f>
        <v>0</v>
      </c>
      <c r="BD17" s="11" t="n">
        <f aca="false">Inputs!$F$48*IF(AND(Time!BD17&gt;=Time!$F$11,Time!BD17&lt;8),Inputs!$F$191,0)</f>
        <v>0</v>
      </c>
      <c r="BE17" s="11" t="n">
        <f aca="false">Inputs!$F$48*IF(AND(Time!BE17&gt;=Time!$F$11,Time!BE17&lt;8),Inputs!$F$191,0)</f>
        <v>0</v>
      </c>
      <c r="BF17" s="11" t="n">
        <f aca="false">Inputs!$F$48*IF(AND(Time!BF17&gt;=Time!$F$11,Time!BF17&lt;8),Inputs!$F$191,0)</f>
        <v>0</v>
      </c>
      <c r="BG17" s="11" t="n">
        <f aca="false">Inputs!$F$48*IF(AND(Time!BG17&gt;=Time!$F$11,Time!BG17&lt;8),Inputs!$F$191,0)</f>
        <v>0</v>
      </c>
      <c r="BH17" s="11" t="n">
        <f aca="false">Inputs!$F$48*IF(AND(Time!BH17&gt;=Time!$F$11,Time!BH17&lt;8),Inputs!$F$191,0)</f>
        <v>0</v>
      </c>
      <c r="BI17" s="11" t="n">
        <f aca="false">Inputs!$F$48*IF(AND(Time!BI17&gt;=Time!$F$11,Time!BI17&lt;8),Inputs!$F$191,0)</f>
        <v>0</v>
      </c>
      <c r="BJ17" s="11" t="n">
        <f aca="false">Inputs!$F$48*IF(AND(Time!BJ17&gt;=Time!$F$11,Time!BJ17&lt;8),Inputs!$F$191,0)</f>
        <v>0</v>
      </c>
      <c r="BK17" s="11" t="n">
        <f aca="false">Inputs!$F$48*IF(AND(Time!BK17&gt;=Time!$F$11,Time!BK17&lt;8),Inputs!$F$191,0)</f>
        <v>0</v>
      </c>
      <c r="BL17" s="11" t="n">
        <f aca="false">Inputs!$F$48*IF(AND(Time!BL17&gt;=Time!$F$11,Time!BL17&lt;8),Inputs!$F$191,0)</f>
        <v>0</v>
      </c>
      <c r="BM17" s="11" t="n">
        <f aca="false">Inputs!$F$48*IF(AND(Time!BM17&gt;=Time!$F$11,Time!BM17&lt;8),Inputs!$F$191,0)</f>
        <v>0</v>
      </c>
      <c r="BN17" s="11" t="n">
        <f aca="false">Inputs!$F$48*IF(AND(Time!BN17&gt;=Time!$F$11,Time!BN17&lt;8),Inputs!$F$191,0)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724</v>
      </c>
      <c r="E7" s="0" t="s">
        <v>149</v>
      </c>
      <c r="G7" s="11" t="n">
        <f aca="false">SUM(J7:BN7)</f>
        <v>2344.04366403942</v>
      </c>
      <c r="J7" s="11" t="n">
        <f aca="false">Operations!J80-Tax!J27-Operations!J92-Reserves!J7+Operations!J75+Operations!J93</f>
        <v>0</v>
      </c>
      <c r="K7" s="11" t="n">
        <f aca="false">Operations!K80-Tax!K27-Operations!K92-Reserves!K7+Operations!K75+Operations!K93</f>
        <v>0</v>
      </c>
      <c r="L7" s="11" t="n">
        <f aca="false">Operations!L80-Tax!L27-Operations!L92-Reserves!L7+Operations!L75+Operations!L93</f>
        <v>0</v>
      </c>
      <c r="M7" s="11" t="n">
        <f aca="false">Operations!M80-Tax!M27-Operations!M92-Reserves!M7+Operations!M75+Operations!M93</f>
        <v>0</v>
      </c>
      <c r="N7" s="11" t="n">
        <f aca="false">Operations!N80-Tax!N27-Operations!N92-Reserves!N7+Operations!N75+Operations!N93</f>
        <v>0</v>
      </c>
      <c r="O7" s="11" t="n">
        <f aca="false">Operations!O80-Tax!O27-Operations!O92-Reserves!O7+Operations!O75+Operations!O93</f>
        <v>0</v>
      </c>
      <c r="P7" s="11" t="n">
        <f aca="false">Operations!P80-Tax!P27-Operations!P92-Reserves!P7+Operations!P75+Operations!P93</f>
        <v>1.86721444482732</v>
      </c>
      <c r="Q7" s="11" t="n">
        <f aca="false">Operations!Q80-Tax!Q27-Operations!Q92-Reserves!Q7+Operations!Q75+Operations!Q93</f>
        <v>50.1694349259804</v>
      </c>
      <c r="R7" s="11" t="n">
        <f aca="false">Operations!R80-Tax!R27-Operations!R92-Reserves!R7+Operations!R75+Operations!R93</f>
        <v>50.7589649640819</v>
      </c>
      <c r="S7" s="11" t="n">
        <f aca="false">Operations!S80-Tax!S27-Operations!S92-Reserves!S7+Operations!S75+Operations!S93</f>
        <v>50.4233190401177</v>
      </c>
      <c r="T7" s="11" t="n">
        <f aca="false">Operations!T80-Tax!T27-Operations!T92-Reserves!T7+Operations!T75+Operations!T93</f>
        <v>51.0022495144261</v>
      </c>
      <c r="U7" s="11" t="n">
        <f aca="false">Operations!U80-Tax!U27-Operations!U92-Reserves!U7+Operations!U75+Operations!U93</f>
        <v>50.6723125847848</v>
      </c>
      <c r="V7" s="11" t="n">
        <f aca="false">Operations!V80-Tax!V27-Operations!V92-Reserves!V7+Operations!V75+Operations!V93</f>
        <v>51.1693558860182</v>
      </c>
      <c r="W7" s="11" t="n">
        <f aca="false">Operations!W80-Tax!W27-Operations!W92-Reserves!W7+Operations!W75+Operations!W93</f>
        <v>51.4024493908331</v>
      </c>
      <c r="X7" s="11" t="n">
        <f aca="false">Operations!X80-Tax!X27-Operations!X92-Reserves!X7+Operations!X75+Operations!X93</f>
        <v>51.9502968022351</v>
      </c>
      <c r="Y7" s="11" t="n">
        <f aca="false">Operations!Y80-Tax!Y27-Operations!Y92-Reserves!Y7+Operations!Y75+Operations!Y93</f>
        <v>49.460994216498</v>
      </c>
      <c r="Z7" s="11" t="n">
        <f aca="false">Operations!Z80-Tax!Z27-Operations!Z92-Reserves!Z7+Operations!Z75+Operations!Z93</f>
        <v>49.9717937201414</v>
      </c>
      <c r="AA7" s="11" t="n">
        <f aca="false">Operations!AA80-Tax!AA27-Operations!AA92-Reserves!AA7+Operations!AA75+Operations!AA93</f>
        <v>49.3840999040299</v>
      </c>
      <c r="AB7" s="11" t="n">
        <f aca="false">Operations!AB80-Tax!AB27-Operations!AB92-Reserves!AB7+Operations!AB75+Operations!AB93</f>
        <v>49.9820197005408</v>
      </c>
      <c r="AC7" s="11" t="n">
        <f aca="false">Operations!AC80-Tax!AC27-Operations!AC92-Reserves!AC7+Operations!AC75+Operations!AC93</f>
        <v>49.6443667431118</v>
      </c>
      <c r="AD7" s="11" t="n">
        <f aca="false">Operations!AD80-Tax!AD27-Operations!AD92-Reserves!AD7+Operations!AD75+Operations!AD93</f>
        <v>50.2015579797273</v>
      </c>
      <c r="AE7" s="11" t="n">
        <f aca="false">Operations!AE80-Tax!AE27-Operations!AE92-Reserves!AE7+Operations!AE75+Operations!AE93</f>
        <v>51.3752461862275</v>
      </c>
      <c r="AF7" s="11" t="n">
        <f aca="false">Operations!AF80-Tax!AF27-Operations!AF92-Reserves!AF7+Operations!AF75+Operations!AF93</f>
        <v>52.3831778159556</v>
      </c>
      <c r="AG7" s="11" t="n">
        <f aca="false">Operations!AG80-Tax!AG27-Operations!AG92-Reserves!AG7+Operations!AG75+Operations!AG93</f>
        <v>51.5272391835451</v>
      </c>
      <c r="AH7" s="11" t="n">
        <f aca="false">Operations!AH80-Tax!AH27-Operations!AH92-Reserves!AH7+Operations!AH75+Operations!AH93</f>
        <v>52.1805404506068</v>
      </c>
      <c r="AI7" s="11" t="n">
        <f aca="false">Operations!AI80-Tax!AI27-Operations!AI92-Reserves!AI7+Operations!AI75+Operations!AI93</f>
        <v>51.828817762181</v>
      </c>
      <c r="AJ7" s="11" t="n">
        <f aca="false">Operations!AJ80-Tax!AJ27-Operations!AJ92-Reserves!AJ7+Operations!AJ75+Operations!AJ93</f>
        <v>52.4490966240749</v>
      </c>
      <c r="AK7" s="11" t="n">
        <f aca="false">Operations!AK80-Tax!AK27-Operations!AK92-Reserves!AK7+Operations!AK75+Operations!AK93</f>
        <v>52.1049530907206</v>
      </c>
      <c r="AL7" s="11" t="n">
        <f aca="false">Operations!AL80-Tax!AL27-Operations!AL92-Reserves!AL7+Operations!AL75+Operations!AL93</f>
        <v>52.6514512471158</v>
      </c>
      <c r="AM7" s="11" t="n">
        <f aca="false">Operations!AM80-Tax!AM27-Operations!AM92-Reserves!AM7+Operations!AM75+Operations!AM93</f>
        <v>52.9846165065847</v>
      </c>
      <c r="AN7" s="11" t="n">
        <f aca="false">Operations!AN80-Tax!AN27-Operations!AN92-Reserves!AN7+Operations!AN75+Operations!AN93</f>
        <v>53.5672342650934</v>
      </c>
      <c r="AO7" s="11" t="n">
        <f aca="false">Operations!AO80-Tax!AO27-Operations!AO92-Reserves!AO7+Operations!AO75+Operations!AO93</f>
        <v>50.6597042674252</v>
      </c>
      <c r="AP7" s="11" t="n">
        <f aca="false">Operations!AP80-Tax!AP27-Operations!AP92-Reserves!AP7+Operations!AP75+Operations!AP93</f>
        <v>51.3388059528544</v>
      </c>
      <c r="AQ7" s="11" t="n">
        <f aca="false">Operations!AQ80-Tax!AQ27-Operations!AQ92-Reserves!AQ7+Operations!AQ75+Operations!AQ93</f>
        <v>50.9858164161793</v>
      </c>
      <c r="AR7" s="11" t="n">
        <f aca="false">Operations!AR80-Tax!AR27-Operations!AR92-Reserves!AR7+Operations!AR75+Operations!AR93</f>
        <v>42.9383801241977</v>
      </c>
      <c r="AS7" s="11" t="n">
        <f aca="false">Operations!AS80-Tax!AS27-Operations!AS92-Reserves!AS7+Operations!AS75+Operations!AS93</f>
        <v>41.8152724350504</v>
      </c>
      <c r="AT7" s="11" t="n">
        <f aca="false">Operations!AT80-Tax!AT27-Operations!AT92-Reserves!AT7+Operations!AT75+Operations!AT93</f>
        <v>42.2365002861952</v>
      </c>
      <c r="AU7" s="11" t="n">
        <f aca="false">Operations!AU80-Tax!AU27-Operations!AU92-Reserves!AU7+Operations!AU75+Operations!AU93</f>
        <v>48.2359769265088</v>
      </c>
      <c r="AV7" s="11" t="n">
        <f aca="false">Operations!AV80-Tax!AV27-Operations!AV92-Reserves!AV7+Operations!AV75+Operations!AV93</f>
        <v>44.7326492101122</v>
      </c>
      <c r="AW7" s="11" t="n">
        <f aca="false">Operations!AW80-Tax!AW27-Operations!AW92-Reserves!AW7+Operations!AW75+Operations!AW93</f>
        <v>43.776613843306</v>
      </c>
      <c r="AX7" s="11" t="n">
        <f aca="false">Operations!AX80-Tax!AX27-Operations!AX92-Reserves!AX7+Operations!AX75+Operations!AX93</f>
        <v>44.4354267369936</v>
      </c>
      <c r="AY7" s="11" t="n">
        <f aca="false">Operations!AY80-Tax!AY27-Operations!AY92-Reserves!AY7+Operations!AY75+Operations!AY93</f>
        <v>44.0254806356794</v>
      </c>
      <c r="AZ7" s="11" t="n">
        <f aca="false">Operations!AZ80-Tax!AZ27-Operations!AZ92-Reserves!AZ7+Operations!AZ75+Operations!AZ93</f>
        <v>44.6600563620943</v>
      </c>
      <c r="BA7" s="11" t="n">
        <f aca="false">Operations!BA80-Tax!BA27-Operations!BA92-Reserves!BA7+Operations!BA75+Operations!BA93</f>
        <v>44.2728127632001</v>
      </c>
      <c r="BB7" s="11" t="n">
        <f aca="false">Operations!BB80-Tax!BB27-Operations!BB92-Reserves!BB7+Operations!BB75+Operations!BB93</f>
        <v>44.8093483273826</v>
      </c>
      <c r="BC7" s="11" t="n">
        <f aca="false">Operations!BC80-Tax!BC27-Operations!BC92-Reserves!BC7+Operations!BC75+Operations!BC93</f>
        <v>46.2402191845607</v>
      </c>
      <c r="BD7" s="11" t="n">
        <f aca="false">Operations!BD80-Tax!BD27-Operations!BD92-Reserves!BD7+Operations!BD75+Operations!BD93</f>
        <v>43.7577699555498</v>
      </c>
      <c r="BE7" s="11" t="n">
        <f aca="false">Operations!BE80-Tax!BE27-Operations!BE92-Reserves!BE7+Operations!BE75+Operations!BE93</f>
        <v>36.3323494486259</v>
      </c>
      <c r="BF7" s="11" t="n">
        <f aca="false">Operations!BF80-Tax!BF27-Operations!BF92-Reserves!BF7+Operations!BF75+Operations!BF93</f>
        <v>37.0180080271656</v>
      </c>
      <c r="BG7" s="11" t="n">
        <f aca="false">Operations!BG80-Tax!BG27-Operations!BG92-Reserves!BG7+Operations!BG75+Operations!BG93</f>
        <v>36.6020033309645</v>
      </c>
      <c r="BH7" s="11" t="n">
        <f aca="false">Operations!BH80-Tax!BH27-Operations!BH92-Reserves!BH7+Operations!BH75+Operations!BH93</f>
        <v>37.2619689506319</v>
      </c>
      <c r="BI7" s="11" t="n">
        <f aca="false">Operations!BI80-Tax!BI27-Operations!BI92-Reserves!BI7+Operations!BI75+Operations!BI93</f>
        <v>36.8645169597715</v>
      </c>
      <c r="BJ7" s="11" t="n">
        <f aca="false">Operations!BJ80-Tax!BJ27-Operations!BJ92-Reserves!BJ7+Operations!BJ75+Operations!BJ93</f>
        <v>37.4663555697208</v>
      </c>
      <c r="BK7" s="11" t="n">
        <f aca="false">Operations!BK80-Tax!BK27-Operations!BK92-Reserves!BK7+Operations!BK75+Operations!BK93</f>
        <v>44.7157334175965</v>
      </c>
      <c r="BL7" s="11" t="n">
        <f aca="false">Operations!BL80-Tax!BL27-Operations!BL92-Reserves!BL7+Operations!BL75+Operations!BL93</f>
        <v>40.457487289537</v>
      </c>
      <c r="BM7" s="11" t="n">
        <f aca="false">Operations!BM80-Tax!BM27-Operations!BM92-Reserves!BM7+Operations!BM75+Operations!BM93</f>
        <v>40.0599103544488</v>
      </c>
      <c r="BN7" s="11" t="n">
        <f aca="false">Operations!BN80-Tax!BN27-Operations!BN92-Reserves!BN7+Operations!BN75+Operations!BN93</f>
        <v>37.2316943142061</v>
      </c>
    </row>
    <row r="8" customFormat="false" ht="15" hidden="false" customHeight="false" outlineLevel="0" collapsed="false">
      <c r="D8" s="0" t="s">
        <v>725</v>
      </c>
      <c r="E8" s="0" t="s">
        <v>149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0</v>
      </c>
      <c r="Q8" s="11" t="n">
        <f aca="false">IF(Time!Q29=1,INDEX(Funding!$J$54:$BJ$54,1,Time!$F$13),0)+P30+P42</f>
        <v>1.86721444482732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726</v>
      </c>
      <c r="E9" s="0" t="s">
        <v>149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0</v>
      </c>
      <c r="P9" s="11" t="n">
        <f aca="false">P7+P8</f>
        <v>1.86721444482732</v>
      </c>
      <c r="Q9" s="11" t="n">
        <f aca="false">Q7+Q8</f>
        <v>52.0366493708077</v>
      </c>
      <c r="R9" s="11" t="n">
        <f aca="false">R7+R8</f>
        <v>50.7589649640819</v>
      </c>
      <c r="S9" s="11" t="n">
        <f aca="false">S7+S8</f>
        <v>50.4233190401177</v>
      </c>
      <c r="T9" s="11" t="n">
        <f aca="false">T7+T8</f>
        <v>51.0022495144261</v>
      </c>
      <c r="U9" s="11" t="n">
        <f aca="false">U7+U8</f>
        <v>50.6723125847848</v>
      </c>
      <c r="V9" s="11" t="n">
        <f aca="false">V7+V8</f>
        <v>51.1693558860182</v>
      </c>
      <c r="W9" s="11" t="n">
        <f aca="false">W7+W8</f>
        <v>51.4024493908331</v>
      </c>
      <c r="X9" s="11" t="n">
        <f aca="false">X7+X8</f>
        <v>51.9502968022351</v>
      </c>
      <c r="Y9" s="11" t="n">
        <f aca="false">Y7+Y8</f>
        <v>49.460994216498</v>
      </c>
      <c r="Z9" s="11" t="n">
        <f aca="false">Z7+Z8</f>
        <v>49.9717937201414</v>
      </c>
      <c r="AA9" s="11" t="n">
        <f aca="false">AA7+AA8</f>
        <v>49.3840999040299</v>
      </c>
      <c r="AB9" s="11" t="n">
        <f aca="false">AB7+AB8</f>
        <v>49.9820197005408</v>
      </c>
      <c r="AC9" s="11" t="n">
        <f aca="false">AC7+AC8</f>
        <v>49.6443667431118</v>
      </c>
      <c r="AD9" s="11" t="n">
        <f aca="false">AD7+AD8</f>
        <v>50.2015579797273</v>
      </c>
      <c r="AE9" s="11" t="n">
        <f aca="false">AE7+AE8</f>
        <v>51.3752461862275</v>
      </c>
      <c r="AF9" s="11" t="n">
        <f aca="false">AF7+AF8</f>
        <v>52.3831778159556</v>
      </c>
      <c r="AG9" s="11" t="n">
        <f aca="false">AG7+AG8</f>
        <v>51.5272391835451</v>
      </c>
      <c r="AH9" s="11" t="n">
        <f aca="false">AH7+AH8</f>
        <v>52.1805404506068</v>
      </c>
      <c r="AI9" s="11" t="n">
        <f aca="false">AI7+AI8</f>
        <v>51.828817762181</v>
      </c>
      <c r="AJ9" s="11" t="n">
        <f aca="false">AJ7+AJ8</f>
        <v>52.4490966240749</v>
      </c>
      <c r="AK9" s="11" t="n">
        <f aca="false">AK7+AK8</f>
        <v>52.1049530907206</v>
      </c>
      <c r="AL9" s="11" t="n">
        <f aca="false">AL7+AL8</f>
        <v>52.6514512471158</v>
      </c>
      <c r="AM9" s="11" t="n">
        <f aca="false">AM7+AM8</f>
        <v>52.9846165065847</v>
      </c>
      <c r="AN9" s="11" t="n">
        <f aca="false">AN7+AN8</f>
        <v>53.5672342650934</v>
      </c>
      <c r="AO9" s="11" t="n">
        <f aca="false">AO7+AO8</f>
        <v>50.6597042674252</v>
      </c>
      <c r="AP9" s="11" t="n">
        <f aca="false">AP7+AP8</f>
        <v>51.3388059528544</v>
      </c>
      <c r="AQ9" s="11" t="n">
        <f aca="false">AQ7+AQ8</f>
        <v>50.9858164161793</v>
      </c>
      <c r="AR9" s="11" t="n">
        <f aca="false">AR7+AR8</f>
        <v>42.9383801241977</v>
      </c>
      <c r="AS9" s="11" t="n">
        <f aca="false">AS7+AS8</f>
        <v>41.8152724350504</v>
      </c>
      <c r="AT9" s="11" t="n">
        <f aca="false">AT7+AT8</f>
        <v>42.2365002861952</v>
      </c>
      <c r="AU9" s="11" t="n">
        <f aca="false">AU7+AU8</f>
        <v>48.2359769265088</v>
      </c>
      <c r="AV9" s="11" t="n">
        <f aca="false">AV7+AV8</f>
        <v>44.7326492101122</v>
      </c>
      <c r="AW9" s="11" t="n">
        <f aca="false">AW7+AW8</f>
        <v>43.776613843306</v>
      </c>
      <c r="AX9" s="11" t="n">
        <f aca="false">AX7+AX8</f>
        <v>44.4354267369936</v>
      </c>
      <c r="AY9" s="11" t="n">
        <f aca="false">AY7+AY8</f>
        <v>44.0254806356794</v>
      </c>
      <c r="AZ9" s="11" t="n">
        <f aca="false">AZ7+AZ8</f>
        <v>44.6600563620943</v>
      </c>
      <c r="BA9" s="11" t="n">
        <f aca="false">BA7+BA8</f>
        <v>44.2728127632001</v>
      </c>
      <c r="BB9" s="11" t="n">
        <f aca="false">BB7+BB8</f>
        <v>44.8093483273826</v>
      </c>
      <c r="BC9" s="11" t="n">
        <f aca="false">BC7+BC8</f>
        <v>46.2402191845607</v>
      </c>
      <c r="BD9" s="11" t="n">
        <f aca="false">BD7+BD8</f>
        <v>43.7577699555498</v>
      </c>
      <c r="BE9" s="11" t="n">
        <f aca="false">BE7+BE8</f>
        <v>36.3323494486259</v>
      </c>
      <c r="BF9" s="11" t="n">
        <f aca="false">BF7+BF8</f>
        <v>37.0180080271656</v>
      </c>
      <c r="BG9" s="11" t="n">
        <f aca="false">BG7+BG8</f>
        <v>36.6020033309645</v>
      </c>
      <c r="BH9" s="11" t="n">
        <f aca="false">BH7+BH8</f>
        <v>37.2619689506319</v>
      </c>
      <c r="BI9" s="11" t="n">
        <f aca="false">BI7+BI8</f>
        <v>36.8645169597715</v>
      </c>
      <c r="BJ9" s="11" t="n">
        <f aca="false">BJ7+BJ8</f>
        <v>37.4663555697208</v>
      </c>
      <c r="BK9" s="11" t="n">
        <f aca="false">BK7+BK8</f>
        <v>44.7157334175965</v>
      </c>
      <c r="BL9" s="11" t="n">
        <f aca="false">BL7+BL8</f>
        <v>40.457487289537</v>
      </c>
      <c r="BM9" s="11" t="n">
        <f aca="false">BM7+BM8</f>
        <v>40.0599103544488</v>
      </c>
      <c r="BN9" s="11" t="n">
        <f aca="false">BN7+BN8</f>
        <v>37.2316943142061</v>
      </c>
    </row>
    <row r="10" customFormat="false" ht="15" hidden="false" customHeight="false" outlineLevel="0" collapsed="false">
      <c r="D10" s="0" t="s">
        <v>727</v>
      </c>
      <c r="E10" s="0" t="s">
        <v>149</v>
      </c>
      <c r="G10" s="11" t="n">
        <f aca="false">SUM(J10:BN10)</f>
        <v>884.305333593165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0</v>
      </c>
      <c r="Q10" s="11" t="n">
        <f aca="false">Debt!Q121+Debt!Q117</f>
        <v>39.5901571901212</v>
      </c>
      <c r="R10" s="11" t="n">
        <f aca="false">Debt!R121+Debt!R117</f>
        <v>40.0955116122781</v>
      </c>
      <c r="S10" s="11" t="n">
        <f aca="false">Debt!S121+Debt!S117</f>
        <v>39.7778387053405</v>
      </c>
      <c r="T10" s="11" t="n">
        <f aca="false">Debt!T121+Debt!T117</f>
        <v>40.2295607160554</v>
      </c>
      <c r="U10" s="11" t="n">
        <f aca="false">Debt!U121+Debt!U117</f>
        <v>40.0312842957064</v>
      </c>
      <c r="V10" s="11" t="n">
        <f aca="false">Debt!V121+Debt!V117</f>
        <v>40.7986666606384</v>
      </c>
      <c r="W10" s="11" t="n">
        <f aca="false">Debt!W121+Debt!W117</f>
        <v>40.5087228524253</v>
      </c>
      <c r="X10" s="11" t="n">
        <f aca="false">Debt!X121+Debt!X117</f>
        <v>39.3469132499841</v>
      </c>
      <c r="Y10" s="11" t="n">
        <f aca="false">Debt!Y121+Debt!Y117</f>
        <v>38.959871050273</v>
      </c>
      <c r="Z10" s="11" t="n">
        <f aca="false">Debt!Z121+Debt!Z117</f>
        <v>39.2853733075215</v>
      </c>
      <c r="AA10" s="11" t="n">
        <f aca="false">Debt!AA121+Debt!AA117</f>
        <v>38.9619967644553</v>
      </c>
      <c r="AB10" s="11" t="n">
        <f aca="false">Debt!AB121+Debt!AB117</f>
        <v>38.9040612496062</v>
      </c>
      <c r="AC10" s="11" t="n">
        <f aca="false">Debt!AC121+Debt!AC117</f>
        <v>38.102279149648</v>
      </c>
      <c r="AD10" s="11" t="n">
        <f aca="false">Debt!AD121+Debt!AD117</f>
        <v>38.9377908182559</v>
      </c>
      <c r="AE10" s="11" t="n">
        <f aca="false">Debt!AE121+Debt!AE117</f>
        <v>38.2616281837401</v>
      </c>
      <c r="AF10" s="11" t="n">
        <f aca="false">Debt!AF121+Debt!AF117</f>
        <v>37.4495067475116</v>
      </c>
      <c r="AG10" s="11" t="n">
        <f aca="false">Debt!AG121+Debt!AG117</f>
        <v>35.9604540674679</v>
      </c>
      <c r="AH10" s="11" t="n">
        <f aca="false">Debt!AH121+Debt!AH117</f>
        <v>35.1023329114203</v>
      </c>
      <c r="AI10" s="11" t="n">
        <f aca="false">Debt!AI121+Debt!AI117</f>
        <v>33.1612569631142</v>
      </c>
      <c r="AJ10" s="11" t="n">
        <f aca="false">Debt!AJ121+Debt!AJ117</f>
        <v>31.4701215967613</v>
      </c>
      <c r="AK10" s="11" t="n">
        <f aca="false">Debt!AK121+Debt!AK117</f>
        <v>28.509962711044</v>
      </c>
      <c r="AL10" s="11" t="n">
        <f aca="false">Debt!AL121+Debt!AL117</f>
        <v>25.2566027924577</v>
      </c>
      <c r="AM10" s="11" t="n">
        <f aca="false">Debt!AM121+Debt!AM117</f>
        <v>25.0990387543341</v>
      </c>
      <c r="AN10" s="11" t="n">
        <f aca="false">Debt!AN121+Debt!AN117</f>
        <v>20.3736881724253</v>
      </c>
      <c r="AO10" s="11" t="n">
        <f aca="false">Debt!AO121+Debt!AO117</f>
        <v>20.1307130705795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728</v>
      </c>
      <c r="E11" s="0" t="s">
        <v>149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729</v>
      </c>
      <c r="E12" s="0" t="s">
        <v>149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730</v>
      </c>
      <c r="E13" s="0" t="s">
        <v>149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0</v>
      </c>
      <c r="P13" s="11" t="n">
        <f aca="false">MAX(0,P9-P10)</f>
        <v>1.86721444482732</v>
      </c>
      <c r="Q13" s="11" t="n">
        <f aca="false">MAX(0,Q9-Q10)</f>
        <v>12.4464921806866</v>
      </c>
      <c r="R13" s="11" t="n">
        <f aca="false">MAX(0,R9-R10)</f>
        <v>10.6634533518038</v>
      </c>
      <c r="S13" s="11" t="n">
        <f aca="false">MAX(0,S9-S10)</f>
        <v>10.6454803347772</v>
      </c>
      <c r="T13" s="11" t="n">
        <f aca="false">MAX(0,T9-T10)</f>
        <v>10.7726887983707</v>
      </c>
      <c r="U13" s="11" t="n">
        <f aca="false">MAX(0,U9-U10)</f>
        <v>10.6410282890784</v>
      </c>
      <c r="V13" s="11" t="n">
        <f aca="false">MAX(0,V9-V10)</f>
        <v>10.3706892253798</v>
      </c>
      <c r="W13" s="11" t="n">
        <f aca="false">MAX(0,W9-W10)</f>
        <v>10.8937265384078</v>
      </c>
      <c r="X13" s="11" t="n">
        <f aca="false">MAX(0,X9-X10)</f>
        <v>12.6033835522511</v>
      </c>
      <c r="Y13" s="11" t="n">
        <f aca="false">MAX(0,Y9-Y10)</f>
        <v>10.501123166225</v>
      </c>
      <c r="Z13" s="11" t="n">
        <f aca="false">MAX(0,Z9-Z10)</f>
        <v>10.6864204126199</v>
      </c>
      <c r="AA13" s="11" t="n">
        <f aca="false">MAX(0,AA9-AA10)</f>
        <v>10.4221031395747</v>
      </c>
      <c r="AB13" s="11" t="n">
        <f aca="false">MAX(0,AB9-AB10)</f>
        <v>11.0779584509346</v>
      </c>
      <c r="AC13" s="11" t="n">
        <f aca="false">MAX(0,AC9-AC10)</f>
        <v>11.5420875934638</v>
      </c>
      <c r="AD13" s="11" t="n">
        <f aca="false">MAX(0,AD9-AD10)</f>
        <v>11.2637671614714</v>
      </c>
      <c r="AE13" s="11" t="n">
        <f aca="false">MAX(0,AE9-AE10)</f>
        <v>13.1136180024874</v>
      </c>
      <c r="AF13" s="11" t="n">
        <f aca="false">MAX(0,AF9-AF10)</f>
        <v>14.933671068444</v>
      </c>
      <c r="AG13" s="11" t="n">
        <f aca="false">MAX(0,AG9-AG10)</f>
        <v>15.5667851160773</v>
      </c>
      <c r="AH13" s="11" t="n">
        <f aca="false">MAX(0,AH9-AH10)</f>
        <v>17.0782075391865</v>
      </c>
      <c r="AI13" s="11" t="n">
        <f aca="false">MAX(0,AI9-AI10)</f>
        <v>18.6675607990668</v>
      </c>
      <c r="AJ13" s="11" t="n">
        <f aca="false">MAX(0,AJ9-AJ10)</f>
        <v>20.9789750273135</v>
      </c>
      <c r="AK13" s="11" t="n">
        <f aca="false">MAX(0,AK9-AK10)</f>
        <v>23.5949903796766</v>
      </c>
      <c r="AL13" s="11" t="n">
        <f aca="false">MAX(0,AL9-AL10)</f>
        <v>27.3948484546581</v>
      </c>
      <c r="AM13" s="11" t="n">
        <f aca="false">MAX(0,AM9-AM10)</f>
        <v>27.8855777522506</v>
      </c>
      <c r="AN13" s="11" t="n">
        <f aca="false">MAX(0,AN9-AN10)</f>
        <v>33.1935460926681</v>
      </c>
      <c r="AO13" s="11" t="n">
        <f aca="false">MAX(0,AO9-AO10)</f>
        <v>30.5289911968457</v>
      </c>
      <c r="AP13" s="11" t="n">
        <f aca="false">MAX(0,AP9-AP10)</f>
        <v>51.3388059528544</v>
      </c>
      <c r="AQ13" s="11" t="n">
        <f aca="false">MAX(0,AQ9-AQ10)</f>
        <v>50.9858164161793</v>
      </c>
      <c r="AR13" s="11" t="n">
        <f aca="false">MAX(0,AR9-AR10)</f>
        <v>42.9383801241977</v>
      </c>
      <c r="AS13" s="11" t="n">
        <f aca="false">MAX(0,AS9-AS10)</f>
        <v>41.8152724350504</v>
      </c>
      <c r="AT13" s="11" t="n">
        <f aca="false">MAX(0,AT9-AT10)</f>
        <v>42.2365002861952</v>
      </c>
      <c r="AU13" s="11" t="n">
        <f aca="false">MAX(0,AU9-AU10)</f>
        <v>48.2359769265088</v>
      </c>
      <c r="AV13" s="11" t="n">
        <f aca="false">MAX(0,AV9-AV10)</f>
        <v>44.7326492101122</v>
      </c>
      <c r="AW13" s="11" t="n">
        <f aca="false">MAX(0,AW9-AW10)</f>
        <v>43.776613843306</v>
      </c>
      <c r="AX13" s="11" t="n">
        <f aca="false">MAX(0,AX9-AX10)</f>
        <v>44.4354267369936</v>
      </c>
      <c r="AY13" s="11" t="n">
        <f aca="false">MAX(0,AY9-AY10)</f>
        <v>44.0254806356794</v>
      </c>
      <c r="AZ13" s="11" t="n">
        <f aca="false">MAX(0,AZ9-AZ10)</f>
        <v>44.6600563620943</v>
      </c>
      <c r="BA13" s="11" t="n">
        <f aca="false">MAX(0,BA9-BA10)</f>
        <v>44.2728127632001</v>
      </c>
      <c r="BB13" s="11" t="n">
        <f aca="false">MAX(0,BB9-BB10)</f>
        <v>44.8093483273826</v>
      </c>
      <c r="BC13" s="11" t="n">
        <f aca="false">MAX(0,BC9-BC10)</f>
        <v>46.2402191845607</v>
      </c>
      <c r="BD13" s="11" t="n">
        <f aca="false">MAX(0,BD9-BD10)</f>
        <v>43.7577699555498</v>
      </c>
      <c r="BE13" s="11" t="n">
        <f aca="false">MAX(0,BE9-BE10)</f>
        <v>36.3323494486259</v>
      </c>
      <c r="BF13" s="11" t="n">
        <f aca="false">MAX(0,BF9-BF10)</f>
        <v>37.0180080271656</v>
      </c>
      <c r="BG13" s="11" t="n">
        <f aca="false">MAX(0,BG9-BG10)</f>
        <v>36.6020033309645</v>
      </c>
      <c r="BH13" s="11" t="n">
        <f aca="false">MAX(0,BH9-BH10)</f>
        <v>37.2619689506319</v>
      </c>
      <c r="BI13" s="11" t="n">
        <f aca="false">MAX(0,BI9-BI10)</f>
        <v>36.8645169597715</v>
      </c>
      <c r="BJ13" s="11" t="n">
        <f aca="false">MAX(0,BJ9-BJ10)</f>
        <v>37.4663555697208</v>
      </c>
      <c r="BK13" s="11" t="n">
        <f aca="false">MAX(0,BK9-BK10)</f>
        <v>44.7157334175965</v>
      </c>
      <c r="BL13" s="11" t="n">
        <f aca="false">MAX(0,BL9-BL10)</f>
        <v>40.457487289537</v>
      </c>
      <c r="BM13" s="11" t="n">
        <f aca="false">MAX(0,BM9-BM10)</f>
        <v>40.0599103544488</v>
      </c>
      <c r="BN13" s="11" t="n">
        <f aca="false">MAX(0,BN9-BN10)</f>
        <v>37.2316943142061</v>
      </c>
    </row>
    <row r="14" customFormat="false" ht="15" hidden="false" customHeight="false" outlineLevel="0" collapsed="false">
      <c r="D14" s="0" t="s">
        <v>731</v>
      </c>
      <c r="E14" s="0" t="s">
        <v>149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0</v>
      </c>
      <c r="P14" s="11" t="n">
        <f aca="false">P13-Reserves!P11+Reserves!P12</f>
        <v>1.86721444482732</v>
      </c>
      <c r="Q14" s="11" t="n">
        <f aca="false">Q13-Reserves!Q11+Reserves!Q12</f>
        <v>11.9411377585296</v>
      </c>
      <c r="R14" s="11" t="n">
        <f aca="false">R13-Reserves!R11+Reserves!R12</f>
        <v>10.9811262587414</v>
      </c>
      <c r="S14" s="11" t="n">
        <f aca="false">S13-Reserves!S11+Reserves!S12</f>
        <v>10.1937583240623</v>
      </c>
      <c r="T14" s="11" t="n">
        <f aca="false">T13-Reserves!T11+Reserves!T12</f>
        <v>10.9709652187198</v>
      </c>
      <c r="U14" s="11" t="n">
        <f aca="false">U13-Reserves!U11+Reserves!U12</f>
        <v>9.87364592414637</v>
      </c>
      <c r="V14" s="11" t="n">
        <f aca="false">V13-Reserves!V11+Reserves!V12</f>
        <v>10.6606330335929</v>
      </c>
      <c r="W14" s="11" t="n">
        <f aca="false">W13-Reserves!W11+Reserves!W12</f>
        <v>12.055536140849</v>
      </c>
      <c r="X14" s="11" t="n">
        <f aca="false">X13-Reserves!X11+Reserves!X12</f>
        <v>12.9904257519621</v>
      </c>
      <c r="Y14" s="11" t="n">
        <f aca="false">Y13-Reserves!Y11+Reserves!Y12</f>
        <v>10.1756209089765</v>
      </c>
      <c r="Z14" s="11" t="n">
        <f aca="false">Z13-Reserves!Z11+Reserves!Z12</f>
        <v>11.0097969556862</v>
      </c>
      <c r="AA14" s="11" t="n">
        <f aca="false">AA13-Reserves!AA11+Reserves!AA12</f>
        <v>9.95937463882187</v>
      </c>
      <c r="AB14" s="11" t="n">
        <f aca="false">AB13-Reserves!AB11+Reserves!AB12</f>
        <v>11.7582181420375</v>
      </c>
      <c r="AC14" s="11" t="n">
        <f aca="false">AC13-Reserves!AC11+Reserves!AC12</f>
        <v>10.7082500489996</v>
      </c>
      <c r="AD14" s="11" t="n">
        <f aca="false">AD13-Reserves!AD11+Reserves!AD12</f>
        <v>11.8267719755945</v>
      </c>
      <c r="AE14" s="11" t="n">
        <f aca="false">AE13-Reserves!AE11+Reserves!AE12</f>
        <v>13.7313988915543</v>
      </c>
      <c r="AF14" s="11" t="n">
        <f aca="false">AF13-Reserves!AF11+Reserves!AF12</f>
        <v>16.1543504823205</v>
      </c>
      <c r="AG14" s="11" t="n">
        <f aca="false">AG13-Reserves!AG11+Reserves!AG12</f>
        <v>16.2742901184063</v>
      </c>
      <c r="AH14" s="11" t="n">
        <f aca="false">AH13-Reserves!AH11+Reserves!AH12</f>
        <v>18.6495100111663</v>
      </c>
      <c r="AI14" s="11" t="n">
        <f aca="false">AI13-Reserves!AI11+Reserves!AI12</f>
        <v>19.943694283762</v>
      </c>
      <c r="AJ14" s="11" t="n">
        <f aca="false">AJ13-Reserves!AJ11+Reserves!AJ12</f>
        <v>23.1539617566554</v>
      </c>
      <c r="AK14" s="11" t="n">
        <f aca="false">AK13-Reserves!AK11+Reserves!AK12</f>
        <v>25.7694856170116</v>
      </c>
      <c r="AL14" s="11" t="n">
        <f aca="false">AL13-Reserves!AL11+Reserves!AL12</f>
        <v>31.568224776146</v>
      </c>
      <c r="AM14" s="11" t="n">
        <f aca="false">AM13-Reserves!AM11+Reserves!AM12</f>
        <v>32.6109283341595</v>
      </c>
      <c r="AN14" s="11" t="n">
        <f aca="false">AN13-Reserves!AN11+Reserves!AN12</f>
        <v>33.4365211945138</v>
      </c>
      <c r="AO14" s="11" t="n">
        <f aca="false">AO13-Reserves!AO11+Reserves!AO12</f>
        <v>50.6597042674252</v>
      </c>
      <c r="AP14" s="11" t="n">
        <f aca="false">AP13-Reserves!AP11+Reserves!AP12</f>
        <v>51.3388059528544</v>
      </c>
      <c r="AQ14" s="11" t="n">
        <f aca="false">AQ13-Reserves!AQ11+Reserves!AQ12</f>
        <v>50.9858164161793</v>
      </c>
      <c r="AR14" s="11" t="n">
        <f aca="false">AR13-Reserves!AR11+Reserves!AR12</f>
        <v>42.9383801241977</v>
      </c>
      <c r="AS14" s="11" t="n">
        <f aca="false">AS13-Reserves!AS11+Reserves!AS12</f>
        <v>41.8152724350504</v>
      </c>
      <c r="AT14" s="11" t="n">
        <f aca="false">AT13-Reserves!AT11+Reserves!AT12</f>
        <v>42.2365002861952</v>
      </c>
      <c r="AU14" s="11" t="n">
        <f aca="false">AU13-Reserves!AU11+Reserves!AU12</f>
        <v>48.2359769265088</v>
      </c>
      <c r="AV14" s="11" t="n">
        <f aca="false">AV13-Reserves!AV11+Reserves!AV12</f>
        <v>44.7326492101122</v>
      </c>
      <c r="AW14" s="11" t="n">
        <f aca="false">AW13-Reserves!AW11+Reserves!AW12</f>
        <v>43.776613843306</v>
      </c>
      <c r="AX14" s="11" t="n">
        <f aca="false">AX13-Reserves!AX11+Reserves!AX12</f>
        <v>44.4354267369936</v>
      </c>
      <c r="AY14" s="11" t="n">
        <f aca="false">AY13-Reserves!AY11+Reserves!AY12</f>
        <v>44.0254806356794</v>
      </c>
      <c r="AZ14" s="11" t="n">
        <f aca="false">AZ13-Reserves!AZ11+Reserves!AZ12</f>
        <v>44.6600563620943</v>
      </c>
      <c r="BA14" s="11" t="n">
        <f aca="false">BA13-Reserves!BA11+Reserves!BA12</f>
        <v>44.2728127632001</v>
      </c>
      <c r="BB14" s="11" t="n">
        <f aca="false">BB13-Reserves!BB11+Reserves!BB12</f>
        <v>44.8093483273826</v>
      </c>
      <c r="BC14" s="11" t="n">
        <f aca="false">BC13-Reserves!BC11+Reserves!BC12</f>
        <v>46.2402191845607</v>
      </c>
      <c r="BD14" s="11" t="n">
        <f aca="false">BD13-Reserves!BD11+Reserves!BD12</f>
        <v>43.7577699555498</v>
      </c>
      <c r="BE14" s="11" t="n">
        <f aca="false">BE13-Reserves!BE11+Reserves!BE12</f>
        <v>36.3323494486259</v>
      </c>
      <c r="BF14" s="11" t="n">
        <f aca="false">BF13-Reserves!BF11+Reserves!BF12</f>
        <v>37.0180080271656</v>
      </c>
      <c r="BG14" s="11" t="n">
        <f aca="false">BG13-Reserves!BG11+Reserves!BG12</f>
        <v>36.6020033309645</v>
      </c>
      <c r="BH14" s="11" t="n">
        <f aca="false">BH13-Reserves!BH11+Reserves!BH12</f>
        <v>37.2619689506319</v>
      </c>
      <c r="BI14" s="11" t="n">
        <f aca="false">BI13-Reserves!BI11+Reserves!BI12</f>
        <v>36.8645169597715</v>
      </c>
      <c r="BJ14" s="11" t="n">
        <f aca="false">BJ13-Reserves!BJ11+Reserves!BJ12</f>
        <v>37.4663555697208</v>
      </c>
      <c r="BK14" s="11" t="n">
        <f aca="false">BK13-Reserves!BK11+Reserves!BK12</f>
        <v>44.7157334175965</v>
      </c>
      <c r="BL14" s="11" t="n">
        <f aca="false">BL13-Reserves!BL11+Reserves!BL12</f>
        <v>40.457487289537</v>
      </c>
      <c r="BM14" s="11" t="n">
        <f aca="false">BM13-Reserves!BM11+Reserves!BM12</f>
        <v>40.0599103544488</v>
      </c>
      <c r="BN14" s="11" t="n">
        <f aca="false">BN13-Reserves!BN11+Reserves!BN12</f>
        <v>37.2316943142061</v>
      </c>
    </row>
    <row r="15" customFormat="false" ht="15" hidden="false" customHeight="false" outlineLevel="0" collapsed="false">
      <c r="D15" s="0" t="s">
        <v>732</v>
      </c>
      <c r="E15" s="0" t="s">
        <v>149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0</v>
      </c>
      <c r="P15" s="11" t="n">
        <f aca="false">P14-Reserves!P14+Reserves!P15</f>
        <v>1.86721444482732</v>
      </c>
      <c r="Q15" s="11" t="n">
        <f aca="false">Q14-Reserves!Q14+Reserves!Q15</f>
        <v>11.9411377585296</v>
      </c>
      <c r="R15" s="11" t="n">
        <f aca="false">R14-Reserves!R14+Reserves!R15</f>
        <v>10.9811262587414</v>
      </c>
      <c r="S15" s="11" t="n">
        <f aca="false">S14-Reserves!S14+Reserves!S15</f>
        <v>10.1937583240623</v>
      </c>
      <c r="T15" s="11" t="n">
        <f aca="false">T14-Reserves!T14+Reserves!T15</f>
        <v>10.9709652187198</v>
      </c>
      <c r="U15" s="11" t="n">
        <f aca="false">U14-Reserves!U14+Reserves!U15</f>
        <v>9.87364592414637</v>
      </c>
      <c r="V15" s="11" t="n">
        <f aca="false">V14-Reserves!V14+Reserves!V15</f>
        <v>10.6606330335929</v>
      </c>
      <c r="W15" s="11" t="n">
        <f aca="false">W14-Reserves!W14+Reserves!W15</f>
        <v>12.055536140849</v>
      </c>
      <c r="X15" s="11" t="n">
        <f aca="false">X14-Reserves!X14+Reserves!X15</f>
        <v>12.9904257519621</v>
      </c>
      <c r="Y15" s="11" t="n">
        <f aca="false">Y14-Reserves!Y14+Reserves!Y15</f>
        <v>10.1756209089765</v>
      </c>
      <c r="Z15" s="11" t="n">
        <f aca="false">Z14-Reserves!Z14+Reserves!Z15</f>
        <v>11.0097969556862</v>
      </c>
      <c r="AA15" s="11" t="n">
        <f aca="false">AA14-Reserves!AA14+Reserves!AA15</f>
        <v>9.95937463882187</v>
      </c>
      <c r="AB15" s="11" t="n">
        <f aca="false">AB14-Reserves!AB14+Reserves!AB15</f>
        <v>11.7582181420375</v>
      </c>
      <c r="AC15" s="11" t="n">
        <f aca="false">AC14-Reserves!AC14+Reserves!AC15</f>
        <v>10.7082500489996</v>
      </c>
      <c r="AD15" s="11" t="n">
        <f aca="false">AD14-Reserves!AD14+Reserves!AD15</f>
        <v>11.8267719755945</v>
      </c>
      <c r="AE15" s="11" t="n">
        <f aca="false">AE14-Reserves!AE14+Reserves!AE15</f>
        <v>13.7313988915543</v>
      </c>
      <c r="AF15" s="11" t="n">
        <f aca="false">AF14-Reserves!AF14+Reserves!AF15</f>
        <v>16.1543504823205</v>
      </c>
      <c r="AG15" s="11" t="n">
        <f aca="false">AG14-Reserves!AG14+Reserves!AG15</f>
        <v>16.2742901184063</v>
      </c>
      <c r="AH15" s="11" t="n">
        <f aca="false">AH14-Reserves!AH14+Reserves!AH15</f>
        <v>18.6495100111663</v>
      </c>
      <c r="AI15" s="11" t="n">
        <f aca="false">AI14-Reserves!AI14+Reserves!AI15</f>
        <v>19.943694283762</v>
      </c>
      <c r="AJ15" s="11" t="n">
        <f aca="false">AJ14-Reserves!AJ14+Reserves!AJ15</f>
        <v>23.1539617566554</v>
      </c>
      <c r="AK15" s="11" t="n">
        <f aca="false">AK14-Reserves!AK14+Reserves!AK15</f>
        <v>25.7694856170116</v>
      </c>
      <c r="AL15" s="11" t="n">
        <f aca="false">AL14-Reserves!AL14+Reserves!AL15</f>
        <v>31.568224776146</v>
      </c>
      <c r="AM15" s="11" t="n">
        <f aca="false">AM14-Reserves!AM14+Reserves!AM15</f>
        <v>32.6109283341595</v>
      </c>
      <c r="AN15" s="11" t="n">
        <f aca="false">AN14-Reserves!AN14+Reserves!AN15</f>
        <v>33.4365211945138</v>
      </c>
      <c r="AO15" s="11" t="n">
        <f aca="false">AO14-Reserves!AO14+Reserves!AO15</f>
        <v>50.6597042674252</v>
      </c>
      <c r="AP15" s="11" t="n">
        <f aca="false">AP14-Reserves!AP14+Reserves!AP15</f>
        <v>51.3388059528544</v>
      </c>
      <c r="AQ15" s="11" t="n">
        <f aca="false">AQ14-Reserves!AQ14+Reserves!AQ15</f>
        <v>50.9858164161793</v>
      </c>
      <c r="AR15" s="11" t="n">
        <f aca="false">AR14-Reserves!AR14+Reserves!AR15</f>
        <v>42.9383801241977</v>
      </c>
      <c r="AS15" s="11" t="n">
        <f aca="false">AS14-Reserves!AS14+Reserves!AS15</f>
        <v>41.8152724350504</v>
      </c>
      <c r="AT15" s="11" t="n">
        <f aca="false">AT14-Reserves!AT14+Reserves!AT15</f>
        <v>42.2365002861952</v>
      </c>
      <c r="AU15" s="11" t="n">
        <f aca="false">AU14-Reserves!AU14+Reserves!AU15</f>
        <v>48.2359769265088</v>
      </c>
      <c r="AV15" s="11" t="n">
        <f aca="false">AV14-Reserves!AV14+Reserves!AV15</f>
        <v>44.7326492101122</v>
      </c>
      <c r="AW15" s="11" t="n">
        <f aca="false">AW14-Reserves!AW14+Reserves!AW15</f>
        <v>43.776613843306</v>
      </c>
      <c r="AX15" s="11" t="n">
        <f aca="false">AX14-Reserves!AX14+Reserves!AX15</f>
        <v>44.4354267369936</v>
      </c>
      <c r="AY15" s="11" t="n">
        <f aca="false">AY14-Reserves!AY14+Reserves!AY15</f>
        <v>44.0254806356794</v>
      </c>
      <c r="AZ15" s="11" t="n">
        <f aca="false">AZ14-Reserves!AZ14+Reserves!AZ15</f>
        <v>44.6600563620943</v>
      </c>
      <c r="BA15" s="11" t="n">
        <f aca="false">BA14-Reserves!BA14+Reserves!BA15</f>
        <v>44.2728127632001</v>
      </c>
      <c r="BB15" s="11" t="n">
        <f aca="false">BB14-Reserves!BB14+Reserves!BB15</f>
        <v>44.3089649091678</v>
      </c>
      <c r="BC15" s="11" t="n">
        <f aca="false">BC14-Reserves!BC14+Reserves!BC15</f>
        <v>44.7226461112184</v>
      </c>
      <c r="BD15" s="11" t="n">
        <f aca="false">BD14-Reserves!BD14+Reserves!BD15</f>
        <v>42.2235943953032</v>
      </c>
      <c r="BE15" s="11" t="n">
        <f aca="false">BE14-Reserves!BE14+Reserves!BE15</f>
        <v>34.7813897676701</v>
      </c>
      <c r="BF15" s="11" t="n">
        <f aca="false">BF14-Reserves!BF14+Reserves!BF15</f>
        <v>35.4500806045936</v>
      </c>
      <c r="BG15" s="11" t="n">
        <f aca="false">BG14-Reserves!BG14+Reserves!BG15</f>
        <v>35.0169225370277</v>
      </c>
      <c r="BH15" s="11" t="n">
        <f aca="false">BH14-Reserves!BH14+Reserves!BH15</f>
        <v>35.6595471247633</v>
      </c>
      <c r="BI15" s="11" t="n">
        <f aca="false">BI14-Reserves!BI14+Reserves!BI15</f>
        <v>35.2445643883681</v>
      </c>
      <c r="BJ15" s="11" t="n">
        <f aca="false">BJ14-Reserves!BJ14+Reserves!BJ15</f>
        <v>35.8286804636831</v>
      </c>
      <c r="BK15" s="11" t="n">
        <f aca="false">BK14-Reserves!BK14+Reserves!BK15</f>
        <v>43.0601418896222</v>
      </c>
      <c r="BL15" s="11" t="n">
        <f aca="false">BL14-Reserves!BL14+Reserves!BL15</f>
        <v>38.7837833311665</v>
      </c>
      <c r="BM15" s="11" t="n">
        <f aca="false">BM14-Reserves!BM14+Reserves!BM15</f>
        <v>38.3678958128591</v>
      </c>
      <c r="BN15" s="11" t="n">
        <f aca="false">BN14-Reserves!BN14+Reserves!BN15</f>
        <v>55.3691537947186</v>
      </c>
    </row>
    <row r="16" customFormat="false" ht="15" hidden="false" customHeight="false" outlineLevel="0" collapsed="false">
      <c r="B16" s="2" t="s">
        <v>733</v>
      </c>
    </row>
    <row r="17" customFormat="false" ht="15" hidden="false" customHeight="false" outlineLevel="0" collapsed="false">
      <c r="D17" s="0" t="s">
        <v>734</v>
      </c>
      <c r="E17" s="0" t="s">
        <v>202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0</v>
      </c>
      <c r="Q17" s="6" t="n">
        <f aca="false">IF(Debt!Q121&gt;0.000000001,Q7/Debt!Q121,0)</f>
        <v>1.26721989723494</v>
      </c>
      <c r="R17" s="6" t="n">
        <f aca="false">IF(Debt!R121&gt;0.000000001,R7/Debt!R121,0)</f>
        <v>1.26595129786393</v>
      </c>
      <c r="S17" s="6" t="n">
        <f aca="false">IF(Debt!S121&gt;0.000000001,S7/Debt!S121,0)</f>
        <v>1.26762339738051</v>
      </c>
      <c r="T17" s="6" t="n">
        <f aca="false">IF(Debt!T121&gt;0.000000001,T7/Debt!T121,0)</f>
        <v>1.26778042331622</v>
      </c>
      <c r="U17" s="6" t="n">
        <f aca="false">IF(Debt!U121&gt;0.000000001,U7/Debt!U121,0)</f>
        <v>1.26581780915332</v>
      </c>
      <c r="V17" s="6" t="n">
        <f aca="false">IF(Debt!V121&gt;0.000000001,V7/Debt!V121,0)</f>
        <v>1.25419186640688</v>
      </c>
      <c r="W17" s="6" t="n">
        <f aca="false">IF(Debt!W121&gt;0.000000001,W7/Debt!W121,0)</f>
        <v>1.26892298180059</v>
      </c>
      <c r="X17" s="6" t="n">
        <f aca="false">IF(Debt!X121&gt;0.000000001,X7/Debt!X121,0)</f>
        <v>1.32031441633496</v>
      </c>
      <c r="Y17" s="6" t="n">
        <f aca="false">IF(Debt!Y121&gt;0.000000001,Y7/Debt!Y121,0)</f>
        <v>1.26953690767289</v>
      </c>
      <c r="Z17" s="6" t="n">
        <f aca="false">IF(Debt!Z121&gt;0.000000001,Z7/Debt!Z121,0)</f>
        <v>1.27202033512493</v>
      </c>
      <c r="AA17" s="6" t="n">
        <f aca="false">IF(Debt!AA121&gt;0.000000001,AA7/Debt!AA121,0)</f>
        <v>1.26749407127621</v>
      </c>
      <c r="AB17" s="6" t="n">
        <f aca="false">IF(Debt!AB121&gt;0.000000001,AB7/Debt!AB121,0)</f>
        <v>1.2847506942748</v>
      </c>
      <c r="AC17" s="6" t="n">
        <f aca="false">IF(Debt!AC121&gt;0.000000001,AC7/Debt!AC121,0)</f>
        <v>1.30292381062382</v>
      </c>
      <c r="AD17" s="6" t="n">
        <f aca="false">IF(Debt!AD121&gt;0.000000001,AD7/Debt!AD121,0)</f>
        <v>1.28927596878944</v>
      </c>
      <c r="AE17" s="6" t="n">
        <f aca="false">IF(Debt!AE121&gt;0.000000001,AE7/Debt!AE121,0)</f>
        <v>1.34273549310325</v>
      </c>
      <c r="AF17" s="6" t="n">
        <f aca="false">IF(Debt!AF121&gt;0.000000001,AF7/Debt!AF121,0)</f>
        <v>1.39876816453494</v>
      </c>
      <c r="AG17" s="6" t="n">
        <f aca="false">IF(Debt!AG121&gt;0.000000001,AG7/Debt!AG121,0)</f>
        <v>1.43288622237281</v>
      </c>
      <c r="AH17" s="6" t="n">
        <f aca="false">IF(Debt!AH121&gt;0.000000001,AH7/Debt!AH121,0)</f>
        <v>1.48652628252039</v>
      </c>
      <c r="AI17" s="6" t="n">
        <f aca="false">IF(Debt!AI121&gt;0.000000001,AI7/Debt!AI121,0)</f>
        <v>1.56293284720272</v>
      </c>
      <c r="AJ17" s="6" t="n">
        <f aca="false">IF(Debt!AJ121&gt;0.000000001,AJ7/Debt!AJ121,0)</f>
        <v>1.66663152103844</v>
      </c>
      <c r="AK17" s="6" t="n">
        <f aca="false">IF(Debt!AK121&gt;0.000000001,AK7/Debt!AK121,0)</f>
        <v>1.8276050943601</v>
      </c>
      <c r="AL17" s="6" t="n">
        <f aca="false">IF(Debt!AL121&gt;0.000000001,AL7/Debt!AL121,0)</f>
        <v>2.08466085798518</v>
      </c>
      <c r="AM17" s="6" t="n">
        <f aca="false">IF(Debt!AM121&gt;0.000000001,AM7/Debt!AM121,0)</f>
        <v>2.11102174171652</v>
      </c>
      <c r="AN17" s="6" t="n">
        <f aca="false">IF(Debt!AN121&gt;0.000000001,AN7/Debt!AN121,0)</f>
        <v>2.62923599358872</v>
      </c>
      <c r="AO17" s="6" t="n">
        <f aca="false">IF(Debt!AO121&gt;0.000000001,AO7/Debt!AO121,0)</f>
        <v>2.51653799295679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735</v>
      </c>
      <c r="E18" s="0" t="s">
        <v>202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0</v>
      </c>
      <c r="Q18" s="6" t="n">
        <f aca="false">IF(Debt!Q121&gt;0.000000001,IF(Debt!P121&gt;0.000000001,(Q7+P7)/(Debt!Q121+Debt!P121),Q17),0)</f>
        <v>1.26721989723494</v>
      </c>
      <c r="R18" s="6" t="n">
        <f aca="false">IF(Debt!R121&gt;0.000000001,IF(Debt!Q121&gt;0.000000001,(R7+Q7)/(Debt!R121+Debt!Q121),R17),0)</f>
        <v>1.26658157491706</v>
      </c>
      <c r="S18" s="6" t="n">
        <f aca="false">IF(Debt!S121&gt;0.000000001,IF(Debt!R121&gt;0.000000001,(S7+R7)/(Debt!S121+Debt!R121),S17),0)</f>
        <v>1.26678402247865</v>
      </c>
      <c r="T18" s="6" t="n">
        <f aca="false">IF(Debt!T121&gt;0.000000001,IF(Debt!S121&gt;0.000000001,(T7+S7)/(Debt!T121+Debt!S121),T17),0)</f>
        <v>1.26770235363281</v>
      </c>
      <c r="U18" s="6" t="n">
        <f aca="false">IF(Debt!U121&gt;0.000000001,IF(Debt!T121&gt;0.000000001,(U7+T7)/(Debt!U121+Debt!T121),U17),0)</f>
        <v>1.26680154045614</v>
      </c>
      <c r="V18" s="6" t="n">
        <f aca="false">IF(Debt!V121&gt;0.000000001,IF(Debt!U121&gt;0.000000001,(V7+U7)/(Debt!V121+Debt!U121),V17),0)</f>
        <v>1.25994965066608</v>
      </c>
      <c r="W18" s="6" t="n">
        <f aca="false">IF(Debt!W121&gt;0.000000001,IF(Debt!V121&gt;0.000000001,(W7+V7)/(Debt!W121+Debt!V121),W17),0)</f>
        <v>1.26153115837486</v>
      </c>
      <c r="X18" s="6" t="n">
        <f aca="false">IF(Debt!X121&gt;0.000000001,IF(Debt!W121&gt;0.000000001,(X7+W7)/(Debt!X121+Debt!W121),X17),0)</f>
        <v>1.29424485531022</v>
      </c>
      <c r="Y18" s="6" t="n">
        <f aca="false">IF(Debt!Y121&gt;0.000000001,IF(Debt!X121&gt;0.000000001,(Y7+X7)/(Debt!Y121+Debt!X121),Y17),0)</f>
        <v>1.29505114946216</v>
      </c>
      <c r="Z18" s="6" t="n">
        <f aca="false">IF(Debt!Z121&gt;0.000000001,IF(Debt!Y121&gt;0.000000001,(Z7+Y7)/(Debt!Z121+Debt!Y121),Z17),0)</f>
        <v>1.27078378696039</v>
      </c>
      <c r="AA18" s="6" t="n">
        <f aca="false">IF(Debt!AA121&gt;0.000000001,IF(Debt!Z121&gt;0.000000001,(AA7+Z7)/(Debt!AA121+Debt!Z121),AA17),0)</f>
        <v>1.26976655615106</v>
      </c>
      <c r="AB18" s="6" t="n">
        <f aca="false">IF(Debt!AB121&gt;0.000000001,IF(Debt!AA121&gt;0.000000001,(AB7+AA7)/(Debt!AB121+Debt!AA121),AB17),0)</f>
        <v>1.27611596296074</v>
      </c>
      <c r="AC18" s="6" t="n">
        <f aca="false">IF(Debt!AC121&gt;0.000000001,IF(Debt!AB121&gt;0.000000001,(AC7+AB7)/(Debt!AC121+Debt!AB121),AC17),0)</f>
        <v>1.2937426441397</v>
      </c>
      <c r="AD18" s="6" t="n">
        <f aca="false">IF(Debt!AD121&gt;0.000000001,IF(Debt!AC121&gt;0.000000001,(AD7+AC7)/(Debt!AD121+Debt!AC121),AD17),0)</f>
        <v>1.29602588321164</v>
      </c>
      <c r="AE18" s="6" t="n">
        <f aca="false">IF(Debt!AE121&gt;0.000000001,IF(Debt!AD121&gt;0.000000001,(AE7+AD7)/(Debt!AE121+Debt!AD121),AE17),0)</f>
        <v>1.31577161433467</v>
      </c>
      <c r="AF18" s="6" t="n">
        <f aca="false">IF(Debt!AF121&gt;0.000000001,IF(Debt!AE121&gt;0.000000001,(AF7+AE7)/(Debt!AF121+Debt!AE121),AF17),0)</f>
        <v>1.37045130939325</v>
      </c>
      <c r="AG18" s="6" t="n">
        <f aca="false">IF(Debt!AG121&gt;0.000000001,IF(Debt!AF121&gt;0.000000001,(AG7+AF7)/(Debt!AG121+Debt!AF121),AG17),0)</f>
        <v>1.41548116694128</v>
      </c>
      <c r="AH18" s="6" t="n">
        <f aca="false">IF(Debt!AH121&gt;0.000000001,IF(Debt!AG121&gt;0.000000001,(AH7+AG7)/(Debt!AH121+Debt!AG121),AH17),0)</f>
        <v>1.45938238624053</v>
      </c>
      <c r="AI18" s="6" t="n">
        <f aca="false">IF(Debt!AI121&gt;0.000000001,IF(Debt!AH121&gt;0.000000001,(AI7+AH7)/(Debt!AI121+Debt!AH121),AI17),0)</f>
        <v>1.52364325409713</v>
      </c>
      <c r="AJ18" s="6" t="n">
        <f aca="false">IF(Debt!AJ121&gt;0.000000001,IF(Debt!AI121&gt;0.000000001,(AJ7+AI7)/(Debt!AJ121+Debt!AI121),AJ17),0)</f>
        <v>1.61342550181954</v>
      </c>
      <c r="AK18" s="6" t="n">
        <f aca="false">IF(Debt!AK121&gt;0.000000001,IF(Debt!AJ121&gt;0.000000001,(AK7+AJ7)/(Debt!AK121+Debt!AJ121),AK17),0)</f>
        <v>1.74314609459776</v>
      </c>
      <c r="AL18" s="6" t="n">
        <f aca="false">IF(Debt!AL121&gt;0.000000001,IF(Debt!AK121&gt;0.000000001,(AL7+AK7)/(Debt!AL121+Debt!AK121),AL17),0)</f>
        <v>1.948355885425</v>
      </c>
      <c r="AM18" s="6" t="n">
        <f aca="false">IF(Debt!AM121&gt;0.000000001,IF(Debt!AL121&gt;0.000000001,(AM7+AL7)/(Debt!AM121+Debt!AL121),AM17),0)</f>
        <v>2.0978000579248</v>
      </c>
      <c r="AN18" s="6" t="n">
        <f aca="false">IF(Debt!AN121&gt;0.000000001,IF(Debt!AM121&gt;0.000000001,(AN7+AM7)/(Debt!AN121+Debt!AM121),AN17),0)</f>
        <v>2.34320345343036</v>
      </c>
      <c r="AO18" s="6" t="n">
        <f aca="false">IF(Debt!AO121&gt;0.000000001,IF(Debt!AN121&gt;0.000000001,(AO7+AN7)/(Debt!AO121+Debt!AN121),AO17),0)</f>
        <v>2.5732250158992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736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0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737</v>
      </c>
      <c r="E20" s="0" t="s">
        <v>113</v>
      </c>
      <c r="J20" s="9" t="n">
        <f aca="false">IF(AND(Debt!J121&gt;0.000000001,J18&lt;Inputs!$F$109),1,0)</f>
        <v>0</v>
      </c>
      <c r="K20" s="9" t="n">
        <f aca="false">IF(AND(Debt!K121&gt;0.000000001,K18&lt;Inputs!$F$109),1,0)</f>
        <v>0</v>
      </c>
      <c r="L20" s="9" t="n">
        <f aca="false">IF(AND(Debt!L121&gt;0.000000001,L18&lt;Inputs!$F$109),1,0)</f>
        <v>0</v>
      </c>
      <c r="M20" s="9" t="n">
        <f aca="false">IF(AND(Debt!M121&gt;0.000000001,M18&lt;Inputs!$F$109),1,0)</f>
        <v>0</v>
      </c>
      <c r="N20" s="9" t="n">
        <f aca="false">IF(AND(Debt!N121&gt;0.000000001,N18&lt;Inputs!$F$109),1,0)</f>
        <v>0</v>
      </c>
      <c r="O20" s="9" t="n">
        <f aca="false">IF(AND(Debt!O121&gt;0.000000001,O18&lt;Inputs!$F$109),1,0)</f>
        <v>0</v>
      </c>
      <c r="P20" s="9" t="n">
        <f aca="false">IF(AND(Debt!P121&gt;0.000000001,P18&lt;Inputs!$F$109),1,0)</f>
        <v>0</v>
      </c>
      <c r="Q20" s="9" t="n">
        <f aca="false">IF(AND(Debt!Q121&gt;0.000000001,Q18&lt;Inputs!$F$109),1,0)</f>
        <v>0</v>
      </c>
      <c r="R20" s="9" t="n">
        <f aca="false">IF(AND(Debt!R121&gt;0.000000001,R18&lt;Inputs!$F$109),1,0)</f>
        <v>0</v>
      </c>
      <c r="S20" s="9" t="n">
        <f aca="false">IF(AND(Debt!S121&gt;0.000000001,S18&lt;Inputs!$F$109),1,0)</f>
        <v>0</v>
      </c>
      <c r="T20" s="9" t="n">
        <f aca="false">IF(AND(Debt!T121&gt;0.000000001,T18&lt;Inputs!$F$109),1,0)</f>
        <v>0</v>
      </c>
      <c r="U20" s="9" t="n">
        <f aca="false">IF(AND(Debt!U121&gt;0.000000001,U18&lt;Inputs!$F$109),1,0)</f>
        <v>0</v>
      </c>
      <c r="V20" s="9" t="n">
        <f aca="false">IF(AND(Debt!V121&gt;0.000000001,V18&lt;Inputs!$F$109),1,0)</f>
        <v>0</v>
      </c>
      <c r="W20" s="9" t="n">
        <f aca="false">IF(AND(Debt!W121&gt;0.000000001,W18&lt;Inputs!$F$109),1,0)</f>
        <v>0</v>
      </c>
      <c r="X20" s="9" t="n">
        <f aca="false">IF(AND(Debt!X121&gt;0.000000001,X18&lt;Inputs!$F$109),1,0)</f>
        <v>0</v>
      </c>
      <c r="Y20" s="9" t="n">
        <f aca="false">IF(AND(Debt!Y121&gt;0.000000001,Y18&lt;Inputs!$F$109),1,0)</f>
        <v>0</v>
      </c>
      <c r="Z20" s="9" t="n">
        <f aca="false">IF(AND(Debt!Z121&gt;0.000000001,Z18&lt;Inputs!$F$109),1,0)</f>
        <v>0</v>
      </c>
      <c r="AA20" s="9" t="n">
        <f aca="false">IF(AND(Debt!AA121&gt;0.000000001,AA18&lt;Inputs!$F$109),1,0)</f>
        <v>0</v>
      </c>
      <c r="AB20" s="9" t="n">
        <f aca="false">IF(AND(Debt!AB121&gt;0.000000001,AB18&lt;Inputs!$F$109),1,0)</f>
        <v>0</v>
      </c>
      <c r="AC20" s="9" t="n">
        <f aca="false">IF(AND(Debt!AC121&gt;0.000000001,AC18&lt;Inputs!$F$109),1,0)</f>
        <v>0</v>
      </c>
      <c r="AD20" s="9" t="n">
        <f aca="false">IF(AND(Debt!AD121&gt;0.000000001,AD18&lt;Inputs!$F$109),1,0)</f>
        <v>0</v>
      </c>
      <c r="AE20" s="9" t="n">
        <f aca="false">IF(AND(Debt!AE121&gt;0.000000001,AE18&lt;Inputs!$F$109),1,0)</f>
        <v>0</v>
      </c>
      <c r="AF20" s="9" t="n">
        <f aca="false">IF(AND(Debt!AF121&gt;0.000000001,AF18&lt;Inputs!$F$109),1,0)</f>
        <v>0</v>
      </c>
      <c r="AG20" s="9" t="n">
        <f aca="false">IF(AND(Debt!AG121&gt;0.000000001,AG18&lt;Inputs!$F$109),1,0)</f>
        <v>0</v>
      </c>
      <c r="AH20" s="9" t="n">
        <f aca="false">IF(AND(Debt!AH121&gt;0.000000001,AH18&lt;Inputs!$F$109),1,0)</f>
        <v>0</v>
      </c>
      <c r="AI20" s="9" t="n">
        <f aca="false">IF(AND(Debt!AI121&gt;0.000000001,AI18&lt;Inputs!$F$109),1,0)</f>
        <v>0</v>
      </c>
      <c r="AJ20" s="9" t="n">
        <f aca="false">IF(AND(Debt!AJ121&gt;0.000000001,AJ18&lt;Inputs!$F$109),1,0)</f>
        <v>0</v>
      </c>
      <c r="AK20" s="9" t="n">
        <f aca="false">IF(AND(Debt!AK121&gt;0.000000001,AK18&lt;Inputs!$F$109),1,0)</f>
        <v>0</v>
      </c>
      <c r="AL20" s="9" t="n">
        <f aca="false">IF(AND(Debt!AL121&gt;0.000000001,AL18&lt;Inputs!$F$109),1,0)</f>
        <v>0</v>
      </c>
      <c r="AM20" s="9" t="n">
        <f aca="false">IF(AND(Debt!AM121&gt;0.000000001,AM18&lt;Inputs!$F$109),1,0)</f>
        <v>0</v>
      </c>
      <c r="AN20" s="9" t="n">
        <f aca="false">IF(AND(Debt!AN121&gt;0.000000001,AN18&lt;Inputs!$F$109),1,0)</f>
        <v>0</v>
      </c>
      <c r="AO20" s="9" t="n">
        <f aca="false">IF(AND(Debt!AO121&gt;0.000000001,AO18&lt;Inputs!$F$109),1,0)</f>
        <v>0</v>
      </c>
      <c r="AP20" s="9" t="n">
        <f aca="false">IF(AND(Debt!AP121&gt;0.000000001,AP18&lt;Inputs!$F$109),1,0)</f>
        <v>0</v>
      </c>
      <c r="AQ20" s="9" t="n">
        <f aca="false">IF(AND(Debt!AQ121&gt;0.000000001,AQ18&lt;Inputs!$F$109),1,0)</f>
        <v>0</v>
      </c>
      <c r="AR20" s="9" t="n">
        <f aca="false">IF(AND(Debt!AR121&gt;0.000000001,AR18&lt;Inputs!$F$109),1,0)</f>
        <v>0</v>
      </c>
      <c r="AS20" s="9" t="n">
        <f aca="false">IF(AND(Debt!AS121&gt;0.000000001,AS18&lt;Inputs!$F$109),1,0)</f>
        <v>0</v>
      </c>
      <c r="AT20" s="9" t="n">
        <f aca="false">IF(AND(Debt!AT121&gt;0.000000001,AT18&lt;Inputs!$F$109),1,0)</f>
        <v>0</v>
      </c>
      <c r="AU20" s="9" t="n">
        <f aca="false">IF(AND(Debt!AU121&gt;0.000000001,AU18&lt;Inputs!$F$109),1,0)</f>
        <v>0</v>
      </c>
      <c r="AV20" s="9" t="n">
        <f aca="false">IF(AND(Debt!AV121&gt;0.000000001,AV18&lt;Inputs!$F$109),1,0)</f>
        <v>0</v>
      </c>
      <c r="AW20" s="9" t="n">
        <f aca="false">IF(AND(Debt!AW121&gt;0.000000001,AW18&lt;Inputs!$F$109),1,0)</f>
        <v>0</v>
      </c>
      <c r="AX20" s="9" t="n">
        <f aca="false">IF(AND(Debt!AX121&gt;0.000000001,AX18&lt;Inputs!$F$109),1,0)</f>
        <v>0</v>
      </c>
      <c r="AY20" s="9" t="n">
        <f aca="false">IF(AND(Debt!AY121&gt;0.000000001,AY18&lt;Inputs!$F$109),1,0)</f>
        <v>0</v>
      </c>
      <c r="AZ20" s="9" t="n">
        <f aca="false">IF(AND(Debt!AZ121&gt;0.000000001,AZ18&lt;Inputs!$F$109),1,0)</f>
        <v>0</v>
      </c>
      <c r="BA20" s="9" t="n">
        <f aca="false">IF(AND(Debt!BA121&gt;0.000000001,BA18&lt;Inputs!$F$109),1,0)</f>
        <v>0</v>
      </c>
      <c r="BB20" s="9" t="n">
        <f aca="false">IF(AND(Debt!BB121&gt;0.000000001,BB18&lt;Inputs!$F$109),1,0)</f>
        <v>0</v>
      </c>
      <c r="BC20" s="9" t="n">
        <f aca="false">IF(AND(Debt!BC121&gt;0.000000001,BC18&lt;Inputs!$F$109),1,0)</f>
        <v>0</v>
      </c>
      <c r="BD20" s="9" t="n">
        <f aca="false">IF(AND(Debt!BD121&gt;0.000000001,BD18&lt;Inputs!$F$109),1,0)</f>
        <v>0</v>
      </c>
      <c r="BE20" s="9" t="n">
        <f aca="false">IF(AND(Debt!BE121&gt;0.000000001,BE18&lt;Inputs!$F$109),1,0)</f>
        <v>0</v>
      </c>
      <c r="BF20" s="9" t="n">
        <f aca="false">IF(AND(Debt!BF121&gt;0.000000001,BF18&lt;Inputs!$F$109),1,0)</f>
        <v>0</v>
      </c>
      <c r="BG20" s="9" t="n">
        <f aca="false">IF(AND(Debt!BG121&gt;0.000000001,BG18&lt;Inputs!$F$109),1,0)</f>
        <v>0</v>
      </c>
      <c r="BH20" s="9" t="n">
        <f aca="false">IF(AND(Debt!BH121&gt;0.000000001,BH18&lt;Inputs!$F$109),1,0)</f>
        <v>0</v>
      </c>
      <c r="BI20" s="9" t="n">
        <f aca="false">IF(AND(Debt!BI121&gt;0.000000001,BI18&lt;Inputs!$F$109),1,0)</f>
        <v>0</v>
      </c>
      <c r="BJ20" s="9" t="n">
        <f aca="false">IF(AND(Debt!BJ121&gt;0.000000001,BJ18&lt;Inputs!$F$109),1,0)</f>
        <v>0</v>
      </c>
      <c r="BK20" s="9" t="n">
        <f aca="false">IF(AND(Debt!BK121&gt;0.000000001,BK18&lt;Inputs!$F$109),1,0)</f>
        <v>0</v>
      </c>
      <c r="BL20" s="9" t="n">
        <f aca="false">IF(AND(Debt!BL121&gt;0.000000001,BL18&lt;Inputs!$F$109),1,0)</f>
        <v>0</v>
      </c>
      <c r="BM20" s="9" t="n">
        <f aca="false">IF(AND(Debt!BM121&gt;0.000000001,BM18&lt;Inputs!$F$109),1,0)</f>
        <v>0</v>
      </c>
      <c r="BN20" s="9" t="n">
        <f aca="false">IF(AND(Debt!BN121&gt;0.000000001,BN18&lt;Inputs!$F$109),1,0)</f>
        <v>0</v>
      </c>
    </row>
    <row r="21" customFormat="false" ht="15" hidden="false" customHeight="false" outlineLevel="0" collapsed="false">
      <c r="D21" s="0" t="s">
        <v>738</v>
      </c>
      <c r="E21" s="0" t="s">
        <v>113</v>
      </c>
      <c r="J21" s="9" t="n">
        <f aca="false">Inputs!$F$49*IF(OR(Time!J17=10,Time!J17=11),1,0)</f>
        <v>0</v>
      </c>
      <c r="K21" s="9" t="n">
        <f aca="false">Inputs!$F$49*IF(OR(Time!K17=10,Time!K17=11),1,0)</f>
        <v>0</v>
      </c>
      <c r="L21" s="9" t="n">
        <f aca="false">Inputs!$F$49*IF(OR(Time!L17=10,Time!L17=11),1,0)</f>
        <v>0</v>
      </c>
      <c r="M21" s="9" t="n">
        <f aca="false">Inputs!$F$49*IF(OR(Time!M17=10,Time!M17=11),1,0)</f>
        <v>0</v>
      </c>
      <c r="N21" s="9" t="n">
        <f aca="false">Inputs!$F$49*IF(OR(Time!N17=10,Time!N17=11),1,0)</f>
        <v>0</v>
      </c>
      <c r="O21" s="9" t="n">
        <f aca="false">Inputs!$F$49*IF(OR(Time!O17=10,Time!O17=11),1,0)</f>
        <v>0</v>
      </c>
      <c r="P21" s="9" t="n">
        <f aca="false">Inputs!$F$49*IF(OR(Time!P17=10,Time!P17=11),1,0)</f>
        <v>0</v>
      </c>
      <c r="Q21" s="9" t="n">
        <f aca="false">Inputs!$F$49*IF(OR(Time!Q17=10,Time!Q17=11),1,0)</f>
        <v>0</v>
      </c>
      <c r="R21" s="9" t="n">
        <f aca="false">Inputs!$F$49*IF(OR(Time!R17=10,Time!R17=11),1,0)</f>
        <v>0</v>
      </c>
      <c r="S21" s="9" t="n">
        <f aca="false">Inputs!$F$49*IF(OR(Time!S17=10,Time!S17=11),1,0)</f>
        <v>0</v>
      </c>
      <c r="T21" s="9" t="n">
        <f aca="false">Inputs!$F$49*IF(OR(Time!T17=10,Time!T17=11),1,0)</f>
        <v>0</v>
      </c>
      <c r="U21" s="9" t="n">
        <f aca="false">Inputs!$F$49*IF(OR(Time!U17=10,Time!U17=11),1,0)</f>
        <v>0</v>
      </c>
      <c r="V21" s="9" t="n">
        <f aca="false">Inputs!$F$49*IF(OR(Time!V17=10,Time!V17=11),1,0)</f>
        <v>0</v>
      </c>
      <c r="W21" s="9" t="n">
        <f aca="false">Inputs!$F$49*IF(OR(Time!W17=10,Time!W17=11),1,0)</f>
        <v>0</v>
      </c>
      <c r="X21" s="9" t="n">
        <f aca="false">Inputs!$F$49*IF(OR(Time!X17=10,Time!X17=11),1,0)</f>
        <v>0</v>
      </c>
      <c r="Y21" s="9" t="n">
        <f aca="false">Inputs!$F$49*IF(OR(Time!Y17=10,Time!Y17=11),1,0)</f>
        <v>0</v>
      </c>
      <c r="Z21" s="9" t="n">
        <f aca="false">Inputs!$F$49*IF(OR(Time!Z17=10,Time!Z17=11),1,0)</f>
        <v>0</v>
      </c>
      <c r="AA21" s="9" t="n">
        <f aca="false">Inputs!$F$49*IF(OR(Time!AA17=10,Time!AA17=11),1,0)</f>
        <v>0</v>
      </c>
      <c r="AB21" s="9" t="n">
        <f aca="false">Inputs!$F$49*IF(OR(Time!AB17=10,Time!AB17=11),1,0)</f>
        <v>0</v>
      </c>
      <c r="AC21" s="9" t="n">
        <f aca="false">Inputs!$F$49*IF(OR(Time!AC17=10,Time!AC17=11),1,0)</f>
        <v>0</v>
      </c>
      <c r="AD21" s="9" t="n">
        <f aca="false">Inputs!$F$49*IF(OR(Time!AD17=10,Time!AD17=11),1,0)</f>
        <v>0</v>
      </c>
      <c r="AE21" s="9" t="n">
        <f aca="false">Inputs!$F$49*IF(OR(Time!AE17=10,Time!AE17=11),1,0)</f>
        <v>0</v>
      </c>
      <c r="AF21" s="9" t="n">
        <f aca="false">Inputs!$F$49*IF(OR(Time!AF17=10,Time!AF17=11),1,0)</f>
        <v>0</v>
      </c>
      <c r="AG21" s="9" t="n">
        <f aca="false">Inputs!$F$49*IF(OR(Time!AG17=10,Time!AG17=11),1,0)</f>
        <v>0</v>
      </c>
      <c r="AH21" s="9" t="n">
        <f aca="false">Inputs!$F$49*IF(OR(Time!AH17=10,Time!AH17=11),1,0)</f>
        <v>0</v>
      </c>
      <c r="AI21" s="9" t="n">
        <f aca="false">Inputs!$F$49*IF(OR(Time!AI17=10,Time!AI17=11),1,0)</f>
        <v>0</v>
      </c>
      <c r="AJ21" s="9" t="n">
        <f aca="false">Inputs!$F$49*IF(OR(Time!AJ17=10,Time!AJ17=11),1,0)</f>
        <v>0</v>
      </c>
      <c r="AK21" s="9" t="n">
        <f aca="false">Inputs!$F$49*IF(OR(Time!AK17=10,Time!AK17=11),1,0)</f>
        <v>0</v>
      </c>
      <c r="AL21" s="9" t="n">
        <f aca="false">Inputs!$F$49*IF(OR(Time!AL17=10,Time!AL17=11),1,0)</f>
        <v>0</v>
      </c>
      <c r="AM21" s="9" t="n">
        <f aca="false">Inputs!$F$49*IF(OR(Time!AM17=10,Time!AM17=11),1,0)</f>
        <v>0</v>
      </c>
      <c r="AN21" s="9" t="n">
        <f aca="false">Inputs!$F$49*IF(OR(Time!AN17=10,Time!AN17=11),1,0)</f>
        <v>0</v>
      </c>
      <c r="AO21" s="9" t="n">
        <f aca="false">Inputs!$F$49*IF(OR(Time!AO17=10,Time!AO17=11),1,0)</f>
        <v>0</v>
      </c>
      <c r="AP21" s="9" t="n">
        <f aca="false">Inputs!$F$49*IF(OR(Time!AP17=10,Time!AP17=11),1,0)</f>
        <v>0</v>
      </c>
      <c r="AQ21" s="9" t="n">
        <f aca="false">Inputs!$F$49*IF(OR(Time!AQ17=10,Time!AQ17=11),1,0)</f>
        <v>0</v>
      </c>
      <c r="AR21" s="9" t="n">
        <f aca="false">Inputs!$F$49*IF(OR(Time!AR17=10,Time!AR17=11),1,0)</f>
        <v>0</v>
      </c>
      <c r="AS21" s="9" t="n">
        <f aca="false">Inputs!$F$49*IF(OR(Time!AS17=10,Time!AS17=11),1,0)</f>
        <v>0</v>
      </c>
      <c r="AT21" s="9" t="n">
        <f aca="false">Inputs!$F$49*IF(OR(Time!AT17=10,Time!AT17=11),1,0)</f>
        <v>0</v>
      </c>
      <c r="AU21" s="9" t="n">
        <f aca="false">Inputs!$F$49*IF(OR(Time!AU17=10,Time!AU17=11),1,0)</f>
        <v>0</v>
      </c>
      <c r="AV21" s="9" t="n">
        <f aca="false">Inputs!$F$49*IF(OR(Time!AV17=10,Time!AV17=11),1,0)</f>
        <v>0</v>
      </c>
      <c r="AW21" s="9" t="n">
        <f aca="false">Inputs!$F$49*IF(OR(Time!AW17=10,Time!AW17=11),1,0)</f>
        <v>0</v>
      </c>
      <c r="AX21" s="9" t="n">
        <f aca="false">Inputs!$F$49*IF(OR(Time!AX17=10,Time!AX17=11),1,0)</f>
        <v>0</v>
      </c>
      <c r="AY21" s="9" t="n">
        <f aca="false">Inputs!$F$49*IF(OR(Time!AY17=10,Time!AY17=11),1,0)</f>
        <v>0</v>
      </c>
      <c r="AZ21" s="9" t="n">
        <f aca="false">Inputs!$F$49*IF(OR(Time!AZ17=10,Time!AZ17=11),1,0)</f>
        <v>0</v>
      </c>
      <c r="BA21" s="9" t="n">
        <f aca="false">Inputs!$F$49*IF(OR(Time!BA17=10,Time!BA17=11),1,0)</f>
        <v>0</v>
      </c>
      <c r="BB21" s="9" t="n">
        <f aca="false">Inputs!$F$49*IF(OR(Time!BB17=10,Time!BB17=11),1,0)</f>
        <v>0</v>
      </c>
      <c r="BC21" s="9" t="n">
        <f aca="false">Inputs!$F$49*IF(OR(Time!BC17=10,Time!BC17=11),1,0)</f>
        <v>0</v>
      </c>
      <c r="BD21" s="9" t="n">
        <f aca="false">Inputs!$F$49*IF(OR(Time!BD17=10,Time!BD17=11),1,0)</f>
        <v>0</v>
      </c>
      <c r="BE21" s="9" t="n">
        <f aca="false">Inputs!$F$49*IF(OR(Time!BE17=10,Time!BE17=11),1,0)</f>
        <v>0</v>
      </c>
      <c r="BF21" s="9" t="n">
        <f aca="false">Inputs!$F$49*IF(OR(Time!BF17=10,Time!BF17=11),1,0)</f>
        <v>0</v>
      </c>
      <c r="BG21" s="9" t="n">
        <f aca="false">Inputs!$F$49*IF(OR(Time!BG17=10,Time!BG17=11),1,0)</f>
        <v>0</v>
      </c>
      <c r="BH21" s="9" t="n">
        <f aca="false">Inputs!$F$49*IF(OR(Time!BH17=10,Time!BH17=11),1,0)</f>
        <v>0</v>
      </c>
      <c r="BI21" s="9" t="n">
        <f aca="false">Inputs!$F$49*IF(OR(Time!BI17=10,Time!BI17=11),1,0)</f>
        <v>0</v>
      </c>
      <c r="BJ21" s="9" t="n">
        <f aca="false">Inputs!$F$49*IF(OR(Time!BJ17=10,Time!BJ17=11),1,0)</f>
        <v>0</v>
      </c>
      <c r="BK21" s="9" t="n">
        <f aca="false">Inputs!$F$49*IF(OR(Time!BK17=10,Time!BK17=11),1,0)</f>
        <v>0</v>
      </c>
      <c r="BL21" s="9" t="n">
        <f aca="false">Inputs!$F$49*IF(OR(Time!BL17=10,Time!BL17=11),1,0)</f>
        <v>0</v>
      </c>
      <c r="BM21" s="9" t="n">
        <f aca="false">Inputs!$F$49*IF(OR(Time!BM17=10,Time!BM17=11),1,0)</f>
        <v>0</v>
      </c>
      <c r="BN21" s="9" t="n">
        <f aca="false">Inputs!$F$49*IF(OR(Time!BN17=10,Time!BN17=11),1,0)</f>
        <v>0</v>
      </c>
    </row>
    <row r="22" customFormat="false" ht="15" hidden="false" customHeight="false" outlineLevel="0" collapsed="false">
      <c r="D22" s="0" t="s">
        <v>739</v>
      </c>
      <c r="E22" s="0" t="s">
        <v>113</v>
      </c>
      <c r="J22" s="9" t="n">
        <f aca="false">Inputs!$F$49*IF(Time!J17&gt;=10,1,0)</f>
        <v>0</v>
      </c>
      <c r="K22" s="9" t="n">
        <f aca="false">Inputs!$F$49*IF(Time!K17&gt;=10,1,0)</f>
        <v>0</v>
      </c>
      <c r="L22" s="9" t="n">
        <f aca="false">Inputs!$F$49*IF(Time!L17&gt;=10,1,0)</f>
        <v>0</v>
      </c>
      <c r="M22" s="9" t="n">
        <f aca="false">Inputs!$F$49*IF(Time!M17&gt;=10,1,0)</f>
        <v>0</v>
      </c>
      <c r="N22" s="9" t="n">
        <f aca="false">Inputs!$F$49*IF(Time!N17&gt;=10,1,0)</f>
        <v>0</v>
      </c>
      <c r="O22" s="9" t="n">
        <f aca="false">Inputs!$F$49*IF(Time!O17&gt;=10,1,0)</f>
        <v>0</v>
      </c>
      <c r="P22" s="9" t="n">
        <f aca="false">Inputs!$F$49*IF(Time!P17&gt;=10,1,0)</f>
        <v>0</v>
      </c>
      <c r="Q22" s="9" t="n">
        <f aca="false">Inputs!$F$49*IF(Time!Q17&gt;=10,1,0)</f>
        <v>0</v>
      </c>
      <c r="R22" s="9" t="n">
        <f aca="false">Inputs!$F$49*IF(Time!R17&gt;=10,1,0)</f>
        <v>0</v>
      </c>
      <c r="S22" s="9" t="n">
        <f aca="false">Inputs!$F$49*IF(Time!S17&gt;=10,1,0)</f>
        <v>0</v>
      </c>
      <c r="T22" s="9" t="n">
        <f aca="false">Inputs!$F$49*IF(Time!T17&gt;=10,1,0)</f>
        <v>0</v>
      </c>
      <c r="U22" s="9" t="n">
        <f aca="false">Inputs!$F$49*IF(Time!U17&gt;=10,1,0)</f>
        <v>0</v>
      </c>
      <c r="V22" s="9" t="n">
        <f aca="false">Inputs!$F$49*IF(Time!V17&gt;=10,1,0)</f>
        <v>0</v>
      </c>
      <c r="W22" s="9" t="n">
        <f aca="false">Inputs!$F$49*IF(Time!W17&gt;=10,1,0)</f>
        <v>0</v>
      </c>
      <c r="X22" s="9" t="n">
        <f aca="false">Inputs!$F$49*IF(Time!X17&gt;=10,1,0)</f>
        <v>0</v>
      </c>
      <c r="Y22" s="9" t="n">
        <f aca="false">Inputs!$F$49*IF(Time!Y17&gt;=10,1,0)</f>
        <v>0</v>
      </c>
      <c r="Z22" s="9" t="n">
        <f aca="false">Inputs!$F$49*IF(Time!Z17&gt;=10,1,0)</f>
        <v>0</v>
      </c>
      <c r="AA22" s="9" t="n">
        <f aca="false">Inputs!$F$49*IF(Time!AA17&gt;=10,1,0)</f>
        <v>0</v>
      </c>
      <c r="AB22" s="9" t="n">
        <f aca="false">Inputs!$F$49*IF(Time!AB17&gt;=10,1,0)</f>
        <v>0</v>
      </c>
      <c r="AC22" s="9" t="n">
        <f aca="false">Inputs!$F$49*IF(Time!AC17&gt;=10,1,0)</f>
        <v>0</v>
      </c>
      <c r="AD22" s="9" t="n">
        <f aca="false">Inputs!$F$49*IF(Time!AD17&gt;=10,1,0)</f>
        <v>0</v>
      </c>
      <c r="AE22" s="9" t="n">
        <f aca="false">Inputs!$F$49*IF(Time!AE17&gt;=10,1,0)</f>
        <v>0</v>
      </c>
      <c r="AF22" s="9" t="n">
        <f aca="false">Inputs!$F$49*IF(Time!AF17&gt;=10,1,0)</f>
        <v>0</v>
      </c>
      <c r="AG22" s="9" t="n">
        <f aca="false">Inputs!$F$49*IF(Time!AG17&gt;=10,1,0)</f>
        <v>0</v>
      </c>
      <c r="AH22" s="9" t="n">
        <f aca="false">Inputs!$F$49*IF(Time!AH17&gt;=10,1,0)</f>
        <v>0</v>
      </c>
      <c r="AI22" s="9" t="n">
        <f aca="false">Inputs!$F$49*IF(Time!AI17&gt;=10,1,0)</f>
        <v>0</v>
      </c>
      <c r="AJ22" s="9" t="n">
        <f aca="false">Inputs!$F$49*IF(Time!AJ17&gt;=10,1,0)</f>
        <v>0</v>
      </c>
      <c r="AK22" s="9" t="n">
        <f aca="false">Inputs!$F$49*IF(Time!AK17&gt;=10,1,0)</f>
        <v>0</v>
      </c>
      <c r="AL22" s="9" t="n">
        <f aca="false">Inputs!$F$49*IF(Time!AL17&gt;=10,1,0)</f>
        <v>0</v>
      </c>
      <c r="AM22" s="9" t="n">
        <f aca="false">Inputs!$F$49*IF(Time!AM17&gt;=10,1,0)</f>
        <v>0</v>
      </c>
      <c r="AN22" s="9" t="n">
        <f aca="false">Inputs!$F$49*IF(Time!AN17&gt;=10,1,0)</f>
        <v>0</v>
      </c>
      <c r="AO22" s="9" t="n">
        <f aca="false">Inputs!$F$49*IF(Time!AO17&gt;=10,1,0)</f>
        <v>0</v>
      </c>
      <c r="AP22" s="9" t="n">
        <f aca="false">Inputs!$F$49*IF(Time!AP17&gt;=10,1,0)</f>
        <v>0</v>
      </c>
      <c r="AQ22" s="9" t="n">
        <f aca="false">Inputs!$F$49*IF(Time!AQ17&gt;=10,1,0)</f>
        <v>0</v>
      </c>
      <c r="AR22" s="9" t="n">
        <f aca="false">Inputs!$F$49*IF(Time!AR17&gt;=10,1,0)</f>
        <v>0</v>
      </c>
      <c r="AS22" s="9" t="n">
        <f aca="false">Inputs!$F$49*IF(Time!AS17&gt;=10,1,0)</f>
        <v>0</v>
      </c>
      <c r="AT22" s="9" t="n">
        <f aca="false">Inputs!$F$49*IF(Time!AT17&gt;=10,1,0)</f>
        <v>0</v>
      </c>
      <c r="AU22" s="9" t="n">
        <f aca="false">Inputs!$F$49*IF(Time!AU17&gt;=10,1,0)</f>
        <v>0</v>
      </c>
      <c r="AV22" s="9" t="n">
        <f aca="false">Inputs!$F$49*IF(Time!AV17&gt;=10,1,0)</f>
        <v>0</v>
      </c>
      <c r="AW22" s="9" t="n">
        <f aca="false">Inputs!$F$49*IF(Time!AW17&gt;=10,1,0)</f>
        <v>0</v>
      </c>
      <c r="AX22" s="9" t="n">
        <f aca="false">Inputs!$F$49*IF(Time!AX17&gt;=10,1,0)</f>
        <v>0</v>
      </c>
      <c r="AY22" s="9" t="n">
        <f aca="false">Inputs!$F$49*IF(Time!AY17&gt;=10,1,0)</f>
        <v>0</v>
      </c>
      <c r="AZ22" s="9" t="n">
        <f aca="false">Inputs!$F$49*IF(Time!AZ17&gt;=10,1,0)</f>
        <v>0</v>
      </c>
      <c r="BA22" s="9" t="n">
        <f aca="false">Inputs!$F$49*IF(Time!BA17&gt;=10,1,0)</f>
        <v>0</v>
      </c>
      <c r="BB22" s="9" t="n">
        <f aca="false">Inputs!$F$49*IF(Time!BB17&gt;=10,1,0)</f>
        <v>0</v>
      </c>
      <c r="BC22" s="9" t="n">
        <f aca="false">Inputs!$F$49*IF(Time!BC17&gt;=10,1,0)</f>
        <v>0</v>
      </c>
      <c r="BD22" s="9" t="n">
        <f aca="false">Inputs!$F$49*IF(Time!BD17&gt;=10,1,0)</f>
        <v>0</v>
      </c>
      <c r="BE22" s="9" t="n">
        <f aca="false">Inputs!$F$49*IF(Time!BE17&gt;=10,1,0)</f>
        <v>0</v>
      </c>
      <c r="BF22" s="9" t="n">
        <f aca="false">Inputs!$F$49*IF(Time!BF17&gt;=10,1,0)</f>
        <v>0</v>
      </c>
      <c r="BG22" s="9" t="n">
        <f aca="false">Inputs!$F$49*IF(Time!BG17&gt;=10,1,0)</f>
        <v>0</v>
      </c>
      <c r="BH22" s="9" t="n">
        <f aca="false">Inputs!$F$49*IF(Time!BH17&gt;=10,1,0)</f>
        <v>0</v>
      </c>
      <c r="BI22" s="9" t="n">
        <f aca="false">Inputs!$F$49*IF(Time!BI17&gt;=10,1,0)</f>
        <v>0</v>
      </c>
      <c r="BJ22" s="9" t="n">
        <f aca="false">Inputs!$F$49*IF(Time!BJ17&gt;=10,1,0)</f>
        <v>0</v>
      </c>
      <c r="BK22" s="9" t="n">
        <f aca="false">Inputs!$F$49*IF(Time!BK17&gt;=10,1,0)</f>
        <v>0</v>
      </c>
      <c r="BL22" s="9" t="n">
        <f aca="false">Inputs!$F$49*IF(Time!BL17&gt;=10,1,0)</f>
        <v>0</v>
      </c>
      <c r="BM22" s="9" t="n">
        <f aca="false">Inputs!$F$49*IF(Time!BM17&gt;=10,1,0)</f>
        <v>0</v>
      </c>
      <c r="BN22" s="9" t="n">
        <f aca="false">Inputs!$F$49*IF(Time!BN17&gt;=10,1,0)</f>
        <v>0</v>
      </c>
    </row>
    <row r="23" customFormat="false" ht="15" hidden="false" customHeight="false" outlineLevel="0" collapsed="false">
      <c r="D23" s="0" t="s">
        <v>740</v>
      </c>
      <c r="E23" s="0" t="s">
        <v>113</v>
      </c>
      <c r="J23" s="9" t="n">
        <f aca="false">MAX(0,IF(AND(J22=1,Time!J17&gt;11,J18&gt;=Inputs!$F$110,Time!J17-1&gt;11,0&gt;=Inputs!$F$110,Reserves!J13&gt;=Debt!J132-0.000001),1,0))</f>
        <v>0</v>
      </c>
      <c r="K23" s="9" t="n">
        <f aca="false">MAX(J23,IF(AND(K22=1,Time!K17&gt;11,K18&gt;=Inputs!$F$110,Time!K17-1&gt;11,J18&gt;=Inputs!$F$110,Reserves!K13&gt;=Debt!K132-0.000001),1,0))</f>
        <v>0</v>
      </c>
      <c r="L23" s="9" t="n">
        <f aca="false">MAX(K23,IF(AND(L22=1,Time!L17&gt;11,L18&gt;=Inputs!$F$110,Time!L17-1&gt;11,K18&gt;=Inputs!$F$110,Reserves!L13&gt;=Debt!L132-0.000001),1,0))</f>
        <v>0</v>
      </c>
      <c r="M23" s="9" t="n">
        <f aca="false">MAX(L23,IF(AND(M22=1,Time!M17&gt;11,M18&gt;=Inputs!$F$110,Time!M17-1&gt;11,L18&gt;=Inputs!$F$110,Reserves!M13&gt;=Debt!M132-0.000001),1,0))</f>
        <v>0</v>
      </c>
      <c r="N23" s="9" t="n">
        <f aca="false">MAX(M23,IF(AND(N22=1,Time!N17&gt;11,N18&gt;=Inputs!$F$110,Time!N17-1&gt;11,M18&gt;=Inputs!$F$110,Reserves!N13&gt;=Debt!N132-0.000001),1,0))</f>
        <v>0</v>
      </c>
      <c r="O23" s="9" t="n">
        <f aca="false">MAX(N23,IF(AND(O22=1,Time!O17&gt;11,O18&gt;=Inputs!$F$110,Time!O17-1&gt;11,N18&gt;=Inputs!$F$110,Reserves!O13&gt;=Debt!O132-0.000001),1,0))</f>
        <v>0</v>
      </c>
      <c r="P23" s="9" t="n">
        <f aca="false">MAX(O23,IF(AND(P22=1,Time!P17&gt;11,P18&gt;=Inputs!$F$110,Time!P17-1&gt;11,O18&gt;=Inputs!$F$110,Reserves!P13&gt;=Debt!P132-0.000001),1,0))</f>
        <v>0</v>
      </c>
      <c r="Q23" s="9" t="n">
        <f aca="false">MAX(P23,IF(AND(Q22=1,Time!Q17&gt;11,Q18&gt;=Inputs!$F$110,Time!Q17-1&gt;11,P18&gt;=Inputs!$F$110,Reserves!Q13&gt;=Debt!Q132-0.000001),1,0))</f>
        <v>0</v>
      </c>
      <c r="R23" s="9" t="n">
        <f aca="false">MAX(Q23,IF(AND(R22=1,Time!R17&gt;11,R18&gt;=Inputs!$F$110,Time!R17-1&gt;11,Q18&gt;=Inputs!$F$110,Reserves!R13&gt;=Debt!R132-0.000001),1,0))</f>
        <v>0</v>
      </c>
      <c r="S23" s="9" t="n">
        <f aca="false">MAX(R23,IF(AND(S22=1,Time!S17&gt;11,S18&gt;=Inputs!$F$110,Time!S17-1&gt;11,R18&gt;=Inputs!$F$110,Reserves!S13&gt;=Debt!S132-0.000001),1,0))</f>
        <v>0</v>
      </c>
      <c r="T23" s="9" t="n">
        <f aca="false">MAX(S23,IF(AND(T22=1,Time!T17&gt;11,T18&gt;=Inputs!$F$110,Time!T17-1&gt;11,S18&gt;=Inputs!$F$110,Reserves!T13&gt;=Debt!T132-0.000001),1,0))</f>
        <v>0</v>
      </c>
      <c r="U23" s="9" t="n">
        <f aca="false">MAX(T23,IF(AND(U22=1,Time!U17&gt;11,U18&gt;=Inputs!$F$110,Time!U17-1&gt;11,T18&gt;=Inputs!$F$110,Reserves!U13&gt;=Debt!U132-0.000001),1,0))</f>
        <v>0</v>
      </c>
      <c r="V23" s="9" t="n">
        <f aca="false">MAX(U23,IF(AND(V22=1,Time!V17&gt;11,V18&gt;=Inputs!$F$110,Time!V17-1&gt;11,U18&gt;=Inputs!$F$110,Reserves!V13&gt;=Debt!V132-0.000001),1,0))</f>
        <v>0</v>
      </c>
      <c r="W23" s="9" t="n">
        <f aca="false">MAX(V23,IF(AND(W22=1,Time!W17&gt;11,W18&gt;=Inputs!$F$110,Time!W17-1&gt;11,V18&gt;=Inputs!$F$110,Reserves!W13&gt;=Debt!W132-0.000001),1,0))</f>
        <v>0</v>
      </c>
      <c r="X23" s="9" t="n">
        <f aca="false">MAX(W23,IF(AND(X22=1,Time!X17&gt;11,X18&gt;=Inputs!$F$110,Time!X17-1&gt;11,W18&gt;=Inputs!$F$110,Reserves!X13&gt;=Debt!X132-0.000001),1,0))</f>
        <v>0</v>
      </c>
      <c r="Y23" s="9" t="n">
        <f aca="false">MAX(X23,IF(AND(Y22=1,Time!Y17&gt;11,Y18&gt;=Inputs!$F$110,Time!Y17-1&gt;11,X18&gt;=Inputs!$F$110,Reserves!Y13&gt;=Debt!Y132-0.000001),1,0))</f>
        <v>0</v>
      </c>
      <c r="Z23" s="9" t="n">
        <f aca="false">MAX(Y23,IF(AND(Z22=1,Time!Z17&gt;11,Z18&gt;=Inputs!$F$110,Time!Z17-1&gt;11,Y18&gt;=Inputs!$F$110,Reserves!Z13&gt;=Debt!Z132-0.000001),1,0))</f>
        <v>0</v>
      </c>
      <c r="AA23" s="9" t="n">
        <f aca="false">MAX(Z23,IF(AND(AA22=1,Time!AA17&gt;11,AA18&gt;=Inputs!$F$110,Time!AA17-1&gt;11,Z18&gt;=Inputs!$F$110,Reserves!AA13&gt;=Debt!AA132-0.000001),1,0))</f>
        <v>0</v>
      </c>
      <c r="AB23" s="9" t="n">
        <f aca="false">MAX(AA23,IF(AND(AB22=1,Time!AB17&gt;11,AB18&gt;=Inputs!$F$110,Time!AB17-1&gt;11,AA18&gt;=Inputs!$F$110,Reserves!AB13&gt;=Debt!AB132-0.000001),1,0))</f>
        <v>0</v>
      </c>
      <c r="AC23" s="9" t="n">
        <f aca="false">MAX(AB23,IF(AND(AC22=1,Time!AC17&gt;11,AC18&gt;=Inputs!$F$110,Time!AC17-1&gt;11,AB18&gt;=Inputs!$F$110,Reserves!AC13&gt;=Debt!AC132-0.000001),1,0))</f>
        <v>0</v>
      </c>
      <c r="AD23" s="9" t="n">
        <f aca="false">MAX(AC23,IF(AND(AD22=1,Time!AD17&gt;11,AD18&gt;=Inputs!$F$110,Time!AD17-1&gt;11,AC18&gt;=Inputs!$F$110,Reserves!AD13&gt;=Debt!AD132-0.000001),1,0))</f>
        <v>0</v>
      </c>
      <c r="AE23" s="9" t="n">
        <f aca="false">MAX(AD23,IF(AND(AE22=1,Time!AE17&gt;11,AE18&gt;=Inputs!$F$110,Time!AE17-1&gt;11,AD18&gt;=Inputs!$F$110,Reserves!AE13&gt;=Debt!AE132-0.000001),1,0))</f>
        <v>0</v>
      </c>
      <c r="AF23" s="9" t="n">
        <f aca="false">MAX(AE23,IF(AND(AF22=1,Time!AF17&gt;11,AF18&gt;=Inputs!$F$110,Time!AF17-1&gt;11,AE18&gt;=Inputs!$F$110,Reserves!AF13&gt;=Debt!AF132-0.000001),1,0))</f>
        <v>0</v>
      </c>
      <c r="AG23" s="9" t="n">
        <f aca="false">MAX(AF23,IF(AND(AG22=1,Time!AG17&gt;11,AG18&gt;=Inputs!$F$110,Time!AG17-1&gt;11,AF18&gt;=Inputs!$F$110,Reserves!AG13&gt;=Debt!AG132-0.000001),1,0))</f>
        <v>0</v>
      </c>
      <c r="AH23" s="9" t="n">
        <f aca="false">MAX(AG23,IF(AND(AH22=1,Time!AH17&gt;11,AH18&gt;=Inputs!$F$110,Time!AH17-1&gt;11,AG18&gt;=Inputs!$F$110,Reserves!AH13&gt;=Debt!AH132-0.000001),1,0))</f>
        <v>0</v>
      </c>
      <c r="AI23" s="9" t="n">
        <f aca="false">MAX(AH23,IF(AND(AI22=1,Time!AI17&gt;11,AI18&gt;=Inputs!$F$110,Time!AI17-1&gt;11,AH18&gt;=Inputs!$F$110,Reserves!AI13&gt;=Debt!AI132-0.000001),1,0))</f>
        <v>0</v>
      </c>
      <c r="AJ23" s="9" t="n">
        <f aca="false">MAX(AI23,IF(AND(AJ22=1,Time!AJ17&gt;11,AJ18&gt;=Inputs!$F$110,Time!AJ17-1&gt;11,AI18&gt;=Inputs!$F$110,Reserves!AJ13&gt;=Debt!AJ132-0.000001),1,0))</f>
        <v>0</v>
      </c>
      <c r="AK23" s="9" t="n">
        <f aca="false">MAX(AJ23,IF(AND(AK22=1,Time!AK17&gt;11,AK18&gt;=Inputs!$F$110,Time!AK17-1&gt;11,AJ18&gt;=Inputs!$F$110,Reserves!AK13&gt;=Debt!AK132-0.000001),1,0))</f>
        <v>0</v>
      </c>
      <c r="AL23" s="9" t="n">
        <f aca="false">MAX(AK23,IF(AND(AL22=1,Time!AL17&gt;11,AL18&gt;=Inputs!$F$110,Time!AL17-1&gt;11,AK18&gt;=Inputs!$F$110,Reserves!AL13&gt;=Debt!AL132-0.000001),1,0))</f>
        <v>0</v>
      </c>
      <c r="AM23" s="9" t="n">
        <f aca="false">MAX(AL23,IF(AND(AM22=1,Time!AM17&gt;11,AM18&gt;=Inputs!$F$110,Time!AM17-1&gt;11,AL18&gt;=Inputs!$F$110,Reserves!AM13&gt;=Debt!AM132-0.000001),1,0))</f>
        <v>0</v>
      </c>
      <c r="AN23" s="9" t="n">
        <f aca="false">MAX(AM23,IF(AND(AN22=1,Time!AN17&gt;11,AN18&gt;=Inputs!$F$110,Time!AN17-1&gt;11,AM18&gt;=Inputs!$F$110,Reserves!AN13&gt;=Debt!AN132-0.000001),1,0))</f>
        <v>0</v>
      </c>
      <c r="AO23" s="9" t="n">
        <f aca="false">MAX(AN23,IF(AND(AO22=1,Time!AO17&gt;11,AO18&gt;=Inputs!$F$110,Time!AO17-1&gt;11,AN18&gt;=Inputs!$F$110,Reserves!AO13&gt;=Debt!AO132-0.000001),1,0))</f>
        <v>0</v>
      </c>
      <c r="AP23" s="9" t="n">
        <f aca="false">MAX(AO23,IF(AND(AP22=1,Time!AP17&gt;11,AP18&gt;=Inputs!$F$110,Time!AP17-1&gt;11,AO18&gt;=Inputs!$F$110,Reserves!AP13&gt;=Debt!AP132-0.000001),1,0))</f>
        <v>0</v>
      </c>
      <c r="AQ23" s="9" t="n">
        <f aca="false">MAX(AP23,IF(AND(AQ22=1,Time!AQ17&gt;11,AQ18&gt;=Inputs!$F$110,Time!AQ17-1&gt;11,AP18&gt;=Inputs!$F$110,Reserves!AQ13&gt;=Debt!AQ132-0.000001),1,0))</f>
        <v>0</v>
      </c>
      <c r="AR23" s="9" t="n">
        <f aca="false">MAX(AQ23,IF(AND(AR22=1,Time!AR17&gt;11,AR18&gt;=Inputs!$F$110,Time!AR17-1&gt;11,AQ18&gt;=Inputs!$F$110,Reserves!AR13&gt;=Debt!AR132-0.000001),1,0))</f>
        <v>0</v>
      </c>
      <c r="AS23" s="9" t="n">
        <f aca="false">MAX(AR23,IF(AND(AS22=1,Time!AS17&gt;11,AS18&gt;=Inputs!$F$110,Time!AS17-1&gt;11,AR18&gt;=Inputs!$F$110,Reserves!AS13&gt;=Debt!AS132-0.000001),1,0))</f>
        <v>0</v>
      </c>
      <c r="AT23" s="9" t="n">
        <f aca="false">MAX(AS23,IF(AND(AT22=1,Time!AT17&gt;11,AT18&gt;=Inputs!$F$110,Time!AT17-1&gt;11,AS18&gt;=Inputs!$F$110,Reserves!AT13&gt;=Debt!AT132-0.000001),1,0))</f>
        <v>0</v>
      </c>
      <c r="AU23" s="9" t="n">
        <f aca="false">MAX(AT23,IF(AND(AU22=1,Time!AU17&gt;11,AU18&gt;=Inputs!$F$110,Time!AU17-1&gt;11,AT18&gt;=Inputs!$F$110,Reserves!AU13&gt;=Debt!AU132-0.000001),1,0))</f>
        <v>0</v>
      </c>
      <c r="AV23" s="9" t="n">
        <f aca="false">MAX(AU23,IF(AND(AV22=1,Time!AV17&gt;11,AV18&gt;=Inputs!$F$110,Time!AV17-1&gt;11,AU18&gt;=Inputs!$F$110,Reserves!AV13&gt;=Debt!AV132-0.000001),1,0))</f>
        <v>0</v>
      </c>
      <c r="AW23" s="9" t="n">
        <f aca="false">MAX(AV23,IF(AND(AW22=1,Time!AW17&gt;11,AW18&gt;=Inputs!$F$110,Time!AW17-1&gt;11,AV18&gt;=Inputs!$F$110,Reserves!AW13&gt;=Debt!AW132-0.000001),1,0))</f>
        <v>0</v>
      </c>
      <c r="AX23" s="9" t="n">
        <f aca="false">MAX(AW23,IF(AND(AX22=1,Time!AX17&gt;11,AX18&gt;=Inputs!$F$110,Time!AX17-1&gt;11,AW18&gt;=Inputs!$F$110,Reserves!AX13&gt;=Debt!AX132-0.000001),1,0))</f>
        <v>0</v>
      </c>
      <c r="AY23" s="9" t="n">
        <f aca="false">MAX(AX23,IF(AND(AY22=1,Time!AY17&gt;11,AY18&gt;=Inputs!$F$110,Time!AY17-1&gt;11,AX18&gt;=Inputs!$F$110,Reserves!AY13&gt;=Debt!AY132-0.000001),1,0))</f>
        <v>0</v>
      </c>
      <c r="AZ23" s="9" t="n">
        <f aca="false">MAX(AY23,IF(AND(AZ22=1,Time!AZ17&gt;11,AZ18&gt;=Inputs!$F$110,Time!AZ17-1&gt;11,AY18&gt;=Inputs!$F$110,Reserves!AZ13&gt;=Debt!AZ132-0.000001),1,0))</f>
        <v>0</v>
      </c>
      <c r="BA23" s="9" t="n">
        <f aca="false">MAX(AZ23,IF(AND(BA22=1,Time!BA17&gt;11,BA18&gt;=Inputs!$F$110,Time!BA17-1&gt;11,AZ18&gt;=Inputs!$F$110,Reserves!BA13&gt;=Debt!BA132-0.000001),1,0))</f>
        <v>0</v>
      </c>
      <c r="BB23" s="9" t="n">
        <f aca="false">MAX(BA23,IF(AND(BB22=1,Time!BB17&gt;11,BB18&gt;=Inputs!$F$110,Time!BB17-1&gt;11,BA18&gt;=Inputs!$F$110,Reserves!BB13&gt;=Debt!BB132-0.000001),1,0))</f>
        <v>0</v>
      </c>
      <c r="BC23" s="9" t="n">
        <f aca="false">MAX(BB23,IF(AND(BC22=1,Time!BC17&gt;11,BC18&gt;=Inputs!$F$110,Time!BC17-1&gt;11,BB18&gt;=Inputs!$F$110,Reserves!BC13&gt;=Debt!BC132-0.000001),1,0))</f>
        <v>0</v>
      </c>
      <c r="BD23" s="9" t="n">
        <f aca="false">MAX(BC23,IF(AND(BD22=1,Time!BD17&gt;11,BD18&gt;=Inputs!$F$110,Time!BD17-1&gt;11,BC18&gt;=Inputs!$F$110,Reserves!BD13&gt;=Debt!BD132-0.000001),1,0))</f>
        <v>0</v>
      </c>
      <c r="BE23" s="9" t="n">
        <f aca="false">MAX(BD23,IF(AND(BE22=1,Time!BE17&gt;11,BE18&gt;=Inputs!$F$110,Time!BE17-1&gt;11,BD18&gt;=Inputs!$F$110,Reserves!BE13&gt;=Debt!BE132-0.000001),1,0))</f>
        <v>0</v>
      </c>
      <c r="BF23" s="9" t="n">
        <f aca="false">MAX(BE23,IF(AND(BF22=1,Time!BF17&gt;11,BF18&gt;=Inputs!$F$110,Time!BF17-1&gt;11,BE18&gt;=Inputs!$F$110,Reserves!BF13&gt;=Debt!BF132-0.000001),1,0))</f>
        <v>0</v>
      </c>
      <c r="BG23" s="9" t="n">
        <f aca="false">MAX(BF23,IF(AND(BG22=1,Time!BG17&gt;11,BG18&gt;=Inputs!$F$110,Time!BG17-1&gt;11,BF18&gt;=Inputs!$F$110,Reserves!BG13&gt;=Debt!BG132-0.000001),1,0))</f>
        <v>0</v>
      </c>
      <c r="BH23" s="9" t="n">
        <f aca="false">MAX(BG23,IF(AND(BH22=1,Time!BH17&gt;11,BH18&gt;=Inputs!$F$110,Time!BH17-1&gt;11,BG18&gt;=Inputs!$F$110,Reserves!BH13&gt;=Debt!BH132-0.000001),1,0))</f>
        <v>0</v>
      </c>
      <c r="BI23" s="9" t="n">
        <f aca="false">MAX(BH23,IF(AND(BI22=1,Time!BI17&gt;11,BI18&gt;=Inputs!$F$110,Time!BI17-1&gt;11,BH18&gt;=Inputs!$F$110,Reserves!BI13&gt;=Debt!BI132-0.000001),1,0))</f>
        <v>0</v>
      </c>
      <c r="BJ23" s="9" t="n">
        <f aca="false">MAX(BI23,IF(AND(BJ22=1,Time!BJ17&gt;11,BJ18&gt;=Inputs!$F$110,Time!BJ17-1&gt;11,BI18&gt;=Inputs!$F$110,Reserves!BJ13&gt;=Debt!BJ132-0.000001),1,0))</f>
        <v>0</v>
      </c>
      <c r="BK23" s="9" t="n">
        <f aca="false">MAX(BJ23,IF(AND(BK22=1,Time!BK17&gt;11,BK18&gt;=Inputs!$F$110,Time!BK17-1&gt;11,BJ18&gt;=Inputs!$F$110,Reserves!BK13&gt;=Debt!BK132-0.000001),1,0))</f>
        <v>0</v>
      </c>
      <c r="BL23" s="9" t="n">
        <f aca="false">MAX(BK23,IF(AND(BL22=1,Time!BL17&gt;11,BL18&gt;=Inputs!$F$110,Time!BL17-1&gt;11,BK18&gt;=Inputs!$F$110,Reserves!BL13&gt;=Debt!BL132-0.000001),1,0))</f>
        <v>0</v>
      </c>
      <c r="BM23" s="9" t="n">
        <f aca="false">MAX(BL23,IF(AND(BM22=1,Time!BM17&gt;11,BM18&gt;=Inputs!$F$110,Time!BM17-1&gt;11,BL18&gt;=Inputs!$F$110,Reserves!BM13&gt;=Debt!BM132-0.000001),1,0))</f>
        <v>0</v>
      </c>
      <c r="BN23" s="9" t="n">
        <f aca="false">MAX(BM23,IF(AND(BN22=1,Time!BN17&gt;11,BN18&gt;=Inputs!$F$110,Time!BN17-1&gt;11,BM18&gt;=Inputs!$F$110,Reserves!BN13&gt;=Debt!BN132-0.000001),1,0))</f>
        <v>0</v>
      </c>
    </row>
    <row r="24" customFormat="false" ht="15" hidden="false" customHeight="false" outlineLevel="0" collapsed="false">
      <c r="D24" s="0" t="s">
        <v>741</v>
      </c>
      <c r="E24" s="0" t="s">
        <v>113</v>
      </c>
      <c r="J24" s="9" t="n">
        <f aca="false">IF(OR(AND(J19=1,J18&gt;=Inputs!$F$108,Reserves!J13&gt;=Debt!J132-0.000001,OR(J20=0,J21=1),Debt!J121&gt;0.000000001,OR(J22=0,J23=1)),AND(Time!J32=1,Debt!J121&lt;=0.000000001),AND(Debt!J121&lt;=0.000000001,Time!J30=1,Debt!J122&lt;0.000000001)),1,0)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IF(OR(AND(K19=1,K18&gt;=Inputs!$F$108,Reserves!K13&gt;=Debt!K132-0.000001,OR(K20=0,K21=1),Debt!K121&gt;0.000000001,OR(K22=0,K23=1)),AND(Time!K32=1,Debt!K121&lt;=0.000000001),AND(Debt!K121&lt;=0.000000001,Time!K30=1,Debt!K122&lt;0.000000001)),1,0)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IF(OR(AND(L19=1,L18&gt;=Inputs!$F$108,Reserves!L13&gt;=Debt!L132-0.000001,OR(L20=0,L21=1),Debt!L121&gt;0.000000001,OR(L22=0,L23=1)),AND(Time!L32=1,Debt!L121&lt;=0.000000001),AND(Debt!L121&lt;=0.000000001,Time!L30=1,Debt!L122&lt;0.000000001)),1,0)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IF(OR(AND(M19=1,M18&gt;=Inputs!$F$108,Reserves!M13&gt;=Debt!M132-0.000001,OR(M20=0,M21=1),Debt!M121&gt;0.000000001,OR(M22=0,M23=1)),AND(Time!M32=1,Debt!M121&lt;=0.000000001),AND(Debt!M121&lt;=0.000000001,Time!M30=1,Debt!M122&lt;0.000000001)),1,0)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IF(OR(AND(N19=1,N18&gt;=Inputs!$F$108,Reserves!N13&gt;=Debt!N132-0.000001,OR(N20=0,N21=1),Debt!N121&gt;0.000000001,OR(N22=0,N23=1)),AND(Time!N32=1,Debt!N121&lt;=0.000000001),AND(Debt!N121&lt;=0.000000001,Time!N30=1,Debt!N122&lt;0.000000001)),1,0)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IF(OR(AND(O19=1,O18&gt;=Inputs!$F$108,Reserves!O13&gt;=Debt!O132-0.000001,OR(O20=0,O21=1),Debt!O121&gt;0.000000001,OR(O22=0,O23=1)),AND(Time!O32=1,Debt!O121&lt;=0.000000001),AND(Debt!O121&lt;=0.000000001,Time!O30=1,Debt!O122&lt;0.000000001)),1,0)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IF(OR(AND(P19=1,P18&gt;=Inputs!$F$108,Reserves!P13&gt;=Debt!P132-0.000001,OR(P20=0,P21=1),Debt!P121&gt;0.000000001,OR(P22=0,P23=1)),AND(Time!P32=1,Debt!P121&lt;=0.000000001),AND(Debt!P121&lt;=0.000000001,Time!P30=1,Debt!P122&lt;0.000000001)),1,0)</f>
        <v>0</v>
      </c>
      <c r="Q24" s="9" t="n">
        <f aca="false">IF(OR(AND(Q19=1,Q18&gt;=Inputs!$F$108,Reserves!Q13&gt;=Debt!Q132-0.000001,OR(Q20=0,Q21=1),Debt!Q121&gt;0.000000001,OR(Q22=0,Q23=1)),AND(Time!Q32=1,Debt!Q121&lt;=0.000000001),AND(Debt!Q121&lt;=0.000000001,Time!Q30=1,Debt!Q122&lt;0.000000001)),1,0)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IF(OR(AND(R19=1,R18&gt;=Inputs!$F$108,Reserves!R13&gt;=Debt!R132-0.000001,OR(R20=0,R21=1),Debt!R121&gt;0.000000001,OR(R22=0,R23=1)),AND(Time!R32=1,Debt!R121&lt;=0.000000001),AND(Debt!R121&lt;=0.000000001,Time!R30=1,Debt!R122&lt;0.000000001)),1,0)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IF(OR(AND(S19=1,S18&gt;=Inputs!$F$108,Reserves!S13&gt;=Debt!S132-0.000001,OR(S20=0,S21=1),Debt!S121&gt;0.000000001,OR(S22=0,S23=1)),AND(Time!S32=1,Debt!S121&lt;=0.000000001),AND(Debt!S121&lt;=0.000000001,Time!S30=1,Debt!S122&lt;0.000000001)),1,0)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IF(OR(AND(T19=1,T18&gt;=Inputs!$F$108,Reserves!T13&gt;=Debt!T132-0.000001,OR(T20=0,T21=1),Debt!T121&gt;0.000000001,OR(T22=0,T23=1)),AND(Time!T32=1,Debt!T121&lt;=0.000000001),AND(Debt!T121&lt;=0.000000001,Time!T30=1,Debt!T122&lt;0.000000001)),1,0)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IF(OR(AND(U19=1,U18&gt;=Inputs!$F$108,Reserves!U13&gt;=Debt!U132-0.000001,OR(U20=0,U21=1),Debt!U121&gt;0.000000001,OR(U22=0,U23=1)),AND(Time!U32=1,Debt!U121&lt;=0.000000001),AND(Debt!U121&lt;=0.000000001,Time!U30=1,Debt!U122&lt;0.000000001)),1,0)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IF(OR(AND(V19=1,V18&gt;=Inputs!$F$108,Reserves!V13&gt;=Debt!V132-0.000001,OR(V20=0,V21=1),Debt!V121&gt;0.000000001,OR(V22=0,V23=1)),AND(Time!V32=1,Debt!V121&lt;=0.000000001),AND(Debt!V121&lt;=0.000000001,Time!V30=1,Debt!V122&lt;0.000000001)),1,0)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IF(OR(AND(W19=1,W18&gt;=Inputs!$F$108,Reserves!W13&gt;=Debt!W132-0.000001,OR(W20=0,W21=1),Debt!W121&gt;0.000000001,OR(W22=0,W23=1)),AND(Time!W32=1,Debt!W121&lt;=0.000000001),AND(Debt!W121&lt;=0.000000001,Time!W30=1,Debt!W122&lt;0.000000001)),1,0)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IF(OR(AND(X19=1,X18&gt;=Inputs!$F$108,Reserves!X13&gt;=Debt!X132-0.000001,OR(X20=0,X21=1),Debt!X121&gt;0.000000001,OR(X22=0,X23=1)),AND(Time!X32=1,Debt!X121&lt;=0.000000001),AND(Debt!X121&lt;=0.000000001,Time!X30=1,Debt!X122&lt;0.000000001)),1,0)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IF(OR(AND(Y19=1,Y18&gt;=Inputs!$F$108,Reserves!Y13&gt;=Debt!Y132-0.000001,OR(Y20=0,Y21=1),Debt!Y121&gt;0.000000001,OR(Y22=0,Y23=1)),AND(Time!Y32=1,Debt!Y121&lt;=0.000000001),AND(Debt!Y121&lt;=0.000000001,Time!Y30=1,Debt!Y122&lt;0.000000001)),1,0)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IF(OR(AND(Z19=1,Z18&gt;=Inputs!$F$108,Reserves!Z13&gt;=Debt!Z132-0.000001,OR(Z20=0,Z21=1),Debt!Z121&gt;0.000000001,OR(Z22=0,Z23=1)),AND(Time!Z32=1,Debt!Z121&lt;=0.000000001),AND(Debt!Z121&lt;=0.000000001,Time!Z30=1,Debt!Z122&lt;0.000000001)),1,0)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IF(OR(AND(AA19=1,AA18&gt;=Inputs!$F$108,Reserves!AA13&gt;=Debt!AA132-0.000001,OR(AA20=0,AA21=1),Debt!AA121&gt;0.000000001,OR(AA22=0,AA23=1)),AND(Time!AA32=1,Debt!AA121&lt;=0.000000001),AND(Debt!AA121&lt;=0.000000001,Time!AA30=1,Debt!AA122&lt;0.000000001)),1,0)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IF(OR(AND(AB19=1,AB18&gt;=Inputs!$F$108,Reserves!AB13&gt;=Debt!AB132-0.000001,OR(AB20=0,AB21=1),Debt!AB121&gt;0.000000001,OR(AB22=0,AB23=1)),AND(Time!AB32=1,Debt!AB121&lt;=0.000000001),AND(Debt!AB121&lt;=0.000000001,Time!AB30=1,Debt!AB122&lt;0.000000001)),1,0)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IF(OR(AND(AC19=1,AC18&gt;=Inputs!$F$108,Reserves!AC13&gt;=Debt!AC132-0.000001,OR(AC20=0,AC21=1),Debt!AC121&gt;0.000000001,OR(AC22=0,AC23=1)),AND(Time!AC32=1,Debt!AC121&lt;=0.000000001),AND(Debt!AC121&lt;=0.000000001,Time!AC30=1,Debt!AC122&lt;0.000000001)),1,0)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IF(OR(AND(AD19=1,AD18&gt;=Inputs!$F$108,Reserves!AD13&gt;=Debt!AD132-0.000001,OR(AD20=0,AD21=1),Debt!AD121&gt;0.000000001,OR(AD22=0,AD23=1)),AND(Time!AD32=1,Debt!AD121&lt;=0.000000001),AND(Debt!AD121&lt;=0.000000001,Time!AD30=1,Debt!AD122&lt;0.000000001)),1,0)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IF(OR(AND(AE19=1,AE18&gt;=Inputs!$F$108,Reserves!AE13&gt;=Debt!AE132-0.000001,OR(AE20=0,AE21=1),Debt!AE121&gt;0.000000001,OR(AE22=0,AE23=1)),AND(Time!AE32=1,Debt!AE121&lt;=0.000000001),AND(Debt!AE121&lt;=0.000000001,Time!AE30=1,Debt!AE122&lt;0.000000001)),1,0)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IF(OR(AND(AF19=1,AF18&gt;=Inputs!$F$108,Reserves!AF13&gt;=Debt!AF132-0.000001,OR(AF20=0,AF21=1),Debt!AF121&gt;0.000000001,OR(AF22=0,AF23=1)),AND(Time!AF32=1,Debt!AF121&lt;=0.000000001),AND(Debt!AF121&lt;=0.000000001,Time!AF30=1,Debt!AF122&lt;0.000000001)),1,0)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IF(OR(AND(AG19=1,AG18&gt;=Inputs!$F$108,Reserves!AG13&gt;=Debt!AG132-0.000001,OR(AG20=0,AG21=1),Debt!AG121&gt;0.000000001,OR(AG22=0,AG23=1)),AND(Time!AG32=1,Debt!AG121&lt;=0.000000001),AND(Debt!AG121&lt;=0.000000001,Time!AG30=1,Debt!AG122&lt;0.000000001)),1,0)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IF(OR(AND(AH19=1,AH18&gt;=Inputs!$F$108,Reserves!AH13&gt;=Debt!AH132-0.000001,OR(AH20=0,AH21=1),Debt!AH121&gt;0.000000001,OR(AH22=0,AH23=1)),AND(Time!AH32=1,Debt!AH121&lt;=0.000000001),AND(Debt!AH121&lt;=0.000000001,Time!AH30=1,Debt!AH122&lt;0.000000001)),1,0)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IF(OR(AND(AI19=1,AI18&gt;=Inputs!$F$108,Reserves!AI13&gt;=Debt!AI132-0.000001,OR(AI20=0,AI21=1),Debt!AI121&gt;0.000000001,OR(AI22=0,AI23=1)),AND(Time!AI32=1,Debt!AI121&lt;=0.000000001),AND(Debt!AI121&lt;=0.000000001,Time!AI30=1,Debt!AI122&lt;0.000000001)),1,0)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IF(OR(AND(AJ19=1,AJ18&gt;=Inputs!$F$108,Reserves!AJ13&gt;=Debt!AJ132-0.000001,OR(AJ20=0,AJ21=1),Debt!AJ121&gt;0.000000001,OR(AJ22=0,AJ23=1)),AND(Time!AJ32=1,Debt!AJ121&lt;=0.000000001),AND(Debt!AJ121&lt;=0.000000001,Time!AJ30=1,Debt!AJ122&lt;0.000000001)),1,0)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IF(OR(AND(AK19=1,AK18&gt;=Inputs!$F$108,Reserves!AK13&gt;=Debt!AK132-0.000001,OR(AK20=0,AK21=1),Debt!AK121&gt;0.000000001,OR(AK22=0,AK23=1)),AND(Time!AK32=1,Debt!AK121&lt;=0.000000001),AND(Debt!AK121&lt;=0.000000001,Time!AK30=1,Debt!AK122&lt;0.000000001)),1,0)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IF(OR(AND(AL19=1,AL18&gt;=Inputs!$F$108,Reserves!AL13&gt;=Debt!AL132-0.000001,OR(AL20=0,AL21=1),Debt!AL121&gt;0.000000001,OR(AL22=0,AL23=1)),AND(Time!AL32=1,Debt!AL121&lt;=0.000000001),AND(Debt!AL121&lt;=0.000000001,Time!AL30=1,Debt!AL122&lt;0.000000001)),1,0)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IF(OR(AND(AM19=1,AM18&gt;=Inputs!$F$108,Reserves!AM13&gt;=Debt!AM132-0.000001,OR(AM20=0,AM21=1),Debt!AM121&gt;0.000000001,OR(AM22=0,AM23=1)),AND(Time!AM32=1,Debt!AM121&lt;=0.000000001),AND(Debt!AM121&lt;=0.000000001,Time!AM30=1,Debt!AM122&lt;0.000000001)),1,0)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IF(OR(AND(AN19=1,AN18&gt;=Inputs!$F$108,Reserves!AN13&gt;=Debt!AN132-0.000001,OR(AN20=0,AN21=1),Debt!AN121&gt;0.000000001,OR(AN22=0,AN23=1)),AND(Time!AN32=1,Debt!AN121&lt;=0.000000001),AND(Debt!AN121&lt;=0.000000001,Time!AN30=1,Debt!AN122&lt;0.000000001)),1,0)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IF(OR(AND(AO19=1,AO18&gt;=Inputs!$F$108,Reserves!AO13&gt;=Debt!AO132-0.000001,OR(AO20=0,AO21=1),Debt!AO121&gt;0.000000001,OR(AO22=0,AO23=1)),AND(Time!AO32=1,Debt!AO121&lt;=0.000000001),AND(Debt!AO121&lt;=0.000000001,Time!AO30=1,Debt!AO122&lt;0.000000001)),1,0)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IF(OR(AND(AP19=1,AP18&gt;=Inputs!$F$108,Reserves!AP13&gt;=Debt!AP132-0.000001,OR(AP20=0,AP21=1),Debt!AP121&gt;0.000000001,OR(AP22=0,AP23=1)),AND(Time!AP32=1,Debt!AP121&lt;=0.000000001),AND(Debt!AP121&lt;=0.000000001,Time!AP30=1,Debt!AP122&lt;0.000000001)),1,0)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IF(OR(AND(AQ19=1,AQ18&gt;=Inputs!$F$108,Reserves!AQ13&gt;=Debt!AQ132-0.000001,OR(AQ20=0,AQ21=1),Debt!AQ121&gt;0.000000001,OR(AQ22=0,AQ23=1)),AND(Time!AQ32=1,Debt!AQ121&lt;=0.000000001),AND(Debt!AQ121&lt;=0.000000001,Time!AQ30=1,Debt!AQ122&lt;0.000000001)),1,0)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IF(OR(AND(AR19=1,AR18&gt;=Inputs!$F$108,Reserves!AR13&gt;=Debt!AR132-0.000001,OR(AR20=0,AR21=1),Debt!AR121&gt;0.000000001,OR(AR22=0,AR23=1)),AND(Time!AR32=1,Debt!AR121&lt;=0.000000001),AND(Debt!AR121&lt;=0.000000001,Time!AR30=1,Debt!AR122&lt;0.000000001)),1,0)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IF(OR(AND(AS19=1,AS18&gt;=Inputs!$F$108,Reserves!AS13&gt;=Debt!AS132-0.000001,OR(AS20=0,AS21=1),Debt!AS121&gt;0.000000001,OR(AS22=0,AS23=1)),AND(Time!AS32=1,Debt!AS121&lt;=0.000000001),AND(Debt!AS121&lt;=0.000000001,Time!AS30=1,Debt!AS122&lt;0.000000001)),1,0)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IF(OR(AND(AT19=1,AT18&gt;=Inputs!$F$108,Reserves!AT13&gt;=Debt!AT132-0.000001,OR(AT20=0,AT21=1),Debt!AT121&gt;0.000000001,OR(AT22=0,AT23=1)),AND(Time!AT32=1,Debt!AT121&lt;=0.000000001),AND(Debt!AT121&lt;=0.000000001,Time!AT30=1,Debt!AT122&lt;0.000000001)),1,0)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IF(OR(AND(AU19=1,AU18&gt;=Inputs!$F$108,Reserves!AU13&gt;=Debt!AU132-0.000001,OR(AU20=0,AU21=1),Debt!AU121&gt;0.000000001,OR(AU22=0,AU23=1)),AND(Time!AU32=1,Debt!AU121&lt;=0.000000001),AND(Debt!AU121&lt;=0.000000001,Time!AU30=1,Debt!AU122&lt;0.000000001)),1,0)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IF(OR(AND(AV19=1,AV18&gt;=Inputs!$F$108,Reserves!AV13&gt;=Debt!AV132-0.000001,OR(AV20=0,AV21=1),Debt!AV121&gt;0.000000001,OR(AV22=0,AV23=1)),AND(Time!AV32=1,Debt!AV121&lt;=0.000000001),AND(Debt!AV121&lt;=0.000000001,Time!AV30=1,Debt!AV122&lt;0.000000001)),1,0)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IF(OR(AND(AW19=1,AW18&gt;=Inputs!$F$108,Reserves!AW13&gt;=Debt!AW132-0.000001,OR(AW20=0,AW21=1),Debt!AW121&gt;0.000000001,OR(AW22=0,AW23=1)),AND(Time!AW32=1,Debt!AW121&lt;=0.000000001),AND(Debt!AW121&lt;=0.000000001,Time!AW30=1,Debt!AW122&lt;0.000000001)),1,0)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IF(OR(AND(AX19=1,AX18&gt;=Inputs!$F$108,Reserves!AX13&gt;=Debt!AX132-0.000001,OR(AX20=0,AX21=1),Debt!AX121&gt;0.000000001,OR(AX22=0,AX23=1)),AND(Time!AX32=1,Debt!AX121&lt;=0.000000001),AND(Debt!AX121&lt;=0.000000001,Time!AX30=1,Debt!AX122&lt;0.000000001)),1,0)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IF(OR(AND(AY19=1,AY18&gt;=Inputs!$F$108,Reserves!AY13&gt;=Debt!AY132-0.000001,OR(AY20=0,AY21=1),Debt!AY121&gt;0.000000001,OR(AY22=0,AY23=1)),AND(Time!AY32=1,Debt!AY121&lt;=0.000000001),AND(Debt!AY121&lt;=0.000000001,Time!AY30=1,Debt!AY122&lt;0.000000001)),1,0)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IF(OR(AND(AZ19=1,AZ18&gt;=Inputs!$F$108,Reserves!AZ13&gt;=Debt!AZ132-0.000001,OR(AZ20=0,AZ21=1),Debt!AZ121&gt;0.000000001,OR(AZ22=0,AZ23=1)),AND(Time!AZ32=1,Debt!AZ121&lt;=0.000000001),AND(Debt!AZ121&lt;=0.000000001,Time!AZ30=1,Debt!AZ122&lt;0.000000001)),1,0)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IF(OR(AND(BA19=1,BA18&gt;=Inputs!$F$108,Reserves!BA13&gt;=Debt!BA132-0.000001,OR(BA20=0,BA21=1),Debt!BA121&gt;0.000000001,OR(BA22=0,BA23=1)),AND(Time!BA32=1,Debt!BA121&lt;=0.000000001),AND(Debt!BA121&lt;=0.000000001,Time!BA30=1,Debt!BA122&lt;0.000000001)),1,0)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IF(OR(AND(BB19=1,BB18&gt;=Inputs!$F$108,Reserves!BB13&gt;=Debt!BB132-0.000001,OR(BB20=0,BB21=1),Debt!BB121&gt;0.000000001,OR(BB22=0,BB23=1)),AND(Time!BB32=1,Debt!BB121&lt;=0.000000001),AND(Debt!BB121&lt;=0.000000001,Time!BB30=1,Debt!BB122&lt;0.000000001)),1,0)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IF(OR(AND(BC19=1,BC18&gt;=Inputs!$F$108,Reserves!BC13&gt;=Debt!BC132-0.000001,OR(BC20=0,BC21=1),Debt!BC121&gt;0.000000001,OR(BC22=0,BC23=1)),AND(Time!BC32=1,Debt!BC121&lt;=0.000000001),AND(Debt!BC121&lt;=0.000000001,Time!BC30=1,Debt!BC122&lt;0.000000001)),1,0)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IF(OR(AND(BD19=1,BD18&gt;=Inputs!$F$108,Reserves!BD13&gt;=Debt!BD132-0.000001,OR(BD20=0,BD21=1),Debt!BD121&gt;0.000000001,OR(BD22=0,BD23=1)),AND(Time!BD32=1,Debt!BD121&lt;=0.000000001),AND(Debt!BD121&lt;=0.000000001,Time!BD30=1,Debt!BD122&lt;0.000000001)),1,0)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IF(OR(AND(BE19=1,BE18&gt;=Inputs!$F$108,Reserves!BE13&gt;=Debt!BE132-0.000001,OR(BE20=0,BE21=1),Debt!BE121&gt;0.000000001,OR(BE22=0,BE23=1)),AND(Time!BE32=1,Debt!BE121&lt;=0.000000001),AND(Debt!BE121&lt;=0.000000001,Time!BE30=1,Debt!BE122&lt;0.000000001)),1,0)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IF(OR(AND(BF19=1,BF18&gt;=Inputs!$F$108,Reserves!BF13&gt;=Debt!BF132-0.000001,OR(BF20=0,BF21=1),Debt!BF121&gt;0.000000001,OR(BF22=0,BF23=1)),AND(Time!BF32=1,Debt!BF121&lt;=0.000000001),AND(Debt!BF121&lt;=0.000000001,Time!BF30=1,Debt!BF122&lt;0.000000001)),1,0)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IF(OR(AND(BG19=1,BG18&gt;=Inputs!$F$108,Reserves!BG13&gt;=Debt!BG132-0.000001,OR(BG20=0,BG21=1),Debt!BG121&gt;0.000000001,OR(BG22=0,BG23=1)),AND(Time!BG32=1,Debt!BG121&lt;=0.000000001),AND(Debt!BG121&lt;=0.000000001,Time!BG30=1,Debt!BG122&lt;0.000000001)),1,0)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IF(OR(AND(BH19=1,BH18&gt;=Inputs!$F$108,Reserves!BH13&gt;=Debt!BH132-0.000001,OR(BH20=0,BH21=1),Debt!BH121&gt;0.000000001,OR(BH22=0,BH23=1)),AND(Time!BH32=1,Debt!BH121&lt;=0.000000001),AND(Debt!BH121&lt;=0.000000001,Time!BH30=1,Debt!BH122&lt;0.000000001)),1,0)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IF(OR(AND(BI19=1,BI18&gt;=Inputs!$F$108,Reserves!BI13&gt;=Debt!BI132-0.000001,OR(BI20=0,BI21=1),Debt!BI121&gt;0.000000001,OR(BI22=0,BI23=1)),AND(Time!BI32=1,Debt!BI121&lt;=0.000000001),AND(Debt!BI121&lt;=0.000000001,Time!BI30=1,Debt!BI122&lt;0.000000001)),1,0)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IF(OR(AND(BJ19=1,BJ18&gt;=Inputs!$F$108,Reserves!BJ13&gt;=Debt!BJ132-0.000001,OR(BJ20=0,BJ21=1),Debt!BJ121&gt;0.000000001,OR(BJ22=0,BJ23=1)),AND(Time!BJ32=1,Debt!BJ121&lt;=0.000000001),AND(Debt!BJ121&lt;=0.000000001,Time!BJ30=1,Debt!BJ122&lt;0.000000001)),1,0)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IF(OR(AND(BK19=1,BK18&gt;=Inputs!$F$108,Reserves!BK13&gt;=Debt!BK132-0.000001,OR(BK20=0,BK21=1),Debt!BK121&gt;0.000000001,OR(BK22=0,BK23=1)),AND(Time!BK32=1,Debt!BK121&lt;=0.000000001),AND(Debt!BK121&lt;=0.000000001,Time!BK30=1,Debt!BK122&lt;0.000000001)),1,0)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IF(OR(AND(BL19=1,BL18&gt;=Inputs!$F$108,Reserves!BL13&gt;=Debt!BL132-0.000001,OR(BL20=0,BL21=1),Debt!BL121&gt;0.000000001,OR(BL22=0,BL23=1)),AND(Time!BL32=1,Debt!BL121&lt;=0.000000001),AND(Debt!BL121&lt;=0.000000001,Time!BL30=1,Debt!BL122&lt;0.000000001)),1,0)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IF(OR(AND(BM19=1,BM18&gt;=Inputs!$F$108,Reserves!BM13&gt;=Debt!BM132-0.000001,OR(BM20=0,BM21=1),Debt!BM121&gt;0.000000001,OR(BM22=0,BM23=1)),AND(Time!BM32=1,Debt!BM121&lt;=0.000000001),AND(Debt!BM121&lt;=0.000000001,Time!BM30=1,Debt!BM122&lt;0.000000001)),1,0)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IF(OR(AND(BN19=1,BN18&gt;=Inputs!$F$108,Reserves!BN13&gt;=Debt!BN132-0.000001,OR(BN20=0,BN21=1),Debt!BN121&gt;0.000000001,OR(BN22=0,BN23=1)),AND(Time!BN32=1,Debt!BN121&lt;=0.000000001),AND(Debt!BN121&lt;=0.000000001,Time!BN30=1,Debt!BN122&lt;0.000000001)),1,0)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742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743</v>
      </c>
      <c r="E26" s="0" t="s">
        <v>744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745</v>
      </c>
    </row>
    <row r="28" customFormat="false" ht="15" hidden="false" customHeight="false" outlineLevel="0" collapsed="false">
      <c r="D28" s="0" t="s">
        <v>746</v>
      </c>
      <c r="E28" s="0" t="s">
        <v>149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747</v>
      </c>
      <c r="E29" s="0" t="s">
        <v>149</v>
      </c>
      <c r="G29" s="11" t="n">
        <f aca="false">SUM(J29:BN29)</f>
        <v>88.5943335226939</v>
      </c>
      <c r="J29" s="11" t="n">
        <f aca="false">IF(AND(J24=1,Time!J21&gt;=2027,Inputs!$F$52=1),MIN(Inputs!$F$111*J15,Debt!J81),0)</f>
        <v>0</v>
      </c>
      <c r="K29" s="11" t="n">
        <f aca="false">IF(AND(K24=1,Time!K21&gt;=2027,Inputs!$F$52=1),MIN(Inputs!$F$111*K15,Debt!K81),0)</f>
        <v>0</v>
      </c>
      <c r="L29" s="11" t="n">
        <f aca="false">IF(AND(L24=1,Time!L21&gt;=2027,Inputs!$F$52=1),MIN(Inputs!$F$111*L15,Debt!L81),0)</f>
        <v>0</v>
      </c>
      <c r="M29" s="11" t="n">
        <f aca="false">IF(AND(M24=1,Time!M21&gt;=2027,Inputs!$F$52=1),MIN(Inputs!$F$111*M15,Debt!M81),0)</f>
        <v>0</v>
      </c>
      <c r="N29" s="11" t="n">
        <f aca="false">IF(AND(N24=1,Time!N21&gt;=2027,Inputs!$F$52=1),MIN(Inputs!$F$111*N15,Debt!N81),0)</f>
        <v>0</v>
      </c>
      <c r="O29" s="11" t="n">
        <f aca="false">IF(AND(O24=1,Time!O21&gt;=2027,Inputs!$F$52=1),MIN(Inputs!$F$111*O15,Debt!O81),0)</f>
        <v>0</v>
      </c>
      <c r="P29" s="11" t="n">
        <f aca="false">IF(AND(P24=1,Time!P21&gt;=2027,Inputs!$F$52=1),MIN(Inputs!$F$111*P15,Debt!P81),0)</f>
        <v>0</v>
      </c>
      <c r="Q29" s="11" t="n">
        <f aca="false">IF(AND(Q24=1,Time!Q21&gt;=2027,Inputs!$F$52=1),MIN(Inputs!$F$111*Q15,Debt!Q81),0)</f>
        <v>0</v>
      </c>
      <c r="R29" s="11" t="n">
        <f aca="false">IF(AND(R24=1,Time!R21&gt;=2027,Inputs!$F$52=1),MIN(Inputs!$F$111*R15,Debt!R81),0)</f>
        <v>0</v>
      </c>
      <c r="S29" s="11" t="n">
        <f aca="false">IF(AND(S24=1,Time!S21&gt;=2027,Inputs!$F$52=1),MIN(Inputs!$F$111*S15,Debt!S81),0)</f>
        <v>0</v>
      </c>
      <c r="T29" s="11" t="n">
        <f aca="false">IF(AND(T24=1,Time!T21&gt;=2027,Inputs!$F$52=1),MIN(Inputs!$F$111*T15,Debt!T81),0)</f>
        <v>0</v>
      </c>
      <c r="U29" s="11" t="n">
        <f aca="false">IF(AND(U24=1,Time!U21&gt;=2027,Inputs!$F$52=1),MIN(Inputs!$F$111*U15,Debt!U81),0)</f>
        <v>0</v>
      </c>
      <c r="V29" s="11" t="n">
        <f aca="false">IF(AND(V24=1,Time!V21&gt;=2027,Inputs!$F$52=1),MIN(Inputs!$F$111*V15,Debt!V81),0)</f>
        <v>0</v>
      </c>
      <c r="W29" s="11" t="n">
        <f aca="false">IF(AND(W24=1,Time!W21&gt;=2027,Inputs!$F$52=1),MIN(Inputs!$F$111*W15,Debt!W81),0)</f>
        <v>0</v>
      </c>
      <c r="X29" s="11" t="n">
        <f aca="false">IF(AND(X24=1,Time!X21&gt;=2027,Inputs!$F$52=1),MIN(Inputs!$F$111*X15,Debt!X81),0)</f>
        <v>0</v>
      </c>
      <c r="Y29" s="11" t="n">
        <f aca="false">IF(AND(Y24=1,Time!Y21&gt;=2027,Inputs!$F$52=1),MIN(Inputs!$F$111*Y15,Debt!Y81),0)</f>
        <v>0</v>
      </c>
      <c r="Z29" s="11" t="n">
        <f aca="false">IF(AND(Z24=1,Time!Z21&gt;=2027,Inputs!$F$52=1),MIN(Inputs!$F$111*Z15,Debt!Z81),0)</f>
        <v>0</v>
      </c>
      <c r="AA29" s="11" t="n">
        <f aca="false">IF(AND(AA24=1,Time!AA21&gt;=2027,Inputs!$F$52=1),MIN(Inputs!$F$111*AA15,Debt!AA81),0)</f>
        <v>4.97968731941094</v>
      </c>
      <c r="AB29" s="11" t="n">
        <f aca="false">IF(AND(AB24=1,Time!AB21&gt;=2027,Inputs!$F$52=1),MIN(Inputs!$F$111*AB15,Debt!AB81),0)</f>
        <v>5.87910907101877</v>
      </c>
      <c r="AC29" s="11" t="n">
        <f aca="false">IF(AND(AC24=1,Time!AC21&gt;=2027,Inputs!$F$52=1),MIN(Inputs!$F$111*AC15,Debt!AC81),0)</f>
        <v>5.3541250244998</v>
      </c>
      <c r="AD29" s="11" t="n">
        <f aca="false">IF(AND(AD24=1,Time!AD21&gt;=2027,Inputs!$F$52=1),MIN(Inputs!$F$111*AD15,Debt!AD81),0)</f>
        <v>5.91338598779726</v>
      </c>
      <c r="AE29" s="11" t="n">
        <f aca="false">IF(AND(AE24=1,Time!AE21&gt;=2027,Inputs!$F$52=1),MIN(Inputs!$F$111*AE15,Debt!AE81),0)</f>
        <v>6.86569944577716</v>
      </c>
      <c r="AF29" s="11" t="n">
        <f aca="false">IF(AND(AF24=1,Time!AF21&gt;=2027,Inputs!$F$52=1),MIN(Inputs!$F$111*AF15,Debt!AF81),0)</f>
        <v>8.07717524116026</v>
      </c>
      <c r="AG29" s="11" t="n">
        <f aca="false">IF(AND(AG24=1,Time!AG21&gt;=2027,Inputs!$F$52=1),MIN(Inputs!$F$111*AG15,Debt!AG81),0)</f>
        <v>8.13714505920316</v>
      </c>
      <c r="AH29" s="11" t="n">
        <f aca="false">IF(AND(AH24=1,Time!AH21&gt;=2027,Inputs!$F$52=1),MIN(Inputs!$F$111*AH15,Debt!AH81),0)</f>
        <v>9.32475500558314</v>
      </c>
      <c r="AI29" s="11" t="n">
        <f aca="false">IF(AND(AI24=1,Time!AI21&gt;=2027,Inputs!$F$52=1),MIN(Inputs!$F$111*AI15,Debt!AI81),0)</f>
        <v>9.97184714188098</v>
      </c>
      <c r="AJ29" s="11" t="n">
        <f aca="false">IF(AND(AJ24=1,Time!AJ21&gt;=2027,Inputs!$F$52=1),MIN(Inputs!$F$111*AJ15,Debt!AJ81),0)</f>
        <v>11.5769808783277</v>
      </c>
      <c r="AK29" s="11" t="n">
        <f aca="false">IF(AND(AK24=1,Time!AK21&gt;=2027,Inputs!$F$52=1),MIN(Inputs!$F$111*AK15,Debt!AK81),0)</f>
        <v>12.5144233480348</v>
      </c>
      <c r="AL29" s="11" t="n">
        <f aca="false">IF(AND(AL24=1,Time!AL21&gt;=2027,Inputs!$F$52=1),MIN(Inputs!$F$111*AL15,Debt!AL81),0)</f>
        <v>0</v>
      </c>
      <c r="AM29" s="11" t="n">
        <f aca="false">IF(AND(AM24=1,Time!AM21&gt;=2027,Inputs!$F$52=1),MIN(Inputs!$F$111*AM15,Debt!AM81),0)</f>
        <v>0</v>
      </c>
      <c r="AN29" s="11" t="n">
        <f aca="false">IF(AND(AN24=1,Time!AN21&gt;=2027,Inputs!$F$52=1),MIN(Inputs!$F$111*AN15,Debt!AN81),0)</f>
        <v>0</v>
      </c>
      <c r="AO29" s="11" t="n">
        <f aca="false">IF(AND(AO24=1,Time!AO21&gt;=2027,Inputs!$F$52=1),MIN(Inputs!$F$111*AO15,Debt!AO81),0)</f>
        <v>0</v>
      </c>
      <c r="AP29" s="11" t="n">
        <f aca="false">IF(AND(AP24=1,Time!AP21&gt;=2027,Inputs!$F$52=1),MIN(Inputs!$F$111*AP15,Debt!AP81),0)</f>
        <v>0</v>
      </c>
      <c r="AQ29" s="11" t="n">
        <f aca="false">IF(AND(AQ24=1,Time!AQ21&gt;=2027,Inputs!$F$52=1),MIN(Inputs!$F$111*AQ15,Debt!AQ81),0)</f>
        <v>0</v>
      </c>
      <c r="AR29" s="11" t="n">
        <f aca="false">IF(AND(AR24=1,Time!AR21&gt;=2027,Inputs!$F$52=1),MIN(Inputs!$F$111*AR15,Debt!AR81),0)</f>
        <v>0</v>
      </c>
      <c r="AS29" s="11" t="n">
        <f aca="false">IF(AND(AS24=1,Time!AS21&gt;=2027,Inputs!$F$52=1),MIN(Inputs!$F$111*AS15,Debt!AS81),0)</f>
        <v>0</v>
      </c>
      <c r="AT29" s="11" t="n">
        <f aca="false">IF(AND(AT24=1,Time!AT21&gt;=2027,Inputs!$F$52=1),MIN(Inputs!$F$111*AT15,Debt!AT81),0)</f>
        <v>0</v>
      </c>
      <c r="AU29" s="11" t="n">
        <f aca="false">IF(AND(AU24=1,Time!AU21&gt;=2027,Inputs!$F$52=1),MIN(Inputs!$F$111*AU15,Debt!AU81),0)</f>
        <v>0</v>
      </c>
      <c r="AV29" s="11" t="n">
        <f aca="false">IF(AND(AV24=1,Time!AV21&gt;=2027,Inputs!$F$52=1),MIN(Inputs!$F$111*AV15,Debt!AV81),0)</f>
        <v>0</v>
      </c>
      <c r="AW29" s="11" t="n">
        <f aca="false">IF(AND(AW24=1,Time!AW21&gt;=2027,Inputs!$F$52=1),MIN(Inputs!$F$111*AW15,Debt!AW81),0)</f>
        <v>0</v>
      </c>
      <c r="AX29" s="11" t="n">
        <f aca="false">IF(AND(AX24=1,Time!AX21&gt;=2027,Inputs!$F$52=1),MIN(Inputs!$F$111*AX15,Debt!AX81),0)</f>
        <v>0</v>
      </c>
      <c r="AY29" s="11" t="n">
        <f aca="false">IF(AND(AY24=1,Time!AY21&gt;=2027,Inputs!$F$52=1),MIN(Inputs!$F$111*AY15,Debt!AY81),0)</f>
        <v>0</v>
      </c>
      <c r="AZ29" s="11" t="n">
        <f aca="false">IF(AND(AZ24=1,Time!AZ21&gt;=2027,Inputs!$F$52=1),MIN(Inputs!$F$111*AZ15,Debt!AZ81),0)</f>
        <v>0</v>
      </c>
      <c r="BA29" s="11" t="n">
        <f aca="false">IF(AND(BA24=1,Time!BA21&gt;=2027,Inputs!$F$52=1),MIN(Inputs!$F$111*BA15,Debt!BA81),0)</f>
        <v>0</v>
      </c>
      <c r="BB29" s="11" t="n">
        <f aca="false">IF(AND(BB24=1,Time!BB21&gt;=2027,Inputs!$F$52=1),MIN(Inputs!$F$111*BB15,Debt!BB81),0)</f>
        <v>0</v>
      </c>
      <c r="BC29" s="11" t="n">
        <f aca="false">IF(AND(BC24=1,Time!BC21&gt;=2027,Inputs!$F$52=1),MIN(Inputs!$F$111*BC15,Debt!BC81),0)</f>
        <v>0</v>
      </c>
      <c r="BD29" s="11" t="n">
        <f aca="false">IF(AND(BD24=1,Time!BD21&gt;=2027,Inputs!$F$52=1),MIN(Inputs!$F$111*BD15,Debt!BD81),0)</f>
        <v>0</v>
      </c>
      <c r="BE29" s="11" t="n">
        <f aca="false">IF(AND(BE24=1,Time!BE21&gt;=2027,Inputs!$F$52=1),MIN(Inputs!$F$111*BE15,Debt!BE81),0)</f>
        <v>0</v>
      </c>
      <c r="BF29" s="11" t="n">
        <f aca="false">IF(AND(BF24=1,Time!BF21&gt;=2027,Inputs!$F$52=1),MIN(Inputs!$F$111*BF15,Debt!BF81),0)</f>
        <v>0</v>
      </c>
      <c r="BG29" s="11" t="n">
        <f aca="false">IF(AND(BG24=1,Time!BG21&gt;=2027,Inputs!$F$52=1),MIN(Inputs!$F$111*BG15,Debt!BG81),0)</f>
        <v>0</v>
      </c>
      <c r="BH29" s="11" t="n">
        <f aca="false">IF(AND(BH24=1,Time!BH21&gt;=2027,Inputs!$F$52=1),MIN(Inputs!$F$111*BH15,Debt!BH81),0)</f>
        <v>0</v>
      </c>
      <c r="BI29" s="11" t="n">
        <f aca="false">IF(AND(BI24=1,Time!BI21&gt;=2027,Inputs!$F$52=1),MIN(Inputs!$F$111*BI15,Debt!BI81),0)</f>
        <v>0</v>
      </c>
      <c r="BJ29" s="11" t="n">
        <f aca="false">IF(AND(BJ24=1,Time!BJ21&gt;=2027,Inputs!$F$52=1),MIN(Inputs!$F$111*BJ15,Debt!BJ81),0)</f>
        <v>0</v>
      </c>
      <c r="BK29" s="11" t="n">
        <f aca="false">IF(AND(BK24=1,Time!BK21&gt;=2027,Inputs!$F$52=1),MIN(Inputs!$F$111*BK15,Debt!BK81),0)</f>
        <v>0</v>
      </c>
      <c r="BL29" s="11" t="n">
        <f aca="false">IF(AND(BL24=1,Time!BL21&gt;=2027,Inputs!$F$52=1),MIN(Inputs!$F$111*BL15,Debt!BL81),0)</f>
        <v>0</v>
      </c>
      <c r="BM29" s="11" t="n">
        <f aca="false">IF(AND(BM24=1,Time!BM21&gt;=2027,Inputs!$F$52=1),MIN(Inputs!$F$111*BM15,Debt!BM81),0)</f>
        <v>0</v>
      </c>
      <c r="BN29" s="11" t="n">
        <f aca="false">IF(AND(BN24=1,Time!BN21&gt;=2027,Inputs!$F$52=1),MIN(Inputs!$F$111*BN15,Debt!BN81),0)</f>
        <v>0</v>
      </c>
    </row>
    <row r="30" customFormat="false" ht="15" hidden="false" customHeight="false" outlineLevel="0" collapsed="false">
      <c r="D30" s="0" t="s">
        <v>748</v>
      </c>
      <c r="E30" s="0" t="s">
        <v>149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0</v>
      </c>
      <c r="P30" s="11" t="n">
        <f aca="false">IF(P24=0,P15-P28,0)</f>
        <v>1.86721444482732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749</v>
      </c>
      <c r="E31" s="0" t="s">
        <v>149</v>
      </c>
      <c r="G31" s="11" t="n">
        <f aca="false">SUM(J31:BN31)</f>
        <v>1410.73415411368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0</v>
      </c>
      <c r="Q31" s="11" t="n">
        <f aca="false">IF(Q24=1,Q15-Q29,0)</f>
        <v>11.9411377585296</v>
      </c>
      <c r="R31" s="11" t="n">
        <f aca="false">IF(R24=1,R15-R29,0)</f>
        <v>10.9811262587414</v>
      </c>
      <c r="S31" s="11" t="n">
        <f aca="false">IF(S24=1,S15-S29,0)</f>
        <v>10.1937583240623</v>
      </c>
      <c r="T31" s="11" t="n">
        <f aca="false">IF(T24=1,T15-T29,0)</f>
        <v>10.9709652187198</v>
      </c>
      <c r="U31" s="11" t="n">
        <f aca="false">IF(U24=1,U15-U29,0)</f>
        <v>9.87364592414637</v>
      </c>
      <c r="V31" s="11" t="n">
        <f aca="false">IF(V24=1,V15-V29,0)</f>
        <v>10.6606330335929</v>
      </c>
      <c r="W31" s="11" t="n">
        <f aca="false">IF(W24=1,W15-W29,0)</f>
        <v>12.055536140849</v>
      </c>
      <c r="X31" s="11" t="n">
        <f aca="false">IF(X24=1,X15-X29,0)</f>
        <v>12.9904257519621</v>
      </c>
      <c r="Y31" s="11" t="n">
        <f aca="false">IF(Y24=1,Y15-Y29,0)</f>
        <v>10.1756209089765</v>
      </c>
      <c r="Z31" s="11" t="n">
        <f aca="false">IF(Z24=1,Z15-Z29,0)</f>
        <v>11.0097969556862</v>
      </c>
      <c r="AA31" s="11" t="n">
        <f aca="false">IF(AA24=1,AA15-AA29,0)</f>
        <v>4.97968731941094</v>
      </c>
      <c r="AB31" s="11" t="n">
        <f aca="false">IF(AB24=1,AB15-AB29,0)</f>
        <v>5.87910907101877</v>
      </c>
      <c r="AC31" s="11" t="n">
        <f aca="false">IF(AC24=1,AC15-AC29,0)</f>
        <v>5.3541250244998</v>
      </c>
      <c r="AD31" s="11" t="n">
        <f aca="false">IF(AD24=1,AD15-AD29,0)</f>
        <v>5.91338598779726</v>
      </c>
      <c r="AE31" s="11" t="n">
        <f aca="false">IF(AE24=1,AE15-AE29,0)</f>
        <v>6.86569944577716</v>
      </c>
      <c r="AF31" s="11" t="n">
        <f aca="false">IF(AF24=1,AF15-AF29,0)</f>
        <v>8.07717524116026</v>
      </c>
      <c r="AG31" s="11" t="n">
        <f aca="false">IF(AG24=1,AG15-AG29,0)</f>
        <v>8.13714505920316</v>
      </c>
      <c r="AH31" s="11" t="n">
        <f aca="false">IF(AH24=1,AH15-AH29,0)</f>
        <v>9.32475500558314</v>
      </c>
      <c r="AI31" s="11" t="n">
        <f aca="false">IF(AI24=1,AI15-AI29,0)</f>
        <v>9.97184714188098</v>
      </c>
      <c r="AJ31" s="11" t="n">
        <f aca="false">IF(AJ24=1,AJ15-AJ29,0)</f>
        <v>11.5769808783277</v>
      </c>
      <c r="AK31" s="11" t="n">
        <f aca="false">IF(AK24=1,AK15-AK29,0)</f>
        <v>13.2550622689768</v>
      </c>
      <c r="AL31" s="11" t="n">
        <f aca="false">IF(AL24=1,AL15-AL29,0)</f>
        <v>31.568224776146</v>
      </c>
      <c r="AM31" s="11" t="n">
        <f aca="false">IF(AM24=1,AM15-AM29,0)</f>
        <v>32.6109283341595</v>
      </c>
      <c r="AN31" s="11" t="n">
        <f aca="false">IF(AN24=1,AN15-AN29,0)</f>
        <v>33.4365211945138</v>
      </c>
      <c r="AO31" s="11" t="n">
        <f aca="false">IF(AO24=1,AO15-AO29,0)</f>
        <v>50.6597042674252</v>
      </c>
      <c r="AP31" s="11" t="n">
        <f aca="false">IF(AP24=1,AP15-AP29,0)</f>
        <v>51.3388059528544</v>
      </c>
      <c r="AQ31" s="11" t="n">
        <f aca="false">IF(AQ24=1,AQ15-AQ29,0)</f>
        <v>50.9858164161793</v>
      </c>
      <c r="AR31" s="11" t="n">
        <f aca="false">IF(AR24=1,AR15-AR29,0)</f>
        <v>42.9383801241977</v>
      </c>
      <c r="AS31" s="11" t="n">
        <f aca="false">IF(AS24=1,AS15-AS29,0)</f>
        <v>41.8152724350504</v>
      </c>
      <c r="AT31" s="11" t="n">
        <f aca="false">IF(AT24=1,AT15-AT29,0)</f>
        <v>42.2365002861952</v>
      </c>
      <c r="AU31" s="11" t="n">
        <f aca="false">IF(AU24=1,AU15-AU29,0)</f>
        <v>48.2359769265088</v>
      </c>
      <c r="AV31" s="11" t="n">
        <f aca="false">IF(AV24=1,AV15-AV29,0)</f>
        <v>44.7326492101122</v>
      </c>
      <c r="AW31" s="11" t="n">
        <f aca="false">IF(AW24=1,AW15-AW29,0)</f>
        <v>43.776613843306</v>
      </c>
      <c r="AX31" s="11" t="n">
        <f aca="false">IF(AX24=1,AX15-AX29,0)</f>
        <v>44.4354267369936</v>
      </c>
      <c r="AY31" s="11" t="n">
        <f aca="false">IF(AY24=1,AY15-AY29,0)</f>
        <v>44.0254806356794</v>
      </c>
      <c r="AZ31" s="11" t="n">
        <f aca="false">IF(AZ24=1,AZ15-AZ29,0)</f>
        <v>44.6600563620943</v>
      </c>
      <c r="BA31" s="11" t="n">
        <f aca="false">IF(BA24=1,BA15-BA29,0)</f>
        <v>44.2728127632001</v>
      </c>
      <c r="BB31" s="11" t="n">
        <f aca="false">IF(BB24=1,BB15-BB29,0)</f>
        <v>44.3089649091678</v>
      </c>
      <c r="BC31" s="11" t="n">
        <f aca="false">IF(BC24=1,BC15-BC29,0)</f>
        <v>44.7226461112184</v>
      </c>
      <c r="BD31" s="11" t="n">
        <f aca="false">IF(BD24=1,BD15-BD29,0)</f>
        <v>42.2235943953032</v>
      </c>
      <c r="BE31" s="11" t="n">
        <f aca="false">IF(BE24=1,BE15-BE29,0)</f>
        <v>34.7813897676701</v>
      </c>
      <c r="BF31" s="11" t="n">
        <f aca="false">IF(BF24=1,BF15-BF29,0)</f>
        <v>35.4500806045936</v>
      </c>
      <c r="BG31" s="11" t="n">
        <f aca="false">IF(BG24=1,BG15-BG29,0)</f>
        <v>35.0169225370277</v>
      </c>
      <c r="BH31" s="11" t="n">
        <f aca="false">IF(BH24=1,BH15-BH29,0)</f>
        <v>35.6595471247633</v>
      </c>
      <c r="BI31" s="11" t="n">
        <f aca="false">IF(BI24=1,BI15-BI29,0)</f>
        <v>35.2445643883681</v>
      </c>
      <c r="BJ31" s="11" t="n">
        <f aca="false">IF(BJ24=1,BJ15-BJ29,0)</f>
        <v>35.8286804636831</v>
      </c>
      <c r="BK31" s="11" t="n">
        <f aca="false">IF(BK24=1,BK15-BK29,0)</f>
        <v>43.0601418896222</v>
      </c>
      <c r="BL31" s="11" t="n">
        <f aca="false">IF(BL24=1,BL15-BL29,0)</f>
        <v>38.7837833311665</v>
      </c>
      <c r="BM31" s="11" t="n">
        <f aca="false">IF(BM24=1,BM15-BM29,0)</f>
        <v>38.3678958128591</v>
      </c>
      <c r="BN31" s="11" t="n">
        <f aca="false">IF(BN24=1,BN15-BN29,0)</f>
        <v>55.3691537947186</v>
      </c>
    </row>
    <row r="32" customFormat="false" ht="15" hidden="false" customHeight="false" outlineLevel="0" collapsed="false">
      <c r="D32" s="0" t="s">
        <v>750</v>
      </c>
      <c r="E32" s="0" t="s">
        <v>149</v>
      </c>
      <c r="F32" s="15" t="n">
        <f aca="false">SUM(Funding!$J$69:$BJ$69)</f>
        <v>46.0821366316148</v>
      </c>
    </row>
    <row r="33" customFormat="false" ht="15" hidden="false" customHeight="false" outlineLevel="0" collapsed="false">
      <c r="D33" s="0" t="s">
        <v>751</v>
      </c>
      <c r="E33" s="0" t="s">
        <v>149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0</v>
      </c>
      <c r="P33" s="11" t="n">
        <f aca="false">IF(Time!P17&lt;Time!$F$11,0,IF(Time!P29=1,INDEX(Funding!$J$72:$BJ$72,1,Time!$F$13),O36))</f>
        <v>217.575415340841</v>
      </c>
      <c r="Q33" s="11" t="n">
        <f aca="false">IF(Time!Q17&lt;Time!$F$11,0,IF(Time!Q29=1,INDEX(Funding!$J$72:$BJ$72,1,Time!$F$13),P36))</f>
        <v>221.02979762002</v>
      </c>
      <c r="R33" s="11" t="n">
        <f aca="false">IF(Time!R17&lt;Time!$F$11,0,IF(Time!R29=1,INDEX(Funding!$J$72:$BJ$72,1,Time!$F$13),Q36))</f>
        <v>219.501282793206</v>
      </c>
      <c r="S33" s="11" t="n">
        <f aca="false">IF(Time!S17&lt;Time!$F$11,0,IF(Time!S29=1,INDEX(Funding!$J$72:$BJ$72,1,Time!$F$13),R36))</f>
        <v>219.032163173438</v>
      </c>
      <c r="T33" s="11" t="n">
        <f aca="false">IF(Time!T17&lt;Time!$F$11,0,IF(Time!T29=1,INDEX(Funding!$J$72:$BJ$72,1,Time!$F$13),S36))</f>
        <v>219.156920043259</v>
      </c>
      <c r="U33" s="11" t="n">
        <f aca="false">IF(Time!U17&lt;Time!$F$11,0,IF(Time!U29=1,INDEX(Funding!$J$72:$BJ$72,1,Time!$F$13),T36))</f>
        <v>218.681469789898</v>
      </c>
      <c r="V33" s="11" t="n">
        <f aca="false">IF(Time!V17&lt;Time!$F$11,0,IF(Time!V29=1,INDEX(Funding!$J$72:$BJ$72,1,Time!$F$13),U36))</f>
        <v>219.166735133334</v>
      </c>
      <c r="W33" s="11" t="n">
        <f aca="false">IF(Time!W17&lt;Time!$F$11,0,IF(Time!W29=1,INDEX(Funding!$J$72:$BJ$72,1,Time!$F$13),V36))</f>
        <v>219.002087113797</v>
      </c>
      <c r="X33" s="11" t="n">
        <f aca="false">IF(Time!X17&lt;Time!$F$11,0,IF(Time!X29=1,INDEX(Funding!$J$72:$BJ$72,1,Time!$F$13),W36))</f>
        <v>217.263649296022</v>
      </c>
      <c r="Y33" s="11" t="n">
        <f aca="false">IF(Time!Y17&lt;Time!$F$11,0,IF(Time!Y29=1,INDEX(Funding!$J$72:$BJ$72,1,Time!$F$13),X36))</f>
        <v>214.678068995277</v>
      </c>
      <c r="Z33" s="11" t="n">
        <f aca="false">IF(Time!Z17&lt;Time!$F$11,0,IF(Time!Z29=1,INDEX(Funding!$J$72:$BJ$72,1,Time!$F$13),Y36))</f>
        <v>214.615843692804</v>
      </c>
      <c r="AA33" s="11" t="n">
        <f aca="false">IF(Time!AA17&lt;Time!$F$11,0,IF(Time!AA29=1,INDEX(Funding!$J$72:$BJ$72,1,Time!$F$13),Z36))</f>
        <v>213.884087689858</v>
      </c>
      <c r="AB33" s="11" t="n">
        <f aca="false">IF(Time!AB17&lt;Time!$F$11,0,IF(Time!AB29=1,INDEX(Funding!$J$72:$BJ$72,1,Time!$F$13),AA36))</f>
        <v>218.980391843946</v>
      </c>
      <c r="AC33" s="11" t="n">
        <f aca="false">IF(Time!AC17&lt;Time!$F$11,0,IF(Time!AC29=1,INDEX(Funding!$J$72:$BJ$72,1,Time!$F$13),AB36))</f>
        <v>223.588343730276</v>
      </c>
      <c r="AD33" s="11" t="n">
        <f aca="false">IF(Time!AD17&lt;Time!$F$11,0,IF(Time!AD29=1,INDEX(Funding!$J$72:$BJ$72,1,Time!$F$13),AC36))</f>
        <v>228.825567919739</v>
      </c>
      <c r="AE33" s="11" t="n">
        <f aca="false">IF(Time!AE17&lt;Time!$F$11,0,IF(Time!AE29=1,INDEX(Funding!$J$72:$BJ$72,1,Time!$F$13),AD36))</f>
        <v>233.870732417523</v>
      </c>
      <c r="AF33" s="11" t="n">
        <f aca="false">IF(Time!AF17&lt;Time!$F$11,0,IF(Time!AF29=1,INDEX(Funding!$J$72:$BJ$72,1,Time!$F$13),AE36))</f>
        <v>238.022587064675</v>
      </c>
      <c r="AG33" s="11" t="n">
        <f aca="false">IF(Time!AG17&lt;Time!$F$11,0,IF(Time!AG29=1,INDEX(Funding!$J$72:$BJ$72,1,Time!$F$13),AF36))</f>
        <v>241.344411335544</v>
      </c>
      <c r="AH33" s="11" t="n">
        <f aca="false">IF(Time!AH17&lt;Time!$F$11,0,IF(Time!AH29=1,INDEX(Funding!$J$72:$BJ$72,1,Time!$F$13),AG36))</f>
        <v>244.576902311723</v>
      </c>
      <c r="AI33" s="11" t="n">
        <f aca="false">IF(Time!AI17&lt;Time!$F$11,0,IF(Time!AI29=1,INDEX(Funding!$J$72:$BJ$72,1,Time!$F$13),AH36))</f>
        <v>246.965035668904</v>
      </c>
      <c r="AJ33" s="11" t="n">
        <f aca="false">IF(Time!AJ17&lt;Time!$F$11,0,IF(Time!AJ29=1,INDEX(Funding!$J$72:$BJ$72,1,Time!$F$13),AI36))</f>
        <v>248.627609864905</v>
      </c>
      <c r="AK33" s="11" t="n">
        <f aca="false">IF(Time!AK17&lt;Time!$F$11,0,IF(Time!AK29=1,INDEX(Funding!$J$72:$BJ$72,1,Time!$F$13),AJ36))</f>
        <v>248.957507398738</v>
      </c>
      <c r="AL33" s="11" t="n">
        <f aca="false">IF(Time!AL17&lt;Time!$F$11,0,IF(Time!AL29=1,INDEX(Funding!$J$72:$BJ$72,1,Time!$F$13),AK36))</f>
        <v>247.495528151471</v>
      </c>
      <c r="AM33" s="11" t="n">
        <f aca="false">IF(Time!AM17&lt;Time!$F$11,0,IF(Time!AM29=1,INDEX(Funding!$J$72:$BJ$72,1,Time!$F$13),AL36))</f>
        <v>227.77996592899</v>
      </c>
      <c r="AN33" s="11" t="n">
        <f aca="false">IF(Time!AN17&lt;Time!$F$11,0,IF(Time!AN29=1,INDEX(Funding!$J$72:$BJ$72,1,Time!$F$13),AM36))</f>
        <v>205.89965818154</v>
      </c>
      <c r="AO33" s="11" t="n">
        <f aca="false">IF(Time!AO17&lt;Time!$F$11,0,IF(Time!AO29=1,INDEX(Funding!$J$72:$BJ$72,1,Time!$F$13),AN36))</f>
        <v>182.323756233638</v>
      </c>
      <c r="AP33" s="11" t="n">
        <f aca="false">IF(Time!AP17&lt;Time!$F$11,0,IF(Time!AP29=1,INDEX(Funding!$J$72:$BJ$72,1,Time!$F$13),AO36))</f>
        <v>140.253249194809</v>
      </c>
      <c r="AQ33" s="11" t="n">
        <f aca="false">IF(Time!AQ17&lt;Time!$F$11,0,IF(Time!AQ29=1,INDEX(Funding!$J$72:$BJ$72,1,Time!$F$13),AP36))</f>
        <v>95.6312289842153</v>
      </c>
      <c r="AR33" s="11" t="n">
        <f aca="false">IF(Time!AR17&lt;Time!$F$11,0,IF(Time!AR29=1,INDEX(Funding!$J$72:$BJ$72,1,Time!$F$13),AQ36))</f>
        <v>49.1505604649773</v>
      </c>
      <c r="AS33" s="11" t="n">
        <f aca="false">IF(Time!AS17&lt;Time!$F$11,0,IF(Time!AS29=1,INDEX(Funding!$J$72:$BJ$72,1,Time!$F$13),AR36))</f>
        <v>8.56602088030788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752</v>
      </c>
      <c r="E34" s="0" t="s">
        <v>149</v>
      </c>
      <c r="G34" s="11" t="n">
        <f aca="false">SUM(J34:BN34)</f>
        <v>245.984552358203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0</v>
      </c>
      <c r="Q34" s="11" t="n">
        <f aca="false">Q24*MIN(Q31,Tax!Q13)</f>
        <v>10.4126229317157</v>
      </c>
      <c r="R34" s="11" t="n">
        <f aca="false">R24*MIN(R31,Tax!R13)</f>
        <v>10.5120066389733</v>
      </c>
      <c r="S34" s="11" t="n">
        <f aca="false">S24*MIN(S31,Tax!S13)</f>
        <v>10.1937583240623</v>
      </c>
      <c r="T34" s="11" t="n">
        <f aca="false">T24*MIN(T31,Tax!T13)</f>
        <v>10.4955149653593</v>
      </c>
      <c r="U34" s="11" t="n">
        <f aca="false">U24*MIN(U31,Tax!U13)</f>
        <v>9.87364592414637</v>
      </c>
      <c r="V34" s="11" t="n">
        <f aca="false">V24*MIN(V31,Tax!V13)</f>
        <v>10.4959850140566</v>
      </c>
      <c r="W34" s="11" t="n">
        <f aca="false">W24*MIN(W31,Tax!W13)</f>
        <v>10.3170983230733</v>
      </c>
      <c r="X34" s="11" t="n">
        <f aca="false">X24*MIN(X31,Tax!X13)</f>
        <v>10.4048454512177</v>
      </c>
      <c r="Y34" s="11" t="n">
        <f aca="false">Y24*MIN(Y31,Tax!Y13)</f>
        <v>10.1133956065035</v>
      </c>
      <c r="Z34" s="11" t="n">
        <f aca="false">Z24*MIN(Z31,Tax!Z13)</f>
        <v>10.2780409527403</v>
      </c>
      <c r="AA34" s="11" t="n">
        <f aca="false">AA24*MIN(AA31,Tax!AA13)</f>
        <v>4.97968731941094</v>
      </c>
      <c r="AB34" s="11" t="n">
        <f aca="false">AB24*MIN(AB31,Tax!AB13)</f>
        <v>5.87910907101877</v>
      </c>
      <c r="AC34" s="11" t="n">
        <f aca="false">AC24*MIN(AC31,Tax!AC13)</f>
        <v>5.3541250244998</v>
      </c>
      <c r="AD34" s="11" t="n">
        <f aca="false">AD24*MIN(AD31,Tax!AD13)</f>
        <v>5.91338598779726</v>
      </c>
      <c r="AE34" s="11" t="n">
        <f aca="false">AE24*MIN(AE31,Tax!AE13)</f>
        <v>6.86569944577716</v>
      </c>
      <c r="AF34" s="11" t="n">
        <f aca="false">AF24*MIN(AF31,Tax!AF13)</f>
        <v>8.07717524116026</v>
      </c>
      <c r="AG34" s="11" t="n">
        <f aca="false">AG24*MIN(AG31,Tax!AG13)</f>
        <v>8.13714505920316</v>
      </c>
      <c r="AH34" s="11" t="n">
        <f aca="false">AH24*MIN(AH31,Tax!AH13)</f>
        <v>9.32475500558314</v>
      </c>
      <c r="AI34" s="11" t="n">
        <f aca="false">AI24*MIN(AI31,Tax!AI13)</f>
        <v>9.97184714188098</v>
      </c>
      <c r="AJ34" s="11" t="n">
        <f aca="false">AJ24*MIN(AJ31,Tax!AJ13)</f>
        <v>11.5769808783277</v>
      </c>
      <c r="AK34" s="11" t="n">
        <f aca="false">AK24*MIN(AK31,Tax!AK13)</f>
        <v>11.7930830217101</v>
      </c>
      <c r="AL34" s="11" t="n">
        <f aca="false">AL24*MIN(AL31,Tax!AL13)</f>
        <v>11.852662553665</v>
      </c>
      <c r="AM34" s="11" t="n">
        <f aca="false">AM24*MIN(AM31,Tax!AM13)</f>
        <v>10.7306205867096</v>
      </c>
      <c r="AN34" s="11" t="n">
        <f aca="false">AN24*MIN(AN31,Tax!AN13)</f>
        <v>9.86061924661185</v>
      </c>
      <c r="AO34" s="11" t="n">
        <f aca="false">AO24*MIN(AO31,Tax!AO13)</f>
        <v>8.58919722859565</v>
      </c>
      <c r="AP34" s="11" t="n">
        <f aca="false">AP24*MIN(AP31,Tax!AP13)</f>
        <v>6.71678574226098</v>
      </c>
      <c r="AQ34" s="11" t="n">
        <f aca="false">AQ24*MIN(AQ31,Tax!AQ13)</f>
        <v>4.50514789694132</v>
      </c>
      <c r="AR34" s="11" t="n">
        <f aca="false">AR24*MIN(AR31,Tax!AR13)</f>
        <v>2.35384053952823</v>
      </c>
      <c r="AS34" s="11" t="n">
        <f aca="false">AS24*MIN(AS31,Tax!AS13)</f>
        <v>0.405771235672666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753</v>
      </c>
      <c r="E35" s="0" t="s">
        <v>149</v>
      </c>
      <c r="G35" s="11" t="n">
        <f aca="false">SUM(J35:BN35)</f>
        <v>256.713239542156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0</v>
      </c>
      <c r="Q35" s="11" t="n">
        <f aca="false">Q24*MIN(Q31-Q34,Q33+Tax!Q13-Q34)</f>
        <v>1.52851482681389</v>
      </c>
      <c r="R35" s="11" t="n">
        <f aca="false">R24*MIN(R31-R34,R33+Tax!R13-R34)</f>
        <v>0.469119619768172</v>
      </c>
      <c r="S35" s="11" t="n">
        <f aca="false">S24*MIN(S31-S34,S33+Tax!S13-S34)</f>
        <v>0</v>
      </c>
      <c r="T35" s="11" t="n">
        <f aca="false">T24*MIN(T31-T34,T33+Tax!T13-T34)</f>
        <v>0.475450253360432</v>
      </c>
      <c r="U35" s="11" t="n">
        <f aca="false">U24*MIN(U31-U34,U33+Tax!U13-U34)</f>
        <v>0</v>
      </c>
      <c r="V35" s="11" t="n">
        <f aca="false">V24*MIN(V31-V34,V33+Tax!V13-V34)</f>
        <v>0.164648019536262</v>
      </c>
      <c r="W35" s="11" t="n">
        <f aca="false">W24*MIN(W31-W34,W33+Tax!W13-W34)</f>
        <v>1.73843781777573</v>
      </c>
      <c r="X35" s="11" t="n">
        <f aca="false">X24*MIN(X31-X34,X33+Tax!X13-X34)</f>
        <v>2.58558030074444</v>
      </c>
      <c r="Y35" s="11" t="n">
        <f aca="false">Y24*MIN(Y31-Y34,Y33+Tax!Y13-Y34)</f>
        <v>0.0622253024729211</v>
      </c>
      <c r="Z35" s="11" t="n">
        <f aca="false">Z24*MIN(Z31-Z34,Z33+Tax!Z13-Z34)</f>
        <v>0.731756002945847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</v>
      </c>
      <c r="AF35" s="11" t="n">
        <f aca="false">AF24*MIN(AF31-AF34,AF33+Tax!AF13-AF34)</f>
        <v>0</v>
      </c>
      <c r="AG35" s="11" t="n">
        <f aca="false">AG24*MIN(AG31-AG34,AG33+Tax!AG13-AG34)</f>
        <v>0</v>
      </c>
      <c r="AH35" s="11" t="n">
        <f aca="false">AH24*MIN(AH31-AH34,AH33+Tax!AH13-AH34)</f>
        <v>0</v>
      </c>
      <c r="AI35" s="11" t="n">
        <f aca="false">AI24*MIN(AI31-AI34,AI33+Tax!AI13-AI34)</f>
        <v>0</v>
      </c>
      <c r="AJ35" s="11" t="n">
        <f aca="false">AJ24*MIN(AJ31-AJ34,AJ33+Tax!AJ13-AJ34)</f>
        <v>0</v>
      </c>
      <c r="AK35" s="11" t="n">
        <f aca="false">AK24*MIN(AK31-AK34,AK33+Tax!AK13-AK34)</f>
        <v>1.46197924726673</v>
      </c>
      <c r="AL35" s="11" t="n">
        <f aca="false">AL24*MIN(AL31-AL34,AL33+Tax!AL13-AL34)</f>
        <v>19.715562222481</v>
      </c>
      <c r="AM35" s="11" t="n">
        <f aca="false">AM24*MIN(AM31-AM34,AM33+Tax!AM13-AM34)</f>
        <v>21.8803077474499</v>
      </c>
      <c r="AN35" s="11" t="n">
        <f aca="false">AN24*MIN(AN31-AN34,AN33+Tax!AN13-AN34)</f>
        <v>23.575901947902</v>
      </c>
      <c r="AO35" s="11" t="n">
        <f aca="false">AO24*MIN(AO31-AO34,AO33+Tax!AO13-AO34)</f>
        <v>42.0705070388296</v>
      </c>
      <c r="AP35" s="11" t="n">
        <f aca="false">AP24*MIN(AP31-AP34,AP33+Tax!AP13-AP34)</f>
        <v>44.6220202105934</v>
      </c>
      <c r="AQ35" s="11" t="n">
        <f aca="false">AQ24*MIN(AQ31-AQ34,AQ33+Tax!AQ13-AQ34)</f>
        <v>46.480668519238</v>
      </c>
      <c r="AR35" s="11" t="n">
        <f aca="false">AR24*MIN(AR31-AR34,AR33+Tax!AR13-AR34)</f>
        <v>40.5845395846695</v>
      </c>
      <c r="AS35" s="11" t="n">
        <f aca="false">AS24*MIN(AS31-AS34,AS33+Tax!AS13-AS34)</f>
        <v>8.56602088030788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754</v>
      </c>
      <c r="E36" s="0" t="s">
        <v>149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0</v>
      </c>
      <c r="P36" s="11" t="n">
        <f aca="false">P33+Tax!P13-P34-P35</f>
        <v>221.02979762002</v>
      </c>
      <c r="Q36" s="11" t="n">
        <f aca="false">Q33+Tax!Q13-Q34-Q35</f>
        <v>219.501282793206</v>
      </c>
      <c r="R36" s="11" t="n">
        <f aca="false">R33+Tax!R13-R34-R35</f>
        <v>219.032163173438</v>
      </c>
      <c r="S36" s="11" t="n">
        <f aca="false">S33+Tax!S13-S34-S35</f>
        <v>219.156920043259</v>
      </c>
      <c r="T36" s="11" t="n">
        <f aca="false">T33+Tax!T13-T34-T35</f>
        <v>218.681469789898</v>
      </c>
      <c r="U36" s="11" t="n">
        <f aca="false">U33+Tax!U13-U34-U35</f>
        <v>219.166735133334</v>
      </c>
      <c r="V36" s="11" t="n">
        <f aca="false">V33+Tax!V13-V34-V35</f>
        <v>219.002087113797</v>
      </c>
      <c r="W36" s="11" t="n">
        <f aca="false">W33+Tax!W13-W34-W35</f>
        <v>217.263649296022</v>
      </c>
      <c r="X36" s="11" t="n">
        <f aca="false">X33+Tax!X13-X34-X35</f>
        <v>214.678068995277</v>
      </c>
      <c r="Y36" s="11" t="n">
        <f aca="false">Y33+Tax!Y13-Y34-Y35</f>
        <v>214.615843692804</v>
      </c>
      <c r="Z36" s="11" t="n">
        <f aca="false">Z33+Tax!Z13-Z34-Z35</f>
        <v>213.884087689858</v>
      </c>
      <c r="AA36" s="11" t="n">
        <f aca="false">AA33+Tax!AA13-AA34-AA35</f>
        <v>218.980391843946</v>
      </c>
      <c r="AB36" s="11" t="n">
        <f aca="false">AB33+Tax!AB13-AB34-AB35</f>
        <v>223.588343730276</v>
      </c>
      <c r="AC36" s="11" t="n">
        <f aca="false">AC33+Tax!AC13-AC34-AC35</f>
        <v>228.825567919739</v>
      </c>
      <c r="AD36" s="11" t="n">
        <f aca="false">AD33+Tax!AD13-AD34-AD35</f>
        <v>233.870732417523</v>
      </c>
      <c r="AE36" s="11" t="n">
        <f aca="false">AE33+Tax!AE13-AE34-AE35</f>
        <v>238.022587064675</v>
      </c>
      <c r="AF36" s="11" t="n">
        <f aca="false">AF33+Tax!AF13-AF34-AF35</f>
        <v>241.344411335544</v>
      </c>
      <c r="AG36" s="11" t="n">
        <f aca="false">AG33+Tax!AG13-AG34-AG35</f>
        <v>244.576902311723</v>
      </c>
      <c r="AH36" s="11" t="n">
        <f aca="false">AH33+Tax!AH13-AH34-AH35</f>
        <v>246.965035668904</v>
      </c>
      <c r="AI36" s="11" t="n">
        <f aca="false">AI33+Tax!AI13-AI34-AI35</f>
        <v>248.627609864905</v>
      </c>
      <c r="AJ36" s="11" t="n">
        <f aca="false">AJ33+Tax!AJ13-AJ34-AJ35</f>
        <v>248.957507398738</v>
      </c>
      <c r="AK36" s="11" t="n">
        <f aca="false">AK33+Tax!AK13-AK34-AK35</f>
        <v>247.495528151471</v>
      </c>
      <c r="AL36" s="11" t="n">
        <f aca="false">AL33+Tax!AL13-AL34-AL35</f>
        <v>227.77996592899</v>
      </c>
      <c r="AM36" s="11" t="n">
        <f aca="false">AM33+Tax!AM13-AM34-AM35</f>
        <v>205.89965818154</v>
      </c>
      <c r="AN36" s="11" t="n">
        <f aca="false">AN33+Tax!AN13-AN34-AN35</f>
        <v>182.323756233638</v>
      </c>
      <c r="AO36" s="11" t="n">
        <f aca="false">AO33+Tax!AO13-AO34-AO35</f>
        <v>140.253249194809</v>
      </c>
      <c r="AP36" s="11" t="n">
        <f aca="false">AP33+Tax!AP13-AP34-AP35</f>
        <v>95.6312289842153</v>
      </c>
      <c r="AQ36" s="11" t="n">
        <f aca="false">AQ33+Tax!AQ13-AQ34-AQ35</f>
        <v>49.1505604649773</v>
      </c>
      <c r="AR36" s="11" t="n">
        <f aca="false">AR33+Tax!AR13-AR34-AR35</f>
        <v>8.56602088030788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755</v>
      </c>
      <c r="E37" s="0" t="s">
        <v>149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0</v>
      </c>
      <c r="P37" s="11" t="n">
        <f aca="false">MAX(0,O43+Financials!P14)</f>
        <v>9.37854471002205</v>
      </c>
      <c r="Q37" s="11" t="n">
        <f aca="false">MAX(0,P43+Financials!Q14)</f>
        <v>15.1014689248956</v>
      </c>
      <c r="R37" s="11" t="n">
        <f aca="false">MAX(0,Q43+Financials!R14)</f>
        <v>21.2470203710082</v>
      </c>
      <c r="S37" s="11" t="n">
        <f aca="false">MAX(0,R43+Financials!S14)</f>
        <v>28.5860326424422</v>
      </c>
      <c r="T37" s="11" t="n">
        <f aca="false">MAX(0,S43+Financials!T14)</f>
        <v>36.2431322835115</v>
      </c>
      <c r="U37" s="11" t="n">
        <f aca="false">MAX(0,T43+Financials!U14)</f>
        <v>44.9350451313272</v>
      </c>
      <c r="V37" s="11" t="n">
        <f aca="false">MAX(0,U43+Financials!V14)</f>
        <v>54.1960575871065</v>
      </c>
      <c r="W37" s="11" t="n">
        <f aca="false">MAX(0,V43+Financials!W14)</f>
        <v>62.2781835280853</v>
      </c>
      <c r="X37" s="11" t="n">
        <f aca="false">MAX(0,W43+Financials!X14)</f>
        <v>73.4061959378</v>
      </c>
      <c r="Y37" s="11" t="n">
        <f aca="false">MAX(0,X43+Financials!Y14)</f>
        <v>85.2247299691766</v>
      </c>
      <c r="Z37" s="11" t="n">
        <f aca="false">MAX(0,Y43+Financials!Z14)</f>
        <v>94.9900299306117</v>
      </c>
      <c r="AA37" s="11" t="n">
        <f aca="false">MAX(0,Z43+Financials!AA14)</f>
        <v>100.521739243853</v>
      </c>
      <c r="AB37" s="11" t="n">
        <f aca="false">MAX(0,AA43+Financials!AB14)</f>
        <v>106.448545309505</v>
      </c>
      <c r="AC37" s="11" t="n">
        <f aca="false">MAX(0,AB43+Financials!AC14)</f>
        <v>113.222667739683</v>
      </c>
      <c r="AD37" s="11" t="n">
        <f aca="false">MAX(0,AC43+Financials!AD14)</f>
        <v>120.597627027737</v>
      </c>
      <c r="AE37" s="11" t="n">
        <f aca="false">MAX(0,AD43+Financials!AE14)</f>
        <v>118.905959772213</v>
      </c>
      <c r="AF37" s="11" t="n">
        <f aca="false">MAX(0,AE43+Financials!AF14)</f>
        <v>129.073207215107</v>
      </c>
      <c r="AG37" s="11" t="n">
        <f aca="false">MAX(0,AF43+Financials!AG14)</f>
        <v>138.899882867418</v>
      </c>
      <c r="AH37" s="11" t="n">
        <f aca="false">MAX(0,AG43+Financials!AH14)</f>
        <v>149.462412616022</v>
      </c>
      <c r="AI37" s="11" t="n">
        <f aca="false">MAX(0,AH43+Financials!AI14)</f>
        <v>161.225692624158</v>
      </c>
      <c r="AJ37" s="11" t="n">
        <f aca="false">MAX(0,AI43+Financials!AJ14)</f>
        <v>173.812852299616</v>
      </c>
      <c r="AK37" s="11" t="n">
        <f aca="false">MAX(0,AJ43+Financials!AK14)</f>
        <v>187.569165993154</v>
      </c>
      <c r="AL37" s="11" t="n">
        <f aca="false">MAX(0,AK43+Financials!AL14)</f>
        <v>202.38938441269</v>
      </c>
      <c r="AM37" s="11" t="n">
        <f aca="false">MAX(0,AL43+Financials!AM14)</f>
        <v>216.523075993528</v>
      </c>
      <c r="AN37" s="11" t="n">
        <f aca="false">MAX(0,AM43+Financials!AN14)</f>
        <v>233.852387167608</v>
      </c>
      <c r="AO37" s="11" t="n">
        <f aca="false">MAX(0,AN43+Financials!AO14)</f>
        <v>252.434296405148</v>
      </c>
      <c r="AP37" s="11" t="n">
        <f aca="false">MAX(0,AO43+Financials!AP14)</f>
        <v>272.805562234217</v>
      </c>
      <c r="AQ37" s="11" t="n">
        <f aca="false">MAX(0,AP43+Financials!AQ14)</f>
        <v>294.846870154496</v>
      </c>
      <c r="AR37" s="11" t="n">
        <f aca="false">MAX(0,AQ43+Financials!AR14)</f>
        <v>318.862809477107</v>
      </c>
      <c r="AS37" s="11" t="n">
        <f aca="false">MAX(0,AR43+Financials!AS14)</f>
        <v>344.309891721309</v>
      </c>
      <c r="AT37" s="11" t="n">
        <f aca="false">MAX(0,AS43+Financials!AT14)</f>
        <v>337.380679149741</v>
      </c>
      <c r="AU37" s="11" t="n">
        <f aca="false">MAX(0,AT43+Financials!AU14)</f>
        <v>310.640087721908</v>
      </c>
      <c r="AV37" s="11" t="n">
        <f aca="false">MAX(0,AU43+Financials!AV14)</f>
        <v>288.606438626974</v>
      </c>
      <c r="AW37" s="11" t="n">
        <f aca="false">MAX(0,AV43+Financials!AW14)</f>
        <v>270.00303479288</v>
      </c>
      <c r="AX37" s="11" t="n">
        <f aca="false">MAX(0,AW43+Financials!AX14)</f>
        <v>252.474454863511</v>
      </c>
      <c r="AY37" s="11" t="n">
        <f aca="false">MAX(0,AX43+Financials!AY14)</f>
        <v>234.421044869132</v>
      </c>
      <c r="AZ37" s="11" t="n">
        <f aca="false">MAX(0,AY43+Financials!AZ14)</f>
        <v>216.867405793793</v>
      </c>
      <c r="BA37" s="11" t="n">
        <f aca="false">MAX(0,AZ43+Financials!BA14)</f>
        <v>198.750840778834</v>
      </c>
      <c r="BB37" s="11" t="n">
        <f aca="false">MAX(0,BA43+Financials!BB14)</f>
        <v>181.187893208594</v>
      </c>
      <c r="BC37" s="11" t="n">
        <f aca="false">MAX(0,BB43+Financials!BC14)</f>
        <v>161.310993698905</v>
      </c>
      <c r="BD37" s="11" t="n">
        <f aca="false">MAX(0,BC43+Financials!BD14)</f>
        <v>143.575825893386</v>
      </c>
      <c r="BE37" s="11" t="n">
        <f aca="false">MAX(0,BD43+Financials!BE14)</f>
        <v>128.326753187049</v>
      </c>
      <c r="BF37" s="11" t="n">
        <f aca="false">MAX(0,BE43+Financials!BF14)</f>
        <v>120.649555107486</v>
      </c>
      <c r="BG37" s="11" t="n">
        <f aca="false">MAX(0,BF43+Financials!BG14)</f>
        <v>112.449012495276</v>
      </c>
      <c r="BH37" s="11" t="n">
        <f aca="false">MAX(0,BG43+Financials!BH14)</f>
        <v>104.779067462324</v>
      </c>
      <c r="BI37" s="11" t="n">
        <f aca="false">MAX(0,BH43+Financials!BI14)</f>
        <v>96.5425458996051</v>
      </c>
      <c r="BJ37" s="11" t="n">
        <f aca="false">MAX(0,BI43+Financials!BJ14)</f>
        <v>88.9421843586848</v>
      </c>
      <c r="BK37" s="11" t="n">
        <f aca="false">MAX(0,BJ43+Financials!BK14)</f>
        <v>68.44019571328</v>
      </c>
      <c r="BL37" s="11" t="n">
        <f aca="false">MAX(0,BK43+Financials!BL14)</f>
        <v>53.367366976826</v>
      </c>
      <c r="BM37" s="11" t="n">
        <f aca="false">MAX(0,BL43+Financials!BM14)</f>
        <v>42.4733044218409</v>
      </c>
      <c r="BN37" s="11" t="n">
        <f aca="false">MAX(0,BM43+Financials!BN14)</f>
        <v>9.28701716310404</v>
      </c>
    </row>
    <row r="38" customFormat="false" ht="15" hidden="false" customHeight="false" outlineLevel="0" collapsed="false">
      <c r="D38" s="0" t="s">
        <v>756</v>
      </c>
      <c r="E38" s="0" t="s">
        <v>149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0</v>
      </c>
      <c r="AQ38" s="11" t="n">
        <f aca="false">AQ24*MIN(AQ31-AQ34-AQ35,AQ37)</f>
        <v>0</v>
      </c>
      <c r="AR38" s="11" t="n">
        <f aca="false">AR24*MIN(AR31-AR34-AR35,AR37)</f>
        <v>0</v>
      </c>
      <c r="AS38" s="11" t="n">
        <f aca="false">AS24*MIN(AS31-AS34-AS35,AS37)</f>
        <v>32.8434803190698</v>
      </c>
      <c r="AT38" s="11" t="n">
        <f aca="false">AT24*MIN(AT31-AT34-AT35,AT37)</f>
        <v>42.2365002861952</v>
      </c>
      <c r="AU38" s="11" t="n">
        <f aca="false">AU24*MIN(AU31-AU34-AU35,AU37)</f>
        <v>48.2359769265088</v>
      </c>
      <c r="AV38" s="11" t="n">
        <f aca="false">AV24*MIN(AV31-AV34-AV35,AV37)</f>
        <v>44.7326492101122</v>
      </c>
      <c r="AW38" s="11" t="n">
        <f aca="false">AW24*MIN(AW31-AW34-AW35,AW37)</f>
        <v>43.776613843306</v>
      </c>
      <c r="AX38" s="11" t="n">
        <f aca="false">AX24*MIN(AX31-AX34-AX35,AX37)</f>
        <v>44.4354267369936</v>
      </c>
      <c r="AY38" s="11" t="n">
        <f aca="false">AY24*MIN(AY31-AY34-AY35,AY37)</f>
        <v>44.0254806356794</v>
      </c>
      <c r="AZ38" s="11" t="n">
        <f aca="false">AZ24*MIN(AZ31-AZ34-AZ35,AZ37)</f>
        <v>44.6600563620943</v>
      </c>
      <c r="BA38" s="11" t="n">
        <f aca="false">BA24*MIN(BA31-BA34-BA35,BA37)</f>
        <v>44.2728127632001</v>
      </c>
      <c r="BB38" s="11" t="n">
        <f aca="false">BB24*MIN(BB31-BB34-BB35,BB37)</f>
        <v>44.3089649091678</v>
      </c>
      <c r="BC38" s="11" t="n">
        <f aca="false">BC24*MIN(BC31-BC34-BC35,BC37)</f>
        <v>44.7226461112184</v>
      </c>
      <c r="BD38" s="11" t="n">
        <f aca="false">BD24*MIN(BD31-BD34-BD35,BD37)</f>
        <v>42.2235943953032</v>
      </c>
      <c r="BE38" s="11" t="n">
        <f aca="false">BE24*MIN(BE31-BE34-BE35,BE37)</f>
        <v>34.7813897676701</v>
      </c>
      <c r="BF38" s="11" t="n">
        <f aca="false">BF24*MIN(BF31-BF34-BF35,BF37)</f>
        <v>35.4500806045936</v>
      </c>
      <c r="BG38" s="11" t="n">
        <f aca="false">BG24*MIN(BG31-BG34-BG35,BG37)</f>
        <v>35.0169225370277</v>
      </c>
      <c r="BH38" s="11" t="n">
        <f aca="false">BH24*MIN(BH31-BH34-BH35,BH37)</f>
        <v>35.6595471247633</v>
      </c>
      <c r="BI38" s="11" t="n">
        <f aca="false">BI24*MIN(BI31-BI34-BI35,BI37)</f>
        <v>35.2445643883681</v>
      </c>
      <c r="BJ38" s="11" t="n">
        <f aca="false">BJ24*MIN(BJ31-BJ34-BJ35,BJ37)</f>
        <v>35.8286804636831</v>
      </c>
      <c r="BK38" s="11" t="n">
        <f aca="false">BK24*MIN(BK31-BK34-BK35,BK37)</f>
        <v>43.0601418896222</v>
      </c>
      <c r="BL38" s="11" t="n">
        <f aca="false">BL24*MIN(BL31-BL34-BL35,BL37)</f>
        <v>38.7837833311665</v>
      </c>
      <c r="BM38" s="11" t="n">
        <f aca="false">BM24*MIN(BM31-BM34-BM35,BM37)</f>
        <v>38.3678958128591</v>
      </c>
      <c r="BN38" s="11" t="n">
        <f aca="false">BN24*MIN(BN31-BN34-BN35,BN37)</f>
        <v>9.28701716310404</v>
      </c>
    </row>
    <row r="39" customFormat="false" ht="15" hidden="false" customHeight="false" outlineLevel="0" collapsed="false">
      <c r="D39" s="0" t="s">
        <v>757</v>
      </c>
      <c r="E39" s="0" t="s">
        <v>149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0</v>
      </c>
      <c r="BN39" s="11" t="n">
        <f aca="false">BN24*(BN31-BN34-BN35-BN38)</f>
        <v>46.0821366316145</v>
      </c>
    </row>
    <row r="40" customFormat="false" ht="15" hidden="false" customHeight="false" outlineLevel="0" collapsed="false">
      <c r="D40" s="0" t="s">
        <v>758</v>
      </c>
      <c r="E40" s="0" t="s">
        <v>149</v>
      </c>
      <c r="G40" s="11" t="n">
        <f aca="false">SUM(J40:BN40)</f>
        <v>46.0821366316145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0</v>
      </c>
      <c r="BN40" s="11" t="n">
        <f aca="false">Time!BN32*(BN39+BN30+Reserves!BN9-Reserves!BN10+Reserves!BN11-Reserves!BN12)</f>
        <v>46.0821366316145</v>
      </c>
    </row>
    <row r="41" customFormat="false" ht="15" hidden="false" customHeight="false" outlineLevel="0" collapsed="false">
      <c r="D41" s="0" t="s">
        <v>759</v>
      </c>
      <c r="E41" s="0" t="s">
        <v>149</v>
      </c>
      <c r="G41" s="11" t="n">
        <f aca="false">SUM(J41:BN41)</f>
        <v>908.036362213321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0</v>
      </c>
      <c r="AQ41" s="11" t="n">
        <f aca="false">AQ38+AQ40</f>
        <v>0</v>
      </c>
      <c r="AR41" s="11" t="n">
        <f aca="false">AR38+AR40</f>
        <v>0</v>
      </c>
      <c r="AS41" s="11" t="n">
        <f aca="false">AS38+AS40</f>
        <v>32.8434803190698</v>
      </c>
      <c r="AT41" s="11" t="n">
        <f aca="false">AT38+AT40</f>
        <v>42.2365002861952</v>
      </c>
      <c r="AU41" s="11" t="n">
        <f aca="false">AU38+AU40</f>
        <v>48.2359769265088</v>
      </c>
      <c r="AV41" s="11" t="n">
        <f aca="false">AV38+AV40</f>
        <v>44.7326492101122</v>
      </c>
      <c r="AW41" s="11" t="n">
        <f aca="false">AW38+AW40</f>
        <v>43.776613843306</v>
      </c>
      <c r="AX41" s="11" t="n">
        <f aca="false">AX38+AX40</f>
        <v>44.4354267369936</v>
      </c>
      <c r="AY41" s="11" t="n">
        <f aca="false">AY38+AY40</f>
        <v>44.0254806356794</v>
      </c>
      <c r="AZ41" s="11" t="n">
        <f aca="false">AZ38+AZ40</f>
        <v>44.6600563620943</v>
      </c>
      <c r="BA41" s="11" t="n">
        <f aca="false">BA38+BA40</f>
        <v>44.2728127632001</v>
      </c>
      <c r="BB41" s="11" t="n">
        <f aca="false">BB38+BB40</f>
        <v>44.3089649091678</v>
      </c>
      <c r="BC41" s="11" t="n">
        <f aca="false">BC38+BC40</f>
        <v>44.7226461112184</v>
      </c>
      <c r="BD41" s="11" t="n">
        <f aca="false">BD38+BD40</f>
        <v>42.2235943953032</v>
      </c>
      <c r="BE41" s="11" t="n">
        <f aca="false">BE38+BE40</f>
        <v>34.7813897676701</v>
      </c>
      <c r="BF41" s="11" t="n">
        <f aca="false">BF38+BF40</f>
        <v>35.4500806045936</v>
      </c>
      <c r="BG41" s="11" t="n">
        <f aca="false">BG38+BG40</f>
        <v>35.0169225370277</v>
      </c>
      <c r="BH41" s="11" t="n">
        <f aca="false">BH38+BH40</f>
        <v>35.6595471247633</v>
      </c>
      <c r="BI41" s="11" t="n">
        <f aca="false">BI38+BI40</f>
        <v>35.2445643883681</v>
      </c>
      <c r="BJ41" s="11" t="n">
        <f aca="false">BJ38+BJ40</f>
        <v>35.8286804636831</v>
      </c>
      <c r="BK41" s="11" t="n">
        <f aca="false">BK38+BK40</f>
        <v>43.0601418896222</v>
      </c>
      <c r="BL41" s="11" t="n">
        <f aca="false">BL38+BL40</f>
        <v>38.7837833311665</v>
      </c>
      <c r="BM41" s="11" t="n">
        <f aca="false">BM38+BM40</f>
        <v>38.3678958128591</v>
      </c>
      <c r="BN41" s="11" t="n">
        <f aca="false">BN38+BN40</f>
        <v>55.3691537947186</v>
      </c>
    </row>
    <row r="42" customFormat="false" ht="15" hidden="false" customHeight="false" outlineLevel="0" collapsed="false">
      <c r="D42" s="0" t="s">
        <v>760</v>
      </c>
      <c r="E42" s="0" t="s">
        <v>149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761</v>
      </c>
      <c r="E43" s="0" t="s">
        <v>149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0</v>
      </c>
      <c r="P43" s="11" t="n">
        <f aca="false">IF(Time!P17&lt;Time!$F$11,0,O43+Financials!P14-P41)</f>
        <v>9.37854471002205</v>
      </c>
      <c r="Q43" s="11" t="n">
        <f aca="false">IF(Time!Q17&lt;Time!$F$11,0,P43+Financials!Q14-Q41)</f>
        <v>15.1014689248956</v>
      </c>
      <c r="R43" s="11" t="n">
        <f aca="false">IF(Time!R17&lt;Time!$F$11,0,Q43+Financials!R14-R41)</f>
        <v>21.2470203710082</v>
      </c>
      <c r="S43" s="11" t="n">
        <f aca="false">IF(Time!S17&lt;Time!$F$11,0,R43+Financials!S14-S41)</f>
        <v>28.5860326424422</v>
      </c>
      <c r="T43" s="11" t="n">
        <f aca="false">IF(Time!T17&lt;Time!$F$11,0,S43+Financials!T14-T41)</f>
        <v>36.2431322835115</v>
      </c>
      <c r="U43" s="11" t="n">
        <f aca="false">IF(Time!U17&lt;Time!$F$11,0,T43+Financials!U14-U41)</f>
        <v>44.9350451313272</v>
      </c>
      <c r="V43" s="11" t="n">
        <f aca="false">IF(Time!V17&lt;Time!$F$11,0,U43+Financials!V14-V41)</f>
        <v>54.1960575871065</v>
      </c>
      <c r="W43" s="11" t="n">
        <f aca="false">IF(Time!W17&lt;Time!$F$11,0,V43+Financials!W14-W41)</f>
        <v>62.2781835280853</v>
      </c>
      <c r="X43" s="11" t="n">
        <f aca="false">IF(Time!X17&lt;Time!$F$11,0,W43+Financials!X14-X41)</f>
        <v>73.4061959378</v>
      </c>
      <c r="Y43" s="11" t="n">
        <f aca="false">IF(Time!Y17&lt;Time!$F$11,0,X43+Financials!Y14-Y41)</f>
        <v>85.2247299691766</v>
      </c>
      <c r="Z43" s="11" t="n">
        <f aca="false">IF(Time!Z17&lt;Time!$F$11,0,Y43+Financials!Z14-Z41)</f>
        <v>94.9900299306117</v>
      </c>
      <c r="AA43" s="11" t="n">
        <f aca="false">IF(Time!AA17&lt;Time!$F$11,0,Z43+Financials!AA14-AA41)</f>
        <v>100.521739243853</v>
      </c>
      <c r="AB43" s="11" t="n">
        <f aca="false">IF(Time!AB17&lt;Time!$F$11,0,AA43+Financials!AB14-AB41)</f>
        <v>106.448545309505</v>
      </c>
      <c r="AC43" s="11" t="n">
        <f aca="false">IF(Time!AC17&lt;Time!$F$11,0,AB43+Financials!AC14-AC41)</f>
        <v>113.222667739683</v>
      </c>
      <c r="AD43" s="11" t="n">
        <f aca="false">IF(Time!AD17&lt;Time!$F$11,0,AC43+Financials!AD14-AD41)</f>
        <v>120.597627027737</v>
      </c>
      <c r="AE43" s="11" t="n">
        <f aca="false">IF(Time!AE17&lt;Time!$F$11,0,AD43+Financials!AE14-AE41)</f>
        <v>118.905959772213</v>
      </c>
      <c r="AF43" s="11" t="n">
        <f aca="false">IF(Time!AF17&lt;Time!$F$11,0,AE43+Financials!AF14-AF41)</f>
        <v>129.073207215107</v>
      </c>
      <c r="AG43" s="11" t="n">
        <f aca="false">IF(Time!AG17&lt;Time!$F$11,0,AF43+Financials!AG14-AG41)</f>
        <v>138.899882867418</v>
      </c>
      <c r="AH43" s="11" t="n">
        <f aca="false">IF(Time!AH17&lt;Time!$F$11,0,AG43+Financials!AH14-AH41)</f>
        <v>149.462412616022</v>
      </c>
      <c r="AI43" s="11" t="n">
        <f aca="false">IF(Time!AI17&lt;Time!$F$11,0,AH43+Financials!AI14-AI41)</f>
        <v>161.225692624158</v>
      </c>
      <c r="AJ43" s="11" t="n">
        <f aca="false">IF(Time!AJ17&lt;Time!$F$11,0,AI43+Financials!AJ14-AJ41)</f>
        <v>173.812852299616</v>
      </c>
      <c r="AK43" s="11" t="n">
        <f aca="false">IF(Time!AK17&lt;Time!$F$11,0,AJ43+Financials!AK14-AK41)</f>
        <v>187.569165993154</v>
      </c>
      <c r="AL43" s="11" t="n">
        <f aca="false">IF(Time!AL17&lt;Time!$F$11,0,AK43+Financials!AL14-AL41)</f>
        <v>202.38938441269</v>
      </c>
      <c r="AM43" s="11" t="n">
        <f aca="false">IF(Time!AM17&lt;Time!$F$11,0,AL43+Financials!AM14-AM41)</f>
        <v>216.523075993528</v>
      </c>
      <c r="AN43" s="11" t="n">
        <f aca="false">IF(Time!AN17&lt;Time!$F$11,0,AM43+Financials!AN14-AN41)</f>
        <v>233.852387167608</v>
      </c>
      <c r="AO43" s="11" t="n">
        <f aca="false">IF(Time!AO17&lt;Time!$F$11,0,AN43+Financials!AO14-AO41)</f>
        <v>252.434296405148</v>
      </c>
      <c r="AP43" s="11" t="n">
        <f aca="false">IF(Time!AP17&lt;Time!$F$11,0,AO43+Financials!AP14-AP41)</f>
        <v>272.805562234217</v>
      </c>
      <c r="AQ43" s="11" t="n">
        <f aca="false">IF(Time!AQ17&lt;Time!$F$11,0,AP43+Financials!AQ14-AQ41)</f>
        <v>294.846870154496</v>
      </c>
      <c r="AR43" s="11" t="n">
        <f aca="false">IF(Time!AR17&lt;Time!$F$11,0,AQ43+Financials!AR14-AR41)</f>
        <v>318.862809477107</v>
      </c>
      <c r="AS43" s="11" t="n">
        <f aca="false">IF(Time!AS17&lt;Time!$F$11,0,AR43+Financials!AS14-AS41)</f>
        <v>311.46641140224</v>
      </c>
      <c r="AT43" s="11" t="n">
        <f aca="false">IF(Time!AT17&lt;Time!$F$11,0,AS43+Financials!AT14-AT41)</f>
        <v>295.144178863546</v>
      </c>
      <c r="AU43" s="11" t="n">
        <f aca="false">IF(Time!AU17&lt;Time!$F$11,0,AT43+Financials!AU14-AU41)</f>
        <v>262.4041107954</v>
      </c>
      <c r="AV43" s="11" t="n">
        <f aca="false">IF(Time!AV17&lt;Time!$F$11,0,AU43+Financials!AV14-AV41)</f>
        <v>243.873789416862</v>
      </c>
      <c r="AW43" s="11" t="n">
        <f aca="false">IF(Time!AW17&lt;Time!$F$11,0,AV43+Financials!AW14-AW41)</f>
        <v>226.226420949574</v>
      </c>
      <c r="AX43" s="11" t="n">
        <f aca="false">IF(Time!AX17&lt;Time!$F$11,0,AW43+Financials!AX14-AX41)</f>
        <v>208.039028126517</v>
      </c>
      <c r="AY43" s="11" t="n">
        <f aca="false">IF(Time!AY17&lt;Time!$F$11,0,AX43+Financials!AY14-AY41)</f>
        <v>190.395564233452</v>
      </c>
      <c r="AZ43" s="11" t="n">
        <f aca="false">IF(Time!AZ17&lt;Time!$F$11,0,AY43+Financials!AZ14-AZ41)</f>
        <v>172.207349431699</v>
      </c>
      <c r="BA43" s="11" t="n">
        <f aca="false">IF(Time!BA17&lt;Time!$F$11,0,AZ43+Financials!BA14-BA41)</f>
        <v>154.478028015633</v>
      </c>
      <c r="BB43" s="11" t="n">
        <f aca="false">IF(Time!BB17&lt;Time!$F$11,0,BA43+Financials!BB14-BB41)</f>
        <v>136.878928299426</v>
      </c>
      <c r="BC43" s="11" t="n">
        <f aca="false">IF(Time!BC17&lt;Time!$F$11,0,BB43+Financials!BC14-BC41)</f>
        <v>116.588347587686</v>
      </c>
      <c r="BD43" s="11" t="n">
        <f aca="false">IF(Time!BD17&lt;Time!$F$11,0,BC43+Financials!BD14-BD41)</f>
        <v>101.352231498083</v>
      </c>
      <c r="BE43" s="11" t="n">
        <f aca="false">IF(Time!BE17&lt;Time!$F$11,0,BD43+Financials!BE14-BE41)</f>
        <v>93.5453634193787</v>
      </c>
      <c r="BF43" s="11" t="n">
        <f aca="false">IF(Time!BF17&lt;Time!$F$11,0,BE43+Financials!BF14-BF41)</f>
        <v>85.1994745028921</v>
      </c>
      <c r="BG43" s="11" t="n">
        <f aca="false">IF(Time!BG17&lt;Time!$F$11,0,BF43+Financials!BG14-BG41)</f>
        <v>77.4320899582483</v>
      </c>
      <c r="BH43" s="11" t="n">
        <f aca="false">IF(Time!BH17&lt;Time!$F$11,0,BG43+Financials!BH14-BH41)</f>
        <v>69.1195203375604</v>
      </c>
      <c r="BI43" s="11" t="n">
        <f aca="false">IF(Time!BI17&lt;Time!$F$11,0,BH43+Financials!BI14-BI41)</f>
        <v>61.297981511237</v>
      </c>
      <c r="BJ43" s="11" t="n">
        <f aca="false">IF(Time!BJ17&lt;Time!$F$11,0,BI43+Financials!BJ14-BJ41)</f>
        <v>53.1135038950017</v>
      </c>
      <c r="BK43" s="11" t="n">
        <f aca="false">IF(Time!BK17&lt;Time!$F$11,0,BJ43+Financials!BK14-BK41)</f>
        <v>25.3800538236577</v>
      </c>
      <c r="BL43" s="11" t="n">
        <f aca="false">IF(Time!BL17&lt;Time!$F$11,0,BK43+Financials!BL14-BL41)</f>
        <v>14.5835836456595</v>
      </c>
      <c r="BM43" s="11" t="n">
        <f aca="false">IF(Time!BM17&lt;Time!$F$11,0,BL43+Financials!BM14-BM41)</f>
        <v>4.10540860898173</v>
      </c>
      <c r="BN43" s="11" t="n">
        <f aca="false">IF(Time!BN17&lt;Time!$F$11,0,BM43+Financials!BN14-BN41)</f>
        <v>-46.0821366316145</v>
      </c>
    </row>
    <row r="44" customFormat="false" ht="15" hidden="false" customHeight="false" outlineLevel="0" collapsed="false">
      <c r="D44" s="0" t="s">
        <v>762</v>
      </c>
      <c r="E44" s="0" t="s">
        <v>149</v>
      </c>
      <c r="G44" s="11" t="n">
        <f aca="false">SUM(J44:BN44)</f>
        <v>1410.73415411368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0</v>
      </c>
      <c r="Q44" s="11" t="n">
        <f aca="false">Q34+Q35+Q41</f>
        <v>11.9411377585296</v>
      </c>
      <c r="R44" s="11" t="n">
        <f aca="false">R34+R35+R41</f>
        <v>10.9811262587414</v>
      </c>
      <c r="S44" s="11" t="n">
        <f aca="false">S34+S35+S41</f>
        <v>10.1937583240623</v>
      </c>
      <c r="T44" s="11" t="n">
        <f aca="false">T34+T35+T41</f>
        <v>10.9709652187198</v>
      </c>
      <c r="U44" s="11" t="n">
        <f aca="false">U34+U35+U41</f>
        <v>9.87364592414637</v>
      </c>
      <c r="V44" s="11" t="n">
        <f aca="false">V34+V35+V41</f>
        <v>10.6606330335929</v>
      </c>
      <c r="W44" s="11" t="n">
        <f aca="false">W34+W35+W41</f>
        <v>12.055536140849</v>
      </c>
      <c r="X44" s="11" t="n">
        <f aca="false">X34+X35+X41</f>
        <v>12.9904257519621</v>
      </c>
      <c r="Y44" s="11" t="n">
        <f aca="false">Y34+Y35+Y41</f>
        <v>10.1756209089765</v>
      </c>
      <c r="Z44" s="11" t="n">
        <f aca="false">Z34+Z35+Z41</f>
        <v>11.0097969556862</v>
      </c>
      <c r="AA44" s="11" t="n">
        <f aca="false">AA34+AA35+AA41</f>
        <v>4.97968731941094</v>
      </c>
      <c r="AB44" s="11" t="n">
        <f aca="false">AB34+AB35+AB41</f>
        <v>5.87910907101877</v>
      </c>
      <c r="AC44" s="11" t="n">
        <f aca="false">AC34+AC35+AC41</f>
        <v>5.3541250244998</v>
      </c>
      <c r="AD44" s="11" t="n">
        <f aca="false">AD34+AD35+AD41</f>
        <v>5.91338598779726</v>
      </c>
      <c r="AE44" s="11" t="n">
        <f aca="false">AE34+AE35+AE41</f>
        <v>6.86569944577716</v>
      </c>
      <c r="AF44" s="11" t="n">
        <f aca="false">AF34+AF35+AF41</f>
        <v>8.07717524116026</v>
      </c>
      <c r="AG44" s="11" t="n">
        <f aca="false">AG34+AG35+AG41</f>
        <v>8.13714505920316</v>
      </c>
      <c r="AH44" s="11" t="n">
        <f aca="false">AH34+AH35+AH41</f>
        <v>9.32475500558314</v>
      </c>
      <c r="AI44" s="11" t="n">
        <f aca="false">AI34+AI35+AI41</f>
        <v>9.97184714188098</v>
      </c>
      <c r="AJ44" s="11" t="n">
        <f aca="false">AJ34+AJ35+AJ41</f>
        <v>11.5769808783277</v>
      </c>
      <c r="AK44" s="11" t="n">
        <f aca="false">AK34+AK35+AK41</f>
        <v>13.2550622689768</v>
      </c>
      <c r="AL44" s="11" t="n">
        <f aca="false">AL34+AL35+AL41</f>
        <v>31.568224776146</v>
      </c>
      <c r="AM44" s="11" t="n">
        <f aca="false">AM34+AM35+AM41</f>
        <v>32.6109283341595</v>
      </c>
      <c r="AN44" s="11" t="n">
        <f aca="false">AN34+AN35+AN41</f>
        <v>33.4365211945138</v>
      </c>
      <c r="AO44" s="11" t="n">
        <f aca="false">AO34+AO35+AO41</f>
        <v>50.6597042674252</v>
      </c>
      <c r="AP44" s="11" t="n">
        <f aca="false">AP34+AP35+AP41</f>
        <v>51.3388059528544</v>
      </c>
      <c r="AQ44" s="11" t="n">
        <f aca="false">AQ34+AQ35+AQ41</f>
        <v>50.9858164161793</v>
      </c>
      <c r="AR44" s="11" t="n">
        <f aca="false">AR34+AR35+AR41</f>
        <v>42.9383801241977</v>
      </c>
      <c r="AS44" s="11" t="n">
        <f aca="false">AS34+AS35+AS41</f>
        <v>41.8152724350504</v>
      </c>
      <c r="AT44" s="11" t="n">
        <f aca="false">AT34+AT35+AT41</f>
        <v>42.2365002861952</v>
      </c>
      <c r="AU44" s="11" t="n">
        <f aca="false">AU34+AU35+AU41</f>
        <v>48.2359769265088</v>
      </c>
      <c r="AV44" s="11" t="n">
        <f aca="false">AV34+AV35+AV41</f>
        <v>44.7326492101122</v>
      </c>
      <c r="AW44" s="11" t="n">
        <f aca="false">AW34+AW35+AW41</f>
        <v>43.776613843306</v>
      </c>
      <c r="AX44" s="11" t="n">
        <f aca="false">AX34+AX35+AX41</f>
        <v>44.4354267369936</v>
      </c>
      <c r="AY44" s="11" t="n">
        <f aca="false">AY34+AY35+AY41</f>
        <v>44.0254806356794</v>
      </c>
      <c r="AZ44" s="11" t="n">
        <f aca="false">AZ34+AZ35+AZ41</f>
        <v>44.6600563620943</v>
      </c>
      <c r="BA44" s="11" t="n">
        <f aca="false">BA34+BA35+BA41</f>
        <v>44.2728127632001</v>
      </c>
      <c r="BB44" s="11" t="n">
        <f aca="false">BB34+BB35+BB41</f>
        <v>44.3089649091678</v>
      </c>
      <c r="BC44" s="11" t="n">
        <f aca="false">BC34+BC35+BC41</f>
        <v>44.7226461112184</v>
      </c>
      <c r="BD44" s="11" t="n">
        <f aca="false">BD34+BD35+BD41</f>
        <v>42.2235943953032</v>
      </c>
      <c r="BE44" s="11" t="n">
        <f aca="false">BE34+BE35+BE41</f>
        <v>34.7813897676701</v>
      </c>
      <c r="BF44" s="11" t="n">
        <f aca="false">BF34+BF35+BF41</f>
        <v>35.4500806045936</v>
      </c>
      <c r="BG44" s="11" t="n">
        <f aca="false">BG34+BG35+BG41</f>
        <v>35.0169225370277</v>
      </c>
      <c r="BH44" s="11" t="n">
        <f aca="false">BH34+BH35+BH41</f>
        <v>35.6595471247633</v>
      </c>
      <c r="BI44" s="11" t="n">
        <f aca="false">BI34+BI35+BI41</f>
        <v>35.2445643883681</v>
      </c>
      <c r="BJ44" s="11" t="n">
        <f aca="false">BJ34+BJ35+BJ41</f>
        <v>35.8286804636831</v>
      </c>
      <c r="BK44" s="11" t="n">
        <f aca="false">BK34+BK35+BK41</f>
        <v>43.0601418896222</v>
      </c>
      <c r="BL44" s="11" t="n">
        <f aca="false">BL34+BL35+BL41</f>
        <v>38.7837833311665</v>
      </c>
      <c r="BM44" s="11" t="n">
        <f aca="false">BM34+BM35+BM41</f>
        <v>38.3678958128591</v>
      </c>
      <c r="BN44" s="11" t="n">
        <f aca="false">BN34+BN35+BN41</f>
        <v>55.3691537947186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764</v>
      </c>
    </row>
    <row r="8" customFormat="false" ht="15" hidden="false" customHeight="false" outlineLevel="0" collapsed="false">
      <c r="D8" s="0" t="s">
        <v>765</v>
      </c>
      <c r="E8" s="0" t="s">
        <v>149</v>
      </c>
      <c r="G8" s="11" t="n">
        <f aca="false">SUM(J8:BN8)</f>
        <v>876.457393195604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0</v>
      </c>
      <c r="P8" s="11" t="n">
        <f aca="false">Funding!$F$76/300*Time!P25</f>
        <v>5.84304928797069</v>
      </c>
      <c r="Q8" s="11" t="n">
        <f aca="false">Funding!$F$76/300*Time!Q25</f>
        <v>17.5291478639121</v>
      </c>
      <c r="R8" s="11" t="n">
        <f aca="false">Funding!$F$76/300*Time!R25</f>
        <v>17.5291478639121</v>
      </c>
      <c r="S8" s="11" t="n">
        <f aca="false">Funding!$F$76/300*Time!S25</f>
        <v>17.5291478639121</v>
      </c>
      <c r="T8" s="11" t="n">
        <f aca="false">Funding!$F$76/300*Time!T25</f>
        <v>17.5291478639121</v>
      </c>
      <c r="U8" s="11" t="n">
        <f aca="false">Funding!$F$76/300*Time!U25</f>
        <v>17.5291478639121</v>
      </c>
      <c r="V8" s="11" t="n">
        <f aca="false">Funding!$F$76/300*Time!V25</f>
        <v>17.5291478639121</v>
      </c>
      <c r="W8" s="11" t="n">
        <f aca="false">Funding!$F$76/300*Time!W25</f>
        <v>17.5291478639121</v>
      </c>
      <c r="X8" s="11" t="n">
        <f aca="false">Funding!$F$76/300*Time!X25</f>
        <v>17.5291478639121</v>
      </c>
      <c r="Y8" s="11" t="n">
        <f aca="false">Funding!$F$76/300*Time!Y25</f>
        <v>17.5291478639121</v>
      </c>
      <c r="Z8" s="11" t="n">
        <f aca="false">Funding!$F$76/300*Time!Z25</f>
        <v>17.5291478639121</v>
      </c>
      <c r="AA8" s="11" t="n">
        <f aca="false">Funding!$F$76/300*Time!AA25</f>
        <v>17.5291478639121</v>
      </c>
      <c r="AB8" s="11" t="n">
        <f aca="false">Funding!$F$76/300*Time!AB25</f>
        <v>17.5291478639121</v>
      </c>
      <c r="AC8" s="11" t="n">
        <f aca="false">Funding!$F$76/300*Time!AC25</f>
        <v>17.5291478639121</v>
      </c>
      <c r="AD8" s="11" t="n">
        <f aca="false">Funding!$F$76/300*Time!AD25</f>
        <v>17.5291478639121</v>
      </c>
      <c r="AE8" s="11" t="n">
        <f aca="false">Funding!$F$76/300*Time!AE25</f>
        <v>17.5291478639121</v>
      </c>
      <c r="AF8" s="11" t="n">
        <f aca="false">Funding!$F$76/300*Time!AF25</f>
        <v>17.5291478639121</v>
      </c>
      <c r="AG8" s="11" t="n">
        <f aca="false">Funding!$F$76/300*Time!AG25</f>
        <v>17.5291478639121</v>
      </c>
      <c r="AH8" s="11" t="n">
        <f aca="false">Funding!$F$76/300*Time!AH25</f>
        <v>17.5291478639121</v>
      </c>
      <c r="AI8" s="11" t="n">
        <f aca="false">Funding!$F$76/300*Time!AI25</f>
        <v>17.5291478639121</v>
      </c>
      <c r="AJ8" s="11" t="n">
        <f aca="false">Funding!$F$76/300*Time!AJ25</f>
        <v>17.5291478639121</v>
      </c>
      <c r="AK8" s="11" t="n">
        <f aca="false">Funding!$F$76/300*Time!AK25</f>
        <v>17.5291478639121</v>
      </c>
      <c r="AL8" s="11" t="n">
        <f aca="false">Funding!$F$76/300*Time!AL25</f>
        <v>17.5291478639121</v>
      </c>
      <c r="AM8" s="11" t="n">
        <f aca="false">Funding!$F$76/300*Time!AM25</f>
        <v>17.5291478639121</v>
      </c>
      <c r="AN8" s="11" t="n">
        <f aca="false">Funding!$F$76/300*Time!AN25</f>
        <v>17.5291478639121</v>
      </c>
      <c r="AO8" s="11" t="n">
        <f aca="false">Funding!$F$76/300*Time!AO25</f>
        <v>17.5291478639121</v>
      </c>
      <c r="AP8" s="11" t="n">
        <f aca="false">Funding!$F$76/300*Time!AP25</f>
        <v>17.5291478639121</v>
      </c>
      <c r="AQ8" s="11" t="n">
        <f aca="false">Funding!$F$76/300*Time!AQ25</f>
        <v>17.5291478639121</v>
      </c>
      <c r="AR8" s="11" t="n">
        <f aca="false">Funding!$F$76/300*Time!AR25</f>
        <v>17.5291478639121</v>
      </c>
      <c r="AS8" s="11" t="n">
        <f aca="false">Funding!$F$76/300*Time!AS25</f>
        <v>17.5291478639121</v>
      </c>
      <c r="AT8" s="11" t="n">
        <f aca="false">Funding!$F$76/300*Time!AT25</f>
        <v>17.5291478639121</v>
      </c>
      <c r="AU8" s="11" t="n">
        <f aca="false">Funding!$F$76/300*Time!AU25</f>
        <v>17.5291478639121</v>
      </c>
      <c r="AV8" s="11" t="n">
        <f aca="false">Funding!$F$76/300*Time!AV25</f>
        <v>17.5291478639121</v>
      </c>
      <c r="AW8" s="11" t="n">
        <f aca="false">Funding!$F$76/300*Time!AW25</f>
        <v>17.5291478639121</v>
      </c>
      <c r="AX8" s="11" t="n">
        <f aca="false">Funding!$F$76/300*Time!AX25</f>
        <v>17.5291478639121</v>
      </c>
      <c r="AY8" s="11" t="n">
        <f aca="false">Funding!$F$76/300*Time!AY25</f>
        <v>17.5291478639121</v>
      </c>
      <c r="AZ8" s="11" t="n">
        <f aca="false">Funding!$F$76/300*Time!AZ25</f>
        <v>17.5291478639121</v>
      </c>
      <c r="BA8" s="11" t="n">
        <f aca="false">Funding!$F$76/300*Time!BA25</f>
        <v>17.5291478639121</v>
      </c>
      <c r="BB8" s="11" t="n">
        <f aca="false">Funding!$F$76/300*Time!BB25</f>
        <v>17.5291478639121</v>
      </c>
      <c r="BC8" s="11" t="n">
        <f aca="false">Funding!$F$76/300*Time!BC25</f>
        <v>17.5291478639121</v>
      </c>
      <c r="BD8" s="11" t="n">
        <f aca="false">Funding!$F$76/300*Time!BD25</f>
        <v>17.5291478639121</v>
      </c>
      <c r="BE8" s="11" t="n">
        <f aca="false">Funding!$F$76/300*Time!BE25</f>
        <v>17.5291478639121</v>
      </c>
      <c r="BF8" s="11" t="n">
        <f aca="false">Funding!$F$76/300*Time!BF25</f>
        <v>17.5291478639121</v>
      </c>
      <c r="BG8" s="11" t="n">
        <f aca="false">Funding!$F$76/300*Time!BG25</f>
        <v>17.5291478639121</v>
      </c>
      <c r="BH8" s="11" t="n">
        <f aca="false">Funding!$F$76/300*Time!BH25</f>
        <v>17.5291478639121</v>
      </c>
      <c r="BI8" s="11" t="n">
        <f aca="false">Funding!$F$76/300*Time!BI25</f>
        <v>17.5291478639121</v>
      </c>
      <c r="BJ8" s="11" t="n">
        <f aca="false">Funding!$F$76/300*Time!BJ25</f>
        <v>17.5291478639121</v>
      </c>
      <c r="BK8" s="11" t="n">
        <f aca="false">Funding!$F$76/300*Time!BK25</f>
        <v>17.5291478639121</v>
      </c>
      <c r="BL8" s="11" t="n">
        <f aca="false">Funding!$F$76/300*Time!BL25</f>
        <v>17.5291478639121</v>
      </c>
      <c r="BM8" s="11" t="n">
        <f aca="false">Funding!$F$76/300*Time!BM25</f>
        <v>17.5291478639121</v>
      </c>
      <c r="BN8" s="11" t="n">
        <f aca="false">Funding!$F$76/300*Time!BN25</f>
        <v>11.6860985759414</v>
      </c>
    </row>
    <row r="9" customFormat="false" ht="15" hidden="false" customHeight="false" outlineLevel="0" collapsed="false">
      <c r="D9" s="0" t="s">
        <v>766</v>
      </c>
      <c r="E9" s="0" t="s">
        <v>149</v>
      </c>
      <c r="G9" s="11" t="n">
        <f aca="false">SUM(J9:BN9)</f>
        <v>600.282045262107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0</v>
      </c>
      <c r="P9" s="11" t="n">
        <f aca="false">Debt!P119+Debt!P117+Debt!P111-Debt!P110+Tax!P13</f>
        <v>3.45438227917857</v>
      </c>
      <c r="Q9" s="11" t="n">
        <f aca="false">Debt!Q119+Debt!Q117+Debt!Q111-Debt!Q110+Tax!Q13</f>
        <v>32.8128037102916</v>
      </c>
      <c r="R9" s="11" t="n">
        <f aca="false">Debt!R119+Debt!R117+Debt!R111-Debt!R110+Tax!R13</f>
        <v>32.5707857513585</v>
      </c>
      <c r="S9" s="11" t="n">
        <f aca="false">Debt!S119+Debt!S117+Debt!S111-Debt!S110+Tax!S13</f>
        <v>31.5281080718952</v>
      </c>
      <c r="T9" s="11" t="n">
        <f aca="false">Debt!T119+Debt!T117+Debt!T111-Debt!T110+Tax!T13</f>
        <v>31.3026971999403</v>
      </c>
      <c r="U9" s="11" t="n">
        <f aca="false">Debt!U119+Debt!U117+Debt!U111-Debt!U110+Tax!U13</f>
        <v>30.3484032405545</v>
      </c>
      <c r="V9" s="11" t="n">
        <f aca="false">Debt!V119+Debt!V117+Debt!V111-Debt!V110+Tax!V13</f>
        <v>29.9435432194977</v>
      </c>
      <c r="W9" s="11" t="n">
        <f aca="false">Debt!W119+Debt!W117+Debt!W111-Debt!W110+Tax!W13</f>
        <v>28.8220224386588</v>
      </c>
      <c r="X9" s="11" t="n">
        <f aca="false">Debt!X119+Debt!X117+Debt!X111-Debt!X110+Tax!X13</f>
        <v>28.3587355420575</v>
      </c>
      <c r="Y9" s="11" t="n">
        <f aca="false">Debt!Y119+Debt!Y117+Debt!Y111-Debt!Y110+Tax!Y13</f>
        <v>27.6701770218136</v>
      </c>
      <c r="Z9" s="11" t="n">
        <f aca="false">Debt!Z119+Debt!Z117+Debt!Z111-Debt!Z110+Tax!Z13</f>
        <v>27.2736383926821</v>
      </c>
      <c r="AA9" s="11" t="n">
        <f aca="false">Debt!AA119+Debt!AA117+Debt!AA111-Debt!AA110+Tax!AA13</f>
        <v>26.0977408271447</v>
      </c>
      <c r="AB9" s="11" t="n">
        <f aca="false">Debt!AB119+Debt!AB117+Debt!AB111-Debt!AB110+Tax!AB13</f>
        <v>25.6312838022889</v>
      </c>
      <c r="AC9" s="11" t="n">
        <f aca="false">Debt!AC119+Debt!AC117+Debt!AC111-Debt!AC110+Tax!AC13</f>
        <v>24.5035584760627</v>
      </c>
      <c r="AD9" s="11" t="n">
        <f aca="false">Debt!AD119+Debt!AD117+Debt!AD111-Debt!AD110+Tax!AD13</f>
        <v>23.8603917913114</v>
      </c>
      <c r="AE9" s="11" t="n">
        <f aca="false">Debt!AE119+Debt!AE117+Debt!AE111-Debt!AE110+Tax!AE13</f>
        <v>22.5924859345414</v>
      </c>
      <c r="AF9" s="11" t="n">
        <f aca="false">Debt!AF119+Debt!AF117+Debt!AF111-Debt!AF110+Tax!AF13</f>
        <v>21.83677574122</v>
      </c>
      <c r="AG9" s="11" t="n">
        <f aca="false">Debt!AG119+Debt!AG117+Debt!AG111-Debt!AG110+Tax!AG13</f>
        <v>20.6182550476866</v>
      </c>
      <c r="AH9" s="11" t="n">
        <f aca="false">Debt!AH119+Debt!AH117+Debt!AH111-Debt!AH110+Tax!AH13</f>
        <v>19.7071012209956</v>
      </c>
      <c r="AI9" s="11" t="n">
        <f aca="false">Debt!AI119+Debt!AI117+Debt!AI111-Debt!AI110+Tax!AI13</f>
        <v>18.152313867473</v>
      </c>
      <c r="AJ9" s="11" t="n">
        <f aca="false">Debt!AJ119+Debt!AJ117+Debt!AJ111-Debt!AJ110+Tax!AJ13</f>
        <v>17.0816025908045</v>
      </c>
      <c r="AK9" s="11" t="n">
        <f aca="false">Debt!AK119+Debt!AK117+Debt!AK111-Debt!AK110+Tax!AK13</f>
        <v>15.4991573560408</v>
      </c>
      <c r="AL9" s="11" t="n">
        <f aca="false">Debt!AL119+Debt!AL117+Debt!AL111-Debt!AL110+Tax!AL13</f>
        <v>14.1750671907455</v>
      </c>
      <c r="AM9" s="11" t="n">
        <f aca="false">Debt!AM119+Debt!AM117+Debt!AM111-Debt!AM110+Tax!AM13</f>
        <v>12.4187746385343</v>
      </c>
      <c r="AN9" s="11" t="n">
        <f aca="false">Debt!AN119+Debt!AN117+Debt!AN111-Debt!AN110+Tax!AN13</f>
        <v>10.920605457187</v>
      </c>
      <c r="AO9" s="11" t="n">
        <f aca="false">Debt!AO119+Debt!AO117+Debt!AO111-Debt!AO110+Tax!AO13</f>
        <v>9.12008903773931</v>
      </c>
      <c r="AP9" s="11" t="n">
        <f aca="false">Debt!AP119+Debt!AP117+Debt!AP111-Debt!AP110+Tax!AP13</f>
        <v>6.71678574226098</v>
      </c>
      <c r="AQ9" s="11" t="n">
        <f aca="false">Debt!AQ119+Debt!AQ117+Debt!AQ111-Debt!AQ110+Tax!AQ13</f>
        <v>4.50514789694132</v>
      </c>
      <c r="AR9" s="11" t="n">
        <f aca="false">Debt!AR119+Debt!AR117+Debt!AR111-Debt!AR110+Tax!AR13</f>
        <v>2.35384053952823</v>
      </c>
      <c r="AS9" s="11" t="n">
        <f aca="false">Debt!AS119+Debt!AS117+Debt!AS111-Debt!AS110+Tax!AS13</f>
        <v>0.405771235672666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767</v>
      </c>
      <c r="E10" s="0" t="s">
        <v>149</v>
      </c>
      <c r="J10" s="11" t="n">
        <f aca="false">Funding!$F$76-SUM(Tax!J$10:J$10)</f>
        <v>876.457393195604</v>
      </c>
      <c r="K10" s="11" t="n">
        <f aca="false">Funding!$F$76-SUM(Tax!$J$10:K$10)</f>
        <v>876.457393195604</v>
      </c>
      <c r="L10" s="11" t="n">
        <f aca="false">Funding!$F$76-SUM(Tax!$J$10:L$10)</f>
        <v>876.457393195604</v>
      </c>
      <c r="M10" s="11" t="n">
        <f aca="false">Funding!$F$76-SUM(Tax!$J$10:M$10)</f>
        <v>876.457393195604</v>
      </c>
      <c r="N10" s="11" t="n">
        <f aca="false">Funding!$F$76-SUM(Tax!$J$10:N$10)</f>
        <v>876.457393195604</v>
      </c>
      <c r="O10" s="11" t="n">
        <f aca="false">Funding!$F$76-SUM(Tax!$J$10:O$10)</f>
        <v>876.457393195604</v>
      </c>
      <c r="P10" s="11" t="n">
        <f aca="false">Funding!$F$76-SUM(Tax!$J$10:P$10)</f>
        <v>868.569276656843</v>
      </c>
      <c r="Q10" s="11" t="n">
        <f aca="false">Funding!$F$76-SUM(Tax!$J$10:Q$10)</f>
        <v>844.904927040562</v>
      </c>
      <c r="R10" s="11" t="n">
        <f aca="false">Funding!$F$76-SUM(Tax!$J$10:R$10)</f>
        <v>821.240577424281</v>
      </c>
      <c r="S10" s="11" t="n">
        <f aca="false">Funding!$F$76-SUM(Tax!$J$10:S$10)</f>
        <v>797.576227807999</v>
      </c>
      <c r="T10" s="11" t="n">
        <f aca="false">Funding!$F$76-SUM(Tax!$J$10:T$10)</f>
        <v>773.911878191718</v>
      </c>
      <c r="U10" s="11" t="n">
        <f aca="false">Funding!$F$76-SUM(Tax!$J$10:U$10)</f>
        <v>750.247528575437</v>
      </c>
      <c r="V10" s="11" t="n">
        <f aca="false">Funding!$F$76-SUM(Tax!$J$10:V$10)</f>
        <v>726.583178959156</v>
      </c>
      <c r="W10" s="11" t="n">
        <f aca="false">Funding!$F$76-SUM(Tax!$J$10:W$10)</f>
        <v>702.918829342874</v>
      </c>
      <c r="X10" s="11" t="n">
        <f aca="false">Funding!$F$76-SUM(Tax!$J$10:X$10)</f>
        <v>679.254479726593</v>
      </c>
      <c r="Y10" s="11" t="n">
        <f aca="false">Funding!$F$76-SUM(Tax!$J$10:Y$10)</f>
        <v>655.590130110312</v>
      </c>
      <c r="Z10" s="11" t="n">
        <f aca="false">Funding!$F$76-SUM(Tax!$J$10:Z$10)</f>
        <v>632.802237887226</v>
      </c>
      <c r="AA10" s="11" t="n">
        <f aca="false">Funding!$F$76-SUM(Tax!$J$10:AA$10)</f>
        <v>611.767260450532</v>
      </c>
      <c r="AB10" s="11" t="n">
        <f aca="false">Funding!$F$76-SUM(Tax!$J$10:AB$10)</f>
        <v>590.732283013837</v>
      </c>
      <c r="AC10" s="11" t="n">
        <f aca="false">Funding!$F$76-SUM(Tax!$J$10:AC$10)</f>
        <v>569.697305577143</v>
      </c>
      <c r="AD10" s="11" t="n">
        <f aca="false">Funding!$F$76-SUM(Tax!$J$10:AD$10)</f>
        <v>548.662328140448</v>
      </c>
      <c r="AE10" s="11" t="n">
        <f aca="false">Funding!$F$76-SUM(Tax!$J$10:AE$10)</f>
        <v>527.627350703754</v>
      </c>
      <c r="AF10" s="11" t="n">
        <f aca="false">Funding!$F$76-SUM(Tax!$J$10:AF$10)</f>
        <v>506.592373267059</v>
      </c>
      <c r="AG10" s="11" t="n">
        <f aca="false">Funding!$F$76-SUM(Tax!$J$10:AG$10)</f>
        <v>485.557395830364</v>
      </c>
      <c r="AH10" s="11" t="n">
        <f aca="false">Funding!$F$76-SUM(Tax!$J$10:AH$10)</f>
        <v>464.52241839367</v>
      </c>
      <c r="AI10" s="11" t="n">
        <f aca="false">Funding!$F$76-SUM(Tax!$J$10:AI$10)</f>
        <v>443.487440956976</v>
      </c>
      <c r="AJ10" s="11" t="n">
        <f aca="false">Funding!$F$76-SUM(Tax!$J$10:AJ$10)</f>
        <v>422.452463520281</v>
      </c>
      <c r="AK10" s="11" t="n">
        <f aca="false">Funding!$F$76-SUM(Tax!$J$10:AK$10)</f>
        <v>401.417486083587</v>
      </c>
      <c r="AL10" s="11" t="n">
        <f aca="false">Funding!$F$76-SUM(Tax!$J$10:AL$10)</f>
        <v>380.382508646892</v>
      </c>
      <c r="AM10" s="11" t="n">
        <f aca="false">Funding!$F$76-SUM(Tax!$J$10:AM$10)</f>
        <v>359.347531210198</v>
      </c>
      <c r="AN10" s="11" t="n">
        <f aca="false">Funding!$F$76-SUM(Tax!$J$10:AN$10)</f>
        <v>338.312553773503</v>
      </c>
      <c r="AO10" s="11" t="n">
        <f aca="false">Funding!$F$76-SUM(Tax!$J$10:AO$10)</f>
        <v>317.277576336808</v>
      </c>
      <c r="AP10" s="11" t="n">
        <f aca="false">Funding!$F$76-SUM(Tax!$J$10:AP$10)</f>
        <v>296.242598900114</v>
      </c>
      <c r="AQ10" s="11" t="n">
        <f aca="false">Funding!$F$76-SUM(Tax!$J$10:AQ$10)</f>
        <v>275.20762146342</v>
      </c>
      <c r="AR10" s="11" t="n">
        <f aca="false">Funding!$F$76-SUM(Tax!$J$10:AR$10)</f>
        <v>254.172644026725</v>
      </c>
      <c r="AS10" s="11" t="n">
        <f aca="false">Funding!$F$76-SUM(Tax!$J$10:AS$10)</f>
        <v>233.137666590031</v>
      </c>
      <c r="AT10" s="11" t="n">
        <f aca="false">Funding!$F$76-SUM(Tax!$J$10:AT$10)</f>
        <v>212.102689153336</v>
      </c>
      <c r="AU10" s="11" t="n">
        <f aca="false">Funding!$F$76-SUM(Tax!$J$10:AU$10)</f>
        <v>191.067711716642</v>
      </c>
      <c r="AV10" s="11" t="n">
        <f aca="false">Funding!$F$76-SUM(Tax!$J$10:AV$10)</f>
        <v>170.032734279947</v>
      </c>
      <c r="AW10" s="11" t="n">
        <f aca="false">Funding!$F$76-SUM(Tax!$J$10:AW$10)</f>
        <v>148.997756843253</v>
      </c>
      <c r="AX10" s="11" t="n">
        <f aca="false">Funding!$F$76-SUM(Tax!$J$10:AX$10)</f>
        <v>127.962779406558</v>
      </c>
      <c r="AY10" s="11" t="n">
        <f aca="false">Funding!$F$76-SUM(Tax!$J$10:AY$10)</f>
        <v>106.927801969864</v>
      </c>
      <c r="AZ10" s="11" t="n">
        <f aca="false">Funding!$F$76-SUM(Tax!$J$10:AZ$10)</f>
        <v>85.8928245331691</v>
      </c>
      <c r="BA10" s="11" t="n">
        <f aca="false">Funding!$F$76-SUM(Tax!$J$10:BA$10)</f>
        <v>64.8578470964746</v>
      </c>
      <c r="BB10" s="11" t="n">
        <f aca="false">Funding!$F$76-SUM(Tax!$J$10:BB$10)</f>
        <v>43.8228696597801</v>
      </c>
      <c r="BC10" s="11" t="n">
        <f aca="false">Funding!$F$76-SUM(Tax!$J$10:BC$10)</f>
        <v>22.7878922230856</v>
      </c>
      <c r="BD10" s="11" t="n">
        <f aca="false">Funding!$F$76-SUM(Tax!$J$10:BD$10)</f>
        <v>8.47242146755741</v>
      </c>
      <c r="BE10" s="11" t="n">
        <f aca="false">Funding!$F$76-SUM(Tax!$J$10:BE$10)</f>
        <v>7.59596407436186</v>
      </c>
      <c r="BF10" s="11" t="n">
        <f aca="false">Funding!$F$76-SUM(Tax!$J$10:BF$10)</f>
        <v>6.71950668116619</v>
      </c>
      <c r="BG10" s="11" t="n">
        <f aca="false">Funding!$F$76-SUM(Tax!$J$10:BG$10)</f>
        <v>5.84304928797064</v>
      </c>
      <c r="BH10" s="11" t="n">
        <f aca="false">Funding!$F$76-SUM(Tax!$J$10:BH$10)</f>
        <v>4.96659189477498</v>
      </c>
      <c r="BI10" s="11" t="n">
        <f aca="false">Funding!$F$76-SUM(Tax!$J$10:BI$10)</f>
        <v>4.09013450157943</v>
      </c>
      <c r="BJ10" s="11" t="n">
        <f aca="false">Funding!$F$76-SUM(Tax!$J$10:BJ$10)</f>
        <v>3.21367710838388</v>
      </c>
      <c r="BK10" s="11" t="n">
        <f aca="false">Funding!$F$76-SUM(Tax!$J$10:BK$10)</f>
        <v>2.33721971518821</v>
      </c>
      <c r="BL10" s="11" t="n">
        <f aca="false">Funding!$F$76-SUM(Tax!$J$10:BL$10)</f>
        <v>1.46076232199266</v>
      </c>
      <c r="BM10" s="11" t="n">
        <f aca="false">Funding!$F$76-SUM(Tax!$J$10:BM$10)</f>
        <v>0.584304928796996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768</v>
      </c>
      <c r="E11" s="0" t="s">
        <v>149</v>
      </c>
      <c r="J11" s="11" t="n">
        <f aca="false">Funding!$F$76-SUM(J$8:J$8)</f>
        <v>876.457393195604</v>
      </c>
      <c r="K11" s="11" t="n">
        <f aca="false">Funding!$F$76-SUM($J$8:K$8)</f>
        <v>876.457393195604</v>
      </c>
      <c r="L11" s="11" t="n">
        <f aca="false">Funding!$F$76-SUM($J$8:L$8)</f>
        <v>876.457393195604</v>
      </c>
      <c r="M11" s="11" t="n">
        <f aca="false">Funding!$F$76-SUM($J$8:M$8)</f>
        <v>876.457393195604</v>
      </c>
      <c r="N11" s="11" t="n">
        <f aca="false">Funding!$F$76-SUM($J$8:N$8)</f>
        <v>876.457393195604</v>
      </c>
      <c r="O11" s="11" t="n">
        <f aca="false">Funding!$F$76-SUM($J$8:O$8)</f>
        <v>876.457393195604</v>
      </c>
      <c r="P11" s="11" t="n">
        <f aca="false">Funding!$F$76-SUM($J$8:P$8)</f>
        <v>870.614343907633</v>
      </c>
      <c r="Q11" s="11" t="n">
        <f aca="false">Funding!$F$76-SUM($J$8:Q$8)</f>
        <v>853.085196043721</v>
      </c>
      <c r="R11" s="11" t="n">
        <f aca="false">Funding!$F$76-SUM($J$8:R$8)</f>
        <v>835.556048179809</v>
      </c>
      <c r="S11" s="11" t="n">
        <f aca="false">Funding!$F$76-SUM($J$8:S$8)</f>
        <v>818.026900315897</v>
      </c>
      <c r="T11" s="11" t="n">
        <f aca="false">Funding!$F$76-SUM($J$8:T$8)</f>
        <v>800.497752451985</v>
      </c>
      <c r="U11" s="11" t="n">
        <f aca="false">Funding!$F$76-SUM($J$8:U$8)</f>
        <v>782.968604588073</v>
      </c>
      <c r="V11" s="11" t="n">
        <f aca="false">Funding!$F$76-SUM($J$8:V$8)</f>
        <v>765.439456724161</v>
      </c>
      <c r="W11" s="11" t="n">
        <f aca="false">Funding!$F$76-SUM($J$8:W$8)</f>
        <v>747.910308860249</v>
      </c>
      <c r="X11" s="11" t="n">
        <f aca="false">Funding!$F$76-SUM($J$8:X$8)</f>
        <v>730.381160996337</v>
      </c>
      <c r="Y11" s="11" t="n">
        <f aca="false">Funding!$F$76-SUM($J$8:Y$8)</f>
        <v>712.852013132424</v>
      </c>
      <c r="Z11" s="11" t="n">
        <f aca="false">Funding!$F$76-SUM($J$8:Z$8)</f>
        <v>695.322865268512</v>
      </c>
      <c r="AA11" s="11" t="n">
        <f aca="false">Funding!$F$76-SUM($J$8:AA$8)</f>
        <v>677.7937174046</v>
      </c>
      <c r="AB11" s="11" t="n">
        <f aca="false">Funding!$F$76-SUM($J$8:AB$8)</f>
        <v>660.264569540688</v>
      </c>
      <c r="AC11" s="11" t="n">
        <f aca="false">Funding!$F$76-SUM($J$8:AC$8)</f>
        <v>642.735421676776</v>
      </c>
      <c r="AD11" s="11" t="n">
        <f aca="false">Funding!$F$76-SUM($J$8:AD$8)</f>
        <v>625.206273812864</v>
      </c>
      <c r="AE11" s="11" t="n">
        <f aca="false">Funding!$F$76-SUM($J$8:AE$8)</f>
        <v>607.677125948952</v>
      </c>
      <c r="AF11" s="11" t="n">
        <f aca="false">Funding!$F$76-SUM($J$8:AF$8)</f>
        <v>590.14797808504</v>
      </c>
      <c r="AG11" s="11" t="n">
        <f aca="false">Funding!$F$76-SUM($J$8:AG$8)</f>
        <v>572.618830221128</v>
      </c>
      <c r="AH11" s="11" t="n">
        <f aca="false">Funding!$F$76-SUM($J$8:AH$8)</f>
        <v>555.089682357216</v>
      </c>
      <c r="AI11" s="11" t="n">
        <f aca="false">Funding!$F$76-SUM($J$8:AI$8)</f>
        <v>537.560534493304</v>
      </c>
      <c r="AJ11" s="11" t="n">
        <f aca="false">Funding!$F$76-SUM($J$8:AJ$8)</f>
        <v>520.031386629392</v>
      </c>
      <c r="AK11" s="11" t="n">
        <f aca="false">Funding!$F$76-SUM($J$8:AK$8)</f>
        <v>502.50223876548</v>
      </c>
      <c r="AL11" s="11" t="n">
        <f aca="false">Funding!$F$76-SUM($J$8:AL$8)</f>
        <v>484.973090901567</v>
      </c>
      <c r="AM11" s="11" t="n">
        <f aca="false">Funding!$F$76-SUM($J$8:AM$8)</f>
        <v>467.443943037655</v>
      </c>
      <c r="AN11" s="11" t="n">
        <f aca="false">Funding!$F$76-SUM($J$8:AN$8)</f>
        <v>449.914795173743</v>
      </c>
      <c r="AO11" s="11" t="n">
        <f aca="false">Funding!$F$76-SUM($J$8:AO$8)</f>
        <v>432.385647309831</v>
      </c>
      <c r="AP11" s="11" t="n">
        <f aca="false">Funding!$F$76-SUM($J$8:AP$8)</f>
        <v>414.856499445919</v>
      </c>
      <c r="AQ11" s="11" t="n">
        <f aca="false">Funding!$F$76-SUM($J$8:AQ$8)</f>
        <v>397.327351582007</v>
      </c>
      <c r="AR11" s="11" t="n">
        <f aca="false">Funding!$F$76-SUM($J$8:AR$8)</f>
        <v>379.798203718095</v>
      </c>
      <c r="AS11" s="11" t="n">
        <f aca="false">Funding!$F$76-SUM($J$8:AS$8)</f>
        <v>362.269055854183</v>
      </c>
      <c r="AT11" s="11" t="n">
        <f aca="false">Funding!$F$76-SUM($J$8:AT$8)</f>
        <v>344.739907990271</v>
      </c>
      <c r="AU11" s="11" t="n">
        <f aca="false">Funding!$F$76-SUM($J$8:AU$8)</f>
        <v>327.210760126359</v>
      </c>
      <c r="AV11" s="11" t="n">
        <f aca="false">Funding!$F$76-SUM($J$8:AV$8)</f>
        <v>309.681612262447</v>
      </c>
      <c r="AW11" s="11" t="n">
        <f aca="false">Funding!$F$76-SUM($J$8:AW$8)</f>
        <v>292.152464398535</v>
      </c>
      <c r="AX11" s="11" t="n">
        <f aca="false">Funding!$F$76-SUM($J$8:AX$8)</f>
        <v>274.623316534623</v>
      </c>
      <c r="AY11" s="11" t="n">
        <f aca="false">Funding!$F$76-SUM($J$8:AY$8)</f>
        <v>257.094168670711</v>
      </c>
      <c r="AZ11" s="11" t="n">
        <f aca="false">Funding!$F$76-SUM($J$8:AZ$8)</f>
        <v>239.565020806798</v>
      </c>
      <c r="BA11" s="11" t="n">
        <f aca="false">Funding!$F$76-SUM($J$8:BA$8)</f>
        <v>222.035872942886</v>
      </c>
      <c r="BB11" s="11" t="n">
        <f aca="false">Funding!$F$76-SUM($J$8:BB$8)</f>
        <v>204.506725078974</v>
      </c>
      <c r="BC11" s="11" t="n">
        <f aca="false">Funding!$F$76-SUM($J$8:BC$8)</f>
        <v>186.977577215062</v>
      </c>
      <c r="BD11" s="11" t="n">
        <f aca="false">Funding!$F$76-SUM($J$8:BD$8)</f>
        <v>169.44842935115</v>
      </c>
      <c r="BE11" s="11" t="n">
        <f aca="false">Funding!$F$76-SUM($J$8:BE$8)</f>
        <v>151.919281487238</v>
      </c>
      <c r="BF11" s="11" t="n">
        <f aca="false">Funding!$F$76-SUM($J$8:BF$8)</f>
        <v>134.390133623326</v>
      </c>
      <c r="BG11" s="11" t="n">
        <f aca="false">Funding!$F$76-SUM($J$8:BG$8)</f>
        <v>116.860985759414</v>
      </c>
      <c r="BH11" s="11" t="n">
        <f aca="false">Funding!$F$76-SUM($J$8:BH$8)</f>
        <v>99.3318378955017</v>
      </c>
      <c r="BI11" s="11" t="n">
        <f aca="false">Funding!$F$76-SUM($J$8:BI$8)</f>
        <v>81.8026900315897</v>
      </c>
      <c r="BJ11" s="11" t="n">
        <f aca="false">Funding!$F$76-SUM($J$8:BJ$8)</f>
        <v>64.2735421676777</v>
      </c>
      <c r="BK11" s="11" t="n">
        <f aca="false">Funding!$F$76-SUM($J$8:BK$8)</f>
        <v>46.7443943037656</v>
      </c>
      <c r="BL11" s="11" t="n">
        <f aca="false">Funding!$F$76-SUM($J$8:BL$8)</f>
        <v>29.2152464398534</v>
      </c>
      <c r="BM11" s="11" t="n">
        <f aca="false">Funding!$F$76-SUM($J$8:BM$8)</f>
        <v>11.6860985759414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769</v>
      </c>
      <c r="E12" s="0" t="s">
        <v>149</v>
      </c>
      <c r="J12" s="11" t="n">
        <f aca="false">IF(Time!J17&gt;=Time!$F$11,Inputs!$F$184/100*(J11-J10-Tax!J21),0)</f>
        <v>0</v>
      </c>
      <c r="K12" s="11" t="n">
        <f aca="false">IF(Time!K17&gt;=Time!$F$11,Inputs!$F$184/100*(K11-K10-Tax!K21),0)</f>
        <v>0</v>
      </c>
      <c r="L12" s="11" t="n">
        <f aca="false">IF(Time!L17&gt;=Time!$F$11,Inputs!$F$184/100*(L11-L10-Tax!L21),0)</f>
        <v>0</v>
      </c>
      <c r="M12" s="11" t="n">
        <f aca="false">IF(Time!M17&gt;=Time!$F$11,Inputs!$F$184/100*(M11-M10-Tax!M21),0)</f>
        <v>0</v>
      </c>
      <c r="N12" s="11" t="n">
        <f aca="false">IF(Time!N17&gt;=Time!$F$11,Inputs!$F$184/100*(N11-N10-Tax!N21),0)</f>
        <v>0</v>
      </c>
      <c r="O12" s="11" t="n">
        <f aca="false">IF(Time!O17&gt;=Time!$F$11,Inputs!$F$184/100*(O11-O10-Tax!O21),0)</f>
        <v>0</v>
      </c>
      <c r="P12" s="11" t="n">
        <f aca="false">IF(Time!P17&gt;=Time!$F$11,Inputs!$F$184/100*(P11-P10-Tax!P21),0)</f>
        <v>-1.7529147863912</v>
      </c>
      <c r="Q12" s="11" t="n">
        <f aca="false">IF(Time!Q17&gt;=Time!$F$11,Inputs!$F$184/100*(Q11-Q10-Tax!Q21),0)</f>
        <v>-7.01165914556483</v>
      </c>
      <c r="R12" s="11" t="n">
        <f aca="false">IF(Time!R17&gt;=Time!$F$11,Inputs!$F$184/100*(R11-R10-Tax!R21),0)</f>
        <v>-12.2704035047385</v>
      </c>
      <c r="S12" s="11" t="n">
        <f aca="false">IF(Time!S17&gt;=Time!$F$11,Inputs!$F$184/100*(S11-S10-Tax!S21),0)</f>
        <v>-17.5291478639121</v>
      </c>
      <c r="T12" s="11" t="n">
        <f aca="false">IF(Time!T17&gt;=Time!$F$11,Inputs!$F$184/100*(T11-T10-Tax!T21),0)</f>
        <v>-22.7878922230857</v>
      </c>
      <c r="U12" s="11" t="n">
        <f aca="false">IF(Time!U17&gt;=Time!$F$11,Inputs!$F$184/100*(U11-U10-Tax!U21),0)</f>
        <v>-28.0466365822593</v>
      </c>
      <c r="V12" s="11" t="n">
        <f aca="false">IF(Time!V17&gt;=Time!$F$11,Inputs!$F$184/100*(V11-V10-Tax!V21),0)</f>
        <v>-33.3053809414329</v>
      </c>
      <c r="W12" s="11" t="n">
        <f aca="false">IF(Time!W17&gt;=Time!$F$11,Inputs!$F$184/100*(W11-W10-Tax!W21),0)</f>
        <v>-38.5641253006066</v>
      </c>
      <c r="X12" s="11" t="n">
        <f aca="false">IF(Time!X17&gt;=Time!$F$11,Inputs!$F$184/100*(X11-X10-Tax!X21),0)</f>
        <v>-43.8228696597802</v>
      </c>
      <c r="Y12" s="11" t="n">
        <f aca="false">IF(Time!Y17&gt;=Time!$F$11,Inputs!$F$184/100*(Y11-Y10-Tax!Y21),0)</f>
        <v>-49.0816140189538</v>
      </c>
      <c r="Z12" s="11" t="n">
        <f aca="false">IF(Time!Z17&gt;=Time!$F$11,Inputs!$F$184/100*(Z11-Z10-Tax!Z21),0)</f>
        <v>-51.8787693517002</v>
      </c>
      <c r="AA12" s="11" t="n">
        <f aca="false">IF(Time!AA17&gt;=Time!$F$11,Inputs!$F$184/100*(AA11-AA10-Tax!AA21),0)</f>
        <v>-49.3549672937991</v>
      </c>
      <c r="AB12" s="11" t="n">
        <f aca="false">IF(Time!AB17&gt;=Time!$F$11,Inputs!$F$184/100*(AB11-AB10-Tax!AB21),0)</f>
        <v>-46.6610690084393</v>
      </c>
      <c r="AC12" s="11" t="n">
        <f aca="false">IF(Time!AC17&gt;=Time!$F$11,Inputs!$F$184/100*(AC11-AC10-Tax!AC21),0)</f>
        <v>-43.6031975927509</v>
      </c>
      <c r="AD12" s="11" t="n">
        <f aca="false">IF(Time!AD17&gt;=Time!$F$11,Inputs!$F$184/100*(AD11-AD10-Tax!AD21),0)</f>
        <v>-40.2874391882829</v>
      </c>
      <c r="AE12" s="11" t="n">
        <f aca="false">IF(Time!AE17&gt;=Time!$F$11,Inputs!$F$184/100*(AE11-AE10-Tax!AE21),0)</f>
        <v>-39.2356903164482</v>
      </c>
      <c r="AF12" s="11" t="n">
        <f aca="false">IF(Time!AF17&gt;=Time!$F$11,Inputs!$F$184/100*(AF11-AF10-Tax!AF21),0)</f>
        <v>-36.3457415188111</v>
      </c>
      <c r="AG12" s="11" t="n">
        <f aca="false">IF(Time!AG17&gt;=Time!$F$11,Inputs!$F$184/100*(AG11-AG10-Tax!AG21),0)</f>
        <v>-31.9766774663227</v>
      </c>
      <c r="AH12" s="11" t="n">
        <f aca="false">IF(Time!AH17&gt;=Time!$F$11,Inputs!$F$184/100*(AH11-AH10-Tax!AH21),0)</f>
        <v>-27.2915513477232</v>
      </c>
      <c r="AI12" s="11" t="n">
        <f aca="false">IF(Time!AI17&gt;=Time!$F$11,Inputs!$F$184/100*(AI11-AI10-Tax!AI21),0)</f>
        <v>-22.0911785055006</v>
      </c>
      <c r="AJ12" s="11" t="n">
        <f aca="false">IF(Time!AJ17&gt;=Time!$F$11,Inputs!$F$184/100*(AJ11-AJ10-Tax!AJ21),0)</f>
        <v>-16.5368770846598</v>
      </c>
      <c r="AK12" s="11" t="n">
        <f aca="false">IF(Time!AK17&gt;=Time!$F$11,Inputs!$F$184/100*(AK11-AK10-Tax!AK21),0)</f>
        <v>-10.4805980534068</v>
      </c>
      <c r="AL12" s="11" t="n">
        <f aca="false">IF(Time!AL17&gt;=Time!$F$11,Inputs!$F$184/100*(AL11-AL10-Tax!AL21),0)</f>
        <v>-3.96780040164767</v>
      </c>
      <c r="AM12" s="11" t="n">
        <f aca="false">IF(Time!AM17&gt;=Time!$F$11,Inputs!$F$184/100*(AM11-AM10-Tax!AM21),0)</f>
        <v>2.25109988575463</v>
      </c>
      <c r="AN12" s="11" t="n">
        <f aca="false">IF(Time!AN17&gt;=Time!$F$11,Inputs!$F$184/100*(AN11-AN10-Tax!AN21),0)</f>
        <v>9.84059040566008</v>
      </c>
      <c r="AO12" s="11" t="n">
        <f aca="false">IF(Time!AO17&gt;=Time!$F$11,Inputs!$F$184/100*(AO11-AO10-Tax!AO21),0)</f>
        <v>17.9682006654995</v>
      </c>
      <c r="AP12" s="11" t="n">
        <f aca="false">IF(Time!AP17&gt;=Time!$F$11,Inputs!$F$184/100*(AP11-AP10-Tax!AP21),0)</f>
        <v>26.8634363693293</v>
      </c>
      <c r="AQ12" s="11" t="n">
        <f aca="false">IF(Time!AQ17&gt;=Time!$F$11,Inputs!$F$184/100*(AQ11-AQ10-Tax!AQ21),0)</f>
        <v>36.4751014472153</v>
      </c>
      <c r="AR12" s="11" t="n">
        <f aca="false">IF(Time!AR17&gt;=Time!$F$11,Inputs!$F$184/100*(AR11-AR10-Tax!AR21),0)</f>
        <v>37.687667907411</v>
      </c>
      <c r="AS12" s="11" t="n">
        <f aca="false">IF(Time!AS17&gt;=Time!$F$11,Inputs!$F$184/100*(AS11-AS10-Tax!AS21),0)</f>
        <v>38.7394167792457</v>
      </c>
      <c r="AT12" s="11" t="n">
        <f aca="false">IF(Time!AT17&gt;=Time!$F$11,Inputs!$F$184/100*(AT11-AT10-Tax!AT21),0)</f>
        <v>39.7911656510804</v>
      </c>
      <c r="AU12" s="11" t="n">
        <f aca="false">IF(Time!AU17&gt;=Time!$F$11,Inputs!$F$184/100*(AU11-AU10-Tax!AU21),0)</f>
        <v>40.8429145229151</v>
      </c>
      <c r="AV12" s="11" t="n">
        <f aca="false">IF(Time!AV17&gt;=Time!$F$11,Inputs!$F$184/100*(AV11-AV10-Tax!AV21),0)</f>
        <v>41.8946633947499</v>
      </c>
      <c r="AW12" s="11" t="n">
        <f aca="false">IF(Time!AW17&gt;=Time!$F$11,Inputs!$F$184/100*(AW11-AW10-Tax!AW21),0)</f>
        <v>42.9464122665846</v>
      </c>
      <c r="AX12" s="11" t="n">
        <f aca="false">IF(Time!AX17&gt;=Time!$F$11,Inputs!$F$184/100*(AX11-AX10-Tax!AX21),0)</f>
        <v>43.9981611384193</v>
      </c>
      <c r="AY12" s="11" t="n">
        <f aca="false">IF(Time!AY17&gt;=Time!$F$11,Inputs!$F$184/100*(AY11-AY10-Tax!AY21),0)</f>
        <v>45.0499100102541</v>
      </c>
      <c r="AZ12" s="11" t="n">
        <f aca="false">IF(Time!AZ17&gt;=Time!$F$11,Inputs!$F$184/100*(AZ11-AZ10-Tax!AZ21),0)</f>
        <v>46.1016588820888</v>
      </c>
      <c r="BA12" s="11" t="n">
        <f aca="false">IF(Time!BA17&gt;=Time!$F$11,Inputs!$F$184/100*(BA11-BA10-Tax!BA21),0)</f>
        <v>47.1534077539235</v>
      </c>
      <c r="BB12" s="11" t="n">
        <f aca="false">IF(Time!BB17&gt;=Time!$F$11,Inputs!$F$184/100*(BB11-BB10-Tax!BB21),0)</f>
        <v>48.2051566257583</v>
      </c>
      <c r="BC12" s="11" t="n">
        <f aca="false">IF(Time!BC17&gt;=Time!$F$11,Inputs!$F$184/100*(BC11-BC10-Tax!BC21),0)</f>
        <v>49.256905497593</v>
      </c>
      <c r="BD12" s="11" t="n">
        <f aca="false">IF(Time!BD17&gt;=Time!$F$11,Inputs!$F$184/100*(BD11-BD10-Tax!BD21),0)</f>
        <v>48.2928023650778</v>
      </c>
      <c r="BE12" s="11" t="n">
        <f aca="false">IF(Time!BE17&gt;=Time!$F$11,Inputs!$F$184/100*(BE11-BE10-Tax!BE21),0)</f>
        <v>43.2969952238628</v>
      </c>
      <c r="BF12" s="11" t="n">
        <f aca="false">IF(Time!BF17&gt;=Time!$F$11,Inputs!$F$184/100*(BF11-BF10-Tax!BF21),0)</f>
        <v>38.3011880826479</v>
      </c>
      <c r="BG12" s="11" t="n">
        <f aca="false">IF(Time!BG17&gt;=Time!$F$11,Inputs!$F$184/100*(BG11-BG10-Tax!BG21),0)</f>
        <v>33.305380941433</v>
      </c>
      <c r="BH12" s="11" t="n">
        <f aca="false">IF(Time!BH17&gt;=Time!$F$11,Inputs!$F$184/100*(BH11-BH10-Tax!BH21),0)</f>
        <v>28.309573800218</v>
      </c>
      <c r="BI12" s="11" t="n">
        <f aca="false">IF(Time!BI17&gt;=Time!$F$11,Inputs!$F$184/100*(BI11-BI10-Tax!BI21),0)</f>
        <v>23.3137666590031</v>
      </c>
      <c r="BJ12" s="11" t="n">
        <f aca="false">IF(Time!BJ17&gt;=Time!$F$11,Inputs!$F$184/100*(BJ11-BJ10-Tax!BJ21),0)</f>
        <v>18.3179595177881</v>
      </c>
      <c r="BK12" s="11" t="n">
        <f aca="false">IF(Time!BK17&gt;=Time!$F$11,Inputs!$F$184/100*(BK11-BK10-Tax!BK21),0)</f>
        <v>13.3221523765732</v>
      </c>
      <c r="BL12" s="11" t="n">
        <f aca="false">IF(Time!BL17&gt;=Time!$F$11,Inputs!$F$184/100*(BL11-BL10-Tax!BL21),0)</f>
        <v>8.32634523535823</v>
      </c>
      <c r="BM12" s="11" t="n">
        <f aca="false">IF(Time!BM17&gt;=Time!$F$11,Inputs!$F$184/100*(BM11-BM10-Tax!BM21),0)</f>
        <v>3.33053809414332</v>
      </c>
      <c r="BN12" s="11" t="n">
        <f aca="false">IF(Time!BN17&gt;=Time!$F$11,Inputs!$F$184/100*(BN11-BN10-Tax!BN21),0)</f>
        <v>0</v>
      </c>
    </row>
    <row r="13" customFormat="false" ht="15" hidden="false" customHeight="false" outlineLevel="0" collapsed="false">
      <c r="D13" s="0" t="s">
        <v>770</v>
      </c>
      <c r="E13" s="0" t="s">
        <v>149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0</v>
      </c>
      <c r="P13" s="11" t="n">
        <f aca="false">P12-O12</f>
        <v>-1.7529147863912</v>
      </c>
      <c r="Q13" s="11" t="n">
        <f aca="false">Q12-P12</f>
        <v>-5.25874435917363</v>
      </c>
      <c r="R13" s="11" t="n">
        <f aca="false">R12-Q12</f>
        <v>-5.25874435917363</v>
      </c>
      <c r="S13" s="11" t="n">
        <f aca="false">S12-R12</f>
        <v>-5.2587443591736</v>
      </c>
      <c r="T13" s="11" t="n">
        <f aca="false">T12-S12</f>
        <v>-5.25874435917367</v>
      </c>
      <c r="U13" s="11" t="n">
        <f aca="false">U12-T12</f>
        <v>-5.25874435917359</v>
      </c>
      <c r="V13" s="11" t="n">
        <f aca="false">V12-U12</f>
        <v>-5.2587443591736</v>
      </c>
      <c r="W13" s="11" t="n">
        <f aca="false">W12-V12</f>
        <v>-5.25874435917366</v>
      </c>
      <c r="X13" s="11" t="n">
        <f aca="false">X12-W12</f>
        <v>-5.25874435917363</v>
      </c>
      <c r="Y13" s="11" t="n">
        <f aca="false">Y12-X12</f>
        <v>-5.2587443591736</v>
      </c>
      <c r="Z13" s="11" t="n">
        <f aca="false">Z12-Y12</f>
        <v>-2.79715533274636</v>
      </c>
      <c r="AA13" s="11" t="n">
        <f aca="false">AA12-Z12</f>
        <v>2.52380205790105</v>
      </c>
      <c r="AB13" s="11" t="n">
        <f aca="false">AB12-AA12</f>
        <v>2.69389828535979</v>
      </c>
      <c r="AC13" s="11" t="n">
        <f aca="false">AC12-AB12</f>
        <v>3.05787141568842</v>
      </c>
      <c r="AD13" s="11" t="n">
        <f aca="false">AD12-AC12</f>
        <v>3.31575840446799</v>
      </c>
      <c r="AE13" s="11" t="n">
        <f aca="false">AE12-AD12</f>
        <v>1.0517488718347</v>
      </c>
      <c r="AF13" s="11" t="n">
        <f aca="false">AF12-AE12</f>
        <v>2.88994879763715</v>
      </c>
      <c r="AG13" s="11" t="n">
        <f aca="false">AG12-AF12</f>
        <v>4.36906405248831</v>
      </c>
      <c r="AH13" s="11" t="n">
        <f aca="false">AH12-AG12</f>
        <v>4.68512611859952</v>
      </c>
      <c r="AI13" s="11" t="n">
        <f aca="false">AI12-AH12</f>
        <v>5.20037284222267</v>
      </c>
      <c r="AJ13" s="11" t="n">
        <f aca="false">AJ12-AI12</f>
        <v>5.55430142084076</v>
      </c>
      <c r="AK13" s="11" t="n">
        <f aca="false">AK12-AJ12</f>
        <v>6.05627903125303</v>
      </c>
      <c r="AL13" s="11" t="n">
        <f aca="false">AL12-AK12</f>
        <v>6.51279765175909</v>
      </c>
      <c r="AM13" s="11" t="n">
        <f aca="false">AM12-AL12</f>
        <v>6.2189002874023</v>
      </c>
      <c r="AN13" s="11" t="n">
        <f aca="false">AN12-AM12</f>
        <v>7.58949051990545</v>
      </c>
      <c r="AO13" s="11" t="n">
        <f aca="false">AO12-AN12</f>
        <v>8.12761025983941</v>
      </c>
      <c r="AP13" s="11" t="n">
        <f aca="false">AP12-AO12</f>
        <v>8.89523570382981</v>
      </c>
      <c r="AQ13" s="11" t="n">
        <f aca="false">AQ12-AP12</f>
        <v>9.61166507788604</v>
      </c>
      <c r="AR13" s="11" t="n">
        <f aca="false">AR12-AQ12</f>
        <v>1.21256646019565</v>
      </c>
      <c r="AS13" s="11" t="n">
        <f aca="false">AS12-AR12</f>
        <v>1.05174887183471</v>
      </c>
      <c r="AT13" s="11" t="n">
        <f aca="false">AT12-AS12</f>
        <v>1.05174887183473</v>
      </c>
      <c r="AU13" s="11" t="n">
        <f aca="false">AU12-AT12</f>
        <v>1.05174887183473</v>
      </c>
      <c r="AV13" s="11" t="n">
        <f aca="false">AV12-AU12</f>
        <v>1.05174887183476</v>
      </c>
      <c r="AW13" s="11" t="n">
        <f aca="false">AW12-AV12</f>
        <v>1.05174887183473</v>
      </c>
      <c r="AX13" s="11" t="n">
        <f aca="false">AX12-AW12</f>
        <v>1.0517488718347</v>
      </c>
      <c r="AY13" s="11" t="n">
        <f aca="false">AY12-AX12</f>
        <v>1.05174887183473</v>
      </c>
      <c r="AZ13" s="11" t="n">
        <f aca="false">AZ12-AY12</f>
        <v>1.05174887183473</v>
      </c>
      <c r="BA13" s="11" t="n">
        <f aca="false">BA12-AZ12</f>
        <v>1.0517488718347</v>
      </c>
      <c r="BB13" s="11" t="n">
        <f aca="false">BB12-BA12</f>
        <v>1.05174887183476</v>
      </c>
      <c r="BC13" s="11" t="n">
        <f aca="false">BC12-BB12</f>
        <v>1.05174887183473</v>
      </c>
      <c r="BD13" s="11" t="n">
        <f aca="false">BD12-BC12</f>
        <v>-0.964103132515163</v>
      </c>
      <c r="BE13" s="11" t="n">
        <f aca="false">BE12-BD12</f>
        <v>-4.99580714121498</v>
      </c>
      <c r="BF13" s="11" t="n">
        <f aca="false">BF12-BE12</f>
        <v>-4.99580714121492</v>
      </c>
      <c r="BG13" s="11" t="n">
        <f aca="false">BG12-BF12</f>
        <v>-4.99580714121495</v>
      </c>
      <c r="BH13" s="11" t="n">
        <f aca="false">BH12-BG12</f>
        <v>-4.99580714121495</v>
      </c>
      <c r="BI13" s="11" t="n">
        <f aca="false">BI12-BH12</f>
        <v>-4.99580714121495</v>
      </c>
      <c r="BJ13" s="11" t="n">
        <f aca="false">BJ12-BI12</f>
        <v>-4.99580714121495</v>
      </c>
      <c r="BK13" s="11" t="n">
        <f aca="false">BK12-BJ12</f>
        <v>-4.99580714121491</v>
      </c>
      <c r="BL13" s="11" t="n">
        <f aca="false">BL12-BK12</f>
        <v>-4.99580714121498</v>
      </c>
      <c r="BM13" s="11" t="n">
        <f aca="false">BM12-BL12</f>
        <v>-4.99580714121491</v>
      </c>
      <c r="BN13" s="11" t="n">
        <f aca="false">BN12-BM12</f>
        <v>-3.33053809414332</v>
      </c>
    </row>
    <row r="14" customFormat="false" ht="15" hidden="false" customHeight="false" outlineLevel="0" collapsed="false">
      <c r="D14" s="0" t="s">
        <v>771</v>
      </c>
      <c r="E14" s="0" t="s">
        <v>149</v>
      </c>
      <c r="G14" s="11" t="n">
        <f aca="false">SUM(J14:BN14)</f>
        <v>861.954225581707</v>
      </c>
      <c r="J14" s="11" t="n">
        <f aca="false">Operations!J80-J8-J9-Tax!J27-J13</f>
        <v>0</v>
      </c>
      <c r="K14" s="11" t="n">
        <f aca="false">Operations!K80-K8-K9-Tax!K27-K13</f>
        <v>0</v>
      </c>
      <c r="L14" s="11" t="n">
        <f aca="false">Operations!L80-L8-L9-Tax!L27-L13</f>
        <v>0</v>
      </c>
      <c r="M14" s="11" t="n">
        <f aca="false">Operations!M80-M8-M9-Tax!M27-M13</f>
        <v>0</v>
      </c>
      <c r="N14" s="11" t="n">
        <f aca="false">Operations!N80-N8-N9-Tax!N27-N13</f>
        <v>0</v>
      </c>
      <c r="O14" s="11" t="n">
        <f aca="false">Operations!O80-O8-O9-Tax!O27-O13</f>
        <v>0</v>
      </c>
      <c r="P14" s="11" t="n">
        <f aca="false">Operations!P80-P8-P9-Tax!P27-P13</f>
        <v>9.37854471002205</v>
      </c>
      <c r="Q14" s="11" t="n">
        <f aca="false">Operations!Q80-Q8-Q9-Tax!Q27-Q13</f>
        <v>5.72292421487357</v>
      </c>
      <c r="R14" s="11" t="n">
        <f aca="false">Operations!R80-R8-R9-Tax!R27-R13</f>
        <v>6.14555144611256</v>
      </c>
      <c r="S14" s="11" t="n">
        <f aca="false">Operations!S80-S8-S9-Tax!S27-S13</f>
        <v>7.33901227143404</v>
      </c>
      <c r="T14" s="11" t="n">
        <f aca="false">Operations!T80-T8-T9-Tax!T27-T13</f>
        <v>7.65709964106926</v>
      </c>
      <c r="U14" s="11" t="n">
        <f aca="false">Operations!U80-U8-U9-Tax!U27-U13</f>
        <v>8.69191284781577</v>
      </c>
      <c r="V14" s="11" t="n">
        <f aca="false">Operations!V80-V8-V9-Tax!V27-V13</f>
        <v>9.26101245577924</v>
      </c>
      <c r="W14" s="11" t="n">
        <f aca="false">Operations!W80-W8-W9-Tax!W27-W13</f>
        <v>8.08212594097883</v>
      </c>
      <c r="X14" s="11" t="n">
        <f aca="false">Operations!X80-X8-X9-Tax!X27-X13</f>
        <v>11.1280124097147</v>
      </c>
      <c r="Y14" s="11" t="n">
        <f aca="false">Operations!Y80-Y8-Y9-Tax!Y27-Y13</f>
        <v>11.8185340313766</v>
      </c>
      <c r="Z14" s="11" t="n">
        <f aca="false">Operations!Z80-Z8-Z9-Tax!Z27-Z13</f>
        <v>9.7652999614351</v>
      </c>
      <c r="AA14" s="11" t="n">
        <f aca="false">Operations!AA80-AA8-AA9-Tax!AA27-AA13</f>
        <v>5.5317093132417</v>
      </c>
      <c r="AB14" s="11" t="n">
        <f aca="false">Operations!AB80-AB8-AB9-Tax!AB27-AB13</f>
        <v>5.92680606565159</v>
      </c>
      <c r="AC14" s="11" t="n">
        <f aca="false">Operations!AC80-AC8-AC9-Tax!AC27-AC13</f>
        <v>6.77412243017827</v>
      </c>
      <c r="AD14" s="11" t="n">
        <f aca="false">Operations!AD80-AD8-AD9-Tax!AD27-AD13</f>
        <v>7.37495928805349</v>
      </c>
      <c r="AE14" s="11" t="n">
        <f aca="false">Operations!AE80-AE8-AE9-Tax!AE27-AE13</f>
        <v>-1.6916672555239</v>
      </c>
      <c r="AF14" s="11" t="n">
        <f aca="false">Operations!AF80-AF8-AF9-Tax!AF27-AF13</f>
        <v>10.1672474428946</v>
      </c>
      <c r="AG14" s="11" t="n">
        <f aca="false">Operations!AG80-AG8-AG9-Tax!AG27-AG13</f>
        <v>9.82667565231067</v>
      </c>
      <c r="AH14" s="11" t="n">
        <f aca="false">Operations!AH80-AH8-AH9-Tax!AH27-AH13</f>
        <v>10.5625297486043</v>
      </c>
      <c r="AI14" s="11" t="n">
        <f aca="false">Operations!AI80-AI8-AI9-Tax!AI27-AI13</f>
        <v>11.7632800081354</v>
      </c>
      <c r="AJ14" s="11" t="n">
        <f aca="false">Operations!AJ80-AJ8-AJ9-Tax!AJ27-AJ13</f>
        <v>12.5871596754583</v>
      </c>
      <c r="AK14" s="11" t="n">
        <f aca="false">Operations!AK80-AK8-AK9-Tax!AK27-AK13</f>
        <v>13.7563136935384</v>
      </c>
      <c r="AL14" s="11" t="n">
        <f aca="false">Operations!AL80-AL8-AL9-Tax!AL27-AL13</f>
        <v>14.8202184195353</v>
      </c>
      <c r="AM14" s="11" t="n">
        <f aca="false">Operations!AM80-AM8-AM9-Tax!AM27-AM13</f>
        <v>14.133691580838</v>
      </c>
      <c r="AN14" s="11" t="n">
        <f aca="false">Operations!AN80-AN8-AN9-Tax!AN27-AN13</f>
        <v>17.3293111740805</v>
      </c>
      <c r="AO14" s="11" t="n">
        <f aca="false">Operations!AO80-AO8-AO9-Tax!AO27-AO13</f>
        <v>18.5819092375401</v>
      </c>
      <c r="AP14" s="11" t="n">
        <f aca="false">Operations!AP80-AP8-AP9-Tax!AP27-AP13</f>
        <v>20.3712658290687</v>
      </c>
      <c r="AQ14" s="11" t="n">
        <f aca="false">Operations!AQ80-AQ8-AQ9-Tax!AQ27-AQ13</f>
        <v>22.0413079202786</v>
      </c>
      <c r="AR14" s="11" t="n">
        <f aca="false">Operations!AR80-AR8-AR9-Tax!AR27-AR13</f>
        <v>24.0159393226115</v>
      </c>
      <c r="AS14" s="11" t="n">
        <f aca="false">Operations!AS80-AS8-AS9-Tax!AS27-AS13</f>
        <v>25.4470822442022</v>
      </c>
      <c r="AT14" s="11" t="n">
        <f aca="false">Operations!AT80-AT8-AT9-Tax!AT27-AT13</f>
        <v>25.9142677475012</v>
      </c>
      <c r="AU14" s="11" t="n">
        <f aca="false">Operations!AU80-AU8-AU9-Tax!AU27-AU13</f>
        <v>15.4959088583629</v>
      </c>
      <c r="AV14" s="11" t="n">
        <f aca="false">Operations!AV80-AV8-AV9-Tax!AV27-AV13</f>
        <v>26.2023278315741</v>
      </c>
      <c r="AW14" s="11" t="n">
        <f aca="false">Operations!AW80-AW8-AW9-Tax!AW27-AW13</f>
        <v>26.1292453760182</v>
      </c>
      <c r="AX14" s="11" t="n">
        <f aca="false">Operations!AX80-AX8-AX9-Tax!AX27-AX13</f>
        <v>26.2480339139369</v>
      </c>
      <c r="AY14" s="11" t="n">
        <f aca="false">Operations!AY80-AY8-AY9-Tax!AY27-AY13</f>
        <v>26.3820167426148</v>
      </c>
      <c r="AZ14" s="11" t="n">
        <f aca="false">Operations!AZ80-AZ8-AZ9-Tax!AZ27-AZ13</f>
        <v>26.4718415603405</v>
      </c>
      <c r="BA14" s="11" t="n">
        <f aca="false">Operations!BA80-BA8-BA9-Tax!BA27-BA13</f>
        <v>26.5434913471349</v>
      </c>
      <c r="BB14" s="11" t="n">
        <f aca="false">Operations!BB80-BB8-BB9-Tax!BB27-BB13</f>
        <v>26.7098651929602</v>
      </c>
      <c r="BC14" s="11" t="n">
        <f aca="false">Operations!BC80-BC8-BC9-Tax!BC27-BC13</f>
        <v>24.4320653994789</v>
      </c>
      <c r="BD14" s="11" t="n">
        <f aca="false">Operations!BD80-BD8-BD9-Tax!BD27-BD13</f>
        <v>26.9874783056996</v>
      </c>
      <c r="BE14" s="11" t="n">
        <f aca="false">Operations!BE80-BE8-BE9-Tax!BE27-BE13</f>
        <v>26.9745216889662</v>
      </c>
      <c r="BF14" s="11" t="n">
        <f aca="false">Operations!BF80-BF8-BF9-Tax!BF27-BF13</f>
        <v>27.104191688107</v>
      </c>
      <c r="BG14" s="11" t="n">
        <f aca="false">Operations!BG80-BG8-BG9-Tax!BG27-BG13</f>
        <v>27.2495379923839</v>
      </c>
      <c r="BH14" s="11" t="n">
        <f aca="false">Operations!BH80-BH8-BH9-Tax!BH27-BH13</f>
        <v>27.3469775040754</v>
      </c>
      <c r="BI14" s="11" t="n">
        <f aca="false">Operations!BI80-BI8-BI9-Tax!BI27-BI13</f>
        <v>27.4230255620447</v>
      </c>
      <c r="BJ14" s="11" t="n">
        <f aca="false">Operations!BJ80-BJ8-BJ9-Tax!BJ27-BJ13</f>
        <v>27.6442028474478</v>
      </c>
      <c r="BK14" s="11" t="n">
        <f aca="false">Operations!BK80-BK8-BK9-Tax!BK27-BK13</f>
        <v>15.3266918182782</v>
      </c>
      <c r="BL14" s="11" t="n">
        <f aca="false">Operations!BL80-BL8-BL9-Tax!BL27-BL13</f>
        <v>27.9873131531682</v>
      </c>
      <c r="BM14" s="11" t="n">
        <f aca="false">Operations!BM80-BM8-BM9-Tax!BM27-BM13</f>
        <v>27.8897207761814</v>
      </c>
      <c r="BN14" s="11" t="n">
        <f aca="false">Operations!BN80-BN8-BN9-Tax!BN27-BN13</f>
        <v>5.18160855412231</v>
      </c>
    </row>
    <row r="15" customFormat="false" ht="15" hidden="false" customHeight="false" outlineLevel="0" collapsed="false">
      <c r="B15" s="2" t="s">
        <v>772</v>
      </c>
    </row>
    <row r="16" customFormat="false" ht="15" hidden="false" customHeight="false" outlineLevel="0" collapsed="false">
      <c r="D16" s="0" t="s">
        <v>773</v>
      </c>
      <c r="E16" s="0" t="s">
        <v>149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139.562323412541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239.877783879763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434.070017871423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636.157632410052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753.799661593778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797.62059205288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870.614343907633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853.085196043721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835.556048179809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818.026900315897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800.497752451985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782.968604588073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765.439456724161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747.910308860249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730.381160996337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712.852013132424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695.322865268512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677.7937174046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660.264569540688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642.735421676776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625.206273812864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607.677125948952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590.14797808504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572.618830221128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555.089682357216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537.560534493304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520.031386629392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502.50223876548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484.973090901567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467.443943037655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449.914795173743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432.385647309831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414.856499445919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397.327351582007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379.798203718095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362.269055854183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344.739907990271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327.210760126359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309.681612262447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292.152464398535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274.623316534623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257.094168670711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239.565020806798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222.035872942886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204.506725078974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186.977577215062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169.44842935115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151.919281487238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134.390133623326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116.860985759414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99.3318378955017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81.8026900315897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64.2735421676777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46.7443943037656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29.2152464398534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11.6860985759414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774</v>
      </c>
      <c r="E17" s="0" t="s">
        <v>149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0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41.4573716349485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40.5163339551028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40.6194833909899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41.4920277445295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41.7145736670052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42.902778374762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43.0336569093736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39.3469132499841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38.959871050273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41.2796979632929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42.950646075998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45.4076992325222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46.7217641971906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49.5499263974262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50.9812462390744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38.3975174153793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37.1768380015028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36.9701810134449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35.8997265557364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35.1244410853125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33.4503023702419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31.7766551471781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28.1041268399615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20.3736881724253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20.1307130705795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2.37357535949866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4.74715071899731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7.12072607849597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9.49430143799463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11.8678767974933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14.2414521569919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0.596091765745239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1.19218353149048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1.78827529723572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2.38436706298096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2.9804588287262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4.07693401268624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2.01795649155704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3.55213205180363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7.9280379976092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12.320911685031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16.7309387438176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21.158306834536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25.6032056707892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30.0658270416767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14.7717409805522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16.4454449389227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18.1374594805124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775</v>
      </c>
      <c r="E18" s="0" t="s">
        <v>149</v>
      </c>
      <c r="J18" s="11" t="n">
        <f aca="false">Operations!J84+Operations!J85</f>
        <v>0</v>
      </c>
      <c r="K18" s="11" t="n">
        <f aca="false">Operations!K84+Operations!K85</f>
        <v>0</v>
      </c>
      <c r="L18" s="11" t="n">
        <f aca="false">Operations!L84+Operations!L85</f>
        <v>0</v>
      </c>
      <c r="M18" s="11" t="n">
        <f aca="false">Operations!M84+Operations!M85</f>
        <v>0</v>
      </c>
      <c r="N18" s="11" t="n">
        <f aca="false">Operations!N84+Operations!N85</f>
        <v>0</v>
      </c>
      <c r="O18" s="11" t="n">
        <f aca="false">Operations!O84+Operations!O85</f>
        <v>0</v>
      </c>
      <c r="P18" s="11" t="n">
        <f aca="false">Operations!P84+Operations!P85</f>
        <v>39.1809623256869</v>
      </c>
      <c r="Q18" s="11" t="n">
        <f aca="false">Operations!Q84+Operations!Q85</f>
        <v>40.0893437265458</v>
      </c>
      <c r="R18" s="11" t="n">
        <f aca="false">Operations!R84+Operations!R85</f>
        <v>39.4806540575721</v>
      </c>
      <c r="S18" s="11" t="n">
        <f aca="false">Operations!S84+Operations!S85</f>
        <v>40.4560693339611</v>
      </c>
      <c r="T18" s="11" t="n">
        <f aca="false">Operations!T84+Operations!T85</f>
        <v>39.9842158401186</v>
      </c>
      <c r="U18" s="11" t="n">
        <f aca="false">Operations!U84+Operations!U85</f>
        <v>41.0568815678258</v>
      </c>
      <c r="V18" s="11" t="n">
        <f aca="false">Operations!V84+Operations!V85</f>
        <v>40.455960140644</v>
      </c>
      <c r="W18" s="11" t="n">
        <f aca="false">Operations!W84+Operations!W85</f>
        <v>41.0732780709418</v>
      </c>
      <c r="X18" s="11" t="n">
        <f aca="false">Operations!X84+Operations!X85</f>
        <v>40.7869746077725</v>
      </c>
      <c r="Y18" s="11" t="n">
        <f aca="false">Operations!Y84+Operations!Y85</f>
        <v>42.4919435497691</v>
      </c>
      <c r="Z18" s="11" t="n">
        <f aca="false">Operations!Z84+Operations!Z85</f>
        <v>41.8473303472152</v>
      </c>
      <c r="AA18" s="11" t="n">
        <f aca="false">Operations!AA84+Operations!AA85</f>
        <v>42.8881777291116</v>
      </c>
      <c r="AB18" s="11" t="n">
        <f aca="false">Operations!AB84+Operations!AB85</f>
        <v>42.3913466997486</v>
      </c>
      <c r="AC18" s="11" t="n">
        <f aca="false">Operations!AC84+Operations!AC85</f>
        <v>43.5413549658211</v>
      </c>
      <c r="AD18" s="11" t="n">
        <f aca="false">Operations!AD84+Operations!AD85</f>
        <v>42.7357872806621</v>
      </c>
      <c r="AE18" s="11" t="n">
        <f aca="false">Operations!AE84+Operations!AE85</f>
        <v>42.8120519839187</v>
      </c>
      <c r="AF18" s="11" t="n">
        <f aca="false">Operations!AF84+Operations!AF85</f>
        <v>42.9218303605379</v>
      </c>
      <c r="AG18" s="11" t="n">
        <f aca="false">Operations!AG84+Operations!AG85</f>
        <v>45.0874766827812</v>
      </c>
      <c r="AH18" s="11" t="n">
        <f aca="false">Operations!AH84+Operations!AH85</f>
        <v>44.4040512974958</v>
      </c>
      <c r="AI18" s="11" t="n">
        <f aca="false">Operations!AI84+Operations!AI85</f>
        <v>45.5156087746249</v>
      </c>
      <c r="AJ18" s="11" t="n">
        <f aca="false">Operations!AJ84+Operations!AJ85</f>
        <v>44.9917806937183</v>
      </c>
      <c r="AK18" s="11" t="n">
        <f aca="false">Operations!AK84+Operations!AK85</f>
        <v>46.2253268415193</v>
      </c>
      <c r="AL18" s="11" t="n">
        <f aca="false">Operations!AL84+Operations!AL85</f>
        <v>45.5424130591919</v>
      </c>
      <c r="AM18" s="11" t="n">
        <f aca="false">Operations!AM84+Operations!AM85</f>
        <v>46.2363564111533</v>
      </c>
      <c r="AN18" s="11" t="n">
        <f aca="false">Operations!AN84+Operations!AN85</f>
        <v>45.9289230315007</v>
      </c>
      <c r="AO18" s="11" t="n">
        <f aca="false">Operations!AO84+Operations!AO85</f>
        <v>47.8914552156177</v>
      </c>
      <c r="AP18" s="11" t="n">
        <f aca="false">Operations!AP84+Operations!AP85</f>
        <v>47.1660981684924</v>
      </c>
      <c r="AQ18" s="11" t="n">
        <f aca="false">Operations!AQ84+Operations!AQ85</f>
        <v>48.3540689255078</v>
      </c>
      <c r="AR18" s="11" t="n">
        <f aca="false">Operations!AR84+Operations!AR85</f>
        <v>47.8010618533557</v>
      </c>
      <c r="AS18" s="11" t="n">
        <f aca="false">Operations!AS84+Operations!AS85</f>
        <v>49.1248359202865</v>
      </c>
      <c r="AT18" s="11" t="n">
        <f aca="false">Operations!AT84+Operations!AT85</f>
        <v>48.2032828475597</v>
      </c>
      <c r="AU18" s="11" t="n">
        <f aca="false">Operations!AU84+Operations!AU85</f>
        <v>48.2885721578429</v>
      </c>
      <c r="AV18" s="11" t="n">
        <f aca="false">Operations!AV84+Operations!AV85</f>
        <v>48.420800426802</v>
      </c>
      <c r="AW18" s="11" t="n">
        <f aca="false">Operations!AW84+Operations!AW85</f>
        <v>50.9206382937657</v>
      </c>
      <c r="AX18" s="11" t="n">
        <f aca="false">Operations!AX84+Operations!AX85</f>
        <v>50.1499809615046</v>
      </c>
      <c r="AY18" s="11" t="n">
        <f aca="false">Operations!AY84+Operations!AY85</f>
        <v>51.4205275569009</v>
      </c>
      <c r="AZ18" s="11" t="n">
        <f aca="false">Operations!AZ84+Operations!AZ85</f>
        <v>50.8359841433507</v>
      </c>
      <c r="BA18" s="11" t="n">
        <f aca="false">Operations!BA84+Operations!BA85</f>
        <v>52.2572101921656</v>
      </c>
      <c r="BB18" s="11" t="n">
        <f aca="false">Operations!BB84+Operations!BB85</f>
        <v>51.4787443521526</v>
      </c>
      <c r="BC18" s="11" t="n">
        <f aca="false">Operations!BC84+Operations!BC85</f>
        <v>52.2623539369825</v>
      </c>
      <c r="BD18" s="11" t="n">
        <f aca="false">Operations!BD84+Operations!BD85</f>
        <v>51.9301352601338</v>
      </c>
      <c r="BE18" s="11" t="n">
        <f aca="false">Operations!BE84+Operations!BE85</f>
        <v>54.1931322508396</v>
      </c>
      <c r="BF18" s="11" t="n">
        <f aca="false">Operations!BF84+Operations!BF85</f>
        <v>53.3735371105536</v>
      </c>
      <c r="BG18" s="11" t="n">
        <f aca="false">Operations!BG84+Operations!BG85</f>
        <v>54.7333183949341</v>
      </c>
      <c r="BH18" s="11" t="n">
        <f aca="false">Operations!BH84+Operations!BH85</f>
        <v>54.1146918610221</v>
      </c>
      <c r="BI18" s="11" t="n">
        <f aca="false">Operations!BI84+Operations!BI85</f>
        <v>55.6411704213176</v>
      </c>
      <c r="BJ18" s="11" t="n">
        <f aca="false">Operations!BJ84+Operations!BJ85</f>
        <v>54.5844727308456</v>
      </c>
      <c r="BK18" s="11" t="n">
        <f aca="false">Operations!BK84+Operations!BK85</f>
        <v>54.6803145932766</v>
      </c>
      <c r="BL18" s="11" t="n">
        <f aca="false">Operations!BL84+Operations!BL85</f>
        <v>54.8389143385784</v>
      </c>
      <c r="BM18" s="11" t="n">
        <f aca="false">Operations!BM84+Operations!BM85</f>
        <v>57.7284987644055</v>
      </c>
      <c r="BN18" s="11" t="n">
        <f aca="false">Operations!BN84+Operations!BN85</f>
        <v>0</v>
      </c>
    </row>
    <row r="19" customFormat="false" ht="15" hidden="false" customHeight="false" outlineLevel="0" collapsed="false">
      <c r="D19" s="0" t="s">
        <v>776</v>
      </c>
      <c r="E19" s="0" t="s">
        <v>149</v>
      </c>
      <c r="J19" s="11" t="n">
        <f aca="false">IF(Time!J17&lt;Time!$F$11,SUMIFS(Construction!$J$28:$BJ$28,Construction!$J$12:$BJ$12,"&lt;="&amp;Time!J17),IF(Time!J17&lt;Time!$F$14,Inputs!$F$67*Inputs!$F$36,0))</f>
        <v>0</v>
      </c>
      <c r="K19" s="11" t="n">
        <f aca="false">IF(Time!K17&lt;Time!$F$11,SUMIFS(Construction!$J$28:$BJ$28,Construction!$J$12:$BJ$12,"&lt;="&amp;Time!K17),IF(Time!K17&lt;Time!$F$14,Inputs!$F$67*Inputs!$F$36,0))</f>
        <v>0</v>
      </c>
      <c r="L19" s="11" t="n">
        <f aca="false">IF(Time!L17&lt;Time!$F$11,SUMIFS(Construction!$J$28:$BJ$28,Construction!$J$12:$BJ$12,"&lt;="&amp;Time!L17),IF(Time!L17&lt;Time!$F$14,Inputs!$F$67*Inputs!$F$36,0))</f>
        <v>0</v>
      </c>
      <c r="M19" s="11" t="n">
        <f aca="false">IF(Time!M17&lt;Time!$F$11,SUMIFS(Construction!$J$28:$BJ$28,Construction!$J$12:$BJ$12,"&lt;="&amp;Time!M17),IF(Time!M17&lt;Time!$F$14,Inputs!$F$67*Inputs!$F$36,0))</f>
        <v>0</v>
      </c>
      <c r="N19" s="11" t="n">
        <f aca="false">IF(Time!N17&lt;Time!$F$11,SUMIFS(Construction!$J$28:$BJ$28,Construction!$J$12:$BJ$12,"&lt;="&amp;Time!N17),IF(Time!N17&lt;Time!$F$14,Inputs!$F$67*Inputs!$F$36,0))</f>
        <v>0</v>
      </c>
      <c r="O19" s="11" t="n">
        <f aca="false">IF(Time!O17&lt;Time!$F$11,SUMIFS(Construction!$J$28:$BJ$28,Construction!$J$12:$BJ$12,"&lt;="&amp;Time!O17),IF(Time!O17&lt;Time!$F$14,Inputs!$F$67*Inputs!$F$36,0))</f>
        <v>0</v>
      </c>
      <c r="P19" s="11" t="n">
        <f aca="false">IF(Time!P17&lt;Time!$F$11,SUMIFS(Construction!$J$28:$BJ$28,Construction!$J$12:$BJ$12,"&lt;="&amp;Time!P17),IF(Time!P17&lt;Time!$F$14,Inputs!$F$67*Inputs!$F$36,0))</f>
        <v>5.35</v>
      </c>
      <c r="Q19" s="11" t="n">
        <f aca="false">IF(Time!Q17&lt;Time!$F$11,SUMIFS(Construction!$J$28:$BJ$28,Construction!$J$12:$BJ$12,"&lt;="&amp;Time!Q17),IF(Time!Q17&lt;Time!$F$14,Inputs!$F$67*Inputs!$F$36,0))</f>
        <v>5.35</v>
      </c>
      <c r="R19" s="11" t="n">
        <f aca="false">IF(Time!R17&lt;Time!$F$11,SUMIFS(Construction!$J$28:$BJ$28,Construction!$J$12:$BJ$12,"&lt;="&amp;Time!R17),IF(Time!R17&lt;Time!$F$14,Inputs!$F$67*Inputs!$F$36,0))</f>
        <v>5.35</v>
      </c>
      <c r="S19" s="11" t="n">
        <f aca="false">IF(Time!S17&lt;Time!$F$11,SUMIFS(Construction!$J$28:$BJ$28,Construction!$J$12:$BJ$12,"&lt;="&amp;Time!S17),IF(Time!S17&lt;Time!$F$14,Inputs!$F$67*Inputs!$F$36,0))</f>
        <v>5.35</v>
      </c>
      <c r="T19" s="11" t="n">
        <f aca="false">IF(Time!T17&lt;Time!$F$11,SUMIFS(Construction!$J$28:$BJ$28,Construction!$J$12:$BJ$12,"&lt;="&amp;Time!T17),IF(Time!T17&lt;Time!$F$14,Inputs!$F$67*Inputs!$F$36,0))</f>
        <v>5.35</v>
      </c>
      <c r="U19" s="11" t="n">
        <f aca="false">IF(Time!U17&lt;Time!$F$11,SUMIFS(Construction!$J$28:$BJ$28,Construction!$J$12:$BJ$12,"&lt;="&amp;Time!U17),IF(Time!U17&lt;Time!$F$14,Inputs!$F$67*Inputs!$F$36,0))</f>
        <v>5.35</v>
      </c>
      <c r="V19" s="11" t="n">
        <f aca="false">IF(Time!V17&lt;Time!$F$11,SUMIFS(Construction!$J$28:$BJ$28,Construction!$J$12:$BJ$12,"&lt;="&amp;Time!V17),IF(Time!V17&lt;Time!$F$14,Inputs!$F$67*Inputs!$F$36,0))</f>
        <v>5.35</v>
      </c>
      <c r="W19" s="11" t="n">
        <f aca="false">IF(Time!W17&lt;Time!$F$11,SUMIFS(Construction!$J$28:$BJ$28,Construction!$J$12:$BJ$12,"&lt;="&amp;Time!W17),IF(Time!W17&lt;Time!$F$14,Inputs!$F$67*Inputs!$F$36,0))</f>
        <v>5.35</v>
      </c>
      <c r="X19" s="11" t="n">
        <f aca="false">IF(Time!X17&lt;Time!$F$11,SUMIFS(Construction!$J$28:$BJ$28,Construction!$J$12:$BJ$12,"&lt;="&amp;Time!X17),IF(Time!X17&lt;Time!$F$14,Inputs!$F$67*Inputs!$F$36,0))</f>
        <v>5.35</v>
      </c>
      <c r="Y19" s="11" t="n">
        <f aca="false">IF(Time!Y17&lt;Time!$F$11,SUMIFS(Construction!$J$28:$BJ$28,Construction!$J$12:$BJ$12,"&lt;="&amp;Time!Y17),IF(Time!Y17&lt;Time!$F$14,Inputs!$F$67*Inputs!$F$36,0))</f>
        <v>5.35</v>
      </c>
      <c r="Z19" s="11" t="n">
        <f aca="false">IF(Time!Z17&lt;Time!$F$11,SUMIFS(Construction!$J$28:$BJ$28,Construction!$J$12:$BJ$12,"&lt;="&amp;Time!Z17),IF(Time!Z17&lt;Time!$F$14,Inputs!$F$67*Inputs!$F$36,0))</f>
        <v>5.35</v>
      </c>
      <c r="AA19" s="11" t="n">
        <f aca="false">IF(Time!AA17&lt;Time!$F$11,SUMIFS(Construction!$J$28:$BJ$28,Construction!$J$12:$BJ$12,"&lt;="&amp;Time!AA17),IF(Time!AA17&lt;Time!$F$14,Inputs!$F$67*Inputs!$F$36,0))</f>
        <v>5.35</v>
      </c>
      <c r="AB19" s="11" t="n">
        <f aca="false">IF(Time!AB17&lt;Time!$F$11,SUMIFS(Construction!$J$28:$BJ$28,Construction!$J$12:$BJ$12,"&lt;="&amp;Time!AB17),IF(Time!AB17&lt;Time!$F$14,Inputs!$F$67*Inputs!$F$36,0))</f>
        <v>5.35</v>
      </c>
      <c r="AC19" s="11" t="n">
        <f aca="false">IF(Time!AC17&lt;Time!$F$11,SUMIFS(Construction!$J$28:$BJ$28,Construction!$J$12:$BJ$12,"&lt;="&amp;Time!AC17),IF(Time!AC17&lt;Time!$F$14,Inputs!$F$67*Inputs!$F$36,0))</f>
        <v>5.35</v>
      </c>
      <c r="AD19" s="11" t="n">
        <f aca="false">IF(Time!AD17&lt;Time!$F$11,SUMIFS(Construction!$J$28:$BJ$28,Construction!$J$12:$BJ$12,"&lt;="&amp;Time!AD17),IF(Time!AD17&lt;Time!$F$14,Inputs!$F$67*Inputs!$F$36,0))</f>
        <v>5.35</v>
      </c>
      <c r="AE19" s="11" t="n">
        <f aca="false">IF(Time!AE17&lt;Time!$F$11,SUMIFS(Construction!$J$28:$BJ$28,Construction!$J$12:$BJ$12,"&lt;="&amp;Time!AE17),IF(Time!AE17&lt;Time!$F$14,Inputs!$F$67*Inputs!$F$36,0))</f>
        <v>5.35</v>
      </c>
      <c r="AF19" s="11" t="n">
        <f aca="false">IF(Time!AF17&lt;Time!$F$11,SUMIFS(Construction!$J$28:$BJ$28,Construction!$J$12:$BJ$12,"&lt;="&amp;Time!AF17),IF(Time!AF17&lt;Time!$F$14,Inputs!$F$67*Inputs!$F$36,0))</f>
        <v>5.35</v>
      </c>
      <c r="AG19" s="11" t="n">
        <f aca="false">IF(Time!AG17&lt;Time!$F$11,SUMIFS(Construction!$J$28:$BJ$28,Construction!$J$12:$BJ$12,"&lt;="&amp;Time!AG17),IF(Time!AG17&lt;Time!$F$14,Inputs!$F$67*Inputs!$F$36,0))</f>
        <v>5.35</v>
      </c>
      <c r="AH19" s="11" t="n">
        <f aca="false">IF(Time!AH17&lt;Time!$F$11,SUMIFS(Construction!$J$28:$BJ$28,Construction!$J$12:$BJ$12,"&lt;="&amp;Time!AH17),IF(Time!AH17&lt;Time!$F$14,Inputs!$F$67*Inputs!$F$36,0))</f>
        <v>5.35</v>
      </c>
      <c r="AI19" s="11" t="n">
        <f aca="false">IF(Time!AI17&lt;Time!$F$11,SUMIFS(Construction!$J$28:$BJ$28,Construction!$J$12:$BJ$12,"&lt;="&amp;Time!AI17),IF(Time!AI17&lt;Time!$F$14,Inputs!$F$67*Inputs!$F$36,0))</f>
        <v>5.35</v>
      </c>
      <c r="AJ19" s="11" t="n">
        <f aca="false">IF(Time!AJ17&lt;Time!$F$11,SUMIFS(Construction!$J$28:$BJ$28,Construction!$J$12:$BJ$12,"&lt;="&amp;Time!AJ17),IF(Time!AJ17&lt;Time!$F$14,Inputs!$F$67*Inputs!$F$36,0))</f>
        <v>5.35</v>
      </c>
      <c r="AK19" s="11" t="n">
        <f aca="false">IF(Time!AK17&lt;Time!$F$11,SUMIFS(Construction!$J$28:$BJ$28,Construction!$J$12:$BJ$12,"&lt;="&amp;Time!AK17),IF(Time!AK17&lt;Time!$F$14,Inputs!$F$67*Inputs!$F$36,0))</f>
        <v>5.35</v>
      </c>
      <c r="AL19" s="11" t="n">
        <f aca="false">IF(Time!AL17&lt;Time!$F$11,SUMIFS(Construction!$J$28:$BJ$28,Construction!$J$12:$BJ$12,"&lt;="&amp;Time!AL17),IF(Time!AL17&lt;Time!$F$14,Inputs!$F$67*Inputs!$F$36,0))</f>
        <v>5.35</v>
      </c>
      <c r="AM19" s="11" t="n">
        <f aca="false">IF(Time!AM17&lt;Time!$F$11,SUMIFS(Construction!$J$28:$BJ$28,Construction!$J$12:$BJ$12,"&lt;="&amp;Time!AM17),IF(Time!AM17&lt;Time!$F$14,Inputs!$F$67*Inputs!$F$36,0))</f>
        <v>5.35</v>
      </c>
      <c r="AN19" s="11" t="n">
        <f aca="false">IF(Time!AN17&lt;Time!$F$11,SUMIFS(Construction!$J$28:$BJ$28,Construction!$J$12:$BJ$12,"&lt;="&amp;Time!AN17),IF(Time!AN17&lt;Time!$F$14,Inputs!$F$67*Inputs!$F$36,0))</f>
        <v>5.35</v>
      </c>
      <c r="AO19" s="11" t="n">
        <f aca="false">IF(Time!AO17&lt;Time!$F$11,SUMIFS(Construction!$J$28:$BJ$28,Construction!$J$12:$BJ$12,"&lt;="&amp;Time!AO17),IF(Time!AO17&lt;Time!$F$14,Inputs!$F$67*Inputs!$F$36,0))</f>
        <v>5.35</v>
      </c>
      <c r="AP19" s="11" t="n">
        <f aca="false">IF(Time!AP17&lt;Time!$F$11,SUMIFS(Construction!$J$28:$BJ$28,Construction!$J$12:$BJ$12,"&lt;="&amp;Time!AP17),IF(Time!AP17&lt;Time!$F$14,Inputs!$F$67*Inputs!$F$36,0))</f>
        <v>5.35</v>
      </c>
      <c r="AQ19" s="11" t="n">
        <f aca="false">IF(Time!AQ17&lt;Time!$F$11,SUMIFS(Construction!$J$28:$BJ$28,Construction!$J$12:$BJ$12,"&lt;="&amp;Time!AQ17),IF(Time!AQ17&lt;Time!$F$14,Inputs!$F$67*Inputs!$F$36,0))</f>
        <v>5.35</v>
      </c>
      <c r="AR19" s="11" t="n">
        <f aca="false">IF(Time!AR17&lt;Time!$F$11,SUMIFS(Construction!$J$28:$BJ$28,Construction!$J$12:$BJ$12,"&lt;="&amp;Time!AR17),IF(Time!AR17&lt;Time!$F$14,Inputs!$F$67*Inputs!$F$36,0))</f>
        <v>5.35</v>
      </c>
      <c r="AS19" s="11" t="n">
        <f aca="false">IF(Time!AS17&lt;Time!$F$11,SUMIFS(Construction!$J$28:$BJ$28,Construction!$J$12:$BJ$12,"&lt;="&amp;Time!AS17),IF(Time!AS17&lt;Time!$F$14,Inputs!$F$67*Inputs!$F$36,0))</f>
        <v>5.35</v>
      </c>
      <c r="AT19" s="11" t="n">
        <f aca="false">IF(Time!AT17&lt;Time!$F$11,SUMIFS(Construction!$J$28:$BJ$28,Construction!$J$12:$BJ$12,"&lt;="&amp;Time!AT17),IF(Time!AT17&lt;Time!$F$14,Inputs!$F$67*Inputs!$F$36,0))</f>
        <v>5.35</v>
      </c>
      <c r="AU19" s="11" t="n">
        <f aca="false">IF(Time!AU17&lt;Time!$F$11,SUMIFS(Construction!$J$28:$BJ$28,Construction!$J$12:$BJ$12,"&lt;="&amp;Time!AU17),IF(Time!AU17&lt;Time!$F$14,Inputs!$F$67*Inputs!$F$36,0))</f>
        <v>5.35</v>
      </c>
      <c r="AV19" s="11" t="n">
        <f aca="false">IF(Time!AV17&lt;Time!$F$11,SUMIFS(Construction!$J$28:$BJ$28,Construction!$J$12:$BJ$12,"&lt;="&amp;Time!AV17),IF(Time!AV17&lt;Time!$F$14,Inputs!$F$67*Inputs!$F$36,0))</f>
        <v>5.35</v>
      </c>
      <c r="AW19" s="11" t="n">
        <f aca="false">IF(Time!AW17&lt;Time!$F$11,SUMIFS(Construction!$J$28:$BJ$28,Construction!$J$12:$BJ$12,"&lt;="&amp;Time!AW17),IF(Time!AW17&lt;Time!$F$14,Inputs!$F$67*Inputs!$F$36,0))</f>
        <v>5.35</v>
      </c>
      <c r="AX19" s="11" t="n">
        <f aca="false">IF(Time!AX17&lt;Time!$F$11,SUMIFS(Construction!$J$28:$BJ$28,Construction!$J$12:$BJ$12,"&lt;="&amp;Time!AX17),IF(Time!AX17&lt;Time!$F$14,Inputs!$F$67*Inputs!$F$36,0))</f>
        <v>5.35</v>
      </c>
      <c r="AY19" s="11" t="n">
        <f aca="false">IF(Time!AY17&lt;Time!$F$11,SUMIFS(Construction!$J$28:$BJ$28,Construction!$J$12:$BJ$12,"&lt;="&amp;Time!AY17),IF(Time!AY17&lt;Time!$F$14,Inputs!$F$67*Inputs!$F$36,0))</f>
        <v>5.35</v>
      </c>
      <c r="AZ19" s="11" t="n">
        <f aca="false">IF(Time!AZ17&lt;Time!$F$11,SUMIFS(Construction!$J$28:$BJ$28,Construction!$J$12:$BJ$12,"&lt;="&amp;Time!AZ17),IF(Time!AZ17&lt;Time!$F$14,Inputs!$F$67*Inputs!$F$36,0))</f>
        <v>5.35</v>
      </c>
      <c r="BA19" s="11" t="n">
        <f aca="false">IF(Time!BA17&lt;Time!$F$11,SUMIFS(Construction!$J$28:$BJ$28,Construction!$J$12:$BJ$12,"&lt;="&amp;Time!BA17),IF(Time!BA17&lt;Time!$F$14,Inputs!$F$67*Inputs!$F$36,0))</f>
        <v>5.35</v>
      </c>
      <c r="BB19" s="11" t="n">
        <f aca="false">IF(Time!BB17&lt;Time!$F$11,SUMIFS(Construction!$J$28:$BJ$28,Construction!$J$12:$BJ$12,"&lt;="&amp;Time!BB17),IF(Time!BB17&lt;Time!$F$14,Inputs!$F$67*Inputs!$F$36,0))</f>
        <v>5.35</v>
      </c>
      <c r="BC19" s="11" t="n">
        <f aca="false">IF(Time!BC17&lt;Time!$F$11,SUMIFS(Construction!$J$28:$BJ$28,Construction!$J$12:$BJ$12,"&lt;="&amp;Time!BC17),IF(Time!BC17&lt;Time!$F$14,Inputs!$F$67*Inputs!$F$36,0))</f>
        <v>5.35</v>
      </c>
      <c r="BD19" s="11" t="n">
        <f aca="false">IF(Time!BD17&lt;Time!$F$11,SUMIFS(Construction!$J$28:$BJ$28,Construction!$J$12:$BJ$12,"&lt;="&amp;Time!BD17),IF(Time!BD17&lt;Time!$F$14,Inputs!$F$67*Inputs!$F$36,0))</f>
        <v>5.35</v>
      </c>
      <c r="BE19" s="11" t="n">
        <f aca="false">IF(Time!BE17&lt;Time!$F$11,SUMIFS(Construction!$J$28:$BJ$28,Construction!$J$12:$BJ$12,"&lt;="&amp;Time!BE17),IF(Time!BE17&lt;Time!$F$14,Inputs!$F$67*Inputs!$F$36,0))</f>
        <v>5.35</v>
      </c>
      <c r="BF19" s="11" t="n">
        <f aca="false">IF(Time!BF17&lt;Time!$F$11,SUMIFS(Construction!$J$28:$BJ$28,Construction!$J$12:$BJ$12,"&lt;="&amp;Time!BF17),IF(Time!BF17&lt;Time!$F$14,Inputs!$F$67*Inputs!$F$36,0))</f>
        <v>5.35</v>
      </c>
      <c r="BG19" s="11" t="n">
        <f aca="false">IF(Time!BG17&lt;Time!$F$11,SUMIFS(Construction!$J$28:$BJ$28,Construction!$J$12:$BJ$12,"&lt;="&amp;Time!BG17),IF(Time!BG17&lt;Time!$F$14,Inputs!$F$67*Inputs!$F$36,0))</f>
        <v>5.35</v>
      </c>
      <c r="BH19" s="11" t="n">
        <f aca="false">IF(Time!BH17&lt;Time!$F$11,SUMIFS(Construction!$J$28:$BJ$28,Construction!$J$12:$BJ$12,"&lt;="&amp;Time!BH17),IF(Time!BH17&lt;Time!$F$14,Inputs!$F$67*Inputs!$F$36,0))</f>
        <v>5.35</v>
      </c>
      <c r="BI19" s="11" t="n">
        <f aca="false">IF(Time!BI17&lt;Time!$F$11,SUMIFS(Construction!$J$28:$BJ$28,Construction!$J$12:$BJ$12,"&lt;="&amp;Time!BI17),IF(Time!BI17&lt;Time!$F$14,Inputs!$F$67*Inputs!$F$36,0))</f>
        <v>5.35</v>
      </c>
      <c r="BJ19" s="11" t="n">
        <f aca="false">IF(Time!BJ17&lt;Time!$F$11,SUMIFS(Construction!$J$28:$BJ$28,Construction!$J$12:$BJ$12,"&lt;="&amp;Time!BJ17),IF(Time!BJ17&lt;Time!$F$14,Inputs!$F$67*Inputs!$F$36,0))</f>
        <v>5.35</v>
      </c>
      <c r="BK19" s="11" t="n">
        <f aca="false">IF(Time!BK17&lt;Time!$F$11,SUMIFS(Construction!$J$28:$BJ$28,Construction!$J$12:$BJ$12,"&lt;="&amp;Time!BK17),IF(Time!BK17&lt;Time!$F$14,Inputs!$F$67*Inputs!$F$36,0))</f>
        <v>5.35</v>
      </c>
      <c r="BL19" s="11" t="n">
        <f aca="false">IF(Time!BL17&lt;Time!$F$11,SUMIFS(Construction!$J$28:$BJ$28,Construction!$J$12:$BJ$12,"&lt;="&amp;Time!BL17),IF(Time!BL17&lt;Time!$F$14,Inputs!$F$67*Inputs!$F$36,0))</f>
        <v>5.35</v>
      </c>
      <c r="BM19" s="11" t="n">
        <f aca="false">IF(Time!BM17&lt;Time!$F$11,SUMIFS(Construction!$J$28:$BJ$28,Construction!$J$12:$BJ$12,"&lt;="&amp;Time!BM17),IF(Time!BM17&lt;Time!$F$14,Inputs!$F$67*Inputs!$F$36,0))</f>
        <v>5.35</v>
      </c>
      <c r="BN19" s="11" t="n">
        <f aca="false">IF(Time!BN17&lt;Time!$F$11,SUMIFS(Construction!$J$28:$BJ$28,Construction!$J$12:$BJ$12,"&lt;="&amp;Time!BN17),IF(Time!BN17&lt;Time!$F$14,Inputs!$F$67*Inputs!$F$36,0))</f>
        <v>0</v>
      </c>
    </row>
    <row r="20" customFormat="false" ht="15" hidden="false" customHeight="false" outlineLevel="0" collapsed="false">
      <c r="D20" s="0" t="s">
        <v>777</v>
      </c>
      <c r="E20" s="0" t="s">
        <v>149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-0</v>
      </c>
      <c r="P20" s="11" t="n">
        <f aca="false">MAX(0,-P12)</f>
        <v>1.7529147863912</v>
      </c>
      <c r="Q20" s="11" t="n">
        <f aca="false">MAX(0,-Q12)</f>
        <v>7.01165914556483</v>
      </c>
      <c r="R20" s="11" t="n">
        <f aca="false">MAX(0,-R12)</f>
        <v>12.2704035047385</v>
      </c>
      <c r="S20" s="11" t="n">
        <f aca="false">MAX(0,-S12)</f>
        <v>17.5291478639121</v>
      </c>
      <c r="T20" s="11" t="n">
        <f aca="false">MAX(0,-T12)</f>
        <v>22.7878922230857</v>
      </c>
      <c r="U20" s="11" t="n">
        <f aca="false">MAX(0,-U12)</f>
        <v>28.0466365822593</v>
      </c>
      <c r="V20" s="11" t="n">
        <f aca="false">MAX(0,-V12)</f>
        <v>33.3053809414329</v>
      </c>
      <c r="W20" s="11" t="n">
        <f aca="false">MAX(0,-W12)</f>
        <v>38.5641253006066</v>
      </c>
      <c r="X20" s="11" t="n">
        <f aca="false">MAX(0,-X12)</f>
        <v>43.8228696597802</v>
      </c>
      <c r="Y20" s="11" t="n">
        <f aca="false">MAX(0,-Y12)</f>
        <v>49.0816140189538</v>
      </c>
      <c r="Z20" s="11" t="n">
        <f aca="false">MAX(0,-Z12)</f>
        <v>51.8787693517002</v>
      </c>
      <c r="AA20" s="11" t="n">
        <f aca="false">MAX(0,-AA12)</f>
        <v>49.3549672937991</v>
      </c>
      <c r="AB20" s="11" t="n">
        <f aca="false">MAX(0,-AB12)</f>
        <v>46.6610690084393</v>
      </c>
      <c r="AC20" s="11" t="n">
        <f aca="false">MAX(0,-AC12)</f>
        <v>43.6031975927509</v>
      </c>
      <c r="AD20" s="11" t="n">
        <f aca="false">MAX(0,-AD12)</f>
        <v>40.2874391882829</v>
      </c>
      <c r="AE20" s="11" t="n">
        <f aca="false">MAX(0,-AE12)</f>
        <v>39.2356903164482</v>
      </c>
      <c r="AF20" s="11" t="n">
        <f aca="false">MAX(0,-AF12)</f>
        <v>36.3457415188111</v>
      </c>
      <c r="AG20" s="11" t="n">
        <f aca="false">MAX(0,-AG12)</f>
        <v>31.9766774663227</v>
      </c>
      <c r="AH20" s="11" t="n">
        <f aca="false">MAX(0,-AH12)</f>
        <v>27.2915513477232</v>
      </c>
      <c r="AI20" s="11" t="n">
        <f aca="false">MAX(0,-AI12)</f>
        <v>22.0911785055006</v>
      </c>
      <c r="AJ20" s="11" t="n">
        <f aca="false">MAX(0,-AJ12)</f>
        <v>16.5368770846598</v>
      </c>
      <c r="AK20" s="11" t="n">
        <f aca="false">MAX(0,-AK12)</f>
        <v>10.4805980534068</v>
      </c>
      <c r="AL20" s="11" t="n">
        <f aca="false">MAX(0,-AL12)</f>
        <v>3.96780040164767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778</v>
      </c>
      <c r="E21" s="0" t="s">
        <v>149</v>
      </c>
      <c r="J21" s="11" t="n">
        <f aca="false">J16+J17+J18+J19+J20</f>
        <v>139.562323412541</v>
      </c>
      <c r="K21" s="11" t="n">
        <f aca="false">K16+K17+K18+K19+K20</f>
        <v>239.877783879763</v>
      </c>
      <c r="L21" s="11" t="n">
        <f aca="false">L16+L17+L18+L19+L20</f>
        <v>434.070017871423</v>
      </c>
      <c r="M21" s="11" t="n">
        <f aca="false">M16+M17+M18+M19+M20</f>
        <v>636.157632410052</v>
      </c>
      <c r="N21" s="11" t="n">
        <f aca="false">N16+N17+N18+N19+N20</f>
        <v>753.799661593778</v>
      </c>
      <c r="O21" s="11" t="n">
        <f aca="false">O16+O17+O18+O19+O20</f>
        <v>797.62059205288</v>
      </c>
      <c r="P21" s="11" t="n">
        <f aca="false">P16+P17+P18+P19+P20</f>
        <v>958.35559265466</v>
      </c>
      <c r="Q21" s="11" t="n">
        <f aca="false">Q16+Q17+Q18+Q19+Q20</f>
        <v>946.052532870934</v>
      </c>
      <c r="R21" s="11" t="n">
        <f aca="false">R16+R17+R18+R19+R20</f>
        <v>933.27658913311</v>
      </c>
      <c r="S21" s="11" t="n">
        <f aca="false">S16+S17+S18+S19+S20</f>
        <v>922.8541452583</v>
      </c>
      <c r="T21" s="11" t="n">
        <f aca="false">T16+T17+T18+T19+T20</f>
        <v>910.334434182194</v>
      </c>
      <c r="U21" s="11" t="n">
        <f aca="false">U16+U17+U18+U19+U20</f>
        <v>900.32490111292</v>
      </c>
      <c r="V21" s="11" t="n">
        <f aca="false">V16+V17+V18+V19+V20</f>
        <v>887.584454715611</v>
      </c>
      <c r="W21" s="11" t="n">
        <f aca="false">W16+W17+W18+W19+W20</f>
        <v>872.244625481781</v>
      </c>
      <c r="X21" s="11" t="n">
        <f aca="false">X16+X17+X18+X19+X20</f>
        <v>859.300876314162</v>
      </c>
      <c r="Y21" s="11" t="n">
        <f aca="false">Y16+Y17+Y18+Y19+Y20</f>
        <v>851.05526866444</v>
      </c>
      <c r="Z21" s="11" t="n">
        <f aca="false">Z16+Z17+Z18+Z19+Z20</f>
        <v>837.349611043426</v>
      </c>
      <c r="AA21" s="11" t="n">
        <f aca="false">AA16+AA17+AA18+AA19+AA20</f>
        <v>820.794561660033</v>
      </c>
      <c r="AB21" s="11" t="n">
        <f aca="false">AB16+AB17+AB18+AB19+AB20</f>
        <v>801.388749446067</v>
      </c>
      <c r="AC21" s="11" t="n">
        <f aca="false">AC16+AC17+AC18+AC19+AC20</f>
        <v>784.779900632774</v>
      </c>
      <c r="AD21" s="11" t="n">
        <f aca="false">AD16+AD17+AD18+AD19+AD20</f>
        <v>764.560746520884</v>
      </c>
      <c r="AE21" s="11" t="n">
        <f aca="false">AE16+AE17+AE18+AE19+AE20</f>
        <v>733.472385664698</v>
      </c>
      <c r="AF21" s="11" t="n">
        <f aca="false">AF16+AF17+AF18+AF19+AF20</f>
        <v>711.942387965892</v>
      </c>
      <c r="AG21" s="11" t="n">
        <f aca="false">AG16+AG17+AG18+AG19+AG20</f>
        <v>692.003165383677</v>
      </c>
      <c r="AH21" s="11" t="n">
        <f aca="false">AH16+AH17+AH18+AH19+AH20</f>
        <v>668.035011558171</v>
      </c>
      <c r="AI21" s="11" t="n">
        <f aca="false">AI16+AI17+AI18+AI19+AI20</f>
        <v>645.641762858742</v>
      </c>
      <c r="AJ21" s="11" t="n">
        <f aca="false">AJ16+AJ17+AJ18+AJ19+AJ20</f>
        <v>620.360346778012</v>
      </c>
      <c r="AK21" s="11" t="n">
        <f aca="false">AK16+AK17+AK18+AK19+AK20</f>
        <v>596.334818807584</v>
      </c>
      <c r="AL21" s="11" t="n">
        <f aca="false">AL16+AL17+AL18+AL19+AL20</f>
        <v>567.937431202368</v>
      </c>
      <c r="AM21" s="11" t="n">
        <f aca="false">AM16+AM17+AM18+AM19+AM20</f>
        <v>539.403987621234</v>
      </c>
      <c r="AN21" s="11" t="n">
        <f aca="false">AN16+AN17+AN18+AN19+AN20</f>
        <v>521.324431275824</v>
      </c>
      <c r="AO21" s="11" t="n">
        <f aca="false">AO16+AO17+AO18+AO19+AO20</f>
        <v>488.000677884948</v>
      </c>
      <c r="AP21" s="11" t="n">
        <f aca="false">AP16+AP17+AP18+AP19+AP20</f>
        <v>472.119748333409</v>
      </c>
      <c r="AQ21" s="11" t="n">
        <f aca="false">AQ16+AQ17+AQ18+AQ19+AQ20</f>
        <v>458.152146586011</v>
      </c>
      <c r="AR21" s="11" t="n">
        <f aca="false">AR16+AR17+AR18+AR19+AR20</f>
        <v>442.443567009445</v>
      </c>
      <c r="AS21" s="11" t="n">
        <f aca="false">AS16+AS17+AS18+AS19+AS20</f>
        <v>428.611768571963</v>
      </c>
      <c r="AT21" s="11" t="n">
        <f aca="false">AT16+AT17+AT18+AT19+AT20</f>
        <v>412.534642994823</v>
      </c>
      <c r="AU21" s="11" t="n">
        <f aca="false">AU16+AU17+AU18+AU19+AU20</f>
        <v>380.849332284202</v>
      </c>
      <c r="AV21" s="11" t="n">
        <f aca="false">AV16+AV17+AV18+AV19+AV20</f>
        <v>363.452412689249</v>
      </c>
      <c r="AW21" s="11" t="n">
        <f aca="false">AW16+AW17+AW18+AW19+AW20</f>
        <v>349.019194458046</v>
      </c>
      <c r="AX21" s="11" t="n">
        <f aca="false">AX16+AX17+AX18+AX19+AX20</f>
        <v>331.315481027618</v>
      </c>
      <c r="AY21" s="11" t="n">
        <f aca="false">AY16+AY17+AY18+AY19+AY20</f>
        <v>315.652971524847</v>
      </c>
      <c r="AZ21" s="11" t="n">
        <f aca="false">AZ16+AZ17+AZ18+AZ19+AZ20</f>
        <v>298.13537201313</v>
      </c>
      <c r="BA21" s="11" t="n">
        <f aca="false">BA16+BA17+BA18+BA19+BA20</f>
        <v>282.623541963778</v>
      </c>
      <c r="BB21" s="11" t="n">
        <f aca="false">BB16+BB17+BB18+BB19+BB20</f>
        <v>265.412403443813</v>
      </c>
      <c r="BC21" s="11" t="n">
        <f aca="false">BC16+BC17+BC18+BC19+BC20</f>
        <v>246.607887643602</v>
      </c>
      <c r="BD21" s="11" t="n">
        <f aca="false">BD16+BD17+BD18+BD19+BD20</f>
        <v>230.280696663088</v>
      </c>
      <c r="BE21" s="11" t="n">
        <f aca="false">BE16+BE17+BE18+BE19+BE20</f>
        <v>219.390451735687</v>
      </c>
      <c r="BF21" s="11" t="n">
        <f aca="false">BF16+BF17+BF18+BF19+BF20</f>
        <v>205.434582418911</v>
      </c>
      <c r="BG21" s="11" t="n">
        <f aca="false">BG16+BG17+BG18+BG19+BG20</f>
        <v>193.675242898166</v>
      </c>
      <c r="BH21" s="11" t="n">
        <f aca="false">BH16+BH17+BH18+BH19+BH20</f>
        <v>179.95483659106</v>
      </c>
      <c r="BI21" s="11" t="n">
        <f aca="false">BI16+BI17+BI18+BI19+BI20</f>
        <v>168.397066123697</v>
      </c>
      <c r="BJ21" s="11" t="n">
        <f aca="false">BJ16+BJ17+BJ18+BJ19+BJ20</f>
        <v>154.2738419402</v>
      </c>
      <c r="BK21" s="11" t="n">
        <f aca="false">BK16+BK17+BK18+BK19+BK20</f>
        <v>121.546449877594</v>
      </c>
      <c r="BL21" s="11" t="n">
        <f aca="false">BL16+BL17+BL18+BL19+BL20</f>
        <v>105.849605717355</v>
      </c>
      <c r="BM21" s="11" t="n">
        <f aca="false">BM16+BM17+BM18+BM19+BM20</f>
        <v>92.9020568208593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779</v>
      </c>
      <c r="E22" s="0" t="s">
        <v>149</v>
      </c>
      <c r="J22" s="11" t="n">
        <f aca="false">IF(Time!J17&lt;Time!$F$11,SUMIFS(Funding!$J$73:$BJ$73,Construction!$J$12:$BJ$12,"&lt;="&amp;Time!J17),Debt!J123)</f>
        <v>102.730706235431</v>
      </c>
      <c r="K22" s="11" t="n">
        <f aca="false">IF(Time!K17&lt;Time!$F$11,SUMIFS(Funding!$J$73:$BJ$73,Construction!$J$12:$BJ$12,"&lt;="&amp;Time!K17),Debt!K123)</f>
        <v>175.731454602656</v>
      </c>
      <c r="L22" s="11" t="n">
        <f aca="false">IF(Time!L17&lt;Time!$F$11,SUMIFS(Funding!$J$73:$BJ$73,Construction!$J$12:$BJ$12,"&lt;="&amp;Time!L17),Debt!L123)</f>
        <v>317.114811026013</v>
      </c>
      <c r="M22" s="11" t="n">
        <f aca="false">IF(Time!M17&lt;Time!$F$11,SUMIFS(Funding!$J$73:$BJ$73,Construction!$J$12:$BJ$12,"&lt;="&amp;Time!M17),Debt!M123)</f>
        <v>462.748879780369</v>
      </c>
      <c r="N22" s="11" t="n">
        <f aca="false">IF(Time!N17&lt;Time!$F$11,SUMIFS(Funding!$J$73:$BJ$73,Construction!$J$12:$BJ$12,"&lt;="&amp;Time!N17),Debt!N123)</f>
        <v>544.36535875568</v>
      </c>
      <c r="O22" s="11" t="n">
        <f aca="false">IF(Time!O17&lt;Time!$F$11,SUMIFS(Funding!$J$73:$BJ$73,Construction!$J$12:$BJ$12,"&lt;="&amp;Time!O17),Debt!O123)</f>
        <v>570.598992285319</v>
      </c>
      <c r="P22" s="11" t="n">
        <f aca="false">IF(Time!P17&lt;Time!$F$11,SUMIFS(Funding!$J$73:$BJ$73,Construction!$J$12:$BJ$12,"&lt;="&amp;Time!P17),Debt!P123)</f>
        <v>657.739998413269</v>
      </c>
      <c r="Q22" s="11" t="n">
        <f aca="false">IF(Time!Q17&lt;Time!$F$11,SUMIFS(Funding!$J$73:$BJ$73,Construction!$J$12:$BJ$12,"&lt;="&amp;Time!Q17),Debt!Q123)</f>
        <v>640.550022001723</v>
      </c>
      <c r="R22" s="11" t="n">
        <f aca="false">IF(Time!R17&lt;Time!$F$11,SUMIFS(Funding!$J$73:$BJ$73,Construction!$J$12:$BJ$12,"&lt;="&amp;Time!R17),Debt!R123)</f>
        <v>622.513289501831</v>
      </c>
      <c r="S22" s="11" t="n">
        <f aca="false">IF(Time!S17&lt;Time!$F$11,SUMIFS(Funding!$J$73:$BJ$73,Construction!$J$12:$BJ$12,"&lt;="&amp;Time!S17),Debt!S123)</f>
        <v>603.945043674502</v>
      </c>
      <c r="T22" s="11" t="n">
        <f aca="false">IF(Time!T17&lt;Time!$F$11,SUMIFS(Funding!$J$73:$BJ$73,Construction!$J$12:$BJ$12,"&lt;="&amp;Time!T17),Debt!T123)</f>
        <v>584.522665193028</v>
      </c>
      <c r="U22" s="11" t="n">
        <f aca="false">IF(Time!U17&lt;Time!$F$11,SUMIFS(Funding!$J$73:$BJ$73,Construction!$J$12:$BJ$12,"&lt;="&amp;Time!U17),Debt!U123)</f>
        <v>564.480872870294</v>
      </c>
      <c r="V22" s="11" t="n">
        <f aca="false">IF(Time!V17&lt;Time!$F$11,SUMIFS(Funding!$J$73:$BJ$73,Construction!$J$12:$BJ$12,"&lt;="&amp;Time!V17),Debt!V123)</f>
        <v>543.129764415097</v>
      </c>
      <c r="W22" s="11" t="n">
        <f aca="false">IF(Time!W17&lt;Time!$F$11,SUMIFS(Funding!$J$73:$BJ$73,Construction!$J$12:$BJ$12,"&lt;="&amp;Time!W17),Debt!W123)</f>
        <v>521.125965678257</v>
      </c>
      <c r="X22" s="11" t="n">
        <f aca="false">IF(Time!X17&lt;Time!$F$11,SUMIFS(Funding!$J$73:$BJ$73,Construction!$J$12:$BJ$12,"&lt;="&amp;Time!X17),Debt!X123)</f>
        <v>499.732942519113</v>
      </c>
      <c r="Y22" s="11" t="n">
        <f aca="false">IF(Time!Y17&lt;Time!$F$11,SUMIFS(Funding!$J$73:$BJ$73,Construction!$J$12:$BJ$12,"&lt;="&amp;Time!Y17),Debt!Y123)</f>
        <v>478.32985288415</v>
      </c>
      <c r="Z22" s="11" t="n">
        <f aca="false">IF(Time!Z17&lt;Time!$F$11,SUMIFS(Funding!$J$73:$BJ$73,Construction!$J$12:$BJ$12,"&lt;="&amp;Time!Z17),Debt!Z123)</f>
        <v>456.04007701657</v>
      </c>
      <c r="AA22" s="11" t="n">
        <f aca="false">IF(Time!AA17&lt;Time!$F$11,SUMIFS(Funding!$J$73:$BJ$73,Construction!$J$12:$BJ$12,"&lt;="&amp;Time!AA17),Debt!AA123)</f>
        <v>428.12014228635</v>
      </c>
      <c r="AB22" s="11" t="n">
        <f aca="false">IF(Time!AB17&lt;Time!$F$11,SUMIFS(Funding!$J$73:$BJ$73,Construction!$J$12:$BJ$12,"&lt;="&amp;Time!AB17),Debt!AB123)</f>
        <v>398.481194810665</v>
      </c>
      <c r="AC22" s="11" t="n">
        <f aca="false">IF(Time!AC17&lt;Time!$F$11,SUMIFS(Funding!$J$73:$BJ$73,Construction!$J$12:$BJ$12,"&lt;="&amp;Time!AC17),Debt!AC123)</f>
        <v>368.936999898617</v>
      </c>
      <c r="AD22" s="11" t="n">
        <f aca="false">IF(Time!AD17&lt;Time!$F$11,SUMIFS(Funding!$J$73:$BJ$73,Construction!$J$12:$BJ$12,"&lt;="&amp;Time!AD17),Debt!AD123)</f>
        <v>336.987664398295</v>
      </c>
      <c r="AE22" s="11" t="n">
        <f aca="false">IF(Time!AE17&lt;Time!$F$11,SUMIFS(Funding!$J$73:$BJ$73,Construction!$J$12:$BJ$12,"&lt;="&amp;Time!AE17),Debt!AE123)</f>
        <v>303.435268610389</v>
      </c>
      <c r="AF22" s="11" t="n">
        <f aca="false">IF(Time!AF17&lt;Time!$F$11,SUMIFS(Funding!$J$73:$BJ$73,Construction!$J$12:$BJ$12,"&lt;="&amp;Time!AF17),Debt!AF123)</f>
        <v>268.346362850909</v>
      </c>
      <c r="AG22" s="11" t="n">
        <f aca="false">IF(Time!AG17&lt;Time!$F$11,SUMIFS(Funding!$J$73:$BJ$73,Construction!$J$12:$BJ$12,"&lt;="&amp;Time!AG17),Debt!AG123)</f>
        <v>233.497382736541</v>
      </c>
      <c r="AH22" s="11" t="n">
        <f aca="false">IF(Time!AH17&lt;Time!$F$11,SUMIFS(Funding!$J$73:$BJ$73,Construction!$J$12:$BJ$12,"&lt;="&amp;Time!AH17),Debt!AH123)</f>
        <v>197.064507677769</v>
      </c>
      <c r="AI22" s="11" t="n">
        <f aca="false">IF(Time!AI17&lt;Time!$F$11,SUMIFS(Funding!$J$73:$BJ$73,Construction!$J$12:$BJ$12,"&lt;="&amp;Time!AI17),Debt!AI123)</f>
        <v>160.449296102366</v>
      </c>
      <c r="AJ22" s="11" t="n">
        <f aca="false">IF(Time!AJ17&lt;Time!$F$11,SUMIFS(Funding!$J$73:$BJ$73,Construction!$J$12:$BJ$12,"&lt;="&amp;Time!AJ17),Debt!AJ123)</f>
        <v>122.576917805921</v>
      </c>
      <c r="AK22" s="11" t="n">
        <f aca="false">IF(Time!AK17&lt;Time!$F$11,SUMIFS(Funding!$J$73:$BJ$73,Construction!$J$12:$BJ$12,"&lt;="&amp;Time!AK17),Debt!AK123)</f>
        <v>85.2586060811726</v>
      </c>
      <c r="AL22" s="11" t="n">
        <f aca="false">IF(Time!AL17&lt;Time!$F$11,SUMIFS(Funding!$J$73:$BJ$73,Construction!$J$12:$BJ$12,"&lt;="&amp;Time!AL17),Debt!AL123)</f>
        <v>62.3244079257954</v>
      </c>
      <c r="AM22" s="11" t="n">
        <f aca="false">IF(Time!AM17&lt;Time!$F$11,SUMIFS(Funding!$J$73:$BJ$73,Construction!$J$12:$BJ$12,"&lt;="&amp;Time!AM17),Debt!AM123)</f>
        <v>38.913523223286</v>
      </c>
      <c r="AN22" s="11" t="n">
        <f aca="false">IF(Time!AN17&lt;Time!$F$11,SUMIFS(Funding!$J$73:$BJ$73,Construction!$J$12:$BJ$12,"&lt;="&amp;Time!AN17),Debt!AN123)</f>
        <v>19.5998212614359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780</v>
      </c>
      <c r="E23" s="0" t="s">
        <v>149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29.634167649297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51.8343504997673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94.7377226041251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140.98795238094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171.295343826614</v>
      </c>
      <c r="O23" s="11" t="n">
        <f aca="false">IF(Time!O17&lt;Time!$F$11,SUMIFS(Funding!$J$70:$BJ$70,Construction!$J$12:$BJ$12,"&lt;="&amp;Time!O17)+SUMIFS(Funding!$J$71:$BJ$71,Construction!$J$12:$BJ$12,"&lt;="&amp;Time!O17),Waterfall!O36)</f>
        <v>187.044677598031</v>
      </c>
      <c r="P23" s="11" t="n">
        <f aca="false">IF(Time!P17&lt;Time!$F$11,SUMIFS(Funding!$J$70:$BJ$70,Construction!$J$12:$BJ$12,"&lt;="&amp;Time!P17)+SUMIFS(Funding!$J$71:$BJ$71,Construction!$J$12:$BJ$12,"&lt;="&amp;Time!P17),Waterfall!P36)</f>
        <v>221.02979762002</v>
      </c>
      <c r="Q23" s="11" t="n">
        <f aca="false">IF(Time!Q17&lt;Time!$F$11,SUMIFS(Funding!$J$70:$BJ$70,Construction!$J$12:$BJ$12,"&lt;="&amp;Time!Q17)+SUMIFS(Funding!$J$71:$BJ$71,Construction!$J$12:$BJ$12,"&lt;="&amp;Time!Q17),Waterfall!Q36)</f>
        <v>219.501282793206</v>
      </c>
      <c r="R23" s="11" t="n">
        <f aca="false">IF(Time!R17&lt;Time!$F$11,SUMIFS(Funding!$J$70:$BJ$70,Construction!$J$12:$BJ$12,"&lt;="&amp;Time!R17)+SUMIFS(Funding!$J$71:$BJ$71,Construction!$J$12:$BJ$12,"&lt;="&amp;Time!R17),Waterfall!R36)</f>
        <v>219.032163173438</v>
      </c>
      <c r="S23" s="11" t="n">
        <f aca="false">IF(Time!S17&lt;Time!$F$11,SUMIFS(Funding!$J$70:$BJ$70,Construction!$J$12:$BJ$12,"&lt;="&amp;Time!S17)+SUMIFS(Funding!$J$71:$BJ$71,Construction!$J$12:$BJ$12,"&lt;="&amp;Time!S17),Waterfall!S36)</f>
        <v>219.156920043259</v>
      </c>
      <c r="T23" s="11" t="n">
        <f aca="false">IF(Time!T17&lt;Time!$F$11,SUMIFS(Funding!$J$70:$BJ$70,Construction!$J$12:$BJ$12,"&lt;="&amp;Time!T17)+SUMIFS(Funding!$J$71:$BJ$71,Construction!$J$12:$BJ$12,"&lt;="&amp;Time!T17),Waterfall!T36)</f>
        <v>218.681469789898</v>
      </c>
      <c r="U23" s="11" t="n">
        <f aca="false">IF(Time!U17&lt;Time!$F$11,SUMIFS(Funding!$J$70:$BJ$70,Construction!$J$12:$BJ$12,"&lt;="&amp;Time!U17)+SUMIFS(Funding!$J$71:$BJ$71,Construction!$J$12:$BJ$12,"&lt;="&amp;Time!U17),Waterfall!U36)</f>
        <v>219.166735133334</v>
      </c>
      <c r="V23" s="11" t="n">
        <f aca="false">IF(Time!V17&lt;Time!$F$11,SUMIFS(Funding!$J$70:$BJ$70,Construction!$J$12:$BJ$12,"&lt;="&amp;Time!V17)+SUMIFS(Funding!$J$71:$BJ$71,Construction!$J$12:$BJ$12,"&lt;="&amp;Time!V17),Waterfall!V36)</f>
        <v>219.002087113797</v>
      </c>
      <c r="W23" s="11" t="n">
        <f aca="false">IF(Time!W17&lt;Time!$F$11,SUMIFS(Funding!$J$70:$BJ$70,Construction!$J$12:$BJ$12,"&lt;="&amp;Time!W17)+SUMIFS(Funding!$J$71:$BJ$71,Construction!$J$12:$BJ$12,"&lt;="&amp;Time!W17),Waterfall!W36)</f>
        <v>217.263649296022</v>
      </c>
      <c r="X23" s="11" t="n">
        <f aca="false">IF(Time!X17&lt;Time!$F$11,SUMIFS(Funding!$J$70:$BJ$70,Construction!$J$12:$BJ$12,"&lt;="&amp;Time!X17)+SUMIFS(Funding!$J$71:$BJ$71,Construction!$J$12:$BJ$12,"&lt;="&amp;Time!X17),Waterfall!X36)</f>
        <v>214.678068995277</v>
      </c>
      <c r="Y23" s="11" t="n">
        <f aca="false">IF(Time!Y17&lt;Time!$F$11,SUMIFS(Funding!$J$70:$BJ$70,Construction!$J$12:$BJ$12,"&lt;="&amp;Time!Y17)+SUMIFS(Funding!$J$71:$BJ$71,Construction!$J$12:$BJ$12,"&lt;="&amp;Time!Y17),Waterfall!Y36)</f>
        <v>214.615843692804</v>
      </c>
      <c r="Z23" s="11" t="n">
        <f aca="false">IF(Time!Z17&lt;Time!$F$11,SUMIFS(Funding!$J$70:$BJ$70,Construction!$J$12:$BJ$12,"&lt;="&amp;Time!Z17)+SUMIFS(Funding!$J$71:$BJ$71,Construction!$J$12:$BJ$12,"&lt;="&amp;Time!Z17),Waterfall!Z36)</f>
        <v>213.884087689858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218.980391843946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223.588343730276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228.825567919739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233.870732417523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238.022587064675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241.344411335544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244.576902311723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246.965035668904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248.627609864905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248.957507398738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247.495528151471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227.77996592899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205.89965818154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182.323756233638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140.253249194809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95.6312289842153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49.1505604649773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8.56602088030788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781</v>
      </c>
      <c r="E24" s="0" t="s">
        <v>149</v>
      </c>
      <c r="J24" s="11" t="n">
        <f aca="false">Operations!J86+Operations!J87+Operations!J88+Operations!J89+Operations!J90</f>
        <v>0</v>
      </c>
      <c r="K24" s="11" t="n">
        <f aca="false">Operations!K86+Operations!K87+Operations!K88+Operations!K89+Operations!K90</f>
        <v>0</v>
      </c>
      <c r="L24" s="11" t="n">
        <f aca="false">Operations!L86+Operations!L87+Operations!L88+Operations!L89+Operations!L90</f>
        <v>0</v>
      </c>
      <c r="M24" s="11" t="n">
        <f aca="false">Operations!M86+Operations!M87+Operations!M88+Operations!M89+Operations!M90</f>
        <v>0</v>
      </c>
      <c r="N24" s="11" t="n">
        <f aca="false">Operations!N86+Operations!N87+Operations!N88+Operations!N89+Operations!N90</f>
        <v>0</v>
      </c>
      <c r="O24" s="11" t="n">
        <f aca="false">Operations!O86+Operations!O87+Operations!O88+Operations!O89+Operations!O90</f>
        <v>0</v>
      </c>
      <c r="P24" s="11" t="n">
        <f aca="false">Operations!P86+Operations!P87+Operations!P88+Operations!P89+Operations!P90</f>
        <v>24.1251152797341</v>
      </c>
      <c r="Q24" s="11" t="n">
        <f aca="false">Operations!Q86+Operations!Q87+Operations!Q88+Operations!Q89+Operations!Q90</f>
        <v>24.8176225194946</v>
      </c>
      <c r="R24" s="11" t="n">
        <f aca="false">Operations!R86+Operations!R87+Operations!R88+Operations!R89+Operations!R90</f>
        <v>24.401979455218</v>
      </c>
      <c r="S24" s="11" t="n">
        <f aca="false">Operations!S86+Operations!S87+Operations!S88+Operations!S89+Operations!S90</f>
        <v>25.0840122664817</v>
      </c>
      <c r="T24" s="11" t="n">
        <f aca="false">Operations!T86+Operations!T87+Operations!T88+Operations!T89+Operations!T90</f>
        <v>24.805030284142</v>
      </c>
      <c r="U24" s="11" t="n">
        <f aca="false">Operations!U86+Operations!U87+Operations!U88+Operations!U89+Operations!U90</f>
        <v>25.66011134635</v>
      </c>
      <c r="V24" s="11" t="n">
        <f aca="false">Operations!V86+Operations!V87+Operations!V88+Operations!V89+Operations!V90</f>
        <v>25.1744089679956</v>
      </c>
      <c r="W24" s="11" t="n">
        <f aca="false">Operations!W86+Operations!W87+Operations!W88+Operations!W89+Operations!W90</f>
        <v>25.4946903478022</v>
      </c>
      <c r="X24" s="11" t="n">
        <f aca="false">Operations!X86+Operations!X87+Operations!X88+Operations!X89+Operations!X90</f>
        <v>25.4015322303574</v>
      </c>
      <c r="Y24" s="11" t="n">
        <f aca="false">Operations!Y86+Operations!Y87+Operations!Y88+Operations!Y89+Operations!Y90</f>
        <v>26.8027054866946</v>
      </c>
      <c r="Z24" s="11" t="n">
        <f aca="false">Operations!Z86+Operations!Z87+Operations!Z88+Operations!Z89+Operations!Z90</f>
        <v>26.3532797747705</v>
      </c>
      <c r="AA24" s="11" t="n">
        <f aca="false">Operations!AA86+Operations!AA87+Operations!AA88+Operations!AA89+Operations!AA90</f>
        <v>27.0901516542687</v>
      </c>
      <c r="AB24" s="11" t="n">
        <f aca="false">Operations!AB86+Operations!AB87+Operations!AB88+Operations!AB89+Operations!AB90</f>
        <v>26.7885289640055</v>
      </c>
      <c r="AC24" s="11" t="n">
        <f aca="false">Operations!AC86+Operations!AC87+Operations!AC88+Operations!AC89+Operations!AC90</f>
        <v>27.7125284431198</v>
      </c>
      <c r="AD24" s="11" t="n">
        <f aca="false">Operations!AD86+Operations!AD87+Operations!AD88+Operations!AD89+Operations!AD90</f>
        <v>27.0225860457145</v>
      </c>
      <c r="AE24" s="11" t="n">
        <f aca="false">Operations!AE86+Operations!AE87+Operations!AE88+Operations!AE89+Operations!AE90</f>
        <v>27.0264335858061</v>
      </c>
      <c r="AF24" s="11" t="n">
        <f aca="false">Operations!AF86+Operations!AF87+Operations!AF88+Operations!AF89+Operations!AF90</f>
        <v>27.096269932717</v>
      </c>
      <c r="AG24" s="11" t="n">
        <f aca="false">Operations!AG86+Operations!AG87+Operations!AG88+Operations!AG89+Operations!AG90</f>
        <v>28.9468608363791</v>
      </c>
      <c r="AH24" s="11" t="n">
        <f aca="false">Operations!AH86+Operations!AH87+Operations!AH88+Operations!AH89+Operations!AH90</f>
        <v>28.4609189638602</v>
      </c>
      <c r="AI24" s="11" t="n">
        <f aca="false">Operations!AI86+Operations!AI87+Operations!AI88+Operations!AI89+Operations!AI90</f>
        <v>29.2570276356984</v>
      </c>
      <c r="AJ24" s="11" t="n">
        <f aca="false">Operations!AJ86+Operations!AJ87+Operations!AJ88+Operations!AJ89+Operations!AJ90</f>
        <v>28.9309326421223</v>
      </c>
      <c r="AK24" s="11" t="n">
        <f aca="false">Operations!AK86+Operations!AK87+Operations!AK88+Operations!AK89+Operations!AK90</f>
        <v>29.9293819501709</v>
      </c>
      <c r="AL24" s="11" t="n">
        <f aca="false">Operations!AL86+Operations!AL87+Operations!AL88+Operations!AL89+Operations!AL90</f>
        <v>29.3615363032786</v>
      </c>
      <c r="AM24" s="11" t="n">
        <f aca="false">Operations!AM86+Operations!AM87+Operations!AM88+Operations!AM89+Operations!AM90</f>
        <v>29.7344937055108</v>
      </c>
      <c r="AN24" s="11" t="n">
        <f aca="false">Operations!AN86+Operations!AN87+Operations!AN88+Operations!AN89+Operations!AN90</f>
        <v>29.6257395758665</v>
      </c>
      <c r="AO24" s="11" t="n">
        <f aca="false">Operations!AO86+Operations!AO87+Operations!AO88+Operations!AO89+Operations!AO90</f>
        <v>31.2627949878765</v>
      </c>
      <c r="AP24" s="11" t="n">
        <f aca="false">Operations!AP86+Operations!AP87+Operations!AP88+Operations!AP89+Operations!AP90</f>
        <v>30.7373841140327</v>
      </c>
      <c r="AQ24" s="11" t="n">
        <f aca="false">Operations!AQ86+Operations!AQ87+Operations!AQ88+Operations!AQ89+Operations!AQ90</f>
        <v>31.597477887708</v>
      </c>
      <c r="AR24" s="11" t="n">
        <f aca="false">Operations!AR86+Operations!AR87+Operations!AR88+Operations!AR89+Operations!AR90</f>
        <v>31.2449321130047</v>
      </c>
      <c r="AS24" s="11" t="n">
        <f aca="false">Operations!AS86+Operations!AS87+Operations!AS88+Operations!AS89+Operations!AS90</f>
        <v>32.3238037588629</v>
      </c>
      <c r="AT24" s="11" t="n">
        <f aca="false">Operations!AT86+Operations!AT87+Operations!AT88+Operations!AT89+Operations!AT90</f>
        <v>31.517161848582</v>
      </c>
      <c r="AU24" s="11" t="n">
        <f aca="false">Operations!AU86+Operations!AU87+Operations!AU88+Operations!AU89+Operations!AU90</f>
        <v>31.5201703342723</v>
      </c>
      <c r="AV24" s="11" t="n">
        <f aca="false">Operations!AV86+Operations!AV87+Operations!AV88+Operations!AV89+Operations!AV90</f>
        <v>31.6018232460227</v>
      </c>
      <c r="AW24" s="11" t="n">
        <f aca="false">Operations!AW86+Operations!AW87+Operations!AW88+Operations!AW89+Operations!AW90</f>
        <v>33.7642246102726</v>
      </c>
      <c r="AX24" s="11" t="n">
        <f aca="false">Operations!AX86+Operations!AX87+Operations!AX88+Operations!AX89+Operations!AX90</f>
        <v>33.1961551310667</v>
      </c>
      <c r="AY24" s="11" t="n">
        <f aca="false">Operations!AY86+Operations!AY87+Operations!AY88+Operations!AY89+Operations!AY90</f>
        <v>34.125360649526</v>
      </c>
      <c r="AZ24" s="11" t="n">
        <f aca="false">Operations!AZ86+Operations!AZ87+Operations!AZ88+Operations!AZ89+Operations!AZ90</f>
        <v>33.744227067728</v>
      </c>
      <c r="BA24" s="11" t="n">
        <f aca="false">Operations!BA86+Operations!BA87+Operations!BA88+Operations!BA89+Operations!BA90</f>
        <v>34.9099695626066</v>
      </c>
      <c r="BB24" s="11" t="n">
        <f aca="false">Operations!BB86+Operations!BB87+Operations!BB88+Operations!BB89+Operations!BB90</f>
        <v>34.2461818870144</v>
      </c>
      <c r="BC24" s="11" t="n">
        <f aca="false">Operations!BC86+Operations!BC87+Operations!BC88+Operations!BC89+Operations!BC90</f>
        <v>34.6804979267079</v>
      </c>
      <c r="BD24" s="11" t="n">
        <f aca="false">Operations!BD86+Operations!BD87+Operations!BD88+Operations!BD89+Operations!BD90</f>
        <v>34.5535261683125</v>
      </c>
      <c r="BE24" s="11" t="n">
        <f aca="false">Operations!BE86+Operations!BE87+Operations!BE88+Operations!BE89+Operations!BE90</f>
        <v>36.4659564608307</v>
      </c>
      <c r="BF24" s="11" t="n">
        <f aca="false">Operations!BF86+Operations!BF87+Operations!BF88+Operations!BF89+Operations!BF90</f>
        <v>35.851783201756</v>
      </c>
      <c r="BG24" s="11" t="n">
        <f aca="false">Operations!BG86+Operations!BG87+Operations!BG88+Operations!BG89+Operations!BG90</f>
        <v>36.8556353668697</v>
      </c>
      <c r="BH24" s="11" t="n">
        <f aca="false">Operations!BH86+Operations!BH87+Operations!BH88+Operations!BH89+Operations!BH90</f>
        <v>36.4436058216668</v>
      </c>
      <c r="BI24" s="11" t="n">
        <f aca="false">Operations!BI86+Operations!BI87+Operations!BI88+Operations!BI89+Operations!BI90</f>
        <v>37.7031813218419</v>
      </c>
      <c r="BJ24" s="11" t="n">
        <f aca="false">Operations!BJ86+Operations!BJ87+Operations!BJ88+Operations!BJ89+Operations!BJ90</f>
        <v>36.7602418957956</v>
      </c>
      <c r="BK24" s="11" t="n">
        <f aca="false">Operations!BK86+Operations!BK87+Operations!BK88+Operations!BK89+Operations!BK90</f>
        <v>36.7621070457488</v>
      </c>
      <c r="BL24" s="11" t="n">
        <f aca="false">Operations!BL86+Operations!BL87+Operations!BL88+Operations!BL89+Operations!BL90</f>
        <v>36.8575402047224</v>
      </c>
      <c r="BM24" s="11" t="n">
        <f aca="false">Operations!BM86+Operations!BM87+Operations!BM88+Operations!BM89+Operations!BM90</f>
        <v>39.3839734861197</v>
      </c>
      <c r="BN24" s="11" t="n">
        <f aca="false">Operations!BN86+Operations!BN87+Operations!BN88+Operations!BN89+Operations!BN90</f>
        <v>0</v>
      </c>
    </row>
    <row r="25" customFormat="false" ht="15" hidden="false" customHeight="false" outlineLevel="0" collapsed="false">
      <c r="D25" s="0" t="s">
        <v>782</v>
      </c>
      <c r="E25" s="0" t="s">
        <v>149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</v>
      </c>
      <c r="AK25" s="11" t="n">
        <f aca="false">MAX(0,AK12)</f>
        <v>0</v>
      </c>
      <c r="AL25" s="11" t="n">
        <f aca="false">MAX(0,AL12)</f>
        <v>0</v>
      </c>
      <c r="AM25" s="11" t="n">
        <f aca="false">MAX(0,AM12)</f>
        <v>2.25109988575463</v>
      </c>
      <c r="AN25" s="11" t="n">
        <f aca="false">MAX(0,AN12)</f>
        <v>9.84059040566008</v>
      </c>
      <c r="AO25" s="11" t="n">
        <f aca="false">MAX(0,AO12)</f>
        <v>17.9682006654995</v>
      </c>
      <c r="AP25" s="11" t="n">
        <f aca="false">MAX(0,AP12)</f>
        <v>26.8634363693293</v>
      </c>
      <c r="AQ25" s="11" t="n">
        <f aca="false">MAX(0,AQ12)</f>
        <v>36.4751014472153</v>
      </c>
      <c r="AR25" s="11" t="n">
        <f aca="false">MAX(0,AR12)</f>
        <v>37.687667907411</v>
      </c>
      <c r="AS25" s="11" t="n">
        <f aca="false">MAX(0,AS12)</f>
        <v>38.7394167792457</v>
      </c>
      <c r="AT25" s="11" t="n">
        <f aca="false">MAX(0,AT12)</f>
        <v>39.7911656510804</v>
      </c>
      <c r="AU25" s="11" t="n">
        <f aca="false">MAX(0,AU12)</f>
        <v>40.8429145229151</v>
      </c>
      <c r="AV25" s="11" t="n">
        <f aca="false">MAX(0,AV12)</f>
        <v>41.8946633947499</v>
      </c>
      <c r="AW25" s="11" t="n">
        <f aca="false">MAX(0,AW12)</f>
        <v>42.9464122665846</v>
      </c>
      <c r="AX25" s="11" t="n">
        <f aca="false">MAX(0,AX12)</f>
        <v>43.9981611384193</v>
      </c>
      <c r="AY25" s="11" t="n">
        <f aca="false">MAX(0,AY12)</f>
        <v>45.0499100102541</v>
      </c>
      <c r="AZ25" s="11" t="n">
        <f aca="false">MAX(0,AZ12)</f>
        <v>46.1016588820888</v>
      </c>
      <c r="BA25" s="11" t="n">
        <f aca="false">MAX(0,BA12)</f>
        <v>47.1534077539235</v>
      </c>
      <c r="BB25" s="11" t="n">
        <f aca="false">MAX(0,BB12)</f>
        <v>48.2051566257583</v>
      </c>
      <c r="BC25" s="11" t="n">
        <f aca="false">MAX(0,BC12)</f>
        <v>49.256905497593</v>
      </c>
      <c r="BD25" s="11" t="n">
        <f aca="false">MAX(0,BD12)</f>
        <v>48.2928023650778</v>
      </c>
      <c r="BE25" s="11" t="n">
        <f aca="false">MAX(0,BE12)</f>
        <v>43.2969952238628</v>
      </c>
      <c r="BF25" s="11" t="n">
        <f aca="false">MAX(0,BF12)</f>
        <v>38.3011880826479</v>
      </c>
      <c r="BG25" s="11" t="n">
        <f aca="false">MAX(0,BG12)</f>
        <v>33.305380941433</v>
      </c>
      <c r="BH25" s="11" t="n">
        <f aca="false">MAX(0,BH12)</f>
        <v>28.309573800218</v>
      </c>
      <c r="BI25" s="11" t="n">
        <f aca="false">MAX(0,BI12)</f>
        <v>23.3137666590031</v>
      </c>
      <c r="BJ25" s="11" t="n">
        <f aca="false">MAX(0,BJ12)</f>
        <v>18.3179595177881</v>
      </c>
      <c r="BK25" s="11" t="n">
        <f aca="false">MAX(0,BK12)</f>
        <v>13.3221523765732</v>
      </c>
      <c r="BL25" s="11" t="n">
        <f aca="false">MAX(0,BL12)</f>
        <v>8.32634523535823</v>
      </c>
      <c r="BM25" s="11" t="n">
        <f aca="false">MAX(0,BM12)</f>
        <v>3.33053809414332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627</v>
      </c>
      <c r="E26" s="0" t="s">
        <v>149</v>
      </c>
      <c r="J26" s="11" t="n">
        <f aca="false">SUMIFS(Funding!$J$69:$BJ$69,Construction!$J$12:$BJ$12,"&lt;="&amp;Time!J17)</f>
        <v>7.19744952781319</v>
      </c>
      <c r="K26" s="11" t="n">
        <f aca="false">SUMIFS(Funding!$J$69:$BJ$69,Construction!$J$12:$BJ$12,"&lt;="&amp;Time!K17)</f>
        <v>12.3119787773403</v>
      </c>
      <c r="L26" s="11" t="n">
        <f aca="false">SUMIFS(Funding!$J$69:$BJ$69,Construction!$J$12:$BJ$12,"&lt;="&amp;Time!L17)</f>
        <v>22.2174842412847</v>
      </c>
      <c r="M26" s="11" t="n">
        <f aca="false">SUMIFS(Funding!$J$69:$BJ$69,Construction!$J$12:$BJ$12,"&lt;="&amp;Time!M17)</f>
        <v>32.4208002487438</v>
      </c>
      <c r="N26" s="11" t="n">
        <f aca="false">SUMIFS(Funding!$J$69:$BJ$69,Construction!$J$12:$BJ$12,"&lt;="&amp;Time!N17)</f>
        <v>38.1389590114841</v>
      </c>
      <c r="O26" s="11" t="n">
        <f aca="false">SUMIFS(Funding!$J$69:$BJ$69,Construction!$J$12:$BJ$12,"&lt;="&amp;Time!O17)</f>
        <v>39.9769221695297</v>
      </c>
      <c r="P26" s="11" t="n">
        <f aca="false">SUMIFS(Funding!$J$69:$BJ$69,Construction!$J$12:$BJ$12,"&lt;="&amp;Time!P17)</f>
        <v>46.0821366316148</v>
      </c>
      <c r="Q26" s="11" t="n">
        <f aca="false">SUMIFS(Funding!$J$69:$BJ$69,Construction!$J$12:$BJ$12,"&lt;="&amp;Time!Q17)</f>
        <v>46.0821366316148</v>
      </c>
      <c r="R26" s="11" t="n">
        <f aca="false">SUMIFS(Funding!$J$69:$BJ$69,Construction!$J$12:$BJ$12,"&lt;="&amp;Time!R17)</f>
        <v>46.0821366316148</v>
      </c>
      <c r="S26" s="11" t="n">
        <f aca="false">SUMIFS(Funding!$J$69:$BJ$69,Construction!$J$12:$BJ$12,"&lt;="&amp;Time!S17)</f>
        <v>46.0821366316148</v>
      </c>
      <c r="T26" s="11" t="n">
        <f aca="false">SUMIFS(Funding!$J$69:$BJ$69,Construction!$J$12:$BJ$12,"&lt;="&amp;Time!T17)</f>
        <v>46.0821366316148</v>
      </c>
      <c r="U26" s="11" t="n">
        <f aca="false">SUMIFS(Funding!$J$69:$BJ$69,Construction!$J$12:$BJ$12,"&lt;="&amp;Time!U17)</f>
        <v>46.0821366316148</v>
      </c>
      <c r="V26" s="11" t="n">
        <f aca="false">SUMIFS(Funding!$J$69:$BJ$69,Construction!$J$12:$BJ$12,"&lt;="&amp;Time!V17)</f>
        <v>46.0821366316148</v>
      </c>
      <c r="W26" s="11" t="n">
        <f aca="false">SUMIFS(Funding!$J$69:$BJ$69,Construction!$J$12:$BJ$12,"&lt;="&amp;Time!W17)</f>
        <v>46.0821366316148</v>
      </c>
      <c r="X26" s="11" t="n">
        <f aca="false">SUMIFS(Funding!$J$69:$BJ$69,Construction!$J$12:$BJ$12,"&lt;="&amp;Time!X17)</f>
        <v>46.0821366316148</v>
      </c>
      <c r="Y26" s="11" t="n">
        <f aca="false">SUMIFS(Funding!$J$69:$BJ$69,Construction!$J$12:$BJ$12,"&lt;="&amp;Time!Y17)</f>
        <v>46.0821366316148</v>
      </c>
      <c r="Z26" s="11" t="n">
        <f aca="false">SUMIFS(Funding!$J$69:$BJ$69,Construction!$J$12:$BJ$12,"&lt;="&amp;Time!Z17)</f>
        <v>46.0821366316148</v>
      </c>
      <c r="AA26" s="11" t="n">
        <f aca="false">SUMIFS(Funding!$J$69:$BJ$69,Construction!$J$12:$BJ$12,"&lt;="&amp;Time!AA17)</f>
        <v>46.0821366316148</v>
      </c>
      <c r="AB26" s="11" t="n">
        <f aca="false">SUMIFS(Funding!$J$69:$BJ$69,Construction!$J$12:$BJ$12,"&lt;="&amp;Time!AB17)</f>
        <v>46.0821366316148</v>
      </c>
      <c r="AC26" s="11" t="n">
        <f aca="false">SUMIFS(Funding!$J$69:$BJ$69,Construction!$J$12:$BJ$12,"&lt;="&amp;Time!AC17)</f>
        <v>46.0821366316148</v>
      </c>
      <c r="AD26" s="11" t="n">
        <f aca="false">SUMIFS(Funding!$J$69:$BJ$69,Construction!$J$12:$BJ$12,"&lt;="&amp;Time!AD17)</f>
        <v>46.0821366316148</v>
      </c>
      <c r="AE26" s="11" t="n">
        <f aca="false">SUMIFS(Funding!$J$69:$BJ$69,Construction!$J$12:$BJ$12,"&lt;="&amp;Time!AE17)</f>
        <v>46.0821366316148</v>
      </c>
      <c r="AF26" s="11" t="n">
        <f aca="false">SUMIFS(Funding!$J$69:$BJ$69,Construction!$J$12:$BJ$12,"&lt;="&amp;Time!AF17)</f>
        <v>46.0821366316148</v>
      </c>
      <c r="AG26" s="11" t="n">
        <f aca="false">SUMIFS(Funding!$J$69:$BJ$69,Construction!$J$12:$BJ$12,"&lt;="&amp;Time!AG17)</f>
        <v>46.0821366316148</v>
      </c>
      <c r="AH26" s="11" t="n">
        <f aca="false">SUMIFS(Funding!$J$69:$BJ$69,Construction!$J$12:$BJ$12,"&lt;="&amp;Time!AH17)</f>
        <v>46.0821366316148</v>
      </c>
      <c r="AI26" s="11" t="n">
        <f aca="false">SUMIFS(Funding!$J$69:$BJ$69,Construction!$J$12:$BJ$12,"&lt;="&amp;Time!AI17)</f>
        <v>46.0821366316148</v>
      </c>
      <c r="AJ26" s="11" t="n">
        <f aca="false">SUMIFS(Funding!$J$69:$BJ$69,Construction!$J$12:$BJ$12,"&lt;="&amp;Time!AJ17)</f>
        <v>46.0821366316148</v>
      </c>
      <c r="AK26" s="11" t="n">
        <f aca="false">SUMIFS(Funding!$J$69:$BJ$69,Construction!$J$12:$BJ$12,"&lt;="&amp;Time!AK17)</f>
        <v>46.0821366316148</v>
      </c>
      <c r="AL26" s="11" t="n">
        <f aca="false">SUMIFS(Funding!$J$69:$BJ$69,Construction!$J$12:$BJ$12,"&lt;="&amp;Time!AL17)</f>
        <v>46.0821366316148</v>
      </c>
      <c r="AM26" s="11" t="n">
        <f aca="false">SUMIFS(Funding!$J$69:$BJ$69,Construction!$J$12:$BJ$12,"&lt;="&amp;Time!AM17)</f>
        <v>46.0821366316148</v>
      </c>
      <c r="AN26" s="11" t="n">
        <f aca="false">SUMIFS(Funding!$J$69:$BJ$69,Construction!$J$12:$BJ$12,"&lt;="&amp;Time!AN17)</f>
        <v>46.0821366316148</v>
      </c>
      <c r="AO26" s="11" t="n">
        <f aca="false">SUMIFS(Funding!$J$69:$BJ$69,Construction!$J$12:$BJ$12,"&lt;="&amp;Time!AO17)</f>
        <v>46.0821366316148</v>
      </c>
      <c r="AP26" s="11" t="n">
        <f aca="false">SUMIFS(Funding!$J$69:$BJ$69,Construction!$J$12:$BJ$12,"&lt;="&amp;Time!AP17)</f>
        <v>46.0821366316148</v>
      </c>
      <c r="AQ26" s="11" t="n">
        <f aca="false">SUMIFS(Funding!$J$69:$BJ$69,Construction!$J$12:$BJ$12,"&lt;="&amp;Time!AQ17)</f>
        <v>46.0821366316148</v>
      </c>
      <c r="AR26" s="11" t="n">
        <f aca="false">SUMIFS(Funding!$J$69:$BJ$69,Construction!$J$12:$BJ$12,"&lt;="&amp;Time!AR17)</f>
        <v>46.0821366316148</v>
      </c>
      <c r="AS26" s="11" t="n">
        <f aca="false">SUMIFS(Funding!$J$69:$BJ$69,Construction!$J$12:$BJ$12,"&lt;="&amp;Time!AS17)</f>
        <v>46.0821366316148</v>
      </c>
      <c r="AT26" s="11" t="n">
        <f aca="false">SUMIFS(Funding!$J$69:$BJ$69,Construction!$J$12:$BJ$12,"&lt;="&amp;Time!AT17)</f>
        <v>46.0821366316148</v>
      </c>
      <c r="AU26" s="11" t="n">
        <f aca="false">SUMIFS(Funding!$J$69:$BJ$69,Construction!$J$12:$BJ$12,"&lt;="&amp;Time!AU17)</f>
        <v>46.0821366316148</v>
      </c>
      <c r="AV26" s="11" t="n">
        <f aca="false">SUMIFS(Funding!$J$69:$BJ$69,Construction!$J$12:$BJ$12,"&lt;="&amp;Time!AV17)</f>
        <v>46.0821366316148</v>
      </c>
      <c r="AW26" s="11" t="n">
        <f aca="false">SUMIFS(Funding!$J$69:$BJ$69,Construction!$J$12:$BJ$12,"&lt;="&amp;Time!AW17)</f>
        <v>46.0821366316148</v>
      </c>
      <c r="AX26" s="11" t="n">
        <f aca="false">SUMIFS(Funding!$J$69:$BJ$69,Construction!$J$12:$BJ$12,"&lt;="&amp;Time!AX17)</f>
        <v>46.0821366316148</v>
      </c>
      <c r="AY26" s="11" t="n">
        <f aca="false">SUMIFS(Funding!$J$69:$BJ$69,Construction!$J$12:$BJ$12,"&lt;="&amp;Time!AY17)</f>
        <v>46.0821366316148</v>
      </c>
      <c r="AZ26" s="11" t="n">
        <f aca="false">SUMIFS(Funding!$J$69:$BJ$69,Construction!$J$12:$BJ$12,"&lt;="&amp;Time!AZ17)</f>
        <v>46.0821366316148</v>
      </c>
      <c r="BA26" s="11" t="n">
        <f aca="false">SUMIFS(Funding!$J$69:$BJ$69,Construction!$J$12:$BJ$12,"&lt;="&amp;Time!BA17)</f>
        <v>46.0821366316148</v>
      </c>
      <c r="BB26" s="11" t="n">
        <f aca="false">SUMIFS(Funding!$J$69:$BJ$69,Construction!$J$12:$BJ$12,"&lt;="&amp;Time!BB17)</f>
        <v>46.0821366316148</v>
      </c>
      <c r="BC26" s="11" t="n">
        <f aca="false">SUMIFS(Funding!$J$69:$BJ$69,Construction!$J$12:$BJ$12,"&lt;="&amp;Time!BC17)</f>
        <v>46.0821366316148</v>
      </c>
      <c r="BD26" s="11" t="n">
        <f aca="false">SUMIFS(Funding!$J$69:$BJ$69,Construction!$J$12:$BJ$12,"&lt;="&amp;Time!BD17)</f>
        <v>46.0821366316148</v>
      </c>
      <c r="BE26" s="11" t="n">
        <f aca="false">SUMIFS(Funding!$J$69:$BJ$69,Construction!$J$12:$BJ$12,"&lt;="&amp;Time!BE17)</f>
        <v>46.0821366316148</v>
      </c>
      <c r="BF26" s="11" t="n">
        <f aca="false">SUMIFS(Funding!$J$69:$BJ$69,Construction!$J$12:$BJ$12,"&lt;="&amp;Time!BF17)</f>
        <v>46.0821366316148</v>
      </c>
      <c r="BG26" s="11" t="n">
        <f aca="false">SUMIFS(Funding!$J$69:$BJ$69,Construction!$J$12:$BJ$12,"&lt;="&amp;Time!BG17)</f>
        <v>46.0821366316148</v>
      </c>
      <c r="BH26" s="11" t="n">
        <f aca="false">SUMIFS(Funding!$J$69:$BJ$69,Construction!$J$12:$BJ$12,"&lt;="&amp;Time!BH17)</f>
        <v>46.0821366316148</v>
      </c>
      <c r="BI26" s="11" t="n">
        <f aca="false">SUMIFS(Funding!$J$69:$BJ$69,Construction!$J$12:$BJ$12,"&lt;="&amp;Time!BI17)</f>
        <v>46.0821366316148</v>
      </c>
      <c r="BJ26" s="11" t="n">
        <f aca="false">SUMIFS(Funding!$J$69:$BJ$69,Construction!$J$12:$BJ$12,"&lt;="&amp;Time!BJ17)</f>
        <v>46.0821366316148</v>
      </c>
      <c r="BK26" s="11" t="n">
        <f aca="false">SUMIFS(Funding!$J$69:$BJ$69,Construction!$J$12:$BJ$12,"&lt;="&amp;Time!BK17)</f>
        <v>46.0821366316148</v>
      </c>
      <c r="BL26" s="11" t="n">
        <f aca="false">SUMIFS(Funding!$J$69:$BJ$69,Construction!$J$12:$BJ$12,"&lt;="&amp;Time!BL17)</f>
        <v>46.0821366316148</v>
      </c>
      <c r="BM26" s="11" t="n">
        <f aca="false">SUMIFS(Funding!$J$69:$BJ$69,Construction!$J$12:$BJ$12,"&lt;="&amp;Time!BM17)</f>
        <v>46.0821366316148</v>
      </c>
      <c r="BN26" s="11" t="n">
        <f aca="false">SUMIFS(Funding!$J$69:$BJ$69,Construction!$J$12:$BJ$12,"&lt;="&amp;Time!BN17)</f>
        <v>46.0821366316148</v>
      </c>
    </row>
    <row r="27" customFormat="false" ht="15" hidden="false" customHeight="false" outlineLevel="0" collapsed="false">
      <c r="D27" s="0" t="s">
        <v>783</v>
      </c>
      <c r="E27" s="0" t="s">
        <v>149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0</v>
      </c>
      <c r="P27" s="16" t="n">
        <f aca="false">Waterfall!P43</f>
        <v>9.37854471002205</v>
      </c>
      <c r="Q27" s="16" t="n">
        <f aca="false">Waterfall!Q43</f>
        <v>15.1014689248956</v>
      </c>
      <c r="R27" s="16" t="n">
        <f aca="false">Waterfall!R43</f>
        <v>21.2470203710082</v>
      </c>
      <c r="S27" s="16" t="n">
        <f aca="false">Waterfall!S43</f>
        <v>28.5860326424422</v>
      </c>
      <c r="T27" s="16" t="n">
        <f aca="false">Waterfall!T43</f>
        <v>36.2431322835115</v>
      </c>
      <c r="U27" s="16" t="n">
        <f aca="false">Waterfall!U43</f>
        <v>44.9350451313272</v>
      </c>
      <c r="V27" s="16" t="n">
        <f aca="false">Waterfall!V43</f>
        <v>54.1960575871065</v>
      </c>
      <c r="W27" s="16" t="n">
        <f aca="false">Waterfall!W43</f>
        <v>62.2781835280853</v>
      </c>
      <c r="X27" s="16" t="n">
        <f aca="false">Waterfall!X43</f>
        <v>73.4061959378</v>
      </c>
      <c r="Y27" s="16" t="n">
        <f aca="false">Waterfall!Y43</f>
        <v>85.2247299691766</v>
      </c>
      <c r="Z27" s="16" t="n">
        <f aca="false">Waterfall!Z43</f>
        <v>94.9900299306117</v>
      </c>
      <c r="AA27" s="16" t="n">
        <f aca="false">Waterfall!AA43</f>
        <v>100.521739243853</v>
      </c>
      <c r="AB27" s="16" t="n">
        <f aca="false">Waterfall!AB43</f>
        <v>106.448545309505</v>
      </c>
      <c r="AC27" s="16" t="n">
        <f aca="false">Waterfall!AC43</f>
        <v>113.222667739683</v>
      </c>
      <c r="AD27" s="16" t="n">
        <f aca="false">Waterfall!AD43</f>
        <v>120.597627027737</v>
      </c>
      <c r="AE27" s="16" t="n">
        <f aca="false">Waterfall!AE43</f>
        <v>118.905959772213</v>
      </c>
      <c r="AF27" s="16" t="n">
        <f aca="false">Waterfall!AF43</f>
        <v>129.073207215107</v>
      </c>
      <c r="AG27" s="16" t="n">
        <f aca="false">Waterfall!AG43</f>
        <v>138.899882867418</v>
      </c>
      <c r="AH27" s="16" t="n">
        <f aca="false">Waterfall!AH43</f>
        <v>149.462412616022</v>
      </c>
      <c r="AI27" s="16" t="n">
        <f aca="false">Waterfall!AI43</f>
        <v>161.225692624158</v>
      </c>
      <c r="AJ27" s="16" t="n">
        <f aca="false">Waterfall!AJ43</f>
        <v>173.812852299616</v>
      </c>
      <c r="AK27" s="16" t="n">
        <f aca="false">Waterfall!AK43</f>
        <v>187.569165993154</v>
      </c>
      <c r="AL27" s="16" t="n">
        <f aca="false">Waterfall!AL43</f>
        <v>202.38938441269</v>
      </c>
      <c r="AM27" s="16" t="n">
        <f aca="false">Waterfall!AM43</f>
        <v>216.523075993528</v>
      </c>
      <c r="AN27" s="16" t="n">
        <f aca="false">Waterfall!AN43</f>
        <v>233.852387167608</v>
      </c>
      <c r="AO27" s="16" t="n">
        <f aca="false">Waterfall!AO43</f>
        <v>252.434296405148</v>
      </c>
      <c r="AP27" s="16" t="n">
        <f aca="false">Waterfall!AP43</f>
        <v>272.805562234217</v>
      </c>
      <c r="AQ27" s="16" t="n">
        <f aca="false">Waterfall!AQ43</f>
        <v>294.846870154496</v>
      </c>
      <c r="AR27" s="16" t="n">
        <f aca="false">Waterfall!AR43</f>
        <v>318.862809477107</v>
      </c>
      <c r="AS27" s="16" t="n">
        <f aca="false">Waterfall!AS43</f>
        <v>311.46641140224</v>
      </c>
      <c r="AT27" s="16" t="n">
        <f aca="false">Waterfall!AT43</f>
        <v>295.144178863546</v>
      </c>
      <c r="AU27" s="16" t="n">
        <f aca="false">Waterfall!AU43</f>
        <v>262.4041107954</v>
      </c>
      <c r="AV27" s="16" t="n">
        <f aca="false">Waterfall!AV43</f>
        <v>243.873789416862</v>
      </c>
      <c r="AW27" s="16" t="n">
        <f aca="false">Waterfall!AW43</f>
        <v>226.226420949574</v>
      </c>
      <c r="AX27" s="16" t="n">
        <f aca="false">Waterfall!AX43</f>
        <v>208.039028126517</v>
      </c>
      <c r="AY27" s="16" t="n">
        <f aca="false">Waterfall!AY43</f>
        <v>190.395564233452</v>
      </c>
      <c r="AZ27" s="16" t="n">
        <f aca="false">Waterfall!AZ43</f>
        <v>172.207349431699</v>
      </c>
      <c r="BA27" s="16" t="n">
        <f aca="false">Waterfall!BA43</f>
        <v>154.478028015633</v>
      </c>
      <c r="BB27" s="16" t="n">
        <f aca="false">Waterfall!BB43</f>
        <v>136.878928299426</v>
      </c>
      <c r="BC27" s="16" t="n">
        <f aca="false">Waterfall!BC43</f>
        <v>116.588347587686</v>
      </c>
      <c r="BD27" s="16" t="n">
        <f aca="false">Waterfall!BD43</f>
        <v>101.352231498083</v>
      </c>
      <c r="BE27" s="16" t="n">
        <f aca="false">Waterfall!BE43</f>
        <v>93.5453634193787</v>
      </c>
      <c r="BF27" s="16" t="n">
        <f aca="false">Waterfall!BF43</f>
        <v>85.1994745028921</v>
      </c>
      <c r="BG27" s="16" t="n">
        <f aca="false">Waterfall!BG43</f>
        <v>77.4320899582483</v>
      </c>
      <c r="BH27" s="16" t="n">
        <f aca="false">Waterfall!BH43</f>
        <v>69.1195203375604</v>
      </c>
      <c r="BI27" s="16" t="n">
        <f aca="false">Waterfall!BI43</f>
        <v>61.297981511237</v>
      </c>
      <c r="BJ27" s="16" t="n">
        <f aca="false">Waterfall!BJ43</f>
        <v>53.1135038950017</v>
      </c>
      <c r="BK27" s="16" t="n">
        <f aca="false">Waterfall!BK43</f>
        <v>25.3800538236577</v>
      </c>
      <c r="BL27" s="16" t="n">
        <f aca="false">Waterfall!BL43</f>
        <v>14.5835836456595</v>
      </c>
      <c r="BM27" s="16" t="n">
        <f aca="false">Waterfall!BM43</f>
        <v>4.10540860898173</v>
      </c>
      <c r="BN27" s="16" t="n">
        <f aca="false">Waterfall!BN43</f>
        <v>-46.0821366316145</v>
      </c>
    </row>
    <row r="28" customFormat="false" ht="15" hidden="false" customHeight="false" outlineLevel="0" collapsed="false">
      <c r="D28" s="0" t="s">
        <v>784</v>
      </c>
      <c r="E28" s="0" t="s">
        <v>149</v>
      </c>
      <c r="J28" s="11" t="n">
        <f aca="false">J22+J23+J24+J25+J26+J27</f>
        <v>139.562323412541</v>
      </c>
      <c r="K28" s="11" t="n">
        <f aca="false">K22+K23+K24+K25+K26+K27</f>
        <v>239.877783879763</v>
      </c>
      <c r="L28" s="11" t="n">
        <f aca="false">L22+L23+L24+L25+L26+L27</f>
        <v>434.070017871423</v>
      </c>
      <c r="M28" s="11" t="n">
        <f aca="false">M22+M23+M24+M25+M26+M27</f>
        <v>636.157632410052</v>
      </c>
      <c r="N28" s="11" t="n">
        <f aca="false">N22+N23+N24+N25+N26+N27</f>
        <v>753.799661593778</v>
      </c>
      <c r="O28" s="11" t="n">
        <f aca="false">O22+O23+O24+O25+O26+O27</f>
        <v>797.62059205288</v>
      </c>
      <c r="P28" s="11" t="n">
        <f aca="false">P22+P23+P24+P25+P26+P27</f>
        <v>958.35559265466</v>
      </c>
      <c r="Q28" s="11" t="n">
        <f aca="false">Q22+Q23+Q24+Q25+Q26+Q27</f>
        <v>946.052532870934</v>
      </c>
      <c r="R28" s="11" t="n">
        <f aca="false">R22+R23+R24+R25+R26+R27</f>
        <v>933.27658913311</v>
      </c>
      <c r="S28" s="11" t="n">
        <f aca="false">S22+S23+S24+S25+S26+S27</f>
        <v>922.8541452583</v>
      </c>
      <c r="T28" s="11" t="n">
        <f aca="false">T22+T23+T24+T25+T26+T27</f>
        <v>910.334434182195</v>
      </c>
      <c r="U28" s="11" t="n">
        <f aca="false">U22+U23+U24+U25+U26+U27</f>
        <v>900.32490111292</v>
      </c>
      <c r="V28" s="11" t="n">
        <f aca="false">V22+V23+V24+V25+V26+V27</f>
        <v>887.584454715611</v>
      </c>
      <c r="W28" s="11" t="n">
        <f aca="false">W22+W23+W24+W25+W26+W27</f>
        <v>872.244625481781</v>
      </c>
      <c r="X28" s="11" t="n">
        <f aca="false">X22+X23+X24+X25+X26+X27</f>
        <v>859.300876314162</v>
      </c>
      <c r="Y28" s="11" t="n">
        <f aca="false">Y22+Y23+Y24+Y25+Y26+Y27</f>
        <v>851.05526866444</v>
      </c>
      <c r="Z28" s="11" t="n">
        <f aca="false">Z22+Z23+Z24+Z25+Z26+Z27</f>
        <v>837.349611043426</v>
      </c>
      <c r="AA28" s="11" t="n">
        <f aca="false">AA22+AA23+AA24+AA25+AA26+AA27</f>
        <v>820.794561660033</v>
      </c>
      <c r="AB28" s="11" t="n">
        <f aca="false">AB22+AB23+AB24+AB25+AB26+AB27</f>
        <v>801.388749446067</v>
      </c>
      <c r="AC28" s="11" t="n">
        <f aca="false">AC22+AC23+AC24+AC25+AC26+AC27</f>
        <v>784.779900632774</v>
      </c>
      <c r="AD28" s="11" t="n">
        <f aca="false">AD22+AD23+AD24+AD25+AD26+AD27</f>
        <v>764.560746520884</v>
      </c>
      <c r="AE28" s="11" t="n">
        <f aca="false">AE22+AE23+AE24+AE25+AE26+AE27</f>
        <v>733.472385664698</v>
      </c>
      <c r="AF28" s="11" t="n">
        <f aca="false">AF22+AF23+AF24+AF25+AF26+AF27</f>
        <v>711.942387965892</v>
      </c>
      <c r="AG28" s="11" t="n">
        <f aca="false">AG22+AG23+AG24+AG25+AG26+AG27</f>
        <v>692.003165383677</v>
      </c>
      <c r="AH28" s="11" t="n">
        <f aca="false">AH22+AH23+AH24+AH25+AH26+AH27</f>
        <v>668.035011558171</v>
      </c>
      <c r="AI28" s="11" t="n">
        <f aca="false">AI22+AI23+AI24+AI25+AI26+AI27</f>
        <v>645.641762858742</v>
      </c>
      <c r="AJ28" s="11" t="n">
        <f aca="false">AJ22+AJ23+AJ24+AJ25+AJ26+AJ27</f>
        <v>620.360346778012</v>
      </c>
      <c r="AK28" s="11" t="n">
        <f aca="false">AK22+AK23+AK24+AK25+AK26+AK27</f>
        <v>596.334818807584</v>
      </c>
      <c r="AL28" s="11" t="n">
        <f aca="false">AL22+AL23+AL24+AL25+AL26+AL27</f>
        <v>567.937431202369</v>
      </c>
      <c r="AM28" s="11" t="n">
        <f aca="false">AM22+AM23+AM24+AM25+AM26+AM27</f>
        <v>539.403987621234</v>
      </c>
      <c r="AN28" s="11" t="n">
        <f aca="false">AN22+AN23+AN24+AN25+AN26+AN27</f>
        <v>521.324431275824</v>
      </c>
      <c r="AO28" s="11" t="n">
        <f aca="false">AO22+AO23+AO24+AO25+AO26+AO27</f>
        <v>488.000677884948</v>
      </c>
      <c r="AP28" s="11" t="n">
        <f aca="false">AP22+AP23+AP24+AP25+AP26+AP27</f>
        <v>472.119748333409</v>
      </c>
      <c r="AQ28" s="11" t="n">
        <f aca="false">AQ22+AQ23+AQ24+AQ25+AQ26+AQ27</f>
        <v>458.152146586011</v>
      </c>
      <c r="AR28" s="11" t="n">
        <f aca="false">AR22+AR23+AR24+AR25+AR26+AR27</f>
        <v>442.443567009446</v>
      </c>
      <c r="AS28" s="11" t="n">
        <f aca="false">AS22+AS23+AS24+AS25+AS26+AS27</f>
        <v>428.611768571963</v>
      </c>
      <c r="AT28" s="11" t="n">
        <f aca="false">AT22+AT23+AT24+AT25+AT26+AT27</f>
        <v>412.534642994823</v>
      </c>
      <c r="AU28" s="11" t="n">
        <f aca="false">AU22+AU23+AU24+AU25+AU26+AU27</f>
        <v>380.849332284202</v>
      </c>
      <c r="AV28" s="11" t="n">
        <f aca="false">AV22+AV23+AV24+AV25+AV26+AV27</f>
        <v>363.452412689249</v>
      </c>
      <c r="AW28" s="11" t="n">
        <f aca="false">AW22+AW23+AW24+AW25+AW26+AW27</f>
        <v>349.019194458046</v>
      </c>
      <c r="AX28" s="11" t="n">
        <f aca="false">AX22+AX23+AX24+AX25+AX26+AX27</f>
        <v>331.315481027618</v>
      </c>
      <c r="AY28" s="11" t="n">
        <f aca="false">AY22+AY23+AY24+AY25+AY26+AY27</f>
        <v>315.652971524847</v>
      </c>
      <c r="AZ28" s="11" t="n">
        <f aca="false">AZ22+AZ23+AZ24+AZ25+AZ26+AZ27</f>
        <v>298.13537201313</v>
      </c>
      <c r="BA28" s="11" t="n">
        <f aca="false">BA22+BA23+BA24+BA25+BA26+BA27</f>
        <v>282.623541963778</v>
      </c>
      <c r="BB28" s="11" t="n">
        <f aca="false">BB22+BB23+BB24+BB25+BB26+BB27</f>
        <v>265.412403443813</v>
      </c>
      <c r="BC28" s="11" t="n">
        <f aca="false">BC22+BC23+BC24+BC25+BC26+BC27</f>
        <v>246.607887643602</v>
      </c>
      <c r="BD28" s="11" t="n">
        <f aca="false">BD22+BD23+BD24+BD25+BD26+BD27</f>
        <v>230.280696663088</v>
      </c>
      <c r="BE28" s="11" t="n">
        <f aca="false">BE22+BE23+BE24+BE25+BE26+BE27</f>
        <v>219.390451735687</v>
      </c>
      <c r="BF28" s="11" t="n">
        <f aca="false">BF22+BF23+BF24+BF25+BF26+BF27</f>
        <v>205.434582418911</v>
      </c>
      <c r="BG28" s="11" t="n">
        <f aca="false">BG22+BG23+BG24+BG25+BG26+BG27</f>
        <v>193.675242898166</v>
      </c>
      <c r="BH28" s="11" t="n">
        <f aca="false">BH22+BH23+BH24+BH25+BH26+BH27</f>
        <v>179.95483659106</v>
      </c>
      <c r="BI28" s="11" t="n">
        <f aca="false">BI22+BI23+BI24+BI25+BI26+BI27</f>
        <v>168.397066123697</v>
      </c>
      <c r="BJ28" s="11" t="n">
        <f aca="false">BJ22+BJ23+BJ24+BJ25+BJ26+BJ27</f>
        <v>154.2738419402</v>
      </c>
      <c r="BK28" s="11" t="n">
        <f aca="false">BK22+BK23+BK24+BK25+BK26+BK27</f>
        <v>121.546449877595</v>
      </c>
      <c r="BL28" s="11" t="n">
        <f aca="false">BL22+BL23+BL24+BL25+BL26+BL27</f>
        <v>105.849605717355</v>
      </c>
      <c r="BM28" s="11" t="n">
        <f aca="false">BM22+BM23+BM24+BM25+BM26+BM27</f>
        <v>92.9020568208596</v>
      </c>
      <c r="BN28" s="11" t="n">
        <f aca="false">BN22+BN23+BN24+BN25+BN26+BN27</f>
        <v>3.19744231092045E-013</v>
      </c>
    </row>
    <row r="29" customFormat="false" ht="15" hidden="false" customHeight="false" outlineLevel="0" collapsed="false">
      <c r="D29" s="0" t="s">
        <v>785</v>
      </c>
      <c r="E29" s="0" t="s">
        <v>149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787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</v>
      </c>
      <c r="Q7" s="14" t="n">
        <f aca="false">IF(Debt!Q122&gt;0.000000001,Debt!Q119/Debt!Q122,0)</f>
        <v>0.0340562849037826</v>
      </c>
      <c r="R7" s="14" t="n">
        <f aca="false">IF(Debt!R122&gt;0.000000001,Debt!R119/Debt!R122,0)</f>
        <v>0.0344372466703715</v>
      </c>
      <c r="S7" s="14" t="n">
        <f aca="false">IF(Debt!S122&gt;0.000000001,Debt!S119/Debt!S122,0)</f>
        <v>0.0340709077793108</v>
      </c>
      <c r="T7" s="14" t="n">
        <f aca="false">IF(Debt!T122&gt;0.000000001,Debt!T119/Debt!T122,0)</f>
        <v>0.0344521119140023</v>
      </c>
      <c r="U7" s="14" t="n">
        <f aca="false">IF(Debt!U122&gt;0.000000001,Debt!U119/Debt!U122,0)</f>
        <v>0.0341979758242079</v>
      </c>
      <c r="V7" s="14" t="n">
        <f aca="false">IF(Debt!V122&gt;0.000000001,Debt!V119/Debt!V122,0)</f>
        <v>0.0344521119140023</v>
      </c>
      <c r="W7" s="14" t="n">
        <f aca="false">IF(Debt!W122&gt;0.000000001,Debt!W119/Debt!W122,0)</f>
        <v>0.0340709077793108</v>
      </c>
      <c r="X7" s="14" t="n">
        <f aca="false">IF(Debt!X122&gt;0.000000001,Debt!X119/Debt!X122,0)</f>
        <v>0.0344521119140023</v>
      </c>
      <c r="Y7" s="14" t="n">
        <f aca="false">IF(Debt!Y122&gt;0.000000001,Debt!Y119/Debt!Y122,0)</f>
        <v>0.0351323275323972</v>
      </c>
      <c r="Z7" s="14" t="n">
        <f aca="false">IF(Debt!Z122&gt;0.000000001,Debt!Z119/Debt!Z122,0)</f>
        <v>0.0355311242596813</v>
      </c>
      <c r="AA7" s="14" t="n">
        <f aca="false">IF(Debt!AA122&gt;0.000000001,Debt!AA119/Debt!AA122,0)</f>
        <v>0.0351323275323972</v>
      </c>
      <c r="AB7" s="14" t="n">
        <f aca="false">IF(Debt!AB122&gt;0.000000001,Debt!AB119/Debt!AB122,0)</f>
        <v>0.0353737685969729</v>
      </c>
      <c r="AC7" s="14" t="n">
        <f aca="false">IF(Debt!AC122&gt;0.000000001,Debt!AC119/Debt!AC122,0)</f>
        <v>0.0349130886056243</v>
      </c>
      <c r="AD7" s="14" t="n">
        <f aca="false">IF(Debt!AD122&gt;0.000000001,Debt!AD119/Debt!AD122,0)</f>
        <v>0.0349703101322878</v>
      </c>
      <c r="AE7" s="14" t="n">
        <f aca="false">IF(Debt!AE122&gt;0.000000001,Debt!AE119/Debt!AE122,0)</f>
        <v>0.034348236046798</v>
      </c>
      <c r="AF7" s="14" t="n">
        <f aca="false">IF(Debt!AF122&gt;0.000000001,Debt!AF119/Debt!AF122,0)</f>
        <v>0.0343986916121911</v>
      </c>
      <c r="AG7" s="14" t="n">
        <f aca="false">IF(Debt!AG122&gt;0.000000001,Debt!AG119/Debt!AG122,0)</f>
        <v>0.0344652296161079</v>
      </c>
      <c r="AH7" s="14" t="n">
        <f aca="false">IF(Debt!AH122&gt;0.000000001,Debt!AH119/Debt!AH122,0)</f>
        <v>0.0342368413921428</v>
      </c>
      <c r="AI7" s="14" t="n">
        <f aca="false">IF(Debt!AI122&gt;0.000000001,Debt!AI119/Debt!AI122,0)</f>
        <v>0.0330749184944507</v>
      </c>
      <c r="AJ7" s="14" t="n">
        <f aca="false">IF(Debt!AJ122&gt;0.000000001,Debt!AJ119/Debt!AJ122,0)</f>
        <v>0.0322514607689063</v>
      </c>
      <c r="AK7" s="14" t="n">
        <f aca="false">IF(Debt!AK122&gt;0.000000001,Debt!AK119/Debt!AK122,0)</f>
        <v>0.0302346836636782</v>
      </c>
      <c r="AL7" s="14" t="n">
        <f aca="false">IF(Debt!AL122&gt;0.000000001,Debt!AL119/Debt!AL122,0)</f>
        <v>0.0272395332720947</v>
      </c>
      <c r="AM7" s="14" t="n">
        <f aca="false">IF(Debt!AM122&gt;0.000000001,Debt!AM119/Debt!AM122,0)</f>
        <v>0.0270865638039379</v>
      </c>
      <c r="AN7" s="14" t="n">
        <f aca="false">IF(Debt!AN122&gt;0.000000001,Debt!AN119/Debt!AN122,0)</f>
        <v>0.0272395332720947</v>
      </c>
      <c r="AO7" s="14" t="n">
        <f aca="false">IF(Debt!AO122&gt;0.000000001,Debt!AO119/Debt!AO122,0)</f>
        <v>0.0270865638039379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788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789</v>
      </c>
      <c r="E9" s="0" t="s">
        <v>99</v>
      </c>
      <c r="F9" s="14" t="n">
        <f aca="false">INDEX(Ratios!$J$7:$BN$7,1,Ratios!$F$8)</f>
        <v>0.0270865638039379</v>
      </c>
    </row>
    <row r="10" customFormat="false" ht="15" hidden="false" customHeight="false" outlineLevel="0" collapsed="false">
      <c r="D10" s="0" t="s">
        <v>790</v>
      </c>
      <c r="E10" s="0" t="s">
        <v>99</v>
      </c>
      <c r="J10" s="14" t="n">
        <f aca="false">IF(J7&gt;0,J7,$F$9)</f>
        <v>0.0270865638039379</v>
      </c>
      <c r="K10" s="14" t="n">
        <f aca="false">IF(K7&gt;0,K7,$F$9)</f>
        <v>0.0270865638039379</v>
      </c>
      <c r="L10" s="14" t="n">
        <f aca="false">IF(L7&gt;0,L7,$F$9)</f>
        <v>0.0270865638039379</v>
      </c>
      <c r="M10" s="14" t="n">
        <f aca="false">IF(M7&gt;0,M7,$F$9)</f>
        <v>0.0270865638039379</v>
      </c>
      <c r="N10" s="14" t="n">
        <f aca="false">IF(N7&gt;0,N7,$F$9)</f>
        <v>0.0270865638039379</v>
      </c>
      <c r="O10" s="14" t="n">
        <f aca="false">IF(O7&gt;0,O7,$F$9)</f>
        <v>0.0270865638039379</v>
      </c>
      <c r="P10" s="14" t="n">
        <f aca="false">IF(P7&gt;0,P7,$F$9)</f>
        <v>0.0270865638039379</v>
      </c>
      <c r="Q10" s="14" t="n">
        <f aca="false">IF(Q7&gt;0,Q7,$F$9)</f>
        <v>0.0340562849037826</v>
      </c>
      <c r="R10" s="14" t="n">
        <f aca="false">IF(R7&gt;0,R7,$F$9)</f>
        <v>0.0344372466703715</v>
      </c>
      <c r="S10" s="14" t="n">
        <f aca="false">IF(S7&gt;0,S7,$F$9)</f>
        <v>0.0340709077793108</v>
      </c>
      <c r="T10" s="14" t="n">
        <f aca="false">IF(T7&gt;0,T7,$F$9)</f>
        <v>0.0344521119140023</v>
      </c>
      <c r="U10" s="14" t="n">
        <f aca="false">IF(U7&gt;0,U7,$F$9)</f>
        <v>0.0341979758242079</v>
      </c>
      <c r="V10" s="14" t="n">
        <f aca="false">IF(V7&gt;0,V7,$F$9)</f>
        <v>0.0344521119140023</v>
      </c>
      <c r="W10" s="14" t="n">
        <f aca="false">IF(W7&gt;0,W7,$F$9)</f>
        <v>0.0340709077793108</v>
      </c>
      <c r="X10" s="14" t="n">
        <f aca="false">IF(X7&gt;0,X7,$F$9)</f>
        <v>0.0344521119140023</v>
      </c>
      <c r="Y10" s="14" t="n">
        <f aca="false">IF(Y7&gt;0,Y7,$F$9)</f>
        <v>0.0351323275323972</v>
      </c>
      <c r="Z10" s="14" t="n">
        <f aca="false">IF(Z7&gt;0,Z7,$F$9)</f>
        <v>0.0355311242596813</v>
      </c>
      <c r="AA10" s="14" t="n">
        <f aca="false">IF(AA7&gt;0,AA7,$F$9)</f>
        <v>0.0351323275323972</v>
      </c>
      <c r="AB10" s="14" t="n">
        <f aca="false">IF(AB7&gt;0,AB7,$F$9)</f>
        <v>0.0353737685969729</v>
      </c>
      <c r="AC10" s="14" t="n">
        <f aca="false">IF(AC7&gt;0,AC7,$F$9)</f>
        <v>0.0349130886056243</v>
      </c>
      <c r="AD10" s="14" t="n">
        <f aca="false">IF(AD7&gt;0,AD7,$F$9)</f>
        <v>0.0349703101322878</v>
      </c>
      <c r="AE10" s="14" t="n">
        <f aca="false">IF(AE7&gt;0,AE7,$F$9)</f>
        <v>0.034348236046798</v>
      </c>
      <c r="AF10" s="14" t="n">
        <f aca="false">IF(AF7&gt;0,AF7,$F$9)</f>
        <v>0.0343986916121911</v>
      </c>
      <c r="AG10" s="14" t="n">
        <f aca="false">IF(AG7&gt;0,AG7,$F$9)</f>
        <v>0.0344652296161079</v>
      </c>
      <c r="AH10" s="14" t="n">
        <f aca="false">IF(AH7&gt;0,AH7,$F$9)</f>
        <v>0.0342368413921428</v>
      </c>
      <c r="AI10" s="14" t="n">
        <f aca="false">IF(AI7&gt;0,AI7,$F$9)</f>
        <v>0.0330749184944507</v>
      </c>
      <c r="AJ10" s="14" t="n">
        <f aca="false">IF(AJ7&gt;0,AJ7,$F$9)</f>
        <v>0.0322514607689063</v>
      </c>
      <c r="AK10" s="14" t="n">
        <f aca="false">IF(AK7&gt;0,AK7,$F$9)</f>
        <v>0.0302346836636782</v>
      </c>
      <c r="AL10" s="14" t="n">
        <f aca="false">IF(AL7&gt;0,AL7,$F$9)</f>
        <v>0.0272395332720947</v>
      </c>
      <c r="AM10" s="14" t="n">
        <f aca="false">IF(AM7&gt;0,AM7,$F$9)</f>
        <v>0.0270865638039379</v>
      </c>
      <c r="AN10" s="14" t="n">
        <f aca="false">IF(AN7&gt;0,AN7,$F$9)</f>
        <v>0.0272395332720947</v>
      </c>
      <c r="AO10" s="14" t="n">
        <f aca="false">IF(AO7&gt;0,AO7,$F$9)</f>
        <v>0.0270865638039379</v>
      </c>
      <c r="AP10" s="14" t="n">
        <f aca="false">IF(AP7&gt;0,AP7,$F$9)</f>
        <v>0.0270865638039379</v>
      </c>
      <c r="AQ10" s="14" t="n">
        <f aca="false">IF(AQ7&gt;0,AQ7,$F$9)</f>
        <v>0.0270865638039379</v>
      </c>
      <c r="AR10" s="14" t="n">
        <f aca="false">IF(AR7&gt;0,AR7,$F$9)</f>
        <v>0.0270865638039379</v>
      </c>
      <c r="AS10" s="14" t="n">
        <f aca="false">IF(AS7&gt;0,AS7,$F$9)</f>
        <v>0.0270865638039379</v>
      </c>
      <c r="AT10" s="14" t="n">
        <f aca="false">IF(AT7&gt;0,AT7,$F$9)</f>
        <v>0.0270865638039379</v>
      </c>
      <c r="AU10" s="14" t="n">
        <f aca="false">IF(AU7&gt;0,AU7,$F$9)</f>
        <v>0.0270865638039379</v>
      </c>
      <c r="AV10" s="14" t="n">
        <f aca="false">IF(AV7&gt;0,AV7,$F$9)</f>
        <v>0.0270865638039379</v>
      </c>
      <c r="AW10" s="14" t="n">
        <f aca="false">IF(AW7&gt;0,AW7,$F$9)</f>
        <v>0.0270865638039379</v>
      </c>
      <c r="AX10" s="14" t="n">
        <f aca="false">IF(AX7&gt;0,AX7,$F$9)</f>
        <v>0.0270865638039379</v>
      </c>
      <c r="AY10" s="14" t="n">
        <f aca="false">IF(AY7&gt;0,AY7,$F$9)</f>
        <v>0.0270865638039379</v>
      </c>
      <c r="AZ10" s="14" t="n">
        <f aca="false">IF(AZ7&gt;0,AZ7,$F$9)</f>
        <v>0.0270865638039379</v>
      </c>
      <c r="BA10" s="14" t="n">
        <f aca="false">IF(BA7&gt;0,BA7,$F$9)</f>
        <v>0.0270865638039379</v>
      </c>
      <c r="BB10" s="14" t="n">
        <f aca="false">IF(BB7&gt;0,BB7,$F$9)</f>
        <v>0.0270865638039379</v>
      </c>
      <c r="BC10" s="14" t="n">
        <f aca="false">IF(BC7&gt;0,BC7,$F$9)</f>
        <v>0.0270865638039379</v>
      </c>
      <c r="BD10" s="14" t="n">
        <f aca="false">IF(BD7&gt;0,BD7,$F$9)</f>
        <v>0.0270865638039379</v>
      </c>
      <c r="BE10" s="14" t="n">
        <f aca="false">IF(BE7&gt;0,BE7,$F$9)</f>
        <v>0.0270865638039379</v>
      </c>
      <c r="BF10" s="14" t="n">
        <f aca="false">IF(BF7&gt;0,BF7,$F$9)</f>
        <v>0.0270865638039379</v>
      </c>
      <c r="BG10" s="14" t="n">
        <f aca="false">IF(BG7&gt;0,BG7,$F$9)</f>
        <v>0.0270865638039379</v>
      </c>
      <c r="BH10" s="14" t="n">
        <f aca="false">IF(BH7&gt;0,BH7,$F$9)</f>
        <v>0.0270865638039379</v>
      </c>
      <c r="BI10" s="14" t="n">
        <f aca="false">IF(BI7&gt;0,BI7,$F$9)</f>
        <v>0.0270865638039379</v>
      </c>
      <c r="BJ10" s="14" t="n">
        <f aca="false">IF(BJ7&gt;0,BJ7,$F$9)</f>
        <v>0.0270865638039379</v>
      </c>
      <c r="BK10" s="14" t="n">
        <f aca="false">IF(BK7&gt;0,BK7,$F$9)</f>
        <v>0.0270865638039379</v>
      </c>
      <c r="BL10" s="14" t="n">
        <f aca="false">IF(BL7&gt;0,BL7,$F$9)</f>
        <v>0.0270865638039379</v>
      </c>
      <c r="BM10" s="14" t="n">
        <f aca="false">IF(BM7&gt;0,BM7,$F$9)</f>
        <v>0.0270865638039379</v>
      </c>
      <c r="BN10" s="14" t="n">
        <f aca="false">IF(BN7&gt;0,BN7,$F$9)</f>
        <v>0.0270865638039379</v>
      </c>
    </row>
    <row r="11" customFormat="false" ht="15" hidden="false" customHeight="false" outlineLevel="0" collapsed="false">
      <c r="D11" s="0" t="s">
        <v>791</v>
      </c>
      <c r="E11" s="0" t="s">
        <v>149</v>
      </c>
      <c r="J11" s="11" t="n">
        <f aca="false">IF(Time!J17&lt;=$F$8,(Waterfall!J7+K11)/(1+J10),0)</f>
        <v>705.101797092773</v>
      </c>
      <c r="K11" s="11" t="n">
        <f aca="false">IF(Time!K17&lt;=$F$8,(Waterfall!K7+L11)/(1+K10),0)</f>
        <v>724.200581907998</v>
      </c>
      <c r="L11" s="11" t="n">
        <f aca="false">IF(Time!L17&lt;=$F$8,(Waterfall!L7+M11)/(1+L10),0)</f>
        <v>743.816687176698</v>
      </c>
      <c r="M11" s="11" t="n">
        <f aca="false">IF(Time!M17&lt;=$F$8,(Waterfall!M7+N11)/(1+M10),0)</f>
        <v>763.964125332343</v>
      </c>
      <c r="N11" s="11" t="n">
        <f aca="false">IF(Time!N17&lt;=$F$8,(Waterfall!N7+O11)/(1+N10),0)</f>
        <v>784.657288357077</v>
      </c>
      <c r="O11" s="11" t="n">
        <f aca="false">IF(Time!O17&lt;=$F$8,(Waterfall!O7+P11)/(1+O10),0)</f>
        <v>805.910958062386</v>
      </c>
      <c r="P11" s="11" t="n">
        <f aca="false">IF(Time!P17&lt;=$F$8,(Waterfall!P7+Q11)/(1+P10),0)</f>
        <v>827.740316648236</v>
      </c>
      <c r="Q11" s="11" t="n">
        <f aca="false">IF(Time!Q17&lt;=$F$8,(Waterfall!Q7+R11)/(1+Q10),0)</f>
        <v>848.293743103393</v>
      </c>
      <c r="R11" s="11" t="n">
        <f aca="false">IF(Time!R17&lt;=$F$8,(Waterfall!R7+S11)/(1+R10),0)</f>
        <v>827.014041574638</v>
      </c>
      <c r="S11" s="11" t="n">
        <f aca="false">IF(Time!S17&lt;=$F$8,(Waterfall!S7+T11)/(1+S10),0)</f>
        <v>804.735163160122</v>
      </c>
      <c r="T11" s="11" t="n">
        <f aca="false">IF(Time!T17&lt;=$F$8,(Waterfall!T7+U11)/(1+T10),0)</f>
        <v>781.729901650802</v>
      </c>
      <c r="U11" s="11" t="n">
        <f aca="false">IF(Time!U17&lt;=$F$8,(Waterfall!U7+V11)/(1+U10),0)</f>
        <v>757.659898194571</v>
      </c>
      <c r="V11" s="11" t="n">
        <f aca="false">IF(Time!V17&lt;=$F$8,(Waterfall!V7+W11)/(1+V10),0)</f>
        <v>732.898020491216</v>
      </c>
      <c r="W11" s="11" t="n">
        <f aca="false">IF(Time!W17&lt;=$F$8,(Waterfall!W7+X11)/(1+W10),0)</f>
        <v>706.978549228712</v>
      </c>
      <c r="X11" s="11" t="n">
        <f aca="false">IF(Time!X17&lt;=$F$8,(Waterfall!X7+Y11)/(1+X10),0)</f>
        <v>679.663500790601</v>
      </c>
      <c r="Y11" s="11" t="n">
        <f aca="false">IF(Time!Y17&lt;=$F$8,(Waterfall!Y7+Z11)/(1+Y10),0)</f>
        <v>651.129046981466</v>
      </c>
      <c r="Z11" s="11" t="n">
        <f aca="false">IF(Time!Z17&lt;=$F$8,(Waterfall!Z7+AA11)/(1+Z10),0)</f>
        <v>624.543731709379</v>
      </c>
      <c r="AA11" s="11" t="n">
        <f aca="false">IF(Time!AA17&lt;=$F$8,(Waterfall!AA7+AB11)/(1+AA10),0)</f>
        <v>596.762678926208</v>
      </c>
      <c r="AB11" s="11" t="n">
        <f aca="false">IF(Time!AB17&lt;=$F$8,(Waterfall!AB7+AC11)/(1+AB10),0)</f>
        <v>568.344240917324</v>
      </c>
      <c r="AC11" s="11" t="n">
        <f aca="false">IF(Time!AC17&lt;=$F$8,(Waterfall!AC7+AD11)/(1+AC10),0)</f>
        <v>538.466698878415</v>
      </c>
      <c r="AD11" s="11" t="n">
        <f aca="false">IF(Time!AD17&lt;=$F$8,(Waterfall!AD7+AE11)/(1+AD10),0)</f>
        <v>507.621867704424</v>
      </c>
      <c r="AE11" s="11" t="n">
        <f aca="false">IF(Time!AE17&lt;=$F$8,(Waterfall!AE7+AF11)/(1+AE10),0)</f>
        <v>475.172003868251</v>
      </c>
      <c r="AF11" s="11" t="n">
        <f aca="false">IF(Time!AF17&lt;=$F$8,(Waterfall!AF7+AG11)/(1+AF10),0)</f>
        <v>440.11807783372</v>
      </c>
      <c r="AG11" s="11" t="n">
        <f aca="false">IF(Time!AG17&lt;=$F$8,(Waterfall!AG7+AH11)/(1+AG10),0)</f>
        <v>402.874386050117</v>
      </c>
      <c r="AH11" s="11" t="n">
        <f aca="false">IF(Time!AH17&lt;=$F$8,(Waterfall!AH7+AI11)/(1+AH10),0)</f>
        <v>365.232305088238</v>
      </c>
      <c r="AI11" s="11" t="n">
        <f aca="false">IF(Time!AI17&lt;=$F$8,(Waterfall!AI7+AJ11)/(1+AI10),0)</f>
        <v>325.556165138224</v>
      </c>
      <c r="AJ11" s="11" t="n">
        <f aca="false">IF(Time!AJ17&lt;=$F$8,(Waterfall!AJ7+AK11)/(1+AJ10),0)</f>
        <v>284.495091003356</v>
      </c>
      <c r="AK11" s="11" t="n">
        <f aca="false">IF(Time!AK17&lt;=$F$8,(Waterfall!AK7+AL11)/(1+AK10),0)</f>
        <v>241.221376645722</v>
      </c>
      <c r="AL11" s="11" t="n">
        <f aca="false">IF(Time!AL17&lt;=$F$8,(Waterfall!AL7+AM11)/(1+AL10),0)</f>
        <v>196.409675570802</v>
      </c>
      <c r="AM11" s="11" t="n">
        <f aca="false">IF(Time!AM17&lt;=$F$8,(Waterfall!AM7+AN11)/(1+AM10),0)</f>
        <v>149.108332216358</v>
      </c>
      <c r="AN11" s="11" t="n">
        <f aca="false">IF(Time!AN17&lt;=$F$8,(Waterfall!AN7+AO11)/(1+AN10),0)</f>
        <v>100.16254806405</v>
      </c>
      <c r="AO11" s="11" t="n">
        <f aca="false">IF(Time!AO17&lt;=$F$8,(Waterfall!AO7+AP11)/(1+AO10),0)</f>
        <v>49.3236948595656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792</v>
      </c>
      <c r="E12" s="0" t="s">
        <v>149</v>
      </c>
      <c r="J12" s="11" t="n">
        <f aca="false">IF(Time!J17&lt;=Time!$F$14,(Waterfall!J7+K12)/(1+J10),0)</f>
        <v>990.040807627998</v>
      </c>
      <c r="K12" s="11" t="n">
        <f aca="false">IF(Time!K17&lt;=Time!$F$14,(Waterfall!K7+L12)/(1+K10),0)</f>
        <v>1016.85761113232</v>
      </c>
      <c r="L12" s="11" t="n">
        <f aca="false">IF(Time!L17&lt;=Time!$F$14,(Waterfall!L7+M12)/(1+L10),0)</f>
        <v>1044.40078969577</v>
      </c>
      <c r="M12" s="11" t="n">
        <f aca="false">IF(Time!M17&lt;=Time!$F$14,(Waterfall!M7+N12)/(1+M10),0)</f>
        <v>1072.69001832275</v>
      </c>
      <c r="N12" s="11" t="n">
        <f aca="false">IF(Time!N17&lt;=Time!$F$14,(Waterfall!N7+O12)/(1+N10),0)</f>
        <v>1101.7455049459</v>
      </c>
      <c r="O12" s="11" t="n">
        <f aca="false">IF(Time!O17&lt;=Time!$F$14,(Waterfall!O7+P12)/(1+O10),0)</f>
        <v>1131.58800486131</v>
      </c>
      <c r="P12" s="11" t="n">
        <f aca="false">IF(Time!P17&lt;=Time!$F$14,(Waterfall!P7+Q12)/(1+P10),0)</f>
        <v>1162.23883555476</v>
      </c>
      <c r="Q12" s="11" t="n">
        <f aca="false">IF(Time!Q17&lt;=Time!$F$14,(Waterfall!Q7+R12)/(1+Q10),0)</f>
        <v>1191.8526774846</v>
      </c>
      <c r="R12" s="11" t="n">
        <f aca="false">IF(Time!R17&lt;=Time!$F$14,(Waterfall!R7+S12)/(1+R10),0)</f>
        <v>1182.27331690637</v>
      </c>
      <c r="S12" s="11" t="n">
        <f aca="false">IF(Time!S17&lt;=Time!$F$14,(Waterfall!S7+T12)/(1+S10),0)</f>
        <v>1172.2285897884</v>
      </c>
      <c r="T12" s="11" t="n">
        <f aca="false">IF(Time!T17&lt;=Time!$F$14,(Waterfall!T7+U12)/(1+T10),0)</f>
        <v>1161.74416292723</v>
      </c>
      <c r="U12" s="11" t="n">
        <f aca="false">IF(Time!U17&lt;=Time!$F$14,(Waterfall!U7+V12)/(1+U10),0)</f>
        <v>1150.76645332941</v>
      </c>
      <c r="V12" s="11" t="n">
        <f aca="false">IF(Time!V17&lt;=Time!$F$14,(Waterfall!V7+W12)/(1+V10),0)</f>
        <v>1139.4480240949</v>
      </c>
      <c r="W12" s="11" t="n">
        <f aca="false">IF(Time!W17&lt;=Time!$F$14,(Waterfall!W7+X12)/(1+W10),0)</f>
        <v>1127.53505905518</v>
      </c>
      <c r="X12" s="11" t="n">
        <f aca="false">IF(Time!X17&lt;=Time!$F$14,(Waterfall!X7+Y12)/(1+X10),0)</f>
        <v>1114.54875267936</v>
      </c>
      <c r="Y12" s="11" t="n">
        <f aca="false">IF(Time!Y17&lt;=Time!$F$14,(Waterfall!Y7+Z12)/(1+Y10),0)</f>
        <v>1100.99701423804</v>
      </c>
      <c r="Z12" s="11" t="n">
        <f aca="false">IF(Time!Z17&lt;=Time!$F$14,(Waterfall!Z7+AA12)/(1+Z10),0)</f>
        <v>1090.21660773795</v>
      </c>
      <c r="AA12" s="11" t="n">
        <f aca="false">IF(Time!AA17&lt;=Time!$F$14,(Waterfall!AA7+AB12)/(1+AA10),0)</f>
        <v>1078.98143577731</v>
      </c>
      <c r="AB12" s="11" t="n">
        <f aca="false">IF(Time!AB17&lt;=Time!$F$14,(Waterfall!AB7+AC12)/(1+AB10),0)</f>
        <v>1067.50446507639</v>
      </c>
      <c r="AC12" s="11" t="n">
        <f aca="false">IF(Time!AC17&lt;=Time!$F$14,(Waterfall!AC7+AD12)/(1+AC10),0)</f>
        <v>1055.28410129969</v>
      </c>
      <c r="AD12" s="11" t="n">
        <f aca="false">IF(Time!AD17&lt;=Time!$F$14,(Waterfall!AD7+AE12)/(1+AD10),0)</f>
        <v>1042.48296188936</v>
      </c>
      <c r="AE12" s="11" t="n">
        <f aca="false">IF(Time!AE17&lt;=Time!$F$14,(Waterfall!AE7+AF12)/(1+AE10),0)</f>
        <v>1028.73735639453</v>
      </c>
      <c r="AF12" s="11" t="n">
        <f aca="false">IF(Time!AF17&lt;=Time!$F$14,(Waterfall!AF7+AG12)/(1+AF10),0)</f>
        <v>1012.69742375591</v>
      </c>
      <c r="AG12" s="11" t="n">
        <f aca="false">IF(Time!AG17&lt;=Time!$F$14,(Waterfall!AG7+AH12)/(1+AG10),0)</f>
        <v>995.149712316189</v>
      </c>
      <c r="AH12" s="11" t="n">
        <f aca="false">IF(Time!AH17&lt;=Time!$F$14,(Waterfall!AH7+AI12)/(1+AH10),0)</f>
        <v>977.920536470025</v>
      </c>
      <c r="AI12" s="11" t="n">
        <f aca="false">IF(Time!AI17&lt;=Time!$F$14,(Waterfall!AI7+AJ12)/(1+AI10),0)</f>
        <v>959.220906320662</v>
      </c>
      <c r="AJ12" s="11" t="n">
        <f aca="false">IF(Time!AJ17&lt;=Time!$F$14,(Waterfall!AJ7+AK12)/(1+AJ10),0)</f>
        <v>939.11824185321</v>
      </c>
      <c r="AK12" s="11" t="n">
        <f aca="false">IF(Time!AK17&lt;=Time!$F$14,(Waterfall!AK7+AL12)/(1+AK10),0)</f>
        <v>916.957080363628</v>
      </c>
      <c r="AL12" s="11" t="n">
        <f aca="false">IF(Time!AL17&lt;=Time!$F$14,(Waterfall!AL7+AM12)/(1+AL10),0)</f>
        <v>892.576034530872</v>
      </c>
      <c r="AM12" s="11" t="n">
        <f aca="false">IF(Time!AM17&lt;=Time!$F$14,(Waterfall!AM7+AN12)/(1+AM10),0)</f>
        <v>864.237937874234</v>
      </c>
      <c r="AN12" s="11" t="n">
        <f aca="false">IF(Time!AN17&lt;=Time!$F$14,(Waterfall!AN7+AO12)/(1+AN10),0)</f>
        <v>834.662557413664</v>
      </c>
      <c r="AO12" s="11" t="n">
        <f aca="false">IF(Time!AO17&lt;=Time!$F$14,(Waterfall!AO7+AP12)/(1+AO10),0)</f>
        <v>803.831141652212</v>
      </c>
      <c r="AP12" s="11" t="n">
        <f aca="false">IF(Time!AP17&lt;=Time!$F$14,(Waterfall!AP7+AQ12)/(1+AP10),0)</f>
        <v>774.944460890741</v>
      </c>
      <c r="AQ12" s="11" t="n">
        <f aca="false">IF(Time!AQ17&lt;=Time!$F$14,(Waterfall!AQ7+AR12)/(1+AQ10),0)</f>
        <v>744.596237522312</v>
      </c>
      <c r="AR12" s="11" t="n">
        <f aca="false">IF(Time!AR17&lt;=Time!$F$14,(Waterfall!AR7+AS12)/(1+AR10),0)</f>
        <v>713.778974601953</v>
      </c>
      <c r="AS12" s="11" t="n">
        <f aca="false">IF(Time!AS17&lt;=Time!$F$14,(Waterfall!AS7+AT12)/(1+AS10),0)</f>
        <v>690.174414215221</v>
      </c>
      <c r="AT12" s="11" t="n">
        <f aca="false">IF(Time!AT17&lt;=Time!$F$14,(Waterfall!AT7+AU12)/(1+AT10),0)</f>
        <v>667.053595086656</v>
      </c>
      <c r="AU12" s="11" t="n">
        <f aca="false">IF(Time!AU17&lt;=Time!$F$14,(Waterfall!AU7+AV12)/(1+AU10),0)</f>
        <v>642.885284564422</v>
      </c>
      <c r="AV12" s="11" t="n">
        <f aca="false">IF(Time!AV17&lt;=Time!$F$14,(Waterfall!AV7+AW12)/(1+AV10),0)</f>
        <v>612.06286091688</v>
      </c>
      <c r="AW12" s="11" t="n">
        <f aca="false">IF(Time!AW17&lt;=Time!$F$14,(Waterfall!AW7+AX12)/(1+AW10),0)</f>
        <v>583.908891441014</v>
      </c>
      <c r="AX12" s="11" t="n">
        <f aca="false">IF(Time!AX17&lt;=Time!$F$14,(Waterfall!AX7+AY12)/(1+AX10),0)</f>
        <v>555.948363041412</v>
      </c>
      <c r="AY12" s="11" t="n">
        <f aca="false">IF(Time!AY17&lt;=Time!$F$14,(Waterfall!AY7+AZ12)/(1+AY10),0)</f>
        <v>526.571667111634</v>
      </c>
      <c r="AZ12" s="11" t="n">
        <f aca="false">IF(Time!AZ17&lt;=Time!$F$14,(Waterfall!AZ7+BA12)/(1+AZ10),0)</f>
        <v>496.80920353452</v>
      </c>
      <c r="BA12" s="11" t="n">
        <f aca="false">IF(Time!BA17&lt;=Time!$F$14,(Waterfall!BA7+BB12)/(1+BA10),0)</f>
        <v>465.606001362347</v>
      </c>
      <c r="BB12" s="11" t="n">
        <f aca="false">IF(Time!BB17&lt;=Time!$F$14,(Waterfall!BB7+BC12)/(1+BB10),0)</f>
        <v>433.944855262544</v>
      </c>
      <c r="BC12" s="11" t="n">
        <f aca="false">IF(Time!BC17&lt;=Time!$F$14,(Waterfall!BC7+BD12)/(1+BC10),0)</f>
        <v>400.889581944621</v>
      </c>
      <c r="BD12" s="11" t="n">
        <f aca="false">IF(Time!BD17&lt;=Time!$F$14,(Waterfall!BD7+BE12)/(1+BD10),0)</f>
        <v>365.508083999738</v>
      </c>
      <c r="BE12" s="11" t="n">
        <f aca="false">IF(Time!BE17&lt;=Time!$F$14,(Waterfall!BE7+BF12)/(1+BE10),0)</f>
        <v>331.650672082302</v>
      </c>
      <c r="BF12" s="11" t="n">
        <f aca="false">IF(Time!BF17&lt;=Time!$F$14,(Waterfall!BF7+BG12)/(1+BF10),0)</f>
        <v>304.301599723652</v>
      </c>
      <c r="BG12" s="11" t="n">
        <f aca="false">IF(Time!BG17&lt;=Time!$F$14,(Waterfall!BG7+BH12)/(1+BG10),0)</f>
        <v>275.526076393042</v>
      </c>
      <c r="BH12" s="11" t="n">
        <f aca="false">IF(Time!BH17&lt;=Time!$F$14,(Waterfall!BH7+BI12)/(1+BH10),0)</f>
        <v>246.387127709946</v>
      </c>
      <c r="BI12" s="11" t="n">
        <f aca="false">IF(Time!BI17&lt;=Time!$F$14,(Waterfall!BI7+BJ12)/(1+BI10),0)</f>
        <v>215.798939414499</v>
      </c>
      <c r="BJ12" s="11" t="n">
        <f aca="false">IF(Time!BJ17&lt;=Time!$F$14,(Waterfall!BJ7+BK12)/(1+BJ10),0)</f>
        <v>184.779674196</v>
      </c>
      <c r="BK12" s="11" t="n">
        <f aca="false">IF(Time!BK17&lt;=Time!$F$14,(Waterfall!BK7+BL12)/(1+BK10),0)</f>
        <v>152.31836506106</v>
      </c>
      <c r="BL12" s="11" t="n">
        <f aca="false">IF(Time!BL17&lt;=Time!$F$14,(Waterfall!BL7+BM12)/(1+BL10),0)</f>
        <v>111.728412757201</v>
      </c>
      <c r="BM12" s="11" t="n">
        <f aca="false">IF(Time!BM17&lt;=Time!$F$14,(Waterfall!BM7+BN12)/(1+BM10),0)</f>
        <v>74.2972642485251</v>
      </c>
      <c r="BN12" s="11" t="n">
        <f aca="false">IF(Time!BN17&lt;=Time!$F$14,(Waterfall!BN7+0)/(1+BN10),0)</f>
        <v>36.2498114826019</v>
      </c>
    </row>
    <row r="13" customFormat="false" ht="15" hidden="false" customHeight="false" outlineLevel="0" collapsed="false">
      <c r="D13" s="0" t="s">
        <v>793</v>
      </c>
      <c r="E13" s="0" t="s">
        <v>202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0</v>
      </c>
      <c r="Q13" s="6" t="n">
        <f aca="false">IF(Debt!Q122&gt;0.000000001,(Q11+Reserves!Q9)/Debt!Q122,0)</f>
        <v>1.34990102842376</v>
      </c>
      <c r="R13" s="6" t="n">
        <f aca="false">IF(Debt!R122&gt;0.000000001,(R11+Reserves!R9)/Debt!R122,0)</f>
        <v>1.35369529842055</v>
      </c>
      <c r="S13" s="6" t="n">
        <f aca="false">IF(Debt!S122&gt;0.000000001,(S11+Reserves!S9)/Debt!S122,0)</f>
        <v>1.35661843065437</v>
      </c>
      <c r="T13" s="6" t="n">
        <f aca="false">IF(Debt!T122&gt;0.000000001,(T11+Reserves!T9)/Debt!T122,0)</f>
        <v>1.36098386927049</v>
      </c>
      <c r="U13" s="6" t="n">
        <f aca="false">IF(Debt!U122&gt;0.000000001,(U11+Reserves!U9)/Debt!U122,0)</f>
        <v>1.36468819772259</v>
      </c>
      <c r="V13" s="6" t="n">
        <f aca="false">IF(Debt!V122&gt;0.000000001,(V11+Reserves!V9)/Debt!V122,0)</f>
        <v>1.37063401850577</v>
      </c>
      <c r="W13" s="6" t="n">
        <f aca="false">IF(Debt!W122&gt;0.000000001,(W11+Reserves!W9)/Debt!W122,0)</f>
        <v>1.37625908402592</v>
      </c>
      <c r="X13" s="6" t="n">
        <f aca="false">IF(Debt!X122&gt;0.000000001,(X11+Reserves!X9)/Debt!X122,0)</f>
        <v>1.37972479092416</v>
      </c>
      <c r="Y13" s="6" t="n">
        <f aca="false">IF(Debt!Y122&gt;0.000000001,(Y11+Reserves!Y9)/Debt!Y122,0)</f>
        <v>1.38091540364151</v>
      </c>
      <c r="Z13" s="6" t="n">
        <f aca="false">IF(Debt!Z122&gt;0.000000001,(Z11+Reserves!Z9)/Debt!Z122,0)</f>
        <v>1.3878061363184</v>
      </c>
      <c r="AA13" s="6" t="n">
        <f aca="false">IF(Debt!AA122&gt;0.000000001,(AA11+Reserves!AA9)/Debt!AA122,0)</f>
        <v>1.39401054365572</v>
      </c>
      <c r="AB13" s="6" t="n">
        <f aca="false">IF(Debt!AB122&gt;0.000000001,(AB11+Reserves!AB9)/Debt!AB122,0)</f>
        <v>1.41962245209202</v>
      </c>
      <c r="AC13" s="6" t="n">
        <f aca="false">IF(Debt!AC122&gt;0.000000001,(AC11+Reserves!AC9)/Debt!AC122,0)</f>
        <v>1.44852799070425</v>
      </c>
      <c r="AD13" s="6" t="n">
        <f aca="false">IF(Debt!AD122&gt;0.000000001,(AD11+Reserves!AD9)/Debt!AD122,0)</f>
        <v>1.48318051855293</v>
      </c>
      <c r="AE13" s="6" t="n">
        <f aca="false">IF(Debt!AE122&gt;0.000000001,(AE11+Reserves!AE9)/Debt!AE122,0)</f>
        <v>1.5258341966042</v>
      </c>
      <c r="AF13" s="6" t="n">
        <f aca="false">IF(Debt!AF122&gt;0.000000001,(AF11+Reserves!AF9)/Debt!AF122,0)</f>
        <v>1.57699399097708</v>
      </c>
      <c r="AG13" s="6" t="n">
        <f aca="false">IF(Debt!AG122&gt;0.000000001,(AG11+Reserves!AG9)/Debt!AG122,0)</f>
        <v>1.63986282272106</v>
      </c>
      <c r="AH13" s="6" t="n">
        <f aca="false">IF(Debt!AH122&gt;0.000000001,(AH11+Reserves!AH9)/Debt!AH122,0)</f>
        <v>1.72036891111819</v>
      </c>
      <c r="AI13" s="6" t="n">
        <f aca="false">IF(Debt!AI122&gt;0.000000001,(AI11+Reserves!AI9)/Debt!AI122,0)</f>
        <v>1.82911778438975</v>
      </c>
      <c r="AJ13" s="6" t="n">
        <f aca="false">IF(Debt!AJ122&gt;0.000000001,(AJ11+Reserves!AJ9)/Debt!AJ122,0)</f>
        <v>1.98266365620512</v>
      </c>
      <c r="AK13" s="6" t="n">
        <f aca="false">IF(Debt!AK122&gt;0.000000001,(AK11+Reserves!AK9)/Debt!AK122,0)</f>
        <v>2.22446682327746</v>
      </c>
      <c r="AL13" s="6" t="n">
        <f aca="false">IF(Debt!AL122&gt;0.000000001,(AL11+Reserves!AL9)/Debt!AL122,0)</f>
        <v>2.64703003039667</v>
      </c>
      <c r="AM13" s="6" t="n">
        <f aca="false">IF(Debt!AM122&gt;0.000000001,(AM11+Reserves!AM9)/Debt!AM122,0)</f>
        <v>2.79517089320939</v>
      </c>
      <c r="AN13" s="6" t="n">
        <f aca="false">IF(Debt!AN122&gt;0.000000001,(AN11+Reserves!AN9)/Debt!AN122,0)</f>
        <v>3.09754106676073</v>
      </c>
      <c r="AO13" s="6" t="n">
        <f aca="false">IF(Debt!AO122&gt;0.000000001,(AO11+Reserves!AO9)/Debt!AO122,0)</f>
        <v>3.54362455676073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794</v>
      </c>
      <c r="E14" s="0" t="s">
        <v>202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0</v>
      </c>
      <c r="Q14" s="6" t="n">
        <f aca="false">IF(Debt!Q122&gt;0.000000001,Q11/Debt!Q122,0)</f>
        <v>1.2897098323803</v>
      </c>
      <c r="R14" s="6" t="n">
        <f aca="false">IF(Debt!R122&gt;0.000000001,R11/Debt!R122,0)</f>
        <v>1.29109985663604</v>
      </c>
      <c r="S14" s="6" t="n">
        <f aca="false">IF(Debt!S122&gt;0.000000001,S11/Debt!S122,0)</f>
        <v>1.29271965230512</v>
      </c>
      <c r="T14" s="6" t="n">
        <f aca="false">IF(Debt!T122&gt;0.000000001,T11/Debt!T122,0)</f>
        <v>1.29437257551552</v>
      </c>
      <c r="U14" s="6" t="n">
        <f aca="false">IF(Debt!U122&gt;0.000000001,U11/Debt!U122,0)</f>
        <v>1.29620277075889</v>
      </c>
      <c r="V14" s="6" t="n">
        <f aca="false">IF(Debt!V122&gt;0.000000001,V11/Debt!V122,0)</f>
        <v>1.29835758077071</v>
      </c>
      <c r="W14" s="6" t="n">
        <f aca="false">IF(Debt!W122&gt;0.000000001,W11/Debt!W122,0)</f>
        <v>1.30167520829956</v>
      </c>
      <c r="X14" s="6" t="n">
        <f aca="false">IF(Debt!X122&gt;0.000000001,X11/Debt!X122,0)</f>
        <v>1.30422113952047</v>
      </c>
      <c r="Y14" s="6" t="n">
        <f aca="false">IF(Debt!Y122&gt;0.000000001,Y11/Debt!Y122,0)</f>
        <v>1.30295402120016</v>
      </c>
      <c r="Z14" s="6" t="n">
        <f aca="false">IF(Debt!Z122&gt;0.000000001,Z11/Debt!Z122,0)</f>
        <v>1.30567583842742</v>
      </c>
      <c r="AA14" s="6" t="n">
        <f aca="false">IF(Debt!AA122&gt;0.000000001,AA11/Debt!AA122,0)</f>
        <v>1.30857507706395</v>
      </c>
      <c r="AB14" s="6" t="n">
        <f aca="false">IF(Debt!AB122&gt;0.000000001,AB11/Debt!AB122,0)</f>
        <v>1.32753445769245</v>
      </c>
      <c r="AC14" s="6" t="n">
        <f aca="false">IF(Debt!AC122&gt;0.000000001,AC11/Debt!AC122,0)</f>
        <v>1.35129764187307</v>
      </c>
      <c r="AD14" s="6" t="n">
        <f aca="false">IF(Debt!AD122&gt;0.000000001,AD11/Debt!AD122,0)</f>
        <v>1.3759039289741</v>
      </c>
      <c r="AE14" s="6" t="n">
        <f aca="false">IF(Debt!AE122&gt;0.000000001,AE11/Debt!AE122,0)</f>
        <v>1.41005756016823</v>
      </c>
      <c r="AF14" s="6" t="n">
        <f aca="false">IF(Debt!AF122&gt;0.000000001,AF11/Debt!AF122,0)</f>
        <v>1.45045129344813</v>
      </c>
      <c r="AG14" s="6" t="n">
        <f aca="false">IF(Debt!AG122&gt;0.000000001,AG11/Debt!AG122,0)</f>
        <v>1.5013223274949</v>
      </c>
      <c r="AH14" s="6" t="n">
        <f aca="false">IF(Debt!AH122&gt;0.000000001,AH11/Debt!AH122,0)</f>
        <v>1.5641815801436</v>
      </c>
      <c r="AI14" s="6" t="n">
        <f aca="false">IF(Debt!AI122&gt;0.000000001,AI11/Debt!AI122,0)</f>
        <v>1.6520284092484</v>
      </c>
      <c r="AJ14" s="6" t="n">
        <f aca="false">IF(Debt!AJ122&gt;0.000000001,AJ11/Debt!AJ122,0)</f>
        <v>1.77311523275147</v>
      </c>
      <c r="AK14" s="6" t="n">
        <f aca="false">IF(Debt!AK122&gt;0.000000001,AK11/Debt!AK122,0)</f>
        <v>1.96791843818144</v>
      </c>
      <c r="AL14" s="6" t="n">
        <f aca="false">IF(Debt!AL122&gt;0.000000001,AL11/Debt!AL122,0)</f>
        <v>2.30369325278207</v>
      </c>
      <c r="AM14" s="6" t="n">
        <f aca="false">IF(Debt!AM122&gt;0.000000001,AM11/Debt!AM122,0)</f>
        <v>2.39245485322362</v>
      </c>
      <c r="AN14" s="6" t="n">
        <f aca="false">IF(Debt!AN122&gt;0.000000001,AN11/Debt!AN122,0)</f>
        <v>2.57397788139916</v>
      </c>
      <c r="AO14" s="6" t="n">
        <f aca="false">IF(Debt!AO122&gt;0.000000001,AO11/Debt!AO122,0)</f>
        <v>2.51653799295679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795</v>
      </c>
      <c r="E15" s="0" t="s">
        <v>202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0</v>
      </c>
      <c r="Q15" s="6" t="n">
        <f aca="false">IF(Debt!Q122&gt;0.000000001,Q12/Debt!Q122,0)</f>
        <v>1.81204226648802</v>
      </c>
      <c r="R15" s="6" t="n">
        <f aca="false">IF(Debt!R122&gt;0.000000001,R12/Debt!R122,0)</f>
        <v>1.84571583217149</v>
      </c>
      <c r="S15" s="6" t="n">
        <f aca="false">IF(Debt!S122&gt;0.000000001,S12/Debt!S122,0)</f>
        <v>1.88305793556066</v>
      </c>
      <c r="T15" s="6" t="n">
        <f aca="false">IF(Debt!T122&gt;0.000000001,T12/Debt!T122,0)</f>
        <v>1.92359251076718</v>
      </c>
      <c r="U15" s="6" t="n">
        <f aca="false">IF(Debt!U122&gt;0.000000001,U12/Debt!U122,0)</f>
        <v>1.96872854014889</v>
      </c>
      <c r="V15" s="6" t="n">
        <f aca="false">IF(Debt!V122&gt;0.000000001,V12/Debt!V122,0)</f>
        <v>2.01857685327934</v>
      </c>
      <c r="W15" s="6" t="n">
        <f aca="false">IF(Debt!W122&gt;0.000000001,W12/Debt!W122,0)</f>
        <v>2.0759957066051</v>
      </c>
      <c r="X15" s="6" t="n">
        <f aca="false">IF(Debt!X122&gt;0.000000001,X12/Debt!X122,0)</f>
        <v>2.13873194982474</v>
      </c>
      <c r="Y15" s="6" t="n">
        <f aca="false">IF(Debt!Y122&gt;0.000000001,Y12/Debt!Y122,0)</f>
        <v>2.20317077495033</v>
      </c>
      <c r="Z15" s="6" t="n">
        <f aca="false">IF(Debt!Z122&gt;0.000000001,Z12/Debt!Z122,0)</f>
        <v>2.27921506710139</v>
      </c>
      <c r="AA15" s="6" t="n">
        <f aca="false">IF(Debt!AA122&gt;0.000000001,AA12/Debt!AA122,0)</f>
        <v>2.36597941750217</v>
      </c>
      <c r="AB15" s="6" t="n">
        <f aca="false">IF(Debt!AB122&gt;0.000000001,AB12/Debt!AB122,0)</f>
        <v>2.49346937842131</v>
      </c>
      <c r="AC15" s="6" t="n">
        <f aca="false">IF(Debt!AC122&gt;0.000000001,AC12/Debt!AC122,0)</f>
        <v>2.64826575266896</v>
      </c>
      <c r="AD15" s="6" t="n">
        <f aca="false">IF(Debt!AD122&gt;0.000000001,AD12/Debt!AD122,0)</f>
        <v>2.82563950532431</v>
      </c>
      <c r="AE15" s="6" t="n">
        <f aca="false">IF(Debt!AE122&gt;0.000000001,AE12/Debt!AE122,0)</f>
        <v>3.05274484818721</v>
      </c>
      <c r="AF15" s="6" t="n">
        <f aca="false">IF(Debt!AF122&gt;0.000000001,AF12/Debt!AF122,0)</f>
        <v>3.33744138706634</v>
      </c>
      <c r="AG15" s="6" t="n">
        <f aca="false">IF(Debt!AG122&gt;0.000000001,AG12/Debt!AG122,0)</f>
        <v>3.70845239616342</v>
      </c>
      <c r="AH15" s="6" t="n">
        <f aca="false">IF(Debt!AH122&gt;0.000000001,AH12/Debt!AH122,0)</f>
        <v>4.18814346014931</v>
      </c>
      <c r="AI15" s="6" t="n">
        <f aca="false">IF(Debt!AI122&gt;0.000000001,AI12/Debt!AI122,0)</f>
        <v>4.86754777724426</v>
      </c>
      <c r="AJ15" s="6" t="n">
        <f aca="false">IF(Debt!AJ122&gt;0.000000001,AJ12/Debt!AJ122,0)</f>
        <v>5.85305304956937</v>
      </c>
      <c r="AK15" s="6" t="n">
        <f aca="false">IF(Debt!AK122&gt;0.000000001,AK12/Debt!AK122,0)</f>
        <v>7.48066680723259</v>
      </c>
      <c r="AL15" s="6" t="n">
        <f aca="false">IF(Debt!AL122&gt;0.000000001,AL12/Debt!AL122,0)</f>
        <v>10.4690432503796</v>
      </c>
      <c r="AM15" s="6" t="n">
        <f aca="false">IF(Debt!AM122&gt;0.000000001,AM12/Debt!AM122,0)</f>
        <v>13.8667653113241</v>
      </c>
      <c r="AN15" s="6" t="n">
        <f aca="false">IF(Debt!AN122&gt;0.000000001,AN12/Debt!AN122,0)</f>
        <v>21.4491644106437</v>
      </c>
      <c r="AO15" s="6" t="n">
        <f aca="false">IF(Debt!AO122&gt;0.000000001,AO12/Debt!AO122,0)</f>
        <v>41.012166944288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796</v>
      </c>
      <c r="E16" s="0" t="s">
        <v>202</v>
      </c>
      <c r="F16" s="6" t="n">
        <f aca="false">_xlfn.MINIFS(Waterfall!$J$17:$BN$17,Debt!$J$121:$BN$121,"&gt;0.000000001")</f>
        <v>1.25419186640688</v>
      </c>
    </row>
    <row r="17" customFormat="false" ht="15" hidden="false" customHeight="false" outlineLevel="0" collapsed="false">
      <c r="D17" s="0" t="s">
        <v>797</v>
      </c>
      <c r="E17" s="0" t="s">
        <v>202</v>
      </c>
      <c r="F17" s="6" t="n">
        <f aca="false">SUMIFS(Waterfall!$J$7:$BN$7,Debt!$J$121:$BN$121,"&gt;0.000000001")/SUM(Debt!$J$121:$BN$121)</f>
        <v>1.44735674902182</v>
      </c>
    </row>
    <row r="18" customFormat="false" ht="15" hidden="false" customHeight="false" outlineLevel="0" collapsed="false">
      <c r="D18" s="0" t="s">
        <v>798</v>
      </c>
      <c r="E18" s="0" t="s">
        <v>202</v>
      </c>
      <c r="F18" s="6" t="n">
        <f aca="false">INDEX(Ratios!$J$13:$BN$13,1,Time!$F$12)</f>
        <v>1.34990102842376</v>
      </c>
    </row>
    <row r="19" customFormat="false" ht="15" hidden="false" customHeight="false" outlineLevel="0" collapsed="false">
      <c r="D19" s="0" t="s">
        <v>799</v>
      </c>
      <c r="E19" s="0" t="s">
        <v>202</v>
      </c>
      <c r="F19" s="6" t="n">
        <f aca="false">INDEX(Ratios!$J$15:$BN$15,1,Time!$F$12)</f>
        <v>1.81204226648802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801</v>
      </c>
      <c r="J5" s="3" t="s">
        <v>802</v>
      </c>
      <c r="K5" s="3" t="s">
        <v>377</v>
      </c>
      <c r="L5" s="3" t="s">
        <v>378</v>
      </c>
      <c r="M5" s="3" t="s">
        <v>379</v>
      </c>
      <c r="N5" s="3" t="s">
        <v>380</v>
      </c>
      <c r="O5" s="3" t="s">
        <v>381</v>
      </c>
      <c r="P5" s="3" t="s">
        <v>382</v>
      </c>
      <c r="Q5" s="3" t="s">
        <v>383</v>
      </c>
      <c r="R5" s="3" t="s">
        <v>384</v>
      </c>
      <c r="S5" s="3" t="s">
        <v>385</v>
      </c>
      <c r="T5" s="3" t="s">
        <v>386</v>
      </c>
      <c r="U5" s="3" t="s">
        <v>387</v>
      </c>
      <c r="V5" s="3" t="s">
        <v>388</v>
      </c>
      <c r="W5" s="3" t="s">
        <v>389</v>
      </c>
      <c r="X5" s="3" t="s">
        <v>390</v>
      </c>
      <c r="Y5" s="3" t="s">
        <v>391</v>
      </c>
      <c r="Z5" s="3" t="s">
        <v>392</v>
      </c>
      <c r="AA5" s="3" t="s">
        <v>393</v>
      </c>
      <c r="AB5" s="3" t="s">
        <v>394</v>
      </c>
      <c r="AC5" s="3" t="s">
        <v>395</v>
      </c>
      <c r="AD5" s="3" t="s">
        <v>396</v>
      </c>
      <c r="AE5" s="3" t="s">
        <v>397</v>
      </c>
      <c r="AF5" s="3" t="s">
        <v>398</v>
      </c>
      <c r="AG5" s="3" t="s">
        <v>399</v>
      </c>
      <c r="AH5" s="3" t="s">
        <v>400</v>
      </c>
      <c r="AI5" s="3" t="s">
        <v>401</v>
      </c>
      <c r="AJ5" s="3" t="s">
        <v>402</v>
      </c>
      <c r="AK5" s="3" t="s">
        <v>403</v>
      </c>
      <c r="AL5" s="3" t="s">
        <v>404</v>
      </c>
      <c r="AM5" s="3" t="s">
        <v>405</v>
      </c>
      <c r="AN5" s="3" t="s">
        <v>406</v>
      </c>
      <c r="AO5" s="3" t="s">
        <v>407</v>
      </c>
      <c r="AP5" s="3" t="s">
        <v>408</v>
      </c>
      <c r="AQ5" s="3" t="s">
        <v>409</v>
      </c>
      <c r="AR5" s="3" t="s">
        <v>410</v>
      </c>
      <c r="AS5" s="3" t="s">
        <v>411</v>
      </c>
      <c r="AT5" s="3" t="s">
        <v>412</v>
      </c>
      <c r="AU5" s="3" t="s">
        <v>413</v>
      </c>
      <c r="AV5" s="3" t="s">
        <v>414</v>
      </c>
      <c r="AW5" s="3" t="s">
        <v>415</v>
      </c>
      <c r="AX5" s="3" t="s">
        <v>416</v>
      </c>
      <c r="AY5" s="3" t="s">
        <v>417</v>
      </c>
      <c r="AZ5" s="3" t="s">
        <v>418</v>
      </c>
      <c r="BA5" s="3" t="s">
        <v>419</v>
      </c>
      <c r="BB5" s="3" t="s">
        <v>420</v>
      </c>
      <c r="BC5" s="3" t="s">
        <v>421</v>
      </c>
      <c r="BD5" s="3" t="s">
        <v>422</v>
      </c>
      <c r="BE5" s="3" t="s">
        <v>423</v>
      </c>
      <c r="BF5" s="3" t="s">
        <v>424</v>
      </c>
      <c r="BG5" s="3" t="s">
        <v>425</v>
      </c>
      <c r="BH5" s="3" t="s">
        <v>426</v>
      </c>
      <c r="BI5" s="3" t="s">
        <v>427</v>
      </c>
      <c r="BJ5" s="3" t="s">
        <v>428</v>
      </c>
      <c r="BK5" s="3" t="s">
        <v>429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803</v>
      </c>
      <c r="E7" s="0" t="s">
        <v>349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804</v>
      </c>
      <c r="E8" s="0" t="s">
        <v>149</v>
      </c>
      <c r="G8" s="11" t="n">
        <f aca="false">SUM(J8:DP8)</f>
        <v>1180.32347095561</v>
      </c>
      <c r="J8" s="11" t="n">
        <f aca="false">-Inputs!$F$68</f>
        <v>-14.2</v>
      </c>
      <c r="K8" s="11" t="n">
        <f aca="false">-Funding!J68</f>
        <v>-17.4523333259077</v>
      </c>
      <c r="L8" s="11" t="n">
        <f aca="false">-Funding!K68</f>
        <v>-0.650619894494443</v>
      </c>
      <c r="M8" s="11" t="n">
        <f aca="false">-Funding!L68</f>
        <v>-0.828920120281372</v>
      </c>
      <c r="N8" s="11" t="n">
        <f aca="false">-Funding!M68</f>
        <v>-1.17060534952821</v>
      </c>
      <c r="O8" s="11" t="n">
        <f aca="false">-Funding!N68</f>
        <v>-1.6847689488543</v>
      </c>
      <c r="P8" s="11" t="n">
        <f aca="false">-Funding!O68</f>
        <v>-2.32070707212229</v>
      </c>
      <c r="Q8" s="11" t="n">
        <f aca="false">-Funding!P68</f>
        <v>-3.02607158867241</v>
      </c>
      <c r="R8" s="11" t="n">
        <f aca="false">-Funding!Q68</f>
        <v>-3.84111776142731</v>
      </c>
      <c r="S8" s="11" t="n">
        <f aca="false">-Funding!R68</f>
        <v>-4.65265422012123</v>
      </c>
      <c r="T8" s="11" t="n">
        <f aca="false">-Funding!S68</f>
        <v>-5.47939885583676</v>
      </c>
      <c r="U8" s="11" t="n">
        <f aca="false">-Funding!T68</f>
        <v>-6.25269674945551</v>
      </c>
      <c r="V8" s="11" t="n">
        <f aca="false">-Funding!U68</f>
        <v>-6.99452738617733</v>
      </c>
      <c r="W8" s="11" t="n">
        <f aca="false">-Funding!V68</f>
        <v>-7.64655983539785</v>
      </c>
      <c r="X8" s="11" t="n">
        <f aca="false">-Funding!W68</f>
        <v>-8.18860163226564</v>
      </c>
      <c r="Y8" s="11" t="n">
        <f aca="false">-Funding!X68</f>
        <v>-8.63767355709461</v>
      </c>
      <c r="Z8" s="11" t="n">
        <f aca="false">-Funding!Y68</f>
        <v>-8.93636883352236</v>
      </c>
      <c r="AA8" s="11" t="n">
        <f aca="false">-Funding!Z68</f>
        <v>-9.12379607526444</v>
      </c>
      <c r="AB8" s="11" t="n">
        <f aca="false">-Funding!AA68</f>
        <v>-9.4642244698474</v>
      </c>
      <c r="AC8" s="11" t="n">
        <f aca="false">-Funding!AB68</f>
        <v>-9.02743035242129</v>
      </c>
      <c r="AD8" s="11" t="n">
        <f aca="false">-Funding!AC68</f>
        <v>-8.81332304786893</v>
      </c>
      <c r="AE8" s="11" t="n">
        <f aca="false">-Funding!AD68</f>
        <v>-8.42487903075477</v>
      </c>
      <c r="AF8" s="11" t="n">
        <f aca="false">-Funding!AE68</f>
        <v>-7.94926768014383</v>
      </c>
      <c r="AG8" s="11" t="n">
        <f aca="false">-Funding!AF68</f>
        <v>-7.3374554562592</v>
      </c>
      <c r="AH8" s="11" t="n">
        <f aca="false">-Funding!AG68</f>
        <v>-6.67554951491576</v>
      </c>
      <c r="AI8" s="11" t="n">
        <f aca="false">-Funding!AH68</f>
        <v>-5.93353021295238</v>
      </c>
      <c r="AJ8" s="11" t="n">
        <f aca="false">-Funding!AI68</f>
        <v>-5.1363627394417</v>
      </c>
      <c r="AK8" s="11" t="n">
        <f aca="false">-Funding!AJ68</f>
        <v>-4.36733045623116</v>
      </c>
      <c r="AL8" s="11" t="n">
        <f aca="false">-Funding!AK68</f>
        <v>-3.58398178596361</v>
      </c>
      <c r="AM8" s="11" t="n">
        <f aca="false">-Funding!AL68</f>
        <v>-2.89403910419691</v>
      </c>
      <c r="AN8" s="11" t="n">
        <f aca="false">-Funding!AM68</f>
        <v>-2.27589806728741</v>
      </c>
      <c r="AO8" s="11" t="n">
        <f aca="false">-Funding!AN68</f>
        <v>-1.72237207880343</v>
      </c>
      <c r="AP8" s="11" t="n">
        <f aca="false">-Funding!AO68</f>
        <v>-1.43861737593699</v>
      </c>
      <c r="AQ8" s="11" t="n">
        <f aca="false">-Funding!AP68</f>
        <v>-1.25429469151466</v>
      </c>
      <c r="AR8" s="11" t="n">
        <f aca="false">-Funding!AQ68</f>
        <v>-1.25742495104635</v>
      </c>
      <c r="AS8" s="11" t="n">
        <f aca="false">-Funding!AR68</f>
        <v>-1.24120862563906</v>
      </c>
      <c r="AT8" s="11" t="n">
        <f aca="false">-Funding!AS68</f>
        <v>-1.29066074267882</v>
      </c>
      <c r="AU8" s="11" t="n">
        <f aca="false">-Funding!AT68</f>
        <v>-1.29472209007219</v>
      </c>
      <c r="AV8" s="11" t="n">
        <f aca="false">-Funding!AU68</f>
        <v>-1.26879985132176</v>
      </c>
      <c r="AW8" s="11" t="n">
        <f aca="false">-Funding!AV68</f>
        <v>-14.126810348383</v>
      </c>
      <c r="AX8" s="11" t="n">
        <f aca="false">-Funding!AW68</f>
        <v>-11.4966636580586</v>
      </c>
      <c r="AY8" s="11" t="n">
        <f aca="false">-Funding!AX68</f>
        <v>-1.04841561991132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0</v>
      </c>
      <c r="BS8" s="16" t="n">
        <f aca="false">Waterfall!Q44</f>
        <v>11.9411377585296</v>
      </c>
      <c r="BT8" s="16" t="n">
        <f aca="false">Waterfall!R44</f>
        <v>10.9811262587414</v>
      </c>
      <c r="BU8" s="16" t="n">
        <f aca="false">Waterfall!S44</f>
        <v>10.1937583240623</v>
      </c>
      <c r="BV8" s="16" t="n">
        <f aca="false">Waterfall!T44</f>
        <v>10.9709652187198</v>
      </c>
      <c r="BW8" s="16" t="n">
        <f aca="false">Waterfall!U44</f>
        <v>9.87364592414637</v>
      </c>
      <c r="BX8" s="16" t="n">
        <f aca="false">Waterfall!V44</f>
        <v>10.6606330335929</v>
      </c>
      <c r="BY8" s="16" t="n">
        <f aca="false">Waterfall!W44</f>
        <v>12.055536140849</v>
      </c>
      <c r="BZ8" s="16" t="n">
        <f aca="false">Waterfall!X44</f>
        <v>12.9904257519621</v>
      </c>
      <c r="CA8" s="16" t="n">
        <f aca="false">Waterfall!Y44</f>
        <v>10.1756209089765</v>
      </c>
      <c r="CB8" s="16" t="n">
        <f aca="false">Waterfall!Z44</f>
        <v>11.0097969556862</v>
      </c>
      <c r="CC8" s="16" t="n">
        <f aca="false">Waterfall!AA44</f>
        <v>4.97968731941094</v>
      </c>
      <c r="CD8" s="16" t="n">
        <f aca="false">Waterfall!AB44</f>
        <v>5.87910907101877</v>
      </c>
      <c r="CE8" s="16" t="n">
        <f aca="false">Waterfall!AC44</f>
        <v>5.3541250244998</v>
      </c>
      <c r="CF8" s="16" t="n">
        <f aca="false">Waterfall!AD44</f>
        <v>5.91338598779726</v>
      </c>
      <c r="CG8" s="16" t="n">
        <f aca="false">Waterfall!AE44</f>
        <v>6.86569944577716</v>
      </c>
      <c r="CH8" s="16" t="n">
        <f aca="false">Waterfall!AF44</f>
        <v>8.07717524116026</v>
      </c>
      <c r="CI8" s="16" t="n">
        <f aca="false">Waterfall!AG44</f>
        <v>8.13714505920316</v>
      </c>
      <c r="CJ8" s="16" t="n">
        <f aca="false">Waterfall!AH44</f>
        <v>9.32475500558314</v>
      </c>
      <c r="CK8" s="16" t="n">
        <f aca="false">Waterfall!AI44</f>
        <v>9.97184714188098</v>
      </c>
      <c r="CL8" s="16" t="n">
        <f aca="false">Waterfall!AJ44</f>
        <v>11.5769808783277</v>
      </c>
      <c r="CM8" s="16" t="n">
        <f aca="false">Waterfall!AK44</f>
        <v>13.2550622689768</v>
      </c>
      <c r="CN8" s="16" t="n">
        <f aca="false">Waterfall!AL44</f>
        <v>31.568224776146</v>
      </c>
      <c r="CO8" s="16" t="n">
        <f aca="false">Waterfall!AM44</f>
        <v>32.6109283341595</v>
      </c>
      <c r="CP8" s="16" t="n">
        <f aca="false">Waterfall!AN44</f>
        <v>33.4365211945138</v>
      </c>
      <c r="CQ8" s="16" t="n">
        <f aca="false">Waterfall!AO44</f>
        <v>50.6597042674252</v>
      </c>
      <c r="CR8" s="16" t="n">
        <f aca="false">Waterfall!AP44</f>
        <v>51.3388059528544</v>
      </c>
      <c r="CS8" s="16" t="n">
        <f aca="false">Waterfall!AQ44</f>
        <v>50.9858164161793</v>
      </c>
      <c r="CT8" s="16" t="n">
        <f aca="false">Waterfall!AR44</f>
        <v>42.9383801241977</v>
      </c>
      <c r="CU8" s="16" t="n">
        <f aca="false">Waterfall!AS44</f>
        <v>41.8152724350504</v>
      </c>
      <c r="CV8" s="16" t="n">
        <f aca="false">Waterfall!AT44</f>
        <v>42.2365002861952</v>
      </c>
      <c r="CW8" s="16" t="n">
        <f aca="false">Waterfall!AU44</f>
        <v>48.2359769265088</v>
      </c>
      <c r="CX8" s="16" t="n">
        <f aca="false">Waterfall!AV44</f>
        <v>44.7326492101122</v>
      </c>
      <c r="CY8" s="16" t="n">
        <f aca="false">Waterfall!AW44</f>
        <v>43.776613843306</v>
      </c>
      <c r="CZ8" s="16" t="n">
        <f aca="false">Waterfall!AX44</f>
        <v>44.4354267369936</v>
      </c>
      <c r="DA8" s="16" t="n">
        <f aca="false">Waterfall!AY44</f>
        <v>44.0254806356794</v>
      </c>
      <c r="DB8" s="16" t="n">
        <f aca="false">Waterfall!AZ44</f>
        <v>44.6600563620943</v>
      </c>
      <c r="DC8" s="16" t="n">
        <f aca="false">Waterfall!BA44</f>
        <v>44.2728127632001</v>
      </c>
      <c r="DD8" s="16" t="n">
        <f aca="false">Waterfall!BB44</f>
        <v>44.3089649091678</v>
      </c>
      <c r="DE8" s="16" t="n">
        <f aca="false">Waterfall!BC44</f>
        <v>44.7226461112184</v>
      </c>
      <c r="DF8" s="16" t="n">
        <f aca="false">Waterfall!BD44</f>
        <v>42.2235943953032</v>
      </c>
      <c r="DG8" s="16" t="n">
        <f aca="false">Waterfall!BE44</f>
        <v>34.7813897676701</v>
      </c>
      <c r="DH8" s="16" t="n">
        <f aca="false">Waterfall!BF44</f>
        <v>35.4500806045936</v>
      </c>
      <c r="DI8" s="16" t="n">
        <f aca="false">Waterfall!BG44</f>
        <v>35.0169225370277</v>
      </c>
      <c r="DJ8" s="16" t="n">
        <f aca="false">Waterfall!BH44</f>
        <v>35.6595471247633</v>
      </c>
      <c r="DK8" s="16" t="n">
        <f aca="false">Waterfall!BI44</f>
        <v>35.2445643883681</v>
      </c>
      <c r="DL8" s="16" t="n">
        <f aca="false">Waterfall!BJ44</f>
        <v>35.8286804636831</v>
      </c>
      <c r="DM8" s="16" t="n">
        <f aca="false">Waterfall!BK44</f>
        <v>43.0601418896222</v>
      </c>
      <c r="DN8" s="16" t="n">
        <f aca="false">Waterfall!BL44</f>
        <v>38.7837833311665</v>
      </c>
      <c r="DO8" s="16" t="n">
        <f aca="false">Waterfall!BM44</f>
        <v>38.3678958128591</v>
      </c>
      <c r="DP8" s="16" t="n">
        <f aca="false">Waterfall!BN44</f>
        <v>55.3691537947186</v>
      </c>
    </row>
    <row r="9" customFormat="false" ht="15" hidden="false" customHeight="false" outlineLevel="0" collapsed="false">
      <c r="D9" s="0" t="s">
        <v>805</v>
      </c>
      <c r="E9" s="0" t="s">
        <v>149</v>
      </c>
      <c r="G9" s="11" t="n">
        <f aca="false">SUM(J9:DP9)</f>
        <v>1625.43396403942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-1.40755141856459</v>
      </c>
      <c r="M9" s="11" t="n">
        <f aca="false">-Construction!L30</f>
        <v>-2.04139650947368</v>
      </c>
      <c r="N9" s="11" t="n">
        <f aca="false">-Construction!M30</f>
        <v>-3.34371627674641</v>
      </c>
      <c r="O9" s="11" t="n">
        <f aca="false">-Construction!N30</f>
        <v>-5.23288384038278</v>
      </c>
      <c r="P9" s="11" t="n">
        <f aca="false">-Construction!O30</f>
        <v>-7.59511627674641</v>
      </c>
      <c r="Q9" s="11" t="n">
        <f aca="false">-Construction!P30</f>
        <v>-10.3048813385646</v>
      </c>
      <c r="R9" s="11" t="n">
        <f aca="false">-Construction!Q30</f>
        <v>-13.23602839311</v>
      </c>
      <c r="S9" s="11" t="n">
        <f aca="false">-Construction!R30</f>
        <v>-16.2642619640191</v>
      </c>
      <c r="T9" s="11" t="n">
        <f aca="false">-Construction!S30</f>
        <v>-19.2733255858373</v>
      </c>
      <c r="U9" s="11" t="n">
        <f aca="false">-Construction!T30</f>
        <v>-22.1550018040191</v>
      </c>
      <c r="V9" s="11" t="n">
        <f aca="false">-Construction!U30</f>
        <v>-24.8128224876555</v>
      </c>
      <c r="W9" s="11" t="n">
        <f aca="false">-Construction!V30</f>
        <v>-27.1614504440191</v>
      </c>
      <c r="X9" s="11" t="n">
        <f aca="false">-Construction!W30</f>
        <v>-29.1279161894737</v>
      </c>
      <c r="Y9" s="11" t="n">
        <f aca="false">-Construction!X30</f>
        <v>-30.655328262201</v>
      </c>
      <c r="Z9" s="11" t="n">
        <f aca="false">-Construction!Y30</f>
        <v>-31.6979261385646</v>
      </c>
      <c r="AA9" s="11" t="n">
        <f aca="false">-Construction!Z30</f>
        <v>-32.226645702201</v>
      </c>
      <c r="AB9" s="11" t="n">
        <f aca="false">-Construction!AA30</f>
        <v>-33.369645702201</v>
      </c>
      <c r="AC9" s="11" t="n">
        <f aca="false">-Construction!AB30</f>
        <v>-31.6979261385646</v>
      </c>
      <c r="AD9" s="11" t="n">
        <f aca="false">-Construction!AC30</f>
        <v>-30.655328262201</v>
      </c>
      <c r="AE9" s="11" t="n">
        <f aca="false">-Construction!AD30</f>
        <v>-29.1279161894737</v>
      </c>
      <c r="AF9" s="11" t="n">
        <f aca="false">-Construction!AE30</f>
        <v>-27.1614504440191</v>
      </c>
      <c r="AG9" s="11" t="n">
        <f aca="false">-Construction!AF30</f>
        <v>-24.8128224876555</v>
      </c>
      <c r="AH9" s="11" t="n">
        <f aca="false">-Construction!AG30</f>
        <v>-22.1550018040191</v>
      </c>
      <c r="AI9" s="11" t="n">
        <f aca="false">-Construction!AH30</f>
        <v>-19.2733255858373</v>
      </c>
      <c r="AJ9" s="11" t="n">
        <f aca="false">-Construction!AI30</f>
        <v>-16.2642619640191</v>
      </c>
      <c r="AK9" s="11" t="n">
        <f aca="false">-Construction!AJ30</f>
        <v>-13.23602839311</v>
      </c>
      <c r="AL9" s="11" t="n">
        <f aca="false">-Construction!AK30</f>
        <v>-10.3048813385646</v>
      </c>
      <c r="AM9" s="11" t="n">
        <f aca="false">-Construction!AL30</f>
        <v>-7.59511627674641</v>
      </c>
      <c r="AN9" s="11" t="n">
        <f aca="false">-Construction!AM30</f>
        <v>-5.23288384038278</v>
      </c>
      <c r="AO9" s="11" t="n">
        <f aca="false">-Construction!AN30</f>
        <v>-3.34371627674641</v>
      </c>
      <c r="AP9" s="11" t="n">
        <f aca="false">-Construction!AO30</f>
        <v>-2.04139650947368</v>
      </c>
      <c r="AQ9" s="11" t="n">
        <f aca="false">-Construction!AP30</f>
        <v>-1.40755141856459</v>
      </c>
      <c r="AR9" s="11" t="n">
        <f aca="false">-Construction!AQ30</f>
        <v>-1.34076578947368</v>
      </c>
      <c r="AS9" s="11" t="n">
        <f aca="false">-Construction!AR30</f>
        <v>-1.34076578947368</v>
      </c>
      <c r="AT9" s="11" t="n">
        <f aca="false">-Construction!AS30</f>
        <v>-1.34076578947368</v>
      </c>
      <c r="AU9" s="11" t="n">
        <f aca="false">-Construction!AT30</f>
        <v>-1.34076578947368</v>
      </c>
      <c r="AV9" s="11" t="n">
        <f aca="false">-Construction!AU30</f>
        <v>-1.34076578947368</v>
      </c>
      <c r="AW9" s="11" t="n">
        <f aca="false">-Construction!AV30</f>
        <v>-49.5787657894737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0</v>
      </c>
      <c r="BR9" s="16" t="n">
        <f aca="false">Waterfall!P7</f>
        <v>1.86721444482732</v>
      </c>
      <c r="BS9" s="16" t="n">
        <f aca="false">Waterfall!Q7</f>
        <v>50.1694349259804</v>
      </c>
      <c r="BT9" s="16" t="n">
        <f aca="false">Waterfall!R7</f>
        <v>50.7589649640819</v>
      </c>
      <c r="BU9" s="16" t="n">
        <f aca="false">Waterfall!S7</f>
        <v>50.4233190401177</v>
      </c>
      <c r="BV9" s="16" t="n">
        <f aca="false">Waterfall!T7</f>
        <v>51.0022495144261</v>
      </c>
      <c r="BW9" s="16" t="n">
        <f aca="false">Waterfall!U7</f>
        <v>50.6723125847848</v>
      </c>
      <c r="BX9" s="16" t="n">
        <f aca="false">Waterfall!V7</f>
        <v>51.1693558860182</v>
      </c>
      <c r="BY9" s="16" t="n">
        <f aca="false">Waterfall!W7</f>
        <v>51.4024493908331</v>
      </c>
      <c r="BZ9" s="16" t="n">
        <f aca="false">Waterfall!X7</f>
        <v>51.9502968022351</v>
      </c>
      <c r="CA9" s="16" t="n">
        <f aca="false">Waterfall!Y7</f>
        <v>49.460994216498</v>
      </c>
      <c r="CB9" s="16" t="n">
        <f aca="false">Waterfall!Z7</f>
        <v>49.9717937201414</v>
      </c>
      <c r="CC9" s="16" t="n">
        <f aca="false">Waterfall!AA7</f>
        <v>49.3840999040299</v>
      </c>
      <c r="CD9" s="16" t="n">
        <f aca="false">Waterfall!AB7</f>
        <v>49.9820197005408</v>
      </c>
      <c r="CE9" s="16" t="n">
        <f aca="false">Waterfall!AC7</f>
        <v>49.6443667431118</v>
      </c>
      <c r="CF9" s="16" t="n">
        <f aca="false">Waterfall!AD7</f>
        <v>50.2015579797273</v>
      </c>
      <c r="CG9" s="16" t="n">
        <f aca="false">Waterfall!AE7</f>
        <v>51.3752461862275</v>
      </c>
      <c r="CH9" s="16" t="n">
        <f aca="false">Waterfall!AF7</f>
        <v>52.3831778159556</v>
      </c>
      <c r="CI9" s="16" t="n">
        <f aca="false">Waterfall!AG7</f>
        <v>51.5272391835451</v>
      </c>
      <c r="CJ9" s="16" t="n">
        <f aca="false">Waterfall!AH7</f>
        <v>52.1805404506068</v>
      </c>
      <c r="CK9" s="16" t="n">
        <f aca="false">Waterfall!AI7</f>
        <v>51.828817762181</v>
      </c>
      <c r="CL9" s="16" t="n">
        <f aca="false">Waterfall!AJ7</f>
        <v>52.4490966240749</v>
      </c>
      <c r="CM9" s="16" t="n">
        <f aca="false">Waterfall!AK7</f>
        <v>52.1049530907206</v>
      </c>
      <c r="CN9" s="16" t="n">
        <f aca="false">Waterfall!AL7</f>
        <v>52.6514512471158</v>
      </c>
      <c r="CO9" s="16" t="n">
        <f aca="false">Waterfall!AM7</f>
        <v>52.9846165065847</v>
      </c>
      <c r="CP9" s="16" t="n">
        <f aca="false">Waterfall!AN7</f>
        <v>53.5672342650934</v>
      </c>
      <c r="CQ9" s="16" t="n">
        <f aca="false">Waterfall!AO7</f>
        <v>50.6597042674252</v>
      </c>
      <c r="CR9" s="16" t="n">
        <f aca="false">Waterfall!AP7</f>
        <v>51.3388059528544</v>
      </c>
      <c r="CS9" s="16" t="n">
        <f aca="false">Waterfall!AQ7</f>
        <v>50.9858164161793</v>
      </c>
      <c r="CT9" s="16" t="n">
        <f aca="false">Waterfall!AR7</f>
        <v>42.9383801241977</v>
      </c>
      <c r="CU9" s="16" t="n">
        <f aca="false">Waterfall!AS7</f>
        <v>41.8152724350504</v>
      </c>
      <c r="CV9" s="16" t="n">
        <f aca="false">Waterfall!AT7</f>
        <v>42.2365002861952</v>
      </c>
      <c r="CW9" s="16" t="n">
        <f aca="false">Waterfall!AU7</f>
        <v>48.2359769265088</v>
      </c>
      <c r="CX9" s="16" t="n">
        <f aca="false">Waterfall!AV7</f>
        <v>44.7326492101122</v>
      </c>
      <c r="CY9" s="16" t="n">
        <f aca="false">Waterfall!AW7</f>
        <v>43.776613843306</v>
      </c>
      <c r="CZ9" s="16" t="n">
        <f aca="false">Waterfall!AX7</f>
        <v>44.4354267369936</v>
      </c>
      <c r="DA9" s="16" t="n">
        <f aca="false">Waterfall!AY7</f>
        <v>44.0254806356794</v>
      </c>
      <c r="DB9" s="16" t="n">
        <f aca="false">Waterfall!AZ7</f>
        <v>44.6600563620943</v>
      </c>
      <c r="DC9" s="16" t="n">
        <f aca="false">Waterfall!BA7</f>
        <v>44.2728127632001</v>
      </c>
      <c r="DD9" s="16" t="n">
        <f aca="false">Waterfall!BB7</f>
        <v>44.8093483273826</v>
      </c>
      <c r="DE9" s="16" t="n">
        <f aca="false">Waterfall!BC7</f>
        <v>46.2402191845607</v>
      </c>
      <c r="DF9" s="16" t="n">
        <f aca="false">Waterfall!BD7</f>
        <v>43.7577699555498</v>
      </c>
      <c r="DG9" s="16" t="n">
        <f aca="false">Waterfall!BE7</f>
        <v>36.3323494486259</v>
      </c>
      <c r="DH9" s="16" t="n">
        <f aca="false">Waterfall!BF7</f>
        <v>37.0180080271656</v>
      </c>
      <c r="DI9" s="16" t="n">
        <f aca="false">Waterfall!BG7</f>
        <v>36.6020033309645</v>
      </c>
      <c r="DJ9" s="16" t="n">
        <f aca="false">Waterfall!BH7</f>
        <v>37.2619689506319</v>
      </c>
      <c r="DK9" s="16" t="n">
        <f aca="false">Waterfall!BI7</f>
        <v>36.8645169597715</v>
      </c>
      <c r="DL9" s="16" t="n">
        <f aca="false">Waterfall!BJ7</f>
        <v>37.4663555697208</v>
      </c>
      <c r="DM9" s="16" t="n">
        <f aca="false">Waterfall!BK7</f>
        <v>44.7157334175965</v>
      </c>
      <c r="DN9" s="16" t="n">
        <f aca="false">Waterfall!BL7</f>
        <v>40.457487289537</v>
      </c>
      <c r="DO9" s="16" t="n">
        <f aca="false">Waterfall!BM7</f>
        <v>40.0599103544488</v>
      </c>
      <c r="DP9" s="16" t="n">
        <f aca="false">Waterfall!BN7</f>
        <v>37.2316943142061</v>
      </c>
    </row>
    <row r="10" customFormat="false" ht="15" hidden="false" customHeight="false" outlineLevel="0" collapsed="false">
      <c r="D10" s="0" t="s">
        <v>806</v>
      </c>
      <c r="E10" s="0" t="s">
        <v>149</v>
      </c>
      <c r="G10" s="11" t="n">
        <f aca="false">SUM(J10:DP10)</f>
        <v>1911.37586436736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-1.40755141856459</v>
      </c>
      <c r="M10" s="11" t="n">
        <f aca="false">-Construction!L30</f>
        <v>-2.04139650947368</v>
      </c>
      <c r="N10" s="11" t="n">
        <f aca="false">-Construction!M30</f>
        <v>-3.34371627674641</v>
      </c>
      <c r="O10" s="11" t="n">
        <f aca="false">-Construction!N30</f>
        <v>-5.23288384038278</v>
      </c>
      <c r="P10" s="11" t="n">
        <f aca="false">-Construction!O30</f>
        <v>-7.59511627674641</v>
      </c>
      <c r="Q10" s="11" t="n">
        <f aca="false">-Construction!P30</f>
        <v>-10.3048813385646</v>
      </c>
      <c r="R10" s="11" t="n">
        <f aca="false">-Construction!Q30</f>
        <v>-13.23602839311</v>
      </c>
      <c r="S10" s="11" t="n">
        <f aca="false">-Construction!R30</f>
        <v>-16.2642619640191</v>
      </c>
      <c r="T10" s="11" t="n">
        <f aca="false">-Construction!S30</f>
        <v>-19.2733255858373</v>
      </c>
      <c r="U10" s="11" t="n">
        <f aca="false">-Construction!T30</f>
        <v>-22.1550018040191</v>
      </c>
      <c r="V10" s="11" t="n">
        <f aca="false">-Construction!U30</f>
        <v>-24.8128224876555</v>
      </c>
      <c r="W10" s="11" t="n">
        <f aca="false">-Construction!V30</f>
        <v>-27.1614504440191</v>
      </c>
      <c r="X10" s="11" t="n">
        <f aca="false">-Construction!W30</f>
        <v>-29.1279161894737</v>
      </c>
      <c r="Y10" s="11" t="n">
        <f aca="false">-Construction!X30</f>
        <v>-30.655328262201</v>
      </c>
      <c r="Z10" s="11" t="n">
        <f aca="false">-Construction!Y30</f>
        <v>-31.6979261385646</v>
      </c>
      <c r="AA10" s="11" t="n">
        <f aca="false">-Construction!Z30</f>
        <v>-32.226645702201</v>
      </c>
      <c r="AB10" s="11" t="n">
        <f aca="false">-Construction!AA30</f>
        <v>-33.369645702201</v>
      </c>
      <c r="AC10" s="11" t="n">
        <f aca="false">-Construction!AB30</f>
        <v>-31.6979261385646</v>
      </c>
      <c r="AD10" s="11" t="n">
        <f aca="false">-Construction!AC30</f>
        <v>-30.655328262201</v>
      </c>
      <c r="AE10" s="11" t="n">
        <f aca="false">-Construction!AD30</f>
        <v>-29.1279161894737</v>
      </c>
      <c r="AF10" s="11" t="n">
        <f aca="false">-Construction!AE30</f>
        <v>-27.1614504440191</v>
      </c>
      <c r="AG10" s="11" t="n">
        <f aca="false">-Construction!AF30</f>
        <v>-24.8128224876555</v>
      </c>
      <c r="AH10" s="11" t="n">
        <f aca="false">-Construction!AG30</f>
        <v>-22.1550018040191</v>
      </c>
      <c r="AI10" s="11" t="n">
        <f aca="false">-Construction!AH30</f>
        <v>-19.2733255858373</v>
      </c>
      <c r="AJ10" s="11" t="n">
        <f aca="false">-Construction!AI30</f>
        <v>-16.2642619640191</v>
      </c>
      <c r="AK10" s="11" t="n">
        <f aca="false">-Construction!AJ30</f>
        <v>-13.23602839311</v>
      </c>
      <c r="AL10" s="11" t="n">
        <f aca="false">-Construction!AK30</f>
        <v>-10.3048813385646</v>
      </c>
      <c r="AM10" s="11" t="n">
        <f aca="false">-Construction!AL30</f>
        <v>-7.59511627674641</v>
      </c>
      <c r="AN10" s="11" t="n">
        <f aca="false">-Construction!AM30</f>
        <v>-5.23288384038278</v>
      </c>
      <c r="AO10" s="11" t="n">
        <f aca="false">-Construction!AN30</f>
        <v>-3.34371627674641</v>
      </c>
      <c r="AP10" s="11" t="n">
        <f aca="false">-Construction!AO30</f>
        <v>-2.04139650947368</v>
      </c>
      <c r="AQ10" s="11" t="n">
        <f aca="false">-Construction!AP30</f>
        <v>-1.40755141856459</v>
      </c>
      <c r="AR10" s="11" t="n">
        <f aca="false">-Construction!AQ30</f>
        <v>-1.34076578947368</v>
      </c>
      <c r="AS10" s="11" t="n">
        <f aca="false">-Construction!AR30</f>
        <v>-1.34076578947368</v>
      </c>
      <c r="AT10" s="11" t="n">
        <f aca="false">-Construction!AS30</f>
        <v>-1.34076578947368</v>
      </c>
      <c r="AU10" s="11" t="n">
        <f aca="false">-Construction!AT30</f>
        <v>-1.34076578947368</v>
      </c>
      <c r="AV10" s="11" t="n">
        <f aca="false">-Construction!AU30</f>
        <v>-1.34076578947368</v>
      </c>
      <c r="AW10" s="11" t="n">
        <f aca="false">-Construction!AV30</f>
        <v>-49.5787657894737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0</v>
      </c>
      <c r="BR10" s="11" t="n">
        <f aca="false">Waterfall!P7+Tax!P27</f>
        <v>1.86721444482732</v>
      </c>
      <c r="BS10" s="11" t="n">
        <f aca="false">Waterfall!Q7+Tax!Q27</f>
        <v>50.1694349259804</v>
      </c>
      <c r="BT10" s="11" t="n">
        <f aca="false">Waterfall!R7+Tax!R27</f>
        <v>50.7589649640819</v>
      </c>
      <c r="BU10" s="11" t="n">
        <f aca="false">Waterfall!S7+Tax!S27</f>
        <v>50.4233190401177</v>
      </c>
      <c r="BV10" s="11" t="n">
        <f aca="false">Waterfall!T7+Tax!T27</f>
        <v>51.0022495144261</v>
      </c>
      <c r="BW10" s="11" t="n">
        <f aca="false">Waterfall!U7+Tax!U27</f>
        <v>50.6723125847848</v>
      </c>
      <c r="BX10" s="11" t="n">
        <f aca="false">Waterfall!V7+Tax!V27</f>
        <v>51.1693558860182</v>
      </c>
      <c r="BY10" s="11" t="n">
        <f aca="false">Waterfall!W7+Tax!W27</f>
        <v>51.4024493908331</v>
      </c>
      <c r="BZ10" s="11" t="n">
        <f aca="false">Waterfall!X7+Tax!X27</f>
        <v>51.9502968022351</v>
      </c>
      <c r="CA10" s="11" t="n">
        <f aca="false">Waterfall!Y7+Tax!Y27</f>
        <v>49.460994216498</v>
      </c>
      <c r="CB10" s="11" t="n">
        <f aca="false">Waterfall!Z7+Tax!Z27</f>
        <v>50.0903914918132</v>
      </c>
      <c r="CC10" s="11" t="n">
        <f aca="false">Waterfall!AA7+Tax!AA27</f>
        <v>49.741262059224</v>
      </c>
      <c r="CD10" s="11" t="n">
        <f aca="false">Waterfall!AB7+Tax!AB27</f>
        <v>50.3409763007287</v>
      </c>
      <c r="CE10" s="11" t="n">
        <f aca="false">Waterfall!AC7+Tax!AC27</f>
        <v>50.0052776162067</v>
      </c>
      <c r="CF10" s="11" t="n">
        <f aca="false">Waterfall!AD7+Tax!AD27</f>
        <v>50.563368302099</v>
      </c>
      <c r="CG10" s="11" t="n">
        <f aca="false">Waterfall!AE7+Tax!AE27</f>
        <v>51.7325320336533</v>
      </c>
      <c r="CH10" s="11" t="n">
        <f aca="false">Waterfall!AF7+Tax!AF27</f>
        <v>52.7476063432601</v>
      </c>
      <c r="CI10" s="11" t="n">
        <f aca="false">Waterfall!AG7+Tax!AG27</f>
        <v>51.8950463203738</v>
      </c>
      <c r="CJ10" s="11" t="n">
        <f aca="false">Waterfall!AH7+Tax!AH27</f>
        <v>52.5499716454015</v>
      </c>
      <c r="CK10" s="11" t="n">
        <f aca="false">Waterfall!AI7+Tax!AI27</f>
        <v>52.1997410525652</v>
      </c>
      <c r="CL10" s="11" t="n">
        <f aca="false">Waterfall!AJ7+Tax!AJ27</f>
        <v>52.821973597245</v>
      </c>
      <c r="CM10" s="11" t="n">
        <f aca="false">Waterfall!AK7+Tax!AK27</f>
        <v>52.4799571367726</v>
      </c>
      <c r="CN10" s="11" t="n">
        <f aca="false">Waterfall!AL7+Tax!AL27</f>
        <v>53.0277606816851</v>
      </c>
      <c r="CO10" s="11" t="n">
        <f aca="false">Waterfall!AM7+Tax!AM27</f>
        <v>53.3616922630188</v>
      </c>
      <c r="CP10" s="11" t="n">
        <f aca="false">Waterfall!AN7+Tax!AN27</f>
        <v>53.9467343041256</v>
      </c>
      <c r="CQ10" s="11" t="n">
        <f aca="false">Waterfall!AO7+Tax!AO27</f>
        <v>51.0422189695103</v>
      </c>
      <c r="CR10" s="11" t="n">
        <f aca="false">Waterfall!AP7+Tax!AP27</f>
        <v>51.7230900993886</v>
      </c>
      <c r="CS10" s="11" t="n">
        <f aca="false">Waterfall!AQ7+Tax!AQ27</f>
        <v>51.3717270109681</v>
      </c>
      <c r="CT10" s="11" t="n">
        <f aca="false">Waterfall!AR7+Tax!AR27</f>
        <v>52.0183590879784</v>
      </c>
      <c r="CU10" s="11" t="n">
        <f aca="false">Waterfall!AS7+Tax!AS27</f>
        <v>51.669415953588</v>
      </c>
      <c r="CV10" s="11" t="n">
        <f aca="false">Waterfall!AT7+Tax!AT27</f>
        <v>52.2908661632896</v>
      </c>
      <c r="CW10" s="11" t="n">
        <f aca="false">Waterfall!AU7+Tax!AU27</f>
        <v>53.8253318511153</v>
      </c>
      <c r="CX10" s="11" t="n">
        <f aca="false">Waterfall!AV7+Tax!AV27</f>
        <v>54.9104694089521</v>
      </c>
      <c r="CY10" s="11" t="n">
        <f aca="false">Waterfall!AW7+Tax!AW27</f>
        <v>53.9231129897648</v>
      </c>
      <c r="CZ10" s="11" t="n">
        <f aca="false">Waterfall!AX7+Tax!AX27</f>
        <v>54.6328352568461</v>
      </c>
      <c r="DA10" s="11" t="n">
        <f aca="false">Waterfall!AY7+Tax!AY27</f>
        <v>54.2803103678224</v>
      </c>
      <c r="DB10" s="11" t="n">
        <f aca="false">Waterfall!AZ7+Tax!AZ27</f>
        <v>54.9533824446912</v>
      </c>
      <c r="DC10" s="11" t="n">
        <f aca="false">Waterfall!BA7+Tax!BA27</f>
        <v>54.5968458972803</v>
      </c>
      <c r="DD10" s="11" t="n">
        <f aca="false">Waterfall!BB7+Tax!BB27</f>
        <v>55.2046845382451</v>
      </c>
      <c r="DE10" s="11" t="n">
        <f aca="false">Waterfall!BC7+Tax!BC27</f>
        <v>55.6593554839312</v>
      </c>
      <c r="DF10" s="11" t="n">
        <f aca="false">Waterfall!BD7+Tax!BD27</f>
        <v>56.287935219079</v>
      </c>
      <c r="DG10" s="11" t="n">
        <f aca="false">Waterfall!BE7+Tax!BE27</f>
        <v>52.8886658851121</v>
      </c>
      <c r="DH10" s="11" t="n">
        <f aca="false">Waterfall!BF7+Tax!BF27</f>
        <v>53.6298973204265</v>
      </c>
      <c r="DI10" s="11" t="n">
        <f aca="false">Waterfall!BG7+Tax!BG27</f>
        <v>53.2761838974868</v>
      </c>
      <c r="DJ10" s="11" t="n">
        <f aca="false">Waterfall!BH7+Tax!BH27</f>
        <v>53.9779093078791</v>
      </c>
      <c r="DK10" s="11" t="n">
        <f aca="false">Waterfall!BI7+Tax!BI27</f>
        <v>53.6130493418627</v>
      </c>
      <c r="DL10" s="11" t="n">
        <f aca="false">Waterfall!BJ7+Tax!BJ27</f>
        <v>54.3096782169848</v>
      </c>
      <c r="DM10" s="11" t="n">
        <f aca="false">Waterfall!BK7+Tax!BK27</f>
        <v>56.280122766645</v>
      </c>
      <c r="DN10" s="11" t="n">
        <f aca="false">Waterfall!BL7+Tax!BL27</f>
        <v>57.4478572106812</v>
      </c>
      <c r="DO10" s="11" t="n">
        <f aca="false">Waterfall!BM7+Tax!BM27</f>
        <v>57.0084549711701</v>
      </c>
      <c r="DP10" s="11" t="n">
        <f aca="false">Waterfall!BN7+Tax!BN27</f>
        <v>42.7829217886875</v>
      </c>
    </row>
    <row r="11" customFormat="false" ht="15" hidden="false" customHeight="false" outlineLevel="0" collapsed="false">
      <c r="D11" s="0" t="s">
        <v>807</v>
      </c>
      <c r="E11" s="0" t="s">
        <v>149</v>
      </c>
      <c r="J11" s="11" t="n">
        <f aca="false">J8</f>
        <v>-14.2</v>
      </c>
      <c r="K11" s="11" t="n">
        <f aca="false">J11+K8</f>
        <v>-31.6523333259076</v>
      </c>
      <c r="L11" s="11" t="n">
        <f aca="false">K11+L8</f>
        <v>-32.3029532204021</v>
      </c>
      <c r="M11" s="11" t="n">
        <f aca="false">L11+M8</f>
        <v>-33.1318733406835</v>
      </c>
      <c r="N11" s="11" t="n">
        <f aca="false">M11+N8</f>
        <v>-34.3024786902117</v>
      </c>
      <c r="O11" s="11" t="n">
        <f aca="false">N11+O8</f>
        <v>-35.987247639066</v>
      </c>
      <c r="P11" s="11" t="n">
        <f aca="false">O11+P8</f>
        <v>-38.3079547111883</v>
      </c>
      <c r="Q11" s="11" t="n">
        <f aca="false">P11+Q8</f>
        <v>-41.3340262998607</v>
      </c>
      <c r="R11" s="11" t="n">
        <f aca="false">Q11+R8</f>
        <v>-45.175144061288</v>
      </c>
      <c r="S11" s="11" t="n">
        <f aca="false">R11+S8</f>
        <v>-49.8277982814092</v>
      </c>
      <c r="T11" s="11" t="n">
        <f aca="false">S11+T8</f>
        <v>-55.307197137246</v>
      </c>
      <c r="U11" s="11" t="n">
        <f aca="false">T11+U8</f>
        <v>-61.5598938867015</v>
      </c>
      <c r="V11" s="11" t="n">
        <f aca="false">U11+V8</f>
        <v>-68.5544212728788</v>
      </c>
      <c r="W11" s="11" t="n">
        <f aca="false">V11+W8</f>
        <v>-76.2009811082767</v>
      </c>
      <c r="X11" s="11" t="n">
        <f aca="false">W11+X8</f>
        <v>-84.3895827405423</v>
      </c>
      <c r="Y11" s="11" t="n">
        <f aca="false">X11+Y8</f>
        <v>-93.0272562976369</v>
      </c>
      <c r="Z11" s="11" t="n">
        <f aca="false">Y11+Z8</f>
        <v>-101.963625131159</v>
      </c>
      <c r="AA11" s="11" t="n">
        <f aca="false">Z11+AA8</f>
        <v>-111.087421206424</v>
      </c>
      <c r="AB11" s="11" t="n">
        <f aca="false">AA11+AB8</f>
        <v>-120.551645676271</v>
      </c>
      <c r="AC11" s="11" t="n">
        <f aca="false">AB11+AC8</f>
        <v>-129.579076028692</v>
      </c>
      <c r="AD11" s="11" t="n">
        <f aca="false">AC11+AD8</f>
        <v>-138.392399076561</v>
      </c>
      <c r="AE11" s="11" t="n">
        <f aca="false">AD11+AE8</f>
        <v>-146.817278107316</v>
      </c>
      <c r="AF11" s="11" t="n">
        <f aca="false">AE11+AF8</f>
        <v>-154.76654578746</v>
      </c>
      <c r="AG11" s="11" t="n">
        <f aca="false">AF11+AG8</f>
        <v>-162.104001243719</v>
      </c>
      <c r="AH11" s="11" t="n">
        <f aca="false">AG11+AH8</f>
        <v>-168.779550758635</v>
      </c>
      <c r="AI11" s="11" t="n">
        <f aca="false">AH11+AI8</f>
        <v>-174.713080971587</v>
      </c>
      <c r="AJ11" s="11" t="n">
        <f aca="false">AI11+AJ8</f>
        <v>-179.849443711029</v>
      </c>
      <c r="AK11" s="11" t="n">
        <f aca="false">AJ11+AK8</f>
        <v>-184.21677416726</v>
      </c>
      <c r="AL11" s="11" t="n">
        <f aca="false">AK11+AL8</f>
        <v>-187.800755953224</v>
      </c>
      <c r="AM11" s="11" t="n">
        <f aca="false">AL11+AM8</f>
        <v>-190.694795057421</v>
      </c>
      <c r="AN11" s="11" t="n">
        <f aca="false">AM11+AN8</f>
        <v>-192.970693124708</v>
      </c>
      <c r="AO11" s="11" t="n">
        <f aca="false">AN11+AO8</f>
        <v>-194.693065203511</v>
      </c>
      <c r="AP11" s="11" t="n">
        <f aca="false">AO11+AP8</f>
        <v>-196.131682579448</v>
      </c>
      <c r="AQ11" s="11" t="n">
        <f aca="false">AP11+AQ8</f>
        <v>-197.385977270963</v>
      </c>
      <c r="AR11" s="11" t="n">
        <f aca="false">AQ11+AR8</f>
        <v>-198.643402222009</v>
      </c>
      <c r="AS11" s="11" t="n">
        <f aca="false">AR11+AS8</f>
        <v>-199.884610847649</v>
      </c>
      <c r="AT11" s="11" t="n">
        <f aca="false">AS11+AT8</f>
        <v>-201.175271590327</v>
      </c>
      <c r="AU11" s="11" t="n">
        <f aca="false">AT11+AU8</f>
        <v>-202.4699936804</v>
      </c>
      <c r="AV11" s="11" t="n">
        <f aca="false">AU11+AV8</f>
        <v>-203.738793531721</v>
      </c>
      <c r="AW11" s="11" t="n">
        <f aca="false">AV11+AW8</f>
        <v>-217.865603880104</v>
      </c>
      <c r="AX11" s="11" t="n">
        <f aca="false">AW11+AX8</f>
        <v>-229.362267538163</v>
      </c>
      <c r="AY11" s="11" t="n">
        <f aca="false">AX11+AY8</f>
        <v>-230.410683158074</v>
      </c>
      <c r="AZ11" s="11" t="n">
        <f aca="false">AY11+AZ8</f>
        <v>-230.410683158074</v>
      </c>
      <c r="BA11" s="11" t="n">
        <f aca="false">AZ11+BA8</f>
        <v>-230.410683158074</v>
      </c>
      <c r="BB11" s="11" t="n">
        <f aca="false">BA11+BB8</f>
        <v>-230.410683158074</v>
      </c>
      <c r="BC11" s="11" t="n">
        <f aca="false">BB11+BC8</f>
        <v>-230.410683158074</v>
      </c>
      <c r="BD11" s="11" t="n">
        <f aca="false">BC11+BD8</f>
        <v>-230.410683158074</v>
      </c>
      <c r="BE11" s="11" t="n">
        <f aca="false">BD11+BE8</f>
        <v>-230.410683158074</v>
      </c>
      <c r="BF11" s="11" t="n">
        <f aca="false">BE11+BF8</f>
        <v>-230.410683158074</v>
      </c>
      <c r="BG11" s="11" t="n">
        <f aca="false">BF11+BG8</f>
        <v>-230.410683158074</v>
      </c>
      <c r="BH11" s="11" t="n">
        <f aca="false">BG11+BH8</f>
        <v>-230.410683158074</v>
      </c>
      <c r="BI11" s="11" t="n">
        <f aca="false">BH11+BI8</f>
        <v>-230.410683158074</v>
      </c>
      <c r="BJ11" s="11" t="n">
        <f aca="false">BI11+BJ8</f>
        <v>-230.410683158074</v>
      </c>
      <c r="BK11" s="11" t="n">
        <f aca="false">BJ11+BK8</f>
        <v>-230.410683158074</v>
      </c>
      <c r="BL11" s="11" t="n">
        <f aca="false">BK11+BL8</f>
        <v>-230.410683158074</v>
      </c>
      <c r="BM11" s="11" t="n">
        <f aca="false">BL11+BM8</f>
        <v>-230.410683158074</v>
      </c>
      <c r="BN11" s="11" t="n">
        <f aca="false">BM11+BN8</f>
        <v>-230.410683158074</v>
      </c>
      <c r="BO11" s="11" t="n">
        <f aca="false">BN11+BO8</f>
        <v>-230.410683158074</v>
      </c>
      <c r="BP11" s="11" t="n">
        <f aca="false">BO11+BP8</f>
        <v>-230.410683158074</v>
      </c>
      <c r="BQ11" s="11" t="n">
        <f aca="false">BP11+BQ8</f>
        <v>-230.410683158074</v>
      </c>
      <c r="BR11" s="11" t="n">
        <f aca="false">BQ11+BR8</f>
        <v>-230.410683158074</v>
      </c>
      <c r="BS11" s="11" t="n">
        <f aca="false">BR11+BS8</f>
        <v>-218.469545399545</v>
      </c>
      <c r="BT11" s="11" t="n">
        <f aca="false">BS11+BT8</f>
        <v>-207.488419140803</v>
      </c>
      <c r="BU11" s="11" t="n">
        <f aca="false">BT11+BU8</f>
        <v>-197.294660816741</v>
      </c>
      <c r="BV11" s="11" t="n">
        <f aca="false">BU11+BV8</f>
        <v>-186.323695598021</v>
      </c>
      <c r="BW11" s="11" t="n">
        <f aca="false">BV11+BW8</f>
        <v>-176.450049673875</v>
      </c>
      <c r="BX11" s="11" t="n">
        <f aca="false">BW11+BX8</f>
        <v>-165.789416640282</v>
      </c>
      <c r="BY11" s="11" t="n">
        <f aca="false">BX11+BY8</f>
        <v>-153.733880499433</v>
      </c>
      <c r="BZ11" s="11" t="n">
        <f aca="false">BY11+BZ8</f>
        <v>-140.743454747471</v>
      </c>
      <c r="CA11" s="11" t="n">
        <f aca="false">BZ11+CA8</f>
        <v>-130.567833838494</v>
      </c>
      <c r="CB11" s="11" t="n">
        <f aca="false">CA11+CB8</f>
        <v>-119.558036882808</v>
      </c>
      <c r="CC11" s="11" t="n">
        <f aca="false">CB11+CC8</f>
        <v>-114.578349563397</v>
      </c>
      <c r="CD11" s="11" t="n">
        <f aca="false">CC11+CD8</f>
        <v>-108.699240492378</v>
      </c>
      <c r="CE11" s="11" t="n">
        <f aca="false">CD11+CE8</f>
        <v>-103.345115467879</v>
      </c>
      <c r="CF11" s="11" t="n">
        <f aca="false">CE11+CF8</f>
        <v>-97.4317294800813</v>
      </c>
      <c r="CG11" s="11" t="n">
        <f aca="false">CF11+CG8</f>
        <v>-90.5660300343041</v>
      </c>
      <c r="CH11" s="11" t="n">
        <f aca="false">CG11+CH8</f>
        <v>-82.4888547931438</v>
      </c>
      <c r="CI11" s="11" t="n">
        <f aca="false">CH11+CI8</f>
        <v>-74.3517097339407</v>
      </c>
      <c r="CJ11" s="11" t="n">
        <f aca="false">CI11+CJ8</f>
        <v>-65.0269547283575</v>
      </c>
      <c r="CK11" s="11" t="n">
        <f aca="false">CJ11+CK8</f>
        <v>-55.0551075864766</v>
      </c>
      <c r="CL11" s="11" t="n">
        <f aca="false">CK11+CL8</f>
        <v>-43.4781267081489</v>
      </c>
      <c r="CM11" s="11" t="n">
        <f aca="false">CL11+CM8</f>
        <v>-30.2230644391721</v>
      </c>
      <c r="CN11" s="11" t="n">
        <f aca="false">CM11+CN8</f>
        <v>1.34516033697387</v>
      </c>
      <c r="CO11" s="11" t="n">
        <f aca="false">CN11+CO8</f>
        <v>33.9560886711334</v>
      </c>
      <c r="CP11" s="11" t="n">
        <f aca="false">CO11+CP8</f>
        <v>67.3926098656472</v>
      </c>
      <c r="CQ11" s="11" t="n">
        <f aca="false">CP11+CQ8</f>
        <v>118.052314133072</v>
      </c>
      <c r="CR11" s="11" t="n">
        <f aca="false">CQ11+CR8</f>
        <v>169.391120085927</v>
      </c>
      <c r="CS11" s="11" t="n">
        <f aca="false">CR11+CS8</f>
        <v>220.376936502106</v>
      </c>
      <c r="CT11" s="11" t="n">
        <f aca="false">CS11+CT8</f>
        <v>263.315316626304</v>
      </c>
      <c r="CU11" s="11" t="n">
        <f aca="false">CT11+CU8</f>
        <v>305.130589061354</v>
      </c>
      <c r="CV11" s="11" t="n">
        <f aca="false">CU11+CV8</f>
        <v>347.367089347549</v>
      </c>
      <c r="CW11" s="11" t="n">
        <f aca="false">CV11+CW8</f>
        <v>395.603066274058</v>
      </c>
      <c r="CX11" s="11" t="n">
        <f aca="false">CW11+CX8</f>
        <v>440.33571548417</v>
      </c>
      <c r="CY11" s="11" t="n">
        <f aca="false">CX11+CY8</f>
        <v>484.112329327476</v>
      </c>
      <c r="CZ11" s="11" t="n">
        <f aca="false">CY11+CZ8</f>
        <v>528.54775606447</v>
      </c>
      <c r="DA11" s="11" t="n">
        <f aca="false">CZ11+DA8</f>
        <v>572.573236700149</v>
      </c>
      <c r="DB11" s="11" t="n">
        <f aca="false">DA11+DB8</f>
        <v>617.233293062244</v>
      </c>
      <c r="DC11" s="11" t="n">
        <f aca="false">DB11+DC8</f>
        <v>661.506105825444</v>
      </c>
      <c r="DD11" s="11" t="n">
        <f aca="false">DC11+DD8</f>
        <v>705.815070734612</v>
      </c>
      <c r="DE11" s="11" t="n">
        <f aca="false">DD11+DE8</f>
        <v>750.53771684583</v>
      </c>
      <c r="DF11" s="11" t="n">
        <f aca="false">DE11+DF8</f>
        <v>792.761311241133</v>
      </c>
      <c r="DG11" s="11" t="n">
        <f aca="false">DF11+DG8</f>
        <v>827.542701008803</v>
      </c>
      <c r="DH11" s="11" t="n">
        <f aca="false">DG11+DH8</f>
        <v>862.992781613397</v>
      </c>
      <c r="DI11" s="11" t="n">
        <f aca="false">DH11+DI8</f>
        <v>898.009704150425</v>
      </c>
      <c r="DJ11" s="11" t="n">
        <f aca="false">DI11+DJ8</f>
        <v>933.669251275188</v>
      </c>
      <c r="DK11" s="11" t="n">
        <f aca="false">DJ11+DK8</f>
        <v>968.913815663556</v>
      </c>
      <c r="DL11" s="11" t="n">
        <f aca="false">DK11+DL8</f>
        <v>1004.74249612724</v>
      </c>
      <c r="DM11" s="11" t="n">
        <f aca="false">DL11+DM8</f>
        <v>1047.80263801686</v>
      </c>
      <c r="DN11" s="11" t="n">
        <f aca="false">DM11+DN8</f>
        <v>1086.58642134803</v>
      </c>
      <c r="DO11" s="11" t="n">
        <f aca="false">DN11+DO8</f>
        <v>1124.95431716089</v>
      </c>
      <c r="DP11" s="11" t="n">
        <f aca="false">DO11+DP8</f>
        <v>1180.32347095561</v>
      </c>
    </row>
    <row r="12" customFormat="false" ht="15" hidden="false" customHeight="false" outlineLevel="0" collapsed="false">
      <c r="D12" s="0" t="s">
        <v>808</v>
      </c>
      <c r="E12" s="0" t="s">
        <v>103</v>
      </c>
      <c r="F12" s="18" t="n">
        <f aca="false">XIRR(Returns!$J$8:$DP$8,Returns!$J$7:$DP$7)</f>
        <v>0.120686888761946</v>
      </c>
    </row>
    <row r="13" customFormat="false" ht="15" hidden="false" customHeight="false" outlineLevel="0" collapsed="false">
      <c r="D13" s="0" t="s">
        <v>809</v>
      </c>
      <c r="E13" s="0" t="s">
        <v>103</v>
      </c>
      <c r="F13" s="18" t="n">
        <f aca="false">XIRR(Returns!$J$9:$DP$9,Returns!$J$7:$DP$7,0.1)</f>
        <v>0.104405628455969</v>
      </c>
    </row>
    <row r="14" customFormat="false" ht="15" hidden="false" customHeight="false" outlineLevel="0" collapsed="false">
      <c r="D14" s="0" t="s">
        <v>810</v>
      </c>
      <c r="E14" s="0" t="s">
        <v>103</v>
      </c>
      <c r="F14" s="18" t="n">
        <f aca="false">XIRR(Returns!$J$10:$DP$10,Returns!$J$7:$DP$7,0.1)</f>
        <v>0.109446763015916</v>
      </c>
    </row>
    <row r="15" customFormat="false" ht="15" hidden="false" customHeight="false" outlineLevel="0" collapsed="false">
      <c r="D15" s="0" t="s">
        <v>811</v>
      </c>
      <c r="E15" s="0" t="s">
        <v>149</v>
      </c>
      <c r="F15" s="19" t="n">
        <f aca="false">XNPV(0.16,Returns!$J$8:$DP$8,Returns!$J$7:$DP$7)*1.16^((DATE(2018,7,17)-DATE(2018,2,5))/365)</f>
        <v>-66.2146555820349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813</v>
      </c>
      <c r="E7" s="0" t="s">
        <v>814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815</v>
      </c>
      <c r="E8" s="0" t="s">
        <v>814</v>
      </c>
      <c r="F8" s="6" t="n">
        <f aca="false">IF(Inputs!$F$34=1,ROUND(SUM(Funding!$J$47:$BJ$47)-Funding!$F$25,4),0)</f>
        <v>0</v>
      </c>
    </row>
    <row r="9" customFormat="false" ht="15" hidden="false" customHeight="false" outlineLevel="0" collapsed="false">
      <c r="D9" s="0" t="s">
        <v>816</v>
      </c>
      <c r="E9" s="0" t="s">
        <v>814</v>
      </c>
      <c r="F9" s="6" t="n">
        <f aca="false">IF(Inputs!$F$51=2,ROUND(Funding!$F$24-Funding!$F$75,4),0)</f>
        <v>0</v>
      </c>
    </row>
    <row r="10" customFormat="false" ht="15" hidden="false" customHeight="false" outlineLevel="0" collapsed="false">
      <c r="D10" s="0" t="s">
        <v>817</v>
      </c>
      <c r="E10" s="0" t="s">
        <v>814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818</v>
      </c>
      <c r="E11" s="0" t="s">
        <v>814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819</v>
      </c>
      <c r="E12" s="0" t="s">
        <v>814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820</v>
      </c>
      <c r="E13" s="0" t="s">
        <v>814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821</v>
      </c>
      <c r="E14" s="0" t="s">
        <v>814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822</v>
      </c>
      <c r="E15" s="0" t="s">
        <v>814</v>
      </c>
      <c r="F15" s="6" t="n">
        <f aca="false">IF(MAX(Construction!$J$35:$BJ$35)&lt;=Inputs!$F$72,0,1)</f>
        <v>0</v>
      </c>
    </row>
    <row r="16" customFormat="false" ht="15" hidden="false" customHeight="false" outlineLevel="0" collapsed="false">
      <c r="D16" s="0" t="s">
        <v>823</v>
      </c>
      <c r="E16" s="0" t="s">
        <v>814</v>
      </c>
      <c r="F16" s="6" t="n">
        <f aca="false">IF(AND(SUM(Funding!$J$55:$BJ$55)&lt;=Inputs!$F$99+0.000001,SUM(Funding!$J$56:$BJ$56)&lt;=Inputs!$F$103+0.000001),0,1)</f>
        <v>0</v>
      </c>
    </row>
    <row r="17" customFormat="false" ht="15" hidden="false" customHeight="false" outlineLevel="0" collapsed="false">
      <c r="D17" s="0" t="s">
        <v>824</v>
      </c>
      <c r="E17" s="0" t="s">
        <v>814</v>
      </c>
      <c r="F17" s="6" t="n">
        <f aca="false">IF(Inputs!$F$75*Funding!$F$25&lt;=224.1,0,1)</f>
        <v>0</v>
      </c>
    </row>
    <row r="18" customFormat="false" ht="15" hidden="false" customHeight="false" outlineLevel="0" collapsed="false">
      <c r="D18" s="0" t="s">
        <v>825</v>
      </c>
      <c r="E18" s="0" t="s">
        <v>814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826</v>
      </c>
      <c r="E19" s="0" t="s">
        <v>814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828</v>
      </c>
      <c r="E7" s="0" t="s">
        <v>149</v>
      </c>
      <c r="F7" s="20" t="n">
        <f aca="false">Funding!$F$75</f>
        <v>888.150681571343</v>
      </c>
    </row>
    <row r="8" customFormat="false" ht="15" hidden="false" customHeight="false" outlineLevel="0" collapsed="false">
      <c r="D8" s="0" t="s">
        <v>829</v>
      </c>
      <c r="E8" s="0" t="s">
        <v>149</v>
      </c>
      <c r="F8" s="20" t="n">
        <f aca="false">Funding!$F$25</f>
        <v>657.739998413269</v>
      </c>
    </row>
    <row r="9" customFormat="false" ht="15" hidden="false" customHeight="false" outlineLevel="0" collapsed="false">
      <c r="D9" s="0" t="s">
        <v>830</v>
      </c>
      <c r="E9" s="0" t="s">
        <v>149</v>
      </c>
      <c r="F9" s="20" t="n">
        <f aca="false">SUM(Funding!$J$67:$BJ$67)</f>
        <v>230.410683158074</v>
      </c>
    </row>
    <row r="10" customFormat="false" ht="15" hidden="false" customHeight="false" outlineLevel="0" collapsed="false">
      <c r="D10" s="0" t="s">
        <v>831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832</v>
      </c>
      <c r="E11" s="0" t="s">
        <v>149</v>
      </c>
      <c r="F11" s="20" t="n">
        <f aca="false">SUM(Funding!$J$33:$BJ$33)+SUM(Funding!$J$34:$BJ$34)+SUM(Funding!$J$35:$BJ$35)+SUM(Funding!$J$36:$BJ$36)+SUM(Funding!$J$37:$BJ$37)+SUM(Funding!$J$39:$BJ$39)+SUM(Funding!$J$38:$BJ$38)</f>
        <v>84.407041052133</v>
      </c>
    </row>
    <row r="12" customFormat="false" ht="15" hidden="false" customHeight="false" outlineLevel="0" collapsed="false">
      <c r="D12" s="0" t="s">
        <v>833</v>
      </c>
      <c r="E12" s="0" t="s">
        <v>149</v>
      </c>
      <c r="F12" s="20" t="n">
        <f aca="false">SUM(Funding!$J$40:$BJ$40)+SUM(Funding!$J$41:$BJ$41)+SUM(Funding!$J$42:$BJ$42)+SUM(Funding!$J$43:$BJ$43)</f>
        <v>22.5895815874653</v>
      </c>
    </row>
    <row r="13" customFormat="false" ht="15" hidden="false" customHeight="false" outlineLevel="0" collapsed="false">
      <c r="D13" s="0" t="s">
        <v>834</v>
      </c>
      <c r="E13" s="0" t="s">
        <v>149</v>
      </c>
      <c r="F13" s="20" t="n">
        <f aca="false">SUM(Funding!$J$48:$BJ$48)</f>
        <v>21.4094369483519</v>
      </c>
    </row>
    <row r="14" customFormat="false" ht="15" hidden="false" customHeight="false" outlineLevel="0" collapsed="false">
      <c r="D14" s="0" t="s">
        <v>835</v>
      </c>
      <c r="E14" s="0" t="s">
        <v>149</v>
      </c>
      <c r="F14" s="20" t="n">
        <f aca="false">SUM(Funding!$J$44:$BJ$44)</f>
        <v>39.5901571901212</v>
      </c>
    </row>
    <row r="15" customFormat="false" ht="15" hidden="false" customHeight="false" outlineLevel="0" collapsed="false">
      <c r="D15" s="0" t="s">
        <v>836</v>
      </c>
      <c r="E15" s="0" t="s">
        <v>149</v>
      </c>
      <c r="F15" s="20" t="n">
        <f aca="false">SUM(Funding!$J$55:$BJ$55)</f>
        <v>1.99840144432528E-013</v>
      </c>
    </row>
    <row r="16" customFormat="false" ht="15" hidden="false" customHeight="false" outlineLevel="0" collapsed="false">
      <c r="D16" s="0" t="s">
        <v>837</v>
      </c>
      <c r="E16" s="0" t="s">
        <v>149</v>
      </c>
      <c r="F16" s="20" t="n">
        <f aca="false">SUM(Funding!$J$56:$BJ$56)</f>
        <v>6.66133814775094E-014</v>
      </c>
    </row>
    <row r="17" customFormat="false" ht="15" hidden="false" customHeight="false" outlineLevel="0" collapsed="false">
      <c r="D17" s="0" t="s">
        <v>796</v>
      </c>
      <c r="E17" s="0" t="s">
        <v>202</v>
      </c>
      <c r="F17" s="20" t="n">
        <f aca="false">Ratios!$F$16</f>
        <v>1.25419186640688</v>
      </c>
    </row>
    <row r="18" customFormat="false" ht="15" hidden="false" customHeight="false" outlineLevel="0" collapsed="false">
      <c r="D18" s="0" t="s">
        <v>838</v>
      </c>
      <c r="E18" s="0" t="s">
        <v>202</v>
      </c>
      <c r="F18" s="20" t="n">
        <f aca="false">Ratios!$F$17</f>
        <v>1.44735674902182</v>
      </c>
    </row>
    <row r="19" customFormat="false" ht="15" hidden="false" customHeight="false" outlineLevel="0" collapsed="false">
      <c r="D19" s="0" t="s">
        <v>839</v>
      </c>
      <c r="E19" s="0" t="s">
        <v>202</v>
      </c>
      <c r="F19" s="20" t="n">
        <f aca="false">Ratios!$F$18</f>
        <v>1.34990102842376</v>
      </c>
    </row>
    <row r="20" customFormat="false" ht="15" hidden="false" customHeight="false" outlineLevel="0" collapsed="false">
      <c r="D20" s="0" t="s">
        <v>799</v>
      </c>
      <c r="E20" s="0" t="s">
        <v>202</v>
      </c>
      <c r="F20" s="20" t="n">
        <f aca="false">Ratios!$F$19</f>
        <v>1.81204226648802</v>
      </c>
    </row>
    <row r="21" customFormat="false" ht="15" hidden="false" customHeight="false" outlineLevel="0" collapsed="false">
      <c r="D21" s="0" t="s">
        <v>840</v>
      </c>
      <c r="E21" s="0" t="s">
        <v>103</v>
      </c>
      <c r="F21" s="18" t="n">
        <f aca="false">Returns!$F$12</f>
        <v>0.120686888761946</v>
      </c>
    </row>
    <row r="22" customFormat="false" ht="15" hidden="false" customHeight="false" outlineLevel="0" collapsed="false">
      <c r="D22" s="0" t="s">
        <v>841</v>
      </c>
      <c r="E22" s="0" t="s">
        <v>103</v>
      </c>
      <c r="F22" s="18" t="n">
        <f aca="false">Returns!$F$13</f>
        <v>0.104405628455969</v>
      </c>
    </row>
    <row r="23" customFormat="false" ht="15" hidden="false" customHeight="false" outlineLevel="0" collapsed="false">
      <c r="D23" s="0" t="s">
        <v>842</v>
      </c>
      <c r="E23" s="0" t="s">
        <v>149</v>
      </c>
      <c r="F23" s="20" t="n">
        <f aca="false">Returns!$F$15</f>
        <v>-66.2146555820349</v>
      </c>
    </row>
    <row r="24" customFormat="false" ht="15" hidden="false" customHeight="false" outlineLevel="0" collapsed="false">
      <c r="D24" s="0" t="s">
        <v>843</v>
      </c>
      <c r="E24" s="0" t="s">
        <v>814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2026-10-03T21:13:42Z</dcterms:created>
  <dc:creator>openpyxl</dc:creator>
  <dc:description/>
  <dc:language>en-US</dc:language>
  <cp:lastModifiedBy/>
  <dcterms:modified xsi:type="dcterms:W3CDTF">2026-10-03T21:13:42Z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